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A7F14511-8412-47B8-B0AC-68C2B12AC048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H444" i="7"/>
  <c r="I437" i="7" s="1"/>
  <c r="Z442" i="7"/>
  <c r="AA442" i="7" s="1"/>
  <c r="T442" i="7"/>
  <c r="U442" i="7" s="1"/>
  <c r="Q442" i="7"/>
  <c r="R442" i="7" s="1"/>
  <c r="N442" i="7"/>
  <c r="O442" i="7" s="1"/>
  <c r="L442" i="7"/>
  <c r="K442" i="7"/>
  <c r="H442" i="7"/>
  <c r="I442" i="7" s="1"/>
  <c r="E442" i="7"/>
  <c r="F442" i="7" s="1"/>
  <c r="B442" i="7"/>
  <c r="C442" i="7" s="1"/>
  <c r="Z441" i="7"/>
  <c r="AA441" i="7" s="1"/>
  <c r="T441" i="7"/>
  <c r="R441" i="7"/>
  <c r="Q441" i="7"/>
  <c r="K441" i="7"/>
  <c r="L441" i="7" s="1"/>
  <c r="F441" i="7"/>
  <c r="E441" i="7"/>
  <c r="B441" i="7"/>
  <c r="C441" i="7" s="1"/>
  <c r="AC440" i="7"/>
  <c r="AD440" i="7" s="1"/>
  <c r="AA440" i="7"/>
  <c r="X440" i="7"/>
  <c r="W440" i="7"/>
  <c r="U440" i="7"/>
  <c r="R440" i="7"/>
  <c r="O440" i="7"/>
  <c r="N440" i="7"/>
  <c r="L440" i="7"/>
  <c r="H440" i="7"/>
  <c r="I440" i="7" s="1"/>
  <c r="F440" i="7"/>
  <c r="C440" i="7"/>
  <c r="AC439" i="7"/>
  <c r="AD439" i="7" s="1"/>
  <c r="AA439" i="7"/>
  <c r="W439" i="7"/>
  <c r="X439" i="7" s="1"/>
  <c r="U439" i="7"/>
  <c r="R439" i="7"/>
  <c r="N439" i="7"/>
  <c r="O439" i="7" s="1"/>
  <c r="L439" i="7"/>
  <c r="H439" i="7"/>
  <c r="I439" i="7" s="1"/>
  <c r="F439" i="7"/>
  <c r="C439" i="7"/>
  <c r="AD438" i="7"/>
  <c r="AC438" i="7"/>
  <c r="AA438" i="7"/>
  <c r="X438" i="7"/>
  <c r="W438" i="7"/>
  <c r="U438" i="7"/>
  <c r="R438" i="7"/>
  <c r="O438" i="7"/>
  <c r="N438" i="7"/>
  <c r="L438" i="7"/>
  <c r="H438" i="7"/>
  <c r="I438" i="7" s="1"/>
  <c r="F438" i="7"/>
  <c r="C438" i="7"/>
  <c r="AC437" i="7"/>
  <c r="AD437" i="7" s="1"/>
  <c r="AA437" i="7"/>
  <c r="W437" i="7"/>
  <c r="X437" i="7" s="1"/>
  <c r="U437" i="7"/>
  <c r="R437" i="7"/>
  <c r="N437" i="7"/>
  <c r="O437" i="7" s="1"/>
  <c r="L437" i="7"/>
  <c r="H437" i="7"/>
  <c r="F437" i="7"/>
  <c r="C437" i="7"/>
  <c r="AC436" i="7"/>
  <c r="AD436" i="7" s="1"/>
  <c r="AA436" i="7"/>
  <c r="X436" i="7"/>
  <c r="W436" i="7"/>
  <c r="U436" i="7"/>
  <c r="R436" i="7"/>
  <c r="O436" i="7"/>
  <c r="N436" i="7"/>
  <c r="L436" i="7"/>
  <c r="H436" i="7"/>
  <c r="I436" i="7" s="1"/>
  <c r="F436" i="7"/>
  <c r="C436" i="7"/>
  <c r="AC435" i="7"/>
  <c r="AD435" i="7" s="1"/>
  <c r="AA435" i="7"/>
  <c r="W435" i="7"/>
  <c r="X435" i="7" s="1"/>
  <c r="U435" i="7"/>
  <c r="R435" i="7"/>
  <c r="N435" i="7"/>
  <c r="O435" i="7" s="1"/>
  <c r="L435" i="7"/>
  <c r="H435" i="7"/>
  <c r="I435" i="7" s="1"/>
  <c r="F435" i="7"/>
  <c r="C435" i="7"/>
  <c r="AD434" i="7"/>
  <c r="AC434" i="7"/>
  <c r="AA434" i="7"/>
  <c r="X434" i="7"/>
  <c r="W434" i="7"/>
  <c r="U434" i="7"/>
  <c r="R434" i="7"/>
  <c r="O434" i="7"/>
  <c r="N434" i="7"/>
  <c r="L434" i="7"/>
  <c r="H434" i="7"/>
  <c r="I434" i="7" s="1"/>
  <c r="F434" i="7"/>
  <c r="C434" i="7"/>
  <c r="AC433" i="7"/>
  <c r="AD433" i="7" s="1"/>
  <c r="AA433" i="7"/>
  <c r="W433" i="7"/>
  <c r="X433" i="7" s="1"/>
  <c r="U433" i="7"/>
  <c r="R433" i="7"/>
  <c r="N433" i="7"/>
  <c r="O433" i="7" s="1"/>
  <c r="L433" i="7"/>
  <c r="H433" i="7"/>
  <c r="F433" i="7"/>
  <c r="C433" i="7"/>
  <c r="AC432" i="7"/>
  <c r="AD432" i="7" s="1"/>
  <c r="AA432" i="7"/>
  <c r="X432" i="7"/>
  <c r="W432" i="7"/>
  <c r="U432" i="7"/>
  <c r="R432" i="7"/>
  <c r="O432" i="7"/>
  <c r="N432" i="7"/>
  <c r="L432" i="7"/>
  <c r="H432" i="7"/>
  <c r="I432" i="7" s="1"/>
  <c r="F432" i="7"/>
  <c r="C432" i="7"/>
  <c r="Z429" i="7"/>
  <c r="AA429" i="7" s="1"/>
  <c r="U429" i="7"/>
  <c r="T429" i="7"/>
  <c r="Q429" i="7"/>
  <c r="R429" i="7" s="1"/>
  <c r="K429" i="7"/>
  <c r="L429" i="7" s="1"/>
  <c r="E429" i="7"/>
  <c r="F429" i="7" s="1"/>
  <c r="B429" i="7"/>
  <c r="C429" i="7" s="1"/>
  <c r="AC428" i="7"/>
  <c r="AD428" i="7" s="1"/>
  <c r="AA428" i="7"/>
  <c r="Z428" i="7"/>
  <c r="W428" i="7"/>
  <c r="X428" i="7" s="1"/>
  <c r="T428" i="7"/>
  <c r="U428" i="7" s="1"/>
  <c r="Q428" i="7"/>
  <c r="R428" i="7" s="1"/>
  <c r="K428" i="7"/>
  <c r="L428" i="7" s="1"/>
  <c r="E428" i="7"/>
  <c r="C428" i="7"/>
  <c r="B428" i="7"/>
  <c r="N428" i="7" s="1"/>
  <c r="O428" i="7" s="1"/>
  <c r="AC427" i="7"/>
  <c r="AD427" i="7" s="1"/>
  <c r="AA427" i="7"/>
  <c r="W427" i="7"/>
  <c r="X427" i="7" s="1"/>
  <c r="U427" i="7"/>
  <c r="R427" i="7"/>
  <c r="N427" i="7"/>
  <c r="O427" i="7" s="1"/>
  <c r="L427" i="7"/>
  <c r="H427" i="7"/>
  <c r="I427" i="7" s="1"/>
  <c r="F427" i="7"/>
  <c r="C427" i="7"/>
  <c r="AD426" i="7"/>
  <c r="AC426" i="7"/>
  <c r="AA426" i="7"/>
  <c r="X426" i="7"/>
  <c r="W426" i="7"/>
  <c r="U426" i="7"/>
  <c r="R426" i="7"/>
  <c r="O426" i="7"/>
  <c r="N426" i="7"/>
  <c r="L426" i="7"/>
  <c r="H426" i="7"/>
  <c r="I426" i="7" s="1"/>
  <c r="F426" i="7"/>
  <c r="C426" i="7"/>
  <c r="AC425" i="7"/>
  <c r="AD425" i="7" s="1"/>
  <c r="AA425" i="7"/>
  <c r="W425" i="7"/>
  <c r="X425" i="7" s="1"/>
  <c r="U425" i="7"/>
  <c r="R425" i="7"/>
  <c r="N425" i="7"/>
  <c r="O425" i="7" s="1"/>
  <c r="L425" i="7"/>
  <c r="H425" i="7"/>
  <c r="F425" i="7"/>
  <c r="C425" i="7"/>
  <c r="AC424" i="7"/>
  <c r="AD424" i="7" s="1"/>
  <c r="AA424" i="7"/>
  <c r="X424" i="7"/>
  <c r="W424" i="7"/>
  <c r="U424" i="7"/>
  <c r="R424" i="7"/>
  <c r="O424" i="7"/>
  <c r="N424" i="7"/>
  <c r="L424" i="7"/>
  <c r="H424" i="7"/>
  <c r="I424" i="7" s="1"/>
  <c r="F424" i="7"/>
  <c r="C424" i="7"/>
  <c r="AC423" i="7"/>
  <c r="AD423" i="7" s="1"/>
  <c r="AA423" i="7"/>
  <c r="W423" i="7"/>
  <c r="X423" i="7" s="1"/>
  <c r="U423" i="7"/>
  <c r="R423" i="7"/>
  <c r="N423" i="7"/>
  <c r="O423" i="7" s="1"/>
  <c r="L423" i="7"/>
  <c r="H423" i="7"/>
  <c r="I423" i="7" s="1"/>
  <c r="F423" i="7"/>
  <c r="C423" i="7"/>
  <c r="AD422" i="7"/>
  <c r="AC422" i="7"/>
  <c r="AA422" i="7"/>
  <c r="X422" i="7"/>
  <c r="W422" i="7"/>
  <c r="U422" i="7"/>
  <c r="R422" i="7"/>
  <c r="O422" i="7"/>
  <c r="N422" i="7"/>
  <c r="L422" i="7"/>
  <c r="H422" i="7"/>
  <c r="I422" i="7" s="1"/>
  <c r="F422" i="7"/>
  <c r="C422" i="7"/>
  <c r="AC421" i="7"/>
  <c r="AD421" i="7" s="1"/>
  <c r="AA421" i="7"/>
  <c r="W421" i="7"/>
  <c r="X421" i="7" s="1"/>
  <c r="U421" i="7"/>
  <c r="R421" i="7"/>
  <c r="N421" i="7"/>
  <c r="O421" i="7" s="1"/>
  <c r="L421" i="7"/>
  <c r="H421" i="7"/>
  <c r="F421" i="7"/>
  <c r="C421" i="7"/>
  <c r="AC420" i="7"/>
  <c r="AD420" i="7" s="1"/>
  <c r="AA420" i="7"/>
  <c r="X420" i="7"/>
  <c r="W420" i="7"/>
  <c r="U420" i="7"/>
  <c r="R420" i="7"/>
  <c r="O420" i="7"/>
  <c r="N420" i="7"/>
  <c r="L420" i="7"/>
  <c r="H420" i="7"/>
  <c r="I420" i="7" s="1"/>
  <c r="F420" i="7"/>
  <c r="C420" i="7"/>
  <c r="AC419" i="7"/>
  <c r="AD419" i="7" s="1"/>
  <c r="AA419" i="7"/>
  <c r="W419" i="7"/>
  <c r="X419" i="7" s="1"/>
  <c r="U419" i="7"/>
  <c r="R419" i="7"/>
  <c r="N419" i="7"/>
  <c r="O419" i="7" s="1"/>
  <c r="L419" i="7"/>
  <c r="H419" i="7"/>
  <c r="I419" i="7" s="1"/>
  <c r="F419" i="7"/>
  <c r="C419" i="7"/>
  <c r="AD418" i="7"/>
  <c r="AC418" i="7"/>
  <c r="AA418" i="7"/>
  <c r="X418" i="7"/>
  <c r="W418" i="7"/>
  <c r="U418" i="7"/>
  <c r="R418" i="7"/>
  <c r="O418" i="7"/>
  <c r="N418" i="7"/>
  <c r="L418" i="7"/>
  <c r="H418" i="7"/>
  <c r="I418" i="7" s="1"/>
  <c r="F418" i="7"/>
  <c r="C418" i="7"/>
  <c r="AC417" i="7"/>
  <c r="AD417" i="7" s="1"/>
  <c r="AA417" i="7"/>
  <c r="W417" i="7"/>
  <c r="X417" i="7" s="1"/>
  <c r="U417" i="7"/>
  <c r="R417" i="7"/>
  <c r="N417" i="7"/>
  <c r="O417" i="7" s="1"/>
  <c r="L417" i="7"/>
  <c r="H417" i="7"/>
  <c r="F417" i="7"/>
  <c r="C417" i="7"/>
  <c r="AC416" i="7"/>
  <c r="AD416" i="7" s="1"/>
  <c r="AA416" i="7"/>
  <c r="X416" i="7"/>
  <c r="W416" i="7"/>
  <c r="U416" i="7"/>
  <c r="R416" i="7"/>
  <c r="O416" i="7"/>
  <c r="N416" i="7"/>
  <c r="L416" i="7"/>
  <c r="H416" i="7"/>
  <c r="I416" i="7" s="1"/>
  <c r="F416" i="7"/>
  <c r="C416" i="7"/>
  <c r="AC415" i="7"/>
  <c r="AD415" i="7" s="1"/>
  <c r="AA415" i="7"/>
  <c r="W415" i="7"/>
  <c r="X415" i="7" s="1"/>
  <c r="U415" i="7"/>
  <c r="R415" i="7"/>
  <c r="N415" i="7"/>
  <c r="O415" i="7" s="1"/>
  <c r="L415" i="7"/>
  <c r="H415" i="7"/>
  <c r="I415" i="7" s="1"/>
  <c r="F415" i="7"/>
  <c r="C415" i="7"/>
  <c r="AD414" i="7"/>
  <c r="AC414" i="7"/>
  <c r="AA414" i="7"/>
  <c r="X414" i="7"/>
  <c r="W414" i="7"/>
  <c r="U414" i="7"/>
  <c r="R414" i="7"/>
  <c r="O414" i="7"/>
  <c r="N414" i="7"/>
  <c r="L414" i="7"/>
  <c r="H414" i="7"/>
  <c r="I414" i="7" s="1"/>
  <c r="F414" i="7"/>
  <c r="C414" i="7"/>
  <c r="AC413" i="7"/>
  <c r="AD413" i="7" s="1"/>
  <c r="AA413" i="7"/>
  <c r="W413" i="7"/>
  <c r="X413" i="7" s="1"/>
  <c r="U413" i="7"/>
  <c r="R413" i="7"/>
  <c r="N413" i="7"/>
  <c r="O413" i="7" s="1"/>
  <c r="L413" i="7"/>
  <c r="H413" i="7"/>
  <c r="F413" i="7"/>
  <c r="C413" i="7"/>
  <c r="AC412" i="7"/>
  <c r="AD412" i="7" s="1"/>
  <c r="AA412" i="7"/>
  <c r="X412" i="7"/>
  <c r="W412" i="7"/>
  <c r="U412" i="7"/>
  <c r="R412" i="7"/>
  <c r="O412" i="7"/>
  <c r="N412" i="7"/>
  <c r="L412" i="7"/>
  <c r="H412" i="7"/>
  <c r="I412" i="7" s="1"/>
  <c r="F412" i="7"/>
  <c r="C412" i="7"/>
  <c r="AC411" i="7"/>
  <c r="AD411" i="7" s="1"/>
  <c r="AA411" i="7"/>
  <c r="W411" i="7"/>
  <c r="X411" i="7" s="1"/>
  <c r="U411" i="7"/>
  <c r="R411" i="7"/>
  <c r="N411" i="7"/>
  <c r="O411" i="7" s="1"/>
  <c r="L411" i="7"/>
  <c r="H411" i="7"/>
  <c r="I411" i="7" s="1"/>
  <c r="F411" i="7"/>
  <c r="C411" i="7"/>
  <c r="AD410" i="7"/>
  <c r="AC410" i="7"/>
  <c r="AA410" i="7"/>
  <c r="X410" i="7"/>
  <c r="W410" i="7"/>
  <c r="U410" i="7"/>
  <c r="R410" i="7"/>
  <c r="O410" i="7"/>
  <c r="N410" i="7"/>
  <c r="L410" i="7"/>
  <c r="H410" i="7"/>
  <c r="I410" i="7" s="1"/>
  <c r="F410" i="7"/>
  <c r="C410" i="7"/>
  <c r="AC409" i="7"/>
  <c r="AD409" i="7" s="1"/>
  <c r="AA409" i="7"/>
  <c r="W409" i="7"/>
  <c r="X409" i="7" s="1"/>
  <c r="U409" i="7"/>
  <c r="R409" i="7"/>
  <c r="N409" i="7"/>
  <c r="O409" i="7" s="1"/>
  <c r="L409" i="7"/>
  <c r="H409" i="7"/>
  <c r="F409" i="7"/>
  <c r="C409" i="7"/>
  <c r="AC408" i="7"/>
  <c r="AD408" i="7" s="1"/>
  <c r="AA408" i="7"/>
  <c r="X408" i="7"/>
  <c r="W408" i="7"/>
  <c r="U408" i="7"/>
  <c r="R408" i="7"/>
  <c r="O408" i="7"/>
  <c r="N408" i="7"/>
  <c r="L408" i="7"/>
  <c r="H408" i="7"/>
  <c r="I408" i="7" s="1"/>
  <c r="F408" i="7"/>
  <c r="C408" i="7"/>
  <c r="AC407" i="7"/>
  <c r="AD407" i="7" s="1"/>
  <c r="AA407" i="7"/>
  <c r="W407" i="7"/>
  <c r="X407" i="7" s="1"/>
  <c r="U407" i="7"/>
  <c r="R407" i="7"/>
  <c r="N407" i="7"/>
  <c r="O407" i="7" s="1"/>
  <c r="L407" i="7"/>
  <c r="H407" i="7"/>
  <c r="I407" i="7" s="1"/>
  <c r="F407" i="7"/>
  <c r="C407" i="7"/>
  <c r="Z403" i="7"/>
  <c r="AA403" i="7" s="1"/>
  <c r="T403" i="7"/>
  <c r="U403" i="7" s="1"/>
  <c r="Q403" i="7"/>
  <c r="R403" i="7" s="1"/>
  <c r="L403" i="7"/>
  <c r="K403" i="7"/>
  <c r="E403" i="7"/>
  <c r="F403" i="7" s="1"/>
  <c r="B403" i="7"/>
  <c r="C403" i="7" s="1"/>
  <c r="AD402" i="7"/>
  <c r="AC402" i="7"/>
  <c r="AA402" i="7"/>
  <c r="X402" i="7"/>
  <c r="W402" i="7"/>
  <c r="U402" i="7"/>
  <c r="R402" i="7"/>
  <c r="O402" i="7"/>
  <c r="N402" i="7"/>
  <c r="L402" i="7"/>
  <c r="H402" i="7"/>
  <c r="I402" i="7" s="1"/>
  <c r="F402" i="7"/>
  <c r="C402" i="7"/>
  <c r="AC401" i="7"/>
  <c r="AD401" i="7" s="1"/>
  <c r="AA401" i="7"/>
  <c r="W401" i="7"/>
  <c r="X401" i="7" s="1"/>
  <c r="U401" i="7"/>
  <c r="R401" i="7"/>
  <c r="N401" i="7"/>
  <c r="O401" i="7" s="1"/>
  <c r="L401" i="7"/>
  <c r="H401" i="7"/>
  <c r="F401" i="7"/>
  <c r="C401" i="7"/>
  <c r="AC400" i="7"/>
  <c r="AD400" i="7" s="1"/>
  <c r="AA400" i="7"/>
  <c r="X400" i="7"/>
  <c r="W400" i="7"/>
  <c r="U400" i="7"/>
  <c r="R400" i="7"/>
  <c r="O400" i="7"/>
  <c r="N400" i="7"/>
  <c r="L400" i="7"/>
  <c r="I400" i="7"/>
  <c r="H400" i="7"/>
  <c r="F400" i="7"/>
  <c r="C400" i="7"/>
  <c r="AC399" i="7"/>
  <c r="AD399" i="7" s="1"/>
  <c r="AA399" i="7"/>
  <c r="W399" i="7"/>
  <c r="X399" i="7" s="1"/>
  <c r="U399" i="7"/>
  <c r="R399" i="7"/>
  <c r="N399" i="7"/>
  <c r="O399" i="7" s="1"/>
  <c r="L399" i="7"/>
  <c r="H399" i="7"/>
  <c r="I399" i="7" s="1"/>
  <c r="F399" i="7"/>
  <c r="C399" i="7"/>
  <c r="AD398" i="7"/>
  <c r="AC398" i="7"/>
  <c r="AA398" i="7"/>
  <c r="X398" i="7"/>
  <c r="W398" i="7"/>
  <c r="U398" i="7"/>
  <c r="R398" i="7"/>
  <c r="O398" i="7"/>
  <c r="N398" i="7"/>
  <c r="L398" i="7"/>
  <c r="H398" i="7"/>
  <c r="I398" i="7" s="1"/>
  <c r="F398" i="7"/>
  <c r="C398" i="7"/>
  <c r="AC397" i="7"/>
  <c r="AD397" i="7" s="1"/>
  <c r="AA397" i="7"/>
  <c r="W397" i="7"/>
  <c r="X397" i="7" s="1"/>
  <c r="U397" i="7"/>
  <c r="R397" i="7"/>
  <c r="N397" i="7"/>
  <c r="O397" i="7" s="1"/>
  <c r="L397" i="7"/>
  <c r="H397" i="7"/>
  <c r="F397" i="7"/>
  <c r="C397" i="7"/>
  <c r="AA396" i="7"/>
  <c r="Z396" i="7"/>
  <c r="T396" i="7"/>
  <c r="U396" i="7" s="1"/>
  <c r="Q396" i="7"/>
  <c r="R396" i="7" s="1"/>
  <c r="N396" i="7"/>
  <c r="O396" i="7" s="1"/>
  <c r="L396" i="7"/>
  <c r="K396" i="7"/>
  <c r="H396" i="7"/>
  <c r="I396" i="7" s="1"/>
  <c r="E396" i="7"/>
  <c r="F396" i="7" s="1"/>
  <c r="C396" i="7"/>
  <c r="B396" i="7"/>
  <c r="AD395" i="7"/>
  <c r="AC395" i="7"/>
  <c r="AA395" i="7"/>
  <c r="X395" i="7"/>
  <c r="W395" i="7"/>
  <c r="U395" i="7"/>
  <c r="R395" i="7"/>
  <c r="O395" i="7"/>
  <c r="N395" i="7"/>
  <c r="L395" i="7"/>
  <c r="H395" i="7"/>
  <c r="I395" i="7" s="1"/>
  <c r="F395" i="7"/>
  <c r="C395" i="7"/>
  <c r="AC394" i="7"/>
  <c r="AD394" i="7" s="1"/>
  <c r="AA394" i="7"/>
  <c r="W394" i="7"/>
  <c r="X394" i="7" s="1"/>
  <c r="U394" i="7"/>
  <c r="R394" i="7"/>
  <c r="N394" i="7"/>
  <c r="O394" i="7" s="1"/>
  <c r="L394" i="7"/>
  <c r="H394" i="7"/>
  <c r="F394" i="7"/>
  <c r="C394" i="7"/>
  <c r="Z393" i="7"/>
  <c r="AA393" i="7" s="1"/>
  <c r="T393" i="7"/>
  <c r="U393" i="7" s="1"/>
  <c r="Q393" i="7"/>
  <c r="R393" i="7" s="1"/>
  <c r="L393" i="7"/>
  <c r="K393" i="7"/>
  <c r="E393" i="7"/>
  <c r="F393" i="7" s="1"/>
  <c r="B393" i="7"/>
  <c r="H393" i="7" s="1"/>
  <c r="I393" i="7" s="1"/>
  <c r="AD392" i="7"/>
  <c r="AC392" i="7"/>
  <c r="AA392" i="7"/>
  <c r="X392" i="7"/>
  <c r="W392" i="7"/>
  <c r="U392" i="7"/>
  <c r="R392" i="7"/>
  <c r="O392" i="7"/>
  <c r="N392" i="7"/>
  <c r="L392" i="7"/>
  <c r="H392" i="7"/>
  <c r="I392" i="7" s="1"/>
  <c r="F392" i="7"/>
  <c r="C392" i="7"/>
  <c r="AC391" i="7"/>
  <c r="AD391" i="7" s="1"/>
  <c r="AA391" i="7"/>
  <c r="W391" i="7"/>
  <c r="X391" i="7" s="1"/>
  <c r="U391" i="7"/>
  <c r="R391" i="7"/>
  <c r="N391" i="7"/>
  <c r="O391" i="7" s="1"/>
  <c r="L391" i="7"/>
  <c r="H391" i="7"/>
  <c r="F391" i="7"/>
  <c r="C391" i="7"/>
  <c r="AC390" i="7"/>
  <c r="AD390" i="7" s="1"/>
  <c r="AA390" i="7"/>
  <c r="X390" i="7"/>
  <c r="W390" i="7"/>
  <c r="U390" i="7"/>
  <c r="R390" i="7"/>
  <c r="O390" i="7"/>
  <c r="N390" i="7"/>
  <c r="L390" i="7"/>
  <c r="H390" i="7"/>
  <c r="I390" i="7" s="1"/>
  <c r="F390" i="7"/>
  <c r="C390" i="7"/>
  <c r="AC389" i="7"/>
  <c r="AD389" i="7" s="1"/>
  <c r="AA389" i="7"/>
  <c r="W389" i="7"/>
  <c r="X389" i="7" s="1"/>
  <c r="U389" i="7"/>
  <c r="R389" i="7"/>
  <c r="N389" i="7"/>
  <c r="O389" i="7" s="1"/>
  <c r="L389" i="7"/>
  <c r="H389" i="7"/>
  <c r="I389" i="7" s="1"/>
  <c r="F389" i="7"/>
  <c r="C389" i="7"/>
  <c r="AD388" i="7"/>
  <c r="AC388" i="7"/>
  <c r="AA388" i="7"/>
  <c r="X388" i="7"/>
  <c r="W388" i="7"/>
  <c r="U388" i="7"/>
  <c r="R388" i="7"/>
  <c r="O388" i="7"/>
  <c r="N388" i="7"/>
  <c r="L388" i="7"/>
  <c r="H388" i="7"/>
  <c r="I388" i="7" s="1"/>
  <c r="F388" i="7"/>
  <c r="C388" i="7"/>
  <c r="AC386" i="7"/>
  <c r="AD386" i="7" s="1"/>
  <c r="AA386" i="7"/>
  <c r="W386" i="7"/>
  <c r="X386" i="7" s="1"/>
  <c r="U386" i="7"/>
  <c r="R386" i="7"/>
  <c r="N386" i="7"/>
  <c r="O386" i="7" s="1"/>
  <c r="L386" i="7"/>
  <c r="H386" i="7"/>
  <c r="F386" i="7"/>
  <c r="C386" i="7"/>
  <c r="AC385" i="7"/>
  <c r="AD385" i="7" s="1"/>
  <c r="AA385" i="7"/>
  <c r="X385" i="7"/>
  <c r="W385" i="7"/>
  <c r="U385" i="7"/>
  <c r="R385" i="7"/>
  <c r="O385" i="7"/>
  <c r="N385" i="7"/>
  <c r="L385" i="7"/>
  <c r="I385" i="7"/>
  <c r="H385" i="7"/>
  <c r="F385" i="7"/>
  <c r="C385" i="7"/>
  <c r="AC383" i="7"/>
  <c r="AD383" i="7" s="1"/>
  <c r="AA383" i="7"/>
  <c r="W383" i="7"/>
  <c r="X383" i="7" s="1"/>
  <c r="U383" i="7"/>
  <c r="R383" i="7"/>
  <c r="N383" i="7"/>
  <c r="O383" i="7" s="1"/>
  <c r="L383" i="7"/>
  <c r="H383" i="7"/>
  <c r="I383" i="7" s="1"/>
  <c r="F383" i="7"/>
  <c r="C383" i="7"/>
  <c r="AD382" i="7"/>
  <c r="AC382" i="7"/>
  <c r="AA382" i="7"/>
  <c r="X382" i="7"/>
  <c r="W382" i="7"/>
  <c r="U382" i="7"/>
  <c r="R382" i="7"/>
  <c r="O382" i="7"/>
  <c r="N382" i="7"/>
  <c r="L382" i="7"/>
  <c r="H382" i="7"/>
  <c r="I382" i="7" s="1"/>
  <c r="F382" i="7"/>
  <c r="C382" i="7"/>
  <c r="AD381" i="7"/>
  <c r="AC381" i="7"/>
  <c r="AA381" i="7"/>
  <c r="W381" i="7"/>
  <c r="X381" i="7" s="1"/>
  <c r="U381" i="7"/>
  <c r="R381" i="7"/>
  <c r="N381" i="7"/>
  <c r="O381" i="7" s="1"/>
  <c r="L381" i="7"/>
  <c r="H381" i="7"/>
  <c r="F381" i="7"/>
  <c r="C381" i="7"/>
  <c r="AC380" i="7"/>
  <c r="AD380" i="7" s="1"/>
  <c r="AA380" i="7"/>
  <c r="X380" i="7"/>
  <c r="W380" i="7"/>
  <c r="U380" i="7"/>
  <c r="R380" i="7"/>
  <c r="O380" i="7"/>
  <c r="N380" i="7"/>
  <c r="L380" i="7"/>
  <c r="H380" i="7"/>
  <c r="I380" i="7" s="1"/>
  <c r="F380" i="7"/>
  <c r="C380" i="7"/>
  <c r="AC379" i="7"/>
  <c r="AD379" i="7" s="1"/>
  <c r="AA379" i="7"/>
  <c r="W379" i="7"/>
  <c r="X379" i="7" s="1"/>
  <c r="U379" i="7"/>
  <c r="R379" i="7"/>
  <c r="N379" i="7"/>
  <c r="O379" i="7" s="1"/>
  <c r="L379" i="7"/>
  <c r="H379" i="7"/>
  <c r="I379" i="7" s="1"/>
  <c r="F379" i="7"/>
  <c r="C379" i="7"/>
  <c r="AD378" i="7"/>
  <c r="AC378" i="7"/>
  <c r="AA378" i="7"/>
  <c r="X378" i="7"/>
  <c r="W378" i="7"/>
  <c r="U378" i="7"/>
  <c r="R378" i="7"/>
  <c r="O378" i="7"/>
  <c r="N378" i="7"/>
  <c r="L378" i="7"/>
  <c r="H378" i="7"/>
  <c r="I378" i="7" s="1"/>
  <c r="F378" i="7"/>
  <c r="C378" i="7"/>
  <c r="AD377" i="7"/>
  <c r="AC377" i="7"/>
  <c r="AA377" i="7"/>
  <c r="W377" i="7"/>
  <c r="X377" i="7" s="1"/>
  <c r="U377" i="7"/>
  <c r="R377" i="7"/>
  <c r="N377" i="7"/>
  <c r="O377" i="7" s="1"/>
  <c r="L377" i="7"/>
  <c r="H377" i="7"/>
  <c r="F377" i="7"/>
  <c r="C377" i="7"/>
  <c r="AC376" i="7"/>
  <c r="AD376" i="7" s="1"/>
  <c r="AA376" i="7"/>
  <c r="X376" i="7"/>
  <c r="W376" i="7"/>
  <c r="U376" i="7"/>
  <c r="R376" i="7"/>
  <c r="O376" i="7"/>
  <c r="N376" i="7"/>
  <c r="L376" i="7"/>
  <c r="H376" i="7"/>
  <c r="I376" i="7" s="1"/>
  <c r="F376" i="7"/>
  <c r="C376" i="7"/>
  <c r="AC375" i="7"/>
  <c r="AD375" i="7" s="1"/>
  <c r="AA375" i="7"/>
  <c r="W375" i="7"/>
  <c r="X375" i="7" s="1"/>
  <c r="U375" i="7"/>
  <c r="R375" i="7"/>
  <c r="N375" i="7"/>
  <c r="O375" i="7" s="1"/>
  <c r="L375" i="7"/>
  <c r="H375" i="7"/>
  <c r="I375" i="7" s="1"/>
  <c r="F375" i="7"/>
  <c r="C375" i="7"/>
  <c r="AD374" i="7"/>
  <c r="AC374" i="7"/>
  <c r="AA374" i="7"/>
  <c r="X374" i="7"/>
  <c r="W374" i="7"/>
  <c r="U374" i="7"/>
  <c r="R374" i="7"/>
  <c r="O374" i="7"/>
  <c r="N374" i="7"/>
  <c r="L374" i="7"/>
  <c r="H374" i="7"/>
  <c r="I374" i="7" s="1"/>
  <c r="F374" i="7"/>
  <c r="C374" i="7"/>
  <c r="AC373" i="7"/>
  <c r="AD373" i="7" s="1"/>
  <c r="AA373" i="7"/>
  <c r="W373" i="7"/>
  <c r="X373" i="7" s="1"/>
  <c r="U373" i="7"/>
  <c r="R373" i="7"/>
  <c r="N373" i="7"/>
  <c r="O373" i="7" s="1"/>
  <c r="L373" i="7"/>
  <c r="H373" i="7"/>
  <c r="F373" i="7"/>
  <c r="C373" i="7"/>
  <c r="AC372" i="7"/>
  <c r="AD372" i="7" s="1"/>
  <c r="AA372" i="7"/>
  <c r="X372" i="7"/>
  <c r="W372" i="7"/>
  <c r="U372" i="7"/>
  <c r="R372" i="7"/>
  <c r="O372" i="7"/>
  <c r="N372" i="7"/>
  <c r="L372" i="7"/>
  <c r="H372" i="7"/>
  <c r="I372" i="7" s="1"/>
  <c r="F372" i="7"/>
  <c r="C372" i="7"/>
  <c r="AC371" i="7"/>
  <c r="AD371" i="7" s="1"/>
  <c r="AA371" i="7"/>
  <c r="W371" i="7"/>
  <c r="X371" i="7" s="1"/>
  <c r="U371" i="7"/>
  <c r="R371" i="7"/>
  <c r="N371" i="7"/>
  <c r="O371" i="7" s="1"/>
  <c r="L371" i="7"/>
  <c r="H371" i="7"/>
  <c r="I371" i="7" s="1"/>
  <c r="F371" i="7"/>
  <c r="C371" i="7"/>
  <c r="AD370" i="7"/>
  <c r="AC370" i="7"/>
  <c r="AA370" i="7"/>
  <c r="X370" i="7"/>
  <c r="W370" i="7"/>
  <c r="U370" i="7"/>
  <c r="R370" i="7"/>
  <c r="O370" i="7"/>
  <c r="N370" i="7"/>
  <c r="L370" i="7"/>
  <c r="H370" i="7"/>
  <c r="I370" i="7" s="1"/>
  <c r="F370" i="7"/>
  <c r="C370" i="7"/>
  <c r="AD369" i="7"/>
  <c r="AC369" i="7"/>
  <c r="AA369" i="7"/>
  <c r="W369" i="7"/>
  <c r="X369" i="7" s="1"/>
  <c r="U369" i="7"/>
  <c r="R369" i="7"/>
  <c r="N369" i="7"/>
  <c r="O369" i="7" s="1"/>
  <c r="L369" i="7"/>
  <c r="H369" i="7"/>
  <c r="F369" i="7"/>
  <c r="C369" i="7"/>
  <c r="AA368" i="7"/>
  <c r="Z368" i="7"/>
  <c r="T368" i="7"/>
  <c r="U368" i="7" s="1"/>
  <c r="Q368" i="7"/>
  <c r="R368" i="7" s="1"/>
  <c r="L368" i="7"/>
  <c r="K368" i="7"/>
  <c r="E368" i="7"/>
  <c r="F368" i="7" s="1"/>
  <c r="B368" i="7"/>
  <c r="H368" i="7" s="1"/>
  <c r="I368" i="7" s="1"/>
  <c r="AD367" i="7"/>
  <c r="AC367" i="7"/>
  <c r="AA367" i="7"/>
  <c r="X367" i="7"/>
  <c r="W367" i="7"/>
  <c r="U367" i="7"/>
  <c r="R367" i="7"/>
  <c r="O367" i="7"/>
  <c r="N367" i="7"/>
  <c r="L367" i="7"/>
  <c r="H367" i="7"/>
  <c r="I367" i="7" s="1"/>
  <c r="F367" i="7"/>
  <c r="C367" i="7"/>
  <c r="AC366" i="7"/>
  <c r="AD366" i="7" s="1"/>
  <c r="AA366" i="7"/>
  <c r="W366" i="7"/>
  <c r="X366" i="7" s="1"/>
  <c r="U366" i="7"/>
  <c r="R366" i="7"/>
  <c r="N366" i="7"/>
  <c r="O366" i="7" s="1"/>
  <c r="L366" i="7"/>
  <c r="H366" i="7"/>
  <c r="F366" i="7"/>
  <c r="C366" i="7"/>
  <c r="AC365" i="7"/>
  <c r="AD365" i="7" s="1"/>
  <c r="AA365" i="7"/>
  <c r="X365" i="7"/>
  <c r="W365" i="7"/>
  <c r="U365" i="7"/>
  <c r="R365" i="7"/>
  <c r="O365" i="7"/>
  <c r="N365" i="7"/>
  <c r="L365" i="7"/>
  <c r="I365" i="7"/>
  <c r="H365" i="7"/>
  <c r="F365" i="7"/>
  <c r="C365" i="7"/>
  <c r="AC364" i="7"/>
  <c r="AD364" i="7" s="1"/>
  <c r="AA364" i="7"/>
  <c r="W364" i="7"/>
  <c r="X364" i="7" s="1"/>
  <c r="U364" i="7"/>
  <c r="R364" i="7"/>
  <c r="N364" i="7"/>
  <c r="O364" i="7" s="1"/>
  <c r="L364" i="7"/>
  <c r="H364" i="7"/>
  <c r="I364" i="7" s="1"/>
  <c r="F364" i="7"/>
  <c r="C364" i="7"/>
  <c r="AD363" i="7"/>
  <c r="AC363" i="7"/>
  <c r="AA363" i="7"/>
  <c r="X363" i="7"/>
  <c r="W363" i="7"/>
  <c r="U363" i="7"/>
  <c r="R363" i="7"/>
  <c r="O363" i="7"/>
  <c r="N363" i="7"/>
  <c r="L363" i="7"/>
  <c r="H363" i="7"/>
  <c r="I363" i="7" s="1"/>
  <c r="F363" i="7"/>
  <c r="C363" i="7"/>
  <c r="AD362" i="7"/>
  <c r="AC362" i="7"/>
  <c r="AA362" i="7"/>
  <c r="W362" i="7"/>
  <c r="X362" i="7" s="1"/>
  <c r="U362" i="7"/>
  <c r="R362" i="7"/>
  <c r="N362" i="7"/>
  <c r="O362" i="7" s="1"/>
  <c r="L362" i="7"/>
  <c r="H362" i="7"/>
  <c r="F362" i="7"/>
  <c r="C362" i="7"/>
  <c r="AC361" i="7"/>
  <c r="AD361" i="7" s="1"/>
  <c r="AA361" i="7"/>
  <c r="X361" i="7"/>
  <c r="W361" i="7"/>
  <c r="U361" i="7"/>
  <c r="R361" i="7"/>
  <c r="O361" i="7"/>
  <c r="N361" i="7"/>
  <c r="L361" i="7"/>
  <c r="H361" i="7"/>
  <c r="I361" i="7" s="1"/>
  <c r="F361" i="7"/>
  <c r="C361" i="7"/>
  <c r="AC360" i="7"/>
  <c r="AD360" i="7" s="1"/>
  <c r="AA360" i="7"/>
  <c r="W360" i="7"/>
  <c r="X360" i="7" s="1"/>
  <c r="U360" i="7"/>
  <c r="R360" i="7"/>
  <c r="N360" i="7"/>
  <c r="O360" i="7" s="1"/>
  <c r="L360" i="7"/>
  <c r="I360" i="7"/>
  <c r="H360" i="7"/>
  <c r="F360" i="7"/>
  <c r="C360" i="7"/>
  <c r="Z358" i="7"/>
  <c r="AA358" i="7" s="1"/>
  <c r="X358" i="7"/>
  <c r="U358" i="7"/>
  <c r="T358" i="7"/>
  <c r="W358" i="7" s="1"/>
  <c r="R358" i="7"/>
  <c r="Q358" i="7"/>
  <c r="L358" i="7"/>
  <c r="K358" i="7"/>
  <c r="H358" i="7"/>
  <c r="I358" i="7" s="1"/>
  <c r="F358" i="7"/>
  <c r="E358" i="7"/>
  <c r="B358" i="7"/>
  <c r="C358" i="7" s="1"/>
  <c r="AD357" i="7"/>
  <c r="AC357" i="7"/>
  <c r="AA357" i="7"/>
  <c r="X357" i="7"/>
  <c r="W357" i="7"/>
  <c r="U357" i="7"/>
  <c r="R357" i="7"/>
  <c r="O357" i="7"/>
  <c r="N357" i="7"/>
  <c r="L357" i="7"/>
  <c r="I357" i="7"/>
  <c r="H357" i="7"/>
  <c r="F357" i="7"/>
  <c r="C357" i="7"/>
  <c r="AC356" i="7"/>
  <c r="AD356" i="7" s="1"/>
  <c r="AA356" i="7"/>
  <c r="W356" i="7"/>
  <c r="X356" i="7" s="1"/>
  <c r="U356" i="7"/>
  <c r="R356" i="7"/>
  <c r="N356" i="7"/>
  <c r="O356" i="7" s="1"/>
  <c r="L356" i="7"/>
  <c r="I356" i="7"/>
  <c r="H356" i="7"/>
  <c r="F356" i="7"/>
  <c r="C356" i="7"/>
  <c r="AD355" i="7"/>
  <c r="AC355" i="7"/>
  <c r="AA355" i="7"/>
  <c r="X355" i="7"/>
  <c r="W355" i="7"/>
  <c r="U355" i="7"/>
  <c r="R355" i="7"/>
  <c r="O355" i="7"/>
  <c r="N355" i="7"/>
  <c r="L355" i="7"/>
  <c r="H355" i="7"/>
  <c r="I355" i="7" s="1"/>
  <c r="F355" i="7"/>
  <c r="C355" i="7"/>
  <c r="AD354" i="7"/>
  <c r="AC354" i="7"/>
  <c r="AA354" i="7"/>
  <c r="W354" i="7"/>
  <c r="X354" i="7" s="1"/>
  <c r="U354" i="7"/>
  <c r="R354" i="7"/>
  <c r="N354" i="7"/>
  <c r="O354" i="7" s="1"/>
  <c r="L354" i="7"/>
  <c r="H354" i="7"/>
  <c r="F354" i="7"/>
  <c r="C354" i="7"/>
  <c r="AD353" i="7"/>
  <c r="AC353" i="7"/>
  <c r="AA353" i="7"/>
  <c r="X353" i="7"/>
  <c r="W353" i="7"/>
  <c r="U353" i="7"/>
  <c r="R353" i="7"/>
  <c r="N353" i="7"/>
  <c r="O353" i="7" s="1"/>
  <c r="L353" i="7"/>
  <c r="H353" i="7"/>
  <c r="I353" i="7" s="1"/>
  <c r="F353" i="7"/>
  <c r="C353" i="7"/>
  <c r="AC352" i="7"/>
  <c r="AD352" i="7" s="1"/>
  <c r="AA352" i="7"/>
  <c r="W352" i="7"/>
  <c r="X352" i="7" s="1"/>
  <c r="U352" i="7"/>
  <c r="R352" i="7"/>
  <c r="N352" i="7"/>
  <c r="O352" i="7" s="1"/>
  <c r="L352" i="7"/>
  <c r="I352" i="7"/>
  <c r="H352" i="7"/>
  <c r="F352" i="7"/>
  <c r="C352" i="7"/>
  <c r="AD351" i="7"/>
  <c r="AC351" i="7"/>
  <c r="AA351" i="7"/>
  <c r="W351" i="7"/>
  <c r="X351" i="7" s="1"/>
  <c r="U351" i="7"/>
  <c r="R351" i="7"/>
  <c r="O351" i="7"/>
  <c r="N351" i="7"/>
  <c r="L351" i="7"/>
  <c r="H351" i="7"/>
  <c r="I351" i="7" s="1"/>
  <c r="F351" i="7"/>
  <c r="C351" i="7"/>
  <c r="AC350" i="7"/>
  <c r="AD350" i="7" s="1"/>
  <c r="AA350" i="7"/>
  <c r="W350" i="7"/>
  <c r="X350" i="7" s="1"/>
  <c r="U350" i="7"/>
  <c r="R350" i="7"/>
  <c r="N350" i="7"/>
  <c r="O350" i="7" s="1"/>
  <c r="L350" i="7"/>
  <c r="H350" i="7"/>
  <c r="F350" i="7"/>
  <c r="C350" i="7"/>
  <c r="AD349" i="7"/>
  <c r="AC349" i="7"/>
  <c r="AA349" i="7"/>
  <c r="X349" i="7"/>
  <c r="W349" i="7"/>
  <c r="U349" i="7"/>
  <c r="R349" i="7"/>
  <c r="O349" i="7"/>
  <c r="N349" i="7"/>
  <c r="L349" i="7"/>
  <c r="I349" i="7"/>
  <c r="H349" i="7"/>
  <c r="F349" i="7"/>
  <c r="C349" i="7"/>
  <c r="AC347" i="7"/>
  <c r="AD347" i="7" s="1"/>
  <c r="AA347" i="7"/>
  <c r="W347" i="7"/>
  <c r="X347" i="7" s="1"/>
  <c r="U347" i="7"/>
  <c r="R347" i="7"/>
  <c r="N347" i="7"/>
  <c r="O347" i="7" s="1"/>
  <c r="L347" i="7"/>
  <c r="I347" i="7"/>
  <c r="H347" i="7"/>
  <c r="F347" i="7"/>
  <c r="C347" i="7"/>
  <c r="AD344" i="7"/>
  <c r="Z344" i="7"/>
  <c r="AA344" i="7" s="1"/>
  <c r="T344" i="7"/>
  <c r="U344" i="7" s="1"/>
  <c r="R344" i="7"/>
  <c r="Q344" i="7"/>
  <c r="AC344" i="7" s="1"/>
  <c r="L344" i="7"/>
  <c r="K344" i="7"/>
  <c r="F344" i="7"/>
  <c r="E344" i="7"/>
  <c r="B344" i="7"/>
  <c r="C344" i="7" s="1"/>
  <c r="Z343" i="7"/>
  <c r="AA343" i="7" s="1"/>
  <c r="X343" i="7"/>
  <c r="T343" i="7"/>
  <c r="W343" i="7" s="1"/>
  <c r="R343" i="7"/>
  <c r="Q343" i="7"/>
  <c r="N343" i="7"/>
  <c r="O343" i="7" s="1"/>
  <c r="L343" i="7"/>
  <c r="K343" i="7"/>
  <c r="F343" i="7"/>
  <c r="E343" i="7"/>
  <c r="B343" i="7"/>
  <c r="C343" i="7" s="1"/>
  <c r="Z342" i="7"/>
  <c r="AA342" i="7" s="1"/>
  <c r="T342" i="7"/>
  <c r="U342" i="7" s="1"/>
  <c r="R342" i="7"/>
  <c r="Q342" i="7"/>
  <c r="N342" i="7"/>
  <c r="O342" i="7" s="1"/>
  <c r="L342" i="7"/>
  <c r="K342" i="7"/>
  <c r="H342" i="7"/>
  <c r="I342" i="7" s="1"/>
  <c r="F342" i="7"/>
  <c r="E342" i="7"/>
  <c r="C342" i="7"/>
  <c r="B342" i="7"/>
  <c r="AD341" i="7"/>
  <c r="AC341" i="7"/>
  <c r="AA341" i="7"/>
  <c r="W341" i="7"/>
  <c r="X341" i="7" s="1"/>
  <c r="U341" i="7"/>
  <c r="R341" i="7"/>
  <c r="O341" i="7"/>
  <c r="N341" i="7"/>
  <c r="L341" i="7"/>
  <c r="H341" i="7"/>
  <c r="I341" i="7" s="1"/>
  <c r="F341" i="7"/>
  <c r="C341" i="7"/>
  <c r="AC340" i="7"/>
  <c r="AD340" i="7" s="1"/>
  <c r="AA340" i="7"/>
  <c r="W340" i="7"/>
  <c r="X340" i="7" s="1"/>
  <c r="U340" i="7"/>
  <c r="R340" i="7"/>
  <c r="N340" i="7"/>
  <c r="O340" i="7" s="1"/>
  <c r="L340" i="7"/>
  <c r="H340" i="7"/>
  <c r="F340" i="7"/>
  <c r="C340" i="7"/>
  <c r="AD339" i="7"/>
  <c r="AC339" i="7"/>
  <c r="AA339" i="7"/>
  <c r="X339" i="7"/>
  <c r="W339" i="7"/>
  <c r="U339" i="7"/>
  <c r="R339" i="7"/>
  <c r="N339" i="7"/>
  <c r="O339" i="7" s="1"/>
  <c r="L339" i="7"/>
  <c r="H339" i="7"/>
  <c r="I339" i="7" s="1"/>
  <c r="F339" i="7"/>
  <c r="C339" i="7"/>
  <c r="AC338" i="7"/>
  <c r="AD338" i="7" s="1"/>
  <c r="AA338" i="7"/>
  <c r="W338" i="7"/>
  <c r="X338" i="7" s="1"/>
  <c r="U338" i="7"/>
  <c r="R338" i="7"/>
  <c r="N338" i="7"/>
  <c r="O338" i="7" s="1"/>
  <c r="L338" i="7"/>
  <c r="I338" i="7"/>
  <c r="H338" i="7"/>
  <c r="F338" i="7"/>
  <c r="C338" i="7"/>
  <c r="AD337" i="7"/>
  <c r="AC337" i="7"/>
  <c r="AA337" i="7"/>
  <c r="X337" i="7"/>
  <c r="W337" i="7"/>
  <c r="U337" i="7"/>
  <c r="R337" i="7"/>
  <c r="O337" i="7"/>
  <c r="N337" i="7"/>
  <c r="L337" i="7"/>
  <c r="H337" i="7"/>
  <c r="I337" i="7" s="1"/>
  <c r="F337" i="7"/>
  <c r="C337" i="7"/>
  <c r="AD335" i="7"/>
  <c r="AC335" i="7"/>
  <c r="AA335" i="7"/>
  <c r="W335" i="7"/>
  <c r="X335" i="7" s="1"/>
  <c r="U335" i="7"/>
  <c r="R335" i="7"/>
  <c r="N335" i="7"/>
  <c r="O335" i="7" s="1"/>
  <c r="L335" i="7"/>
  <c r="H335" i="7"/>
  <c r="F335" i="7"/>
  <c r="C335" i="7"/>
  <c r="AD334" i="7"/>
  <c r="AC334" i="7"/>
  <c r="AA334" i="7"/>
  <c r="X334" i="7"/>
  <c r="W334" i="7"/>
  <c r="U334" i="7"/>
  <c r="R334" i="7"/>
  <c r="N334" i="7"/>
  <c r="O334" i="7" s="1"/>
  <c r="L334" i="7"/>
  <c r="H334" i="7"/>
  <c r="I334" i="7" s="1"/>
  <c r="F334" i="7"/>
  <c r="C334" i="7"/>
  <c r="AC333" i="7"/>
  <c r="AD333" i="7" s="1"/>
  <c r="AA333" i="7"/>
  <c r="W333" i="7"/>
  <c r="X333" i="7" s="1"/>
  <c r="U333" i="7"/>
  <c r="R333" i="7"/>
  <c r="N333" i="7"/>
  <c r="O333" i="7" s="1"/>
  <c r="L333" i="7"/>
  <c r="I333" i="7"/>
  <c r="H333" i="7"/>
  <c r="F333" i="7"/>
  <c r="C333" i="7"/>
  <c r="AD332" i="7"/>
  <c r="AC332" i="7"/>
  <c r="AA332" i="7"/>
  <c r="W332" i="7"/>
  <c r="X332" i="7" s="1"/>
  <c r="U332" i="7"/>
  <c r="R332" i="7"/>
  <c r="O332" i="7"/>
  <c r="N332" i="7"/>
  <c r="L332" i="7"/>
  <c r="H332" i="7"/>
  <c r="I332" i="7" s="1"/>
  <c r="F332" i="7"/>
  <c r="C332" i="7"/>
  <c r="AC331" i="7"/>
  <c r="AD331" i="7" s="1"/>
  <c r="AA331" i="7"/>
  <c r="W331" i="7"/>
  <c r="X331" i="7" s="1"/>
  <c r="U331" i="7"/>
  <c r="R331" i="7"/>
  <c r="N331" i="7"/>
  <c r="O331" i="7" s="1"/>
  <c r="L331" i="7"/>
  <c r="H331" i="7"/>
  <c r="F331" i="7"/>
  <c r="C331" i="7"/>
  <c r="AD330" i="7"/>
  <c r="AC330" i="7"/>
  <c r="AA330" i="7"/>
  <c r="X330" i="7"/>
  <c r="W330" i="7"/>
  <c r="U330" i="7"/>
  <c r="R330" i="7"/>
  <c r="N330" i="7"/>
  <c r="O330" i="7" s="1"/>
  <c r="L330" i="7"/>
  <c r="I330" i="7"/>
  <c r="H330" i="7"/>
  <c r="F330" i="7"/>
  <c r="C330" i="7"/>
  <c r="AC329" i="7"/>
  <c r="AD329" i="7" s="1"/>
  <c r="AA329" i="7"/>
  <c r="W329" i="7"/>
  <c r="X329" i="7" s="1"/>
  <c r="U329" i="7"/>
  <c r="R329" i="7"/>
  <c r="N329" i="7"/>
  <c r="O329" i="7" s="1"/>
  <c r="L329" i="7"/>
  <c r="I329" i="7"/>
  <c r="H329" i="7"/>
  <c r="F329" i="7"/>
  <c r="C329" i="7"/>
  <c r="AD328" i="7"/>
  <c r="AC328" i="7"/>
  <c r="AA328" i="7"/>
  <c r="X328" i="7"/>
  <c r="W328" i="7"/>
  <c r="U328" i="7"/>
  <c r="R328" i="7"/>
  <c r="O328" i="7"/>
  <c r="N328" i="7"/>
  <c r="L328" i="7"/>
  <c r="H328" i="7"/>
  <c r="I328" i="7" s="1"/>
  <c r="F328" i="7"/>
  <c r="C328" i="7"/>
  <c r="AC325" i="7"/>
  <c r="AD325" i="7" s="1"/>
  <c r="AA325" i="7"/>
  <c r="Z325" i="7"/>
  <c r="W325" i="7"/>
  <c r="X325" i="7" s="1"/>
  <c r="T325" i="7"/>
  <c r="U325" i="7" s="1"/>
  <c r="Q325" i="7"/>
  <c r="R325" i="7" s="1"/>
  <c r="K325" i="7"/>
  <c r="L325" i="7" s="1"/>
  <c r="I325" i="7"/>
  <c r="H325" i="7"/>
  <c r="F325" i="7"/>
  <c r="E325" i="7"/>
  <c r="C325" i="7"/>
  <c r="B325" i="7"/>
  <c r="Z324" i="7"/>
  <c r="AA324" i="7" s="1"/>
  <c r="U324" i="7"/>
  <c r="T324" i="7"/>
  <c r="Q324" i="7"/>
  <c r="L324" i="7"/>
  <c r="K324" i="7"/>
  <c r="E324" i="7"/>
  <c r="F324" i="7" s="1"/>
  <c r="B324" i="7"/>
  <c r="H324" i="7" s="1"/>
  <c r="I324" i="7" s="1"/>
  <c r="AD323" i="7"/>
  <c r="AC323" i="7"/>
  <c r="AA323" i="7"/>
  <c r="W323" i="7"/>
  <c r="X323" i="7" s="1"/>
  <c r="U323" i="7"/>
  <c r="R323" i="7"/>
  <c r="N323" i="7"/>
  <c r="O323" i="7" s="1"/>
  <c r="L323" i="7"/>
  <c r="I323" i="7"/>
  <c r="H323" i="7"/>
  <c r="F323" i="7"/>
  <c r="C323" i="7"/>
  <c r="AC322" i="7"/>
  <c r="AD322" i="7" s="1"/>
  <c r="AA322" i="7"/>
  <c r="X322" i="7"/>
  <c r="W322" i="7"/>
  <c r="U322" i="7"/>
  <c r="R322" i="7"/>
  <c r="N322" i="7"/>
  <c r="O322" i="7" s="1"/>
  <c r="L322" i="7"/>
  <c r="H322" i="7"/>
  <c r="I322" i="7" s="1"/>
  <c r="F322" i="7"/>
  <c r="C322" i="7"/>
  <c r="AD321" i="7"/>
  <c r="AC321" i="7"/>
  <c r="AA321" i="7"/>
  <c r="X321" i="7"/>
  <c r="W321" i="7"/>
  <c r="U321" i="7"/>
  <c r="R321" i="7"/>
  <c r="N321" i="7"/>
  <c r="O321" i="7" s="1"/>
  <c r="L321" i="7"/>
  <c r="H321" i="7"/>
  <c r="I321" i="7" s="1"/>
  <c r="F321" i="7"/>
  <c r="C321" i="7"/>
  <c r="AD320" i="7"/>
  <c r="AC320" i="7"/>
  <c r="AA320" i="7"/>
  <c r="X320" i="7"/>
  <c r="W320" i="7"/>
  <c r="U320" i="7"/>
  <c r="R320" i="7"/>
  <c r="O320" i="7"/>
  <c r="N320" i="7"/>
  <c r="L320" i="7"/>
  <c r="H320" i="7"/>
  <c r="I320" i="7" s="1"/>
  <c r="F320" i="7"/>
  <c r="C320" i="7"/>
  <c r="AC319" i="7"/>
  <c r="AD319" i="7" s="1"/>
  <c r="AA319" i="7"/>
  <c r="W319" i="7"/>
  <c r="X319" i="7" s="1"/>
  <c r="U319" i="7"/>
  <c r="R319" i="7"/>
  <c r="N319" i="7"/>
  <c r="O319" i="7" s="1"/>
  <c r="L319" i="7"/>
  <c r="I319" i="7"/>
  <c r="H319" i="7"/>
  <c r="F319" i="7"/>
  <c r="C319" i="7"/>
  <c r="AD318" i="7"/>
  <c r="AC318" i="7"/>
  <c r="AA318" i="7"/>
  <c r="W318" i="7"/>
  <c r="X318" i="7" s="1"/>
  <c r="U318" i="7"/>
  <c r="R318" i="7"/>
  <c r="N318" i="7"/>
  <c r="O318" i="7" s="1"/>
  <c r="L318" i="7"/>
  <c r="H318" i="7"/>
  <c r="I318" i="7" s="1"/>
  <c r="F318" i="7"/>
  <c r="C318" i="7"/>
  <c r="AD317" i="7"/>
  <c r="AC317" i="7"/>
  <c r="AA317" i="7"/>
  <c r="W317" i="7"/>
  <c r="X317" i="7" s="1"/>
  <c r="U317" i="7"/>
  <c r="R317" i="7"/>
  <c r="N317" i="7"/>
  <c r="O317" i="7" s="1"/>
  <c r="L317" i="7"/>
  <c r="H317" i="7"/>
  <c r="I317" i="7" s="1"/>
  <c r="F317" i="7"/>
  <c r="C317" i="7"/>
  <c r="AD316" i="7"/>
  <c r="AC316" i="7"/>
  <c r="AA316" i="7"/>
  <c r="X316" i="7"/>
  <c r="W316" i="7"/>
  <c r="U316" i="7"/>
  <c r="R316" i="7"/>
  <c r="N316" i="7"/>
  <c r="O316" i="7" s="1"/>
  <c r="L316" i="7"/>
  <c r="H316" i="7"/>
  <c r="I316" i="7" s="1"/>
  <c r="F316" i="7"/>
  <c r="C316" i="7"/>
  <c r="AC315" i="7"/>
  <c r="AD315" i="7" s="1"/>
  <c r="AA315" i="7"/>
  <c r="W315" i="7"/>
  <c r="X315" i="7" s="1"/>
  <c r="U315" i="7"/>
  <c r="R315" i="7"/>
  <c r="N315" i="7"/>
  <c r="O315" i="7" s="1"/>
  <c r="L315" i="7"/>
  <c r="I315" i="7"/>
  <c r="H315" i="7"/>
  <c r="F315" i="7"/>
  <c r="C315" i="7"/>
  <c r="AD314" i="7"/>
  <c r="AC314" i="7"/>
  <c r="AA314" i="7"/>
  <c r="W314" i="7"/>
  <c r="X314" i="7" s="1"/>
  <c r="U314" i="7"/>
  <c r="R314" i="7"/>
  <c r="N314" i="7"/>
  <c r="O314" i="7" s="1"/>
  <c r="L314" i="7"/>
  <c r="I314" i="7"/>
  <c r="H314" i="7"/>
  <c r="F314" i="7"/>
  <c r="C314" i="7"/>
  <c r="AC313" i="7"/>
  <c r="AD313" i="7" s="1"/>
  <c r="AA313" i="7"/>
  <c r="W313" i="7"/>
  <c r="X313" i="7" s="1"/>
  <c r="U313" i="7"/>
  <c r="R313" i="7"/>
  <c r="N313" i="7"/>
  <c r="O313" i="7" s="1"/>
  <c r="L313" i="7"/>
  <c r="H313" i="7"/>
  <c r="I313" i="7" s="1"/>
  <c r="F313" i="7"/>
  <c r="C313" i="7"/>
  <c r="AD312" i="7"/>
  <c r="AC312" i="7"/>
  <c r="AA312" i="7"/>
  <c r="W312" i="7"/>
  <c r="X312" i="7" s="1"/>
  <c r="U312" i="7"/>
  <c r="R312" i="7"/>
  <c r="O312" i="7"/>
  <c r="N312" i="7"/>
  <c r="L312" i="7"/>
  <c r="I312" i="7"/>
  <c r="H312" i="7"/>
  <c r="F312" i="7"/>
  <c r="C312" i="7"/>
  <c r="AC311" i="7"/>
  <c r="AD311" i="7" s="1"/>
  <c r="AA311" i="7"/>
  <c r="W311" i="7"/>
  <c r="X311" i="7" s="1"/>
  <c r="U311" i="7"/>
  <c r="R311" i="7"/>
  <c r="N311" i="7"/>
  <c r="O311" i="7" s="1"/>
  <c r="L311" i="7"/>
  <c r="I311" i="7"/>
  <c r="H311" i="7"/>
  <c r="F311" i="7"/>
  <c r="C311" i="7"/>
  <c r="AD310" i="7"/>
  <c r="AC310" i="7"/>
  <c r="AA310" i="7"/>
  <c r="W310" i="7"/>
  <c r="X310" i="7" s="1"/>
  <c r="U310" i="7"/>
  <c r="R310" i="7"/>
  <c r="N310" i="7"/>
  <c r="O310" i="7" s="1"/>
  <c r="L310" i="7"/>
  <c r="I310" i="7"/>
  <c r="H310" i="7"/>
  <c r="F310" i="7"/>
  <c r="C310" i="7"/>
  <c r="AC309" i="7"/>
  <c r="AD309" i="7" s="1"/>
  <c r="AA309" i="7"/>
  <c r="X309" i="7"/>
  <c r="W309" i="7"/>
  <c r="U309" i="7"/>
  <c r="R309" i="7"/>
  <c r="N309" i="7"/>
  <c r="O309" i="7" s="1"/>
  <c r="L309" i="7"/>
  <c r="H309" i="7"/>
  <c r="I309" i="7" s="1"/>
  <c r="F309" i="7"/>
  <c r="C309" i="7"/>
  <c r="AD308" i="7"/>
  <c r="AC308" i="7"/>
  <c r="AA308" i="7"/>
  <c r="W308" i="7"/>
  <c r="X308" i="7" s="1"/>
  <c r="U308" i="7"/>
  <c r="R308" i="7"/>
  <c r="O308" i="7"/>
  <c r="N308" i="7"/>
  <c r="L308" i="7"/>
  <c r="H308" i="7"/>
  <c r="I308" i="7" s="1"/>
  <c r="F308" i="7"/>
  <c r="C308" i="7"/>
  <c r="AC307" i="7"/>
  <c r="AD307" i="7" s="1"/>
  <c r="AA307" i="7"/>
  <c r="W307" i="7"/>
  <c r="X307" i="7" s="1"/>
  <c r="U307" i="7"/>
  <c r="R307" i="7"/>
  <c r="N307" i="7"/>
  <c r="O307" i="7" s="1"/>
  <c r="L307" i="7"/>
  <c r="I307" i="7"/>
  <c r="H307" i="7"/>
  <c r="F307" i="7"/>
  <c r="C307" i="7"/>
  <c r="AC306" i="7"/>
  <c r="AD306" i="7" s="1"/>
  <c r="AA306" i="7"/>
  <c r="X306" i="7"/>
  <c r="W306" i="7"/>
  <c r="U306" i="7"/>
  <c r="R306" i="7"/>
  <c r="N306" i="7"/>
  <c r="O306" i="7" s="1"/>
  <c r="L306" i="7"/>
  <c r="I306" i="7"/>
  <c r="H306" i="7"/>
  <c r="F306" i="7"/>
  <c r="C306" i="7"/>
  <c r="AD305" i="7"/>
  <c r="AC305" i="7"/>
  <c r="AA305" i="7"/>
  <c r="W305" i="7"/>
  <c r="X305" i="7" s="1"/>
  <c r="U305" i="7"/>
  <c r="R305" i="7"/>
  <c r="N305" i="7"/>
  <c r="O305" i="7" s="1"/>
  <c r="L305" i="7"/>
  <c r="H305" i="7"/>
  <c r="I305" i="7" s="1"/>
  <c r="F305" i="7"/>
  <c r="C305" i="7"/>
  <c r="AD304" i="7"/>
  <c r="AC304" i="7"/>
  <c r="AA304" i="7"/>
  <c r="X304" i="7"/>
  <c r="W304" i="7"/>
  <c r="U304" i="7"/>
  <c r="R304" i="7"/>
  <c r="N304" i="7"/>
  <c r="O304" i="7" s="1"/>
  <c r="L304" i="7"/>
  <c r="H304" i="7"/>
  <c r="I304" i="7" s="1"/>
  <c r="F304" i="7"/>
  <c r="C304" i="7"/>
  <c r="AD303" i="7"/>
  <c r="AC303" i="7"/>
  <c r="AA303" i="7"/>
  <c r="W303" i="7"/>
  <c r="X303" i="7" s="1"/>
  <c r="U303" i="7"/>
  <c r="R303" i="7"/>
  <c r="N303" i="7"/>
  <c r="O303" i="7" s="1"/>
  <c r="L303" i="7"/>
  <c r="I303" i="7"/>
  <c r="H303" i="7"/>
  <c r="F303" i="7"/>
  <c r="C303" i="7"/>
  <c r="AD302" i="7"/>
  <c r="AC302" i="7"/>
  <c r="AA302" i="7"/>
  <c r="W302" i="7"/>
  <c r="X302" i="7" s="1"/>
  <c r="U302" i="7"/>
  <c r="R302" i="7"/>
  <c r="N302" i="7"/>
  <c r="O302" i="7" s="1"/>
  <c r="L302" i="7"/>
  <c r="H302" i="7"/>
  <c r="I302" i="7" s="1"/>
  <c r="F302" i="7"/>
  <c r="C302" i="7"/>
  <c r="AD301" i="7"/>
  <c r="AC301" i="7"/>
  <c r="AA301" i="7"/>
  <c r="W301" i="7"/>
  <c r="X301" i="7" s="1"/>
  <c r="U301" i="7"/>
  <c r="R301" i="7"/>
  <c r="N301" i="7"/>
  <c r="O301" i="7" s="1"/>
  <c r="L301" i="7"/>
  <c r="H301" i="7"/>
  <c r="I301" i="7" s="1"/>
  <c r="F301" i="7"/>
  <c r="C301" i="7"/>
  <c r="AD300" i="7"/>
  <c r="AC300" i="7"/>
  <c r="AA300" i="7"/>
  <c r="X300" i="7"/>
  <c r="W300" i="7"/>
  <c r="U300" i="7"/>
  <c r="R300" i="7"/>
  <c r="N300" i="7"/>
  <c r="O300" i="7" s="1"/>
  <c r="L300" i="7"/>
  <c r="H300" i="7"/>
  <c r="I300" i="7" s="1"/>
  <c r="F300" i="7"/>
  <c r="C300" i="7"/>
  <c r="AC299" i="7"/>
  <c r="AD299" i="7" s="1"/>
  <c r="AA299" i="7"/>
  <c r="W299" i="7"/>
  <c r="X299" i="7" s="1"/>
  <c r="U299" i="7"/>
  <c r="R299" i="7"/>
  <c r="O299" i="7"/>
  <c r="N299" i="7"/>
  <c r="L299" i="7"/>
  <c r="I299" i="7"/>
  <c r="H299" i="7"/>
  <c r="F299" i="7"/>
  <c r="C299" i="7"/>
  <c r="AC298" i="7"/>
  <c r="AD298" i="7" s="1"/>
  <c r="AA298" i="7"/>
  <c r="W298" i="7"/>
  <c r="X298" i="7" s="1"/>
  <c r="U298" i="7"/>
  <c r="R298" i="7"/>
  <c r="O298" i="7"/>
  <c r="N298" i="7"/>
  <c r="L298" i="7"/>
  <c r="H298" i="7"/>
  <c r="I298" i="7" s="1"/>
  <c r="F298" i="7"/>
  <c r="C298" i="7"/>
  <c r="AD297" i="7"/>
  <c r="AC297" i="7"/>
  <c r="AA297" i="7"/>
  <c r="X297" i="7"/>
  <c r="W297" i="7"/>
  <c r="U297" i="7"/>
  <c r="R297" i="7"/>
  <c r="N297" i="7"/>
  <c r="O297" i="7" s="1"/>
  <c r="L297" i="7"/>
  <c r="H297" i="7"/>
  <c r="I297" i="7" s="1"/>
  <c r="F297" i="7"/>
  <c r="C297" i="7"/>
  <c r="Z295" i="7"/>
  <c r="AC295" i="7" s="1"/>
  <c r="AD295" i="7" s="1"/>
  <c r="W295" i="7"/>
  <c r="X295" i="7" s="1"/>
  <c r="T295" i="7"/>
  <c r="U295" i="7" s="1"/>
  <c r="R295" i="7"/>
  <c r="Q295" i="7"/>
  <c r="K295" i="7"/>
  <c r="L295" i="7" s="1"/>
  <c r="F295" i="7"/>
  <c r="E295" i="7"/>
  <c r="B295" i="7"/>
  <c r="AC294" i="7"/>
  <c r="AD294" i="7" s="1"/>
  <c r="AA294" i="7"/>
  <c r="W294" i="7"/>
  <c r="X294" i="7" s="1"/>
  <c r="U294" i="7"/>
  <c r="R294" i="7"/>
  <c r="O294" i="7"/>
  <c r="N294" i="7"/>
  <c r="L294" i="7"/>
  <c r="H294" i="7"/>
  <c r="I294" i="7" s="1"/>
  <c r="F294" i="7"/>
  <c r="C294" i="7"/>
  <c r="AC293" i="7"/>
  <c r="AD293" i="7" s="1"/>
  <c r="AA293" i="7"/>
  <c r="X293" i="7"/>
  <c r="W293" i="7"/>
  <c r="U293" i="7"/>
  <c r="R293" i="7"/>
  <c r="N293" i="7"/>
  <c r="O293" i="7" s="1"/>
  <c r="L293" i="7"/>
  <c r="H293" i="7"/>
  <c r="I293" i="7" s="1"/>
  <c r="F293" i="7"/>
  <c r="C293" i="7"/>
  <c r="AC292" i="7"/>
  <c r="AD292" i="7" s="1"/>
  <c r="AA292" i="7"/>
  <c r="X292" i="7"/>
  <c r="W292" i="7"/>
  <c r="U292" i="7"/>
  <c r="R292" i="7"/>
  <c r="N292" i="7"/>
  <c r="O292" i="7" s="1"/>
  <c r="L292" i="7"/>
  <c r="I292" i="7"/>
  <c r="H292" i="7"/>
  <c r="F292" i="7"/>
  <c r="C292" i="7"/>
  <c r="AC291" i="7"/>
  <c r="AD291" i="7" s="1"/>
  <c r="AA291" i="7"/>
  <c r="X291" i="7"/>
  <c r="W291" i="7"/>
  <c r="U291" i="7"/>
  <c r="R291" i="7"/>
  <c r="O291" i="7"/>
  <c r="N291" i="7"/>
  <c r="L291" i="7"/>
  <c r="H291" i="7"/>
  <c r="I291" i="7" s="1"/>
  <c r="F291" i="7"/>
  <c r="C291" i="7"/>
  <c r="AC290" i="7"/>
  <c r="AD290" i="7" s="1"/>
  <c r="AA290" i="7"/>
  <c r="W290" i="7"/>
  <c r="X290" i="7" s="1"/>
  <c r="U290" i="7"/>
  <c r="R290" i="7"/>
  <c r="O290" i="7"/>
  <c r="N290" i="7"/>
  <c r="L290" i="7"/>
  <c r="H290" i="7"/>
  <c r="I290" i="7" s="1"/>
  <c r="F290" i="7"/>
  <c r="C290" i="7"/>
  <c r="AD289" i="7"/>
  <c r="AC289" i="7"/>
  <c r="AA289" i="7"/>
  <c r="X289" i="7"/>
  <c r="W289" i="7"/>
  <c r="U289" i="7"/>
  <c r="R289" i="7"/>
  <c r="O289" i="7"/>
  <c r="N289" i="7"/>
  <c r="L289" i="7"/>
  <c r="H289" i="7"/>
  <c r="I289" i="7" s="1"/>
  <c r="F289" i="7"/>
  <c r="C289" i="7"/>
  <c r="AC288" i="7"/>
  <c r="AD288" i="7" s="1"/>
  <c r="AA288" i="7"/>
  <c r="X288" i="7"/>
  <c r="W288" i="7"/>
  <c r="U288" i="7"/>
  <c r="R288" i="7"/>
  <c r="N288" i="7"/>
  <c r="O288" i="7" s="1"/>
  <c r="L288" i="7"/>
  <c r="H288" i="7"/>
  <c r="I288" i="7" s="1"/>
  <c r="F288" i="7"/>
  <c r="C288" i="7"/>
  <c r="AC287" i="7"/>
  <c r="AD287" i="7" s="1"/>
  <c r="AA287" i="7"/>
  <c r="X287" i="7"/>
  <c r="W287" i="7"/>
  <c r="U287" i="7"/>
  <c r="R287" i="7"/>
  <c r="O287" i="7"/>
  <c r="N287" i="7"/>
  <c r="L287" i="7"/>
  <c r="H287" i="7"/>
  <c r="I287" i="7" s="1"/>
  <c r="F287" i="7"/>
  <c r="C287" i="7"/>
  <c r="AC286" i="7"/>
  <c r="AD286" i="7" s="1"/>
  <c r="AA286" i="7"/>
  <c r="W286" i="7"/>
  <c r="X286" i="7" s="1"/>
  <c r="U286" i="7"/>
  <c r="R286" i="7"/>
  <c r="O286" i="7"/>
  <c r="N286" i="7"/>
  <c r="L286" i="7"/>
  <c r="H286" i="7"/>
  <c r="I286" i="7" s="1"/>
  <c r="F286" i="7"/>
  <c r="C286" i="7"/>
  <c r="Z284" i="7"/>
  <c r="AA284" i="7" s="1"/>
  <c r="T284" i="7"/>
  <c r="U284" i="7" s="1"/>
  <c r="R284" i="7"/>
  <c r="Q284" i="7"/>
  <c r="K284" i="7"/>
  <c r="L284" i="7" s="1"/>
  <c r="E284" i="7"/>
  <c r="F284" i="7" s="1"/>
  <c r="B284" i="7"/>
  <c r="AC283" i="7"/>
  <c r="AD283" i="7" s="1"/>
  <c r="AA283" i="7"/>
  <c r="X283" i="7"/>
  <c r="W283" i="7"/>
  <c r="U283" i="7"/>
  <c r="R283" i="7"/>
  <c r="O283" i="7"/>
  <c r="N283" i="7"/>
  <c r="L283" i="7"/>
  <c r="H283" i="7"/>
  <c r="I283" i="7" s="1"/>
  <c r="F283" i="7"/>
  <c r="C283" i="7"/>
  <c r="AC282" i="7"/>
  <c r="AD282" i="7" s="1"/>
  <c r="AA282" i="7"/>
  <c r="W282" i="7"/>
  <c r="X282" i="7" s="1"/>
  <c r="U282" i="7"/>
  <c r="R282" i="7"/>
  <c r="O282" i="7"/>
  <c r="N282" i="7"/>
  <c r="L282" i="7"/>
  <c r="H282" i="7"/>
  <c r="I282" i="7" s="1"/>
  <c r="F282" i="7"/>
  <c r="C282" i="7"/>
  <c r="AD281" i="7"/>
  <c r="AC281" i="7"/>
  <c r="AA281" i="7"/>
  <c r="X281" i="7"/>
  <c r="W281" i="7"/>
  <c r="U281" i="7"/>
  <c r="R281" i="7"/>
  <c r="O281" i="7"/>
  <c r="N281" i="7"/>
  <c r="L281" i="7"/>
  <c r="H281" i="7"/>
  <c r="I281" i="7" s="1"/>
  <c r="F281" i="7"/>
  <c r="C281" i="7"/>
  <c r="AC280" i="7"/>
  <c r="AD280" i="7" s="1"/>
  <c r="AA280" i="7"/>
  <c r="X280" i="7"/>
  <c r="W280" i="7"/>
  <c r="U280" i="7"/>
  <c r="R280" i="7"/>
  <c r="N280" i="7"/>
  <c r="O280" i="7" s="1"/>
  <c r="L280" i="7"/>
  <c r="H280" i="7"/>
  <c r="I280" i="7" s="1"/>
  <c r="F280" i="7"/>
  <c r="C280" i="7"/>
  <c r="AC279" i="7"/>
  <c r="AD279" i="7" s="1"/>
  <c r="AA279" i="7"/>
  <c r="X279" i="7"/>
  <c r="W279" i="7"/>
  <c r="U279" i="7"/>
  <c r="R279" i="7"/>
  <c r="O279" i="7"/>
  <c r="N279" i="7"/>
  <c r="L279" i="7"/>
  <c r="H279" i="7"/>
  <c r="I279" i="7" s="1"/>
  <c r="F279" i="7"/>
  <c r="C279" i="7"/>
  <c r="AC278" i="7"/>
  <c r="AD278" i="7" s="1"/>
  <c r="AA278" i="7"/>
  <c r="W278" i="7"/>
  <c r="X278" i="7" s="1"/>
  <c r="U278" i="7"/>
  <c r="R278" i="7"/>
  <c r="O278" i="7"/>
  <c r="N278" i="7"/>
  <c r="L278" i="7"/>
  <c r="H278" i="7"/>
  <c r="I278" i="7" s="1"/>
  <c r="F278" i="7"/>
  <c r="C278" i="7"/>
  <c r="AD277" i="7"/>
  <c r="AC277" i="7"/>
  <c r="AA277" i="7"/>
  <c r="X277" i="7"/>
  <c r="W277" i="7"/>
  <c r="U277" i="7"/>
  <c r="R277" i="7"/>
  <c r="N277" i="7"/>
  <c r="O277" i="7" s="1"/>
  <c r="L277" i="7"/>
  <c r="H277" i="7"/>
  <c r="I277" i="7" s="1"/>
  <c r="F277" i="7"/>
  <c r="C277" i="7"/>
  <c r="AD276" i="7"/>
  <c r="AC276" i="7"/>
  <c r="AA276" i="7"/>
  <c r="X276" i="7"/>
  <c r="W276" i="7"/>
  <c r="U276" i="7"/>
  <c r="R276" i="7"/>
  <c r="N276" i="7"/>
  <c r="O276" i="7" s="1"/>
  <c r="L276" i="7"/>
  <c r="I276" i="7"/>
  <c r="H276" i="7"/>
  <c r="F276" i="7"/>
  <c r="C276" i="7"/>
  <c r="AC275" i="7"/>
  <c r="AD275" i="7" s="1"/>
  <c r="AA275" i="7"/>
  <c r="X275" i="7"/>
  <c r="W275" i="7"/>
  <c r="U275" i="7"/>
  <c r="R275" i="7"/>
  <c r="O275" i="7"/>
  <c r="N275" i="7"/>
  <c r="L275" i="7"/>
  <c r="I275" i="7"/>
  <c r="H275" i="7"/>
  <c r="F275" i="7"/>
  <c r="C275" i="7"/>
  <c r="Z273" i="7"/>
  <c r="AA273" i="7" s="1"/>
  <c r="W273" i="7"/>
  <c r="X273" i="7" s="1"/>
  <c r="T273" i="7"/>
  <c r="U273" i="7" s="1"/>
  <c r="Q273" i="7"/>
  <c r="L273" i="7"/>
  <c r="K273" i="7"/>
  <c r="E273" i="7"/>
  <c r="B273" i="7"/>
  <c r="C273" i="7" s="1"/>
  <c r="AD272" i="7"/>
  <c r="AC272" i="7"/>
  <c r="AA272" i="7"/>
  <c r="X272" i="7"/>
  <c r="W272" i="7"/>
  <c r="U272" i="7"/>
  <c r="R272" i="7"/>
  <c r="N272" i="7"/>
  <c r="O272" i="7" s="1"/>
  <c r="L272" i="7"/>
  <c r="I272" i="7"/>
  <c r="H272" i="7"/>
  <c r="F272" i="7"/>
  <c r="C272" i="7"/>
  <c r="AC271" i="7"/>
  <c r="AD271" i="7" s="1"/>
  <c r="AA271" i="7"/>
  <c r="W271" i="7"/>
  <c r="X271" i="7" s="1"/>
  <c r="U271" i="7"/>
  <c r="R271" i="7"/>
  <c r="O271" i="7"/>
  <c r="N271" i="7"/>
  <c r="L271" i="7"/>
  <c r="H271" i="7"/>
  <c r="I271" i="7" s="1"/>
  <c r="F271" i="7"/>
  <c r="C271" i="7"/>
  <c r="AC270" i="7"/>
  <c r="AD270" i="7" s="1"/>
  <c r="AA270" i="7"/>
  <c r="W270" i="7"/>
  <c r="X270" i="7" s="1"/>
  <c r="U270" i="7"/>
  <c r="R270" i="7"/>
  <c r="O270" i="7"/>
  <c r="N270" i="7"/>
  <c r="L270" i="7"/>
  <c r="H270" i="7"/>
  <c r="I270" i="7" s="1"/>
  <c r="F270" i="7"/>
  <c r="C270" i="7"/>
  <c r="AC269" i="7"/>
  <c r="AD269" i="7" s="1"/>
  <c r="AA269" i="7"/>
  <c r="X269" i="7"/>
  <c r="W269" i="7"/>
  <c r="U269" i="7"/>
  <c r="R269" i="7"/>
  <c r="O269" i="7"/>
  <c r="N269" i="7"/>
  <c r="L269" i="7"/>
  <c r="H269" i="7"/>
  <c r="I269" i="7" s="1"/>
  <c r="F269" i="7"/>
  <c r="C269" i="7"/>
  <c r="AA267" i="7"/>
  <c r="Z267" i="7"/>
  <c r="W267" i="7"/>
  <c r="X267" i="7" s="1"/>
  <c r="T267" i="7"/>
  <c r="U267" i="7" s="1"/>
  <c r="Q267" i="7"/>
  <c r="AC267" i="7" s="1"/>
  <c r="AD267" i="7" s="1"/>
  <c r="K267" i="7"/>
  <c r="L267" i="7" s="1"/>
  <c r="E267" i="7"/>
  <c r="F267" i="7" s="1"/>
  <c r="C267" i="7"/>
  <c r="B267" i="7"/>
  <c r="AC266" i="7"/>
  <c r="AD266" i="7" s="1"/>
  <c r="AA266" i="7"/>
  <c r="W266" i="7"/>
  <c r="X266" i="7" s="1"/>
  <c r="U266" i="7"/>
  <c r="R266" i="7"/>
  <c r="O266" i="7"/>
  <c r="N266" i="7"/>
  <c r="L266" i="7"/>
  <c r="H266" i="7"/>
  <c r="I266" i="7" s="1"/>
  <c r="F266" i="7"/>
  <c r="C266" i="7"/>
  <c r="AD265" i="7"/>
  <c r="AC265" i="7"/>
  <c r="AA265" i="7"/>
  <c r="X265" i="7"/>
  <c r="W265" i="7"/>
  <c r="U265" i="7"/>
  <c r="R265" i="7"/>
  <c r="N265" i="7"/>
  <c r="O265" i="7" s="1"/>
  <c r="L265" i="7"/>
  <c r="H265" i="7"/>
  <c r="I265" i="7" s="1"/>
  <c r="F265" i="7"/>
  <c r="C265" i="7"/>
  <c r="Z263" i="7"/>
  <c r="AA263" i="7" s="1"/>
  <c r="T263" i="7"/>
  <c r="U263" i="7" s="1"/>
  <c r="Q263" i="7"/>
  <c r="K263" i="7"/>
  <c r="L263" i="7" s="1"/>
  <c r="F263" i="7"/>
  <c r="E263" i="7"/>
  <c r="C263" i="7"/>
  <c r="B263" i="7"/>
  <c r="Z262" i="7"/>
  <c r="AA262" i="7" s="1"/>
  <c r="U262" i="7"/>
  <c r="T262" i="7"/>
  <c r="Q262" i="7"/>
  <c r="L262" i="7"/>
  <c r="K262" i="7"/>
  <c r="I262" i="7"/>
  <c r="H262" i="7"/>
  <c r="E262" i="7"/>
  <c r="F262" i="7" s="1"/>
  <c r="B262" i="7"/>
  <c r="C262" i="7" s="1"/>
  <c r="AC261" i="7"/>
  <c r="AD261" i="7" s="1"/>
  <c r="AA261" i="7"/>
  <c r="X261" i="7"/>
  <c r="W261" i="7"/>
  <c r="U261" i="7"/>
  <c r="R261" i="7"/>
  <c r="N261" i="7"/>
  <c r="O261" i="7" s="1"/>
  <c r="L261" i="7"/>
  <c r="I261" i="7"/>
  <c r="H261" i="7"/>
  <c r="F261" i="7"/>
  <c r="C261" i="7"/>
  <c r="AC260" i="7"/>
  <c r="AD260" i="7" s="1"/>
  <c r="AA260" i="7"/>
  <c r="X260" i="7"/>
  <c r="W260" i="7"/>
  <c r="U260" i="7"/>
  <c r="R260" i="7"/>
  <c r="O260" i="7"/>
  <c r="N260" i="7"/>
  <c r="L260" i="7"/>
  <c r="H260" i="7"/>
  <c r="I260" i="7" s="1"/>
  <c r="F260" i="7"/>
  <c r="C260" i="7"/>
  <c r="AC259" i="7"/>
  <c r="AD259" i="7" s="1"/>
  <c r="AA259" i="7"/>
  <c r="W259" i="7"/>
  <c r="X259" i="7" s="1"/>
  <c r="U259" i="7"/>
  <c r="R259" i="7"/>
  <c r="O259" i="7"/>
  <c r="N259" i="7"/>
  <c r="L259" i="7"/>
  <c r="H259" i="7"/>
  <c r="I259" i="7" s="1"/>
  <c r="F259" i="7"/>
  <c r="C259" i="7"/>
  <c r="AD258" i="7"/>
  <c r="AC258" i="7"/>
  <c r="AA258" i="7"/>
  <c r="X258" i="7"/>
  <c r="W258" i="7"/>
  <c r="U258" i="7"/>
  <c r="R258" i="7"/>
  <c r="O258" i="7"/>
  <c r="N258" i="7"/>
  <c r="L258" i="7"/>
  <c r="H258" i="7"/>
  <c r="I258" i="7" s="1"/>
  <c r="F258" i="7"/>
  <c r="C258" i="7"/>
  <c r="AD257" i="7"/>
  <c r="AC257" i="7"/>
  <c r="AA257" i="7"/>
  <c r="X257" i="7"/>
  <c r="W257" i="7"/>
  <c r="U257" i="7"/>
  <c r="R257" i="7"/>
  <c r="N257" i="7"/>
  <c r="O257" i="7" s="1"/>
  <c r="L257" i="7"/>
  <c r="H257" i="7"/>
  <c r="I257" i="7" s="1"/>
  <c r="F257" i="7"/>
  <c r="C257" i="7"/>
  <c r="AC256" i="7"/>
  <c r="AD256" i="7" s="1"/>
  <c r="AA256" i="7"/>
  <c r="W256" i="7"/>
  <c r="X256" i="7" s="1"/>
  <c r="U256" i="7"/>
  <c r="R256" i="7"/>
  <c r="O256" i="7"/>
  <c r="N256" i="7"/>
  <c r="L256" i="7"/>
  <c r="H256" i="7"/>
  <c r="I256" i="7" s="1"/>
  <c r="F256" i="7"/>
  <c r="C256" i="7"/>
  <c r="AC255" i="7"/>
  <c r="AD255" i="7" s="1"/>
  <c r="AA255" i="7"/>
  <c r="W255" i="7"/>
  <c r="X255" i="7" s="1"/>
  <c r="U255" i="7"/>
  <c r="R255" i="7"/>
  <c r="O255" i="7"/>
  <c r="N255" i="7"/>
  <c r="L255" i="7"/>
  <c r="H255" i="7"/>
  <c r="I255" i="7" s="1"/>
  <c r="F255" i="7"/>
  <c r="C255" i="7"/>
  <c r="AD254" i="7"/>
  <c r="AC254" i="7"/>
  <c r="AA254" i="7"/>
  <c r="X254" i="7"/>
  <c r="W254" i="7"/>
  <c r="U254" i="7"/>
  <c r="R254" i="7"/>
  <c r="N254" i="7"/>
  <c r="O254" i="7" s="1"/>
  <c r="L254" i="7"/>
  <c r="H254" i="7"/>
  <c r="I254" i="7" s="1"/>
  <c r="F254" i="7"/>
  <c r="C254" i="7"/>
  <c r="AD253" i="7"/>
  <c r="AC253" i="7"/>
  <c r="AA253" i="7"/>
  <c r="X253" i="7"/>
  <c r="W253" i="7"/>
  <c r="U253" i="7"/>
  <c r="R253" i="7"/>
  <c r="N253" i="7"/>
  <c r="O253" i="7" s="1"/>
  <c r="L253" i="7"/>
  <c r="I253" i="7"/>
  <c r="H253" i="7"/>
  <c r="F253" i="7"/>
  <c r="C253" i="7"/>
  <c r="AC252" i="7"/>
  <c r="AD252" i="7" s="1"/>
  <c r="AA252" i="7"/>
  <c r="W252" i="7"/>
  <c r="X252" i="7" s="1"/>
  <c r="U252" i="7"/>
  <c r="R252" i="7"/>
  <c r="O252" i="7"/>
  <c r="N252" i="7"/>
  <c r="L252" i="7"/>
  <c r="H252" i="7"/>
  <c r="I252" i="7" s="1"/>
  <c r="F252" i="7"/>
  <c r="C252" i="7"/>
  <c r="AC251" i="7"/>
  <c r="AD251" i="7" s="1"/>
  <c r="AA251" i="7"/>
  <c r="W251" i="7"/>
  <c r="X251" i="7" s="1"/>
  <c r="U251" i="7"/>
  <c r="R251" i="7"/>
  <c r="O251" i="7"/>
  <c r="N251" i="7"/>
  <c r="L251" i="7"/>
  <c r="H251" i="7"/>
  <c r="I251" i="7" s="1"/>
  <c r="F251" i="7"/>
  <c r="C251" i="7"/>
  <c r="AC250" i="7"/>
  <c r="AD250" i="7" s="1"/>
  <c r="AA250" i="7"/>
  <c r="X250" i="7"/>
  <c r="W250" i="7"/>
  <c r="U250" i="7"/>
  <c r="R250" i="7"/>
  <c r="N250" i="7"/>
  <c r="O250" i="7" s="1"/>
  <c r="L250" i="7"/>
  <c r="H250" i="7"/>
  <c r="I250" i="7" s="1"/>
  <c r="F250" i="7"/>
  <c r="C250" i="7"/>
  <c r="AC249" i="7"/>
  <c r="AD249" i="7" s="1"/>
  <c r="AA249" i="7"/>
  <c r="X249" i="7"/>
  <c r="W249" i="7"/>
  <c r="U249" i="7"/>
  <c r="R249" i="7"/>
  <c r="N249" i="7"/>
  <c r="O249" i="7" s="1"/>
  <c r="L249" i="7"/>
  <c r="I249" i="7"/>
  <c r="H249" i="7"/>
  <c r="F249" i="7"/>
  <c r="C249" i="7"/>
  <c r="AC248" i="7"/>
  <c r="AD248" i="7" s="1"/>
  <c r="AA248" i="7"/>
  <c r="X248" i="7"/>
  <c r="W248" i="7"/>
  <c r="U248" i="7"/>
  <c r="R248" i="7"/>
  <c r="O248" i="7"/>
  <c r="N248" i="7"/>
  <c r="L248" i="7"/>
  <c r="I248" i="7"/>
  <c r="H248" i="7"/>
  <c r="F248" i="7"/>
  <c r="C248" i="7"/>
  <c r="AC247" i="7"/>
  <c r="AD247" i="7" s="1"/>
  <c r="AA247" i="7"/>
  <c r="W247" i="7"/>
  <c r="X247" i="7" s="1"/>
  <c r="U247" i="7"/>
  <c r="R247" i="7"/>
  <c r="O247" i="7"/>
  <c r="N247" i="7"/>
  <c r="L247" i="7"/>
  <c r="H247" i="7"/>
  <c r="I247" i="7" s="1"/>
  <c r="F247" i="7"/>
  <c r="C247" i="7"/>
  <c r="AC246" i="7"/>
  <c r="AD246" i="7" s="1"/>
  <c r="AA246" i="7"/>
  <c r="X246" i="7"/>
  <c r="W246" i="7"/>
  <c r="U246" i="7"/>
  <c r="R246" i="7"/>
  <c r="N246" i="7"/>
  <c r="O246" i="7" s="1"/>
  <c r="L246" i="7"/>
  <c r="H246" i="7"/>
  <c r="I246" i="7" s="1"/>
  <c r="F246" i="7"/>
  <c r="C246" i="7"/>
  <c r="AC245" i="7"/>
  <c r="AD245" i="7" s="1"/>
  <c r="AA245" i="7"/>
  <c r="X245" i="7"/>
  <c r="W245" i="7"/>
  <c r="U245" i="7"/>
  <c r="R245" i="7"/>
  <c r="N245" i="7"/>
  <c r="O245" i="7" s="1"/>
  <c r="L245" i="7"/>
  <c r="I245" i="7"/>
  <c r="H245" i="7"/>
  <c r="F245" i="7"/>
  <c r="C245" i="7"/>
  <c r="AC244" i="7"/>
  <c r="AD244" i="7" s="1"/>
  <c r="AA244" i="7"/>
  <c r="X244" i="7"/>
  <c r="W244" i="7"/>
  <c r="U244" i="7"/>
  <c r="R244" i="7"/>
  <c r="O244" i="7"/>
  <c r="N244" i="7"/>
  <c r="L244" i="7"/>
  <c r="H244" i="7"/>
  <c r="I244" i="7" s="1"/>
  <c r="F244" i="7"/>
  <c r="C244" i="7"/>
  <c r="AC243" i="7"/>
  <c r="AD243" i="7" s="1"/>
  <c r="AA243" i="7"/>
  <c r="W243" i="7"/>
  <c r="X243" i="7" s="1"/>
  <c r="U243" i="7"/>
  <c r="R243" i="7"/>
  <c r="O243" i="7"/>
  <c r="N243" i="7"/>
  <c r="L243" i="7"/>
  <c r="H243" i="7"/>
  <c r="I243" i="7" s="1"/>
  <c r="F243" i="7"/>
  <c r="C243" i="7"/>
  <c r="AD242" i="7"/>
  <c r="AC242" i="7"/>
  <c r="AA242" i="7"/>
  <c r="X242" i="7"/>
  <c r="W242" i="7"/>
  <c r="U242" i="7"/>
  <c r="R242" i="7"/>
  <c r="O242" i="7"/>
  <c r="N242" i="7"/>
  <c r="L242" i="7"/>
  <c r="H242" i="7"/>
  <c r="I242" i="7" s="1"/>
  <c r="F242" i="7"/>
  <c r="C242" i="7"/>
  <c r="AD241" i="7"/>
  <c r="AC241" i="7"/>
  <c r="AA241" i="7"/>
  <c r="X241" i="7"/>
  <c r="W241" i="7"/>
  <c r="U241" i="7"/>
  <c r="R241" i="7"/>
  <c r="N241" i="7"/>
  <c r="O241" i="7" s="1"/>
  <c r="L241" i="7"/>
  <c r="I241" i="7"/>
  <c r="H241" i="7"/>
  <c r="F241" i="7"/>
  <c r="C241" i="7"/>
  <c r="AC240" i="7"/>
  <c r="AD240" i="7" s="1"/>
  <c r="AA240" i="7"/>
  <c r="W240" i="7"/>
  <c r="X240" i="7" s="1"/>
  <c r="U240" i="7"/>
  <c r="R240" i="7"/>
  <c r="O240" i="7"/>
  <c r="N240" i="7"/>
  <c r="L240" i="7"/>
  <c r="H240" i="7"/>
  <c r="I240" i="7" s="1"/>
  <c r="F240" i="7"/>
  <c r="C240" i="7"/>
  <c r="AC238" i="7"/>
  <c r="AD238" i="7" s="1"/>
  <c r="AA238" i="7"/>
  <c r="W238" i="7"/>
  <c r="X238" i="7" s="1"/>
  <c r="U238" i="7"/>
  <c r="R238" i="7"/>
  <c r="O238" i="7"/>
  <c r="N238" i="7"/>
  <c r="L238" i="7"/>
  <c r="H238" i="7"/>
  <c r="I238" i="7" s="1"/>
  <c r="F238" i="7"/>
  <c r="C238" i="7"/>
  <c r="Z236" i="7"/>
  <c r="AA236" i="7" s="1"/>
  <c r="W236" i="7"/>
  <c r="X236" i="7" s="1"/>
  <c r="U236" i="7"/>
  <c r="T236" i="7"/>
  <c r="Q236" i="7"/>
  <c r="R236" i="7" s="1"/>
  <c r="K236" i="7"/>
  <c r="L236" i="7" s="1"/>
  <c r="H236" i="7"/>
  <c r="I236" i="7" s="1"/>
  <c r="F236" i="7"/>
  <c r="E236" i="7"/>
  <c r="B236" i="7"/>
  <c r="C236" i="7" s="1"/>
  <c r="AC235" i="7"/>
  <c r="AD235" i="7" s="1"/>
  <c r="AA235" i="7"/>
  <c r="X235" i="7"/>
  <c r="W235" i="7"/>
  <c r="U235" i="7"/>
  <c r="R235" i="7"/>
  <c r="O235" i="7"/>
  <c r="N235" i="7"/>
  <c r="L235" i="7"/>
  <c r="H235" i="7"/>
  <c r="I235" i="7" s="1"/>
  <c r="F235" i="7"/>
  <c r="C235" i="7"/>
  <c r="AC234" i="7"/>
  <c r="AD234" i="7" s="1"/>
  <c r="AA234" i="7"/>
  <c r="W234" i="7"/>
  <c r="X234" i="7" s="1"/>
  <c r="U234" i="7"/>
  <c r="R234" i="7"/>
  <c r="O234" i="7"/>
  <c r="N234" i="7"/>
  <c r="L234" i="7"/>
  <c r="H234" i="7"/>
  <c r="I234" i="7" s="1"/>
  <c r="F234" i="7"/>
  <c r="C234" i="7"/>
  <c r="AC233" i="7"/>
  <c r="AD233" i="7" s="1"/>
  <c r="AA233" i="7"/>
  <c r="X233" i="7"/>
  <c r="W233" i="7"/>
  <c r="U233" i="7"/>
  <c r="R233" i="7"/>
  <c r="O233" i="7"/>
  <c r="N233" i="7"/>
  <c r="L233" i="7"/>
  <c r="H233" i="7"/>
  <c r="I233" i="7" s="1"/>
  <c r="F233" i="7"/>
  <c r="C233" i="7"/>
  <c r="AD232" i="7"/>
  <c r="AC232" i="7"/>
  <c r="AA232" i="7"/>
  <c r="X232" i="7"/>
  <c r="W232" i="7"/>
  <c r="U232" i="7"/>
  <c r="R232" i="7"/>
  <c r="O232" i="7"/>
  <c r="N232" i="7"/>
  <c r="L232" i="7"/>
  <c r="I232" i="7"/>
  <c r="H232" i="7"/>
  <c r="F232" i="7"/>
  <c r="C232" i="7"/>
  <c r="AC231" i="7"/>
  <c r="AD231" i="7" s="1"/>
  <c r="AA231" i="7"/>
  <c r="X231" i="7"/>
  <c r="W231" i="7"/>
  <c r="U231" i="7"/>
  <c r="R231" i="7"/>
  <c r="O231" i="7"/>
  <c r="N231" i="7"/>
  <c r="L231" i="7"/>
  <c r="I231" i="7"/>
  <c r="H231" i="7"/>
  <c r="F231" i="7"/>
  <c r="C231" i="7"/>
  <c r="AC230" i="7"/>
  <c r="AD230" i="7" s="1"/>
  <c r="AA230" i="7"/>
  <c r="X230" i="7"/>
  <c r="W230" i="7"/>
  <c r="U230" i="7"/>
  <c r="R230" i="7"/>
  <c r="O230" i="7"/>
  <c r="N230" i="7"/>
  <c r="L230" i="7"/>
  <c r="H230" i="7"/>
  <c r="I230" i="7" s="1"/>
  <c r="F230" i="7"/>
  <c r="C230" i="7"/>
  <c r="AD229" i="7"/>
  <c r="AC229" i="7"/>
  <c r="AA229" i="7"/>
  <c r="X229" i="7"/>
  <c r="W229" i="7"/>
  <c r="U229" i="7"/>
  <c r="R229" i="7"/>
  <c r="O229" i="7"/>
  <c r="N229" i="7"/>
  <c r="L229" i="7"/>
  <c r="H229" i="7"/>
  <c r="I229" i="7" s="1"/>
  <c r="F229" i="7"/>
  <c r="C229" i="7"/>
  <c r="AC227" i="7"/>
  <c r="AD227" i="7" s="1"/>
  <c r="AA227" i="7"/>
  <c r="Z227" i="7"/>
  <c r="T227" i="7"/>
  <c r="U227" i="7" s="1"/>
  <c r="Q227" i="7"/>
  <c r="W227" i="7" s="1"/>
  <c r="X227" i="7" s="1"/>
  <c r="N227" i="7"/>
  <c r="O227" i="7" s="1"/>
  <c r="L227" i="7"/>
  <c r="K227" i="7"/>
  <c r="E227" i="7"/>
  <c r="F227" i="7" s="1"/>
  <c r="B227" i="7"/>
  <c r="AD226" i="7"/>
  <c r="AC226" i="7"/>
  <c r="AA226" i="7"/>
  <c r="X226" i="7"/>
  <c r="W226" i="7"/>
  <c r="U226" i="7"/>
  <c r="R226" i="7"/>
  <c r="N226" i="7"/>
  <c r="O226" i="7" s="1"/>
  <c r="L226" i="7"/>
  <c r="H226" i="7"/>
  <c r="I226" i="7" s="1"/>
  <c r="F226" i="7"/>
  <c r="C226" i="7"/>
  <c r="AD225" i="7"/>
  <c r="AC225" i="7"/>
  <c r="AA225" i="7"/>
  <c r="X225" i="7"/>
  <c r="W225" i="7"/>
  <c r="U225" i="7"/>
  <c r="R225" i="7"/>
  <c r="N225" i="7"/>
  <c r="O225" i="7" s="1"/>
  <c r="L225" i="7"/>
  <c r="H225" i="7"/>
  <c r="I225" i="7" s="1"/>
  <c r="F225" i="7"/>
  <c r="C225" i="7"/>
  <c r="AD224" i="7"/>
  <c r="AC224" i="7"/>
  <c r="AA224" i="7"/>
  <c r="X224" i="7"/>
  <c r="W224" i="7"/>
  <c r="U224" i="7"/>
  <c r="R224" i="7"/>
  <c r="N224" i="7"/>
  <c r="O224" i="7" s="1"/>
  <c r="L224" i="7"/>
  <c r="I224" i="7"/>
  <c r="H224" i="7"/>
  <c r="F224" i="7"/>
  <c r="C224" i="7"/>
  <c r="AC223" i="7"/>
  <c r="AD223" i="7" s="1"/>
  <c r="AA223" i="7"/>
  <c r="X223" i="7"/>
  <c r="W223" i="7"/>
  <c r="U223" i="7"/>
  <c r="R223" i="7"/>
  <c r="O223" i="7"/>
  <c r="N223" i="7"/>
  <c r="L223" i="7"/>
  <c r="H223" i="7"/>
  <c r="I223" i="7" s="1"/>
  <c r="F223" i="7"/>
  <c r="C223" i="7"/>
  <c r="AD222" i="7"/>
  <c r="AC222" i="7"/>
  <c r="AA222" i="7"/>
  <c r="X222" i="7"/>
  <c r="W222" i="7"/>
  <c r="U222" i="7"/>
  <c r="R222" i="7"/>
  <c r="N222" i="7"/>
  <c r="O222" i="7" s="1"/>
  <c r="L222" i="7"/>
  <c r="H222" i="7"/>
  <c r="I222" i="7" s="1"/>
  <c r="F222" i="7"/>
  <c r="C222" i="7"/>
  <c r="AD221" i="7"/>
  <c r="AC221" i="7"/>
  <c r="AA221" i="7"/>
  <c r="X221" i="7"/>
  <c r="W221" i="7"/>
  <c r="U221" i="7"/>
  <c r="R221" i="7"/>
  <c r="N221" i="7"/>
  <c r="O221" i="7" s="1"/>
  <c r="L221" i="7"/>
  <c r="H221" i="7"/>
  <c r="I221" i="7" s="1"/>
  <c r="F221" i="7"/>
  <c r="C221" i="7"/>
  <c r="AD220" i="7"/>
  <c r="AC220" i="7"/>
  <c r="AA220" i="7"/>
  <c r="W220" i="7"/>
  <c r="X220" i="7" s="1"/>
  <c r="U220" i="7"/>
  <c r="R220" i="7"/>
  <c r="O220" i="7"/>
  <c r="N220" i="7"/>
  <c r="L220" i="7"/>
  <c r="I220" i="7"/>
  <c r="H220" i="7"/>
  <c r="F220" i="7"/>
  <c r="C220" i="7"/>
  <c r="AC219" i="7"/>
  <c r="AD219" i="7" s="1"/>
  <c r="AA219" i="7"/>
  <c r="X219" i="7"/>
  <c r="W219" i="7"/>
  <c r="U219" i="7"/>
  <c r="R219" i="7"/>
  <c r="O219" i="7"/>
  <c r="N219" i="7"/>
  <c r="L219" i="7"/>
  <c r="I219" i="7"/>
  <c r="H219" i="7"/>
  <c r="F219" i="7"/>
  <c r="C219" i="7"/>
  <c r="Z218" i="7"/>
  <c r="AA218" i="7" s="1"/>
  <c r="W218" i="7"/>
  <c r="X218" i="7" s="1"/>
  <c r="U218" i="7"/>
  <c r="T218" i="7"/>
  <c r="R218" i="7"/>
  <c r="Q218" i="7"/>
  <c r="L218" i="7"/>
  <c r="K218" i="7"/>
  <c r="N218" i="7" s="1"/>
  <c r="O218" i="7" s="1"/>
  <c r="E218" i="7"/>
  <c r="F218" i="7" s="1"/>
  <c r="B218" i="7"/>
  <c r="C218" i="7" s="1"/>
  <c r="AD217" i="7"/>
  <c r="AC217" i="7"/>
  <c r="AA217" i="7"/>
  <c r="X217" i="7"/>
  <c r="W217" i="7"/>
  <c r="U217" i="7"/>
  <c r="R217" i="7"/>
  <c r="N217" i="7"/>
  <c r="O217" i="7" s="1"/>
  <c r="L217" i="7"/>
  <c r="H217" i="7"/>
  <c r="I217" i="7" s="1"/>
  <c r="F217" i="7"/>
  <c r="C217" i="7"/>
  <c r="AC216" i="7"/>
  <c r="AD216" i="7" s="1"/>
  <c r="AA216" i="7"/>
  <c r="X216" i="7"/>
  <c r="W216" i="7"/>
  <c r="U216" i="7"/>
  <c r="R216" i="7"/>
  <c r="O216" i="7"/>
  <c r="N216" i="7"/>
  <c r="L216" i="7"/>
  <c r="H216" i="7"/>
  <c r="I216" i="7" s="1"/>
  <c r="F216" i="7"/>
  <c r="C216" i="7"/>
  <c r="AD215" i="7"/>
  <c r="AC215" i="7"/>
  <c r="AA215" i="7"/>
  <c r="X215" i="7"/>
  <c r="W215" i="7"/>
  <c r="U215" i="7"/>
  <c r="R215" i="7"/>
  <c r="O215" i="7"/>
  <c r="N215" i="7"/>
  <c r="L215" i="7"/>
  <c r="H215" i="7"/>
  <c r="I215" i="7" s="1"/>
  <c r="F215" i="7"/>
  <c r="C215" i="7"/>
  <c r="AD214" i="7"/>
  <c r="AC214" i="7"/>
  <c r="AA214" i="7"/>
  <c r="X214" i="7"/>
  <c r="W214" i="7"/>
  <c r="U214" i="7"/>
  <c r="R214" i="7"/>
  <c r="N214" i="7"/>
  <c r="O214" i="7" s="1"/>
  <c r="L214" i="7"/>
  <c r="I214" i="7"/>
  <c r="H214" i="7"/>
  <c r="F214" i="7"/>
  <c r="C214" i="7"/>
  <c r="AD213" i="7"/>
  <c r="AC213" i="7"/>
  <c r="AA213" i="7"/>
  <c r="X213" i="7"/>
  <c r="W213" i="7"/>
  <c r="U213" i="7"/>
  <c r="R213" i="7"/>
  <c r="N213" i="7"/>
  <c r="O213" i="7" s="1"/>
  <c r="L213" i="7"/>
  <c r="H213" i="7"/>
  <c r="I213" i="7" s="1"/>
  <c r="F213" i="7"/>
  <c r="C213" i="7"/>
  <c r="AC211" i="7"/>
  <c r="AD211" i="7" s="1"/>
  <c r="AA211" i="7"/>
  <c r="X211" i="7"/>
  <c r="W211" i="7"/>
  <c r="U211" i="7"/>
  <c r="R211" i="7"/>
  <c r="O211" i="7"/>
  <c r="N211" i="7"/>
  <c r="L211" i="7"/>
  <c r="H211" i="7"/>
  <c r="I211" i="7" s="1"/>
  <c r="F211" i="7"/>
  <c r="C211" i="7"/>
  <c r="Z209" i="7"/>
  <c r="AA209" i="7" s="1"/>
  <c r="U209" i="7"/>
  <c r="T209" i="7"/>
  <c r="Q209" i="7"/>
  <c r="W209" i="7" s="1"/>
  <c r="X209" i="7" s="1"/>
  <c r="N209" i="7"/>
  <c r="O209" i="7" s="1"/>
  <c r="L209" i="7"/>
  <c r="K209" i="7"/>
  <c r="F209" i="7"/>
  <c r="E209" i="7"/>
  <c r="B209" i="7"/>
  <c r="AD208" i="7"/>
  <c r="AC208" i="7"/>
  <c r="AA208" i="7"/>
  <c r="W208" i="7"/>
  <c r="X208" i="7" s="1"/>
  <c r="U208" i="7"/>
  <c r="R208" i="7"/>
  <c r="O208" i="7"/>
  <c r="N208" i="7"/>
  <c r="L208" i="7"/>
  <c r="I208" i="7"/>
  <c r="H208" i="7"/>
  <c r="F208" i="7"/>
  <c r="C208" i="7"/>
  <c r="AD207" i="7"/>
  <c r="AC207" i="7"/>
  <c r="AA207" i="7"/>
  <c r="W207" i="7"/>
  <c r="X207" i="7" s="1"/>
  <c r="U207" i="7"/>
  <c r="R207" i="7"/>
  <c r="O207" i="7"/>
  <c r="N207" i="7"/>
  <c r="L207" i="7"/>
  <c r="I207" i="7"/>
  <c r="H207" i="7"/>
  <c r="F207" i="7"/>
  <c r="C207" i="7"/>
  <c r="AC206" i="7"/>
  <c r="AD206" i="7" s="1"/>
  <c r="AA206" i="7"/>
  <c r="X206" i="7"/>
  <c r="W206" i="7"/>
  <c r="U206" i="7"/>
  <c r="R206" i="7"/>
  <c r="N206" i="7"/>
  <c r="O206" i="7" s="1"/>
  <c r="L206" i="7"/>
  <c r="I206" i="7"/>
  <c r="H206" i="7"/>
  <c r="F206" i="7"/>
  <c r="C206" i="7"/>
  <c r="AD205" i="7"/>
  <c r="AC205" i="7"/>
  <c r="AA205" i="7"/>
  <c r="W205" i="7"/>
  <c r="X205" i="7" s="1"/>
  <c r="U205" i="7"/>
  <c r="R205" i="7"/>
  <c r="N205" i="7"/>
  <c r="O205" i="7" s="1"/>
  <c r="L205" i="7"/>
  <c r="H205" i="7"/>
  <c r="I205" i="7" s="1"/>
  <c r="F205" i="7"/>
  <c r="C205" i="7"/>
  <c r="AD204" i="7"/>
  <c r="AC204" i="7"/>
  <c r="AA204" i="7"/>
  <c r="W204" i="7"/>
  <c r="X204" i="7" s="1"/>
  <c r="U204" i="7"/>
  <c r="R204" i="7"/>
  <c r="O204" i="7"/>
  <c r="N204" i="7"/>
  <c r="L204" i="7"/>
  <c r="I204" i="7"/>
  <c r="H204" i="7"/>
  <c r="F204" i="7"/>
  <c r="C204" i="7"/>
  <c r="AD203" i="7"/>
  <c r="AC203" i="7"/>
  <c r="AA203" i="7"/>
  <c r="W203" i="7"/>
  <c r="X203" i="7" s="1"/>
  <c r="U203" i="7"/>
  <c r="R203" i="7"/>
  <c r="N203" i="7"/>
  <c r="O203" i="7" s="1"/>
  <c r="L203" i="7"/>
  <c r="I203" i="7"/>
  <c r="H203" i="7"/>
  <c r="F203" i="7"/>
  <c r="C203" i="7"/>
  <c r="AC202" i="7"/>
  <c r="AD202" i="7" s="1"/>
  <c r="AA202" i="7"/>
  <c r="X202" i="7"/>
  <c r="W202" i="7"/>
  <c r="U202" i="7"/>
  <c r="R202" i="7"/>
  <c r="N202" i="7"/>
  <c r="O202" i="7" s="1"/>
  <c r="L202" i="7"/>
  <c r="H202" i="7"/>
  <c r="I202" i="7" s="1"/>
  <c r="F202" i="7"/>
  <c r="C202" i="7"/>
  <c r="AD201" i="7"/>
  <c r="AC201" i="7"/>
  <c r="AA201" i="7"/>
  <c r="X201" i="7"/>
  <c r="W201" i="7"/>
  <c r="U201" i="7"/>
  <c r="R201" i="7"/>
  <c r="N201" i="7"/>
  <c r="O201" i="7" s="1"/>
  <c r="L201" i="7"/>
  <c r="I201" i="7"/>
  <c r="H201" i="7"/>
  <c r="F201" i="7"/>
  <c r="C201" i="7"/>
  <c r="AA197" i="7"/>
  <c r="Z197" i="7"/>
  <c r="U197" i="7"/>
  <c r="T197" i="7"/>
  <c r="Q197" i="7"/>
  <c r="W197" i="7" s="1"/>
  <c r="X197" i="7" s="1"/>
  <c r="L197" i="7"/>
  <c r="K197" i="7"/>
  <c r="E197" i="7"/>
  <c r="F197" i="7" s="1"/>
  <c r="B197" i="7"/>
  <c r="H197" i="7" s="1"/>
  <c r="I197" i="7" s="1"/>
  <c r="AA196" i="7"/>
  <c r="Z196" i="7"/>
  <c r="T196" i="7"/>
  <c r="W196" i="7" s="1"/>
  <c r="X196" i="7" s="1"/>
  <c r="R196" i="7"/>
  <c r="Q196" i="7"/>
  <c r="AC196" i="7" s="1"/>
  <c r="AD196" i="7" s="1"/>
  <c r="L196" i="7"/>
  <c r="K196" i="7"/>
  <c r="H196" i="7"/>
  <c r="I196" i="7" s="1"/>
  <c r="F196" i="7"/>
  <c r="E196" i="7"/>
  <c r="C196" i="7"/>
  <c r="B196" i="7"/>
  <c r="N196" i="7" s="1"/>
  <c r="O196" i="7" s="1"/>
  <c r="AD195" i="7"/>
  <c r="AC195" i="7"/>
  <c r="AA195" i="7"/>
  <c r="W195" i="7"/>
  <c r="X195" i="7" s="1"/>
  <c r="U195" i="7"/>
  <c r="R195" i="7"/>
  <c r="N195" i="7"/>
  <c r="O195" i="7" s="1"/>
  <c r="L195" i="7"/>
  <c r="H195" i="7"/>
  <c r="I195" i="7" s="1"/>
  <c r="F195" i="7"/>
  <c r="C195" i="7"/>
  <c r="AD194" i="7"/>
  <c r="AC194" i="7"/>
  <c r="AA194" i="7"/>
  <c r="X194" i="7"/>
  <c r="W194" i="7"/>
  <c r="U194" i="7"/>
  <c r="R194" i="7"/>
  <c r="N194" i="7"/>
  <c r="O194" i="7" s="1"/>
  <c r="L194" i="7"/>
  <c r="I194" i="7"/>
  <c r="H194" i="7"/>
  <c r="F194" i="7"/>
  <c r="C194" i="7"/>
  <c r="AA193" i="7"/>
  <c r="Z193" i="7"/>
  <c r="X193" i="7"/>
  <c r="W193" i="7"/>
  <c r="U193" i="7"/>
  <c r="T193" i="7"/>
  <c r="R193" i="7"/>
  <c r="Q193" i="7"/>
  <c r="AC193" i="7" s="1"/>
  <c r="AD193" i="7" s="1"/>
  <c r="L193" i="7"/>
  <c r="K193" i="7"/>
  <c r="I193" i="7"/>
  <c r="H193" i="7"/>
  <c r="F193" i="7"/>
  <c r="E193" i="7"/>
  <c r="C193" i="7"/>
  <c r="B193" i="7"/>
  <c r="AD192" i="7"/>
  <c r="AC192" i="7"/>
  <c r="AA192" i="7"/>
  <c r="X192" i="7"/>
  <c r="W192" i="7"/>
  <c r="U192" i="7"/>
  <c r="R192" i="7"/>
  <c r="N192" i="7"/>
  <c r="O192" i="7" s="1"/>
  <c r="L192" i="7"/>
  <c r="I192" i="7"/>
  <c r="H192" i="7"/>
  <c r="F192" i="7"/>
  <c r="C192" i="7"/>
  <c r="AD191" i="7"/>
  <c r="AC191" i="7"/>
  <c r="AA191" i="7"/>
  <c r="X191" i="7"/>
  <c r="W191" i="7"/>
  <c r="U191" i="7"/>
  <c r="R191" i="7"/>
  <c r="N191" i="7"/>
  <c r="O191" i="7" s="1"/>
  <c r="L191" i="7"/>
  <c r="H191" i="7"/>
  <c r="I191" i="7" s="1"/>
  <c r="F191" i="7"/>
  <c r="C191" i="7"/>
  <c r="AD190" i="7"/>
  <c r="AC190" i="7"/>
  <c r="AA190" i="7"/>
  <c r="W190" i="7"/>
  <c r="X190" i="7" s="1"/>
  <c r="U190" i="7"/>
  <c r="R190" i="7"/>
  <c r="O190" i="7"/>
  <c r="N190" i="7"/>
  <c r="L190" i="7"/>
  <c r="I190" i="7"/>
  <c r="H190" i="7"/>
  <c r="F190" i="7"/>
  <c r="C190" i="7"/>
  <c r="AC189" i="7"/>
  <c r="AD189" i="7" s="1"/>
  <c r="AA189" i="7"/>
  <c r="W189" i="7"/>
  <c r="X189" i="7" s="1"/>
  <c r="U189" i="7"/>
  <c r="R189" i="7"/>
  <c r="N189" i="7"/>
  <c r="O189" i="7" s="1"/>
  <c r="L189" i="7"/>
  <c r="I189" i="7"/>
  <c r="H189" i="7"/>
  <c r="F189" i="7"/>
  <c r="C189" i="7"/>
  <c r="AD188" i="7"/>
  <c r="AC188" i="7"/>
  <c r="AA188" i="7"/>
  <c r="W188" i="7"/>
  <c r="X188" i="7" s="1"/>
  <c r="U188" i="7"/>
  <c r="R188" i="7"/>
  <c r="N188" i="7"/>
  <c r="O188" i="7" s="1"/>
  <c r="L188" i="7"/>
  <c r="H188" i="7"/>
  <c r="I188" i="7" s="1"/>
  <c r="F188" i="7"/>
  <c r="C188" i="7"/>
  <c r="AD187" i="7"/>
  <c r="AC187" i="7"/>
  <c r="AA187" i="7"/>
  <c r="X187" i="7"/>
  <c r="W187" i="7"/>
  <c r="U187" i="7"/>
  <c r="R187" i="7"/>
  <c r="N187" i="7"/>
  <c r="O187" i="7" s="1"/>
  <c r="L187" i="7"/>
  <c r="I187" i="7"/>
  <c r="H187" i="7"/>
  <c r="F187" i="7"/>
  <c r="C187" i="7"/>
  <c r="AD186" i="7"/>
  <c r="AC186" i="7"/>
  <c r="AA186" i="7"/>
  <c r="W186" i="7"/>
  <c r="X186" i="7" s="1"/>
  <c r="U186" i="7"/>
  <c r="R186" i="7"/>
  <c r="O186" i="7"/>
  <c r="N186" i="7"/>
  <c r="L186" i="7"/>
  <c r="I186" i="7"/>
  <c r="H186" i="7"/>
  <c r="F186" i="7"/>
  <c r="C186" i="7"/>
  <c r="AD184" i="7"/>
  <c r="AC184" i="7"/>
  <c r="AA184" i="7"/>
  <c r="W184" i="7"/>
  <c r="X184" i="7" s="1"/>
  <c r="U184" i="7"/>
  <c r="R184" i="7"/>
  <c r="O184" i="7"/>
  <c r="N184" i="7"/>
  <c r="L184" i="7"/>
  <c r="I184" i="7"/>
  <c r="H184" i="7"/>
  <c r="F184" i="7"/>
  <c r="C184" i="7"/>
  <c r="AC183" i="7"/>
  <c r="AD183" i="7" s="1"/>
  <c r="AA183" i="7"/>
  <c r="X183" i="7"/>
  <c r="W183" i="7"/>
  <c r="U183" i="7"/>
  <c r="R183" i="7"/>
  <c r="N183" i="7"/>
  <c r="O183" i="7" s="1"/>
  <c r="L183" i="7"/>
  <c r="I183" i="7"/>
  <c r="H183" i="7"/>
  <c r="F183" i="7"/>
  <c r="C183" i="7"/>
  <c r="AA182" i="7"/>
  <c r="Z182" i="7"/>
  <c r="W182" i="7"/>
  <c r="X182" i="7" s="1"/>
  <c r="U182" i="7"/>
  <c r="T182" i="7"/>
  <c r="R182" i="7"/>
  <c r="Q182" i="7"/>
  <c r="K182" i="7"/>
  <c r="L182" i="7" s="1"/>
  <c r="F182" i="7"/>
  <c r="E182" i="7"/>
  <c r="B182" i="7"/>
  <c r="H182" i="7" s="1"/>
  <c r="I182" i="7" s="1"/>
  <c r="AC181" i="7"/>
  <c r="AD181" i="7" s="1"/>
  <c r="AA181" i="7"/>
  <c r="W181" i="7"/>
  <c r="X181" i="7" s="1"/>
  <c r="U181" i="7"/>
  <c r="R181" i="7"/>
  <c r="N181" i="7"/>
  <c r="O181" i="7" s="1"/>
  <c r="L181" i="7"/>
  <c r="I181" i="7"/>
  <c r="H181" i="7"/>
  <c r="F181" i="7"/>
  <c r="C181" i="7"/>
  <c r="AD180" i="7"/>
  <c r="AC180" i="7"/>
  <c r="AA180" i="7"/>
  <c r="W180" i="7"/>
  <c r="X180" i="7" s="1"/>
  <c r="U180" i="7"/>
  <c r="R180" i="7"/>
  <c r="N180" i="7"/>
  <c r="O180" i="7" s="1"/>
  <c r="L180" i="7"/>
  <c r="H180" i="7"/>
  <c r="I180" i="7" s="1"/>
  <c r="F180" i="7"/>
  <c r="C180" i="7"/>
  <c r="AD179" i="7"/>
  <c r="AC179" i="7"/>
  <c r="AA179" i="7"/>
  <c r="X179" i="7"/>
  <c r="W179" i="7"/>
  <c r="U179" i="7"/>
  <c r="R179" i="7"/>
  <c r="N179" i="7"/>
  <c r="O179" i="7" s="1"/>
  <c r="L179" i="7"/>
  <c r="I179" i="7"/>
  <c r="H179" i="7"/>
  <c r="F179" i="7"/>
  <c r="C179" i="7"/>
  <c r="AD178" i="7"/>
  <c r="AC178" i="7"/>
  <c r="AA178" i="7"/>
  <c r="W178" i="7"/>
  <c r="X178" i="7" s="1"/>
  <c r="U178" i="7"/>
  <c r="R178" i="7"/>
  <c r="O178" i="7"/>
  <c r="N178" i="7"/>
  <c r="L178" i="7"/>
  <c r="I178" i="7"/>
  <c r="H178" i="7"/>
  <c r="F178" i="7"/>
  <c r="C178" i="7"/>
  <c r="AD177" i="7"/>
  <c r="AC177" i="7"/>
  <c r="AA177" i="7"/>
  <c r="W177" i="7"/>
  <c r="X177" i="7" s="1"/>
  <c r="U177" i="7"/>
  <c r="R177" i="7"/>
  <c r="O177" i="7"/>
  <c r="N177" i="7"/>
  <c r="L177" i="7"/>
  <c r="I177" i="7"/>
  <c r="H177" i="7"/>
  <c r="F177" i="7"/>
  <c r="C177" i="7"/>
  <c r="AC175" i="7"/>
  <c r="AD175" i="7" s="1"/>
  <c r="AA175" i="7"/>
  <c r="X175" i="7"/>
  <c r="W175" i="7"/>
  <c r="U175" i="7"/>
  <c r="R175" i="7"/>
  <c r="N175" i="7"/>
  <c r="O175" i="7" s="1"/>
  <c r="L175" i="7"/>
  <c r="I175" i="7"/>
  <c r="H175" i="7"/>
  <c r="F175" i="7"/>
  <c r="C175" i="7"/>
  <c r="Z172" i="7"/>
  <c r="Z198" i="7" s="1"/>
  <c r="Z345" i="7" s="1"/>
  <c r="K172" i="7"/>
  <c r="K198" i="7" s="1"/>
  <c r="C172" i="7"/>
  <c r="B172" i="7"/>
  <c r="N172" i="7" s="1"/>
  <c r="O172" i="7" s="1"/>
  <c r="AA171" i="7"/>
  <c r="Z171" i="7"/>
  <c r="U171" i="7"/>
  <c r="T171" i="7"/>
  <c r="R171" i="7"/>
  <c r="Q171" i="7"/>
  <c r="AC171" i="7" s="1"/>
  <c r="AD171" i="7" s="1"/>
  <c r="L171" i="7"/>
  <c r="K171" i="7"/>
  <c r="H171" i="7"/>
  <c r="I171" i="7" s="1"/>
  <c r="F171" i="7"/>
  <c r="E171" i="7"/>
  <c r="C171" i="7"/>
  <c r="B171" i="7"/>
  <c r="N171" i="7" s="1"/>
  <c r="O171" i="7" s="1"/>
  <c r="Z170" i="7"/>
  <c r="AA170" i="7" s="1"/>
  <c r="X170" i="7"/>
  <c r="W170" i="7"/>
  <c r="U170" i="7"/>
  <c r="T170" i="7"/>
  <c r="R170" i="7"/>
  <c r="Q170" i="7"/>
  <c r="L170" i="7"/>
  <c r="K170" i="7"/>
  <c r="F170" i="7"/>
  <c r="E170" i="7"/>
  <c r="B170" i="7"/>
  <c r="H170" i="7" s="1"/>
  <c r="I170" i="7" s="1"/>
  <c r="AD169" i="7"/>
  <c r="AC169" i="7"/>
  <c r="AA169" i="7"/>
  <c r="W169" i="7"/>
  <c r="X169" i="7" s="1"/>
  <c r="U169" i="7"/>
  <c r="R169" i="7"/>
  <c r="N169" i="7"/>
  <c r="O169" i="7" s="1"/>
  <c r="L169" i="7"/>
  <c r="I169" i="7"/>
  <c r="H169" i="7"/>
  <c r="F169" i="7"/>
  <c r="C169" i="7"/>
  <c r="AC168" i="7"/>
  <c r="AD168" i="7" s="1"/>
  <c r="AA168" i="7"/>
  <c r="X168" i="7"/>
  <c r="W168" i="7"/>
  <c r="U168" i="7"/>
  <c r="R168" i="7"/>
  <c r="N168" i="7"/>
  <c r="O168" i="7" s="1"/>
  <c r="L168" i="7"/>
  <c r="H168" i="7"/>
  <c r="I168" i="7" s="1"/>
  <c r="F168" i="7"/>
  <c r="C168" i="7"/>
  <c r="AD167" i="7"/>
  <c r="AC167" i="7"/>
  <c r="AA167" i="7"/>
  <c r="W167" i="7"/>
  <c r="X167" i="7" s="1"/>
  <c r="U167" i="7"/>
  <c r="R167" i="7"/>
  <c r="N167" i="7"/>
  <c r="O167" i="7" s="1"/>
  <c r="L167" i="7"/>
  <c r="I167" i="7"/>
  <c r="H167" i="7"/>
  <c r="F167" i="7"/>
  <c r="C167" i="7"/>
  <c r="AA166" i="7"/>
  <c r="Z166" i="7"/>
  <c r="X166" i="7"/>
  <c r="W166" i="7"/>
  <c r="U166" i="7"/>
  <c r="T166" i="7"/>
  <c r="R166" i="7"/>
  <c r="Q166" i="7"/>
  <c r="AC166" i="7" s="1"/>
  <c r="AD166" i="7" s="1"/>
  <c r="L166" i="7"/>
  <c r="K166" i="7"/>
  <c r="I166" i="7"/>
  <c r="H166" i="7"/>
  <c r="F166" i="7"/>
  <c r="E166" i="7"/>
  <c r="C166" i="7"/>
  <c r="B166" i="7"/>
  <c r="N166" i="7" s="1"/>
  <c r="O166" i="7" s="1"/>
  <c r="AD165" i="7"/>
  <c r="AC165" i="7"/>
  <c r="AA165" i="7"/>
  <c r="X165" i="7"/>
  <c r="W165" i="7"/>
  <c r="U165" i="7"/>
  <c r="R165" i="7"/>
  <c r="N165" i="7"/>
  <c r="O165" i="7" s="1"/>
  <c r="L165" i="7"/>
  <c r="I165" i="7"/>
  <c r="H165" i="7"/>
  <c r="F165" i="7"/>
  <c r="C165" i="7"/>
  <c r="AD164" i="7"/>
  <c r="AC164" i="7"/>
  <c r="AA164" i="7"/>
  <c r="X164" i="7"/>
  <c r="W164" i="7"/>
  <c r="U164" i="7"/>
  <c r="R164" i="7"/>
  <c r="N164" i="7"/>
  <c r="O164" i="7" s="1"/>
  <c r="L164" i="7"/>
  <c r="I164" i="7"/>
  <c r="H164" i="7"/>
  <c r="F164" i="7"/>
  <c r="C164" i="7"/>
  <c r="AD163" i="7"/>
  <c r="AC163" i="7"/>
  <c r="AA163" i="7"/>
  <c r="W163" i="7"/>
  <c r="X163" i="7" s="1"/>
  <c r="U163" i="7"/>
  <c r="R163" i="7"/>
  <c r="O163" i="7"/>
  <c r="N163" i="7"/>
  <c r="L163" i="7"/>
  <c r="I163" i="7"/>
  <c r="H163" i="7"/>
  <c r="F163" i="7"/>
  <c r="C163" i="7"/>
  <c r="AD162" i="7"/>
  <c r="AC162" i="7"/>
  <c r="AA162" i="7"/>
  <c r="W162" i="7"/>
  <c r="X162" i="7" s="1"/>
  <c r="U162" i="7"/>
  <c r="R162" i="7"/>
  <c r="N162" i="7"/>
  <c r="O162" i="7" s="1"/>
  <c r="L162" i="7"/>
  <c r="I162" i="7"/>
  <c r="H162" i="7"/>
  <c r="F162" i="7"/>
  <c r="C162" i="7"/>
  <c r="AC161" i="7"/>
  <c r="AD161" i="7" s="1"/>
  <c r="AA161" i="7"/>
  <c r="X161" i="7"/>
  <c r="W161" i="7"/>
  <c r="U161" i="7"/>
  <c r="R161" i="7"/>
  <c r="N161" i="7"/>
  <c r="O161" i="7" s="1"/>
  <c r="L161" i="7"/>
  <c r="H161" i="7"/>
  <c r="I161" i="7" s="1"/>
  <c r="F161" i="7"/>
  <c r="C161" i="7"/>
  <c r="AD160" i="7"/>
  <c r="AC160" i="7"/>
  <c r="AA160" i="7"/>
  <c r="W160" i="7"/>
  <c r="X160" i="7" s="1"/>
  <c r="U160" i="7"/>
  <c r="R160" i="7"/>
  <c r="N160" i="7"/>
  <c r="O160" i="7" s="1"/>
  <c r="L160" i="7"/>
  <c r="I160" i="7"/>
  <c r="H160" i="7"/>
  <c r="F160" i="7"/>
  <c r="C160" i="7"/>
  <c r="AA158" i="7"/>
  <c r="Z158" i="7"/>
  <c r="X158" i="7"/>
  <c r="W158" i="7"/>
  <c r="U158" i="7"/>
  <c r="T158" i="7"/>
  <c r="R158" i="7"/>
  <c r="Q158" i="7"/>
  <c r="AC158" i="7" s="1"/>
  <c r="AD158" i="7" s="1"/>
  <c r="L158" i="7"/>
  <c r="K158" i="7"/>
  <c r="I158" i="7"/>
  <c r="H158" i="7"/>
  <c r="F158" i="7"/>
  <c r="E158" i="7"/>
  <c r="C158" i="7"/>
  <c r="B158" i="7"/>
  <c r="N158" i="7" s="1"/>
  <c r="O158" i="7" s="1"/>
  <c r="AD157" i="7"/>
  <c r="AC157" i="7"/>
  <c r="AA157" i="7"/>
  <c r="X157" i="7"/>
  <c r="W157" i="7"/>
  <c r="U157" i="7"/>
  <c r="R157" i="7"/>
  <c r="N157" i="7"/>
  <c r="O157" i="7" s="1"/>
  <c r="L157" i="7"/>
  <c r="I157" i="7"/>
  <c r="H157" i="7"/>
  <c r="F157" i="7"/>
  <c r="C157" i="7"/>
  <c r="AD156" i="7"/>
  <c r="AC156" i="7"/>
  <c r="AA156" i="7"/>
  <c r="X156" i="7"/>
  <c r="W156" i="7"/>
  <c r="U156" i="7"/>
  <c r="R156" i="7"/>
  <c r="N156" i="7"/>
  <c r="O156" i="7" s="1"/>
  <c r="L156" i="7"/>
  <c r="H156" i="7"/>
  <c r="I156" i="7" s="1"/>
  <c r="F156" i="7"/>
  <c r="C156" i="7"/>
  <c r="AD155" i="7"/>
  <c r="AC155" i="7"/>
  <c r="AA155" i="7"/>
  <c r="W155" i="7"/>
  <c r="X155" i="7" s="1"/>
  <c r="U155" i="7"/>
  <c r="R155" i="7"/>
  <c r="O155" i="7"/>
  <c r="N155" i="7"/>
  <c r="L155" i="7"/>
  <c r="I155" i="7"/>
  <c r="H155" i="7"/>
  <c r="F155" i="7"/>
  <c r="C155" i="7"/>
  <c r="AD154" i="7"/>
  <c r="AC154" i="7"/>
  <c r="AA154" i="7"/>
  <c r="W154" i="7"/>
  <c r="X154" i="7" s="1"/>
  <c r="U154" i="7"/>
  <c r="R154" i="7"/>
  <c r="N154" i="7"/>
  <c r="O154" i="7" s="1"/>
  <c r="L154" i="7"/>
  <c r="I154" i="7"/>
  <c r="H154" i="7"/>
  <c r="F154" i="7"/>
  <c r="C154" i="7"/>
  <c r="AC153" i="7"/>
  <c r="AD153" i="7" s="1"/>
  <c r="AA153" i="7"/>
  <c r="X153" i="7"/>
  <c r="W153" i="7"/>
  <c r="U153" i="7"/>
  <c r="R153" i="7"/>
  <c r="N153" i="7"/>
  <c r="O153" i="7" s="1"/>
  <c r="L153" i="7"/>
  <c r="H153" i="7"/>
  <c r="I153" i="7" s="1"/>
  <c r="F153" i="7"/>
  <c r="C153" i="7"/>
  <c r="AD151" i="7"/>
  <c r="AC151" i="7"/>
  <c r="AA151" i="7"/>
  <c r="W151" i="7"/>
  <c r="X151" i="7" s="1"/>
  <c r="U151" i="7"/>
  <c r="R151" i="7"/>
  <c r="N151" i="7"/>
  <c r="O151" i="7" s="1"/>
  <c r="L151" i="7"/>
  <c r="H151" i="7"/>
  <c r="I151" i="7" s="1"/>
  <c r="F151" i="7"/>
  <c r="C151" i="7"/>
  <c r="AA149" i="7"/>
  <c r="Z149" i="7"/>
  <c r="X149" i="7"/>
  <c r="W149" i="7"/>
  <c r="U149" i="7"/>
  <c r="T149" i="7"/>
  <c r="R149" i="7"/>
  <c r="Q149" i="7"/>
  <c r="AC149" i="7" s="1"/>
  <c r="AD149" i="7" s="1"/>
  <c r="L149" i="7"/>
  <c r="K149" i="7"/>
  <c r="H149" i="7"/>
  <c r="I149" i="7" s="1"/>
  <c r="F149" i="7"/>
  <c r="E149" i="7"/>
  <c r="C149" i="7"/>
  <c r="B149" i="7"/>
  <c r="N149" i="7" s="1"/>
  <c r="O149" i="7" s="1"/>
  <c r="Z148" i="7"/>
  <c r="AA148" i="7" s="1"/>
  <c r="U148" i="7"/>
  <c r="T148" i="7"/>
  <c r="R148" i="7"/>
  <c r="Q148" i="7"/>
  <c r="W148" i="7" s="1"/>
  <c r="X148" i="7" s="1"/>
  <c r="L148" i="7"/>
  <c r="K148" i="7"/>
  <c r="E148" i="7"/>
  <c r="F148" i="7" s="1"/>
  <c r="C148" i="7"/>
  <c r="B148" i="7"/>
  <c r="AD147" i="7"/>
  <c r="AC147" i="7"/>
  <c r="AA147" i="7"/>
  <c r="W147" i="7"/>
  <c r="X147" i="7" s="1"/>
  <c r="U147" i="7"/>
  <c r="R147" i="7"/>
  <c r="O147" i="7"/>
  <c r="N147" i="7"/>
  <c r="L147" i="7"/>
  <c r="I147" i="7"/>
  <c r="H147" i="7"/>
  <c r="F147" i="7"/>
  <c r="C147" i="7"/>
  <c r="AD146" i="7"/>
  <c r="AC146" i="7"/>
  <c r="AA146" i="7"/>
  <c r="W146" i="7"/>
  <c r="X146" i="7" s="1"/>
  <c r="U146" i="7"/>
  <c r="R146" i="7"/>
  <c r="N146" i="7"/>
  <c r="O146" i="7" s="1"/>
  <c r="L146" i="7"/>
  <c r="I146" i="7"/>
  <c r="H146" i="7"/>
  <c r="F146" i="7"/>
  <c r="C146" i="7"/>
  <c r="AC145" i="7"/>
  <c r="AD145" i="7" s="1"/>
  <c r="AA145" i="7"/>
  <c r="X145" i="7"/>
  <c r="W145" i="7"/>
  <c r="U145" i="7"/>
  <c r="R145" i="7"/>
  <c r="N145" i="7"/>
  <c r="O145" i="7" s="1"/>
  <c r="L145" i="7"/>
  <c r="H145" i="7"/>
  <c r="I145" i="7" s="1"/>
  <c r="F145" i="7"/>
  <c r="C145" i="7"/>
  <c r="AD144" i="7"/>
  <c r="AC144" i="7"/>
  <c r="AA144" i="7"/>
  <c r="W144" i="7"/>
  <c r="X144" i="7" s="1"/>
  <c r="U144" i="7"/>
  <c r="R144" i="7"/>
  <c r="N144" i="7"/>
  <c r="O144" i="7" s="1"/>
  <c r="L144" i="7"/>
  <c r="H144" i="7"/>
  <c r="I144" i="7" s="1"/>
  <c r="F144" i="7"/>
  <c r="C144" i="7"/>
  <c r="AD143" i="7"/>
  <c r="AC143" i="7"/>
  <c r="AA143" i="7"/>
  <c r="W143" i="7"/>
  <c r="X143" i="7" s="1"/>
  <c r="U143" i="7"/>
  <c r="R143" i="7"/>
  <c r="N143" i="7"/>
  <c r="O143" i="7" s="1"/>
  <c r="L143" i="7"/>
  <c r="I143" i="7"/>
  <c r="H143" i="7"/>
  <c r="F143" i="7"/>
  <c r="C143" i="7"/>
  <c r="AA141" i="7"/>
  <c r="Z141" i="7"/>
  <c r="U141" i="7"/>
  <c r="T141" i="7"/>
  <c r="Q141" i="7"/>
  <c r="W141" i="7" s="1"/>
  <c r="X141" i="7" s="1"/>
  <c r="L141" i="7"/>
  <c r="K141" i="7"/>
  <c r="I141" i="7"/>
  <c r="H141" i="7"/>
  <c r="F141" i="7"/>
  <c r="E141" i="7"/>
  <c r="C141" i="7"/>
  <c r="B141" i="7"/>
  <c r="N141" i="7" s="1"/>
  <c r="O141" i="7" s="1"/>
  <c r="AD140" i="7"/>
  <c r="AC140" i="7"/>
  <c r="AA140" i="7"/>
  <c r="X140" i="7"/>
  <c r="W140" i="7"/>
  <c r="U140" i="7"/>
  <c r="R140" i="7"/>
  <c r="N140" i="7"/>
  <c r="O140" i="7" s="1"/>
  <c r="L140" i="7"/>
  <c r="H140" i="7"/>
  <c r="I140" i="7" s="1"/>
  <c r="F140" i="7"/>
  <c r="C140" i="7"/>
  <c r="AD139" i="7"/>
  <c r="AC139" i="7"/>
  <c r="AA139" i="7"/>
  <c r="W139" i="7"/>
  <c r="X139" i="7" s="1"/>
  <c r="U139" i="7"/>
  <c r="R139" i="7"/>
  <c r="O139" i="7"/>
  <c r="N139" i="7"/>
  <c r="L139" i="7"/>
  <c r="I139" i="7"/>
  <c r="H139" i="7"/>
  <c r="F139" i="7"/>
  <c r="C139" i="7"/>
  <c r="AD138" i="7"/>
  <c r="AC138" i="7"/>
  <c r="AA138" i="7"/>
  <c r="W138" i="7"/>
  <c r="X138" i="7" s="1"/>
  <c r="U138" i="7"/>
  <c r="R138" i="7"/>
  <c r="O138" i="7"/>
  <c r="N138" i="7"/>
  <c r="L138" i="7"/>
  <c r="I138" i="7"/>
  <c r="H138" i="7"/>
  <c r="F138" i="7"/>
  <c r="C138" i="7"/>
  <c r="AC137" i="7"/>
  <c r="AD137" i="7" s="1"/>
  <c r="AA137" i="7"/>
  <c r="X137" i="7"/>
  <c r="W137" i="7"/>
  <c r="U137" i="7"/>
  <c r="R137" i="7"/>
  <c r="N137" i="7"/>
  <c r="O137" i="7" s="1"/>
  <c r="L137" i="7"/>
  <c r="I137" i="7"/>
  <c r="H137" i="7"/>
  <c r="F137" i="7"/>
  <c r="C137" i="7"/>
  <c r="AD136" i="7"/>
  <c r="AC136" i="7"/>
  <c r="AA136" i="7"/>
  <c r="W136" i="7"/>
  <c r="X136" i="7" s="1"/>
  <c r="U136" i="7"/>
  <c r="R136" i="7"/>
  <c r="N136" i="7"/>
  <c r="O136" i="7" s="1"/>
  <c r="L136" i="7"/>
  <c r="H136" i="7"/>
  <c r="I136" i="7" s="1"/>
  <c r="F136" i="7"/>
  <c r="C136" i="7"/>
  <c r="AD135" i="7"/>
  <c r="AC135" i="7"/>
  <c r="AA135" i="7"/>
  <c r="W135" i="7"/>
  <c r="X135" i="7" s="1"/>
  <c r="U135" i="7"/>
  <c r="R135" i="7"/>
  <c r="N135" i="7"/>
  <c r="O135" i="7" s="1"/>
  <c r="L135" i="7"/>
  <c r="I135" i="7"/>
  <c r="H135" i="7"/>
  <c r="F135" i="7"/>
  <c r="C135" i="7"/>
  <c r="AD134" i="7"/>
  <c r="AC134" i="7"/>
  <c r="AA134" i="7"/>
  <c r="W134" i="7"/>
  <c r="X134" i="7" s="1"/>
  <c r="U134" i="7"/>
  <c r="R134" i="7"/>
  <c r="O134" i="7"/>
  <c r="N134" i="7"/>
  <c r="L134" i="7"/>
  <c r="I134" i="7"/>
  <c r="H134" i="7"/>
  <c r="F134" i="7"/>
  <c r="C134" i="7"/>
  <c r="AD133" i="7"/>
  <c r="AC133" i="7"/>
  <c r="AA133" i="7"/>
  <c r="X133" i="7"/>
  <c r="W133" i="7"/>
  <c r="U133" i="7"/>
  <c r="R133" i="7"/>
  <c r="N133" i="7"/>
  <c r="O133" i="7" s="1"/>
  <c r="L133" i="7"/>
  <c r="I133" i="7"/>
  <c r="H133" i="7"/>
  <c r="F133" i="7"/>
  <c r="C133" i="7"/>
  <c r="AD132" i="7"/>
  <c r="AC132" i="7"/>
  <c r="AA132" i="7"/>
  <c r="X132" i="7"/>
  <c r="W132" i="7"/>
  <c r="U132" i="7"/>
  <c r="R132" i="7"/>
  <c r="N132" i="7"/>
  <c r="O132" i="7" s="1"/>
  <c r="L132" i="7"/>
  <c r="H132" i="7"/>
  <c r="I132" i="7" s="1"/>
  <c r="F132" i="7"/>
  <c r="C132" i="7"/>
  <c r="AD131" i="7"/>
  <c r="AC131" i="7"/>
  <c r="AA131" i="7"/>
  <c r="W131" i="7"/>
  <c r="X131" i="7" s="1"/>
  <c r="U131" i="7"/>
  <c r="R131" i="7"/>
  <c r="O131" i="7"/>
  <c r="N131" i="7"/>
  <c r="L131" i="7"/>
  <c r="I131" i="7"/>
  <c r="H131" i="7"/>
  <c r="F131" i="7"/>
  <c r="C131" i="7"/>
  <c r="AD130" i="7"/>
  <c r="AC130" i="7"/>
  <c r="AA130" i="7"/>
  <c r="W130" i="7"/>
  <c r="X130" i="7" s="1"/>
  <c r="U130" i="7"/>
  <c r="R130" i="7"/>
  <c r="N130" i="7"/>
  <c r="O130" i="7" s="1"/>
  <c r="L130" i="7"/>
  <c r="I130" i="7"/>
  <c r="H130" i="7"/>
  <c r="F130" i="7"/>
  <c r="C130" i="7"/>
  <c r="AC129" i="7"/>
  <c r="AD129" i="7" s="1"/>
  <c r="AA129" i="7"/>
  <c r="W129" i="7"/>
  <c r="X129" i="7" s="1"/>
  <c r="U129" i="7"/>
  <c r="R129" i="7"/>
  <c r="N129" i="7"/>
  <c r="O129" i="7" s="1"/>
  <c r="L129" i="7"/>
  <c r="H129" i="7"/>
  <c r="I129" i="7" s="1"/>
  <c r="F129" i="7"/>
  <c r="C129" i="7"/>
  <c r="AD127" i="7"/>
  <c r="AC127" i="7"/>
  <c r="AA127" i="7"/>
  <c r="W127" i="7"/>
  <c r="X127" i="7" s="1"/>
  <c r="U127" i="7"/>
  <c r="R127" i="7"/>
  <c r="N127" i="7"/>
  <c r="O127" i="7" s="1"/>
  <c r="L127" i="7"/>
  <c r="H127" i="7"/>
  <c r="I127" i="7" s="1"/>
  <c r="F127" i="7"/>
  <c r="C127" i="7"/>
  <c r="AA124" i="7"/>
  <c r="Z124" i="7"/>
  <c r="X124" i="7"/>
  <c r="W124" i="7"/>
  <c r="U124" i="7"/>
  <c r="T124" i="7"/>
  <c r="R124" i="7"/>
  <c r="Q124" i="7"/>
  <c r="AC124" i="7" s="1"/>
  <c r="AD124" i="7" s="1"/>
  <c r="L124" i="7"/>
  <c r="K124" i="7"/>
  <c r="H124" i="7"/>
  <c r="I124" i="7" s="1"/>
  <c r="F124" i="7"/>
  <c r="E124" i="7"/>
  <c r="E172" i="7" s="1"/>
  <c r="E198" i="7" s="1"/>
  <c r="C124" i="7"/>
  <c r="B124" i="7"/>
  <c r="N124" i="7" s="1"/>
  <c r="O124" i="7" s="1"/>
  <c r="AD123" i="7"/>
  <c r="AC123" i="7"/>
  <c r="AA123" i="7"/>
  <c r="X123" i="7"/>
  <c r="W123" i="7"/>
  <c r="U123" i="7"/>
  <c r="R123" i="7"/>
  <c r="N123" i="7"/>
  <c r="O123" i="7" s="1"/>
  <c r="L123" i="7"/>
  <c r="I123" i="7"/>
  <c r="H123" i="7"/>
  <c r="F123" i="7"/>
  <c r="C123" i="7"/>
  <c r="Z122" i="7"/>
  <c r="AA122" i="7" s="1"/>
  <c r="X122" i="7"/>
  <c r="W122" i="7"/>
  <c r="U122" i="7"/>
  <c r="T122" i="7"/>
  <c r="R122" i="7"/>
  <c r="Q122" i="7"/>
  <c r="N122" i="7"/>
  <c r="O122" i="7" s="1"/>
  <c r="L122" i="7"/>
  <c r="K122" i="7"/>
  <c r="F122" i="7"/>
  <c r="E122" i="7"/>
  <c r="B122" i="7"/>
  <c r="H122" i="7" s="1"/>
  <c r="I122" i="7" s="1"/>
  <c r="AD121" i="7"/>
  <c r="AC121" i="7"/>
  <c r="AA121" i="7"/>
  <c r="W121" i="7"/>
  <c r="X121" i="7" s="1"/>
  <c r="U121" i="7"/>
  <c r="R121" i="7"/>
  <c r="N121" i="7"/>
  <c r="O121" i="7" s="1"/>
  <c r="L121" i="7"/>
  <c r="I121" i="7"/>
  <c r="H121" i="7"/>
  <c r="F121" i="7"/>
  <c r="C121" i="7"/>
  <c r="AC120" i="7"/>
  <c r="AD120" i="7" s="1"/>
  <c r="AA120" i="7"/>
  <c r="X120" i="7"/>
  <c r="W120" i="7"/>
  <c r="U120" i="7"/>
  <c r="R120" i="7"/>
  <c r="N120" i="7"/>
  <c r="O120" i="7" s="1"/>
  <c r="L120" i="7"/>
  <c r="H120" i="7"/>
  <c r="I120" i="7" s="1"/>
  <c r="F120" i="7"/>
  <c r="C120" i="7"/>
  <c r="AD119" i="7"/>
  <c r="AC119" i="7"/>
  <c r="AA119" i="7"/>
  <c r="W119" i="7"/>
  <c r="X119" i="7" s="1"/>
  <c r="U119" i="7"/>
  <c r="R119" i="7"/>
  <c r="N119" i="7"/>
  <c r="O119" i="7" s="1"/>
  <c r="L119" i="7"/>
  <c r="H119" i="7"/>
  <c r="I119" i="7" s="1"/>
  <c r="F119" i="7"/>
  <c r="C119" i="7"/>
  <c r="AA118" i="7"/>
  <c r="Z118" i="7"/>
  <c r="X118" i="7"/>
  <c r="W118" i="7"/>
  <c r="U118" i="7"/>
  <c r="T118" i="7"/>
  <c r="R118" i="7"/>
  <c r="Q118" i="7"/>
  <c r="AC118" i="7" s="1"/>
  <c r="AD118" i="7" s="1"/>
  <c r="L118" i="7"/>
  <c r="K118" i="7"/>
  <c r="H118" i="7"/>
  <c r="I118" i="7" s="1"/>
  <c r="F118" i="7"/>
  <c r="E118" i="7"/>
  <c r="C118" i="7"/>
  <c r="B118" i="7"/>
  <c r="N118" i="7" s="1"/>
  <c r="O118" i="7" s="1"/>
  <c r="AD117" i="7"/>
  <c r="AC117" i="7"/>
  <c r="AA117" i="7"/>
  <c r="X117" i="7"/>
  <c r="W117" i="7"/>
  <c r="U117" i="7"/>
  <c r="R117" i="7"/>
  <c r="N117" i="7"/>
  <c r="O117" i="7" s="1"/>
  <c r="L117" i="7"/>
  <c r="I117" i="7"/>
  <c r="H117" i="7"/>
  <c r="F117" i="7"/>
  <c r="C117" i="7"/>
  <c r="AD116" i="7"/>
  <c r="AC116" i="7"/>
  <c r="AA116" i="7"/>
  <c r="X116" i="7"/>
  <c r="W116" i="7"/>
  <c r="U116" i="7"/>
  <c r="R116" i="7"/>
  <c r="N116" i="7"/>
  <c r="O116" i="7" s="1"/>
  <c r="L116" i="7"/>
  <c r="H116" i="7"/>
  <c r="I116" i="7" s="1"/>
  <c r="F116" i="7"/>
  <c r="C116" i="7"/>
  <c r="AD115" i="7"/>
  <c r="AC115" i="7"/>
  <c r="AA115" i="7"/>
  <c r="W115" i="7"/>
  <c r="X115" i="7" s="1"/>
  <c r="U115" i="7"/>
  <c r="R115" i="7"/>
  <c r="O115" i="7"/>
  <c r="N115" i="7"/>
  <c r="L115" i="7"/>
  <c r="I115" i="7"/>
  <c r="H115" i="7"/>
  <c r="F115" i="7"/>
  <c r="C115" i="7"/>
  <c r="AD114" i="7"/>
  <c r="AC114" i="7"/>
  <c r="AA114" i="7"/>
  <c r="W114" i="7"/>
  <c r="X114" i="7" s="1"/>
  <c r="U114" i="7"/>
  <c r="R114" i="7"/>
  <c r="N114" i="7"/>
  <c r="O114" i="7" s="1"/>
  <c r="L114" i="7"/>
  <c r="I114" i="7"/>
  <c r="H114" i="7"/>
  <c r="F114" i="7"/>
  <c r="C114" i="7"/>
  <c r="AC113" i="7"/>
  <c r="AD113" i="7" s="1"/>
  <c r="AA113" i="7"/>
  <c r="X113" i="7"/>
  <c r="W113" i="7"/>
  <c r="U113" i="7"/>
  <c r="R113" i="7"/>
  <c r="N113" i="7"/>
  <c r="O113" i="7" s="1"/>
  <c r="L113" i="7"/>
  <c r="H113" i="7"/>
  <c r="I113" i="7" s="1"/>
  <c r="F113" i="7"/>
  <c r="C113" i="7"/>
  <c r="AD112" i="7"/>
  <c r="AC112" i="7"/>
  <c r="AA112" i="7"/>
  <c r="W112" i="7"/>
  <c r="X112" i="7" s="1"/>
  <c r="U112" i="7"/>
  <c r="R112" i="7"/>
  <c r="O112" i="7"/>
  <c r="N112" i="7"/>
  <c r="L112" i="7"/>
  <c r="I112" i="7"/>
  <c r="H112" i="7"/>
  <c r="F112" i="7"/>
  <c r="C112" i="7"/>
  <c r="AD111" i="7"/>
  <c r="AC111" i="7"/>
  <c r="AA111" i="7"/>
  <c r="W111" i="7"/>
  <c r="X111" i="7" s="1"/>
  <c r="U111" i="7"/>
  <c r="R111" i="7"/>
  <c r="N111" i="7"/>
  <c r="O111" i="7" s="1"/>
  <c r="L111" i="7"/>
  <c r="I111" i="7"/>
  <c r="H111" i="7"/>
  <c r="F111" i="7"/>
  <c r="C111" i="7"/>
  <c r="AC110" i="7"/>
  <c r="AD110" i="7" s="1"/>
  <c r="AA110" i="7"/>
  <c r="X110" i="7"/>
  <c r="W110" i="7"/>
  <c r="U110" i="7"/>
  <c r="R110" i="7"/>
  <c r="N110" i="7"/>
  <c r="O110" i="7" s="1"/>
  <c r="L110" i="7"/>
  <c r="I110" i="7"/>
  <c r="H110" i="7"/>
  <c r="F110" i="7"/>
  <c r="C110" i="7"/>
  <c r="AD109" i="7"/>
  <c r="AC109" i="7"/>
  <c r="AA109" i="7"/>
  <c r="W109" i="7"/>
  <c r="X109" i="7" s="1"/>
  <c r="U109" i="7"/>
  <c r="R109" i="7"/>
  <c r="N109" i="7"/>
  <c r="O109" i="7" s="1"/>
  <c r="L109" i="7"/>
  <c r="H109" i="7"/>
  <c r="I109" i="7" s="1"/>
  <c r="F109" i="7"/>
  <c r="C109" i="7"/>
  <c r="AD108" i="7"/>
  <c r="AC108" i="7"/>
  <c r="AA108" i="7"/>
  <c r="W108" i="7"/>
  <c r="X108" i="7" s="1"/>
  <c r="U108" i="7"/>
  <c r="R108" i="7"/>
  <c r="O108" i="7"/>
  <c r="N108" i="7"/>
  <c r="L108" i="7"/>
  <c r="I108" i="7"/>
  <c r="H108" i="7"/>
  <c r="F108" i="7"/>
  <c r="C108" i="7"/>
  <c r="AD107" i="7"/>
  <c r="AC107" i="7"/>
  <c r="AA107" i="7"/>
  <c r="W107" i="7"/>
  <c r="X107" i="7" s="1"/>
  <c r="U107" i="7"/>
  <c r="R107" i="7"/>
  <c r="N107" i="7"/>
  <c r="O107" i="7" s="1"/>
  <c r="L107" i="7"/>
  <c r="I107" i="7"/>
  <c r="H107" i="7"/>
  <c r="F107" i="7"/>
  <c r="C107" i="7"/>
  <c r="AC106" i="7"/>
  <c r="AD106" i="7" s="1"/>
  <c r="AA106" i="7"/>
  <c r="X106" i="7"/>
  <c r="W106" i="7"/>
  <c r="U106" i="7"/>
  <c r="R106" i="7"/>
  <c r="N106" i="7"/>
  <c r="O106" i="7" s="1"/>
  <c r="L106" i="7"/>
  <c r="I106" i="7"/>
  <c r="H106" i="7"/>
  <c r="F106" i="7"/>
  <c r="C106" i="7"/>
  <c r="AD105" i="7"/>
  <c r="AC105" i="7"/>
  <c r="AA105" i="7"/>
  <c r="W105" i="7"/>
  <c r="X105" i="7" s="1"/>
  <c r="U105" i="7"/>
  <c r="R105" i="7"/>
  <c r="N105" i="7"/>
  <c r="O105" i="7" s="1"/>
  <c r="L105" i="7"/>
  <c r="H105" i="7"/>
  <c r="I105" i="7" s="1"/>
  <c r="F105" i="7"/>
  <c r="C105" i="7"/>
  <c r="AD104" i="7"/>
  <c r="AC104" i="7"/>
  <c r="AA104" i="7"/>
  <c r="W104" i="7"/>
  <c r="X104" i="7" s="1"/>
  <c r="U104" i="7"/>
  <c r="R104" i="7"/>
  <c r="O104" i="7"/>
  <c r="N104" i="7"/>
  <c r="L104" i="7"/>
  <c r="I104" i="7"/>
  <c r="H104" i="7"/>
  <c r="F104" i="7"/>
  <c r="C104" i="7"/>
  <c r="AD103" i="7"/>
  <c r="AC103" i="7"/>
  <c r="AA103" i="7"/>
  <c r="W103" i="7"/>
  <c r="X103" i="7" s="1"/>
  <c r="U103" i="7"/>
  <c r="R103" i="7"/>
  <c r="N103" i="7"/>
  <c r="O103" i="7" s="1"/>
  <c r="L103" i="7"/>
  <c r="I103" i="7"/>
  <c r="H103" i="7"/>
  <c r="F103" i="7"/>
  <c r="C103" i="7"/>
  <c r="AC102" i="7"/>
  <c r="AD102" i="7" s="1"/>
  <c r="AA102" i="7"/>
  <c r="X102" i="7"/>
  <c r="W102" i="7"/>
  <c r="U102" i="7"/>
  <c r="R102" i="7"/>
  <c r="N102" i="7"/>
  <c r="O102" i="7" s="1"/>
  <c r="L102" i="7"/>
  <c r="I102" i="7"/>
  <c r="H102" i="7"/>
  <c r="F102" i="7"/>
  <c r="C102" i="7"/>
  <c r="AD101" i="7"/>
  <c r="AC101" i="7"/>
  <c r="AA101" i="7"/>
  <c r="W101" i="7"/>
  <c r="X101" i="7" s="1"/>
  <c r="U101" i="7"/>
  <c r="R101" i="7"/>
  <c r="N101" i="7"/>
  <c r="O101" i="7" s="1"/>
  <c r="L101" i="7"/>
  <c r="H101" i="7"/>
  <c r="I101" i="7" s="1"/>
  <c r="F101" i="7"/>
  <c r="C101" i="7"/>
  <c r="AD100" i="7"/>
  <c r="AC100" i="7"/>
  <c r="AA100" i="7"/>
  <c r="W100" i="7"/>
  <c r="X100" i="7" s="1"/>
  <c r="U100" i="7"/>
  <c r="R100" i="7"/>
  <c r="O100" i="7"/>
  <c r="N100" i="7"/>
  <c r="L100" i="7"/>
  <c r="I100" i="7"/>
  <c r="H100" i="7"/>
  <c r="F100" i="7"/>
  <c r="C100" i="7"/>
  <c r="AD99" i="7"/>
  <c r="AC99" i="7"/>
  <c r="AA99" i="7"/>
  <c r="W99" i="7"/>
  <c r="X99" i="7" s="1"/>
  <c r="U99" i="7"/>
  <c r="R99" i="7"/>
  <c r="N99" i="7"/>
  <c r="O99" i="7" s="1"/>
  <c r="L99" i="7"/>
  <c r="I99" i="7"/>
  <c r="H99" i="7"/>
  <c r="F99" i="7"/>
  <c r="C99" i="7"/>
  <c r="AC98" i="7"/>
  <c r="AD98" i="7" s="1"/>
  <c r="AA98" i="7"/>
  <c r="X98" i="7"/>
  <c r="W98" i="7"/>
  <c r="U98" i="7"/>
  <c r="R98" i="7"/>
  <c r="N98" i="7"/>
  <c r="O98" i="7" s="1"/>
  <c r="L98" i="7"/>
  <c r="I98" i="7"/>
  <c r="H98" i="7"/>
  <c r="F98" i="7"/>
  <c r="C98" i="7"/>
  <c r="AD97" i="7"/>
  <c r="AC97" i="7"/>
  <c r="AA97" i="7"/>
  <c r="W97" i="7"/>
  <c r="X97" i="7" s="1"/>
  <c r="U97" i="7"/>
  <c r="R97" i="7"/>
  <c r="N97" i="7"/>
  <c r="O97" i="7" s="1"/>
  <c r="L97" i="7"/>
  <c r="H97" i="7"/>
  <c r="I97" i="7" s="1"/>
  <c r="F97" i="7"/>
  <c r="C97" i="7"/>
  <c r="AD96" i="7"/>
  <c r="AC96" i="7"/>
  <c r="AA96" i="7"/>
  <c r="W96" i="7"/>
  <c r="X96" i="7" s="1"/>
  <c r="U96" i="7"/>
  <c r="R96" i="7"/>
  <c r="O96" i="7"/>
  <c r="N96" i="7"/>
  <c r="L96" i="7"/>
  <c r="I96" i="7"/>
  <c r="H96" i="7"/>
  <c r="F96" i="7"/>
  <c r="C96" i="7"/>
  <c r="AD95" i="7"/>
  <c r="AC95" i="7"/>
  <c r="AA95" i="7"/>
  <c r="W95" i="7"/>
  <c r="X95" i="7" s="1"/>
  <c r="U95" i="7"/>
  <c r="R95" i="7"/>
  <c r="N95" i="7"/>
  <c r="O95" i="7" s="1"/>
  <c r="L95" i="7"/>
  <c r="I95" i="7"/>
  <c r="H95" i="7"/>
  <c r="F95" i="7"/>
  <c r="C95" i="7"/>
  <c r="AC94" i="7"/>
  <c r="AD94" i="7" s="1"/>
  <c r="AA94" i="7"/>
  <c r="X94" i="7"/>
  <c r="W94" i="7"/>
  <c r="U94" i="7"/>
  <c r="R94" i="7"/>
  <c r="N94" i="7"/>
  <c r="O94" i="7" s="1"/>
  <c r="L94" i="7"/>
  <c r="I94" i="7"/>
  <c r="H94" i="7"/>
  <c r="F94" i="7"/>
  <c r="C94" i="7"/>
  <c r="AD92" i="7"/>
  <c r="AC92" i="7"/>
  <c r="AA92" i="7"/>
  <c r="W92" i="7"/>
  <c r="X92" i="7" s="1"/>
  <c r="U92" i="7"/>
  <c r="R92" i="7"/>
  <c r="N92" i="7"/>
  <c r="O92" i="7" s="1"/>
  <c r="L92" i="7"/>
  <c r="H92" i="7"/>
  <c r="I92" i="7" s="1"/>
  <c r="F92" i="7"/>
  <c r="C92" i="7"/>
  <c r="AD91" i="7"/>
  <c r="AC91" i="7"/>
  <c r="AA91" i="7"/>
  <c r="W91" i="7"/>
  <c r="X91" i="7" s="1"/>
  <c r="U91" i="7"/>
  <c r="R91" i="7"/>
  <c r="O91" i="7"/>
  <c r="N91" i="7"/>
  <c r="L91" i="7"/>
  <c r="I91" i="7"/>
  <c r="H91" i="7"/>
  <c r="F91" i="7"/>
  <c r="C91" i="7"/>
  <c r="AD90" i="7"/>
  <c r="AC90" i="7"/>
  <c r="AA90" i="7"/>
  <c r="W90" i="7"/>
  <c r="X90" i="7" s="1"/>
  <c r="U90" i="7"/>
  <c r="R90" i="7"/>
  <c r="N90" i="7"/>
  <c r="O90" i="7" s="1"/>
  <c r="L90" i="7"/>
  <c r="I90" i="7"/>
  <c r="H90" i="7"/>
  <c r="F90" i="7"/>
  <c r="C90" i="7"/>
  <c r="AC89" i="7"/>
  <c r="AD89" i="7" s="1"/>
  <c r="AA89" i="7"/>
  <c r="X89" i="7"/>
  <c r="W89" i="7"/>
  <c r="U89" i="7"/>
  <c r="R89" i="7"/>
  <c r="N89" i="7"/>
  <c r="O89" i="7" s="1"/>
  <c r="L89" i="7"/>
  <c r="H89" i="7"/>
  <c r="I89" i="7" s="1"/>
  <c r="F89" i="7"/>
  <c r="C89" i="7"/>
  <c r="AD88" i="7"/>
  <c r="Z88" i="7"/>
  <c r="AA88" i="7" s="1"/>
  <c r="W88" i="7"/>
  <c r="X88" i="7" s="1"/>
  <c r="U88" i="7"/>
  <c r="T88" i="7"/>
  <c r="R88" i="7"/>
  <c r="Q88" i="7"/>
  <c r="AC88" i="7" s="1"/>
  <c r="N88" i="7"/>
  <c r="O88" i="7" s="1"/>
  <c r="K88" i="7"/>
  <c r="L88" i="7" s="1"/>
  <c r="F88" i="7"/>
  <c r="E88" i="7"/>
  <c r="B88" i="7"/>
  <c r="AD87" i="7"/>
  <c r="AC87" i="7"/>
  <c r="AA87" i="7"/>
  <c r="W87" i="7"/>
  <c r="X87" i="7" s="1"/>
  <c r="U87" i="7"/>
  <c r="R87" i="7"/>
  <c r="N87" i="7"/>
  <c r="O87" i="7" s="1"/>
  <c r="L87" i="7"/>
  <c r="I87" i="7"/>
  <c r="H87" i="7"/>
  <c r="F87" i="7"/>
  <c r="C87" i="7"/>
  <c r="AD86" i="7"/>
  <c r="AC86" i="7"/>
  <c r="AA86" i="7"/>
  <c r="X86" i="7"/>
  <c r="W86" i="7"/>
  <c r="U86" i="7"/>
  <c r="R86" i="7"/>
  <c r="N86" i="7"/>
  <c r="O86" i="7" s="1"/>
  <c r="L86" i="7"/>
  <c r="H86" i="7"/>
  <c r="I86" i="7" s="1"/>
  <c r="F86" i="7"/>
  <c r="C86" i="7"/>
  <c r="AD85" i="7"/>
  <c r="AC85" i="7"/>
  <c r="AA85" i="7"/>
  <c r="X85" i="7"/>
  <c r="W85" i="7"/>
  <c r="U85" i="7"/>
  <c r="R85" i="7"/>
  <c r="N85" i="7"/>
  <c r="O85" i="7" s="1"/>
  <c r="L85" i="7"/>
  <c r="H85" i="7"/>
  <c r="I85" i="7" s="1"/>
  <c r="F85" i="7"/>
  <c r="C85" i="7"/>
  <c r="AD84" i="7"/>
  <c r="AC84" i="7"/>
  <c r="AA84" i="7"/>
  <c r="W84" i="7"/>
  <c r="X84" i="7" s="1"/>
  <c r="U84" i="7"/>
  <c r="R84" i="7"/>
  <c r="O84" i="7"/>
  <c r="N84" i="7"/>
  <c r="L84" i="7"/>
  <c r="I84" i="7"/>
  <c r="H84" i="7"/>
  <c r="F84" i="7"/>
  <c r="C84" i="7"/>
  <c r="AC83" i="7"/>
  <c r="AD83" i="7" s="1"/>
  <c r="AA83" i="7"/>
  <c r="W83" i="7"/>
  <c r="X83" i="7" s="1"/>
  <c r="U83" i="7"/>
  <c r="R83" i="7"/>
  <c r="O83" i="7"/>
  <c r="N83" i="7"/>
  <c r="L83" i="7"/>
  <c r="I83" i="7"/>
  <c r="H83" i="7"/>
  <c r="F83" i="7"/>
  <c r="C83" i="7"/>
  <c r="AC82" i="7"/>
  <c r="AD82" i="7" s="1"/>
  <c r="AA82" i="7"/>
  <c r="X82" i="7"/>
  <c r="W82" i="7"/>
  <c r="U82" i="7"/>
  <c r="R82" i="7"/>
  <c r="N82" i="7"/>
  <c r="O82" i="7" s="1"/>
  <c r="L82" i="7"/>
  <c r="I82" i="7"/>
  <c r="H82" i="7"/>
  <c r="F82" i="7"/>
  <c r="C82" i="7"/>
  <c r="AD81" i="7"/>
  <c r="AC81" i="7"/>
  <c r="AA81" i="7"/>
  <c r="W81" i="7"/>
  <c r="X81" i="7" s="1"/>
  <c r="U81" i="7"/>
  <c r="R81" i="7"/>
  <c r="N81" i="7"/>
  <c r="O81" i="7" s="1"/>
  <c r="L81" i="7"/>
  <c r="I81" i="7"/>
  <c r="H81" i="7"/>
  <c r="F81" i="7"/>
  <c r="C81" i="7"/>
  <c r="AD80" i="7"/>
  <c r="AC80" i="7"/>
  <c r="AA80" i="7"/>
  <c r="W80" i="7"/>
  <c r="X80" i="7" s="1"/>
  <c r="U80" i="7"/>
  <c r="R80" i="7"/>
  <c r="O80" i="7"/>
  <c r="N80" i="7"/>
  <c r="L80" i="7"/>
  <c r="I80" i="7"/>
  <c r="H80" i="7"/>
  <c r="F80" i="7"/>
  <c r="C80" i="7"/>
  <c r="AD79" i="7"/>
  <c r="AC79" i="7"/>
  <c r="AA79" i="7"/>
  <c r="W79" i="7"/>
  <c r="X79" i="7" s="1"/>
  <c r="U79" i="7"/>
  <c r="R79" i="7"/>
  <c r="N79" i="7"/>
  <c r="O79" i="7" s="1"/>
  <c r="L79" i="7"/>
  <c r="I79" i="7"/>
  <c r="H79" i="7"/>
  <c r="F79" i="7"/>
  <c r="C79" i="7"/>
  <c r="AD78" i="7"/>
  <c r="AC78" i="7"/>
  <c r="AA78" i="7"/>
  <c r="X78" i="7"/>
  <c r="W78" i="7"/>
  <c r="U78" i="7"/>
  <c r="R78" i="7"/>
  <c r="N78" i="7"/>
  <c r="O78" i="7" s="1"/>
  <c r="L78" i="7"/>
  <c r="H78" i="7"/>
  <c r="I78" i="7" s="1"/>
  <c r="F78" i="7"/>
  <c r="C78" i="7"/>
  <c r="AD77" i="7"/>
  <c r="AC77" i="7"/>
  <c r="AA77" i="7"/>
  <c r="X77" i="7"/>
  <c r="W77" i="7"/>
  <c r="U77" i="7"/>
  <c r="R77" i="7"/>
  <c r="N77" i="7"/>
  <c r="O77" i="7" s="1"/>
  <c r="L77" i="7"/>
  <c r="H77" i="7"/>
  <c r="I77" i="7" s="1"/>
  <c r="F77" i="7"/>
  <c r="C77" i="7"/>
  <c r="AD76" i="7"/>
  <c r="AC76" i="7"/>
  <c r="AA76" i="7"/>
  <c r="W76" i="7"/>
  <c r="X76" i="7" s="1"/>
  <c r="U76" i="7"/>
  <c r="R76" i="7"/>
  <c r="O76" i="7"/>
  <c r="N76" i="7"/>
  <c r="L76" i="7"/>
  <c r="I76" i="7"/>
  <c r="H76" i="7"/>
  <c r="F76" i="7"/>
  <c r="C76" i="7"/>
  <c r="AC75" i="7"/>
  <c r="AD75" i="7" s="1"/>
  <c r="AA75" i="7"/>
  <c r="W75" i="7"/>
  <c r="X75" i="7" s="1"/>
  <c r="U75" i="7"/>
  <c r="R75" i="7"/>
  <c r="O75" i="7"/>
  <c r="N75" i="7"/>
  <c r="L75" i="7"/>
  <c r="I75" i="7"/>
  <c r="H75" i="7"/>
  <c r="F75" i="7"/>
  <c r="C75" i="7"/>
  <c r="AC73" i="7"/>
  <c r="AD73" i="7" s="1"/>
  <c r="Z73" i="7"/>
  <c r="AA73" i="7" s="1"/>
  <c r="U73" i="7"/>
  <c r="T73" i="7"/>
  <c r="R73" i="7"/>
  <c r="Q73" i="7"/>
  <c r="W73" i="7" s="1"/>
  <c r="X73" i="7" s="1"/>
  <c r="N73" i="7"/>
  <c r="O73" i="7" s="1"/>
  <c r="L73" i="7"/>
  <c r="K73" i="7"/>
  <c r="E73" i="7"/>
  <c r="F73" i="7" s="1"/>
  <c r="C73" i="7"/>
  <c r="B73" i="7"/>
  <c r="AD72" i="7"/>
  <c r="AC72" i="7"/>
  <c r="AA72" i="7"/>
  <c r="W72" i="7"/>
  <c r="X72" i="7" s="1"/>
  <c r="U72" i="7"/>
  <c r="R72" i="7"/>
  <c r="O72" i="7"/>
  <c r="N72" i="7"/>
  <c r="L72" i="7"/>
  <c r="I72" i="7"/>
  <c r="H72" i="7"/>
  <c r="F72" i="7"/>
  <c r="C72" i="7"/>
  <c r="AD71" i="7"/>
  <c r="AC71" i="7"/>
  <c r="AA71" i="7"/>
  <c r="W71" i="7"/>
  <c r="X71" i="7" s="1"/>
  <c r="U71" i="7"/>
  <c r="R71" i="7"/>
  <c r="O71" i="7"/>
  <c r="N71" i="7"/>
  <c r="L71" i="7"/>
  <c r="I71" i="7"/>
  <c r="H71" i="7"/>
  <c r="F71" i="7"/>
  <c r="C71" i="7"/>
  <c r="AC70" i="7"/>
  <c r="AD70" i="7" s="1"/>
  <c r="AA70" i="7"/>
  <c r="X70" i="7"/>
  <c r="W70" i="7"/>
  <c r="U70" i="7"/>
  <c r="R70" i="7"/>
  <c r="N70" i="7"/>
  <c r="O70" i="7" s="1"/>
  <c r="L70" i="7"/>
  <c r="I70" i="7"/>
  <c r="H70" i="7"/>
  <c r="F70" i="7"/>
  <c r="C70" i="7"/>
  <c r="AD69" i="7"/>
  <c r="AC69" i="7"/>
  <c r="AA69" i="7"/>
  <c r="W69" i="7"/>
  <c r="X69" i="7" s="1"/>
  <c r="U69" i="7"/>
  <c r="R69" i="7"/>
  <c r="N69" i="7"/>
  <c r="O69" i="7" s="1"/>
  <c r="L69" i="7"/>
  <c r="I69" i="7"/>
  <c r="H69" i="7"/>
  <c r="F69" i="7"/>
  <c r="C69" i="7"/>
  <c r="AD68" i="7"/>
  <c r="AC68" i="7"/>
  <c r="AA68" i="7"/>
  <c r="W68" i="7"/>
  <c r="X68" i="7" s="1"/>
  <c r="U68" i="7"/>
  <c r="R68" i="7"/>
  <c r="O68" i="7"/>
  <c r="N68" i="7"/>
  <c r="L68" i="7"/>
  <c r="I68" i="7"/>
  <c r="H68" i="7"/>
  <c r="F68" i="7"/>
  <c r="C68" i="7"/>
  <c r="AD67" i="7"/>
  <c r="AC67" i="7"/>
  <c r="AA67" i="7"/>
  <c r="W67" i="7"/>
  <c r="X67" i="7" s="1"/>
  <c r="U67" i="7"/>
  <c r="R67" i="7"/>
  <c r="N67" i="7"/>
  <c r="O67" i="7" s="1"/>
  <c r="L67" i="7"/>
  <c r="I67" i="7"/>
  <c r="H67" i="7"/>
  <c r="F67" i="7"/>
  <c r="C67" i="7"/>
  <c r="AD66" i="7"/>
  <c r="AC66" i="7"/>
  <c r="AA66" i="7"/>
  <c r="X66" i="7"/>
  <c r="W66" i="7"/>
  <c r="U66" i="7"/>
  <c r="R66" i="7"/>
  <c r="N66" i="7"/>
  <c r="O66" i="7" s="1"/>
  <c r="L66" i="7"/>
  <c r="H66" i="7"/>
  <c r="I66" i="7" s="1"/>
  <c r="F66" i="7"/>
  <c r="C66" i="7"/>
  <c r="AD65" i="7"/>
  <c r="AC65" i="7"/>
  <c r="AA65" i="7"/>
  <c r="X65" i="7"/>
  <c r="W65" i="7"/>
  <c r="U65" i="7"/>
  <c r="R65" i="7"/>
  <c r="N65" i="7"/>
  <c r="O65" i="7" s="1"/>
  <c r="L65" i="7"/>
  <c r="H65" i="7"/>
  <c r="I65" i="7" s="1"/>
  <c r="F65" i="7"/>
  <c r="C65" i="7"/>
  <c r="AD64" i="7"/>
  <c r="AC64" i="7"/>
  <c r="AA64" i="7"/>
  <c r="W64" i="7"/>
  <c r="X64" i="7" s="1"/>
  <c r="U64" i="7"/>
  <c r="R64" i="7"/>
  <c r="O64" i="7"/>
  <c r="N64" i="7"/>
  <c r="L64" i="7"/>
  <c r="I64" i="7"/>
  <c r="H64" i="7"/>
  <c r="F64" i="7"/>
  <c r="C64" i="7"/>
  <c r="AA62" i="7"/>
  <c r="Z62" i="7"/>
  <c r="T62" i="7"/>
  <c r="U62" i="7" s="1"/>
  <c r="Q62" i="7"/>
  <c r="L62" i="7"/>
  <c r="K62" i="7"/>
  <c r="E62" i="7"/>
  <c r="H62" i="7" s="1"/>
  <c r="I62" i="7" s="1"/>
  <c r="C62" i="7"/>
  <c r="B62" i="7"/>
  <c r="N62" i="7" s="1"/>
  <c r="O62" i="7" s="1"/>
  <c r="Z61" i="7"/>
  <c r="AA61" i="7" s="1"/>
  <c r="X61" i="7"/>
  <c r="W61" i="7"/>
  <c r="U61" i="7"/>
  <c r="T61" i="7"/>
  <c r="R61" i="7"/>
  <c r="Q61" i="7"/>
  <c r="N61" i="7"/>
  <c r="O61" i="7" s="1"/>
  <c r="K61" i="7"/>
  <c r="L61" i="7" s="1"/>
  <c r="F61" i="7"/>
  <c r="E61" i="7"/>
  <c r="C61" i="7"/>
  <c r="B61" i="7"/>
  <c r="H61" i="7" s="1"/>
  <c r="I61" i="7" s="1"/>
  <c r="AC60" i="7"/>
  <c r="AD60" i="7" s="1"/>
  <c r="AA60" i="7"/>
  <c r="W60" i="7"/>
  <c r="X60" i="7" s="1"/>
  <c r="U60" i="7"/>
  <c r="R60" i="7"/>
  <c r="O60" i="7"/>
  <c r="N60" i="7"/>
  <c r="L60" i="7"/>
  <c r="I60" i="7"/>
  <c r="H60" i="7"/>
  <c r="F60" i="7"/>
  <c r="C60" i="7"/>
  <c r="AC59" i="7"/>
  <c r="AD59" i="7" s="1"/>
  <c r="AA59" i="7"/>
  <c r="X59" i="7"/>
  <c r="W59" i="7"/>
  <c r="U59" i="7"/>
  <c r="R59" i="7"/>
  <c r="N59" i="7"/>
  <c r="O59" i="7" s="1"/>
  <c r="L59" i="7"/>
  <c r="I59" i="7"/>
  <c r="H59" i="7"/>
  <c r="F59" i="7"/>
  <c r="C59" i="7"/>
  <c r="AD58" i="7"/>
  <c r="AC58" i="7"/>
  <c r="AA58" i="7"/>
  <c r="W58" i="7"/>
  <c r="X58" i="7" s="1"/>
  <c r="U58" i="7"/>
  <c r="R58" i="7"/>
  <c r="N58" i="7"/>
  <c r="O58" i="7" s="1"/>
  <c r="L58" i="7"/>
  <c r="H58" i="7"/>
  <c r="I58" i="7" s="1"/>
  <c r="F58" i="7"/>
  <c r="C58" i="7"/>
  <c r="AD57" i="7"/>
  <c r="AC57" i="7"/>
  <c r="AA57" i="7"/>
  <c r="W57" i="7"/>
  <c r="X57" i="7" s="1"/>
  <c r="U57" i="7"/>
  <c r="R57" i="7"/>
  <c r="O57" i="7"/>
  <c r="N57" i="7"/>
  <c r="L57" i="7"/>
  <c r="I57" i="7"/>
  <c r="H57" i="7"/>
  <c r="F57" i="7"/>
  <c r="C57" i="7"/>
  <c r="AD56" i="7"/>
  <c r="AC56" i="7"/>
  <c r="AA56" i="7"/>
  <c r="W56" i="7"/>
  <c r="X56" i="7" s="1"/>
  <c r="U56" i="7"/>
  <c r="R56" i="7"/>
  <c r="N56" i="7"/>
  <c r="O56" i="7" s="1"/>
  <c r="L56" i="7"/>
  <c r="I56" i="7"/>
  <c r="H56" i="7"/>
  <c r="F56" i="7"/>
  <c r="C56" i="7"/>
  <c r="AD55" i="7"/>
  <c r="AC55" i="7"/>
  <c r="AA55" i="7"/>
  <c r="X55" i="7"/>
  <c r="W55" i="7"/>
  <c r="U55" i="7"/>
  <c r="R55" i="7"/>
  <c r="N55" i="7"/>
  <c r="O55" i="7" s="1"/>
  <c r="L55" i="7"/>
  <c r="H55" i="7"/>
  <c r="I55" i="7" s="1"/>
  <c r="F55" i="7"/>
  <c r="C55" i="7"/>
  <c r="AD54" i="7"/>
  <c r="AC54" i="7"/>
  <c r="AA54" i="7"/>
  <c r="X54" i="7"/>
  <c r="W54" i="7"/>
  <c r="U54" i="7"/>
  <c r="R54" i="7"/>
  <c r="N54" i="7"/>
  <c r="O54" i="7" s="1"/>
  <c r="L54" i="7"/>
  <c r="I54" i="7"/>
  <c r="H54" i="7"/>
  <c r="F54" i="7"/>
  <c r="C54" i="7"/>
  <c r="AD53" i="7"/>
  <c r="AC53" i="7"/>
  <c r="AA53" i="7"/>
  <c r="W53" i="7"/>
  <c r="X53" i="7" s="1"/>
  <c r="U53" i="7"/>
  <c r="R53" i="7"/>
  <c r="O53" i="7"/>
  <c r="N53" i="7"/>
  <c r="L53" i="7"/>
  <c r="I53" i="7"/>
  <c r="H53" i="7"/>
  <c r="F53" i="7"/>
  <c r="C53" i="7"/>
  <c r="AC52" i="7"/>
  <c r="AD52" i="7" s="1"/>
  <c r="AA52" i="7"/>
  <c r="W52" i="7"/>
  <c r="X52" i="7" s="1"/>
  <c r="U52" i="7"/>
  <c r="R52" i="7"/>
  <c r="O52" i="7"/>
  <c r="N52" i="7"/>
  <c r="L52" i="7"/>
  <c r="I52" i="7"/>
  <c r="H52" i="7"/>
  <c r="F52" i="7"/>
  <c r="C52" i="7"/>
  <c r="AC51" i="7"/>
  <c r="AD51" i="7" s="1"/>
  <c r="AA51" i="7"/>
  <c r="X51" i="7"/>
  <c r="W51" i="7"/>
  <c r="U51" i="7"/>
  <c r="R51" i="7"/>
  <c r="N51" i="7"/>
  <c r="O51" i="7" s="1"/>
  <c r="L51" i="7"/>
  <c r="I51" i="7"/>
  <c r="H51" i="7"/>
  <c r="F51" i="7"/>
  <c r="C51" i="7"/>
  <c r="AD50" i="7"/>
  <c r="AC50" i="7"/>
  <c r="AA50" i="7"/>
  <c r="W50" i="7"/>
  <c r="X50" i="7" s="1"/>
  <c r="U50" i="7"/>
  <c r="R50" i="7"/>
  <c r="N50" i="7"/>
  <c r="O50" i="7" s="1"/>
  <c r="L50" i="7"/>
  <c r="H50" i="7"/>
  <c r="I50" i="7" s="1"/>
  <c r="F50" i="7"/>
  <c r="C50" i="7"/>
  <c r="AD49" i="7"/>
  <c r="AC49" i="7"/>
  <c r="AA49" i="7"/>
  <c r="W49" i="7"/>
  <c r="X49" i="7" s="1"/>
  <c r="U49" i="7"/>
  <c r="R49" i="7"/>
  <c r="O49" i="7"/>
  <c r="N49" i="7"/>
  <c r="L49" i="7"/>
  <c r="I49" i="7"/>
  <c r="H49" i="7"/>
  <c r="F49" i="7"/>
  <c r="C49" i="7"/>
  <c r="AD48" i="7"/>
  <c r="AC48" i="7"/>
  <c r="AA48" i="7"/>
  <c r="W48" i="7"/>
  <c r="X48" i="7" s="1"/>
  <c r="U48" i="7"/>
  <c r="R48" i="7"/>
  <c r="N48" i="7"/>
  <c r="O48" i="7" s="1"/>
  <c r="L48" i="7"/>
  <c r="I48" i="7"/>
  <c r="H48" i="7"/>
  <c r="F48" i="7"/>
  <c r="C48" i="7"/>
  <c r="AD47" i="7"/>
  <c r="AC47" i="7"/>
  <c r="AA47" i="7"/>
  <c r="X47" i="7"/>
  <c r="W47" i="7"/>
  <c r="U47" i="7"/>
  <c r="R47" i="7"/>
  <c r="N47" i="7"/>
  <c r="O47" i="7" s="1"/>
  <c r="L47" i="7"/>
  <c r="H47" i="7"/>
  <c r="I47" i="7" s="1"/>
  <c r="F47" i="7"/>
  <c r="C47" i="7"/>
  <c r="AD46" i="7"/>
  <c r="AC46" i="7"/>
  <c r="AA46" i="7"/>
  <c r="X46" i="7"/>
  <c r="W46" i="7"/>
  <c r="U46" i="7"/>
  <c r="R46" i="7"/>
  <c r="N46" i="7"/>
  <c r="O46" i="7" s="1"/>
  <c r="L46" i="7"/>
  <c r="I46" i="7"/>
  <c r="H46" i="7"/>
  <c r="F46" i="7"/>
  <c r="C46" i="7"/>
  <c r="AD44" i="7"/>
  <c r="AC44" i="7"/>
  <c r="AA44" i="7"/>
  <c r="W44" i="7"/>
  <c r="X44" i="7" s="1"/>
  <c r="U44" i="7"/>
  <c r="R44" i="7"/>
  <c r="O44" i="7"/>
  <c r="N44" i="7"/>
  <c r="L44" i="7"/>
  <c r="I44" i="7"/>
  <c r="H44" i="7"/>
  <c r="F44" i="7"/>
  <c r="C44" i="7"/>
  <c r="AC43" i="7"/>
  <c r="AD43" i="7" s="1"/>
  <c r="AA43" i="7"/>
  <c r="W43" i="7"/>
  <c r="X43" i="7" s="1"/>
  <c r="U43" i="7"/>
  <c r="R43" i="7"/>
  <c r="O43" i="7"/>
  <c r="N43" i="7"/>
  <c r="L43" i="7"/>
  <c r="I43" i="7"/>
  <c r="H43" i="7"/>
  <c r="F43" i="7"/>
  <c r="C43" i="7"/>
  <c r="AC42" i="7"/>
  <c r="AD42" i="7" s="1"/>
  <c r="AA42" i="7"/>
  <c r="X42" i="7"/>
  <c r="W42" i="7"/>
  <c r="U42" i="7"/>
  <c r="R42" i="7"/>
  <c r="N42" i="7"/>
  <c r="O42" i="7" s="1"/>
  <c r="L42" i="7"/>
  <c r="I42" i="7"/>
  <c r="H42" i="7"/>
  <c r="F42" i="7"/>
  <c r="C42" i="7"/>
  <c r="Z40" i="7"/>
  <c r="AA40" i="7" s="1"/>
  <c r="W40" i="7"/>
  <c r="X40" i="7" s="1"/>
  <c r="U40" i="7"/>
  <c r="T40" i="7"/>
  <c r="R40" i="7"/>
  <c r="Q40" i="7"/>
  <c r="N40" i="7"/>
  <c r="O40" i="7" s="1"/>
  <c r="K40" i="7"/>
  <c r="L40" i="7" s="1"/>
  <c r="F40" i="7"/>
  <c r="E40" i="7"/>
  <c r="C40" i="7"/>
  <c r="B40" i="7"/>
  <c r="H40" i="7" s="1"/>
  <c r="I40" i="7" s="1"/>
  <c r="AC39" i="7"/>
  <c r="AD39" i="7" s="1"/>
  <c r="AA39" i="7"/>
  <c r="W39" i="7"/>
  <c r="X39" i="7" s="1"/>
  <c r="U39" i="7"/>
  <c r="R39" i="7"/>
  <c r="O39" i="7"/>
  <c r="N39" i="7"/>
  <c r="L39" i="7"/>
  <c r="I39" i="7"/>
  <c r="H39" i="7"/>
  <c r="F39" i="7"/>
  <c r="C39" i="7"/>
  <c r="AC38" i="7"/>
  <c r="AD38" i="7" s="1"/>
  <c r="AA38" i="7"/>
  <c r="X38" i="7"/>
  <c r="W38" i="7"/>
  <c r="U38" i="7"/>
  <c r="R38" i="7"/>
  <c r="N38" i="7"/>
  <c r="O38" i="7" s="1"/>
  <c r="L38" i="7"/>
  <c r="I38" i="7"/>
  <c r="H38" i="7"/>
  <c r="F38" i="7"/>
  <c r="C38" i="7"/>
  <c r="AD37" i="7"/>
  <c r="AC37" i="7"/>
  <c r="AA37" i="7"/>
  <c r="W37" i="7"/>
  <c r="X37" i="7" s="1"/>
  <c r="U37" i="7"/>
  <c r="R37" i="7"/>
  <c r="N37" i="7"/>
  <c r="O37" i="7" s="1"/>
  <c r="L37" i="7"/>
  <c r="I37" i="7"/>
  <c r="H37" i="7"/>
  <c r="F37" i="7"/>
  <c r="C37" i="7"/>
  <c r="AD36" i="7"/>
  <c r="AC36" i="7"/>
  <c r="AA36" i="7"/>
  <c r="W36" i="7"/>
  <c r="X36" i="7" s="1"/>
  <c r="U36" i="7"/>
  <c r="R36" i="7"/>
  <c r="O36" i="7"/>
  <c r="N36" i="7"/>
  <c r="L36" i="7"/>
  <c r="I36" i="7"/>
  <c r="H36" i="7"/>
  <c r="F36" i="7"/>
  <c r="C36" i="7"/>
  <c r="AD35" i="7"/>
  <c r="AC35" i="7"/>
  <c r="AA35" i="7"/>
  <c r="W35" i="7"/>
  <c r="X35" i="7" s="1"/>
  <c r="U35" i="7"/>
  <c r="R35" i="7"/>
  <c r="N35" i="7"/>
  <c r="O35" i="7" s="1"/>
  <c r="L35" i="7"/>
  <c r="I35" i="7"/>
  <c r="H35" i="7"/>
  <c r="F35" i="7"/>
  <c r="C35" i="7"/>
  <c r="AD34" i="7"/>
  <c r="AC34" i="7"/>
  <c r="AA34" i="7"/>
  <c r="X34" i="7"/>
  <c r="W34" i="7"/>
  <c r="U34" i="7"/>
  <c r="R34" i="7"/>
  <c r="N34" i="7"/>
  <c r="O34" i="7" s="1"/>
  <c r="L34" i="7"/>
  <c r="H34" i="7"/>
  <c r="I34" i="7" s="1"/>
  <c r="F34" i="7"/>
  <c r="C34" i="7"/>
  <c r="AD33" i="7"/>
  <c r="AC33" i="7"/>
  <c r="AA33" i="7"/>
  <c r="X33" i="7"/>
  <c r="W33" i="7"/>
  <c r="U33" i="7"/>
  <c r="R33" i="7"/>
  <c r="N33" i="7"/>
  <c r="O33" i="7" s="1"/>
  <c r="L33" i="7"/>
  <c r="H33" i="7"/>
  <c r="I33" i="7" s="1"/>
  <c r="F33" i="7"/>
  <c r="C33" i="7"/>
  <c r="AD32" i="7"/>
  <c r="AC32" i="7"/>
  <c r="AA32" i="7"/>
  <c r="W32" i="7"/>
  <c r="X32" i="7" s="1"/>
  <c r="U32" i="7"/>
  <c r="R32" i="7"/>
  <c r="O32" i="7"/>
  <c r="N32" i="7"/>
  <c r="L32" i="7"/>
  <c r="I32" i="7"/>
  <c r="H32" i="7"/>
  <c r="F32" i="7"/>
  <c r="C32" i="7"/>
  <c r="AC31" i="7"/>
  <c r="AD31" i="7" s="1"/>
  <c r="AA31" i="7"/>
  <c r="W31" i="7"/>
  <c r="X31" i="7" s="1"/>
  <c r="U31" i="7"/>
  <c r="R31" i="7"/>
  <c r="N31" i="7"/>
  <c r="O31" i="7" s="1"/>
  <c r="L31" i="7"/>
  <c r="I31" i="7"/>
  <c r="H31" i="7"/>
  <c r="F31" i="7"/>
  <c r="C31" i="7"/>
  <c r="Z29" i="7"/>
  <c r="AC29" i="7" s="1"/>
  <c r="AD29" i="7" s="1"/>
  <c r="U29" i="7"/>
  <c r="T29" i="7"/>
  <c r="R29" i="7"/>
  <c r="Q29" i="7"/>
  <c r="W29" i="7" s="1"/>
  <c r="X29" i="7" s="1"/>
  <c r="N29" i="7"/>
  <c r="O29" i="7" s="1"/>
  <c r="L29" i="7"/>
  <c r="K29" i="7"/>
  <c r="E29" i="7"/>
  <c r="F29" i="7" s="1"/>
  <c r="C29" i="7"/>
  <c r="B29" i="7"/>
  <c r="AD28" i="7"/>
  <c r="AC28" i="7"/>
  <c r="AA28" i="7"/>
  <c r="W28" i="7"/>
  <c r="X28" i="7" s="1"/>
  <c r="U28" i="7"/>
  <c r="R28" i="7"/>
  <c r="O28" i="7"/>
  <c r="N28" i="7"/>
  <c r="L28" i="7"/>
  <c r="I28" i="7"/>
  <c r="H28" i="7"/>
  <c r="F28" i="7"/>
  <c r="C28" i="7"/>
  <c r="AD27" i="7"/>
  <c r="AC27" i="7"/>
  <c r="AA27" i="7"/>
  <c r="W27" i="7"/>
  <c r="X27" i="7" s="1"/>
  <c r="U27" i="7"/>
  <c r="R27" i="7"/>
  <c r="O27" i="7"/>
  <c r="N27" i="7"/>
  <c r="L27" i="7"/>
  <c r="I27" i="7"/>
  <c r="H27" i="7"/>
  <c r="F27" i="7"/>
  <c r="C27" i="7"/>
  <c r="AC26" i="7"/>
  <c r="AD26" i="7" s="1"/>
  <c r="AA26" i="7"/>
  <c r="X26" i="7"/>
  <c r="W26" i="7"/>
  <c r="U26" i="7"/>
  <c r="R26" i="7"/>
  <c r="N26" i="7"/>
  <c r="O26" i="7" s="1"/>
  <c r="L26" i="7"/>
  <c r="I26" i="7"/>
  <c r="H26" i="7"/>
  <c r="F26" i="7"/>
  <c r="C26" i="7"/>
  <c r="AD25" i="7"/>
  <c r="AC25" i="7"/>
  <c r="AA25" i="7"/>
  <c r="W25" i="7"/>
  <c r="X25" i="7" s="1"/>
  <c r="U25" i="7"/>
  <c r="R25" i="7"/>
  <c r="N25" i="7"/>
  <c r="O25" i="7" s="1"/>
  <c r="L25" i="7"/>
  <c r="H25" i="7"/>
  <c r="I25" i="7" s="1"/>
  <c r="F25" i="7"/>
  <c r="C25" i="7"/>
  <c r="AD24" i="7"/>
  <c r="AC24" i="7"/>
  <c r="AA24" i="7"/>
  <c r="W24" i="7"/>
  <c r="X24" i="7" s="1"/>
  <c r="U24" i="7"/>
  <c r="R24" i="7"/>
  <c r="O24" i="7"/>
  <c r="N24" i="7"/>
  <c r="L24" i="7"/>
  <c r="I24" i="7"/>
  <c r="H24" i="7"/>
  <c r="F24" i="7"/>
  <c r="C24" i="7"/>
  <c r="AC23" i="7"/>
  <c r="AD23" i="7" s="1"/>
  <c r="AA23" i="7"/>
  <c r="W23" i="7"/>
  <c r="X23" i="7" s="1"/>
  <c r="U23" i="7"/>
  <c r="R23" i="7"/>
  <c r="N23" i="7"/>
  <c r="O23" i="7" s="1"/>
  <c r="L23" i="7"/>
  <c r="I23" i="7"/>
  <c r="H23" i="7"/>
  <c r="F23" i="7"/>
  <c r="C23" i="7"/>
  <c r="AD22" i="7"/>
  <c r="AC22" i="7"/>
  <c r="AA22" i="7"/>
  <c r="X22" i="7"/>
  <c r="W22" i="7"/>
  <c r="U22" i="7"/>
  <c r="R22" i="7"/>
  <c r="N22" i="7"/>
  <c r="O22" i="7" s="1"/>
  <c r="L22" i="7"/>
  <c r="H22" i="7"/>
  <c r="I22" i="7" s="1"/>
  <c r="F22" i="7"/>
  <c r="C22" i="7"/>
  <c r="AD21" i="7"/>
  <c r="AC21" i="7"/>
  <c r="AA21" i="7"/>
  <c r="X21" i="7"/>
  <c r="W21" i="7"/>
  <c r="U21" i="7"/>
  <c r="R21" i="7"/>
  <c r="N21" i="7"/>
  <c r="O21" i="7" s="1"/>
  <c r="L21" i="7"/>
  <c r="H21" i="7"/>
  <c r="I21" i="7" s="1"/>
  <c r="F21" i="7"/>
  <c r="C21" i="7"/>
  <c r="AD19" i="7"/>
  <c r="AC19" i="7"/>
  <c r="AA19" i="7"/>
  <c r="W19" i="7"/>
  <c r="X19" i="7" s="1"/>
  <c r="U19" i="7"/>
  <c r="R19" i="7"/>
  <c r="O19" i="7"/>
  <c r="N19" i="7"/>
  <c r="L19" i="7"/>
  <c r="I19" i="7"/>
  <c r="H19" i="7"/>
  <c r="F19" i="7"/>
  <c r="C19" i="7"/>
  <c r="AC18" i="7"/>
  <c r="AD18" i="7" s="1"/>
  <c r="AA18" i="7"/>
  <c r="Z18" i="7"/>
  <c r="T18" i="7"/>
  <c r="U18" i="7" s="1"/>
  <c r="Q18" i="7"/>
  <c r="L18" i="7"/>
  <c r="K18" i="7"/>
  <c r="E18" i="7"/>
  <c r="H18" i="7" s="1"/>
  <c r="I18" i="7" s="1"/>
  <c r="C18" i="7"/>
  <c r="B18" i="7"/>
  <c r="N18" i="7" s="1"/>
  <c r="O18" i="7" s="1"/>
  <c r="AD17" i="7"/>
  <c r="AC17" i="7"/>
  <c r="AA17" i="7"/>
  <c r="W17" i="7"/>
  <c r="X17" i="7" s="1"/>
  <c r="U17" i="7"/>
  <c r="R17" i="7"/>
  <c r="N17" i="7"/>
  <c r="O17" i="7" s="1"/>
  <c r="L17" i="7"/>
  <c r="H17" i="7"/>
  <c r="I17" i="7" s="1"/>
  <c r="F17" i="7"/>
  <c r="C17" i="7"/>
  <c r="AD16" i="7"/>
  <c r="AC16" i="7"/>
  <c r="AA16" i="7"/>
  <c r="W16" i="7"/>
  <c r="X16" i="7" s="1"/>
  <c r="U16" i="7"/>
  <c r="R16" i="7"/>
  <c r="O16" i="7"/>
  <c r="N16" i="7"/>
  <c r="L16" i="7"/>
  <c r="I16" i="7"/>
  <c r="H16" i="7"/>
  <c r="F16" i="7"/>
  <c r="C16" i="7"/>
  <c r="AC15" i="7"/>
  <c r="AD15" i="7" s="1"/>
  <c r="AA15" i="7"/>
  <c r="W15" i="7"/>
  <c r="X15" i="7" s="1"/>
  <c r="U15" i="7"/>
  <c r="R15" i="7"/>
  <c r="O15" i="7"/>
  <c r="N15" i="7"/>
  <c r="L15" i="7"/>
  <c r="I15" i="7"/>
  <c r="H15" i="7"/>
  <c r="F15" i="7"/>
  <c r="C15" i="7"/>
  <c r="AC14" i="7"/>
  <c r="AD14" i="7" s="1"/>
  <c r="AA14" i="7"/>
  <c r="X14" i="7"/>
  <c r="W14" i="7"/>
  <c r="U14" i="7"/>
  <c r="R14" i="7"/>
  <c r="N14" i="7"/>
  <c r="O14" i="7" s="1"/>
  <c r="L14" i="7"/>
  <c r="I14" i="7"/>
  <c r="H14" i="7"/>
  <c r="F14" i="7"/>
  <c r="C14" i="7"/>
  <c r="AD13" i="7"/>
  <c r="AC13" i="7"/>
  <c r="AA13" i="7"/>
  <c r="W13" i="7"/>
  <c r="X13" i="7" s="1"/>
  <c r="U13" i="7"/>
  <c r="R13" i="7"/>
  <c r="N13" i="7"/>
  <c r="O13" i="7" s="1"/>
  <c r="L13" i="7"/>
  <c r="I13" i="7"/>
  <c r="H13" i="7"/>
  <c r="F13" i="7"/>
  <c r="C13" i="7"/>
  <c r="AD12" i="7"/>
  <c r="AC12" i="7"/>
  <c r="AA12" i="7"/>
  <c r="W12" i="7"/>
  <c r="X12" i="7" s="1"/>
  <c r="U12" i="7"/>
  <c r="R12" i="7"/>
  <c r="O12" i="7"/>
  <c r="N12" i="7"/>
  <c r="L12" i="7"/>
  <c r="I12" i="7"/>
  <c r="H12" i="7"/>
  <c r="F12" i="7"/>
  <c r="C12" i="7"/>
  <c r="AC11" i="7"/>
  <c r="AD11" i="7" s="1"/>
  <c r="AA11" i="7"/>
  <c r="W11" i="7"/>
  <c r="X11" i="7" s="1"/>
  <c r="U11" i="7"/>
  <c r="R11" i="7"/>
  <c r="N11" i="7"/>
  <c r="O11" i="7" s="1"/>
  <c r="L11" i="7"/>
  <c r="I11" i="7"/>
  <c r="H11" i="7"/>
  <c r="F11" i="7"/>
  <c r="C11" i="7"/>
  <c r="AC10" i="7"/>
  <c r="AD10" i="7" s="1"/>
  <c r="AA10" i="7"/>
  <c r="X10" i="7"/>
  <c r="W10" i="7"/>
  <c r="U10" i="7"/>
  <c r="R10" i="7"/>
  <c r="N10" i="7"/>
  <c r="O10" i="7" s="1"/>
  <c r="L10" i="7"/>
  <c r="H10" i="7"/>
  <c r="I10" i="7" s="1"/>
  <c r="F10" i="7"/>
  <c r="C10" i="7"/>
  <c r="AD8" i="7"/>
  <c r="AC8" i="7"/>
  <c r="AA8" i="7"/>
  <c r="W8" i="7"/>
  <c r="X8" i="7" s="1"/>
  <c r="U8" i="7"/>
  <c r="R8" i="7"/>
  <c r="N8" i="7"/>
  <c r="O8" i="7" s="1"/>
  <c r="L8" i="7"/>
  <c r="H8" i="7"/>
  <c r="I8" i="7" s="1"/>
  <c r="F8" i="7"/>
  <c r="C8" i="7"/>
  <c r="AC444" i="6"/>
  <c r="W444" i="6"/>
  <c r="N444" i="6"/>
  <c r="O420" i="6" s="1"/>
  <c r="H444" i="6"/>
  <c r="AA442" i="6"/>
  <c r="Z442" i="6"/>
  <c r="T442" i="6"/>
  <c r="W442" i="6" s="1"/>
  <c r="X442" i="6" s="1"/>
  <c r="R442" i="6"/>
  <c r="Q442" i="6"/>
  <c r="AC442" i="6" s="1"/>
  <c r="AD442" i="6" s="1"/>
  <c r="L442" i="6"/>
  <c r="K442" i="6"/>
  <c r="H442" i="6"/>
  <c r="I442" i="6" s="1"/>
  <c r="F442" i="6"/>
  <c r="E442" i="6"/>
  <c r="C442" i="6"/>
  <c r="B442" i="6"/>
  <c r="N442" i="6" s="1"/>
  <c r="O442" i="6" s="1"/>
  <c r="Z441" i="6"/>
  <c r="AA441" i="6" s="1"/>
  <c r="U441" i="6"/>
  <c r="T441" i="6"/>
  <c r="Q441" i="6"/>
  <c r="W441" i="6" s="1"/>
  <c r="X441" i="6" s="1"/>
  <c r="L441" i="6"/>
  <c r="K441" i="6"/>
  <c r="F441" i="6"/>
  <c r="E441" i="6"/>
  <c r="B441" i="6"/>
  <c r="AD440" i="6"/>
  <c r="AC440" i="6"/>
  <c r="AA440" i="6"/>
  <c r="W440" i="6"/>
  <c r="X440" i="6" s="1"/>
  <c r="U440" i="6"/>
  <c r="R440" i="6"/>
  <c r="O440" i="6"/>
  <c r="N440" i="6"/>
  <c r="L440" i="6"/>
  <c r="I440" i="6"/>
  <c r="H440" i="6"/>
  <c r="F440" i="6"/>
  <c r="C440" i="6"/>
  <c r="AC439" i="6"/>
  <c r="AD439" i="6" s="1"/>
  <c r="AA439" i="6"/>
  <c r="W439" i="6"/>
  <c r="X439" i="6" s="1"/>
  <c r="U439" i="6"/>
  <c r="R439" i="6"/>
  <c r="O439" i="6"/>
  <c r="N439" i="6"/>
  <c r="L439" i="6"/>
  <c r="I439" i="6"/>
  <c r="H439" i="6"/>
  <c r="F439" i="6"/>
  <c r="C439" i="6"/>
  <c r="AC438" i="6"/>
  <c r="AD438" i="6" s="1"/>
  <c r="AA438" i="6"/>
  <c r="X438" i="6"/>
  <c r="W438" i="6"/>
  <c r="U438" i="6"/>
  <c r="R438" i="6"/>
  <c r="N438" i="6"/>
  <c r="O438" i="6" s="1"/>
  <c r="L438" i="6"/>
  <c r="I438" i="6"/>
  <c r="H438" i="6"/>
  <c r="F438" i="6"/>
  <c r="C438" i="6"/>
  <c r="AD437" i="6"/>
  <c r="AC437" i="6"/>
  <c r="AA437" i="6"/>
  <c r="W437" i="6"/>
  <c r="X437" i="6" s="1"/>
  <c r="U437" i="6"/>
  <c r="R437" i="6"/>
  <c r="N437" i="6"/>
  <c r="O437" i="6" s="1"/>
  <c r="L437" i="6"/>
  <c r="H437" i="6"/>
  <c r="I437" i="6" s="1"/>
  <c r="F437" i="6"/>
  <c r="C437" i="6"/>
  <c r="AD436" i="6"/>
  <c r="AC436" i="6"/>
  <c r="AA436" i="6"/>
  <c r="W436" i="6"/>
  <c r="X436" i="6" s="1"/>
  <c r="U436" i="6"/>
  <c r="R436" i="6"/>
  <c r="O436" i="6"/>
  <c r="N436" i="6"/>
  <c r="L436" i="6"/>
  <c r="I436" i="6"/>
  <c r="H436" i="6"/>
  <c r="F436" i="6"/>
  <c r="C436" i="6"/>
  <c r="AC435" i="6"/>
  <c r="AD435" i="6" s="1"/>
  <c r="AA435" i="6"/>
  <c r="W435" i="6"/>
  <c r="X435" i="6" s="1"/>
  <c r="U435" i="6"/>
  <c r="R435" i="6"/>
  <c r="O435" i="6"/>
  <c r="N435" i="6"/>
  <c r="L435" i="6"/>
  <c r="I435" i="6"/>
  <c r="H435" i="6"/>
  <c r="F435" i="6"/>
  <c r="C435" i="6"/>
  <c r="AC434" i="6"/>
  <c r="AD434" i="6" s="1"/>
  <c r="AA434" i="6"/>
  <c r="X434" i="6"/>
  <c r="W434" i="6"/>
  <c r="U434" i="6"/>
  <c r="R434" i="6"/>
  <c r="N434" i="6"/>
  <c r="L434" i="6"/>
  <c r="I434" i="6"/>
  <c r="H434" i="6"/>
  <c r="F434" i="6"/>
  <c r="C434" i="6"/>
  <c r="AD433" i="6"/>
  <c r="AC433" i="6"/>
  <c r="AA433" i="6"/>
  <c r="W433" i="6"/>
  <c r="X433" i="6" s="1"/>
  <c r="U433" i="6"/>
  <c r="R433" i="6"/>
  <c r="N433" i="6"/>
  <c r="O433" i="6" s="1"/>
  <c r="L433" i="6"/>
  <c r="I433" i="6"/>
  <c r="H433" i="6"/>
  <c r="F433" i="6"/>
  <c r="C433" i="6"/>
  <c r="AD432" i="6"/>
  <c r="AC432" i="6"/>
  <c r="AA432" i="6"/>
  <c r="W432" i="6"/>
  <c r="X432" i="6" s="1"/>
  <c r="U432" i="6"/>
  <c r="R432" i="6"/>
  <c r="O432" i="6"/>
  <c r="N432" i="6"/>
  <c r="L432" i="6"/>
  <c r="I432" i="6"/>
  <c r="H432" i="6"/>
  <c r="F432" i="6"/>
  <c r="C432" i="6"/>
  <c r="AC429" i="6"/>
  <c r="AD429" i="6" s="1"/>
  <c r="AA429" i="6"/>
  <c r="Z429" i="6"/>
  <c r="T429" i="6"/>
  <c r="U429" i="6" s="1"/>
  <c r="R429" i="6"/>
  <c r="Q429" i="6"/>
  <c r="L429" i="6"/>
  <c r="K429" i="6"/>
  <c r="E429" i="6"/>
  <c r="H429" i="6" s="1"/>
  <c r="I429" i="6" s="1"/>
  <c r="C429" i="6"/>
  <c r="B429" i="6"/>
  <c r="N429" i="6" s="1"/>
  <c r="AA428" i="6"/>
  <c r="Z428" i="6"/>
  <c r="W428" i="6"/>
  <c r="X428" i="6" s="1"/>
  <c r="U428" i="6"/>
  <c r="T428" i="6"/>
  <c r="R428" i="6"/>
  <c r="Q428" i="6"/>
  <c r="AC428" i="6" s="1"/>
  <c r="AD428" i="6" s="1"/>
  <c r="K428" i="6"/>
  <c r="L428" i="6" s="1"/>
  <c r="F428" i="6"/>
  <c r="E428" i="6"/>
  <c r="B428" i="6"/>
  <c r="H428" i="6" s="1"/>
  <c r="I428" i="6" s="1"/>
  <c r="AD427" i="6"/>
  <c r="AC427" i="6"/>
  <c r="AA427" i="6"/>
  <c r="W427" i="6"/>
  <c r="X427" i="6" s="1"/>
  <c r="U427" i="6"/>
  <c r="R427" i="6"/>
  <c r="N427" i="6"/>
  <c r="O427" i="6" s="1"/>
  <c r="L427" i="6"/>
  <c r="I427" i="6"/>
  <c r="H427" i="6"/>
  <c r="F427" i="6"/>
  <c r="C427" i="6"/>
  <c r="AD426" i="6"/>
  <c r="AC426" i="6"/>
  <c r="AA426" i="6"/>
  <c r="X426" i="6"/>
  <c r="W426" i="6"/>
  <c r="U426" i="6"/>
  <c r="R426" i="6"/>
  <c r="N426" i="6"/>
  <c r="O426" i="6" s="1"/>
  <c r="L426" i="6"/>
  <c r="H426" i="6"/>
  <c r="I426" i="6" s="1"/>
  <c r="F426" i="6"/>
  <c r="C426" i="6"/>
  <c r="AD425" i="6"/>
  <c r="AC425" i="6"/>
  <c r="AA425" i="6"/>
  <c r="X425" i="6"/>
  <c r="W425" i="6"/>
  <c r="U425" i="6"/>
  <c r="R425" i="6"/>
  <c r="N425" i="6"/>
  <c r="L425" i="6"/>
  <c r="H425" i="6"/>
  <c r="I425" i="6" s="1"/>
  <c r="F425" i="6"/>
  <c r="C425" i="6"/>
  <c r="AD424" i="6"/>
  <c r="AC424" i="6"/>
  <c r="AA424" i="6"/>
  <c r="W424" i="6"/>
  <c r="X424" i="6" s="1"/>
  <c r="U424" i="6"/>
  <c r="R424" i="6"/>
  <c r="O424" i="6"/>
  <c r="N424" i="6"/>
  <c r="L424" i="6"/>
  <c r="I424" i="6"/>
  <c r="H424" i="6"/>
  <c r="F424" i="6"/>
  <c r="C424" i="6"/>
  <c r="AD423" i="6"/>
  <c r="AC423" i="6"/>
  <c r="AA423" i="6"/>
  <c r="W423" i="6"/>
  <c r="X423" i="6" s="1"/>
  <c r="U423" i="6"/>
  <c r="R423" i="6"/>
  <c r="N423" i="6"/>
  <c r="O423" i="6" s="1"/>
  <c r="L423" i="6"/>
  <c r="I423" i="6"/>
  <c r="H423" i="6"/>
  <c r="F423" i="6"/>
  <c r="C423" i="6"/>
  <c r="AC422" i="6"/>
  <c r="AD422" i="6" s="1"/>
  <c r="AA422" i="6"/>
  <c r="X422" i="6"/>
  <c r="W422" i="6"/>
  <c r="U422" i="6"/>
  <c r="R422" i="6"/>
  <c r="N422" i="6"/>
  <c r="O422" i="6" s="1"/>
  <c r="L422" i="6"/>
  <c r="H422" i="6"/>
  <c r="I422" i="6" s="1"/>
  <c r="F422" i="6"/>
  <c r="C422" i="6"/>
  <c r="AD421" i="6"/>
  <c r="AC421" i="6"/>
  <c r="AA421" i="6"/>
  <c r="W421" i="6"/>
  <c r="X421" i="6" s="1"/>
  <c r="U421" i="6"/>
  <c r="R421" i="6"/>
  <c r="N421" i="6"/>
  <c r="O421" i="6" s="1"/>
  <c r="L421" i="6"/>
  <c r="H421" i="6"/>
  <c r="I421" i="6" s="1"/>
  <c r="F421" i="6"/>
  <c r="C421" i="6"/>
  <c r="AD420" i="6"/>
  <c r="AC420" i="6"/>
  <c r="AA420" i="6"/>
  <c r="W420" i="6"/>
  <c r="X420" i="6" s="1"/>
  <c r="U420" i="6"/>
  <c r="R420" i="6"/>
  <c r="N420" i="6"/>
  <c r="L420" i="6"/>
  <c r="I420" i="6"/>
  <c r="H420" i="6"/>
  <c r="F420" i="6"/>
  <c r="C420" i="6"/>
  <c r="AD419" i="6"/>
  <c r="AC419" i="6"/>
  <c r="AA419" i="6"/>
  <c r="W419" i="6"/>
  <c r="X419" i="6" s="1"/>
  <c r="U419" i="6"/>
  <c r="R419" i="6"/>
  <c r="N419" i="6"/>
  <c r="O419" i="6" s="1"/>
  <c r="L419" i="6"/>
  <c r="I419" i="6"/>
  <c r="H419" i="6"/>
  <c r="F419" i="6"/>
  <c r="C419" i="6"/>
  <c r="AD418" i="6"/>
  <c r="AC418" i="6"/>
  <c r="AA418" i="6"/>
  <c r="X418" i="6"/>
  <c r="W418" i="6"/>
  <c r="U418" i="6"/>
  <c r="R418" i="6"/>
  <c r="N418" i="6"/>
  <c r="O418" i="6" s="1"/>
  <c r="L418" i="6"/>
  <c r="H418" i="6"/>
  <c r="I418" i="6" s="1"/>
  <c r="F418" i="6"/>
  <c r="C418" i="6"/>
  <c r="AD417" i="6"/>
  <c r="AC417" i="6"/>
  <c r="AA417" i="6"/>
  <c r="X417" i="6"/>
  <c r="W417" i="6"/>
  <c r="U417" i="6"/>
  <c r="R417" i="6"/>
  <c r="N417" i="6"/>
  <c r="L417" i="6"/>
  <c r="I417" i="6"/>
  <c r="H417" i="6"/>
  <c r="F417" i="6"/>
  <c r="C417" i="6"/>
  <c r="AD416" i="6"/>
  <c r="AC416" i="6"/>
  <c r="AA416" i="6"/>
  <c r="W416" i="6"/>
  <c r="X416" i="6" s="1"/>
  <c r="U416" i="6"/>
  <c r="R416" i="6"/>
  <c r="O416" i="6"/>
  <c r="N416" i="6"/>
  <c r="L416" i="6"/>
  <c r="I416" i="6"/>
  <c r="H416" i="6"/>
  <c r="F416" i="6"/>
  <c r="C416" i="6"/>
  <c r="AD415" i="6"/>
  <c r="AC415" i="6"/>
  <c r="AA415" i="6"/>
  <c r="W415" i="6"/>
  <c r="X415" i="6" s="1"/>
  <c r="U415" i="6"/>
  <c r="R415" i="6"/>
  <c r="N415" i="6"/>
  <c r="O415" i="6" s="1"/>
  <c r="L415" i="6"/>
  <c r="I415" i="6"/>
  <c r="H415" i="6"/>
  <c r="F415" i="6"/>
  <c r="C415" i="6"/>
  <c r="AC414" i="6"/>
  <c r="AD414" i="6" s="1"/>
  <c r="AA414" i="6"/>
  <c r="X414" i="6"/>
  <c r="W414" i="6"/>
  <c r="U414" i="6"/>
  <c r="R414" i="6"/>
  <c r="N414" i="6"/>
  <c r="O414" i="6" s="1"/>
  <c r="L414" i="6"/>
  <c r="H414" i="6"/>
  <c r="I414" i="6" s="1"/>
  <c r="F414" i="6"/>
  <c r="C414" i="6"/>
  <c r="AD413" i="6"/>
  <c r="AC413" i="6"/>
  <c r="AA413" i="6"/>
  <c r="W413" i="6"/>
  <c r="X413" i="6" s="1"/>
  <c r="U413" i="6"/>
  <c r="R413" i="6"/>
  <c r="N413" i="6"/>
  <c r="O413" i="6" s="1"/>
  <c r="L413" i="6"/>
  <c r="H413" i="6"/>
  <c r="I413" i="6" s="1"/>
  <c r="F413" i="6"/>
  <c r="C413" i="6"/>
  <c r="AD412" i="6"/>
  <c r="AC412" i="6"/>
  <c r="AA412" i="6"/>
  <c r="W412" i="6"/>
  <c r="X412" i="6" s="1"/>
  <c r="U412" i="6"/>
  <c r="R412" i="6"/>
  <c r="N412" i="6"/>
  <c r="L412" i="6"/>
  <c r="I412" i="6"/>
  <c r="H412" i="6"/>
  <c r="F412" i="6"/>
  <c r="C412" i="6"/>
  <c r="AD411" i="6"/>
  <c r="AC411" i="6"/>
  <c r="AA411" i="6"/>
  <c r="W411" i="6"/>
  <c r="X411" i="6" s="1"/>
  <c r="U411" i="6"/>
  <c r="R411" i="6"/>
  <c r="N411" i="6"/>
  <c r="O411" i="6" s="1"/>
  <c r="L411" i="6"/>
  <c r="I411" i="6"/>
  <c r="H411" i="6"/>
  <c r="F411" i="6"/>
  <c r="C411" i="6"/>
  <c r="AD410" i="6"/>
  <c r="AC410" i="6"/>
  <c r="AA410" i="6"/>
  <c r="X410" i="6"/>
  <c r="W410" i="6"/>
  <c r="U410" i="6"/>
  <c r="R410" i="6"/>
  <c r="N410" i="6"/>
  <c r="O410" i="6" s="1"/>
  <c r="L410" i="6"/>
  <c r="H410" i="6"/>
  <c r="I410" i="6" s="1"/>
  <c r="F410" i="6"/>
  <c r="C410" i="6"/>
  <c r="AD409" i="6"/>
  <c r="AC409" i="6"/>
  <c r="AA409" i="6"/>
  <c r="X409" i="6"/>
  <c r="W409" i="6"/>
  <c r="U409" i="6"/>
  <c r="R409" i="6"/>
  <c r="N409" i="6"/>
  <c r="L409" i="6"/>
  <c r="I409" i="6"/>
  <c r="H409" i="6"/>
  <c r="F409" i="6"/>
  <c r="C409" i="6"/>
  <c r="AD408" i="6"/>
  <c r="AC408" i="6"/>
  <c r="AA408" i="6"/>
  <c r="W408" i="6"/>
  <c r="X408" i="6" s="1"/>
  <c r="U408" i="6"/>
  <c r="R408" i="6"/>
  <c r="O408" i="6"/>
  <c r="N408" i="6"/>
  <c r="L408" i="6"/>
  <c r="I408" i="6"/>
  <c r="H408" i="6"/>
  <c r="F408" i="6"/>
  <c r="C408" i="6"/>
  <c r="AD407" i="6"/>
  <c r="AC407" i="6"/>
  <c r="AA407" i="6"/>
  <c r="W407" i="6"/>
  <c r="X407" i="6" s="1"/>
  <c r="U407" i="6"/>
  <c r="R407" i="6"/>
  <c r="N407" i="6"/>
  <c r="O407" i="6" s="1"/>
  <c r="L407" i="6"/>
  <c r="I407" i="6"/>
  <c r="H407" i="6"/>
  <c r="F407" i="6"/>
  <c r="C407" i="6"/>
  <c r="AA403" i="6"/>
  <c r="Z403" i="6"/>
  <c r="T403" i="6"/>
  <c r="W403" i="6" s="1"/>
  <c r="X403" i="6" s="1"/>
  <c r="R403" i="6"/>
  <c r="Q403" i="6"/>
  <c r="AC403" i="6" s="1"/>
  <c r="AD403" i="6" s="1"/>
  <c r="L403" i="6"/>
  <c r="K403" i="6"/>
  <c r="H403" i="6"/>
  <c r="I403" i="6" s="1"/>
  <c r="F403" i="6"/>
  <c r="E403" i="6"/>
  <c r="C403" i="6"/>
  <c r="B403" i="6"/>
  <c r="N403" i="6" s="1"/>
  <c r="O403" i="6" s="1"/>
  <c r="AD402" i="6"/>
  <c r="AC402" i="6"/>
  <c r="AA402" i="6"/>
  <c r="X402" i="6"/>
  <c r="W402" i="6"/>
  <c r="U402" i="6"/>
  <c r="R402" i="6"/>
  <c r="N402" i="6"/>
  <c r="O402" i="6" s="1"/>
  <c r="L402" i="6"/>
  <c r="H402" i="6"/>
  <c r="I402" i="6" s="1"/>
  <c r="F402" i="6"/>
  <c r="C402" i="6"/>
  <c r="AD401" i="6"/>
  <c r="AC401" i="6"/>
  <c r="AA401" i="6"/>
  <c r="X401" i="6"/>
  <c r="W401" i="6"/>
  <c r="U401" i="6"/>
  <c r="R401" i="6"/>
  <c r="N401" i="6"/>
  <c r="O401" i="6" s="1"/>
  <c r="L401" i="6"/>
  <c r="H401" i="6"/>
  <c r="I401" i="6" s="1"/>
  <c r="F401" i="6"/>
  <c r="C401" i="6"/>
  <c r="AD400" i="6"/>
  <c r="AC400" i="6"/>
  <c r="AA400" i="6"/>
  <c r="W400" i="6"/>
  <c r="X400" i="6" s="1"/>
  <c r="U400" i="6"/>
  <c r="R400" i="6"/>
  <c r="O400" i="6"/>
  <c r="N400" i="6"/>
  <c r="L400" i="6"/>
  <c r="I400" i="6"/>
  <c r="H400" i="6"/>
  <c r="F400" i="6"/>
  <c r="C400" i="6"/>
  <c r="AC399" i="6"/>
  <c r="AD399" i="6" s="1"/>
  <c r="AA399" i="6"/>
  <c r="W399" i="6"/>
  <c r="X399" i="6" s="1"/>
  <c r="U399" i="6"/>
  <c r="R399" i="6"/>
  <c r="O399" i="6"/>
  <c r="N399" i="6"/>
  <c r="L399" i="6"/>
  <c r="I399" i="6"/>
  <c r="H399" i="6"/>
  <c r="F399" i="6"/>
  <c r="C399" i="6"/>
  <c r="AC398" i="6"/>
  <c r="AD398" i="6" s="1"/>
  <c r="AA398" i="6"/>
  <c r="X398" i="6"/>
  <c r="W398" i="6"/>
  <c r="U398" i="6"/>
  <c r="R398" i="6"/>
  <c r="N398" i="6"/>
  <c r="O398" i="6" s="1"/>
  <c r="L398" i="6"/>
  <c r="I398" i="6"/>
  <c r="H398" i="6"/>
  <c r="F398" i="6"/>
  <c r="C398" i="6"/>
  <c r="AD397" i="6"/>
  <c r="AC397" i="6"/>
  <c r="AA397" i="6"/>
  <c r="W397" i="6"/>
  <c r="X397" i="6" s="1"/>
  <c r="U397" i="6"/>
  <c r="R397" i="6"/>
  <c r="N397" i="6"/>
  <c r="O397" i="6" s="1"/>
  <c r="L397" i="6"/>
  <c r="I397" i="6"/>
  <c r="H397" i="6"/>
  <c r="F397" i="6"/>
  <c r="C397" i="6"/>
  <c r="AA396" i="6"/>
  <c r="Z396" i="6"/>
  <c r="T396" i="6"/>
  <c r="W396" i="6" s="1"/>
  <c r="X396" i="6" s="1"/>
  <c r="R396" i="6"/>
  <c r="Q396" i="6"/>
  <c r="AC396" i="6" s="1"/>
  <c r="AD396" i="6" s="1"/>
  <c r="K396" i="6"/>
  <c r="L396" i="6" s="1"/>
  <c r="H396" i="6"/>
  <c r="I396" i="6" s="1"/>
  <c r="F396" i="6"/>
  <c r="E396" i="6"/>
  <c r="C396" i="6"/>
  <c r="B396" i="6"/>
  <c r="AC395" i="6"/>
  <c r="AD395" i="6" s="1"/>
  <c r="AA395" i="6"/>
  <c r="X395" i="6"/>
  <c r="W395" i="6"/>
  <c r="U395" i="6"/>
  <c r="R395" i="6"/>
  <c r="N395" i="6"/>
  <c r="L395" i="6"/>
  <c r="I395" i="6"/>
  <c r="H395" i="6"/>
  <c r="F395" i="6"/>
  <c r="C395" i="6"/>
  <c r="AD394" i="6"/>
  <c r="AC394" i="6"/>
  <c r="AA394" i="6"/>
  <c r="W394" i="6"/>
  <c r="X394" i="6" s="1"/>
  <c r="U394" i="6"/>
  <c r="R394" i="6"/>
  <c r="N394" i="6"/>
  <c r="O394" i="6" s="1"/>
  <c r="L394" i="6"/>
  <c r="I394" i="6"/>
  <c r="H394" i="6"/>
  <c r="F394" i="6"/>
  <c r="C394" i="6"/>
  <c r="AA393" i="6"/>
  <c r="Z393" i="6"/>
  <c r="W393" i="6"/>
  <c r="X393" i="6" s="1"/>
  <c r="U393" i="6"/>
  <c r="T393" i="6"/>
  <c r="R393" i="6"/>
  <c r="Q393" i="6"/>
  <c r="AC393" i="6" s="1"/>
  <c r="AD393" i="6" s="1"/>
  <c r="K393" i="6"/>
  <c r="L393" i="6" s="1"/>
  <c r="H393" i="6"/>
  <c r="I393" i="6" s="1"/>
  <c r="F393" i="6"/>
  <c r="E393" i="6"/>
  <c r="C393" i="6"/>
  <c r="B393" i="6"/>
  <c r="AC392" i="6"/>
  <c r="AD392" i="6" s="1"/>
  <c r="AA392" i="6"/>
  <c r="X392" i="6"/>
  <c r="W392" i="6"/>
  <c r="U392" i="6"/>
  <c r="R392" i="6"/>
  <c r="N392" i="6"/>
  <c r="L392" i="6"/>
  <c r="H392" i="6"/>
  <c r="I392" i="6" s="1"/>
  <c r="F392" i="6"/>
  <c r="C392" i="6"/>
  <c r="AD391" i="6"/>
  <c r="AC391" i="6"/>
  <c r="AA391" i="6"/>
  <c r="W391" i="6"/>
  <c r="X391" i="6" s="1"/>
  <c r="U391" i="6"/>
  <c r="R391" i="6"/>
  <c r="N391" i="6"/>
  <c r="L391" i="6"/>
  <c r="I391" i="6"/>
  <c r="H391" i="6"/>
  <c r="F391" i="6"/>
  <c r="C391" i="6"/>
  <c r="AD390" i="6"/>
  <c r="AC390" i="6"/>
  <c r="AA390" i="6"/>
  <c r="W390" i="6"/>
  <c r="X390" i="6" s="1"/>
  <c r="U390" i="6"/>
  <c r="R390" i="6"/>
  <c r="O390" i="6"/>
  <c r="N390" i="6"/>
  <c r="L390" i="6"/>
  <c r="I390" i="6"/>
  <c r="H390" i="6"/>
  <c r="F390" i="6"/>
  <c r="C390" i="6"/>
  <c r="AC389" i="6"/>
  <c r="AD389" i="6" s="1"/>
  <c r="AA389" i="6"/>
  <c r="W389" i="6"/>
  <c r="X389" i="6" s="1"/>
  <c r="U389" i="6"/>
  <c r="R389" i="6"/>
  <c r="N389" i="6"/>
  <c r="O389" i="6" s="1"/>
  <c r="L389" i="6"/>
  <c r="I389" i="6"/>
  <c r="H389" i="6"/>
  <c r="F389" i="6"/>
  <c r="C389" i="6"/>
  <c r="AC388" i="6"/>
  <c r="AD388" i="6" s="1"/>
  <c r="AA388" i="6"/>
  <c r="X388" i="6"/>
  <c r="W388" i="6"/>
  <c r="U388" i="6"/>
  <c r="R388" i="6"/>
  <c r="N388" i="6"/>
  <c r="O388" i="6" s="1"/>
  <c r="L388" i="6"/>
  <c r="H388" i="6"/>
  <c r="I388" i="6" s="1"/>
  <c r="F388" i="6"/>
  <c r="C388" i="6"/>
  <c r="AD386" i="6"/>
  <c r="AC386" i="6"/>
  <c r="AA386" i="6"/>
  <c r="W386" i="6"/>
  <c r="X386" i="6" s="1"/>
  <c r="U386" i="6"/>
  <c r="R386" i="6"/>
  <c r="N386" i="6"/>
  <c r="O386" i="6" s="1"/>
  <c r="L386" i="6"/>
  <c r="H386" i="6"/>
  <c r="I386" i="6" s="1"/>
  <c r="F386" i="6"/>
  <c r="C386" i="6"/>
  <c r="AD385" i="6"/>
  <c r="AC385" i="6"/>
  <c r="AA385" i="6"/>
  <c r="W385" i="6"/>
  <c r="X385" i="6" s="1"/>
  <c r="U385" i="6"/>
  <c r="R385" i="6"/>
  <c r="N385" i="6"/>
  <c r="L385" i="6"/>
  <c r="I385" i="6"/>
  <c r="H385" i="6"/>
  <c r="F385" i="6"/>
  <c r="C385" i="6"/>
  <c r="AD383" i="6"/>
  <c r="AC383" i="6"/>
  <c r="AA383" i="6"/>
  <c r="W383" i="6"/>
  <c r="X383" i="6" s="1"/>
  <c r="U383" i="6"/>
  <c r="R383" i="6"/>
  <c r="N383" i="6"/>
  <c r="O383" i="6" s="1"/>
  <c r="L383" i="6"/>
  <c r="I383" i="6"/>
  <c r="H383" i="6"/>
  <c r="F383" i="6"/>
  <c r="C383" i="6"/>
  <c r="AC382" i="6"/>
  <c r="AD382" i="6" s="1"/>
  <c r="AA382" i="6"/>
  <c r="X382" i="6"/>
  <c r="W382" i="6"/>
  <c r="U382" i="6"/>
  <c r="R382" i="6"/>
  <c r="N382" i="6"/>
  <c r="L382" i="6"/>
  <c r="I382" i="6"/>
  <c r="H382" i="6"/>
  <c r="F382" i="6"/>
  <c r="C382" i="6"/>
  <c r="AD381" i="6"/>
  <c r="AC381" i="6"/>
  <c r="AA381" i="6"/>
  <c r="W381" i="6"/>
  <c r="X381" i="6" s="1"/>
  <c r="U381" i="6"/>
  <c r="R381" i="6"/>
  <c r="N381" i="6"/>
  <c r="L381" i="6"/>
  <c r="I381" i="6"/>
  <c r="H381" i="6"/>
  <c r="F381" i="6"/>
  <c r="C381" i="6"/>
  <c r="AD380" i="6"/>
  <c r="AC380" i="6"/>
  <c r="AA380" i="6"/>
  <c r="W380" i="6"/>
  <c r="X380" i="6" s="1"/>
  <c r="U380" i="6"/>
  <c r="R380" i="6"/>
  <c r="O380" i="6"/>
  <c r="N380" i="6"/>
  <c r="L380" i="6"/>
  <c r="I380" i="6"/>
  <c r="H380" i="6"/>
  <c r="F380" i="6"/>
  <c r="C380" i="6"/>
  <c r="AC379" i="6"/>
  <c r="AD379" i="6" s="1"/>
  <c r="AA379" i="6"/>
  <c r="W379" i="6"/>
  <c r="X379" i="6" s="1"/>
  <c r="U379" i="6"/>
  <c r="R379" i="6"/>
  <c r="N379" i="6"/>
  <c r="O379" i="6" s="1"/>
  <c r="L379" i="6"/>
  <c r="I379" i="6"/>
  <c r="H379" i="6"/>
  <c r="F379" i="6"/>
  <c r="C379" i="6"/>
  <c r="AC378" i="6"/>
  <c r="AD378" i="6" s="1"/>
  <c r="AA378" i="6"/>
  <c r="X378" i="6"/>
  <c r="W378" i="6"/>
  <c r="U378" i="6"/>
  <c r="R378" i="6"/>
  <c r="N378" i="6"/>
  <c r="O378" i="6" s="1"/>
  <c r="L378" i="6"/>
  <c r="H378" i="6"/>
  <c r="I378" i="6" s="1"/>
  <c r="F378" i="6"/>
  <c r="C378" i="6"/>
  <c r="AD377" i="6"/>
  <c r="AC377" i="6"/>
  <c r="AA377" i="6"/>
  <c r="W377" i="6"/>
  <c r="X377" i="6" s="1"/>
  <c r="U377" i="6"/>
  <c r="R377" i="6"/>
  <c r="N377" i="6"/>
  <c r="O377" i="6" s="1"/>
  <c r="L377" i="6"/>
  <c r="H377" i="6"/>
  <c r="I377" i="6" s="1"/>
  <c r="F377" i="6"/>
  <c r="C377" i="6"/>
  <c r="AD376" i="6"/>
  <c r="AC376" i="6"/>
  <c r="AA376" i="6"/>
  <c r="W376" i="6"/>
  <c r="X376" i="6" s="1"/>
  <c r="U376" i="6"/>
  <c r="R376" i="6"/>
  <c r="N376" i="6"/>
  <c r="L376" i="6"/>
  <c r="I376" i="6"/>
  <c r="H376" i="6"/>
  <c r="F376" i="6"/>
  <c r="C376" i="6"/>
  <c r="AD375" i="6"/>
  <c r="AC375" i="6"/>
  <c r="AA375" i="6"/>
  <c r="W375" i="6"/>
  <c r="X375" i="6" s="1"/>
  <c r="U375" i="6"/>
  <c r="R375" i="6"/>
  <c r="N375" i="6"/>
  <c r="O375" i="6" s="1"/>
  <c r="L375" i="6"/>
  <c r="I375" i="6"/>
  <c r="H375" i="6"/>
  <c r="F375" i="6"/>
  <c r="C375" i="6"/>
  <c r="AD374" i="6"/>
  <c r="AC374" i="6"/>
  <c r="AA374" i="6"/>
  <c r="X374" i="6"/>
  <c r="W374" i="6"/>
  <c r="U374" i="6"/>
  <c r="R374" i="6"/>
  <c r="N374" i="6"/>
  <c r="L374" i="6"/>
  <c r="H374" i="6"/>
  <c r="I374" i="6" s="1"/>
  <c r="F374" i="6"/>
  <c r="C374" i="6"/>
  <c r="AD373" i="6"/>
  <c r="AC373" i="6"/>
  <c r="AA373" i="6"/>
  <c r="X373" i="6"/>
  <c r="W373" i="6"/>
  <c r="U373" i="6"/>
  <c r="R373" i="6"/>
  <c r="N373" i="6"/>
  <c r="L373" i="6"/>
  <c r="I373" i="6"/>
  <c r="H373" i="6"/>
  <c r="F373" i="6"/>
  <c r="C373" i="6"/>
  <c r="AD372" i="6"/>
  <c r="AC372" i="6"/>
  <c r="AA372" i="6"/>
  <c r="W372" i="6"/>
  <c r="X372" i="6" s="1"/>
  <c r="U372" i="6"/>
  <c r="R372" i="6"/>
  <c r="O372" i="6"/>
  <c r="N372" i="6"/>
  <c r="L372" i="6"/>
  <c r="I372" i="6"/>
  <c r="H372" i="6"/>
  <c r="F372" i="6"/>
  <c r="C372" i="6"/>
  <c r="AC371" i="6"/>
  <c r="AD371" i="6" s="1"/>
  <c r="AA371" i="6"/>
  <c r="W371" i="6"/>
  <c r="X371" i="6" s="1"/>
  <c r="U371" i="6"/>
  <c r="R371" i="6"/>
  <c r="N371" i="6"/>
  <c r="O371" i="6" s="1"/>
  <c r="L371" i="6"/>
  <c r="I371" i="6"/>
  <c r="H371" i="6"/>
  <c r="F371" i="6"/>
  <c r="C371" i="6"/>
  <c r="AC370" i="6"/>
  <c r="AD370" i="6" s="1"/>
  <c r="AA370" i="6"/>
  <c r="X370" i="6"/>
  <c r="W370" i="6"/>
  <c r="U370" i="6"/>
  <c r="R370" i="6"/>
  <c r="N370" i="6"/>
  <c r="O370" i="6" s="1"/>
  <c r="L370" i="6"/>
  <c r="H370" i="6"/>
  <c r="I370" i="6" s="1"/>
  <c r="F370" i="6"/>
  <c r="C370" i="6"/>
  <c r="AD369" i="6"/>
  <c r="AC369" i="6"/>
  <c r="AA369" i="6"/>
  <c r="W369" i="6"/>
  <c r="X369" i="6" s="1"/>
  <c r="U369" i="6"/>
  <c r="R369" i="6"/>
  <c r="N369" i="6"/>
  <c r="O369" i="6" s="1"/>
  <c r="L369" i="6"/>
  <c r="H369" i="6"/>
  <c r="I369" i="6" s="1"/>
  <c r="F369" i="6"/>
  <c r="C369" i="6"/>
  <c r="AA368" i="6"/>
  <c r="Z368" i="6"/>
  <c r="T368" i="6"/>
  <c r="W368" i="6" s="1"/>
  <c r="X368" i="6" s="1"/>
  <c r="R368" i="6"/>
  <c r="Q368" i="6"/>
  <c r="AC368" i="6" s="1"/>
  <c r="AD368" i="6" s="1"/>
  <c r="K368" i="6"/>
  <c r="L368" i="6" s="1"/>
  <c r="I368" i="6"/>
  <c r="H368" i="6"/>
  <c r="F368" i="6"/>
  <c r="E368" i="6"/>
  <c r="C368" i="6"/>
  <c r="B368" i="6"/>
  <c r="N368" i="6" s="1"/>
  <c r="O368" i="6" s="1"/>
  <c r="AC367" i="6"/>
  <c r="AD367" i="6" s="1"/>
  <c r="AA367" i="6"/>
  <c r="X367" i="6"/>
  <c r="W367" i="6"/>
  <c r="U367" i="6"/>
  <c r="R367" i="6"/>
  <c r="N367" i="6"/>
  <c r="O367" i="6" s="1"/>
  <c r="L367" i="6"/>
  <c r="H367" i="6"/>
  <c r="I367" i="6" s="1"/>
  <c r="F367" i="6"/>
  <c r="C367" i="6"/>
  <c r="AD366" i="6"/>
  <c r="AC366" i="6"/>
  <c r="AA366" i="6"/>
  <c r="X366" i="6"/>
  <c r="W366" i="6"/>
  <c r="U366" i="6"/>
  <c r="R366" i="6"/>
  <c r="N366" i="6"/>
  <c r="O366" i="6" s="1"/>
  <c r="L366" i="6"/>
  <c r="H366" i="6"/>
  <c r="I366" i="6" s="1"/>
  <c r="F366" i="6"/>
  <c r="C366" i="6"/>
  <c r="AD365" i="6"/>
  <c r="AC365" i="6"/>
  <c r="AA365" i="6"/>
  <c r="W365" i="6"/>
  <c r="X365" i="6" s="1"/>
  <c r="U365" i="6"/>
  <c r="R365" i="6"/>
  <c r="O365" i="6"/>
  <c r="N365" i="6"/>
  <c r="L365" i="6"/>
  <c r="I365" i="6"/>
  <c r="H365" i="6"/>
  <c r="F365" i="6"/>
  <c r="C365" i="6"/>
  <c r="AC364" i="6"/>
  <c r="AD364" i="6" s="1"/>
  <c r="AA364" i="6"/>
  <c r="W364" i="6"/>
  <c r="X364" i="6" s="1"/>
  <c r="U364" i="6"/>
  <c r="R364" i="6"/>
  <c r="N364" i="6"/>
  <c r="O364" i="6" s="1"/>
  <c r="L364" i="6"/>
  <c r="I364" i="6"/>
  <c r="H364" i="6"/>
  <c r="F364" i="6"/>
  <c r="C364" i="6"/>
  <c r="AD363" i="6"/>
  <c r="AC363" i="6"/>
  <c r="AA363" i="6"/>
  <c r="X363" i="6"/>
  <c r="W363" i="6"/>
  <c r="U363" i="6"/>
  <c r="R363" i="6"/>
  <c r="N363" i="6"/>
  <c r="O363" i="6" s="1"/>
  <c r="L363" i="6"/>
  <c r="H363" i="6"/>
  <c r="I363" i="6" s="1"/>
  <c r="F363" i="6"/>
  <c r="C363" i="6"/>
  <c r="AD362" i="6"/>
  <c r="AC362" i="6"/>
  <c r="AA362" i="6"/>
  <c r="X362" i="6"/>
  <c r="W362" i="6"/>
  <c r="U362" i="6"/>
  <c r="R362" i="6"/>
  <c r="N362" i="6"/>
  <c r="O362" i="6" s="1"/>
  <c r="L362" i="6"/>
  <c r="I362" i="6"/>
  <c r="H362" i="6"/>
  <c r="F362" i="6"/>
  <c r="C362" i="6"/>
  <c r="AD361" i="6"/>
  <c r="AC361" i="6"/>
  <c r="AA361" i="6"/>
  <c r="W361" i="6"/>
  <c r="X361" i="6" s="1"/>
  <c r="U361" i="6"/>
  <c r="R361" i="6"/>
  <c r="O361" i="6"/>
  <c r="N361" i="6"/>
  <c r="L361" i="6"/>
  <c r="I361" i="6"/>
  <c r="H361" i="6"/>
  <c r="F361" i="6"/>
  <c r="C361" i="6"/>
  <c r="AD360" i="6"/>
  <c r="AC360" i="6"/>
  <c r="AA360" i="6"/>
  <c r="W360" i="6"/>
  <c r="X360" i="6" s="1"/>
  <c r="U360" i="6"/>
  <c r="R360" i="6"/>
  <c r="N360" i="6"/>
  <c r="O360" i="6" s="1"/>
  <c r="L360" i="6"/>
  <c r="I360" i="6"/>
  <c r="H360" i="6"/>
  <c r="F360" i="6"/>
  <c r="C360" i="6"/>
  <c r="Z358" i="6"/>
  <c r="AC358" i="6" s="1"/>
  <c r="AD358" i="6" s="1"/>
  <c r="U358" i="6"/>
  <c r="T358" i="6"/>
  <c r="Q358" i="6"/>
  <c r="N358" i="6"/>
  <c r="O358" i="6" s="1"/>
  <c r="L358" i="6"/>
  <c r="K358" i="6"/>
  <c r="I358" i="6"/>
  <c r="E358" i="6"/>
  <c r="F358" i="6" s="1"/>
  <c r="B358" i="6"/>
  <c r="H358" i="6" s="1"/>
  <c r="AD357" i="6"/>
  <c r="AC357" i="6"/>
  <c r="AA357" i="6"/>
  <c r="W357" i="6"/>
  <c r="X357" i="6" s="1"/>
  <c r="U357" i="6"/>
  <c r="R357" i="6"/>
  <c r="O357" i="6"/>
  <c r="N357" i="6"/>
  <c r="L357" i="6"/>
  <c r="I357" i="6"/>
  <c r="H357" i="6"/>
  <c r="F357" i="6"/>
  <c r="C357" i="6"/>
  <c r="AC356" i="6"/>
  <c r="AD356" i="6" s="1"/>
  <c r="AA356" i="6"/>
  <c r="W356" i="6"/>
  <c r="X356" i="6" s="1"/>
  <c r="U356" i="6"/>
  <c r="R356" i="6"/>
  <c r="O356" i="6"/>
  <c r="N356" i="6"/>
  <c r="L356" i="6"/>
  <c r="I356" i="6"/>
  <c r="H356" i="6"/>
  <c r="F356" i="6"/>
  <c r="C356" i="6"/>
  <c r="AC355" i="6"/>
  <c r="AD355" i="6" s="1"/>
  <c r="AA355" i="6"/>
  <c r="X355" i="6"/>
  <c r="W355" i="6"/>
  <c r="U355" i="6"/>
  <c r="R355" i="6"/>
  <c r="N355" i="6"/>
  <c r="O355" i="6" s="1"/>
  <c r="L355" i="6"/>
  <c r="I355" i="6"/>
  <c r="H355" i="6"/>
  <c r="F355" i="6"/>
  <c r="C355" i="6"/>
  <c r="AD354" i="6"/>
  <c r="AC354" i="6"/>
  <c r="AA354" i="6"/>
  <c r="W354" i="6"/>
  <c r="X354" i="6" s="1"/>
  <c r="U354" i="6"/>
  <c r="R354" i="6"/>
  <c r="N354" i="6"/>
  <c r="O354" i="6" s="1"/>
  <c r="L354" i="6"/>
  <c r="I354" i="6"/>
  <c r="H354" i="6"/>
  <c r="F354" i="6"/>
  <c r="C354" i="6"/>
  <c r="AD353" i="6"/>
  <c r="AC353" i="6"/>
  <c r="AA353" i="6"/>
  <c r="W353" i="6"/>
  <c r="X353" i="6" s="1"/>
  <c r="U353" i="6"/>
  <c r="R353" i="6"/>
  <c r="O353" i="6"/>
  <c r="N353" i="6"/>
  <c r="L353" i="6"/>
  <c r="I353" i="6"/>
  <c r="H353" i="6"/>
  <c r="F353" i="6"/>
  <c r="C353" i="6"/>
  <c r="AC352" i="6"/>
  <c r="AD352" i="6" s="1"/>
  <c r="AA352" i="6"/>
  <c r="W352" i="6"/>
  <c r="X352" i="6" s="1"/>
  <c r="U352" i="6"/>
  <c r="R352" i="6"/>
  <c r="N352" i="6"/>
  <c r="O352" i="6" s="1"/>
  <c r="L352" i="6"/>
  <c r="I352" i="6"/>
  <c r="H352" i="6"/>
  <c r="F352" i="6"/>
  <c r="C352" i="6"/>
  <c r="AC351" i="6"/>
  <c r="AD351" i="6" s="1"/>
  <c r="AA351" i="6"/>
  <c r="X351" i="6"/>
  <c r="W351" i="6"/>
  <c r="U351" i="6"/>
  <c r="R351" i="6"/>
  <c r="N351" i="6"/>
  <c r="O351" i="6" s="1"/>
  <c r="L351" i="6"/>
  <c r="H351" i="6"/>
  <c r="I351" i="6" s="1"/>
  <c r="F351" i="6"/>
  <c r="C351" i="6"/>
  <c r="AD350" i="6"/>
  <c r="AC350" i="6"/>
  <c r="AA350" i="6"/>
  <c r="W350" i="6"/>
  <c r="X350" i="6" s="1"/>
  <c r="U350" i="6"/>
  <c r="R350" i="6"/>
  <c r="N350" i="6"/>
  <c r="O350" i="6" s="1"/>
  <c r="L350" i="6"/>
  <c r="H350" i="6"/>
  <c r="I350" i="6" s="1"/>
  <c r="F350" i="6"/>
  <c r="C350" i="6"/>
  <c r="AD349" i="6"/>
  <c r="AC349" i="6"/>
  <c r="AA349" i="6"/>
  <c r="W349" i="6"/>
  <c r="X349" i="6" s="1"/>
  <c r="U349" i="6"/>
  <c r="R349" i="6"/>
  <c r="O349" i="6"/>
  <c r="N349" i="6"/>
  <c r="L349" i="6"/>
  <c r="I349" i="6"/>
  <c r="H349" i="6"/>
  <c r="F349" i="6"/>
  <c r="C349" i="6"/>
  <c r="AC347" i="6"/>
  <c r="AD347" i="6" s="1"/>
  <c r="AA347" i="6"/>
  <c r="W347" i="6"/>
  <c r="X347" i="6" s="1"/>
  <c r="U347" i="6"/>
  <c r="R347" i="6"/>
  <c r="O347" i="6"/>
  <c r="N347" i="6"/>
  <c r="L347" i="6"/>
  <c r="I347" i="6"/>
  <c r="H347" i="6"/>
  <c r="F347" i="6"/>
  <c r="C347" i="6"/>
  <c r="AA344" i="6"/>
  <c r="Z344" i="6"/>
  <c r="W344" i="6"/>
  <c r="X344" i="6" s="1"/>
  <c r="T344" i="6"/>
  <c r="U344" i="6" s="1"/>
  <c r="R344" i="6"/>
  <c r="Q344" i="6"/>
  <c r="AC344" i="6" s="1"/>
  <c r="AD344" i="6" s="1"/>
  <c r="K344" i="6"/>
  <c r="L344" i="6" s="1"/>
  <c r="I344" i="6"/>
  <c r="H344" i="6"/>
  <c r="F344" i="6"/>
  <c r="E344" i="6"/>
  <c r="C344" i="6"/>
  <c r="B344" i="6"/>
  <c r="AC343" i="6"/>
  <c r="AD343" i="6" s="1"/>
  <c r="AA343" i="6"/>
  <c r="Z343" i="6"/>
  <c r="U343" i="6"/>
  <c r="T343" i="6"/>
  <c r="R343" i="6"/>
  <c r="Q343" i="6"/>
  <c r="W343" i="6" s="1"/>
  <c r="X343" i="6" s="1"/>
  <c r="N343" i="6"/>
  <c r="O343" i="6" s="1"/>
  <c r="L343" i="6"/>
  <c r="K343" i="6"/>
  <c r="E343" i="6"/>
  <c r="F343" i="6" s="1"/>
  <c r="C343" i="6"/>
  <c r="B343" i="6"/>
  <c r="H343" i="6" s="1"/>
  <c r="I343" i="6" s="1"/>
  <c r="AA342" i="6"/>
  <c r="Z342" i="6"/>
  <c r="U342" i="6"/>
  <c r="T342" i="6"/>
  <c r="W342" i="6" s="1"/>
  <c r="X342" i="6" s="1"/>
  <c r="R342" i="6"/>
  <c r="Q342" i="6"/>
  <c r="AC342" i="6" s="1"/>
  <c r="AD342" i="6" s="1"/>
  <c r="O342" i="6"/>
  <c r="L342" i="6"/>
  <c r="K342" i="6"/>
  <c r="H342" i="6"/>
  <c r="I342" i="6" s="1"/>
  <c r="F342" i="6"/>
  <c r="E342" i="6"/>
  <c r="C342" i="6"/>
  <c r="B342" i="6"/>
  <c r="N342" i="6" s="1"/>
  <c r="AD341" i="6"/>
  <c r="AC341" i="6"/>
  <c r="AA341" i="6"/>
  <c r="X341" i="6"/>
  <c r="W341" i="6"/>
  <c r="U341" i="6"/>
  <c r="R341" i="6"/>
  <c r="N341" i="6"/>
  <c r="O341" i="6" s="1"/>
  <c r="L341" i="6"/>
  <c r="H341" i="6"/>
  <c r="I341" i="6" s="1"/>
  <c r="F341" i="6"/>
  <c r="C341" i="6"/>
  <c r="AD340" i="6"/>
  <c r="AC340" i="6"/>
  <c r="AA340" i="6"/>
  <c r="X340" i="6"/>
  <c r="W340" i="6"/>
  <c r="U340" i="6"/>
  <c r="R340" i="6"/>
  <c r="N340" i="6"/>
  <c r="O340" i="6" s="1"/>
  <c r="L340" i="6"/>
  <c r="I340" i="6"/>
  <c r="H340" i="6"/>
  <c r="F340" i="6"/>
  <c r="C340" i="6"/>
  <c r="AD339" i="6"/>
  <c r="AC339" i="6"/>
  <c r="AA339" i="6"/>
  <c r="W339" i="6"/>
  <c r="X339" i="6" s="1"/>
  <c r="U339" i="6"/>
  <c r="R339" i="6"/>
  <c r="O339" i="6"/>
  <c r="N339" i="6"/>
  <c r="L339" i="6"/>
  <c r="I339" i="6"/>
  <c r="H339" i="6"/>
  <c r="F339" i="6"/>
  <c r="C339" i="6"/>
  <c r="AC338" i="6"/>
  <c r="AD338" i="6" s="1"/>
  <c r="AA338" i="6"/>
  <c r="W338" i="6"/>
  <c r="X338" i="6" s="1"/>
  <c r="U338" i="6"/>
  <c r="R338" i="6"/>
  <c r="N338" i="6"/>
  <c r="O338" i="6" s="1"/>
  <c r="L338" i="6"/>
  <c r="I338" i="6"/>
  <c r="H338" i="6"/>
  <c r="F338" i="6"/>
  <c r="C338" i="6"/>
  <c r="AD337" i="6"/>
  <c r="AC337" i="6"/>
  <c r="AA337" i="6"/>
  <c r="W337" i="6"/>
  <c r="X337" i="6" s="1"/>
  <c r="U337" i="6"/>
  <c r="R337" i="6"/>
  <c r="N337" i="6"/>
  <c r="O337" i="6" s="1"/>
  <c r="L337" i="6"/>
  <c r="I337" i="6"/>
  <c r="H337" i="6"/>
  <c r="F337" i="6"/>
  <c r="C337" i="6"/>
  <c r="AD335" i="6"/>
  <c r="AC335" i="6"/>
  <c r="AA335" i="6"/>
  <c r="W335" i="6"/>
  <c r="X335" i="6" s="1"/>
  <c r="U335" i="6"/>
  <c r="R335" i="6"/>
  <c r="N335" i="6"/>
  <c r="O335" i="6" s="1"/>
  <c r="L335" i="6"/>
  <c r="H335" i="6"/>
  <c r="I335" i="6" s="1"/>
  <c r="F335" i="6"/>
  <c r="C335" i="6"/>
  <c r="AD334" i="6"/>
  <c r="AC334" i="6"/>
  <c r="AA334" i="6"/>
  <c r="W334" i="6"/>
  <c r="X334" i="6" s="1"/>
  <c r="U334" i="6"/>
  <c r="R334" i="6"/>
  <c r="N334" i="6"/>
  <c r="O334" i="6" s="1"/>
  <c r="L334" i="6"/>
  <c r="I334" i="6"/>
  <c r="H334" i="6"/>
  <c r="F334" i="6"/>
  <c r="C334" i="6"/>
  <c r="AC333" i="6"/>
  <c r="AD333" i="6" s="1"/>
  <c r="AA333" i="6"/>
  <c r="W333" i="6"/>
  <c r="X333" i="6" s="1"/>
  <c r="U333" i="6"/>
  <c r="R333" i="6"/>
  <c r="N333" i="6"/>
  <c r="O333" i="6" s="1"/>
  <c r="L333" i="6"/>
  <c r="I333" i="6"/>
  <c r="H333" i="6"/>
  <c r="F333" i="6"/>
  <c r="C333" i="6"/>
  <c r="AD332" i="6"/>
  <c r="AC332" i="6"/>
  <c r="AA332" i="6"/>
  <c r="X332" i="6"/>
  <c r="W332" i="6"/>
  <c r="U332" i="6"/>
  <c r="R332" i="6"/>
  <c r="N332" i="6"/>
  <c r="O332" i="6" s="1"/>
  <c r="L332" i="6"/>
  <c r="H332" i="6"/>
  <c r="I332" i="6" s="1"/>
  <c r="F332" i="6"/>
  <c r="C332" i="6"/>
  <c r="AD331" i="6"/>
  <c r="AC331" i="6"/>
  <c r="AA331" i="6"/>
  <c r="X331" i="6"/>
  <c r="W331" i="6"/>
  <c r="U331" i="6"/>
  <c r="R331" i="6"/>
  <c r="N331" i="6"/>
  <c r="O331" i="6" s="1"/>
  <c r="L331" i="6"/>
  <c r="H331" i="6"/>
  <c r="I331" i="6" s="1"/>
  <c r="F331" i="6"/>
  <c r="C331" i="6"/>
  <c r="AD330" i="6"/>
  <c r="AC330" i="6"/>
  <c r="AA330" i="6"/>
  <c r="W330" i="6"/>
  <c r="X330" i="6" s="1"/>
  <c r="U330" i="6"/>
  <c r="R330" i="6"/>
  <c r="O330" i="6"/>
  <c r="N330" i="6"/>
  <c r="L330" i="6"/>
  <c r="I330" i="6"/>
  <c r="H330" i="6"/>
  <c r="F330" i="6"/>
  <c r="C330" i="6"/>
  <c r="AD329" i="6"/>
  <c r="AC329" i="6"/>
  <c r="AA329" i="6"/>
  <c r="W329" i="6"/>
  <c r="X329" i="6" s="1"/>
  <c r="U329" i="6"/>
  <c r="R329" i="6"/>
  <c r="N329" i="6"/>
  <c r="O329" i="6" s="1"/>
  <c r="L329" i="6"/>
  <c r="I329" i="6"/>
  <c r="H329" i="6"/>
  <c r="F329" i="6"/>
  <c r="C329" i="6"/>
  <c r="AD328" i="6"/>
  <c r="AC328" i="6"/>
  <c r="AA328" i="6"/>
  <c r="W328" i="6"/>
  <c r="X328" i="6" s="1"/>
  <c r="U328" i="6"/>
  <c r="R328" i="6"/>
  <c r="N328" i="6"/>
  <c r="O328" i="6" s="1"/>
  <c r="L328" i="6"/>
  <c r="H328" i="6"/>
  <c r="I328" i="6" s="1"/>
  <c r="F328" i="6"/>
  <c r="C328" i="6"/>
  <c r="Z325" i="6"/>
  <c r="AA325" i="6" s="1"/>
  <c r="W325" i="6"/>
  <c r="X325" i="6" s="1"/>
  <c r="U325" i="6"/>
  <c r="T325" i="6"/>
  <c r="R325" i="6"/>
  <c r="Q325" i="6"/>
  <c r="N325" i="6"/>
  <c r="O325" i="6" s="1"/>
  <c r="L325" i="6"/>
  <c r="K325" i="6"/>
  <c r="I325" i="6"/>
  <c r="F325" i="6"/>
  <c r="E325" i="6"/>
  <c r="B325" i="6"/>
  <c r="H325" i="6" s="1"/>
  <c r="AC324" i="6"/>
  <c r="AD324" i="6" s="1"/>
  <c r="AA324" i="6"/>
  <c r="Z324" i="6"/>
  <c r="U324" i="6"/>
  <c r="T324" i="6"/>
  <c r="Q324" i="6"/>
  <c r="O324" i="6"/>
  <c r="L324" i="6"/>
  <c r="K324" i="6"/>
  <c r="I324" i="6"/>
  <c r="H324" i="6"/>
  <c r="E324" i="6"/>
  <c r="F324" i="6" s="1"/>
  <c r="C324" i="6"/>
  <c r="B324" i="6"/>
  <c r="N324" i="6" s="1"/>
  <c r="AD323" i="6"/>
  <c r="AC323" i="6"/>
  <c r="AA323" i="6"/>
  <c r="X323" i="6"/>
  <c r="W323" i="6"/>
  <c r="U323" i="6"/>
  <c r="R323" i="6"/>
  <c r="N323" i="6"/>
  <c r="O323" i="6" s="1"/>
  <c r="L323" i="6"/>
  <c r="H323" i="6"/>
  <c r="I323" i="6" s="1"/>
  <c r="F323" i="6"/>
  <c r="C323" i="6"/>
  <c r="AD322" i="6"/>
  <c r="AC322" i="6"/>
  <c r="AA322" i="6"/>
  <c r="W322" i="6"/>
  <c r="X322" i="6" s="1"/>
  <c r="U322" i="6"/>
  <c r="R322" i="6"/>
  <c r="O322" i="6"/>
  <c r="N322" i="6"/>
  <c r="L322" i="6"/>
  <c r="I322" i="6"/>
  <c r="H322" i="6"/>
  <c r="F322" i="6"/>
  <c r="C322" i="6"/>
  <c r="AD321" i="6"/>
  <c r="AC321" i="6"/>
  <c r="AA321" i="6"/>
  <c r="W321" i="6"/>
  <c r="X321" i="6" s="1"/>
  <c r="U321" i="6"/>
  <c r="R321" i="6"/>
  <c r="O321" i="6"/>
  <c r="N321" i="6"/>
  <c r="L321" i="6"/>
  <c r="I321" i="6"/>
  <c r="H321" i="6"/>
  <c r="F321" i="6"/>
  <c r="C321" i="6"/>
  <c r="AC320" i="6"/>
  <c r="AD320" i="6" s="1"/>
  <c r="AA320" i="6"/>
  <c r="X320" i="6"/>
  <c r="W320" i="6"/>
  <c r="U320" i="6"/>
  <c r="R320" i="6"/>
  <c r="N320" i="6"/>
  <c r="O320" i="6" s="1"/>
  <c r="L320" i="6"/>
  <c r="H320" i="6"/>
  <c r="I320" i="6" s="1"/>
  <c r="F320" i="6"/>
  <c r="C320" i="6"/>
  <c r="AD319" i="6"/>
  <c r="AC319" i="6"/>
  <c r="AA319" i="6"/>
  <c r="W319" i="6"/>
  <c r="X319" i="6" s="1"/>
  <c r="U319" i="6"/>
  <c r="R319" i="6"/>
  <c r="N319" i="6"/>
  <c r="O319" i="6" s="1"/>
  <c r="L319" i="6"/>
  <c r="H319" i="6"/>
  <c r="I319" i="6" s="1"/>
  <c r="F319" i="6"/>
  <c r="C319" i="6"/>
  <c r="AD318" i="6"/>
  <c r="AC318" i="6"/>
  <c r="AA318" i="6"/>
  <c r="W318" i="6"/>
  <c r="X318" i="6" s="1"/>
  <c r="U318" i="6"/>
  <c r="R318" i="6"/>
  <c r="N318" i="6"/>
  <c r="O318" i="6" s="1"/>
  <c r="L318" i="6"/>
  <c r="I318" i="6"/>
  <c r="H318" i="6"/>
  <c r="F318" i="6"/>
  <c r="C318" i="6"/>
  <c r="AC317" i="6"/>
  <c r="AD317" i="6" s="1"/>
  <c r="AA317" i="6"/>
  <c r="W317" i="6"/>
  <c r="X317" i="6" s="1"/>
  <c r="U317" i="6"/>
  <c r="R317" i="6"/>
  <c r="N317" i="6"/>
  <c r="O317" i="6" s="1"/>
  <c r="L317" i="6"/>
  <c r="I317" i="6"/>
  <c r="H317" i="6"/>
  <c r="F317" i="6"/>
  <c r="C317" i="6"/>
  <c r="AD316" i="6"/>
  <c r="AC316" i="6"/>
  <c r="AA316" i="6"/>
  <c r="W316" i="6"/>
  <c r="X316" i="6" s="1"/>
  <c r="U316" i="6"/>
  <c r="R316" i="6"/>
  <c r="N316" i="6"/>
  <c r="O316" i="6" s="1"/>
  <c r="L316" i="6"/>
  <c r="H316" i="6"/>
  <c r="I316" i="6" s="1"/>
  <c r="F316" i="6"/>
  <c r="C316" i="6"/>
  <c r="AD315" i="6"/>
  <c r="AC315" i="6"/>
  <c r="AA315" i="6"/>
  <c r="X315" i="6"/>
  <c r="W315" i="6"/>
  <c r="U315" i="6"/>
  <c r="R315" i="6"/>
  <c r="N315" i="6"/>
  <c r="O315" i="6" s="1"/>
  <c r="L315" i="6"/>
  <c r="H315" i="6"/>
  <c r="I315" i="6" s="1"/>
  <c r="F315" i="6"/>
  <c r="C315" i="6"/>
  <c r="AD314" i="6"/>
  <c r="AC314" i="6"/>
  <c r="AA314" i="6"/>
  <c r="X314" i="6"/>
  <c r="W314" i="6"/>
  <c r="U314" i="6"/>
  <c r="R314" i="6"/>
  <c r="N314" i="6"/>
  <c r="O314" i="6" s="1"/>
  <c r="L314" i="6"/>
  <c r="I314" i="6"/>
  <c r="H314" i="6"/>
  <c r="F314" i="6"/>
  <c r="C314" i="6"/>
  <c r="AD313" i="6"/>
  <c r="AC313" i="6"/>
  <c r="AA313" i="6"/>
  <c r="W313" i="6"/>
  <c r="X313" i="6" s="1"/>
  <c r="U313" i="6"/>
  <c r="R313" i="6"/>
  <c r="O313" i="6"/>
  <c r="N313" i="6"/>
  <c r="L313" i="6"/>
  <c r="I313" i="6"/>
  <c r="H313" i="6"/>
  <c r="F313" i="6"/>
  <c r="C313" i="6"/>
  <c r="AC312" i="6"/>
  <c r="AD312" i="6" s="1"/>
  <c r="AA312" i="6"/>
  <c r="X312" i="6"/>
  <c r="W312" i="6"/>
  <c r="U312" i="6"/>
  <c r="R312" i="6"/>
  <c r="O312" i="6"/>
  <c r="N312" i="6"/>
  <c r="L312" i="6"/>
  <c r="H312" i="6"/>
  <c r="I312" i="6" s="1"/>
  <c r="F312" i="6"/>
  <c r="C312" i="6"/>
  <c r="AD311" i="6"/>
  <c r="AC311" i="6"/>
  <c r="AA311" i="6"/>
  <c r="X311" i="6"/>
  <c r="W311" i="6"/>
  <c r="U311" i="6"/>
  <c r="R311" i="6"/>
  <c r="N311" i="6"/>
  <c r="O311" i="6" s="1"/>
  <c r="L311" i="6"/>
  <c r="I311" i="6"/>
  <c r="H311" i="6"/>
  <c r="F311" i="6"/>
  <c r="C311" i="6"/>
  <c r="AD310" i="6"/>
  <c r="AC310" i="6"/>
  <c r="AA310" i="6"/>
  <c r="X310" i="6"/>
  <c r="W310" i="6"/>
  <c r="U310" i="6"/>
  <c r="R310" i="6"/>
  <c r="N310" i="6"/>
  <c r="O310" i="6" s="1"/>
  <c r="L310" i="6"/>
  <c r="H310" i="6"/>
  <c r="I310" i="6" s="1"/>
  <c r="F310" i="6"/>
  <c r="C310" i="6"/>
  <c r="AC309" i="6"/>
  <c r="AD309" i="6" s="1"/>
  <c r="AA309" i="6"/>
  <c r="W309" i="6"/>
  <c r="X309" i="6" s="1"/>
  <c r="U309" i="6"/>
  <c r="R309" i="6"/>
  <c r="O309" i="6"/>
  <c r="N309" i="6"/>
  <c r="L309" i="6"/>
  <c r="I309" i="6"/>
  <c r="H309" i="6"/>
  <c r="F309" i="6"/>
  <c r="C309" i="6"/>
  <c r="AC308" i="6"/>
  <c r="AD308" i="6" s="1"/>
  <c r="AA308" i="6"/>
  <c r="W308" i="6"/>
  <c r="X308" i="6" s="1"/>
  <c r="U308" i="6"/>
  <c r="R308" i="6"/>
  <c r="N308" i="6"/>
  <c r="O308" i="6" s="1"/>
  <c r="L308" i="6"/>
  <c r="I308" i="6"/>
  <c r="H308" i="6"/>
  <c r="F308" i="6"/>
  <c r="C308" i="6"/>
  <c r="AC307" i="6"/>
  <c r="AD307" i="6" s="1"/>
  <c r="AA307" i="6"/>
  <c r="X307" i="6"/>
  <c r="W307" i="6"/>
  <c r="U307" i="6"/>
  <c r="R307" i="6"/>
  <c r="N307" i="6"/>
  <c r="O307" i="6" s="1"/>
  <c r="L307" i="6"/>
  <c r="H307" i="6"/>
  <c r="I307" i="6" s="1"/>
  <c r="F307" i="6"/>
  <c r="C307" i="6"/>
  <c r="AD306" i="6"/>
  <c r="AC306" i="6"/>
  <c r="AA306" i="6"/>
  <c r="W306" i="6"/>
  <c r="X306" i="6" s="1"/>
  <c r="U306" i="6"/>
  <c r="R306" i="6"/>
  <c r="N306" i="6"/>
  <c r="O306" i="6" s="1"/>
  <c r="L306" i="6"/>
  <c r="I306" i="6"/>
  <c r="H306" i="6"/>
  <c r="F306" i="6"/>
  <c r="C306" i="6"/>
  <c r="AC305" i="6"/>
  <c r="AD305" i="6" s="1"/>
  <c r="AA305" i="6"/>
  <c r="W305" i="6"/>
  <c r="X305" i="6" s="1"/>
  <c r="U305" i="6"/>
  <c r="R305" i="6"/>
  <c r="N305" i="6"/>
  <c r="O305" i="6" s="1"/>
  <c r="L305" i="6"/>
  <c r="I305" i="6"/>
  <c r="H305" i="6"/>
  <c r="F305" i="6"/>
  <c r="C305" i="6"/>
  <c r="AC304" i="6"/>
  <c r="AD304" i="6" s="1"/>
  <c r="AA304" i="6"/>
  <c r="W304" i="6"/>
  <c r="X304" i="6" s="1"/>
  <c r="U304" i="6"/>
  <c r="R304" i="6"/>
  <c r="O304" i="6"/>
  <c r="N304" i="6"/>
  <c r="L304" i="6"/>
  <c r="I304" i="6"/>
  <c r="H304" i="6"/>
  <c r="F304" i="6"/>
  <c r="C304" i="6"/>
  <c r="AC303" i="6"/>
  <c r="AD303" i="6" s="1"/>
  <c r="AA303" i="6"/>
  <c r="W303" i="6"/>
  <c r="X303" i="6" s="1"/>
  <c r="U303" i="6"/>
  <c r="R303" i="6"/>
  <c r="N303" i="6"/>
  <c r="O303" i="6" s="1"/>
  <c r="L303" i="6"/>
  <c r="I303" i="6"/>
  <c r="H303" i="6"/>
  <c r="F303" i="6"/>
  <c r="C303" i="6"/>
  <c r="AD302" i="6"/>
  <c r="AC302" i="6"/>
  <c r="AA302" i="6"/>
  <c r="W302" i="6"/>
  <c r="X302" i="6" s="1"/>
  <c r="U302" i="6"/>
  <c r="R302" i="6"/>
  <c r="O302" i="6"/>
  <c r="N302" i="6"/>
  <c r="L302" i="6"/>
  <c r="I302" i="6"/>
  <c r="H302" i="6"/>
  <c r="F302" i="6"/>
  <c r="C302" i="6"/>
  <c r="AC301" i="6"/>
  <c r="AD301" i="6" s="1"/>
  <c r="AA301" i="6"/>
  <c r="W301" i="6"/>
  <c r="X301" i="6" s="1"/>
  <c r="U301" i="6"/>
  <c r="R301" i="6"/>
  <c r="O301" i="6"/>
  <c r="N301" i="6"/>
  <c r="L301" i="6"/>
  <c r="I301" i="6"/>
  <c r="H301" i="6"/>
  <c r="F301" i="6"/>
  <c r="C301" i="6"/>
  <c r="AD300" i="6"/>
  <c r="AC300" i="6"/>
  <c r="AA300" i="6"/>
  <c r="W300" i="6"/>
  <c r="X300" i="6" s="1"/>
  <c r="U300" i="6"/>
  <c r="R300" i="6"/>
  <c r="O300" i="6"/>
  <c r="N300" i="6"/>
  <c r="L300" i="6"/>
  <c r="H300" i="6"/>
  <c r="I300" i="6" s="1"/>
  <c r="F300" i="6"/>
  <c r="C300" i="6"/>
  <c r="AC299" i="6"/>
  <c r="AD299" i="6" s="1"/>
  <c r="AA299" i="6"/>
  <c r="X299" i="6"/>
  <c r="W299" i="6"/>
  <c r="U299" i="6"/>
  <c r="R299" i="6"/>
  <c r="N299" i="6"/>
  <c r="O299" i="6" s="1"/>
  <c r="L299" i="6"/>
  <c r="I299" i="6"/>
  <c r="H299" i="6"/>
  <c r="F299" i="6"/>
  <c r="C299" i="6"/>
  <c r="AD298" i="6"/>
  <c r="AC298" i="6"/>
  <c r="AA298" i="6"/>
  <c r="W298" i="6"/>
  <c r="X298" i="6" s="1"/>
  <c r="U298" i="6"/>
  <c r="R298" i="6"/>
  <c r="N298" i="6"/>
  <c r="O298" i="6" s="1"/>
  <c r="L298" i="6"/>
  <c r="H298" i="6"/>
  <c r="I298" i="6" s="1"/>
  <c r="F298" i="6"/>
  <c r="C298" i="6"/>
  <c r="AD297" i="6"/>
  <c r="AC297" i="6"/>
  <c r="AA297" i="6"/>
  <c r="W297" i="6"/>
  <c r="X297" i="6" s="1"/>
  <c r="U297" i="6"/>
  <c r="R297" i="6"/>
  <c r="O297" i="6"/>
  <c r="N297" i="6"/>
  <c r="L297" i="6"/>
  <c r="I297" i="6"/>
  <c r="H297" i="6"/>
  <c r="F297" i="6"/>
  <c r="C297" i="6"/>
  <c r="AC295" i="6"/>
  <c r="AD295" i="6" s="1"/>
  <c r="AA295" i="6"/>
  <c r="Z295" i="6"/>
  <c r="T295" i="6"/>
  <c r="U295" i="6" s="1"/>
  <c r="R295" i="6"/>
  <c r="Q295" i="6"/>
  <c r="W295" i="6" s="1"/>
  <c r="X295" i="6" s="1"/>
  <c r="N295" i="6"/>
  <c r="O295" i="6" s="1"/>
  <c r="L295" i="6"/>
  <c r="K295" i="6"/>
  <c r="E295" i="6"/>
  <c r="F295" i="6" s="1"/>
  <c r="B295" i="6"/>
  <c r="H295" i="6" s="1"/>
  <c r="I295" i="6" s="1"/>
  <c r="AD294" i="6"/>
  <c r="AC294" i="6"/>
  <c r="AA294" i="6"/>
  <c r="X294" i="6"/>
  <c r="W294" i="6"/>
  <c r="U294" i="6"/>
  <c r="R294" i="6"/>
  <c r="N294" i="6"/>
  <c r="O294" i="6" s="1"/>
  <c r="L294" i="6"/>
  <c r="H294" i="6"/>
  <c r="I294" i="6" s="1"/>
  <c r="F294" i="6"/>
  <c r="C294" i="6"/>
  <c r="AD293" i="6"/>
  <c r="AC293" i="6"/>
  <c r="AA293" i="6"/>
  <c r="W293" i="6"/>
  <c r="X293" i="6" s="1"/>
  <c r="U293" i="6"/>
  <c r="R293" i="6"/>
  <c r="O293" i="6"/>
  <c r="N293" i="6"/>
  <c r="L293" i="6"/>
  <c r="I293" i="6"/>
  <c r="H293" i="6"/>
  <c r="F293" i="6"/>
  <c r="C293" i="6"/>
  <c r="AD292" i="6"/>
  <c r="AC292" i="6"/>
  <c r="AA292" i="6"/>
  <c r="X292" i="6"/>
  <c r="W292" i="6"/>
  <c r="U292" i="6"/>
  <c r="R292" i="6"/>
  <c r="N292" i="6"/>
  <c r="O292" i="6" s="1"/>
  <c r="L292" i="6"/>
  <c r="I292" i="6"/>
  <c r="H292" i="6"/>
  <c r="F292" i="6"/>
  <c r="C292" i="6"/>
  <c r="AC291" i="6"/>
  <c r="AD291" i="6" s="1"/>
  <c r="AA291" i="6"/>
  <c r="W291" i="6"/>
  <c r="X291" i="6" s="1"/>
  <c r="U291" i="6"/>
  <c r="R291" i="6"/>
  <c r="N291" i="6"/>
  <c r="O291" i="6" s="1"/>
  <c r="L291" i="6"/>
  <c r="H291" i="6"/>
  <c r="I291" i="6" s="1"/>
  <c r="F291" i="6"/>
  <c r="C291" i="6"/>
  <c r="AD290" i="6"/>
  <c r="AC290" i="6"/>
  <c r="AA290" i="6"/>
  <c r="W290" i="6"/>
  <c r="X290" i="6" s="1"/>
  <c r="U290" i="6"/>
  <c r="R290" i="6"/>
  <c r="O290" i="6"/>
  <c r="N290" i="6"/>
  <c r="L290" i="6"/>
  <c r="I290" i="6"/>
  <c r="H290" i="6"/>
  <c r="F290" i="6"/>
  <c r="C290" i="6"/>
  <c r="AC289" i="6"/>
  <c r="AD289" i="6" s="1"/>
  <c r="AA289" i="6"/>
  <c r="W289" i="6"/>
  <c r="X289" i="6" s="1"/>
  <c r="U289" i="6"/>
  <c r="R289" i="6"/>
  <c r="N289" i="6"/>
  <c r="O289" i="6" s="1"/>
  <c r="L289" i="6"/>
  <c r="I289" i="6"/>
  <c r="H289" i="6"/>
  <c r="F289" i="6"/>
  <c r="C289" i="6"/>
  <c r="AC288" i="6"/>
  <c r="AD288" i="6" s="1"/>
  <c r="AA288" i="6"/>
  <c r="X288" i="6"/>
  <c r="W288" i="6"/>
  <c r="U288" i="6"/>
  <c r="R288" i="6"/>
  <c r="O288" i="6"/>
  <c r="N288" i="6"/>
  <c r="L288" i="6"/>
  <c r="H288" i="6"/>
  <c r="I288" i="6" s="1"/>
  <c r="F288" i="6"/>
  <c r="C288" i="6"/>
  <c r="AD287" i="6"/>
  <c r="AC287" i="6"/>
  <c r="AA287" i="6"/>
  <c r="W287" i="6"/>
  <c r="X287" i="6" s="1"/>
  <c r="U287" i="6"/>
  <c r="R287" i="6"/>
  <c r="N287" i="6"/>
  <c r="O287" i="6" s="1"/>
  <c r="L287" i="6"/>
  <c r="I287" i="6"/>
  <c r="H287" i="6"/>
  <c r="F287" i="6"/>
  <c r="C287" i="6"/>
  <c r="AC286" i="6"/>
  <c r="AD286" i="6" s="1"/>
  <c r="AA286" i="6"/>
  <c r="W286" i="6"/>
  <c r="X286" i="6" s="1"/>
  <c r="U286" i="6"/>
  <c r="R286" i="6"/>
  <c r="O286" i="6"/>
  <c r="N286" i="6"/>
  <c r="L286" i="6"/>
  <c r="H286" i="6"/>
  <c r="I286" i="6" s="1"/>
  <c r="F286" i="6"/>
  <c r="C286" i="6"/>
  <c r="AC284" i="6"/>
  <c r="AD284" i="6" s="1"/>
  <c r="AA284" i="6"/>
  <c r="Z284" i="6"/>
  <c r="U284" i="6"/>
  <c r="T284" i="6"/>
  <c r="Q284" i="6"/>
  <c r="K284" i="6"/>
  <c r="L284" i="6" s="1"/>
  <c r="E284" i="6"/>
  <c r="F284" i="6" s="1"/>
  <c r="C284" i="6"/>
  <c r="B284" i="6"/>
  <c r="AD283" i="6"/>
  <c r="AC283" i="6"/>
  <c r="AA283" i="6"/>
  <c r="W283" i="6"/>
  <c r="X283" i="6" s="1"/>
  <c r="U283" i="6"/>
  <c r="R283" i="6"/>
  <c r="O283" i="6"/>
  <c r="N283" i="6"/>
  <c r="L283" i="6"/>
  <c r="I283" i="6"/>
  <c r="H283" i="6"/>
  <c r="F283" i="6"/>
  <c r="C283" i="6"/>
  <c r="AC282" i="6"/>
  <c r="AD282" i="6" s="1"/>
  <c r="AA282" i="6"/>
  <c r="X282" i="6"/>
  <c r="W282" i="6"/>
  <c r="U282" i="6"/>
  <c r="R282" i="6"/>
  <c r="N282" i="6"/>
  <c r="O282" i="6" s="1"/>
  <c r="L282" i="6"/>
  <c r="H282" i="6"/>
  <c r="I282" i="6" s="1"/>
  <c r="F282" i="6"/>
  <c r="C282" i="6"/>
  <c r="AC281" i="6"/>
  <c r="AD281" i="6" s="1"/>
  <c r="AA281" i="6"/>
  <c r="W281" i="6"/>
  <c r="X281" i="6" s="1"/>
  <c r="U281" i="6"/>
  <c r="R281" i="6"/>
  <c r="N281" i="6"/>
  <c r="O281" i="6" s="1"/>
  <c r="L281" i="6"/>
  <c r="I281" i="6"/>
  <c r="H281" i="6"/>
  <c r="F281" i="6"/>
  <c r="C281" i="6"/>
  <c r="AD280" i="6"/>
  <c r="AC280" i="6"/>
  <c r="AA280" i="6"/>
  <c r="W280" i="6"/>
  <c r="X280" i="6" s="1"/>
  <c r="U280" i="6"/>
  <c r="R280" i="6"/>
  <c r="O280" i="6"/>
  <c r="N280" i="6"/>
  <c r="L280" i="6"/>
  <c r="H280" i="6"/>
  <c r="I280" i="6" s="1"/>
  <c r="F280" i="6"/>
  <c r="C280" i="6"/>
  <c r="AC279" i="6"/>
  <c r="AD279" i="6" s="1"/>
  <c r="AA279" i="6"/>
  <c r="W279" i="6"/>
  <c r="X279" i="6" s="1"/>
  <c r="U279" i="6"/>
  <c r="R279" i="6"/>
  <c r="N279" i="6"/>
  <c r="O279" i="6" s="1"/>
  <c r="L279" i="6"/>
  <c r="I279" i="6"/>
  <c r="H279" i="6"/>
  <c r="F279" i="6"/>
  <c r="C279" i="6"/>
  <c r="AD278" i="6"/>
  <c r="AC278" i="6"/>
  <c r="AA278" i="6"/>
  <c r="W278" i="6"/>
  <c r="X278" i="6" s="1"/>
  <c r="U278" i="6"/>
  <c r="R278" i="6"/>
  <c r="O278" i="6"/>
  <c r="N278" i="6"/>
  <c r="L278" i="6"/>
  <c r="I278" i="6"/>
  <c r="H278" i="6"/>
  <c r="F278" i="6"/>
  <c r="C278" i="6"/>
  <c r="AC277" i="6"/>
  <c r="AD277" i="6" s="1"/>
  <c r="AA277" i="6"/>
  <c r="X277" i="6"/>
  <c r="W277" i="6"/>
  <c r="U277" i="6"/>
  <c r="R277" i="6"/>
  <c r="N277" i="6"/>
  <c r="O277" i="6" s="1"/>
  <c r="L277" i="6"/>
  <c r="I277" i="6"/>
  <c r="H277" i="6"/>
  <c r="F277" i="6"/>
  <c r="C277" i="6"/>
  <c r="AD276" i="6"/>
  <c r="AC276" i="6"/>
  <c r="AA276" i="6"/>
  <c r="X276" i="6"/>
  <c r="W276" i="6"/>
  <c r="U276" i="6"/>
  <c r="R276" i="6"/>
  <c r="N276" i="6"/>
  <c r="O276" i="6" s="1"/>
  <c r="L276" i="6"/>
  <c r="H276" i="6"/>
  <c r="I276" i="6" s="1"/>
  <c r="F276" i="6"/>
  <c r="C276" i="6"/>
  <c r="AD275" i="6"/>
  <c r="AC275" i="6"/>
  <c r="AA275" i="6"/>
  <c r="W275" i="6"/>
  <c r="X275" i="6" s="1"/>
  <c r="U275" i="6"/>
  <c r="R275" i="6"/>
  <c r="N275" i="6"/>
  <c r="O275" i="6" s="1"/>
  <c r="L275" i="6"/>
  <c r="I275" i="6"/>
  <c r="H275" i="6"/>
  <c r="F275" i="6"/>
  <c r="C275" i="6"/>
  <c r="AA273" i="6"/>
  <c r="Z273" i="6"/>
  <c r="AC273" i="6" s="1"/>
  <c r="AD273" i="6" s="1"/>
  <c r="T273" i="6"/>
  <c r="U273" i="6" s="1"/>
  <c r="R273" i="6"/>
  <c r="Q273" i="6"/>
  <c r="W273" i="6" s="1"/>
  <c r="X273" i="6" s="1"/>
  <c r="N273" i="6"/>
  <c r="O273" i="6" s="1"/>
  <c r="L273" i="6"/>
  <c r="K273" i="6"/>
  <c r="E273" i="6"/>
  <c r="F273" i="6" s="1"/>
  <c r="B273" i="6"/>
  <c r="H273" i="6" s="1"/>
  <c r="I273" i="6" s="1"/>
  <c r="AD272" i="6"/>
  <c r="AC272" i="6"/>
  <c r="AA272" i="6"/>
  <c r="X272" i="6"/>
  <c r="W272" i="6"/>
  <c r="U272" i="6"/>
  <c r="R272" i="6"/>
  <c r="N272" i="6"/>
  <c r="O272" i="6" s="1"/>
  <c r="L272" i="6"/>
  <c r="H272" i="6"/>
  <c r="I272" i="6" s="1"/>
  <c r="F272" i="6"/>
  <c r="C272" i="6"/>
  <c r="AD271" i="6"/>
  <c r="AC271" i="6"/>
  <c r="AA271" i="6"/>
  <c r="W271" i="6"/>
  <c r="X271" i="6" s="1"/>
  <c r="U271" i="6"/>
  <c r="R271" i="6"/>
  <c r="O271" i="6"/>
  <c r="N271" i="6"/>
  <c r="L271" i="6"/>
  <c r="I271" i="6"/>
  <c r="H271" i="6"/>
  <c r="F271" i="6"/>
  <c r="C271" i="6"/>
  <c r="AD270" i="6"/>
  <c r="AC270" i="6"/>
  <c r="AA270" i="6"/>
  <c r="X270" i="6"/>
  <c r="W270" i="6"/>
  <c r="U270" i="6"/>
  <c r="R270" i="6"/>
  <c r="O270" i="6"/>
  <c r="N270" i="6"/>
  <c r="L270" i="6"/>
  <c r="H270" i="6"/>
  <c r="I270" i="6" s="1"/>
  <c r="F270" i="6"/>
  <c r="C270" i="6"/>
  <c r="AC269" i="6"/>
  <c r="AD269" i="6" s="1"/>
  <c r="AA269" i="6"/>
  <c r="X269" i="6"/>
  <c r="W269" i="6"/>
  <c r="U269" i="6"/>
  <c r="R269" i="6"/>
  <c r="N269" i="6"/>
  <c r="O269" i="6" s="1"/>
  <c r="L269" i="6"/>
  <c r="I269" i="6"/>
  <c r="H269" i="6"/>
  <c r="F269" i="6"/>
  <c r="C269" i="6"/>
  <c r="Z267" i="6"/>
  <c r="AA267" i="6" s="1"/>
  <c r="U267" i="6"/>
  <c r="T267" i="6"/>
  <c r="W267" i="6" s="1"/>
  <c r="X267" i="6" s="1"/>
  <c r="R267" i="6"/>
  <c r="Q267" i="6"/>
  <c r="L267" i="6"/>
  <c r="K267" i="6"/>
  <c r="H267" i="6"/>
  <c r="I267" i="6" s="1"/>
  <c r="F267" i="6"/>
  <c r="E267" i="6"/>
  <c r="B267" i="6"/>
  <c r="C267" i="6" s="1"/>
  <c r="AC266" i="6"/>
  <c r="AD266" i="6" s="1"/>
  <c r="AA266" i="6"/>
  <c r="W266" i="6"/>
  <c r="X266" i="6" s="1"/>
  <c r="U266" i="6"/>
  <c r="R266" i="6"/>
  <c r="O266" i="6"/>
  <c r="N266" i="6"/>
  <c r="L266" i="6"/>
  <c r="H266" i="6"/>
  <c r="I266" i="6" s="1"/>
  <c r="F266" i="6"/>
  <c r="C266" i="6"/>
  <c r="AC265" i="6"/>
  <c r="AD265" i="6" s="1"/>
  <c r="AA265" i="6"/>
  <c r="W265" i="6"/>
  <c r="X265" i="6" s="1"/>
  <c r="U265" i="6"/>
  <c r="R265" i="6"/>
  <c r="N265" i="6"/>
  <c r="O265" i="6" s="1"/>
  <c r="L265" i="6"/>
  <c r="I265" i="6"/>
  <c r="H265" i="6"/>
  <c r="F265" i="6"/>
  <c r="C265" i="6"/>
  <c r="Z263" i="6"/>
  <c r="AA263" i="6" s="1"/>
  <c r="W263" i="6"/>
  <c r="X263" i="6" s="1"/>
  <c r="U263" i="6"/>
  <c r="T263" i="6"/>
  <c r="R263" i="6"/>
  <c r="Q263" i="6"/>
  <c r="K263" i="6"/>
  <c r="L263" i="6" s="1"/>
  <c r="I263" i="6"/>
  <c r="H263" i="6"/>
  <c r="F263" i="6"/>
  <c r="E263" i="6"/>
  <c r="B263" i="6"/>
  <c r="C263" i="6" s="1"/>
  <c r="AA262" i="6"/>
  <c r="Z262" i="6"/>
  <c r="AC262" i="6" s="1"/>
  <c r="AD262" i="6" s="1"/>
  <c r="X262" i="6"/>
  <c r="T262" i="6"/>
  <c r="U262" i="6" s="1"/>
  <c r="Q262" i="6"/>
  <c r="W262" i="6" s="1"/>
  <c r="N262" i="6"/>
  <c r="O262" i="6" s="1"/>
  <c r="L262" i="6"/>
  <c r="K262" i="6"/>
  <c r="H262" i="6"/>
  <c r="I262" i="6" s="1"/>
  <c r="F262" i="6"/>
  <c r="E262" i="6"/>
  <c r="C262" i="6"/>
  <c r="B262" i="6"/>
  <c r="AD261" i="6"/>
  <c r="AC261" i="6"/>
  <c r="AA261" i="6"/>
  <c r="X261" i="6"/>
  <c r="W261" i="6"/>
  <c r="U261" i="6"/>
  <c r="R261" i="6"/>
  <c r="N261" i="6"/>
  <c r="O261" i="6" s="1"/>
  <c r="L261" i="6"/>
  <c r="H261" i="6"/>
  <c r="I261" i="6" s="1"/>
  <c r="F261" i="6"/>
  <c r="C261" i="6"/>
  <c r="AC260" i="6"/>
  <c r="AD260" i="6" s="1"/>
  <c r="AA260" i="6"/>
  <c r="W260" i="6"/>
  <c r="X260" i="6" s="1"/>
  <c r="U260" i="6"/>
  <c r="R260" i="6"/>
  <c r="O260" i="6"/>
  <c r="N260" i="6"/>
  <c r="L260" i="6"/>
  <c r="I260" i="6"/>
  <c r="H260" i="6"/>
  <c r="F260" i="6"/>
  <c r="C260" i="6"/>
  <c r="AC259" i="6"/>
  <c r="AD259" i="6" s="1"/>
  <c r="AA259" i="6"/>
  <c r="W259" i="6"/>
  <c r="X259" i="6" s="1"/>
  <c r="U259" i="6"/>
  <c r="R259" i="6"/>
  <c r="O259" i="6"/>
  <c r="N259" i="6"/>
  <c r="L259" i="6"/>
  <c r="I259" i="6"/>
  <c r="H259" i="6"/>
  <c r="F259" i="6"/>
  <c r="C259" i="6"/>
  <c r="AC258" i="6"/>
  <c r="AD258" i="6" s="1"/>
  <c r="AA258" i="6"/>
  <c r="W258" i="6"/>
  <c r="X258" i="6" s="1"/>
  <c r="U258" i="6"/>
  <c r="R258" i="6"/>
  <c r="N258" i="6"/>
  <c r="O258" i="6" s="1"/>
  <c r="L258" i="6"/>
  <c r="H258" i="6"/>
  <c r="I258" i="6" s="1"/>
  <c r="F258" i="6"/>
  <c r="C258" i="6"/>
  <c r="AD257" i="6"/>
  <c r="AC257" i="6"/>
  <c r="AA257" i="6"/>
  <c r="W257" i="6"/>
  <c r="X257" i="6" s="1"/>
  <c r="U257" i="6"/>
  <c r="R257" i="6"/>
  <c r="O257" i="6"/>
  <c r="N257" i="6"/>
  <c r="L257" i="6"/>
  <c r="H257" i="6"/>
  <c r="I257" i="6" s="1"/>
  <c r="F257" i="6"/>
  <c r="C257" i="6"/>
  <c r="AC256" i="6"/>
  <c r="AD256" i="6" s="1"/>
  <c r="AA256" i="6"/>
  <c r="W256" i="6"/>
  <c r="X256" i="6" s="1"/>
  <c r="U256" i="6"/>
  <c r="R256" i="6"/>
  <c r="N256" i="6"/>
  <c r="O256" i="6" s="1"/>
  <c r="L256" i="6"/>
  <c r="I256" i="6"/>
  <c r="H256" i="6"/>
  <c r="F256" i="6"/>
  <c r="C256" i="6"/>
  <c r="AD255" i="6"/>
  <c r="AC255" i="6"/>
  <c r="AA255" i="6"/>
  <c r="X255" i="6"/>
  <c r="W255" i="6"/>
  <c r="U255" i="6"/>
  <c r="R255" i="6"/>
  <c r="N255" i="6"/>
  <c r="O255" i="6" s="1"/>
  <c r="L255" i="6"/>
  <c r="H255" i="6"/>
  <c r="I255" i="6" s="1"/>
  <c r="F255" i="6"/>
  <c r="C255" i="6"/>
  <c r="AC254" i="6"/>
  <c r="AD254" i="6" s="1"/>
  <c r="AA254" i="6"/>
  <c r="X254" i="6"/>
  <c r="W254" i="6"/>
  <c r="U254" i="6"/>
  <c r="R254" i="6"/>
  <c r="N254" i="6"/>
  <c r="O254" i="6" s="1"/>
  <c r="L254" i="6"/>
  <c r="I254" i="6"/>
  <c r="H254" i="6"/>
  <c r="F254" i="6"/>
  <c r="C254" i="6"/>
  <c r="AD253" i="6"/>
  <c r="AC253" i="6"/>
  <c r="AA253" i="6"/>
  <c r="X253" i="6"/>
  <c r="W253" i="6"/>
  <c r="U253" i="6"/>
  <c r="R253" i="6"/>
  <c r="N253" i="6"/>
  <c r="O253" i="6" s="1"/>
  <c r="L253" i="6"/>
  <c r="H253" i="6"/>
  <c r="I253" i="6" s="1"/>
  <c r="F253" i="6"/>
  <c r="C253" i="6"/>
  <c r="AC252" i="6"/>
  <c r="AD252" i="6" s="1"/>
  <c r="AA252" i="6"/>
  <c r="W252" i="6"/>
  <c r="X252" i="6" s="1"/>
  <c r="U252" i="6"/>
  <c r="R252" i="6"/>
  <c r="O252" i="6"/>
  <c r="N252" i="6"/>
  <c r="L252" i="6"/>
  <c r="I252" i="6"/>
  <c r="H252" i="6"/>
  <c r="F252" i="6"/>
  <c r="C252" i="6"/>
  <c r="AC251" i="6"/>
  <c r="AD251" i="6" s="1"/>
  <c r="AA251" i="6"/>
  <c r="W251" i="6"/>
  <c r="X251" i="6" s="1"/>
  <c r="U251" i="6"/>
  <c r="R251" i="6"/>
  <c r="O251" i="6"/>
  <c r="N251" i="6"/>
  <c r="L251" i="6"/>
  <c r="I251" i="6"/>
  <c r="H251" i="6"/>
  <c r="F251" i="6"/>
  <c r="C251" i="6"/>
  <c r="AC250" i="6"/>
  <c r="AD250" i="6" s="1"/>
  <c r="AA250" i="6"/>
  <c r="W250" i="6"/>
  <c r="X250" i="6" s="1"/>
  <c r="U250" i="6"/>
  <c r="R250" i="6"/>
  <c r="N250" i="6"/>
  <c r="O250" i="6" s="1"/>
  <c r="L250" i="6"/>
  <c r="I250" i="6"/>
  <c r="H250" i="6"/>
  <c r="F250" i="6"/>
  <c r="C250" i="6"/>
  <c r="AD249" i="6"/>
  <c r="AC249" i="6"/>
  <c r="AA249" i="6"/>
  <c r="W249" i="6"/>
  <c r="X249" i="6" s="1"/>
  <c r="U249" i="6"/>
  <c r="R249" i="6"/>
  <c r="O249" i="6"/>
  <c r="N249" i="6"/>
  <c r="L249" i="6"/>
  <c r="H249" i="6"/>
  <c r="I249" i="6" s="1"/>
  <c r="F249" i="6"/>
  <c r="C249" i="6"/>
  <c r="AD248" i="6"/>
  <c r="AC248" i="6"/>
  <c r="AA248" i="6"/>
  <c r="W248" i="6"/>
  <c r="X248" i="6" s="1"/>
  <c r="U248" i="6"/>
  <c r="R248" i="6"/>
  <c r="N248" i="6"/>
  <c r="O248" i="6" s="1"/>
  <c r="L248" i="6"/>
  <c r="I248" i="6"/>
  <c r="H248" i="6"/>
  <c r="F248" i="6"/>
  <c r="C248" i="6"/>
  <c r="AD247" i="6"/>
  <c r="AC247" i="6"/>
  <c r="AA247" i="6"/>
  <c r="W247" i="6"/>
  <c r="X247" i="6" s="1"/>
  <c r="U247" i="6"/>
  <c r="R247" i="6"/>
  <c r="N247" i="6"/>
  <c r="O247" i="6" s="1"/>
  <c r="L247" i="6"/>
  <c r="I247" i="6"/>
  <c r="H247" i="6"/>
  <c r="F247" i="6"/>
  <c r="C247" i="6"/>
  <c r="AC246" i="6"/>
  <c r="AD246" i="6" s="1"/>
  <c r="AA246" i="6"/>
  <c r="X246" i="6"/>
  <c r="W246" i="6"/>
  <c r="U246" i="6"/>
  <c r="R246" i="6"/>
  <c r="N246" i="6"/>
  <c r="O246" i="6" s="1"/>
  <c r="L246" i="6"/>
  <c r="I246" i="6"/>
  <c r="H246" i="6"/>
  <c r="F246" i="6"/>
  <c r="C246" i="6"/>
  <c r="AD245" i="6"/>
  <c r="AC245" i="6"/>
  <c r="AA245" i="6"/>
  <c r="X245" i="6"/>
  <c r="W245" i="6"/>
  <c r="U245" i="6"/>
  <c r="R245" i="6"/>
  <c r="N245" i="6"/>
  <c r="O245" i="6" s="1"/>
  <c r="L245" i="6"/>
  <c r="H245" i="6"/>
  <c r="I245" i="6" s="1"/>
  <c r="F245" i="6"/>
  <c r="C245" i="6"/>
  <c r="AC244" i="6"/>
  <c r="AD244" i="6" s="1"/>
  <c r="AA244" i="6"/>
  <c r="W244" i="6"/>
  <c r="X244" i="6" s="1"/>
  <c r="U244" i="6"/>
  <c r="R244" i="6"/>
  <c r="O244" i="6"/>
  <c r="N244" i="6"/>
  <c r="L244" i="6"/>
  <c r="I244" i="6"/>
  <c r="H244" i="6"/>
  <c r="F244" i="6"/>
  <c r="C244" i="6"/>
  <c r="AD243" i="6"/>
  <c r="AC243" i="6"/>
  <c r="AA243" i="6"/>
  <c r="W243" i="6"/>
  <c r="X243" i="6" s="1"/>
  <c r="U243" i="6"/>
  <c r="R243" i="6"/>
  <c r="N243" i="6"/>
  <c r="O243" i="6" s="1"/>
  <c r="L243" i="6"/>
  <c r="I243" i="6"/>
  <c r="H243" i="6"/>
  <c r="F243" i="6"/>
  <c r="C243" i="6"/>
  <c r="AC242" i="6"/>
  <c r="AD242" i="6" s="1"/>
  <c r="AA242" i="6"/>
  <c r="X242" i="6"/>
  <c r="W242" i="6"/>
  <c r="U242" i="6"/>
  <c r="R242" i="6"/>
  <c r="N242" i="6"/>
  <c r="O242" i="6" s="1"/>
  <c r="L242" i="6"/>
  <c r="H242" i="6"/>
  <c r="I242" i="6" s="1"/>
  <c r="F242" i="6"/>
  <c r="C242" i="6"/>
  <c r="AD241" i="6"/>
  <c r="AC241" i="6"/>
  <c r="AA241" i="6"/>
  <c r="W241" i="6"/>
  <c r="X241" i="6" s="1"/>
  <c r="U241" i="6"/>
  <c r="R241" i="6"/>
  <c r="O241" i="6"/>
  <c r="N241" i="6"/>
  <c r="L241" i="6"/>
  <c r="I241" i="6"/>
  <c r="H241" i="6"/>
  <c r="F241" i="6"/>
  <c r="C241" i="6"/>
  <c r="AC240" i="6"/>
  <c r="AD240" i="6" s="1"/>
  <c r="AA240" i="6"/>
  <c r="W240" i="6"/>
  <c r="X240" i="6" s="1"/>
  <c r="U240" i="6"/>
  <c r="R240" i="6"/>
  <c r="O240" i="6"/>
  <c r="N240" i="6"/>
  <c r="L240" i="6"/>
  <c r="I240" i="6"/>
  <c r="H240" i="6"/>
  <c r="F240" i="6"/>
  <c r="C240" i="6"/>
  <c r="AC238" i="6"/>
  <c r="AD238" i="6" s="1"/>
  <c r="AA238" i="6"/>
  <c r="W238" i="6"/>
  <c r="X238" i="6" s="1"/>
  <c r="U238" i="6"/>
  <c r="R238" i="6"/>
  <c r="O238" i="6"/>
  <c r="N238" i="6"/>
  <c r="L238" i="6"/>
  <c r="I238" i="6"/>
  <c r="H238" i="6"/>
  <c r="F238" i="6"/>
  <c r="C238" i="6"/>
  <c r="Z236" i="6"/>
  <c r="AA236" i="6" s="1"/>
  <c r="X236" i="6"/>
  <c r="W236" i="6"/>
  <c r="U236" i="6"/>
  <c r="T236" i="6"/>
  <c r="Q236" i="6"/>
  <c r="R236" i="6" s="1"/>
  <c r="K236" i="6"/>
  <c r="N236" i="6" s="1"/>
  <c r="O236" i="6" s="1"/>
  <c r="I236" i="6"/>
  <c r="F236" i="6"/>
  <c r="E236" i="6"/>
  <c r="C236" i="6"/>
  <c r="B236" i="6"/>
  <c r="H236" i="6" s="1"/>
  <c r="AC235" i="6"/>
  <c r="AD235" i="6" s="1"/>
  <c r="AA235" i="6"/>
  <c r="W235" i="6"/>
  <c r="X235" i="6" s="1"/>
  <c r="U235" i="6"/>
  <c r="R235" i="6"/>
  <c r="O235" i="6"/>
  <c r="N235" i="6"/>
  <c r="L235" i="6"/>
  <c r="I235" i="6"/>
  <c r="H235" i="6"/>
  <c r="F235" i="6"/>
  <c r="C235" i="6"/>
  <c r="AC234" i="6"/>
  <c r="AD234" i="6" s="1"/>
  <c r="AA234" i="6"/>
  <c r="W234" i="6"/>
  <c r="X234" i="6" s="1"/>
  <c r="U234" i="6"/>
  <c r="R234" i="6"/>
  <c r="O234" i="6"/>
  <c r="N234" i="6"/>
  <c r="L234" i="6"/>
  <c r="H234" i="6"/>
  <c r="I234" i="6" s="1"/>
  <c r="F234" i="6"/>
  <c r="C234" i="6"/>
  <c r="AD233" i="6"/>
  <c r="AC233" i="6"/>
  <c r="AA233" i="6"/>
  <c r="X233" i="6"/>
  <c r="W233" i="6"/>
  <c r="U233" i="6"/>
  <c r="R233" i="6"/>
  <c r="N233" i="6"/>
  <c r="O233" i="6" s="1"/>
  <c r="L233" i="6"/>
  <c r="I233" i="6"/>
  <c r="H233" i="6"/>
  <c r="F233" i="6"/>
  <c r="C233" i="6"/>
  <c r="AD232" i="6"/>
  <c r="AC232" i="6"/>
  <c r="AA232" i="6"/>
  <c r="X232" i="6"/>
  <c r="W232" i="6"/>
  <c r="U232" i="6"/>
  <c r="R232" i="6"/>
  <c r="N232" i="6"/>
  <c r="O232" i="6" s="1"/>
  <c r="L232" i="6"/>
  <c r="H232" i="6"/>
  <c r="I232" i="6" s="1"/>
  <c r="F232" i="6"/>
  <c r="C232" i="6"/>
  <c r="AD231" i="6"/>
  <c r="AC231" i="6"/>
  <c r="AA231" i="6"/>
  <c r="W231" i="6"/>
  <c r="X231" i="6" s="1"/>
  <c r="U231" i="6"/>
  <c r="R231" i="6"/>
  <c r="O231" i="6"/>
  <c r="N231" i="6"/>
  <c r="L231" i="6"/>
  <c r="I231" i="6"/>
  <c r="H231" i="6"/>
  <c r="F231" i="6"/>
  <c r="C231" i="6"/>
  <c r="AD230" i="6"/>
  <c r="AC230" i="6"/>
  <c r="AA230" i="6"/>
  <c r="X230" i="6"/>
  <c r="W230" i="6"/>
  <c r="U230" i="6"/>
  <c r="R230" i="6"/>
  <c r="N230" i="6"/>
  <c r="O230" i="6" s="1"/>
  <c r="L230" i="6"/>
  <c r="H230" i="6"/>
  <c r="I230" i="6" s="1"/>
  <c r="F230" i="6"/>
  <c r="C230" i="6"/>
  <c r="AC229" i="6"/>
  <c r="AD229" i="6" s="1"/>
  <c r="AA229" i="6"/>
  <c r="X229" i="6"/>
  <c r="W229" i="6"/>
  <c r="U229" i="6"/>
  <c r="R229" i="6"/>
  <c r="N229" i="6"/>
  <c r="O229" i="6" s="1"/>
  <c r="L229" i="6"/>
  <c r="I229" i="6"/>
  <c r="H229" i="6"/>
  <c r="F229" i="6"/>
  <c r="C229" i="6"/>
  <c r="Z227" i="6"/>
  <c r="AA227" i="6" s="1"/>
  <c r="X227" i="6"/>
  <c r="W227" i="6"/>
  <c r="U227" i="6"/>
  <c r="T227" i="6"/>
  <c r="R227" i="6"/>
  <c r="Q227" i="6"/>
  <c r="N227" i="6"/>
  <c r="O227" i="6" s="1"/>
  <c r="L227" i="6"/>
  <c r="K227" i="6"/>
  <c r="F227" i="6"/>
  <c r="E227" i="6"/>
  <c r="B227" i="6"/>
  <c r="AC226" i="6"/>
  <c r="AD226" i="6" s="1"/>
  <c r="AA226" i="6"/>
  <c r="X226" i="6"/>
  <c r="W226" i="6"/>
  <c r="U226" i="6"/>
  <c r="R226" i="6"/>
  <c r="N226" i="6"/>
  <c r="O226" i="6" s="1"/>
  <c r="L226" i="6"/>
  <c r="I226" i="6"/>
  <c r="H226" i="6"/>
  <c r="F226" i="6"/>
  <c r="C226" i="6"/>
  <c r="AC225" i="6"/>
  <c r="AD225" i="6" s="1"/>
  <c r="AA225" i="6"/>
  <c r="W225" i="6"/>
  <c r="X225" i="6" s="1"/>
  <c r="U225" i="6"/>
  <c r="R225" i="6"/>
  <c r="N225" i="6"/>
  <c r="O225" i="6" s="1"/>
  <c r="L225" i="6"/>
  <c r="I225" i="6"/>
  <c r="H225" i="6"/>
  <c r="F225" i="6"/>
  <c r="C225" i="6"/>
  <c r="AD224" i="6"/>
  <c r="AC224" i="6"/>
  <c r="AA224" i="6"/>
  <c r="W224" i="6"/>
  <c r="X224" i="6" s="1"/>
  <c r="U224" i="6"/>
  <c r="R224" i="6"/>
  <c r="O224" i="6"/>
  <c r="N224" i="6"/>
  <c r="L224" i="6"/>
  <c r="I224" i="6"/>
  <c r="H224" i="6"/>
  <c r="F224" i="6"/>
  <c r="C224" i="6"/>
  <c r="AC223" i="6"/>
  <c r="AD223" i="6" s="1"/>
  <c r="AA223" i="6"/>
  <c r="W223" i="6"/>
  <c r="X223" i="6" s="1"/>
  <c r="U223" i="6"/>
  <c r="R223" i="6"/>
  <c r="N223" i="6"/>
  <c r="O223" i="6" s="1"/>
  <c r="L223" i="6"/>
  <c r="I223" i="6"/>
  <c r="H223" i="6"/>
  <c r="F223" i="6"/>
  <c r="C223" i="6"/>
  <c r="AC222" i="6"/>
  <c r="AD222" i="6" s="1"/>
  <c r="AA222" i="6"/>
  <c r="X222" i="6"/>
  <c r="W222" i="6"/>
  <c r="U222" i="6"/>
  <c r="R222" i="6"/>
  <c r="O222" i="6"/>
  <c r="N222" i="6"/>
  <c r="L222" i="6"/>
  <c r="H222" i="6"/>
  <c r="I222" i="6" s="1"/>
  <c r="F222" i="6"/>
  <c r="C222" i="6"/>
  <c r="AC221" i="6"/>
  <c r="AD221" i="6" s="1"/>
  <c r="AA221" i="6"/>
  <c r="X221" i="6"/>
  <c r="W221" i="6"/>
  <c r="U221" i="6"/>
  <c r="R221" i="6"/>
  <c r="N221" i="6"/>
  <c r="O221" i="6" s="1"/>
  <c r="L221" i="6"/>
  <c r="I221" i="6"/>
  <c r="H221" i="6"/>
  <c r="F221" i="6"/>
  <c r="C221" i="6"/>
  <c r="AD220" i="6"/>
  <c r="AC220" i="6"/>
  <c r="AA220" i="6"/>
  <c r="W220" i="6"/>
  <c r="X220" i="6" s="1"/>
  <c r="U220" i="6"/>
  <c r="R220" i="6"/>
  <c r="O220" i="6"/>
  <c r="N220" i="6"/>
  <c r="L220" i="6"/>
  <c r="I220" i="6"/>
  <c r="H220" i="6"/>
  <c r="F220" i="6"/>
  <c r="C220" i="6"/>
  <c r="AC219" i="6"/>
  <c r="AD219" i="6" s="1"/>
  <c r="AA219" i="6"/>
  <c r="W219" i="6"/>
  <c r="X219" i="6" s="1"/>
  <c r="U219" i="6"/>
  <c r="R219" i="6"/>
  <c r="O219" i="6"/>
  <c r="N219" i="6"/>
  <c r="L219" i="6"/>
  <c r="I219" i="6"/>
  <c r="H219" i="6"/>
  <c r="F219" i="6"/>
  <c r="C219" i="6"/>
  <c r="Z218" i="6"/>
  <c r="T218" i="6"/>
  <c r="U218" i="6" s="1"/>
  <c r="R218" i="6"/>
  <c r="Q218" i="6"/>
  <c r="L218" i="6"/>
  <c r="K218" i="6"/>
  <c r="H218" i="6"/>
  <c r="I218" i="6" s="1"/>
  <c r="F218" i="6"/>
  <c r="E218" i="6"/>
  <c r="C218" i="6"/>
  <c r="B218" i="6"/>
  <c r="N218" i="6" s="1"/>
  <c r="O218" i="6" s="1"/>
  <c r="AD217" i="6"/>
  <c r="AC217" i="6"/>
  <c r="AA217" i="6"/>
  <c r="X217" i="6"/>
  <c r="W217" i="6"/>
  <c r="U217" i="6"/>
  <c r="R217" i="6"/>
  <c r="N217" i="6"/>
  <c r="O217" i="6" s="1"/>
  <c r="L217" i="6"/>
  <c r="I217" i="6"/>
  <c r="H217" i="6"/>
  <c r="F217" i="6"/>
  <c r="C217" i="6"/>
  <c r="AD216" i="6"/>
  <c r="AC216" i="6"/>
  <c r="AA216" i="6"/>
  <c r="W216" i="6"/>
  <c r="X216" i="6" s="1"/>
  <c r="U216" i="6"/>
  <c r="R216" i="6"/>
  <c r="O216" i="6"/>
  <c r="N216" i="6"/>
  <c r="L216" i="6"/>
  <c r="I216" i="6"/>
  <c r="H216" i="6"/>
  <c r="F216" i="6"/>
  <c r="C216" i="6"/>
  <c r="AD215" i="6"/>
  <c r="AC215" i="6"/>
  <c r="AA215" i="6"/>
  <c r="X215" i="6"/>
  <c r="W215" i="6"/>
  <c r="U215" i="6"/>
  <c r="R215" i="6"/>
  <c r="O215" i="6"/>
  <c r="N215" i="6"/>
  <c r="L215" i="6"/>
  <c r="H215" i="6"/>
  <c r="I215" i="6" s="1"/>
  <c r="F215" i="6"/>
  <c r="C215" i="6"/>
  <c r="AC214" i="6"/>
  <c r="AD214" i="6" s="1"/>
  <c r="AA214" i="6"/>
  <c r="X214" i="6"/>
  <c r="W214" i="6"/>
  <c r="U214" i="6"/>
  <c r="R214" i="6"/>
  <c r="N214" i="6"/>
  <c r="O214" i="6" s="1"/>
  <c r="L214" i="6"/>
  <c r="I214" i="6"/>
  <c r="H214" i="6"/>
  <c r="F214" i="6"/>
  <c r="C214" i="6"/>
  <c r="AD213" i="6"/>
  <c r="AC213" i="6"/>
  <c r="AA213" i="6"/>
  <c r="W213" i="6"/>
  <c r="X213" i="6" s="1"/>
  <c r="U213" i="6"/>
  <c r="R213" i="6"/>
  <c r="N213" i="6"/>
  <c r="O213" i="6" s="1"/>
  <c r="L213" i="6"/>
  <c r="I213" i="6"/>
  <c r="H213" i="6"/>
  <c r="F213" i="6"/>
  <c r="C213" i="6"/>
  <c r="AD211" i="6"/>
  <c r="AC211" i="6"/>
  <c r="AA211" i="6"/>
  <c r="W211" i="6"/>
  <c r="X211" i="6" s="1"/>
  <c r="U211" i="6"/>
  <c r="R211" i="6"/>
  <c r="N211" i="6"/>
  <c r="O211" i="6" s="1"/>
  <c r="L211" i="6"/>
  <c r="I211" i="6"/>
  <c r="H211" i="6"/>
  <c r="F211" i="6"/>
  <c r="C211" i="6"/>
  <c r="AA209" i="6"/>
  <c r="Z209" i="6"/>
  <c r="U209" i="6"/>
  <c r="T209" i="6"/>
  <c r="R209" i="6"/>
  <c r="Q209" i="6"/>
  <c r="L209" i="6"/>
  <c r="K209" i="6"/>
  <c r="E209" i="6"/>
  <c r="F209" i="6" s="1"/>
  <c r="C209" i="6"/>
  <c r="B209" i="6"/>
  <c r="AD208" i="6"/>
  <c r="AC208" i="6"/>
  <c r="AA208" i="6"/>
  <c r="W208" i="6"/>
  <c r="X208" i="6" s="1"/>
  <c r="U208" i="6"/>
  <c r="R208" i="6"/>
  <c r="O208" i="6"/>
  <c r="N208" i="6"/>
  <c r="L208" i="6"/>
  <c r="I208" i="6"/>
  <c r="H208" i="6"/>
  <c r="F208" i="6"/>
  <c r="C208" i="6"/>
  <c r="AC207" i="6"/>
  <c r="AD207" i="6" s="1"/>
  <c r="AA207" i="6"/>
  <c r="W207" i="6"/>
  <c r="X207" i="6" s="1"/>
  <c r="U207" i="6"/>
  <c r="R207" i="6"/>
  <c r="O207" i="6"/>
  <c r="N207" i="6"/>
  <c r="L207" i="6"/>
  <c r="I207" i="6"/>
  <c r="H207" i="6"/>
  <c r="F207" i="6"/>
  <c r="C207" i="6"/>
  <c r="AC206" i="6"/>
  <c r="AD206" i="6" s="1"/>
  <c r="AA206" i="6"/>
  <c r="W206" i="6"/>
  <c r="X206" i="6" s="1"/>
  <c r="U206" i="6"/>
  <c r="R206" i="6"/>
  <c r="O206" i="6"/>
  <c r="N206" i="6"/>
  <c r="L206" i="6"/>
  <c r="I206" i="6"/>
  <c r="H206" i="6"/>
  <c r="F206" i="6"/>
  <c r="C206" i="6"/>
  <c r="AC205" i="6"/>
  <c r="AD205" i="6" s="1"/>
  <c r="AA205" i="6"/>
  <c r="W205" i="6"/>
  <c r="X205" i="6" s="1"/>
  <c r="U205" i="6"/>
  <c r="R205" i="6"/>
  <c r="N205" i="6"/>
  <c r="O205" i="6" s="1"/>
  <c r="L205" i="6"/>
  <c r="I205" i="6"/>
  <c r="H205" i="6"/>
  <c r="F205" i="6"/>
  <c r="C205" i="6"/>
  <c r="AD204" i="6"/>
  <c r="AC204" i="6"/>
  <c r="AA204" i="6"/>
  <c r="W204" i="6"/>
  <c r="X204" i="6" s="1"/>
  <c r="U204" i="6"/>
  <c r="R204" i="6"/>
  <c r="N204" i="6"/>
  <c r="O204" i="6" s="1"/>
  <c r="L204" i="6"/>
  <c r="I204" i="6"/>
  <c r="H204" i="6"/>
  <c r="F204" i="6"/>
  <c r="C204" i="6"/>
  <c r="AD203" i="6"/>
  <c r="AC203" i="6"/>
  <c r="AA203" i="6"/>
  <c r="W203" i="6"/>
  <c r="X203" i="6" s="1"/>
  <c r="U203" i="6"/>
  <c r="R203" i="6"/>
  <c r="O203" i="6"/>
  <c r="N203" i="6"/>
  <c r="L203" i="6"/>
  <c r="I203" i="6"/>
  <c r="H203" i="6"/>
  <c r="F203" i="6"/>
  <c r="C203" i="6"/>
  <c r="AC202" i="6"/>
  <c r="AD202" i="6" s="1"/>
  <c r="AA202" i="6"/>
  <c r="X202" i="6"/>
  <c r="W202" i="6"/>
  <c r="U202" i="6"/>
  <c r="R202" i="6"/>
  <c r="O202" i="6"/>
  <c r="N202" i="6"/>
  <c r="L202" i="6"/>
  <c r="H202" i="6"/>
  <c r="I202" i="6" s="1"/>
  <c r="F202" i="6"/>
  <c r="C202" i="6"/>
  <c r="AD201" i="6"/>
  <c r="AC201" i="6"/>
  <c r="AA201" i="6"/>
  <c r="X201" i="6"/>
  <c r="W201" i="6"/>
  <c r="U201" i="6"/>
  <c r="R201" i="6"/>
  <c r="N201" i="6"/>
  <c r="O201" i="6" s="1"/>
  <c r="L201" i="6"/>
  <c r="I201" i="6"/>
  <c r="H201" i="6"/>
  <c r="F201" i="6"/>
  <c r="C201" i="6"/>
  <c r="AA197" i="6"/>
  <c r="Z197" i="6"/>
  <c r="U197" i="6"/>
  <c r="T197" i="6"/>
  <c r="Q197" i="6"/>
  <c r="AC197" i="6" s="1"/>
  <c r="AD197" i="6" s="1"/>
  <c r="L197" i="6"/>
  <c r="K197" i="6"/>
  <c r="F197" i="6"/>
  <c r="E197" i="6"/>
  <c r="B197" i="6"/>
  <c r="N197" i="6" s="1"/>
  <c r="O197" i="6" s="1"/>
  <c r="Z196" i="6"/>
  <c r="AA196" i="6" s="1"/>
  <c r="W196" i="6"/>
  <c r="X196" i="6" s="1"/>
  <c r="T196" i="6"/>
  <c r="U196" i="6" s="1"/>
  <c r="R196" i="6"/>
  <c r="Q196" i="6"/>
  <c r="K196" i="6"/>
  <c r="L196" i="6" s="1"/>
  <c r="H196" i="6"/>
  <c r="I196" i="6" s="1"/>
  <c r="F196" i="6"/>
  <c r="E196" i="6"/>
  <c r="B196" i="6"/>
  <c r="C196" i="6" s="1"/>
  <c r="AC195" i="6"/>
  <c r="AD195" i="6" s="1"/>
  <c r="AA195" i="6"/>
  <c r="W195" i="6"/>
  <c r="X195" i="6" s="1"/>
  <c r="U195" i="6"/>
  <c r="R195" i="6"/>
  <c r="O195" i="6"/>
  <c r="N195" i="6"/>
  <c r="L195" i="6"/>
  <c r="H195" i="6"/>
  <c r="I195" i="6" s="1"/>
  <c r="F195" i="6"/>
  <c r="C195" i="6"/>
  <c r="AC194" i="6"/>
  <c r="AD194" i="6" s="1"/>
  <c r="AA194" i="6"/>
  <c r="X194" i="6"/>
  <c r="W194" i="6"/>
  <c r="U194" i="6"/>
  <c r="R194" i="6"/>
  <c r="N194" i="6"/>
  <c r="O194" i="6" s="1"/>
  <c r="L194" i="6"/>
  <c r="I194" i="6"/>
  <c r="H194" i="6"/>
  <c r="F194" i="6"/>
  <c r="C194" i="6"/>
  <c r="AA193" i="6"/>
  <c r="Z193" i="6"/>
  <c r="T193" i="6"/>
  <c r="R193" i="6"/>
  <c r="Q193" i="6"/>
  <c r="AC193" i="6" s="1"/>
  <c r="AD193" i="6" s="1"/>
  <c r="K193" i="6"/>
  <c r="L193" i="6" s="1"/>
  <c r="H193" i="6"/>
  <c r="I193" i="6" s="1"/>
  <c r="F193" i="6"/>
  <c r="E193" i="6"/>
  <c r="C193" i="6"/>
  <c r="B193" i="6"/>
  <c r="N193" i="6" s="1"/>
  <c r="O193" i="6" s="1"/>
  <c r="AC192" i="6"/>
  <c r="AD192" i="6" s="1"/>
  <c r="AA192" i="6"/>
  <c r="X192" i="6"/>
  <c r="W192" i="6"/>
  <c r="U192" i="6"/>
  <c r="R192" i="6"/>
  <c r="O192" i="6"/>
  <c r="N192" i="6"/>
  <c r="L192" i="6"/>
  <c r="H192" i="6"/>
  <c r="I192" i="6" s="1"/>
  <c r="F192" i="6"/>
  <c r="C192" i="6"/>
  <c r="AD191" i="6"/>
  <c r="AC191" i="6"/>
  <c r="AA191" i="6"/>
  <c r="X191" i="6"/>
  <c r="W191" i="6"/>
  <c r="U191" i="6"/>
  <c r="R191" i="6"/>
  <c r="N191" i="6"/>
  <c r="O191" i="6" s="1"/>
  <c r="L191" i="6"/>
  <c r="I191" i="6"/>
  <c r="H191" i="6"/>
  <c r="F191" i="6"/>
  <c r="C191" i="6"/>
  <c r="AD190" i="6"/>
  <c r="AC190" i="6"/>
  <c r="AA190" i="6"/>
  <c r="X190" i="6"/>
  <c r="W190" i="6"/>
  <c r="U190" i="6"/>
  <c r="R190" i="6"/>
  <c r="N190" i="6"/>
  <c r="O190" i="6" s="1"/>
  <c r="L190" i="6"/>
  <c r="I190" i="6"/>
  <c r="H190" i="6"/>
  <c r="F190" i="6"/>
  <c r="C190" i="6"/>
  <c r="AD189" i="6"/>
  <c r="AC189" i="6"/>
  <c r="AA189" i="6"/>
  <c r="W189" i="6"/>
  <c r="X189" i="6" s="1"/>
  <c r="U189" i="6"/>
  <c r="R189" i="6"/>
  <c r="O189" i="6"/>
  <c r="N189" i="6"/>
  <c r="L189" i="6"/>
  <c r="I189" i="6"/>
  <c r="H189" i="6"/>
  <c r="F189" i="6"/>
  <c r="C189" i="6"/>
  <c r="AD188" i="6"/>
  <c r="AC188" i="6"/>
  <c r="AA188" i="6"/>
  <c r="X188" i="6"/>
  <c r="W188" i="6"/>
  <c r="U188" i="6"/>
  <c r="R188" i="6"/>
  <c r="O188" i="6"/>
  <c r="N188" i="6"/>
  <c r="L188" i="6"/>
  <c r="H188" i="6"/>
  <c r="I188" i="6" s="1"/>
  <c r="F188" i="6"/>
  <c r="C188" i="6"/>
  <c r="AC187" i="6"/>
  <c r="AD187" i="6" s="1"/>
  <c r="AA187" i="6"/>
  <c r="X187" i="6"/>
  <c r="W187" i="6"/>
  <c r="U187" i="6"/>
  <c r="R187" i="6"/>
  <c r="N187" i="6"/>
  <c r="O187" i="6" s="1"/>
  <c r="L187" i="6"/>
  <c r="I187" i="6"/>
  <c r="H187" i="6"/>
  <c r="F187" i="6"/>
  <c r="C187" i="6"/>
  <c r="AD186" i="6"/>
  <c r="AC186" i="6"/>
  <c r="AA186" i="6"/>
  <c r="W186" i="6"/>
  <c r="X186" i="6" s="1"/>
  <c r="U186" i="6"/>
  <c r="R186" i="6"/>
  <c r="N186" i="6"/>
  <c r="O186" i="6" s="1"/>
  <c r="L186" i="6"/>
  <c r="H186" i="6"/>
  <c r="I186" i="6" s="1"/>
  <c r="F186" i="6"/>
  <c r="C186" i="6"/>
  <c r="AD184" i="6"/>
  <c r="AC184" i="6"/>
  <c r="AA184" i="6"/>
  <c r="W184" i="6"/>
  <c r="X184" i="6" s="1"/>
  <c r="U184" i="6"/>
  <c r="R184" i="6"/>
  <c r="N184" i="6"/>
  <c r="O184" i="6" s="1"/>
  <c r="L184" i="6"/>
  <c r="I184" i="6"/>
  <c r="H184" i="6"/>
  <c r="F184" i="6"/>
  <c r="C184" i="6"/>
  <c r="AD183" i="6"/>
  <c r="AC183" i="6"/>
  <c r="AA183" i="6"/>
  <c r="X183" i="6"/>
  <c r="W183" i="6"/>
  <c r="U183" i="6"/>
  <c r="R183" i="6"/>
  <c r="N183" i="6"/>
  <c r="O183" i="6" s="1"/>
  <c r="L183" i="6"/>
  <c r="I183" i="6"/>
  <c r="H183" i="6"/>
  <c r="F183" i="6"/>
  <c r="C183" i="6"/>
  <c r="AC182" i="6"/>
  <c r="AD182" i="6" s="1"/>
  <c r="Z182" i="6"/>
  <c r="AA182" i="6" s="1"/>
  <c r="U182" i="6"/>
  <c r="T182" i="6"/>
  <c r="Q182" i="6"/>
  <c r="N182" i="6"/>
  <c r="O182" i="6" s="1"/>
  <c r="L182" i="6"/>
  <c r="K182" i="6"/>
  <c r="F182" i="6"/>
  <c r="E182" i="6"/>
  <c r="C182" i="6"/>
  <c r="B182" i="6"/>
  <c r="H182" i="6" s="1"/>
  <c r="I182" i="6" s="1"/>
  <c r="AC181" i="6"/>
  <c r="AD181" i="6" s="1"/>
  <c r="AA181" i="6"/>
  <c r="W181" i="6"/>
  <c r="X181" i="6" s="1"/>
  <c r="U181" i="6"/>
  <c r="R181" i="6"/>
  <c r="O181" i="6"/>
  <c r="N181" i="6"/>
  <c r="L181" i="6"/>
  <c r="I181" i="6"/>
  <c r="H181" i="6"/>
  <c r="F181" i="6"/>
  <c r="C181" i="6"/>
  <c r="AC180" i="6"/>
  <c r="AD180" i="6" s="1"/>
  <c r="AA180" i="6"/>
  <c r="W180" i="6"/>
  <c r="X180" i="6" s="1"/>
  <c r="U180" i="6"/>
  <c r="R180" i="6"/>
  <c r="O180" i="6"/>
  <c r="N180" i="6"/>
  <c r="L180" i="6"/>
  <c r="I180" i="6"/>
  <c r="H180" i="6"/>
  <c r="F180" i="6"/>
  <c r="C180" i="6"/>
  <c r="AC179" i="6"/>
  <c r="AD179" i="6" s="1"/>
  <c r="AA179" i="6"/>
  <c r="W179" i="6"/>
  <c r="X179" i="6" s="1"/>
  <c r="U179" i="6"/>
  <c r="R179" i="6"/>
  <c r="N179" i="6"/>
  <c r="O179" i="6" s="1"/>
  <c r="L179" i="6"/>
  <c r="I179" i="6"/>
  <c r="H179" i="6"/>
  <c r="F179" i="6"/>
  <c r="C179" i="6"/>
  <c r="AD178" i="6"/>
  <c r="AC178" i="6"/>
  <c r="AA178" i="6"/>
  <c r="W178" i="6"/>
  <c r="X178" i="6" s="1"/>
  <c r="U178" i="6"/>
  <c r="R178" i="6"/>
  <c r="N178" i="6"/>
  <c r="O178" i="6" s="1"/>
  <c r="L178" i="6"/>
  <c r="I178" i="6"/>
  <c r="H178" i="6"/>
  <c r="F178" i="6"/>
  <c r="C178" i="6"/>
  <c r="AD177" i="6"/>
  <c r="AC177" i="6"/>
  <c r="AA177" i="6"/>
  <c r="W177" i="6"/>
  <c r="X177" i="6" s="1"/>
  <c r="U177" i="6"/>
  <c r="R177" i="6"/>
  <c r="O177" i="6"/>
  <c r="N177" i="6"/>
  <c r="L177" i="6"/>
  <c r="I177" i="6"/>
  <c r="H177" i="6"/>
  <c r="F177" i="6"/>
  <c r="C177" i="6"/>
  <c r="AC175" i="6"/>
  <c r="AD175" i="6" s="1"/>
  <c r="AA175" i="6"/>
  <c r="X175" i="6"/>
  <c r="W175" i="6"/>
  <c r="U175" i="6"/>
  <c r="R175" i="6"/>
  <c r="N175" i="6"/>
  <c r="O175" i="6" s="1"/>
  <c r="L175" i="6"/>
  <c r="H175" i="6"/>
  <c r="I175" i="6" s="1"/>
  <c r="F175" i="6"/>
  <c r="C175" i="6"/>
  <c r="L172" i="6"/>
  <c r="AA171" i="6"/>
  <c r="Z171" i="6"/>
  <c r="X171" i="6"/>
  <c r="W171" i="6"/>
  <c r="U171" i="6"/>
  <c r="T171" i="6"/>
  <c r="Q171" i="6"/>
  <c r="R171" i="6" s="1"/>
  <c r="L171" i="6"/>
  <c r="K171" i="6"/>
  <c r="H171" i="6"/>
  <c r="I171" i="6" s="1"/>
  <c r="F171" i="6"/>
  <c r="E171" i="6"/>
  <c r="C171" i="6"/>
  <c r="B171" i="6"/>
  <c r="Z170" i="6"/>
  <c r="AA170" i="6" s="1"/>
  <c r="U170" i="6"/>
  <c r="T170" i="6"/>
  <c r="Q170" i="6"/>
  <c r="W170" i="6" s="1"/>
  <c r="X170" i="6" s="1"/>
  <c r="K170" i="6"/>
  <c r="L170" i="6" s="1"/>
  <c r="E170" i="6"/>
  <c r="F170" i="6" s="1"/>
  <c r="C170" i="6"/>
  <c r="B170" i="6"/>
  <c r="N170" i="6" s="1"/>
  <c r="O170" i="6" s="1"/>
  <c r="AD169" i="6"/>
  <c r="AC169" i="6"/>
  <c r="AA169" i="6"/>
  <c r="W169" i="6"/>
  <c r="X169" i="6" s="1"/>
  <c r="U169" i="6"/>
  <c r="R169" i="6"/>
  <c r="O169" i="6"/>
  <c r="N169" i="6"/>
  <c r="L169" i="6"/>
  <c r="I169" i="6"/>
  <c r="H169" i="6"/>
  <c r="F169" i="6"/>
  <c r="C169" i="6"/>
  <c r="AC168" i="6"/>
  <c r="AD168" i="6" s="1"/>
  <c r="AA168" i="6"/>
  <c r="X168" i="6"/>
  <c r="W168" i="6"/>
  <c r="U168" i="6"/>
  <c r="R168" i="6"/>
  <c r="N168" i="6"/>
  <c r="O168" i="6" s="1"/>
  <c r="L168" i="6"/>
  <c r="I168" i="6"/>
  <c r="H168" i="6"/>
  <c r="F168" i="6"/>
  <c r="C168" i="6"/>
  <c r="AD167" i="6"/>
  <c r="AC167" i="6"/>
  <c r="AA167" i="6"/>
  <c r="W167" i="6"/>
  <c r="X167" i="6" s="1"/>
  <c r="U167" i="6"/>
  <c r="R167" i="6"/>
  <c r="N167" i="6"/>
  <c r="O167" i="6" s="1"/>
  <c r="L167" i="6"/>
  <c r="H167" i="6"/>
  <c r="I167" i="6" s="1"/>
  <c r="F167" i="6"/>
  <c r="C167" i="6"/>
  <c r="AD166" i="6"/>
  <c r="Z166" i="6"/>
  <c r="AA166" i="6" s="1"/>
  <c r="X166" i="6"/>
  <c r="U166" i="6"/>
  <c r="T166" i="6"/>
  <c r="W166" i="6" s="1"/>
  <c r="R166" i="6"/>
  <c r="Q166" i="6"/>
  <c r="AC166" i="6" s="1"/>
  <c r="L166" i="6"/>
  <c r="K166" i="6"/>
  <c r="H166" i="6"/>
  <c r="I166" i="6" s="1"/>
  <c r="F166" i="6"/>
  <c r="E166" i="6"/>
  <c r="B166" i="6"/>
  <c r="C166" i="6" s="1"/>
  <c r="AD165" i="6"/>
  <c r="AC165" i="6"/>
  <c r="AA165" i="6"/>
  <c r="W165" i="6"/>
  <c r="X165" i="6" s="1"/>
  <c r="U165" i="6"/>
  <c r="R165" i="6"/>
  <c r="N165" i="6"/>
  <c r="O165" i="6" s="1"/>
  <c r="L165" i="6"/>
  <c r="H165" i="6"/>
  <c r="I165" i="6" s="1"/>
  <c r="F165" i="6"/>
  <c r="C165" i="6"/>
  <c r="AC164" i="6"/>
  <c r="AD164" i="6" s="1"/>
  <c r="AA164" i="6"/>
  <c r="W164" i="6"/>
  <c r="X164" i="6" s="1"/>
  <c r="U164" i="6"/>
  <c r="R164" i="6"/>
  <c r="N164" i="6"/>
  <c r="O164" i="6" s="1"/>
  <c r="L164" i="6"/>
  <c r="H164" i="6"/>
  <c r="I164" i="6" s="1"/>
  <c r="F164" i="6"/>
  <c r="C164" i="6"/>
  <c r="AD163" i="6"/>
  <c r="AC163" i="6"/>
  <c r="AA163" i="6"/>
  <c r="W163" i="6"/>
  <c r="X163" i="6" s="1"/>
  <c r="U163" i="6"/>
  <c r="R163" i="6"/>
  <c r="O163" i="6"/>
  <c r="N163" i="6"/>
  <c r="L163" i="6"/>
  <c r="I163" i="6"/>
  <c r="H163" i="6"/>
  <c r="F163" i="6"/>
  <c r="C163" i="6"/>
  <c r="AC162" i="6"/>
  <c r="AD162" i="6" s="1"/>
  <c r="AA162" i="6"/>
  <c r="W162" i="6"/>
  <c r="X162" i="6" s="1"/>
  <c r="U162" i="6"/>
  <c r="R162" i="6"/>
  <c r="N162" i="6"/>
  <c r="O162" i="6" s="1"/>
  <c r="L162" i="6"/>
  <c r="I162" i="6"/>
  <c r="H162" i="6"/>
  <c r="F162" i="6"/>
  <c r="C162" i="6"/>
  <c r="AC161" i="6"/>
  <c r="AD161" i="6" s="1"/>
  <c r="AA161" i="6"/>
  <c r="W161" i="6"/>
  <c r="X161" i="6" s="1"/>
  <c r="U161" i="6"/>
  <c r="R161" i="6"/>
  <c r="O161" i="6"/>
  <c r="N161" i="6"/>
  <c r="L161" i="6"/>
  <c r="I161" i="6"/>
  <c r="H161" i="6"/>
  <c r="F161" i="6"/>
  <c r="C161" i="6"/>
  <c r="AC160" i="6"/>
  <c r="AD160" i="6" s="1"/>
  <c r="AA160" i="6"/>
  <c r="W160" i="6"/>
  <c r="X160" i="6" s="1"/>
  <c r="U160" i="6"/>
  <c r="R160" i="6"/>
  <c r="N160" i="6"/>
  <c r="O160" i="6" s="1"/>
  <c r="L160" i="6"/>
  <c r="I160" i="6"/>
  <c r="H160" i="6"/>
  <c r="F160" i="6"/>
  <c r="C160" i="6"/>
  <c r="Z158" i="6"/>
  <c r="AA158" i="6" s="1"/>
  <c r="W158" i="6"/>
  <c r="X158" i="6" s="1"/>
  <c r="T158" i="6"/>
  <c r="U158" i="6" s="1"/>
  <c r="R158" i="6"/>
  <c r="Q158" i="6"/>
  <c r="L158" i="6"/>
  <c r="K158" i="6"/>
  <c r="N158" i="6" s="1"/>
  <c r="O158" i="6" s="1"/>
  <c r="F158" i="6"/>
  <c r="E158" i="6"/>
  <c r="C158" i="6"/>
  <c r="B158" i="6"/>
  <c r="H158" i="6" s="1"/>
  <c r="I158" i="6" s="1"/>
  <c r="AC157" i="6"/>
  <c r="AD157" i="6" s="1"/>
  <c r="AA157" i="6"/>
  <c r="W157" i="6"/>
  <c r="X157" i="6" s="1"/>
  <c r="U157" i="6"/>
  <c r="R157" i="6"/>
  <c r="O157" i="6"/>
  <c r="N157" i="6"/>
  <c r="L157" i="6"/>
  <c r="H157" i="6"/>
  <c r="I157" i="6" s="1"/>
  <c r="F157" i="6"/>
  <c r="C157" i="6"/>
  <c r="AD156" i="6"/>
  <c r="AC156" i="6"/>
  <c r="AA156" i="6"/>
  <c r="X156" i="6"/>
  <c r="W156" i="6"/>
  <c r="U156" i="6"/>
  <c r="R156" i="6"/>
  <c r="N156" i="6"/>
  <c r="O156" i="6" s="1"/>
  <c r="L156" i="6"/>
  <c r="H156" i="6"/>
  <c r="I156" i="6" s="1"/>
  <c r="F156" i="6"/>
  <c r="C156" i="6"/>
  <c r="AD155" i="6"/>
  <c r="AC155" i="6"/>
  <c r="AA155" i="6"/>
  <c r="X155" i="6"/>
  <c r="W155" i="6"/>
  <c r="U155" i="6"/>
  <c r="R155" i="6"/>
  <c r="N155" i="6"/>
  <c r="O155" i="6" s="1"/>
  <c r="L155" i="6"/>
  <c r="I155" i="6"/>
  <c r="H155" i="6"/>
  <c r="F155" i="6"/>
  <c r="C155" i="6"/>
  <c r="AD154" i="6"/>
  <c r="AC154" i="6"/>
  <c r="AA154" i="6"/>
  <c r="W154" i="6"/>
  <c r="X154" i="6" s="1"/>
  <c r="U154" i="6"/>
  <c r="R154" i="6"/>
  <c r="O154" i="6"/>
  <c r="N154" i="6"/>
  <c r="L154" i="6"/>
  <c r="I154" i="6"/>
  <c r="H154" i="6"/>
  <c r="F154" i="6"/>
  <c r="C154" i="6"/>
  <c r="AC153" i="6"/>
  <c r="AD153" i="6" s="1"/>
  <c r="AA153" i="6"/>
  <c r="X153" i="6"/>
  <c r="W153" i="6"/>
  <c r="U153" i="6"/>
  <c r="R153" i="6"/>
  <c r="O153" i="6"/>
  <c r="N153" i="6"/>
  <c r="L153" i="6"/>
  <c r="H153" i="6"/>
  <c r="I153" i="6" s="1"/>
  <c r="F153" i="6"/>
  <c r="C153" i="6"/>
  <c r="AC151" i="6"/>
  <c r="AD151" i="6" s="1"/>
  <c r="AA151" i="6"/>
  <c r="X151" i="6"/>
  <c r="W151" i="6"/>
  <c r="U151" i="6"/>
  <c r="R151" i="6"/>
  <c r="N151" i="6"/>
  <c r="O151" i="6" s="1"/>
  <c r="L151" i="6"/>
  <c r="H151" i="6"/>
  <c r="I151" i="6" s="1"/>
  <c r="F151" i="6"/>
  <c r="C151" i="6"/>
  <c r="Z149" i="6"/>
  <c r="AA149" i="6" s="1"/>
  <c r="U149" i="6"/>
  <c r="T149" i="6"/>
  <c r="W149" i="6" s="1"/>
  <c r="X149" i="6" s="1"/>
  <c r="R149" i="6"/>
  <c r="Q149" i="6"/>
  <c r="AC149" i="6" s="1"/>
  <c r="AD149" i="6" s="1"/>
  <c r="L149" i="6"/>
  <c r="K149" i="6"/>
  <c r="H149" i="6"/>
  <c r="I149" i="6" s="1"/>
  <c r="F149" i="6"/>
  <c r="E149" i="6"/>
  <c r="B149" i="6"/>
  <c r="C149" i="6" s="1"/>
  <c r="AA148" i="6"/>
  <c r="Z148" i="6"/>
  <c r="U148" i="6"/>
  <c r="T148" i="6"/>
  <c r="Q148" i="6"/>
  <c r="L148" i="6"/>
  <c r="K148" i="6"/>
  <c r="E148" i="6"/>
  <c r="F148" i="6" s="1"/>
  <c r="B148" i="6"/>
  <c r="AD147" i="6"/>
  <c r="AC147" i="6"/>
  <c r="AA147" i="6"/>
  <c r="W147" i="6"/>
  <c r="X147" i="6" s="1"/>
  <c r="U147" i="6"/>
  <c r="R147" i="6"/>
  <c r="N147" i="6"/>
  <c r="O147" i="6" s="1"/>
  <c r="L147" i="6"/>
  <c r="I147" i="6"/>
  <c r="H147" i="6"/>
  <c r="F147" i="6"/>
  <c r="C147" i="6"/>
  <c r="AC146" i="6"/>
  <c r="AD146" i="6" s="1"/>
  <c r="AA146" i="6"/>
  <c r="W146" i="6"/>
  <c r="X146" i="6" s="1"/>
  <c r="U146" i="6"/>
  <c r="R146" i="6"/>
  <c r="N146" i="6"/>
  <c r="O146" i="6" s="1"/>
  <c r="L146" i="6"/>
  <c r="I146" i="6"/>
  <c r="H146" i="6"/>
  <c r="F146" i="6"/>
  <c r="C146" i="6"/>
  <c r="AC145" i="6"/>
  <c r="AD145" i="6" s="1"/>
  <c r="AA145" i="6"/>
  <c r="W145" i="6"/>
  <c r="X145" i="6" s="1"/>
  <c r="U145" i="6"/>
  <c r="R145" i="6"/>
  <c r="O145" i="6"/>
  <c r="N145" i="6"/>
  <c r="L145" i="6"/>
  <c r="I145" i="6"/>
  <c r="H145" i="6"/>
  <c r="F145" i="6"/>
  <c r="C145" i="6"/>
  <c r="AC144" i="6"/>
  <c r="AD144" i="6" s="1"/>
  <c r="AA144" i="6"/>
  <c r="W144" i="6"/>
  <c r="X144" i="6" s="1"/>
  <c r="U144" i="6"/>
  <c r="R144" i="6"/>
  <c r="N144" i="6"/>
  <c r="O144" i="6" s="1"/>
  <c r="L144" i="6"/>
  <c r="I144" i="6"/>
  <c r="H144" i="6"/>
  <c r="F144" i="6"/>
  <c r="C144" i="6"/>
  <c r="AD143" i="6"/>
  <c r="AC143" i="6"/>
  <c r="AA143" i="6"/>
  <c r="X143" i="6"/>
  <c r="W143" i="6"/>
  <c r="U143" i="6"/>
  <c r="R143" i="6"/>
  <c r="O143" i="6"/>
  <c r="N143" i="6"/>
  <c r="L143" i="6"/>
  <c r="H143" i="6"/>
  <c r="I143" i="6" s="1"/>
  <c r="F143" i="6"/>
  <c r="C143" i="6"/>
  <c r="AA141" i="6"/>
  <c r="Z141" i="6"/>
  <c r="W141" i="6"/>
  <c r="X141" i="6" s="1"/>
  <c r="U141" i="6"/>
  <c r="T141" i="6"/>
  <c r="R141" i="6"/>
  <c r="Q141" i="6"/>
  <c r="AC141" i="6" s="1"/>
  <c r="AD141" i="6" s="1"/>
  <c r="K141" i="6"/>
  <c r="L141" i="6" s="1"/>
  <c r="H141" i="6"/>
  <c r="I141" i="6" s="1"/>
  <c r="F141" i="6"/>
  <c r="E141" i="6"/>
  <c r="C141" i="6"/>
  <c r="B141" i="6"/>
  <c r="AC140" i="6"/>
  <c r="AD140" i="6" s="1"/>
  <c r="AA140" i="6"/>
  <c r="W140" i="6"/>
  <c r="X140" i="6" s="1"/>
  <c r="U140" i="6"/>
  <c r="R140" i="6"/>
  <c r="N140" i="6"/>
  <c r="O140" i="6" s="1"/>
  <c r="L140" i="6"/>
  <c r="H140" i="6"/>
  <c r="I140" i="6" s="1"/>
  <c r="F140" i="6"/>
  <c r="C140" i="6"/>
  <c r="AD139" i="6"/>
  <c r="AC139" i="6"/>
  <c r="AA139" i="6"/>
  <c r="W139" i="6"/>
  <c r="X139" i="6" s="1"/>
  <c r="U139" i="6"/>
  <c r="R139" i="6"/>
  <c r="N139" i="6"/>
  <c r="O139" i="6" s="1"/>
  <c r="L139" i="6"/>
  <c r="I139" i="6"/>
  <c r="H139" i="6"/>
  <c r="F139" i="6"/>
  <c r="C139" i="6"/>
  <c r="AD138" i="6"/>
  <c r="AC138" i="6"/>
  <c r="AA138" i="6"/>
  <c r="W138" i="6"/>
  <c r="X138" i="6" s="1"/>
  <c r="U138" i="6"/>
  <c r="R138" i="6"/>
  <c r="N138" i="6"/>
  <c r="O138" i="6" s="1"/>
  <c r="L138" i="6"/>
  <c r="I138" i="6"/>
  <c r="H138" i="6"/>
  <c r="F138" i="6"/>
  <c r="C138" i="6"/>
  <c r="AC137" i="6"/>
  <c r="AD137" i="6" s="1"/>
  <c r="AA137" i="6"/>
  <c r="W137" i="6"/>
  <c r="X137" i="6" s="1"/>
  <c r="U137" i="6"/>
  <c r="R137" i="6"/>
  <c r="O137" i="6"/>
  <c r="N137" i="6"/>
  <c r="L137" i="6"/>
  <c r="I137" i="6"/>
  <c r="H137" i="6"/>
  <c r="F137" i="6"/>
  <c r="C137" i="6"/>
  <c r="AD136" i="6"/>
  <c r="AC136" i="6"/>
  <c r="AA136" i="6"/>
  <c r="W136" i="6"/>
  <c r="X136" i="6" s="1"/>
  <c r="U136" i="6"/>
  <c r="R136" i="6"/>
  <c r="N136" i="6"/>
  <c r="O136" i="6" s="1"/>
  <c r="L136" i="6"/>
  <c r="I136" i="6"/>
  <c r="H136" i="6"/>
  <c r="F136" i="6"/>
  <c r="C136" i="6"/>
  <c r="AD135" i="6"/>
  <c r="AC135" i="6"/>
  <c r="AA135" i="6"/>
  <c r="X135" i="6"/>
  <c r="W135" i="6"/>
  <c r="U135" i="6"/>
  <c r="R135" i="6"/>
  <c r="N135" i="6"/>
  <c r="O135" i="6" s="1"/>
  <c r="L135" i="6"/>
  <c r="I135" i="6"/>
  <c r="H135" i="6"/>
  <c r="F135" i="6"/>
  <c r="C135" i="6"/>
  <c r="AC134" i="6"/>
  <c r="AD134" i="6" s="1"/>
  <c r="AA134" i="6"/>
  <c r="W134" i="6"/>
  <c r="X134" i="6" s="1"/>
  <c r="U134" i="6"/>
  <c r="R134" i="6"/>
  <c r="O134" i="6"/>
  <c r="N134" i="6"/>
  <c r="L134" i="6"/>
  <c r="I134" i="6"/>
  <c r="H134" i="6"/>
  <c r="F134" i="6"/>
  <c r="C134" i="6"/>
  <c r="AD133" i="6"/>
  <c r="AC133" i="6"/>
  <c r="AA133" i="6"/>
  <c r="W133" i="6"/>
  <c r="X133" i="6" s="1"/>
  <c r="U133" i="6"/>
  <c r="R133" i="6"/>
  <c r="O133" i="6"/>
  <c r="N133" i="6"/>
  <c r="L133" i="6"/>
  <c r="H133" i="6"/>
  <c r="I133" i="6" s="1"/>
  <c r="F133" i="6"/>
  <c r="C133" i="6"/>
  <c r="AC132" i="6"/>
  <c r="AD132" i="6" s="1"/>
  <c r="AA132" i="6"/>
  <c r="X132" i="6"/>
  <c r="W132" i="6"/>
  <c r="U132" i="6"/>
  <c r="R132" i="6"/>
  <c r="N132" i="6"/>
  <c r="O132" i="6" s="1"/>
  <c r="L132" i="6"/>
  <c r="I132" i="6"/>
  <c r="H132" i="6"/>
  <c r="F132" i="6"/>
  <c r="C132" i="6"/>
  <c r="AD131" i="6"/>
  <c r="AC131" i="6"/>
  <c r="AA131" i="6"/>
  <c r="W131" i="6"/>
  <c r="X131" i="6" s="1"/>
  <c r="U131" i="6"/>
  <c r="R131" i="6"/>
  <c r="N131" i="6"/>
  <c r="O131" i="6" s="1"/>
  <c r="L131" i="6"/>
  <c r="H131" i="6"/>
  <c r="I131" i="6" s="1"/>
  <c r="F131" i="6"/>
  <c r="C131" i="6"/>
  <c r="AD130" i="6"/>
  <c r="AC130" i="6"/>
  <c r="AA130" i="6"/>
  <c r="W130" i="6"/>
  <c r="X130" i="6" s="1"/>
  <c r="U130" i="6"/>
  <c r="R130" i="6"/>
  <c r="O130" i="6"/>
  <c r="N130" i="6"/>
  <c r="L130" i="6"/>
  <c r="H130" i="6"/>
  <c r="I130" i="6" s="1"/>
  <c r="F130" i="6"/>
  <c r="C130" i="6"/>
  <c r="AC129" i="6"/>
  <c r="AD129" i="6" s="1"/>
  <c r="AA129" i="6"/>
  <c r="X129" i="6"/>
  <c r="W129" i="6"/>
  <c r="U129" i="6"/>
  <c r="R129" i="6"/>
  <c r="O129" i="6"/>
  <c r="N129" i="6"/>
  <c r="L129" i="6"/>
  <c r="I129" i="6"/>
  <c r="H129" i="6"/>
  <c r="F129" i="6"/>
  <c r="C129" i="6"/>
  <c r="AD127" i="6"/>
  <c r="AC127" i="6"/>
  <c r="AA127" i="6"/>
  <c r="W127" i="6"/>
  <c r="X127" i="6" s="1"/>
  <c r="U127" i="6"/>
  <c r="R127" i="6"/>
  <c r="N127" i="6"/>
  <c r="O127" i="6" s="1"/>
  <c r="L127" i="6"/>
  <c r="H127" i="6"/>
  <c r="I127" i="6" s="1"/>
  <c r="F127" i="6"/>
  <c r="C127" i="6"/>
  <c r="Z124" i="6"/>
  <c r="U124" i="6"/>
  <c r="T124" i="6"/>
  <c r="T172" i="6" s="1"/>
  <c r="T198" i="6" s="1"/>
  <c r="Q124" i="6"/>
  <c r="AC124" i="6" s="1"/>
  <c r="AD124" i="6" s="1"/>
  <c r="L124" i="6"/>
  <c r="K124" i="6"/>
  <c r="K172" i="6" s="1"/>
  <c r="K198" i="6" s="1"/>
  <c r="E124" i="6"/>
  <c r="C124" i="6"/>
  <c r="B124" i="6"/>
  <c r="B172" i="6" s="1"/>
  <c r="AC123" i="6"/>
  <c r="AD123" i="6" s="1"/>
  <c r="AA123" i="6"/>
  <c r="X123" i="6"/>
  <c r="W123" i="6"/>
  <c r="U123" i="6"/>
  <c r="R123" i="6"/>
  <c r="O123" i="6"/>
  <c r="N123" i="6"/>
  <c r="L123" i="6"/>
  <c r="I123" i="6"/>
  <c r="H123" i="6"/>
  <c r="F123" i="6"/>
  <c r="C123" i="6"/>
  <c r="Z122" i="6"/>
  <c r="AA122" i="6" s="1"/>
  <c r="T122" i="6"/>
  <c r="U122" i="6" s="1"/>
  <c r="Q122" i="6"/>
  <c r="W122" i="6" s="1"/>
  <c r="X122" i="6" s="1"/>
  <c r="L122" i="6"/>
  <c r="K122" i="6"/>
  <c r="E122" i="6"/>
  <c r="F122" i="6" s="1"/>
  <c r="B122" i="6"/>
  <c r="H122" i="6" s="1"/>
  <c r="I122" i="6" s="1"/>
  <c r="AC121" i="6"/>
  <c r="AD121" i="6" s="1"/>
  <c r="AA121" i="6"/>
  <c r="W121" i="6"/>
  <c r="X121" i="6" s="1"/>
  <c r="U121" i="6"/>
  <c r="R121" i="6"/>
  <c r="O121" i="6"/>
  <c r="N121" i="6"/>
  <c r="L121" i="6"/>
  <c r="H121" i="6"/>
  <c r="I121" i="6" s="1"/>
  <c r="F121" i="6"/>
  <c r="C121" i="6"/>
  <c r="AC120" i="6"/>
  <c r="AD120" i="6" s="1"/>
  <c r="AA120" i="6"/>
  <c r="X120" i="6"/>
  <c r="W120" i="6"/>
  <c r="U120" i="6"/>
  <c r="R120" i="6"/>
  <c r="N120" i="6"/>
  <c r="O120" i="6" s="1"/>
  <c r="L120" i="6"/>
  <c r="I120" i="6"/>
  <c r="H120" i="6"/>
  <c r="F120" i="6"/>
  <c r="C120" i="6"/>
  <c r="AC119" i="6"/>
  <c r="AD119" i="6" s="1"/>
  <c r="AA119" i="6"/>
  <c r="W119" i="6"/>
  <c r="X119" i="6" s="1"/>
  <c r="U119" i="6"/>
  <c r="R119" i="6"/>
  <c r="O119" i="6"/>
  <c r="N119" i="6"/>
  <c r="L119" i="6"/>
  <c r="H119" i="6"/>
  <c r="I119" i="6" s="1"/>
  <c r="F119" i="6"/>
  <c r="C119" i="6"/>
  <c r="AC118" i="6"/>
  <c r="AD118" i="6" s="1"/>
  <c r="AA118" i="6"/>
  <c r="Z118" i="6"/>
  <c r="T118" i="6"/>
  <c r="W118" i="6" s="1"/>
  <c r="X118" i="6" s="1"/>
  <c r="Q118" i="6"/>
  <c r="R118" i="6" s="1"/>
  <c r="K118" i="6"/>
  <c r="L118" i="6" s="1"/>
  <c r="E118" i="6"/>
  <c r="F118" i="6" s="1"/>
  <c r="B118" i="6"/>
  <c r="AD117" i="6"/>
  <c r="AC117" i="6"/>
  <c r="AA117" i="6"/>
  <c r="X117" i="6"/>
  <c r="W117" i="6"/>
  <c r="U117" i="6"/>
  <c r="R117" i="6"/>
  <c r="O117" i="6"/>
  <c r="N117" i="6"/>
  <c r="L117" i="6"/>
  <c r="H117" i="6"/>
  <c r="I117" i="6" s="1"/>
  <c r="F117" i="6"/>
  <c r="C117" i="6"/>
  <c r="AC116" i="6"/>
  <c r="AD116" i="6" s="1"/>
  <c r="AA116" i="6"/>
  <c r="W116" i="6"/>
  <c r="X116" i="6" s="1"/>
  <c r="U116" i="6"/>
  <c r="R116" i="6"/>
  <c r="O116" i="6"/>
  <c r="N116" i="6"/>
  <c r="L116" i="6"/>
  <c r="I116" i="6"/>
  <c r="H116" i="6"/>
  <c r="F116" i="6"/>
  <c r="C116" i="6"/>
  <c r="AC115" i="6"/>
  <c r="AD115" i="6" s="1"/>
  <c r="AA115" i="6"/>
  <c r="W115" i="6"/>
  <c r="X115" i="6" s="1"/>
  <c r="U115" i="6"/>
  <c r="R115" i="6"/>
  <c r="O115" i="6"/>
  <c r="N115" i="6"/>
  <c r="L115" i="6"/>
  <c r="I115" i="6"/>
  <c r="H115" i="6"/>
  <c r="F115" i="6"/>
  <c r="C115" i="6"/>
  <c r="AC114" i="6"/>
  <c r="AD114" i="6" s="1"/>
  <c r="AA114" i="6"/>
  <c r="W114" i="6"/>
  <c r="X114" i="6" s="1"/>
  <c r="U114" i="6"/>
  <c r="R114" i="6"/>
  <c r="O114" i="6"/>
  <c r="N114" i="6"/>
  <c r="L114" i="6"/>
  <c r="H114" i="6"/>
  <c r="I114" i="6" s="1"/>
  <c r="F114" i="6"/>
  <c r="C114" i="6"/>
  <c r="AC113" i="6"/>
  <c r="AD113" i="6" s="1"/>
  <c r="AA113" i="6"/>
  <c r="X113" i="6"/>
  <c r="W113" i="6"/>
  <c r="U113" i="6"/>
  <c r="R113" i="6"/>
  <c r="O113" i="6"/>
  <c r="N113" i="6"/>
  <c r="L113" i="6"/>
  <c r="I113" i="6"/>
  <c r="H113" i="6"/>
  <c r="F113" i="6"/>
  <c r="C113" i="6"/>
  <c r="AC112" i="6"/>
  <c r="AD112" i="6" s="1"/>
  <c r="AA112" i="6"/>
  <c r="X112" i="6"/>
  <c r="W112" i="6"/>
  <c r="U112" i="6"/>
  <c r="R112" i="6"/>
  <c r="N112" i="6"/>
  <c r="O112" i="6" s="1"/>
  <c r="L112" i="6"/>
  <c r="H112" i="6"/>
  <c r="I112" i="6" s="1"/>
  <c r="F112" i="6"/>
  <c r="C112" i="6"/>
  <c r="AC111" i="6"/>
  <c r="AD111" i="6" s="1"/>
  <c r="AA111" i="6"/>
  <c r="W111" i="6"/>
  <c r="X111" i="6" s="1"/>
  <c r="U111" i="6"/>
  <c r="R111" i="6"/>
  <c r="O111" i="6"/>
  <c r="N111" i="6"/>
  <c r="L111" i="6"/>
  <c r="I111" i="6"/>
  <c r="H111" i="6"/>
  <c r="F111" i="6"/>
  <c r="C111" i="6"/>
  <c r="AD110" i="6"/>
  <c r="AC110" i="6"/>
  <c r="AA110" i="6"/>
  <c r="X110" i="6"/>
  <c r="W110" i="6"/>
  <c r="U110" i="6"/>
  <c r="R110" i="6"/>
  <c r="N110" i="6"/>
  <c r="O110" i="6" s="1"/>
  <c r="L110" i="6"/>
  <c r="H110" i="6"/>
  <c r="I110" i="6" s="1"/>
  <c r="F110" i="6"/>
  <c r="C110" i="6"/>
  <c r="AD109" i="6"/>
  <c r="AC109" i="6"/>
  <c r="AA109" i="6"/>
  <c r="X109" i="6"/>
  <c r="W109" i="6"/>
  <c r="U109" i="6"/>
  <c r="R109" i="6"/>
  <c r="O109" i="6"/>
  <c r="N109" i="6"/>
  <c r="L109" i="6"/>
  <c r="H109" i="6"/>
  <c r="I109" i="6" s="1"/>
  <c r="F109" i="6"/>
  <c r="C109" i="6"/>
  <c r="AD108" i="6"/>
  <c r="AC108" i="6"/>
  <c r="AA108" i="6"/>
  <c r="X108" i="6"/>
  <c r="W108" i="6"/>
  <c r="U108" i="6"/>
  <c r="R108" i="6"/>
  <c r="N108" i="6"/>
  <c r="O108" i="6" s="1"/>
  <c r="L108" i="6"/>
  <c r="H108" i="6"/>
  <c r="I108" i="6" s="1"/>
  <c r="F108" i="6"/>
  <c r="C108" i="6"/>
  <c r="AC107" i="6"/>
  <c r="AD107" i="6" s="1"/>
  <c r="AA107" i="6"/>
  <c r="X107" i="6"/>
  <c r="W107" i="6"/>
  <c r="U107" i="6"/>
  <c r="R107" i="6"/>
  <c r="O107" i="6"/>
  <c r="N107" i="6"/>
  <c r="L107" i="6"/>
  <c r="H107" i="6"/>
  <c r="I107" i="6" s="1"/>
  <c r="F107" i="6"/>
  <c r="C107" i="6"/>
  <c r="AD106" i="6"/>
  <c r="AC106" i="6"/>
  <c r="AA106" i="6"/>
  <c r="X106" i="6"/>
  <c r="W106" i="6"/>
  <c r="U106" i="6"/>
  <c r="R106" i="6"/>
  <c r="O106" i="6"/>
  <c r="N106" i="6"/>
  <c r="L106" i="6"/>
  <c r="H106" i="6"/>
  <c r="I106" i="6" s="1"/>
  <c r="F106" i="6"/>
  <c r="C106" i="6"/>
  <c r="AC105" i="6"/>
  <c r="AD105" i="6" s="1"/>
  <c r="AA105" i="6"/>
  <c r="X105" i="6"/>
  <c r="W105" i="6"/>
  <c r="U105" i="6"/>
  <c r="R105" i="6"/>
  <c r="N105" i="6"/>
  <c r="O105" i="6" s="1"/>
  <c r="L105" i="6"/>
  <c r="I105" i="6"/>
  <c r="H105" i="6"/>
  <c r="F105" i="6"/>
  <c r="C105" i="6"/>
  <c r="AD104" i="6"/>
  <c r="AC104" i="6"/>
  <c r="AA104" i="6"/>
  <c r="W104" i="6"/>
  <c r="X104" i="6" s="1"/>
  <c r="U104" i="6"/>
  <c r="R104" i="6"/>
  <c r="O104" i="6"/>
  <c r="N104" i="6"/>
  <c r="L104" i="6"/>
  <c r="H104" i="6"/>
  <c r="I104" i="6" s="1"/>
  <c r="F104" i="6"/>
  <c r="C104" i="6"/>
  <c r="AC103" i="6"/>
  <c r="AD103" i="6" s="1"/>
  <c r="AA103" i="6"/>
  <c r="X103" i="6"/>
  <c r="W103" i="6"/>
  <c r="U103" i="6"/>
  <c r="R103" i="6"/>
  <c r="O103" i="6"/>
  <c r="N103" i="6"/>
  <c r="L103" i="6"/>
  <c r="I103" i="6"/>
  <c r="H103" i="6"/>
  <c r="F103" i="6"/>
  <c r="C103" i="6"/>
  <c r="AC102" i="6"/>
  <c r="AD102" i="6" s="1"/>
  <c r="AA102" i="6"/>
  <c r="W102" i="6"/>
  <c r="X102" i="6" s="1"/>
  <c r="U102" i="6"/>
  <c r="R102" i="6"/>
  <c r="N102" i="6"/>
  <c r="O102" i="6" s="1"/>
  <c r="L102" i="6"/>
  <c r="H102" i="6"/>
  <c r="I102" i="6" s="1"/>
  <c r="F102" i="6"/>
  <c r="C102" i="6"/>
  <c r="AD101" i="6"/>
  <c r="AC101" i="6"/>
  <c r="AA101" i="6"/>
  <c r="X101" i="6"/>
  <c r="W101" i="6"/>
  <c r="U101" i="6"/>
  <c r="R101" i="6"/>
  <c r="O101" i="6"/>
  <c r="N101" i="6"/>
  <c r="L101" i="6"/>
  <c r="H101" i="6"/>
  <c r="I101" i="6" s="1"/>
  <c r="F101" i="6"/>
  <c r="C101" i="6"/>
  <c r="AC100" i="6"/>
  <c r="AD100" i="6" s="1"/>
  <c r="AA100" i="6"/>
  <c r="W100" i="6"/>
  <c r="X100" i="6" s="1"/>
  <c r="U100" i="6"/>
  <c r="R100" i="6"/>
  <c r="O100" i="6"/>
  <c r="N100" i="6"/>
  <c r="L100" i="6"/>
  <c r="I100" i="6"/>
  <c r="H100" i="6"/>
  <c r="F100" i="6"/>
  <c r="C100" i="6"/>
  <c r="AC99" i="6"/>
  <c r="AD99" i="6" s="1"/>
  <c r="AA99" i="6"/>
  <c r="W99" i="6"/>
  <c r="X99" i="6" s="1"/>
  <c r="U99" i="6"/>
  <c r="R99" i="6"/>
  <c r="O99" i="6"/>
  <c r="N99" i="6"/>
  <c r="L99" i="6"/>
  <c r="I99" i="6"/>
  <c r="H99" i="6"/>
  <c r="F99" i="6"/>
  <c r="C99" i="6"/>
  <c r="AC98" i="6"/>
  <c r="AD98" i="6" s="1"/>
  <c r="AA98" i="6"/>
  <c r="X98" i="6"/>
  <c r="W98" i="6"/>
  <c r="U98" i="6"/>
  <c r="R98" i="6"/>
  <c r="O98" i="6"/>
  <c r="N98" i="6"/>
  <c r="L98" i="6"/>
  <c r="H98" i="6"/>
  <c r="I98" i="6" s="1"/>
  <c r="F98" i="6"/>
  <c r="C98" i="6"/>
  <c r="AC97" i="6"/>
  <c r="AD97" i="6" s="1"/>
  <c r="AA97" i="6"/>
  <c r="X97" i="6"/>
  <c r="W97" i="6"/>
  <c r="U97" i="6"/>
  <c r="R97" i="6"/>
  <c r="O97" i="6"/>
  <c r="N97" i="6"/>
  <c r="L97" i="6"/>
  <c r="I97" i="6"/>
  <c r="H97" i="6"/>
  <c r="F97" i="6"/>
  <c r="C97" i="6"/>
  <c r="AC96" i="6"/>
  <c r="AD96" i="6" s="1"/>
  <c r="AA96" i="6"/>
  <c r="X96" i="6"/>
  <c r="W96" i="6"/>
  <c r="U96" i="6"/>
  <c r="R96" i="6"/>
  <c r="O96" i="6"/>
  <c r="N96" i="6"/>
  <c r="L96" i="6"/>
  <c r="H96" i="6"/>
  <c r="I96" i="6" s="1"/>
  <c r="F96" i="6"/>
  <c r="C96" i="6"/>
  <c r="AC95" i="6"/>
  <c r="AD95" i="6" s="1"/>
  <c r="AA95" i="6"/>
  <c r="X95" i="6"/>
  <c r="W95" i="6"/>
  <c r="U95" i="6"/>
  <c r="R95" i="6"/>
  <c r="O95" i="6"/>
  <c r="N95" i="6"/>
  <c r="L95" i="6"/>
  <c r="I95" i="6"/>
  <c r="H95" i="6"/>
  <c r="F95" i="6"/>
  <c r="C95" i="6"/>
  <c r="AD94" i="6"/>
  <c r="AC94" i="6"/>
  <c r="AA94" i="6"/>
  <c r="W94" i="6"/>
  <c r="X94" i="6" s="1"/>
  <c r="U94" i="6"/>
  <c r="R94" i="6"/>
  <c r="N94" i="6"/>
  <c r="O94" i="6" s="1"/>
  <c r="L94" i="6"/>
  <c r="H94" i="6"/>
  <c r="I94" i="6" s="1"/>
  <c r="F94" i="6"/>
  <c r="C94" i="6"/>
  <c r="AD92" i="6"/>
  <c r="AC92" i="6"/>
  <c r="AA92" i="6"/>
  <c r="X92" i="6"/>
  <c r="W92" i="6"/>
  <c r="U92" i="6"/>
  <c r="R92" i="6"/>
  <c r="N92" i="6"/>
  <c r="O92" i="6" s="1"/>
  <c r="L92" i="6"/>
  <c r="H92" i="6"/>
  <c r="I92" i="6" s="1"/>
  <c r="F92" i="6"/>
  <c r="C92" i="6"/>
  <c r="AC91" i="6"/>
  <c r="AD91" i="6" s="1"/>
  <c r="AA91" i="6"/>
  <c r="X91" i="6"/>
  <c r="W91" i="6"/>
  <c r="U91" i="6"/>
  <c r="R91" i="6"/>
  <c r="N91" i="6"/>
  <c r="O91" i="6" s="1"/>
  <c r="L91" i="6"/>
  <c r="H91" i="6"/>
  <c r="I91" i="6" s="1"/>
  <c r="F91" i="6"/>
  <c r="C91" i="6"/>
  <c r="AC90" i="6"/>
  <c r="AD90" i="6" s="1"/>
  <c r="AA90" i="6"/>
  <c r="X90" i="6"/>
  <c r="W90" i="6"/>
  <c r="U90" i="6"/>
  <c r="R90" i="6"/>
  <c r="O90" i="6"/>
  <c r="N90" i="6"/>
  <c r="L90" i="6"/>
  <c r="H90" i="6"/>
  <c r="I90" i="6" s="1"/>
  <c r="F90" i="6"/>
  <c r="C90" i="6"/>
  <c r="AD89" i="6"/>
  <c r="AC89" i="6"/>
  <c r="AA89" i="6"/>
  <c r="X89" i="6"/>
  <c r="W89" i="6"/>
  <c r="U89" i="6"/>
  <c r="R89" i="6"/>
  <c r="N89" i="6"/>
  <c r="O89" i="6" s="1"/>
  <c r="L89" i="6"/>
  <c r="H89" i="6"/>
  <c r="I89" i="6" s="1"/>
  <c r="F89" i="6"/>
  <c r="C89" i="6"/>
  <c r="Z88" i="6"/>
  <c r="AA88" i="6" s="1"/>
  <c r="U88" i="6"/>
  <c r="T88" i="6"/>
  <c r="Q88" i="6"/>
  <c r="N88" i="6"/>
  <c r="O88" i="6" s="1"/>
  <c r="K88" i="6"/>
  <c r="L88" i="6" s="1"/>
  <c r="F88" i="6"/>
  <c r="E88" i="6"/>
  <c r="C88" i="6"/>
  <c r="B88" i="6"/>
  <c r="H88" i="6" s="1"/>
  <c r="I88" i="6" s="1"/>
  <c r="AC87" i="6"/>
  <c r="AD87" i="6" s="1"/>
  <c r="AA87" i="6"/>
  <c r="W87" i="6"/>
  <c r="X87" i="6" s="1"/>
  <c r="U87" i="6"/>
  <c r="R87" i="6"/>
  <c r="O87" i="6"/>
  <c r="N87" i="6"/>
  <c r="L87" i="6"/>
  <c r="I87" i="6"/>
  <c r="H87" i="6"/>
  <c r="F87" i="6"/>
  <c r="C87" i="6"/>
  <c r="AC86" i="6"/>
  <c r="AD86" i="6" s="1"/>
  <c r="AA86" i="6"/>
  <c r="X86" i="6"/>
  <c r="W86" i="6"/>
  <c r="U86" i="6"/>
  <c r="R86" i="6"/>
  <c r="O86" i="6"/>
  <c r="N86" i="6"/>
  <c r="L86" i="6"/>
  <c r="H86" i="6"/>
  <c r="I86" i="6" s="1"/>
  <c r="F86" i="6"/>
  <c r="C86" i="6"/>
  <c r="AC85" i="6"/>
  <c r="AD85" i="6" s="1"/>
  <c r="AA85" i="6"/>
  <c r="X85" i="6"/>
  <c r="W85" i="6"/>
  <c r="U85" i="6"/>
  <c r="R85" i="6"/>
  <c r="O85" i="6"/>
  <c r="N85" i="6"/>
  <c r="L85" i="6"/>
  <c r="I85" i="6"/>
  <c r="H85" i="6"/>
  <c r="F85" i="6"/>
  <c r="C85" i="6"/>
  <c r="AC84" i="6"/>
  <c r="AD84" i="6" s="1"/>
  <c r="AA84" i="6"/>
  <c r="X84" i="6"/>
  <c r="W84" i="6"/>
  <c r="U84" i="6"/>
  <c r="R84" i="6"/>
  <c r="N84" i="6"/>
  <c r="O84" i="6" s="1"/>
  <c r="L84" i="6"/>
  <c r="H84" i="6"/>
  <c r="I84" i="6" s="1"/>
  <c r="F84" i="6"/>
  <c r="C84" i="6"/>
  <c r="AC83" i="6"/>
  <c r="AD83" i="6" s="1"/>
  <c r="AA83" i="6"/>
  <c r="W83" i="6"/>
  <c r="X83" i="6" s="1"/>
  <c r="U83" i="6"/>
  <c r="R83" i="6"/>
  <c r="O83" i="6"/>
  <c r="N83" i="6"/>
  <c r="L83" i="6"/>
  <c r="H83" i="6"/>
  <c r="I83" i="6" s="1"/>
  <c r="F83" i="6"/>
  <c r="C83" i="6"/>
  <c r="AD82" i="6"/>
  <c r="AC82" i="6"/>
  <c r="AA82" i="6"/>
  <c r="X82" i="6"/>
  <c r="W82" i="6"/>
  <c r="U82" i="6"/>
  <c r="R82" i="6"/>
  <c r="N82" i="6"/>
  <c r="O82" i="6" s="1"/>
  <c r="L82" i="6"/>
  <c r="H82" i="6"/>
  <c r="I82" i="6" s="1"/>
  <c r="F82" i="6"/>
  <c r="C82" i="6"/>
  <c r="AC81" i="6"/>
  <c r="AD81" i="6" s="1"/>
  <c r="AA81" i="6"/>
  <c r="X81" i="6"/>
  <c r="W81" i="6"/>
  <c r="U81" i="6"/>
  <c r="R81" i="6"/>
  <c r="O81" i="6"/>
  <c r="N81" i="6"/>
  <c r="L81" i="6"/>
  <c r="H81" i="6"/>
  <c r="I81" i="6" s="1"/>
  <c r="F81" i="6"/>
  <c r="C81" i="6"/>
  <c r="AC80" i="6"/>
  <c r="AD80" i="6" s="1"/>
  <c r="AA80" i="6"/>
  <c r="X80" i="6"/>
  <c r="W80" i="6"/>
  <c r="U80" i="6"/>
  <c r="R80" i="6"/>
  <c r="N80" i="6"/>
  <c r="O80" i="6" s="1"/>
  <c r="L80" i="6"/>
  <c r="I80" i="6"/>
  <c r="H80" i="6"/>
  <c r="F80" i="6"/>
  <c r="C80" i="6"/>
  <c r="AC79" i="6"/>
  <c r="AD79" i="6" s="1"/>
  <c r="AA79" i="6"/>
  <c r="X79" i="6"/>
  <c r="W79" i="6"/>
  <c r="U79" i="6"/>
  <c r="R79" i="6"/>
  <c r="O79" i="6"/>
  <c r="N79" i="6"/>
  <c r="L79" i="6"/>
  <c r="H79" i="6"/>
  <c r="I79" i="6" s="1"/>
  <c r="F79" i="6"/>
  <c r="C79" i="6"/>
  <c r="AD78" i="6"/>
  <c r="AC78" i="6"/>
  <c r="AA78" i="6"/>
  <c r="X78" i="6"/>
  <c r="W78" i="6"/>
  <c r="U78" i="6"/>
  <c r="R78" i="6"/>
  <c r="N78" i="6"/>
  <c r="O78" i="6" s="1"/>
  <c r="L78" i="6"/>
  <c r="H78" i="6"/>
  <c r="I78" i="6" s="1"/>
  <c r="F78" i="6"/>
  <c r="C78" i="6"/>
  <c r="AD77" i="6"/>
  <c r="AC77" i="6"/>
  <c r="AA77" i="6"/>
  <c r="X77" i="6"/>
  <c r="W77" i="6"/>
  <c r="U77" i="6"/>
  <c r="R77" i="6"/>
  <c r="N77" i="6"/>
  <c r="O77" i="6" s="1"/>
  <c r="L77" i="6"/>
  <c r="I77" i="6"/>
  <c r="H77" i="6"/>
  <c r="F77" i="6"/>
  <c r="C77" i="6"/>
  <c r="AD76" i="6"/>
  <c r="AC76" i="6"/>
  <c r="AA76" i="6"/>
  <c r="X76" i="6"/>
  <c r="W76" i="6"/>
  <c r="U76" i="6"/>
  <c r="R76" i="6"/>
  <c r="O76" i="6"/>
  <c r="N76" i="6"/>
  <c r="L76" i="6"/>
  <c r="H76" i="6"/>
  <c r="I76" i="6" s="1"/>
  <c r="F76" i="6"/>
  <c r="C76" i="6"/>
  <c r="AC75" i="6"/>
  <c r="AD75" i="6" s="1"/>
  <c r="AA75" i="6"/>
  <c r="X75" i="6"/>
  <c r="W75" i="6"/>
  <c r="U75" i="6"/>
  <c r="R75" i="6"/>
  <c r="O75" i="6"/>
  <c r="N75" i="6"/>
  <c r="L75" i="6"/>
  <c r="I75" i="6"/>
  <c r="H75" i="6"/>
  <c r="F75" i="6"/>
  <c r="C75" i="6"/>
  <c r="AD73" i="6"/>
  <c r="AC73" i="6"/>
  <c r="Z73" i="6"/>
  <c r="AA73" i="6" s="1"/>
  <c r="W73" i="6"/>
  <c r="X73" i="6" s="1"/>
  <c r="U73" i="6"/>
  <c r="T73" i="6"/>
  <c r="Q73" i="6"/>
  <c r="R73" i="6" s="1"/>
  <c r="N73" i="6"/>
  <c r="O73" i="6" s="1"/>
  <c r="L73" i="6"/>
  <c r="K73" i="6"/>
  <c r="E73" i="6"/>
  <c r="F73" i="6" s="1"/>
  <c r="B73" i="6"/>
  <c r="AC72" i="6"/>
  <c r="AD72" i="6" s="1"/>
  <c r="AA72" i="6"/>
  <c r="X72" i="6"/>
  <c r="W72" i="6"/>
  <c r="U72" i="6"/>
  <c r="R72" i="6"/>
  <c r="N72" i="6"/>
  <c r="O72" i="6" s="1"/>
  <c r="L72" i="6"/>
  <c r="H72" i="6"/>
  <c r="I72" i="6" s="1"/>
  <c r="F72" i="6"/>
  <c r="C72" i="6"/>
  <c r="AC71" i="6"/>
  <c r="AD71" i="6" s="1"/>
  <c r="AA71" i="6"/>
  <c r="W71" i="6"/>
  <c r="X71" i="6" s="1"/>
  <c r="U71" i="6"/>
  <c r="R71" i="6"/>
  <c r="O71" i="6"/>
  <c r="N71" i="6"/>
  <c r="L71" i="6"/>
  <c r="I71" i="6"/>
  <c r="H71" i="6"/>
  <c r="F71" i="6"/>
  <c r="C71" i="6"/>
  <c r="AD70" i="6"/>
  <c r="AC70" i="6"/>
  <c r="AA70" i="6"/>
  <c r="X70" i="6"/>
  <c r="W70" i="6"/>
  <c r="U70" i="6"/>
  <c r="R70" i="6"/>
  <c r="N70" i="6"/>
  <c r="O70" i="6" s="1"/>
  <c r="L70" i="6"/>
  <c r="H70" i="6"/>
  <c r="I70" i="6" s="1"/>
  <c r="F70" i="6"/>
  <c r="C70" i="6"/>
  <c r="AD69" i="6"/>
  <c r="AC69" i="6"/>
  <c r="AA69" i="6"/>
  <c r="X69" i="6"/>
  <c r="W69" i="6"/>
  <c r="U69" i="6"/>
  <c r="R69" i="6"/>
  <c r="O69" i="6"/>
  <c r="N69" i="6"/>
  <c r="L69" i="6"/>
  <c r="H69" i="6"/>
  <c r="I69" i="6" s="1"/>
  <c r="F69" i="6"/>
  <c r="C69" i="6"/>
  <c r="AD68" i="6"/>
  <c r="AC68" i="6"/>
  <c r="AA68" i="6"/>
  <c r="X68" i="6"/>
  <c r="W68" i="6"/>
  <c r="U68" i="6"/>
  <c r="R68" i="6"/>
  <c r="N68" i="6"/>
  <c r="O68" i="6" s="1"/>
  <c r="L68" i="6"/>
  <c r="H68" i="6"/>
  <c r="I68" i="6" s="1"/>
  <c r="F68" i="6"/>
  <c r="C68" i="6"/>
  <c r="AC67" i="6"/>
  <c r="AD67" i="6" s="1"/>
  <c r="AA67" i="6"/>
  <c r="X67" i="6"/>
  <c r="W67" i="6"/>
  <c r="U67" i="6"/>
  <c r="R67" i="6"/>
  <c r="O67" i="6"/>
  <c r="N67" i="6"/>
  <c r="L67" i="6"/>
  <c r="H67" i="6"/>
  <c r="I67" i="6" s="1"/>
  <c r="F67" i="6"/>
  <c r="C67" i="6"/>
  <c r="AD66" i="6"/>
  <c r="AC66" i="6"/>
  <c r="AA66" i="6"/>
  <c r="X66" i="6"/>
  <c r="W66" i="6"/>
  <c r="U66" i="6"/>
  <c r="R66" i="6"/>
  <c r="O66" i="6"/>
  <c r="N66" i="6"/>
  <c r="L66" i="6"/>
  <c r="H66" i="6"/>
  <c r="I66" i="6" s="1"/>
  <c r="F66" i="6"/>
  <c r="C66" i="6"/>
  <c r="AC65" i="6"/>
  <c r="AD65" i="6" s="1"/>
  <c r="AA65" i="6"/>
  <c r="X65" i="6"/>
  <c r="W65" i="6"/>
  <c r="U65" i="6"/>
  <c r="R65" i="6"/>
  <c r="N65" i="6"/>
  <c r="O65" i="6" s="1"/>
  <c r="L65" i="6"/>
  <c r="I65" i="6"/>
  <c r="H65" i="6"/>
  <c r="F65" i="6"/>
  <c r="C65" i="6"/>
  <c r="AD64" i="6"/>
  <c r="AC64" i="6"/>
  <c r="AA64" i="6"/>
  <c r="W64" i="6"/>
  <c r="X64" i="6" s="1"/>
  <c r="U64" i="6"/>
  <c r="R64" i="6"/>
  <c r="O64" i="6"/>
  <c r="N64" i="6"/>
  <c r="L64" i="6"/>
  <c r="H64" i="6"/>
  <c r="I64" i="6" s="1"/>
  <c r="F64" i="6"/>
  <c r="C64" i="6"/>
  <c r="AA62" i="6"/>
  <c r="Z62" i="6"/>
  <c r="T62" i="6"/>
  <c r="U62" i="6" s="1"/>
  <c r="Q62" i="6"/>
  <c r="N62" i="6"/>
  <c r="O62" i="6" s="1"/>
  <c r="L62" i="6"/>
  <c r="K62" i="6"/>
  <c r="I62" i="6"/>
  <c r="H62" i="6"/>
  <c r="E62" i="6"/>
  <c r="F62" i="6" s="1"/>
  <c r="C62" i="6"/>
  <c r="B62" i="6"/>
  <c r="Z61" i="6"/>
  <c r="AA61" i="6" s="1"/>
  <c r="W61" i="6"/>
  <c r="X61" i="6" s="1"/>
  <c r="U61" i="6"/>
  <c r="T61" i="6"/>
  <c r="Q61" i="6"/>
  <c r="K61" i="6"/>
  <c r="L61" i="6" s="1"/>
  <c r="H61" i="6"/>
  <c r="I61" i="6" s="1"/>
  <c r="F61" i="6"/>
  <c r="E61" i="6"/>
  <c r="C61" i="6"/>
  <c r="B61" i="6"/>
  <c r="AC60" i="6"/>
  <c r="AD60" i="6" s="1"/>
  <c r="AA60" i="6"/>
  <c r="W60" i="6"/>
  <c r="X60" i="6" s="1"/>
  <c r="U60" i="6"/>
  <c r="R60" i="6"/>
  <c r="O60" i="6"/>
  <c r="N60" i="6"/>
  <c r="L60" i="6"/>
  <c r="H60" i="6"/>
  <c r="I60" i="6" s="1"/>
  <c r="F60" i="6"/>
  <c r="C60" i="6"/>
  <c r="AC59" i="6"/>
  <c r="AD59" i="6" s="1"/>
  <c r="AA59" i="6"/>
  <c r="W59" i="6"/>
  <c r="X59" i="6" s="1"/>
  <c r="U59" i="6"/>
  <c r="R59" i="6"/>
  <c r="O59" i="6"/>
  <c r="N59" i="6"/>
  <c r="L59" i="6"/>
  <c r="H59" i="6"/>
  <c r="I59" i="6" s="1"/>
  <c r="F59" i="6"/>
  <c r="C59" i="6"/>
  <c r="AC58" i="6"/>
  <c r="AD58" i="6" s="1"/>
  <c r="AA58" i="6"/>
  <c r="X58" i="6"/>
  <c r="W58" i="6"/>
  <c r="U58" i="6"/>
  <c r="R58" i="6"/>
  <c r="O58" i="6"/>
  <c r="N58" i="6"/>
  <c r="L58" i="6"/>
  <c r="I58" i="6"/>
  <c r="H58" i="6"/>
  <c r="F58" i="6"/>
  <c r="C58" i="6"/>
  <c r="AC57" i="6"/>
  <c r="AD57" i="6" s="1"/>
  <c r="AA57" i="6"/>
  <c r="W57" i="6"/>
  <c r="X57" i="6" s="1"/>
  <c r="U57" i="6"/>
  <c r="R57" i="6"/>
  <c r="O57" i="6"/>
  <c r="N57" i="6"/>
  <c r="L57" i="6"/>
  <c r="I57" i="6"/>
  <c r="H57" i="6"/>
  <c r="F57" i="6"/>
  <c r="C57" i="6"/>
  <c r="AC56" i="6"/>
  <c r="AD56" i="6" s="1"/>
  <c r="AA56" i="6"/>
  <c r="W56" i="6"/>
  <c r="X56" i="6" s="1"/>
  <c r="U56" i="6"/>
  <c r="R56" i="6"/>
  <c r="O56" i="6"/>
  <c r="N56" i="6"/>
  <c r="L56" i="6"/>
  <c r="I56" i="6"/>
  <c r="H56" i="6"/>
  <c r="F56" i="6"/>
  <c r="C56" i="6"/>
  <c r="AD55" i="6"/>
  <c r="AC55" i="6"/>
  <c r="AA55" i="6"/>
  <c r="X55" i="6"/>
  <c r="W55" i="6"/>
  <c r="U55" i="6"/>
  <c r="R55" i="6"/>
  <c r="O55" i="6"/>
  <c r="N55" i="6"/>
  <c r="L55" i="6"/>
  <c r="H55" i="6"/>
  <c r="I55" i="6" s="1"/>
  <c r="F55" i="6"/>
  <c r="C55" i="6"/>
  <c r="AC54" i="6"/>
  <c r="AD54" i="6" s="1"/>
  <c r="AA54" i="6"/>
  <c r="X54" i="6"/>
  <c r="W54" i="6"/>
  <c r="U54" i="6"/>
  <c r="R54" i="6"/>
  <c r="O54" i="6"/>
  <c r="N54" i="6"/>
  <c r="L54" i="6"/>
  <c r="H54" i="6"/>
  <c r="I54" i="6" s="1"/>
  <c r="F54" i="6"/>
  <c r="C54" i="6"/>
  <c r="AD53" i="6"/>
  <c r="AC53" i="6"/>
  <c r="AA53" i="6"/>
  <c r="X53" i="6"/>
  <c r="W53" i="6"/>
  <c r="U53" i="6"/>
  <c r="R53" i="6"/>
  <c r="N53" i="6"/>
  <c r="O53" i="6" s="1"/>
  <c r="L53" i="6"/>
  <c r="H53" i="6"/>
  <c r="I53" i="6" s="1"/>
  <c r="F53" i="6"/>
  <c r="C53" i="6"/>
  <c r="AC52" i="6"/>
  <c r="AD52" i="6" s="1"/>
  <c r="AA52" i="6"/>
  <c r="X52" i="6"/>
  <c r="W52" i="6"/>
  <c r="U52" i="6"/>
  <c r="R52" i="6"/>
  <c r="O52" i="6"/>
  <c r="N52" i="6"/>
  <c r="L52" i="6"/>
  <c r="H52" i="6"/>
  <c r="I52" i="6" s="1"/>
  <c r="F52" i="6"/>
  <c r="C52" i="6"/>
  <c r="AC51" i="6"/>
  <c r="AD51" i="6" s="1"/>
  <c r="AA51" i="6"/>
  <c r="X51" i="6"/>
  <c r="W51" i="6"/>
  <c r="U51" i="6"/>
  <c r="R51" i="6"/>
  <c r="N51" i="6"/>
  <c r="O51" i="6" s="1"/>
  <c r="L51" i="6"/>
  <c r="H51" i="6"/>
  <c r="I51" i="6" s="1"/>
  <c r="F51" i="6"/>
  <c r="C51" i="6"/>
  <c r="AD50" i="6"/>
  <c r="AC50" i="6"/>
  <c r="AA50" i="6"/>
  <c r="X50" i="6"/>
  <c r="W50" i="6"/>
  <c r="U50" i="6"/>
  <c r="R50" i="6"/>
  <c r="N50" i="6"/>
  <c r="O50" i="6" s="1"/>
  <c r="L50" i="6"/>
  <c r="H50" i="6"/>
  <c r="I50" i="6" s="1"/>
  <c r="F50" i="6"/>
  <c r="C50" i="6"/>
  <c r="AD49" i="6"/>
  <c r="AC49" i="6"/>
  <c r="AA49" i="6"/>
  <c r="X49" i="6"/>
  <c r="W49" i="6"/>
  <c r="U49" i="6"/>
  <c r="R49" i="6"/>
  <c r="N49" i="6"/>
  <c r="O49" i="6" s="1"/>
  <c r="L49" i="6"/>
  <c r="I49" i="6"/>
  <c r="H49" i="6"/>
  <c r="F49" i="6"/>
  <c r="C49" i="6"/>
  <c r="AC48" i="6"/>
  <c r="AD48" i="6" s="1"/>
  <c r="AA48" i="6"/>
  <c r="X48" i="6"/>
  <c r="W48" i="6"/>
  <c r="U48" i="6"/>
  <c r="R48" i="6"/>
  <c r="O48" i="6"/>
  <c r="N48" i="6"/>
  <c r="L48" i="6"/>
  <c r="H48" i="6"/>
  <c r="I48" i="6" s="1"/>
  <c r="F48" i="6"/>
  <c r="C48" i="6"/>
  <c r="AD47" i="6"/>
  <c r="AC47" i="6"/>
  <c r="AA47" i="6"/>
  <c r="X47" i="6"/>
  <c r="W47" i="6"/>
  <c r="U47" i="6"/>
  <c r="R47" i="6"/>
  <c r="O47" i="6"/>
  <c r="N47" i="6"/>
  <c r="L47" i="6"/>
  <c r="H47" i="6"/>
  <c r="I47" i="6" s="1"/>
  <c r="F47" i="6"/>
  <c r="C47" i="6"/>
  <c r="AD46" i="6"/>
  <c r="AC46" i="6"/>
  <c r="AA46" i="6"/>
  <c r="X46" i="6"/>
  <c r="W46" i="6"/>
  <c r="U46" i="6"/>
  <c r="R46" i="6"/>
  <c r="N46" i="6"/>
  <c r="O46" i="6" s="1"/>
  <c r="L46" i="6"/>
  <c r="I46" i="6"/>
  <c r="H46" i="6"/>
  <c r="F46" i="6"/>
  <c r="C46" i="6"/>
  <c r="AD44" i="6"/>
  <c r="AC44" i="6"/>
  <c r="AA44" i="6"/>
  <c r="W44" i="6"/>
  <c r="X44" i="6" s="1"/>
  <c r="U44" i="6"/>
  <c r="R44" i="6"/>
  <c r="N44" i="6"/>
  <c r="O44" i="6" s="1"/>
  <c r="L44" i="6"/>
  <c r="I44" i="6"/>
  <c r="H44" i="6"/>
  <c r="F44" i="6"/>
  <c r="C44" i="6"/>
  <c r="AC43" i="6"/>
  <c r="AD43" i="6" s="1"/>
  <c r="AA43" i="6"/>
  <c r="X43" i="6"/>
  <c r="W43" i="6"/>
  <c r="U43" i="6"/>
  <c r="R43" i="6"/>
  <c r="O43" i="6"/>
  <c r="N43" i="6"/>
  <c r="L43" i="6"/>
  <c r="H43" i="6"/>
  <c r="I43" i="6" s="1"/>
  <c r="F43" i="6"/>
  <c r="C43" i="6"/>
  <c r="AC42" i="6"/>
  <c r="AD42" i="6" s="1"/>
  <c r="AA42" i="6"/>
  <c r="W42" i="6"/>
  <c r="X42" i="6" s="1"/>
  <c r="U42" i="6"/>
  <c r="R42" i="6"/>
  <c r="O42" i="6"/>
  <c r="N42" i="6"/>
  <c r="L42" i="6"/>
  <c r="H42" i="6"/>
  <c r="I42" i="6" s="1"/>
  <c r="F42" i="6"/>
  <c r="C42" i="6"/>
  <c r="AA40" i="6"/>
  <c r="Z40" i="6"/>
  <c r="U40" i="6"/>
  <c r="T40" i="6"/>
  <c r="R40" i="6"/>
  <c r="Q40" i="6"/>
  <c r="W40" i="6" s="1"/>
  <c r="X40" i="6" s="1"/>
  <c r="N40" i="6"/>
  <c r="O40" i="6" s="1"/>
  <c r="K40" i="6"/>
  <c r="L40" i="6" s="1"/>
  <c r="E40" i="6"/>
  <c r="F40" i="6" s="1"/>
  <c r="B40" i="6"/>
  <c r="H40" i="6" s="1"/>
  <c r="I40" i="6" s="1"/>
  <c r="AC39" i="6"/>
  <c r="AD39" i="6" s="1"/>
  <c r="AA39" i="6"/>
  <c r="X39" i="6"/>
  <c r="W39" i="6"/>
  <c r="U39" i="6"/>
  <c r="R39" i="6"/>
  <c r="O39" i="6"/>
  <c r="N39" i="6"/>
  <c r="L39" i="6"/>
  <c r="H39" i="6"/>
  <c r="I39" i="6" s="1"/>
  <c r="F39" i="6"/>
  <c r="C39" i="6"/>
  <c r="AC38" i="6"/>
  <c r="AD38" i="6" s="1"/>
  <c r="AA38" i="6"/>
  <c r="X38" i="6"/>
  <c r="W38" i="6"/>
  <c r="U38" i="6"/>
  <c r="R38" i="6"/>
  <c r="N38" i="6"/>
  <c r="O38" i="6" s="1"/>
  <c r="L38" i="6"/>
  <c r="H38" i="6"/>
  <c r="I38" i="6" s="1"/>
  <c r="F38" i="6"/>
  <c r="C38" i="6"/>
  <c r="AD37" i="6"/>
  <c r="AC37" i="6"/>
  <c r="AA37" i="6"/>
  <c r="X37" i="6"/>
  <c r="W37" i="6"/>
  <c r="U37" i="6"/>
  <c r="R37" i="6"/>
  <c r="N37" i="6"/>
  <c r="O37" i="6" s="1"/>
  <c r="L37" i="6"/>
  <c r="H37" i="6"/>
  <c r="I37" i="6" s="1"/>
  <c r="F37" i="6"/>
  <c r="C37" i="6"/>
  <c r="AD36" i="6"/>
  <c r="AC36" i="6"/>
  <c r="AA36" i="6"/>
  <c r="X36" i="6"/>
  <c r="W36" i="6"/>
  <c r="U36" i="6"/>
  <c r="R36" i="6"/>
  <c r="O36" i="6"/>
  <c r="N36" i="6"/>
  <c r="L36" i="6"/>
  <c r="H36" i="6"/>
  <c r="I36" i="6" s="1"/>
  <c r="F36" i="6"/>
  <c r="C36" i="6"/>
  <c r="AC35" i="6"/>
  <c r="AD35" i="6" s="1"/>
  <c r="AA35" i="6"/>
  <c r="X35" i="6"/>
  <c r="W35" i="6"/>
  <c r="U35" i="6"/>
  <c r="R35" i="6"/>
  <c r="O35" i="6"/>
  <c r="N35" i="6"/>
  <c r="L35" i="6"/>
  <c r="I35" i="6"/>
  <c r="H35" i="6"/>
  <c r="F35" i="6"/>
  <c r="C35" i="6"/>
  <c r="AD34" i="6"/>
  <c r="AC34" i="6"/>
  <c r="AA34" i="6"/>
  <c r="X34" i="6"/>
  <c r="W34" i="6"/>
  <c r="U34" i="6"/>
  <c r="R34" i="6"/>
  <c r="N34" i="6"/>
  <c r="O34" i="6" s="1"/>
  <c r="L34" i="6"/>
  <c r="H34" i="6"/>
  <c r="I34" i="6" s="1"/>
  <c r="F34" i="6"/>
  <c r="C34" i="6"/>
  <c r="AD33" i="6"/>
  <c r="AC33" i="6"/>
  <c r="AA33" i="6"/>
  <c r="X33" i="6"/>
  <c r="W33" i="6"/>
  <c r="U33" i="6"/>
  <c r="R33" i="6"/>
  <c r="O33" i="6"/>
  <c r="N33" i="6"/>
  <c r="L33" i="6"/>
  <c r="H33" i="6"/>
  <c r="I33" i="6" s="1"/>
  <c r="F33" i="6"/>
  <c r="C33" i="6"/>
  <c r="AD32" i="6"/>
  <c r="AC32" i="6"/>
  <c r="AA32" i="6"/>
  <c r="W32" i="6"/>
  <c r="X32" i="6" s="1"/>
  <c r="U32" i="6"/>
  <c r="R32" i="6"/>
  <c r="O32" i="6"/>
  <c r="N32" i="6"/>
  <c r="L32" i="6"/>
  <c r="I32" i="6"/>
  <c r="H32" i="6"/>
  <c r="F32" i="6"/>
  <c r="C32" i="6"/>
  <c r="AC31" i="6"/>
  <c r="AD31" i="6" s="1"/>
  <c r="AA31" i="6"/>
  <c r="W31" i="6"/>
  <c r="X31" i="6" s="1"/>
  <c r="U31" i="6"/>
  <c r="R31" i="6"/>
  <c r="O31" i="6"/>
  <c r="N31" i="6"/>
  <c r="L31" i="6"/>
  <c r="I31" i="6"/>
  <c r="H31" i="6"/>
  <c r="F31" i="6"/>
  <c r="C31" i="6"/>
  <c r="Z29" i="6"/>
  <c r="AA29" i="6" s="1"/>
  <c r="U29" i="6"/>
  <c r="T29" i="6"/>
  <c r="W29" i="6" s="1"/>
  <c r="X29" i="6" s="1"/>
  <c r="R29" i="6"/>
  <c r="Q29" i="6"/>
  <c r="N29" i="6"/>
  <c r="O29" i="6" s="1"/>
  <c r="L29" i="6"/>
  <c r="K29" i="6"/>
  <c r="H29" i="6"/>
  <c r="I29" i="6" s="1"/>
  <c r="F29" i="6"/>
  <c r="E29" i="6"/>
  <c r="B29" i="6"/>
  <c r="C29" i="6" s="1"/>
  <c r="AD28" i="6"/>
  <c r="AC28" i="6"/>
  <c r="AA28" i="6"/>
  <c r="W28" i="6"/>
  <c r="X28" i="6" s="1"/>
  <c r="U28" i="6"/>
  <c r="R28" i="6"/>
  <c r="N28" i="6"/>
  <c r="O28" i="6" s="1"/>
  <c r="L28" i="6"/>
  <c r="H28" i="6"/>
  <c r="I28" i="6" s="1"/>
  <c r="F28" i="6"/>
  <c r="C28" i="6"/>
  <c r="AC27" i="6"/>
  <c r="AD27" i="6" s="1"/>
  <c r="AA27" i="6"/>
  <c r="W27" i="6"/>
  <c r="X27" i="6" s="1"/>
  <c r="U27" i="6"/>
  <c r="R27" i="6"/>
  <c r="O27" i="6"/>
  <c r="N27" i="6"/>
  <c r="L27" i="6"/>
  <c r="H27" i="6"/>
  <c r="I27" i="6" s="1"/>
  <c r="F27" i="6"/>
  <c r="C27" i="6"/>
  <c r="AD26" i="6"/>
  <c r="AC26" i="6"/>
  <c r="AA26" i="6"/>
  <c r="X26" i="6"/>
  <c r="W26" i="6"/>
  <c r="U26" i="6"/>
  <c r="R26" i="6"/>
  <c r="N26" i="6"/>
  <c r="O26" i="6" s="1"/>
  <c r="L26" i="6"/>
  <c r="H26" i="6"/>
  <c r="I26" i="6" s="1"/>
  <c r="F26" i="6"/>
  <c r="C26" i="6"/>
  <c r="AD25" i="6"/>
  <c r="AC25" i="6"/>
  <c r="AA25" i="6"/>
  <c r="X25" i="6"/>
  <c r="W25" i="6"/>
  <c r="U25" i="6"/>
  <c r="R25" i="6"/>
  <c r="N25" i="6"/>
  <c r="O25" i="6" s="1"/>
  <c r="L25" i="6"/>
  <c r="H25" i="6"/>
  <c r="I25" i="6" s="1"/>
  <c r="F25" i="6"/>
  <c r="C25" i="6"/>
  <c r="AD24" i="6"/>
  <c r="AC24" i="6"/>
  <c r="AA24" i="6"/>
  <c r="X24" i="6"/>
  <c r="W24" i="6"/>
  <c r="U24" i="6"/>
  <c r="R24" i="6"/>
  <c r="O24" i="6"/>
  <c r="N24" i="6"/>
  <c r="L24" i="6"/>
  <c r="H24" i="6"/>
  <c r="I24" i="6" s="1"/>
  <c r="F24" i="6"/>
  <c r="C24" i="6"/>
  <c r="AC23" i="6"/>
  <c r="AD23" i="6" s="1"/>
  <c r="AA23" i="6"/>
  <c r="X23" i="6"/>
  <c r="W23" i="6"/>
  <c r="U23" i="6"/>
  <c r="R23" i="6"/>
  <c r="O23" i="6"/>
  <c r="N23" i="6"/>
  <c r="L23" i="6"/>
  <c r="I23" i="6"/>
  <c r="H23" i="6"/>
  <c r="F23" i="6"/>
  <c r="C23" i="6"/>
  <c r="AD22" i="6"/>
  <c r="AC22" i="6"/>
  <c r="AA22" i="6"/>
  <c r="W22" i="6"/>
  <c r="X22" i="6" s="1"/>
  <c r="U22" i="6"/>
  <c r="R22" i="6"/>
  <c r="N22" i="6"/>
  <c r="O22" i="6" s="1"/>
  <c r="L22" i="6"/>
  <c r="H22" i="6"/>
  <c r="I22" i="6" s="1"/>
  <c r="F22" i="6"/>
  <c r="C22" i="6"/>
  <c r="AD21" i="6"/>
  <c r="AC21" i="6"/>
  <c r="AA21" i="6"/>
  <c r="X21" i="6"/>
  <c r="W21" i="6"/>
  <c r="U21" i="6"/>
  <c r="R21" i="6"/>
  <c r="O21" i="6"/>
  <c r="N21" i="6"/>
  <c r="L21" i="6"/>
  <c r="H21" i="6"/>
  <c r="I21" i="6" s="1"/>
  <c r="F21" i="6"/>
  <c r="C21" i="6"/>
  <c r="AC19" i="6"/>
  <c r="AD19" i="6" s="1"/>
  <c r="AA19" i="6"/>
  <c r="W19" i="6"/>
  <c r="X19" i="6" s="1"/>
  <c r="U19" i="6"/>
  <c r="R19" i="6"/>
  <c r="O19" i="6"/>
  <c r="N19" i="6"/>
  <c r="L19" i="6"/>
  <c r="I19" i="6"/>
  <c r="H19" i="6"/>
  <c r="F19" i="6"/>
  <c r="C19" i="6"/>
  <c r="Z18" i="6"/>
  <c r="AA18" i="6" s="1"/>
  <c r="T18" i="6"/>
  <c r="Q18" i="6"/>
  <c r="K18" i="6"/>
  <c r="N18" i="6" s="1"/>
  <c r="O18" i="6" s="1"/>
  <c r="E18" i="6"/>
  <c r="C18" i="6"/>
  <c r="B18" i="6"/>
  <c r="AD17" i="6"/>
  <c r="AC17" i="6"/>
  <c r="AA17" i="6"/>
  <c r="X17" i="6"/>
  <c r="W17" i="6"/>
  <c r="U17" i="6"/>
  <c r="R17" i="6"/>
  <c r="N17" i="6"/>
  <c r="O17" i="6" s="1"/>
  <c r="L17" i="6"/>
  <c r="H17" i="6"/>
  <c r="I17" i="6" s="1"/>
  <c r="F17" i="6"/>
  <c r="C17" i="6"/>
  <c r="AD16" i="6"/>
  <c r="AC16" i="6"/>
  <c r="AA16" i="6"/>
  <c r="X16" i="6"/>
  <c r="W16" i="6"/>
  <c r="U16" i="6"/>
  <c r="R16" i="6"/>
  <c r="O16" i="6"/>
  <c r="N16" i="6"/>
  <c r="L16" i="6"/>
  <c r="I16" i="6"/>
  <c r="H16" i="6"/>
  <c r="F16" i="6"/>
  <c r="C16" i="6"/>
  <c r="AC15" i="6"/>
  <c r="AD15" i="6" s="1"/>
  <c r="AA15" i="6"/>
  <c r="X15" i="6"/>
  <c r="W15" i="6"/>
  <c r="U15" i="6"/>
  <c r="R15" i="6"/>
  <c r="O15" i="6"/>
  <c r="N15" i="6"/>
  <c r="L15" i="6"/>
  <c r="I15" i="6"/>
  <c r="H15" i="6"/>
  <c r="F15" i="6"/>
  <c r="C15" i="6"/>
  <c r="AD14" i="6"/>
  <c r="AC14" i="6"/>
  <c r="AA14" i="6"/>
  <c r="W14" i="6"/>
  <c r="X14" i="6" s="1"/>
  <c r="U14" i="6"/>
  <c r="R14" i="6"/>
  <c r="N14" i="6"/>
  <c r="O14" i="6" s="1"/>
  <c r="L14" i="6"/>
  <c r="H14" i="6"/>
  <c r="I14" i="6" s="1"/>
  <c r="F14" i="6"/>
  <c r="C14" i="6"/>
  <c r="AD13" i="6"/>
  <c r="AC13" i="6"/>
  <c r="AA13" i="6"/>
  <c r="X13" i="6"/>
  <c r="W13" i="6"/>
  <c r="U13" i="6"/>
  <c r="R13" i="6"/>
  <c r="N13" i="6"/>
  <c r="O13" i="6" s="1"/>
  <c r="L13" i="6"/>
  <c r="H13" i="6"/>
  <c r="I13" i="6" s="1"/>
  <c r="F13" i="6"/>
  <c r="C13" i="6"/>
  <c r="AC12" i="6"/>
  <c r="AD12" i="6" s="1"/>
  <c r="AA12" i="6"/>
  <c r="W12" i="6"/>
  <c r="X12" i="6" s="1"/>
  <c r="U12" i="6"/>
  <c r="R12" i="6"/>
  <c r="O12" i="6"/>
  <c r="N12" i="6"/>
  <c r="L12" i="6"/>
  <c r="I12" i="6"/>
  <c r="H12" i="6"/>
  <c r="F12" i="6"/>
  <c r="C12" i="6"/>
  <c r="AC11" i="6"/>
  <c r="AD11" i="6" s="1"/>
  <c r="AA11" i="6"/>
  <c r="W11" i="6"/>
  <c r="X11" i="6" s="1"/>
  <c r="U11" i="6"/>
  <c r="R11" i="6"/>
  <c r="O11" i="6"/>
  <c r="N11" i="6"/>
  <c r="L11" i="6"/>
  <c r="I11" i="6"/>
  <c r="H11" i="6"/>
  <c r="F11" i="6"/>
  <c r="C11" i="6"/>
  <c r="AC10" i="6"/>
  <c r="AD10" i="6" s="1"/>
  <c r="AA10" i="6"/>
  <c r="X10" i="6"/>
  <c r="W10" i="6"/>
  <c r="U10" i="6"/>
  <c r="R10" i="6"/>
  <c r="O10" i="6"/>
  <c r="N10" i="6"/>
  <c r="L10" i="6"/>
  <c r="H10" i="6"/>
  <c r="I10" i="6" s="1"/>
  <c r="F10" i="6"/>
  <c r="C10" i="6"/>
  <c r="AC8" i="6"/>
  <c r="AD8" i="6" s="1"/>
  <c r="AA8" i="6"/>
  <c r="X8" i="6"/>
  <c r="W8" i="6"/>
  <c r="U8" i="6"/>
  <c r="R8" i="6"/>
  <c r="O8" i="6"/>
  <c r="N8" i="6"/>
  <c r="L8" i="6"/>
  <c r="I8" i="6"/>
  <c r="H8" i="6"/>
  <c r="F8" i="6"/>
  <c r="C8" i="6"/>
  <c r="AC444" i="5"/>
  <c r="AD437" i="5" s="1"/>
  <c r="W444" i="5"/>
  <c r="X439" i="5" s="1"/>
  <c r="N444" i="5"/>
  <c r="O415" i="5" s="1"/>
  <c r="H444" i="5"/>
  <c r="AC442" i="5"/>
  <c r="AD442" i="5" s="1"/>
  <c r="AA442" i="5"/>
  <c r="Z442" i="5"/>
  <c r="T442" i="5"/>
  <c r="R442" i="5"/>
  <c r="Q442" i="5"/>
  <c r="N442" i="5"/>
  <c r="O442" i="5" s="1"/>
  <c r="L442" i="5"/>
  <c r="K442" i="5"/>
  <c r="F442" i="5"/>
  <c r="E442" i="5"/>
  <c r="B442" i="5"/>
  <c r="Z441" i="5"/>
  <c r="AA441" i="5" s="1"/>
  <c r="W441" i="5"/>
  <c r="X441" i="5" s="1"/>
  <c r="U441" i="5"/>
  <c r="T441" i="5"/>
  <c r="R441" i="5"/>
  <c r="Q441" i="5"/>
  <c r="N441" i="5"/>
  <c r="O441" i="5" s="1"/>
  <c r="L441" i="5"/>
  <c r="K441" i="5"/>
  <c r="E441" i="5"/>
  <c r="B441" i="5"/>
  <c r="C441" i="5" s="1"/>
  <c r="AC440" i="5"/>
  <c r="AD440" i="5" s="1"/>
  <c r="AA440" i="5"/>
  <c r="X440" i="5"/>
  <c r="W440" i="5"/>
  <c r="U440" i="5"/>
  <c r="R440" i="5"/>
  <c r="O440" i="5"/>
  <c r="N440" i="5"/>
  <c r="L440" i="5"/>
  <c r="H440" i="5"/>
  <c r="I440" i="5" s="1"/>
  <c r="F440" i="5"/>
  <c r="C440" i="5"/>
  <c r="AC439" i="5"/>
  <c r="AA439" i="5"/>
  <c r="W439" i="5"/>
  <c r="U439" i="5"/>
  <c r="R439" i="5"/>
  <c r="O439" i="5"/>
  <c r="N439" i="5"/>
  <c r="L439" i="5"/>
  <c r="I439" i="5"/>
  <c r="H439" i="5"/>
  <c r="F439" i="5"/>
  <c r="C439" i="5"/>
  <c r="AC438" i="5"/>
  <c r="AD438" i="5" s="1"/>
  <c r="AA438" i="5"/>
  <c r="W438" i="5"/>
  <c r="X438" i="5" s="1"/>
  <c r="U438" i="5"/>
  <c r="R438" i="5"/>
  <c r="N438" i="5"/>
  <c r="O438" i="5" s="1"/>
  <c r="L438" i="5"/>
  <c r="H438" i="5"/>
  <c r="F438" i="5"/>
  <c r="C438" i="5"/>
  <c r="AC437" i="5"/>
  <c r="AA437" i="5"/>
  <c r="X437" i="5"/>
  <c r="W437" i="5"/>
  <c r="U437" i="5"/>
  <c r="R437" i="5"/>
  <c r="O437" i="5"/>
  <c r="N437" i="5"/>
  <c r="L437" i="5"/>
  <c r="H437" i="5"/>
  <c r="I437" i="5" s="1"/>
  <c r="F437" i="5"/>
  <c r="C437" i="5"/>
  <c r="AC436" i="5"/>
  <c r="AD436" i="5" s="1"/>
  <c r="AA436" i="5"/>
  <c r="W436" i="5"/>
  <c r="X436" i="5" s="1"/>
  <c r="U436" i="5"/>
  <c r="R436" i="5"/>
  <c r="N436" i="5"/>
  <c r="O436" i="5" s="1"/>
  <c r="L436" i="5"/>
  <c r="I436" i="5"/>
  <c r="H436" i="5"/>
  <c r="F436" i="5"/>
  <c r="C436" i="5"/>
  <c r="AC435" i="5"/>
  <c r="AD435" i="5" s="1"/>
  <c r="AA435" i="5"/>
  <c r="X435" i="5"/>
  <c r="W435" i="5"/>
  <c r="U435" i="5"/>
  <c r="R435" i="5"/>
  <c r="O435" i="5"/>
  <c r="N435" i="5"/>
  <c r="L435" i="5"/>
  <c r="H435" i="5"/>
  <c r="I435" i="5" s="1"/>
  <c r="F435" i="5"/>
  <c r="C435" i="5"/>
  <c r="AD434" i="5"/>
  <c r="AC434" i="5"/>
  <c r="AA434" i="5"/>
  <c r="X434" i="5"/>
  <c r="W434" i="5"/>
  <c r="U434" i="5"/>
  <c r="R434" i="5"/>
  <c r="N434" i="5"/>
  <c r="O434" i="5" s="1"/>
  <c r="L434" i="5"/>
  <c r="H434" i="5"/>
  <c r="F434" i="5"/>
  <c r="C434" i="5"/>
  <c r="AD433" i="5"/>
  <c r="AC433" i="5"/>
  <c r="AA433" i="5"/>
  <c r="X433" i="5"/>
  <c r="W433" i="5"/>
  <c r="U433" i="5"/>
  <c r="R433" i="5"/>
  <c r="N433" i="5"/>
  <c r="O433" i="5" s="1"/>
  <c r="L433" i="5"/>
  <c r="I433" i="5"/>
  <c r="H433" i="5"/>
  <c r="F433" i="5"/>
  <c r="C433" i="5"/>
  <c r="AC432" i="5"/>
  <c r="AA432" i="5"/>
  <c r="X432" i="5"/>
  <c r="W432" i="5"/>
  <c r="U432" i="5"/>
  <c r="R432" i="5"/>
  <c r="O432" i="5"/>
  <c r="N432" i="5"/>
  <c r="L432" i="5"/>
  <c r="H432" i="5"/>
  <c r="I432" i="5" s="1"/>
  <c r="F432" i="5"/>
  <c r="C432" i="5"/>
  <c r="AC429" i="5"/>
  <c r="AD429" i="5" s="1"/>
  <c r="AA429" i="5"/>
  <c r="Z429" i="5"/>
  <c r="T429" i="5"/>
  <c r="U429" i="5" s="1"/>
  <c r="Q429" i="5"/>
  <c r="R429" i="5" s="1"/>
  <c r="N429" i="5"/>
  <c r="O429" i="5" s="1"/>
  <c r="L429" i="5"/>
  <c r="K429" i="5"/>
  <c r="E429" i="5"/>
  <c r="F429" i="5" s="1"/>
  <c r="C429" i="5"/>
  <c r="B429" i="5"/>
  <c r="AD428" i="5"/>
  <c r="AC428" i="5"/>
  <c r="Z428" i="5"/>
  <c r="AA428" i="5" s="1"/>
  <c r="T428" i="5"/>
  <c r="W428" i="5" s="1"/>
  <c r="X428" i="5" s="1"/>
  <c r="R428" i="5"/>
  <c r="Q428" i="5"/>
  <c r="K428" i="5"/>
  <c r="L428" i="5" s="1"/>
  <c r="E428" i="5"/>
  <c r="H428" i="5" s="1"/>
  <c r="I428" i="5" s="1"/>
  <c r="C428" i="5"/>
  <c r="B428" i="5"/>
  <c r="AC427" i="5"/>
  <c r="AA427" i="5"/>
  <c r="W427" i="5"/>
  <c r="X427" i="5" s="1"/>
  <c r="U427" i="5"/>
  <c r="R427" i="5"/>
  <c r="O427" i="5"/>
  <c r="N427" i="5"/>
  <c r="L427" i="5"/>
  <c r="I427" i="5"/>
  <c r="H427" i="5"/>
  <c r="F427" i="5"/>
  <c r="C427" i="5"/>
  <c r="AD426" i="5"/>
  <c r="AC426" i="5"/>
  <c r="AA426" i="5"/>
  <c r="W426" i="5"/>
  <c r="X426" i="5" s="1"/>
  <c r="U426" i="5"/>
  <c r="R426" i="5"/>
  <c r="N426" i="5"/>
  <c r="O426" i="5" s="1"/>
  <c r="L426" i="5"/>
  <c r="H426" i="5"/>
  <c r="I426" i="5" s="1"/>
  <c r="F426" i="5"/>
  <c r="C426" i="5"/>
  <c r="AC425" i="5"/>
  <c r="AA425" i="5"/>
  <c r="X425" i="5"/>
  <c r="W425" i="5"/>
  <c r="U425" i="5"/>
  <c r="R425" i="5"/>
  <c r="O425" i="5"/>
  <c r="N425" i="5"/>
  <c r="L425" i="5"/>
  <c r="H425" i="5"/>
  <c r="I425" i="5" s="1"/>
  <c r="F425" i="5"/>
  <c r="C425" i="5"/>
  <c r="AC424" i="5"/>
  <c r="AA424" i="5"/>
  <c r="W424" i="5"/>
  <c r="U424" i="5"/>
  <c r="R424" i="5"/>
  <c r="O424" i="5"/>
  <c r="N424" i="5"/>
  <c r="L424" i="5"/>
  <c r="I424" i="5"/>
  <c r="H424" i="5"/>
  <c r="F424" i="5"/>
  <c r="C424" i="5"/>
  <c r="AC423" i="5"/>
  <c r="AD423" i="5" s="1"/>
  <c r="AA423" i="5"/>
  <c r="W423" i="5"/>
  <c r="X423" i="5" s="1"/>
  <c r="U423" i="5"/>
  <c r="R423" i="5"/>
  <c r="O423" i="5"/>
  <c r="N423" i="5"/>
  <c r="L423" i="5"/>
  <c r="I423" i="5"/>
  <c r="H423" i="5"/>
  <c r="F423" i="5"/>
  <c r="C423" i="5"/>
  <c r="AD422" i="5"/>
  <c r="AC422" i="5"/>
  <c r="AA422" i="5"/>
  <c r="W422" i="5"/>
  <c r="X422" i="5" s="1"/>
  <c r="U422" i="5"/>
  <c r="R422" i="5"/>
  <c r="N422" i="5"/>
  <c r="O422" i="5" s="1"/>
  <c r="L422" i="5"/>
  <c r="H422" i="5"/>
  <c r="F422" i="5"/>
  <c r="C422" i="5"/>
  <c r="AC421" i="5"/>
  <c r="AD421" i="5" s="1"/>
  <c r="AA421" i="5"/>
  <c r="W421" i="5"/>
  <c r="U421" i="5"/>
  <c r="R421" i="5"/>
  <c r="O421" i="5"/>
  <c r="N421" i="5"/>
  <c r="L421" i="5"/>
  <c r="I421" i="5"/>
  <c r="H421" i="5"/>
  <c r="F421" i="5"/>
  <c r="C421" i="5"/>
  <c r="AC420" i="5"/>
  <c r="AD420" i="5" s="1"/>
  <c r="AA420" i="5"/>
  <c r="X420" i="5"/>
  <c r="W420" i="5"/>
  <c r="U420" i="5"/>
  <c r="R420" i="5"/>
  <c r="O420" i="5"/>
  <c r="N420" i="5"/>
  <c r="L420" i="5"/>
  <c r="H420" i="5"/>
  <c r="I420" i="5" s="1"/>
  <c r="F420" i="5"/>
  <c r="C420" i="5"/>
  <c r="AC419" i="5"/>
  <c r="AA419" i="5"/>
  <c r="W419" i="5"/>
  <c r="U419" i="5"/>
  <c r="R419" i="5"/>
  <c r="O419" i="5"/>
  <c r="N419" i="5"/>
  <c r="L419" i="5"/>
  <c r="I419" i="5"/>
  <c r="H419" i="5"/>
  <c r="F419" i="5"/>
  <c r="C419" i="5"/>
  <c r="AC418" i="5"/>
  <c r="AD418" i="5" s="1"/>
  <c r="AA418" i="5"/>
  <c r="W418" i="5"/>
  <c r="X418" i="5" s="1"/>
  <c r="U418" i="5"/>
  <c r="R418" i="5"/>
  <c r="N418" i="5"/>
  <c r="O418" i="5" s="1"/>
  <c r="L418" i="5"/>
  <c r="H418" i="5"/>
  <c r="I418" i="5" s="1"/>
  <c r="F418" i="5"/>
  <c r="C418" i="5"/>
  <c r="AD417" i="5"/>
  <c r="AC417" i="5"/>
  <c r="AA417" i="5"/>
  <c r="X417" i="5"/>
  <c r="W417" i="5"/>
  <c r="U417" i="5"/>
  <c r="R417" i="5"/>
  <c r="N417" i="5"/>
  <c r="O417" i="5" s="1"/>
  <c r="L417" i="5"/>
  <c r="H417" i="5"/>
  <c r="F417" i="5"/>
  <c r="C417" i="5"/>
  <c r="AC416" i="5"/>
  <c r="AD416" i="5" s="1"/>
  <c r="AA416" i="5"/>
  <c r="X416" i="5"/>
  <c r="W416" i="5"/>
  <c r="U416" i="5"/>
  <c r="R416" i="5"/>
  <c r="N416" i="5"/>
  <c r="O416" i="5" s="1"/>
  <c r="L416" i="5"/>
  <c r="H416" i="5"/>
  <c r="I416" i="5" s="1"/>
  <c r="F416" i="5"/>
  <c r="C416" i="5"/>
  <c r="AC415" i="5"/>
  <c r="AD415" i="5" s="1"/>
  <c r="AA415" i="5"/>
  <c r="W415" i="5"/>
  <c r="X415" i="5" s="1"/>
  <c r="U415" i="5"/>
  <c r="R415" i="5"/>
  <c r="N415" i="5"/>
  <c r="L415" i="5"/>
  <c r="H415" i="5"/>
  <c r="I415" i="5" s="1"/>
  <c r="F415" i="5"/>
  <c r="C415" i="5"/>
  <c r="AC414" i="5"/>
  <c r="AA414" i="5"/>
  <c r="W414" i="5"/>
  <c r="X414" i="5" s="1"/>
  <c r="U414" i="5"/>
  <c r="R414" i="5"/>
  <c r="O414" i="5"/>
  <c r="N414" i="5"/>
  <c r="L414" i="5"/>
  <c r="H414" i="5"/>
  <c r="I414" i="5" s="1"/>
  <c r="F414" i="5"/>
  <c r="C414" i="5"/>
  <c r="AD413" i="5"/>
  <c r="AC413" i="5"/>
  <c r="AA413" i="5"/>
  <c r="W413" i="5"/>
  <c r="U413" i="5"/>
  <c r="R413" i="5"/>
  <c r="N413" i="5"/>
  <c r="O413" i="5" s="1"/>
  <c r="L413" i="5"/>
  <c r="I413" i="5"/>
  <c r="H413" i="5"/>
  <c r="F413" i="5"/>
  <c r="C413" i="5"/>
  <c r="AC412" i="5"/>
  <c r="AD412" i="5" s="1"/>
  <c r="AA412" i="5"/>
  <c r="X412" i="5"/>
  <c r="W412" i="5"/>
  <c r="U412" i="5"/>
  <c r="R412" i="5"/>
  <c r="O412" i="5"/>
  <c r="N412" i="5"/>
  <c r="L412" i="5"/>
  <c r="I412" i="5"/>
  <c r="H412" i="5"/>
  <c r="F412" i="5"/>
  <c r="C412" i="5"/>
  <c r="AC411" i="5"/>
  <c r="AA411" i="5"/>
  <c r="W411" i="5"/>
  <c r="X411" i="5" s="1"/>
  <c r="U411" i="5"/>
  <c r="R411" i="5"/>
  <c r="O411" i="5"/>
  <c r="N411" i="5"/>
  <c r="L411" i="5"/>
  <c r="I411" i="5"/>
  <c r="H411" i="5"/>
  <c r="F411" i="5"/>
  <c r="C411" i="5"/>
  <c r="AD410" i="5"/>
  <c r="AC410" i="5"/>
  <c r="AA410" i="5"/>
  <c r="W410" i="5"/>
  <c r="X410" i="5" s="1"/>
  <c r="U410" i="5"/>
  <c r="R410" i="5"/>
  <c r="N410" i="5"/>
  <c r="O410" i="5" s="1"/>
  <c r="L410" i="5"/>
  <c r="H410" i="5"/>
  <c r="I410" i="5" s="1"/>
  <c r="F410" i="5"/>
  <c r="C410" i="5"/>
  <c r="AC409" i="5"/>
  <c r="AA409" i="5"/>
  <c r="X409" i="5"/>
  <c r="W409" i="5"/>
  <c r="U409" i="5"/>
  <c r="R409" i="5"/>
  <c r="O409" i="5"/>
  <c r="N409" i="5"/>
  <c r="L409" i="5"/>
  <c r="H409" i="5"/>
  <c r="I409" i="5" s="1"/>
  <c r="F409" i="5"/>
  <c r="C409" i="5"/>
  <c r="AC408" i="5"/>
  <c r="AA408" i="5"/>
  <c r="W408" i="5"/>
  <c r="U408" i="5"/>
  <c r="R408" i="5"/>
  <c r="O408" i="5"/>
  <c r="N408" i="5"/>
  <c r="L408" i="5"/>
  <c r="I408" i="5"/>
  <c r="H408" i="5"/>
  <c r="F408" i="5"/>
  <c r="C408" i="5"/>
  <c r="AC407" i="5"/>
  <c r="AD407" i="5" s="1"/>
  <c r="AA407" i="5"/>
  <c r="W407" i="5"/>
  <c r="X407" i="5" s="1"/>
  <c r="U407" i="5"/>
  <c r="R407" i="5"/>
  <c r="O407" i="5"/>
  <c r="N407" i="5"/>
  <c r="L407" i="5"/>
  <c r="I407" i="5"/>
  <c r="H407" i="5"/>
  <c r="F407" i="5"/>
  <c r="C407" i="5"/>
  <c r="Z403" i="5"/>
  <c r="AA403" i="5" s="1"/>
  <c r="T403" i="5"/>
  <c r="U403" i="5" s="1"/>
  <c r="Q403" i="5"/>
  <c r="K403" i="5"/>
  <c r="L403" i="5" s="1"/>
  <c r="H403" i="5"/>
  <c r="I403" i="5" s="1"/>
  <c r="F403" i="5"/>
  <c r="E403" i="5"/>
  <c r="C403" i="5"/>
  <c r="B403" i="5"/>
  <c r="N403" i="5" s="1"/>
  <c r="O403" i="5" s="1"/>
  <c r="AC402" i="5"/>
  <c r="AD402" i="5" s="1"/>
  <c r="AA402" i="5"/>
  <c r="X402" i="5"/>
  <c r="W402" i="5"/>
  <c r="U402" i="5"/>
  <c r="R402" i="5"/>
  <c r="O402" i="5"/>
  <c r="N402" i="5"/>
  <c r="L402" i="5"/>
  <c r="H402" i="5"/>
  <c r="I402" i="5" s="1"/>
  <c r="F402" i="5"/>
  <c r="C402" i="5"/>
  <c r="AC401" i="5"/>
  <c r="AD401" i="5" s="1"/>
  <c r="AA401" i="5"/>
  <c r="W401" i="5"/>
  <c r="U401" i="5"/>
  <c r="R401" i="5"/>
  <c r="O401" i="5"/>
  <c r="N401" i="5"/>
  <c r="L401" i="5"/>
  <c r="I401" i="5"/>
  <c r="H401" i="5"/>
  <c r="F401" i="5"/>
  <c r="C401" i="5"/>
  <c r="AD400" i="5"/>
  <c r="AC400" i="5"/>
  <c r="AA400" i="5"/>
  <c r="X400" i="5"/>
  <c r="W400" i="5"/>
  <c r="U400" i="5"/>
  <c r="R400" i="5"/>
  <c r="O400" i="5"/>
  <c r="N400" i="5"/>
  <c r="L400" i="5"/>
  <c r="H400" i="5"/>
  <c r="I400" i="5" s="1"/>
  <c r="F400" i="5"/>
  <c r="C400" i="5"/>
  <c r="AC399" i="5"/>
  <c r="AD399" i="5" s="1"/>
  <c r="AA399" i="5"/>
  <c r="X399" i="5"/>
  <c r="W399" i="5"/>
  <c r="U399" i="5"/>
  <c r="R399" i="5"/>
  <c r="O399" i="5"/>
  <c r="N399" i="5"/>
  <c r="L399" i="5"/>
  <c r="H399" i="5"/>
  <c r="I399" i="5" s="1"/>
  <c r="F399" i="5"/>
  <c r="C399" i="5"/>
  <c r="AD398" i="5"/>
  <c r="AC398" i="5"/>
  <c r="AA398" i="5"/>
  <c r="W398" i="5"/>
  <c r="X398" i="5" s="1"/>
  <c r="U398" i="5"/>
  <c r="R398" i="5"/>
  <c r="N398" i="5"/>
  <c r="O398" i="5" s="1"/>
  <c r="L398" i="5"/>
  <c r="H398" i="5"/>
  <c r="I398" i="5" s="1"/>
  <c r="F398" i="5"/>
  <c r="C398" i="5"/>
  <c r="AC397" i="5"/>
  <c r="AD397" i="5" s="1"/>
  <c r="AA397" i="5"/>
  <c r="X397" i="5"/>
  <c r="W397" i="5"/>
  <c r="U397" i="5"/>
  <c r="R397" i="5"/>
  <c r="N397" i="5"/>
  <c r="O397" i="5" s="1"/>
  <c r="L397" i="5"/>
  <c r="H397" i="5"/>
  <c r="I397" i="5" s="1"/>
  <c r="F397" i="5"/>
  <c r="C397" i="5"/>
  <c r="AC396" i="5"/>
  <c r="AD396" i="5" s="1"/>
  <c r="Z396" i="5"/>
  <c r="AA396" i="5" s="1"/>
  <c r="W396" i="5"/>
  <c r="X396" i="5" s="1"/>
  <c r="T396" i="5"/>
  <c r="U396" i="5" s="1"/>
  <c r="Q396" i="5"/>
  <c r="R396" i="5" s="1"/>
  <c r="L396" i="5"/>
  <c r="K396" i="5"/>
  <c r="F396" i="5"/>
  <c r="E396" i="5"/>
  <c r="B396" i="5"/>
  <c r="H396" i="5" s="1"/>
  <c r="I396" i="5" s="1"/>
  <c r="AC395" i="5"/>
  <c r="AD395" i="5" s="1"/>
  <c r="AA395" i="5"/>
  <c r="X395" i="5"/>
  <c r="W395" i="5"/>
  <c r="U395" i="5"/>
  <c r="R395" i="5"/>
  <c r="O395" i="5"/>
  <c r="N395" i="5"/>
  <c r="L395" i="5"/>
  <c r="H395" i="5"/>
  <c r="I395" i="5" s="1"/>
  <c r="F395" i="5"/>
  <c r="C395" i="5"/>
  <c r="AC394" i="5"/>
  <c r="AD394" i="5" s="1"/>
  <c r="AA394" i="5"/>
  <c r="X394" i="5"/>
  <c r="W394" i="5"/>
  <c r="U394" i="5"/>
  <c r="R394" i="5"/>
  <c r="O394" i="5"/>
  <c r="N394" i="5"/>
  <c r="L394" i="5"/>
  <c r="H394" i="5"/>
  <c r="I394" i="5" s="1"/>
  <c r="F394" i="5"/>
  <c r="C394" i="5"/>
  <c r="Z393" i="5"/>
  <c r="AA393" i="5" s="1"/>
  <c r="W393" i="5"/>
  <c r="X393" i="5" s="1"/>
  <c r="T393" i="5"/>
  <c r="U393" i="5" s="1"/>
  <c r="Q393" i="5"/>
  <c r="K393" i="5"/>
  <c r="L393" i="5" s="1"/>
  <c r="H393" i="5"/>
  <c r="I393" i="5" s="1"/>
  <c r="F393" i="5"/>
  <c r="E393" i="5"/>
  <c r="C393" i="5"/>
  <c r="B393" i="5"/>
  <c r="AC392" i="5"/>
  <c r="AD392" i="5" s="1"/>
  <c r="AA392" i="5"/>
  <c r="X392" i="5"/>
  <c r="W392" i="5"/>
  <c r="U392" i="5"/>
  <c r="R392" i="5"/>
  <c r="O392" i="5"/>
  <c r="N392" i="5"/>
  <c r="L392" i="5"/>
  <c r="H392" i="5"/>
  <c r="I392" i="5" s="1"/>
  <c r="F392" i="5"/>
  <c r="C392" i="5"/>
  <c r="AC391" i="5"/>
  <c r="AD391" i="5" s="1"/>
  <c r="AA391" i="5"/>
  <c r="W391" i="5"/>
  <c r="U391" i="5"/>
  <c r="R391" i="5"/>
  <c r="O391" i="5"/>
  <c r="N391" i="5"/>
  <c r="L391" i="5"/>
  <c r="I391" i="5"/>
  <c r="H391" i="5"/>
  <c r="F391" i="5"/>
  <c r="C391" i="5"/>
  <c r="AD390" i="5"/>
  <c r="AC390" i="5"/>
  <c r="AA390" i="5"/>
  <c r="X390" i="5"/>
  <c r="W390" i="5"/>
  <c r="U390" i="5"/>
  <c r="R390" i="5"/>
  <c r="N390" i="5"/>
  <c r="O390" i="5" s="1"/>
  <c r="L390" i="5"/>
  <c r="H390" i="5"/>
  <c r="I390" i="5" s="1"/>
  <c r="F390" i="5"/>
  <c r="C390" i="5"/>
  <c r="AC389" i="5"/>
  <c r="AD389" i="5" s="1"/>
  <c r="AA389" i="5"/>
  <c r="W389" i="5"/>
  <c r="X389" i="5" s="1"/>
  <c r="U389" i="5"/>
  <c r="R389" i="5"/>
  <c r="O389" i="5"/>
  <c r="N389" i="5"/>
  <c r="L389" i="5"/>
  <c r="H389" i="5"/>
  <c r="I389" i="5" s="1"/>
  <c r="F389" i="5"/>
  <c r="C389" i="5"/>
  <c r="AD388" i="5"/>
  <c r="AC388" i="5"/>
  <c r="AA388" i="5"/>
  <c r="X388" i="5"/>
  <c r="W388" i="5"/>
  <c r="U388" i="5"/>
  <c r="R388" i="5"/>
  <c r="N388" i="5"/>
  <c r="O388" i="5" s="1"/>
  <c r="L388" i="5"/>
  <c r="H388" i="5"/>
  <c r="I388" i="5" s="1"/>
  <c r="F388" i="5"/>
  <c r="C388" i="5"/>
  <c r="AC386" i="5"/>
  <c r="AD386" i="5" s="1"/>
  <c r="AA386" i="5"/>
  <c r="X386" i="5"/>
  <c r="W386" i="5"/>
  <c r="U386" i="5"/>
  <c r="R386" i="5"/>
  <c r="N386" i="5"/>
  <c r="O386" i="5" s="1"/>
  <c r="L386" i="5"/>
  <c r="H386" i="5"/>
  <c r="I386" i="5" s="1"/>
  <c r="F386" i="5"/>
  <c r="C386" i="5"/>
  <c r="AC385" i="5"/>
  <c r="AD385" i="5" s="1"/>
  <c r="AA385" i="5"/>
  <c r="X385" i="5"/>
  <c r="W385" i="5"/>
  <c r="U385" i="5"/>
  <c r="R385" i="5"/>
  <c r="N385" i="5"/>
  <c r="O385" i="5" s="1"/>
  <c r="L385" i="5"/>
  <c r="H385" i="5"/>
  <c r="I385" i="5" s="1"/>
  <c r="F385" i="5"/>
  <c r="C385" i="5"/>
  <c r="AC383" i="5"/>
  <c r="AA383" i="5"/>
  <c r="X383" i="5"/>
  <c r="W383" i="5"/>
  <c r="U383" i="5"/>
  <c r="R383" i="5"/>
  <c r="O383" i="5"/>
  <c r="N383" i="5"/>
  <c r="L383" i="5"/>
  <c r="H383" i="5"/>
  <c r="I383" i="5" s="1"/>
  <c r="F383" i="5"/>
  <c r="C383" i="5"/>
  <c r="AD382" i="5"/>
  <c r="AC382" i="5"/>
  <c r="AA382" i="5"/>
  <c r="W382" i="5"/>
  <c r="U382" i="5"/>
  <c r="R382" i="5"/>
  <c r="O382" i="5"/>
  <c r="N382" i="5"/>
  <c r="L382" i="5"/>
  <c r="H382" i="5"/>
  <c r="I382" i="5" s="1"/>
  <c r="F382" i="5"/>
  <c r="C382" i="5"/>
  <c r="AD381" i="5"/>
  <c r="AC381" i="5"/>
  <c r="AA381" i="5"/>
  <c r="X381" i="5"/>
  <c r="W381" i="5"/>
  <c r="U381" i="5"/>
  <c r="R381" i="5"/>
  <c r="N381" i="5"/>
  <c r="O381" i="5" s="1"/>
  <c r="L381" i="5"/>
  <c r="H381" i="5"/>
  <c r="I381" i="5" s="1"/>
  <c r="F381" i="5"/>
  <c r="C381" i="5"/>
  <c r="AC380" i="5"/>
  <c r="AA380" i="5"/>
  <c r="W380" i="5"/>
  <c r="X380" i="5" s="1"/>
  <c r="U380" i="5"/>
  <c r="R380" i="5"/>
  <c r="O380" i="5"/>
  <c r="N380" i="5"/>
  <c r="L380" i="5"/>
  <c r="H380" i="5"/>
  <c r="I380" i="5" s="1"/>
  <c r="F380" i="5"/>
  <c r="C380" i="5"/>
  <c r="AC379" i="5"/>
  <c r="AA379" i="5"/>
  <c r="W379" i="5"/>
  <c r="U379" i="5"/>
  <c r="R379" i="5"/>
  <c r="O379" i="5"/>
  <c r="N379" i="5"/>
  <c r="L379" i="5"/>
  <c r="I379" i="5"/>
  <c r="H379" i="5"/>
  <c r="F379" i="5"/>
  <c r="C379" i="5"/>
  <c r="AC378" i="5"/>
  <c r="AD378" i="5" s="1"/>
  <c r="AA378" i="5"/>
  <c r="W378" i="5"/>
  <c r="X378" i="5" s="1"/>
  <c r="U378" i="5"/>
  <c r="R378" i="5"/>
  <c r="N378" i="5"/>
  <c r="O378" i="5" s="1"/>
  <c r="L378" i="5"/>
  <c r="H378" i="5"/>
  <c r="I378" i="5" s="1"/>
  <c r="F378" i="5"/>
  <c r="C378" i="5"/>
  <c r="AC377" i="5"/>
  <c r="AA377" i="5"/>
  <c r="X377" i="5"/>
  <c r="W377" i="5"/>
  <c r="U377" i="5"/>
  <c r="R377" i="5"/>
  <c r="O377" i="5"/>
  <c r="N377" i="5"/>
  <c r="L377" i="5"/>
  <c r="H377" i="5"/>
  <c r="I377" i="5" s="1"/>
  <c r="F377" i="5"/>
  <c r="C377" i="5"/>
  <c r="AC376" i="5"/>
  <c r="AD376" i="5" s="1"/>
  <c r="AA376" i="5"/>
  <c r="W376" i="5"/>
  <c r="X376" i="5" s="1"/>
  <c r="U376" i="5"/>
  <c r="R376" i="5"/>
  <c r="O376" i="5"/>
  <c r="N376" i="5"/>
  <c r="L376" i="5"/>
  <c r="I376" i="5"/>
  <c r="H376" i="5"/>
  <c r="F376" i="5"/>
  <c r="C376" i="5"/>
  <c r="AC375" i="5"/>
  <c r="AD375" i="5" s="1"/>
  <c r="AA375" i="5"/>
  <c r="W375" i="5"/>
  <c r="X375" i="5" s="1"/>
  <c r="U375" i="5"/>
  <c r="R375" i="5"/>
  <c r="O375" i="5"/>
  <c r="N375" i="5"/>
  <c r="L375" i="5"/>
  <c r="I375" i="5"/>
  <c r="H375" i="5"/>
  <c r="F375" i="5"/>
  <c r="C375" i="5"/>
  <c r="AC374" i="5"/>
  <c r="AD374" i="5" s="1"/>
  <c r="AA374" i="5"/>
  <c r="W374" i="5"/>
  <c r="X374" i="5" s="1"/>
  <c r="U374" i="5"/>
  <c r="R374" i="5"/>
  <c r="O374" i="5"/>
  <c r="N374" i="5"/>
  <c r="L374" i="5"/>
  <c r="H374" i="5"/>
  <c r="I374" i="5" s="1"/>
  <c r="F374" i="5"/>
  <c r="C374" i="5"/>
  <c r="AC373" i="5"/>
  <c r="AD373" i="5" s="1"/>
  <c r="AA373" i="5"/>
  <c r="W373" i="5"/>
  <c r="U373" i="5"/>
  <c r="R373" i="5"/>
  <c r="O373" i="5"/>
  <c r="N373" i="5"/>
  <c r="L373" i="5"/>
  <c r="I373" i="5"/>
  <c r="H373" i="5"/>
  <c r="F373" i="5"/>
  <c r="C373" i="5"/>
  <c r="AC372" i="5"/>
  <c r="AD372" i="5" s="1"/>
  <c r="AA372" i="5"/>
  <c r="X372" i="5"/>
  <c r="W372" i="5"/>
  <c r="U372" i="5"/>
  <c r="R372" i="5"/>
  <c r="N372" i="5"/>
  <c r="O372" i="5" s="1"/>
  <c r="L372" i="5"/>
  <c r="H372" i="5"/>
  <c r="I372" i="5" s="1"/>
  <c r="F372" i="5"/>
  <c r="C372" i="5"/>
  <c r="AC371" i="5"/>
  <c r="AD371" i="5" s="1"/>
  <c r="AA371" i="5"/>
  <c r="W371" i="5"/>
  <c r="X371" i="5" s="1"/>
  <c r="U371" i="5"/>
  <c r="R371" i="5"/>
  <c r="O371" i="5"/>
  <c r="N371" i="5"/>
  <c r="L371" i="5"/>
  <c r="H371" i="5"/>
  <c r="I371" i="5" s="1"/>
  <c r="F371" i="5"/>
  <c r="C371" i="5"/>
  <c r="AD370" i="5"/>
  <c r="AC370" i="5"/>
  <c r="AA370" i="5"/>
  <c r="W370" i="5"/>
  <c r="X370" i="5" s="1"/>
  <c r="U370" i="5"/>
  <c r="R370" i="5"/>
  <c r="N370" i="5"/>
  <c r="O370" i="5" s="1"/>
  <c r="L370" i="5"/>
  <c r="H370" i="5"/>
  <c r="I370" i="5" s="1"/>
  <c r="F370" i="5"/>
  <c r="C370" i="5"/>
  <c r="AC369" i="5"/>
  <c r="AD369" i="5" s="1"/>
  <c r="AA369" i="5"/>
  <c r="X369" i="5"/>
  <c r="W369" i="5"/>
  <c r="U369" i="5"/>
  <c r="R369" i="5"/>
  <c r="N369" i="5"/>
  <c r="O369" i="5" s="1"/>
  <c r="L369" i="5"/>
  <c r="H369" i="5"/>
  <c r="I369" i="5" s="1"/>
  <c r="F369" i="5"/>
  <c r="C369" i="5"/>
  <c r="Z368" i="5"/>
  <c r="AA368" i="5" s="1"/>
  <c r="T368" i="5"/>
  <c r="U368" i="5" s="1"/>
  <c r="Q368" i="5"/>
  <c r="R368" i="5" s="1"/>
  <c r="N368" i="5"/>
  <c r="O368" i="5" s="1"/>
  <c r="L368" i="5"/>
  <c r="K368" i="5"/>
  <c r="H368" i="5"/>
  <c r="I368" i="5" s="1"/>
  <c r="F368" i="5"/>
  <c r="E368" i="5"/>
  <c r="C368" i="5"/>
  <c r="B368" i="5"/>
  <c r="AD367" i="5"/>
  <c r="AC367" i="5"/>
  <c r="AA367" i="5"/>
  <c r="X367" i="5"/>
  <c r="W367" i="5"/>
  <c r="U367" i="5"/>
  <c r="R367" i="5"/>
  <c r="N367" i="5"/>
  <c r="O367" i="5" s="1"/>
  <c r="L367" i="5"/>
  <c r="H367" i="5"/>
  <c r="I367" i="5" s="1"/>
  <c r="F367" i="5"/>
  <c r="C367" i="5"/>
  <c r="AC366" i="5"/>
  <c r="AD366" i="5" s="1"/>
  <c r="AA366" i="5"/>
  <c r="X366" i="5"/>
  <c r="W366" i="5"/>
  <c r="U366" i="5"/>
  <c r="R366" i="5"/>
  <c r="O366" i="5"/>
  <c r="N366" i="5"/>
  <c r="L366" i="5"/>
  <c r="I366" i="5"/>
  <c r="H366" i="5"/>
  <c r="F366" i="5"/>
  <c r="C366" i="5"/>
  <c r="AD365" i="5"/>
  <c r="AC365" i="5"/>
  <c r="AA365" i="5"/>
  <c r="W365" i="5"/>
  <c r="X365" i="5" s="1"/>
  <c r="U365" i="5"/>
  <c r="R365" i="5"/>
  <c r="N365" i="5"/>
  <c r="O365" i="5" s="1"/>
  <c r="L365" i="5"/>
  <c r="H365" i="5"/>
  <c r="I365" i="5" s="1"/>
  <c r="F365" i="5"/>
  <c r="C365" i="5"/>
  <c r="AC364" i="5"/>
  <c r="AD364" i="5" s="1"/>
  <c r="AA364" i="5"/>
  <c r="X364" i="5"/>
  <c r="W364" i="5"/>
  <c r="U364" i="5"/>
  <c r="R364" i="5"/>
  <c r="O364" i="5"/>
  <c r="N364" i="5"/>
  <c r="L364" i="5"/>
  <c r="H364" i="5"/>
  <c r="I364" i="5" s="1"/>
  <c r="F364" i="5"/>
  <c r="C364" i="5"/>
  <c r="AC363" i="5"/>
  <c r="AD363" i="5" s="1"/>
  <c r="AA363" i="5"/>
  <c r="X363" i="5"/>
  <c r="W363" i="5"/>
  <c r="U363" i="5"/>
  <c r="R363" i="5"/>
  <c r="N363" i="5"/>
  <c r="O363" i="5" s="1"/>
  <c r="L363" i="5"/>
  <c r="H363" i="5"/>
  <c r="I363" i="5" s="1"/>
  <c r="F363" i="5"/>
  <c r="C363" i="5"/>
  <c r="AD362" i="5"/>
  <c r="AC362" i="5"/>
  <c r="AA362" i="5"/>
  <c r="X362" i="5"/>
  <c r="W362" i="5"/>
  <c r="U362" i="5"/>
  <c r="R362" i="5"/>
  <c r="N362" i="5"/>
  <c r="O362" i="5" s="1"/>
  <c r="L362" i="5"/>
  <c r="H362" i="5"/>
  <c r="I362" i="5" s="1"/>
  <c r="F362" i="5"/>
  <c r="C362" i="5"/>
  <c r="AD361" i="5"/>
  <c r="AC361" i="5"/>
  <c r="AA361" i="5"/>
  <c r="W361" i="5"/>
  <c r="U361" i="5"/>
  <c r="R361" i="5"/>
  <c r="O361" i="5"/>
  <c r="N361" i="5"/>
  <c r="L361" i="5"/>
  <c r="I361" i="5"/>
  <c r="H361" i="5"/>
  <c r="F361" i="5"/>
  <c r="C361" i="5"/>
  <c r="AC360" i="5"/>
  <c r="AD360" i="5" s="1"/>
  <c r="AA360" i="5"/>
  <c r="X360" i="5"/>
  <c r="W360" i="5"/>
  <c r="U360" i="5"/>
  <c r="R360" i="5"/>
  <c r="O360" i="5"/>
  <c r="N360" i="5"/>
  <c r="L360" i="5"/>
  <c r="I360" i="5"/>
  <c r="H360" i="5"/>
  <c r="F360" i="5"/>
  <c r="C360" i="5"/>
  <c r="Z358" i="5"/>
  <c r="AA358" i="5" s="1"/>
  <c r="W358" i="5"/>
  <c r="X358" i="5" s="1"/>
  <c r="U358" i="5"/>
  <c r="T358" i="5"/>
  <c r="R358" i="5"/>
  <c r="Q358" i="5"/>
  <c r="L358" i="5"/>
  <c r="K358" i="5"/>
  <c r="H358" i="5"/>
  <c r="I358" i="5" s="1"/>
  <c r="E358" i="5"/>
  <c r="F358" i="5" s="1"/>
  <c r="C358" i="5"/>
  <c r="B358" i="5"/>
  <c r="AC357" i="5"/>
  <c r="AD357" i="5" s="1"/>
  <c r="AA357" i="5"/>
  <c r="X357" i="5"/>
  <c r="W357" i="5"/>
  <c r="U357" i="5"/>
  <c r="R357" i="5"/>
  <c r="N357" i="5"/>
  <c r="O357" i="5" s="1"/>
  <c r="L357" i="5"/>
  <c r="I357" i="5"/>
  <c r="H357" i="5"/>
  <c r="F357" i="5"/>
  <c r="C357" i="5"/>
  <c r="AC356" i="5"/>
  <c r="AA356" i="5"/>
  <c r="W356" i="5"/>
  <c r="X356" i="5" s="1"/>
  <c r="U356" i="5"/>
  <c r="R356" i="5"/>
  <c r="O356" i="5"/>
  <c r="N356" i="5"/>
  <c r="L356" i="5"/>
  <c r="I356" i="5"/>
  <c r="H356" i="5"/>
  <c r="F356" i="5"/>
  <c r="C356" i="5"/>
  <c r="AC355" i="5"/>
  <c r="AD355" i="5" s="1"/>
  <c r="AA355" i="5"/>
  <c r="W355" i="5"/>
  <c r="X355" i="5" s="1"/>
  <c r="U355" i="5"/>
  <c r="R355" i="5"/>
  <c r="O355" i="5"/>
  <c r="N355" i="5"/>
  <c r="L355" i="5"/>
  <c r="I355" i="5"/>
  <c r="H355" i="5"/>
  <c r="F355" i="5"/>
  <c r="C355" i="5"/>
  <c r="AD354" i="5"/>
  <c r="AC354" i="5"/>
  <c r="AA354" i="5"/>
  <c r="X354" i="5"/>
  <c r="W354" i="5"/>
  <c r="U354" i="5"/>
  <c r="R354" i="5"/>
  <c r="N354" i="5"/>
  <c r="O354" i="5" s="1"/>
  <c r="L354" i="5"/>
  <c r="H354" i="5"/>
  <c r="I354" i="5" s="1"/>
  <c r="F354" i="5"/>
  <c r="C354" i="5"/>
  <c r="AC353" i="5"/>
  <c r="AD353" i="5" s="1"/>
  <c r="AA353" i="5"/>
  <c r="X353" i="5"/>
  <c r="W353" i="5"/>
  <c r="U353" i="5"/>
  <c r="R353" i="5"/>
  <c r="N353" i="5"/>
  <c r="O353" i="5" s="1"/>
  <c r="L353" i="5"/>
  <c r="I353" i="5"/>
  <c r="H353" i="5"/>
  <c r="F353" i="5"/>
  <c r="C353" i="5"/>
  <c r="AC352" i="5"/>
  <c r="AA352" i="5"/>
  <c r="X352" i="5"/>
  <c r="W352" i="5"/>
  <c r="U352" i="5"/>
  <c r="R352" i="5"/>
  <c r="O352" i="5"/>
  <c r="N352" i="5"/>
  <c r="L352" i="5"/>
  <c r="I352" i="5"/>
  <c r="H352" i="5"/>
  <c r="F352" i="5"/>
  <c r="C352" i="5"/>
  <c r="AC351" i="5"/>
  <c r="AD351" i="5" s="1"/>
  <c r="AA351" i="5"/>
  <c r="W351" i="5"/>
  <c r="X351" i="5" s="1"/>
  <c r="U351" i="5"/>
  <c r="R351" i="5"/>
  <c r="O351" i="5"/>
  <c r="N351" i="5"/>
  <c r="L351" i="5"/>
  <c r="I351" i="5"/>
  <c r="H351" i="5"/>
  <c r="F351" i="5"/>
  <c r="C351" i="5"/>
  <c r="AD350" i="5"/>
  <c r="AC350" i="5"/>
  <c r="AA350" i="5"/>
  <c r="X350" i="5"/>
  <c r="W350" i="5"/>
  <c r="U350" i="5"/>
  <c r="R350" i="5"/>
  <c r="N350" i="5"/>
  <c r="O350" i="5" s="1"/>
  <c r="L350" i="5"/>
  <c r="H350" i="5"/>
  <c r="I350" i="5" s="1"/>
  <c r="F350" i="5"/>
  <c r="C350" i="5"/>
  <c r="AD349" i="5"/>
  <c r="AC349" i="5"/>
  <c r="AA349" i="5"/>
  <c r="X349" i="5"/>
  <c r="W349" i="5"/>
  <c r="U349" i="5"/>
  <c r="R349" i="5"/>
  <c r="N349" i="5"/>
  <c r="O349" i="5" s="1"/>
  <c r="L349" i="5"/>
  <c r="H349" i="5"/>
  <c r="I349" i="5" s="1"/>
  <c r="F349" i="5"/>
  <c r="C349" i="5"/>
  <c r="AC347" i="5"/>
  <c r="AA347" i="5"/>
  <c r="W347" i="5"/>
  <c r="X347" i="5" s="1"/>
  <c r="U347" i="5"/>
  <c r="R347" i="5"/>
  <c r="O347" i="5"/>
  <c r="N347" i="5"/>
  <c r="L347" i="5"/>
  <c r="I347" i="5"/>
  <c r="H347" i="5"/>
  <c r="F347" i="5"/>
  <c r="C347" i="5"/>
  <c r="Z344" i="5"/>
  <c r="U344" i="5"/>
  <c r="T344" i="5"/>
  <c r="R344" i="5"/>
  <c r="Q344" i="5"/>
  <c r="W344" i="5" s="1"/>
  <c r="X344" i="5" s="1"/>
  <c r="K344" i="5"/>
  <c r="L344" i="5" s="1"/>
  <c r="E344" i="5"/>
  <c r="F344" i="5" s="1"/>
  <c r="B344" i="5"/>
  <c r="H344" i="5" s="1"/>
  <c r="I344" i="5" s="1"/>
  <c r="AA343" i="5"/>
  <c r="Z343" i="5"/>
  <c r="T343" i="5"/>
  <c r="U343" i="5" s="1"/>
  <c r="Q343" i="5"/>
  <c r="R343" i="5" s="1"/>
  <c r="K343" i="5"/>
  <c r="L343" i="5" s="1"/>
  <c r="H343" i="5"/>
  <c r="I343" i="5" s="1"/>
  <c r="E343" i="5"/>
  <c r="F343" i="5" s="1"/>
  <c r="C343" i="5"/>
  <c r="B343" i="5"/>
  <c r="AA342" i="5"/>
  <c r="Z342" i="5"/>
  <c r="W342" i="5"/>
  <c r="X342" i="5" s="1"/>
  <c r="U342" i="5"/>
  <c r="T342" i="5"/>
  <c r="Q342" i="5"/>
  <c r="R342" i="5" s="1"/>
  <c r="K342" i="5"/>
  <c r="L342" i="5" s="1"/>
  <c r="F342" i="5"/>
  <c r="E342" i="5"/>
  <c r="B342" i="5"/>
  <c r="H342" i="5" s="1"/>
  <c r="I342" i="5" s="1"/>
  <c r="AC341" i="5"/>
  <c r="AD341" i="5" s="1"/>
  <c r="AA341" i="5"/>
  <c r="W341" i="5"/>
  <c r="X341" i="5" s="1"/>
  <c r="U341" i="5"/>
  <c r="R341" i="5"/>
  <c r="O341" i="5"/>
  <c r="N341" i="5"/>
  <c r="L341" i="5"/>
  <c r="I341" i="5"/>
  <c r="H341" i="5"/>
  <c r="F341" i="5"/>
  <c r="C341" i="5"/>
  <c r="AD340" i="5"/>
  <c r="AC340" i="5"/>
  <c r="AA340" i="5"/>
  <c r="X340" i="5"/>
  <c r="W340" i="5"/>
  <c r="U340" i="5"/>
  <c r="R340" i="5"/>
  <c r="N340" i="5"/>
  <c r="O340" i="5" s="1"/>
  <c r="L340" i="5"/>
  <c r="H340" i="5"/>
  <c r="I340" i="5" s="1"/>
  <c r="F340" i="5"/>
  <c r="C340" i="5"/>
  <c r="AC339" i="5"/>
  <c r="AD339" i="5" s="1"/>
  <c r="AA339" i="5"/>
  <c r="X339" i="5"/>
  <c r="W339" i="5"/>
  <c r="U339" i="5"/>
  <c r="R339" i="5"/>
  <c r="N339" i="5"/>
  <c r="O339" i="5" s="1"/>
  <c r="L339" i="5"/>
  <c r="I339" i="5"/>
  <c r="H339" i="5"/>
  <c r="F339" i="5"/>
  <c r="C339" i="5"/>
  <c r="AC338" i="5"/>
  <c r="AA338" i="5"/>
  <c r="X338" i="5"/>
  <c r="W338" i="5"/>
  <c r="U338" i="5"/>
  <c r="R338" i="5"/>
  <c r="O338" i="5"/>
  <c r="N338" i="5"/>
  <c r="L338" i="5"/>
  <c r="H338" i="5"/>
  <c r="I338" i="5" s="1"/>
  <c r="F338" i="5"/>
  <c r="C338" i="5"/>
  <c r="AC337" i="5"/>
  <c r="AD337" i="5" s="1"/>
  <c r="AA337" i="5"/>
  <c r="W337" i="5"/>
  <c r="X337" i="5" s="1"/>
  <c r="U337" i="5"/>
  <c r="R337" i="5"/>
  <c r="O337" i="5"/>
  <c r="N337" i="5"/>
  <c r="L337" i="5"/>
  <c r="I337" i="5"/>
  <c r="H337" i="5"/>
  <c r="F337" i="5"/>
  <c r="C337" i="5"/>
  <c r="AC335" i="5"/>
  <c r="AD335" i="5" s="1"/>
  <c r="AA335" i="5"/>
  <c r="X335" i="5"/>
  <c r="W335" i="5"/>
  <c r="U335" i="5"/>
  <c r="R335" i="5"/>
  <c r="N335" i="5"/>
  <c r="O335" i="5" s="1"/>
  <c r="L335" i="5"/>
  <c r="H335" i="5"/>
  <c r="I335" i="5" s="1"/>
  <c r="F335" i="5"/>
  <c r="C335" i="5"/>
  <c r="AD334" i="5"/>
  <c r="AC334" i="5"/>
  <c r="AA334" i="5"/>
  <c r="X334" i="5"/>
  <c r="W334" i="5"/>
  <c r="U334" i="5"/>
  <c r="R334" i="5"/>
  <c r="N334" i="5"/>
  <c r="O334" i="5" s="1"/>
  <c r="L334" i="5"/>
  <c r="H334" i="5"/>
  <c r="I334" i="5" s="1"/>
  <c r="F334" i="5"/>
  <c r="C334" i="5"/>
  <c r="AC333" i="5"/>
  <c r="AA333" i="5"/>
  <c r="W333" i="5"/>
  <c r="X333" i="5" s="1"/>
  <c r="U333" i="5"/>
  <c r="R333" i="5"/>
  <c r="O333" i="5"/>
  <c r="N333" i="5"/>
  <c r="L333" i="5"/>
  <c r="I333" i="5"/>
  <c r="H333" i="5"/>
  <c r="F333" i="5"/>
  <c r="C333" i="5"/>
  <c r="AC332" i="5"/>
  <c r="AD332" i="5" s="1"/>
  <c r="AA332" i="5"/>
  <c r="W332" i="5"/>
  <c r="X332" i="5" s="1"/>
  <c r="U332" i="5"/>
  <c r="R332" i="5"/>
  <c r="O332" i="5"/>
  <c r="N332" i="5"/>
  <c r="L332" i="5"/>
  <c r="I332" i="5"/>
  <c r="H332" i="5"/>
  <c r="F332" i="5"/>
  <c r="C332" i="5"/>
  <c r="AD331" i="5"/>
  <c r="AC331" i="5"/>
  <c r="AA331" i="5"/>
  <c r="X331" i="5"/>
  <c r="W331" i="5"/>
  <c r="U331" i="5"/>
  <c r="R331" i="5"/>
  <c r="N331" i="5"/>
  <c r="O331" i="5" s="1"/>
  <c r="L331" i="5"/>
  <c r="H331" i="5"/>
  <c r="I331" i="5" s="1"/>
  <c r="F331" i="5"/>
  <c r="C331" i="5"/>
  <c r="AC330" i="5"/>
  <c r="AD330" i="5" s="1"/>
  <c r="AA330" i="5"/>
  <c r="X330" i="5"/>
  <c r="W330" i="5"/>
  <c r="U330" i="5"/>
  <c r="R330" i="5"/>
  <c r="N330" i="5"/>
  <c r="O330" i="5" s="1"/>
  <c r="L330" i="5"/>
  <c r="I330" i="5"/>
  <c r="H330" i="5"/>
  <c r="F330" i="5"/>
  <c r="C330" i="5"/>
  <c r="AC329" i="5"/>
  <c r="AA329" i="5"/>
  <c r="W329" i="5"/>
  <c r="X329" i="5" s="1"/>
  <c r="U329" i="5"/>
  <c r="R329" i="5"/>
  <c r="O329" i="5"/>
  <c r="N329" i="5"/>
  <c r="L329" i="5"/>
  <c r="H329" i="5"/>
  <c r="I329" i="5" s="1"/>
  <c r="F329" i="5"/>
  <c r="C329" i="5"/>
  <c r="AC328" i="5"/>
  <c r="AD328" i="5" s="1"/>
  <c r="AA328" i="5"/>
  <c r="W328" i="5"/>
  <c r="X328" i="5" s="1"/>
  <c r="U328" i="5"/>
  <c r="R328" i="5"/>
  <c r="O328" i="5"/>
  <c r="N328" i="5"/>
  <c r="L328" i="5"/>
  <c r="I328" i="5"/>
  <c r="H328" i="5"/>
  <c r="F328" i="5"/>
  <c r="C328" i="5"/>
  <c r="Z325" i="5"/>
  <c r="AA325" i="5" s="1"/>
  <c r="T325" i="5"/>
  <c r="U325" i="5" s="1"/>
  <c r="R325" i="5"/>
  <c r="Q325" i="5"/>
  <c r="N325" i="5"/>
  <c r="O325" i="5" s="1"/>
  <c r="L325" i="5"/>
  <c r="K325" i="5"/>
  <c r="F325" i="5"/>
  <c r="E325" i="5"/>
  <c r="H325" i="5" s="1"/>
  <c r="I325" i="5" s="1"/>
  <c r="B325" i="5"/>
  <c r="C325" i="5" s="1"/>
  <c r="AA324" i="5"/>
  <c r="Z324" i="5"/>
  <c r="W324" i="5"/>
  <c r="X324" i="5" s="1"/>
  <c r="T324" i="5"/>
  <c r="U324" i="5" s="1"/>
  <c r="R324" i="5"/>
  <c r="Q324" i="5"/>
  <c r="AC324" i="5" s="1"/>
  <c r="AD324" i="5" s="1"/>
  <c r="N324" i="5"/>
  <c r="O324" i="5" s="1"/>
  <c r="K324" i="5"/>
  <c r="L324" i="5" s="1"/>
  <c r="H324" i="5"/>
  <c r="I324" i="5" s="1"/>
  <c r="F324" i="5"/>
  <c r="E324" i="5"/>
  <c r="C324" i="5"/>
  <c r="B324" i="5"/>
  <c r="AD323" i="5"/>
  <c r="AC323" i="5"/>
  <c r="AA323" i="5"/>
  <c r="X323" i="5"/>
  <c r="W323" i="5"/>
  <c r="U323" i="5"/>
  <c r="R323" i="5"/>
  <c r="N323" i="5"/>
  <c r="O323" i="5" s="1"/>
  <c r="L323" i="5"/>
  <c r="H323" i="5"/>
  <c r="I323" i="5" s="1"/>
  <c r="F323" i="5"/>
  <c r="C323" i="5"/>
  <c r="AC322" i="5"/>
  <c r="AD322" i="5" s="1"/>
  <c r="AA322" i="5"/>
  <c r="X322" i="5"/>
  <c r="W322" i="5"/>
  <c r="U322" i="5"/>
  <c r="R322" i="5"/>
  <c r="N322" i="5"/>
  <c r="O322" i="5" s="1"/>
  <c r="L322" i="5"/>
  <c r="I322" i="5"/>
  <c r="H322" i="5"/>
  <c r="F322" i="5"/>
  <c r="C322" i="5"/>
  <c r="AD321" i="5"/>
  <c r="AC321" i="5"/>
  <c r="AA321" i="5"/>
  <c r="W321" i="5"/>
  <c r="X321" i="5" s="1"/>
  <c r="U321" i="5"/>
  <c r="R321" i="5"/>
  <c r="O321" i="5"/>
  <c r="N321" i="5"/>
  <c r="L321" i="5"/>
  <c r="H321" i="5"/>
  <c r="I321" i="5" s="1"/>
  <c r="F321" i="5"/>
  <c r="C321" i="5"/>
  <c r="AC320" i="5"/>
  <c r="AD320" i="5" s="1"/>
  <c r="AA320" i="5"/>
  <c r="W320" i="5"/>
  <c r="X320" i="5" s="1"/>
  <c r="U320" i="5"/>
  <c r="R320" i="5"/>
  <c r="O320" i="5"/>
  <c r="N320" i="5"/>
  <c r="L320" i="5"/>
  <c r="I320" i="5"/>
  <c r="H320" i="5"/>
  <c r="F320" i="5"/>
  <c r="C320" i="5"/>
  <c r="AC319" i="5"/>
  <c r="AD319" i="5" s="1"/>
  <c r="AA319" i="5"/>
  <c r="X319" i="5"/>
  <c r="W319" i="5"/>
  <c r="U319" i="5"/>
  <c r="R319" i="5"/>
  <c r="N319" i="5"/>
  <c r="O319" i="5" s="1"/>
  <c r="L319" i="5"/>
  <c r="H319" i="5"/>
  <c r="I319" i="5" s="1"/>
  <c r="F319" i="5"/>
  <c r="C319" i="5"/>
  <c r="AC318" i="5"/>
  <c r="AD318" i="5" s="1"/>
  <c r="AA318" i="5"/>
  <c r="X318" i="5"/>
  <c r="W318" i="5"/>
  <c r="U318" i="5"/>
  <c r="R318" i="5"/>
  <c r="N318" i="5"/>
  <c r="O318" i="5" s="1"/>
  <c r="L318" i="5"/>
  <c r="H318" i="5"/>
  <c r="I318" i="5" s="1"/>
  <c r="F318" i="5"/>
  <c r="C318" i="5"/>
  <c r="AD317" i="5"/>
  <c r="AC317" i="5"/>
  <c r="AA317" i="5"/>
  <c r="W317" i="5"/>
  <c r="X317" i="5" s="1"/>
  <c r="U317" i="5"/>
  <c r="R317" i="5"/>
  <c r="O317" i="5"/>
  <c r="N317" i="5"/>
  <c r="L317" i="5"/>
  <c r="I317" i="5"/>
  <c r="H317" i="5"/>
  <c r="F317" i="5"/>
  <c r="C317" i="5"/>
  <c r="AC316" i="5"/>
  <c r="AD316" i="5" s="1"/>
  <c r="AA316" i="5"/>
  <c r="W316" i="5"/>
  <c r="X316" i="5" s="1"/>
  <c r="U316" i="5"/>
  <c r="R316" i="5"/>
  <c r="O316" i="5"/>
  <c r="N316" i="5"/>
  <c r="L316" i="5"/>
  <c r="I316" i="5"/>
  <c r="H316" i="5"/>
  <c r="F316" i="5"/>
  <c r="C316" i="5"/>
  <c r="AD315" i="5"/>
  <c r="AC315" i="5"/>
  <c r="AA315" i="5"/>
  <c r="X315" i="5"/>
  <c r="W315" i="5"/>
  <c r="U315" i="5"/>
  <c r="R315" i="5"/>
  <c r="N315" i="5"/>
  <c r="O315" i="5" s="1"/>
  <c r="L315" i="5"/>
  <c r="H315" i="5"/>
  <c r="I315" i="5" s="1"/>
  <c r="F315" i="5"/>
  <c r="C315" i="5"/>
  <c r="AC314" i="5"/>
  <c r="AD314" i="5" s="1"/>
  <c r="AA314" i="5"/>
  <c r="X314" i="5"/>
  <c r="W314" i="5"/>
  <c r="U314" i="5"/>
  <c r="R314" i="5"/>
  <c r="N314" i="5"/>
  <c r="O314" i="5" s="1"/>
  <c r="L314" i="5"/>
  <c r="I314" i="5"/>
  <c r="H314" i="5"/>
  <c r="F314" i="5"/>
  <c r="C314" i="5"/>
  <c r="AD313" i="5"/>
  <c r="AC313" i="5"/>
  <c r="AA313" i="5"/>
  <c r="W313" i="5"/>
  <c r="X313" i="5" s="1"/>
  <c r="U313" i="5"/>
  <c r="R313" i="5"/>
  <c r="O313" i="5"/>
  <c r="N313" i="5"/>
  <c r="L313" i="5"/>
  <c r="H313" i="5"/>
  <c r="I313" i="5" s="1"/>
  <c r="F313" i="5"/>
  <c r="C313" i="5"/>
  <c r="AC312" i="5"/>
  <c r="AD312" i="5" s="1"/>
  <c r="AA312" i="5"/>
  <c r="W312" i="5"/>
  <c r="X312" i="5" s="1"/>
  <c r="U312" i="5"/>
  <c r="R312" i="5"/>
  <c r="O312" i="5"/>
  <c r="N312" i="5"/>
  <c r="L312" i="5"/>
  <c r="I312" i="5"/>
  <c r="H312" i="5"/>
  <c r="F312" i="5"/>
  <c r="C312" i="5"/>
  <c r="AC311" i="5"/>
  <c r="AD311" i="5" s="1"/>
  <c r="AA311" i="5"/>
  <c r="X311" i="5"/>
  <c r="W311" i="5"/>
  <c r="U311" i="5"/>
  <c r="R311" i="5"/>
  <c r="O311" i="5"/>
  <c r="N311" i="5"/>
  <c r="L311" i="5"/>
  <c r="H311" i="5"/>
  <c r="I311" i="5" s="1"/>
  <c r="F311" i="5"/>
  <c r="C311" i="5"/>
  <c r="AC310" i="5"/>
  <c r="AD310" i="5" s="1"/>
  <c r="AA310" i="5"/>
  <c r="X310" i="5"/>
  <c r="W310" i="5"/>
  <c r="U310" i="5"/>
  <c r="R310" i="5"/>
  <c r="N310" i="5"/>
  <c r="O310" i="5" s="1"/>
  <c r="L310" i="5"/>
  <c r="H310" i="5"/>
  <c r="I310" i="5" s="1"/>
  <c r="F310" i="5"/>
  <c r="C310" i="5"/>
  <c r="AD309" i="5"/>
  <c r="AC309" i="5"/>
  <c r="AA309" i="5"/>
  <c r="W309" i="5"/>
  <c r="X309" i="5" s="1"/>
  <c r="U309" i="5"/>
  <c r="R309" i="5"/>
  <c r="O309" i="5"/>
  <c r="N309" i="5"/>
  <c r="L309" i="5"/>
  <c r="I309" i="5"/>
  <c r="H309" i="5"/>
  <c r="F309" i="5"/>
  <c r="C309" i="5"/>
  <c r="AC308" i="5"/>
  <c r="AD308" i="5" s="1"/>
  <c r="AA308" i="5"/>
  <c r="W308" i="5"/>
  <c r="X308" i="5" s="1"/>
  <c r="U308" i="5"/>
  <c r="R308" i="5"/>
  <c r="O308" i="5"/>
  <c r="N308" i="5"/>
  <c r="L308" i="5"/>
  <c r="I308" i="5"/>
  <c r="H308" i="5"/>
  <c r="F308" i="5"/>
  <c r="C308" i="5"/>
  <c r="AD307" i="5"/>
  <c r="AC307" i="5"/>
  <c r="AA307" i="5"/>
  <c r="X307" i="5"/>
  <c r="W307" i="5"/>
  <c r="U307" i="5"/>
  <c r="R307" i="5"/>
  <c r="N307" i="5"/>
  <c r="O307" i="5" s="1"/>
  <c r="L307" i="5"/>
  <c r="H307" i="5"/>
  <c r="I307" i="5" s="1"/>
  <c r="F307" i="5"/>
  <c r="C307" i="5"/>
  <c r="AD306" i="5"/>
  <c r="AC306" i="5"/>
  <c r="AA306" i="5"/>
  <c r="X306" i="5"/>
  <c r="W306" i="5"/>
  <c r="U306" i="5"/>
  <c r="R306" i="5"/>
  <c r="N306" i="5"/>
  <c r="O306" i="5" s="1"/>
  <c r="L306" i="5"/>
  <c r="I306" i="5"/>
  <c r="H306" i="5"/>
  <c r="F306" i="5"/>
  <c r="C306" i="5"/>
  <c r="AD305" i="5"/>
  <c r="AC305" i="5"/>
  <c r="AA305" i="5"/>
  <c r="X305" i="5"/>
  <c r="W305" i="5"/>
  <c r="U305" i="5"/>
  <c r="R305" i="5"/>
  <c r="O305" i="5"/>
  <c r="N305" i="5"/>
  <c r="L305" i="5"/>
  <c r="H305" i="5"/>
  <c r="I305" i="5" s="1"/>
  <c r="F305" i="5"/>
  <c r="C305" i="5"/>
  <c r="AC304" i="5"/>
  <c r="AD304" i="5" s="1"/>
  <c r="AA304" i="5"/>
  <c r="W304" i="5"/>
  <c r="X304" i="5" s="1"/>
  <c r="U304" i="5"/>
  <c r="R304" i="5"/>
  <c r="O304" i="5"/>
  <c r="N304" i="5"/>
  <c r="L304" i="5"/>
  <c r="I304" i="5"/>
  <c r="H304" i="5"/>
  <c r="F304" i="5"/>
  <c r="C304" i="5"/>
  <c r="AC303" i="5"/>
  <c r="AD303" i="5" s="1"/>
  <c r="AA303" i="5"/>
  <c r="X303" i="5"/>
  <c r="W303" i="5"/>
  <c r="U303" i="5"/>
  <c r="R303" i="5"/>
  <c r="O303" i="5"/>
  <c r="N303" i="5"/>
  <c r="L303" i="5"/>
  <c r="H303" i="5"/>
  <c r="I303" i="5" s="1"/>
  <c r="F303" i="5"/>
  <c r="C303" i="5"/>
  <c r="AC302" i="5"/>
  <c r="AD302" i="5" s="1"/>
  <c r="AA302" i="5"/>
  <c r="X302" i="5"/>
  <c r="W302" i="5"/>
  <c r="U302" i="5"/>
  <c r="R302" i="5"/>
  <c r="N302" i="5"/>
  <c r="O302" i="5" s="1"/>
  <c r="L302" i="5"/>
  <c r="H302" i="5"/>
  <c r="I302" i="5" s="1"/>
  <c r="F302" i="5"/>
  <c r="C302" i="5"/>
  <c r="AD301" i="5"/>
  <c r="AC301" i="5"/>
  <c r="AA301" i="5"/>
  <c r="W301" i="5"/>
  <c r="X301" i="5" s="1"/>
  <c r="U301" i="5"/>
  <c r="R301" i="5"/>
  <c r="O301" i="5"/>
  <c r="N301" i="5"/>
  <c r="L301" i="5"/>
  <c r="I301" i="5"/>
  <c r="H301" i="5"/>
  <c r="F301" i="5"/>
  <c r="C301" i="5"/>
  <c r="AC300" i="5"/>
  <c r="AD300" i="5" s="1"/>
  <c r="AA300" i="5"/>
  <c r="W300" i="5"/>
  <c r="X300" i="5" s="1"/>
  <c r="U300" i="5"/>
  <c r="R300" i="5"/>
  <c r="O300" i="5"/>
  <c r="N300" i="5"/>
  <c r="L300" i="5"/>
  <c r="I300" i="5"/>
  <c r="H300" i="5"/>
  <c r="F300" i="5"/>
  <c r="C300" i="5"/>
  <c r="AD299" i="5"/>
  <c r="AC299" i="5"/>
  <c r="AA299" i="5"/>
  <c r="X299" i="5"/>
  <c r="W299" i="5"/>
  <c r="U299" i="5"/>
  <c r="R299" i="5"/>
  <c r="N299" i="5"/>
  <c r="O299" i="5" s="1"/>
  <c r="L299" i="5"/>
  <c r="H299" i="5"/>
  <c r="I299" i="5" s="1"/>
  <c r="F299" i="5"/>
  <c r="C299" i="5"/>
  <c r="AC298" i="5"/>
  <c r="AD298" i="5" s="1"/>
  <c r="AA298" i="5"/>
  <c r="X298" i="5"/>
  <c r="W298" i="5"/>
  <c r="U298" i="5"/>
  <c r="R298" i="5"/>
  <c r="N298" i="5"/>
  <c r="O298" i="5" s="1"/>
  <c r="L298" i="5"/>
  <c r="I298" i="5"/>
  <c r="H298" i="5"/>
  <c r="F298" i="5"/>
  <c r="C298" i="5"/>
  <c r="AD297" i="5"/>
  <c r="AC297" i="5"/>
  <c r="AA297" i="5"/>
  <c r="W297" i="5"/>
  <c r="X297" i="5" s="1"/>
  <c r="U297" i="5"/>
  <c r="R297" i="5"/>
  <c r="O297" i="5"/>
  <c r="N297" i="5"/>
  <c r="L297" i="5"/>
  <c r="H297" i="5"/>
  <c r="I297" i="5" s="1"/>
  <c r="F297" i="5"/>
  <c r="C297" i="5"/>
  <c r="AC295" i="5"/>
  <c r="AD295" i="5" s="1"/>
  <c r="AA295" i="5"/>
  <c r="Z295" i="5"/>
  <c r="T295" i="5"/>
  <c r="Q295" i="5"/>
  <c r="R295" i="5" s="1"/>
  <c r="L295" i="5"/>
  <c r="K295" i="5"/>
  <c r="E295" i="5"/>
  <c r="F295" i="5" s="1"/>
  <c r="C295" i="5"/>
  <c r="B295" i="5"/>
  <c r="N295" i="5" s="1"/>
  <c r="O295" i="5" s="1"/>
  <c r="AC294" i="5"/>
  <c r="AD294" i="5" s="1"/>
  <c r="AA294" i="5"/>
  <c r="X294" i="5"/>
  <c r="W294" i="5"/>
  <c r="U294" i="5"/>
  <c r="R294" i="5"/>
  <c r="N294" i="5"/>
  <c r="O294" i="5" s="1"/>
  <c r="L294" i="5"/>
  <c r="I294" i="5"/>
  <c r="H294" i="5"/>
  <c r="F294" i="5"/>
  <c r="C294" i="5"/>
  <c r="AD293" i="5"/>
  <c r="AC293" i="5"/>
  <c r="AA293" i="5"/>
  <c r="W293" i="5"/>
  <c r="X293" i="5" s="1"/>
  <c r="U293" i="5"/>
  <c r="R293" i="5"/>
  <c r="O293" i="5"/>
  <c r="N293" i="5"/>
  <c r="L293" i="5"/>
  <c r="I293" i="5"/>
  <c r="H293" i="5"/>
  <c r="F293" i="5"/>
  <c r="C293" i="5"/>
  <c r="AC292" i="5"/>
  <c r="AD292" i="5" s="1"/>
  <c r="AA292" i="5"/>
  <c r="W292" i="5"/>
  <c r="X292" i="5" s="1"/>
  <c r="U292" i="5"/>
  <c r="R292" i="5"/>
  <c r="O292" i="5"/>
  <c r="N292" i="5"/>
  <c r="L292" i="5"/>
  <c r="I292" i="5"/>
  <c r="H292" i="5"/>
  <c r="F292" i="5"/>
  <c r="C292" i="5"/>
  <c r="AD291" i="5"/>
  <c r="AC291" i="5"/>
  <c r="AA291" i="5"/>
  <c r="X291" i="5"/>
  <c r="W291" i="5"/>
  <c r="U291" i="5"/>
  <c r="R291" i="5"/>
  <c r="N291" i="5"/>
  <c r="O291" i="5" s="1"/>
  <c r="L291" i="5"/>
  <c r="H291" i="5"/>
  <c r="I291" i="5" s="1"/>
  <c r="F291" i="5"/>
  <c r="C291" i="5"/>
  <c r="AC290" i="5"/>
  <c r="AD290" i="5" s="1"/>
  <c r="AA290" i="5"/>
  <c r="X290" i="5"/>
  <c r="W290" i="5"/>
  <c r="U290" i="5"/>
  <c r="R290" i="5"/>
  <c r="N290" i="5"/>
  <c r="O290" i="5" s="1"/>
  <c r="L290" i="5"/>
  <c r="I290" i="5"/>
  <c r="H290" i="5"/>
  <c r="F290" i="5"/>
  <c r="C290" i="5"/>
  <c r="AD289" i="5"/>
  <c r="AC289" i="5"/>
  <c r="AA289" i="5"/>
  <c r="W289" i="5"/>
  <c r="X289" i="5" s="1"/>
  <c r="U289" i="5"/>
  <c r="R289" i="5"/>
  <c r="O289" i="5"/>
  <c r="N289" i="5"/>
  <c r="L289" i="5"/>
  <c r="H289" i="5"/>
  <c r="I289" i="5" s="1"/>
  <c r="F289" i="5"/>
  <c r="C289" i="5"/>
  <c r="AC288" i="5"/>
  <c r="AD288" i="5" s="1"/>
  <c r="AA288" i="5"/>
  <c r="W288" i="5"/>
  <c r="X288" i="5" s="1"/>
  <c r="U288" i="5"/>
  <c r="R288" i="5"/>
  <c r="O288" i="5"/>
  <c r="N288" i="5"/>
  <c r="L288" i="5"/>
  <c r="I288" i="5"/>
  <c r="H288" i="5"/>
  <c r="F288" i="5"/>
  <c r="C288" i="5"/>
  <c r="AC287" i="5"/>
  <c r="AD287" i="5" s="1"/>
  <c r="AA287" i="5"/>
  <c r="X287" i="5"/>
  <c r="W287" i="5"/>
  <c r="U287" i="5"/>
  <c r="R287" i="5"/>
  <c r="N287" i="5"/>
  <c r="O287" i="5" s="1"/>
  <c r="L287" i="5"/>
  <c r="H287" i="5"/>
  <c r="I287" i="5" s="1"/>
  <c r="F287" i="5"/>
  <c r="C287" i="5"/>
  <c r="AC286" i="5"/>
  <c r="AD286" i="5" s="1"/>
  <c r="AA286" i="5"/>
  <c r="X286" i="5"/>
  <c r="W286" i="5"/>
  <c r="U286" i="5"/>
  <c r="R286" i="5"/>
  <c r="N286" i="5"/>
  <c r="O286" i="5" s="1"/>
  <c r="L286" i="5"/>
  <c r="I286" i="5"/>
  <c r="H286" i="5"/>
  <c r="F286" i="5"/>
  <c r="C286" i="5"/>
  <c r="Z284" i="5"/>
  <c r="AA284" i="5" s="1"/>
  <c r="T284" i="5"/>
  <c r="R284" i="5"/>
  <c r="Q284" i="5"/>
  <c r="K284" i="5"/>
  <c r="L284" i="5" s="1"/>
  <c r="F284" i="5"/>
  <c r="E284" i="5"/>
  <c r="B284" i="5"/>
  <c r="AC283" i="5"/>
  <c r="AD283" i="5" s="1"/>
  <c r="AA283" i="5"/>
  <c r="X283" i="5"/>
  <c r="W283" i="5"/>
  <c r="U283" i="5"/>
  <c r="R283" i="5"/>
  <c r="O283" i="5"/>
  <c r="N283" i="5"/>
  <c r="L283" i="5"/>
  <c r="H283" i="5"/>
  <c r="I283" i="5" s="1"/>
  <c r="F283" i="5"/>
  <c r="C283" i="5"/>
  <c r="AC282" i="5"/>
  <c r="AD282" i="5" s="1"/>
  <c r="AA282" i="5"/>
  <c r="X282" i="5"/>
  <c r="W282" i="5"/>
  <c r="U282" i="5"/>
  <c r="R282" i="5"/>
  <c r="N282" i="5"/>
  <c r="O282" i="5" s="1"/>
  <c r="L282" i="5"/>
  <c r="H282" i="5"/>
  <c r="I282" i="5" s="1"/>
  <c r="F282" i="5"/>
  <c r="C282" i="5"/>
  <c r="AD281" i="5"/>
  <c r="AC281" i="5"/>
  <c r="AA281" i="5"/>
  <c r="W281" i="5"/>
  <c r="X281" i="5" s="1"/>
  <c r="U281" i="5"/>
  <c r="R281" i="5"/>
  <c r="O281" i="5"/>
  <c r="N281" i="5"/>
  <c r="L281" i="5"/>
  <c r="I281" i="5"/>
  <c r="H281" i="5"/>
  <c r="F281" i="5"/>
  <c r="C281" i="5"/>
  <c r="AC280" i="5"/>
  <c r="AD280" i="5" s="1"/>
  <c r="AA280" i="5"/>
  <c r="W280" i="5"/>
  <c r="X280" i="5" s="1"/>
  <c r="U280" i="5"/>
  <c r="R280" i="5"/>
  <c r="O280" i="5"/>
  <c r="N280" i="5"/>
  <c r="L280" i="5"/>
  <c r="I280" i="5"/>
  <c r="H280" i="5"/>
  <c r="F280" i="5"/>
  <c r="C280" i="5"/>
  <c r="AD279" i="5"/>
  <c r="AC279" i="5"/>
  <c r="AA279" i="5"/>
  <c r="W279" i="5"/>
  <c r="X279" i="5" s="1"/>
  <c r="U279" i="5"/>
  <c r="R279" i="5"/>
  <c r="N279" i="5"/>
  <c r="O279" i="5" s="1"/>
  <c r="L279" i="5"/>
  <c r="H279" i="5"/>
  <c r="I279" i="5" s="1"/>
  <c r="F279" i="5"/>
  <c r="C279" i="5"/>
  <c r="AD278" i="5"/>
  <c r="AC278" i="5"/>
  <c r="AA278" i="5"/>
  <c r="X278" i="5"/>
  <c r="W278" i="5"/>
  <c r="U278" i="5"/>
  <c r="R278" i="5"/>
  <c r="N278" i="5"/>
  <c r="O278" i="5" s="1"/>
  <c r="L278" i="5"/>
  <c r="I278" i="5"/>
  <c r="H278" i="5"/>
  <c r="F278" i="5"/>
  <c r="C278" i="5"/>
  <c r="AD277" i="5"/>
  <c r="AC277" i="5"/>
  <c r="AA277" i="5"/>
  <c r="X277" i="5"/>
  <c r="W277" i="5"/>
  <c r="U277" i="5"/>
  <c r="R277" i="5"/>
  <c r="N277" i="5"/>
  <c r="O277" i="5" s="1"/>
  <c r="L277" i="5"/>
  <c r="H277" i="5"/>
  <c r="I277" i="5" s="1"/>
  <c r="F277" i="5"/>
  <c r="C277" i="5"/>
  <c r="AC276" i="5"/>
  <c r="AD276" i="5" s="1"/>
  <c r="AA276" i="5"/>
  <c r="W276" i="5"/>
  <c r="X276" i="5" s="1"/>
  <c r="U276" i="5"/>
  <c r="R276" i="5"/>
  <c r="O276" i="5"/>
  <c r="N276" i="5"/>
  <c r="L276" i="5"/>
  <c r="I276" i="5"/>
  <c r="H276" i="5"/>
  <c r="F276" i="5"/>
  <c r="C276" i="5"/>
  <c r="AC275" i="5"/>
  <c r="AD275" i="5" s="1"/>
  <c r="AA275" i="5"/>
  <c r="W275" i="5"/>
  <c r="X275" i="5" s="1"/>
  <c r="U275" i="5"/>
  <c r="R275" i="5"/>
  <c r="O275" i="5"/>
  <c r="N275" i="5"/>
  <c r="L275" i="5"/>
  <c r="H275" i="5"/>
  <c r="I275" i="5" s="1"/>
  <c r="F275" i="5"/>
  <c r="C275" i="5"/>
  <c r="AA273" i="5"/>
  <c r="Z273" i="5"/>
  <c r="AC273" i="5" s="1"/>
  <c r="AD273" i="5" s="1"/>
  <c r="W273" i="5"/>
  <c r="X273" i="5" s="1"/>
  <c r="U273" i="5"/>
  <c r="T273" i="5"/>
  <c r="R273" i="5"/>
  <c r="Q273" i="5"/>
  <c r="K273" i="5"/>
  <c r="L273" i="5" s="1"/>
  <c r="F273" i="5"/>
  <c r="E273" i="5"/>
  <c r="C273" i="5"/>
  <c r="B273" i="5"/>
  <c r="AC272" i="5"/>
  <c r="AD272" i="5" s="1"/>
  <c r="AA272" i="5"/>
  <c r="W272" i="5"/>
  <c r="X272" i="5" s="1"/>
  <c r="U272" i="5"/>
  <c r="R272" i="5"/>
  <c r="O272" i="5"/>
  <c r="N272" i="5"/>
  <c r="L272" i="5"/>
  <c r="I272" i="5"/>
  <c r="H272" i="5"/>
  <c r="F272" i="5"/>
  <c r="C272" i="5"/>
  <c r="AD271" i="5"/>
  <c r="AC271" i="5"/>
  <c r="AA271" i="5"/>
  <c r="W271" i="5"/>
  <c r="X271" i="5" s="1"/>
  <c r="U271" i="5"/>
  <c r="R271" i="5"/>
  <c r="O271" i="5"/>
  <c r="N271" i="5"/>
  <c r="L271" i="5"/>
  <c r="H271" i="5"/>
  <c r="I271" i="5" s="1"/>
  <c r="F271" i="5"/>
  <c r="C271" i="5"/>
  <c r="AD270" i="5"/>
  <c r="AC270" i="5"/>
  <c r="AA270" i="5"/>
  <c r="X270" i="5"/>
  <c r="W270" i="5"/>
  <c r="U270" i="5"/>
  <c r="R270" i="5"/>
  <c r="N270" i="5"/>
  <c r="O270" i="5" s="1"/>
  <c r="L270" i="5"/>
  <c r="H270" i="5"/>
  <c r="I270" i="5" s="1"/>
  <c r="F270" i="5"/>
  <c r="C270" i="5"/>
  <c r="AD269" i="5"/>
  <c r="AC269" i="5"/>
  <c r="AA269" i="5"/>
  <c r="X269" i="5"/>
  <c r="W269" i="5"/>
  <c r="U269" i="5"/>
  <c r="R269" i="5"/>
  <c r="N269" i="5"/>
  <c r="O269" i="5" s="1"/>
  <c r="L269" i="5"/>
  <c r="H269" i="5"/>
  <c r="I269" i="5" s="1"/>
  <c r="F269" i="5"/>
  <c r="C269" i="5"/>
  <c r="AA267" i="5"/>
  <c r="Z267" i="5"/>
  <c r="U267" i="5"/>
  <c r="T267" i="5"/>
  <c r="Q267" i="5"/>
  <c r="K267" i="5"/>
  <c r="L267" i="5" s="1"/>
  <c r="E267" i="5"/>
  <c r="C267" i="5"/>
  <c r="B267" i="5"/>
  <c r="AD266" i="5"/>
  <c r="AC266" i="5"/>
  <c r="AA266" i="5"/>
  <c r="X266" i="5"/>
  <c r="W266" i="5"/>
  <c r="U266" i="5"/>
  <c r="R266" i="5"/>
  <c r="N266" i="5"/>
  <c r="O266" i="5" s="1"/>
  <c r="L266" i="5"/>
  <c r="H266" i="5"/>
  <c r="I266" i="5" s="1"/>
  <c r="F266" i="5"/>
  <c r="C266" i="5"/>
  <c r="AD265" i="5"/>
  <c r="AC265" i="5"/>
  <c r="AA265" i="5"/>
  <c r="X265" i="5"/>
  <c r="W265" i="5"/>
  <c r="U265" i="5"/>
  <c r="R265" i="5"/>
  <c r="N265" i="5"/>
  <c r="O265" i="5" s="1"/>
  <c r="L265" i="5"/>
  <c r="H265" i="5"/>
  <c r="I265" i="5" s="1"/>
  <c r="F265" i="5"/>
  <c r="C265" i="5"/>
  <c r="AA263" i="5"/>
  <c r="Z263" i="5"/>
  <c r="W263" i="5"/>
  <c r="X263" i="5" s="1"/>
  <c r="U263" i="5"/>
  <c r="T263" i="5"/>
  <c r="Q263" i="5"/>
  <c r="K263" i="5"/>
  <c r="L263" i="5" s="1"/>
  <c r="E263" i="5"/>
  <c r="C263" i="5"/>
  <c r="B263" i="5"/>
  <c r="AA262" i="5"/>
  <c r="Z262" i="5"/>
  <c r="AC262" i="5" s="1"/>
  <c r="AD262" i="5" s="1"/>
  <c r="W262" i="5"/>
  <c r="X262" i="5" s="1"/>
  <c r="U262" i="5"/>
  <c r="T262" i="5"/>
  <c r="R262" i="5"/>
  <c r="Q262" i="5"/>
  <c r="K262" i="5"/>
  <c r="L262" i="5" s="1"/>
  <c r="F262" i="5"/>
  <c r="E262" i="5"/>
  <c r="C262" i="5"/>
  <c r="B262" i="5"/>
  <c r="AC261" i="5"/>
  <c r="AD261" i="5" s="1"/>
  <c r="AA261" i="5"/>
  <c r="W261" i="5"/>
  <c r="X261" i="5" s="1"/>
  <c r="U261" i="5"/>
  <c r="R261" i="5"/>
  <c r="O261" i="5"/>
  <c r="N261" i="5"/>
  <c r="L261" i="5"/>
  <c r="I261" i="5"/>
  <c r="H261" i="5"/>
  <c r="F261" i="5"/>
  <c r="C261" i="5"/>
  <c r="AD260" i="5"/>
  <c r="AC260" i="5"/>
  <c r="AA260" i="5"/>
  <c r="W260" i="5"/>
  <c r="X260" i="5" s="1"/>
  <c r="U260" i="5"/>
  <c r="R260" i="5"/>
  <c r="O260" i="5"/>
  <c r="N260" i="5"/>
  <c r="L260" i="5"/>
  <c r="H260" i="5"/>
  <c r="I260" i="5" s="1"/>
  <c r="F260" i="5"/>
  <c r="C260" i="5"/>
  <c r="AD259" i="5"/>
  <c r="AC259" i="5"/>
  <c r="AA259" i="5"/>
  <c r="X259" i="5"/>
  <c r="W259" i="5"/>
  <c r="U259" i="5"/>
  <c r="R259" i="5"/>
  <c r="N259" i="5"/>
  <c r="O259" i="5" s="1"/>
  <c r="L259" i="5"/>
  <c r="H259" i="5"/>
  <c r="I259" i="5" s="1"/>
  <c r="F259" i="5"/>
  <c r="C259" i="5"/>
  <c r="AD258" i="5"/>
  <c r="AC258" i="5"/>
  <c r="AA258" i="5"/>
  <c r="X258" i="5"/>
  <c r="W258" i="5"/>
  <c r="U258" i="5"/>
  <c r="R258" i="5"/>
  <c r="N258" i="5"/>
  <c r="O258" i="5" s="1"/>
  <c r="L258" i="5"/>
  <c r="H258" i="5"/>
  <c r="I258" i="5" s="1"/>
  <c r="F258" i="5"/>
  <c r="C258" i="5"/>
  <c r="AC257" i="5"/>
  <c r="AD257" i="5" s="1"/>
  <c r="AA257" i="5"/>
  <c r="W257" i="5"/>
  <c r="X257" i="5" s="1"/>
  <c r="U257" i="5"/>
  <c r="R257" i="5"/>
  <c r="O257" i="5"/>
  <c r="N257" i="5"/>
  <c r="L257" i="5"/>
  <c r="I257" i="5"/>
  <c r="H257" i="5"/>
  <c r="F257" i="5"/>
  <c r="C257" i="5"/>
  <c r="AC256" i="5"/>
  <c r="AD256" i="5" s="1"/>
  <c r="AA256" i="5"/>
  <c r="W256" i="5"/>
  <c r="X256" i="5" s="1"/>
  <c r="U256" i="5"/>
  <c r="R256" i="5"/>
  <c r="N256" i="5"/>
  <c r="O256" i="5" s="1"/>
  <c r="L256" i="5"/>
  <c r="H256" i="5"/>
  <c r="I256" i="5" s="1"/>
  <c r="F256" i="5"/>
  <c r="C256" i="5"/>
  <c r="AC255" i="5"/>
  <c r="AD255" i="5" s="1"/>
  <c r="AA255" i="5"/>
  <c r="X255" i="5"/>
  <c r="W255" i="5"/>
  <c r="U255" i="5"/>
  <c r="R255" i="5"/>
  <c r="N255" i="5"/>
  <c r="O255" i="5" s="1"/>
  <c r="L255" i="5"/>
  <c r="I255" i="5"/>
  <c r="H255" i="5"/>
  <c r="F255" i="5"/>
  <c r="C255" i="5"/>
  <c r="AD254" i="5"/>
  <c r="AC254" i="5"/>
  <c r="AA254" i="5"/>
  <c r="W254" i="5"/>
  <c r="X254" i="5" s="1"/>
  <c r="U254" i="5"/>
  <c r="R254" i="5"/>
  <c r="O254" i="5"/>
  <c r="N254" i="5"/>
  <c r="L254" i="5"/>
  <c r="I254" i="5"/>
  <c r="H254" i="5"/>
  <c r="F254" i="5"/>
  <c r="C254" i="5"/>
  <c r="AC253" i="5"/>
  <c r="AD253" i="5" s="1"/>
  <c r="AA253" i="5"/>
  <c r="W253" i="5"/>
  <c r="X253" i="5" s="1"/>
  <c r="U253" i="5"/>
  <c r="R253" i="5"/>
  <c r="O253" i="5"/>
  <c r="N253" i="5"/>
  <c r="L253" i="5"/>
  <c r="I253" i="5"/>
  <c r="H253" i="5"/>
  <c r="F253" i="5"/>
  <c r="C253" i="5"/>
  <c r="AD252" i="5"/>
  <c r="AC252" i="5"/>
  <c r="AA252" i="5"/>
  <c r="W252" i="5"/>
  <c r="X252" i="5" s="1"/>
  <c r="U252" i="5"/>
  <c r="R252" i="5"/>
  <c r="N252" i="5"/>
  <c r="O252" i="5" s="1"/>
  <c r="L252" i="5"/>
  <c r="H252" i="5"/>
  <c r="I252" i="5" s="1"/>
  <c r="F252" i="5"/>
  <c r="C252" i="5"/>
  <c r="AC251" i="5"/>
  <c r="AD251" i="5" s="1"/>
  <c r="AA251" i="5"/>
  <c r="X251" i="5"/>
  <c r="W251" i="5"/>
  <c r="U251" i="5"/>
  <c r="R251" i="5"/>
  <c r="N251" i="5"/>
  <c r="O251" i="5" s="1"/>
  <c r="L251" i="5"/>
  <c r="I251" i="5"/>
  <c r="H251" i="5"/>
  <c r="F251" i="5"/>
  <c r="C251" i="5"/>
  <c r="AD250" i="5"/>
  <c r="AC250" i="5"/>
  <c r="AA250" i="5"/>
  <c r="W250" i="5"/>
  <c r="X250" i="5" s="1"/>
  <c r="U250" i="5"/>
  <c r="R250" i="5"/>
  <c r="N250" i="5"/>
  <c r="O250" i="5" s="1"/>
  <c r="L250" i="5"/>
  <c r="H250" i="5"/>
  <c r="I250" i="5" s="1"/>
  <c r="F250" i="5"/>
  <c r="C250" i="5"/>
  <c r="AC249" i="5"/>
  <c r="AD249" i="5" s="1"/>
  <c r="AA249" i="5"/>
  <c r="W249" i="5"/>
  <c r="X249" i="5" s="1"/>
  <c r="U249" i="5"/>
  <c r="R249" i="5"/>
  <c r="O249" i="5"/>
  <c r="N249" i="5"/>
  <c r="L249" i="5"/>
  <c r="I249" i="5"/>
  <c r="H249" i="5"/>
  <c r="F249" i="5"/>
  <c r="C249" i="5"/>
  <c r="AC248" i="5"/>
  <c r="AD248" i="5" s="1"/>
  <c r="AA248" i="5"/>
  <c r="X248" i="5"/>
  <c r="W248" i="5"/>
  <c r="U248" i="5"/>
  <c r="R248" i="5"/>
  <c r="N248" i="5"/>
  <c r="O248" i="5" s="1"/>
  <c r="L248" i="5"/>
  <c r="H248" i="5"/>
  <c r="I248" i="5" s="1"/>
  <c r="F248" i="5"/>
  <c r="C248" i="5"/>
  <c r="AC247" i="5"/>
  <c r="AD247" i="5" s="1"/>
  <c r="AA247" i="5"/>
  <c r="X247" i="5"/>
  <c r="W247" i="5"/>
  <c r="U247" i="5"/>
  <c r="R247" i="5"/>
  <c r="N247" i="5"/>
  <c r="O247" i="5" s="1"/>
  <c r="L247" i="5"/>
  <c r="I247" i="5"/>
  <c r="H247" i="5"/>
  <c r="F247" i="5"/>
  <c r="C247" i="5"/>
  <c r="AD246" i="5"/>
  <c r="AC246" i="5"/>
  <c r="AA246" i="5"/>
  <c r="W246" i="5"/>
  <c r="X246" i="5" s="1"/>
  <c r="U246" i="5"/>
  <c r="R246" i="5"/>
  <c r="N246" i="5"/>
  <c r="O246" i="5" s="1"/>
  <c r="L246" i="5"/>
  <c r="I246" i="5"/>
  <c r="H246" i="5"/>
  <c r="F246" i="5"/>
  <c r="C246" i="5"/>
  <c r="AC245" i="5"/>
  <c r="AD245" i="5" s="1"/>
  <c r="AA245" i="5"/>
  <c r="W245" i="5"/>
  <c r="X245" i="5" s="1"/>
  <c r="U245" i="5"/>
  <c r="R245" i="5"/>
  <c r="O245" i="5"/>
  <c r="N245" i="5"/>
  <c r="L245" i="5"/>
  <c r="I245" i="5"/>
  <c r="H245" i="5"/>
  <c r="F245" i="5"/>
  <c r="C245" i="5"/>
  <c r="AD244" i="5"/>
  <c r="AC244" i="5"/>
  <c r="AA244" i="5"/>
  <c r="W244" i="5"/>
  <c r="X244" i="5" s="1"/>
  <c r="U244" i="5"/>
  <c r="R244" i="5"/>
  <c r="O244" i="5"/>
  <c r="N244" i="5"/>
  <c r="L244" i="5"/>
  <c r="H244" i="5"/>
  <c r="I244" i="5" s="1"/>
  <c r="F244" i="5"/>
  <c r="C244" i="5"/>
  <c r="AC243" i="5"/>
  <c r="AD243" i="5" s="1"/>
  <c r="AA243" i="5"/>
  <c r="X243" i="5"/>
  <c r="W243" i="5"/>
  <c r="U243" i="5"/>
  <c r="R243" i="5"/>
  <c r="N243" i="5"/>
  <c r="O243" i="5" s="1"/>
  <c r="L243" i="5"/>
  <c r="H243" i="5"/>
  <c r="I243" i="5" s="1"/>
  <c r="F243" i="5"/>
  <c r="C243" i="5"/>
  <c r="AD242" i="5"/>
  <c r="AC242" i="5"/>
  <c r="AA242" i="5"/>
  <c r="W242" i="5"/>
  <c r="X242" i="5" s="1"/>
  <c r="U242" i="5"/>
  <c r="R242" i="5"/>
  <c r="N242" i="5"/>
  <c r="O242" i="5" s="1"/>
  <c r="L242" i="5"/>
  <c r="H242" i="5"/>
  <c r="I242" i="5" s="1"/>
  <c r="F242" i="5"/>
  <c r="C242" i="5"/>
  <c r="AC241" i="5"/>
  <c r="AD241" i="5" s="1"/>
  <c r="AA241" i="5"/>
  <c r="W241" i="5"/>
  <c r="X241" i="5" s="1"/>
  <c r="U241" i="5"/>
  <c r="R241" i="5"/>
  <c r="O241" i="5"/>
  <c r="N241" i="5"/>
  <c r="L241" i="5"/>
  <c r="I241" i="5"/>
  <c r="H241" i="5"/>
  <c r="F241" i="5"/>
  <c r="C241" i="5"/>
  <c r="AC240" i="5"/>
  <c r="AD240" i="5" s="1"/>
  <c r="AA240" i="5"/>
  <c r="W240" i="5"/>
  <c r="X240" i="5" s="1"/>
  <c r="U240" i="5"/>
  <c r="R240" i="5"/>
  <c r="N240" i="5"/>
  <c r="O240" i="5" s="1"/>
  <c r="L240" i="5"/>
  <c r="H240" i="5"/>
  <c r="I240" i="5" s="1"/>
  <c r="F240" i="5"/>
  <c r="C240" i="5"/>
  <c r="AC238" i="5"/>
  <c r="AD238" i="5" s="1"/>
  <c r="AA238" i="5"/>
  <c r="X238" i="5"/>
  <c r="W238" i="5"/>
  <c r="U238" i="5"/>
  <c r="R238" i="5"/>
  <c r="N238" i="5"/>
  <c r="O238" i="5" s="1"/>
  <c r="L238" i="5"/>
  <c r="I238" i="5"/>
  <c r="H238" i="5"/>
  <c r="F238" i="5"/>
  <c r="C238" i="5"/>
  <c r="Z236" i="5"/>
  <c r="AA236" i="5" s="1"/>
  <c r="W236" i="5"/>
  <c r="X236" i="5" s="1"/>
  <c r="T236" i="5"/>
  <c r="U236" i="5" s="1"/>
  <c r="R236" i="5"/>
  <c r="Q236" i="5"/>
  <c r="N236" i="5"/>
  <c r="O236" i="5" s="1"/>
  <c r="L236" i="5"/>
  <c r="K236" i="5"/>
  <c r="F236" i="5"/>
  <c r="E236" i="5"/>
  <c r="C236" i="5"/>
  <c r="B236" i="5"/>
  <c r="H236" i="5" s="1"/>
  <c r="I236" i="5" s="1"/>
  <c r="AC235" i="5"/>
  <c r="AD235" i="5" s="1"/>
  <c r="AA235" i="5"/>
  <c r="X235" i="5"/>
  <c r="W235" i="5"/>
  <c r="U235" i="5"/>
  <c r="R235" i="5"/>
  <c r="N235" i="5"/>
  <c r="O235" i="5" s="1"/>
  <c r="L235" i="5"/>
  <c r="H235" i="5"/>
  <c r="I235" i="5" s="1"/>
  <c r="F235" i="5"/>
  <c r="C235" i="5"/>
  <c r="AC234" i="5"/>
  <c r="AD234" i="5" s="1"/>
  <c r="AA234" i="5"/>
  <c r="X234" i="5"/>
  <c r="W234" i="5"/>
  <c r="U234" i="5"/>
  <c r="R234" i="5"/>
  <c r="N234" i="5"/>
  <c r="O234" i="5" s="1"/>
  <c r="L234" i="5"/>
  <c r="I234" i="5"/>
  <c r="H234" i="5"/>
  <c r="F234" i="5"/>
  <c r="C234" i="5"/>
  <c r="AD233" i="5"/>
  <c r="AC233" i="5"/>
  <c r="AA233" i="5"/>
  <c r="W233" i="5"/>
  <c r="X233" i="5" s="1"/>
  <c r="U233" i="5"/>
  <c r="R233" i="5"/>
  <c r="O233" i="5"/>
  <c r="N233" i="5"/>
  <c r="L233" i="5"/>
  <c r="H233" i="5"/>
  <c r="I233" i="5" s="1"/>
  <c r="F233" i="5"/>
  <c r="C233" i="5"/>
  <c r="AC232" i="5"/>
  <c r="AD232" i="5" s="1"/>
  <c r="AA232" i="5"/>
  <c r="W232" i="5"/>
  <c r="X232" i="5" s="1"/>
  <c r="U232" i="5"/>
  <c r="R232" i="5"/>
  <c r="O232" i="5"/>
  <c r="N232" i="5"/>
  <c r="L232" i="5"/>
  <c r="I232" i="5"/>
  <c r="H232" i="5"/>
  <c r="F232" i="5"/>
  <c r="C232" i="5"/>
  <c r="AC231" i="5"/>
  <c r="AD231" i="5" s="1"/>
  <c r="AA231" i="5"/>
  <c r="W231" i="5"/>
  <c r="X231" i="5" s="1"/>
  <c r="U231" i="5"/>
  <c r="R231" i="5"/>
  <c r="O231" i="5"/>
  <c r="N231" i="5"/>
  <c r="L231" i="5"/>
  <c r="H231" i="5"/>
  <c r="I231" i="5" s="1"/>
  <c r="F231" i="5"/>
  <c r="C231" i="5"/>
  <c r="AD230" i="5"/>
  <c r="AC230" i="5"/>
  <c r="AA230" i="5"/>
  <c r="X230" i="5"/>
  <c r="W230" i="5"/>
  <c r="U230" i="5"/>
  <c r="R230" i="5"/>
  <c r="N230" i="5"/>
  <c r="O230" i="5" s="1"/>
  <c r="L230" i="5"/>
  <c r="H230" i="5"/>
  <c r="I230" i="5" s="1"/>
  <c r="F230" i="5"/>
  <c r="C230" i="5"/>
  <c r="AD229" i="5"/>
  <c r="AC229" i="5"/>
  <c r="AA229" i="5"/>
  <c r="X229" i="5"/>
  <c r="W229" i="5"/>
  <c r="U229" i="5"/>
  <c r="R229" i="5"/>
  <c r="N229" i="5"/>
  <c r="O229" i="5" s="1"/>
  <c r="L229" i="5"/>
  <c r="I229" i="5"/>
  <c r="H229" i="5"/>
  <c r="F229" i="5"/>
  <c r="C229" i="5"/>
  <c r="AA227" i="5"/>
  <c r="Z227" i="5"/>
  <c r="W227" i="5"/>
  <c r="X227" i="5" s="1"/>
  <c r="U227" i="5"/>
  <c r="T227" i="5"/>
  <c r="Q227" i="5"/>
  <c r="K227" i="5"/>
  <c r="L227" i="5" s="1"/>
  <c r="E227" i="5"/>
  <c r="C227" i="5"/>
  <c r="B227" i="5"/>
  <c r="N227" i="5" s="1"/>
  <c r="O227" i="5" s="1"/>
  <c r="AC226" i="5"/>
  <c r="AD226" i="5" s="1"/>
  <c r="AA226" i="5"/>
  <c r="X226" i="5"/>
  <c r="W226" i="5"/>
  <c r="U226" i="5"/>
  <c r="R226" i="5"/>
  <c r="N226" i="5"/>
  <c r="O226" i="5" s="1"/>
  <c r="L226" i="5"/>
  <c r="H226" i="5"/>
  <c r="I226" i="5" s="1"/>
  <c r="F226" i="5"/>
  <c r="C226" i="5"/>
  <c r="AD225" i="5"/>
  <c r="AC225" i="5"/>
  <c r="AA225" i="5"/>
  <c r="W225" i="5"/>
  <c r="X225" i="5" s="1"/>
  <c r="U225" i="5"/>
  <c r="R225" i="5"/>
  <c r="N225" i="5"/>
  <c r="O225" i="5" s="1"/>
  <c r="L225" i="5"/>
  <c r="I225" i="5"/>
  <c r="H225" i="5"/>
  <c r="F225" i="5"/>
  <c r="C225" i="5"/>
  <c r="AC224" i="5"/>
  <c r="AD224" i="5" s="1"/>
  <c r="AA224" i="5"/>
  <c r="W224" i="5"/>
  <c r="X224" i="5" s="1"/>
  <c r="U224" i="5"/>
  <c r="R224" i="5"/>
  <c r="O224" i="5"/>
  <c r="N224" i="5"/>
  <c r="L224" i="5"/>
  <c r="I224" i="5"/>
  <c r="H224" i="5"/>
  <c r="F224" i="5"/>
  <c r="C224" i="5"/>
  <c r="AD223" i="5"/>
  <c r="AC223" i="5"/>
  <c r="AA223" i="5"/>
  <c r="X223" i="5"/>
  <c r="W223" i="5"/>
  <c r="U223" i="5"/>
  <c r="R223" i="5"/>
  <c r="N223" i="5"/>
  <c r="O223" i="5" s="1"/>
  <c r="L223" i="5"/>
  <c r="H223" i="5"/>
  <c r="I223" i="5" s="1"/>
  <c r="F223" i="5"/>
  <c r="C223" i="5"/>
  <c r="AC222" i="5"/>
  <c r="AD222" i="5" s="1"/>
  <c r="AA222" i="5"/>
  <c r="X222" i="5"/>
  <c r="W222" i="5"/>
  <c r="U222" i="5"/>
  <c r="R222" i="5"/>
  <c r="N222" i="5"/>
  <c r="O222" i="5" s="1"/>
  <c r="L222" i="5"/>
  <c r="I222" i="5"/>
  <c r="H222" i="5"/>
  <c r="F222" i="5"/>
  <c r="C222" i="5"/>
  <c r="AD221" i="5"/>
  <c r="AC221" i="5"/>
  <c r="AA221" i="5"/>
  <c r="W221" i="5"/>
  <c r="X221" i="5" s="1"/>
  <c r="U221" i="5"/>
  <c r="R221" i="5"/>
  <c r="N221" i="5"/>
  <c r="O221" i="5" s="1"/>
  <c r="L221" i="5"/>
  <c r="I221" i="5"/>
  <c r="H221" i="5"/>
  <c r="F221" i="5"/>
  <c r="C221" i="5"/>
  <c r="AC220" i="5"/>
  <c r="AD220" i="5" s="1"/>
  <c r="AA220" i="5"/>
  <c r="W220" i="5"/>
  <c r="X220" i="5" s="1"/>
  <c r="U220" i="5"/>
  <c r="R220" i="5"/>
  <c r="O220" i="5"/>
  <c r="N220" i="5"/>
  <c r="L220" i="5"/>
  <c r="I220" i="5"/>
  <c r="H220" i="5"/>
  <c r="F220" i="5"/>
  <c r="C220" i="5"/>
  <c r="AD219" i="5"/>
  <c r="AC219" i="5"/>
  <c r="AA219" i="5"/>
  <c r="W219" i="5"/>
  <c r="X219" i="5" s="1"/>
  <c r="U219" i="5"/>
  <c r="R219" i="5"/>
  <c r="N219" i="5"/>
  <c r="O219" i="5" s="1"/>
  <c r="L219" i="5"/>
  <c r="H219" i="5"/>
  <c r="I219" i="5" s="1"/>
  <c r="F219" i="5"/>
  <c r="C219" i="5"/>
  <c r="AA218" i="5"/>
  <c r="Z218" i="5"/>
  <c r="AC218" i="5" s="1"/>
  <c r="AD218" i="5" s="1"/>
  <c r="W218" i="5"/>
  <c r="X218" i="5" s="1"/>
  <c r="U218" i="5"/>
  <c r="T218" i="5"/>
  <c r="R218" i="5"/>
  <c r="Q218" i="5"/>
  <c r="K218" i="5"/>
  <c r="F218" i="5"/>
  <c r="E218" i="5"/>
  <c r="C218" i="5"/>
  <c r="B218" i="5"/>
  <c r="AC217" i="5"/>
  <c r="AD217" i="5" s="1"/>
  <c r="AA217" i="5"/>
  <c r="W217" i="5"/>
  <c r="X217" i="5" s="1"/>
  <c r="U217" i="5"/>
  <c r="R217" i="5"/>
  <c r="O217" i="5"/>
  <c r="N217" i="5"/>
  <c r="L217" i="5"/>
  <c r="I217" i="5"/>
  <c r="H217" i="5"/>
  <c r="F217" i="5"/>
  <c r="C217" i="5"/>
  <c r="AD216" i="5"/>
  <c r="AC216" i="5"/>
  <c r="AA216" i="5"/>
  <c r="W216" i="5"/>
  <c r="X216" i="5" s="1"/>
  <c r="U216" i="5"/>
  <c r="R216" i="5"/>
  <c r="O216" i="5"/>
  <c r="N216" i="5"/>
  <c r="L216" i="5"/>
  <c r="H216" i="5"/>
  <c r="I216" i="5" s="1"/>
  <c r="F216" i="5"/>
  <c r="C216" i="5"/>
  <c r="AC215" i="5"/>
  <c r="AD215" i="5" s="1"/>
  <c r="AA215" i="5"/>
  <c r="X215" i="5"/>
  <c r="W215" i="5"/>
  <c r="U215" i="5"/>
  <c r="R215" i="5"/>
  <c r="N215" i="5"/>
  <c r="O215" i="5" s="1"/>
  <c r="L215" i="5"/>
  <c r="H215" i="5"/>
  <c r="I215" i="5" s="1"/>
  <c r="F215" i="5"/>
  <c r="C215" i="5"/>
  <c r="AD214" i="5"/>
  <c r="AC214" i="5"/>
  <c r="AA214" i="5"/>
  <c r="W214" i="5"/>
  <c r="X214" i="5" s="1"/>
  <c r="U214" i="5"/>
  <c r="R214" i="5"/>
  <c r="N214" i="5"/>
  <c r="O214" i="5" s="1"/>
  <c r="L214" i="5"/>
  <c r="H214" i="5"/>
  <c r="I214" i="5" s="1"/>
  <c r="F214" i="5"/>
  <c r="C214" i="5"/>
  <c r="AC213" i="5"/>
  <c r="AD213" i="5" s="1"/>
  <c r="AA213" i="5"/>
  <c r="W213" i="5"/>
  <c r="X213" i="5" s="1"/>
  <c r="U213" i="5"/>
  <c r="R213" i="5"/>
  <c r="O213" i="5"/>
  <c r="N213" i="5"/>
  <c r="L213" i="5"/>
  <c r="I213" i="5"/>
  <c r="H213" i="5"/>
  <c r="F213" i="5"/>
  <c r="C213" i="5"/>
  <c r="AC211" i="5"/>
  <c r="AD211" i="5" s="1"/>
  <c r="AA211" i="5"/>
  <c r="X211" i="5"/>
  <c r="W211" i="5"/>
  <c r="U211" i="5"/>
  <c r="R211" i="5"/>
  <c r="N211" i="5"/>
  <c r="O211" i="5" s="1"/>
  <c r="L211" i="5"/>
  <c r="H211" i="5"/>
  <c r="I211" i="5" s="1"/>
  <c r="F211" i="5"/>
  <c r="C211" i="5"/>
  <c r="AC209" i="5"/>
  <c r="AD209" i="5" s="1"/>
  <c r="Z209" i="5"/>
  <c r="AA209" i="5" s="1"/>
  <c r="W209" i="5"/>
  <c r="X209" i="5" s="1"/>
  <c r="U209" i="5"/>
  <c r="T209" i="5"/>
  <c r="R209" i="5"/>
  <c r="Q209" i="5"/>
  <c r="K209" i="5"/>
  <c r="L209" i="5" s="1"/>
  <c r="E209" i="5"/>
  <c r="F209" i="5" s="1"/>
  <c r="C209" i="5"/>
  <c r="B209" i="5"/>
  <c r="AC208" i="5"/>
  <c r="AD208" i="5" s="1"/>
  <c r="AA208" i="5"/>
  <c r="W208" i="5"/>
  <c r="X208" i="5" s="1"/>
  <c r="U208" i="5"/>
  <c r="R208" i="5"/>
  <c r="O208" i="5"/>
  <c r="N208" i="5"/>
  <c r="L208" i="5"/>
  <c r="I208" i="5"/>
  <c r="H208" i="5"/>
  <c r="F208" i="5"/>
  <c r="C208" i="5"/>
  <c r="AC207" i="5"/>
  <c r="AD207" i="5" s="1"/>
  <c r="AA207" i="5"/>
  <c r="W207" i="5"/>
  <c r="X207" i="5" s="1"/>
  <c r="U207" i="5"/>
  <c r="R207" i="5"/>
  <c r="N207" i="5"/>
  <c r="O207" i="5" s="1"/>
  <c r="L207" i="5"/>
  <c r="H207" i="5"/>
  <c r="I207" i="5" s="1"/>
  <c r="F207" i="5"/>
  <c r="C207" i="5"/>
  <c r="AC206" i="5"/>
  <c r="AD206" i="5" s="1"/>
  <c r="AA206" i="5"/>
  <c r="X206" i="5"/>
  <c r="W206" i="5"/>
  <c r="U206" i="5"/>
  <c r="R206" i="5"/>
  <c r="N206" i="5"/>
  <c r="O206" i="5" s="1"/>
  <c r="L206" i="5"/>
  <c r="H206" i="5"/>
  <c r="I206" i="5" s="1"/>
  <c r="F206" i="5"/>
  <c r="C206" i="5"/>
  <c r="AD205" i="5"/>
  <c r="AC205" i="5"/>
  <c r="AA205" i="5"/>
  <c r="W205" i="5"/>
  <c r="X205" i="5" s="1"/>
  <c r="U205" i="5"/>
  <c r="R205" i="5"/>
  <c r="O205" i="5"/>
  <c r="N205" i="5"/>
  <c r="L205" i="5"/>
  <c r="I205" i="5"/>
  <c r="H205" i="5"/>
  <c r="F205" i="5"/>
  <c r="C205" i="5"/>
  <c r="AC204" i="5"/>
  <c r="AD204" i="5" s="1"/>
  <c r="AA204" i="5"/>
  <c r="W204" i="5"/>
  <c r="X204" i="5" s="1"/>
  <c r="U204" i="5"/>
  <c r="R204" i="5"/>
  <c r="O204" i="5"/>
  <c r="N204" i="5"/>
  <c r="L204" i="5"/>
  <c r="I204" i="5"/>
  <c r="H204" i="5"/>
  <c r="F204" i="5"/>
  <c r="C204" i="5"/>
  <c r="AD203" i="5"/>
  <c r="AC203" i="5"/>
  <c r="AA203" i="5"/>
  <c r="X203" i="5"/>
  <c r="W203" i="5"/>
  <c r="U203" i="5"/>
  <c r="R203" i="5"/>
  <c r="N203" i="5"/>
  <c r="O203" i="5" s="1"/>
  <c r="L203" i="5"/>
  <c r="H203" i="5"/>
  <c r="I203" i="5" s="1"/>
  <c r="F203" i="5"/>
  <c r="C203" i="5"/>
  <c r="AC202" i="5"/>
  <c r="AD202" i="5" s="1"/>
  <c r="AA202" i="5"/>
  <c r="X202" i="5"/>
  <c r="W202" i="5"/>
  <c r="U202" i="5"/>
  <c r="R202" i="5"/>
  <c r="N202" i="5"/>
  <c r="O202" i="5" s="1"/>
  <c r="L202" i="5"/>
  <c r="I202" i="5"/>
  <c r="H202" i="5"/>
  <c r="F202" i="5"/>
  <c r="C202" i="5"/>
  <c r="AD201" i="5"/>
  <c r="AC201" i="5"/>
  <c r="AA201" i="5"/>
  <c r="W201" i="5"/>
  <c r="X201" i="5" s="1"/>
  <c r="U201" i="5"/>
  <c r="R201" i="5"/>
  <c r="N201" i="5"/>
  <c r="O201" i="5" s="1"/>
  <c r="L201" i="5"/>
  <c r="H201" i="5"/>
  <c r="I201" i="5" s="1"/>
  <c r="F201" i="5"/>
  <c r="C201" i="5"/>
  <c r="E198" i="5"/>
  <c r="AA197" i="5"/>
  <c r="Z197" i="5"/>
  <c r="U197" i="5"/>
  <c r="T197" i="5"/>
  <c r="R197" i="5"/>
  <c r="Q197" i="5"/>
  <c r="K197" i="5"/>
  <c r="L197" i="5" s="1"/>
  <c r="F197" i="5"/>
  <c r="E197" i="5"/>
  <c r="B197" i="5"/>
  <c r="AC196" i="5"/>
  <c r="AD196" i="5" s="1"/>
  <c r="AA196" i="5"/>
  <c r="Z196" i="5"/>
  <c r="W196" i="5"/>
  <c r="X196" i="5" s="1"/>
  <c r="U196" i="5"/>
  <c r="T196" i="5"/>
  <c r="Q196" i="5"/>
  <c r="R196" i="5" s="1"/>
  <c r="K196" i="5"/>
  <c r="L196" i="5" s="1"/>
  <c r="I196" i="5"/>
  <c r="H196" i="5"/>
  <c r="F196" i="5"/>
  <c r="E196" i="5"/>
  <c r="C196" i="5"/>
  <c r="B196" i="5"/>
  <c r="AC195" i="5"/>
  <c r="AD195" i="5" s="1"/>
  <c r="AA195" i="5"/>
  <c r="X195" i="5"/>
  <c r="W195" i="5"/>
  <c r="U195" i="5"/>
  <c r="R195" i="5"/>
  <c r="N195" i="5"/>
  <c r="O195" i="5" s="1"/>
  <c r="L195" i="5"/>
  <c r="H195" i="5"/>
  <c r="I195" i="5" s="1"/>
  <c r="F195" i="5"/>
  <c r="C195" i="5"/>
  <c r="AD194" i="5"/>
  <c r="AC194" i="5"/>
  <c r="AA194" i="5"/>
  <c r="W194" i="5"/>
  <c r="X194" i="5" s="1"/>
  <c r="U194" i="5"/>
  <c r="R194" i="5"/>
  <c r="O194" i="5"/>
  <c r="N194" i="5"/>
  <c r="L194" i="5"/>
  <c r="H194" i="5"/>
  <c r="I194" i="5" s="1"/>
  <c r="F194" i="5"/>
  <c r="C194" i="5"/>
  <c r="AC193" i="5"/>
  <c r="AD193" i="5" s="1"/>
  <c r="AA193" i="5"/>
  <c r="Z193" i="5"/>
  <c r="T193" i="5"/>
  <c r="U193" i="5" s="1"/>
  <c r="R193" i="5"/>
  <c r="Q193" i="5"/>
  <c r="L193" i="5"/>
  <c r="K193" i="5"/>
  <c r="H193" i="5"/>
  <c r="I193" i="5" s="1"/>
  <c r="E193" i="5"/>
  <c r="F193" i="5" s="1"/>
  <c r="C193" i="5"/>
  <c r="B193" i="5"/>
  <c r="N193" i="5" s="1"/>
  <c r="O193" i="5" s="1"/>
  <c r="AD192" i="5"/>
  <c r="AC192" i="5"/>
  <c r="AA192" i="5"/>
  <c r="X192" i="5"/>
  <c r="W192" i="5"/>
  <c r="U192" i="5"/>
  <c r="R192" i="5"/>
  <c r="N192" i="5"/>
  <c r="O192" i="5" s="1"/>
  <c r="L192" i="5"/>
  <c r="H192" i="5"/>
  <c r="I192" i="5" s="1"/>
  <c r="F192" i="5"/>
  <c r="C192" i="5"/>
  <c r="AD191" i="5"/>
  <c r="AC191" i="5"/>
  <c r="AA191" i="5"/>
  <c r="X191" i="5"/>
  <c r="W191" i="5"/>
  <c r="U191" i="5"/>
  <c r="R191" i="5"/>
  <c r="O191" i="5"/>
  <c r="N191" i="5"/>
  <c r="L191" i="5"/>
  <c r="H191" i="5"/>
  <c r="I191" i="5" s="1"/>
  <c r="F191" i="5"/>
  <c r="C191" i="5"/>
  <c r="AC190" i="5"/>
  <c r="AD190" i="5" s="1"/>
  <c r="AA190" i="5"/>
  <c r="W190" i="5"/>
  <c r="X190" i="5" s="1"/>
  <c r="U190" i="5"/>
  <c r="R190" i="5"/>
  <c r="N190" i="5"/>
  <c r="O190" i="5" s="1"/>
  <c r="L190" i="5"/>
  <c r="I190" i="5"/>
  <c r="H190" i="5"/>
  <c r="F190" i="5"/>
  <c r="C190" i="5"/>
  <c r="AD189" i="5"/>
  <c r="AC189" i="5"/>
  <c r="AA189" i="5"/>
  <c r="W189" i="5"/>
  <c r="X189" i="5" s="1"/>
  <c r="U189" i="5"/>
  <c r="R189" i="5"/>
  <c r="N189" i="5"/>
  <c r="O189" i="5" s="1"/>
  <c r="L189" i="5"/>
  <c r="H189" i="5"/>
  <c r="I189" i="5" s="1"/>
  <c r="F189" i="5"/>
  <c r="C189" i="5"/>
  <c r="AD188" i="5"/>
  <c r="AC188" i="5"/>
  <c r="AA188" i="5"/>
  <c r="W188" i="5"/>
  <c r="X188" i="5" s="1"/>
  <c r="U188" i="5"/>
  <c r="R188" i="5"/>
  <c r="N188" i="5"/>
  <c r="O188" i="5" s="1"/>
  <c r="L188" i="5"/>
  <c r="H188" i="5"/>
  <c r="I188" i="5" s="1"/>
  <c r="F188" i="5"/>
  <c r="C188" i="5"/>
  <c r="AD187" i="5"/>
  <c r="AC187" i="5"/>
  <c r="AA187" i="5"/>
  <c r="X187" i="5"/>
  <c r="W187" i="5"/>
  <c r="U187" i="5"/>
  <c r="R187" i="5"/>
  <c r="N187" i="5"/>
  <c r="O187" i="5" s="1"/>
  <c r="L187" i="5"/>
  <c r="H187" i="5"/>
  <c r="I187" i="5" s="1"/>
  <c r="F187" i="5"/>
  <c r="C187" i="5"/>
  <c r="AC186" i="5"/>
  <c r="AD186" i="5" s="1"/>
  <c r="AA186" i="5"/>
  <c r="X186" i="5"/>
  <c r="W186" i="5"/>
  <c r="U186" i="5"/>
  <c r="R186" i="5"/>
  <c r="O186" i="5"/>
  <c r="N186" i="5"/>
  <c r="L186" i="5"/>
  <c r="H186" i="5"/>
  <c r="I186" i="5" s="1"/>
  <c r="F186" i="5"/>
  <c r="C186" i="5"/>
  <c r="AC184" i="5"/>
  <c r="AD184" i="5" s="1"/>
  <c r="AA184" i="5"/>
  <c r="W184" i="5"/>
  <c r="X184" i="5" s="1"/>
  <c r="U184" i="5"/>
  <c r="R184" i="5"/>
  <c r="O184" i="5"/>
  <c r="N184" i="5"/>
  <c r="L184" i="5"/>
  <c r="H184" i="5"/>
  <c r="I184" i="5" s="1"/>
  <c r="F184" i="5"/>
  <c r="C184" i="5"/>
  <c r="AD183" i="5"/>
  <c r="AC183" i="5"/>
  <c r="AA183" i="5"/>
  <c r="X183" i="5"/>
  <c r="W183" i="5"/>
  <c r="U183" i="5"/>
  <c r="R183" i="5"/>
  <c r="N183" i="5"/>
  <c r="O183" i="5" s="1"/>
  <c r="L183" i="5"/>
  <c r="H183" i="5"/>
  <c r="I183" i="5" s="1"/>
  <c r="F183" i="5"/>
  <c r="C183" i="5"/>
  <c r="AC182" i="5"/>
  <c r="AD182" i="5" s="1"/>
  <c r="Z182" i="5"/>
  <c r="AA182" i="5" s="1"/>
  <c r="W182" i="5"/>
  <c r="X182" i="5" s="1"/>
  <c r="T182" i="5"/>
  <c r="U182" i="5" s="1"/>
  <c r="Q182" i="5"/>
  <c r="R182" i="5" s="1"/>
  <c r="N182" i="5"/>
  <c r="O182" i="5" s="1"/>
  <c r="K182" i="5"/>
  <c r="L182" i="5" s="1"/>
  <c r="F182" i="5"/>
  <c r="E182" i="5"/>
  <c r="C182" i="5"/>
  <c r="B182" i="5"/>
  <c r="AC181" i="5"/>
  <c r="AD181" i="5" s="1"/>
  <c r="AA181" i="5"/>
  <c r="W181" i="5"/>
  <c r="X181" i="5" s="1"/>
  <c r="U181" i="5"/>
  <c r="R181" i="5"/>
  <c r="O181" i="5"/>
  <c r="N181" i="5"/>
  <c r="L181" i="5"/>
  <c r="H181" i="5"/>
  <c r="I181" i="5" s="1"/>
  <c r="F181" i="5"/>
  <c r="C181" i="5"/>
  <c r="AC180" i="5"/>
  <c r="AD180" i="5" s="1"/>
  <c r="AA180" i="5"/>
  <c r="X180" i="5"/>
  <c r="W180" i="5"/>
  <c r="U180" i="5"/>
  <c r="R180" i="5"/>
  <c r="O180" i="5"/>
  <c r="N180" i="5"/>
  <c r="L180" i="5"/>
  <c r="H180" i="5"/>
  <c r="I180" i="5" s="1"/>
  <c r="F180" i="5"/>
  <c r="C180" i="5"/>
  <c r="AD179" i="5"/>
  <c r="AC179" i="5"/>
  <c r="AA179" i="5"/>
  <c r="X179" i="5"/>
  <c r="W179" i="5"/>
  <c r="U179" i="5"/>
  <c r="R179" i="5"/>
  <c r="N179" i="5"/>
  <c r="O179" i="5" s="1"/>
  <c r="L179" i="5"/>
  <c r="H179" i="5"/>
  <c r="I179" i="5" s="1"/>
  <c r="F179" i="5"/>
  <c r="C179" i="5"/>
  <c r="AC178" i="5"/>
  <c r="AD178" i="5" s="1"/>
  <c r="AA178" i="5"/>
  <c r="W178" i="5"/>
  <c r="X178" i="5" s="1"/>
  <c r="U178" i="5"/>
  <c r="R178" i="5"/>
  <c r="O178" i="5"/>
  <c r="N178" i="5"/>
  <c r="L178" i="5"/>
  <c r="I178" i="5"/>
  <c r="H178" i="5"/>
  <c r="F178" i="5"/>
  <c r="C178" i="5"/>
  <c r="AC177" i="5"/>
  <c r="AD177" i="5" s="1"/>
  <c r="AA177" i="5"/>
  <c r="W177" i="5"/>
  <c r="X177" i="5" s="1"/>
  <c r="U177" i="5"/>
  <c r="R177" i="5"/>
  <c r="O177" i="5"/>
  <c r="N177" i="5"/>
  <c r="L177" i="5"/>
  <c r="H177" i="5"/>
  <c r="I177" i="5" s="1"/>
  <c r="F177" i="5"/>
  <c r="C177" i="5"/>
  <c r="AC175" i="5"/>
  <c r="AD175" i="5" s="1"/>
  <c r="AA175" i="5"/>
  <c r="X175" i="5"/>
  <c r="W175" i="5"/>
  <c r="U175" i="5"/>
  <c r="R175" i="5"/>
  <c r="N175" i="5"/>
  <c r="O175" i="5" s="1"/>
  <c r="L175" i="5"/>
  <c r="H175" i="5"/>
  <c r="I175" i="5" s="1"/>
  <c r="F175" i="5"/>
  <c r="C175" i="5"/>
  <c r="Z172" i="5"/>
  <c r="Z198" i="5" s="1"/>
  <c r="F172" i="5"/>
  <c r="E172" i="5"/>
  <c r="Z171" i="5"/>
  <c r="AA171" i="5" s="1"/>
  <c r="T171" i="5"/>
  <c r="U171" i="5" s="1"/>
  <c r="Q171" i="5"/>
  <c r="K171" i="5"/>
  <c r="L171" i="5" s="1"/>
  <c r="H171" i="5"/>
  <c r="I171" i="5" s="1"/>
  <c r="E171" i="5"/>
  <c r="F171" i="5" s="1"/>
  <c r="B171" i="5"/>
  <c r="C171" i="5" s="1"/>
  <c r="Z170" i="5"/>
  <c r="AA170" i="5" s="1"/>
  <c r="T170" i="5"/>
  <c r="U170" i="5" s="1"/>
  <c r="Q170" i="5"/>
  <c r="R170" i="5" s="1"/>
  <c r="N170" i="5"/>
  <c r="O170" i="5" s="1"/>
  <c r="K170" i="5"/>
  <c r="L170" i="5" s="1"/>
  <c r="E170" i="5"/>
  <c r="F170" i="5" s="1"/>
  <c r="C170" i="5"/>
  <c r="B170" i="5"/>
  <c r="AC169" i="5"/>
  <c r="AD169" i="5" s="1"/>
  <c r="AA169" i="5"/>
  <c r="W169" i="5"/>
  <c r="X169" i="5" s="1"/>
  <c r="U169" i="5"/>
  <c r="R169" i="5"/>
  <c r="O169" i="5"/>
  <c r="N169" i="5"/>
  <c r="L169" i="5"/>
  <c r="H169" i="5"/>
  <c r="I169" i="5" s="1"/>
  <c r="F169" i="5"/>
  <c r="C169" i="5"/>
  <c r="AC168" i="5"/>
  <c r="AD168" i="5" s="1"/>
  <c r="AA168" i="5"/>
  <c r="X168" i="5"/>
  <c r="W168" i="5"/>
  <c r="U168" i="5"/>
  <c r="R168" i="5"/>
  <c r="O168" i="5"/>
  <c r="N168" i="5"/>
  <c r="L168" i="5"/>
  <c r="H168" i="5"/>
  <c r="I168" i="5" s="1"/>
  <c r="F168" i="5"/>
  <c r="C168" i="5"/>
  <c r="AC167" i="5"/>
  <c r="AD167" i="5" s="1"/>
  <c r="AA167" i="5"/>
  <c r="X167" i="5"/>
  <c r="W167" i="5"/>
  <c r="U167" i="5"/>
  <c r="R167" i="5"/>
  <c r="N167" i="5"/>
  <c r="O167" i="5" s="1"/>
  <c r="L167" i="5"/>
  <c r="I167" i="5"/>
  <c r="H167" i="5"/>
  <c r="F167" i="5"/>
  <c r="C167" i="5"/>
  <c r="Z166" i="5"/>
  <c r="AA166" i="5" s="1"/>
  <c r="T166" i="5"/>
  <c r="U166" i="5" s="1"/>
  <c r="Q166" i="5"/>
  <c r="R166" i="5" s="1"/>
  <c r="N166" i="5"/>
  <c r="O166" i="5" s="1"/>
  <c r="L166" i="5"/>
  <c r="K166" i="5"/>
  <c r="E166" i="5"/>
  <c r="F166" i="5" s="1"/>
  <c r="C166" i="5"/>
  <c r="B166" i="5"/>
  <c r="H166" i="5" s="1"/>
  <c r="I166" i="5" s="1"/>
  <c r="AC165" i="5"/>
  <c r="AD165" i="5" s="1"/>
  <c r="AA165" i="5"/>
  <c r="X165" i="5"/>
  <c r="W165" i="5"/>
  <c r="U165" i="5"/>
  <c r="R165" i="5"/>
  <c r="O165" i="5"/>
  <c r="N165" i="5"/>
  <c r="L165" i="5"/>
  <c r="H165" i="5"/>
  <c r="I165" i="5" s="1"/>
  <c r="F165" i="5"/>
  <c r="C165" i="5"/>
  <c r="AC164" i="5"/>
  <c r="AD164" i="5" s="1"/>
  <c r="AA164" i="5"/>
  <c r="X164" i="5"/>
  <c r="W164" i="5"/>
  <c r="U164" i="5"/>
  <c r="R164" i="5"/>
  <c r="N164" i="5"/>
  <c r="O164" i="5" s="1"/>
  <c r="L164" i="5"/>
  <c r="H164" i="5"/>
  <c r="I164" i="5" s="1"/>
  <c r="F164" i="5"/>
  <c r="C164" i="5"/>
  <c r="AC163" i="5"/>
  <c r="AD163" i="5" s="1"/>
  <c r="AA163" i="5"/>
  <c r="W163" i="5"/>
  <c r="X163" i="5" s="1"/>
  <c r="U163" i="5"/>
  <c r="R163" i="5"/>
  <c r="O163" i="5"/>
  <c r="N163" i="5"/>
  <c r="L163" i="5"/>
  <c r="I163" i="5"/>
  <c r="H163" i="5"/>
  <c r="F163" i="5"/>
  <c r="C163" i="5"/>
  <c r="AC162" i="5"/>
  <c r="AD162" i="5" s="1"/>
  <c r="AA162" i="5"/>
  <c r="W162" i="5"/>
  <c r="X162" i="5" s="1"/>
  <c r="U162" i="5"/>
  <c r="R162" i="5"/>
  <c r="O162" i="5"/>
  <c r="N162" i="5"/>
  <c r="L162" i="5"/>
  <c r="H162" i="5"/>
  <c r="I162" i="5" s="1"/>
  <c r="F162" i="5"/>
  <c r="C162" i="5"/>
  <c r="AC161" i="5"/>
  <c r="AD161" i="5" s="1"/>
  <c r="AA161" i="5"/>
  <c r="X161" i="5"/>
  <c r="W161" i="5"/>
  <c r="U161" i="5"/>
  <c r="R161" i="5"/>
  <c r="N161" i="5"/>
  <c r="O161" i="5" s="1"/>
  <c r="L161" i="5"/>
  <c r="H161" i="5"/>
  <c r="I161" i="5" s="1"/>
  <c r="F161" i="5"/>
  <c r="C161" i="5"/>
  <c r="AD160" i="5"/>
  <c r="AC160" i="5"/>
  <c r="AA160" i="5"/>
  <c r="X160" i="5"/>
  <c r="W160" i="5"/>
  <c r="U160" i="5"/>
  <c r="R160" i="5"/>
  <c r="N160" i="5"/>
  <c r="O160" i="5" s="1"/>
  <c r="L160" i="5"/>
  <c r="H160" i="5"/>
  <c r="I160" i="5" s="1"/>
  <c r="F160" i="5"/>
  <c r="C160" i="5"/>
  <c r="Z158" i="5"/>
  <c r="AA158" i="5" s="1"/>
  <c r="W158" i="5"/>
  <c r="X158" i="5" s="1"/>
  <c r="T158" i="5"/>
  <c r="U158" i="5" s="1"/>
  <c r="Q158" i="5"/>
  <c r="R158" i="5" s="1"/>
  <c r="K158" i="5"/>
  <c r="L158" i="5" s="1"/>
  <c r="H158" i="5"/>
  <c r="I158" i="5" s="1"/>
  <c r="E158" i="5"/>
  <c r="F158" i="5" s="1"/>
  <c r="B158" i="5"/>
  <c r="C158" i="5" s="1"/>
  <c r="AC157" i="5"/>
  <c r="AD157" i="5" s="1"/>
  <c r="AA157" i="5"/>
  <c r="X157" i="5"/>
  <c r="W157" i="5"/>
  <c r="U157" i="5"/>
  <c r="R157" i="5"/>
  <c r="O157" i="5"/>
  <c r="N157" i="5"/>
  <c r="L157" i="5"/>
  <c r="H157" i="5"/>
  <c r="I157" i="5" s="1"/>
  <c r="F157" i="5"/>
  <c r="C157" i="5"/>
  <c r="AD156" i="5"/>
  <c r="AC156" i="5"/>
  <c r="AA156" i="5"/>
  <c r="X156" i="5"/>
  <c r="W156" i="5"/>
  <c r="U156" i="5"/>
  <c r="R156" i="5"/>
  <c r="N156" i="5"/>
  <c r="O156" i="5" s="1"/>
  <c r="L156" i="5"/>
  <c r="H156" i="5"/>
  <c r="I156" i="5" s="1"/>
  <c r="F156" i="5"/>
  <c r="C156" i="5"/>
  <c r="AC155" i="5"/>
  <c r="AD155" i="5" s="1"/>
  <c r="AA155" i="5"/>
  <c r="W155" i="5"/>
  <c r="X155" i="5" s="1"/>
  <c r="U155" i="5"/>
  <c r="R155" i="5"/>
  <c r="O155" i="5"/>
  <c r="N155" i="5"/>
  <c r="L155" i="5"/>
  <c r="I155" i="5"/>
  <c r="H155" i="5"/>
  <c r="F155" i="5"/>
  <c r="C155" i="5"/>
  <c r="AC154" i="5"/>
  <c r="AD154" i="5" s="1"/>
  <c r="AA154" i="5"/>
  <c r="W154" i="5"/>
  <c r="X154" i="5" s="1"/>
  <c r="U154" i="5"/>
  <c r="R154" i="5"/>
  <c r="O154" i="5"/>
  <c r="N154" i="5"/>
  <c r="L154" i="5"/>
  <c r="H154" i="5"/>
  <c r="I154" i="5" s="1"/>
  <c r="F154" i="5"/>
  <c r="C154" i="5"/>
  <c r="AC153" i="5"/>
  <c r="AD153" i="5" s="1"/>
  <c r="AA153" i="5"/>
  <c r="X153" i="5"/>
  <c r="W153" i="5"/>
  <c r="U153" i="5"/>
  <c r="R153" i="5"/>
  <c r="O153" i="5"/>
  <c r="N153" i="5"/>
  <c r="L153" i="5"/>
  <c r="H153" i="5"/>
  <c r="I153" i="5" s="1"/>
  <c r="F153" i="5"/>
  <c r="C153" i="5"/>
  <c r="AD151" i="5"/>
  <c r="AC151" i="5"/>
  <c r="AA151" i="5"/>
  <c r="X151" i="5"/>
  <c r="W151" i="5"/>
  <c r="U151" i="5"/>
  <c r="R151" i="5"/>
  <c r="N151" i="5"/>
  <c r="O151" i="5" s="1"/>
  <c r="L151" i="5"/>
  <c r="H151" i="5"/>
  <c r="I151" i="5" s="1"/>
  <c r="F151" i="5"/>
  <c r="C151" i="5"/>
  <c r="AA149" i="5"/>
  <c r="Z149" i="5"/>
  <c r="T149" i="5"/>
  <c r="Q149" i="5"/>
  <c r="R149" i="5" s="1"/>
  <c r="K149" i="5"/>
  <c r="N149" i="5" s="1"/>
  <c r="O149" i="5" s="1"/>
  <c r="E149" i="5"/>
  <c r="F149" i="5" s="1"/>
  <c r="B149" i="5"/>
  <c r="H149" i="5" s="1"/>
  <c r="I149" i="5" s="1"/>
  <c r="AC148" i="5"/>
  <c r="AD148" i="5" s="1"/>
  <c r="Z148" i="5"/>
  <c r="AA148" i="5" s="1"/>
  <c r="U148" i="5"/>
  <c r="T148" i="5"/>
  <c r="R148" i="5"/>
  <c r="Q148" i="5"/>
  <c r="W148" i="5" s="1"/>
  <c r="X148" i="5" s="1"/>
  <c r="K148" i="5"/>
  <c r="L148" i="5" s="1"/>
  <c r="H148" i="5"/>
  <c r="I148" i="5" s="1"/>
  <c r="F148" i="5"/>
  <c r="E148" i="5"/>
  <c r="B148" i="5"/>
  <c r="AC147" i="5"/>
  <c r="AD147" i="5" s="1"/>
  <c r="AA147" i="5"/>
  <c r="W147" i="5"/>
  <c r="X147" i="5" s="1"/>
  <c r="U147" i="5"/>
  <c r="R147" i="5"/>
  <c r="O147" i="5"/>
  <c r="N147" i="5"/>
  <c r="L147" i="5"/>
  <c r="I147" i="5"/>
  <c r="H147" i="5"/>
  <c r="F147" i="5"/>
  <c r="C147" i="5"/>
  <c r="AC146" i="5"/>
  <c r="AD146" i="5" s="1"/>
  <c r="AA146" i="5"/>
  <c r="W146" i="5"/>
  <c r="X146" i="5" s="1"/>
  <c r="U146" i="5"/>
  <c r="R146" i="5"/>
  <c r="O146" i="5"/>
  <c r="N146" i="5"/>
  <c r="L146" i="5"/>
  <c r="H146" i="5"/>
  <c r="I146" i="5" s="1"/>
  <c r="F146" i="5"/>
  <c r="C146" i="5"/>
  <c r="AC145" i="5"/>
  <c r="AD145" i="5" s="1"/>
  <c r="AA145" i="5"/>
  <c r="X145" i="5"/>
  <c r="W145" i="5"/>
  <c r="U145" i="5"/>
  <c r="R145" i="5"/>
  <c r="N145" i="5"/>
  <c r="O145" i="5" s="1"/>
  <c r="L145" i="5"/>
  <c r="H145" i="5"/>
  <c r="I145" i="5" s="1"/>
  <c r="F145" i="5"/>
  <c r="C145" i="5"/>
  <c r="AD144" i="5"/>
  <c r="AC144" i="5"/>
  <c r="AA144" i="5"/>
  <c r="X144" i="5"/>
  <c r="W144" i="5"/>
  <c r="U144" i="5"/>
  <c r="R144" i="5"/>
  <c r="N144" i="5"/>
  <c r="O144" i="5" s="1"/>
  <c r="L144" i="5"/>
  <c r="H144" i="5"/>
  <c r="I144" i="5" s="1"/>
  <c r="F144" i="5"/>
  <c r="C144" i="5"/>
  <c r="AC143" i="5"/>
  <c r="AD143" i="5" s="1"/>
  <c r="AA143" i="5"/>
  <c r="W143" i="5"/>
  <c r="X143" i="5" s="1"/>
  <c r="U143" i="5"/>
  <c r="R143" i="5"/>
  <c r="O143" i="5"/>
  <c r="N143" i="5"/>
  <c r="L143" i="5"/>
  <c r="H143" i="5"/>
  <c r="I143" i="5" s="1"/>
  <c r="F143" i="5"/>
  <c r="C143" i="5"/>
  <c r="AC141" i="5"/>
  <c r="AD141" i="5" s="1"/>
  <c r="Z141" i="5"/>
  <c r="AA141" i="5" s="1"/>
  <c r="U141" i="5"/>
  <c r="T141" i="5"/>
  <c r="Q141" i="5"/>
  <c r="K141" i="5"/>
  <c r="L141" i="5" s="1"/>
  <c r="I141" i="5"/>
  <c r="H141" i="5"/>
  <c r="E141" i="5"/>
  <c r="F141" i="5" s="1"/>
  <c r="B141" i="5"/>
  <c r="C141" i="5" s="1"/>
  <c r="AD140" i="5"/>
  <c r="AC140" i="5"/>
  <c r="AA140" i="5"/>
  <c r="X140" i="5"/>
  <c r="W140" i="5"/>
  <c r="U140" i="5"/>
  <c r="R140" i="5"/>
  <c r="N140" i="5"/>
  <c r="O140" i="5" s="1"/>
  <c r="L140" i="5"/>
  <c r="I140" i="5"/>
  <c r="H140" i="5"/>
  <c r="F140" i="5"/>
  <c r="C140" i="5"/>
  <c r="AC139" i="5"/>
  <c r="AD139" i="5" s="1"/>
  <c r="AA139" i="5"/>
  <c r="X139" i="5"/>
  <c r="W139" i="5"/>
  <c r="U139" i="5"/>
  <c r="R139" i="5"/>
  <c r="O139" i="5"/>
  <c r="N139" i="5"/>
  <c r="L139" i="5"/>
  <c r="H139" i="5"/>
  <c r="I139" i="5" s="1"/>
  <c r="F139" i="5"/>
  <c r="C139" i="5"/>
  <c r="AC138" i="5"/>
  <c r="AD138" i="5" s="1"/>
  <c r="AA138" i="5"/>
  <c r="W138" i="5"/>
  <c r="X138" i="5" s="1"/>
  <c r="U138" i="5"/>
  <c r="R138" i="5"/>
  <c r="O138" i="5"/>
  <c r="N138" i="5"/>
  <c r="L138" i="5"/>
  <c r="H138" i="5"/>
  <c r="I138" i="5" s="1"/>
  <c r="F138" i="5"/>
  <c r="C138" i="5"/>
  <c r="AD137" i="5"/>
  <c r="AC137" i="5"/>
  <c r="AA137" i="5"/>
  <c r="X137" i="5"/>
  <c r="W137" i="5"/>
  <c r="U137" i="5"/>
  <c r="R137" i="5"/>
  <c r="O137" i="5"/>
  <c r="N137" i="5"/>
  <c r="L137" i="5"/>
  <c r="H137" i="5"/>
  <c r="I137" i="5" s="1"/>
  <c r="F137" i="5"/>
  <c r="C137" i="5"/>
  <c r="AC136" i="5"/>
  <c r="AD136" i="5" s="1"/>
  <c r="AA136" i="5"/>
  <c r="X136" i="5"/>
  <c r="W136" i="5"/>
  <c r="U136" i="5"/>
  <c r="R136" i="5"/>
  <c r="N136" i="5"/>
  <c r="O136" i="5" s="1"/>
  <c r="L136" i="5"/>
  <c r="H136" i="5"/>
  <c r="I136" i="5" s="1"/>
  <c r="F136" i="5"/>
  <c r="C136" i="5"/>
  <c r="AC135" i="5"/>
  <c r="AD135" i="5" s="1"/>
  <c r="AA135" i="5"/>
  <c r="X135" i="5"/>
  <c r="W135" i="5"/>
  <c r="U135" i="5"/>
  <c r="R135" i="5"/>
  <c r="O135" i="5"/>
  <c r="N135" i="5"/>
  <c r="L135" i="5"/>
  <c r="H135" i="5"/>
  <c r="I135" i="5" s="1"/>
  <c r="F135" i="5"/>
  <c r="C135" i="5"/>
  <c r="AC134" i="5"/>
  <c r="AD134" i="5" s="1"/>
  <c r="AA134" i="5"/>
  <c r="W134" i="5"/>
  <c r="X134" i="5" s="1"/>
  <c r="U134" i="5"/>
  <c r="R134" i="5"/>
  <c r="O134" i="5"/>
  <c r="N134" i="5"/>
  <c r="L134" i="5"/>
  <c r="H134" i="5"/>
  <c r="I134" i="5" s="1"/>
  <c r="F134" i="5"/>
  <c r="C134" i="5"/>
  <c r="AD133" i="5"/>
  <c r="AC133" i="5"/>
  <c r="AA133" i="5"/>
  <c r="X133" i="5"/>
  <c r="W133" i="5"/>
  <c r="U133" i="5"/>
  <c r="R133" i="5"/>
  <c r="N133" i="5"/>
  <c r="O133" i="5" s="1"/>
  <c r="L133" i="5"/>
  <c r="H133" i="5"/>
  <c r="I133" i="5" s="1"/>
  <c r="F133" i="5"/>
  <c r="C133" i="5"/>
  <c r="AC132" i="5"/>
  <c r="AD132" i="5" s="1"/>
  <c r="AA132" i="5"/>
  <c r="X132" i="5"/>
  <c r="W132" i="5"/>
  <c r="U132" i="5"/>
  <c r="R132" i="5"/>
  <c r="O132" i="5"/>
  <c r="N132" i="5"/>
  <c r="L132" i="5"/>
  <c r="H132" i="5"/>
  <c r="I132" i="5" s="1"/>
  <c r="F132" i="5"/>
  <c r="C132" i="5"/>
  <c r="AC131" i="5"/>
  <c r="AD131" i="5" s="1"/>
  <c r="AA131" i="5"/>
  <c r="X131" i="5"/>
  <c r="W131" i="5"/>
  <c r="U131" i="5"/>
  <c r="R131" i="5"/>
  <c r="O131" i="5"/>
  <c r="N131" i="5"/>
  <c r="L131" i="5"/>
  <c r="I131" i="5"/>
  <c r="H131" i="5"/>
  <c r="F131" i="5"/>
  <c r="C131" i="5"/>
  <c r="AC130" i="5"/>
  <c r="AD130" i="5" s="1"/>
  <c r="AA130" i="5"/>
  <c r="W130" i="5"/>
  <c r="X130" i="5" s="1"/>
  <c r="U130" i="5"/>
  <c r="R130" i="5"/>
  <c r="N130" i="5"/>
  <c r="O130" i="5" s="1"/>
  <c r="L130" i="5"/>
  <c r="H130" i="5"/>
  <c r="I130" i="5" s="1"/>
  <c r="F130" i="5"/>
  <c r="C130" i="5"/>
  <c r="AC129" i="5"/>
  <c r="AD129" i="5" s="1"/>
  <c r="AA129" i="5"/>
  <c r="X129" i="5"/>
  <c r="W129" i="5"/>
  <c r="U129" i="5"/>
  <c r="R129" i="5"/>
  <c r="O129" i="5"/>
  <c r="N129" i="5"/>
  <c r="L129" i="5"/>
  <c r="H129" i="5"/>
  <c r="I129" i="5" s="1"/>
  <c r="F129" i="5"/>
  <c r="C129" i="5"/>
  <c r="AC127" i="5"/>
  <c r="AD127" i="5" s="1"/>
  <c r="AA127" i="5"/>
  <c r="X127" i="5"/>
  <c r="W127" i="5"/>
  <c r="U127" i="5"/>
  <c r="R127" i="5"/>
  <c r="O127" i="5"/>
  <c r="N127" i="5"/>
  <c r="L127" i="5"/>
  <c r="H127" i="5"/>
  <c r="I127" i="5" s="1"/>
  <c r="F127" i="5"/>
  <c r="C127" i="5"/>
  <c r="AA124" i="5"/>
  <c r="Z124" i="5"/>
  <c r="U124" i="5"/>
  <c r="T124" i="5"/>
  <c r="Q124" i="5"/>
  <c r="K124" i="5"/>
  <c r="E124" i="5"/>
  <c r="F124" i="5" s="1"/>
  <c r="B124" i="5"/>
  <c r="AD123" i="5"/>
  <c r="AC123" i="5"/>
  <c r="AA123" i="5"/>
  <c r="X123" i="5"/>
  <c r="W123" i="5"/>
  <c r="U123" i="5"/>
  <c r="R123" i="5"/>
  <c r="O123" i="5"/>
  <c r="N123" i="5"/>
  <c r="L123" i="5"/>
  <c r="H123" i="5"/>
  <c r="I123" i="5" s="1"/>
  <c r="F123" i="5"/>
  <c r="C123" i="5"/>
  <c r="AC122" i="5"/>
  <c r="AD122" i="5" s="1"/>
  <c r="AA122" i="5"/>
  <c r="Z122" i="5"/>
  <c r="T122" i="5"/>
  <c r="U122" i="5" s="1"/>
  <c r="Q122" i="5"/>
  <c r="R122" i="5" s="1"/>
  <c r="K122" i="5"/>
  <c r="L122" i="5" s="1"/>
  <c r="F122" i="5"/>
  <c r="E122" i="5"/>
  <c r="C122" i="5"/>
  <c r="B122" i="5"/>
  <c r="H122" i="5" s="1"/>
  <c r="I122" i="5" s="1"/>
  <c r="AD121" i="5"/>
  <c r="AC121" i="5"/>
  <c r="AA121" i="5"/>
  <c r="W121" i="5"/>
  <c r="X121" i="5" s="1"/>
  <c r="U121" i="5"/>
  <c r="R121" i="5"/>
  <c r="O121" i="5"/>
  <c r="N121" i="5"/>
  <c r="L121" i="5"/>
  <c r="H121" i="5"/>
  <c r="I121" i="5" s="1"/>
  <c r="F121" i="5"/>
  <c r="C121" i="5"/>
  <c r="AC120" i="5"/>
  <c r="AD120" i="5" s="1"/>
  <c r="AA120" i="5"/>
  <c r="X120" i="5"/>
  <c r="W120" i="5"/>
  <c r="U120" i="5"/>
  <c r="R120" i="5"/>
  <c r="O120" i="5"/>
  <c r="N120" i="5"/>
  <c r="L120" i="5"/>
  <c r="H120" i="5"/>
  <c r="I120" i="5" s="1"/>
  <c r="F120" i="5"/>
  <c r="C120" i="5"/>
  <c r="AD119" i="5"/>
  <c r="AC119" i="5"/>
  <c r="AA119" i="5"/>
  <c r="X119" i="5"/>
  <c r="W119" i="5"/>
  <c r="U119" i="5"/>
  <c r="R119" i="5"/>
  <c r="O119" i="5"/>
  <c r="N119" i="5"/>
  <c r="L119" i="5"/>
  <c r="H119" i="5"/>
  <c r="I119" i="5" s="1"/>
  <c r="F119" i="5"/>
  <c r="C119" i="5"/>
  <c r="AA118" i="5"/>
  <c r="Z118" i="5"/>
  <c r="U118" i="5"/>
  <c r="T118" i="5"/>
  <c r="Q118" i="5"/>
  <c r="K118" i="5"/>
  <c r="N118" i="5" s="1"/>
  <c r="O118" i="5" s="1"/>
  <c r="E118" i="5"/>
  <c r="C118" i="5"/>
  <c r="B118" i="5"/>
  <c r="AC117" i="5"/>
  <c r="AD117" i="5" s="1"/>
  <c r="AA117" i="5"/>
  <c r="X117" i="5"/>
  <c r="W117" i="5"/>
  <c r="U117" i="5"/>
  <c r="R117" i="5"/>
  <c r="N117" i="5"/>
  <c r="O117" i="5" s="1"/>
  <c r="L117" i="5"/>
  <c r="I117" i="5"/>
  <c r="H117" i="5"/>
  <c r="F117" i="5"/>
  <c r="C117" i="5"/>
  <c r="AD116" i="5"/>
  <c r="AC116" i="5"/>
  <c r="AA116" i="5"/>
  <c r="W116" i="5"/>
  <c r="X116" i="5" s="1"/>
  <c r="U116" i="5"/>
  <c r="R116" i="5"/>
  <c r="N116" i="5"/>
  <c r="O116" i="5" s="1"/>
  <c r="L116" i="5"/>
  <c r="H116" i="5"/>
  <c r="I116" i="5" s="1"/>
  <c r="F116" i="5"/>
  <c r="C116" i="5"/>
  <c r="AC115" i="5"/>
  <c r="AD115" i="5" s="1"/>
  <c r="AA115" i="5"/>
  <c r="X115" i="5"/>
  <c r="W115" i="5"/>
  <c r="U115" i="5"/>
  <c r="R115" i="5"/>
  <c r="O115" i="5"/>
  <c r="N115" i="5"/>
  <c r="L115" i="5"/>
  <c r="H115" i="5"/>
  <c r="I115" i="5" s="1"/>
  <c r="F115" i="5"/>
  <c r="C115" i="5"/>
  <c r="AC114" i="5"/>
  <c r="AD114" i="5" s="1"/>
  <c r="AA114" i="5"/>
  <c r="X114" i="5"/>
  <c r="W114" i="5"/>
  <c r="U114" i="5"/>
  <c r="R114" i="5"/>
  <c r="N114" i="5"/>
  <c r="O114" i="5" s="1"/>
  <c r="L114" i="5"/>
  <c r="H114" i="5"/>
  <c r="I114" i="5" s="1"/>
  <c r="F114" i="5"/>
  <c r="C114" i="5"/>
  <c r="AD113" i="5"/>
  <c r="AC113" i="5"/>
  <c r="AA113" i="5"/>
  <c r="X113" i="5"/>
  <c r="W113" i="5"/>
  <c r="U113" i="5"/>
  <c r="R113" i="5"/>
  <c r="N113" i="5"/>
  <c r="O113" i="5" s="1"/>
  <c r="L113" i="5"/>
  <c r="H113" i="5"/>
  <c r="I113" i="5" s="1"/>
  <c r="F113" i="5"/>
  <c r="C113" i="5"/>
  <c r="AD112" i="5"/>
  <c r="AC112" i="5"/>
  <c r="AA112" i="5"/>
  <c r="W112" i="5"/>
  <c r="X112" i="5" s="1"/>
  <c r="U112" i="5"/>
  <c r="R112" i="5"/>
  <c r="N112" i="5"/>
  <c r="O112" i="5" s="1"/>
  <c r="L112" i="5"/>
  <c r="I112" i="5"/>
  <c r="H112" i="5"/>
  <c r="F112" i="5"/>
  <c r="C112" i="5"/>
  <c r="AC111" i="5"/>
  <c r="AD111" i="5" s="1"/>
  <c r="AA111" i="5"/>
  <c r="W111" i="5"/>
  <c r="X111" i="5" s="1"/>
  <c r="U111" i="5"/>
  <c r="R111" i="5"/>
  <c r="O111" i="5"/>
  <c r="N111" i="5"/>
  <c r="L111" i="5"/>
  <c r="H111" i="5"/>
  <c r="I111" i="5" s="1"/>
  <c r="F111" i="5"/>
  <c r="C111" i="5"/>
  <c r="AC110" i="5"/>
  <c r="AD110" i="5" s="1"/>
  <c r="AA110" i="5"/>
  <c r="X110" i="5"/>
  <c r="W110" i="5"/>
  <c r="U110" i="5"/>
  <c r="R110" i="5"/>
  <c r="O110" i="5"/>
  <c r="N110" i="5"/>
  <c r="L110" i="5"/>
  <c r="H110" i="5"/>
  <c r="I110" i="5" s="1"/>
  <c r="F110" i="5"/>
  <c r="C110" i="5"/>
  <c r="AC109" i="5"/>
  <c r="AD109" i="5" s="1"/>
  <c r="AA109" i="5"/>
  <c r="X109" i="5"/>
  <c r="W109" i="5"/>
  <c r="U109" i="5"/>
  <c r="R109" i="5"/>
  <c r="N109" i="5"/>
  <c r="O109" i="5" s="1"/>
  <c r="L109" i="5"/>
  <c r="I109" i="5"/>
  <c r="H109" i="5"/>
  <c r="F109" i="5"/>
  <c r="C109" i="5"/>
  <c r="AD108" i="5"/>
  <c r="AC108" i="5"/>
  <c r="AA108" i="5"/>
  <c r="W108" i="5"/>
  <c r="X108" i="5" s="1"/>
  <c r="U108" i="5"/>
  <c r="R108" i="5"/>
  <c r="O108" i="5"/>
  <c r="N108" i="5"/>
  <c r="L108" i="5"/>
  <c r="I108" i="5"/>
  <c r="H108" i="5"/>
  <c r="F108" i="5"/>
  <c r="C108" i="5"/>
  <c r="AC107" i="5"/>
  <c r="AD107" i="5" s="1"/>
  <c r="AA107" i="5"/>
  <c r="X107" i="5"/>
  <c r="W107" i="5"/>
  <c r="U107" i="5"/>
  <c r="R107" i="5"/>
  <c r="O107" i="5"/>
  <c r="N107" i="5"/>
  <c r="L107" i="5"/>
  <c r="I107" i="5"/>
  <c r="H107" i="5"/>
  <c r="F107" i="5"/>
  <c r="C107" i="5"/>
  <c r="AC106" i="5"/>
  <c r="AD106" i="5" s="1"/>
  <c r="AA106" i="5"/>
  <c r="X106" i="5"/>
  <c r="W106" i="5"/>
  <c r="U106" i="5"/>
  <c r="R106" i="5"/>
  <c r="O106" i="5"/>
  <c r="N106" i="5"/>
  <c r="L106" i="5"/>
  <c r="H106" i="5"/>
  <c r="I106" i="5" s="1"/>
  <c r="F106" i="5"/>
  <c r="C106" i="5"/>
  <c r="AD105" i="5"/>
  <c r="AC105" i="5"/>
  <c r="AA105" i="5"/>
  <c r="X105" i="5"/>
  <c r="W105" i="5"/>
  <c r="U105" i="5"/>
  <c r="R105" i="5"/>
  <c r="O105" i="5"/>
  <c r="N105" i="5"/>
  <c r="L105" i="5"/>
  <c r="I105" i="5"/>
  <c r="H105" i="5"/>
  <c r="F105" i="5"/>
  <c r="C105" i="5"/>
  <c r="AD104" i="5"/>
  <c r="AC104" i="5"/>
  <c r="AA104" i="5"/>
  <c r="W104" i="5"/>
  <c r="X104" i="5" s="1"/>
  <c r="U104" i="5"/>
  <c r="R104" i="5"/>
  <c r="N104" i="5"/>
  <c r="O104" i="5" s="1"/>
  <c r="L104" i="5"/>
  <c r="I104" i="5"/>
  <c r="H104" i="5"/>
  <c r="F104" i="5"/>
  <c r="C104" i="5"/>
  <c r="AC103" i="5"/>
  <c r="AD103" i="5" s="1"/>
  <c r="AA103" i="5"/>
  <c r="W103" i="5"/>
  <c r="X103" i="5" s="1"/>
  <c r="U103" i="5"/>
  <c r="R103" i="5"/>
  <c r="O103" i="5"/>
  <c r="N103" i="5"/>
  <c r="L103" i="5"/>
  <c r="H103" i="5"/>
  <c r="I103" i="5" s="1"/>
  <c r="F103" i="5"/>
  <c r="C103" i="5"/>
  <c r="AC102" i="5"/>
  <c r="AD102" i="5" s="1"/>
  <c r="AA102" i="5"/>
  <c r="X102" i="5"/>
  <c r="W102" i="5"/>
  <c r="U102" i="5"/>
  <c r="R102" i="5"/>
  <c r="O102" i="5"/>
  <c r="N102" i="5"/>
  <c r="L102" i="5"/>
  <c r="H102" i="5"/>
  <c r="I102" i="5" s="1"/>
  <c r="F102" i="5"/>
  <c r="C102" i="5"/>
  <c r="AD101" i="5"/>
  <c r="AC101" i="5"/>
  <c r="AA101" i="5"/>
  <c r="X101" i="5"/>
  <c r="W101" i="5"/>
  <c r="U101" i="5"/>
  <c r="R101" i="5"/>
  <c r="N101" i="5"/>
  <c r="O101" i="5" s="1"/>
  <c r="L101" i="5"/>
  <c r="I101" i="5"/>
  <c r="H101" i="5"/>
  <c r="F101" i="5"/>
  <c r="C101" i="5"/>
  <c r="AD100" i="5"/>
  <c r="AC100" i="5"/>
  <c r="AA100" i="5"/>
  <c r="X100" i="5"/>
  <c r="W100" i="5"/>
  <c r="U100" i="5"/>
  <c r="R100" i="5"/>
  <c r="N100" i="5"/>
  <c r="O100" i="5" s="1"/>
  <c r="L100" i="5"/>
  <c r="H100" i="5"/>
  <c r="I100" i="5" s="1"/>
  <c r="F100" i="5"/>
  <c r="C100" i="5"/>
  <c r="AC99" i="5"/>
  <c r="AD99" i="5" s="1"/>
  <c r="AA99" i="5"/>
  <c r="X99" i="5"/>
  <c r="W99" i="5"/>
  <c r="U99" i="5"/>
  <c r="R99" i="5"/>
  <c r="O99" i="5"/>
  <c r="N99" i="5"/>
  <c r="L99" i="5"/>
  <c r="H99" i="5"/>
  <c r="I99" i="5" s="1"/>
  <c r="F99" i="5"/>
  <c r="C99" i="5"/>
  <c r="AD98" i="5"/>
  <c r="AC98" i="5"/>
  <c r="AA98" i="5"/>
  <c r="X98" i="5"/>
  <c r="W98" i="5"/>
  <c r="U98" i="5"/>
  <c r="R98" i="5"/>
  <c r="N98" i="5"/>
  <c r="O98" i="5" s="1"/>
  <c r="L98" i="5"/>
  <c r="H98" i="5"/>
  <c r="I98" i="5" s="1"/>
  <c r="F98" i="5"/>
  <c r="C98" i="5"/>
  <c r="AD97" i="5"/>
  <c r="AC97" i="5"/>
  <c r="AA97" i="5"/>
  <c r="X97" i="5"/>
  <c r="W97" i="5"/>
  <c r="U97" i="5"/>
  <c r="R97" i="5"/>
  <c r="N97" i="5"/>
  <c r="O97" i="5" s="1"/>
  <c r="L97" i="5"/>
  <c r="H97" i="5"/>
  <c r="I97" i="5" s="1"/>
  <c r="F97" i="5"/>
  <c r="C97" i="5"/>
  <c r="AD96" i="5"/>
  <c r="AC96" i="5"/>
  <c r="AA96" i="5"/>
  <c r="W96" i="5"/>
  <c r="X96" i="5" s="1"/>
  <c r="U96" i="5"/>
  <c r="R96" i="5"/>
  <c r="N96" i="5"/>
  <c r="O96" i="5" s="1"/>
  <c r="L96" i="5"/>
  <c r="I96" i="5"/>
  <c r="H96" i="5"/>
  <c r="F96" i="5"/>
  <c r="C96" i="5"/>
  <c r="AC95" i="5"/>
  <c r="AD95" i="5" s="1"/>
  <c r="AA95" i="5"/>
  <c r="W95" i="5"/>
  <c r="X95" i="5" s="1"/>
  <c r="U95" i="5"/>
  <c r="R95" i="5"/>
  <c r="O95" i="5"/>
  <c r="N95" i="5"/>
  <c r="L95" i="5"/>
  <c r="H95" i="5"/>
  <c r="I95" i="5" s="1"/>
  <c r="F95" i="5"/>
  <c r="C95" i="5"/>
  <c r="AC94" i="5"/>
  <c r="AD94" i="5" s="1"/>
  <c r="AA94" i="5"/>
  <c r="X94" i="5"/>
  <c r="W94" i="5"/>
  <c r="U94" i="5"/>
  <c r="R94" i="5"/>
  <c r="O94" i="5"/>
  <c r="N94" i="5"/>
  <c r="L94" i="5"/>
  <c r="H94" i="5"/>
  <c r="I94" i="5" s="1"/>
  <c r="F94" i="5"/>
  <c r="C94" i="5"/>
  <c r="AD92" i="5"/>
  <c r="AC92" i="5"/>
  <c r="AA92" i="5"/>
  <c r="X92" i="5"/>
  <c r="W92" i="5"/>
  <c r="U92" i="5"/>
  <c r="R92" i="5"/>
  <c r="N92" i="5"/>
  <c r="O92" i="5" s="1"/>
  <c r="L92" i="5"/>
  <c r="I92" i="5"/>
  <c r="H92" i="5"/>
  <c r="F92" i="5"/>
  <c r="C92" i="5"/>
  <c r="AD91" i="5"/>
  <c r="AC91" i="5"/>
  <c r="AA91" i="5"/>
  <c r="X91" i="5"/>
  <c r="W91" i="5"/>
  <c r="U91" i="5"/>
  <c r="R91" i="5"/>
  <c r="N91" i="5"/>
  <c r="O91" i="5" s="1"/>
  <c r="L91" i="5"/>
  <c r="H91" i="5"/>
  <c r="I91" i="5" s="1"/>
  <c r="F91" i="5"/>
  <c r="C91" i="5"/>
  <c r="AC90" i="5"/>
  <c r="AD90" i="5" s="1"/>
  <c r="AA90" i="5"/>
  <c r="X90" i="5"/>
  <c r="W90" i="5"/>
  <c r="U90" i="5"/>
  <c r="R90" i="5"/>
  <c r="O90" i="5"/>
  <c r="N90" i="5"/>
  <c r="L90" i="5"/>
  <c r="H90" i="5"/>
  <c r="I90" i="5" s="1"/>
  <c r="F90" i="5"/>
  <c r="C90" i="5"/>
  <c r="AD89" i="5"/>
  <c r="AC89" i="5"/>
  <c r="AA89" i="5"/>
  <c r="W89" i="5"/>
  <c r="X89" i="5" s="1"/>
  <c r="U89" i="5"/>
  <c r="R89" i="5"/>
  <c r="N89" i="5"/>
  <c r="O89" i="5" s="1"/>
  <c r="L89" i="5"/>
  <c r="H89" i="5"/>
  <c r="I89" i="5" s="1"/>
  <c r="F89" i="5"/>
  <c r="C89" i="5"/>
  <c r="AD88" i="5"/>
  <c r="AA88" i="5"/>
  <c r="Z88" i="5"/>
  <c r="W88" i="5"/>
  <c r="X88" i="5" s="1"/>
  <c r="T88" i="5"/>
  <c r="U88" i="5" s="1"/>
  <c r="Q88" i="5"/>
  <c r="AC88" i="5" s="1"/>
  <c r="N88" i="5"/>
  <c r="O88" i="5" s="1"/>
  <c r="K88" i="5"/>
  <c r="L88" i="5" s="1"/>
  <c r="E88" i="5"/>
  <c r="F88" i="5" s="1"/>
  <c r="C88" i="5"/>
  <c r="B88" i="5"/>
  <c r="AC87" i="5"/>
  <c r="AD87" i="5" s="1"/>
  <c r="AA87" i="5"/>
  <c r="X87" i="5"/>
  <c r="W87" i="5"/>
  <c r="U87" i="5"/>
  <c r="R87" i="5"/>
  <c r="O87" i="5"/>
  <c r="N87" i="5"/>
  <c r="L87" i="5"/>
  <c r="I87" i="5"/>
  <c r="H87" i="5"/>
  <c r="F87" i="5"/>
  <c r="C87" i="5"/>
  <c r="AD86" i="5"/>
  <c r="AC86" i="5"/>
  <c r="AA86" i="5"/>
  <c r="W86" i="5"/>
  <c r="X86" i="5" s="1"/>
  <c r="U86" i="5"/>
  <c r="R86" i="5"/>
  <c r="N86" i="5"/>
  <c r="O86" i="5" s="1"/>
  <c r="L86" i="5"/>
  <c r="H86" i="5"/>
  <c r="I86" i="5" s="1"/>
  <c r="F86" i="5"/>
  <c r="C86" i="5"/>
  <c r="AD85" i="5"/>
  <c r="AC85" i="5"/>
  <c r="AA85" i="5"/>
  <c r="X85" i="5"/>
  <c r="W85" i="5"/>
  <c r="U85" i="5"/>
  <c r="R85" i="5"/>
  <c r="O85" i="5"/>
  <c r="N85" i="5"/>
  <c r="L85" i="5"/>
  <c r="H85" i="5"/>
  <c r="I85" i="5" s="1"/>
  <c r="F85" i="5"/>
  <c r="C85" i="5"/>
  <c r="AC84" i="5"/>
  <c r="AD84" i="5" s="1"/>
  <c r="AA84" i="5"/>
  <c r="W84" i="5"/>
  <c r="X84" i="5" s="1"/>
  <c r="U84" i="5"/>
  <c r="R84" i="5"/>
  <c r="N84" i="5"/>
  <c r="O84" i="5" s="1"/>
  <c r="L84" i="5"/>
  <c r="I84" i="5"/>
  <c r="H84" i="5"/>
  <c r="F84" i="5"/>
  <c r="C84" i="5"/>
  <c r="AC83" i="5"/>
  <c r="AD83" i="5" s="1"/>
  <c r="AA83" i="5"/>
  <c r="X83" i="5"/>
  <c r="W83" i="5"/>
  <c r="U83" i="5"/>
  <c r="R83" i="5"/>
  <c r="O83" i="5"/>
  <c r="N83" i="5"/>
  <c r="L83" i="5"/>
  <c r="H83" i="5"/>
  <c r="I83" i="5" s="1"/>
  <c r="F83" i="5"/>
  <c r="C83" i="5"/>
  <c r="AC82" i="5"/>
  <c r="AD82" i="5" s="1"/>
  <c r="AA82" i="5"/>
  <c r="X82" i="5"/>
  <c r="W82" i="5"/>
  <c r="U82" i="5"/>
  <c r="R82" i="5"/>
  <c r="O82" i="5"/>
  <c r="N82" i="5"/>
  <c r="L82" i="5"/>
  <c r="H82" i="5"/>
  <c r="I82" i="5" s="1"/>
  <c r="F82" i="5"/>
  <c r="C82" i="5"/>
  <c r="AC81" i="5"/>
  <c r="AD81" i="5" s="1"/>
  <c r="AA81" i="5"/>
  <c r="X81" i="5"/>
  <c r="W81" i="5"/>
  <c r="U81" i="5"/>
  <c r="R81" i="5"/>
  <c r="N81" i="5"/>
  <c r="O81" i="5" s="1"/>
  <c r="L81" i="5"/>
  <c r="I81" i="5"/>
  <c r="H81" i="5"/>
  <c r="F81" i="5"/>
  <c r="C81" i="5"/>
  <c r="AD80" i="5"/>
  <c r="AC80" i="5"/>
  <c r="AA80" i="5"/>
  <c r="W80" i="5"/>
  <c r="X80" i="5" s="1"/>
  <c r="U80" i="5"/>
  <c r="R80" i="5"/>
  <c r="N80" i="5"/>
  <c r="O80" i="5" s="1"/>
  <c r="L80" i="5"/>
  <c r="I80" i="5"/>
  <c r="H80" i="5"/>
  <c r="F80" i="5"/>
  <c r="C80" i="5"/>
  <c r="AC79" i="5"/>
  <c r="AD79" i="5" s="1"/>
  <c r="AA79" i="5"/>
  <c r="X79" i="5"/>
  <c r="W79" i="5"/>
  <c r="U79" i="5"/>
  <c r="R79" i="5"/>
  <c r="O79" i="5"/>
  <c r="N79" i="5"/>
  <c r="L79" i="5"/>
  <c r="H79" i="5"/>
  <c r="I79" i="5" s="1"/>
  <c r="F79" i="5"/>
  <c r="C79" i="5"/>
  <c r="AC78" i="5"/>
  <c r="AD78" i="5" s="1"/>
  <c r="AA78" i="5"/>
  <c r="W78" i="5"/>
  <c r="X78" i="5" s="1"/>
  <c r="U78" i="5"/>
  <c r="R78" i="5"/>
  <c r="O78" i="5"/>
  <c r="N78" i="5"/>
  <c r="L78" i="5"/>
  <c r="H78" i="5"/>
  <c r="I78" i="5" s="1"/>
  <c r="F78" i="5"/>
  <c r="C78" i="5"/>
  <c r="AD77" i="5"/>
  <c r="AC77" i="5"/>
  <c r="AA77" i="5"/>
  <c r="X77" i="5"/>
  <c r="W77" i="5"/>
  <c r="U77" i="5"/>
  <c r="R77" i="5"/>
  <c r="N77" i="5"/>
  <c r="O77" i="5" s="1"/>
  <c r="L77" i="5"/>
  <c r="I77" i="5"/>
  <c r="H77" i="5"/>
  <c r="F77" i="5"/>
  <c r="C77" i="5"/>
  <c r="AC76" i="5"/>
  <c r="AD76" i="5" s="1"/>
  <c r="AA76" i="5"/>
  <c r="W76" i="5"/>
  <c r="X76" i="5" s="1"/>
  <c r="U76" i="5"/>
  <c r="R76" i="5"/>
  <c r="N76" i="5"/>
  <c r="O76" i="5" s="1"/>
  <c r="L76" i="5"/>
  <c r="I76" i="5"/>
  <c r="H76" i="5"/>
  <c r="F76" i="5"/>
  <c r="C76" i="5"/>
  <c r="AC75" i="5"/>
  <c r="AD75" i="5" s="1"/>
  <c r="AA75" i="5"/>
  <c r="X75" i="5"/>
  <c r="W75" i="5"/>
  <c r="U75" i="5"/>
  <c r="R75" i="5"/>
  <c r="O75" i="5"/>
  <c r="N75" i="5"/>
  <c r="L75" i="5"/>
  <c r="H75" i="5"/>
  <c r="I75" i="5" s="1"/>
  <c r="F75" i="5"/>
  <c r="C75" i="5"/>
  <c r="Z73" i="5"/>
  <c r="AA73" i="5" s="1"/>
  <c r="T73" i="5"/>
  <c r="U73" i="5" s="1"/>
  <c r="R73" i="5"/>
  <c r="Q73" i="5"/>
  <c r="N73" i="5"/>
  <c r="O73" i="5" s="1"/>
  <c r="K73" i="5"/>
  <c r="L73" i="5" s="1"/>
  <c r="E73" i="5"/>
  <c r="H73" i="5" s="1"/>
  <c r="I73" i="5" s="1"/>
  <c r="B73" i="5"/>
  <c r="C73" i="5" s="1"/>
  <c r="AD72" i="5"/>
  <c r="AC72" i="5"/>
  <c r="AA72" i="5"/>
  <c r="W72" i="5"/>
  <c r="X72" i="5" s="1"/>
  <c r="U72" i="5"/>
  <c r="R72" i="5"/>
  <c r="N72" i="5"/>
  <c r="O72" i="5" s="1"/>
  <c r="L72" i="5"/>
  <c r="I72" i="5"/>
  <c r="H72" i="5"/>
  <c r="F72" i="5"/>
  <c r="C72" i="5"/>
  <c r="AC71" i="5"/>
  <c r="AD71" i="5" s="1"/>
  <c r="AA71" i="5"/>
  <c r="X71" i="5"/>
  <c r="W71" i="5"/>
  <c r="U71" i="5"/>
  <c r="R71" i="5"/>
  <c r="O71" i="5"/>
  <c r="N71" i="5"/>
  <c r="L71" i="5"/>
  <c r="H71" i="5"/>
  <c r="I71" i="5" s="1"/>
  <c r="F71" i="5"/>
  <c r="C71" i="5"/>
  <c r="AC70" i="5"/>
  <c r="AD70" i="5" s="1"/>
  <c r="AA70" i="5"/>
  <c r="X70" i="5"/>
  <c r="W70" i="5"/>
  <c r="U70" i="5"/>
  <c r="R70" i="5"/>
  <c r="O70" i="5"/>
  <c r="N70" i="5"/>
  <c r="L70" i="5"/>
  <c r="H70" i="5"/>
  <c r="I70" i="5" s="1"/>
  <c r="F70" i="5"/>
  <c r="C70" i="5"/>
  <c r="AC69" i="5"/>
  <c r="AD69" i="5" s="1"/>
  <c r="AA69" i="5"/>
  <c r="X69" i="5"/>
  <c r="W69" i="5"/>
  <c r="U69" i="5"/>
  <c r="R69" i="5"/>
  <c r="N69" i="5"/>
  <c r="O69" i="5" s="1"/>
  <c r="L69" i="5"/>
  <c r="I69" i="5"/>
  <c r="H69" i="5"/>
  <c r="F69" i="5"/>
  <c r="C69" i="5"/>
  <c r="AD68" i="5"/>
  <c r="AC68" i="5"/>
  <c r="AA68" i="5"/>
  <c r="W68" i="5"/>
  <c r="X68" i="5" s="1"/>
  <c r="U68" i="5"/>
  <c r="R68" i="5"/>
  <c r="O68" i="5"/>
  <c r="N68" i="5"/>
  <c r="L68" i="5"/>
  <c r="H68" i="5"/>
  <c r="I68" i="5" s="1"/>
  <c r="F68" i="5"/>
  <c r="C68" i="5"/>
  <c r="AC67" i="5"/>
  <c r="AD67" i="5" s="1"/>
  <c r="AA67" i="5"/>
  <c r="X67" i="5"/>
  <c r="W67" i="5"/>
  <c r="U67" i="5"/>
  <c r="R67" i="5"/>
  <c r="O67" i="5"/>
  <c r="N67" i="5"/>
  <c r="L67" i="5"/>
  <c r="H67" i="5"/>
  <c r="I67" i="5" s="1"/>
  <c r="F67" i="5"/>
  <c r="C67" i="5"/>
  <c r="AD66" i="5"/>
  <c r="AC66" i="5"/>
  <c r="AA66" i="5"/>
  <c r="W66" i="5"/>
  <c r="X66" i="5" s="1"/>
  <c r="U66" i="5"/>
  <c r="R66" i="5"/>
  <c r="N66" i="5"/>
  <c r="O66" i="5" s="1"/>
  <c r="L66" i="5"/>
  <c r="H66" i="5"/>
  <c r="I66" i="5" s="1"/>
  <c r="F66" i="5"/>
  <c r="C66" i="5"/>
  <c r="AD65" i="5"/>
  <c r="AC65" i="5"/>
  <c r="AA65" i="5"/>
  <c r="X65" i="5"/>
  <c r="W65" i="5"/>
  <c r="U65" i="5"/>
  <c r="R65" i="5"/>
  <c r="N65" i="5"/>
  <c r="O65" i="5" s="1"/>
  <c r="L65" i="5"/>
  <c r="H65" i="5"/>
  <c r="I65" i="5" s="1"/>
  <c r="F65" i="5"/>
  <c r="C65" i="5"/>
  <c r="AC64" i="5"/>
  <c r="AD64" i="5" s="1"/>
  <c r="AA64" i="5"/>
  <c r="W64" i="5"/>
  <c r="X64" i="5" s="1"/>
  <c r="U64" i="5"/>
  <c r="R64" i="5"/>
  <c r="N64" i="5"/>
  <c r="O64" i="5" s="1"/>
  <c r="L64" i="5"/>
  <c r="I64" i="5"/>
  <c r="H64" i="5"/>
  <c r="F64" i="5"/>
  <c r="C64" i="5"/>
  <c r="Z62" i="5"/>
  <c r="AA62" i="5" s="1"/>
  <c r="T62" i="5"/>
  <c r="U62" i="5" s="1"/>
  <c r="Q62" i="5"/>
  <c r="K62" i="5"/>
  <c r="L62" i="5" s="1"/>
  <c r="E62" i="5"/>
  <c r="F62" i="5" s="1"/>
  <c r="C62" i="5"/>
  <c r="B62" i="5"/>
  <c r="AC61" i="5"/>
  <c r="AD61" i="5" s="1"/>
  <c r="AA61" i="5"/>
  <c r="Z61" i="5"/>
  <c r="T61" i="5"/>
  <c r="U61" i="5" s="1"/>
  <c r="R61" i="5"/>
  <c r="Q61" i="5"/>
  <c r="W61" i="5" s="1"/>
  <c r="X61" i="5" s="1"/>
  <c r="K61" i="5"/>
  <c r="L61" i="5" s="1"/>
  <c r="E61" i="5"/>
  <c r="F61" i="5" s="1"/>
  <c r="B61" i="5"/>
  <c r="AC60" i="5"/>
  <c r="AD60" i="5" s="1"/>
  <c r="AA60" i="5"/>
  <c r="W60" i="5"/>
  <c r="X60" i="5" s="1"/>
  <c r="U60" i="5"/>
  <c r="R60" i="5"/>
  <c r="O60" i="5"/>
  <c r="N60" i="5"/>
  <c r="L60" i="5"/>
  <c r="I60" i="5"/>
  <c r="H60" i="5"/>
  <c r="F60" i="5"/>
  <c r="C60" i="5"/>
  <c r="AD59" i="5"/>
  <c r="AC59" i="5"/>
  <c r="AA59" i="5"/>
  <c r="X59" i="5"/>
  <c r="W59" i="5"/>
  <c r="U59" i="5"/>
  <c r="R59" i="5"/>
  <c r="O59" i="5"/>
  <c r="N59" i="5"/>
  <c r="L59" i="5"/>
  <c r="H59" i="5"/>
  <c r="I59" i="5" s="1"/>
  <c r="F59" i="5"/>
  <c r="C59" i="5"/>
  <c r="AC58" i="5"/>
  <c r="AD58" i="5" s="1"/>
  <c r="AA58" i="5"/>
  <c r="X58" i="5"/>
  <c r="W58" i="5"/>
  <c r="U58" i="5"/>
  <c r="R58" i="5"/>
  <c r="O58" i="5"/>
  <c r="N58" i="5"/>
  <c r="L58" i="5"/>
  <c r="H58" i="5"/>
  <c r="I58" i="5" s="1"/>
  <c r="F58" i="5"/>
  <c r="C58" i="5"/>
  <c r="AC57" i="5"/>
  <c r="AD57" i="5" s="1"/>
  <c r="AA57" i="5"/>
  <c r="W57" i="5"/>
  <c r="X57" i="5" s="1"/>
  <c r="U57" i="5"/>
  <c r="R57" i="5"/>
  <c r="N57" i="5"/>
  <c r="O57" i="5" s="1"/>
  <c r="L57" i="5"/>
  <c r="H57" i="5"/>
  <c r="I57" i="5" s="1"/>
  <c r="F57" i="5"/>
  <c r="C57" i="5"/>
  <c r="AC56" i="5"/>
  <c r="AD56" i="5" s="1"/>
  <c r="AA56" i="5"/>
  <c r="W56" i="5"/>
  <c r="X56" i="5" s="1"/>
  <c r="U56" i="5"/>
  <c r="R56" i="5"/>
  <c r="O56" i="5"/>
  <c r="N56" i="5"/>
  <c r="L56" i="5"/>
  <c r="H56" i="5"/>
  <c r="I56" i="5" s="1"/>
  <c r="F56" i="5"/>
  <c r="C56" i="5"/>
  <c r="AD55" i="5"/>
  <c r="AC55" i="5"/>
  <c r="AA55" i="5"/>
  <c r="W55" i="5"/>
  <c r="X55" i="5" s="1"/>
  <c r="U55" i="5"/>
  <c r="R55" i="5"/>
  <c r="N55" i="5"/>
  <c r="O55" i="5" s="1"/>
  <c r="L55" i="5"/>
  <c r="H55" i="5"/>
  <c r="I55" i="5" s="1"/>
  <c r="F55" i="5"/>
  <c r="C55" i="5"/>
  <c r="AD54" i="5"/>
  <c r="AC54" i="5"/>
  <c r="AA54" i="5"/>
  <c r="X54" i="5"/>
  <c r="W54" i="5"/>
  <c r="U54" i="5"/>
  <c r="R54" i="5"/>
  <c r="N54" i="5"/>
  <c r="O54" i="5" s="1"/>
  <c r="L54" i="5"/>
  <c r="H54" i="5"/>
  <c r="I54" i="5" s="1"/>
  <c r="F54" i="5"/>
  <c r="C54" i="5"/>
  <c r="AC53" i="5"/>
  <c r="AD53" i="5" s="1"/>
  <c r="AA53" i="5"/>
  <c r="X53" i="5"/>
  <c r="W53" i="5"/>
  <c r="U53" i="5"/>
  <c r="R53" i="5"/>
  <c r="O53" i="5"/>
  <c r="N53" i="5"/>
  <c r="L53" i="5"/>
  <c r="H53" i="5"/>
  <c r="I53" i="5" s="1"/>
  <c r="F53" i="5"/>
  <c r="C53" i="5"/>
  <c r="AC52" i="5"/>
  <c r="AD52" i="5" s="1"/>
  <c r="AA52" i="5"/>
  <c r="W52" i="5"/>
  <c r="X52" i="5" s="1"/>
  <c r="U52" i="5"/>
  <c r="R52" i="5"/>
  <c r="O52" i="5"/>
  <c r="N52" i="5"/>
  <c r="L52" i="5"/>
  <c r="I52" i="5"/>
  <c r="H52" i="5"/>
  <c r="F52" i="5"/>
  <c r="C52" i="5"/>
  <c r="AD51" i="5"/>
  <c r="AC51" i="5"/>
  <c r="AA51" i="5"/>
  <c r="W51" i="5"/>
  <c r="X51" i="5" s="1"/>
  <c r="U51" i="5"/>
  <c r="R51" i="5"/>
  <c r="O51" i="5"/>
  <c r="N51" i="5"/>
  <c r="L51" i="5"/>
  <c r="H51" i="5"/>
  <c r="I51" i="5" s="1"/>
  <c r="F51" i="5"/>
  <c r="C51" i="5"/>
  <c r="AC50" i="5"/>
  <c r="AD50" i="5" s="1"/>
  <c r="AA50" i="5"/>
  <c r="X50" i="5"/>
  <c r="W50" i="5"/>
  <c r="U50" i="5"/>
  <c r="R50" i="5"/>
  <c r="O50" i="5"/>
  <c r="N50" i="5"/>
  <c r="L50" i="5"/>
  <c r="H50" i="5"/>
  <c r="I50" i="5" s="1"/>
  <c r="F50" i="5"/>
  <c r="C50" i="5"/>
  <c r="AD49" i="5"/>
  <c r="AC49" i="5"/>
  <c r="AA49" i="5"/>
  <c r="X49" i="5"/>
  <c r="W49" i="5"/>
  <c r="U49" i="5"/>
  <c r="R49" i="5"/>
  <c r="N49" i="5"/>
  <c r="O49" i="5" s="1"/>
  <c r="L49" i="5"/>
  <c r="H49" i="5"/>
  <c r="I49" i="5" s="1"/>
  <c r="F49" i="5"/>
  <c r="C49" i="5"/>
  <c r="AC48" i="5"/>
  <c r="AD48" i="5" s="1"/>
  <c r="AA48" i="5"/>
  <c r="W48" i="5"/>
  <c r="X48" i="5" s="1"/>
  <c r="U48" i="5"/>
  <c r="R48" i="5"/>
  <c r="O48" i="5"/>
  <c r="N48" i="5"/>
  <c r="L48" i="5"/>
  <c r="H48" i="5"/>
  <c r="I48" i="5" s="1"/>
  <c r="F48" i="5"/>
  <c r="C48" i="5"/>
  <c r="AC47" i="5"/>
  <c r="AD47" i="5" s="1"/>
  <c r="AA47" i="5"/>
  <c r="W47" i="5"/>
  <c r="X47" i="5" s="1"/>
  <c r="U47" i="5"/>
  <c r="R47" i="5"/>
  <c r="N47" i="5"/>
  <c r="O47" i="5" s="1"/>
  <c r="L47" i="5"/>
  <c r="H47" i="5"/>
  <c r="I47" i="5" s="1"/>
  <c r="F47" i="5"/>
  <c r="C47" i="5"/>
  <c r="AD46" i="5"/>
  <c r="AC46" i="5"/>
  <c r="AA46" i="5"/>
  <c r="X46" i="5"/>
  <c r="W46" i="5"/>
  <c r="U46" i="5"/>
  <c r="R46" i="5"/>
  <c r="O46" i="5"/>
  <c r="N46" i="5"/>
  <c r="L46" i="5"/>
  <c r="H46" i="5"/>
  <c r="I46" i="5" s="1"/>
  <c r="F46" i="5"/>
  <c r="C46" i="5"/>
  <c r="AC44" i="5"/>
  <c r="AD44" i="5" s="1"/>
  <c r="AA44" i="5"/>
  <c r="X44" i="5"/>
  <c r="W44" i="5"/>
  <c r="U44" i="5"/>
  <c r="R44" i="5"/>
  <c r="O44" i="5"/>
  <c r="N44" i="5"/>
  <c r="L44" i="5"/>
  <c r="H44" i="5"/>
  <c r="I44" i="5" s="1"/>
  <c r="F44" i="5"/>
  <c r="C44" i="5"/>
  <c r="AC43" i="5"/>
  <c r="AD43" i="5" s="1"/>
  <c r="AA43" i="5"/>
  <c r="W43" i="5"/>
  <c r="X43" i="5" s="1"/>
  <c r="U43" i="5"/>
  <c r="R43" i="5"/>
  <c r="O43" i="5"/>
  <c r="N43" i="5"/>
  <c r="L43" i="5"/>
  <c r="I43" i="5"/>
  <c r="H43" i="5"/>
  <c r="F43" i="5"/>
  <c r="C43" i="5"/>
  <c r="AD42" i="5"/>
  <c r="AC42" i="5"/>
  <c r="AA42" i="5"/>
  <c r="W42" i="5"/>
  <c r="X42" i="5" s="1"/>
  <c r="U42" i="5"/>
  <c r="R42" i="5"/>
  <c r="N42" i="5"/>
  <c r="O42" i="5" s="1"/>
  <c r="L42" i="5"/>
  <c r="H42" i="5"/>
  <c r="I42" i="5" s="1"/>
  <c r="F42" i="5"/>
  <c r="C42" i="5"/>
  <c r="AC40" i="5"/>
  <c r="AD40" i="5" s="1"/>
  <c r="Z40" i="5"/>
  <c r="AA40" i="5" s="1"/>
  <c r="T40" i="5"/>
  <c r="W40" i="5" s="1"/>
  <c r="X40" i="5" s="1"/>
  <c r="Q40" i="5"/>
  <c r="R40" i="5" s="1"/>
  <c r="O40" i="5"/>
  <c r="N40" i="5"/>
  <c r="K40" i="5"/>
  <c r="L40" i="5" s="1"/>
  <c r="E40" i="5"/>
  <c r="F40" i="5" s="1"/>
  <c r="C40" i="5"/>
  <c r="B40" i="5"/>
  <c r="AC39" i="5"/>
  <c r="AD39" i="5" s="1"/>
  <c r="AA39" i="5"/>
  <c r="X39" i="5"/>
  <c r="W39" i="5"/>
  <c r="U39" i="5"/>
  <c r="R39" i="5"/>
  <c r="O39" i="5"/>
  <c r="N39" i="5"/>
  <c r="L39" i="5"/>
  <c r="I39" i="5"/>
  <c r="H39" i="5"/>
  <c r="F39" i="5"/>
  <c r="C39" i="5"/>
  <c r="AD38" i="5"/>
  <c r="AC38" i="5"/>
  <c r="AA38" i="5"/>
  <c r="W38" i="5"/>
  <c r="X38" i="5" s="1"/>
  <c r="U38" i="5"/>
  <c r="R38" i="5"/>
  <c r="N38" i="5"/>
  <c r="O38" i="5" s="1"/>
  <c r="L38" i="5"/>
  <c r="H38" i="5"/>
  <c r="I38" i="5" s="1"/>
  <c r="F38" i="5"/>
  <c r="C38" i="5"/>
  <c r="AC37" i="5"/>
  <c r="AD37" i="5" s="1"/>
  <c r="AA37" i="5"/>
  <c r="X37" i="5"/>
  <c r="W37" i="5"/>
  <c r="U37" i="5"/>
  <c r="R37" i="5"/>
  <c r="O37" i="5"/>
  <c r="N37" i="5"/>
  <c r="L37" i="5"/>
  <c r="H37" i="5"/>
  <c r="I37" i="5" s="1"/>
  <c r="F37" i="5"/>
  <c r="C37" i="5"/>
  <c r="AC36" i="5"/>
  <c r="AD36" i="5" s="1"/>
  <c r="AA36" i="5"/>
  <c r="W36" i="5"/>
  <c r="X36" i="5" s="1"/>
  <c r="U36" i="5"/>
  <c r="R36" i="5"/>
  <c r="O36" i="5"/>
  <c r="N36" i="5"/>
  <c r="L36" i="5"/>
  <c r="H36" i="5"/>
  <c r="I36" i="5" s="1"/>
  <c r="F36" i="5"/>
  <c r="C36" i="5"/>
  <c r="AC35" i="5"/>
  <c r="AD35" i="5" s="1"/>
  <c r="AA35" i="5"/>
  <c r="X35" i="5"/>
  <c r="W35" i="5"/>
  <c r="U35" i="5"/>
  <c r="R35" i="5"/>
  <c r="O35" i="5"/>
  <c r="N35" i="5"/>
  <c r="L35" i="5"/>
  <c r="I35" i="5"/>
  <c r="H35" i="5"/>
  <c r="F35" i="5"/>
  <c r="C35" i="5"/>
  <c r="AD34" i="5"/>
  <c r="AC34" i="5"/>
  <c r="AA34" i="5"/>
  <c r="X34" i="5"/>
  <c r="W34" i="5"/>
  <c r="U34" i="5"/>
  <c r="R34" i="5"/>
  <c r="O34" i="5"/>
  <c r="N34" i="5"/>
  <c r="L34" i="5"/>
  <c r="H34" i="5"/>
  <c r="I34" i="5" s="1"/>
  <c r="F34" i="5"/>
  <c r="C34" i="5"/>
  <c r="AC33" i="5"/>
  <c r="AD33" i="5" s="1"/>
  <c r="AA33" i="5"/>
  <c r="X33" i="5"/>
  <c r="W33" i="5"/>
  <c r="U33" i="5"/>
  <c r="R33" i="5"/>
  <c r="O33" i="5"/>
  <c r="N33" i="5"/>
  <c r="L33" i="5"/>
  <c r="H33" i="5"/>
  <c r="I33" i="5" s="1"/>
  <c r="F33" i="5"/>
  <c r="C33" i="5"/>
  <c r="AC32" i="5"/>
  <c r="AD32" i="5" s="1"/>
  <c r="AA32" i="5"/>
  <c r="X32" i="5"/>
  <c r="W32" i="5"/>
  <c r="U32" i="5"/>
  <c r="R32" i="5"/>
  <c r="N32" i="5"/>
  <c r="O32" i="5" s="1"/>
  <c r="L32" i="5"/>
  <c r="H32" i="5"/>
  <c r="I32" i="5" s="1"/>
  <c r="F32" i="5"/>
  <c r="C32" i="5"/>
  <c r="AC31" i="5"/>
  <c r="AD31" i="5" s="1"/>
  <c r="AA31" i="5"/>
  <c r="X31" i="5"/>
  <c r="W31" i="5"/>
  <c r="U31" i="5"/>
  <c r="R31" i="5"/>
  <c r="O31" i="5"/>
  <c r="N31" i="5"/>
  <c r="L31" i="5"/>
  <c r="I31" i="5"/>
  <c r="H31" i="5"/>
  <c r="F31" i="5"/>
  <c r="C31" i="5"/>
  <c r="Z29" i="5"/>
  <c r="AA29" i="5" s="1"/>
  <c r="T29" i="5"/>
  <c r="U29" i="5" s="1"/>
  <c r="Q29" i="5"/>
  <c r="R29" i="5" s="1"/>
  <c r="N29" i="5"/>
  <c r="O29" i="5" s="1"/>
  <c r="L29" i="5"/>
  <c r="K29" i="5"/>
  <c r="H29" i="5"/>
  <c r="I29" i="5" s="1"/>
  <c r="F29" i="5"/>
  <c r="E29" i="5"/>
  <c r="B29" i="5"/>
  <c r="C29" i="5" s="1"/>
  <c r="AC28" i="5"/>
  <c r="AD28" i="5" s="1"/>
  <c r="AA28" i="5"/>
  <c r="W28" i="5"/>
  <c r="X28" i="5" s="1"/>
  <c r="U28" i="5"/>
  <c r="R28" i="5"/>
  <c r="N28" i="5"/>
  <c r="O28" i="5" s="1"/>
  <c r="L28" i="5"/>
  <c r="H28" i="5"/>
  <c r="I28" i="5" s="1"/>
  <c r="F28" i="5"/>
  <c r="C28" i="5"/>
  <c r="AC27" i="5"/>
  <c r="AD27" i="5" s="1"/>
  <c r="AA27" i="5"/>
  <c r="X27" i="5"/>
  <c r="W27" i="5"/>
  <c r="U27" i="5"/>
  <c r="R27" i="5"/>
  <c r="N27" i="5"/>
  <c r="O27" i="5" s="1"/>
  <c r="L27" i="5"/>
  <c r="I27" i="5"/>
  <c r="H27" i="5"/>
  <c r="F27" i="5"/>
  <c r="C27" i="5"/>
  <c r="AD26" i="5"/>
  <c r="AC26" i="5"/>
  <c r="AA26" i="5"/>
  <c r="X26" i="5"/>
  <c r="W26" i="5"/>
  <c r="U26" i="5"/>
  <c r="R26" i="5"/>
  <c r="N26" i="5"/>
  <c r="O26" i="5" s="1"/>
  <c r="L26" i="5"/>
  <c r="H26" i="5"/>
  <c r="I26" i="5" s="1"/>
  <c r="F26" i="5"/>
  <c r="C26" i="5"/>
  <c r="AC25" i="5"/>
  <c r="AD25" i="5" s="1"/>
  <c r="AA25" i="5"/>
  <c r="W25" i="5"/>
  <c r="X25" i="5" s="1"/>
  <c r="U25" i="5"/>
  <c r="R25" i="5"/>
  <c r="O25" i="5"/>
  <c r="N25" i="5"/>
  <c r="L25" i="5"/>
  <c r="I25" i="5"/>
  <c r="H25" i="5"/>
  <c r="F25" i="5"/>
  <c r="C25" i="5"/>
  <c r="AD24" i="5"/>
  <c r="AC24" i="5"/>
  <c r="AA24" i="5"/>
  <c r="X24" i="5"/>
  <c r="W24" i="5"/>
  <c r="U24" i="5"/>
  <c r="R24" i="5"/>
  <c r="N24" i="5"/>
  <c r="O24" i="5" s="1"/>
  <c r="L24" i="5"/>
  <c r="H24" i="5"/>
  <c r="I24" i="5" s="1"/>
  <c r="F24" i="5"/>
  <c r="C24" i="5"/>
  <c r="AC23" i="5"/>
  <c r="AD23" i="5" s="1"/>
  <c r="AA23" i="5"/>
  <c r="X23" i="5"/>
  <c r="W23" i="5"/>
  <c r="U23" i="5"/>
  <c r="R23" i="5"/>
  <c r="N23" i="5"/>
  <c r="O23" i="5" s="1"/>
  <c r="L23" i="5"/>
  <c r="H23" i="5"/>
  <c r="I23" i="5" s="1"/>
  <c r="F23" i="5"/>
  <c r="C23" i="5"/>
  <c r="AD22" i="5"/>
  <c r="AC22" i="5"/>
  <c r="AA22" i="5"/>
  <c r="W22" i="5"/>
  <c r="X22" i="5" s="1"/>
  <c r="U22" i="5"/>
  <c r="R22" i="5"/>
  <c r="O22" i="5"/>
  <c r="N22" i="5"/>
  <c r="L22" i="5"/>
  <c r="H22" i="5"/>
  <c r="I22" i="5" s="1"/>
  <c r="F22" i="5"/>
  <c r="C22" i="5"/>
  <c r="AC21" i="5"/>
  <c r="AD21" i="5" s="1"/>
  <c r="AA21" i="5"/>
  <c r="W21" i="5"/>
  <c r="X21" i="5" s="1"/>
  <c r="U21" i="5"/>
  <c r="R21" i="5"/>
  <c r="O21" i="5"/>
  <c r="N21" i="5"/>
  <c r="L21" i="5"/>
  <c r="I21" i="5"/>
  <c r="H21" i="5"/>
  <c r="F21" i="5"/>
  <c r="C21" i="5"/>
  <c r="AD19" i="5"/>
  <c r="AC19" i="5"/>
  <c r="AA19" i="5"/>
  <c r="W19" i="5"/>
  <c r="X19" i="5" s="1"/>
  <c r="U19" i="5"/>
  <c r="R19" i="5"/>
  <c r="N19" i="5"/>
  <c r="O19" i="5" s="1"/>
  <c r="L19" i="5"/>
  <c r="H19" i="5"/>
  <c r="I19" i="5" s="1"/>
  <c r="F19" i="5"/>
  <c r="C19" i="5"/>
  <c r="AA18" i="5"/>
  <c r="Z18" i="5"/>
  <c r="W18" i="5"/>
  <c r="X18" i="5" s="1"/>
  <c r="U18" i="5"/>
  <c r="T18" i="5"/>
  <c r="Q18" i="5"/>
  <c r="R18" i="5" s="1"/>
  <c r="K18" i="5"/>
  <c r="L18" i="5" s="1"/>
  <c r="E18" i="5"/>
  <c r="F18" i="5" s="1"/>
  <c r="C18" i="5"/>
  <c r="B18" i="5"/>
  <c r="AC17" i="5"/>
  <c r="AD17" i="5" s="1"/>
  <c r="AA17" i="5"/>
  <c r="W17" i="5"/>
  <c r="X17" i="5" s="1"/>
  <c r="U17" i="5"/>
  <c r="R17" i="5"/>
  <c r="O17" i="5"/>
  <c r="N17" i="5"/>
  <c r="L17" i="5"/>
  <c r="I17" i="5"/>
  <c r="H17" i="5"/>
  <c r="F17" i="5"/>
  <c r="C17" i="5"/>
  <c r="AC16" i="5"/>
  <c r="AD16" i="5" s="1"/>
  <c r="AA16" i="5"/>
  <c r="W16" i="5"/>
  <c r="X16" i="5" s="1"/>
  <c r="U16" i="5"/>
  <c r="R16" i="5"/>
  <c r="O16" i="5"/>
  <c r="N16" i="5"/>
  <c r="L16" i="5"/>
  <c r="H16" i="5"/>
  <c r="I16" i="5" s="1"/>
  <c r="F16" i="5"/>
  <c r="C16" i="5"/>
  <c r="AC15" i="5"/>
  <c r="AD15" i="5" s="1"/>
  <c r="AA15" i="5"/>
  <c r="X15" i="5"/>
  <c r="W15" i="5"/>
  <c r="U15" i="5"/>
  <c r="R15" i="5"/>
  <c r="N15" i="5"/>
  <c r="O15" i="5" s="1"/>
  <c r="L15" i="5"/>
  <c r="H15" i="5"/>
  <c r="I15" i="5" s="1"/>
  <c r="F15" i="5"/>
  <c r="C15" i="5"/>
  <c r="AD14" i="5"/>
  <c r="AC14" i="5"/>
  <c r="AA14" i="5"/>
  <c r="W14" i="5"/>
  <c r="X14" i="5" s="1"/>
  <c r="U14" i="5"/>
  <c r="R14" i="5"/>
  <c r="N14" i="5"/>
  <c r="O14" i="5" s="1"/>
  <c r="L14" i="5"/>
  <c r="H14" i="5"/>
  <c r="I14" i="5" s="1"/>
  <c r="F14" i="5"/>
  <c r="C14" i="5"/>
  <c r="AC13" i="5"/>
  <c r="AD13" i="5" s="1"/>
  <c r="AA13" i="5"/>
  <c r="W13" i="5"/>
  <c r="X13" i="5" s="1"/>
  <c r="U13" i="5"/>
  <c r="R13" i="5"/>
  <c r="O13" i="5"/>
  <c r="N13" i="5"/>
  <c r="L13" i="5"/>
  <c r="I13" i="5"/>
  <c r="H13" i="5"/>
  <c r="F13" i="5"/>
  <c r="C13" i="5"/>
  <c r="AD12" i="5"/>
  <c r="AC12" i="5"/>
  <c r="AA12" i="5"/>
  <c r="W12" i="5"/>
  <c r="X12" i="5" s="1"/>
  <c r="U12" i="5"/>
  <c r="R12" i="5"/>
  <c r="O12" i="5"/>
  <c r="N12" i="5"/>
  <c r="L12" i="5"/>
  <c r="H12" i="5"/>
  <c r="I12" i="5" s="1"/>
  <c r="F12" i="5"/>
  <c r="C12" i="5"/>
  <c r="AC11" i="5"/>
  <c r="AD11" i="5" s="1"/>
  <c r="AA11" i="5"/>
  <c r="X11" i="5"/>
  <c r="W11" i="5"/>
  <c r="U11" i="5"/>
  <c r="R11" i="5"/>
  <c r="N11" i="5"/>
  <c r="O11" i="5" s="1"/>
  <c r="L11" i="5"/>
  <c r="I11" i="5"/>
  <c r="H11" i="5"/>
  <c r="F11" i="5"/>
  <c r="C11" i="5"/>
  <c r="AD10" i="5"/>
  <c r="AC10" i="5"/>
  <c r="AA10" i="5"/>
  <c r="W10" i="5"/>
  <c r="X10" i="5" s="1"/>
  <c r="U10" i="5"/>
  <c r="R10" i="5"/>
  <c r="O10" i="5"/>
  <c r="N10" i="5"/>
  <c r="L10" i="5"/>
  <c r="H10" i="5"/>
  <c r="I10" i="5" s="1"/>
  <c r="F10" i="5"/>
  <c r="C10" i="5"/>
  <c r="AC8" i="5"/>
  <c r="AD8" i="5" s="1"/>
  <c r="AA8" i="5"/>
  <c r="W8" i="5"/>
  <c r="X8" i="5" s="1"/>
  <c r="U8" i="5"/>
  <c r="R8" i="5"/>
  <c r="O8" i="5"/>
  <c r="N8" i="5"/>
  <c r="L8" i="5"/>
  <c r="I8" i="5"/>
  <c r="H8" i="5"/>
  <c r="F8" i="5"/>
  <c r="C8" i="5"/>
  <c r="AC444" i="4"/>
  <c r="AD438" i="4" s="1"/>
  <c r="W444" i="4"/>
  <c r="N444" i="4"/>
  <c r="H444" i="4"/>
  <c r="I433" i="4" s="1"/>
  <c r="Z442" i="4"/>
  <c r="AA442" i="4" s="1"/>
  <c r="X442" i="4"/>
  <c r="T442" i="4"/>
  <c r="U442" i="4" s="1"/>
  <c r="R442" i="4"/>
  <c r="Q442" i="4"/>
  <c r="W442" i="4" s="1"/>
  <c r="L442" i="4"/>
  <c r="K442" i="4"/>
  <c r="F442" i="4"/>
  <c r="E442" i="4"/>
  <c r="B442" i="4"/>
  <c r="Z441" i="4"/>
  <c r="AA441" i="4" s="1"/>
  <c r="T441" i="4"/>
  <c r="U441" i="4" s="1"/>
  <c r="R441" i="4"/>
  <c r="Q441" i="4"/>
  <c r="AC441" i="4" s="1"/>
  <c r="AD441" i="4" s="1"/>
  <c r="N441" i="4"/>
  <c r="O441" i="4" s="1"/>
  <c r="L441" i="4"/>
  <c r="K441" i="4"/>
  <c r="F441" i="4"/>
  <c r="E441" i="4"/>
  <c r="B441" i="4"/>
  <c r="C441" i="4" s="1"/>
  <c r="AC440" i="4"/>
  <c r="AD440" i="4" s="1"/>
  <c r="AA440" i="4"/>
  <c r="W440" i="4"/>
  <c r="X440" i="4" s="1"/>
  <c r="U440" i="4"/>
  <c r="R440" i="4"/>
  <c r="O440" i="4"/>
  <c r="N440" i="4"/>
  <c r="L440" i="4"/>
  <c r="H440" i="4"/>
  <c r="F440" i="4"/>
  <c r="C440" i="4"/>
  <c r="AC439" i="4"/>
  <c r="AD439" i="4" s="1"/>
  <c r="AA439" i="4"/>
  <c r="X439" i="4"/>
  <c r="W439" i="4"/>
  <c r="U439" i="4"/>
  <c r="R439" i="4"/>
  <c r="O439" i="4"/>
  <c r="N439" i="4"/>
  <c r="L439" i="4"/>
  <c r="H439" i="4"/>
  <c r="I439" i="4" s="1"/>
  <c r="F439" i="4"/>
  <c r="C439" i="4"/>
  <c r="AC438" i="4"/>
  <c r="AA438" i="4"/>
  <c r="W438" i="4"/>
  <c r="X438" i="4" s="1"/>
  <c r="U438" i="4"/>
  <c r="R438" i="4"/>
  <c r="O438" i="4"/>
  <c r="N438" i="4"/>
  <c r="L438" i="4"/>
  <c r="H438" i="4"/>
  <c r="I438" i="4" s="1"/>
  <c r="F438" i="4"/>
  <c r="C438" i="4"/>
  <c r="AC437" i="4"/>
  <c r="AD437" i="4" s="1"/>
  <c r="AA437" i="4"/>
  <c r="W437" i="4"/>
  <c r="U437" i="4"/>
  <c r="R437" i="4"/>
  <c r="O437" i="4"/>
  <c r="N437" i="4"/>
  <c r="L437" i="4"/>
  <c r="I437" i="4"/>
  <c r="H437" i="4"/>
  <c r="F437" i="4"/>
  <c r="C437" i="4"/>
  <c r="AC436" i="4"/>
  <c r="AD436" i="4" s="1"/>
  <c r="AA436" i="4"/>
  <c r="W436" i="4"/>
  <c r="X436" i="4" s="1"/>
  <c r="U436" i="4"/>
  <c r="R436" i="4"/>
  <c r="O436" i="4"/>
  <c r="N436" i="4"/>
  <c r="L436" i="4"/>
  <c r="H436" i="4"/>
  <c r="I436" i="4" s="1"/>
  <c r="F436" i="4"/>
  <c r="C436" i="4"/>
  <c r="AC435" i="4"/>
  <c r="AA435" i="4"/>
  <c r="W435" i="4"/>
  <c r="U435" i="4"/>
  <c r="R435" i="4"/>
  <c r="O435" i="4"/>
  <c r="N435" i="4"/>
  <c r="L435" i="4"/>
  <c r="I435" i="4"/>
  <c r="H435" i="4"/>
  <c r="F435" i="4"/>
  <c r="C435" i="4"/>
  <c r="AD434" i="4"/>
  <c r="AC434" i="4"/>
  <c r="AA434" i="4"/>
  <c r="W434" i="4"/>
  <c r="X434" i="4" s="1"/>
  <c r="U434" i="4"/>
  <c r="R434" i="4"/>
  <c r="N434" i="4"/>
  <c r="O434" i="4" s="1"/>
  <c r="L434" i="4"/>
  <c r="H434" i="4"/>
  <c r="I434" i="4" s="1"/>
  <c r="F434" i="4"/>
  <c r="C434" i="4"/>
  <c r="AC433" i="4"/>
  <c r="AA433" i="4"/>
  <c r="W433" i="4"/>
  <c r="X433" i="4" s="1"/>
  <c r="U433" i="4"/>
  <c r="R433" i="4"/>
  <c r="O433" i="4"/>
  <c r="N433" i="4"/>
  <c r="L433" i="4"/>
  <c r="H433" i="4"/>
  <c r="F433" i="4"/>
  <c r="C433" i="4"/>
  <c r="AC432" i="4"/>
  <c r="AD432" i="4" s="1"/>
  <c r="AA432" i="4"/>
  <c r="X432" i="4"/>
  <c r="W432" i="4"/>
  <c r="U432" i="4"/>
  <c r="R432" i="4"/>
  <c r="O432" i="4"/>
  <c r="N432" i="4"/>
  <c r="L432" i="4"/>
  <c r="H432" i="4"/>
  <c r="F432" i="4"/>
  <c r="C432" i="4"/>
  <c r="Z429" i="4"/>
  <c r="AA429" i="4" s="1"/>
  <c r="U429" i="4"/>
  <c r="T429" i="4"/>
  <c r="Q429" i="4"/>
  <c r="K429" i="4"/>
  <c r="L429" i="4" s="1"/>
  <c r="E429" i="4"/>
  <c r="F429" i="4" s="1"/>
  <c r="C429" i="4"/>
  <c r="B429" i="4"/>
  <c r="AC428" i="4"/>
  <c r="AD428" i="4" s="1"/>
  <c r="AA428" i="4"/>
  <c r="Z428" i="4"/>
  <c r="T428" i="4"/>
  <c r="U428" i="4" s="1"/>
  <c r="Q428" i="4"/>
  <c r="R428" i="4" s="1"/>
  <c r="K428" i="4"/>
  <c r="L428" i="4" s="1"/>
  <c r="E428" i="4"/>
  <c r="F428" i="4" s="1"/>
  <c r="C428" i="4"/>
  <c r="B428" i="4"/>
  <c r="AC427" i="4"/>
  <c r="AD427" i="4" s="1"/>
  <c r="AA427" i="4"/>
  <c r="X427" i="4"/>
  <c r="W427" i="4"/>
  <c r="U427" i="4"/>
  <c r="R427" i="4"/>
  <c r="O427" i="4"/>
  <c r="N427" i="4"/>
  <c r="L427" i="4"/>
  <c r="H427" i="4"/>
  <c r="I427" i="4" s="1"/>
  <c r="F427" i="4"/>
  <c r="C427" i="4"/>
  <c r="AD426" i="4"/>
  <c r="AC426" i="4"/>
  <c r="AA426" i="4"/>
  <c r="X426" i="4"/>
  <c r="W426" i="4"/>
  <c r="U426" i="4"/>
  <c r="R426" i="4"/>
  <c r="N426" i="4"/>
  <c r="O426" i="4" s="1"/>
  <c r="L426" i="4"/>
  <c r="H426" i="4"/>
  <c r="I426" i="4" s="1"/>
  <c r="F426" i="4"/>
  <c r="C426" i="4"/>
  <c r="AC425" i="4"/>
  <c r="AD425" i="4" s="1"/>
  <c r="AA425" i="4"/>
  <c r="W425" i="4"/>
  <c r="U425" i="4"/>
  <c r="R425" i="4"/>
  <c r="O425" i="4"/>
  <c r="N425" i="4"/>
  <c r="L425" i="4"/>
  <c r="I425" i="4"/>
  <c r="H425" i="4"/>
  <c r="F425" i="4"/>
  <c r="C425" i="4"/>
  <c r="AC424" i="4"/>
  <c r="AD424" i="4" s="1"/>
  <c r="AA424" i="4"/>
  <c r="W424" i="4"/>
  <c r="X424" i="4" s="1"/>
  <c r="U424" i="4"/>
  <c r="R424" i="4"/>
  <c r="N424" i="4"/>
  <c r="O424" i="4" s="1"/>
  <c r="L424" i="4"/>
  <c r="H424" i="4"/>
  <c r="I424" i="4" s="1"/>
  <c r="F424" i="4"/>
  <c r="C424" i="4"/>
  <c r="AC423" i="4"/>
  <c r="AA423" i="4"/>
  <c r="X423" i="4"/>
  <c r="W423" i="4"/>
  <c r="U423" i="4"/>
  <c r="R423" i="4"/>
  <c r="O423" i="4"/>
  <c r="N423" i="4"/>
  <c r="L423" i="4"/>
  <c r="H423" i="4"/>
  <c r="I423" i="4" s="1"/>
  <c r="F423" i="4"/>
  <c r="C423" i="4"/>
  <c r="AD422" i="4"/>
  <c r="AC422" i="4"/>
  <c r="AA422" i="4"/>
  <c r="W422" i="4"/>
  <c r="U422" i="4"/>
  <c r="R422" i="4"/>
  <c r="N422" i="4"/>
  <c r="O422" i="4" s="1"/>
  <c r="L422" i="4"/>
  <c r="H422" i="4"/>
  <c r="I422" i="4" s="1"/>
  <c r="F422" i="4"/>
  <c r="C422" i="4"/>
  <c r="AC421" i="4"/>
  <c r="AD421" i="4" s="1"/>
  <c r="AA421" i="4"/>
  <c r="W421" i="4"/>
  <c r="U421" i="4"/>
  <c r="R421" i="4"/>
  <c r="O421" i="4"/>
  <c r="N421" i="4"/>
  <c r="L421" i="4"/>
  <c r="I421" i="4"/>
  <c r="H421" i="4"/>
  <c r="F421" i="4"/>
  <c r="C421" i="4"/>
  <c r="AC420" i="4"/>
  <c r="AD420" i="4" s="1"/>
  <c r="AA420" i="4"/>
  <c r="W420" i="4"/>
  <c r="X420" i="4" s="1"/>
  <c r="U420" i="4"/>
  <c r="R420" i="4"/>
  <c r="O420" i="4"/>
  <c r="N420" i="4"/>
  <c r="L420" i="4"/>
  <c r="H420" i="4"/>
  <c r="F420" i="4"/>
  <c r="C420" i="4"/>
  <c r="AC419" i="4"/>
  <c r="AD419" i="4" s="1"/>
  <c r="AA419" i="4"/>
  <c r="X419" i="4"/>
  <c r="W419" i="4"/>
  <c r="U419" i="4"/>
  <c r="R419" i="4"/>
  <c r="O419" i="4"/>
  <c r="N419" i="4"/>
  <c r="L419" i="4"/>
  <c r="H419" i="4"/>
  <c r="I419" i="4" s="1"/>
  <c r="F419" i="4"/>
  <c r="C419" i="4"/>
  <c r="AC418" i="4"/>
  <c r="AA418" i="4"/>
  <c r="W418" i="4"/>
  <c r="X418" i="4" s="1"/>
  <c r="U418" i="4"/>
  <c r="R418" i="4"/>
  <c r="O418" i="4"/>
  <c r="N418" i="4"/>
  <c r="L418" i="4"/>
  <c r="H418" i="4"/>
  <c r="I418" i="4" s="1"/>
  <c r="F418" i="4"/>
  <c r="C418" i="4"/>
  <c r="AC417" i="4"/>
  <c r="AD417" i="4" s="1"/>
  <c r="AA417" i="4"/>
  <c r="W417" i="4"/>
  <c r="U417" i="4"/>
  <c r="R417" i="4"/>
  <c r="O417" i="4"/>
  <c r="N417" i="4"/>
  <c r="L417" i="4"/>
  <c r="I417" i="4"/>
  <c r="H417" i="4"/>
  <c r="F417" i="4"/>
  <c r="C417" i="4"/>
  <c r="AC416" i="4"/>
  <c r="AD416" i="4" s="1"/>
  <c r="AA416" i="4"/>
  <c r="W416" i="4"/>
  <c r="X416" i="4" s="1"/>
  <c r="U416" i="4"/>
  <c r="R416" i="4"/>
  <c r="O416" i="4"/>
  <c r="N416" i="4"/>
  <c r="L416" i="4"/>
  <c r="H416" i="4"/>
  <c r="I416" i="4" s="1"/>
  <c r="F416" i="4"/>
  <c r="C416" i="4"/>
  <c r="AC415" i="4"/>
  <c r="AA415" i="4"/>
  <c r="W415" i="4"/>
  <c r="U415" i="4"/>
  <c r="R415" i="4"/>
  <c r="O415" i="4"/>
  <c r="N415" i="4"/>
  <c r="L415" i="4"/>
  <c r="I415" i="4"/>
  <c r="H415" i="4"/>
  <c r="F415" i="4"/>
  <c r="C415" i="4"/>
  <c r="AD414" i="4"/>
  <c r="AC414" i="4"/>
  <c r="AA414" i="4"/>
  <c r="W414" i="4"/>
  <c r="X414" i="4" s="1"/>
  <c r="U414" i="4"/>
  <c r="R414" i="4"/>
  <c r="N414" i="4"/>
  <c r="O414" i="4" s="1"/>
  <c r="L414" i="4"/>
  <c r="H414" i="4"/>
  <c r="I414" i="4" s="1"/>
  <c r="F414" i="4"/>
  <c r="C414" i="4"/>
  <c r="AC413" i="4"/>
  <c r="AA413" i="4"/>
  <c r="W413" i="4"/>
  <c r="X413" i="4" s="1"/>
  <c r="U413" i="4"/>
  <c r="R413" i="4"/>
  <c r="O413" i="4"/>
  <c r="N413" i="4"/>
  <c r="L413" i="4"/>
  <c r="H413" i="4"/>
  <c r="F413" i="4"/>
  <c r="C413" i="4"/>
  <c r="AC412" i="4"/>
  <c r="AD412" i="4" s="1"/>
  <c r="AA412" i="4"/>
  <c r="X412" i="4"/>
  <c r="W412" i="4"/>
  <c r="U412" i="4"/>
  <c r="R412" i="4"/>
  <c r="O412" i="4"/>
  <c r="N412" i="4"/>
  <c r="L412" i="4"/>
  <c r="H412" i="4"/>
  <c r="F412" i="4"/>
  <c r="C412" i="4"/>
  <c r="AC411" i="4"/>
  <c r="AA411" i="4"/>
  <c r="X411" i="4"/>
  <c r="W411" i="4"/>
  <c r="U411" i="4"/>
  <c r="R411" i="4"/>
  <c r="N411" i="4"/>
  <c r="O411" i="4" s="1"/>
  <c r="L411" i="4"/>
  <c r="H411" i="4"/>
  <c r="I411" i="4" s="1"/>
  <c r="F411" i="4"/>
  <c r="C411" i="4"/>
  <c r="AD410" i="4"/>
  <c r="AC410" i="4"/>
  <c r="AA410" i="4"/>
  <c r="W410" i="4"/>
  <c r="U410" i="4"/>
  <c r="R410" i="4"/>
  <c r="O410" i="4"/>
  <c r="N410" i="4"/>
  <c r="L410" i="4"/>
  <c r="H410" i="4"/>
  <c r="I410" i="4" s="1"/>
  <c r="F410" i="4"/>
  <c r="C410" i="4"/>
  <c r="AC409" i="4"/>
  <c r="AD409" i="4" s="1"/>
  <c r="AA409" i="4"/>
  <c r="W409" i="4"/>
  <c r="X409" i="4" s="1"/>
  <c r="U409" i="4"/>
  <c r="R409" i="4"/>
  <c r="O409" i="4"/>
  <c r="N409" i="4"/>
  <c r="L409" i="4"/>
  <c r="I409" i="4"/>
  <c r="H409" i="4"/>
  <c r="F409" i="4"/>
  <c r="C409" i="4"/>
  <c r="AC408" i="4"/>
  <c r="AD408" i="4" s="1"/>
  <c r="AA408" i="4"/>
  <c r="W408" i="4"/>
  <c r="X408" i="4" s="1"/>
  <c r="U408" i="4"/>
  <c r="R408" i="4"/>
  <c r="O408" i="4"/>
  <c r="N408" i="4"/>
  <c r="L408" i="4"/>
  <c r="H408" i="4"/>
  <c r="F408" i="4"/>
  <c r="C408" i="4"/>
  <c r="AC407" i="4"/>
  <c r="AD407" i="4" s="1"/>
  <c r="AA407" i="4"/>
  <c r="X407" i="4"/>
  <c r="W407" i="4"/>
  <c r="U407" i="4"/>
  <c r="R407" i="4"/>
  <c r="N407" i="4"/>
  <c r="O407" i="4" s="1"/>
  <c r="L407" i="4"/>
  <c r="H407" i="4"/>
  <c r="I407" i="4" s="1"/>
  <c r="F407" i="4"/>
  <c r="C407" i="4"/>
  <c r="AD403" i="4"/>
  <c r="AC403" i="4"/>
  <c r="Z403" i="4"/>
  <c r="AA403" i="4" s="1"/>
  <c r="T403" i="4"/>
  <c r="U403" i="4" s="1"/>
  <c r="R403" i="4"/>
  <c r="Q403" i="4"/>
  <c r="N403" i="4"/>
  <c r="O403" i="4" s="1"/>
  <c r="L403" i="4"/>
  <c r="K403" i="4"/>
  <c r="H403" i="4"/>
  <c r="I403" i="4" s="1"/>
  <c r="E403" i="4"/>
  <c r="F403" i="4" s="1"/>
  <c r="B403" i="4"/>
  <c r="C403" i="4" s="1"/>
  <c r="AC402" i="4"/>
  <c r="AD402" i="4" s="1"/>
  <c r="AA402" i="4"/>
  <c r="X402" i="4"/>
  <c r="W402" i="4"/>
  <c r="U402" i="4"/>
  <c r="R402" i="4"/>
  <c r="O402" i="4"/>
  <c r="N402" i="4"/>
  <c r="L402" i="4"/>
  <c r="H402" i="4"/>
  <c r="I402" i="4" s="1"/>
  <c r="F402" i="4"/>
  <c r="C402" i="4"/>
  <c r="AD401" i="4"/>
  <c r="AC401" i="4"/>
  <c r="AA401" i="4"/>
  <c r="W401" i="4"/>
  <c r="X401" i="4" s="1"/>
  <c r="U401" i="4"/>
  <c r="R401" i="4"/>
  <c r="N401" i="4"/>
  <c r="O401" i="4" s="1"/>
  <c r="L401" i="4"/>
  <c r="H401" i="4"/>
  <c r="I401" i="4" s="1"/>
  <c r="F401" i="4"/>
  <c r="C401" i="4"/>
  <c r="AD400" i="4"/>
  <c r="AC400" i="4"/>
  <c r="AA400" i="4"/>
  <c r="W400" i="4"/>
  <c r="U400" i="4"/>
  <c r="R400" i="4"/>
  <c r="O400" i="4"/>
  <c r="N400" i="4"/>
  <c r="L400" i="4"/>
  <c r="I400" i="4"/>
  <c r="H400" i="4"/>
  <c r="F400" i="4"/>
  <c r="C400" i="4"/>
  <c r="AC399" i="4"/>
  <c r="AD399" i="4" s="1"/>
  <c r="AA399" i="4"/>
  <c r="W399" i="4"/>
  <c r="X399" i="4" s="1"/>
  <c r="U399" i="4"/>
  <c r="R399" i="4"/>
  <c r="O399" i="4"/>
  <c r="N399" i="4"/>
  <c r="L399" i="4"/>
  <c r="I399" i="4"/>
  <c r="H399" i="4"/>
  <c r="F399" i="4"/>
  <c r="C399" i="4"/>
  <c r="AC398" i="4"/>
  <c r="AD398" i="4" s="1"/>
  <c r="AA398" i="4"/>
  <c r="X398" i="4"/>
  <c r="W398" i="4"/>
  <c r="U398" i="4"/>
  <c r="R398" i="4"/>
  <c r="O398" i="4"/>
  <c r="N398" i="4"/>
  <c r="L398" i="4"/>
  <c r="I398" i="4"/>
  <c r="H398" i="4"/>
  <c r="F398" i="4"/>
  <c r="C398" i="4"/>
  <c r="AD397" i="4"/>
  <c r="AC397" i="4"/>
  <c r="AA397" i="4"/>
  <c r="W397" i="4"/>
  <c r="X397" i="4" s="1"/>
  <c r="U397" i="4"/>
  <c r="R397" i="4"/>
  <c r="N397" i="4"/>
  <c r="O397" i="4" s="1"/>
  <c r="L397" i="4"/>
  <c r="H397" i="4"/>
  <c r="I397" i="4" s="1"/>
  <c r="F397" i="4"/>
  <c r="C397" i="4"/>
  <c r="AD396" i="4"/>
  <c r="AA396" i="4"/>
  <c r="Z396" i="4"/>
  <c r="T396" i="4"/>
  <c r="W396" i="4" s="1"/>
  <c r="X396" i="4" s="1"/>
  <c r="R396" i="4"/>
  <c r="Q396" i="4"/>
  <c r="AC396" i="4" s="1"/>
  <c r="K396" i="4"/>
  <c r="L396" i="4" s="1"/>
  <c r="H396" i="4"/>
  <c r="I396" i="4" s="1"/>
  <c r="F396" i="4"/>
  <c r="E396" i="4"/>
  <c r="C396" i="4"/>
  <c r="B396" i="4"/>
  <c r="AC395" i="4"/>
  <c r="AD395" i="4" s="1"/>
  <c r="AA395" i="4"/>
  <c r="W395" i="4"/>
  <c r="X395" i="4" s="1"/>
  <c r="U395" i="4"/>
  <c r="R395" i="4"/>
  <c r="O395" i="4"/>
  <c r="N395" i="4"/>
  <c r="L395" i="4"/>
  <c r="I395" i="4"/>
  <c r="H395" i="4"/>
  <c r="F395" i="4"/>
  <c r="C395" i="4"/>
  <c r="AD394" i="4"/>
  <c r="AC394" i="4"/>
  <c r="AA394" i="4"/>
  <c r="X394" i="4"/>
  <c r="W394" i="4"/>
  <c r="U394" i="4"/>
  <c r="R394" i="4"/>
  <c r="N394" i="4"/>
  <c r="O394" i="4" s="1"/>
  <c r="L394" i="4"/>
  <c r="H394" i="4"/>
  <c r="I394" i="4" s="1"/>
  <c r="F394" i="4"/>
  <c r="C394" i="4"/>
  <c r="AA393" i="4"/>
  <c r="Z393" i="4"/>
  <c r="U393" i="4"/>
  <c r="T393" i="4"/>
  <c r="W393" i="4" s="1"/>
  <c r="X393" i="4" s="1"/>
  <c r="R393" i="4"/>
  <c r="Q393" i="4"/>
  <c r="AC393" i="4" s="1"/>
  <c r="AD393" i="4" s="1"/>
  <c r="K393" i="4"/>
  <c r="L393" i="4" s="1"/>
  <c r="H393" i="4"/>
  <c r="I393" i="4" s="1"/>
  <c r="F393" i="4"/>
  <c r="E393" i="4"/>
  <c r="C393" i="4"/>
  <c r="B393" i="4"/>
  <c r="N393" i="4" s="1"/>
  <c r="O393" i="4" s="1"/>
  <c r="AC392" i="4"/>
  <c r="AD392" i="4" s="1"/>
  <c r="AA392" i="4"/>
  <c r="W392" i="4"/>
  <c r="X392" i="4" s="1"/>
  <c r="U392" i="4"/>
  <c r="R392" i="4"/>
  <c r="O392" i="4"/>
  <c r="N392" i="4"/>
  <c r="L392" i="4"/>
  <c r="H392" i="4"/>
  <c r="I392" i="4" s="1"/>
  <c r="F392" i="4"/>
  <c r="C392" i="4"/>
  <c r="AD391" i="4"/>
  <c r="AC391" i="4"/>
  <c r="AA391" i="4"/>
  <c r="X391" i="4"/>
  <c r="W391" i="4"/>
  <c r="U391" i="4"/>
  <c r="R391" i="4"/>
  <c r="N391" i="4"/>
  <c r="O391" i="4" s="1"/>
  <c r="L391" i="4"/>
  <c r="H391" i="4"/>
  <c r="I391" i="4" s="1"/>
  <c r="F391" i="4"/>
  <c r="C391" i="4"/>
  <c r="AD390" i="4"/>
  <c r="AC390" i="4"/>
  <c r="AA390" i="4"/>
  <c r="W390" i="4"/>
  <c r="U390" i="4"/>
  <c r="R390" i="4"/>
  <c r="O390" i="4"/>
  <c r="N390" i="4"/>
  <c r="L390" i="4"/>
  <c r="I390" i="4"/>
  <c r="H390" i="4"/>
  <c r="F390" i="4"/>
  <c r="C390" i="4"/>
  <c r="AC389" i="4"/>
  <c r="AD389" i="4" s="1"/>
  <c r="AA389" i="4"/>
  <c r="W389" i="4"/>
  <c r="X389" i="4" s="1"/>
  <c r="U389" i="4"/>
  <c r="R389" i="4"/>
  <c r="N389" i="4"/>
  <c r="O389" i="4" s="1"/>
  <c r="L389" i="4"/>
  <c r="I389" i="4"/>
  <c r="H389" i="4"/>
  <c r="F389" i="4"/>
  <c r="C389" i="4"/>
  <c r="AC388" i="4"/>
  <c r="AD388" i="4" s="1"/>
  <c r="AA388" i="4"/>
  <c r="X388" i="4"/>
  <c r="W388" i="4"/>
  <c r="U388" i="4"/>
  <c r="R388" i="4"/>
  <c r="O388" i="4"/>
  <c r="N388" i="4"/>
  <c r="L388" i="4"/>
  <c r="H388" i="4"/>
  <c r="I388" i="4" s="1"/>
  <c r="F388" i="4"/>
  <c r="C388" i="4"/>
  <c r="AD386" i="4"/>
  <c r="AC386" i="4"/>
  <c r="AA386" i="4"/>
  <c r="W386" i="4"/>
  <c r="X386" i="4" s="1"/>
  <c r="U386" i="4"/>
  <c r="R386" i="4"/>
  <c r="N386" i="4"/>
  <c r="O386" i="4" s="1"/>
  <c r="L386" i="4"/>
  <c r="H386" i="4"/>
  <c r="I386" i="4" s="1"/>
  <c r="F386" i="4"/>
  <c r="C386" i="4"/>
  <c r="AD385" i="4"/>
  <c r="AC385" i="4"/>
  <c r="AA385" i="4"/>
  <c r="W385" i="4"/>
  <c r="U385" i="4"/>
  <c r="R385" i="4"/>
  <c r="N385" i="4"/>
  <c r="O385" i="4" s="1"/>
  <c r="L385" i="4"/>
  <c r="I385" i="4"/>
  <c r="H385" i="4"/>
  <c r="F385" i="4"/>
  <c r="C385" i="4"/>
  <c r="AC383" i="4"/>
  <c r="AD383" i="4" s="1"/>
  <c r="AA383" i="4"/>
  <c r="W383" i="4"/>
  <c r="X383" i="4" s="1"/>
  <c r="U383" i="4"/>
  <c r="R383" i="4"/>
  <c r="O383" i="4"/>
  <c r="N383" i="4"/>
  <c r="L383" i="4"/>
  <c r="I383" i="4"/>
  <c r="H383" i="4"/>
  <c r="F383" i="4"/>
  <c r="C383" i="4"/>
  <c r="AC382" i="4"/>
  <c r="AD382" i="4" s="1"/>
  <c r="AA382" i="4"/>
  <c r="X382" i="4"/>
  <c r="W382" i="4"/>
  <c r="U382" i="4"/>
  <c r="R382" i="4"/>
  <c r="O382" i="4"/>
  <c r="N382" i="4"/>
  <c r="L382" i="4"/>
  <c r="I382" i="4"/>
  <c r="H382" i="4"/>
  <c r="F382" i="4"/>
  <c r="C382" i="4"/>
  <c r="AD381" i="4"/>
  <c r="AC381" i="4"/>
  <c r="AA381" i="4"/>
  <c r="W381" i="4"/>
  <c r="X381" i="4" s="1"/>
  <c r="U381" i="4"/>
  <c r="R381" i="4"/>
  <c r="N381" i="4"/>
  <c r="O381" i="4" s="1"/>
  <c r="L381" i="4"/>
  <c r="H381" i="4"/>
  <c r="I381" i="4" s="1"/>
  <c r="F381" i="4"/>
  <c r="C381" i="4"/>
  <c r="AD380" i="4"/>
  <c r="AC380" i="4"/>
  <c r="AA380" i="4"/>
  <c r="W380" i="4"/>
  <c r="U380" i="4"/>
  <c r="R380" i="4"/>
  <c r="O380" i="4"/>
  <c r="N380" i="4"/>
  <c r="L380" i="4"/>
  <c r="I380" i="4"/>
  <c r="H380" i="4"/>
  <c r="F380" i="4"/>
  <c r="C380" i="4"/>
  <c r="AC379" i="4"/>
  <c r="AD379" i="4" s="1"/>
  <c r="AA379" i="4"/>
  <c r="W379" i="4"/>
  <c r="X379" i="4" s="1"/>
  <c r="U379" i="4"/>
  <c r="R379" i="4"/>
  <c r="N379" i="4"/>
  <c r="O379" i="4" s="1"/>
  <c r="L379" i="4"/>
  <c r="I379" i="4"/>
  <c r="H379" i="4"/>
  <c r="F379" i="4"/>
  <c r="C379" i="4"/>
  <c r="AC378" i="4"/>
  <c r="AD378" i="4" s="1"/>
  <c r="AA378" i="4"/>
  <c r="W378" i="4"/>
  <c r="X378" i="4" s="1"/>
  <c r="U378" i="4"/>
  <c r="R378" i="4"/>
  <c r="O378" i="4"/>
  <c r="N378" i="4"/>
  <c r="L378" i="4"/>
  <c r="H378" i="4"/>
  <c r="I378" i="4" s="1"/>
  <c r="F378" i="4"/>
  <c r="C378" i="4"/>
  <c r="AD377" i="4"/>
  <c r="AC377" i="4"/>
  <c r="AA377" i="4"/>
  <c r="W377" i="4"/>
  <c r="X377" i="4" s="1"/>
  <c r="U377" i="4"/>
  <c r="R377" i="4"/>
  <c r="N377" i="4"/>
  <c r="O377" i="4" s="1"/>
  <c r="L377" i="4"/>
  <c r="H377" i="4"/>
  <c r="I377" i="4" s="1"/>
  <c r="F377" i="4"/>
  <c r="C377" i="4"/>
  <c r="AD376" i="4"/>
  <c r="AC376" i="4"/>
  <c r="AA376" i="4"/>
  <c r="W376" i="4"/>
  <c r="U376" i="4"/>
  <c r="R376" i="4"/>
  <c r="N376" i="4"/>
  <c r="O376" i="4" s="1"/>
  <c r="L376" i="4"/>
  <c r="I376" i="4"/>
  <c r="H376" i="4"/>
  <c r="F376" i="4"/>
  <c r="C376" i="4"/>
  <c r="AD375" i="4"/>
  <c r="AC375" i="4"/>
  <c r="AA375" i="4"/>
  <c r="W375" i="4"/>
  <c r="X375" i="4" s="1"/>
  <c r="U375" i="4"/>
  <c r="R375" i="4"/>
  <c r="O375" i="4"/>
  <c r="N375" i="4"/>
  <c r="L375" i="4"/>
  <c r="I375" i="4"/>
  <c r="H375" i="4"/>
  <c r="F375" i="4"/>
  <c r="C375" i="4"/>
  <c r="AC374" i="4"/>
  <c r="AD374" i="4" s="1"/>
  <c r="AA374" i="4"/>
  <c r="W374" i="4"/>
  <c r="X374" i="4" s="1"/>
  <c r="U374" i="4"/>
  <c r="R374" i="4"/>
  <c r="O374" i="4"/>
  <c r="N374" i="4"/>
  <c r="L374" i="4"/>
  <c r="I374" i="4"/>
  <c r="H374" i="4"/>
  <c r="F374" i="4"/>
  <c r="C374" i="4"/>
  <c r="AD373" i="4"/>
  <c r="AC373" i="4"/>
  <c r="AA373" i="4"/>
  <c r="W373" i="4"/>
  <c r="X373" i="4" s="1"/>
  <c r="U373" i="4"/>
  <c r="R373" i="4"/>
  <c r="N373" i="4"/>
  <c r="O373" i="4" s="1"/>
  <c r="L373" i="4"/>
  <c r="H373" i="4"/>
  <c r="I373" i="4" s="1"/>
  <c r="F373" i="4"/>
  <c r="C373" i="4"/>
  <c r="AD372" i="4"/>
  <c r="AC372" i="4"/>
  <c r="AA372" i="4"/>
  <c r="W372" i="4"/>
  <c r="U372" i="4"/>
  <c r="R372" i="4"/>
  <c r="N372" i="4"/>
  <c r="O372" i="4" s="1"/>
  <c r="L372" i="4"/>
  <c r="I372" i="4"/>
  <c r="H372" i="4"/>
  <c r="F372" i="4"/>
  <c r="C372" i="4"/>
  <c r="AD371" i="4"/>
  <c r="AC371" i="4"/>
  <c r="AA371" i="4"/>
  <c r="W371" i="4"/>
  <c r="X371" i="4" s="1"/>
  <c r="U371" i="4"/>
  <c r="R371" i="4"/>
  <c r="O371" i="4"/>
  <c r="N371" i="4"/>
  <c r="L371" i="4"/>
  <c r="I371" i="4"/>
  <c r="H371" i="4"/>
  <c r="F371" i="4"/>
  <c r="C371" i="4"/>
  <c r="AC370" i="4"/>
  <c r="AD370" i="4" s="1"/>
  <c r="AA370" i="4"/>
  <c r="W370" i="4"/>
  <c r="X370" i="4" s="1"/>
  <c r="U370" i="4"/>
  <c r="R370" i="4"/>
  <c r="O370" i="4"/>
  <c r="N370" i="4"/>
  <c r="L370" i="4"/>
  <c r="I370" i="4"/>
  <c r="H370" i="4"/>
  <c r="F370" i="4"/>
  <c r="C370" i="4"/>
  <c r="AD369" i="4"/>
  <c r="AC369" i="4"/>
  <c r="AA369" i="4"/>
  <c r="X369" i="4"/>
  <c r="W369" i="4"/>
  <c r="U369" i="4"/>
  <c r="R369" i="4"/>
  <c r="N369" i="4"/>
  <c r="O369" i="4" s="1"/>
  <c r="L369" i="4"/>
  <c r="H369" i="4"/>
  <c r="I369" i="4" s="1"/>
  <c r="F369" i="4"/>
  <c r="C369" i="4"/>
  <c r="AA368" i="4"/>
  <c r="Z368" i="4"/>
  <c r="T368" i="4"/>
  <c r="W368" i="4" s="1"/>
  <c r="X368" i="4" s="1"/>
  <c r="R368" i="4"/>
  <c r="Q368" i="4"/>
  <c r="AC368" i="4" s="1"/>
  <c r="AD368" i="4" s="1"/>
  <c r="K368" i="4"/>
  <c r="L368" i="4" s="1"/>
  <c r="H368" i="4"/>
  <c r="I368" i="4" s="1"/>
  <c r="F368" i="4"/>
  <c r="E368" i="4"/>
  <c r="C368" i="4"/>
  <c r="B368" i="4"/>
  <c r="N368" i="4" s="1"/>
  <c r="O368" i="4" s="1"/>
  <c r="AC367" i="4"/>
  <c r="AD367" i="4" s="1"/>
  <c r="AA367" i="4"/>
  <c r="W367" i="4"/>
  <c r="X367" i="4" s="1"/>
  <c r="U367" i="4"/>
  <c r="R367" i="4"/>
  <c r="O367" i="4"/>
  <c r="N367" i="4"/>
  <c r="L367" i="4"/>
  <c r="H367" i="4"/>
  <c r="I367" i="4" s="1"/>
  <c r="F367" i="4"/>
  <c r="C367" i="4"/>
  <c r="AD366" i="4"/>
  <c r="AC366" i="4"/>
  <c r="AA366" i="4"/>
  <c r="X366" i="4"/>
  <c r="W366" i="4"/>
  <c r="U366" i="4"/>
  <c r="R366" i="4"/>
  <c r="N366" i="4"/>
  <c r="O366" i="4" s="1"/>
  <c r="L366" i="4"/>
  <c r="H366" i="4"/>
  <c r="I366" i="4" s="1"/>
  <c r="F366" i="4"/>
  <c r="C366" i="4"/>
  <c r="AD365" i="4"/>
  <c r="AC365" i="4"/>
  <c r="AA365" i="4"/>
  <c r="W365" i="4"/>
  <c r="U365" i="4"/>
  <c r="R365" i="4"/>
  <c r="O365" i="4"/>
  <c r="N365" i="4"/>
  <c r="L365" i="4"/>
  <c r="I365" i="4"/>
  <c r="H365" i="4"/>
  <c r="F365" i="4"/>
  <c r="C365" i="4"/>
  <c r="AC364" i="4"/>
  <c r="AD364" i="4" s="1"/>
  <c r="AA364" i="4"/>
  <c r="W364" i="4"/>
  <c r="X364" i="4" s="1"/>
  <c r="U364" i="4"/>
  <c r="R364" i="4"/>
  <c r="N364" i="4"/>
  <c r="O364" i="4" s="1"/>
  <c r="L364" i="4"/>
  <c r="I364" i="4"/>
  <c r="H364" i="4"/>
  <c r="F364" i="4"/>
  <c r="C364" i="4"/>
  <c r="AC363" i="4"/>
  <c r="AD363" i="4" s="1"/>
  <c r="AA363" i="4"/>
  <c r="X363" i="4"/>
  <c r="W363" i="4"/>
  <c r="U363" i="4"/>
  <c r="R363" i="4"/>
  <c r="O363" i="4"/>
  <c r="N363" i="4"/>
  <c r="L363" i="4"/>
  <c r="H363" i="4"/>
  <c r="I363" i="4" s="1"/>
  <c r="F363" i="4"/>
  <c r="C363" i="4"/>
  <c r="AD362" i="4"/>
  <c r="AC362" i="4"/>
  <c r="AA362" i="4"/>
  <c r="X362" i="4"/>
  <c r="W362" i="4"/>
  <c r="U362" i="4"/>
  <c r="R362" i="4"/>
  <c r="N362" i="4"/>
  <c r="O362" i="4" s="1"/>
  <c r="L362" i="4"/>
  <c r="H362" i="4"/>
  <c r="I362" i="4" s="1"/>
  <c r="F362" i="4"/>
  <c r="C362" i="4"/>
  <c r="AD361" i="4"/>
  <c r="AC361" i="4"/>
  <c r="AA361" i="4"/>
  <c r="W361" i="4"/>
  <c r="U361" i="4"/>
  <c r="R361" i="4"/>
  <c r="N361" i="4"/>
  <c r="O361" i="4" s="1"/>
  <c r="L361" i="4"/>
  <c r="I361" i="4"/>
  <c r="H361" i="4"/>
  <c r="F361" i="4"/>
  <c r="C361" i="4"/>
  <c r="AC360" i="4"/>
  <c r="AD360" i="4" s="1"/>
  <c r="AA360" i="4"/>
  <c r="W360" i="4"/>
  <c r="X360" i="4" s="1"/>
  <c r="U360" i="4"/>
  <c r="R360" i="4"/>
  <c r="O360" i="4"/>
  <c r="N360" i="4"/>
  <c r="L360" i="4"/>
  <c r="I360" i="4"/>
  <c r="H360" i="4"/>
  <c r="F360" i="4"/>
  <c r="C360" i="4"/>
  <c r="AA358" i="4"/>
  <c r="Z358" i="4"/>
  <c r="U358" i="4"/>
  <c r="T358" i="4"/>
  <c r="Q358" i="4"/>
  <c r="AC358" i="4" s="1"/>
  <c r="AD358" i="4" s="1"/>
  <c r="L358" i="4"/>
  <c r="K358" i="4"/>
  <c r="E358" i="4"/>
  <c r="F358" i="4" s="1"/>
  <c r="B358" i="4"/>
  <c r="H358" i="4" s="1"/>
  <c r="I358" i="4" s="1"/>
  <c r="AD357" i="4"/>
  <c r="AC357" i="4"/>
  <c r="AA357" i="4"/>
  <c r="W357" i="4"/>
  <c r="U357" i="4"/>
  <c r="R357" i="4"/>
  <c r="N357" i="4"/>
  <c r="O357" i="4" s="1"/>
  <c r="L357" i="4"/>
  <c r="I357" i="4"/>
  <c r="H357" i="4"/>
  <c r="F357" i="4"/>
  <c r="C357" i="4"/>
  <c r="AC356" i="4"/>
  <c r="AD356" i="4" s="1"/>
  <c r="AA356" i="4"/>
  <c r="W356" i="4"/>
  <c r="X356" i="4" s="1"/>
  <c r="U356" i="4"/>
  <c r="R356" i="4"/>
  <c r="N356" i="4"/>
  <c r="O356" i="4" s="1"/>
  <c r="L356" i="4"/>
  <c r="I356" i="4"/>
  <c r="H356" i="4"/>
  <c r="F356" i="4"/>
  <c r="C356" i="4"/>
  <c r="AC355" i="4"/>
  <c r="AD355" i="4" s="1"/>
  <c r="AA355" i="4"/>
  <c r="W355" i="4"/>
  <c r="X355" i="4" s="1"/>
  <c r="U355" i="4"/>
  <c r="R355" i="4"/>
  <c r="O355" i="4"/>
  <c r="N355" i="4"/>
  <c r="L355" i="4"/>
  <c r="H355" i="4"/>
  <c r="I355" i="4" s="1"/>
  <c r="F355" i="4"/>
  <c r="C355" i="4"/>
  <c r="AD354" i="4"/>
  <c r="AC354" i="4"/>
  <c r="AA354" i="4"/>
  <c r="X354" i="4"/>
  <c r="W354" i="4"/>
  <c r="U354" i="4"/>
  <c r="R354" i="4"/>
  <c r="N354" i="4"/>
  <c r="O354" i="4" s="1"/>
  <c r="L354" i="4"/>
  <c r="H354" i="4"/>
  <c r="I354" i="4" s="1"/>
  <c r="F354" i="4"/>
  <c r="C354" i="4"/>
  <c r="AD353" i="4"/>
  <c r="AC353" i="4"/>
  <c r="AA353" i="4"/>
  <c r="W353" i="4"/>
  <c r="U353" i="4"/>
  <c r="R353" i="4"/>
  <c r="N353" i="4"/>
  <c r="O353" i="4" s="1"/>
  <c r="L353" i="4"/>
  <c r="I353" i="4"/>
  <c r="H353" i="4"/>
  <c r="F353" i="4"/>
  <c r="C353" i="4"/>
  <c r="AD352" i="4"/>
  <c r="AC352" i="4"/>
  <c r="AA352" i="4"/>
  <c r="W352" i="4"/>
  <c r="X352" i="4" s="1"/>
  <c r="U352" i="4"/>
  <c r="R352" i="4"/>
  <c r="N352" i="4"/>
  <c r="O352" i="4" s="1"/>
  <c r="L352" i="4"/>
  <c r="I352" i="4"/>
  <c r="H352" i="4"/>
  <c r="F352" i="4"/>
  <c r="C352" i="4"/>
  <c r="AC351" i="4"/>
  <c r="AD351" i="4" s="1"/>
  <c r="AA351" i="4"/>
  <c r="X351" i="4"/>
  <c r="W351" i="4"/>
  <c r="U351" i="4"/>
  <c r="R351" i="4"/>
  <c r="O351" i="4"/>
  <c r="N351" i="4"/>
  <c r="L351" i="4"/>
  <c r="H351" i="4"/>
  <c r="I351" i="4" s="1"/>
  <c r="F351" i="4"/>
  <c r="C351" i="4"/>
  <c r="AD350" i="4"/>
  <c r="AC350" i="4"/>
  <c r="AA350" i="4"/>
  <c r="X350" i="4"/>
  <c r="W350" i="4"/>
  <c r="U350" i="4"/>
  <c r="R350" i="4"/>
  <c r="N350" i="4"/>
  <c r="O350" i="4" s="1"/>
  <c r="L350" i="4"/>
  <c r="H350" i="4"/>
  <c r="I350" i="4" s="1"/>
  <c r="F350" i="4"/>
  <c r="C350" i="4"/>
  <c r="AD349" i="4"/>
  <c r="AC349" i="4"/>
  <c r="AA349" i="4"/>
  <c r="W349" i="4"/>
  <c r="U349" i="4"/>
  <c r="R349" i="4"/>
  <c r="N349" i="4"/>
  <c r="O349" i="4" s="1"/>
  <c r="L349" i="4"/>
  <c r="I349" i="4"/>
  <c r="H349" i="4"/>
  <c r="F349" i="4"/>
  <c r="C349" i="4"/>
  <c r="AD347" i="4"/>
  <c r="AC347" i="4"/>
  <c r="AA347" i="4"/>
  <c r="W347" i="4"/>
  <c r="X347" i="4" s="1"/>
  <c r="U347" i="4"/>
  <c r="R347" i="4"/>
  <c r="N347" i="4"/>
  <c r="O347" i="4" s="1"/>
  <c r="L347" i="4"/>
  <c r="I347" i="4"/>
  <c r="H347" i="4"/>
  <c r="F347" i="4"/>
  <c r="C347" i="4"/>
  <c r="AD344" i="4"/>
  <c r="AA344" i="4"/>
  <c r="Z344" i="4"/>
  <c r="T344" i="4"/>
  <c r="R344" i="4"/>
  <c r="Q344" i="4"/>
  <c r="AC344" i="4" s="1"/>
  <c r="K344" i="4"/>
  <c r="L344" i="4" s="1"/>
  <c r="H344" i="4"/>
  <c r="I344" i="4" s="1"/>
  <c r="F344" i="4"/>
  <c r="E344" i="4"/>
  <c r="C344" i="4"/>
  <c r="B344" i="4"/>
  <c r="AA343" i="4"/>
  <c r="Z343" i="4"/>
  <c r="AC343" i="4" s="1"/>
  <c r="AD343" i="4" s="1"/>
  <c r="U343" i="4"/>
  <c r="T343" i="4"/>
  <c r="Q343" i="4"/>
  <c r="N343" i="4"/>
  <c r="O343" i="4" s="1"/>
  <c r="L343" i="4"/>
  <c r="K343" i="4"/>
  <c r="I343" i="4"/>
  <c r="E343" i="4"/>
  <c r="F343" i="4" s="1"/>
  <c r="C343" i="4"/>
  <c r="B343" i="4"/>
  <c r="H343" i="4" s="1"/>
  <c r="AA342" i="4"/>
  <c r="Z342" i="4"/>
  <c r="W342" i="4"/>
  <c r="X342" i="4" s="1"/>
  <c r="U342" i="4"/>
  <c r="T342" i="4"/>
  <c r="R342" i="4"/>
  <c r="Q342" i="4"/>
  <c r="AC342" i="4" s="1"/>
  <c r="AD342" i="4" s="1"/>
  <c r="K342" i="4"/>
  <c r="L342" i="4" s="1"/>
  <c r="I342" i="4"/>
  <c r="H342" i="4"/>
  <c r="F342" i="4"/>
  <c r="E342" i="4"/>
  <c r="C342" i="4"/>
  <c r="B342" i="4"/>
  <c r="AC341" i="4"/>
  <c r="AD341" i="4" s="1"/>
  <c r="AA341" i="4"/>
  <c r="X341" i="4"/>
  <c r="W341" i="4"/>
  <c r="U341" i="4"/>
  <c r="R341" i="4"/>
  <c r="O341" i="4"/>
  <c r="N341" i="4"/>
  <c r="L341" i="4"/>
  <c r="H341" i="4"/>
  <c r="I341" i="4" s="1"/>
  <c r="F341" i="4"/>
  <c r="C341" i="4"/>
  <c r="AD340" i="4"/>
  <c r="AC340" i="4"/>
  <c r="AA340" i="4"/>
  <c r="W340" i="4"/>
  <c r="X340" i="4" s="1"/>
  <c r="U340" i="4"/>
  <c r="R340" i="4"/>
  <c r="N340" i="4"/>
  <c r="O340" i="4" s="1"/>
  <c r="L340" i="4"/>
  <c r="H340" i="4"/>
  <c r="I340" i="4" s="1"/>
  <c r="F340" i="4"/>
  <c r="C340" i="4"/>
  <c r="AD339" i="4"/>
  <c r="AC339" i="4"/>
  <c r="AA339" i="4"/>
  <c r="W339" i="4"/>
  <c r="U339" i="4"/>
  <c r="R339" i="4"/>
  <c r="N339" i="4"/>
  <c r="O339" i="4" s="1"/>
  <c r="L339" i="4"/>
  <c r="I339" i="4"/>
  <c r="H339" i="4"/>
  <c r="F339" i="4"/>
  <c r="C339" i="4"/>
  <c r="AD338" i="4"/>
  <c r="AC338" i="4"/>
  <c r="AA338" i="4"/>
  <c r="W338" i="4"/>
  <c r="X338" i="4" s="1"/>
  <c r="U338" i="4"/>
  <c r="R338" i="4"/>
  <c r="O338" i="4"/>
  <c r="N338" i="4"/>
  <c r="L338" i="4"/>
  <c r="I338" i="4"/>
  <c r="H338" i="4"/>
  <c r="F338" i="4"/>
  <c r="C338" i="4"/>
  <c r="AC337" i="4"/>
  <c r="AD337" i="4" s="1"/>
  <c r="AA337" i="4"/>
  <c r="W337" i="4"/>
  <c r="X337" i="4" s="1"/>
  <c r="U337" i="4"/>
  <c r="R337" i="4"/>
  <c r="O337" i="4"/>
  <c r="N337" i="4"/>
  <c r="L337" i="4"/>
  <c r="I337" i="4"/>
  <c r="H337" i="4"/>
  <c r="F337" i="4"/>
  <c r="C337" i="4"/>
  <c r="AD335" i="4"/>
  <c r="AC335" i="4"/>
  <c r="AA335" i="4"/>
  <c r="X335" i="4"/>
  <c r="W335" i="4"/>
  <c r="U335" i="4"/>
  <c r="R335" i="4"/>
  <c r="N335" i="4"/>
  <c r="O335" i="4" s="1"/>
  <c r="L335" i="4"/>
  <c r="H335" i="4"/>
  <c r="I335" i="4" s="1"/>
  <c r="F335" i="4"/>
  <c r="C335" i="4"/>
  <c r="AD334" i="4"/>
  <c r="AC334" i="4"/>
  <c r="AA334" i="4"/>
  <c r="W334" i="4"/>
  <c r="U334" i="4"/>
  <c r="R334" i="4"/>
  <c r="N334" i="4"/>
  <c r="O334" i="4" s="1"/>
  <c r="L334" i="4"/>
  <c r="I334" i="4"/>
  <c r="H334" i="4"/>
  <c r="F334" i="4"/>
  <c r="C334" i="4"/>
  <c r="AD333" i="4"/>
  <c r="AC333" i="4"/>
  <c r="AA333" i="4"/>
  <c r="W333" i="4"/>
  <c r="X333" i="4" s="1"/>
  <c r="U333" i="4"/>
  <c r="R333" i="4"/>
  <c r="O333" i="4"/>
  <c r="N333" i="4"/>
  <c r="L333" i="4"/>
  <c r="I333" i="4"/>
  <c r="H333" i="4"/>
  <c r="F333" i="4"/>
  <c r="C333" i="4"/>
  <c r="AC332" i="4"/>
  <c r="AD332" i="4" s="1"/>
  <c r="AA332" i="4"/>
  <c r="W332" i="4"/>
  <c r="X332" i="4" s="1"/>
  <c r="U332" i="4"/>
  <c r="R332" i="4"/>
  <c r="O332" i="4"/>
  <c r="N332" i="4"/>
  <c r="L332" i="4"/>
  <c r="H332" i="4"/>
  <c r="I332" i="4" s="1"/>
  <c r="F332" i="4"/>
  <c r="C332" i="4"/>
  <c r="AD331" i="4"/>
  <c r="AC331" i="4"/>
  <c r="AA331" i="4"/>
  <c r="X331" i="4"/>
  <c r="W331" i="4"/>
  <c r="U331" i="4"/>
  <c r="R331" i="4"/>
  <c r="N331" i="4"/>
  <c r="O331" i="4" s="1"/>
  <c r="L331" i="4"/>
  <c r="H331" i="4"/>
  <c r="I331" i="4" s="1"/>
  <c r="F331" i="4"/>
  <c r="C331" i="4"/>
  <c r="AD330" i="4"/>
  <c r="AC330" i="4"/>
  <c r="AA330" i="4"/>
  <c r="W330" i="4"/>
  <c r="U330" i="4"/>
  <c r="R330" i="4"/>
  <c r="N330" i="4"/>
  <c r="O330" i="4" s="1"/>
  <c r="L330" i="4"/>
  <c r="I330" i="4"/>
  <c r="H330" i="4"/>
  <c r="F330" i="4"/>
  <c r="C330" i="4"/>
  <c r="AD329" i="4"/>
  <c r="AC329" i="4"/>
  <c r="AA329" i="4"/>
  <c r="W329" i="4"/>
  <c r="X329" i="4" s="1"/>
  <c r="U329" i="4"/>
  <c r="R329" i="4"/>
  <c r="N329" i="4"/>
  <c r="O329" i="4" s="1"/>
  <c r="L329" i="4"/>
  <c r="I329" i="4"/>
  <c r="H329" i="4"/>
  <c r="F329" i="4"/>
  <c r="C329" i="4"/>
  <c r="AC328" i="4"/>
  <c r="AD328" i="4" s="1"/>
  <c r="AA328" i="4"/>
  <c r="X328" i="4"/>
  <c r="W328" i="4"/>
  <c r="U328" i="4"/>
  <c r="R328" i="4"/>
  <c r="O328" i="4"/>
  <c r="N328" i="4"/>
  <c r="L328" i="4"/>
  <c r="H328" i="4"/>
  <c r="I328" i="4" s="1"/>
  <c r="F328" i="4"/>
  <c r="C328" i="4"/>
  <c r="Z325" i="4"/>
  <c r="AA325" i="4" s="1"/>
  <c r="W325" i="4"/>
  <c r="X325" i="4" s="1"/>
  <c r="U325" i="4"/>
  <c r="T325" i="4"/>
  <c r="R325" i="4"/>
  <c r="Q325" i="4"/>
  <c r="N325" i="4"/>
  <c r="O325" i="4" s="1"/>
  <c r="L325" i="4"/>
  <c r="K325" i="4"/>
  <c r="F325" i="4"/>
  <c r="E325" i="4"/>
  <c r="B325" i="4"/>
  <c r="AC324" i="4"/>
  <c r="AD324" i="4" s="1"/>
  <c r="AA324" i="4"/>
  <c r="Z324" i="4"/>
  <c r="T324" i="4"/>
  <c r="U324" i="4" s="1"/>
  <c r="Q324" i="4"/>
  <c r="W324" i="4" s="1"/>
  <c r="X324" i="4" s="1"/>
  <c r="L324" i="4"/>
  <c r="K324" i="4"/>
  <c r="E324" i="4"/>
  <c r="H324" i="4" s="1"/>
  <c r="I324" i="4" s="1"/>
  <c r="C324" i="4"/>
  <c r="B324" i="4"/>
  <c r="N324" i="4" s="1"/>
  <c r="O324" i="4" s="1"/>
  <c r="AD323" i="4"/>
  <c r="AC323" i="4"/>
  <c r="AA323" i="4"/>
  <c r="W323" i="4"/>
  <c r="X323" i="4" s="1"/>
  <c r="U323" i="4"/>
  <c r="R323" i="4"/>
  <c r="N323" i="4"/>
  <c r="O323" i="4" s="1"/>
  <c r="L323" i="4"/>
  <c r="H323" i="4"/>
  <c r="I323" i="4" s="1"/>
  <c r="F323" i="4"/>
  <c r="C323" i="4"/>
  <c r="AD322" i="4"/>
  <c r="AC322" i="4"/>
  <c r="AA322" i="4"/>
  <c r="W322" i="4"/>
  <c r="U322" i="4"/>
  <c r="R322" i="4"/>
  <c r="N322" i="4"/>
  <c r="O322" i="4" s="1"/>
  <c r="L322" i="4"/>
  <c r="I322" i="4"/>
  <c r="H322" i="4"/>
  <c r="F322" i="4"/>
  <c r="C322" i="4"/>
  <c r="AD321" i="4"/>
  <c r="AC321" i="4"/>
  <c r="AA321" i="4"/>
  <c r="W321" i="4"/>
  <c r="X321" i="4" s="1"/>
  <c r="U321" i="4"/>
  <c r="R321" i="4"/>
  <c r="O321" i="4"/>
  <c r="N321" i="4"/>
  <c r="L321" i="4"/>
  <c r="I321" i="4"/>
  <c r="H321" i="4"/>
  <c r="F321" i="4"/>
  <c r="C321" i="4"/>
  <c r="AC320" i="4"/>
  <c r="AD320" i="4" s="1"/>
  <c r="AA320" i="4"/>
  <c r="W320" i="4"/>
  <c r="X320" i="4" s="1"/>
  <c r="U320" i="4"/>
  <c r="R320" i="4"/>
  <c r="O320" i="4"/>
  <c r="N320" i="4"/>
  <c r="L320" i="4"/>
  <c r="I320" i="4"/>
  <c r="H320" i="4"/>
  <c r="F320" i="4"/>
  <c r="C320" i="4"/>
  <c r="AD319" i="4"/>
  <c r="AC319" i="4"/>
  <c r="AA319" i="4"/>
  <c r="W319" i="4"/>
  <c r="X319" i="4" s="1"/>
  <c r="U319" i="4"/>
  <c r="R319" i="4"/>
  <c r="N319" i="4"/>
  <c r="O319" i="4" s="1"/>
  <c r="L319" i="4"/>
  <c r="H319" i="4"/>
  <c r="I319" i="4" s="1"/>
  <c r="F319" i="4"/>
  <c r="C319" i="4"/>
  <c r="AD318" i="4"/>
  <c r="AC318" i="4"/>
  <c r="AA318" i="4"/>
  <c r="W318" i="4"/>
  <c r="U318" i="4"/>
  <c r="R318" i="4"/>
  <c r="O318" i="4"/>
  <c r="N318" i="4"/>
  <c r="L318" i="4"/>
  <c r="I318" i="4"/>
  <c r="H318" i="4"/>
  <c r="F318" i="4"/>
  <c r="C318" i="4"/>
  <c r="AC317" i="4"/>
  <c r="AD317" i="4" s="1"/>
  <c r="AA317" i="4"/>
  <c r="W317" i="4"/>
  <c r="X317" i="4" s="1"/>
  <c r="U317" i="4"/>
  <c r="R317" i="4"/>
  <c r="N317" i="4"/>
  <c r="O317" i="4" s="1"/>
  <c r="L317" i="4"/>
  <c r="I317" i="4"/>
  <c r="H317" i="4"/>
  <c r="F317" i="4"/>
  <c r="C317" i="4"/>
  <c r="AC316" i="4"/>
  <c r="AD316" i="4" s="1"/>
  <c r="AA316" i="4"/>
  <c r="W316" i="4"/>
  <c r="X316" i="4" s="1"/>
  <c r="U316" i="4"/>
  <c r="R316" i="4"/>
  <c r="O316" i="4"/>
  <c r="N316" i="4"/>
  <c r="L316" i="4"/>
  <c r="H316" i="4"/>
  <c r="I316" i="4" s="1"/>
  <c r="F316" i="4"/>
  <c r="C316" i="4"/>
  <c r="AD315" i="4"/>
  <c r="AC315" i="4"/>
  <c r="AA315" i="4"/>
  <c r="X315" i="4"/>
  <c r="W315" i="4"/>
  <c r="U315" i="4"/>
  <c r="R315" i="4"/>
  <c r="N315" i="4"/>
  <c r="O315" i="4" s="1"/>
  <c r="L315" i="4"/>
  <c r="H315" i="4"/>
  <c r="I315" i="4" s="1"/>
  <c r="F315" i="4"/>
  <c r="C315" i="4"/>
  <c r="AD314" i="4"/>
  <c r="AC314" i="4"/>
  <c r="AA314" i="4"/>
  <c r="W314" i="4"/>
  <c r="U314" i="4"/>
  <c r="R314" i="4"/>
  <c r="N314" i="4"/>
  <c r="O314" i="4" s="1"/>
  <c r="L314" i="4"/>
  <c r="I314" i="4"/>
  <c r="H314" i="4"/>
  <c r="F314" i="4"/>
  <c r="C314" i="4"/>
  <c r="AD313" i="4"/>
  <c r="AC313" i="4"/>
  <c r="AA313" i="4"/>
  <c r="W313" i="4"/>
  <c r="X313" i="4" s="1"/>
  <c r="U313" i="4"/>
  <c r="R313" i="4"/>
  <c r="O313" i="4"/>
  <c r="N313" i="4"/>
  <c r="L313" i="4"/>
  <c r="I313" i="4"/>
  <c r="H313" i="4"/>
  <c r="F313" i="4"/>
  <c r="C313" i="4"/>
  <c r="AC312" i="4"/>
  <c r="AD312" i="4" s="1"/>
  <c r="AA312" i="4"/>
  <c r="W312" i="4"/>
  <c r="X312" i="4" s="1"/>
  <c r="U312" i="4"/>
  <c r="R312" i="4"/>
  <c r="O312" i="4"/>
  <c r="N312" i="4"/>
  <c r="L312" i="4"/>
  <c r="I312" i="4"/>
  <c r="H312" i="4"/>
  <c r="F312" i="4"/>
  <c r="C312" i="4"/>
  <c r="AD311" i="4"/>
  <c r="AC311" i="4"/>
  <c r="AA311" i="4"/>
  <c r="W311" i="4"/>
  <c r="X311" i="4" s="1"/>
  <c r="U311" i="4"/>
  <c r="R311" i="4"/>
  <c r="N311" i="4"/>
  <c r="O311" i="4" s="1"/>
  <c r="L311" i="4"/>
  <c r="H311" i="4"/>
  <c r="I311" i="4" s="1"/>
  <c r="F311" i="4"/>
  <c r="C311" i="4"/>
  <c r="AD310" i="4"/>
  <c r="AC310" i="4"/>
  <c r="AA310" i="4"/>
  <c r="W310" i="4"/>
  <c r="U310" i="4"/>
  <c r="R310" i="4"/>
  <c r="N310" i="4"/>
  <c r="O310" i="4" s="1"/>
  <c r="L310" i="4"/>
  <c r="I310" i="4"/>
  <c r="H310" i="4"/>
  <c r="F310" i="4"/>
  <c r="C310" i="4"/>
  <c r="AC309" i="4"/>
  <c r="AD309" i="4" s="1"/>
  <c r="AA309" i="4"/>
  <c r="W309" i="4"/>
  <c r="X309" i="4" s="1"/>
  <c r="U309" i="4"/>
  <c r="R309" i="4"/>
  <c r="N309" i="4"/>
  <c r="O309" i="4" s="1"/>
  <c r="L309" i="4"/>
  <c r="I309" i="4"/>
  <c r="H309" i="4"/>
  <c r="F309" i="4"/>
  <c r="C309" i="4"/>
  <c r="AC308" i="4"/>
  <c r="AD308" i="4" s="1"/>
  <c r="AA308" i="4"/>
  <c r="X308" i="4"/>
  <c r="W308" i="4"/>
  <c r="U308" i="4"/>
  <c r="R308" i="4"/>
  <c r="O308" i="4"/>
  <c r="N308" i="4"/>
  <c r="L308" i="4"/>
  <c r="H308" i="4"/>
  <c r="I308" i="4" s="1"/>
  <c r="F308" i="4"/>
  <c r="C308" i="4"/>
  <c r="AD307" i="4"/>
  <c r="AC307" i="4"/>
  <c r="AA307" i="4"/>
  <c r="X307" i="4"/>
  <c r="W307" i="4"/>
  <c r="U307" i="4"/>
  <c r="R307" i="4"/>
  <c r="N307" i="4"/>
  <c r="O307" i="4" s="1"/>
  <c r="L307" i="4"/>
  <c r="H307" i="4"/>
  <c r="I307" i="4" s="1"/>
  <c r="F307" i="4"/>
  <c r="C307" i="4"/>
  <c r="AD306" i="4"/>
  <c r="AC306" i="4"/>
  <c r="AA306" i="4"/>
  <c r="W306" i="4"/>
  <c r="U306" i="4"/>
  <c r="R306" i="4"/>
  <c r="N306" i="4"/>
  <c r="O306" i="4" s="1"/>
  <c r="L306" i="4"/>
  <c r="I306" i="4"/>
  <c r="H306" i="4"/>
  <c r="F306" i="4"/>
  <c r="C306" i="4"/>
  <c r="AD305" i="4"/>
  <c r="AC305" i="4"/>
  <c r="AA305" i="4"/>
  <c r="W305" i="4"/>
  <c r="X305" i="4" s="1"/>
  <c r="U305" i="4"/>
  <c r="R305" i="4"/>
  <c r="N305" i="4"/>
  <c r="O305" i="4" s="1"/>
  <c r="L305" i="4"/>
  <c r="I305" i="4"/>
  <c r="H305" i="4"/>
  <c r="F305" i="4"/>
  <c r="C305" i="4"/>
  <c r="AC304" i="4"/>
  <c r="AD304" i="4" s="1"/>
  <c r="AA304" i="4"/>
  <c r="W304" i="4"/>
  <c r="X304" i="4" s="1"/>
  <c r="U304" i="4"/>
  <c r="R304" i="4"/>
  <c r="O304" i="4"/>
  <c r="N304" i="4"/>
  <c r="L304" i="4"/>
  <c r="H304" i="4"/>
  <c r="I304" i="4" s="1"/>
  <c r="F304" i="4"/>
  <c r="C304" i="4"/>
  <c r="AD303" i="4"/>
  <c r="AC303" i="4"/>
  <c r="AA303" i="4"/>
  <c r="W303" i="4"/>
  <c r="X303" i="4" s="1"/>
  <c r="U303" i="4"/>
  <c r="R303" i="4"/>
  <c r="N303" i="4"/>
  <c r="O303" i="4" s="1"/>
  <c r="L303" i="4"/>
  <c r="H303" i="4"/>
  <c r="I303" i="4" s="1"/>
  <c r="F303" i="4"/>
  <c r="C303" i="4"/>
  <c r="AD302" i="4"/>
  <c r="AC302" i="4"/>
  <c r="AA302" i="4"/>
  <c r="W302" i="4"/>
  <c r="U302" i="4"/>
  <c r="R302" i="4"/>
  <c r="O302" i="4"/>
  <c r="N302" i="4"/>
  <c r="L302" i="4"/>
  <c r="I302" i="4"/>
  <c r="H302" i="4"/>
  <c r="F302" i="4"/>
  <c r="C302" i="4"/>
  <c r="AC301" i="4"/>
  <c r="AD301" i="4" s="1"/>
  <c r="AA301" i="4"/>
  <c r="W301" i="4"/>
  <c r="X301" i="4" s="1"/>
  <c r="U301" i="4"/>
  <c r="R301" i="4"/>
  <c r="N301" i="4"/>
  <c r="O301" i="4" s="1"/>
  <c r="L301" i="4"/>
  <c r="I301" i="4"/>
  <c r="H301" i="4"/>
  <c r="F301" i="4"/>
  <c r="C301" i="4"/>
  <c r="AC300" i="4"/>
  <c r="AD300" i="4" s="1"/>
  <c r="AA300" i="4"/>
  <c r="X300" i="4"/>
  <c r="W300" i="4"/>
  <c r="U300" i="4"/>
  <c r="R300" i="4"/>
  <c r="O300" i="4"/>
  <c r="N300" i="4"/>
  <c r="L300" i="4"/>
  <c r="H300" i="4"/>
  <c r="I300" i="4" s="1"/>
  <c r="F300" i="4"/>
  <c r="C300" i="4"/>
  <c r="AD299" i="4"/>
  <c r="AC299" i="4"/>
  <c r="AA299" i="4"/>
  <c r="X299" i="4"/>
  <c r="W299" i="4"/>
  <c r="U299" i="4"/>
  <c r="R299" i="4"/>
  <c r="N299" i="4"/>
  <c r="O299" i="4" s="1"/>
  <c r="L299" i="4"/>
  <c r="H299" i="4"/>
  <c r="I299" i="4" s="1"/>
  <c r="F299" i="4"/>
  <c r="C299" i="4"/>
  <c r="AD298" i="4"/>
  <c r="AC298" i="4"/>
  <c r="AA298" i="4"/>
  <c r="W298" i="4"/>
  <c r="U298" i="4"/>
  <c r="R298" i="4"/>
  <c r="N298" i="4"/>
  <c r="O298" i="4" s="1"/>
  <c r="L298" i="4"/>
  <c r="I298" i="4"/>
  <c r="H298" i="4"/>
  <c r="F298" i="4"/>
  <c r="C298" i="4"/>
  <c r="AC297" i="4"/>
  <c r="AD297" i="4" s="1"/>
  <c r="AA297" i="4"/>
  <c r="W297" i="4"/>
  <c r="X297" i="4" s="1"/>
  <c r="U297" i="4"/>
  <c r="R297" i="4"/>
  <c r="O297" i="4"/>
  <c r="N297" i="4"/>
  <c r="L297" i="4"/>
  <c r="I297" i="4"/>
  <c r="H297" i="4"/>
  <c r="F297" i="4"/>
  <c r="C297" i="4"/>
  <c r="AA295" i="4"/>
  <c r="Z295" i="4"/>
  <c r="U295" i="4"/>
  <c r="T295" i="4"/>
  <c r="Q295" i="4"/>
  <c r="AC295" i="4" s="1"/>
  <c r="AD295" i="4" s="1"/>
  <c r="L295" i="4"/>
  <c r="K295" i="4"/>
  <c r="E295" i="4"/>
  <c r="F295" i="4" s="1"/>
  <c r="B295" i="4"/>
  <c r="H295" i="4" s="1"/>
  <c r="I295" i="4" s="1"/>
  <c r="AD294" i="4"/>
  <c r="AC294" i="4"/>
  <c r="AA294" i="4"/>
  <c r="W294" i="4"/>
  <c r="U294" i="4"/>
  <c r="R294" i="4"/>
  <c r="N294" i="4"/>
  <c r="O294" i="4" s="1"/>
  <c r="L294" i="4"/>
  <c r="I294" i="4"/>
  <c r="H294" i="4"/>
  <c r="F294" i="4"/>
  <c r="C294" i="4"/>
  <c r="AC293" i="4"/>
  <c r="AD293" i="4" s="1"/>
  <c r="AA293" i="4"/>
  <c r="W293" i="4"/>
  <c r="X293" i="4" s="1"/>
  <c r="U293" i="4"/>
  <c r="R293" i="4"/>
  <c r="N293" i="4"/>
  <c r="O293" i="4" s="1"/>
  <c r="L293" i="4"/>
  <c r="I293" i="4"/>
  <c r="H293" i="4"/>
  <c r="F293" i="4"/>
  <c r="C293" i="4"/>
  <c r="AC292" i="4"/>
  <c r="AD292" i="4" s="1"/>
  <c r="AA292" i="4"/>
  <c r="W292" i="4"/>
  <c r="X292" i="4" s="1"/>
  <c r="U292" i="4"/>
  <c r="R292" i="4"/>
  <c r="O292" i="4"/>
  <c r="N292" i="4"/>
  <c r="L292" i="4"/>
  <c r="H292" i="4"/>
  <c r="I292" i="4" s="1"/>
  <c r="F292" i="4"/>
  <c r="C292" i="4"/>
  <c r="AD291" i="4"/>
  <c r="AC291" i="4"/>
  <c r="AA291" i="4"/>
  <c r="X291" i="4"/>
  <c r="W291" i="4"/>
  <c r="U291" i="4"/>
  <c r="R291" i="4"/>
  <c r="N291" i="4"/>
  <c r="O291" i="4" s="1"/>
  <c r="L291" i="4"/>
  <c r="H291" i="4"/>
  <c r="I291" i="4" s="1"/>
  <c r="F291" i="4"/>
  <c r="C291" i="4"/>
  <c r="AD290" i="4"/>
  <c r="AC290" i="4"/>
  <c r="AA290" i="4"/>
  <c r="W290" i="4"/>
  <c r="U290" i="4"/>
  <c r="R290" i="4"/>
  <c r="N290" i="4"/>
  <c r="O290" i="4" s="1"/>
  <c r="L290" i="4"/>
  <c r="I290" i="4"/>
  <c r="H290" i="4"/>
  <c r="F290" i="4"/>
  <c r="C290" i="4"/>
  <c r="AD289" i="4"/>
  <c r="AC289" i="4"/>
  <c r="AA289" i="4"/>
  <c r="W289" i="4"/>
  <c r="X289" i="4" s="1"/>
  <c r="U289" i="4"/>
  <c r="R289" i="4"/>
  <c r="N289" i="4"/>
  <c r="O289" i="4" s="1"/>
  <c r="L289" i="4"/>
  <c r="I289" i="4"/>
  <c r="H289" i="4"/>
  <c r="F289" i="4"/>
  <c r="C289" i="4"/>
  <c r="AC288" i="4"/>
  <c r="AD288" i="4" s="1"/>
  <c r="AA288" i="4"/>
  <c r="W288" i="4"/>
  <c r="X288" i="4" s="1"/>
  <c r="U288" i="4"/>
  <c r="R288" i="4"/>
  <c r="O288" i="4"/>
  <c r="N288" i="4"/>
  <c r="L288" i="4"/>
  <c r="H288" i="4"/>
  <c r="I288" i="4" s="1"/>
  <c r="F288" i="4"/>
  <c r="C288" i="4"/>
  <c r="AD287" i="4"/>
  <c r="AC287" i="4"/>
  <c r="AA287" i="4"/>
  <c r="X287" i="4"/>
  <c r="W287" i="4"/>
  <c r="U287" i="4"/>
  <c r="R287" i="4"/>
  <c r="N287" i="4"/>
  <c r="O287" i="4" s="1"/>
  <c r="L287" i="4"/>
  <c r="H287" i="4"/>
  <c r="I287" i="4" s="1"/>
  <c r="F287" i="4"/>
  <c r="C287" i="4"/>
  <c r="AD286" i="4"/>
  <c r="AC286" i="4"/>
  <c r="AA286" i="4"/>
  <c r="W286" i="4"/>
  <c r="U286" i="4"/>
  <c r="R286" i="4"/>
  <c r="N286" i="4"/>
  <c r="O286" i="4" s="1"/>
  <c r="L286" i="4"/>
  <c r="I286" i="4"/>
  <c r="H286" i="4"/>
  <c r="F286" i="4"/>
  <c r="C286" i="4"/>
  <c r="AA284" i="4"/>
  <c r="Z284" i="4"/>
  <c r="T284" i="4"/>
  <c r="U284" i="4" s="1"/>
  <c r="Q284" i="4"/>
  <c r="L284" i="4"/>
  <c r="K284" i="4"/>
  <c r="E284" i="4"/>
  <c r="H284" i="4" s="1"/>
  <c r="I284" i="4" s="1"/>
  <c r="C284" i="4"/>
  <c r="B284" i="4"/>
  <c r="N284" i="4" s="1"/>
  <c r="O284" i="4" s="1"/>
  <c r="AD283" i="4"/>
  <c r="AC283" i="4"/>
  <c r="AA283" i="4"/>
  <c r="W283" i="4"/>
  <c r="X283" i="4" s="1"/>
  <c r="U283" i="4"/>
  <c r="R283" i="4"/>
  <c r="N283" i="4"/>
  <c r="O283" i="4" s="1"/>
  <c r="L283" i="4"/>
  <c r="H283" i="4"/>
  <c r="I283" i="4" s="1"/>
  <c r="F283" i="4"/>
  <c r="C283" i="4"/>
  <c r="AD282" i="4"/>
  <c r="AC282" i="4"/>
  <c r="AA282" i="4"/>
  <c r="W282" i="4"/>
  <c r="U282" i="4"/>
  <c r="R282" i="4"/>
  <c r="N282" i="4"/>
  <c r="O282" i="4" s="1"/>
  <c r="L282" i="4"/>
  <c r="I282" i="4"/>
  <c r="H282" i="4"/>
  <c r="F282" i="4"/>
  <c r="C282" i="4"/>
  <c r="AC281" i="4"/>
  <c r="AD281" i="4" s="1"/>
  <c r="AA281" i="4"/>
  <c r="W281" i="4"/>
  <c r="X281" i="4" s="1"/>
  <c r="U281" i="4"/>
  <c r="R281" i="4"/>
  <c r="O281" i="4"/>
  <c r="N281" i="4"/>
  <c r="L281" i="4"/>
  <c r="I281" i="4"/>
  <c r="H281" i="4"/>
  <c r="F281" i="4"/>
  <c r="C281" i="4"/>
  <c r="AC280" i="4"/>
  <c r="AD280" i="4" s="1"/>
  <c r="AA280" i="4"/>
  <c r="W280" i="4"/>
  <c r="X280" i="4" s="1"/>
  <c r="U280" i="4"/>
  <c r="R280" i="4"/>
  <c r="O280" i="4"/>
  <c r="N280" i="4"/>
  <c r="L280" i="4"/>
  <c r="I280" i="4"/>
  <c r="H280" i="4"/>
  <c r="F280" i="4"/>
  <c r="C280" i="4"/>
  <c r="AD279" i="4"/>
  <c r="AC279" i="4"/>
  <c r="AA279" i="4"/>
  <c r="W279" i="4"/>
  <c r="X279" i="4" s="1"/>
  <c r="U279" i="4"/>
  <c r="R279" i="4"/>
  <c r="N279" i="4"/>
  <c r="O279" i="4" s="1"/>
  <c r="L279" i="4"/>
  <c r="H279" i="4"/>
  <c r="I279" i="4" s="1"/>
  <c r="F279" i="4"/>
  <c r="C279" i="4"/>
  <c r="AD278" i="4"/>
  <c r="AC278" i="4"/>
  <c r="AA278" i="4"/>
  <c r="X278" i="4"/>
  <c r="W278" i="4"/>
  <c r="U278" i="4"/>
  <c r="R278" i="4"/>
  <c r="N278" i="4"/>
  <c r="O278" i="4" s="1"/>
  <c r="L278" i="4"/>
  <c r="I278" i="4"/>
  <c r="H278" i="4"/>
  <c r="F278" i="4"/>
  <c r="C278" i="4"/>
  <c r="AD277" i="4"/>
  <c r="AC277" i="4"/>
  <c r="AA277" i="4"/>
  <c r="W277" i="4"/>
  <c r="X277" i="4" s="1"/>
  <c r="U277" i="4"/>
  <c r="R277" i="4"/>
  <c r="N277" i="4"/>
  <c r="O277" i="4" s="1"/>
  <c r="L277" i="4"/>
  <c r="I277" i="4"/>
  <c r="H277" i="4"/>
  <c r="F277" i="4"/>
  <c r="C277" i="4"/>
  <c r="AC276" i="4"/>
  <c r="AD276" i="4" s="1"/>
  <c r="AA276" i="4"/>
  <c r="W276" i="4"/>
  <c r="X276" i="4" s="1"/>
  <c r="U276" i="4"/>
  <c r="R276" i="4"/>
  <c r="O276" i="4"/>
  <c r="N276" i="4"/>
  <c r="L276" i="4"/>
  <c r="H276" i="4"/>
  <c r="I276" i="4" s="1"/>
  <c r="F276" i="4"/>
  <c r="C276" i="4"/>
  <c r="AD275" i="4"/>
  <c r="AC275" i="4"/>
  <c r="AA275" i="4"/>
  <c r="W275" i="4"/>
  <c r="X275" i="4" s="1"/>
  <c r="U275" i="4"/>
  <c r="R275" i="4"/>
  <c r="N275" i="4"/>
  <c r="O275" i="4" s="1"/>
  <c r="L275" i="4"/>
  <c r="H275" i="4"/>
  <c r="I275" i="4" s="1"/>
  <c r="F275" i="4"/>
  <c r="C275" i="4"/>
  <c r="AA273" i="4"/>
  <c r="Z273" i="4"/>
  <c r="U273" i="4"/>
  <c r="T273" i="4"/>
  <c r="W273" i="4" s="1"/>
  <c r="X273" i="4" s="1"/>
  <c r="R273" i="4"/>
  <c r="Q273" i="4"/>
  <c r="AC273" i="4" s="1"/>
  <c r="AD273" i="4" s="1"/>
  <c r="K273" i="4"/>
  <c r="L273" i="4" s="1"/>
  <c r="I273" i="4"/>
  <c r="H273" i="4"/>
  <c r="F273" i="4"/>
  <c r="E273" i="4"/>
  <c r="C273" i="4"/>
  <c r="B273" i="4"/>
  <c r="AC272" i="4"/>
  <c r="AD272" i="4" s="1"/>
  <c r="AA272" i="4"/>
  <c r="X272" i="4"/>
  <c r="W272" i="4"/>
  <c r="U272" i="4"/>
  <c r="R272" i="4"/>
  <c r="O272" i="4"/>
  <c r="N272" i="4"/>
  <c r="L272" i="4"/>
  <c r="H272" i="4"/>
  <c r="I272" i="4" s="1"/>
  <c r="F272" i="4"/>
  <c r="C272" i="4"/>
  <c r="AD271" i="4"/>
  <c r="AC271" i="4"/>
  <c r="AA271" i="4"/>
  <c r="W271" i="4"/>
  <c r="X271" i="4" s="1"/>
  <c r="U271" i="4"/>
  <c r="R271" i="4"/>
  <c r="N271" i="4"/>
  <c r="O271" i="4" s="1"/>
  <c r="L271" i="4"/>
  <c r="H271" i="4"/>
  <c r="I271" i="4" s="1"/>
  <c r="F271" i="4"/>
  <c r="C271" i="4"/>
  <c r="AD270" i="4"/>
  <c r="AC270" i="4"/>
  <c r="AA270" i="4"/>
  <c r="X270" i="4"/>
  <c r="W270" i="4"/>
  <c r="U270" i="4"/>
  <c r="R270" i="4"/>
  <c r="N270" i="4"/>
  <c r="O270" i="4" s="1"/>
  <c r="L270" i="4"/>
  <c r="I270" i="4"/>
  <c r="H270" i="4"/>
  <c r="F270" i="4"/>
  <c r="C270" i="4"/>
  <c r="AC269" i="4"/>
  <c r="AD269" i="4" s="1"/>
  <c r="AA269" i="4"/>
  <c r="W269" i="4"/>
  <c r="X269" i="4" s="1"/>
  <c r="U269" i="4"/>
  <c r="R269" i="4"/>
  <c r="N269" i="4"/>
  <c r="O269" i="4" s="1"/>
  <c r="L269" i="4"/>
  <c r="I269" i="4"/>
  <c r="H269" i="4"/>
  <c r="F269" i="4"/>
  <c r="C269" i="4"/>
  <c r="AC267" i="4"/>
  <c r="AD267" i="4" s="1"/>
  <c r="Z267" i="4"/>
  <c r="AA267" i="4" s="1"/>
  <c r="U267" i="4"/>
  <c r="T267" i="4"/>
  <c r="Q267" i="4"/>
  <c r="N267" i="4"/>
  <c r="O267" i="4" s="1"/>
  <c r="L267" i="4"/>
  <c r="K267" i="4"/>
  <c r="E267" i="4"/>
  <c r="F267" i="4" s="1"/>
  <c r="B267" i="4"/>
  <c r="H267" i="4" s="1"/>
  <c r="I267" i="4" s="1"/>
  <c r="AD266" i="4"/>
  <c r="AC266" i="4"/>
  <c r="AA266" i="4"/>
  <c r="X266" i="4"/>
  <c r="W266" i="4"/>
  <c r="U266" i="4"/>
  <c r="R266" i="4"/>
  <c r="O266" i="4"/>
  <c r="N266" i="4"/>
  <c r="L266" i="4"/>
  <c r="I266" i="4"/>
  <c r="H266" i="4"/>
  <c r="F266" i="4"/>
  <c r="C266" i="4"/>
  <c r="AC265" i="4"/>
  <c r="AD265" i="4" s="1"/>
  <c r="AA265" i="4"/>
  <c r="W265" i="4"/>
  <c r="X265" i="4" s="1"/>
  <c r="U265" i="4"/>
  <c r="R265" i="4"/>
  <c r="N265" i="4"/>
  <c r="O265" i="4" s="1"/>
  <c r="L265" i="4"/>
  <c r="I265" i="4"/>
  <c r="H265" i="4"/>
  <c r="F265" i="4"/>
  <c r="C265" i="4"/>
  <c r="Z263" i="4"/>
  <c r="AA263" i="4" s="1"/>
  <c r="U263" i="4"/>
  <c r="T263" i="4"/>
  <c r="Q263" i="4"/>
  <c r="L263" i="4"/>
  <c r="K263" i="4"/>
  <c r="E263" i="4"/>
  <c r="F263" i="4" s="1"/>
  <c r="B263" i="4"/>
  <c r="AA262" i="4"/>
  <c r="Z262" i="4"/>
  <c r="T262" i="4"/>
  <c r="W262" i="4" s="1"/>
  <c r="X262" i="4" s="1"/>
  <c r="R262" i="4"/>
  <c r="Q262" i="4"/>
  <c r="AC262" i="4" s="1"/>
  <c r="AD262" i="4" s="1"/>
  <c r="K262" i="4"/>
  <c r="L262" i="4" s="1"/>
  <c r="H262" i="4"/>
  <c r="I262" i="4" s="1"/>
  <c r="F262" i="4"/>
  <c r="E262" i="4"/>
  <c r="C262" i="4"/>
  <c r="B262" i="4"/>
  <c r="N262" i="4" s="1"/>
  <c r="O262" i="4" s="1"/>
  <c r="AC261" i="4"/>
  <c r="AD261" i="4" s="1"/>
  <c r="AA261" i="4"/>
  <c r="W261" i="4"/>
  <c r="X261" i="4" s="1"/>
  <c r="U261" i="4"/>
  <c r="R261" i="4"/>
  <c r="O261" i="4"/>
  <c r="N261" i="4"/>
  <c r="L261" i="4"/>
  <c r="H261" i="4"/>
  <c r="I261" i="4" s="1"/>
  <c r="F261" i="4"/>
  <c r="C261" i="4"/>
  <c r="AD260" i="4"/>
  <c r="AC260" i="4"/>
  <c r="AA260" i="4"/>
  <c r="W260" i="4"/>
  <c r="X260" i="4" s="1"/>
  <c r="U260" i="4"/>
  <c r="R260" i="4"/>
  <c r="N260" i="4"/>
  <c r="O260" i="4" s="1"/>
  <c r="L260" i="4"/>
  <c r="H260" i="4"/>
  <c r="I260" i="4" s="1"/>
  <c r="F260" i="4"/>
  <c r="C260" i="4"/>
  <c r="AD259" i="4"/>
  <c r="AC259" i="4"/>
  <c r="AA259" i="4"/>
  <c r="X259" i="4"/>
  <c r="W259" i="4"/>
  <c r="U259" i="4"/>
  <c r="R259" i="4"/>
  <c r="N259" i="4"/>
  <c r="O259" i="4" s="1"/>
  <c r="L259" i="4"/>
  <c r="I259" i="4"/>
  <c r="H259" i="4"/>
  <c r="F259" i="4"/>
  <c r="C259" i="4"/>
  <c r="AD258" i="4"/>
  <c r="AC258" i="4"/>
  <c r="AA258" i="4"/>
  <c r="W258" i="4"/>
  <c r="X258" i="4" s="1"/>
  <c r="U258" i="4"/>
  <c r="R258" i="4"/>
  <c r="O258" i="4"/>
  <c r="N258" i="4"/>
  <c r="L258" i="4"/>
  <c r="I258" i="4"/>
  <c r="H258" i="4"/>
  <c r="F258" i="4"/>
  <c r="C258" i="4"/>
  <c r="AC257" i="4"/>
  <c r="AD257" i="4" s="1"/>
  <c r="AA257" i="4"/>
  <c r="W257" i="4"/>
  <c r="X257" i="4" s="1"/>
  <c r="U257" i="4"/>
  <c r="R257" i="4"/>
  <c r="O257" i="4"/>
  <c r="N257" i="4"/>
  <c r="L257" i="4"/>
  <c r="I257" i="4"/>
  <c r="H257" i="4"/>
  <c r="F257" i="4"/>
  <c r="C257" i="4"/>
  <c r="AD256" i="4"/>
  <c r="AC256" i="4"/>
  <c r="AA256" i="4"/>
  <c r="W256" i="4"/>
  <c r="X256" i="4" s="1"/>
  <c r="U256" i="4"/>
  <c r="R256" i="4"/>
  <c r="N256" i="4"/>
  <c r="O256" i="4" s="1"/>
  <c r="L256" i="4"/>
  <c r="H256" i="4"/>
  <c r="I256" i="4" s="1"/>
  <c r="F256" i="4"/>
  <c r="C256" i="4"/>
  <c r="AD255" i="4"/>
  <c r="AC255" i="4"/>
  <c r="AA255" i="4"/>
  <c r="X255" i="4"/>
  <c r="W255" i="4"/>
  <c r="U255" i="4"/>
  <c r="R255" i="4"/>
  <c r="N255" i="4"/>
  <c r="O255" i="4" s="1"/>
  <c r="L255" i="4"/>
  <c r="I255" i="4"/>
  <c r="H255" i="4"/>
  <c r="F255" i="4"/>
  <c r="C255" i="4"/>
  <c r="AD254" i="4"/>
  <c r="AC254" i="4"/>
  <c r="AA254" i="4"/>
  <c r="W254" i="4"/>
  <c r="X254" i="4" s="1"/>
  <c r="U254" i="4"/>
  <c r="R254" i="4"/>
  <c r="N254" i="4"/>
  <c r="O254" i="4" s="1"/>
  <c r="L254" i="4"/>
  <c r="I254" i="4"/>
  <c r="H254" i="4"/>
  <c r="F254" i="4"/>
  <c r="C254" i="4"/>
  <c r="AC253" i="4"/>
  <c r="AD253" i="4" s="1"/>
  <c r="AA253" i="4"/>
  <c r="W253" i="4"/>
  <c r="X253" i="4" s="1"/>
  <c r="U253" i="4"/>
  <c r="R253" i="4"/>
  <c r="O253" i="4"/>
  <c r="N253" i="4"/>
  <c r="L253" i="4"/>
  <c r="H253" i="4"/>
  <c r="I253" i="4" s="1"/>
  <c r="F253" i="4"/>
  <c r="C253" i="4"/>
  <c r="AD252" i="4"/>
  <c r="AC252" i="4"/>
  <c r="AA252" i="4"/>
  <c r="W252" i="4"/>
  <c r="X252" i="4" s="1"/>
  <c r="U252" i="4"/>
  <c r="R252" i="4"/>
  <c r="N252" i="4"/>
  <c r="O252" i="4" s="1"/>
  <c r="L252" i="4"/>
  <c r="H252" i="4"/>
  <c r="I252" i="4" s="1"/>
  <c r="F252" i="4"/>
  <c r="C252" i="4"/>
  <c r="AD251" i="4"/>
  <c r="AC251" i="4"/>
  <c r="AA251" i="4"/>
  <c r="X251" i="4"/>
  <c r="W251" i="4"/>
  <c r="U251" i="4"/>
  <c r="R251" i="4"/>
  <c r="N251" i="4"/>
  <c r="O251" i="4" s="1"/>
  <c r="L251" i="4"/>
  <c r="I251" i="4"/>
  <c r="H251" i="4"/>
  <c r="F251" i="4"/>
  <c r="C251" i="4"/>
  <c r="AD250" i="4"/>
  <c r="AC250" i="4"/>
  <c r="AA250" i="4"/>
  <c r="W250" i="4"/>
  <c r="X250" i="4" s="1"/>
  <c r="U250" i="4"/>
  <c r="R250" i="4"/>
  <c r="O250" i="4"/>
  <c r="N250" i="4"/>
  <c r="L250" i="4"/>
  <c r="I250" i="4"/>
  <c r="H250" i="4"/>
  <c r="F250" i="4"/>
  <c r="C250" i="4"/>
  <c r="AC249" i="4"/>
  <c r="AD249" i="4" s="1"/>
  <c r="AA249" i="4"/>
  <c r="W249" i="4"/>
  <c r="X249" i="4" s="1"/>
  <c r="U249" i="4"/>
  <c r="R249" i="4"/>
  <c r="O249" i="4"/>
  <c r="N249" i="4"/>
  <c r="L249" i="4"/>
  <c r="I249" i="4"/>
  <c r="H249" i="4"/>
  <c r="F249" i="4"/>
  <c r="C249" i="4"/>
  <c r="AD248" i="4"/>
  <c r="AC248" i="4"/>
  <c r="AA248" i="4"/>
  <c r="W248" i="4"/>
  <c r="X248" i="4" s="1"/>
  <c r="U248" i="4"/>
  <c r="R248" i="4"/>
  <c r="N248" i="4"/>
  <c r="O248" i="4" s="1"/>
  <c r="L248" i="4"/>
  <c r="H248" i="4"/>
  <c r="I248" i="4" s="1"/>
  <c r="F248" i="4"/>
  <c r="C248" i="4"/>
  <c r="AD247" i="4"/>
  <c r="AC247" i="4"/>
  <c r="AA247" i="4"/>
  <c r="X247" i="4"/>
  <c r="W247" i="4"/>
  <c r="U247" i="4"/>
  <c r="R247" i="4"/>
  <c r="N247" i="4"/>
  <c r="O247" i="4" s="1"/>
  <c r="L247" i="4"/>
  <c r="I247" i="4"/>
  <c r="H247" i="4"/>
  <c r="F247" i="4"/>
  <c r="C247" i="4"/>
  <c r="AD246" i="4"/>
  <c r="AC246" i="4"/>
  <c r="AA246" i="4"/>
  <c r="W246" i="4"/>
  <c r="X246" i="4" s="1"/>
  <c r="U246" i="4"/>
  <c r="R246" i="4"/>
  <c r="N246" i="4"/>
  <c r="O246" i="4" s="1"/>
  <c r="L246" i="4"/>
  <c r="I246" i="4"/>
  <c r="H246" i="4"/>
  <c r="F246" i="4"/>
  <c r="C246" i="4"/>
  <c r="AC245" i="4"/>
  <c r="AD245" i="4" s="1"/>
  <c r="AA245" i="4"/>
  <c r="W245" i="4"/>
  <c r="X245" i="4" s="1"/>
  <c r="U245" i="4"/>
  <c r="R245" i="4"/>
  <c r="O245" i="4"/>
  <c r="N245" i="4"/>
  <c r="L245" i="4"/>
  <c r="H245" i="4"/>
  <c r="I245" i="4" s="1"/>
  <c r="F245" i="4"/>
  <c r="C245" i="4"/>
  <c r="AD244" i="4"/>
  <c r="AC244" i="4"/>
  <c r="AA244" i="4"/>
  <c r="W244" i="4"/>
  <c r="X244" i="4" s="1"/>
  <c r="U244" i="4"/>
  <c r="R244" i="4"/>
  <c r="N244" i="4"/>
  <c r="O244" i="4" s="1"/>
  <c r="L244" i="4"/>
  <c r="H244" i="4"/>
  <c r="I244" i="4" s="1"/>
  <c r="F244" i="4"/>
  <c r="C244" i="4"/>
  <c r="AD243" i="4"/>
  <c r="AC243" i="4"/>
  <c r="AA243" i="4"/>
  <c r="X243" i="4"/>
  <c r="W243" i="4"/>
  <c r="U243" i="4"/>
  <c r="R243" i="4"/>
  <c r="N243" i="4"/>
  <c r="O243" i="4" s="1"/>
  <c r="L243" i="4"/>
  <c r="I243" i="4"/>
  <c r="H243" i="4"/>
  <c r="F243" i="4"/>
  <c r="C243" i="4"/>
  <c r="AD242" i="4"/>
  <c r="AC242" i="4"/>
  <c r="AA242" i="4"/>
  <c r="W242" i="4"/>
  <c r="X242" i="4" s="1"/>
  <c r="U242" i="4"/>
  <c r="R242" i="4"/>
  <c r="O242" i="4"/>
  <c r="N242" i="4"/>
  <c r="L242" i="4"/>
  <c r="I242" i="4"/>
  <c r="H242" i="4"/>
  <c r="F242" i="4"/>
  <c r="C242" i="4"/>
  <c r="AC241" i="4"/>
  <c r="AD241" i="4" s="1"/>
  <c r="AA241" i="4"/>
  <c r="W241" i="4"/>
  <c r="X241" i="4" s="1"/>
  <c r="U241" i="4"/>
  <c r="R241" i="4"/>
  <c r="O241" i="4"/>
  <c r="N241" i="4"/>
  <c r="L241" i="4"/>
  <c r="I241" i="4"/>
  <c r="H241" i="4"/>
  <c r="F241" i="4"/>
  <c r="C241" i="4"/>
  <c r="AD240" i="4"/>
  <c r="AC240" i="4"/>
  <c r="AA240" i="4"/>
  <c r="W240" i="4"/>
  <c r="X240" i="4" s="1"/>
  <c r="U240" i="4"/>
  <c r="R240" i="4"/>
  <c r="N240" i="4"/>
  <c r="O240" i="4" s="1"/>
  <c r="L240" i="4"/>
  <c r="H240" i="4"/>
  <c r="I240" i="4" s="1"/>
  <c r="F240" i="4"/>
  <c r="C240" i="4"/>
  <c r="AD238" i="4"/>
  <c r="AC238" i="4"/>
  <c r="AA238" i="4"/>
  <c r="X238" i="4"/>
  <c r="W238" i="4"/>
  <c r="U238" i="4"/>
  <c r="R238" i="4"/>
  <c r="N238" i="4"/>
  <c r="O238" i="4" s="1"/>
  <c r="L238" i="4"/>
  <c r="I238" i="4"/>
  <c r="H238" i="4"/>
  <c r="F238" i="4"/>
  <c r="C238" i="4"/>
  <c r="AA236" i="4"/>
  <c r="Z236" i="4"/>
  <c r="X236" i="4"/>
  <c r="T236" i="4"/>
  <c r="U236" i="4" s="1"/>
  <c r="Q236" i="4"/>
  <c r="W236" i="4" s="1"/>
  <c r="O236" i="4"/>
  <c r="L236" i="4"/>
  <c r="K236" i="4"/>
  <c r="F236" i="4"/>
  <c r="E236" i="4"/>
  <c r="H236" i="4" s="1"/>
  <c r="I236" i="4" s="1"/>
  <c r="C236" i="4"/>
  <c r="B236" i="4"/>
  <c r="N236" i="4" s="1"/>
  <c r="AD235" i="4"/>
  <c r="AC235" i="4"/>
  <c r="AA235" i="4"/>
  <c r="W235" i="4"/>
  <c r="X235" i="4" s="1"/>
  <c r="U235" i="4"/>
  <c r="R235" i="4"/>
  <c r="N235" i="4"/>
  <c r="O235" i="4" s="1"/>
  <c r="L235" i="4"/>
  <c r="H235" i="4"/>
  <c r="I235" i="4" s="1"/>
  <c r="F235" i="4"/>
  <c r="C235" i="4"/>
  <c r="AD234" i="4"/>
  <c r="AC234" i="4"/>
  <c r="AA234" i="4"/>
  <c r="X234" i="4"/>
  <c r="W234" i="4"/>
  <c r="U234" i="4"/>
  <c r="R234" i="4"/>
  <c r="N234" i="4"/>
  <c r="O234" i="4" s="1"/>
  <c r="L234" i="4"/>
  <c r="H234" i="4"/>
  <c r="I234" i="4" s="1"/>
  <c r="F234" i="4"/>
  <c r="C234" i="4"/>
  <c r="AD233" i="4"/>
  <c r="AC233" i="4"/>
  <c r="AA233" i="4"/>
  <c r="W233" i="4"/>
  <c r="X233" i="4" s="1"/>
  <c r="U233" i="4"/>
  <c r="R233" i="4"/>
  <c r="O233" i="4"/>
  <c r="N233" i="4"/>
  <c r="L233" i="4"/>
  <c r="I233" i="4"/>
  <c r="H233" i="4"/>
  <c r="F233" i="4"/>
  <c r="C233" i="4"/>
  <c r="AC232" i="4"/>
  <c r="AD232" i="4" s="1"/>
  <c r="AA232" i="4"/>
  <c r="W232" i="4"/>
  <c r="X232" i="4" s="1"/>
  <c r="U232" i="4"/>
  <c r="R232" i="4"/>
  <c r="O232" i="4"/>
  <c r="N232" i="4"/>
  <c r="L232" i="4"/>
  <c r="I232" i="4"/>
  <c r="H232" i="4"/>
  <c r="F232" i="4"/>
  <c r="C232" i="4"/>
  <c r="AD231" i="4"/>
  <c r="AC231" i="4"/>
  <c r="AA231" i="4"/>
  <c r="W231" i="4"/>
  <c r="X231" i="4" s="1"/>
  <c r="U231" i="4"/>
  <c r="R231" i="4"/>
  <c r="N231" i="4"/>
  <c r="O231" i="4" s="1"/>
  <c r="L231" i="4"/>
  <c r="H231" i="4"/>
  <c r="I231" i="4" s="1"/>
  <c r="F231" i="4"/>
  <c r="C231" i="4"/>
  <c r="AD230" i="4"/>
  <c r="AC230" i="4"/>
  <c r="AA230" i="4"/>
  <c r="X230" i="4"/>
  <c r="W230" i="4"/>
  <c r="U230" i="4"/>
  <c r="R230" i="4"/>
  <c r="N230" i="4"/>
  <c r="O230" i="4" s="1"/>
  <c r="L230" i="4"/>
  <c r="I230" i="4"/>
  <c r="H230" i="4"/>
  <c r="F230" i="4"/>
  <c r="C230" i="4"/>
  <c r="AC229" i="4"/>
  <c r="AD229" i="4" s="1"/>
  <c r="AA229" i="4"/>
  <c r="W229" i="4"/>
  <c r="X229" i="4" s="1"/>
  <c r="U229" i="4"/>
  <c r="R229" i="4"/>
  <c r="O229" i="4"/>
  <c r="N229" i="4"/>
  <c r="L229" i="4"/>
  <c r="I229" i="4"/>
  <c r="H229" i="4"/>
  <c r="F229" i="4"/>
  <c r="C229" i="4"/>
  <c r="AA227" i="4"/>
  <c r="Z227" i="4"/>
  <c r="T227" i="4"/>
  <c r="U227" i="4" s="1"/>
  <c r="Q227" i="4"/>
  <c r="AC227" i="4" s="1"/>
  <c r="AD227" i="4" s="1"/>
  <c r="L227" i="4"/>
  <c r="K227" i="4"/>
  <c r="E227" i="4"/>
  <c r="F227" i="4" s="1"/>
  <c r="B227" i="4"/>
  <c r="H227" i="4" s="1"/>
  <c r="I227" i="4" s="1"/>
  <c r="AD226" i="4"/>
  <c r="AC226" i="4"/>
  <c r="AA226" i="4"/>
  <c r="X226" i="4"/>
  <c r="W226" i="4"/>
  <c r="U226" i="4"/>
  <c r="R226" i="4"/>
  <c r="O226" i="4"/>
  <c r="N226" i="4"/>
  <c r="L226" i="4"/>
  <c r="I226" i="4"/>
  <c r="H226" i="4"/>
  <c r="F226" i="4"/>
  <c r="C226" i="4"/>
  <c r="AC225" i="4"/>
  <c r="AD225" i="4" s="1"/>
  <c r="AA225" i="4"/>
  <c r="W225" i="4"/>
  <c r="X225" i="4" s="1"/>
  <c r="U225" i="4"/>
  <c r="R225" i="4"/>
  <c r="N225" i="4"/>
  <c r="O225" i="4" s="1"/>
  <c r="L225" i="4"/>
  <c r="I225" i="4"/>
  <c r="H225" i="4"/>
  <c r="F225" i="4"/>
  <c r="C225" i="4"/>
  <c r="AC224" i="4"/>
  <c r="AD224" i="4" s="1"/>
  <c r="AA224" i="4"/>
  <c r="X224" i="4"/>
  <c r="W224" i="4"/>
  <c r="U224" i="4"/>
  <c r="R224" i="4"/>
  <c r="O224" i="4"/>
  <c r="N224" i="4"/>
  <c r="L224" i="4"/>
  <c r="H224" i="4"/>
  <c r="I224" i="4" s="1"/>
  <c r="F224" i="4"/>
  <c r="C224" i="4"/>
  <c r="AC223" i="4"/>
  <c r="AD223" i="4" s="1"/>
  <c r="AA223" i="4"/>
  <c r="W223" i="4"/>
  <c r="X223" i="4" s="1"/>
  <c r="U223" i="4"/>
  <c r="R223" i="4"/>
  <c r="N223" i="4"/>
  <c r="O223" i="4" s="1"/>
  <c r="L223" i="4"/>
  <c r="H223" i="4"/>
  <c r="I223" i="4" s="1"/>
  <c r="F223" i="4"/>
  <c r="C223" i="4"/>
  <c r="AD222" i="4"/>
  <c r="AC222" i="4"/>
  <c r="AA222" i="4"/>
  <c r="X222" i="4"/>
  <c r="W222" i="4"/>
  <c r="U222" i="4"/>
  <c r="R222" i="4"/>
  <c r="N222" i="4"/>
  <c r="O222" i="4" s="1"/>
  <c r="L222" i="4"/>
  <c r="H222" i="4"/>
  <c r="I222" i="4" s="1"/>
  <c r="F222" i="4"/>
  <c r="C222" i="4"/>
  <c r="AC221" i="4"/>
  <c r="AD221" i="4" s="1"/>
  <c r="AA221" i="4"/>
  <c r="W221" i="4"/>
  <c r="X221" i="4" s="1"/>
  <c r="U221" i="4"/>
  <c r="R221" i="4"/>
  <c r="N221" i="4"/>
  <c r="O221" i="4" s="1"/>
  <c r="L221" i="4"/>
  <c r="I221" i="4"/>
  <c r="H221" i="4"/>
  <c r="F221" i="4"/>
  <c r="C221" i="4"/>
  <c r="AC220" i="4"/>
  <c r="AD220" i="4" s="1"/>
  <c r="AA220" i="4"/>
  <c r="X220" i="4"/>
  <c r="W220" i="4"/>
  <c r="U220" i="4"/>
  <c r="R220" i="4"/>
  <c r="O220" i="4"/>
  <c r="N220" i="4"/>
  <c r="L220" i="4"/>
  <c r="H220" i="4"/>
  <c r="I220" i="4" s="1"/>
  <c r="F220" i="4"/>
  <c r="C220" i="4"/>
  <c r="AC219" i="4"/>
  <c r="AD219" i="4" s="1"/>
  <c r="AA219" i="4"/>
  <c r="X219" i="4"/>
  <c r="W219" i="4"/>
  <c r="U219" i="4"/>
  <c r="R219" i="4"/>
  <c r="N219" i="4"/>
  <c r="O219" i="4" s="1"/>
  <c r="L219" i="4"/>
  <c r="H219" i="4"/>
  <c r="I219" i="4" s="1"/>
  <c r="F219" i="4"/>
  <c r="C219" i="4"/>
  <c r="AA218" i="4"/>
  <c r="Z218" i="4"/>
  <c r="T218" i="4"/>
  <c r="W218" i="4" s="1"/>
  <c r="X218" i="4" s="1"/>
  <c r="R218" i="4"/>
  <c r="Q218" i="4"/>
  <c r="AC218" i="4" s="1"/>
  <c r="AD218" i="4" s="1"/>
  <c r="N218" i="4"/>
  <c r="O218" i="4" s="1"/>
  <c r="K218" i="4"/>
  <c r="L218" i="4" s="1"/>
  <c r="H218" i="4"/>
  <c r="I218" i="4" s="1"/>
  <c r="F218" i="4"/>
  <c r="E218" i="4"/>
  <c r="C218" i="4"/>
  <c r="B218" i="4"/>
  <c r="AC217" i="4"/>
  <c r="AD217" i="4" s="1"/>
  <c r="AA217" i="4"/>
  <c r="W217" i="4"/>
  <c r="X217" i="4" s="1"/>
  <c r="U217" i="4"/>
  <c r="R217" i="4"/>
  <c r="O217" i="4"/>
  <c r="N217" i="4"/>
  <c r="L217" i="4"/>
  <c r="I217" i="4"/>
  <c r="H217" i="4"/>
  <c r="F217" i="4"/>
  <c r="C217" i="4"/>
  <c r="AC216" i="4"/>
  <c r="AD216" i="4" s="1"/>
  <c r="AA216" i="4"/>
  <c r="X216" i="4"/>
  <c r="W216" i="4"/>
  <c r="U216" i="4"/>
  <c r="R216" i="4"/>
  <c r="N216" i="4"/>
  <c r="O216" i="4" s="1"/>
  <c r="L216" i="4"/>
  <c r="H216" i="4"/>
  <c r="I216" i="4" s="1"/>
  <c r="F216" i="4"/>
  <c r="C216" i="4"/>
  <c r="AD215" i="4"/>
  <c r="AC215" i="4"/>
  <c r="AA215" i="4"/>
  <c r="X215" i="4"/>
  <c r="W215" i="4"/>
  <c r="U215" i="4"/>
  <c r="R215" i="4"/>
  <c r="O215" i="4"/>
  <c r="N215" i="4"/>
  <c r="L215" i="4"/>
  <c r="H215" i="4"/>
  <c r="I215" i="4" s="1"/>
  <c r="F215" i="4"/>
  <c r="C215" i="4"/>
  <c r="AC214" i="4"/>
  <c r="AD214" i="4" s="1"/>
  <c r="AA214" i="4"/>
  <c r="W214" i="4"/>
  <c r="X214" i="4" s="1"/>
  <c r="U214" i="4"/>
  <c r="R214" i="4"/>
  <c r="N214" i="4"/>
  <c r="O214" i="4" s="1"/>
  <c r="L214" i="4"/>
  <c r="I214" i="4"/>
  <c r="H214" i="4"/>
  <c r="F214" i="4"/>
  <c r="C214" i="4"/>
  <c r="AC213" i="4"/>
  <c r="AD213" i="4" s="1"/>
  <c r="AA213" i="4"/>
  <c r="X213" i="4"/>
  <c r="W213" i="4"/>
  <c r="U213" i="4"/>
  <c r="R213" i="4"/>
  <c r="O213" i="4"/>
  <c r="N213" i="4"/>
  <c r="L213" i="4"/>
  <c r="H213" i="4"/>
  <c r="I213" i="4" s="1"/>
  <c r="F213" i="4"/>
  <c r="C213" i="4"/>
  <c r="AC211" i="4"/>
  <c r="AD211" i="4" s="1"/>
  <c r="AA211" i="4"/>
  <c r="X211" i="4"/>
  <c r="W211" i="4"/>
  <c r="U211" i="4"/>
  <c r="R211" i="4"/>
  <c r="O211" i="4"/>
  <c r="N211" i="4"/>
  <c r="L211" i="4"/>
  <c r="H211" i="4"/>
  <c r="I211" i="4" s="1"/>
  <c r="F211" i="4"/>
  <c r="C211" i="4"/>
  <c r="AA209" i="4"/>
  <c r="Z209" i="4"/>
  <c r="T209" i="4"/>
  <c r="U209" i="4" s="1"/>
  <c r="Q209" i="4"/>
  <c r="W209" i="4" s="1"/>
  <c r="X209" i="4" s="1"/>
  <c r="N209" i="4"/>
  <c r="O209" i="4" s="1"/>
  <c r="K209" i="4"/>
  <c r="L209" i="4" s="1"/>
  <c r="F209" i="4"/>
  <c r="E209" i="4"/>
  <c r="H209" i="4" s="1"/>
  <c r="I209" i="4" s="1"/>
  <c r="C209" i="4"/>
  <c r="B209" i="4"/>
  <c r="AC208" i="4"/>
  <c r="AD208" i="4" s="1"/>
  <c r="AA208" i="4"/>
  <c r="W208" i="4"/>
  <c r="X208" i="4" s="1"/>
  <c r="U208" i="4"/>
  <c r="R208" i="4"/>
  <c r="O208" i="4"/>
  <c r="N208" i="4"/>
  <c r="L208" i="4"/>
  <c r="I208" i="4"/>
  <c r="H208" i="4"/>
  <c r="F208" i="4"/>
  <c r="C208" i="4"/>
  <c r="AC207" i="4"/>
  <c r="AD207" i="4" s="1"/>
  <c r="AA207" i="4"/>
  <c r="X207" i="4"/>
  <c r="W207" i="4"/>
  <c r="U207" i="4"/>
  <c r="R207" i="4"/>
  <c r="O207" i="4"/>
  <c r="N207" i="4"/>
  <c r="L207" i="4"/>
  <c r="H207" i="4"/>
  <c r="I207" i="4" s="1"/>
  <c r="F207" i="4"/>
  <c r="C207" i="4"/>
  <c r="AC206" i="4"/>
  <c r="AD206" i="4" s="1"/>
  <c r="AA206" i="4"/>
  <c r="X206" i="4"/>
  <c r="W206" i="4"/>
  <c r="U206" i="4"/>
  <c r="R206" i="4"/>
  <c r="O206" i="4"/>
  <c r="N206" i="4"/>
  <c r="L206" i="4"/>
  <c r="I206" i="4"/>
  <c r="H206" i="4"/>
  <c r="F206" i="4"/>
  <c r="C206" i="4"/>
  <c r="AD205" i="4"/>
  <c r="AC205" i="4"/>
  <c r="AA205" i="4"/>
  <c r="W205" i="4"/>
  <c r="X205" i="4" s="1"/>
  <c r="U205" i="4"/>
  <c r="R205" i="4"/>
  <c r="N205" i="4"/>
  <c r="O205" i="4" s="1"/>
  <c r="L205" i="4"/>
  <c r="H205" i="4"/>
  <c r="I205" i="4" s="1"/>
  <c r="F205" i="4"/>
  <c r="C205" i="4"/>
  <c r="AC204" i="4"/>
  <c r="AD204" i="4" s="1"/>
  <c r="AA204" i="4"/>
  <c r="X204" i="4"/>
  <c r="W204" i="4"/>
  <c r="U204" i="4"/>
  <c r="R204" i="4"/>
  <c r="O204" i="4"/>
  <c r="N204" i="4"/>
  <c r="L204" i="4"/>
  <c r="H204" i="4"/>
  <c r="I204" i="4" s="1"/>
  <c r="F204" i="4"/>
  <c r="C204" i="4"/>
  <c r="AC203" i="4"/>
  <c r="AD203" i="4" s="1"/>
  <c r="AA203" i="4"/>
  <c r="X203" i="4"/>
  <c r="W203" i="4"/>
  <c r="U203" i="4"/>
  <c r="R203" i="4"/>
  <c r="N203" i="4"/>
  <c r="O203" i="4" s="1"/>
  <c r="L203" i="4"/>
  <c r="H203" i="4"/>
  <c r="I203" i="4" s="1"/>
  <c r="F203" i="4"/>
  <c r="C203" i="4"/>
  <c r="AD202" i="4"/>
  <c r="AC202" i="4"/>
  <c r="AA202" i="4"/>
  <c r="X202" i="4"/>
  <c r="W202" i="4"/>
  <c r="U202" i="4"/>
  <c r="R202" i="4"/>
  <c r="N202" i="4"/>
  <c r="O202" i="4" s="1"/>
  <c r="L202" i="4"/>
  <c r="H202" i="4"/>
  <c r="I202" i="4" s="1"/>
  <c r="F202" i="4"/>
  <c r="C202" i="4"/>
  <c r="AD201" i="4"/>
  <c r="AC201" i="4"/>
  <c r="AA201" i="4"/>
  <c r="X201" i="4"/>
  <c r="W201" i="4"/>
  <c r="U201" i="4"/>
  <c r="R201" i="4"/>
  <c r="N201" i="4"/>
  <c r="O201" i="4" s="1"/>
  <c r="L201" i="4"/>
  <c r="I201" i="4"/>
  <c r="H201" i="4"/>
  <c r="F201" i="4"/>
  <c r="C201" i="4"/>
  <c r="Z197" i="4"/>
  <c r="T197" i="4"/>
  <c r="U197" i="4" s="1"/>
  <c r="R197" i="4"/>
  <c r="Q197" i="4"/>
  <c r="W197" i="4" s="1"/>
  <c r="X197" i="4" s="1"/>
  <c r="K197" i="4"/>
  <c r="L197" i="4" s="1"/>
  <c r="E197" i="4"/>
  <c r="F197" i="4" s="1"/>
  <c r="B197" i="4"/>
  <c r="H197" i="4" s="1"/>
  <c r="I197" i="4" s="1"/>
  <c r="AA196" i="4"/>
  <c r="Z196" i="4"/>
  <c r="U196" i="4"/>
  <c r="T196" i="4"/>
  <c r="Q196" i="4"/>
  <c r="R196" i="4" s="1"/>
  <c r="L196" i="4"/>
  <c r="K196" i="4"/>
  <c r="E196" i="4"/>
  <c r="F196" i="4" s="1"/>
  <c r="B196" i="4"/>
  <c r="AD195" i="4"/>
  <c r="AC195" i="4"/>
  <c r="AA195" i="4"/>
  <c r="X195" i="4"/>
  <c r="W195" i="4"/>
  <c r="U195" i="4"/>
  <c r="R195" i="4"/>
  <c r="O195" i="4"/>
  <c r="N195" i="4"/>
  <c r="L195" i="4"/>
  <c r="H195" i="4"/>
  <c r="I195" i="4" s="1"/>
  <c r="F195" i="4"/>
  <c r="C195" i="4"/>
  <c r="AC194" i="4"/>
  <c r="AD194" i="4" s="1"/>
  <c r="AA194" i="4"/>
  <c r="W194" i="4"/>
  <c r="X194" i="4" s="1"/>
  <c r="U194" i="4"/>
  <c r="R194" i="4"/>
  <c r="O194" i="4"/>
  <c r="N194" i="4"/>
  <c r="L194" i="4"/>
  <c r="I194" i="4"/>
  <c r="H194" i="4"/>
  <c r="F194" i="4"/>
  <c r="C194" i="4"/>
  <c r="Z193" i="4"/>
  <c r="AA193" i="4" s="1"/>
  <c r="T193" i="4"/>
  <c r="U193" i="4" s="1"/>
  <c r="Q193" i="4"/>
  <c r="W193" i="4" s="1"/>
  <c r="X193" i="4" s="1"/>
  <c r="K193" i="4"/>
  <c r="L193" i="4" s="1"/>
  <c r="E193" i="4"/>
  <c r="F193" i="4" s="1"/>
  <c r="B193" i="4"/>
  <c r="AD192" i="4"/>
  <c r="AC192" i="4"/>
  <c r="AA192" i="4"/>
  <c r="X192" i="4"/>
  <c r="W192" i="4"/>
  <c r="U192" i="4"/>
  <c r="R192" i="4"/>
  <c r="O192" i="4"/>
  <c r="N192" i="4"/>
  <c r="L192" i="4"/>
  <c r="H192" i="4"/>
  <c r="I192" i="4" s="1"/>
  <c r="F192" i="4"/>
  <c r="C192" i="4"/>
  <c r="AC191" i="4"/>
  <c r="AD191" i="4" s="1"/>
  <c r="AA191" i="4"/>
  <c r="W191" i="4"/>
  <c r="X191" i="4" s="1"/>
  <c r="U191" i="4"/>
  <c r="R191" i="4"/>
  <c r="O191" i="4"/>
  <c r="N191" i="4"/>
  <c r="L191" i="4"/>
  <c r="I191" i="4"/>
  <c r="H191" i="4"/>
  <c r="F191" i="4"/>
  <c r="C191" i="4"/>
  <c r="AC190" i="4"/>
  <c r="AD190" i="4" s="1"/>
  <c r="AA190" i="4"/>
  <c r="X190" i="4"/>
  <c r="W190" i="4"/>
  <c r="U190" i="4"/>
  <c r="R190" i="4"/>
  <c r="O190" i="4"/>
  <c r="N190" i="4"/>
  <c r="L190" i="4"/>
  <c r="H190" i="4"/>
  <c r="I190" i="4" s="1"/>
  <c r="F190" i="4"/>
  <c r="C190" i="4"/>
  <c r="AC189" i="4"/>
  <c r="AD189" i="4" s="1"/>
  <c r="AA189" i="4"/>
  <c r="X189" i="4"/>
  <c r="W189" i="4"/>
  <c r="U189" i="4"/>
  <c r="R189" i="4"/>
  <c r="N189" i="4"/>
  <c r="O189" i="4" s="1"/>
  <c r="L189" i="4"/>
  <c r="H189" i="4"/>
  <c r="I189" i="4" s="1"/>
  <c r="F189" i="4"/>
  <c r="C189" i="4"/>
  <c r="AD188" i="4"/>
  <c r="AC188" i="4"/>
  <c r="AA188" i="4"/>
  <c r="X188" i="4"/>
  <c r="W188" i="4"/>
  <c r="U188" i="4"/>
  <c r="R188" i="4"/>
  <c r="O188" i="4"/>
  <c r="N188" i="4"/>
  <c r="L188" i="4"/>
  <c r="H188" i="4"/>
  <c r="I188" i="4" s="1"/>
  <c r="F188" i="4"/>
  <c r="C188" i="4"/>
  <c r="AC187" i="4"/>
  <c r="AD187" i="4" s="1"/>
  <c r="AA187" i="4"/>
  <c r="W187" i="4"/>
  <c r="X187" i="4" s="1"/>
  <c r="U187" i="4"/>
  <c r="R187" i="4"/>
  <c r="O187" i="4"/>
  <c r="N187" i="4"/>
  <c r="L187" i="4"/>
  <c r="I187" i="4"/>
  <c r="H187" i="4"/>
  <c r="F187" i="4"/>
  <c r="C187" i="4"/>
  <c r="AC186" i="4"/>
  <c r="AD186" i="4" s="1"/>
  <c r="AA186" i="4"/>
  <c r="X186" i="4"/>
  <c r="W186" i="4"/>
  <c r="U186" i="4"/>
  <c r="R186" i="4"/>
  <c r="O186" i="4"/>
  <c r="N186" i="4"/>
  <c r="L186" i="4"/>
  <c r="H186" i="4"/>
  <c r="I186" i="4" s="1"/>
  <c r="F186" i="4"/>
  <c r="C186" i="4"/>
  <c r="AC184" i="4"/>
  <c r="AD184" i="4" s="1"/>
  <c r="AA184" i="4"/>
  <c r="X184" i="4"/>
  <c r="W184" i="4"/>
  <c r="U184" i="4"/>
  <c r="R184" i="4"/>
  <c r="N184" i="4"/>
  <c r="O184" i="4" s="1"/>
  <c r="L184" i="4"/>
  <c r="H184" i="4"/>
  <c r="I184" i="4" s="1"/>
  <c r="F184" i="4"/>
  <c r="C184" i="4"/>
  <c r="AC183" i="4"/>
  <c r="AD183" i="4" s="1"/>
  <c r="AA183" i="4"/>
  <c r="X183" i="4"/>
  <c r="W183" i="4"/>
  <c r="U183" i="4"/>
  <c r="R183" i="4"/>
  <c r="O183" i="4"/>
  <c r="N183" i="4"/>
  <c r="L183" i="4"/>
  <c r="H183" i="4"/>
  <c r="I183" i="4" s="1"/>
  <c r="F183" i="4"/>
  <c r="C183" i="4"/>
  <c r="Z182" i="4"/>
  <c r="AA182" i="4" s="1"/>
  <c r="T182" i="4"/>
  <c r="U182" i="4" s="1"/>
  <c r="Q182" i="4"/>
  <c r="K182" i="4"/>
  <c r="L182" i="4" s="1"/>
  <c r="E182" i="4"/>
  <c r="B182" i="4"/>
  <c r="C182" i="4" s="1"/>
  <c r="AC181" i="4"/>
  <c r="AD181" i="4" s="1"/>
  <c r="AA181" i="4"/>
  <c r="X181" i="4"/>
  <c r="W181" i="4"/>
  <c r="U181" i="4"/>
  <c r="R181" i="4"/>
  <c r="N181" i="4"/>
  <c r="O181" i="4" s="1"/>
  <c r="L181" i="4"/>
  <c r="H181" i="4"/>
  <c r="I181" i="4" s="1"/>
  <c r="F181" i="4"/>
  <c r="C181" i="4"/>
  <c r="AC180" i="4"/>
  <c r="AD180" i="4" s="1"/>
  <c r="AA180" i="4"/>
  <c r="X180" i="4"/>
  <c r="W180" i="4"/>
  <c r="U180" i="4"/>
  <c r="R180" i="4"/>
  <c r="O180" i="4"/>
  <c r="N180" i="4"/>
  <c r="L180" i="4"/>
  <c r="H180" i="4"/>
  <c r="I180" i="4" s="1"/>
  <c r="F180" i="4"/>
  <c r="C180" i="4"/>
  <c r="AC179" i="4"/>
  <c r="AD179" i="4" s="1"/>
  <c r="AA179" i="4"/>
  <c r="W179" i="4"/>
  <c r="X179" i="4" s="1"/>
  <c r="U179" i="4"/>
  <c r="R179" i="4"/>
  <c r="O179" i="4"/>
  <c r="N179" i="4"/>
  <c r="L179" i="4"/>
  <c r="H179" i="4"/>
  <c r="I179" i="4" s="1"/>
  <c r="F179" i="4"/>
  <c r="C179" i="4"/>
  <c r="AC178" i="4"/>
  <c r="AD178" i="4" s="1"/>
  <c r="AA178" i="4"/>
  <c r="X178" i="4"/>
  <c r="W178" i="4"/>
  <c r="U178" i="4"/>
  <c r="R178" i="4"/>
  <c r="O178" i="4"/>
  <c r="N178" i="4"/>
  <c r="L178" i="4"/>
  <c r="H178" i="4"/>
  <c r="I178" i="4" s="1"/>
  <c r="F178" i="4"/>
  <c r="C178" i="4"/>
  <c r="AC177" i="4"/>
  <c r="AD177" i="4" s="1"/>
  <c r="AA177" i="4"/>
  <c r="X177" i="4"/>
  <c r="W177" i="4"/>
  <c r="U177" i="4"/>
  <c r="R177" i="4"/>
  <c r="N177" i="4"/>
  <c r="O177" i="4" s="1"/>
  <c r="L177" i="4"/>
  <c r="H177" i="4"/>
  <c r="I177" i="4" s="1"/>
  <c r="F177" i="4"/>
  <c r="C177" i="4"/>
  <c r="AC175" i="4"/>
  <c r="AD175" i="4" s="1"/>
  <c r="AA175" i="4"/>
  <c r="X175" i="4"/>
  <c r="W175" i="4"/>
  <c r="U175" i="4"/>
  <c r="R175" i="4"/>
  <c r="O175" i="4"/>
  <c r="N175" i="4"/>
  <c r="L175" i="4"/>
  <c r="H175" i="4"/>
  <c r="I175" i="4" s="1"/>
  <c r="F175" i="4"/>
  <c r="C175" i="4"/>
  <c r="E172" i="4"/>
  <c r="Z171" i="4"/>
  <c r="AA171" i="4" s="1"/>
  <c r="W171" i="4"/>
  <c r="X171" i="4" s="1"/>
  <c r="T171" i="4"/>
  <c r="U171" i="4" s="1"/>
  <c r="Q171" i="4"/>
  <c r="R171" i="4" s="1"/>
  <c r="K171" i="4"/>
  <c r="E171" i="4"/>
  <c r="F171" i="4" s="1"/>
  <c r="B171" i="4"/>
  <c r="H171" i="4" s="1"/>
  <c r="I171" i="4" s="1"/>
  <c r="Z170" i="4"/>
  <c r="AA170" i="4" s="1"/>
  <c r="T170" i="4"/>
  <c r="U170" i="4" s="1"/>
  <c r="Q170" i="4"/>
  <c r="K170" i="4"/>
  <c r="L170" i="4" s="1"/>
  <c r="E170" i="4"/>
  <c r="B170" i="4"/>
  <c r="C170" i="4" s="1"/>
  <c r="AC169" i="4"/>
  <c r="AD169" i="4" s="1"/>
  <c r="AA169" i="4"/>
  <c r="X169" i="4"/>
  <c r="W169" i="4"/>
  <c r="U169" i="4"/>
  <c r="R169" i="4"/>
  <c r="N169" i="4"/>
  <c r="O169" i="4" s="1"/>
  <c r="L169" i="4"/>
  <c r="H169" i="4"/>
  <c r="I169" i="4" s="1"/>
  <c r="F169" i="4"/>
  <c r="C169" i="4"/>
  <c r="AC168" i="4"/>
  <c r="AD168" i="4" s="1"/>
  <c r="AA168" i="4"/>
  <c r="X168" i="4"/>
  <c r="W168" i="4"/>
  <c r="U168" i="4"/>
  <c r="R168" i="4"/>
  <c r="O168" i="4"/>
  <c r="N168" i="4"/>
  <c r="L168" i="4"/>
  <c r="H168" i="4"/>
  <c r="I168" i="4" s="1"/>
  <c r="F168" i="4"/>
  <c r="C168" i="4"/>
  <c r="AC167" i="4"/>
  <c r="AD167" i="4" s="1"/>
  <c r="AA167" i="4"/>
  <c r="W167" i="4"/>
  <c r="X167" i="4" s="1"/>
  <c r="U167" i="4"/>
  <c r="R167" i="4"/>
  <c r="O167" i="4"/>
  <c r="N167" i="4"/>
  <c r="L167" i="4"/>
  <c r="H167" i="4"/>
  <c r="I167" i="4" s="1"/>
  <c r="F167" i="4"/>
  <c r="C167" i="4"/>
  <c r="Z166" i="4"/>
  <c r="AA166" i="4" s="1"/>
  <c r="T166" i="4"/>
  <c r="U166" i="4" s="1"/>
  <c r="Q166" i="4"/>
  <c r="W166" i="4" s="1"/>
  <c r="X166" i="4" s="1"/>
  <c r="K166" i="4"/>
  <c r="L166" i="4" s="1"/>
  <c r="E166" i="4"/>
  <c r="F166" i="4" s="1"/>
  <c r="B166" i="4"/>
  <c r="C166" i="4" s="1"/>
  <c r="AC165" i="4"/>
  <c r="AD165" i="4" s="1"/>
  <c r="AA165" i="4"/>
  <c r="X165" i="4"/>
  <c r="W165" i="4"/>
  <c r="U165" i="4"/>
  <c r="R165" i="4"/>
  <c r="O165" i="4"/>
  <c r="N165" i="4"/>
  <c r="L165" i="4"/>
  <c r="H165" i="4"/>
  <c r="I165" i="4" s="1"/>
  <c r="F165" i="4"/>
  <c r="C165" i="4"/>
  <c r="AC164" i="4"/>
  <c r="AD164" i="4" s="1"/>
  <c r="AA164" i="4"/>
  <c r="W164" i="4"/>
  <c r="X164" i="4" s="1"/>
  <c r="U164" i="4"/>
  <c r="R164" i="4"/>
  <c r="O164" i="4"/>
  <c r="N164" i="4"/>
  <c r="L164" i="4"/>
  <c r="H164" i="4"/>
  <c r="I164" i="4" s="1"/>
  <c r="F164" i="4"/>
  <c r="C164" i="4"/>
  <c r="AC163" i="4"/>
  <c r="AD163" i="4" s="1"/>
  <c r="AA163" i="4"/>
  <c r="X163" i="4"/>
  <c r="W163" i="4"/>
  <c r="U163" i="4"/>
  <c r="R163" i="4"/>
  <c r="O163" i="4"/>
  <c r="N163" i="4"/>
  <c r="L163" i="4"/>
  <c r="H163" i="4"/>
  <c r="I163" i="4" s="1"/>
  <c r="F163" i="4"/>
  <c r="C163" i="4"/>
  <c r="AC162" i="4"/>
  <c r="AD162" i="4" s="1"/>
  <c r="AA162" i="4"/>
  <c r="X162" i="4"/>
  <c r="W162" i="4"/>
  <c r="U162" i="4"/>
  <c r="R162" i="4"/>
  <c r="N162" i="4"/>
  <c r="O162" i="4" s="1"/>
  <c r="L162" i="4"/>
  <c r="H162" i="4"/>
  <c r="I162" i="4" s="1"/>
  <c r="F162" i="4"/>
  <c r="C162" i="4"/>
  <c r="AC161" i="4"/>
  <c r="AD161" i="4" s="1"/>
  <c r="AA161" i="4"/>
  <c r="X161" i="4"/>
  <c r="W161" i="4"/>
  <c r="U161" i="4"/>
  <c r="R161" i="4"/>
  <c r="O161" i="4"/>
  <c r="N161" i="4"/>
  <c r="L161" i="4"/>
  <c r="H161" i="4"/>
  <c r="I161" i="4" s="1"/>
  <c r="F161" i="4"/>
  <c r="C161" i="4"/>
  <c r="AC160" i="4"/>
  <c r="AD160" i="4" s="1"/>
  <c r="AA160" i="4"/>
  <c r="W160" i="4"/>
  <c r="X160" i="4" s="1"/>
  <c r="U160" i="4"/>
  <c r="R160" i="4"/>
  <c r="O160" i="4"/>
  <c r="N160" i="4"/>
  <c r="L160" i="4"/>
  <c r="H160" i="4"/>
  <c r="I160" i="4" s="1"/>
  <c r="F160" i="4"/>
  <c r="C160" i="4"/>
  <c r="Z158" i="4"/>
  <c r="AA158" i="4" s="1"/>
  <c r="T158" i="4"/>
  <c r="U158" i="4" s="1"/>
  <c r="Q158" i="4"/>
  <c r="N158" i="4"/>
  <c r="O158" i="4" s="1"/>
  <c r="K158" i="4"/>
  <c r="L158" i="4" s="1"/>
  <c r="E158" i="4"/>
  <c r="F158" i="4" s="1"/>
  <c r="B158" i="4"/>
  <c r="C158" i="4" s="1"/>
  <c r="AC157" i="4"/>
  <c r="AD157" i="4" s="1"/>
  <c r="AA157" i="4"/>
  <c r="X157" i="4"/>
  <c r="W157" i="4"/>
  <c r="U157" i="4"/>
  <c r="R157" i="4"/>
  <c r="O157" i="4"/>
  <c r="N157" i="4"/>
  <c r="L157" i="4"/>
  <c r="H157" i="4"/>
  <c r="I157" i="4" s="1"/>
  <c r="F157" i="4"/>
  <c r="C157" i="4"/>
  <c r="AC156" i="4"/>
  <c r="AD156" i="4" s="1"/>
  <c r="AA156" i="4"/>
  <c r="W156" i="4"/>
  <c r="X156" i="4" s="1"/>
  <c r="U156" i="4"/>
  <c r="R156" i="4"/>
  <c r="O156" i="4"/>
  <c r="N156" i="4"/>
  <c r="L156" i="4"/>
  <c r="H156" i="4"/>
  <c r="I156" i="4" s="1"/>
  <c r="F156" i="4"/>
  <c r="C156" i="4"/>
  <c r="AC155" i="4"/>
  <c r="AD155" i="4" s="1"/>
  <c r="AA155" i="4"/>
  <c r="X155" i="4"/>
  <c r="W155" i="4"/>
  <c r="U155" i="4"/>
  <c r="R155" i="4"/>
  <c r="O155" i="4"/>
  <c r="N155" i="4"/>
  <c r="L155" i="4"/>
  <c r="H155" i="4"/>
  <c r="I155" i="4" s="1"/>
  <c r="F155" i="4"/>
  <c r="C155" i="4"/>
  <c r="AC154" i="4"/>
  <c r="AD154" i="4" s="1"/>
  <c r="AA154" i="4"/>
  <c r="X154" i="4"/>
  <c r="W154" i="4"/>
  <c r="U154" i="4"/>
  <c r="R154" i="4"/>
  <c r="N154" i="4"/>
  <c r="O154" i="4" s="1"/>
  <c r="L154" i="4"/>
  <c r="H154" i="4"/>
  <c r="I154" i="4" s="1"/>
  <c r="F154" i="4"/>
  <c r="C154" i="4"/>
  <c r="AC153" i="4"/>
  <c r="AD153" i="4" s="1"/>
  <c r="AA153" i="4"/>
  <c r="W153" i="4"/>
  <c r="X153" i="4" s="1"/>
  <c r="U153" i="4"/>
  <c r="R153" i="4"/>
  <c r="O153" i="4"/>
  <c r="N153" i="4"/>
  <c r="L153" i="4"/>
  <c r="H153" i="4"/>
  <c r="I153" i="4" s="1"/>
  <c r="F153" i="4"/>
  <c r="C153" i="4"/>
  <c r="AC151" i="4"/>
  <c r="AD151" i="4" s="1"/>
  <c r="AA151" i="4"/>
  <c r="W151" i="4"/>
  <c r="X151" i="4" s="1"/>
  <c r="U151" i="4"/>
  <c r="R151" i="4"/>
  <c r="O151" i="4"/>
  <c r="N151" i="4"/>
  <c r="L151" i="4"/>
  <c r="H151" i="4"/>
  <c r="I151" i="4" s="1"/>
  <c r="F151" i="4"/>
  <c r="C151" i="4"/>
  <c r="Z149" i="4"/>
  <c r="AA149" i="4" s="1"/>
  <c r="T149" i="4"/>
  <c r="U149" i="4" s="1"/>
  <c r="Q149" i="4"/>
  <c r="W149" i="4" s="1"/>
  <c r="X149" i="4" s="1"/>
  <c r="K149" i="4"/>
  <c r="L149" i="4" s="1"/>
  <c r="E149" i="4"/>
  <c r="F149" i="4" s="1"/>
  <c r="B149" i="4"/>
  <c r="C149" i="4" s="1"/>
  <c r="AA148" i="4"/>
  <c r="Z148" i="4"/>
  <c r="T148" i="4"/>
  <c r="U148" i="4" s="1"/>
  <c r="Q148" i="4"/>
  <c r="R148" i="4" s="1"/>
  <c r="N148" i="4"/>
  <c r="O148" i="4" s="1"/>
  <c r="L148" i="4"/>
  <c r="K148" i="4"/>
  <c r="H148" i="4"/>
  <c r="I148" i="4" s="1"/>
  <c r="E148" i="4"/>
  <c r="F148" i="4" s="1"/>
  <c r="B148" i="4"/>
  <c r="C148" i="4" s="1"/>
  <c r="AC147" i="4"/>
  <c r="AD147" i="4" s="1"/>
  <c r="AA147" i="4"/>
  <c r="X147" i="4"/>
  <c r="W147" i="4"/>
  <c r="U147" i="4"/>
  <c r="R147" i="4"/>
  <c r="N147" i="4"/>
  <c r="O147" i="4" s="1"/>
  <c r="L147" i="4"/>
  <c r="H147" i="4"/>
  <c r="I147" i="4" s="1"/>
  <c r="F147" i="4"/>
  <c r="C147" i="4"/>
  <c r="AC146" i="4"/>
  <c r="AD146" i="4" s="1"/>
  <c r="AA146" i="4"/>
  <c r="X146" i="4"/>
  <c r="W146" i="4"/>
  <c r="U146" i="4"/>
  <c r="R146" i="4"/>
  <c r="N146" i="4"/>
  <c r="O146" i="4" s="1"/>
  <c r="L146" i="4"/>
  <c r="H146" i="4"/>
  <c r="I146" i="4" s="1"/>
  <c r="F146" i="4"/>
  <c r="C146" i="4"/>
  <c r="AC145" i="4"/>
  <c r="AD145" i="4" s="1"/>
  <c r="AA145" i="4"/>
  <c r="X145" i="4"/>
  <c r="W145" i="4"/>
  <c r="U145" i="4"/>
  <c r="R145" i="4"/>
  <c r="O145" i="4"/>
  <c r="N145" i="4"/>
  <c r="L145" i="4"/>
  <c r="H145" i="4"/>
  <c r="I145" i="4" s="1"/>
  <c r="F145" i="4"/>
  <c r="C145" i="4"/>
  <c r="AC144" i="4"/>
  <c r="AD144" i="4" s="1"/>
  <c r="AA144" i="4"/>
  <c r="W144" i="4"/>
  <c r="X144" i="4" s="1"/>
  <c r="U144" i="4"/>
  <c r="R144" i="4"/>
  <c r="O144" i="4"/>
  <c r="N144" i="4"/>
  <c r="L144" i="4"/>
  <c r="H144" i="4"/>
  <c r="I144" i="4" s="1"/>
  <c r="F144" i="4"/>
  <c r="C144" i="4"/>
  <c r="AD143" i="4"/>
  <c r="AC143" i="4"/>
  <c r="AA143" i="4"/>
  <c r="X143" i="4"/>
  <c r="W143" i="4"/>
  <c r="U143" i="4"/>
  <c r="R143" i="4"/>
  <c r="O143" i="4"/>
  <c r="N143" i="4"/>
  <c r="L143" i="4"/>
  <c r="H143" i="4"/>
  <c r="I143" i="4" s="1"/>
  <c r="F143" i="4"/>
  <c r="C143" i="4"/>
  <c r="Z141" i="4"/>
  <c r="AC141" i="4" s="1"/>
  <c r="AD141" i="4" s="1"/>
  <c r="T141" i="4"/>
  <c r="U141" i="4" s="1"/>
  <c r="Q141" i="4"/>
  <c r="R141" i="4" s="1"/>
  <c r="K141" i="4"/>
  <c r="L141" i="4" s="1"/>
  <c r="F141" i="4"/>
  <c r="E141" i="4"/>
  <c r="C141" i="4"/>
  <c r="B141" i="4"/>
  <c r="H141" i="4" s="1"/>
  <c r="I141" i="4" s="1"/>
  <c r="AC140" i="4"/>
  <c r="AD140" i="4" s="1"/>
  <c r="AA140" i="4"/>
  <c r="W140" i="4"/>
  <c r="X140" i="4" s="1"/>
  <c r="U140" i="4"/>
  <c r="R140" i="4"/>
  <c r="O140" i="4"/>
  <c r="N140" i="4"/>
  <c r="L140" i="4"/>
  <c r="H140" i="4"/>
  <c r="I140" i="4" s="1"/>
  <c r="F140" i="4"/>
  <c r="C140" i="4"/>
  <c r="AD139" i="4"/>
  <c r="AC139" i="4"/>
  <c r="AA139" i="4"/>
  <c r="X139" i="4"/>
  <c r="W139" i="4"/>
  <c r="U139" i="4"/>
  <c r="R139" i="4"/>
  <c r="N139" i="4"/>
  <c r="O139" i="4" s="1"/>
  <c r="L139" i="4"/>
  <c r="H139" i="4"/>
  <c r="I139" i="4" s="1"/>
  <c r="F139" i="4"/>
  <c r="C139" i="4"/>
  <c r="AC138" i="4"/>
  <c r="AD138" i="4" s="1"/>
  <c r="AA138" i="4"/>
  <c r="X138" i="4"/>
  <c r="W138" i="4"/>
  <c r="U138" i="4"/>
  <c r="R138" i="4"/>
  <c r="N138" i="4"/>
  <c r="O138" i="4" s="1"/>
  <c r="L138" i="4"/>
  <c r="H138" i="4"/>
  <c r="I138" i="4" s="1"/>
  <c r="F138" i="4"/>
  <c r="C138" i="4"/>
  <c r="AC137" i="4"/>
  <c r="AD137" i="4" s="1"/>
  <c r="AA137" i="4"/>
  <c r="W137" i="4"/>
  <c r="X137" i="4" s="1"/>
  <c r="U137" i="4"/>
  <c r="R137" i="4"/>
  <c r="O137" i="4"/>
  <c r="N137" i="4"/>
  <c r="L137" i="4"/>
  <c r="I137" i="4"/>
  <c r="H137" i="4"/>
  <c r="F137" i="4"/>
  <c r="C137" i="4"/>
  <c r="AC136" i="4"/>
  <c r="AD136" i="4" s="1"/>
  <c r="AA136" i="4"/>
  <c r="W136" i="4"/>
  <c r="X136" i="4" s="1"/>
  <c r="U136" i="4"/>
  <c r="R136" i="4"/>
  <c r="O136" i="4"/>
  <c r="N136" i="4"/>
  <c r="L136" i="4"/>
  <c r="H136" i="4"/>
  <c r="I136" i="4" s="1"/>
  <c r="F136" i="4"/>
  <c r="C136" i="4"/>
  <c r="AC135" i="4"/>
  <c r="AD135" i="4" s="1"/>
  <c r="AA135" i="4"/>
  <c r="X135" i="4"/>
  <c r="W135" i="4"/>
  <c r="U135" i="4"/>
  <c r="R135" i="4"/>
  <c r="O135" i="4"/>
  <c r="N135" i="4"/>
  <c r="L135" i="4"/>
  <c r="H135" i="4"/>
  <c r="I135" i="4" s="1"/>
  <c r="F135" i="4"/>
  <c r="C135" i="4"/>
  <c r="AC134" i="4"/>
  <c r="AD134" i="4" s="1"/>
  <c r="AA134" i="4"/>
  <c r="X134" i="4"/>
  <c r="W134" i="4"/>
  <c r="U134" i="4"/>
  <c r="R134" i="4"/>
  <c r="N134" i="4"/>
  <c r="O134" i="4" s="1"/>
  <c r="L134" i="4"/>
  <c r="I134" i="4"/>
  <c r="H134" i="4"/>
  <c r="F134" i="4"/>
  <c r="C134" i="4"/>
  <c r="AC133" i="4"/>
  <c r="AD133" i="4" s="1"/>
  <c r="AA133" i="4"/>
  <c r="W133" i="4"/>
  <c r="X133" i="4" s="1"/>
  <c r="U133" i="4"/>
  <c r="R133" i="4"/>
  <c r="O133" i="4"/>
  <c r="N133" i="4"/>
  <c r="L133" i="4"/>
  <c r="H133" i="4"/>
  <c r="I133" i="4" s="1"/>
  <c r="F133" i="4"/>
  <c r="C133" i="4"/>
  <c r="AC132" i="4"/>
  <c r="AD132" i="4" s="1"/>
  <c r="AA132" i="4"/>
  <c r="W132" i="4"/>
  <c r="X132" i="4" s="1"/>
  <c r="U132" i="4"/>
  <c r="R132" i="4"/>
  <c r="O132" i="4"/>
  <c r="N132" i="4"/>
  <c r="L132" i="4"/>
  <c r="H132" i="4"/>
  <c r="I132" i="4" s="1"/>
  <c r="F132" i="4"/>
  <c r="C132" i="4"/>
  <c r="AC131" i="4"/>
  <c r="AD131" i="4" s="1"/>
  <c r="AA131" i="4"/>
  <c r="X131" i="4"/>
  <c r="W131" i="4"/>
  <c r="U131" i="4"/>
  <c r="R131" i="4"/>
  <c r="O131" i="4"/>
  <c r="N131" i="4"/>
  <c r="L131" i="4"/>
  <c r="H131" i="4"/>
  <c r="I131" i="4" s="1"/>
  <c r="F131" i="4"/>
  <c r="C131" i="4"/>
  <c r="AD130" i="4"/>
  <c r="AC130" i="4"/>
  <c r="AA130" i="4"/>
  <c r="X130" i="4"/>
  <c r="W130" i="4"/>
  <c r="U130" i="4"/>
  <c r="R130" i="4"/>
  <c r="N130" i="4"/>
  <c r="O130" i="4" s="1"/>
  <c r="L130" i="4"/>
  <c r="H130" i="4"/>
  <c r="I130" i="4" s="1"/>
  <c r="F130" i="4"/>
  <c r="C130" i="4"/>
  <c r="AC129" i="4"/>
  <c r="AD129" i="4" s="1"/>
  <c r="AA129" i="4"/>
  <c r="X129" i="4"/>
  <c r="W129" i="4"/>
  <c r="U129" i="4"/>
  <c r="R129" i="4"/>
  <c r="O129" i="4"/>
  <c r="N129" i="4"/>
  <c r="L129" i="4"/>
  <c r="H129" i="4"/>
  <c r="I129" i="4" s="1"/>
  <c r="F129" i="4"/>
  <c r="C129" i="4"/>
  <c r="AC127" i="4"/>
  <c r="AD127" i="4" s="1"/>
  <c r="AA127" i="4"/>
  <c r="W127" i="4"/>
  <c r="X127" i="4" s="1"/>
  <c r="U127" i="4"/>
  <c r="R127" i="4"/>
  <c r="O127" i="4"/>
  <c r="N127" i="4"/>
  <c r="L127" i="4"/>
  <c r="H127" i="4"/>
  <c r="I127" i="4" s="1"/>
  <c r="F127" i="4"/>
  <c r="C127" i="4"/>
  <c r="Z124" i="4"/>
  <c r="U124" i="4"/>
  <c r="T124" i="4"/>
  <c r="T172" i="4" s="1"/>
  <c r="R124" i="4"/>
  <c r="Q124" i="4"/>
  <c r="W124" i="4" s="1"/>
  <c r="X124" i="4" s="1"/>
  <c r="K124" i="4"/>
  <c r="L124" i="4" s="1"/>
  <c r="F124" i="4"/>
  <c r="E124" i="4"/>
  <c r="B124" i="4"/>
  <c r="AC123" i="4"/>
  <c r="AD123" i="4" s="1"/>
  <c r="AA123" i="4"/>
  <c r="W123" i="4"/>
  <c r="X123" i="4" s="1"/>
  <c r="U123" i="4"/>
  <c r="R123" i="4"/>
  <c r="O123" i="4"/>
  <c r="N123" i="4"/>
  <c r="L123" i="4"/>
  <c r="H123" i="4"/>
  <c r="I123" i="4" s="1"/>
  <c r="F123" i="4"/>
  <c r="C123" i="4"/>
  <c r="Z122" i="4"/>
  <c r="AA122" i="4" s="1"/>
  <c r="T122" i="4"/>
  <c r="U122" i="4" s="1"/>
  <c r="Q122" i="4"/>
  <c r="R122" i="4" s="1"/>
  <c r="L122" i="4"/>
  <c r="K122" i="4"/>
  <c r="H122" i="4"/>
  <c r="I122" i="4" s="1"/>
  <c r="E122" i="4"/>
  <c r="F122" i="4" s="1"/>
  <c r="B122" i="4"/>
  <c r="C122" i="4" s="1"/>
  <c r="AC121" i="4"/>
  <c r="AD121" i="4" s="1"/>
  <c r="AA121" i="4"/>
  <c r="X121" i="4"/>
  <c r="W121" i="4"/>
  <c r="U121" i="4"/>
  <c r="R121" i="4"/>
  <c r="N121" i="4"/>
  <c r="O121" i="4" s="1"/>
  <c r="L121" i="4"/>
  <c r="H121" i="4"/>
  <c r="I121" i="4" s="1"/>
  <c r="F121" i="4"/>
  <c r="C121" i="4"/>
  <c r="AC120" i="4"/>
  <c r="AD120" i="4" s="1"/>
  <c r="AA120" i="4"/>
  <c r="W120" i="4"/>
  <c r="X120" i="4" s="1"/>
  <c r="U120" i="4"/>
  <c r="R120" i="4"/>
  <c r="O120" i="4"/>
  <c r="N120" i="4"/>
  <c r="L120" i="4"/>
  <c r="H120" i="4"/>
  <c r="I120" i="4" s="1"/>
  <c r="F120" i="4"/>
  <c r="C120" i="4"/>
  <c r="AC119" i="4"/>
  <c r="AD119" i="4" s="1"/>
  <c r="AA119" i="4"/>
  <c r="W119" i="4"/>
  <c r="X119" i="4" s="1"/>
  <c r="U119" i="4"/>
  <c r="R119" i="4"/>
  <c r="O119" i="4"/>
  <c r="N119" i="4"/>
  <c r="L119" i="4"/>
  <c r="H119" i="4"/>
  <c r="I119" i="4" s="1"/>
  <c r="F119" i="4"/>
  <c r="C119" i="4"/>
  <c r="Z118" i="4"/>
  <c r="AA118" i="4" s="1"/>
  <c r="T118" i="4"/>
  <c r="U118" i="4" s="1"/>
  <c r="R118" i="4"/>
  <c r="Q118" i="4"/>
  <c r="K118" i="4"/>
  <c r="L118" i="4" s="1"/>
  <c r="E118" i="4"/>
  <c r="F118" i="4" s="1"/>
  <c r="B118" i="4"/>
  <c r="C118" i="4" s="1"/>
  <c r="AC117" i="4"/>
  <c r="AD117" i="4" s="1"/>
  <c r="AA117" i="4"/>
  <c r="X117" i="4"/>
  <c r="W117" i="4"/>
  <c r="U117" i="4"/>
  <c r="R117" i="4"/>
  <c r="O117" i="4"/>
  <c r="N117" i="4"/>
  <c r="L117" i="4"/>
  <c r="H117" i="4"/>
  <c r="I117" i="4" s="1"/>
  <c r="F117" i="4"/>
  <c r="C117" i="4"/>
  <c r="AC116" i="4"/>
  <c r="AD116" i="4" s="1"/>
  <c r="AA116" i="4"/>
  <c r="W116" i="4"/>
  <c r="X116" i="4" s="1"/>
  <c r="U116" i="4"/>
  <c r="R116" i="4"/>
  <c r="O116" i="4"/>
  <c r="N116" i="4"/>
  <c r="L116" i="4"/>
  <c r="H116" i="4"/>
  <c r="I116" i="4" s="1"/>
  <c r="F116" i="4"/>
  <c r="C116" i="4"/>
  <c r="AD115" i="4"/>
  <c r="AC115" i="4"/>
  <c r="AA115" i="4"/>
  <c r="X115" i="4"/>
  <c r="W115" i="4"/>
  <c r="U115" i="4"/>
  <c r="R115" i="4"/>
  <c r="O115" i="4"/>
  <c r="N115" i="4"/>
  <c r="L115" i="4"/>
  <c r="H115" i="4"/>
  <c r="I115" i="4" s="1"/>
  <c r="F115" i="4"/>
  <c r="C115" i="4"/>
  <c r="AC114" i="4"/>
  <c r="AD114" i="4" s="1"/>
  <c r="AA114" i="4"/>
  <c r="X114" i="4"/>
  <c r="W114" i="4"/>
  <c r="U114" i="4"/>
  <c r="R114" i="4"/>
  <c r="N114" i="4"/>
  <c r="O114" i="4" s="1"/>
  <c r="L114" i="4"/>
  <c r="H114" i="4"/>
  <c r="I114" i="4" s="1"/>
  <c r="F114" i="4"/>
  <c r="C114" i="4"/>
  <c r="AC113" i="4"/>
  <c r="AD113" i="4" s="1"/>
  <c r="AA113" i="4"/>
  <c r="W113" i="4"/>
  <c r="X113" i="4" s="1"/>
  <c r="U113" i="4"/>
  <c r="R113" i="4"/>
  <c r="O113" i="4"/>
  <c r="N113" i="4"/>
  <c r="L113" i="4"/>
  <c r="H113" i="4"/>
  <c r="I113" i="4" s="1"/>
  <c r="F113" i="4"/>
  <c r="C113" i="4"/>
  <c r="AC112" i="4"/>
  <c r="AD112" i="4" s="1"/>
  <c r="AA112" i="4"/>
  <c r="W112" i="4"/>
  <c r="X112" i="4" s="1"/>
  <c r="U112" i="4"/>
  <c r="R112" i="4"/>
  <c r="O112" i="4"/>
  <c r="N112" i="4"/>
  <c r="L112" i="4"/>
  <c r="H112" i="4"/>
  <c r="I112" i="4" s="1"/>
  <c r="F112" i="4"/>
  <c r="C112" i="4"/>
  <c r="AD111" i="4"/>
  <c r="AC111" i="4"/>
  <c r="AA111" i="4"/>
  <c r="X111" i="4"/>
  <c r="W111" i="4"/>
  <c r="U111" i="4"/>
  <c r="R111" i="4"/>
  <c r="N111" i="4"/>
  <c r="O111" i="4" s="1"/>
  <c r="L111" i="4"/>
  <c r="H111" i="4"/>
  <c r="I111" i="4" s="1"/>
  <c r="F111" i="4"/>
  <c r="C111" i="4"/>
  <c r="AD110" i="4"/>
  <c r="AC110" i="4"/>
  <c r="AA110" i="4"/>
  <c r="X110" i="4"/>
  <c r="W110" i="4"/>
  <c r="U110" i="4"/>
  <c r="R110" i="4"/>
  <c r="N110" i="4"/>
  <c r="O110" i="4" s="1"/>
  <c r="L110" i="4"/>
  <c r="I110" i="4"/>
  <c r="H110" i="4"/>
  <c r="F110" i="4"/>
  <c r="C110" i="4"/>
  <c r="AC109" i="4"/>
  <c r="AD109" i="4" s="1"/>
  <c r="AA109" i="4"/>
  <c r="W109" i="4"/>
  <c r="X109" i="4" s="1"/>
  <c r="U109" i="4"/>
  <c r="R109" i="4"/>
  <c r="O109" i="4"/>
  <c r="N109" i="4"/>
  <c r="L109" i="4"/>
  <c r="H109" i="4"/>
  <c r="I109" i="4" s="1"/>
  <c r="F109" i="4"/>
  <c r="C109" i="4"/>
  <c r="AC108" i="4"/>
  <c r="AD108" i="4" s="1"/>
  <c r="AA108" i="4"/>
  <c r="W108" i="4"/>
  <c r="X108" i="4" s="1"/>
  <c r="U108" i="4"/>
  <c r="R108" i="4"/>
  <c r="O108" i="4"/>
  <c r="N108" i="4"/>
  <c r="L108" i="4"/>
  <c r="H108" i="4"/>
  <c r="I108" i="4" s="1"/>
  <c r="F108" i="4"/>
  <c r="C108" i="4"/>
  <c r="AC107" i="4"/>
  <c r="AD107" i="4" s="1"/>
  <c r="AA107" i="4"/>
  <c r="X107" i="4"/>
  <c r="W107" i="4"/>
  <c r="U107" i="4"/>
  <c r="R107" i="4"/>
  <c r="N107" i="4"/>
  <c r="O107" i="4" s="1"/>
  <c r="L107" i="4"/>
  <c r="H107" i="4"/>
  <c r="I107" i="4" s="1"/>
  <c r="F107" i="4"/>
  <c r="C107" i="4"/>
  <c r="AC106" i="4"/>
  <c r="AD106" i="4" s="1"/>
  <c r="AA106" i="4"/>
  <c r="X106" i="4"/>
  <c r="W106" i="4"/>
  <c r="U106" i="4"/>
  <c r="R106" i="4"/>
  <c r="N106" i="4"/>
  <c r="O106" i="4" s="1"/>
  <c r="L106" i="4"/>
  <c r="I106" i="4"/>
  <c r="H106" i="4"/>
  <c r="F106" i="4"/>
  <c r="C106" i="4"/>
  <c r="AC105" i="4"/>
  <c r="AD105" i="4" s="1"/>
  <c r="AA105" i="4"/>
  <c r="X105" i="4"/>
  <c r="W105" i="4"/>
  <c r="U105" i="4"/>
  <c r="R105" i="4"/>
  <c r="O105" i="4"/>
  <c r="N105" i="4"/>
  <c r="L105" i="4"/>
  <c r="I105" i="4"/>
  <c r="H105" i="4"/>
  <c r="F105" i="4"/>
  <c r="C105" i="4"/>
  <c r="AC104" i="4"/>
  <c r="AD104" i="4" s="1"/>
  <c r="AA104" i="4"/>
  <c r="W104" i="4"/>
  <c r="X104" i="4" s="1"/>
  <c r="U104" i="4"/>
  <c r="R104" i="4"/>
  <c r="O104" i="4"/>
  <c r="N104" i="4"/>
  <c r="L104" i="4"/>
  <c r="H104" i="4"/>
  <c r="I104" i="4" s="1"/>
  <c r="F104" i="4"/>
  <c r="C104" i="4"/>
  <c r="AC103" i="4"/>
  <c r="AD103" i="4" s="1"/>
  <c r="AA103" i="4"/>
  <c r="X103" i="4"/>
  <c r="W103" i="4"/>
  <c r="U103" i="4"/>
  <c r="R103" i="4"/>
  <c r="N103" i="4"/>
  <c r="O103" i="4" s="1"/>
  <c r="L103" i="4"/>
  <c r="H103" i="4"/>
  <c r="I103" i="4" s="1"/>
  <c r="F103" i="4"/>
  <c r="C103" i="4"/>
  <c r="AC102" i="4"/>
  <c r="AD102" i="4" s="1"/>
  <c r="AA102" i="4"/>
  <c r="X102" i="4"/>
  <c r="W102" i="4"/>
  <c r="U102" i="4"/>
  <c r="R102" i="4"/>
  <c r="N102" i="4"/>
  <c r="O102" i="4" s="1"/>
  <c r="L102" i="4"/>
  <c r="H102" i="4"/>
  <c r="I102" i="4" s="1"/>
  <c r="F102" i="4"/>
  <c r="C102" i="4"/>
  <c r="AC101" i="4"/>
  <c r="AD101" i="4" s="1"/>
  <c r="AA101" i="4"/>
  <c r="X101" i="4"/>
  <c r="W101" i="4"/>
  <c r="U101" i="4"/>
  <c r="R101" i="4"/>
  <c r="O101" i="4"/>
  <c r="N101" i="4"/>
  <c r="L101" i="4"/>
  <c r="H101" i="4"/>
  <c r="I101" i="4" s="1"/>
  <c r="F101" i="4"/>
  <c r="C101" i="4"/>
  <c r="AC100" i="4"/>
  <c r="AD100" i="4" s="1"/>
  <c r="AA100" i="4"/>
  <c r="W100" i="4"/>
  <c r="X100" i="4" s="1"/>
  <c r="U100" i="4"/>
  <c r="R100" i="4"/>
  <c r="O100" i="4"/>
  <c r="N100" i="4"/>
  <c r="L100" i="4"/>
  <c r="H100" i="4"/>
  <c r="I100" i="4" s="1"/>
  <c r="F100" i="4"/>
  <c r="C100" i="4"/>
  <c r="AD99" i="4"/>
  <c r="AC99" i="4"/>
  <c r="AA99" i="4"/>
  <c r="X99" i="4"/>
  <c r="W99" i="4"/>
  <c r="U99" i="4"/>
  <c r="R99" i="4"/>
  <c r="N99" i="4"/>
  <c r="O99" i="4" s="1"/>
  <c r="L99" i="4"/>
  <c r="H99" i="4"/>
  <c r="I99" i="4" s="1"/>
  <c r="F99" i="4"/>
  <c r="C99" i="4"/>
  <c r="AC98" i="4"/>
  <c r="AD98" i="4" s="1"/>
  <c r="AA98" i="4"/>
  <c r="X98" i="4"/>
  <c r="W98" i="4"/>
  <c r="U98" i="4"/>
  <c r="R98" i="4"/>
  <c r="N98" i="4"/>
  <c r="O98" i="4" s="1"/>
  <c r="L98" i="4"/>
  <c r="H98" i="4"/>
  <c r="I98" i="4" s="1"/>
  <c r="F98" i="4"/>
  <c r="C98" i="4"/>
  <c r="AC97" i="4"/>
  <c r="AD97" i="4" s="1"/>
  <c r="AA97" i="4"/>
  <c r="W97" i="4"/>
  <c r="X97" i="4" s="1"/>
  <c r="U97" i="4"/>
  <c r="R97" i="4"/>
  <c r="O97" i="4"/>
  <c r="N97" i="4"/>
  <c r="L97" i="4"/>
  <c r="H97" i="4"/>
  <c r="I97" i="4" s="1"/>
  <c r="F97" i="4"/>
  <c r="C97" i="4"/>
  <c r="AC96" i="4"/>
  <c r="AD96" i="4" s="1"/>
  <c r="AA96" i="4"/>
  <c r="W96" i="4"/>
  <c r="X96" i="4" s="1"/>
  <c r="U96" i="4"/>
  <c r="R96" i="4"/>
  <c r="O96" i="4"/>
  <c r="N96" i="4"/>
  <c r="L96" i="4"/>
  <c r="H96" i="4"/>
  <c r="I96" i="4" s="1"/>
  <c r="F96" i="4"/>
  <c r="C96" i="4"/>
  <c r="AD95" i="4"/>
  <c r="AC95" i="4"/>
  <c r="AA95" i="4"/>
  <c r="X95" i="4"/>
  <c r="W95" i="4"/>
  <c r="U95" i="4"/>
  <c r="R95" i="4"/>
  <c r="N95" i="4"/>
  <c r="O95" i="4" s="1"/>
  <c r="L95" i="4"/>
  <c r="H95" i="4"/>
  <c r="I95" i="4" s="1"/>
  <c r="F95" i="4"/>
  <c r="C95" i="4"/>
  <c r="AD94" i="4"/>
  <c r="AC94" i="4"/>
  <c r="AA94" i="4"/>
  <c r="X94" i="4"/>
  <c r="W94" i="4"/>
  <c r="U94" i="4"/>
  <c r="R94" i="4"/>
  <c r="N94" i="4"/>
  <c r="O94" i="4" s="1"/>
  <c r="L94" i="4"/>
  <c r="I94" i="4"/>
  <c r="H94" i="4"/>
  <c r="F94" i="4"/>
  <c r="C94" i="4"/>
  <c r="AC92" i="4"/>
  <c r="AD92" i="4" s="1"/>
  <c r="AA92" i="4"/>
  <c r="W92" i="4"/>
  <c r="X92" i="4" s="1"/>
  <c r="U92" i="4"/>
  <c r="R92" i="4"/>
  <c r="O92" i="4"/>
  <c r="N92" i="4"/>
  <c r="L92" i="4"/>
  <c r="H92" i="4"/>
  <c r="I92" i="4" s="1"/>
  <c r="F92" i="4"/>
  <c r="C92" i="4"/>
  <c r="AC91" i="4"/>
  <c r="AD91" i="4" s="1"/>
  <c r="AA91" i="4"/>
  <c r="W91" i="4"/>
  <c r="X91" i="4" s="1"/>
  <c r="U91" i="4"/>
  <c r="R91" i="4"/>
  <c r="O91" i="4"/>
  <c r="N91" i="4"/>
  <c r="L91" i="4"/>
  <c r="H91" i="4"/>
  <c r="I91" i="4" s="1"/>
  <c r="F91" i="4"/>
  <c r="C91" i="4"/>
  <c r="AC90" i="4"/>
  <c r="AD90" i="4" s="1"/>
  <c r="AA90" i="4"/>
  <c r="X90" i="4"/>
  <c r="W90" i="4"/>
  <c r="U90" i="4"/>
  <c r="R90" i="4"/>
  <c r="N90" i="4"/>
  <c r="O90" i="4" s="1"/>
  <c r="L90" i="4"/>
  <c r="H90" i="4"/>
  <c r="I90" i="4" s="1"/>
  <c r="F90" i="4"/>
  <c r="C90" i="4"/>
  <c r="AC89" i="4"/>
  <c r="AD89" i="4" s="1"/>
  <c r="AA89" i="4"/>
  <c r="X89" i="4"/>
  <c r="W89" i="4"/>
  <c r="U89" i="4"/>
  <c r="R89" i="4"/>
  <c r="N89" i="4"/>
  <c r="O89" i="4" s="1"/>
  <c r="L89" i="4"/>
  <c r="I89" i="4"/>
  <c r="H89" i="4"/>
  <c r="F89" i="4"/>
  <c r="C89" i="4"/>
  <c r="Z88" i="4"/>
  <c r="AA88" i="4" s="1"/>
  <c r="T88" i="4"/>
  <c r="Q88" i="4"/>
  <c r="R88" i="4" s="1"/>
  <c r="K88" i="4"/>
  <c r="N88" i="4" s="1"/>
  <c r="O88" i="4" s="1"/>
  <c r="H88" i="4"/>
  <c r="I88" i="4" s="1"/>
  <c r="E88" i="4"/>
  <c r="F88" i="4" s="1"/>
  <c r="C88" i="4"/>
  <c r="B88" i="4"/>
  <c r="AC87" i="4"/>
  <c r="AD87" i="4" s="1"/>
  <c r="AA87" i="4"/>
  <c r="X87" i="4"/>
  <c r="W87" i="4"/>
  <c r="U87" i="4"/>
  <c r="R87" i="4"/>
  <c r="N87" i="4"/>
  <c r="O87" i="4" s="1"/>
  <c r="L87" i="4"/>
  <c r="H87" i="4"/>
  <c r="I87" i="4" s="1"/>
  <c r="F87" i="4"/>
  <c r="C87" i="4"/>
  <c r="AC86" i="4"/>
  <c r="AD86" i="4" s="1"/>
  <c r="AA86" i="4"/>
  <c r="X86" i="4"/>
  <c r="W86" i="4"/>
  <c r="U86" i="4"/>
  <c r="R86" i="4"/>
  <c r="N86" i="4"/>
  <c r="O86" i="4" s="1"/>
  <c r="L86" i="4"/>
  <c r="I86" i="4"/>
  <c r="H86" i="4"/>
  <c r="F86" i="4"/>
  <c r="C86" i="4"/>
  <c r="AC85" i="4"/>
  <c r="AD85" i="4" s="1"/>
  <c r="AA85" i="4"/>
  <c r="X85" i="4"/>
  <c r="W85" i="4"/>
  <c r="U85" i="4"/>
  <c r="R85" i="4"/>
  <c r="O85" i="4"/>
  <c r="N85" i="4"/>
  <c r="L85" i="4"/>
  <c r="H85" i="4"/>
  <c r="I85" i="4" s="1"/>
  <c r="F85" i="4"/>
  <c r="C85" i="4"/>
  <c r="AC84" i="4"/>
  <c r="AD84" i="4" s="1"/>
  <c r="AA84" i="4"/>
  <c r="W84" i="4"/>
  <c r="X84" i="4" s="1"/>
  <c r="U84" i="4"/>
  <c r="R84" i="4"/>
  <c r="O84" i="4"/>
  <c r="N84" i="4"/>
  <c r="L84" i="4"/>
  <c r="H84" i="4"/>
  <c r="I84" i="4" s="1"/>
  <c r="F84" i="4"/>
  <c r="C84" i="4"/>
  <c r="AC83" i="4"/>
  <c r="AD83" i="4" s="1"/>
  <c r="AA83" i="4"/>
  <c r="X83" i="4"/>
  <c r="W83" i="4"/>
  <c r="U83" i="4"/>
  <c r="R83" i="4"/>
  <c r="N83" i="4"/>
  <c r="O83" i="4" s="1"/>
  <c r="L83" i="4"/>
  <c r="H83" i="4"/>
  <c r="I83" i="4" s="1"/>
  <c r="F83" i="4"/>
  <c r="C83" i="4"/>
  <c r="AC82" i="4"/>
  <c r="AD82" i="4" s="1"/>
  <c r="AA82" i="4"/>
  <c r="X82" i="4"/>
  <c r="W82" i="4"/>
  <c r="U82" i="4"/>
  <c r="R82" i="4"/>
  <c r="N82" i="4"/>
  <c r="O82" i="4" s="1"/>
  <c r="L82" i="4"/>
  <c r="H82" i="4"/>
  <c r="I82" i="4" s="1"/>
  <c r="F82" i="4"/>
  <c r="C82" i="4"/>
  <c r="AC81" i="4"/>
  <c r="AD81" i="4" s="1"/>
  <c r="AA81" i="4"/>
  <c r="X81" i="4"/>
  <c r="W81" i="4"/>
  <c r="U81" i="4"/>
  <c r="R81" i="4"/>
  <c r="O81" i="4"/>
  <c r="N81" i="4"/>
  <c r="L81" i="4"/>
  <c r="H81" i="4"/>
  <c r="I81" i="4" s="1"/>
  <c r="F81" i="4"/>
  <c r="C81" i="4"/>
  <c r="AC80" i="4"/>
  <c r="AD80" i="4" s="1"/>
  <c r="AA80" i="4"/>
  <c r="W80" i="4"/>
  <c r="X80" i="4" s="1"/>
  <c r="U80" i="4"/>
  <c r="R80" i="4"/>
  <c r="O80" i="4"/>
  <c r="N80" i="4"/>
  <c r="L80" i="4"/>
  <c r="H80" i="4"/>
  <c r="I80" i="4" s="1"/>
  <c r="F80" i="4"/>
  <c r="C80" i="4"/>
  <c r="AD79" i="4"/>
  <c r="AC79" i="4"/>
  <c r="AA79" i="4"/>
  <c r="X79" i="4"/>
  <c r="W79" i="4"/>
  <c r="U79" i="4"/>
  <c r="R79" i="4"/>
  <c r="N79" i="4"/>
  <c r="O79" i="4" s="1"/>
  <c r="L79" i="4"/>
  <c r="H79" i="4"/>
  <c r="I79" i="4" s="1"/>
  <c r="F79" i="4"/>
  <c r="C79" i="4"/>
  <c r="AC78" i="4"/>
  <c r="AD78" i="4" s="1"/>
  <c r="AA78" i="4"/>
  <c r="X78" i="4"/>
  <c r="W78" i="4"/>
  <c r="U78" i="4"/>
  <c r="R78" i="4"/>
  <c r="N78" i="4"/>
  <c r="O78" i="4" s="1"/>
  <c r="L78" i="4"/>
  <c r="H78" i="4"/>
  <c r="I78" i="4" s="1"/>
  <c r="F78" i="4"/>
  <c r="C78" i="4"/>
  <c r="AC77" i="4"/>
  <c r="AD77" i="4" s="1"/>
  <c r="AA77" i="4"/>
  <c r="W77" i="4"/>
  <c r="X77" i="4" s="1"/>
  <c r="U77" i="4"/>
  <c r="R77" i="4"/>
  <c r="O77" i="4"/>
  <c r="N77" i="4"/>
  <c r="L77" i="4"/>
  <c r="H77" i="4"/>
  <c r="I77" i="4" s="1"/>
  <c r="F77" i="4"/>
  <c r="C77" i="4"/>
  <c r="AC76" i="4"/>
  <c r="AD76" i="4" s="1"/>
  <c r="AA76" i="4"/>
  <c r="W76" i="4"/>
  <c r="X76" i="4" s="1"/>
  <c r="U76" i="4"/>
  <c r="R76" i="4"/>
  <c r="O76" i="4"/>
  <c r="N76" i="4"/>
  <c r="L76" i="4"/>
  <c r="H76" i="4"/>
  <c r="I76" i="4" s="1"/>
  <c r="F76" i="4"/>
  <c r="C76" i="4"/>
  <c r="AD75" i="4"/>
  <c r="AC75" i="4"/>
  <c r="AA75" i="4"/>
  <c r="X75" i="4"/>
  <c r="W75" i="4"/>
  <c r="U75" i="4"/>
  <c r="R75" i="4"/>
  <c r="N75" i="4"/>
  <c r="O75" i="4" s="1"/>
  <c r="L75" i="4"/>
  <c r="H75" i="4"/>
  <c r="I75" i="4" s="1"/>
  <c r="F75" i="4"/>
  <c r="C75" i="4"/>
  <c r="Z73" i="4"/>
  <c r="AA73" i="4" s="1"/>
  <c r="T73" i="4"/>
  <c r="U73" i="4" s="1"/>
  <c r="Q73" i="4"/>
  <c r="W73" i="4" s="1"/>
  <c r="X73" i="4" s="1"/>
  <c r="N73" i="4"/>
  <c r="O73" i="4" s="1"/>
  <c r="K73" i="4"/>
  <c r="L73" i="4" s="1"/>
  <c r="F73" i="4"/>
  <c r="E73" i="4"/>
  <c r="B73" i="4"/>
  <c r="H73" i="4" s="1"/>
  <c r="I73" i="4" s="1"/>
  <c r="AC72" i="4"/>
  <c r="AD72" i="4" s="1"/>
  <c r="AA72" i="4"/>
  <c r="W72" i="4"/>
  <c r="X72" i="4" s="1"/>
  <c r="U72" i="4"/>
  <c r="R72" i="4"/>
  <c r="O72" i="4"/>
  <c r="N72" i="4"/>
  <c r="L72" i="4"/>
  <c r="H72" i="4"/>
  <c r="I72" i="4" s="1"/>
  <c r="F72" i="4"/>
  <c r="C72" i="4"/>
  <c r="AC71" i="4"/>
  <c r="AD71" i="4" s="1"/>
  <c r="AA71" i="4"/>
  <c r="X71" i="4"/>
  <c r="W71" i="4"/>
  <c r="U71" i="4"/>
  <c r="R71" i="4"/>
  <c r="O71" i="4"/>
  <c r="N71" i="4"/>
  <c r="L71" i="4"/>
  <c r="H71" i="4"/>
  <c r="I71" i="4" s="1"/>
  <c r="F71" i="4"/>
  <c r="C71" i="4"/>
  <c r="AC70" i="4"/>
  <c r="AD70" i="4" s="1"/>
  <c r="AA70" i="4"/>
  <c r="X70" i="4"/>
  <c r="W70" i="4"/>
  <c r="U70" i="4"/>
  <c r="R70" i="4"/>
  <c r="N70" i="4"/>
  <c r="O70" i="4" s="1"/>
  <c r="L70" i="4"/>
  <c r="H70" i="4"/>
  <c r="I70" i="4" s="1"/>
  <c r="F70" i="4"/>
  <c r="C70" i="4"/>
  <c r="AC69" i="4"/>
  <c r="AD69" i="4" s="1"/>
  <c r="AA69" i="4"/>
  <c r="W69" i="4"/>
  <c r="X69" i="4" s="1"/>
  <c r="U69" i="4"/>
  <c r="R69" i="4"/>
  <c r="O69" i="4"/>
  <c r="N69" i="4"/>
  <c r="L69" i="4"/>
  <c r="H69" i="4"/>
  <c r="I69" i="4" s="1"/>
  <c r="F69" i="4"/>
  <c r="C69" i="4"/>
  <c r="AC68" i="4"/>
  <c r="AD68" i="4" s="1"/>
  <c r="AA68" i="4"/>
  <c r="W68" i="4"/>
  <c r="X68" i="4" s="1"/>
  <c r="U68" i="4"/>
  <c r="R68" i="4"/>
  <c r="O68" i="4"/>
  <c r="N68" i="4"/>
  <c r="L68" i="4"/>
  <c r="H68" i="4"/>
  <c r="I68" i="4" s="1"/>
  <c r="F68" i="4"/>
  <c r="C68" i="4"/>
  <c r="AC67" i="4"/>
  <c r="AD67" i="4" s="1"/>
  <c r="AA67" i="4"/>
  <c r="X67" i="4"/>
  <c r="W67" i="4"/>
  <c r="U67" i="4"/>
  <c r="R67" i="4"/>
  <c r="O67" i="4"/>
  <c r="N67" i="4"/>
  <c r="L67" i="4"/>
  <c r="H67" i="4"/>
  <c r="I67" i="4" s="1"/>
  <c r="F67" i="4"/>
  <c r="C67" i="4"/>
  <c r="AD66" i="4"/>
  <c r="AC66" i="4"/>
  <c r="AA66" i="4"/>
  <c r="X66" i="4"/>
  <c r="W66" i="4"/>
  <c r="U66" i="4"/>
  <c r="R66" i="4"/>
  <c r="N66" i="4"/>
  <c r="O66" i="4" s="1"/>
  <c r="L66" i="4"/>
  <c r="H66" i="4"/>
  <c r="I66" i="4" s="1"/>
  <c r="F66" i="4"/>
  <c r="C66" i="4"/>
  <c r="AC65" i="4"/>
  <c r="AD65" i="4" s="1"/>
  <c r="AA65" i="4"/>
  <c r="W65" i="4"/>
  <c r="X65" i="4" s="1"/>
  <c r="U65" i="4"/>
  <c r="R65" i="4"/>
  <c r="O65" i="4"/>
  <c r="N65" i="4"/>
  <c r="L65" i="4"/>
  <c r="I65" i="4"/>
  <c r="H65" i="4"/>
  <c r="F65" i="4"/>
  <c r="C65" i="4"/>
  <c r="AC64" i="4"/>
  <c r="AD64" i="4" s="1"/>
  <c r="AA64" i="4"/>
  <c r="W64" i="4"/>
  <c r="X64" i="4" s="1"/>
  <c r="U64" i="4"/>
  <c r="R64" i="4"/>
  <c r="O64" i="4"/>
  <c r="N64" i="4"/>
  <c r="L64" i="4"/>
  <c r="H64" i="4"/>
  <c r="I64" i="4" s="1"/>
  <c r="F64" i="4"/>
  <c r="C64" i="4"/>
  <c r="Z62" i="4"/>
  <c r="AA62" i="4" s="1"/>
  <c r="U62" i="4"/>
  <c r="T62" i="4"/>
  <c r="R62" i="4"/>
  <c r="Q62" i="4"/>
  <c r="W62" i="4" s="1"/>
  <c r="X62" i="4" s="1"/>
  <c r="K62" i="4"/>
  <c r="L62" i="4" s="1"/>
  <c r="F62" i="4"/>
  <c r="E62" i="4"/>
  <c r="B62" i="4"/>
  <c r="Z61" i="4"/>
  <c r="AA61" i="4" s="1"/>
  <c r="T61" i="4"/>
  <c r="U61" i="4" s="1"/>
  <c r="Q61" i="4"/>
  <c r="R61" i="4" s="1"/>
  <c r="N61" i="4"/>
  <c r="O61" i="4" s="1"/>
  <c r="K61" i="4"/>
  <c r="L61" i="4" s="1"/>
  <c r="E61" i="4"/>
  <c r="F61" i="4" s="1"/>
  <c r="B61" i="4"/>
  <c r="H61" i="4" s="1"/>
  <c r="I61" i="4" s="1"/>
  <c r="AC60" i="4"/>
  <c r="AD60" i="4" s="1"/>
  <c r="AA60" i="4"/>
  <c r="X60" i="4"/>
  <c r="W60" i="4"/>
  <c r="U60" i="4"/>
  <c r="R60" i="4"/>
  <c r="O60" i="4"/>
  <c r="N60" i="4"/>
  <c r="L60" i="4"/>
  <c r="H60" i="4"/>
  <c r="I60" i="4" s="1"/>
  <c r="F60" i="4"/>
  <c r="C60" i="4"/>
  <c r="AC59" i="4"/>
  <c r="AD59" i="4" s="1"/>
  <c r="AA59" i="4"/>
  <c r="X59" i="4"/>
  <c r="W59" i="4"/>
  <c r="U59" i="4"/>
  <c r="R59" i="4"/>
  <c r="N59" i="4"/>
  <c r="O59" i="4" s="1"/>
  <c r="L59" i="4"/>
  <c r="H59" i="4"/>
  <c r="I59" i="4" s="1"/>
  <c r="F59" i="4"/>
  <c r="C59" i="4"/>
  <c r="AC58" i="4"/>
  <c r="AD58" i="4" s="1"/>
  <c r="AA58" i="4"/>
  <c r="W58" i="4"/>
  <c r="X58" i="4" s="1"/>
  <c r="U58" i="4"/>
  <c r="R58" i="4"/>
  <c r="O58" i="4"/>
  <c r="N58" i="4"/>
  <c r="L58" i="4"/>
  <c r="H58" i="4"/>
  <c r="I58" i="4" s="1"/>
  <c r="F58" i="4"/>
  <c r="C58" i="4"/>
  <c r="AC57" i="4"/>
  <c r="AD57" i="4" s="1"/>
  <c r="AA57" i="4"/>
  <c r="W57" i="4"/>
  <c r="X57" i="4" s="1"/>
  <c r="U57" i="4"/>
  <c r="R57" i="4"/>
  <c r="O57" i="4"/>
  <c r="N57" i="4"/>
  <c r="L57" i="4"/>
  <c r="H57" i="4"/>
  <c r="I57" i="4" s="1"/>
  <c r="F57" i="4"/>
  <c r="C57" i="4"/>
  <c r="AC56" i="4"/>
  <c r="AD56" i="4" s="1"/>
  <c r="AA56" i="4"/>
  <c r="X56" i="4"/>
  <c r="W56" i="4"/>
  <c r="U56" i="4"/>
  <c r="R56" i="4"/>
  <c r="O56" i="4"/>
  <c r="N56" i="4"/>
  <c r="L56" i="4"/>
  <c r="H56" i="4"/>
  <c r="I56" i="4" s="1"/>
  <c r="F56" i="4"/>
  <c r="C56" i="4"/>
  <c r="AD55" i="4"/>
  <c r="AC55" i="4"/>
  <c r="AA55" i="4"/>
  <c r="X55" i="4"/>
  <c r="W55" i="4"/>
  <c r="U55" i="4"/>
  <c r="R55" i="4"/>
  <c r="N55" i="4"/>
  <c r="O55" i="4" s="1"/>
  <c r="L55" i="4"/>
  <c r="H55" i="4"/>
  <c r="I55" i="4" s="1"/>
  <c r="F55" i="4"/>
  <c r="C55" i="4"/>
  <c r="AC54" i="4"/>
  <c r="AD54" i="4" s="1"/>
  <c r="AA54" i="4"/>
  <c r="W54" i="4"/>
  <c r="X54" i="4" s="1"/>
  <c r="U54" i="4"/>
  <c r="R54" i="4"/>
  <c r="O54" i="4"/>
  <c r="N54" i="4"/>
  <c r="L54" i="4"/>
  <c r="H54" i="4"/>
  <c r="I54" i="4" s="1"/>
  <c r="F54" i="4"/>
  <c r="C54" i="4"/>
  <c r="AC53" i="4"/>
  <c r="AD53" i="4" s="1"/>
  <c r="AA53" i="4"/>
  <c r="W53" i="4"/>
  <c r="X53" i="4" s="1"/>
  <c r="U53" i="4"/>
  <c r="R53" i="4"/>
  <c r="O53" i="4"/>
  <c r="N53" i="4"/>
  <c r="L53" i="4"/>
  <c r="H53" i="4"/>
  <c r="I53" i="4" s="1"/>
  <c r="F53" i="4"/>
  <c r="C53" i="4"/>
  <c r="AC52" i="4"/>
  <c r="AD52" i="4" s="1"/>
  <c r="AA52" i="4"/>
  <c r="X52" i="4"/>
  <c r="W52" i="4"/>
  <c r="U52" i="4"/>
  <c r="R52" i="4"/>
  <c r="N52" i="4"/>
  <c r="O52" i="4" s="1"/>
  <c r="L52" i="4"/>
  <c r="H52" i="4"/>
  <c r="I52" i="4" s="1"/>
  <c r="F52" i="4"/>
  <c r="C52" i="4"/>
  <c r="AD51" i="4"/>
  <c r="AC51" i="4"/>
  <c r="AA51" i="4"/>
  <c r="X51" i="4"/>
  <c r="W51" i="4"/>
  <c r="U51" i="4"/>
  <c r="R51" i="4"/>
  <c r="N51" i="4"/>
  <c r="O51" i="4" s="1"/>
  <c r="L51" i="4"/>
  <c r="H51" i="4"/>
  <c r="I51" i="4" s="1"/>
  <c r="F51" i="4"/>
  <c r="C51" i="4"/>
  <c r="AC50" i="4"/>
  <c r="AD50" i="4" s="1"/>
  <c r="AA50" i="4"/>
  <c r="W50" i="4"/>
  <c r="X50" i="4" s="1"/>
  <c r="U50" i="4"/>
  <c r="R50" i="4"/>
  <c r="O50" i="4"/>
  <c r="N50" i="4"/>
  <c r="L50" i="4"/>
  <c r="I50" i="4"/>
  <c r="H50" i="4"/>
  <c r="F50" i="4"/>
  <c r="C50" i="4"/>
  <c r="AC49" i="4"/>
  <c r="AD49" i="4" s="1"/>
  <c r="AA49" i="4"/>
  <c r="W49" i="4"/>
  <c r="X49" i="4" s="1"/>
  <c r="U49" i="4"/>
  <c r="R49" i="4"/>
  <c r="O49" i="4"/>
  <c r="N49" i="4"/>
  <c r="L49" i="4"/>
  <c r="H49" i="4"/>
  <c r="I49" i="4" s="1"/>
  <c r="F49" i="4"/>
  <c r="C49" i="4"/>
  <c r="AD48" i="4"/>
  <c r="AC48" i="4"/>
  <c r="AA48" i="4"/>
  <c r="X48" i="4"/>
  <c r="W48" i="4"/>
  <c r="U48" i="4"/>
  <c r="R48" i="4"/>
  <c r="N48" i="4"/>
  <c r="O48" i="4" s="1"/>
  <c r="L48" i="4"/>
  <c r="H48" i="4"/>
  <c r="I48" i="4" s="1"/>
  <c r="F48" i="4"/>
  <c r="C48" i="4"/>
  <c r="AC47" i="4"/>
  <c r="AD47" i="4" s="1"/>
  <c r="AA47" i="4"/>
  <c r="X47" i="4"/>
  <c r="W47" i="4"/>
  <c r="U47" i="4"/>
  <c r="R47" i="4"/>
  <c r="N47" i="4"/>
  <c r="O47" i="4" s="1"/>
  <c r="L47" i="4"/>
  <c r="H47" i="4"/>
  <c r="I47" i="4" s="1"/>
  <c r="F47" i="4"/>
  <c r="C47" i="4"/>
  <c r="AC46" i="4"/>
  <c r="AD46" i="4" s="1"/>
  <c r="AA46" i="4"/>
  <c r="X46" i="4"/>
  <c r="W46" i="4"/>
  <c r="U46" i="4"/>
  <c r="R46" i="4"/>
  <c r="O46" i="4"/>
  <c r="N46" i="4"/>
  <c r="L46" i="4"/>
  <c r="I46" i="4"/>
  <c r="H46" i="4"/>
  <c r="F46" i="4"/>
  <c r="C46" i="4"/>
  <c r="AC44" i="4"/>
  <c r="AD44" i="4" s="1"/>
  <c r="AA44" i="4"/>
  <c r="W44" i="4"/>
  <c r="X44" i="4" s="1"/>
  <c r="U44" i="4"/>
  <c r="R44" i="4"/>
  <c r="O44" i="4"/>
  <c r="N44" i="4"/>
  <c r="L44" i="4"/>
  <c r="H44" i="4"/>
  <c r="I44" i="4" s="1"/>
  <c r="F44" i="4"/>
  <c r="C44" i="4"/>
  <c r="AC43" i="4"/>
  <c r="AD43" i="4" s="1"/>
  <c r="AA43" i="4"/>
  <c r="X43" i="4"/>
  <c r="W43" i="4"/>
  <c r="U43" i="4"/>
  <c r="R43" i="4"/>
  <c r="O43" i="4"/>
  <c r="N43" i="4"/>
  <c r="L43" i="4"/>
  <c r="H43" i="4"/>
  <c r="I43" i="4" s="1"/>
  <c r="F43" i="4"/>
  <c r="C43" i="4"/>
  <c r="AC42" i="4"/>
  <c r="AD42" i="4" s="1"/>
  <c r="AA42" i="4"/>
  <c r="X42" i="4"/>
  <c r="W42" i="4"/>
  <c r="U42" i="4"/>
  <c r="R42" i="4"/>
  <c r="N42" i="4"/>
  <c r="O42" i="4" s="1"/>
  <c r="L42" i="4"/>
  <c r="H42" i="4"/>
  <c r="I42" i="4" s="1"/>
  <c r="F42" i="4"/>
  <c r="C42" i="4"/>
  <c r="AA40" i="4"/>
  <c r="Z40" i="4"/>
  <c r="T40" i="4"/>
  <c r="U40" i="4" s="1"/>
  <c r="Q40" i="4"/>
  <c r="R40" i="4" s="1"/>
  <c r="N40" i="4"/>
  <c r="O40" i="4" s="1"/>
  <c r="L40" i="4"/>
  <c r="K40" i="4"/>
  <c r="E40" i="4"/>
  <c r="F40" i="4" s="1"/>
  <c r="B40" i="4"/>
  <c r="H40" i="4" s="1"/>
  <c r="I40" i="4" s="1"/>
  <c r="AC39" i="4"/>
  <c r="AD39" i="4" s="1"/>
  <c r="AA39" i="4"/>
  <c r="X39" i="4"/>
  <c r="W39" i="4"/>
  <c r="U39" i="4"/>
  <c r="R39" i="4"/>
  <c r="O39" i="4"/>
  <c r="N39" i="4"/>
  <c r="L39" i="4"/>
  <c r="H39" i="4"/>
  <c r="I39" i="4" s="1"/>
  <c r="F39" i="4"/>
  <c r="C39" i="4"/>
  <c r="AC38" i="4"/>
  <c r="AD38" i="4" s="1"/>
  <c r="AA38" i="4"/>
  <c r="X38" i="4"/>
  <c r="W38" i="4"/>
  <c r="U38" i="4"/>
  <c r="R38" i="4"/>
  <c r="N38" i="4"/>
  <c r="O38" i="4" s="1"/>
  <c r="L38" i="4"/>
  <c r="H38" i="4"/>
  <c r="I38" i="4" s="1"/>
  <c r="F38" i="4"/>
  <c r="C38" i="4"/>
  <c r="AC37" i="4"/>
  <c r="AD37" i="4" s="1"/>
  <c r="AA37" i="4"/>
  <c r="W37" i="4"/>
  <c r="X37" i="4" s="1"/>
  <c r="U37" i="4"/>
  <c r="R37" i="4"/>
  <c r="O37" i="4"/>
  <c r="N37" i="4"/>
  <c r="L37" i="4"/>
  <c r="H37" i="4"/>
  <c r="I37" i="4" s="1"/>
  <c r="F37" i="4"/>
  <c r="C37" i="4"/>
  <c r="AC36" i="4"/>
  <c r="AD36" i="4" s="1"/>
  <c r="AA36" i="4"/>
  <c r="W36" i="4"/>
  <c r="X36" i="4" s="1"/>
  <c r="U36" i="4"/>
  <c r="R36" i="4"/>
  <c r="O36" i="4"/>
  <c r="N36" i="4"/>
  <c r="L36" i="4"/>
  <c r="H36" i="4"/>
  <c r="I36" i="4" s="1"/>
  <c r="F36" i="4"/>
  <c r="C36" i="4"/>
  <c r="AD35" i="4"/>
  <c r="AC35" i="4"/>
  <c r="AA35" i="4"/>
  <c r="X35" i="4"/>
  <c r="W35" i="4"/>
  <c r="U35" i="4"/>
  <c r="R35" i="4"/>
  <c r="O35" i="4"/>
  <c r="N35" i="4"/>
  <c r="L35" i="4"/>
  <c r="H35" i="4"/>
  <c r="I35" i="4" s="1"/>
  <c r="F35" i="4"/>
  <c r="C35" i="4"/>
  <c r="AD34" i="4"/>
  <c r="AC34" i="4"/>
  <c r="AA34" i="4"/>
  <c r="X34" i="4"/>
  <c r="W34" i="4"/>
  <c r="U34" i="4"/>
  <c r="R34" i="4"/>
  <c r="N34" i="4"/>
  <c r="O34" i="4" s="1"/>
  <c r="L34" i="4"/>
  <c r="H34" i="4"/>
  <c r="I34" i="4" s="1"/>
  <c r="F34" i="4"/>
  <c r="C34" i="4"/>
  <c r="AC33" i="4"/>
  <c r="AD33" i="4" s="1"/>
  <c r="AA33" i="4"/>
  <c r="W33" i="4"/>
  <c r="X33" i="4" s="1"/>
  <c r="U33" i="4"/>
  <c r="R33" i="4"/>
  <c r="O33" i="4"/>
  <c r="N33" i="4"/>
  <c r="L33" i="4"/>
  <c r="H33" i="4"/>
  <c r="I33" i="4" s="1"/>
  <c r="F33" i="4"/>
  <c r="C33" i="4"/>
  <c r="AC32" i="4"/>
  <c r="AD32" i="4" s="1"/>
  <c r="AA32" i="4"/>
  <c r="W32" i="4"/>
  <c r="X32" i="4" s="1"/>
  <c r="U32" i="4"/>
  <c r="R32" i="4"/>
  <c r="O32" i="4"/>
  <c r="N32" i="4"/>
  <c r="L32" i="4"/>
  <c r="H32" i="4"/>
  <c r="I32" i="4" s="1"/>
  <c r="F32" i="4"/>
  <c r="C32" i="4"/>
  <c r="AC31" i="4"/>
  <c r="AD31" i="4" s="1"/>
  <c r="AA31" i="4"/>
  <c r="X31" i="4"/>
  <c r="W31" i="4"/>
  <c r="U31" i="4"/>
  <c r="R31" i="4"/>
  <c r="N31" i="4"/>
  <c r="O31" i="4" s="1"/>
  <c r="L31" i="4"/>
  <c r="H31" i="4"/>
  <c r="I31" i="4" s="1"/>
  <c r="F31" i="4"/>
  <c r="C31" i="4"/>
  <c r="Z29" i="4"/>
  <c r="AC29" i="4" s="1"/>
  <c r="AD29" i="4" s="1"/>
  <c r="W29" i="4"/>
  <c r="X29" i="4" s="1"/>
  <c r="T29" i="4"/>
  <c r="U29" i="4" s="1"/>
  <c r="R29" i="4"/>
  <c r="Q29" i="4"/>
  <c r="K29" i="4"/>
  <c r="L29" i="4" s="1"/>
  <c r="E29" i="4"/>
  <c r="F29" i="4" s="1"/>
  <c r="B29" i="4"/>
  <c r="H29" i="4" s="1"/>
  <c r="I29" i="4" s="1"/>
  <c r="AC28" i="4"/>
  <c r="AD28" i="4" s="1"/>
  <c r="AA28" i="4"/>
  <c r="W28" i="4"/>
  <c r="X28" i="4" s="1"/>
  <c r="U28" i="4"/>
  <c r="R28" i="4"/>
  <c r="O28" i="4"/>
  <c r="N28" i="4"/>
  <c r="L28" i="4"/>
  <c r="H28" i="4"/>
  <c r="I28" i="4" s="1"/>
  <c r="F28" i="4"/>
  <c r="C28" i="4"/>
  <c r="AC27" i="4"/>
  <c r="AD27" i="4" s="1"/>
  <c r="AA27" i="4"/>
  <c r="X27" i="4"/>
  <c r="W27" i="4"/>
  <c r="U27" i="4"/>
  <c r="R27" i="4"/>
  <c r="N27" i="4"/>
  <c r="O27" i="4" s="1"/>
  <c r="L27" i="4"/>
  <c r="H27" i="4"/>
  <c r="I27" i="4" s="1"/>
  <c r="F27" i="4"/>
  <c r="C27" i="4"/>
  <c r="AC26" i="4"/>
  <c r="AD26" i="4" s="1"/>
  <c r="AA26" i="4"/>
  <c r="X26" i="4"/>
  <c r="W26" i="4"/>
  <c r="U26" i="4"/>
  <c r="R26" i="4"/>
  <c r="N26" i="4"/>
  <c r="O26" i="4" s="1"/>
  <c r="L26" i="4"/>
  <c r="I26" i="4"/>
  <c r="H26" i="4"/>
  <c r="F26" i="4"/>
  <c r="C26" i="4"/>
  <c r="AC25" i="4"/>
  <c r="AD25" i="4" s="1"/>
  <c r="AA25" i="4"/>
  <c r="X25" i="4"/>
  <c r="W25" i="4"/>
  <c r="U25" i="4"/>
  <c r="R25" i="4"/>
  <c r="O25" i="4"/>
  <c r="N25" i="4"/>
  <c r="L25" i="4"/>
  <c r="H25" i="4"/>
  <c r="I25" i="4" s="1"/>
  <c r="F25" i="4"/>
  <c r="C25" i="4"/>
  <c r="AC24" i="4"/>
  <c r="AD24" i="4" s="1"/>
  <c r="AA24" i="4"/>
  <c r="W24" i="4"/>
  <c r="X24" i="4" s="1"/>
  <c r="U24" i="4"/>
  <c r="R24" i="4"/>
  <c r="O24" i="4"/>
  <c r="N24" i="4"/>
  <c r="L24" i="4"/>
  <c r="H24" i="4"/>
  <c r="I24" i="4" s="1"/>
  <c r="F24" i="4"/>
  <c r="C24" i="4"/>
  <c r="AD23" i="4"/>
  <c r="AC23" i="4"/>
  <c r="AA23" i="4"/>
  <c r="X23" i="4"/>
  <c r="W23" i="4"/>
  <c r="U23" i="4"/>
  <c r="R23" i="4"/>
  <c r="N23" i="4"/>
  <c r="O23" i="4" s="1"/>
  <c r="L23" i="4"/>
  <c r="H23" i="4"/>
  <c r="I23" i="4" s="1"/>
  <c r="F23" i="4"/>
  <c r="C23" i="4"/>
  <c r="AD22" i="4"/>
  <c r="AC22" i="4"/>
  <c r="AA22" i="4"/>
  <c r="X22" i="4"/>
  <c r="W22" i="4"/>
  <c r="U22" i="4"/>
  <c r="R22" i="4"/>
  <c r="N22" i="4"/>
  <c r="O22" i="4" s="1"/>
  <c r="L22" i="4"/>
  <c r="H22" i="4"/>
  <c r="I22" i="4" s="1"/>
  <c r="F22" i="4"/>
  <c r="C22" i="4"/>
  <c r="AC21" i="4"/>
  <c r="AD21" i="4" s="1"/>
  <c r="AA21" i="4"/>
  <c r="X21" i="4"/>
  <c r="W21" i="4"/>
  <c r="U21" i="4"/>
  <c r="R21" i="4"/>
  <c r="O21" i="4"/>
  <c r="N21" i="4"/>
  <c r="L21" i="4"/>
  <c r="H21" i="4"/>
  <c r="I21" i="4" s="1"/>
  <c r="F21" i="4"/>
  <c r="C21" i="4"/>
  <c r="AC19" i="4"/>
  <c r="AD19" i="4" s="1"/>
  <c r="AA19" i="4"/>
  <c r="W19" i="4"/>
  <c r="X19" i="4" s="1"/>
  <c r="U19" i="4"/>
  <c r="R19" i="4"/>
  <c r="O19" i="4"/>
  <c r="N19" i="4"/>
  <c r="L19" i="4"/>
  <c r="H19" i="4"/>
  <c r="I19" i="4" s="1"/>
  <c r="F19" i="4"/>
  <c r="C19" i="4"/>
  <c r="Z18" i="4"/>
  <c r="AA18" i="4" s="1"/>
  <c r="U18" i="4"/>
  <c r="T18" i="4"/>
  <c r="Q18" i="4"/>
  <c r="W18" i="4" s="1"/>
  <c r="X18" i="4" s="1"/>
  <c r="K18" i="4"/>
  <c r="L18" i="4" s="1"/>
  <c r="H18" i="4"/>
  <c r="I18" i="4" s="1"/>
  <c r="E18" i="4"/>
  <c r="F18" i="4" s="1"/>
  <c r="B18" i="4"/>
  <c r="C18" i="4" s="1"/>
  <c r="AC17" i="4"/>
  <c r="AD17" i="4" s="1"/>
  <c r="AA17" i="4"/>
  <c r="X17" i="4"/>
  <c r="W17" i="4"/>
  <c r="U17" i="4"/>
  <c r="R17" i="4"/>
  <c r="O17" i="4"/>
  <c r="N17" i="4"/>
  <c r="L17" i="4"/>
  <c r="H17" i="4"/>
  <c r="I17" i="4" s="1"/>
  <c r="F17" i="4"/>
  <c r="C17" i="4"/>
  <c r="AC16" i="4"/>
  <c r="AD16" i="4" s="1"/>
  <c r="AA16" i="4"/>
  <c r="W16" i="4"/>
  <c r="X16" i="4" s="1"/>
  <c r="U16" i="4"/>
  <c r="R16" i="4"/>
  <c r="O16" i="4"/>
  <c r="N16" i="4"/>
  <c r="L16" i="4"/>
  <c r="H16" i="4"/>
  <c r="I16" i="4" s="1"/>
  <c r="F16" i="4"/>
  <c r="C16" i="4"/>
  <c r="AD15" i="4"/>
  <c r="AC15" i="4"/>
  <c r="AA15" i="4"/>
  <c r="X15" i="4"/>
  <c r="W15" i="4"/>
  <c r="U15" i="4"/>
  <c r="R15" i="4"/>
  <c r="N15" i="4"/>
  <c r="O15" i="4" s="1"/>
  <c r="L15" i="4"/>
  <c r="H15" i="4"/>
  <c r="I15" i="4" s="1"/>
  <c r="F15" i="4"/>
  <c r="C15" i="4"/>
  <c r="AD14" i="4"/>
  <c r="AC14" i="4"/>
  <c r="AA14" i="4"/>
  <c r="X14" i="4"/>
  <c r="W14" i="4"/>
  <c r="U14" i="4"/>
  <c r="R14" i="4"/>
  <c r="N14" i="4"/>
  <c r="O14" i="4" s="1"/>
  <c r="L14" i="4"/>
  <c r="H14" i="4"/>
  <c r="I14" i="4" s="1"/>
  <c r="F14" i="4"/>
  <c r="C14" i="4"/>
  <c r="AC13" i="4"/>
  <c r="AD13" i="4" s="1"/>
  <c r="AA13" i="4"/>
  <c r="X13" i="4"/>
  <c r="W13" i="4"/>
  <c r="U13" i="4"/>
  <c r="R13" i="4"/>
  <c r="O13" i="4"/>
  <c r="N13" i="4"/>
  <c r="L13" i="4"/>
  <c r="H13" i="4"/>
  <c r="I13" i="4" s="1"/>
  <c r="F13" i="4"/>
  <c r="C13" i="4"/>
  <c r="AC12" i="4"/>
  <c r="AD12" i="4" s="1"/>
  <c r="AA12" i="4"/>
  <c r="W12" i="4"/>
  <c r="X12" i="4" s="1"/>
  <c r="U12" i="4"/>
  <c r="R12" i="4"/>
  <c r="O12" i="4"/>
  <c r="N12" i="4"/>
  <c r="L12" i="4"/>
  <c r="H12" i="4"/>
  <c r="I12" i="4" s="1"/>
  <c r="F12" i="4"/>
  <c r="C12" i="4"/>
  <c r="AD11" i="4"/>
  <c r="AC11" i="4"/>
  <c r="AA11" i="4"/>
  <c r="X11" i="4"/>
  <c r="W11" i="4"/>
  <c r="U11" i="4"/>
  <c r="R11" i="4"/>
  <c r="N11" i="4"/>
  <c r="O11" i="4" s="1"/>
  <c r="L11" i="4"/>
  <c r="H11" i="4"/>
  <c r="I11" i="4" s="1"/>
  <c r="F11" i="4"/>
  <c r="C11" i="4"/>
  <c r="AC10" i="4"/>
  <c r="AD10" i="4" s="1"/>
  <c r="AA10" i="4"/>
  <c r="X10" i="4"/>
  <c r="W10" i="4"/>
  <c r="U10" i="4"/>
  <c r="R10" i="4"/>
  <c r="N10" i="4"/>
  <c r="O10" i="4" s="1"/>
  <c r="L10" i="4"/>
  <c r="I10" i="4"/>
  <c r="H10" i="4"/>
  <c r="F10" i="4"/>
  <c r="C10" i="4"/>
  <c r="AC8" i="4"/>
  <c r="AD8" i="4" s="1"/>
  <c r="AA8" i="4"/>
  <c r="W8" i="4"/>
  <c r="X8" i="4" s="1"/>
  <c r="U8" i="4"/>
  <c r="R8" i="4"/>
  <c r="O8" i="4"/>
  <c r="N8" i="4"/>
  <c r="L8" i="4"/>
  <c r="H8" i="4"/>
  <c r="I8" i="4" s="1"/>
  <c r="F8" i="4"/>
  <c r="C8" i="4"/>
  <c r="AC444" i="3"/>
  <c r="W444" i="3"/>
  <c r="X439" i="3" s="1"/>
  <c r="N444" i="3"/>
  <c r="H444" i="3"/>
  <c r="Z442" i="3"/>
  <c r="AA442" i="3" s="1"/>
  <c r="U442" i="3"/>
  <c r="T442" i="3"/>
  <c r="Q442" i="3"/>
  <c r="R442" i="3" s="1"/>
  <c r="L442" i="3"/>
  <c r="K442" i="3"/>
  <c r="E442" i="3"/>
  <c r="F442" i="3" s="1"/>
  <c r="B442" i="3"/>
  <c r="C442" i="3" s="1"/>
  <c r="AA441" i="3"/>
  <c r="Z441" i="3"/>
  <c r="W441" i="3"/>
  <c r="X441" i="3" s="1"/>
  <c r="T441" i="3"/>
  <c r="U441" i="3" s="1"/>
  <c r="Q441" i="3"/>
  <c r="K441" i="3"/>
  <c r="L441" i="3" s="1"/>
  <c r="E441" i="3"/>
  <c r="F441" i="3" s="1"/>
  <c r="B441" i="3"/>
  <c r="AC440" i="3"/>
  <c r="AD440" i="3" s="1"/>
  <c r="AA440" i="3"/>
  <c r="W440" i="3"/>
  <c r="X440" i="3" s="1"/>
  <c r="U440" i="3"/>
  <c r="R440" i="3"/>
  <c r="O440" i="3"/>
  <c r="N440" i="3"/>
  <c r="L440" i="3"/>
  <c r="H440" i="3"/>
  <c r="I440" i="3" s="1"/>
  <c r="F440" i="3"/>
  <c r="C440" i="3"/>
  <c r="AD439" i="3"/>
  <c r="AC439" i="3"/>
  <c r="AA439" i="3"/>
  <c r="W439" i="3"/>
  <c r="U439" i="3"/>
  <c r="R439" i="3"/>
  <c r="O439" i="3"/>
  <c r="N439" i="3"/>
  <c r="L439" i="3"/>
  <c r="H439" i="3"/>
  <c r="I439" i="3" s="1"/>
  <c r="F439" i="3"/>
  <c r="C439" i="3"/>
  <c r="AD438" i="3"/>
  <c r="AC438" i="3"/>
  <c r="AA438" i="3"/>
  <c r="X438" i="3"/>
  <c r="W438" i="3"/>
  <c r="U438" i="3"/>
  <c r="R438" i="3"/>
  <c r="N438" i="3"/>
  <c r="O438" i="3" s="1"/>
  <c r="L438" i="3"/>
  <c r="I438" i="3"/>
  <c r="H438" i="3"/>
  <c r="F438" i="3"/>
  <c r="C438" i="3"/>
  <c r="AC437" i="3"/>
  <c r="AD437" i="3" s="1"/>
  <c r="AA437" i="3"/>
  <c r="W437" i="3"/>
  <c r="X437" i="3" s="1"/>
  <c r="U437" i="3"/>
  <c r="R437" i="3"/>
  <c r="O437" i="3"/>
  <c r="N437" i="3"/>
  <c r="L437" i="3"/>
  <c r="H437" i="3"/>
  <c r="I437" i="3" s="1"/>
  <c r="F437" i="3"/>
  <c r="C437" i="3"/>
  <c r="AC436" i="3"/>
  <c r="AD436" i="3" s="1"/>
  <c r="AA436" i="3"/>
  <c r="W436" i="3"/>
  <c r="U436" i="3"/>
  <c r="R436" i="3"/>
  <c r="O436" i="3"/>
  <c r="N436" i="3"/>
  <c r="L436" i="3"/>
  <c r="H436" i="3"/>
  <c r="I436" i="3" s="1"/>
  <c r="F436" i="3"/>
  <c r="C436" i="3"/>
  <c r="AD435" i="3"/>
  <c r="AC435" i="3"/>
  <c r="AA435" i="3"/>
  <c r="X435" i="3"/>
  <c r="W435" i="3"/>
  <c r="U435" i="3"/>
  <c r="R435" i="3"/>
  <c r="N435" i="3"/>
  <c r="O435" i="3" s="1"/>
  <c r="L435" i="3"/>
  <c r="H435" i="3"/>
  <c r="I435" i="3" s="1"/>
  <c r="F435" i="3"/>
  <c r="C435" i="3"/>
  <c r="AD434" i="3"/>
  <c r="AC434" i="3"/>
  <c r="AA434" i="3"/>
  <c r="X434" i="3"/>
  <c r="W434" i="3"/>
  <c r="U434" i="3"/>
  <c r="R434" i="3"/>
  <c r="N434" i="3"/>
  <c r="O434" i="3" s="1"/>
  <c r="L434" i="3"/>
  <c r="I434" i="3"/>
  <c r="H434" i="3"/>
  <c r="F434" i="3"/>
  <c r="C434" i="3"/>
  <c r="AC433" i="3"/>
  <c r="AD433" i="3" s="1"/>
  <c r="AA433" i="3"/>
  <c r="X433" i="3"/>
  <c r="W433" i="3"/>
  <c r="U433" i="3"/>
  <c r="R433" i="3"/>
  <c r="O433" i="3"/>
  <c r="N433" i="3"/>
  <c r="L433" i="3"/>
  <c r="I433" i="3"/>
  <c r="H433" i="3"/>
  <c r="F433" i="3"/>
  <c r="C433" i="3"/>
  <c r="AC432" i="3"/>
  <c r="AD432" i="3" s="1"/>
  <c r="AA432" i="3"/>
  <c r="W432" i="3"/>
  <c r="U432" i="3"/>
  <c r="R432" i="3"/>
  <c r="O432" i="3"/>
  <c r="N432" i="3"/>
  <c r="L432" i="3"/>
  <c r="H432" i="3"/>
  <c r="I432" i="3" s="1"/>
  <c r="F432" i="3"/>
  <c r="C432" i="3"/>
  <c r="Z429" i="3"/>
  <c r="AA429" i="3" s="1"/>
  <c r="T429" i="3"/>
  <c r="U429" i="3" s="1"/>
  <c r="Q429" i="3"/>
  <c r="N429" i="3"/>
  <c r="O429" i="3" s="1"/>
  <c r="K429" i="3"/>
  <c r="L429" i="3" s="1"/>
  <c r="I429" i="3"/>
  <c r="H429" i="3"/>
  <c r="E429" i="3"/>
  <c r="F429" i="3" s="1"/>
  <c r="B429" i="3"/>
  <c r="C429" i="3" s="1"/>
  <c r="AA428" i="3"/>
  <c r="Z428" i="3"/>
  <c r="W428" i="3"/>
  <c r="X428" i="3" s="1"/>
  <c r="T428" i="3"/>
  <c r="U428" i="3" s="1"/>
  <c r="Q428" i="3"/>
  <c r="R428" i="3" s="1"/>
  <c r="L428" i="3"/>
  <c r="K428" i="3"/>
  <c r="E428" i="3"/>
  <c r="F428" i="3" s="1"/>
  <c r="C428" i="3"/>
  <c r="B428" i="3"/>
  <c r="H428" i="3" s="1"/>
  <c r="I428" i="3" s="1"/>
  <c r="AD427" i="3"/>
  <c r="AC427" i="3"/>
  <c r="AA427" i="3"/>
  <c r="W427" i="3"/>
  <c r="U427" i="3"/>
  <c r="R427" i="3"/>
  <c r="N427" i="3"/>
  <c r="O427" i="3" s="1"/>
  <c r="L427" i="3"/>
  <c r="H427" i="3"/>
  <c r="I427" i="3" s="1"/>
  <c r="F427" i="3"/>
  <c r="C427" i="3"/>
  <c r="AD426" i="3"/>
  <c r="AC426" i="3"/>
  <c r="AA426" i="3"/>
  <c r="X426" i="3"/>
  <c r="W426" i="3"/>
  <c r="U426" i="3"/>
  <c r="R426" i="3"/>
  <c r="N426" i="3"/>
  <c r="O426" i="3" s="1"/>
  <c r="L426" i="3"/>
  <c r="I426" i="3"/>
  <c r="H426" i="3"/>
  <c r="F426" i="3"/>
  <c r="C426" i="3"/>
  <c r="AC425" i="3"/>
  <c r="AD425" i="3" s="1"/>
  <c r="AA425" i="3"/>
  <c r="W425" i="3"/>
  <c r="X425" i="3" s="1"/>
  <c r="U425" i="3"/>
  <c r="R425" i="3"/>
  <c r="O425" i="3"/>
  <c r="N425" i="3"/>
  <c r="L425" i="3"/>
  <c r="H425" i="3"/>
  <c r="I425" i="3" s="1"/>
  <c r="F425" i="3"/>
  <c r="C425" i="3"/>
  <c r="AC424" i="3"/>
  <c r="AD424" i="3" s="1"/>
  <c r="AA424" i="3"/>
  <c r="W424" i="3"/>
  <c r="U424" i="3"/>
  <c r="R424" i="3"/>
  <c r="O424" i="3"/>
  <c r="N424" i="3"/>
  <c r="L424" i="3"/>
  <c r="H424" i="3"/>
  <c r="I424" i="3" s="1"/>
  <c r="F424" i="3"/>
  <c r="C424" i="3"/>
  <c r="AD423" i="3"/>
  <c r="AC423" i="3"/>
  <c r="AA423" i="3"/>
  <c r="X423" i="3"/>
  <c r="W423" i="3"/>
  <c r="U423" i="3"/>
  <c r="R423" i="3"/>
  <c r="N423" i="3"/>
  <c r="O423" i="3" s="1"/>
  <c r="L423" i="3"/>
  <c r="H423" i="3"/>
  <c r="I423" i="3" s="1"/>
  <c r="F423" i="3"/>
  <c r="C423" i="3"/>
  <c r="AD422" i="3"/>
  <c r="AC422" i="3"/>
  <c r="AA422" i="3"/>
  <c r="X422" i="3"/>
  <c r="W422" i="3"/>
  <c r="U422" i="3"/>
  <c r="R422" i="3"/>
  <c r="N422" i="3"/>
  <c r="O422" i="3" s="1"/>
  <c r="L422" i="3"/>
  <c r="I422" i="3"/>
  <c r="H422" i="3"/>
  <c r="F422" i="3"/>
  <c r="C422" i="3"/>
  <c r="AC421" i="3"/>
  <c r="AD421" i="3" s="1"/>
  <c r="AA421" i="3"/>
  <c r="X421" i="3"/>
  <c r="W421" i="3"/>
  <c r="U421" i="3"/>
  <c r="R421" i="3"/>
  <c r="O421" i="3"/>
  <c r="N421" i="3"/>
  <c r="L421" i="3"/>
  <c r="I421" i="3"/>
  <c r="H421" i="3"/>
  <c r="F421" i="3"/>
  <c r="C421" i="3"/>
  <c r="AC420" i="3"/>
  <c r="AD420" i="3" s="1"/>
  <c r="AA420" i="3"/>
  <c r="W420" i="3"/>
  <c r="U420" i="3"/>
  <c r="R420" i="3"/>
  <c r="O420" i="3"/>
  <c r="N420" i="3"/>
  <c r="L420" i="3"/>
  <c r="H420" i="3"/>
  <c r="I420" i="3" s="1"/>
  <c r="F420" i="3"/>
  <c r="C420" i="3"/>
  <c r="AC419" i="3"/>
  <c r="AD419" i="3" s="1"/>
  <c r="AA419" i="3"/>
  <c r="X419" i="3"/>
  <c r="W419" i="3"/>
  <c r="U419" i="3"/>
  <c r="R419" i="3"/>
  <c r="N419" i="3"/>
  <c r="O419" i="3" s="1"/>
  <c r="L419" i="3"/>
  <c r="H419" i="3"/>
  <c r="I419" i="3" s="1"/>
  <c r="F419" i="3"/>
  <c r="C419" i="3"/>
  <c r="AC418" i="3"/>
  <c r="AD418" i="3" s="1"/>
  <c r="AA418" i="3"/>
  <c r="W418" i="3"/>
  <c r="U418" i="3"/>
  <c r="R418" i="3"/>
  <c r="N418" i="3"/>
  <c r="O418" i="3" s="1"/>
  <c r="L418" i="3"/>
  <c r="I418" i="3"/>
  <c r="H418" i="3"/>
  <c r="F418" i="3"/>
  <c r="C418" i="3"/>
  <c r="AC417" i="3"/>
  <c r="AD417" i="3" s="1"/>
  <c r="AA417" i="3"/>
  <c r="X417" i="3"/>
  <c r="W417" i="3"/>
  <c r="U417" i="3"/>
  <c r="R417" i="3"/>
  <c r="O417" i="3"/>
  <c r="N417" i="3"/>
  <c r="L417" i="3"/>
  <c r="H417" i="3"/>
  <c r="I417" i="3" s="1"/>
  <c r="F417" i="3"/>
  <c r="C417" i="3"/>
  <c r="AC416" i="3"/>
  <c r="AD416" i="3" s="1"/>
  <c r="AA416" i="3"/>
  <c r="W416" i="3"/>
  <c r="X416" i="3" s="1"/>
  <c r="U416" i="3"/>
  <c r="R416" i="3"/>
  <c r="O416" i="3"/>
  <c r="N416" i="3"/>
  <c r="L416" i="3"/>
  <c r="H416" i="3"/>
  <c r="I416" i="3" s="1"/>
  <c r="F416" i="3"/>
  <c r="C416" i="3"/>
  <c r="AD415" i="3"/>
  <c r="AC415" i="3"/>
  <c r="AA415" i="3"/>
  <c r="W415" i="3"/>
  <c r="U415" i="3"/>
  <c r="R415" i="3"/>
  <c r="O415" i="3"/>
  <c r="N415" i="3"/>
  <c r="L415" i="3"/>
  <c r="H415" i="3"/>
  <c r="I415" i="3" s="1"/>
  <c r="F415" i="3"/>
  <c r="C415" i="3"/>
  <c r="AC414" i="3"/>
  <c r="AD414" i="3" s="1"/>
  <c r="AA414" i="3"/>
  <c r="X414" i="3"/>
  <c r="W414" i="3"/>
  <c r="U414" i="3"/>
  <c r="R414" i="3"/>
  <c r="N414" i="3"/>
  <c r="O414" i="3" s="1"/>
  <c r="L414" i="3"/>
  <c r="H414" i="3"/>
  <c r="I414" i="3" s="1"/>
  <c r="F414" i="3"/>
  <c r="C414" i="3"/>
  <c r="AC413" i="3"/>
  <c r="AD413" i="3" s="1"/>
  <c r="AA413" i="3"/>
  <c r="X413" i="3"/>
  <c r="W413" i="3"/>
  <c r="U413" i="3"/>
  <c r="R413" i="3"/>
  <c r="O413" i="3"/>
  <c r="N413" i="3"/>
  <c r="L413" i="3"/>
  <c r="H413" i="3"/>
  <c r="I413" i="3" s="1"/>
  <c r="F413" i="3"/>
  <c r="C413" i="3"/>
  <c r="AC412" i="3"/>
  <c r="AD412" i="3" s="1"/>
  <c r="AA412" i="3"/>
  <c r="W412" i="3"/>
  <c r="X412" i="3" s="1"/>
  <c r="U412" i="3"/>
  <c r="R412" i="3"/>
  <c r="O412" i="3"/>
  <c r="N412" i="3"/>
  <c r="L412" i="3"/>
  <c r="H412" i="3"/>
  <c r="I412" i="3" s="1"/>
  <c r="F412" i="3"/>
  <c r="C412" i="3"/>
  <c r="AD411" i="3"/>
  <c r="AC411" i="3"/>
  <c r="AA411" i="3"/>
  <c r="W411" i="3"/>
  <c r="U411" i="3"/>
  <c r="R411" i="3"/>
  <c r="N411" i="3"/>
  <c r="O411" i="3" s="1"/>
  <c r="L411" i="3"/>
  <c r="H411" i="3"/>
  <c r="I411" i="3" s="1"/>
  <c r="F411" i="3"/>
  <c r="C411" i="3"/>
  <c r="AD410" i="3"/>
  <c r="AC410" i="3"/>
  <c r="AA410" i="3"/>
  <c r="X410" i="3"/>
  <c r="W410" i="3"/>
  <c r="U410" i="3"/>
  <c r="R410" i="3"/>
  <c r="N410" i="3"/>
  <c r="O410" i="3" s="1"/>
  <c r="L410" i="3"/>
  <c r="I410" i="3"/>
  <c r="H410" i="3"/>
  <c r="F410" i="3"/>
  <c r="C410" i="3"/>
  <c r="AC409" i="3"/>
  <c r="AD409" i="3" s="1"/>
  <c r="AA409" i="3"/>
  <c r="W409" i="3"/>
  <c r="X409" i="3" s="1"/>
  <c r="U409" i="3"/>
  <c r="R409" i="3"/>
  <c r="O409" i="3"/>
  <c r="N409" i="3"/>
  <c r="L409" i="3"/>
  <c r="H409" i="3"/>
  <c r="I409" i="3" s="1"/>
  <c r="F409" i="3"/>
  <c r="C409" i="3"/>
  <c r="AC408" i="3"/>
  <c r="AD408" i="3" s="1"/>
  <c r="AA408" i="3"/>
  <c r="W408" i="3"/>
  <c r="U408" i="3"/>
  <c r="R408" i="3"/>
  <c r="O408" i="3"/>
  <c r="N408" i="3"/>
  <c r="L408" i="3"/>
  <c r="H408" i="3"/>
  <c r="I408" i="3" s="1"/>
  <c r="F408" i="3"/>
  <c r="C408" i="3"/>
  <c r="AD407" i="3"/>
  <c r="AC407" i="3"/>
  <c r="AA407" i="3"/>
  <c r="X407" i="3"/>
  <c r="W407" i="3"/>
  <c r="U407" i="3"/>
  <c r="R407" i="3"/>
  <c r="N407" i="3"/>
  <c r="O407" i="3" s="1"/>
  <c r="L407" i="3"/>
  <c r="H407" i="3"/>
  <c r="I407" i="3" s="1"/>
  <c r="F407" i="3"/>
  <c r="C407" i="3"/>
  <c r="AC403" i="3"/>
  <c r="AD403" i="3" s="1"/>
  <c r="Z403" i="3"/>
  <c r="AA403" i="3" s="1"/>
  <c r="T403" i="3"/>
  <c r="Q403" i="3"/>
  <c r="R403" i="3" s="1"/>
  <c r="K403" i="3"/>
  <c r="L403" i="3" s="1"/>
  <c r="E403" i="3"/>
  <c r="F403" i="3" s="1"/>
  <c r="B403" i="3"/>
  <c r="C403" i="3" s="1"/>
  <c r="AD402" i="3"/>
  <c r="AC402" i="3"/>
  <c r="AA402" i="3"/>
  <c r="X402" i="3"/>
  <c r="W402" i="3"/>
  <c r="U402" i="3"/>
  <c r="R402" i="3"/>
  <c r="N402" i="3"/>
  <c r="O402" i="3" s="1"/>
  <c r="L402" i="3"/>
  <c r="I402" i="3"/>
  <c r="H402" i="3"/>
  <c r="F402" i="3"/>
  <c r="C402" i="3"/>
  <c r="AC401" i="3"/>
  <c r="AD401" i="3" s="1"/>
  <c r="AA401" i="3"/>
  <c r="W401" i="3"/>
  <c r="X401" i="3" s="1"/>
  <c r="U401" i="3"/>
  <c r="R401" i="3"/>
  <c r="O401" i="3"/>
  <c r="N401" i="3"/>
  <c r="L401" i="3"/>
  <c r="I401" i="3"/>
  <c r="H401" i="3"/>
  <c r="F401" i="3"/>
  <c r="C401" i="3"/>
  <c r="AC400" i="3"/>
  <c r="AD400" i="3" s="1"/>
  <c r="AA400" i="3"/>
  <c r="W400" i="3"/>
  <c r="X400" i="3" s="1"/>
  <c r="U400" i="3"/>
  <c r="R400" i="3"/>
  <c r="O400" i="3"/>
  <c r="N400" i="3"/>
  <c r="L400" i="3"/>
  <c r="H400" i="3"/>
  <c r="I400" i="3" s="1"/>
  <c r="F400" i="3"/>
  <c r="C400" i="3"/>
  <c r="AC399" i="3"/>
  <c r="AD399" i="3" s="1"/>
  <c r="AA399" i="3"/>
  <c r="X399" i="3"/>
  <c r="W399" i="3"/>
  <c r="U399" i="3"/>
  <c r="R399" i="3"/>
  <c r="O399" i="3"/>
  <c r="N399" i="3"/>
  <c r="L399" i="3"/>
  <c r="H399" i="3"/>
  <c r="I399" i="3" s="1"/>
  <c r="F399" i="3"/>
  <c r="C399" i="3"/>
  <c r="AC398" i="3"/>
  <c r="AD398" i="3" s="1"/>
  <c r="AA398" i="3"/>
  <c r="X398" i="3"/>
  <c r="W398" i="3"/>
  <c r="U398" i="3"/>
  <c r="R398" i="3"/>
  <c r="N398" i="3"/>
  <c r="O398" i="3" s="1"/>
  <c r="L398" i="3"/>
  <c r="I398" i="3"/>
  <c r="H398" i="3"/>
  <c r="F398" i="3"/>
  <c r="C398" i="3"/>
  <c r="AC397" i="3"/>
  <c r="AD397" i="3" s="1"/>
  <c r="AA397" i="3"/>
  <c r="W397" i="3"/>
  <c r="X397" i="3" s="1"/>
  <c r="U397" i="3"/>
  <c r="R397" i="3"/>
  <c r="O397" i="3"/>
  <c r="N397" i="3"/>
  <c r="L397" i="3"/>
  <c r="I397" i="3"/>
  <c r="H397" i="3"/>
  <c r="F397" i="3"/>
  <c r="C397" i="3"/>
  <c r="AC396" i="3"/>
  <c r="AD396" i="3" s="1"/>
  <c r="Z396" i="3"/>
  <c r="AA396" i="3" s="1"/>
  <c r="U396" i="3"/>
  <c r="T396" i="3"/>
  <c r="Q396" i="3"/>
  <c r="R396" i="3" s="1"/>
  <c r="L396" i="3"/>
  <c r="K396" i="3"/>
  <c r="H396" i="3"/>
  <c r="I396" i="3" s="1"/>
  <c r="E396" i="3"/>
  <c r="F396" i="3" s="1"/>
  <c r="B396" i="3"/>
  <c r="C396" i="3" s="1"/>
  <c r="AD395" i="3"/>
  <c r="AC395" i="3"/>
  <c r="AA395" i="3"/>
  <c r="X395" i="3"/>
  <c r="W395" i="3"/>
  <c r="U395" i="3"/>
  <c r="R395" i="3"/>
  <c r="N395" i="3"/>
  <c r="O395" i="3" s="1"/>
  <c r="L395" i="3"/>
  <c r="H395" i="3"/>
  <c r="I395" i="3" s="1"/>
  <c r="F395" i="3"/>
  <c r="C395" i="3"/>
  <c r="AC394" i="3"/>
  <c r="AD394" i="3" s="1"/>
  <c r="AA394" i="3"/>
  <c r="X394" i="3"/>
  <c r="W394" i="3"/>
  <c r="U394" i="3"/>
  <c r="R394" i="3"/>
  <c r="O394" i="3"/>
  <c r="N394" i="3"/>
  <c r="L394" i="3"/>
  <c r="H394" i="3"/>
  <c r="I394" i="3" s="1"/>
  <c r="F394" i="3"/>
  <c r="C394" i="3"/>
  <c r="AC393" i="3"/>
  <c r="AD393" i="3" s="1"/>
  <c r="Z393" i="3"/>
  <c r="AA393" i="3" s="1"/>
  <c r="T393" i="3"/>
  <c r="Q393" i="3"/>
  <c r="R393" i="3" s="1"/>
  <c r="K393" i="3"/>
  <c r="L393" i="3" s="1"/>
  <c r="E393" i="3"/>
  <c r="F393" i="3" s="1"/>
  <c r="B393" i="3"/>
  <c r="C393" i="3" s="1"/>
  <c r="AD392" i="3"/>
  <c r="AC392" i="3"/>
  <c r="AA392" i="3"/>
  <c r="X392" i="3"/>
  <c r="W392" i="3"/>
  <c r="U392" i="3"/>
  <c r="R392" i="3"/>
  <c r="N392" i="3"/>
  <c r="O392" i="3" s="1"/>
  <c r="L392" i="3"/>
  <c r="I392" i="3"/>
  <c r="H392" i="3"/>
  <c r="F392" i="3"/>
  <c r="C392" i="3"/>
  <c r="AC391" i="3"/>
  <c r="AD391" i="3" s="1"/>
  <c r="AA391" i="3"/>
  <c r="W391" i="3"/>
  <c r="X391" i="3" s="1"/>
  <c r="U391" i="3"/>
  <c r="R391" i="3"/>
  <c r="O391" i="3"/>
  <c r="N391" i="3"/>
  <c r="L391" i="3"/>
  <c r="I391" i="3"/>
  <c r="H391" i="3"/>
  <c r="F391" i="3"/>
  <c r="C391" i="3"/>
  <c r="AC390" i="3"/>
  <c r="AD390" i="3" s="1"/>
  <c r="AA390" i="3"/>
  <c r="W390" i="3"/>
  <c r="X390" i="3" s="1"/>
  <c r="U390" i="3"/>
  <c r="R390" i="3"/>
  <c r="O390" i="3"/>
  <c r="N390" i="3"/>
  <c r="L390" i="3"/>
  <c r="H390" i="3"/>
  <c r="I390" i="3" s="1"/>
  <c r="F390" i="3"/>
  <c r="C390" i="3"/>
  <c r="AC389" i="3"/>
  <c r="AD389" i="3" s="1"/>
  <c r="AA389" i="3"/>
  <c r="X389" i="3"/>
  <c r="W389" i="3"/>
  <c r="U389" i="3"/>
  <c r="R389" i="3"/>
  <c r="O389" i="3"/>
  <c r="N389" i="3"/>
  <c r="L389" i="3"/>
  <c r="H389" i="3"/>
  <c r="I389" i="3" s="1"/>
  <c r="F389" i="3"/>
  <c r="C389" i="3"/>
  <c r="AC388" i="3"/>
  <c r="AD388" i="3" s="1"/>
  <c r="AA388" i="3"/>
  <c r="X388" i="3"/>
  <c r="W388" i="3"/>
  <c r="U388" i="3"/>
  <c r="R388" i="3"/>
  <c r="N388" i="3"/>
  <c r="O388" i="3" s="1"/>
  <c r="L388" i="3"/>
  <c r="I388" i="3"/>
  <c r="H388" i="3"/>
  <c r="F388" i="3"/>
  <c r="C388" i="3"/>
  <c r="AC386" i="3"/>
  <c r="AD386" i="3" s="1"/>
  <c r="AA386" i="3"/>
  <c r="W386" i="3"/>
  <c r="U386" i="3"/>
  <c r="R386" i="3"/>
  <c r="O386" i="3"/>
  <c r="N386" i="3"/>
  <c r="L386" i="3"/>
  <c r="I386" i="3"/>
  <c r="H386" i="3"/>
  <c r="F386" i="3"/>
  <c r="C386" i="3"/>
  <c r="AC385" i="3"/>
  <c r="AD385" i="3" s="1"/>
  <c r="AA385" i="3"/>
  <c r="W385" i="3"/>
  <c r="X385" i="3" s="1"/>
  <c r="U385" i="3"/>
  <c r="R385" i="3"/>
  <c r="O385" i="3"/>
  <c r="N385" i="3"/>
  <c r="L385" i="3"/>
  <c r="H385" i="3"/>
  <c r="I385" i="3" s="1"/>
  <c r="F385" i="3"/>
  <c r="C385" i="3"/>
  <c r="AC383" i="3"/>
  <c r="AD383" i="3" s="1"/>
  <c r="AA383" i="3"/>
  <c r="W383" i="3"/>
  <c r="U383" i="3"/>
  <c r="R383" i="3"/>
  <c r="O383" i="3"/>
  <c r="N383" i="3"/>
  <c r="L383" i="3"/>
  <c r="H383" i="3"/>
  <c r="I383" i="3" s="1"/>
  <c r="F383" i="3"/>
  <c r="C383" i="3"/>
  <c r="AD382" i="3"/>
  <c r="AC382" i="3"/>
  <c r="AA382" i="3"/>
  <c r="W382" i="3"/>
  <c r="U382" i="3"/>
  <c r="R382" i="3"/>
  <c r="N382" i="3"/>
  <c r="O382" i="3" s="1"/>
  <c r="L382" i="3"/>
  <c r="H382" i="3"/>
  <c r="I382" i="3" s="1"/>
  <c r="F382" i="3"/>
  <c r="C382" i="3"/>
  <c r="AC381" i="3"/>
  <c r="AD381" i="3" s="1"/>
  <c r="AA381" i="3"/>
  <c r="X381" i="3"/>
  <c r="W381" i="3"/>
  <c r="U381" i="3"/>
  <c r="R381" i="3"/>
  <c r="O381" i="3"/>
  <c r="N381" i="3"/>
  <c r="L381" i="3"/>
  <c r="H381" i="3"/>
  <c r="I381" i="3" s="1"/>
  <c r="F381" i="3"/>
  <c r="C381" i="3"/>
  <c r="AC380" i="3"/>
  <c r="AD380" i="3" s="1"/>
  <c r="AA380" i="3"/>
  <c r="W380" i="3"/>
  <c r="X380" i="3" s="1"/>
  <c r="U380" i="3"/>
  <c r="R380" i="3"/>
  <c r="O380" i="3"/>
  <c r="N380" i="3"/>
  <c r="L380" i="3"/>
  <c r="H380" i="3"/>
  <c r="I380" i="3" s="1"/>
  <c r="F380" i="3"/>
  <c r="C380" i="3"/>
  <c r="AD379" i="3"/>
  <c r="AC379" i="3"/>
  <c r="AA379" i="3"/>
  <c r="X379" i="3"/>
  <c r="W379" i="3"/>
  <c r="U379" i="3"/>
  <c r="R379" i="3"/>
  <c r="O379" i="3"/>
  <c r="N379" i="3"/>
  <c r="L379" i="3"/>
  <c r="H379" i="3"/>
  <c r="I379" i="3" s="1"/>
  <c r="F379" i="3"/>
  <c r="C379" i="3"/>
  <c r="AD378" i="3"/>
  <c r="AC378" i="3"/>
  <c r="AA378" i="3"/>
  <c r="W378" i="3"/>
  <c r="U378" i="3"/>
  <c r="R378" i="3"/>
  <c r="N378" i="3"/>
  <c r="O378" i="3" s="1"/>
  <c r="L378" i="3"/>
  <c r="H378" i="3"/>
  <c r="I378" i="3" s="1"/>
  <c r="F378" i="3"/>
  <c r="C378" i="3"/>
  <c r="AC377" i="3"/>
  <c r="AD377" i="3" s="1"/>
  <c r="AA377" i="3"/>
  <c r="W377" i="3"/>
  <c r="X377" i="3" s="1"/>
  <c r="U377" i="3"/>
  <c r="R377" i="3"/>
  <c r="O377" i="3"/>
  <c r="N377" i="3"/>
  <c r="L377" i="3"/>
  <c r="I377" i="3"/>
  <c r="H377" i="3"/>
  <c r="F377" i="3"/>
  <c r="C377" i="3"/>
  <c r="AC376" i="3"/>
  <c r="AD376" i="3" s="1"/>
  <c r="AA376" i="3"/>
  <c r="W376" i="3"/>
  <c r="U376" i="3"/>
  <c r="R376" i="3"/>
  <c r="O376" i="3"/>
  <c r="N376" i="3"/>
  <c r="L376" i="3"/>
  <c r="H376" i="3"/>
  <c r="I376" i="3" s="1"/>
  <c r="F376" i="3"/>
  <c r="C376" i="3"/>
  <c r="AD375" i="3"/>
  <c r="AC375" i="3"/>
  <c r="AA375" i="3"/>
  <c r="X375" i="3"/>
  <c r="W375" i="3"/>
  <c r="U375" i="3"/>
  <c r="R375" i="3"/>
  <c r="N375" i="3"/>
  <c r="O375" i="3" s="1"/>
  <c r="L375" i="3"/>
  <c r="H375" i="3"/>
  <c r="I375" i="3" s="1"/>
  <c r="F375" i="3"/>
  <c r="C375" i="3"/>
  <c r="AD374" i="3"/>
  <c r="AC374" i="3"/>
  <c r="AA374" i="3"/>
  <c r="X374" i="3"/>
  <c r="W374" i="3"/>
  <c r="U374" i="3"/>
  <c r="R374" i="3"/>
  <c r="N374" i="3"/>
  <c r="O374" i="3" s="1"/>
  <c r="L374" i="3"/>
  <c r="I374" i="3"/>
  <c r="H374" i="3"/>
  <c r="F374" i="3"/>
  <c r="C374" i="3"/>
  <c r="AC373" i="3"/>
  <c r="AD373" i="3" s="1"/>
  <c r="AA373" i="3"/>
  <c r="W373" i="3"/>
  <c r="X373" i="3" s="1"/>
  <c r="U373" i="3"/>
  <c r="R373" i="3"/>
  <c r="O373" i="3"/>
  <c r="N373" i="3"/>
  <c r="L373" i="3"/>
  <c r="I373" i="3"/>
  <c r="H373" i="3"/>
  <c r="F373" i="3"/>
  <c r="C373" i="3"/>
  <c r="AC372" i="3"/>
  <c r="AD372" i="3" s="1"/>
  <c r="AA372" i="3"/>
  <c r="W372" i="3"/>
  <c r="X372" i="3" s="1"/>
  <c r="U372" i="3"/>
  <c r="R372" i="3"/>
  <c r="O372" i="3"/>
  <c r="N372" i="3"/>
  <c r="L372" i="3"/>
  <c r="H372" i="3"/>
  <c r="I372" i="3" s="1"/>
  <c r="F372" i="3"/>
  <c r="C372" i="3"/>
  <c r="AC371" i="3"/>
  <c r="AD371" i="3" s="1"/>
  <c r="AA371" i="3"/>
  <c r="X371" i="3"/>
  <c r="W371" i="3"/>
  <c r="U371" i="3"/>
  <c r="R371" i="3"/>
  <c r="O371" i="3"/>
  <c r="N371" i="3"/>
  <c r="L371" i="3"/>
  <c r="H371" i="3"/>
  <c r="I371" i="3" s="1"/>
  <c r="F371" i="3"/>
  <c r="C371" i="3"/>
  <c r="AC370" i="3"/>
  <c r="AD370" i="3" s="1"/>
  <c r="AA370" i="3"/>
  <c r="X370" i="3"/>
  <c r="W370" i="3"/>
  <c r="U370" i="3"/>
  <c r="R370" i="3"/>
  <c r="N370" i="3"/>
  <c r="O370" i="3" s="1"/>
  <c r="L370" i="3"/>
  <c r="I370" i="3"/>
  <c r="H370" i="3"/>
  <c r="F370" i="3"/>
  <c r="C370" i="3"/>
  <c r="AC369" i="3"/>
  <c r="AD369" i="3" s="1"/>
  <c r="AA369" i="3"/>
  <c r="W369" i="3"/>
  <c r="U369" i="3"/>
  <c r="R369" i="3"/>
  <c r="O369" i="3"/>
  <c r="N369" i="3"/>
  <c r="L369" i="3"/>
  <c r="I369" i="3"/>
  <c r="H369" i="3"/>
  <c r="F369" i="3"/>
  <c r="C369" i="3"/>
  <c r="AC368" i="3"/>
  <c r="AD368" i="3" s="1"/>
  <c r="Z368" i="3"/>
  <c r="AA368" i="3" s="1"/>
  <c r="U368" i="3"/>
  <c r="T368" i="3"/>
  <c r="Q368" i="3"/>
  <c r="R368" i="3" s="1"/>
  <c r="L368" i="3"/>
  <c r="K368" i="3"/>
  <c r="I368" i="3"/>
  <c r="H368" i="3"/>
  <c r="E368" i="3"/>
  <c r="F368" i="3" s="1"/>
  <c r="B368" i="3"/>
  <c r="C368" i="3" s="1"/>
  <c r="AD367" i="3"/>
  <c r="AC367" i="3"/>
  <c r="AA367" i="3"/>
  <c r="X367" i="3"/>
  <c r="W367" i="3"/>
  <c r="U367" i="3"/>
  <c r="R367" i="3"/>
  <c r="N367" i="3"/>
  <c r="O367" i="3" s="1"/>
  <c r="L367" i="3"/>
  <c r="H367" i="3"/>
  <c r="I367" i="3" s="1"/>
  <c r="F367" i="3"/>
  <c r="C367" i="3"/>
  <c r="AC366" i="3"/>
  <c r="AD366" i="3" s="1"/>
  <c r="AA366" i="3"/>
  <c r="X366" i="3"/>
  <c r="W366" i="3"/>
  <c r="U366" i="3"/>
  <c r="R366" i="3"/>
  <c r="O366" i="3"/>
  <c r="N366" i="3"/>
  <c r="L366" i="3"/>
  <c r="H366" i="3"/>
  <c r="I366" i="3" s="1"/>
  <c r="F366" i="3"/>
  <c r="C366" i="3"/>
  <c r="AC365" i="3"/>
  <c r="AD365" i="3" s="1"/>
  <c r="AA365" i="3"/>
  <c r="W365" i="3"/>
  <c r="X365" i="3" s="1"/>
  <c r="U365" i="3"/>
  <c r="R365" i="3"/>
  <c r="O365" i="3"/>
  <c r="N365" i="3"/>
  <c r="L365" i="3"/>
  <c r="H365" i="3"/>
  <c r="I365" i="3" s="1"/>
  <c r="F365" i="3"/>
  <c r="C365" i="3"/>
  <c r="AD364" i="3"/>
  <c r="AC364" i="3"/>
  <c r="AA364" i="3"/>
  <c r="W364" i="3"/>
  <c r="U364" i="3"/>
  <c r="R364" i="3"/>
  <c r="N364" i="3"/>
  <c r="O364" i="3" s="1"/>
  <c r="L364" i="3"/>
  <c r="H364" i="3"/>
  <c r="I364" i="3" s="1"/>
  <c r="F364" i="3"/>
  <c r="C364" i="3"/>
  <c r="AD363" i="3"/>
  <c r="AC363" i="3"/>
  <c r="AA363" i="3"/>
  <c r="X363" i="3"/>
  <c r="W363" i="3"/>
  <c r="U363" i="3"/>
  <c r="R363" i="3"/>
  <c r="N363" i="3"/>
  <c r="O363" i="3" s="1"/>
  <c r="L363" i="3"/>
  <c r="I363" i="3"/>
  <c r="H363" i="3"/>
  <c r="F363" i="3"/>
  <c r="C363" i="3"/>
  <c r="AC362" i="3"/>
  <c r="AD362" i="3" s="1"/>
  <c r="AA362" i="3"/>
  <c r="W362" i="3"/>
  <c r="X362" i="3" s="1"/>
  <c r="U362" i="3"/>
  <c r="R362" i="3"/>
  <c r="O362" i="3"/>
  <c r="N362" i="3"/>
  <c r="L362" i="3"/>
  <c r="H362" i="3"/>
  <c r="I362" i="3" s="1"/>
  <c r="F362" i="3"/>
  <c r="C362" i="3"/>
  <c r="AC361" i="3"/>
  <c r="AD361" i="3" s="1"/>
  <c r="AA361" i="3"/>
  <c r="W361" i="3"/>
  <c r="U361" i="3"/>
  <c r="R361" i="3"/>
  <c r="O361" i="3"/>
  <c r="N361" i="3"/>
  <c r="L361" i="3"/>
  <c r="H361" i="3"/>
  <c r="I361" i="3" s="1"/>
  <c r="F361" i="3"/>
  <c r="C361" i="3"/>
  <c r="AD360" i="3"/>
  <c r="AC360" i="3"/>
  <c r="AA360" i="3"/>
  <c r="X360" i="3"/>
  <c r="W360" i="3"/>
  <c r="U360" i="3"/>
  <c r="R360" i="3"/>
  <c r="N360" i="3"/>
  <c r="O360" i="3" s="1"/>
  <c r="L360" i="3"/>
  <c r="H360" i="3"/>
  <c r="I360" i="3" s="1"/>
  <c r="F360" i="3"/>
  <c r="C360" i="3"/>
  <c r="Z358" i="3"/>
  <c r="AA358" i="3" s="1"/>
  <c r="T358" i="3"/>
  <c r="U358" i="3" s="1"/>
  <c r="R358" i="3"/>
  <c r="Q358" i="3"/>
  <c r="W358" i="3" s="1"/>
  <c r="X358" i="3" s="1"/>
  <c r="K358" i="3"/>
  <c r="L358" i="3" s="1"/>
  <c r="F358" i="3"/>
  <c r="E358" i="3"/>
  <c r="B358" i="3"/>
  <c r="AC357" i="3"/>
  <c r="AD357" i="3" s="1"/>
  <c r="AA357" i="3"/>
  <c r="W357" i="3"/>
  <c r="X357" i="3" s="1"/>
  <c r="U357" i="3"/>
  <c r="R357" i="3"/>
  <c r="O357" i="3"/>
  <c r="N357" i="3"/>
  <c r="L357" i="3"/>
  <c r="H357" i="3"/>
  <c r="I357" i="3" s="1"/>
  <c r="F357" i="3"/>
  <c r="C357" i="3"/>
  <c r="AC356" i="3"/>
  <c r="AD356" i="3" s="1"/>
  <c r="AA356" i="3"/>
  <c r="W356" i="3"/>
  <c r="U356" i="3"/>
  <c r="R356" i="3"/>
  <c r="O356" i="3"/>
  <c r="N356" i="3"/>
  <c r="L356" i="3"/>
  <c r="H356" i="3"/>
  <c r="I356" i="3" s="1"/>
  <c r="F356" i="3"/>
  <c r="C356" i="3"/>
  <c r="AD355" i="3"/>
  <c r="AC355" i="3"/>
  <c r="AA355" i="3"/>
  <c r="W355" i="3"/>
  <c r="U355" i="3"/>
  <c r="R355" i="3"/>
  <c r="N355" i="3"/>
  <c r="O355" i="3" s="1"/>
  <c r="L355" i="3"/>
  <c r="H355" i="3"/>
  <c r="I355" i="3" s="1"/>
  <c r="F355" i="3"/>
  <c r="C355" i="3"/>
  <c r="AC354" i="3"/>
  <c r="AD354" i="3" s="1"/>
  <c r="AA354" i="3"/>
  <c r="X354" i="3"/>
  <c r="W354" i="3"/>
  <c r="U354" i="3"/>
  <c r="R354" i="3"/>
  <c r="O354" i="3"/>
  <c r="N354" i="3"/>
  <c r="L354" i="3"/>
  <c r="H354" i="3"/>
  <c r="I354" i="3" s="1"/>
  <c r="F354" i="3"/>
  <c r="C354" i="3"/>
  <c r="AC353" i="3"/>
  <c r="AD353" i="3" s="1"/>
  <c r="AA353" i="3"/>
  <c r="W353" i="3"/>
  <c r="X353" i="3" s="1"/>
  <c r="U353" i="3"/>
  <c r="R353" i="3"/>
  <c r="O353" i="3"/>
  <c r="N353" i="3"/>
  <c r="L353" i="3"/>
  <c r="H353" i="3"/>
  <c r="I353" i="3" s="1"/>
  <c r="F353" i="3"/>
  <c r="C353" i="3"/>
  <c r="AC352" i="3"/>
  <c r="AD352" i="3" s="1"/>
  <c r="AA352" i="3"/>
  <c r="X352" i="3"/>
  <c r="W352" i="3"/>
  <c r="U352" i="3"/>
  <c r="R352" i="3"/>
  <c r="O352" i="3"/>
  <c r="N352" i="3"/>
  <c r="L352" i="3"/>
  <c r="H352" i="3"/>
  <c r="I352" i="3" s="1"/>
  <c r="F352" i="3"/>
  <c r="C352" i="3"/>
  <c r="AD351" i="3"/>
  <c r="AC351" i="3"/>
  <c r="AA351" i="3"/>
  <c r="W351" i="3"/>
  <c r="U351" i="3"/>
  <c r="R351" i="3"/>
  <c r="N351" i="3"/>
  <c r="O351" i="3" s="1"/>
  <c r="L351" i="3"/>
  <c r="H351" i="3"/>
  <c r="I351" i="3" s="1"/>
  <c r="F351" i="3"/>
  <c r="C351" i="3"/>
  <c r="AC350" i="3"/>
  <c r="AD350" i="3" s="1"/>
  <c r="AA350" i="3"/>
  <c r="X350" i="3"/>
  <c r="W350" i="3"/>
  <c r="U350" i="3"/>
  <c r="R350" i="3"/>
  <c r="O350" i="3"/>
  <c r="N350" i="3"/>
  <c r="L350" i="3"/>
  <c r="I350" i="3"/>
  <c r="H350" i="3"/>
  <c r="F350" i="3"/>
  <c r="C350" i="3"/>
  <c r="AC349" i="3"/>
  <c r="AD349" i="3" s="1"/>
  <c r="AA349" i="3"/>
  <c r="W349" i="3"/>
  <c r="U349" i="3"/>
  <c r="R349" i="3"/>
  <c r="O349" i="3"/>
  <c r="N349" i="3"/>
  <c r="L349" i="3"/>
  <c r="H349" i="3"/>
  <c r="I349" i="3" s="1"/>
  <c r="F349" i="3"/>
  <c r="C349" i="3"/>
  <c r="AD347" i="3"/>
  <c r="AC347" i="3"/>
  <c r="AA347" i="3"/>
  <c r="X347" i="3"/>
  <c r="W347" i="3"/>
  <c r="U347" i="3"/>
  <c r="R347" i="3"/>
  <c r="N347" i="3"/>
  <c r="O347" i="3" s="1"/>
  <c r="L347" i="3"/>
  <c r="H347" i="3"/>
  <c r="I347" i="3" s="1"/>
  <c r="F347" i="3"/>
  <c r="C347" i="3"/>
  <c r="Z344" i="3"/>
  <c r="AA344" i="3" s="1"/>
  <c r="T344" i="3"/>
  <c r="U344" i="3" s="1"/>
  <c r="Q344" i="3"/>
  <c r="R344" i="3" s="1"/>
  <c r="K344" i="3"/>
  <c r="L344" i="3" s="1"/>
  <c r="H344" i="3"/>
  <c r="I344" i="3" s="1"/>
  <c r="E344" i="3"/>
  <c r="F344" i="3" s="1"/>
  <c r="B344" i="3"/>
  <c r="C344" i="3" s="1"/>
  <c r="Z343" i="3"/>
  <c r="AC343" i="3" s="1"/>
  <c r="AD343" i="3" s="1"/>
  <c r="T343" i="3"/>
  <c r="U343" i="3" s="1"/>
  <c r="Q343" i="3"/>
  <c r="R343" i="3" s="1"/>
  <c r="K343" i="3"/>
  <c r="L343" i="3" s="1"/>
  <c r="F343" i="3"/>
  <c r="E343" i="3"/>
  <c r="C343" i="3"/>
  <c r="B343" i="3"/>
  <c r="H343" i="3" s="1"/>
  <c r="I343" i="3" s="1"/>
  <c r="Z342" i="3"/>
  <c r="AA342" i="3" s="1"/>
  <c r="U342" i="3"/>
  <c r="T342" i="3"/>
  <c r="Q342" i="3"/>
  <c r="L342" i="3"/>
  <c r="K342" i="3"/>
  <c r="E342" i="3"/>
  <c r="F342" i="3" s="1"/>
  <c r="B342" i="3"/>
  <c r="C342" i="3" s="1"/>
  <c r="AC341" i="3"/>
  <c r="AD341" i="3" s="1"/>
  <c r="AA341" i="3"/>
  <c r="W341" i="3"/>
  <c r="U341" i="3"/>
  <c r="R341" i="3"/>
  <c r="N341" i="3"/>
  <c r="O341" i="3" s="1"/>
  <c r="L341" i="3"/>
  <c r="I341" i="3"/>
  <c r="H341" i="3"/>
  <c r="F341" i="3"/>
  <c r="C341" i="3"/>
  <c r="AC340" i="3"/>
  <c r="AD340" i="3" s="1"/>
  <c r="AA340" i="3"/>
  <c r="X340" i="3"/>
  <c r="W340" i="3"/>
  <c r="U340" i="3"/>
  <c r="R340" i="3"/>
  <c r="O340" i="3"/>
  <c r="N340" i="3"/>
  <c r="L340" i="3"/>
  <c r="H340" i="3"/>
  <c r="I340" i="3" s="1"/>
  <c r="F340" i="3"/>
  <c r="C340" i="3"/>
  <c r="AC339" i="3"/>
  <c r="AD339" i="3" s="1"/>
  <c r="AA339" i="3"/>
  <c r="W339" i="3"/>
  <c r="X339" i="3" s="1"/>
  <c r="U339" i="3"/>
  <c r="R339" i="3"/>
  <c r="O339" i="3"/>
  <c r="N339" i="3"/>
  <c r="L339" i="3"/>
  <c r="H339" i="3"/>
  <c r="I339" i="3" s="1"/>
  <c r="F339" i="3"/>
  <c r="C339" i="3"/>
  <c r="AC338" i="3"/>
  <c r="AD338" i="3" s="1"/>
  <c r="AA338" i="3"/>
  <c r="W338" i="3"/>
  <c r="U338" i="3"/>
  <c r="R338" i="3"/>
  <c r="O338" i="3"/>
  <c r="N338" i="3"/>
  <c r="L338" i="3"/>
  <c r="H338" i="3"/>
  <c r="I338" i="3" s="1"/>
  <c r="F338" i="3"/>
  <c r="C338" i="3"/>
  <c r="AD337" i="3"/>
  <c r="AC337" i="3"/>
  <c r="AA337" i="3"/>
  <c r="X337" i="3"/>
  <c r="W337" i="3"/>
  <c r="U337" i="3"/>
  <c r="R337" i="3"/>
  <c r="O337" i="3"/>
  <c r="N337" i="3"/>
  <c r="L337" i="3"/>
  <c r="I337" i="3"/>
  <c r="H337" i="3"/>
  <c r="F337" i="3"/>
  <c r="C337" i="3"/>
  <c r="AC335" i="3"/>
  <c r="AD335" i="3" s="1"/>
  <c r="AA335" i="3"/>
  <c r="W335" i="3"/>
  <c r="U335" i="3"/>
  <c r="R335" i="3"/>
  <c r="O335" i="3"/>
  <c r="N335" i="3"/>
  <c r="L335" i="3"/>
  <c r="I335" i="3"/>
  <c r="H335" i="3"/>
  <c r="F335" i="3"/>
  <c r="C335" i="3"/>
  <c r="AC334" i="3"/>
  <c r="AD334" i="3" s="1"/>
  <c r="AA334" i="3"/>
  <c r="X334" i="3"/>
  <c r="W334" i="3"/>
  <c r="U334" i="3"/>
  <c r="R334" i="3"/>
  <c r="O334" i="3"/>
  <c r="N334" i="3"/>
  <c r="L334" i="3"/>
  <c r="H334" i="3"/>
  <c r="I334" i="3" s="1"/>
  <c r="F334" i="3"/>
  <c r="C334" i="3"/>
  <c r="AD333" i="3"/>
  <c r="AC333" i="3"/>
  <c r="AA333" i="3"/>
  <c r="X333" i="3"/>
  <c r="W333" i="3"/>
  <c r="U333" i="3"/>
  <c r="R333" i="3"/>
  <c r="N333" i="3"/>
  <c r="O333" i="3" s="1"/>
  <c r="L333" i="3"/>
  <c r="H333" i="3"/>
  <c r="I333" i="3" s="1"/>
  <c r="F333" i="3"/>
  <c r="C333" i="3"/>
  <c r="AC332" i="3"/>
  <c r="AD332" i="3" s="1"/>
  <c r="AA332" i="3"/>
  <c r="X332" i="3"/>
  <c r="W332" i="3"/>
  <c r="U332" i="3"/>
  <c r="R332" i="3"/>
  <c r="N332" i="3"/>
  <c r="O332" i="3" s="1"/>
  <c r="L332" i="3"/>
  <c r="H332" i="3"/>
  <c r="I332" i="3" s="1"/>
  <c r="F332" i="3"/>
  <c r="C332" i="3"/>
  <c r="AC331" i="3"/>
  <c r="AD331" i="3" s="1"/>
  <c r="AA331" i="3"/>
  <c r="W331" i="3"/>
  <c r="X331" i="3" s="1"/>
  <c r="U331" i="3"/>
  <c r="R331" i="3"/>
  <c r="O331" i="3"/>
  <c r="N331" i="3"/>
  <c r="L331" i="3"/>
  <c r="H331" i="3"/>
  <c r="I331" i="3" s="1"/>
  <c r="F331" i="3"/>
  <c r="C331" i="3"/>
  <c r="AC330" i="3"/>
  <c r="AD330" i="3" s="1"/>
  <c r="AA330" i="3"/>
  <c r="W330" i="3"/>
  <c r="X330" i="3" s="1"/>
  <c r="U330" i="3"/>
  <c r="R330" i="3"/>
  <c r="O330" i="3"/>
  <c r="N330" i="3"/>
  <c r="L330" i="3"/>
  <c r="H330" i="3"/>
  <c r="I330" i="3" s="1"/>
  <c r="F330" i="3"/>
  <c r="C330" i="3"/>
  <c r="AC329" i="3"/>
  <c r="AD329" i="3" s="1"/>
  <c r="AA329" i="3"/>
  <c r="W329" i="3"/>
  <c r="U329" i="3"/>
  <c r="R329" i="3"/>
  <c r="O329" i="3"/>
  <c r="N329" i="3"/>
  <c r="L329" i="3"/>
  <c r="H329" i="3"/>
  <c r="I329" i="3" s="1"/>
  <c r="F329" i="3"/>
  <c r="C329" i="3"/>
  <c r="AC328" i="3"/>
  <c r="AD328" i="3" s="1"/>
  <c r="AA328" i="3"/>
  <c r="X328" i="3"/>
  <c r="W328" i="3"/>
  <c r="U328" i="3"/>
  <c r="R328" i="3"/>
  <c r="O328" i="3"/>
  <c r="N328" i="3"/>
  <c r="L328" i="3"/>
  <c r="I328" i="3"/>
  <c r="H328" i="3"/>
  <c r="F328" i="3"/>
  <c r="C328" i="3"/>
  <c r="AA325" i="3"/>
  <c r="Z325" i="3"/>
  <c r="W325" i="3"/>
  <c r="X325" i="3" s="1"/>
  <c r="T325" i="3"/>
  <c r="U325" i="3" s="1"/>
  <c r="Q325" i="3"/>
  <c r="R325" i="3" s="1"/>
  <c r="L325" i="3"/>
  <c r="K325" i="3"/>
  <c r="E325" i="3"/>
  <c r="F325" i="3" s="1"/>
  <c r="B325" i="3"/>
  <c r="Z324" i="3"/>
  <c r="AA324" i="3" s="1"/>
  <c r="T324" i="3"/>
  <c r="U324" i="3" s="1"/>
  <c r="Q324" i="3"/>
  <c r="K324" i="3"/>
  <c r="L324" i="3" s="1"/>
  <c r="E324" i="3"/>
  <c r="F324" i="3" s="1"/>
  <c r="B324" i="3"/>
  <c r="C324" i="3" s="1"/>
  <c r="AC323" i="3"/>
  <c r="AD323" i="3" s="1"/>
  <c r="AA323" i="3"/>
  <c r="W323" i="3"/>
  <c r="X323" i="3" s="1"/>
  <c r="U323" i="3"/>
  <c r="R323" i="3"/>
  <c r="O323" i="3"/>
  <c r="N323" i="3"/>
  <c r="L323" i="3"/>
  <c r="I323" i="3"/>
  <c r="H323" i="3"/>
  <c r="F323" i="3"/>
  <c r="C323" i="3"/>
  <c r="AC322" i="3"/>
  <c r="AD322" i="3" s="1"/>
  <c r="AA322" i="3"/>
  <c r="W322" i="3"/>
  <c r="X322" i="3" s="1"/>
  <c r="U322" i="3"/>
  <c r="R322" i="3"/>
  <c r="O322" i="3"/>
  <c r="N322" i="3"/>
  <c r="L322" i="3"/>
  <c r="H322" i="3"/>
  <c r="I322" i="3" s="1"/>
  <c r="F322" i="3"/>
  <c r="C322" i="3"/>
  <c r="AD321" i="3"/>
  <c r="AC321" i="3"/>
  <c r="AA321" i="3"/>
  <c r="W321" i="3"/>
  <c r="U321" i="3"/>
  <c r="R321" i="3"/>
  <c r="O321" i="3"/>
  <c r="N321" i="3"/>
  <c r="L321" i="3"/>
  <c r="H321" i="3"/>
  <c r="I321" i="3" s="1"/>
  <c r="F321" i="3"/>
  <c r="C321" i="3"/>
  <c r="AD320" i="3"/>
  <c r="AC320" i="3"/>
  <c r="AA320" i="3"/>
  <c r="X320" i="3"/>
  <c r="W320" i="3"/>
  <c r="U320" i="3"/>
  <c r="R320" i="3"/>
  <c r="N320" i="3"/>
  <c r="O320" i="3" s="1"/>
  <c r="L320" i="3"/>
  <c r="I320" i="3"/>
  <c r="H320" i="3"/>
  <c r="F320" i="3"/>
  <c r="C320" i="3"/>
  <c r="AC319" i="3"/>
  <c r="AD319" i="3" s="1"/>
  <c r="AA319" i="3"/>
  <c r="X319" i="3"/>
  <c r="W319" i="3"/>
  <c r="U319" i="3"/>
  <c r="R319" i="3"/>
  <c r="O319" i="3"/>
  <c r="N319" i="3"/>
  <c r="L319" i="3"/>
  <c r="H319" i="3"/>
  <c r="I319" i="3" s="1"/>
  <c r="F319" i="3"/>
  <c r="C319" i="3"/>
  <c r="AC318" i="3"/>
  <c r="AD318" i="3" s="1"/>
  <c r="AA318" i="3"/>
  <c r="X318" i="3"/>
  <c r="W318" i="3"/>
  <c r="U318" i="3"/>
  <c r="R318" i="3"/>
  <c r="O318" i="3"/>
  <c r="N318" i="3"/>
  <c r="L318" i="3"/>
  <c r="H318" i="3"/>
  <c r="I318" i="3" s="1"/>
  <c r="F318" i="3"/>
  <c r="C318" i="3"/>
  <c r="AC317" i="3"/>
  <c r="AD317" i="3" s="1"/>
  <c r="AA317" i="3"/>
  <c r="X317" i="3"/>
  <c r="W317" i="3"/>
  <c r="U317" i="3"/>
  <c r="R317" i="3"/>
  <c r="O317" i="3"/>
  <c r="N317" i="3"/>
  <c r="L317" i="3"/>
  <c r="H317" i="3"/>
  <c r="I317" i="3" s="1"/>
  <c r="F317" i="3"/>
  <c r="C317" i="3"/>
  <c r="AC316" i="3"/>
  <c r="AD316" i="3" s="1"/>
  <c r="AA316" i="3"/>
  <c r="W316" i="3"/>
  <c r="U316" i="3"/>
  <c r="R316" i="3"/>
  <c r="O316" i="3"/>
  <c r="N316" i="3"/>
  <c r="L316" i="3"/>
  <c r="I316" i="3"/>
  <c r="H316" i="3"/>
  <c r="F316" i="3"/>
  <c r="C316" i="3"/>
  <c r="AC315" i="3"/>
  <c r="AD315" i="3" s="1"/>
  <c r="AA315" i="3"/>
  <c r="W315" i="3"/>
  <c r="X315" i="3" s="1"/>
  <c r="U315" i="3"/>
  <c r="R315" i="3"/>
  <c r="O315" i="3"/>
  <c r="N315" i="3"/>
  <c r="L315" i="3"/>
  <c r="I315" i="3"/>
  <c r="H315" i="3"/>
  <c r="F315" i="3"/>
  <c r="C315" i="3"/>
  <c r="AC314" i="3"/>
  <c r="AD314" i="3" s="1"/>
  <c r="AA314" i="3"/>
  <c r="W314" i="3"/>
  <c r="X314" i="3" s="1"/>
  <c r="U314" i="3"/>
  <c r="R314" i="3"/>
  <c r="O314" i="3"/>
  <c r="N314" i="3"/>
  <c r="L314" i="3"/>
  <c r="H314" i="3"/>
  <c r="I314" i="3" s="1"/>
  <c r="F314" i="3"/>
  <c r="C314" i="3"/>
  <c r="AD313" i="3"/>
  <c r="AC313" i="3"/>
  <c r="AA313" i="3"/>
  <c r="W313" i="3"/>
  <c r="U313" i="3"/>
  <c r="R313" i="3"/>
  <c r="O313" i="3"/>
  <c r="N313" i="3"/>
  <c r="L313" i="3"/>
  <c r="H313" i="3"/>
  <c r="I313" i="3" s="1"/>
  <c r="F313" i="3"/>
  <c r="C313" i="3"/>
  <c r="AD312" i="3"/>
  <c r="AC312" i="3"/>
  <c r="AA312" i="3"/>
  <c r="X312" i="3"/>
  <c r="W312" i="3"/>
  <c r="U312" i="3"/>
  <c r="R312" i="3"/>
  <c r="N312" i="3"/>
  <c r="O312" i="3" s="1"/>
  <c r="L312" i="3"/>
  <c r="I312" i="3"/>
  <c r="H312" i="3"/>
  <c r="F312" i="3"/>
  <c r="C312" i="3"/>
  <c r="AC311" i="3"/>
  <c r="AD311" i="3" s="1"/>
  <c r="AA311" i="3"/>
  <c r="X311" i="3"/>
  <c r="W311" i="3"/>
  <c r="U311" i="3"/>
  <c r="R311" i="3"/>
  <c r="O311" i="3"/>
  <c r="N311" i="3"/>
  <c r="L311" i="3"/>
  <c r="H311" i="3"/>
  <c r="I311" i="3" s="1"/>
  <c r="F311" i="3"/>
  <c r="C311" i="3"/>
  <c r="AC310" i="3"/>
  <c r="AD310" i="3" s="1"/>
  <c r="AA310" i="3"/>
  <c r="X310" i="3"/>
  <c r="W310" i="3"/>
  <c r="U310" i="3"/>
  <c r="R310" i="3"/>
  <c r="O310" i="3"/>
  <c r="N310" i="3"/>
  <c r="L310" i="3"/>
  <c r="H310" i="3"/>
  <c r="I310" i="3" s="1"/>
  <c r="F310" i="3"/>
  <c r="C310" i="3"/>
  <c r="AC309" i="3"/>
  <c r="AD309" i="3" s="1"/>
  <c r="AA309" i="3"/>
  <c r="X309" i="3"/>
  <c r="W309" i="3"/>
  <c r="U309" i="3"/>
  <c r="R309" i="3"/>
  <c r="O309" i="3"/>
  <c r="N309" i="3"/>
  <c r="L309" i="3"/>
  <c r="H309" i="3"/>
  <c r="I309" i="3" s="1"/>
  <c r="F309" i="3"/>
  <c r="C309" i="3"/>
  <c r="AC308" i="3"/>
  <c r="AD308" i="3" s="1"/>
  <c r="AA308" i="3"/>
  <c r="W308" i="3"/>
  <c r="U308" i="3"/>
  <c r="R308" i="3"/>
  <c r="O308" i="3"/>
  <c r="N308" i="3"/>
  <c r="L308" i="3"/>
  <c r="I308" i="3"/>
  <c r="H308" i="3"/>
  <c r="F308" i="3"/>
  <c r="C308" i="3"/>
  <c r="AC307" i="3"/>
  <c r="AD307" i="3" s="1"/>
  <c r="AA307" i="3"/>
  <c r="W307" i="3"/>
  <c r="X307" i="3" s="1"/>
  <c r="U307" i="3"/>
  <c r="R307" i="3"/>
  <c r="O307" i="3"/>
  <c r="N307" i="3"/>
  <c r="L307" i="3"/>
  <c r="I307" i="3"/>
  <c r="H307" i="3"/>
  <c r="F307" i="3"/>
  <c r="C307" i="3"/>
  <c r="AC306" i="3"/>
  <c r="AD306" i="3" s="1"/>
  <c r="AA306" i="3"/>
  <c r="W306" i="3"/>
  <c r="X306" i="3" s="1"/>
  <c r="U306" i="3"/>
  <c r="R306" i="3"/>
  <c r="O306" i="3"/>
  <c r="N306" i="3"/>
  <c r="L306" i="3"/>
  <c r="H306" i="3"/>
  <c r="I306" i="3" s="1"/>
  <c r="F306" i="3"/>
  <c r="C306" i="3"/>
  <c r="AD305" i="3"/>
  <c r="AC305" i="3"/>
  <c r="AA305" i="3"/>
  <c r="W305" i="3"/>
  <c r="U305" i="3"/>
  <c r="R305" i="3"/>
  <c r="O305" i="3"/>
  <c r="N305" i="3"/>
  <c r="L305" i="3"/>
  <c r="H305" i="3"/>
  <c r="I305" i="3" s="1"/>
  <c r="F305" i="3"/>
  <c r="C305" i="3"/>
  <c r="AD304" i="3"/>
  <c r="AC304" i="3"/>
  <c r="AA304" i="3"/>
  <c r="X304" i="3"/>
  <c r="W304" i="3"/>
  <c r="U304" i="3"/>
  <c r="R304" i="3"/>
  <c r="N304" i="3"/>
  <c r="O304" i="3" s="1"/>
  <c r="L304" i="3"/>
  <c r="I304" i="3"/>
  <c r="H304" i="3"/>
  <c r="F304" i="3"/>
  <c r="C304" i="3"/>
  <c r="AC303" i="3"/>
  <c r="AD303" i="3" s="1"/>
  <c r="AA303" i="3"/>
  <c r="X303" i="3"/>
  <c r="W303" i="3"/>
  <c r="U303" i="3"/>
  <c r="R303" i="3"/>
  <c r="O303" i="3"/>
  <c r="N303" i="3"/>
  <c r="L303" i="3"/>
  <c r="H303" i="3"/>
  <c r="I303" i="3" s="1"/>
  <c r="F303" i="3"/>
  <c r="C303" i="3"/>
  <c r="AC302" i="3"/>
  <c r="AD302" i="3" s="1"/>
  <c r="AA302" i="3"/>
  <c r="X302" i="3"/>
  <c r="W302" i="3"/>
  <c r="U302" i="3"/>
  <c r="R302" i="3"/>
  <c r="O302" i="3"/>
  <c r="N302" i="3"/>
  <c r="L302" i="3"/>
  <c r="H302" i="3"/>
  <c r="I302" i="3" s="1"/>
  <c r="F302" i="3"/>
  <c r="C302" i="3"/>
  <c r="AC301" i="3"/>
  <c r="AD301" i="3" s="1"/>
  <c r="AA301" i="3"/>
  <c r="X301" i="3"/>
  <c r="W301" i="3"/>
  <c r="U301" i="3"/>
  <c r="R301" i="3"/>
  <c r="O301" i="3"/>
  <c r="N301" i="3"/>
  <c r="L301" i="3"/>
  <c r="H301" i="3"/>
  <c r="I301" i="3" s="1"/>
  <c r="F301" i="3"/>
  <c r="C301" i="3"/>
  <c r="AC300" i="3"/>
  <c r="AD300" i="3" s="1"/>
  <c r="AA300" i="3"/>
  <c r="W300" i="3"/>
  <c r="U300" i="3"/>
  <c r="R300" i="3"/>
  <c r="O300" i="3"/>
  <c r="N300" i="3"/>
  <c r="L300" i="3"/>
  <c r="I300" i="3"/>
  <c r="H300" i="3"/>
  <c r="F300" i="3"/>
  <c r="C300" i="3"/>
  <c r="AC299" i="3"/>
  <c r="AD299" i="3" s="1"/>
  <c r="AA299" i="3"/>
  <c r="W299" i="3"/>
  <c r="X299" i="3" s="1"/>
  <c r="U299" i="3"/>
  <c r="R299" i="3"/>
  <c r="O299" i="3"/>
  <c r="N299" i="3"/>
  <c r="L299" i="3"/>
  <c r="I299" i="3"/>
  <c r="H299" i="3"/>
  <c r="F299" i="3"/>
  <c r="C299" i="3"/>
  <c r="AC298" i="3"/>
  <c r="AD298" i="3" s="1"/>
  <c r="AA298" i="3"/>
  <c r="W298" i="3"/>
  <c r="X298" i="3" s="1"/>
  <c r="U298" i="3"/>
  <c r="R298" i="3"/>
  <c r="O298" i="3"/>
  <c r="N298" i="3"/>
  <c r="L298" i="3"/>
  <c r="H298" i="3"/>
  <c r="I298" i="3" s="1"/>
  <c r="F298" i="3"/>
  <c r="C298" i="3"/>
  <c r="AD297" i="3"/>
  <c r="AC297" i="3"/>
  <c r="AA297" i="3"/>
  <c r="W297" i="3"/>
  <c r="U297" i="3"/>
  <c r="R297" i="3"/>
  <c r="O297" i="3"/>
  <c r="N297" i="3"/>
  <c r="L297" i="3"/>
  <c r="H297" i="3"/>
  <c r="I297" i="3" s="1"/>
  <c r="F297" i="3"/>
  <c r="C297" i="3"/>
  <c r="AD295" i="3"/>
  <c r="AC295" i="3"/>
  <c r="AA295" i="3"/>
  <c r="Z295" i="3"/>
  <c r="T295" i="3"/>
  <c r="U295" i="3" s="1"/>
  <c r="R295" i="3"/>
  <c r="Q295" i="3"/>
  <c r="K295" i="3"/>
  <c r="L295" i="3" s="1"/>
  <c r="E295" i="3"/>
  <c r="C295" i="3"/>
  <c r="B295" i="3"/>
  <c r="AC294" i="3"/>
  <c r="AD294" i="3" s="1"/>
  <c r="AA294" i="3"/>
  <c r="X294" i="3"/>
  <c r="W294" i="3"/>
  <c r="U294" i="3"/>
  <c r="R294" i="3"/>
  <c r="O294" i="3"/>
  <c r="N294" i="3"/>
  <c r="L294" i="3"/>
  <c r="H294" i="3"/>
  <c r="I294" i="3" s="1"/>
  <c r="F294" i="3"/>
  <c r="C294" i="3"/>
  <c r="AC293" i="3"/>
  <c r="AD293" i="3" s="1"/>
  <c r="AA293" i="3"/>
  <c r="W293" i="3"/>
  <c r="U293" i="3"/>
  <c r="R293" i="3"/>
  <c r="O293" i="3"/>
  <c r="N293" i="3"/>
  <c r="L293" i="3"/>
  <c r="H293" i="3"/>
  <c r="I293" i="3" s="1"/>
  <c r="F293" i="3"/>
  <c r="C293" i="3"/>
  <c r="AC292" i="3"/>
  <c r="AD292" i="3" s="1"/>
  <c r="AA292" i="3"/>
  <c r="W292" i="3"/>
  <c r="U292" i="3"/>
  <c r="R292" i="3"/>
  <c r="O292" i="3"/>
  <c r="N292" i="3"/>
  <c r="L292" i="3"/>
  <c r="I292" i="3"/>
  <c r="H292" i="3"/>
  <c r="F292" i="3"/>
  <c r="C292" i="3"/>
  <c r="AC291" i="3"/>
  <c r="AD291" i="3" s="1"/>
  <c r="AA291" i="3"/>
  <c r="W291" i="3"/>
  <c r="X291" i="3" s="1"/>
  <c r="U291" i="3"/>
  <c r="R291" i="3"/>
  <c r="O291" i="3"/>
  <c r="N291" i="3"/>
  <c r="L291" i="3"/>
  <c r="I291" i="3"/>
  <c r="H291" i="3"/>
  <c r="F291" i="3"/>
  <c r="C291" i="3"/>
  <c r="AC290" i="3"/>
  <c r="AD290" i="3" s="1"/>
  <c r="AA290" i="3"/>
  <c r="W290" i="3"/>
  <c r="U290" i="3"/>
  <c r="R290" i="3"/>
  <c r="O290" i="3"/>
  <c r="N290" i="3"/>
  <c r="L290" i="3"/>
  <c r="H290" i="3"/>
  <c r="I290" i="3" s="1"/>
  <c r="F290" i="3"/>
  <c r="C290" i="3"/>
  <c r="AD289" i="3"/>
  <c r="AC289" i="3"/>
  <c r="AA289" i="3"/>
  <c r="X289" i="3"/>
  <c r="W289" i="3"/>
  <c r="U289" i="3"/>
  <c r="R289" i="3"/>
  <c r="N289" i="3"/>
  <c r="O289" i="3" s="1"/>
  <c r="L289" i="3"/>
  <c r="H289" i="3"/>
  <c r="I289" i="3" s="1"/>
  <c r="F289" i="3"/>
  <c r="C289" i="3"/>
  <c r="AD288" i="3"/>
  <c r="AC288" i="3"/>
  <c r="AA288" i="3"/>
  <c r="X288" i="3"/>
  <c r="W288" i="3"/>
  <c r="U288" i="3"/>
  <c r="R288" i="3"/>
  <c r="N288" i="3"/>
  <c r="O288" i="3" s="1"/>
  <c r="L288" i="3"/>
  <c r="H288" i="3"/>
  <c r="I288" i="3" s="1"/>
  <c r="F288" i="3"/>
  <c r="C288" i="3"/>
  <c r="AC287" i="3"/>
  <c r="AD287" i="3" s="1"/>
  <c r="AA287" i="3"/>
  <c r="X287" i="3"/>
  <c r="W287" i="3"/>
  <c r="U287" i="3"/>
  <c r="R287" i="3"/>
  <c r="O287" i="3"/>
  <c r="N287" i="3"/>
  <c r="L287" i="3"/>
  <c r="H287" i="3"/>
  <c r="I287" i="3" s="1"/>
  <c r="F287" i="3"/>
  <c r="C287" i="3"/>
  <c r="AC286" i="3"/>
  <c r="AD286" i="3" s="1"/>
  <c r="AA286" i="3"/>
  <c r="X286" i="3"/>
  <c r="W286" i="3"/>
  <c r="U286" i="3"/>
  <c r="R286" i="3"/>
  <c r="O286" i="3"/>
  <c r="N286" i="3"/>
  <c r="L286" i="3"/>
  <c r="H286" i="3"/>
  <c r="I286" i="3" s="1"/>
  <c r="F286" i="3"/>
  <c r="C286" i="3"/>
  <c r="AC284" i="3"/>
  <c r="AD284" i="3" s="1"/>
  <c r="Z284" i="3"/>
  <c r="AA284" i="3" s="1"/>
  <c r="U284" i="3"/>
  <c r="T284" i="3"/>
  <c r="R284" i="3"/>
  <c r="Q284" i="3"/>
  <c r="W284" i="3" s="1"/>
  <c r="X284" i="3" s="1"/>
  <c r="K284" i="3"/>
  <c r="L284" i="3" s="1"/>
  <c r="F284" i="3"/>
  <c r="E284" i="3"/>
  <c r="B284" i="3"/>
  <c r="C284" i="3" s="1"/>
  <c r="AC283" i="3"/>
  <c r="AD283" i="3" s="1"/>
  <c r="AA283" i="3"/>
  <c r="X283" i="3"/>
  <c r="W283" i="3"/>
  <c r="U283" i="3"/>
  <c r="R283" i="3"/>
  <c r="O283" i="3"/>
  <c r="N283" i="3"/>
  <c r="L283" i="3"/>
  <c r="H283" i="3"/>
  <c r="I283" i="3" s="1"/>
  <c r="F283" i="3"/>
  <c r="C283" i="3"/>
  <c r="AC282" i="3"/>
  <c r="AD282" i="3" s="1"/>
  <c r="AA282" i="3"/>
  <c r="X282" i="3"/>
  <c r="W282" i="3"/>
  <c r="U282" i="3"/>
  <c r="R282" i="3"/>
  <c r="O282" i="3"/>
  <c r="N282" i="3"/>
  <c r="L282" i="3"/>
  <c r="H282" i="3"/>
  <c r="I282" i="3" s="1"/>
  <c r="F282" i="3"/>
  <c r="C282" i="3"/>
  <c r="AC281" i="3"/>
  <c r="AD281" i="3" s="1"/>
  <c r="AA281" i="3"/>
  <c r="W281" i="3"/>
  <c r="U281" i="3"/>
  <c r="R281" i="3"/>
  <c r="O281" i="3"/>
  <c r="N281" i="3"/>
  <c r="L281" i="3"/>
  <c r="H281" i="3"/>
  <c r="I281" i="3" s="1"/>
  <c r="F281" i="3"/>
  <c r="C281" i="3"/>
  <c r="AC280" i="3"/>
  <c r="AD280" i="3" s="1"/>
  <c r="AA280" i="3"/>
  <c r="W280" i="3"/>
  <c r="U280" i="3"/>
  <c r="R280" i="3"/>
  <c r="O280" i="3"/>
  <c r="N280" i="3"/>
  <c r="L280" i="3"/>
  <c r="I280" i="3"/>
  <c r="H280" i="3"/>
  <c r="F280" i="3"/>
  <c r="C280" i="3"/>
  <c r="AC279" i="3"/>
  <c r="AD279" i="3" s="1"/>
  <c r="AA279" i="3"/>
  <c r="W279" i="3"/>
  <c r="X279" i="3" s="1"/>
  <c r="U279" i="3"/>
  <c r="R279" i="3"/>
  <c r="O279" i="3"/>
  <c r="N279" i="3"/>
  <c r="L279" i="3"/>
  <c r="I279" i="3"/>
  <c r="H279" i="3"/>
  <c r="F279" i="3"/>
  <c r="C279" i="3"/>
  <c r="AC278" i="3"/>
  <c r="AD278" i="3" s="1"/>
  <c r="AA278" i="3"/>
  <c r="W278" i="3"/>
  <c r="U278" i="3"/>
  <c r="R278" i="3"/>
  <c r="O278" i="3"/>
  <c r="N278" i="3"/>
  <c r="L278" i="3"/>
  <c r="H278" i="3"/>
  <c r="I278" i="3" s="1"/>
  <c r="F278" i="3"/>
  <c r="C278" i="3"/>
  <c r="AD277" i="3"/>
  <c r="AC277" i="3"/>
  <c r="AA277" i="3"/>
  <c r="X277" i="3"/>
  <c r="W277" i="3"/>
  <c r="U277" i="3"/>
  <c r="R277" i="3"/>
  <c r="N277" i="3"/>
  <c r="O277" i="3" s="1"/>
  <c r="L277" i="3"/>
  <c r="H277" i="3"/>
  <c r="I277" i="3" s="1"/>
  <c r="F277" i="3"/>
  <c r="C277" i="3"/>
  <c r="AD276" i="3"/>
  <c r="AC276" i="3"/>
  <c r="AA276" i="3"/>
  <c r="X276" i="3"/>
  <c r="W276" i="3"/>
  <c r="U276" i="3"/>
  <c r="R276" i="3"/>
  <c r="N276" i="3"/>
  <c r="O276" i="3" s="1"/>
  <c r="L276" i="3"/>
  <c r="H276" i="3"/>
  <c r="I276" i="3" s="1"/>
  <c r="F276" i="3"/>
  <c r="C276" i="3"/>
  <c r="AC275" i="3"/>
  <c r="AD275" i="3" s="1"/>
  <c r="AA275" i="3"/>
  <c r="X275" i="3"/>
  <c r="W275" i="3"/>
  <c r="U275" i="3"/>
  <c r="R275" i="3"/>
  <c r="O275" i="3"/>
  <c r="N275" i="3"/>
  <c r="L275" i="3"/>
  <c r="H275" i="3"/>
  <c r="I275" i="3" s="1"/>
  <c r="F275" i="3"/>
  <c r="C275" i="3"/>
  <c r="AC273" i="3"/>
  <c r="AD273" i="3" s="1"/>
  <c r="Z273" i="3"/>
  <c r="AA273" i="3" s="1"/>
  <c r="T273" i="3"/>
  <c r="Q273" i="3"/>
  <c r="R273" i="3" s="1"/>
  <c r="L273" i="3"/>
  <c r="K273" i="3"/>
  <c r="E273" i="3"/>
  <c r="F273" i="3" s="1"/>
  <c r="B273" i="3"/>
  <c r="AD272" i="3"/>
  <c r="AC272" i="3"/>
  <c r="AA272" i="3"/>
  <c r="X272" i="3"/>
  <c r="W272" i="3"/>
  <c r="U272" i="3"/>
  <c r="R272" i="3"/>
  <c r="O272" i="3"/>
  <c r="N272" i="3"/>
  <c r="L272" i="3"/>
  <c r="I272" i="3"/>
  <c r="H272" i="3"/>
  <c r="F272" i="3"/>
  <c r="C272" i="3"/>
  <c r="AC271" i="3"/>
  <c r="AD271" i="3" s="1"/>
  <c r="AA271" i="3"/>
  <c r="W271" i="3"/>
  <c r="U271" i="3"/>
  <c r="R271" i="3"/>
  <c r="O271" i="3"/>
  <c r="N271" i="3"/>
  <c r="L271" i="3"/>
  <c r="I271" i="3"/>
  <c r="H271" i="3"/>
  <c r="F271" i="3"/>
  <c r="C271" i="3"/>
  <c r="AC270" i="3"/>
  <c r="AD270" i="3" s="1"/>
  <c r="AA270" i="3"/>
  <c r="X270" i="3"/>
  <c r="W270" i="3"/>
  <c r="U270" i="3"/>
  <c r="R270" i="3"/>
  <c r="O270" i="3"/>
  <c r="N270" i="3"/>
  <c r="L270" i="3"/>
  <c r="H270" i="3"/>
  <c r="I270" i="3" s="1"/>
  <c r="F270" i="3"/>
  <c r="C270" i="3"/>
  <c r="AD269" i="3"/>
  <c r="AC269" i="3"/>
  <c r="AA269" i="3"/>
  <c r="X269" i="3"/>
  <c r="W269" i="3"/>
  <c r="U269" i="3"/>
  <c r="R269" i="3"/>
  <c r="N269" i="3"/>
  <c r="O269" i="3" s="1"/>
  <c r="L269" i="3"/>
  <c r="H269" i="3"/>
  <c r="I269" i="3" s="1"/>
  <c r="F269" i="3"/>
  <c r="C269" i="3"/>
  <c r="Z267" i="3"/>
  <c r="AA267" i="3" s="1"/>
  <c r="T267" i="3"/>
  <c r="U267" i="3" s="1"/>
  <c r="Q267" i="3"/>
  <c r="W267" i="3" s="1"/>
  <c r="X267" i="3" s="1"/>
  <c r="N267" i="3"/>
  <c r="O267" i="3" s="1"/>
  <c r="K267" i="3"/>
  <c r="L267" i="3" s="1"/>
  <c r="F267" i="3"/>
  <c r="E267" i="3"/>
  <c r="B267" i="3"/>
  <c r="H267" i="3" s="1"/>
  <c r="I267" i="3" s="1"/>
  <c r="AC266" i="3"/>
  <c r="AD266" i="3" s="1"/>
  <c r="AA266" i="3"/>
  <c r="W266" i="3"/>
  <c r="X266" i="3" s="1"/>
  <c r="U266" i="3"/>
  <c r="R266" i="3"/>
  <c r="O266" i="3"/>
  <c r="N266" i="3"/>
  <c r="L266" i="3"/>
  <c r="H266" i="3"/>
  <c r="I266" i="3" s="1"/>
  <c r="F266" i="3"/>
  <c r="C266" i="3"/>
  <c r="AD265" i="3"/>
  <c r="AC265" i="3"/>
  <c r="AA265" i="3"/>
  <c r="X265" i="3"/>
  <c r="W265" i="3"/>
  <c r="U265" i="3"/>
  <c r="R265" i="3"/>
  <c r="O265" i="3"/>
  <c r="N265" i="3"/>
  <c r="L265" i="3"/>
  <c r="H265" i="3"/>
  <c r="I265" i="3" s="1"/>
  <c r="F265" i="3"/>
  <c r="C265" i="3"/>
  <c r="AA263" i="3"/>
  <c r="Z263" i="3"/>
  <c r="T263" i="3"/>
  <c r="U263" i="3" s="1"/>
  <c r="Q263" i="3"/>
  <c r="K263" i="3"/>
  <c r="L263" i="3" s="1"/>
  <c r="E263" i="3"/>
  <c r="F263" i="3" s="1"/>
  <c r="B263" i="3"/>
  <c r="Z262" i="3"/>
  <c r="AA262" i="3" s="1"/>
  <c r="T262" i="3"/>
  <c r="U262" i="3" s="1"/>
  <c r="Q262" i="3"/>
  <c r="K262" i="3"/>
  <c r="L262" i="3" s="1"/>
  <c r="E262" i="3"/>
  <c r="F262" i="3" s="1"/>
  <c r="B262" i="3"/>
  <c r="H262" i="3" s="1"/>
  <c r="I262" i="3" s="1"/>
  <c r="AD261" i="3"/>
  <c r="AC261" i="3"/>
  <c r="AA261" i="3"/>
  <c r="W261" i="3"/>
  <c r="U261" i="3"/>
  <c r="R261" i="3"/>
  <c r="N261" i="3"/>
  <c r="O261" i="3" s="1"/>
  <c r="L261" i="3"/>
  <c r="I261" i="3"/>
  <c r="H261" i="3"/>
  <c r="F261" i="3"/>
  <c r="C261" i="3"/>
  <c r="AC260" i="3"/>
  <c r="AD260" i="3" s="1"/>
  <c r="AA260" i="3"/>
  <c r="W260" i="3"/>
  <c r="X260" i="3" s="1"/>
  <c r="U260" i="3"/>
  <c r="R260" i="3"/>
  <c r="N260" i="3"/>
  <c r="O260" i="3" s="1"/>
  <c r="L260" i="3"/>
  <c r="I260" i="3"/>
  <c r="H260" i="3"/>
  <c r="F260" i="3"/>
  <c r="C260" i="3"/>
  <c r="AC259" i="3"/>
  <c r="AD259" i="3" s="1"/>
  <c r="AA259" i="3"/>
  <c r="X259" i="3"/>
  <c r="W259" i="3"/>
  <c r="U259" i="3"/>
  <c r="R259" i="3"/>
  <c r="O259" i="3"/>
  <c r="N259" i="3"/>
  <c r="L259" i="3"/>
  <c r="H259" i="3"/>
  <c r="I259" i="3" s="1"/>
  <c r="F259" i="3"/>
  <c r="C259" i="3"/>
  <c r="AC258" i="3"/>
  <c r="AD258" i="3" s="1"/>
  <c r="AA258" i="3"/>
  <c r="W258" i="3"/>
  <c r="X258" i="3" s="1"/>
  <c r="U258" i="3"/>
  <c r="R258" i="3"/>
  <c r="O258" i="3"/>
  <c r="N258" i="3"/>
  <c r="L258" i="3"/>
  <c r="H258" i="3"/>
  <c r="I258" i="3" s="1"/>
  <c r="F258" i="3"/>
  <c r="C258" i="3"/>
  <c r="AC257" i="3"/>
  <c r="AD257" i="3" s="1"/>
  <c r="AA257" i="3"/>
  <c r="W257" i="3"/>
  <c r="U257" i="3"/>
  <c r="R257" i="3"/>
  <c r="N257" i="3"/>
  <c r="O257" i="3" s="1"/>
  <c r="L257" i="3"/>
  <c r="I257" i="3"/>
  <c r="H257" i="3"/>
  <c r="F257" i="3"/>
  <c r="C257" i="3"/>
  <c r="AC256" i="3"/>
  <c r="AD256" i="3" s="1"/>
  <c r="AA256" i="3"/>
  <c r="X256" i="3"/>
  <c r="W256" i="3"/>
  <c r="U256" i="3"/>
  <c r="R256" i="3"/>
  <c r="O256" i="3"/>
  <c r="N256" i="3"/>
  <c r="L256" i="3"/>
  <c r="H256" i="3"/>
  <c r="I256" i="3" s="1"/>
  <c r="F256" i="3"/>
  <c r="C256" i="3"/>
  <c r="AC255" i="3"/>
  <c r="AD255" i="3" s="1"/>
  <c r="AA255" i="3"/>
  <c r="W255" i="3"/>
  <c r="X255" i="3" s="1"/>
  <c r="U255" i="3"/>
  <c r="R255" i="3"/>
  <c r="O255" i="3"/>
  <c r="N255" i="3"/>
  <c r="L255" i="3"/>
  <c r="I255" i="3"/>
  <c r="H255" i="3"/>
  <c r="F255" i="3"/>
  <c r="C255" i="3"/>
  <c r="AC254" i="3"/>
  <c r="AD254" i="3" s="1"/>
  <c r="AA254" i="3"/>
  <c r="X254" i="3"/>
  <c r="W254" i="3"/>
  <c r="U254" i="3"/>
  <c r="R254" i="3"/>
  <c r="O254" i="3"/>
  <c r="N254" i="3"/>
  <c r="L254" i="3"/>
  <c r="H254" i="3"/>
  <c r="I254" i="3" s="1"/>
  <c r="F254" i="3"/>
  <c r="C254" i="3"/>
  <c r="AC253" i="3"/>
  <c r="AD253" i="3" s="1"/>
  <c r="AA253" i="3"/>
  <c r="X253" i="3"/>
  <c r="W253" i="3"/>
  <c r="U253" i="3"/>
  <c r="R253" i="3"/>
  <c r="O253" i="3"/>
  <c r="N253" i="3"/>
  <c r="L253" i="3"/>
  <c r="H253" i="3"/>
  <c r="I253" i="3" s="1"/>
  <c r="F253" i="3"/>
  <c r="C253" i="3"/>
  <c r="AD252" i="3"/>
  <c r="AC252" i="3"/>
  <c r="AA252" i="3"/>
  <c r="W252" i="3"/>
  <c r="X252" i="3" s="1"/>
  <c r="U252" i="3"/>
  <c r="R252" i="3"/>
  <c r="N252" i="3"/>
  <c r="O252" i="3" s="1"/>
  <c r="L252" i="3"/>
  <c r="H252" i="3"/>
  <c r="I252" i="3" s="1"/>
  <c r="F252" i="3"/>
  <c r="C252" i="3"/>
  <c r="AC251" i="3"/>
  <c r="AD251" i="3" s="1"/>
  <c r="AA251" i="3"/>
  <c r="X251" i="3"/>
  <c r="W251" i="3"/>
  <c r="U251" i="3"/>
  <c r="R251" i="3"/>
  <c r="O251" i="3"/>
  <c r="N251" i="3"/>
  <c r="L251" i="3"/>
  <c r="H251" i="3"/>
  <c r="I251" i="3" s="1"/>
  <c r="F251" i="3"/>
  <c r="C251" i="3"/>
  <c r="AC250" i="3"/>
  <c r="AD250" i="3" s="1"/>
  <c r="AA250" i="3"/>
  <c r="X250" i="3"/>
  <c r="W250" i="3"/>
  <c r="U250" i="3"/>
  <c r="R250" i="3"/>
  <c r="N250" i="3"/>
  <c r="O250" i="3" s="1"/>
  <c r="L250" i="3"/>
  <c r="H250" i="3"/>
  <c r="I250" i="3" s="1"/>
  <c r="F250" i="3"/>
  <c r="C250" i="3"/>
  <c r="AD249" i="3"/>
  <c r="AC249" i="3"/>
  <c r="AA249" i="3"/>
  <c r="X249" i="3"/>
  <c r="W249" i="3"/>
  <c r="U249" i="3"/>
  <c r="R249" i="3"/>
  <c r="N249" i="3"/>
  <c r="O249" i="3" s="1"/>
  <c r="L249" i="3"/>
  <c r="H249" i="3"/>
  <c r="I249" i="3" s="1"/>
  <c r="F249" i="3"/>
  <c r="C249" i="3"/>
  <c r="AD248" i="3"/>
  <c r="AC248" i="3"/>
  <c r="AA248" i="3"/>
  <c r="W248" i="3"/>
  <c r="U248" i="3"/>
  <c r="R248" i="3"/>
  <c r="N248" i="3"/>
  <c r="O248" i="3" s="1"/>
  <c r="L248" i="3"/>
  <c r="I248" i="3"/>
  <c r="H248" i="3"/>
  <c r="F248" i="3"/>
  <c r="C248" i="3"/>
  <c r="AC247" i="3"/>
  <c r="AD247" i="3" s="1"/>
  <c r="AA247" i="3"/>
  <c r="X247" i="3"/>
  <c r="W247" i="3"/>
  <c r="U247" i="3"/>
  <c r="R247" i="3"/>
  <c r="O247" i="3"/>
  <c r="N247" i="3"/>
  <c r="L247" i="3"/>
  <c r="H247" i="3"/>
  <c r="I247" i="3" s="1"/>
  <c r="F247" i="3"/>
  <c r="C247" i="3"/>
  <c r="AD246" i="3"/>
  <c r="AC246" i="3"/>
  <c r="AA246" i="3"/>
  <c r="X246" i="3"/>
  <c r="W246" i="3"/>
  <c r="U246" i="3"/>
  <c r="R246" i="3"/>
  <c r="O246" i="3"/>
  <c r="N246" i="3"/>
  <c r="L246" i="3"/>
  <c r="H246" i="3"/>
  <c r="I246" i="3" s="1"/>
  <c r="F246" i="3"/>
  <c r="C246" i="3"/>
  <c r="AD245" i="3"/>
  <c r="AC245" i="3"/>
  <c r="AA245" i="3"/>
  <c r="W245" i="3"/>
  <c r="U245" i="3"/>
  <c r="R245" i="3"/>
  <c r="O245" i="3"/>
  <c r="N245" i="3"/>
  <c r="L245" i="3"/>
  <c r="I245" i="3"/>
  <c r="H245" i="3"/>
  <c r="F245" i="3"/>
  <c r="C245" i="3"/>
  <c r="AC244" i="3"/>
  <c r="AD244" i="3" s="1"/>
  <c r="AA244" i="3"/>
  <c r="W244" i="3"/>
  <c r="X244" i="3" s="1"/>
  <c r="U244" i="3"/>
  <c r="R244" i="3"/>
  <c r="O244" i="3"/>
  <c r="N244" i="3"/>
  <c r="L244" i="3"/>
  <c r="I244" i="3"/>
  <c r="H244" i="3"/>
  <c r="F244" i="3"/>
  <c r="C244" i="3"/>
  <c r="AC243" i="3"/>
  <c r="AD243" i="3" s="1"/>
  <c r="AA243" i="3"/>
  <c r="W243" i="3"/>
  <c r="X243" i="3" s="1"/>
  <c r="U243" i="3"/>
  <c r="R243" i="3"/>
  <c r="O243" i="3"/>
  <c r="N243" i="3"/>
  <c r="L243" i="3"/>
  <c r="I243" i="3"/>
  <c r="H243" i="3"/>
  <c r="F243" i="3"/>
  <c r="C243" i="3"/>
  <c r="AC242" i="3"/>
  <c r="AD242" i="3" s="1"/>
  <c r="AA242" i="3"/>
  <c r="W242" i="3"/>
  <c r="X242" i="3" s="1"/>
  <c r="U242" i="3"/>
  <c r="R242" i="3"/>
  <c r="O242" i="3"/>
  <c r="N242" i="3"/>
  <c r="L242" i="3"/>
  <c r="H242" i="3"/>
  <c r="I242" i="3" s="1"/>
  <c r="F242" i="3"/>
  <c r="C242" i="3"/>
  <c r="AC241" i="3"/>
  <c r="AD241" i="3" s="1"/>
  <c r="AA241" i="3"/>
  <c r="W241" i="3"/>
  <c r="U241" i="3"/>
  <c r="R241" i="3"/>
  <c r="O241" i="3"/>
  <c r="N241" i="3"/>
  <c r="L241" i="3"/>
  <c r="I241" i="3"/>
  <c r="H241" i="3"/>
  <c r="F241" i="3"/>
  <c r="C241" i="3"/>
  <c r="AC240" i="3"/>
  <c r="AD240" i="3" s="1"/>
  <c r="AA240" i="3"/>
  <c r="W240" i="3"/>
  <c r="X240" i="3" s="1"/>
  <c r="U240" i="3"/>
  <c r="R240" i="3"/>
  <c r="O240" i="3"/>
  <c r="N240" i="3"/>
  <c r="L240" i="3"/>
  <c r="I240" i="3"/>
  <c r="H240" i="3"/>
  <c r="F240" i="3"/>
  <c r="C240" i="3"/>
  <c r="AC238" i="3"/>
  <c r="AD238" i="3" s="1"/>
  <c r="AA238" i="3"/>
  <c r="W238" i="3"/>
  <c r="X238" i="3" s="1"/>
  <c r="U238" i="3"/>
  <c r="R238" i="3"/>
  <c r="O238" i="3"/>
  <c r="N238" i="3"/>
  <c r="L238" i="3"/>
  <c r="I238" i="3"/>
  <c r="H238" i="3"/>
  <c r="F238" i="3"/>
  <c r="C238" i="3"/>
  <c r="Z236" i="3"/>
  <c r="AA236" i="3" s="1"/>
  <c r="X236" i="3"/>
  <c r="T236" i="3"/>
  <c r="U236" i="3" s="1"/>
  <c r="Q236" i="3"/>
  <c r="W236" i="3" s="1"/>
  <c r="K236" i="3"/>
  <c r="L236" i="3" s="1"/>
  <c r="E236" i="3"/>
  <c r="F236" i="3" s="1"/>
  <c r="B236" i="3"/>
  <c r="AD235" i="3"/>
  <c r="AC235" i="3"/>
  <c r="AA235" i="3"/>
  <c r="W235" i="3"/>
  <c r="U235" i="3"/>
  <c r="R235" i="3"/>
  <c r="N235" i="3"/>
  <c r="O235" i="3" s="1"/>
  <c r="L235" i="3"/>
  <c r="I235" i="3"/>
  <c r="H235" i="3"/>
  <c r="F235" i="3"/>
  <c r="C235" i="3"/>
  <c r="AC234" i="3"/>
  <c r="AD234" i="3" s="1"/>
  <c r="AA234" i="3"/>
  <c r="X234" i="3"/>
  <c r="W234" i="3"/>
  <c r="U234" i="3"/>
  <c r="R234" i="3"/>
  <c r="O234" i="3"/>
  <c r="N234" i="3"/>
  <c r="L234" i="3"/>
  <c r="H234" i="3"/>
  <c r="I234" i="3" s="1"/>
  <c r="F234" i="3"/>
  <c r="C234" i="3"/>
  <c r="AD233" i="3"/>
  <c r="AC233" i="3"/>
  <c r="AA233" i="3"/>
  <c r="W233" i="3"/>
  <c r="X233" i="3" s="1"/>
  <c r="U233" i="3"/>
  <c r="R233" i="3"/>
  <c r="O233" i="3"/>
  <c r="N233" i="3"/>
  <c r="L233" i="3"/>
  <c r="H233" i="3"/>
  <c r="I233" i="3" s="1"/>
  <c r="F233" i="3"/>
  <c r="C233" i="3"/>
  <c r="AD232" i="3"/>
  <c r="AC232" i="3"/>
  <c r="AA232" i="3"/>
  <c r="W232" i="3"/>
  <c r="U232" i="3"/>
  <c r="R232" i="3"/>
  <c r="N232" i="3"/>
  <c r="O232" i="3" s="1"/>
  <c r="L232" i="3"/>
  <c r="I232" i="3"/>
  <c r="H232" i="3"/>
  <c r="F232" i="3"/>
  <c r="C232" i="3"/>
  <c r="AD231" i="3"/>
  <c r="AC231" i="3"/>
  <c r="AA231" i="3"/>
  <c r="W231" i="3"/>
  <c r="X231" i="3" s="1"/>
  <c r="U231" i="3"/>
  <c r="R231" i="3"/>
  <c r="O231" i="3"/>
  <c r="N231" i="3"/>
  <c r="L231" i="3"/>
  <c r="I231" i="3"/>
  <c r="H231" i="3"/>
  <c r="F231" i="3"/>
  <c r="C231" i="3"/>
  <c r="AC230" i="3"/>
  <c r="AD230" i="3" s="1"/>
  <c r="AA230" i="3"/>
  <c r="W230" i="3"/>
  <c r="X230" i="3" s="1"/>
  <c r="U230" i="3"/>
  <c r="R230" i="3"/>
  <c r="O230" i="3"/>
  <c r="N230" i="3"/>
  <c r="L230" i="3"/>
  <c r="I230" i="3"/>
  <c r="H230" i="3"/>
  <c r="F230" i="3"/>
  <c r="C230" i="3"/>
  <c r="AC229" i="3"/>
  <c r="AD229" i="3" s="1"/>
  <c r="AA229" i="3"/>
  <c r="W229" i="3"/>
  <c r="X229" i="3" s="1"/>
  <c r="U229" i="3"/>
  <c r="R229" i="3"/>
  <c r="O229" i="3"/>
  <c r="N229" i="3"/>
  <c r="L229" i="3"/>
  <c r="H229" i="3"/>
  <c r="I229" i="3" s="1"/>
  <c r="F229" i="3"/>
  <c r="C229" i="3"/>
  <c r="AC227" i="3"/>
  <c r="AD227" i="3" s="1"/>
  <c r="AA227" i="3"/>
  <c r="Z227" i="3"/>
  <c r="U227" i="3"/>
  <c r="T227" i="3"/>
  <c r="Q227" i="3"/>
  <c r="R227" i="3" s="1"/>
  <c r="O227" i="3"/>
  <c r="N227" i="3"/>
  <c r="K227" i="3"/>
  <c r="L227" i="3" s="1"/>
  <c r="E227" i="3"/>
  <c r="F227" i="3" s="1"/>
  <c r="C227" i="3"/>
  <c r="B227" i="3"/>
  <c r="AC226" i="3"/>
  <c r="AD226" i="3" s="1"/>
  <c r="AA226" i="3"/>
  <c r="X226" i="3"/>
  <c r="W226" i="3"/>
  <c r="U226" i="3"/>
  <c r="R226" i="3"/>
  <c r="O226" i="3"/>
  <c r="N226" i="3"/>
  <c r="L226" i="3"/>
  <c r="H226" i="3"/>
  <c r="I226" i="3" s="1"/>
  <c r="F226" i="3"/>
  <c r="C226" i="3"/>
  <c r="AC225" i="3"/>
  <c r="AD225" i="3" s="1"/>
  <c r="AA225" i="3"/>
  <c r="X225" i="3"/>
  <c r="W225" i="3"/>
  <c r="U225" i="3"/>
  <c r="R225" i="3"/>
  <c r="N225" i="3"/>
  <c r="O225" i="3" s="1"/>
  <c r="L225" i="3"/>
  <c r="H225" i="3"/>
  <c r="I225" i="3" s="1"/>
  <c r="F225" i="3"/>
  <c r="C225" i="3"/>
  <c r="AD224" i="3"/>
  <c r="AC224" i="3"/>
  <c r="AA224" i="3"/>
  <c r="X224" i="3"/>
  <c r="W224" i="3"/>
  <c r="U224" i="3"/>
  <c r="R224" i="3"/>
  <c r="N224" i="3"/>
  <c r="O224" i="3" s="1"/>
  <c r="L224" i="3"/>
  <c r="H224" i="3"/>
  <c r="I224" i="3" s="1"/>
  <c r="F224" i="3"/>
  <c r="C224" i="3"/>
  <c r="AD223" i="3"/>
  <c r="AC223" i="3"/>
  <c r="AA223" i="3"/>
  <c r="W223" i="3"/>
  <c r="U223" i="3"/>
  <c r="R223" i="3"/>
  <c r="N223" i="3"/>
  <c r="O223" i="3" s="1"/>
  <c r="L223" i="3"/>
  <c r="I223" i="3"/>
  <c r="H223" i="3"/>
  <c r="F223" i="3"/>
  <c r="C223" i="3"/>
  <c r="AC222" i="3"/>
  <c r="AD222" i="3" s="1"/>
  <c r="AA222" i="3"/>
  <c r="X222" i="3"/>
  <c r="W222" i="3"/>
  <c r="U222" i="3"/>
  <c r="R222" i="3"/>
  <c r="O222" i="3"/>
  <c r="N222" i="3"/>
  <c r="L222" i="3"/>
  <c r="H222" i="3"/>
  <c r="I222" i="3" s="1"/>
  <c r="F222" i="3"/>
  <c r="C222" i="3"/>
  <c r="AD221" i="3"/>
  <c r="AC221" i="3"/>
  <c r="AA221" i="3"/>
  <c r="X221" i="3"/>
  <c r="W221" i="3"/>
  <c r="U221" i="3"/>
  <c r="R221" i="3"/>
  <c r="O221" i="3"/>
  <c r="N221" i="3"/>
  <c r="L221" i="3"/>
  <c r="H221" i="3"/>
  <c r="I221" i="3" s="1"/>
  <c r="F221" i="3"/>
  <c r="C221" i="3"/>
  <c r="AD220" i="3"/>
  <c r="AC220" i="3"/>
  <c r="AA220" i="3"/>
  <c r="W220" i="3"/>
  <c r="U220" i="3"/>
  <c r="R220" i="3"/>
  <c r="O220" i="3"/>
  <c r="N220" i="3"/>
  <c r="L220" i="3"/>
  <c r="I220" i="3"/>
  <c r="H220" i="3"/>
  <c r="F220" i="3"/>
  <c r="C220" i="3"/>
  <c r="AC219" i="3"/>
  <c r="AD219" i="3" s="1"/>
  <c r="AA219" i="3"/>
  <c r="W219" i="3"/>
  <c r="X219" i="3" s="1"/>
  <c r="U219" i="3"/>
  <c r="R219" i="3"/>
  <c r="O219" i="3"/>
  <c r="N219" i="3"/>
  <c r="L219" i="3"/>
  <c r="I219" i="3"/>
  <c r="H219" i="3"/>
  <c r="F219" i="3"/>
  <c r="C219" i="3"/>
  <c r="Z218" i="3"/>
  <c r="AA218" i="3" s="1"/>
  <c r="T218" i="3"/>
  <c r="U218" i="3" s="1"/>
  <c r="Q218" i="3"/>
  <c r="R218" i="3" s="1"/>
  <c r="K218" i="3"/>
  <c r="L218" i="3" s="1"/>
  <c r="F218" i="3"/>
  <c r="E218" i="3"/>
  <c r="B218" i="3"/>
  <c r="N218" i="3" s="1"/>
  <c r="O218" i="3" s="1"/>
  <c r="AC217" i="3"/>
  <c r="AD217" i="3" s="1"/>
  <c r="AA217" i="3"/>
  <c r="W217" i="3"/>
  <c r="X217" i="3" s="1"/>
  <c r="U217" i="3"/>
  <c r="R217" i="3"/>
  <c r="N217" i="3"/>
  <c r="O217" i="3" s="1"/>
  <c r="L217" i="3"/>
  <c r="I217" i="3"/>
  <c r="H217" i="3"/>
  <c r="F217" i="3"/>
  <c r="C217" i="3"/>
  <c r="AC216" i="3"/>
  <c r="AD216" i="3" s="1"/>
  <c r="AA216" i="3"/>
  <c r="X216" i="3"/>
  <c r="W216" i="3"/>
  <c r="U216" i="3"/>
  <c r="R216" i="3"/>
  <c r="O216" i="3"/>
  <c r="N216" i="3"/>
  <c r="L216" i="3"/>
  <c r="H216" i="3"/>
  <c r="I216" i="3" s="1"/>
  <c r="F216" i="3"/>
  <c r="C216" i="3"/>
  <c r="AD215" i="3"/>
  <c r="AC215" i="3"/>
  <c r="AA215" i="3"/>
  <c r="W215" i="3"/>
  <c r="X215" i="3" s="1"/>
  <c r="U215" i="3"/>
  <c r="R215" i="3"/>
  <c r="N215" i="3"/>
  <c r="O215" i="3" s="1"/>
  <c r="L215" i="3"/>
  <c r="H215" i="3"/>
  <c r="I215" i="3" s="1"/>
  <c r="F215" i="3"/>
  <c r="C215" i="3"/>
  <c r="AD214" i="3"/>
  <c r="AC214" i="3"/>
  <c r="AA214" i="3"/>
  <c r="W214" i="3"/>
  <c r="U214" i="3"/>
  <c r="R214" i="3"/>
  <c r="O214" i="3"/>
  <c r="N214" i="3"/>
  <c r="L214" i="3"/>
  <c r="I214" i="3"/>
  <c r="H214" i="3"/>
  <c r="F214" i="3"/>
  <c r="C214" i="3"/>
  <c r="AC213" i="3"/>
  <c r="AD213" i="3" s="1"/>
  <c r="AA213" i="3"/>
  <c r="W213" i="3"/>
  <c r="X213" i="3" s="1"/>
  <c r="U213" i="3"/>
  <c r="R213" i="3"/>
  <c r="O213" i="3"/>
  <c r="N213" i="3"/>
  <c r="L213" i="3"/>
  <c r="I213" i="3"/>
  <c r="H213" i="3"/>
  <c r="F213" i="3"/>
  <c r="C213" i="3"/>
  <c r="AC211" i="3"/>
  <c r="AD211" i="3" s="1"/>
  <c r="AA211" i="3"/>
  <c r="W211" i="3"/>
  <c r="X211" i="3" s="1"/>
  <c r="U211" i="3"/>
  <c r="R211" i="3"/>
  <c r="O211" i="3"/>
  <c r="N211" i="3"/>
  <c r="L211" i="3"/>
  <c r="I211" i="3"/>
  <c r="H211" i="3"/>
  <c r="F211" i="3"/>
  <c r="C211" i="3"/>
  <c r="Z209" i="3"/>
  <c r="AA209" i="3" s="1"/>
  <c r="X209" i="3"/>
  <c r="W209" i="3"/>
  <c r="U209" i="3"/>
  <c r="T209" i="3"/>
  <c r="R209" i="3"/>
  <c r="Q209" i="3"/>
  <c r="AC209" i="3" s="1"/>
  <c r="AD209" i="3" s="1"/>
  <c r="K209" i="3"/>
  <c r="L209" i="3" s="1"/>
  <c r="F209" i="3"/>
  <c r="E209" i="3"/>
  <c r="B209" i="3"/>
  <c r="AD208" i="3"/>
  <c r="AC208" i="3"/>
  <c r="AA208" i="3"/>
  <c r="W208" i="3"/>
  <c r="X208" i="3" s="1"/>
  <c r="U208" i="3"/>
  <c r="R208" i="3"/>
  <c r="N208" i="3"/>
  <c r="O208" i="3" s="1"/>
  <c r="L208" i="3"/>
  <c r="I208" i="3"/>
  <c r="H208" i="3"/>
  <c r="F208" i="3"/>
  <c r="C208" i="3"/>
  <c r="AC207" i="3"/>
  <c r="AD207" i="3" s="1"/>
  <c r="AA207" i="3"/>
  <c r="W207" i="3"/>
  <c r="X207" i="3" s="1"/>
  <c r="U207" i="3"/>
  <c r="R207" i="3"/>
  <c r="O207" i="3"/>
  <c r="N207" i="3"/>
  <c r="L207" i="3"/>
  <c r="H207" i="3"/>
  <c r="I207" i="3" s="1"/>
  <c r="F207" i="3"/>
  <c r="C207" i="3"/>
  <c r="AD206" i="3"/>
  <c r="AC206" i="3"/>
  <c r="AA206" i="3"/>
  <c r="X206" i="3"/>
  <c r="W206" i="3"/>
  <c r="U206" i="3"/>
  <c r="R206" i="3"/>
  <c r="N206" i="3"/>
  <c r="O206" i="3" s="1"/>
  <c r="L206" i="3"/>
  <c r="H206" i="3"/>
  <c r="I206" i="3" s="1"/>
  <c r="F206" i="3"/>
  <c r="C206" i="3"/>
  <c r="AD205" i="3"/>
  <c r="AC205" i="3"/>
  <c r="AA205" i="3"/>
  <c r="W205" i="3"/>
  <c r="U205" i="3"/>
  <c r="R205" i="3"/>
  <c r="N205" i="3"/>
  <c r="O205" i="3" s="1"/>
  <c r="L205" i="3"/>
  <c r="I205" i="3"/>
  <c r="H205" i="3"/>
  <c r="F205" i="3"/>
  <c r="C205" i="3"/>
  <c r="AD204" i="3"/>
  <c r="AC204" i="3"/>
  <c r="AA204" i="3"/>
  <c r="W204" i="3"/>
  <c r="X204" i="3" s="1"/>
  <c r="U204" i="3"/>
  <c r="R204" i="3"/>
  <c r="N204" i="3"/>
  <c r="O204" i="3" s="1"/>
  <c r="L204" i="3"/>
  <c r="I204" i="3"/>
  <c r="H204" i="3"/>
  <c r="F204" i="3"/>
  <c r="C204" i="3"/>
  <c r="AC203" i="3"/>
  <c r="AD203" i="3" s="1"/>
  <c r="AA203" i="3"/>
  <c r="W203" i="3"/>
  <c r="X203" i="3" s="1"/>
  <c r="U203" i="3"/>
  <c r="R203" i="3"/>
  <c r="O203" i="3"/>
  <c r="N203" i="3"/>
  <c r="L203" i="3"/>
  <c r="H203" i="3"/>
  <c r="I203" i="3" s="1"/>
  <c r="F203" i="3"/>
  <c r="C203" i="3"/>
  <c r="AD202" i="3"/>
  <c r="AC202" i="3"/>
  <c r="AA202" i="3"/>
  <c r="X202" i="3"/>
  <c r="W202" i="3"/>
  <c r="U202" i="3"/>
  <c r="R202" i="3"/>
  <c r="N202" i="3"/>
  <c r="O202" i="3" s="1"/>
  <c r="L202" i="3"/>
  <c r="H202" i="3"/>
  <c r="I202" i="3" s="1"/>
  <c r="F202" i="3"/>
  <c r="C202" i="3"/>
  <c r="AD201" i="3"/>
  <c r="AC201" i="3"/>
  <c r="AA201" i="3"/>
  <c r="W201" i="3"/>
  <c r="U201" i="3"/>
  <c r="R201" i="3"/>
  <c r="N201" i="3"/>
  <c r="O201" i="3" s="1"/>
  <c r="L201" i="3"/>
  <c r="I201" i="3"/>
  <c r="H201" i="3"/>
  <c r="F201" i="3"/>
  <c r="C201" i="3"/>
  <c r="AA198" i="3"/>
  <c r="F198" i="3"/>
  <c r="Z197" i="3"/>
  <c r="AA197" i="3" s="1"/>
  <c r="X197" i="3"/>
  <c r="W197" i="3"/>
  <c r="U197" i="3"/>
  <c r="T197" i="3"/>
  <c r="R197" i="3"/>
  <c r="Q197" i="3"/>
  <c r="N197" i="3"/>
  <c r="O197" i="3" s="1"/>
  <c r="K197" i="3"/>
  <c r="L197" i="3" s="1"/>
  <c r="F197" i="3"/>
  <c r="E197" i="3"/>
  <c r="B197" i="3"/>
  <c r="AC196" i="3"/>
  <c r="AD196" i="3" s="1"/>
  <c r="AA196" i="3"/>
  <c r="Z196" i="3"/>
  <c r="T196" i="3"/>
  <c r="U196" i="3" s="1"/>
  <c r="R196" i="3"/>
  <c r="Q196" i="3"/>
  <c r="O196" i="3"/>
  <c r="L196" i="3"/>
  <c r="K196" i="3"/>
  <c r="E196" i="3"/>
  <c r="H196" i="3" s="1"/>
  <c r="I196" i="3" s="1"/>
  <c r="C196" i="3"/>
  <c r="B196" i="3"/>
  <c r="N196" i="3" s="1"/>
  <c r="AD195" i="3"/>
  <c r="AC195" i="3"/>
  <c r="AA195" i="3"/>
  <c r="X195" i="3"/>
  <c r="W195" i="3"/>
  <c r="U195" i="3"/>
  <c r="R195" i="3"/>
  <c r="N195" i="3"/>
  <c r="O195" i="3" s="1"/>
  <c r="L195" i="3"/>
  <c r="H195" i="3"/>
  <c r="I195" i="3" s="1"/>
  <c r="F195" i="3"/>
  <c r="C195" i="3"/>
  <c r="AD194" i="3"/>
  <c r="AC194" i="3"/>
  <c r="AA194" i="3"/>
  <c r="W194" i="3"/>
  <c r="U194" i="3"/>
  <c r="R194" i="3"/>
  <c r="N194" i="3"/>
  <c r="O194" i="3" s="1"/>
  <c r="L194" i="3"/>
  <c r="I194" i="3"/>
  <c r="H194" i="3"/>
  <c r="F194" i="3"/>
  <c r="C194" i="3"/>
  <c r="AA193" i="3"/>
  <c r="Z193" i="3"/>
  <c r="T193" i="3"/>
  <c r="U193" i="3" s="1"/>
  <c r="Q193" i="3"/>
  <c r="AC193" i="3" s="1"/>
  <c r="AD193" i="3" s="1"/>
  <c r="O193" i="3"/>
  <c r="L193" i="3"/>
  <c r="K193" i="3"/>
  <c r="E193" i="3"/>
  <c r="C193" i="3"/>
  <c r="B193" i="3"/>
  <c r="N193" i="3" s="1"/>
  <c r="AD192" i="3"/>
  <c r="AC192" i="3"/>
  <c r="AA192" i="3"/>
  <c r="W192" i="3"/>
  <c r="X192" i="3" s="1"/>
  <c r="U192" i="3"/>
  <c r="R192" i="3"/>
  <c r="N192" i="3"/>
  <c r="O192" i="3" s="1"/>
  <c r="L192" i="3"/>
  <c r="H192" i="3"/>
  <c r="I192" i="3" s="1"/>
  <c r="F192" i="3"/>
  <c r="C192" i="3"/>
  <c r="AD191" i="3"/>
  <c r="AC191" i="3"/>
  <c r="AA191" i="3"/>
  <c r="W191" i="3"/>
  <c r="U191" i="3"/>
  <c r="R191" i="3"/>
  <c r="O191" i="3"/>
  <c r="N191" i="3"/>
  <c r="L191" i="3"/>
  <c r="I191" i="3"/>
  <c r="H191" i="3"/>
  <c r="F191" i="3"/>
  <c r="C191" i="3"/>
  <c r="AC190" i="3"/>
  <c r="AD190" i="3" s="1"/>
  <c r="AA190" i="3"/>
  <c r="W190" i="3"/>
  <c r="X190" i="3" s="1"/>
  <c r="U190" i="3"/>
  <c r="R190" i="3"/>
  <c r="N190" i="3"/>
  <c r="O190" i="3" s="1"/>
  <c r="L190" i="3"/>
  <c r="I190" i="3"/>
  <c r="H190" i="3"/>
  <c r="F190" i="3"/>
  <c r="C190" i="3"/>
  <c r="AC189" i="3"/>
  <c r="AD189" i="3" s="1"/>
  <c r="AA189" i="3"/>
  <c r="X189" i="3"/>
  <c r="W189" i="3"/>
  <c r="U189" i="3"/>
  <c r="R189" i="3"/>
  <c r="O189" i="3"/>
  <c r="N189" i="3"/>
  <c r="L189" i="3"/>
  <c r="H189" i="3"/>
  <c r="I189" i="3" s="1"/>
  <c r="F189" i="3"/>
  <c r="C189" i="3"/>
  <c r="AD188" i="3"/>
  <c r="AC188" i="3"/>
  <c r="AA188" i="3"/>
  <c r="W188" i="3"/>
  <c r="X188" i="3" s="1"/>
  <c r="U188" i="3"/>
  <c r="R188" i="3"/>
  <c r="N188" i="3"/>
  <c r="O188" i="3" s="1"/>
  <c r="L188" i="3"/>
  <c r="H188" i="3"/>
  <c r="I188" i="3" s="1"/>
  <c r="F188" i="3"/>
  <c r="C188" i="3"/>
  <c r="AD187" i="3"/>
  <c r="AC187" i="3"/>
  <c r="AA187" i="3"/>
  <c r="W187" i="3"/>
  <c r="U187" i="3"/>
  <c r="R187" i="3"/>
  <c r="O187" i="3"/>
  <c r="N187" i="3"/>
  <c r="L187" i="3"/>
  <c r="I187" i="3"/>
  <c r="H187" i="3"/>
  <c r="F187" i="3"/>
  <c r="C187" i="3"/>
  <c r="AC186" i="3"/>
  <c r="AD186" i="3" s="1"/>
  <c r="AA186" i="3"/>
  <c r="W186" i="3"/>
  <c r="X186" i="3" s="1"/>
  <c r="U186" i="3"/>
  <c r="R186" i="3"/>
  <c r="O186" i="3"/>
  <c r="N186" i="3"/>
  <c r="L186" i="3"/>
  <c r="I186" i="3"/>
  <c r="H186" i="3"/>
  <c r="F186" i="3"/>
  <c r="C186" i="3"/>
  <c r="AC184" i="3"/>
  <c r="AD184" i="3" s="1"/>
  <c r="AA184" i="3"/>
  <c r="W184" i="3"/>
  <c r="X184" i="3" s="1"/>
  <c r="U184" i="3"/>
  <c r="R184" i="3"/>
  <c r="O184" i="3"/>
  <c r="N184" i="3"/>
  <c r="L184" i="3"/>
  <c r="I184" i="3"/>
  <c r="H184" i="3"/>
  <c r="F184" i="3"/>
  <c r="C184" i="3"/>
  <c r="AD183" i="3"/>
  <c r="AC183" i="3"/>
  <c r="AA183" i="3"/>
  <c r="W183" i="3"/>
  <c r="X183" i="3" s="1"/>
  <c r="U183" i="3"/>
  <c r="R183" i="3"/>
  <c r="N183" i="3"/>
  <c r="O183" i="3" s="1"/>
  <c r="L183" i="3"/>
  <c r="H183" i="3"/>
  <c r="I183" i="3" s="1"/>
  <c r="F183" i="3"/>
  <c r="C183" i="3"/>
  <c r="AD182" i="3"/>
  <c r="AA182" i="3"/>
  <c r="Z182" i="3"/>
  <c r="W182" i="3"/>
  <c r="X182" i="3" s="1"/>
  <c r="T182" i="3"/>
  <c r="U182" i="3" s="1"/>
  <c r="R182" i="3"/>
  <c r="Q182" i="3"/>
  <c r="AC182" i="3" s="1"/>
  <c r="O182" i="3"/>
  <c r="K182" i="3"/>
  <c r="L182" i="3" s="1"/>
  <c r="H182" i="3"/>
  <c r="I182" i="3" s="1"/>
  <c r="F182" i="3"/>
  <c r="E182" i="3"/>
  <c r="C182" i="3"/>
  <c r="B182" i="3"/>
  <c r="N182" i="3" s="1"/>
  <c r="AC181" i="3"/>
  <c r="AD181" i="3" s="1"/>
  <c r="AA181" i="3"/>
  <c r="W181" i="3"/>
  <c r="X181" i="3" s="1"/>
  <c r="U181" i="3"/>
  <c r="R181" i="3"/>
  <c r="O181" i="3"/>
  <c r="N181" i="3"/>
  <c r="L181" i="3"/>
  <c r="H181" i="3"/>
  <c r="I181" i="3" s="1"/>
  <c r="F181" i="3"/>
  <c r="C181" i="3"/>
  <c r="AD180" i="3"/>
  <c r="AC180" i="3"/>
  <c r="AA180" i="3"/>
  <c r="X180" i="3"/>
  <c r="W180" i="3"/>
  <c r="U180" i="3"/>
  <c r="R180" i="3"/>
  <c r="N180" i="3"/>
  <c r="O180" i="3" s="1"/>
  <c r="L180" i="3"/>
  <c r="H180" i="3"/>
  <c r="I180" i="3" s="1"/>
  <c r="F180" i="3"/>
  <c r="C180" i="3"/>
  <c r="AD179" i="3"/>
  <c r="AC179" i="3"/>
  <c r="AA179" i="3"/>
  <c r="W179" i="3"/>
  <c r="U179" i="3"/>
  <c r="R179" i="3"/>
  <c r="N179" i="3"/>
  <c r="O179" i="3" s="1"/>
  <c r="L179" i="3"/>
  <c r="I179" i="3"/>
  <c r="H179" i="3"/>
  <c r="F179" i="3"/>
  <c r="C179" i="3"/>
  <c r="AD178" i="3"/>
  <c r="AC178" i="3"/>
  <c r="AA178" i="3"/>
  <c r="W178" i="3"/>
  <c r="X178" i="3" s="1"/>
  <c r="U178" i="3"/>
  <c r="R178" i="3"/>
  <c r="N178" i="3"/>
  <c r="O178" i="3" s="1"/>
  <c r="L178" i="3"/>
  <c r="I178" i="3"/>
  <c r="H178" i="3"/>
  <c r="F178" i="3"/>
  <c r="C178" i="3"/>
  <c r="AC177" i="3"/>
  <c r="AD177" i="3" s="1"/>
  <c r="AA177" i="3"/>
  <c r="W177" i="3"/>
  <c r="X177" i="3" s="1"/>
  <c r="U177" i="3"/>
  <c r="R177" i="3"/>
  <c r="O177" i="3"/>
  <c r="N177" i="3"/>
  <c r="L177" i="3"/>
  <c r="H177" i="3"/>
  <c r="I177" i="3" s="1"/>
  <c r="F177" i="3"/>
  <c r="C177" i="3"/>
  <c r="AD175" i="3"/>
  <c r="AC175" i="3"/>
  <c r="AA175" i="3"/>
  <c r="X175" i="3"/>
  <c r="W175" i="3"/>
  <c r="U175" i="3"/>
  <c r="R175" i="3"/>
  <c r="N175" i="3"/>
  <c r="O175" i="3" s="1"/>
  <c r="L175" i="3"/>
  <c r="H175" i="3"/>
  <c r="I175" i="3" s="1"/>
  <c r="F175" i="3"/>
  <c r="C175" i="3"/>
  <c r="T172" i="3"/>
  <c r="T198" i="3" s="1"/>
  <c r="K172" i="3"/>
  <c r="F172" i="3"/>
  <c r="Z171" i="3"/>
  <c r="Z172" i="3" s="1"/>
  <c r="Z198" i="3" s="1"/>
  <c r="Z345" i="3" s="1"/>
  <c r="U171" i="3"/>
  <c r="T171" i="3"/>
  <c r="Q171" i="3"/>
  <c r="AC171" i="3" s="1"/>
  <c r="AD171" i="3" s="1"/>
  <c r="L171" i="3"/>
  <c r="K171" i="3"/>
  <c r="E171" i="3"/>
  <c r="F171" i="3" s="1"/>
  <c r="B171" i="3"/>
  <c r="N171" i="3" s="1"/>
  <c r="O171" i="3" s="1"/>
  <c r="AA170" i="3"/>
  <c r="Z170" i="3"/>
  <c r="W170" i="3"/>
  <c r="X170" i="3" s="1"/>
  <c r="U170" i="3"/>
  <c r="T170" i="3"/>
  <c r="R170" i="3"/>
  <c r="Q170" i="3"/>
  <c r="AC170" i="3" s="1"/>
  <c r="AD170" i="3" s="1"/>
  <c r="K170" i="3"/>
  <c r="L170" i="3" s="1"/>
  <c r="H170" i="3"/>
  <c r="I170" i="3" s="1"/>
  <c r="F170" i="3"/>
  <c r="E170" i="3"/>
  <c r="C170" i="3"/>
  <c r="B170" i="3"/>
  <c r="N170" i="3" s="1"/>
  <c r="O170" i="3" s="1"/>
  <c r="AC169" i="3"/>
  <c r="AD169" i="3" s="1"/>
  <c r="AA169" i="3"/>
  <c r="W169" i="3"/>
  <c r="X169" i="3" s="1"/>
  <c r="U169" i="3"/>
  <c r="R169" i="3"/>
  <c r="O169" i="3"/>
  <c r="N169" i="3"/>
  <c r="L169" i="3"/>
  <c r="I169" i="3"/>
  <c r="H169" i="3"/>
  <c r="F169" i="3"/>
  <c r="C169" i="3"/>
  <c r="AD168" i="3"/>
  <c r="AC168" i="3"/>
  <c r="AA168" i="3"/>
  <c r="W168" i="3"/>
  <c r="X168" i="3" s="1"/>
  <c r="U168" i="3"/>
  <c r="R168" i="3"/>
  <c r="N168" i="3"/>
  <c r="O168" i="3" s="1"/>
  <c r="L168" i="3"/>
  <c r="H168" i="3"/>
  <c r="I168" i="3" s="1"/>
  <c r="F168" i="3"/>
  <c r="C168" i="3"/>
  <c r="AD167" i="3"/>
  <c r="AC167" i="3"/>
  <c r="AA167" i="3"/>
  <c r="W167" i="3"/>
  <c r="U167" i="3"/>
  <c r="R167" i="3"/>
  <c r="O167" i="3"/>
  <c r="N167" i="3"/>
  <c r="L167" i="3"/>
  <c r="I167" i="3"/>
  <c r="H167" i="3"/>
  <c r="F167" i="3"/>
  <c r="C167" i="3"/>
  <c r="AC166" i="3"/>
  <c r="AD166" i="3" s="1"/>
  <c r="AA166" i="3"/>
  <c r="Z166" i="3"/>
  <c r="T166" i="3"/>
  <c r="U166" i="3" s="1"/>
  <c r="R166" i="3"/>
  <c r="Q166" i="3"/>
  <c r="O166" i="3"/>
  <c r="L166" i="3"/>
  <c r="K166" i="3"/>
  <c r="H166" i="3"/>
  <c r="I166" i="3" s="1"/>
  <c r="E166" i="3"/>
  <c r="F166" i="3" s="1"/>
  <c r="C166" i="3"/>
  <c r="B166" i="3"/>
  <c r="N166" i="3" s="1"/>
  <c r="AD165" i="3"/>
  <c r="AC165" i="3"/>
  <c r="AA165" i="3"/>
  <c r="X165" i="3"/>
  <c r="W165" i="3"/>
  <c r="U165" i="3"/>
  <c r="R165" i="3"/>
  <c r="N165" i="3"/>
  <c r="O165" i="3" s="1"/>
  <c r="L165" i="3"/>
  <c r="H165" i="3"/>
  <c r="I165" i="3" s="1"/>
  <c r="F165" i="3"/>
  <c r="C165" i="3"/>
  <c r="AD164" i="3"/>
  <c r="AC164" i="3"/>
  <c r="AA164" i="3"/>
  <c r="W164" i="3"/>
  <c r="U164" i="3"/>
  <c r="R164" i="3"/>
  <c r="N164" i="3"/>
  <c r="O164" i="3" s="1"/>
  <c r="L164" i="3"/>
  <c r="I164" i="3"/>
  <c r="H164" i="3"/>
  <c r="F164" i="3"/>
  <c r="C164" i="3"/>
  <c r="AD163" i="3"/>
  <c r="AC163" i="3"/>
  <c r="AA163" i="3"/>
  <c r="W163" i="3"/>
  <c r="X163" i="3" s="1"/>
  <c r="U163" i="3"/>
  <c r="R163" i="3"/>
  <c r="N163" i="3"/>
  <c r="O163" i="3" s="1"/>
  <c r="L163" i="3"/>
  <c r="I163" i="3"/>
  <c r="H163" i="3"/>
  <c r="F163" i="3"/>
  <c r="C163" i="3"/>
  <c r="AC162" i="3"/>
  <c r="AD162" i="3" s="1"/>
  <c r="AA162" i="3"/>
  <c r="W162" i="3"/>
  <c r="X162" i="3" s="1"/>
  <c r="U162" i="3"/>
  <c r="R162" i="3"/>
  <c r="O162" i="3"/>
  <c r="N162" i="3"/>
  <c r="L162" i="3"/>
  <c r="H162" i="3"/>
  <c r="I162" i="3" s="1"/>
  <c r="F162" i="3"/>
  <c r="C162" i="3"/>
  <c r="AD161" i="3"/>
  <c r="AC161" i="3"/>
  <c r="AA161" i="3"/>
  <c r="X161" i="3"/>
  <c r="W161" i="3"/>
  <c r="U161" i="3"/>
  <c r="R161" i="3"/>
  <c r="N161" i="3"/>
  <c r="O161" i="3" s="1"/>
  <c r="L161" i="3"/>
  <c r="H161" i="3"/>
  <c r="I161" i="3" s="1"/>
  <c r="F161" i="3"/>
  <c r="C161" i="3"/>
  <c r="AD160" i="3"/>
  <c r="AC160" i="3"/>
  <c r="AA160" i="3"/>
  <c r="W160" i="3"/>
  <c r="U160" i="3"/>
  <c r="R160" i="3"/>
  <c r="N160" i="3"/>
  <c r="O160" i="3" s="1"/>
  <c r="L160" i="3"/>
  <c r="I160" i="3"/>
  <c r="H160" i="3"/>
  <c r="F160" i="3"/>
  <c r="C160" i="3"/>
  <c r="AA158" i="3"/>
  <c r="Z158" i="3"/>
  <c r="T158" i="3"/>
  <c r="U158" i="3" s="1"/>
  <c r="Q158" i="3"/>
  <c r="L158" i="3"/>
  <c r="K158" i="3"/>
  <c r="E158" i="3"/>
  <c r="C158" i="3"/>
  <c r="B158" i="3"/>
  <c r="N158" i="3" s="1"/>
  <c r="O158" i="3" s="1"/>
  <c r="AD157" i="3"/>
  <c r="AC157" i="3"/>
  <c r="AA157" i="3"/>
  <c r="W157" i="3"/>
  <c r="X157" i="3" s="1"/>
  <c r="U157" i="3"/>
  <c r="R157" i="3"/>
  <c r="N157" i="3"/>
  <c r="O157" i="3" s="1"/>
  <c r="L157" i="3"/>
  <c r="H157" i="3"/>
  <c r="I157" i="3" s="1"/>
  <c r="F157" i="3"/>
  <c r="C157" i="3"/>
  <c r="AD156" i="3"/>
  <c r="AC156" i="3"/>
  <c r="AA156" i="3"/>
  <c r="W156" i="3"/>
  <c r="U156" i="3"/>
  <c r="R156" i="3"/>
  <c r="O156" i="3"/>
  <c r="N156" i="3"/>
  <c r="L156" i="3"/>
  <c r="I156" i="3"/>
  <c r="H156" i="3"/>
  <c r="F156" i="3"/>
  <c r="C156" i="3"/>
  <c r="AC155" i="3"/>
  <c r="AD155" i="3" s="1"/>
  <c r="AA155" i="3"/>
  <c r="W155" i="3"/>
  <c r="X155" i="3" s="1"/>
  <c r="U155" i="3"/>
  <c r="R155" i="3"/>
  <c r="O155" i="3"/>
  <c r="N155" i="3"/>
  <c r="L155" i="3"/>
  <c r="I155" i="3"/>
  <c r="H155" i="3"/>
  <c r="F155" i="3"/>
  <c r="C155" i="3"/>
  <c r="AC154" i="3"/>
  <c r="AD154" i="3" s="1"/>
  <c r="AA154" i="3"/>
  <c r="W154" i="3"/>
  <c r="X154" i="3" s="1"/>
  <c r="U154" i="3"/>
  <c r="R154" i="3"/>
  <c r="O154" i="3"/>
  <c r="N154" i="3"/>
  <c r="L154" i="3"/>
  <c r="I154" i="3"/>
  <c r="H154" i="3"/>
  <c r="F154" i="3"/>
  <c r="C154" i="3"/>
  <c r="AD153" i="3"/>
  <c r="AC153" i="3"/>
  <c r="AA153" i="3"/>
  <c r="W153" i="3"/>
  <c r="X153" i="3" s="1"/>
  <c r="U153" i="3"/>
  <c r="R153" i="3"/>
  <c r="N153" i="3"/>
  <c r="O153" i="3" s="1"/>
  <c r="L153" i="3"/>
  <c r="H153" i="3"/>
  <c r="I153" i="3" s="1"/>
  <c r="F153" i="3"/>
  <c r="C153" i="3"/>
  <c r="AD151" i="3"/>
  <c r="AC151" i="3"/>
  <c r="AA151" i="3"/>
  <c r="X151" i="3"/>
  <c r="W151" i="3"/>
  <c r="U151" i="3"/>
  <c r="R151" i="3"/>
  <c r="O151" i="3"/>
  <c r="N151" i="3"/>
  <c r="L151" i="3"/>
  <c r="I151" i="3"/>
  <c r="H151" i="3"/>
  <c r="F151" i="3"/>
  <c r="C151" i="3"/>
  <c r="AD149" i="3"/>
  <c r="AC149" i="3"/>
  <c r="AA149" i="3"/>
  <c r="Z149" i="3"/>
  <c r="T149" i="3"/>
  <c r="U149" i="3" s="1"/>
  <c r="Q149" i="3"/>
  <c r="O149" i="3"/>
  <c r="L149" i="3"/>
  <c r="K149" i="3"/>
  <c r="E149" i="3"/>
  <c r="H149" i="3" s="1"/>
  <c r="I149" i="3" s="1"/>
  <c r="C149" i="3"/>
  <c r="B149" i="3"/>
  <c r="N149" i="3" s="1"/>
  <c r="Z148" i="3"/>
  <c r="AA148" i="3" s="1"/>
  <c r="X148" i="3"/>
  <c r="W148" i="3"/>
  <c r="U148" i="3"/>
  <c r="T148" i="3"/>
  <c r="R148" i="3"/>
  <c r="Q148" i="3"/>
  <c r="K148" i="3"/>
  <c r="N148" i="3" s="1"/>
  <c r="O148" i="3" s="1"/>
  <c r="F148" i="3"/>
  <c r="E148" i="3"/>
  <c r="B148" i="3"/>
  <c r="AD147" i="3"/>
  <c r="AC147" i="3"/>
  <c r="AA147" i="3"/>
  <c r="W147" i="3"/>
  <c r="X147" i="3" s="1"/>
  <c r="U147" i="3"/>
  <c r="R147" i="3"/>
  <c r="O147" i="3"/>
  <c r="N147" i="3"/>
  <c r="L147" i="3"/>
  <c r="I147" i="3"/>
  <c r="H147" i="3"/>
  <c r="F147" i="3"/>
  <c r="C147" i="3"/>
  <c r="AC146" i="3"/>
  <c r="AD146" i="3" s="1"/>
  <c r="AA146" i="3"/>
  <c r="W146" i="3"/>
  <c r="X146" i="3" s="1"/>
  <c r="U146" i="3"/>
  <c r="R146" i="3"/>
  <c r="O146" i="3"/>
  <c r="N146" i="3"/>
  <c r="L146" i="3"/>
  <c r="I146" i="3"/>
  <c r="H146" i="3"/>
  <c r="F146" i="3"/>
  <c r="C146" i="3"/>
  <c r="AD145" i="3"/>
  <c r="AC145" i="3"/>
  <c r="AA145" i="3"/>
  <c r="X145" i="3"/>
  <c r="W145" i="3"/>
  <c r="U145" i="3"/>
  <c r="R145" i="3"/>
  <c r="N145" i="3"/>
  <c r="O145" i="3" s="1"/>
  <c r="L145" i="3"/>
  <c r="H145" i="3"/>
  <c r="I145" i="3" s="1"/>
  <c r="F145" i="3"/>
  <c r="C145" i="3"/>
  <c r="AD144" i="3"/>
  <c r="AC144" i="3"/>
  <c r="AA144" i="3"/>
  <c r="X144" i="3"/>
  <c r="W144" i="3"/>
  <c r="U144" i="3"/>
  <c r="R144" i="3"/>
  <c r="O144" i="3"/>
  <c r="N144" i="3"/>
  <c r="L144" i="3"/>
  <c r="I144" i="3"/>
  <c r="H144" i="3"/>
  <c r="F144" i="3"/>
  <c r="C144" i="3"/>
  <c r="AC143" i="3"/>
  <c r="AD143" i="3" s="1"/>
  <c r="AA143" i="3"/>
  <c r="W143" i="3"/>
  <c r="X143" i="3" s="1"/>
  <c r="U143" i="3"/>
  <c r="R143" i="3"/>
  <c r="O143" i="3"/>
  <c r="N143" i="3"/>
  <c r="L143" i="3"/>
  <c r="I143" i="3"/>
  <c r="H143" i="3"/>
  <c r="F143" i="3"/>
  <c r="C143" i="3"/>
  <c r="AC141" i="3"/>
  <c r="AD141" i="3" s="1"/>
  <c r="AA141" i="3"/>
  <c r="Z141" i="3"/>
  <c r="U141" i="3"/>
  <c r="T141" i="3"/>
  <c r="Q141" i="3"/>
  <c r="O141" i="3"/>
  <c r="N141" i="3"/>
  <c r="L141" i="3"/>
  <c r="K141" i="3"/>
  <c r="E141" i="3"/>
  <c r="F141" i="3" s="1"/>
  <c r="C141" i="3"/>
  <c r="B141" i="3"/>
  <c r="AD140" i="3"/>
  <c r="AC140" i="3"/>
  <c r="AA140" i="3"/>
  <c r="X140" i="3"/>
  <c r="W140" i="3"/>
  <c r="U140" i="3"/>
  <c r="R140" i="3"/>
  <c r="N140" i="3"/>
  <c r="O140" i="3" s="1"/>
  <c r="L140" i="3"/>
  <c r="I140" i="3"/>
  <c r="H140" i="3"/>
  <c r="F140" i="3"/>
  <c r="C140" i="3"/>
  <c r="AD139" i="3"/>
  <c r="AC139" i="3"/>
  <c r="AA139" i="3"/>
  <c r="W139" i="3"/>
  <c r="X139" i="3" s="1"/>
  <c r="U139" i="3"/>
  <c r="R139" i="3"/>
  <c r="N139" i="3"/>
  <c r="O139" i="3" s="1"/>
  <c r="L139" i="3"/>
  <c r="I139" i="3"/>
  <c r="H139" i="3"/>
  <c r="F139" i="3"/>
  <c r="C139" i="3"/>
  <c r="AC138" i="3"/>
  <c r="AD138" i="3" s="1"/>
  <c r="AA138" i="3"/>
  <c r="X138" i="3"/>
  <c r="W138" i="3"/>
  <c r="U138" i="3"/>
  <c r="R138" i="3"/>
  <c r="O138" i="3"/>
  <c r="N138" i="3"/>
  <c r="L138" i="3"/>
  <c r="H138" i="3"/>
  <c r="I138" i="3" s="1"/>
  <c r="F138" i="3"/>
  <c r="C138" i="3"/>
  <c r="AD137" i="3"/>
  <c r="AC137" i="3"/>
  <c r="AA137" i="3"/>
  <c r="X137" i="3"/>
  <c r="W137" i="3"/>
  <c r="U137" i="3"/>
  <c r="R137" i="3"/>
  <c r="N137" i="3"/>
  <c r="O137" i="3" s="1"/>
  <c r="L137" i="3"/>
  <c r="H137" i="3"/>
  <c r="I137" i="3" s="1"/>
  <c r="F137" i="3"/>
  <c r="C137" i="3"/>
  <c r="AD136" i="3"/>
  <c r="AC136" i="3"/>
  <c r="AA136" i="3"/>
  <c r="X136" i="3"/>
  <c r="W136" i="3"/>
  <c r="U136" i="3"/>
  <c r="R136" i="3"/>
  <c r="O136" i="3"/>
  <c r="N136" i="3"/>
  <c r="L136" i="3"/>
  <c r="I136" i="3"/>
  <c r="H136" i="3"/>
  <c r="F136" i="3"/>
  <c r="C136" i="3"/>
  <c r="AC135" i="3"/>
  <c r="AD135" i="3" s="1"/>
  <c r="AA135" i="3"/>
  <c r="W135" i="3"/>
  <c r="X135" i="3" s="1"/>
  <c r="U135" i="3"/>
  <c r="R135" i="3"/>
  <c r="O135" i="3"/>
  <c r="N135" i="3"/>
  <c r="L135" i="3"/>
  <c r="I135" i="3"/>
  <c r="H135" i="3"/>
  <c r="F135" i="3"/>
  <c r="C135" i="3"/>
  <c r="AC134" i="3"/>
  <c r="AD134" i="3" s="1"/>
  <c r="AA134" i="3"/>
  <c r="W134" i="3"/>
  <c r="X134" i="3" s="1"/>
  <c r="U134" i="3"/>
  <c r="R134" i="3"/>
  <c r="O134" i="3"/>
  <c r="N134" i="3"/>
  <c r="L134" i="3"/>
  <c r="H134" i="3"/>
  <c r="I134" i="3" s="1"/>
  <c r="F134" i="3"/>
  <c r="C134" i="3"/>
  <c r="AD133" i="3"/>
  <c r="AC133" i="3"/>
  <c r="AA133" i="3"/>
  <c r="W133" i="3"/>
  <c r="X133" i="3" s="1"/>
  <c r="U133" i="3"/>
  <c r="R133" i="3"/>
  <c r="N133" i="3"/>
  <c r="O133" i="3" s="1"/>
  <c r="L133" i="3"/>
  <c r="H133" i="3"/>
  <c r="I133" i="3" s="1"/>
  <c r="F133" i="3"/>
  <c r="C133" i="3"/>
  <c r="AD132" i="3"/>
  <c r="AC132" i="3"/>
  <c r="AA132" i="3"/>
  <c r="X132" i="3"/>
  <c r="W132" i="3"/>
  <c r="U132" i="3"/>
  <c r="R132" i="3"/>
  <c r="N132" i="3"/>
  <c r="O132" i="3" s="1"/>
  <c r="L132" i="3"/>
  <c r="I132" i="3"/>
  <c r="H132" i="3"/>
  <c r="F132" i="3"/>
  <c r="C132" i="3"/>
  <c r="AD131" i="3"/>
  <c r="AC131" i="3"/>
  <c r="AA131" i="3"/>
  <c r="W131" i="3"/>
  <c r="X131" i="3" s="1"/>
  <c r="U131" i="3"/>
  <c r="R131" i="3"/>
  <c r="N131" i="3"/>
  <c r="O131" i="3" s="1"/>
  <c r="L131" i="3"/>
  <c r="I131" i="3"/>
  <c r="H131" i="3"/>
  <c r="F131" i="3"/>
  <c r="C131" i="3"/>
  <c r="AC130" i="3"/>
  <c r="AD130" i="3" s="1"/>
  <c r="AA130" i="3"/>
  <c r="W130" i="3"/>
  <c r="X130" i="3" s="1"/>
  <c r="U130" i="3"/>
  <c r="R130" i="3"/>
  <c r="O130" i="3"/>
  <c r="N130" i="3"/>
  <c r="L130" i="3"/>
  <c r="H130" i="3"/>
  <c r="I130" i="3" s="1"/>
  <c r="F130" i="3"/>
  <c r="C130" i="3"/>
  <c r="AD129" i="3"/>
  <c r="AC129" i="3"/>
  <c r="AA129" i="3"/>
  <c r="X129" i="3"/>
  <c r="W129" i="3"/>
  <c r="U129" i="3"/>
  <c r="R129" i="3"/>
  <c r="N129" i="3"/>
  <c r="O129" i="3" s="1"/>
  <c r="L129" i="3"/>
  <c r="H129" i="3"/>
  <c r="I129" i="3" s="1"/>
  <c r="F129" i="3"/>
  <c r="C129" i="3"/>
  <c r="AD127" i="3"/>
  <c r="AC127" i="3"/>
  <c r="AA127" i="3"/>
  <c r="X127" i="3"/>
  <c r="W127" i="3"/>
  <c r="U127" i="3"/>
  <c r="R127" i="3"/>
  <c r="O127" i="3"/>
  <c r="N127" i="3"/>
  <c r="L127" i="3"/>
  <c r="I127" i="3"/>
  <c r="H127" i="3"/>
  <c r="F127" i="3"/>
  <c r="C127" i="3"/>
  <c r="AD124" i="3"/>
  <c r="AC124" i="3"/>
  <c r="AA124" i="3"/>
  <c r="Z124" i="3"/>
  <c r="T124" i="3"/>
  <c r="U124" i="3" s="1"/>
  <c r="R124" i="3"/>
  <c r="Q124" i="3"/>
  <c r="O124" i="3"/>
  <c r="L124" i="3"/>
  <c r="K124" i="3"/>
  <c r="H124" i="3"/>
  <c r="I124" i="3" s="1"/>
  <c r="F124" i="3"/>
  <c r="E124" i="3"/>
  <c r="E172" i="3" s="1"/>
  <c r="E198" i="3" s="1"/>
  <c r="E345" i="3" s="1"/>
  <c r="C124" i="3"/>
  <c r="B124" i="3"/>
  <c r="N124" i="3" s="1"/>
  <c r="AD123" i="3"/>
  <c r="AC123" i="3"/>
  <c r="AA123" i="3"/>
  <c r="W123" i="3"/>
  <c r="X123" i="3" s="1"/>
  <c r="U123" i="3"/>
  <c r="R123" i="3"/>
  <c r="N123" i="3"/>
  <c r="O123" i="3" s="1"/>
  <c r="L123" i="3"/>
  <c r="H123" i="3"/>
  <c r="I123" i="3" s="1"/>
  <c r="F123" i="3"/>
  <c r="C123" i="3"/>
  <c r="AD122" i="3"/>
  <c r="AA122" i="3"/>
  <c r="Z122" i="3"/>
  <c r="U122" i="3"/>
  <c r="T122" i="3"/>
  <c r="W122" i="3" s="1"/>
  <c r="X122" i="3" s="1"/>
  <c r="R122" i="3"/>
  <c r="Q122" i="3"/>
  <c r="AC122" i="3" s="1"/>
  <c r="O122" i="3"/>
  <c r="K122" i="3"/>
  <c r="L122" i="3" s="1"/>
  <c r="I122" i="3"/>
  <c r="H122" i="3"/>
  <c r="F122" i="3"/>
  <c r="E122" i="3"/>
  <c r="C122" i="3"/>
  <c r="B122" i="3"/>
  <c r="N122" i="3" s="1"/>
  <c r="AC121" i="3"/>
  <c r="AD121" i="3" s="1"/>
  <c r="AA121" i="3"/>
  <c r="X121" i="3"/>
  <c r="W121" i="3"/>
  <c r="U121" i="3"/>
  <c r="R121" i="3"/>
  <c r="O121" i="3"/>
  <c r="N121" i="3"/>
  <c r="L121" i="3"/>
  <c r="H121" i="3"/>
  <c r="I121" i="3" s="1"/>
  <c r="F121" i="3"/>
  <c r="C121" i="3"/>
  <c r="AD120" i="3"/>
  <c r="AC120" i="3"/>
  <c r="AA120" i="3"/>
  <c r="X120" i="3"/>
  <c r="W120" i="3"/>
  <c r="U120" i="3"/>
  <c r="R120" i="3"/>
  <c r="N120" i="3"/>
  <c r="O120" i="3" s="1"/>
  <c r="L120" i="3"/>
  <c r="H120" i="3"/>
  <c r="I120" i="3" s="1"/>
  <c r="F120" i="3"/>
  <c r="C120" i="3"/>
  <c r="AD119" i="3"/>
  <c r="AC119" i="3"/>
  <c r="AA119" i="3"/>
  <c r="X119" i="3"/>
  <c r="W119" i="3"/>
  <c r="U119" i="3"/>
  <c r="R119" i="3"/>
  <c r="O119" i="3"/>
  <c r="N119" i="3"/>
  <c r="L119" i="3"/>
  <c r="I119" i="3"/>
  <c r="H119" i="3"/>
  <c r="F119" i="3"/>
  <c r="C119" i="3"/>
  <c r="AC118" i="3"/>
  <c r="AD118" i="3" s="1"/>
  <c r="AA118" i="3"/>
  <c r="Z118" i="3"/>
  <c r="T118" i="3"/>
  <c r="U118" i="3" s="1"/>
  <c r="R118" i="3"/>
  <c r="Q118" i="3"/>
  <c r="O118" i="3"/>
  <c r="L118" i="3"/>
  <c r="K118" i="3"/>
  <c r="H118" i="3"/>
  <c r="I118" i="3" s="1"/>
  <c r="F118" i="3"/>
  <c r="E118" i="3"/>
  <c r="C118" i="3"/>
  <c r="B118" i="3"/>
  <c r="N118" i="3" s="1"/>
  <c r="AD117" i="3"/>
  <c r="AC117" i="3"/>
  <c r="AA117" i="3"/>
  <c r="W117" i="3"/>
  <c r="X117" i="3" s="1"/>
  <c r="U117" i="3"/>
  <c r="R117" i="3"/>
  <c r="N117" i="3"/>
  <c r="O117" i="3" s="1"/>
  <c r="L117" i="3"/>
  <c r="H117" i="3"/>
  <c r="I117" i="3" s="1"/>
  <c r="F117" i="3"/>
  <c r="C117" i="3"/>
  <c r="AD116" i="3"/>
  <c r="AC116" i="3"/>
  <c r="AA116" i="3"/>
  <c r="X116" i="3"/>
  <c r="W116" i="3"/>
  <c r="U116" i="3"/>
  <c r="R116" i="3"/>
  <c r="N116" i="3"/>
  <c r="O116" i="3" s="1"/>
  <c r="L116" i="3"/>
  <c r="I116" i="3"/>
  <c r="H116" i="3"/>
  <c r="F116" i="3"/>
  <c r="C116" i="3"/>
  <c r="AC115" i="3"/>
  <c r="AD115" i="3" s="1"/>
  <c r="AA115" i="3"/>
  <c r="W115" i="3"/>
  <c r="X115" i="3" s="1"/>
  <c r="U115" i="3"/>
  <c r="R115" i="3"/>
  <c r="O115" i="3"/>
  <c r="N115" i="3"/>
  <c r="L115" i="3"/>
  <c r="I115" i="3"/>
  <c r="H115" i="3"/>
  <c r="F115" i="3"/>
  <c r="C115" i="3"/>
  <c r="AC114" i="3"/>
  <c r="AD114" i="3" s="1"/>
  <c r="AA114" i="3"/>
  <c r="X114" i="3"/>
  <c r="W114" i="3"/>
  <c r="U114" i="3"/>
  <c r="R114" i="3"/>
  <c r="O114" i="3"/>
  <c r="N114" i="3"/>
  <c r="L114" i="3"/>
  <c r="I114" i="3"/>
  <c r="H114" i="3"/>
  <c r="F114" i="3"/>
  <c r="C114" i="3"/>
  <c r="AD113" i="3"/>
  <c r="AC113" i="3"/>
  <c r="AA113" i="3"/>
  <c r="W113" i="3"/>
  <c r="X113" i="3" s="1"/>
  <c r="U113" i="3"/>
  <c r="R113" i="3"/>
  <c r="N113" i="3"/>
  <c r="O113" i="3" s="1"/>
  <c r="L113" i="3"/>
  <c r="H113" i="3"/>
  <c r="I113" i="3" s="1"/>
  <c r="F113" i="3"/>
  <c r="C113" i="3"/>
  <c r="AD112" i="3"/>
  <c r="AC112" i="3"/>
  <c r="AA112" i="3"/>
  <c r="X112" i="3"/>
  <c r="W112" i="3"/>
  <c r="U112" i="3"/>
  <c r="R112" i="3"/>
  <c r="N112" i="3"/>
  <c r="O112" i="3" s="1"/>
  <c r="L112" i="3"/>
  <c r="I112" i="3"/>
  <c r="H112" i="3"/>
  <c r="F112" i="3"/>
  <c r="C112" i="3"/>
  <c r="AD111" i="3"/>
  <c r="AC111" i="3"/>
  <c r="AA111" i="3"/>
  <c r="W111" i="3"/>
  <c r="X111" i="3" s="1"/>
  <c r="U111" i="3"/>
  <c r="R111" i="3"/>
  <c r="N111" i="3"/>
  <c r="O111" i="3" s="1"/>
  <c r="L111" i="3"/>
  <c r="I111" i="3"/>
  <c r="H111" i="3"/>
  <c r="F111" i="3"/>
  <c r="C111" i="3"/>
  <c r="AC110" i="3"/>
  <c r="AD110" i="3" s="1"/>
  <c r="AA110" i="3"/>
  <c r="W110" i="3"/>
  <c r="X110" i="3" s="1"/>
  <c r="U110" i="3"/>
  <c r="R110" i="3"/>
  <c r="O110" i="3"/>
  <c r="N110" i="3"/>
  <c r="L110" i="3"/>
  <c r="H110" i="3"/>
  <c r="I110" i="3" s="1"/>
  <c r="F110" i="3"/>
  <c r="C110" i="3"/>
  <c r="AD109" i="3"/>
  <c r="AC109" i="3"/>
  <c r="AA109" i="3"/>
  <c r="W109" i="3"/>
  <c r="X109" i="3" s="1"/>
  <c r="U109" i="3"/>
  <c r="R109" i="3"/>
  <c r="N109" i="3"/>
  <c r="O109" i="3" s="1"/>
  <c r="L109" i="3"/>
  <c r="H109" i="3"/>
  <c r="I109" i="3" s="1"/>
  <c r="F109" i="3"/>
  <c r="C109" i="3"/>
  <c r="AD108" i="3"/>
  <c r="AC108" i="3"/>
  <c r="AA108" i="3"/>
  <c r="X108" i="3"/>
  <c r="W108" i="3"/>
  <c r="U108" i="3"/>
  <c r="R108" i="3"/>
  <c r="N108" i="3"/>
  <c r="O108" i="3" s="1"/>
  <c r="L108" i="3"/>
  <c r="I108" i="3"/>
  <c r="H108" i="3"/>
  <c r="F108" i="3"/>
  <c r="C108" i="3"/>
  <c r="AC107" i="3"/>
  <c r="AD107" i="3" s="1"/>
  <c r="AA107" i="3"/>
  <c r="W107" i="3"/>
  <c r="X107" i="3" s="1"/>
  <c r="U107" i="3"/>
  <c r="R107" i="3"/>
  <c r="O107" i="3"/>
  <c r="N107" i="3"/>
  <c r="L107" i="3"/>
  <c r="I107" i="3"/>
  <c r="H107" i="3"/>
  <c r="F107" i="3"/>
  <c r="C107" i="3"/>
  <c r="AC106" i="3"/>
  <c r="AD106" i="3" s="1"/>
  <c r="AA106" i="3"/>
  <c r="X106" i="3"/>
  <c r="W106" i="3"/>
  <c r="U106" i="3"/>
  <c r="R106" i="3"/>
  <c r="O106" i="3"/>
  <c r="N106" i="3"/>
  <c r="L106" i="3"/>
  <c r="I106" i="3"/>
  <c r="H106" i="3"/>
  <c r="F106" i="3"/>
  <c r="C106" i="3"/>
  <c r="AD105" i="3"/>
  <c r="AC105" i="3"/>
  <c r="AA105" i="3"/>
  <c r="W105" i="3"/>
  <c r="X105" i="3" s="1"/>
  <c r="U105" i="3"/>
  <c r="R105" i="3"/>
  <c r="N105" i="3"/>
  <c r="O105" i="3" s="1"/>
  <c r="L105" i="3"/>
  <c r="H105" i="3"/>
  <c r="I105" i="3" s="1"/>
  <c r="F105" i="3"/>
  <c r="C105" i="3"/>
  <c r="AD104" i="3"/>
  <c r="AC104" i="3"/>
  <c r="AA104" i="3"/>
  <c r="X104" i="3"/>
  <c r="W104" i="3"/>
  <c r="U104" i="3"/>
  <c r="R104" i="3"/>
  <c r="N104" i="3"/>
  <c r="O104" i="3" s="1"/>
  <c r="L104" i="3"/>
  <c r="I104" i="3"/>
  <c r="H104" i="3"/>
  <c r="F104" i="3"/>
  <c r="C104" i="3"/>
  <c r="AD103" i="3"/>
  <c r="AC103" i="3"/>
  <c r="AA103" i="3"/>
  <c r="W103" i="3"/>
  <c r="X103" i="3" s="1"/>
  <c r="U103" i="3"/>
  <c r="R103" i="3"/>
  <c r="O103" i="3"/>
  <c r="N103" i="3"/>
  <c r="L103" i="3"/>
  <c r="I103" i="3"/>
  <c r="H103" i="3"/>
  <c r="F103" i="3"/>
  <c r="C103" i="3"/>
  <c r="AC102" i="3"/>
  <c r="AD102" i="3" s="1"/>
  <c r="AA102" i="3"/>
  <c r="X102" i="3"/>
  <c r="W102" i="3"/>
  <c r="U102" i="3"/>
  <c r="R102" i="3"/>
  <c r="O102" i="3"/>
  <c r="N102" i="3"/>
  <c r="L102" i="3"/>
  <c r="I102" i="3"/>
  <c r="H102" i="3"/>
  <c r="F102" i="3"/>
  <c r="C102" i="3"/>
  <c r="AD101" i="3"/>
  <c r="AC101" i="3"/>
  <c r="AA101" i="3"/>
  <c r="W101" i="3"/>
  <c r="X101" i="3" s="1"/>
  <c r="U101" i="3"/>
  <c r="R101" i="3"/>
  <c r="N101" i="3"/>
  <c r="O101" i="3" s="1"/>
  <c r="L101" i="3"/>
  <c r="H101" i="3"/>
  <c r="I101" i="3" s="1"/>
  <c r="F101" i="3"/>
  <c r="C101" i="3"/>
  <c r="AD100" i="3"/>
  <c r="AC100" i="3"/>
  <c r="AA100" i="3"/>
  <c r="X100" i="3"/>
  <c r="W100" i="3"/>
  <c r="U100" i="3"/>
  <c r="R100" i="3"/>
  <c r="N100" i="3"/>
  <c r="O100" i="3" s="1"/>
  <c r="L100" i="3"/>
  <c r="I100" i="3"/>
  <c r="H100" i="3"/>
  <c r="F100" i="3"/>
  <c r="C100" i="3"/>
  <c r="AC99" i="3"/>
  <c r="AD99" i="3" s="1"/>
  <c r="AA99" i="3"/>
  <c r="W99" i="3"/>
  <c r="X99" i="3" s="1"/>
  <c r="U99" i="3"/>
  <c r="R99" i="3"/>
  <c r="N99" i="3"/>
  <c r="O99" i="3" s="1"/>
  <c r="L99" i="3"/>
  <c r="I99" i="3"/>
  <c r="H99" i="3"/>
  <c r="F99" i="3"/>
  <c r="C99" i="3"/>
  <c r="AC98" i="3"/>
  <c r="AD98" i="3" s="1"/>
  <c r="AA98" i="3"/>
  <c r="X98" i="3"/>
  <c r="W98" i="3"/>
  <c r="U98" i="3"/>
  <c r="R98" i="3"/>
  <c r="O98" i="3"/>
  <c r="N98" i="3"/>
  <c r="L98" i="3"/>
  <c r="H98" i="3"/>
  <c r="I98" i="3" s="1"/>
  <c r="F98" i="3"/>
  <c r="C98" i="3"/>
  <c r="AD97" i="3"/>
  <c r="AC97" i="3"/>
  <c r="AA97" i="3"/>
  <c r="W97" i="3"/>
  <c r="X97" i="3" s="1"/>
  <c r="U97" i="3"/>
  <c r="R97" i="3"/>
  <c r="N97" i="3"/>
  <c r="O97" i="3" s="1"/>
  <c r="L97" i="3"/>
  <c r="H97" i="3"/>
  <c r="I97" i="3" s="1"/>
  <c r="F97" i="3"/>
  <c r="C97" i="3"/>
  <c r="AD96" i="3"/>
  <c r="AC96" i="3"/>
  <c r="AA96" i="3"/>
  <c r="X96" i="3"/>
  <c r="W96" i="3"/>
  <c r="U96" i="3"/>
  <c r="R96" i="3"/>
  <c r="N96" i="3"/>
  <c r="O96" i="3" s="1"/>
  <c r="L96" i="3"/>
  <c r="I96" i="3"/>
  <c r="H96" i="3"/>
  <c r="F96" i="3"/>
  <c r="C96" i="3"/>
  <c r="AD95" i="3"/>
  <c r="AC95" i="3"/>
  <c r="AA95" i="3"/>
  <c r="W95" i="3"/>
  <c r="X95" i="3" s="1"/>
  <c r="U95" i="3"/>
  <c r="R95" i="3"/>
  <c r="O95" i="3"/>
  <c r="N95" i="3"/>
  <c r="L95" i="3"/>
  <c r="I95" i="3"/>
  <c r="H95" i="3"/>
  <c r="F95" i="3"/>
  <c r="C95" i="3"/>
  <c r="AC94" i="3"/>
  <c r="AD94" i="3" s="1"/>
  <c r="AA94" i="3"/>
  <c r="X94" i="3"/>
  <c r="W94" i="3"/>
  <c r="U94" i="3"/>
  <c r="R94" i="3"/>
  <c r="O94" i="3"/>
  <c r="N94" i="3"/>
  <c r="L94" i="3"/>
  <c r="I94" i="3"/>
  <c r="H94" i="3"/>
  <c r="F94" i="3"/>
  <c r="C94" i="3"/>
  <c r="AD92" i="3"/>
  <c r="AC92" i="3"/>
  <c r="AA92" i="3"/>
  <c r="W92" i="3"/>
  <c r="X92" i="3" s="1"/>
  <c r="U92" i="3"/>
  <c r="R92" i="3"/>
  <c r="N92" i="3"/>
  <c r="O92" i="3" s="1"/>
  <c r="L92" i="3"/>
  <c r="H92" i="3"/>
  <c r="I92" i="3" s="1"/>
  <c r="F92" i="3"/>
  <c r="C92" i="3"/>
  <c r="AD91" i="3"/>
  <c r="AC91" i="3"/>
  <c r="AA91" i="3"/>
  <c r="X91" i="3"/>
  <c r="W91" i="3"/>
  <c r="U91" i="3"/>
  <c r="R91" i="3"/>
  <c r="N91" i="3"/>
  <c r="O91" i="3" s="1"/>
  <c r="L91" i="3"/>
  <c r="I91" i="3"/>
  <c r="H91" i="3"/>
  <c r="F91" i="3"/>
  <c r="C91" i="3"/>
  <c r="AC90" i="3"/>
  <c r="AD90" i="3" s="1"/>
  <c r="AA90" i="3"/>
  <c r="W90" i="3"/>
  <c r="X90" i="3" s="1"/>
  <c r="U90" i="3"/>
  <c r="R90" i="3"/>
  <c r="O90" i="3"/>
  <c r="N90" i="3"/>
  <c r="L90" i="3"/>
  <c r="I90" i="3"/>
  <c r="H90" i="3"/>
  <c r="F90" i="3"/>
  <c r="C90" i="3"/>
  <c r="AC89" i="3"/>
  <c r="AD89" i="3" s="1"/>
  <c r="AA89" i="3"/>
  <c r="X89" i="3"/>
  <c r="W89" i="3"/>
  <c r="U89" i="3"/>
  <c r="R89" i="3"/>
  <c r="O89" i="3"/>
  <c r="N89" i="3"/>
  <c r="L89" i="3"/>
  <c r="I89" i="3"/>
  <c r="H89" i="3"/>
  <c r="F89" i="3"/>
  <c r="C89" i="3"/>
  <c r="Z88" i="3"/>
  <c r="AA88" i="3" s="1"/>
  <c r="X88" i="3"/>
  <c r="W88" i="3"/>
  <c r="U88" i="3"/>
  <c r="T88" i="3"/>
  <c r="R88" i="3"/>
  <c r="Q88" i="3"/>
  <c r="L88" i="3"/>
  <c r="K88" i="3"/>
  <c r="N88" i="3" s="1"/>
  <c r="O88" i="3" s="1"/>
  <c r="F88" i="3"/>
  <c r="E88" i="3"/>
  <c r="B88" i="3"/>
  <c r="AC87" i="3"/>
  <c r="AD87" i="3" s="1"/>
  <c r="AA87" i="3"/>
  <c r="W87" i="3"/>
  <c r="X87" i="3" s="1"/>
  <c r="U87" i="3"/>
  <c r="R87" i="3"/>
  <c r="O87" i="3"/>
  <c r="N87" i="3"/>
  <c r="L87" i="3"/>
  <c r="I87" i="3"/>
  <c r="H87" i="3"/>
  <c r="F87" i="3"/>
  <c r="C87" i="3"/>
  <c r="AC86" i="3"/>
  <c r="AD86" i="3" s="1"/>
  <c r="AA86" i="3"/>
  <c r="W86" i="3"/>
  <c r="X86" i="3" s="1"/>
  <c r="U86" i="3"/>
  <c r="R86" i="3"/>
  <c r="O86" i="3"/>
  <c r="N86" i="3"/>
  <c r="L86" i="3"/>
  <c r="I86" i="3"/>
  <c r="H86" i="3"/>
  <c r="F86" i="3"/>
  <c r="C86" i="3"/>
  <c r="AD85" i="3"/>
  <c r="AC85" i="3"/>
  <c r="AA85" i="3"/>
  <c r="X85" i="3"/>
  <c r="W85" i="3"/>
  <c r="U85" i="3"/>
  <c r="R85" i="3"/>
  <c r="N85" i="3"/>
  <c r="O85" i="3" s="1"/>
  <c r="L85" i="3"/>
  <c r="H85" i="3"/>
  <c r="I85" i="3" s="1"/>
  <c r="F85" i="3"/>
  <c r="C85" i="3"/>
  <c r="AD84" i="3"/>
  <c r="AC84" i="3"/>
  <c r="AA84" i="3"/>
  <c r="X84" i="3"/>
  <c r="W84" i="3"/>
  <c r="U84" i="3"/>
  <c r="R84" i="3"/>
  <c r="O84" i="3"/>
  <c r="N84" i="3"/>
  <c r="L84" i="3"/>
  <c r="I84" i="3"/>
  <c r="H84" i="3"/>
  <c r="F84" i="3"/>
  <c r="C84" i="3"/>
  <c r="AC83" i="3"/>
  <c r="AD83" i="3" s="1"/>
  <c r="AA83" i="3"/>
  <c r="W83" i="3"/>
  <c r="X83" i="3" s="1"/>
  <c r="U83" i="3"/>
  <c r="R83" i="3"/>
  <c r="N83" i="3"/>
  <c r="O83" i="3" s="1"/>
  <c r="L83" i="3"/>
  <c r="I83" i="3"/>
  <c r="H83" i="3"/>
  <c r="F83" i="3"/>
  <c r="C83" i="3"/>
  <c r="AC82" i="3"/>
  <c r="AD82" i="3" s="1"/>
  <c r="AA82" i="3"/>
  <c r="X82" i="3"/>
  <c r="W82" i="3"/>
  <c r="U82" i="3"/>
  <c r="R82" i="3"/>
  <c r="O82" i="3"/>
  <c r="N82" i="3"/>
  <c r="L82" i="3"/>
  <c r="H82" i="3"/>
  <c r="I82" i="3" s="1"/>
  <c r="F82" i="3"/>
  <c r="C82" i="3"/>
  <c r="AD81" i="3"/>
  <c r="AC81" i="3"/>
  <c r="AA81" i="3"/>
  <c r="X81" i="3"/>
  <c r="W81" i="3"/>
  <c r="U81" i="3"/>
  <c r="R81" i="3"/>
  <c r="N81" i="3"/>
  <c r="O81" i="3" s="1"/>
  <c r="L81" i="3"/>
  <c r="H81" i="3"/>
  <c r="I81" i="3" s="1"/>
  <c r="F81" i="3"/>
  <c r="C81" i="3"/>
  <c r="AD80" i="3"/>
  <c r="AC80" i="3"/>
  <c r="AA80" i="3"/>
  <c r="X80" i="3"/>
  <c r="W80" i="3"/>
  <c r="U80" i="3"/>
  <c r="R80" i="3"/>
  <c r="O80" i="3"/>
  <c r="N80" i="3"/>
  <c r="L80" i="3"/>
  <c r="I80" i="3"/>
  <c r="H80" i="3"/>
  <c r="F80" i="3"/>
  <c r="C80" i="3"/>
  <c r="AD79" i="3"/>
  <c r="AC79" i="3"/>
  <c r="AA79" i="3"/>
  <c r="W79" i="3"/>
  <c r="X79" i="3" s="1"/>
  <c r="U79" i="3"/>
  <c r="R79" i="3"/>
  <c r="O79" i="3"/>
  <c r="N79" i="3"/>
  <c r="L79" i="3"/>
  <c r="I79" i="3"/>
  <c r="H79" i="3"/>
  <c r="F79" i="3"/>
  <c r="C79" i="3"/>
  <c r="AC78" i="3"/>
  <c r="AD78" i="3" s="1"/>
  <c r="AA78" i="3"/>
  <c r="W78" i="3"/>
  <c r="X78" i="3" s="1"/>
  <c r="U78" i="3"/>
  <c r="R78" i="3"/>
  <c r="O78" i="3"/>
  <c r="N78" i="3"/>
  <c r="L78" i="3"/>
  <c r="I78" i="3"/>
  <c r="H78" i="3"/>
  <c r="F78" i="3"/>
  <c r="C78" i="3"/>
  <c r="AD77" i="3"/>
  <c r="AC77" i="3"/>
  <c r="AA77" i="3"/>
  <c r="W77" i="3"/>
  <c r="X77" i="3" s="1"/>
  <c r="U77" i="3"/>
  <c r="R77" i="3"/>
  <c r="N77" i="3"/>
  <c r="O77" i="3" s="1"/>
  <c r="L77" i="3"/>
  <c r="H77" i="3"/>
  <c r="I77" i="3" s="1"/>
  <c r="F77" i="3"/>
  <c r="C77" i="3"/>
  <c r="AD76" i="3"/>
  <c r="AC76" i="3"/>
  <c r="AA76" i="3"/>
  <c r="X76" i="3"/>
  <c r="W76" i="3"/>
  <c r="U76" i="3"/>
  <c r="R76" i="3"/>
  <c r="N76" i="3"/>
  <c r="O76" i="3" s="1"/>
  <c r="L76" i="3"/>
  <c r="I76" i="3"/>
  <c r="H76" i="3"/>
  <c r="F76" i="3"/>
  <c r="C76" i="3"/>
  <c r="AC75" i="3"/>
  <c r="AD75" i="3" s="1"/>
  <c r="AA75" i="3"/>
  <c r="W75" i="3"/>
  <c r="X75" i="3" s="1"/>
  <c r="U75" i="3"/>
  <c r="R75" i="3"/>
  <c r="O75" i="3"/>
  <c r="N75" i="3"/>
  <c r="L75" i="3"/>
  <c r="I75" i="3"/>
  <c r="H75" i="3"/>
  <c r="F75" i="3"/>
  <c r="C75" i="3"/>
  <c r="AA73" i="3"/>
  <c r="Z73" i="3"/>
  <c r="AC73" i="3" s="1"/>
  <c r="AD73" i="3" s="1"/>
  <c r="U73" i="3"/>
  <c r="T73" i="3"/>
  <c r="Q73" i="3"/>
  <c r="O73" i="3"/>
  <c r="N73" i="3"/>
  <c r="L73" i="3"/>
  <c r="K73" i="3"/>
  <c r="E73" i="3"/>
  <c r="F73" i="3" s="1"/>
  <c r="C73" i="3"/>
  <c r="B73" i="3"/>
  <c r="AD72" i="3"/>
  <c r="AC72" i="3"/>
  <c r="AA72" i="3"/>
  <c r="X72" i="3"/>
  <c r="W72" i="3"/>
  <c r="U72" i="3"/>
  <c r="R72" i="3"/>
  <c r="N72" i="3"/>
  <c r="O72" i="3" s="1"/>
  <c r="L72" i="3"/>
  <c r="I72" i="3"/>
  <c r="H72" i="3"/>
  <c r="F72" i="3"/>
  <c r="C72" i="3"/>
  <c r="AD71" i="3"/>
  <c r="AC71" i="3"/>
  <c r="AA71" i="3"/>
  <c r="W71" i="3"/>
  <c r="X71" i="3" s="1"/>
  <c r="U71" i="3"/>
  <c r="R71" i="3"/>
  <c r="N71" i="3"/>
  <c r="O71" i="3" s="1"/>
  <c r="L71" i="3"/>
  <c r="I71" i="3"/>
  <c r="H71" i="3"/>
  <c r="F71" i="3"/>
  <c r="C71" i="3"/>
  <c r="AC70" i="3"/>
  <c r="AD70" i="3" s="1"/>
  <c r="AA70" i="3"/>
  <c r="W70" i="3"/>
  <c r="X70" i="3" s="1"/>
  <c r="U70" i="3"/>
  <c r="R70" i="3"/>
  <c r="O70" i="3"/>
  <c r="N70" i="3"/>
  <c r="L70" i="3"/>
  <c r="H70" i="3"/>
  <c r="I70" i="3" s="1"/>
  <c r="F70" i="3"/>
  <c r="C70" i="3"/>
  <c r="AD69" i="3"/>
  <c r="AC69" i="3"/>
  <c r="AA69" i="3"/>
  <c r="X69" i="3"/>
  <c r="W69" i="3"/>
  <c r="U69" i="3"/>
  <c r="R69" i="3"/>
  <c r="N69" i="3"/>
  <c r="O69" i="3" s="1"/>
  <c r="L69" i="3"/>
  <c r="H69" i="3"/>
  <c r="I69" i="3" s="1"/>
  <c r="F69" i="3"/>
  <c r="C69" i="3"/>
  <c r="AD68" i="3"/>
  <c r="AC68" i="3"/>
  <c r="AA68" i="3"/>
  <c r="X68" i="3"/>
  <c r="W68" i="3"/>
  <c r="U68" i="3"/>
  <c r="R68" i="3"/>
  <c r="O68" i="3"/>
  <c r="N68" i="3"/>
  <c r="L68" i="3"/>
  <c r="I68" i="3"/>
  <c r="H68" i="3"/>
  <c r="F68" i="3"/>
  <c r="C68" i="3"/>
  <c r="AC67" i="3"/>
  <c r="AD67" i="3" s="1"/>
  <c r="AA67" i="3"/>
  <c r="W67" i="3"/>
  <c r="X67" i="3" s="1"/>
  <c r="U67" i="3"/>
  <c r="R67" i="3"/>
  <c r="O67" i="3"/>
  <c r="N67" i="3"/>
  <c r="L67" i="3"/>
  <c r="I67" i="3"/>
  <c r="H67" i="3"/>
  <c r="F67" i="3"/>
  <c r="C67" i="3"/>
  <c r="AC66" i="3"/>
  <c r="AD66" i="3" s="1"/>
  <c r="AA66" i="3"/>
  <c r="X66" i="3"/>
  <c r="W66" i="3"/>
  <c r="U66" i="3"/>
  <c r="R66" i="3"/>
  <c r="O66" i="3"/>
  <c r="N66" i="3"/>
  <c r="L66" i="3"/>
  <c r="I66" i="3"/>
  <c r="H66" i="3"/>
  <c r="F66" i="3"/>
  <c r="C66" i="3"/>
  <c r="AD65" i="3"/>
  <c r="AC65" i="3"/>
  <c r="AA65" i="3"/>
  <c r="W65" i="3"/>
  <c r="X65" i="3" s="1"/>
  <c r="U65" i="3"/>
  <c r="R65" i="3"/>
  <c r="N65" i="3"/>
  <c r="O65" i="3" s="1"/>
  <c r="L65" i="3"/>
  <c r="H65" i="3"/>
  <c r="I65" i="3" s="1"/>
  <c r="F65" i="3"/>
  <c r="C65" i="3"/>
  <c r="AD64" i="3"/>
  <c r="AC64" i="3"/>
  <c r="AA64" i="3"/>
  <c r="X64" i="3"/>
  <c r="W64" i="3"/>
  <c r="U64" i="3"/>
  <c r="R64" i="3"/>
  <c r="N64" i="3"/>
  <c r="O64" i="3" s="1"/>
  <c r="L64" i="3"/>
  <c r="I64" i="3"/>
  <c r="H64" i="3"/>
  <c r="F64" i="3"/>
  <c r="C64" i="3"/>
  <c r="AA62" i="3"/>
  <c r="Z62" i="3"/>
  <c r="T62" i="3"/>
  <c r="U62" i="3" s="1"/>
  <c r="Q62" i="3"/>
  <c r="L62" i="3"/>
  <c r="K62" i="3"/>
  <c r="E62" i="3"/>
  <c r="H62" i="3" s="1"/>
  <c r="I62" i="3" s="1"/>
  <c r="C62" i="3"/>
  <c r="B62" i="3"/>
  <c r="N62" i="3" s="1"/>
  <c r="O62" i="3" s="1"/>
  <c r="Z61" i="3"/>
  <c r="AA61" i="3" s="1"/>
  <c r="X61" i="3"/>
  <c r="W61" i="3"/>
  <c r="U61" i="3"/>
  <c r="T61" i="3"/>
  <c r="R61" i="3"/>
  <c r="Q61" i="3"/>
  <c r="AC61" i="3" s="1"/>
  <c r="AD61" i="3" s="1"/>
  <c r="K61" i="3"/>
  <c r="L61" i="3" s="1"/>
  <c r="F61" i="3"/>
  <c r="E61" i="3"/>
  <c r="B61" i="3"/>
  <c r="AD60" i="3"/>
  <c r="AC60" i="3"/>
  <c r="AA60" i="3"/>
  <c r="W60" i="3"/>
  <c r="X60" i="3" s="1"/>
  <c r="U60" i="3"/>
  <c r="R60" i="3"/>
  <c r="O60" i="3"/>
  <c r="N60" i="3"/>
  <c r="L60" i="3"/>
  <c r="I60" i="3"/>
  <c r="H60" i="3"/>
  <c r="F60" i="3"/>
  <c r="C60" i="3"/>
  <c r="AC59" i="3"/>
  <c r="AD59" i="3" s="1"/>
  <c r="AA59" i="3"/>
  <c r="W59" i="3"/>
  <c r="X59" i="3" s="1"/>
  <c r="U59" i="3"/>
  <c r="R59" i="3"/>
  <c r="O59" i="3"/>
  <c r="N59" i="3"/>
  <c r="L59" i="3"/>
  <c r="I59" i="3"/>
  <c r="H59" i="3"/>
  <c r="F59" i="3"/>
  <c r="C59" i="3"/>
  <c r="AD58" i="3"/>
  <c r="AC58" i="3"/>
  <c r="AA58" i="3"/>
  <c r="W58" i="3"/>
  <c r="X58" i="3" s="1"/>
  <c r="U58" i="3"/>
  <c r="R58" i="3"/>
  <c r="N58" i="3"/>
  <c r="O58" i="3" s="1"/>
  <c r="L58" i="3"/>
  <c r="H58" i="3"/>
  <c r="I58" i="3" s="1"/>
  <c r="F58" i="3"/>
  <c r="C58" i="3"/>
  <c r="AD57" i="3"/>
  <c r="AC57" i="3"/>
  <c r="AA57" i="3"/>
  <c r="X57" i="3"/>
  <c r="W57" i="3"/>
  <c r="U57" i="3"/>
  <c r="R57" i="3"/>
  <c r="N57" i="3"/>
  <c r="O57" i="3" s="1"/>
  <c r="L57" i="3"/>
  <c r="I57" i="3"/>
  <c r="H57" i="3"/>
  <c r="F57" i="3"/>
  <c r="C57" i="3"/>
  <c r="AC56" i="3"/>
  <c r="AD56" i="3" s="1"/>
  <c r="AA56" i="3"/>
  <c r="W56" i="3"/>
  <c r="X56" i="3" s="1"/>
  <c r="U56" i="3"/>
  <c r="R56" i="3"/>
  <c r="O56" i="3"/>
  <c r="N56" i="3"/>
  <c r="L56" i="3"/>
  <c r="I56" i="3"/>
  <c r="H56" i="3"/>
  <c r="F56" i="3"/>
  <c r="C56" i="3"/>
  <c r="AC55" i="3"/>
  <c r="AD55" i="3" s="1"/>
  <c r="AA55" i="3"/>
  <c r="W55" i="3"/>
  <c r="X55" i="3" s="1"/>
  <c r="U55" i="3"/>
  <c r="R55" i="3"/>
  <c r="O55" i="3"/>
  <c r="N55" i="3"/>
  <c r="L55" i="3"/>
  <c r="I55" i="3"/>
  <c r="H55" i="3"/>
  <c r="F55" i="3"/>
  <c r="C55" i="3"/>
  <c r="AD54" i="3"/>
  <c r="AC54" i="3"/>
  <c r="AA54" i="3"/>
  <c r="W54" i="3"/>
  <c r="X54" i="3" s="1"/>
  <c r="U54" i="3"/>
  <c r="R54" i="3"/>
  <c r="O54" i="3"/>
  <c r="N54" i="3"/>
  <c r="L54" i="3"/>
  <c r="H54" i="3"/>
  <c r="I54" i="3" s="1"/>
  <c r="F54" i="3"/>
  <c r="C54" i="3"/>
  <c r="AD53" i="3"/>
  <c r="AC53" i="3"/>
  <c r="AA53" i="3"/>
  <c r="X53" i="3"/>
  <c r="W53" i="3"/>
  <c r="U53" i="3"/>
  <c r="R53" i="3"/>
  <c r="O53" i="3"/>
  <c r="N53" i="3"/>
  <c r="L53" i="3"/>
  <c r="I53" i="3"/>
  <c r="H53" i="3"/>
  <c r="F53" i="3"/>
  <c r="C53" i="3"/>
  <c r="AC52" i="3"/>
  <c r="AD52" i="3" s="1"/>
  <c r="AA52" i="3"/>
  <c r="X52" i="3"/>
  <c r="W52" i="3"/>
  <c r="U52" i="3"/>
  <c r="R52" i="3"/>
  <c r="O52" i="3"/>
  <c r="N52" i="3"/>
  <c r="L52" i="3"/>
  <c r="I52" i="3"/>
  <c r="H52" i="3"/>
  <c r="F52" i="3"/>
  <c r="C52" i="3"/>
  <c r="AC51" i="3"/>
  <c r="AD51" i="3" s="1"/>
  <c r="AA51" i="3"/>
  <c r="W51" i="3"/>
  <c r="X51" i="3" s="1"/>
  <c r="U51" i="3"/>
  <c r="R51" i="3"/>
  <c r="O51" i="3"/>
  <c r="N51" i="3"/>
  <c r="L51" i="3"/>
  <c r="I51" i="3"/>
  <c r="H51" i="3"/>
  <c r="F51" i="3"/>
  <c r="C51" i="3"/>
  <c r="AD50" i="3"/>
  <c r="AC50" i="3"/>
  <c r="AA50" i="3"/>
  <c r="X50" i="3"/>
  <c r="W50" i="3"/>
  <c r="U50" i="3"/>
  <c r="R50" i="3"/>
  <c r="O50" i="3"/>
  <c r="N50" i="3"/>
  <c r="L50" i="3"/>
  <c r="H50" i="3"/>
  <c r="I50" i="3" s="1"/>
  <c r="F50" i="3"/>
  <c r="C50" i="3"/>
  <c r="AC49" i="3"/>
  <c r="AD49" i="3" s="1"/>
  <c r="AA49" i="3"/>
  <c r="X49" i="3"/>
  <c r="W49" i="3"/>
  <c r="U49" i="3"/>
  <c r="R49" i="3"/>
  <c r="O49" i="3"/>
  <c r="N49" i="3"/>
  <c r="L49" i="3"/>
  <c r="I49" i="3"/>
  <c r="H49" i="3"/>
  <c r="F49" i="3"/>
  <c r="C49" i="3"/>
  <c r="AC48" i="3"/>
  <c r="AD48" i="3" s="1"/>
  <c r="AA48" i="3"/>
  <c r="X48" i="3"/>
  <c r="W48" i="3"/>
  <c r="U48" i="3"/>
  <c r="R48" i="3"/>
  <c r="N48" i="3"/>
  <c r="O48" i="3" s="1"/>
  <c r="L48" i="3"/>
  <c r="H48" i="3"/>
  <c r="I48" i="3" s="1"/>
  <c r="F48" i="3"/>
  <c r="C48" i="3"/>
  <c r="AC47" i="3"/>
  <c r="AD47" i="3" s="1"/>
  <c r="AA47" i="3"/>
  <c r="X47" i="3"/>
  <c r="W47" i="3"/>
  <c r="U47" i="3"/>
  <c r="R47" i="3"/>
  <c r="O47" i="3"/>
  <c r="N47" i="3"/>
  <c r="L47" i="3"/>
  <c r="H47" i="3"/>
  <c r="I47" i="3" s="1"/>
  <c r="F47" i="3"/>
  <c r="C47" i="3"/>
  <c r="AD46" i="3"/>
  <c r="AC46" i="3"/>
  <c r="AA46" i="3"/>
  <c r="X46" i="3"/>
  <c r="W46" i="3"/>
  <c r="U46" i="3"/>
  <c r="R46" i="3"/>
  <c r="N46" i="3"/>
  <c r="O46" i="3" s="1"/>
  <c r="L46" i="3"/>
  <c r="H46" i="3"/>
  <c r="I46" i="3" s="1"/>
  <c r="F46" i="3"/>
  <c r="C46" i="3"/>
  <c r="AC44" i="3"/>
  <c r="AD44" i="3" s="1"/>
  <c r="AA44" i="3"/>
  <c r="X44" i="3"/>
  <c r="W44" i="3"/>
  <c r="U44" i="3"/>
  <c r="R44" i="3"/>
  <c r="N44" i="3"/>
  <c r="O44" i="3" s="1"/>
  <c r="L44" i="3"/>
  <c r="I44" i="3"/>
  <c r="H44" i="3"/>
  <c r="F44" i="3"/>
  <c r="C44" i="3"/>
  <c r="AD43" i="3"/>
  <c r="AC43" i="3"/>
  <c r="AA43" i="3"/>
  <c r="X43" i="3"/>
  <c r="W43" i="3"/>
  <c r="U43" i="3"/>
  <c r="R43" i="3"/>
  <c r="N43" i="3"/>
  <c r="O43" i="3" s="1"/>
  <c r="L43" i="3"/>
  <c r="I43" i="3"/>
  <c r="H43" i="3"/>
  <c r="F43" i="3"/>
  <c r="C43" i="3"/>
  <c r="AC42" i="3"/>
  <c r="AD42" i="3" s="1"/>
  <c r="AA42" i="3"/>
  <c r="X42" i="3"/>
  <c r="W42" i="3"/>
  <c r="U42" i="3"/>
  <c r="R42" i="3"/>
  <c r="O42" i="3"/>
  <c r="N42" i="3"/>
  <c r="L42" i="3"/>
  <c r="H42" i="3"/>
  <c r="I42" i="3" s="1"/>
  <c r="F42" i="3"/>
  <c r="C42" i="3"/>
  <c r="Z40" i="3"/>
  <c r="AA40" i="3" s="1"/>
  <c r="T40" i="3"/>
  <c r="W40" i="3" s="1"/>
  <c r="X40" i="3" s="1"/>
  <c r="R40" i="3"/>
  <c r="Q40" i="3"/>
  <c r="AC40" i="3" s="1"/>
  <c r="AD40" i="3" s="1"/>
  <c r="K40" i="3"/>
  <c r="L40" i="3" s="1"/>
  <c r="F40" i="3"/>
  <c r="E40" i="3"/>
  <c r="B40" i="3"/>
  <c r="C40" i="3" s="1"/>
  <c r="AD39" i="3"/>
  <c r="AC39" i="3"/>
  <c r="AA39" i="3"/>
  <c r="X39" i="3"/>
  <c r="W39" i="3"/>
  <c r="U39" i="3"/>
  <c r="R39" i="3"/>
  <c r="N39" i="3"/>
  <c r="O39" i="3" s="1"/>
  <c r="L39" i="3"/>
  <c r="I39" i="3"/>
  <c r="H39" i="3"/>
  <c r="F39" i="3"/>
  <c r="C39" i="3"/>
  <c r="AC38" i="3"/>
  <c r="AD38" i="3" s="1"/>
  <c r="AA38" i="3"/>
  <c r="X38" i="3"/>
  <c r="W38" i="3"/>
  <c r="U38" i="3"/>
  <c r="R38" i="3"/>
  <c r="O38" i="3"/>
  <c r="N38" i="3"/>
  <c r="L38" i="3"/>
  <c r="H38" i="3"/>
  <c r="I38" i="3" s="1"/>
  <c r="F38" i="3"/>
  <c r="C38" i="3"/>
  <c r="AD37" i="3"/>
  <c r="AC37" i="3"/>
  <c r="AA37" i="3"/>
  <c r="W37" i="3"/>
  <c r="X37" i="3" s="1"/>
  <c r="U37" i="3"/>
  <c r="R37" i="3"/>
  <c r="N37" i="3"/>
  <c r="O37" i="3" s="1"/>
  <c r="L37" i="3"/>
  <c r="H37" i="3"/>
  <c r="I37" i="3" s="1"/>
  <c r="F37" i="3"/>
  <c r="C37" i="3"/>
  <c r="AD36" i="3"/>
  <c r="AC36" i="3"/>
  <c r="AA36" i="3"/>
  <c r="X36" i="3"/>
  <c r="W36" i="3"/>
  <c r="U36" i="3"/>
  <c r="R36" i="3"/>
  <c r="N36" i="3"/>
  <c r="O36" i="3" s="1"/>
  <c r="L36" i="3"/>
  <c r="I36" i="3"/>
  <c r="H36" i="3"/>
  <c r="F36" i="3"/>
  <c r="C36" i="3"/>
  <c r="AC35" i="3"/>
  <c r="AD35" i="3" s="1"/>
  <c r="AA35" i="3"/>
  <c r="W35" i="3"/>
  <c r="X35" i="3" s="1"/>
  <c r="U35" i="3"/>
  <c r="R35" i="3"/>
  <c r="O35" i="3"/>
  <c r="N35" i="3"/>
  <c r="L35" i="3"/>
  <c r="I35" i="3"/>
  <c r="H35" i="3"/>
  <c r="F35" i="3"/>
  <c r="C35" i="3"/>
  <c r="AC34" i="3"/>
  <c r="AD34" i="3" s="1"/>
  <c r="AA34" i="3"/>
  <c r="W34" i="3"/>
  <c r="X34" i="3" s="1"/>
  <c r="U34" i="3"/>
  <c r="R34" i="3"/>
  <c r="O34" i="3"/>
  <c r="N34" i="3"/>
  <c r="L34" i="3"/>
  <c r="I34" i="3"/>
  <c r="H34" i="3"/>
  <c r="F34" i="3"/>
  <c r="C34" i="3"/>
  <c r="AD33" i="3"/>
  <c r="AC33" i="3"/>
  <c r="AA33" i="3"/>
  <c r="X33" i="3"/>
  <c r="W33" i="3"/>
  <c r="U33" i="3"/>
  <c r="R33" i="3"/>
  <c r="O33" i="3"/>
  <c r="N33" i="3"/>
  <c r="L33" i="3"/>
  <c r="H33" i="3"/>
  <c r="I33" i="3" s="1"/>
  <c r="F33" i="3"/>
  <c r="C33" i="3"/>
  <c r="AC32" i="3"/>
  <c r="AD32" i="3" s="1"/>
  <c r="AA32" i="3"/>
  <c r="X32" i="3"/>
  <c r="W32" i="3"/>
  <c r="U32" i="3"/>
  <c r="R32" i="3"/>
  <c r="O32" i="3"/>
  <c r="N32" i="3"/>
  <c r="L32" i="3"/>
  <c r="I32" i="3"/>
  <c r="H32" i="3"/>
  <c r="F32" i="3"/>
  <c r="C32" i="3"/>
  <c r="AC31" i="3"/>
  <c r="AD31" i="3" s="1"/>
  <c r="AA31" i="3"/>
  <c r="X31" i="3"/>
  <c r="W31" i="3"/>
  <c r="U31" i="3"/>
  <c r="R31" i="3"/>
  <c r="N31" i="3"/>
  <c r="O31" i="3" s="1"/>
  <c r="L31" i="3"/>
  <c r="H31" i="3"/>
  <c r="I31" i="3" s="1"/>
  <c r="F31" i="3"/>
  <c r="C31" i="3"/>
  <c r="Z29" i="3"/>
  <c r="AC29" i="3" s="1"/>
  <c r="AD29" i="3" s="1"/>
  <c r="U29" i="3"/>
  <c r="T29" i="3"/>
  <c r="Q29" i="3"/>
  <c r="R29" i="3" s="1"/>
  <c r="K29" i="3"/>
  <c r="N29" i="3" s="1"/>
  <c r="O29" i="3" s="1"/>
  <c r="E29" i="3"/>
  <c r="F29" i="3" s="1"/>
  <c r="C29" i="3"/>
  <c r="B29" i="3"/>
  <c r="AD28" i="3"/>
  <c r="AC28" i="3"/>
  <c r="AA28" i="3"/>
  <c r="X28" i="3"/>
  <c r="W28" i="3"/>
  <c r="U28" i="3"/>
  <c r="R28" i="3"/>
  <c r="N28" i="3"/>
  <c r="O28" i="3" s="1"/>
  <c r="L28" i="3"/>
  <c r="I28" i="3"/>
  <c r="H28" i="3"/>
  <c r="F28" i="3"/>
  <c r="C28" i="3"/>
  <c r="AD27" i="3"/>
  <c r="AC27" i="3"/>
  <c r="AA27" i="3"/>
  <c r="X27" i="3"/>
  <c r="W27" i="3"/>
  <c r="U27" i="3"/>
  <c r="R27" i="3"/>
  <c r="N27" i="3"/>
  <c r="O27" i="3" s="1"/>
  <c r="L27" i="3"/>
  <c r="H27" i="3"/>
  <c r="I27" i="3" s="1"/>
  <c r="F27" i="3"/>
  <c r="C27" i="3"/>
  <c r="AC26" i="3"/>
  <c r="AD26" i="3" s="1"/>
  <c r="AA26" i="3"/>
  <c r="X26" i="3"/>
  <c r="W26" i="3"/>
  <c r="U26" i="3"/>
  <c r="R26" i="3"/>
  <c r="O26" i="3"/>
  <c r="N26" i="3"/>
  <c r="L26" i="3"/>
  <c r="H26" i="3"/>
  <c r="I26" i="3" s="1"/>
  <c r="F26" i="3"/>
  <c r="C26" i="3"/>
  <c r="AD25" i="3"/>
  <c r="AC25" i="3"/>
  <c r="AA25" i="3"/>
  <c r="W25" i="3"/>
  <c r="X25" i="3" s="1"/>
  <c r="U25" i="3"/>
  <c r="R25" i="3"/>
  <c r="O25" i="3"/>
  <c r="N25" i="3"/>
  <c r="L25" i="3"/>
  <c r="H25" i="3"/>
  <c r="I25" i="3" s="1"/>
  <c r="F25" i="3"/>
  <c r="C25" i="3"/>
  <c r="AD24" i="3"/>
  <c r="AC24" i="3"/>
  <c r="AA24" i="3"/>
  <c r="X24" i="3"/>
  <c r="W24" i="3"/>
  <c r="U24" i="3"/>
  <c r="R24" i="3"/>
  <c r="N24" i="3"/>
  <c r="O24" i="3" s="1"/>
  <c r="L24" i="3"/>
  <c r="I24" i="3"/>
  <c r="H24" i="3"/>
  <c r="F24" i="3"/>
  <c r="C24" i="3"/>
  <c r="AC23" i="3"/>
  <c r="AD23" i="3" s="1"/>
  <c r="AA23" i="3"/>
  <c r="W23" i="3"/>
  <c r="X23" i="3" s="1"/>
  <c r="U23" i="3"/>
  <c r="R23" i="3"/>
  <c r="O23" i="3"/>
  <c r="N23" i="3"/>
  <c r="L23" i="3"/>
  <c r="I23" i="3"/>
  <c r="H23" i="3"/>
  <c r="F23" i="3"/>
  <c r="C23" i="3"/>
  <c r="AC22" i="3"/>
  <c r="AD22" i="3" s="1"/>
  <c r="AA22" i="3"/>
  <c r="W22" i="3"/>
  <c r="X22" i="3" s="1"/>
  <c r="U22" i="3"/>
  <c r="R22" i="3"/>
  <c r="O22" i="3"/>
  <c r="N22" i="3"/>
  <c r="L22" i="3"/>
  <c r="I22" i="3"/>
  <c r="H22" i="3"/>
  <c r="F22" i="3"/>
  <c r="C22" i="3"/>
  <c r="AD21" i="3"/>
  <c r="AC21" i="3"/>
  <c r="AA21" i="3"/>
  <c r="W21" i="3"/>
  <c r="X21" i="3" s="1"/>
  <c r="U21" i="3"/>
  <c r="R21" i="3"/>
  <c r="O21" i="3"/>
  <c r="N21" i="3"/>
  <c r="L21" i="3"/>
  <c r="H21" i="3"/>
  <c r="I21" i="3" s="1"/>
  <c r="F21" i="3"/>
  <c r="C21" i="3"/>
  <c r="AC19" i="3"/>
  <c r="AD19" i="3" s="1"/>
  <c r="AA19" i="3"/>
  <c r="X19" i="3"/>
  <c r="W19" i="3"/>
  <c r="U19" i="3"/>
  <c r="R19" i="3"/>
  <c r="O19" i="3"/>
  <c r="N19" i="3"/>
  <c r="L19" i="3"/>
  <c r="I19" i="3"/>
  <c r="H19" i="3"/>
  <c r="F19" i="3"/>
  <c r="C19" i="3"/>
  <c r="Z18" i="3"/>
  <c r="AA18" i="3" s="1"/>
  <c r="T18" i="3"/>
  <c r="U18" i="3" s="1"/>
  <c r="R18" i="3"/>
  <c r="Q18" i="3"/>
  <c r="W18" i="3" s="1"/>
  <c r="X18" i="3" s="1"/>
  <c r="N18" i="3"/>
  <c r="O18" i="3" s="1"/>
  <c r="L18" i="3"/>
  <c r="K18" i="3"/>
  <c r="E18" i="3"/>
  <c r="F18" i="3" s="1"/>
  <c r="C18" i="3"/>
  <c r="B18" i="3"/>
  <c r="H18" i="3" s="1"/>
  <c r="I18" i="3" s="1"/>
  <c r="AD17" i="3"/>
  <c r="AC17" i="3"/>
  <c r="AA17" i="3"/>
  <c r="X17" i="3"/>
  <c r="W17" i="3"/>
  <c r="U17" i="3"/>
  <c r="R17" i="3"/>
  <c r="O17" i="3"/>
  <c r="N17" i="3"/>
  <c r="L17" i="3"/>
  <c r="H17" i="3"/>
  <c r="I17" i="3" s="1"/>
  <c r="F17" i="3"/>
  <c r="C17" i="3"/>
  <c r="AD16" i="3"/>
  <c r="AC16" i="3"/>
  <c r="AA16" i="3"/>
  <c r="X16" i="3"/>
  <c r="W16" i="3"/>
  <c r="U16" i="3"/>
  <c r="R16" i="3"/>
  <c r="N16" i="3"/>
  <c r="O16" i="3" s="1"/>
  <c r="L16" i="3"/>
  <c r="I16" i="3"/>
  <c r="H16" i="3"/>
  <c r="F16" i="3"/>
  <c r="C16" i="3"/>
  <c r="AD15" i="3"/>
  <c r="AC15" i="3"/>
  <c r="AA15" i="3"/>
  <c r="X15" i="3"/>
  <c r="W15" i="3"/>
  <c r="U15" i="3"/>
  <c r="R15" i="3"/>
  <c r="N15" i="3"/>
  <c r="O15" i="3" s="1"/>
  <c r="L15" i="3"/>
  <c r="H15" i="3"/>
  <c r="I15" i="3" s="1"/>
  <c r="F15" i="3"/>
  <c r="C15" i="3"/>
  <c r="AC14" i="3"/>
  <c r="AD14" i="3" s="1"/>
  <c r="AA14" i="3"/>
  <c r="X14" i="3"/>
  <c r="W14" i="3"/>
  <c r="U14" i="3"/>
  <c r="R14" i="3"/>
  <c r="O14" i="3"/>
  <c r="N14" i="3"/>
  <c r="L14" i="3"/>
  <c r="H14" i="3"/>
  <c r="I14" i="3" s="1"/>
  <c r="F14" i="3"/>
  <c r="C14" i="3"/>
  <c r="AD13" i="3"/>
  <c r="AC13" i="3"/>
  <c r="AA13" i="3"/>
  <c r="W13" i="3"/>
  <c r="X13" i="3" s="1"/>
  <c r="U13" i="3"/>
  <c r="R13" i="3"/>
  <c r="O13" i="3"/>
  <c r="N13" i="3"/>
  <c r="L13" i="3"/>
  <c r="H13" i="3"/>
  <c r="I13" i="3" s="1"/>
  <c r="F13" i="3"/>
  <c r="C13" i="3"/>
  <c r="AD12" i="3"/>
  <c r="AC12" i="3"/>
  <c r="AA12" i="3"/>
  <c r="X12" i="3"/>
  <c r="W12" i="3"/>
  <c r="U12" i="3"/>
  <c r="R12" i="3"/>
  <c r="N12" i="3"/>
  <c r="O12" i="3" s="1"/>
  <c r="L12" i="3"/>
  <c r="I12" i="3"/>
  <c r="H12" i="3"/>
  <c r="F12" i="3"/>
  <c r="C12" i="3"/>
  <c r="AC11" i="3"/>
  <c r="AD11" i="3" s="1"/>
  <c r="AA11" i="3"/>
  <c r="W11" i="3"/>
  <c r="X11" i="3" s="1"/>
  <c r="U11" i="3"/>
  <c r="R11" i="3"/>
  <c r="O11" i="3"/>
  <c r="N11" i="3"/>
  <c r="L11" i="3"/>
  <c r="I11" i="3"/>
  <c r="H11" i="3"/>
  <c r="F11" i="3"/>
  <c r="C11" i="3"/>
  <c r="AC10" i="3"/>
  <c r="AD10" i="3" s="1"/>
  <c r="AA10" i="3"/>
  <c r="W10" i="3"/>
  <c r="X10" i="3" s="1"/>
  <c r="U10" i="3"/>
  <c r="R10" i="3"/>
  <c r="O10" i="3"/>
  <c r="N10" i="3"/>
  <c r="L10" i="3"/>
  <c r="I10" i="3"/>
  <c r="H10" i="3"/>
  <c r="F10" i="3"/>
  <c r="C10" i="3"/>
  <c r="AD8" i="3"/>
  <c r="AC8" i="3"/>
  <c r="AA8" i="3"/>
  <c r="W8" i="3"/>
  <c r="X8" i="3" s="1"/>
  <c r="U8" i="3"/>
  <c r="R8" i="3"/>
  <c r="O8" i="3"/>
  <c r="N8" i="3"/>
  <c r="L8" i="3"/>
  <c r="H8" i="3"/>
  <c r="I8" i="3" s="1"/>
  <c r="F8" i="3"/>
  <c r="C8" i="3"/>
  <c r="AC444" i="2"/>
  <c r="W444" i="2"/>
  <c r="N444" i="2"/>
  <c r="O436" i="2" s="1"/>
  <c r="H444" i="2"/>
  <c r="AC442" i="2"/>
  <c r="AD442" i="2" s="1"/>
  <c r="AA442" i="2"/>
  <c r="Z442" i="2"/>
  <c r="W442" i="2"/>
  <c r="T442" i="2"/>
  <c r="U442" i="2" s="1"/>
  <c r="R442" i="2"/>
  <c r="Q442" i="2"/>
  <c r="K442" i="2"/>
  <c r="L442" i="2" s="1"/>
  <c r="I442" i="2"/>
  <c r="H442" i="2"/>
  <c r="E442" i="2"/>
  <c r="F442" i="2" s="1"/>
  <c r="C442" i="2"/>
  <c r="B442" i="2"/>
  <c r="AC441" i="2"/>
  <c r="AD441" i="2" s="1"/>
  <c r="AA441" i="2"/>
  <c r="Z441" i="2"/>
  <c r="U441" i="2"/>
  <c r="T441" i="2"/>
  <c r="Q441" i="2"/>
  <c r="R441" i="2" s="1"/>
  <c r="N441" i="2"/>
  <c r="O441" i="2" s="1"/>
  <c r="L441" i="2"/>
  <c r="K441" i="2"/>
  <c r="E441" i="2"/>
  <c r="F441" i="2" s="1"/>
  <c r="C441" i="2"/>
  <c r="B441" i="2"/>
  <c r="AC440" i="2"/>
  <c r="AD440" i="2" s="1"/>
  <c r="AA440" i="2"/>
  <c r="W440" i="2"/>
  <c r="U440" i="2"/>
  <c r="R440" i="2"/>
  <c r="O440" i="2"/>
  <c r="N440" i="2"/>
  <c r="L440" i="2"/>
  <c r="I440" i="2"/>
  <c r="H440" i="2"/>
  <c r="F440" i="2"/>
  <c r="C440" i="2"/>
  <c r="AD439" i="2"/>
  <c r="AC439" i="2"/>
  <c r="AA439" i="2"/>
  <c r="W439" i="2"/>
  <c r="X439" i="2" s="1"/>
  <c r="U439" i="2"/>
  <c r="R439" i="2"/>
  <c r="N439" i="2"/>
  <c r="L439" i="2"/>
  <c r="H439" i="2"/>
  <c r="I439" i="2" s="1"/>
  <c r="F439" i="2"/>
  <c r="C439" i="2"/>
  <c r="AC438" i="2"/>
  <c r="AD438" i="2" s="1"/>
  <c r="AA438" i="2"/>
  <c r="W438" i="2"/>
  <c r="U438" i="2"/>
  <c r="R438" i="2"/>
  <c r="N438" i="2"/>
  <c r="L438" i="2"/>
  <c r="I438" i="2"/>
  <c r="H438" i="2"/>
  <c r="F438" i="2"/>
  <c r="C438" i="2"/>
  <c r="AD437" i="2"/>
  <c r="AC437" i="2"/>
  <c r="AA437" i="2"/>
  <c r="W437" i="2"/>
  <c r="X437" i="2" s="1"/>
  <c r="U437" i="2"/>
  <c r="R437" i="2"/>
  <c r="N437" i="2"/>
  <c r="L437" i="2"/>
  <c r="H437" i="2"/>
  <c r="I437" i="2" s="1"/>
  <c r="F437" i="2"/>
  <c r="C437" i="2"/>
  <c r="AC436" i="2"/>
  <c r="AD436" i="2" s="1"/>
  <c r="AA436" i="2"/>
  <c r="W436" i="2"/>
  <c r="U436" i="2"/>
  <c r="R436" i="2"/>
  <c r="N436" i="2"/>
  <c r="L436" i="2"/>
  <c r="I436" i="2"/>
  <c r="H436" i="2"/>
  <c r="F436" i="2"/>
  <c r="C436" i="2"/>
  <c r="AD435" i="2"/>
  <c r="AC435" i="2"/>
  <c r="AA435" i="2"/>
  <c r="W435" i="2"/>
  <c r="U435" i="2"/>
  <c r="R435" i="2"/>
  <c r="N435" i="2"/>
  <c r="O435" i="2" s="1"/>
  <c r="L435" i="2"/>
  <c r="I435" i="2"/>
  <c r="H435" i="2"/>
  <c r="F435" i="2"/>
  <c r="C435" i="2"/>
  <c r="AC434" i="2"/>
  <c r="AD434" i="2" s="1"/>
  <c r="AA434" i="2"/>
  <c r="X434" i="2"/>
  <c r="W434" i="2"/>
  <c r="U434" i="2"/>
  <c r="R434" i="2"/>
  <c r="N434" i="2"/>
  <c r="L434" i="2"/>
  <c r="H434" i="2"/>
  <c r="I434" i="2" s="1"/>
  <c r="F434" i="2"/>
  <c r="C434" i="2"/>
  <c r="AD433" i="2"/>
  <c r="AC433" i="2"/>
  <c r="AA433" i="2"/>
  <c r="W433" i="2"/>
  <c r="U433" i="2"/>
  <c r="R433" i="2"/>
  <c r="O433" i="2"/>
  <c r="N433" i="2"/>
  <c r="L433" i="2"/>
  <c r="H433" i="2"/>
  <c r="I433" i="2" s="1"/>
  <c r="F433" i="2"/>
  <c r="C433" i="2"/>
  <c r="AD432" i="2"/>
  <c r="AC432" i="2"/>
  <c r="AA432" i="2"/>
  <c r="W432" i="2"/>
  <c r="U432" i="2"/>
  <c r="R432" i="2"/>
  <c r="O432" i="2"/>
  <c r="N432" i="2"/>
  <c r="L432" i="2"/>
  <c r="I432" i="2"/>
  <c r="H432" i="2"/>
  <c r="F432" i="2"/>
  <c r="C432" i="2"/>
  <c r="AC429" i="2"/>
  <c r="AD429" i="2" s="1"/>
  <c r="Z429" i="2"/>
  <c r="AA429" i="2" s="1"/>
  <c r="T429" i="2"/>
  <c r="U429" i="2" s="1"/>
  <c r="R429" i="2"/>
  <c r="Q429" i="2"/>
  <c r="L429" i="2"/>
  <c r="K429" i="2"/>
  <c r="E429" i="2"/>
  <c r="H429" i="2" s="1"/>
  <c r="I429" i="2" s="1"/>
  <c r="B429" i="2"/>
  <c r="C429" i="2" s="1"/>
  <c r="Z428" i="2"/>
  <c r="AA428" i="2" s="1"/>
  <c r="W428" i="2"/>
  <c r="X428" i="2" s="1"/>
  <c r="U428" i="2"/>
  <c r="T428" i="2"/>
  <c r="R428" i="2"/>
  <c r="Q428" i="2"/>
  <c r="AC428" i="2" s="1"/>
  <c r="AD428" i="2" s="1"/>
  <c r="K428" i="2"/>
  <c r="L428" i="2" s="1"/>
  <c r="F428" i="2"/>
  <c r="E428" i="2"/>
  <c r="B428" i="2"/>
  <c r="C428" i="2" s="1"/>
  <c r="AD427" i="2"/>
  <c r="AC427" i="2"/>
  <c r="AA427" i="2"/>
  <c r="W427" i="2"/>
  <c r="X427" i="2" s="1"/>
  <c r="U427" i="2"/>
  <c r="R427" i="2"/>
  <c r="O427" i="2"/>
  <c r="N427" i="2"/>
  <c r="L427" i="2"/>
  <c r="H427" i="2"/>
  <c r="I427" i="2" s="1"/>
  <c r="F427" i="2"/>
  <c r="C427" i="2"/>
  <c r="AC426" i="2"/>
  <c r="AD426" i="2" s="1"/>
  <c r="AA426" i="2"/>
  <c r="W426" i="2"/>
  <c r="U426" i="2"/>
  <c r="R426" i="2"/>
  <c r="N426" i="2"/>
  <c r="L426" i="2"/>
  <c r="H426" i="2"/>
  <c r="I426" i="2" s="1"/>
  <c r="F426" i="2"/>
  <c r="C426" i="2"/>
  <c r="AD425" i="2"/>
  <c r="AC425" i="2"/>
  <c r="AA425" i="2"/>
  <c r="W425" i="2"/>
  <c r="U425" i="2"/>
  <c r="R425" i="2"/>
  <c r="N425" i="2"/>
  <c r="O425" i="2" s="1"/>
  <c r="L425" i="2"/>
  <c r="H425" i="2"/>
  <c r="I425" i="2" s="1"/>
  <c r="F425" i="2"/>
  <c r="C425" i="2"/>
  <c r="AD424" i="2"/>
  <c r="AC424" i="2"/>
  <c r="AA424" i="2"/>
  <c r="W424" i="2"/>
  <c r="U424" i="2"/>
  <c r="R424" i="2"/>
  <c r="O424" i="2"/>
  <c r="N424" i="2"/>
  <c r="L424" i="2"/>
  <c r="I424" i="2"/>
  <c r="H424" i="2"/>
  <c r="F424" i="2"/>
  <c r="C424" i="2"/>
  <c r="AC423" i="2"/>
  <c r="AD423" i="2" s="1"/>
  <c r="AA423" i="2"/>
  <c r="W423" i="2"/>
  <c r="U423" i="2"/>
  <c r="R423" i="2"/>
  <c r="N423" i="2"/>
  <c r="O423" i="2" s="1"/>
  <c r="L423" i="2"/>
  <c r="H423" i="2"/>
  <c r="I423" i="2" s="1"/>
  <c r="F423" i="2"/>
  <c r="C423" i="2"/>
  <c r="AC422" i="2"/>
  <c r="AD422" i="2" s="1"/>
  <c r="AA422" i="2"/>
  <c r="W422" i="2"/>
  <c r="X422" i="2" s="1"/>
  <c r="U422" i="2"/>
  <c r="R422" i="2"/>
  <c r="N422" i="2"/>
  <c r="L422" i="2"/>
  <c r="I422" i="2"/>
  <c r="H422" i="2"/>
  <c r="F422" i="2"/>
  <c r="C422" i="2"/>
  <c r="AD421" i="2"/>
  <c r="AC421" i="2"/>
  <c r="AA421" i="2"/>
  <c r="W421" i="2"/>
  <c r="U421" i="2"/>
  <c r="R421" i="2"/>
  <c r="N421" i="2"/>
  <c r="L421" i="2"/>
  <c r="H421" i="2"/>
  <c r="I421" i="2" s="1"/>
  <c r="F421" i="2"/>
  <c r="C421" i="2"/>
  <c r="AD420" i="2"/>
  <c r="AC420" i="2"/>
  <c r="AA420" i="2"/>
  <c r="W420" i="2"/>
  <c r="U420" i="2"/>
  <c r="R420" i="2"/>
  <c r="N420" i="2"/>
  <c r="O420" i="2" s="1"/>
  <c r="L420" i="2"/>
  <c r="I420" i="2"/>
  <c r="H420" i="2"/>
  <c r="F420" i="2"/>
  <c r="C420" i="2"/>
  <c r="AD419" i="2"/>
  <c r="AC419" i="2"/>
  <c r="AA419" i="2"/>
  <c r="W419" i="2"/>
  <c r="X419" i="2" s="1"/>
  <c r="U419" i="2"/>
  <c r="R419" i="2"/>
  <c r="N419" i="2"/>
  <c r="O419" i="2" s="1"/>
  <c r="L419" i="2"/>
  <c r="I419" i="2"/>
  <c r="H419" i="2"/>
  <c r="F419" i="2"/>
  <c r="C419" i="2"/>
  <c r="AC418" i="2"/>
  <c r="AD418" i="2" s="1"/>
  <c r="AA418" i="2"/>
  <c r="W418" i="2"/>
  <c r="U418" i="2"/>
  <c r="R418" i="2"/>
  <c r="N418" i="2"/>
  <c r="L418" i="2"/>
  <c r="H418" i="2"/>
  <c r="I418" i="2" s="1"/>
  <c r="F418" i="2"/>
  <c r="C418" i="2"/>
  <c r="AD417" i="2"/>
  <c r="AC417" i="2"/>
  <c r="AA417" i="2"/>
  <c r="X417" i="2"/>
  <c r="W417" i="2"/>
  <c r="U417" i="2"/>
  <c r="R417" i="2"/>
  <c r="N417" i="2"/>
  <c r="O417" i="2" s="1"/>
  <c r="L417" i="2"/>
  <c r="H417" i="2"/>
  <c r="I417" i="2" s="1"/>
  <c r="F417" i="2"/>
  <c r="C417" i="2"/>
  <c r="AD416" i="2"/>
  <c r="AC416" i="2"/>
  <c r="AA416" i="2"/>
  <c r="W416" i="2"/>
  <c r="U416" i="2"/>
  <c r="R416" i="2"/>
  <c r="N416" i="2"/>
  <c r="L416" i="2"/>
  <c r="I416" i="2"/>
  <c r="H416" i="2"/>
  <c r="F416" i="2"/>
  <c r="C416" i="2"/>
  <c r="AD415" i="2"/>
  <c r="AC415" i="2"/>
  <c r="AA415" i="2"/>
  <c r="W415" i="2"/>
  <c r="U415" i="2"/>
  <c r="R415" i="2"/>
  <c r="N415" i="2"/>
  <c r="O415" i="2" s="1"/>
  <c r="L415" i="2"/>
  <c r="H415" i="2"/>
  <c r="I415" i="2" s="1"/>
  <c r="F415" i="2"/>
  <c r="C415" i="2"/>
  <c r="AC414" i="2"/>
  <c r="AD414" i="2" s="1"/>
  <c r="AA414" i="2"/>
  <c r="W414" i="2"/>
  <c r="X414" i="2" s="1"/>
  <c r="U414" i="2"/>
  <c r="R414" i="2"/>
  <c r="N414" i="2"/>
  <c r="L414" i="2"/>
  <c r="H414" i="2"/>
  <c r="I414" i="2" s="1"/>
  <c r="F414" i="2"/>
  <c r="C414" i="2"/>
  <c r="AD413" i="2"/>
  <c r="AC413" i="2"/>
  <c r="AA413" i="2"/>
  <c r="W413" i="2"/>
  <c r="U413" i="2"/>
  <c r="R413" i="2"/>
  <c r="O413" i="2"/>
  <c r="N413" i="2"/>
  <c r="L413" i="2"/>
  <c r="H413" i="2"/>
  <c r="I413" i="2" s="1"/>
  <c r="F413" i="2"/>
  <c r="C413" i="2"/>
  <c r="AC412" i="2"/>
  <c r="AD412" i="2" s="1"/>
  <c r="AA412" i="2"/>
  <c r="W412" i="2"/>
  <c r="U412" i="2"/>
  <c r="R412" i="2"/>
  <c r="N412" i="2"/>
  <c r="O412" i="2" s="1"/>
  <c r="L412" i="2"/>
  <c r="I412" i="2"/>
  <c r="H412" i="2"/>
  <c r="F412" i="2"/>
  <c r="C412" i="2"/>
  <c r="AD411" i="2"/>
  <c r="AC411" i="2"/>
  <c r="AA411" i="2"/>
  <c r="W411" i="2"/>
  <c r="X411" i="2" s="1"/>
  <c r="U411" i="2"/>
  <c r="R411" i="2"/>
  <c r="O411" i="2"/>
  <c r="N411" i="2"/>
  <c r="L411" i="2"/>
  <c r="I411" i="2"/>
  <c r="H411" i="2"/>
  <c r="F411" i="2"/>
  <c r="C411" i="2"/>
  <c r="AC410" i="2"/>
  <c r="AD410" i="2" s="1"/>
  <c r="AA410" i="2"/>
  <c r="W410" i="2"/>
  <c r="U410" i="2"/>
  <c r="R410" i="2"/>
  <c r="N410" i="2"/>
  <c r="L410" i="2"/>
  <c r="H410" i="2"/>
  <c r="I410" i="2" s="1"/>
  <c r="F410" i="2"/>
  <c r="C410" i="2"/>
  <c r="AD409" i="2"/>
  <c r="AC409" i="2"/>
  <c r="AA409" i="2"/>
  <c r="W409" i="2"/>
  <c r="U409" i="2"/>
  <c r="R409" i="2"/>
  <c r="N409" i="2"/>
  <c r="L409" i="2"/>
  <c r="H409" i="2"/>
  <c r="I409" i="2" s="1"/>
  <c r="F409" i="2"/>
  <c r="C409" i="2"/>
  <c r="AC408" i="2"/>
  <c r="AD408" i="2" s="1"/>
  <c r="AA408" i="2"/>
  <c r="W408" i="2"/>
  <c r="U408" i="2"/>
  <c r="R408" i="2"/>
  <c r="N408" i="2"/>
  <c r="L408" i="2"/>
  <c r="I408" i="2"/>
  <c r="H408" i="2"/>
  <c r="F408" i="2"/>
  <c r="C408" i="2"/>
  <c r="AD407" i="2"/>
  <c r="AC407" i="2"/>
  <c r="AA407" i="2"/>
  <c r="W407" i="2"/>
  <c r="X407" i="2" s="1"/>
  <c r="U407" i="2"/>
  <c r="R407" i="2"/>
  <c r="O407" i="2"/>
  <c r="N407" i="2"/>
  <c r="L407" i="2"/>
  <c r="H407" i="2"/>
  <c r="I407" i="2" s="1"/>
  <c r="F407" i="2"/>
  <c r="C407" i="2"/>
  <c r="AC403" i="2"/>
  <c r="AD403" i="2" s="1"/>
  <c r="AA403" i="2"/>
  <c r="Z403" i="2"/>
  <c r="T403" i="2"/>
  <c r="U403" i="2" s="1"/>
  <c r="R403" i="2"/>
  <c r="Q403" i="2"/>
  <c r="K403" i="2"/>
  <c r="L403" i="2" s="1"/>
  <c r="E403" i="2"/>
  <c r="F403" i="2" s="1"/>
  <c r="C403" i="2"/>
  <c r="B403" i="2"/>
  <c r="AC402" i="2"/>
  <c r="AD402" i="2" s="1"/>
  <c r="AA402" i="2"/>
  <c r="W402" i="2"/>
  <c r="U402" i="2"/>
  <c r="R402" i="2"/>
  <c r="N402" i="2"/>
  <c r="L402" i="2"/>
  <c r="I402" i="2"/>
  <c r="H402" i="2"/>
  <c r="F402" i="2"/>
  <c r="C402" i="2"/>
  <c r="AD401" i="2"/>
  <c r="AC401" i="2"/>
  <c r="AA401" i="2"/>
  <c r="W401" i="2"/>
  <c r="U401" i="2"/>
  <c r="R401" i="2"/>
  <c r="N401" i="2"/>
  <c r="L401" i="2"/>
  <c r="H401" i="2"/>
  <c r="I401" i="2" s="1"/>
  <c r="F401" i="2"/>
  <c r="C401" i="2"/>
  <c r="AD400" i="2"/>
  <c r="AC400" i="2"/>
  <c r="AA400" i="2"/>
  <c r="W400" i="2"/>
  <c r="U400" i="2"/>
  <c r="R400" i="2"/>
  <c r="N400" i="2"/>
  <c r="O400" i="2" s="1"/>
  <c r="L400" i="2"/>
  <c r="I400" i="2"/>
  <c r="H400" i="2"/>
  <c r="F400" i="2"/>
  <c r="C400" i="2"/>
  <c r="AD399" i="2"/>
  <c r="AC399" i="2"/>
  <c r="AA399" i="2"/>
  <c r="W399" i="2"/>
  <c r="X399" i="2" s="1"/>
  <c r="U399" i="2"/>
  <c r="R399" i="2"/>
  <c r="N399" i="2"/>
  <c r="O399" i="2" s="1"/>
  <c r="L399" i="2"/>
  <c r="I399" i="2"/>
  <c r="H399" i="2"/>
  <c r="F399" i="2"/>
  <c r="C399" i="2"/>
  <c r="AC398" i="2"/>
  <c r="AD398" i="2" s="1"/>
  <c r="AA398" i="2"/>
  <c r="W398" i="2"/>
  <c r="U398" i="2"/>
  <c r="R398" i="2"/>
  <c r="N398" i="2"/>
  <c r="L398" i="2"/>
  <c r="H398" i="2"/>
  <c r="I398" i="2" s="1"/>
  <c r="F398" i="2"/>
  <c r="C398" i="2"/>
  <c r="AD397" i="2"/>
  <c r="AC397" i="2"/>
  <c r="AA397" i="2"/>
  <c r="X397" i="2"/>
  <c r="W397" i="2"/>
  <c r="U397" i="2"/>
  <c r="R397" i="2"/>
  <c r="N397" i="2"/>
  <c r="O397" i="2" s="1"/>
  <c r="L397" i="2"/>
  <c r="H397" i="2"/>
  <c r="I397" i="2" s="1"/>
  <c r="F397" i="2"/>
  <c r="C397" i="2"/>
  <c r="AA396" i="2"/>
  <c r="Z396" i="2"/>
  <c r="U396" i="2"/>
  <c r="T396" i="2"/>
  <c r="Q396" i="2"/>
  <c r="R396" i="2" s="1"/>
  <c r="K396" i="2"/>
  <c r="L396" i="2" s="1"/>
  <c r="E396" i="2"/>
  <c r="H396" i="2" s="1"/>
  <c r="I396" i="2" s="1"/>
  <c r="C396" i="2"/>
  <c r="B396" i="2"/>
  <c r="N396" i="2" s="1"/>
  <c r="O396" i="2" s="1"/>
  <c r="AC395" i="2"/>
  <c r="AD395" i="2" s="1"/>
  <c r="AA395" i="2"/>
  <c r="W395" i="2"/>
  <c r="X395" i="2" s="1"/>
  <c r="U395" i="2"/>
  <c r="R395" i="2"/>
  <c r="N395" i="2"/>
  <c r="L395" i="2"/>
  <c r="I395" i="2"/>
  <c r="H395" i="2"/>
  <c r="F395" i="2"/>
  <c r="C395" i="2"/>
  <c r="AD394" i="2"/>
  <c r="AC394" i="2"/>
  <c r="AA394" i="2"/>
  <c r="X394" i="2"/>
  <c r="W394" i="2"/>
  <c r="U394" i="2"/>
  <c r="R394" i="2"/>
  <c r="N394" i="2"/>
  <c r="O394" i="2" s="1"/>
  <c r="L394" i="2"/>
  <c r="H394" i="2"/>
  <c r="I394" i="2" s="1"/>
  <c r="F394" i="2"/>
  <c r="C394" i="2"/>
  <c r="AC393" i="2"/>
  <c r="AD393" i="2" s="1"/>
  <c r="AA393" i="2"/>
  <c r="Z393" i="2"/>
  <c r="T393" i="2"/>
  <c r="U393" i="2" s="1"/>
  <c r="R393" i="2"/>
  <c r="Q393" i="2"/>
  <c r="K393" i="2"/>
  <c r="L393" i="2" s="1"/>
  <c r="E393" i="2"/>
  <c r="F393" i="2" s="1"/>
  <c r="C393" i="2"/>
  <c r="B393" i="2"/>
  <c r="AC392" i="2"/>
  <c r="AD392" i="2" s="1"/>
  <c r="AA392" i="2"/>
  <c r="W392" i="2"/>
  <c r="U392" i="2"/>
  <c r="R392" i="2"/>
  <c r="N392" i="2"/>
  <c r="L392" i="2"/>
  <c r="I392" i="2"/>
  <c r="H392" i="2"/>
  <c r="F392" i="2"/>
  <c r="C392" i="2"/>
  <c r="AD391" i="2"/>
  <c r="AC391" i="2"/>
  <c r="AA391" i="2"/>
  <c r="W391" i="2"/>
  <c r="U391" i="2"/>
  <c r="R391" i="2"/>
  <c r="N391" i="2"/>
  <c r="L391" i="2"/>
  <c r="H391" i="2"/>
  <c r="I391" i="2" s="1"/>
  <c r="F391" i="2"/>
  <c r="C391" i="2"/>
  <c r="AD390" i="2"/>
  <c r="AC390" i="2"/>
  <c r="AA390" i="2"/>
  <c r="W390" i="2"/>
  <c r="U390" i="2"/>
  <c r="R390" i="2"/>
  <c r="N390" i="2"/>
  <c r="O390" i="2" s="1"/>
  <c r="L390" i="2"/>
  <c r="I390" i="2"/>
  <c r="H390" i="2"/>
  <c r="F390" i="2"/>
  <c r="C390" i="2"/>
  <c r="AD389" i="2"/>
  <c r="AC389" i="2"/>
  <c r="AA389" i="2"/>
  <c r="W389" i="2"/>
  <c r="X389" i="2" s="1"/>
  <c r="U389" i="2"/>
  <c r="R389" i="2"/>
  <c r="N389" i="2"/>
  <c r="O389" i="2" s="1"/>
  <c r="L389" i="2"/>
  <c r="I389" i="2"/>
  <c r="H389" i="2"/>
  <c r="F389" i="2"/>
  <c r="C389" i="2"/>
  <c r="AC388" i="2"/>
  <c r="AD388" i="2" s="1"/>
  <c r="AA388" i="2"/>
  <c r="W388" i="2"/>
  <c r="U388" i="2"/>
  <c r="R388" i="2"/>
  <c r="N388" i="2"/>
  <c r="L388" i="2"/>
  <c r="H388" i="2"/>
  <c r="I388" i="2" s="1"/>
  <c r="F388" i="2"/>
  <c r="C388" i="2"/>
  <c r="AD386" i="2"/>
  <c r="AC386" i="2"/>
  <c r="AA386" i="2"/>
  <c r="X386" i="2"/>
  <c r="W386" i="2"/>
  <c r="U386" i="2"/>
  <c r="R386" i="2"/>
  <c r="N386" i="2"/>
  <c r="O386" i="2" s="1"/>
  <c r="L386" i="2"/>
  <c r="H386" i="2"/>
  <c r="I386" i="2" s="1"/>
  <c r="F386" i="2"/>
  <c r="C386" i="2"/>
  <c r="AD385" i="2"/>
  <c r="AC385" i="2"/>
  <c r="AA385" i="2"/>
  <c r="W385" i="2"/>
  <c r="U385" i="2"/>
  <c r="R385" i="2"/>
  <c r="N385" i="2"/>
  <c r="L385" i="2"/>
  <c r="I385" i="2"/>
  <c r="H385" i="2"/>
  <c r="F385" i="2"/>
  <c r="C385" i="2"/>
  <c r="AD383" i="2"/>
  <c r="AC383" i="2"/>
  <c r="AA383" i="2"/>
  <c r="W383" i="2"/>
  <c r="U383" i="2"/>
  <c r="R383" i="2"/>
  <c r="N383" i="2"/>
  <c r="O383" i="2" s="1"/>
  <c r="L383" i="2"/>
  <c r="H383" i="2"/>
  <c r="I383" i="2" s="1"/>
  <c r="F383" i="2"/>
  <c r="C383" i="2"/>
  <c r="AC382" i="2"/>
  <c r="AD382" i="2" s="1"/>
  <c r="AA382" i="2"/>
  <c r="W382" i="2"/>
  <c r="X382" i="2" s="1"/>
  <c r="U382" i="2"/>
  <c r="R382" i="2"/>
  <c r="N382" i="2"/>
  <c r="L382" i="2"/>
  <c r="H382" i="2"/>
  <c r="I382" i="2" s="1"/>
  <c r="F382" i="2"/>
  <c r="C382" i="2"/>
  <c r="AD381" i="2"/>
  <c r="AC381" i="2"/>
  <c r="AA381" i="2"/>
  <c r="W381" i="2"/>
  <c r="U381" i="2"/>
  <c r="R381" i="2"/>
  <c r="O381" i="2"/>
  <c r="N381" i="2"/>
  <c r="L381" i="2"/>
  <c r="H381" i="2"/>
  <c r="I381" i="2" s="1"/>
  <c r="F381" i="2"/>
  <c r="C381" i="2"/>
  <c r="AC380" i="2"/>
  <c r="AD380" i="2" s="1"/>
  <c r="AA380" i="2"/>
  <c r="W380" i="2"/>
  <c r="U380" i="2"/>
  <c r="R380" i="2"/>
  <c r="N380" i="2"/>
  <c r="O380" i="2" s="1"/>
  <c r="L380" i="2"/>
  <c r="I380" i="2"/>
  <c r="H380" i="2"/>
  <c r="F380" i="2"/>
  <c r="C380" i="2"/>
  <c r="AD379" i="2"/>
  <c r="AC379" i="2"/>
  <c r="AA379" i="2"/>
  <c r="W379" i="2"/>
  <c r="U379" i="2"/>
  <c r="R379" i="2"/>
  <c r="O379" i="2"/>
  <c r="N379" i="2"/>
  <c r="L379" i="2"/>
  <c r="I379" i="2"/>
  <c r="H379" i="2"/>
  <c r="F379" i="2"/>
  <c r="C379" i="2"/>
  <c r="AC378" i="2"/>
  <c r="AD378" i="2" s="1"/>
  <c r="AA378" i="2"/>
  <c r="W378" i="2"/>
  <c r="U378" i="2"/>
  <c r="R378" i="2"/>
  <c r="N378" i="2"/>
  <c r="L378" i="2"/>
  <c r="H378" i="2"/>
  <c r="I378" i="2" s="1"/>
  <c r="F378" i="2"/>
  <c r="C378" i="2"/>
  <c r="AD377" i="2"/>
  <c r="AC377" i="2"/>
  <c r="AA377" i="2"/>
  <c r="W377" i="2"/>
  <c r="U377" i="2"/>
  <c r="R377" i="2"/>
  <c r="N377" i="2"/>
  <c r="L377" i="2"/>
  <c r="H377" i="2"/>
  <c r="I377" i="2" s="1"/>
  <c r="F377" i="2"/>
  <c r="C377" i="2"/>
  <c r="AC376" i="2"/>
  <c r="AD376" i="2" s="1"/>
  <c r="AA376" i="2"/>
  <c r="W376" i="2"/>
  <c r="U376" i="2"/>
  <c r="R376" i="2"/>
  <c r="N376" i="2"/>
  <c r="L376" i="2"/>
  <c r="I376" i="2"/>
  <c r="H376" i="2"/>
  <c r="F376" i="2"/>
  <c r="C376" i="2"/>
  <c r="AD375" i="2"/>
  <c r="AC375" i="2"/>
  <c r="AA375" i="2"/>
  <c r="W375" i="2"/>
  <c r="X375" i="2" s="1"/>
  <c r="U375" i="2"/>
  <c r="R375" i="2"/>
  <c r="O375" i="2"/>
  <c r="N375" i="2"/>
  <c r="L375" i="2"/>
  <c r="H375" i="2"/>
  <c r="I375" i="2" s="1"/>
  <c r="F375" i="2"/>
  <c r="C375" i="2"/>
  <c r="AC374" i="2"/>
  <c r="AD374" i="2" s="1"/>
  <c r="AA374" i="2"/>
  <c r="X374" i="2"/>
  <c r="W374" i="2"/>
  <c r="U374" i="2"/>
  <c r="R374" i="2"/>
  <c r="N374" i="2"/>
  <c r="L374" i="2"/>
  <c r="I374" i="2"/>
  <c r="H374" i="2"/>
  <c r="F374" i="2"/>
  <c r="C374" i="2"/>
  <c r="AD373" i="2"/>
  <c r="AC373" i="2"/>
  <c r="AA373" i="2"/>
  <c r="W373" i="2"/>
  <c r="U373" i="2"/>
  <c r="R373" i="2"/>
  <c r="O373" i="2"/>
  <c r="N373" i="2"/>
  <c r="L373" i="2"/>
  <c r="H373" i="2"/>
  <c r="I373" i="2" s="1"/>
  <c r="F373" i="2"/>
  <c r="C373" i="2"/>
  <c r="AD372" i="2"/>
  <c r="AC372" i="2"/>
  <c r="AA372" i="2"/>
  <c r="W372" i="2"/>
  <c r="U372" i="2"/>
  <c r="R372" i="2"/>
  <c r="N372" i="2"/>
  <c r="O372" i="2" s="1"/>
  <c r="L372" i="2"/>
  <c r="I372" i="2"/>
  <c r="H372" i="2"/>
  <c r="F372" i="2"/>
  <c r="C372" i="2"/>
  <c r="AD371" i="2"/>
  <c r="AC371" i="2"/>
  <c r="AA371" i="2"/>
  <c r="W371" i="2"/>
  <c r="X371" i="2" s="1"/>
  <c r="U371" i="2"/>
  <c r="R371" i="2"/>
  <c r="O371" i="2"/>
  <c r="N371" i="2"/>
  <c r="L371" i="2"/>
  <c r="H371" i="2"/>
  <c r="I371" i="2" s="1"/>
  <c r="F371" i="2"/>
  <c r="C371" i="2"/>
  <c r="AC370" i="2"/>
  <c r="AD370" i="2" s="1"/>
  <c r="AA370" i="2"/>
  <c r="W370" i="2"/>
  <c r="U370" i="2"/>
  <c r="R370" i="2"/>
  <c r="N370" i="2"/>
  <c r="L370" i="2"/>
  <c r="H370" i="2"/>
  <c r="I370" i="2" s="1"/>
  <c r="F370" i="2"/>
  <c r="C370" i="2"/>
  <c r="AD369" i="2"/>
  <c r="AC369" i="2"/>
  <c r="AA369" i="2"/>
  <c r="W369" i="2"/>
  <c r="U369" i="2"/>
  <c r="R369" i="2"/>
  <c r="N369" i="2"/>
  <c r="L369" i="2"/>
  <c r="H369" i="2"/>
  <c r="I369" i="2" s="1"/>
  <c r="F369" i="2"/>
  <c r="C369" i="2"/>
  <c r="AC368" i="2"/>
  <c r="AD368" i="2" s="1"/>
  <c r="AA368" i="2"/>
  <c r="Z368" i="2"/>
  <c r="T368" i="2"/>
  <c r="U368" i="2" s="1"/>
  <c r="Q368" i="2"/>
  <c r="R368" i="2" s="1"/>
  <c r="K368" i="2"/>
  <c r="L368" i="2" s="1"/>
  <c r="E368" i="2"/>
  <c r="H368" i="2" s="1"/>
  <c r="I368" i="2" s="1"/>
  <c r="C368" i="2"/>
  <c r="B368" i="2"/>
  <c r="N368" i="2" s="1"/>
  <c r="O368" i="2" s="1"/>
  <c r="AC367" i="2"/>
  <c r="AD367" i="2" s="1"/>
  <c r="AA367" i="2"/>
  <c r="W367" i="2"/>
  <c r="U367" i="2"/>
  <c r="R367" i="2"/>
  <c r="N367" i="2"/>
  <c r="L367" i="2"/>
  <c r="I367" i="2"/>
  <c r="H367" i="2"/>
  <c r="F367" i="2"/>
  <c r="C367" i="2"/>
  <c r="AD366" i="2"/>
  <c r="AC366" i="2"/>
  <c r="AA366" i="2"/>
  <c r="W366" i="2"/>
  <c r="U366" i="2"/>
  <c r="R366" i="2"/>
  <c r="N366" i="2"/>
  <c r="L366" i="2"/>
  <c r="H366" i="2"/>
  <c r="I366" i="2" s="1"/>
  <c r="F366" i="2"/>
  <c r="C366" i="2"/>
  <c r="AC365" i="2"/>
  <c r="AD365" i="2" s="1"/>
  <c r="AA365" i="2"/>
  <c r="W365" i="2"/>
  <c r="U365" i="2"/>
  <c r="R365" i="2"/>
  <c r="N365" i="2"/>
  <c r="O365" i="2" s="1"/>
  <c r="L365" i="2"/>
  <c r="I365" i="2"/>
  <c r="H365" i="2"/>
  <c r="F365" i="2"/>
  <c r="C365" i="2"/>
  <c r="AC364" i="2"/>
  <c r="AD364" i="2" s="1"/>
  <c r="AA364" i="2"/>
  <c r="W364" i="2"/>
  <c r="U364" i="2"/>
  <c r="R364" i="2"/>
  <c r="O364" i="2"/>
  <c r="N364" i="2"/>
  <c r="L364" i="2"/>
  <c r="I364" i="2"/>
  <c r="H364" i="2"/>
  <c r="F364" i="2"/>
  <c r="C364" i="2"/>
  <c r="AC363" i="2"/>
  <c r="AD363" i="2" s="1"/>
  <c r="AA363" i="2"/>
  <c r="W363" i="2"/>
  <c r="U363" i="2"/>
  <c r="R363" i="2"/>
  <c r="N363" i="2"/>
  <c r="L363" i="2"/>
  <c r="H363" i="2"/>
  <c r="I363" i="2" s="1"/>
  <c r="F363" i="2"/>
  <c r="C363" i="2"/>
  <c r="AD362" i="2"/>
  <c r="AC362" i="2"/>
  <c r="AA362" i="2"/>
  <c r="W362" i="2"/>
  <c r="U362" i="2"/>
  <c r="R362" i="2"/>
  <c r="N362" i="2"/>
  <c r="L362" i="2"/>
  <c r="H362" i="2"/>
  <c r="I362" i="2" s="1"/>
  <c r="F362" i="2"/>
  <c r="C362" i="2"/>
  <c r="AD361" i="2"/>
  <c r="AC361" i="2"/>
  <c r="AA361" i="2"/>
  <c r="W361" i="2"/>
  <c r="U361" i="2"/>
  <c r="R361" i="2"/>
  <c r="O361" i="2"/>
  <c r="N361" i="2"/>
  <c r="L361" i="2"/>
  <c r="I361" i="2"/>
  <c r="H361" i="2"/>
  <c r="F361" i="2"/>
  <c r="C361" i="2"/>
  <c r="AC360" i="2"/>
  <c r="AD360" i="2" s="1"/>
  <c r="AA360" i="2"/>
  <c r="X360" i="2"/>
  <c r="W360" i="2"/>
  <c r="U360" i="2"/>
  <c r="R360" i="2"/>
  <c r="N360" i="2"/>
  <c r="O360" i="2" s="1"/>
  <c r="L360" i="2"/>
  <c r="I360" i="2"/>
  <c r="H360" i="2"/>
  <c r="F360" i="2"/>
  <c r="C360" i="2"/>
  <c r="Z358" i="2"/>
  <c r="AA358" i="2" s="1"/>
  <c r="U358" i="2"/>
  <c r="T358" i="2"/>
  <c r="Q358" i="2"/>
  <c r="R358" i="2" s="1"/>
  <c r="L358" i="2"/>
  <c r="K358" i="2"/>
  <c r="E358" i="2"/>
  <c r="F358" i="2" s="1"/>
  <c r="B358" i="2"/>
  <c r="AD357" i="2"/>
  <c r="AC357" i="2"/>
  <c r="AA357" i="2"/>
  <c r="W357" i="2"/>
  <c r="U357" i="2"/>
  <c r="R357" i="2"/>
  <c r="N357" i="2"/>
  <c r="O357" i="2" s="1"/>
  <c r="L357" i="2"/>
  <c r="I357" i="2"/>
  <c r="H357" i="2"/>
  <c r="F357" i="2"/>
  <c r="C357" i="2"/>
  <c r="AD356" i="2"/>
  <c r="AC356" i="2"/>
  <c r="AA356" i="2"/>
  <c r="X356" i="2"/>
  <c r="W356" i="2"/>
  <c r="U356" i="2"/>
  <c r="R356" i="2"/>
  <c r="N356" i="2"/>
  <c r="L356" i="2"/>
  <c r="H356" i="2"/>
  <c r="I356" i="2" s="1"/>
  <c r="F356" i="2"/>
  <c r="C356" i="2"/>
  <c r="AC355" i="2"/>
  <c r="AD355" i="2" s="1"/>
  <c r="AA355" i="2"/>
  <c r="W355" i="2"/>
  <c r="U355" i="2"/>
  <c r="R355" i="2"/>
  <c r="N355" i="2"/>
  <c r="L355" i="2"/>
  <c r="I355" i="2"/>
  <c r="H355" i="2"/>
  <c r="F355" i="2"/>
  <c r="C355" i="2"/>
  <c r="AD354" i="2"/>
  <c r="AC354" i="2"/>
  <c r="AA354" i="2"/>
  <c r="X354" i="2"/>
  <c r="W354" i="2"/>
  <c r="U354" i="2"/>
  <c r="R354" i="2"/>
  <c r="N354" i="2"/>
  <c r="O354" i="2" s="1"/>
  <c r="L354" i="2"/>
  <c r="H354" i="2"/>
  <c r="I354" i="2" s="1"/>
  <c r="F354" i="2"/>
  <c r="C354" i="2"/>
  <c r="AD353" i="2"/>
  <c r="AC353" i="2"/>
  <c r="AA353" i="2"/>
  <c r="W353" i="2"/>
  <c r="U353" i="2"/>
  <c r="R353" i="2"/>
  <c r="N353" i="2"/>
  <c r="O353" i="2" s="1"/>
  <c r="L353" i="2"/>
  <c r="I353" i="2"/>
  <c r="H353" i="2"/>
  <c r="F353" i="2"/>
  <c r="C353" i="2"/>
  <c r="AC352" i="2"/>
  <c r="AD352" i="2" s="1"/>
  <c r="AA352" i="2"/>
  <c r="X352" i="2"/>
  <c r="W352" i="2"/>
  <c r="U352" i="2"/>
  <c r="R352" i="2"/>
  <c r="O352" i="2"/>
  <c r="N352" i="2"/>
  <c r="L352" i="2"/>
  <c r="H352" i="2"/>
  <c r="I352" i="2" s="1"/>
  <c r="F352" i="2"/>
  <c r="C352" i="2"/>
  <c r="AC351" i="2"/>
  <c r="AD351" i="2" s="1"/>
  <c r="AA351" i="2"/>
  <c r="W351" i="2"/>
  <c r="X351" i="2" s="1"/>
  <c r="U351" i="2"/>
  <c r="R351" i="2"/>
  <c r="N351" i="2"/>
  <c r="L351" i="2"/>
  <c r="I351" i="2"/>
  <c r="H351" i="2"/>
  <c r="F351" i="2"/>
  <c r="C351" i="2"/>
  <c r="AD350" i="2"/>
  <c r="AC350" i="2"/>
  <c r="AA350" i="2"/>
  <c r="W350" i="2"/>
  <c r="X350" i="2" s="1"/>
  <c r="U350" i="2"/>
  <c r="R350" i="2"/>
  <c r="O350" i="2"/>
  <c r="N350" i="2"/>
  <c r="L350" i="2"/>
  <c r="H350" i="2"/>
  <c r="I350" i="2" s="1"/>
  <c r="F350" i="2"/>
  <c r="C350" i="2"/>
  <c r="AD349" i="2"/>
  <c r="AC349" i="2"/>
  <c r="AA349" i="2"/>
  <c r="W349" i="2"/>
  <c r="U349" i="2"/>
  <c r="R349" i="2"/>
  <c r="N349" i="2"/>
  <c r="O349" i="2" s="1"/>
  <c r="L349" i="2"/>
  <c r="I349" i="2"/>
  <c r="H349" i="2"/>
  <c r="F349" i="2"/>
  <c r="C349" i="2"/>
  <c r="AD347" i="2"/>
  <c r="AC347" i="2"/>
  <c r="AA347" i="2"/>
  <c r="X347" i="2"/>
  <c r="W347" i="2"/>
  <c r="U347" i="2"/>
  <c r="R347" i="2"/>
  <c r="N347" i="2"/>
  <c r="O347" i="2" s="1"/>
  <c r="L347" i="2"/>
  <c r="I347" i="2"/>
  <c r="H347" i="2"/>
  <c r="F347" i="2"/>
  <c r="C347" i="2"/>
  <c r="AC344" i="2"/>
  <c r="AD344" i="2" s="1"/>
  <c r="AA344" i="2"/>
  <c r="Z344" i="2"/>
  <c r="T344" i="2"/>
  <c r="U344" i="2" s="1"/>
  <c r="Q344" i="2"/>
  <c r="K344" i="2"/>
  <c r="L344" i="2" s="1"/>
  <c r="F344" i="2"/>
  <c r="E344" i="2"/>
  <c r="B344" i="2"/>
  <c r="AC343" i="2"/>
  <c r="AD343" i="2" s="1"/>
  <c r="Z343" i="2"/>
  <c r="AA343" i="2" s="1"/>
  <c r="U343" i="2"/>
  <c r="T343" i="2"/>
  <c r="Q343" i="2"/>
  <c r="R343" i="2" s="1"/>
  <c r="N343" i="2"/>
  <c r="O343" i="2" s="1"/>
  <c r="L343" i="2"/>
  <c r="K343" i="2"/>
  <c r="H343" i="2"/>
  <c r="I343" i="2" s="1"/>
  <c r="E343" i="2"/>
  <c r="F343" i="2" s="1"/>
  <c r="C343" i="2"/>
  <c r="B343" i="2"/>
  <c r="Z342" i="2"/>
  <c r="AA342" i="2" s="1"/>
  <c r="T342" i="2"/>
  <c r="U342" i="2" s="1"/>
  <c r="R342" i="2"/>
  <c r="Q342" i="2"/>
  <c r="K342" i="2"/>
  <c r="L342" i="2" s="1"/>
  <c r="F342" i="2"/>
  <c r="E342" i="2"/>
  <c r="C342" i="2"/>
  <c r="B342" i="2"/>
  <c r="AC341" i="2"/>
  <c r="AD341" i="2" s="1"/>
  <c r="AA341" i="2"/>
  <c r="X341" i="2"/>
  <c r="W341" i="2"/>
  <c r="U341" i="2"/>
  <c r="R341" i="2"/>
  <c r="O341" i="2"/>
  <c r="N341" i="2"/>
  <c r="L341" i="2"/>
  <c r="H341" i="2"/>
  <c r="I341" i="2" s="1"/>
  <c r="F341" i="2"/>
  <c r="C341" i="2"/>
  <c r="AC340" i="2"/>
  <c r="AD340" i="2" s="1"/>
  <c r="AA340" i="2"/>
  <c r="W340" i="2"/>
  <c r="U340" i="2"/>
  <c r="R340" i="2"/>
  <c r="N340" i="2"/>
  <c r="O340" i="2" s="1"/>
  <c r="L340" i="2"/>
  <c r="H340" i="2"/>
  <c r="I340" i="2" s="1"/>
  <c r="F340" i="2"/>
  <c r="C340" i="2"/>
  <c r="AD339" i="2"/>
  <c r="AC339" i="2"/>
  <c r="AA339" i="2"/>
  <c r="X339" i="2"/>
  <c r="W339" i="2"/>
  <c r="U339" i="2"/>
  <c r="R339" i="2"/>
  <c r="N339" i="2"/>
  <c r="L339" i="2"/>
  <c r="H339" i="2"/>
  <c r="I339" i="2" s="1"/>
  <c r="F339" i="2"/>
  <c r="C339" i="2"/>
  <c r="AC338" i="2"/>
  <c r="AD338" i="2" s="1"/>
  <c r="AA338" i="2"/>
  <c r="W338" i="2"/>
  <c r="U338" i="2"/>
  <c r="R338" i="2"/>
  <c r="O338" i="2"/>
  <c r="N338" i="2"/>
  <c r="L338" i="2"/>
  <c r="I338" i="2"/>
  <c r="H338" i="2"/>
  <c r="F338" i="2"/>
  <c r="C338" i="2"/>
  <c r="AC337" i="2"/>
  <c r="AD337" i="2" s="1"/>
  <c r="AA337" i="2"/>
  <c r="W337" i="2"/>
  <c r="U337" i="2"/>
  <c r="R337" i="2"/>
  <c r="N337" i="2"/>
  <c r="L337" i="2"/>
  <c r="I337" i="2"/>
  <c r="H337" i="2"/>
  <c r="F337" i="2"/>
  <c r="C337" i="2"/>
  <c r="AC335" i="2"/>
  <c r="AD335" i="2" s="1"/>
  <c r="AA335" i="2"/>
  <c r="W335" i="2"/>
  <c r="X335" i="2" s="1"/>
  <c r="U335" i="2"/>
  <c r="R335" i="2"/>
  <c r="N335" i="2"/>
  <c r="L335" i="2"/>
  <c r="I335" i="2"/>
  <c r="H335" i="2"/>
  <c r="F335" i="2"/>
  <c r="C335" i="2"/>
  <c r="AD334" i="2"/>
  <c r="AC334" i="2"/>
  <c r="AA334" i="2"/>
  <c r="X334" i="2"/>
  <c r="W334" i="2"/>
  <c r="U334" i="2"/>
  <c r="R334" i="2"/>
  <c r="N334" i="2"/>
  <c r="O334" i="2" s="1"/>
  <c r="L334" i="2"/>
  <c r="H334" i="2"/>
  <c r="I334" i="2" s="1"/>
  <c r="F334" i="2"/>
  <c r="C334" i="2"/>
  <c r="AD333" i="2"/>
  <c r="AC333" i="2"/>
  <c r="AA333" i="2"/>
  <c r="X333" i="2"/>
  <c r="W333" i="2"/>
  <c r="U333" i="2"/>
  <c r="R333" i="2"/>
  <c r="O333" i="2"/>
  <c r="N333" i="2"/>
  <c r="L333" i="2"/>
  <c r="I333" i="2"/>
  <c r="H333" i="2"/>
  <c r="F333" i="2"/>
  <c r="C333" i="2"/>
  <c r="AD332" i="2"/>
  <c r="AC332" i="2"/>
  <c r="AA332" i="2"/>
  <c r="W332" i="2"/>
  <c r="U332" i="2"/>
  <c r="R332" i="2"/>
  <c r="O332" i="2"/>
  <c r="N332" i="2"/>
  <c r="L332" i="2"/>
  <c r="I332" i="2"/>
  <c r="H332" i="2"/>
  <c r="F332" i="2"/>
  <c r="C332" i="2"/>
  <c r="AC331" i="2"/>
  <c r="AD331" i="2" s="1"/>
  <c r="AA331" i="2"/>
  <c r="W331" i="2"/>
  <c r="X331" i="2" s="1"/>
  <c r="U331" i="2"/>
  <c r="R331" i="2"/>
  <c r="N331" i="2"/>
  <c r="L331" i="2"/>
  <c r="I331" i="2"/>
  <c r="H331" i="2"/>
  <c r="F331" i="2"/>
  <c r="C331" i="2"/>
  <c r="AD330" i="2"/>
  <c r="AC330" i="2"/>
  <c r="AA330" i="2"/>
  <c r="W330" i="2"/>
  <c r="X330" i="2" s="1"/>
  <c r="U330" i="2"/>
  <c r="R330" i="2"/>
  <c r="N330" i="2"/>
  <c r="O330" i="2" s="1"/>
  <c r="L330" i="2"/>
  <c r="H330" i="2"/>
  <c r="I330" i="2" s="1"/>
  <c r="F330" i="2"/>
  <c r="C330" i="2"/>
  <c r="AD329" i="2"/>
  <c r="AC329" i="2"/>
  <c r="AA329" i="2"/>
  <c r="X329" i="2"/>
  <c r="W329" i="2"/>
  <c r="U329" i="2"/>
  <c r="R329" i="2"/>
  <c r="O329" i="2"/>
  <c r="N329" i="2"/>
  <c r="L329" i="2"/>
  <c r="I329" i="2"/>
  <c r="H329" i="2"/>
  <c r="F329" i="2"/>
  <c r="C329" i="2"/>
  <c r="AD328" i="2"/>
  <c r="AC328" i="2"/>
  <c r="AA328" i="2"/>
  <c r="W328" i="2"/>
  <c r="U328" i="2"/>
  <c r="R328" i="2"/>
  <c r="N328" i="2"/>
  <c r="L328" i="2"/>
  <c r="I328" i="2"/>
  <c r="H328" i="2"/>
  <c r="F328" i="2"/>
  <c r="C328" i="2"/>
  <c r="AC325" i="2"/>
  <c r="AD325" i="2" s="1"/>
  <c r="AA325" i="2"/>
  <c r="Z325" i="2"/>
  <c r="T325" i="2"/>
  <c r="U325" i="2" s="1"/>
  <c r="Q325" i="2"/>
  <c r="L325" i="2"/>
  <c r="K325" i="2"/>
  <c r="E325" i="2"/>
  <c r="F325" i="2" s="1"/>
  <c r="B325" i="2"/>
  <c r="AA324" i="2"/>
  <c r="Z324" i="2"/>
  <c r="T324" i="2"/>
  <c r="W324" i="2" s="1"/>
  <c r="X324" i="2" s="1"/>
  <c r="R324" i="2"/>
  <c r="Q324" i="2"/>
  <c r="AC324" i="2" s="1"/>
  <c r="AD324" i="2" s="1"/>
  <c r="K324" i="2"/>
  <c r="L324" i="2" s="1"/>
  <c r="F324" i="2"/>
  <c r="E324" i="2"/>
  <c r="C324" i="2"/>
  <c r="B324" i="2"/>
  <c r="N324" i="2" s="1"/>
  <c r="O324" i="2" s="1"/>
  <c r="AC323" i="2"/>
  <c r="AD323" i="2" s="1"/>
  <c r="AA323" i="2"/>
  <c r="X323" i="2"/>
  <c r="W323" i="2"/>
  <c r="U323" i="2"/>
  <c r="R323" i="2"/>
  <c r="O323" i="2"/>
  <c r="N323" i="2"/>
  <c r="L323" i="2"/>
  <c r="H323" i="2"/>
  <c r="I323" i="2" s="1"/>
  <c r="F323" i="2"/>
  <c r="C323" i="2"/>
  <c r="AC322" i="2"/>
  <c r="AD322" i="2" s="1"/>
  <c r="AA322" i="2"/>
  <c r="W322" i="2"/>
  <c r="U322" i="2"/>
  <c r="R322" i="2"/>
  <c r="N322" i="2"/>
  <c r="O322" i="2" s="1"/>
  <c r="L322" i="2"/>
  <c r="H322" i="2"/>
  <c r="I322" i="2" s="1"/>
  <c r="F322" i="2"/>
  <c r="C322" i="2"/>
  <c r="AD321" i="2"/>
  <c r="AC321" i="2"/>
  <c r="AA321" i="2"/>
  <c r="X321" i="2"/>
  <c r="W321" i="2"/>
  <c r="U321" i="2"/>
  <c r="R321" i="2"/>
  <c r="N321" i="2"/>
  <c r="L321" i="2"/>
  <c r="H321" i="2"/>
  <c r="I321" i="2" s="1"/>
  <c r="F321" i="2"/>
  <c r="C321" i="2"/>
  <c r="AD320" i="2"/>
  <c r="AC320" i="2"/>
  <c r="AA320" i="2"/>
  <c r="W320" i="2"/>
  <c r="X320" i="2" s="1"/>
  <c r="U320" i="2"/>
  <c r="R320" i="2"/>
  <c r="N320" i="2"/>
  <c r="O320" i="2" s="1"/>
  <c r="L320" i="2"/>
  <c r="I320" i="2"/>
  <c r="H320" i="2"/>
  <c r="F320" i="2"/>
  <c r="C320" i="2"/>
  <c r="AC319" i="2"/>
  <c r="AD319" i="2" s="1"/>
  <c r="AA319" i="2"/>
  <c r="X319" i="2"/>
  <c r="W319" i="2"/>
  <c r="U319" i="2"/>
  <c r="R319" i="2"/>
  <c r="O319" i="2"/>
  <c r="N319" i="2"/>
  <c r="L319" i="2"/>
  <c r="H319" i="2"/>
  <c r="I319" i="2" s="1"/>
  <c r="F319" i="2"/>
  <c r="C319" i="2"/>
  <c r="AC318" i="2"/>
  <c r="AD318" i="2" s="1"/>
  <c r="AA318" i="2"/>
  <c r="X318" i="2"/>
  <c r="W318" i="2"/>
  <c r="U318" i="2"/>
  <c r="R318" i="2"/>
  <c r="N318" i="2"/>
  <c r="L318" i="2"/>
  <c r="H318" i="2"/>
  <c r="I318" i="2" s="1"/>
  <c r="F318" i="2"/>
  <c r="C318" i="2"/>
  <c r="AD317" i="2"/>
  <c r="AC317" i="2"/>
  <c r="AA317" i="2"/>
  <c r="W317" i="2"/>
  <c r="U317" i="2"/>
  <c r="R317" i="2"/>
  <c r="O317" i="2"/>
  <c r="N317" i="2"/>
  <c r="L317" i="2"/>
  <c r="I317" i="2"/>
  <c r="H317" i="2"/>
  <c r="F317" i="2"/>
  <c r="C317" i="2"/>
  <c r="AC316" i="2"/>
  <c r="AD316" i="2" s="1"/>
  <c r="AA316" i="2"/>
  <c r="W316" i="2"/>
  <c r="X316" i="2" s="1"/>
  <c r="U316" i="2"/>
  <c r="R316" i="2"/>
  <c r="N316" i="2"/>
  <c r="O316" i="2" s="1"/>
  <c r="L316" i="2"/>
  <c r="I316" i="2"/>
  <c r="H316" i="2"/>
  <c r="F316" i="2"/>
  <c r="C316" i="2"/>
  <c r="AC315" i="2"/>
  <c r="AD315" i="2" s="1"/>
  <c r="AA315" i="2"/>
  <c r="X315" i="2"/>
  <c r="W315" i="2"/>
  <c r="U315" i="2"/>
  <c r="R315" i="2"/>
  <c r="O315" i="2"/>
  <c r="N315" i="2"/>
  <c r="L315" i="2"/>
  <c r="H315" i="2"/>
  <c r="I315" i="2" s="1"/>
  <c r="F315" i="2"/>
  <c r="C315" i="2"/>
  <c r="AC314" i="2"/>
  <c r="AD314" i="2" s="1"/>
  <c r="AA314" i="2"/>
  <c r="W314" i="2"/>
  <c r="U314" i="2"/>
  <c r="R314" i="2"/>
  <c r="N314" i="2"/>
  <c r="O314" i="2" s="1"/>
  <c r="L314" i="2"/>
  <c r="H314" i="2"/>
  <c r="I314" i="2" s="1"/>
  <c r="F314" i="2"/>
  <c r="C314" i="2"/>
  <c r="AD313" i="2"/>
  <c r="AC313" i="2"/>
  <c r="AA313" i="2"/>
  <c r="X313" i="2"/>
  <c r="W313" i="2"/>
  <c r="U313" i="2"/>
  <c r="R313" i="2"/>
  <c r="N313" i="2"/>
  <c r="L313" i="2"/>
  <c r="H313" i="2"/>
  <c r="I313" i="2" s="1"/>
  <c r="F313" i="2"/>
  <c r="C313" i="2"/>
  <c r="AD312" i="2"/>
  <c r="AC312" i="2"/>
  <c r="AA312" i="2"/>
  <c r="W312" i="2"/>
  <c r="X312" i="2" s="1"/>
  <c r="U312" i="2"/>
  <c r="R312" i="2"/>
  <c r="N312" i="2"/>
  <c r="O312" i="2" s="1"/>
  <c r="L312" i="2"/>
  <c r="I312" i="2"/>
  <c r="H312" i="2"/>
  <c r="F312" i="2"/>
  <c r="C312" i="2"/>
  <c r="AC311" i="2"/>
  <c r="AD311" i="2" s="1"/>
  <c r="AA311" i="2"/>
  <c r="X311" i="2"/>
  <c r="W311" i="2"/>
  <c r="U311" i="2"/>
  <c r="R311" i="2"/>
  <c r="O311" i="2"/>
  <c r="N311" i="2"/>
  <c r="L311" i="2"/>
  <c r="H311" i="2"/>
  <c r="I311" i="2" s="1"/>
  <c r="F311" i="2"/>
  <c r="C311" i="2"/>
  <c r="AC310" i="2"/>
  <c r="AD310" i="2" s="1"/>
  <c r="AA310" i="2"/>
  <c r="X310" i="2"/>
  <c r="W310" i="2"/>
  <c r="U310" i="2"/>
  <c r="R310" i="2"/>
  <c r="N310" i="2"/>
  <c r="L310" i="2"/>
  <c r="H310" i="2"/>
  <c r="I310" i="2" s="1"/>
  <c r="F310" i="2"/>
  <c r="C310" i="2"/>
  <c r="AD309" i="2"/>
  <c r="AC309" i="2"/>
  <c r="AA309" i="2"/>
  <c r="W309" i="2"/>
  <c r="U309" i="2"/>
  <c r="R309" i="2"/>
  <c r="O309" i="2"/>
  <c r="N309" i="2"/>
  <c r="L309" i="2"/>
  <c r="I309" i="2"/>
  <c r="H309" i="2"/>
  <c r="F309" i="2"/>
  <c r="C309" i="2"/>
  <c r="AC308" i="2"/>
  <c r="AD308" i="2" s="1"/>
  <c r="AA308" i="2"/>
  <c r="W308" i="2"/>
  <c r="X308" i="2" s="1"/>
  <c r="U308" i="2"/>
  <c r="R308" i="2"/>
  <c r="N308" i="2"/>
  <c r="O308" i="2" s="1"/>
  <c r="L308" i="2"/>
  <c r="I308" i="2"/>
  <c r="H308" i="2"/>
  <c r="F308" i="2"/>
  <c r="C308" i="2"/>
  <c r="AC307" i="2"/>
  <c r="AD307" i="2" s="1"/>
  <c r="AA307" i="2"/>
  <c r="W307" i="2"/>
  <c r="X307" i="2" s="1"/>
  <c r="U307" i="2"/>
  <c r="R307" i="2"/>
  <c r="O307" i="2"/>
  <c r="N307" i="2"/>
  <c r="L307" i="2"/>
  <c r="H307" i="2"/>
  <c r="I307" i="2" s="1"/>
  <c r="F307" i="2"/>
  <c r="C307" i="2"/>
  <c r="AC306" i="2"/>
  <c r="AD306" i="2" s="1"/>
  <c r="AA306" i="2"/>
  <c r="W306" i="2"/>
  <c r="U306" i="2"/>
  <c r="R306" i="2"/>
  <c r="N306" i="2"/>
  <c r="O306" i="2" s="1"/>
  <c r="L306" i="2"/>
  <c r="H306" i="2"/>
  <c r="I306" i="2" s="1"/>
  <c r="F306" i="2"/>
  <c r="C306" i="2"/>
  <c r="AD305" i="2"/>
  <c r="AC305" i="2"/>
  <c r="AA305" i="2"/>
  <c r="X305" i="2"/>
  <c r="W305" i="2"/>
  <c r="U305" i="2"/>
  <c r="R305" i="2"/>
  <c r="N305" i="2"/>
  <c r="L305" i="2"/>
  <c r="H305" i="2"/>
  <c r="I305" i="2" s="1"/>
  <c r="F305" i="2"/>
  <c r="C305" i="2"/>
  <c r="AD304" i="2"/>
  <c r="AC304" i="2"/>
  <c r="AA304" i="2"/>
  <c r="W304" i="2"/>
  <c r="X304" i="2" s="1"/>
  <c r="U304" i="2"/>
  <c r="R304" i="2"/>
  <c r="N304" i="2"/>
  <c r="O304" i="2" s="1"/>
  <c r="L304" i="2"/>
  <c r="I304" i="2"/>
  <c r="H304" i="2"/>
  <c r="F304" i="2"/>
  <c r="C304" i="2"/>
  <c r="AC303" i="2"/>
  <c r="AD303" i="2" s="1"/>
  <c r="AA303" i="2"/>
  <c r="X303" i="2"/>
  <c r="W303" i="2"/>
  <c r="U303" i="2"/>
  <c r="R303" i="2"/>
  <c r="O303" i="2"/>
  <c r="N303" i="2"/>
  <c r="L303" i="2"/>
  <c r="H303" i="2"/>
  <c r="I303" i="2" s="1"/>
  <c r="F303" i="2"/>
  <c r="C303" i="2"/>
  <c r="AC302" i="2"/>
  <c r="AD302" i="2" s="1"/>
  <c r="AA302" i="2"/>
  <c r="X302" i="2"/>
  <c r="W302" i="2"/>
  <c r="U302" i="2"/>
  <c r="R302" i="2"/>
  <c r="N302" i="2"/>
  <c r="L302" i="2"/>
  <c r="H302" i="2"/>
  <c r="I302" i="2" s="1"/>
  <c r="F302" i="2"/>
  <c r="C302" i="2"/>
  <c r="AD301" i="2"/>
  <c r="AC301" i="2"/>
  <c r="AA301" i="2"/>
  <c r="W301" i="2"/>
  <c r="U301" i="2"/>
  <c r="R301" i="2"/>
  <c r="O301" i="2"/>
  <c r="N301" i="2"/>
  <c r="L301" i="2"/>
  <c r="I301" i="2"/>
  <c r="H301" i="2"/>
  <c r="F301" i="2"/>
  <c r="C301" i="2"/>
  <c r="AC300" i="2"/>
  <c r="AD300" i="2" s="1"/>
  <c r="AA300" i="2"/>
  <c r="W300" i="2"/>
  <c r="X300" i="2" s="1"/>
  <c r="U300" i="2"/>
  <c r="R300" i="2"/>
  <c r="N300" i="2"/>
  <c r="O300" i="2" s="1"/>
  <c r="L300" i="2"/>
  <c r="I300" i="2"/>
  <c r="H300" i="2"/>
  <c r="F300" i="2"/>
  <c r="C300" i="2"/>
  <c r="AC299" i="2"/>
  <c r="AD299" i="2" s="1"/>
  <c r="AA299" i="2"/>
  <c r="X299" i="2"/>
  <c r="W299" i="2"/>
  <c r="U299" i="2"/>
  <c r="R299" i="2"/>
  <c r="O299" i="2"/>
  <c r="N299" i="2"/>
  <c r="L299" i="2"/>
  <c r="H299" i="2"/>
  <c r="I299" i="2" s="1"/>
  <c r="F299" i="2"/>
  <c r="C299" i="2"/>
  <c r="AC298" i="2"/>
  <c r="AD298" i="2" s="1"/>
  <c r="AA298" i="2"/>
  <c r="W298" i="2"/>
  <c r="U298" i="2"/>
  <c r="R298" i="2"/>
  <c r="N298" i="2"/>
  <c r="O298" i="2" s="1"/>
  <c r="L298" i="2"/>
  <c r="H298" i="2"/>
  <c r="I298" i="2" s="1"/>
  <c r="F298" i="2"/>
  <c r="C298" i="2"/>
  <c r="AD297" i="2"/>
  <c r="AC297" i="2"/>
  <c r="AA297" i="2"/>
  <c r="X297" i="2"/>
  <c r="W297" i="2"/>
  <c r="U297" i="2"/>
  <c r="R297" i="2"/>
  <c r="N297" i="2"/>
  <c r="L297" i="2"/>
  <c r="H297" i="2"/>
  <c r="I297" i="2" s="1"/>
  <c r="F297" i="2"/>
  <c r="C297" i="2"/>
  <c r="AA295" i="2"/>
  <c r="Z295" i="2"/>
  <c r="W295" i="2"/>
  <c r="X295" i="2" s="1"/>
  <c r="T295" i="2"/>
  <c r="U295" i="2" s="1"/>
  <c r="R295" i="2"/>
  <c r="Q295" i="2"/>
  <c r="AC295" i="2" s="1"/>
  <c r="AD295" i="2" s="1"/>
  <c r="K295" i="2"/>
  <c r="L295" i="2" s="1"/>
  <c r="H295" i="2"/>
  <c r="I295" i="2" s="1"/>
  <c r="F295" i="2"/>
  <c r="E295" i="2"/>
  <c r="C295" i="2"/>
  <c r="B295" i="2"/>
  <c r="AD294" i="2"/>
  <c r="AC294" i="2"/>
  <c r="AA294" i="2"/>
  <c r="X294" i="2"/>
  <c r="W294" i="2"/>
  <c r="U294" i="2"/>
  <c r="R294" i="2"/>
  <c r="N294" i="2"/>
  <c r="O294" i="2" s="1"/>
  <c r="L294" i="2"/>
  <c r="H294" i="2"/>
  <c r="I294" i="2" s="1"/>
  <c r="F294" i="2"/>
  <c r="C294" i="2"/>
  <c r="AD293" i="2"/>
  <c r="AC293" i="2"/>
  <c r="AA293" i="2"/>
  <c r="X293" i="2"/>
  <c r="W293" i="2"/>
  <c r="U293" i="2"/>
  <c r="R293" i="2"/>
  <c r="O293" i="2"/>
  <c r="N293" i="2"/>
  <c r="L293" i="2"/>
  <c r="I293" i="2"/>
  <c r="H293" i="2"/>
  <c r="F293" i="2"/>
  <c r="C293" i="2"/>
  <c r="AD292" i="2"/>
  <c r="AC292" i="2"/>
  <c r="AA292" i="2"/>
  <c r="W292" i="2"/>
  <c r="U292" i="2"/>
  <c r="R292" i="2"/>
  <c r="N292" i="2"/>
  <c r="L292" i="2"/>
  <c r="I292" i="2"/>
  <c r="H292" i="2"/>
  <c r="F292" i="2"/>
  <c r="C292" i="2"/>
  <c r="AC291" i="2"/>
  <c r="AD291" i="2" s="1"/>
  <c r="AA291" i="2"/>
  <c r="W291" i="2"/>
  <c r="X291" i="2" s="1"/>
  <c r="U291" i="2"/>
  <c r="R291" i="2"/>
  <c r="N291" i="2"/>
  <c r="L291" i="2"/>
  <c r="I291" i="2"/>
  <c r="H291" i="2"/>
  <c r="F291" i="2"/>
  <c r="C291" i="2"/>
  <c r="AD290" i="2"/>
  <c r="AC290" i="2"/>
  <c r="AA290" i="2"/>
  <c r="X290" i="2"/>
  <c r="W290" i="2"/>
  <c r="U290" i="2"/>
  <c r="R290" i="2"/>
  <c r="N290" i="2"/>
  <c r="O290" i="2" s="1"/>
  <c r="L290" i="2"/>
  <c r="H290" i="2"/>
  <c r="I290" i="2" s="1"/>
  <c r="F290" i="2"/>
  <c r="C290" i="2"/>
  <c r="AD289" i="2"/>
  <c r="AC289" i="2"/>
  <c r="AA289" i="2"/>
  <c r="X289" i="2"/>
  <c r="W289" i="2"/>
  <c r="U289" i="2"/>
  <c r="R289" i="2"/>
  <c r="O289" i="2"/>
  <c r="N289" i="2"/>
  <c r="L289" i="2"/>
  <c r="H289" i="2"/>
  <c r="I289" i="2" s="1"/>
  <c r="F289" i="2"/>
  <c r="C289" i="2"/>
  <c r="AD288" i="2"/>
  <c r="AC288" i="2"/>
  <c r="AA288" i="2"/>
  <c r="W288" i="2"/>
  <c r="U288" i="2"/>
  <c r="R288" i="2"/>
  <c r="O288" i="2"/>
  <c r="N288" i="2"/>
  <c r="L288" i="2"/>
  <c r="I288" i="2"/>
  <c r="H288" i="2"/>
  <c r="F288" i="2"/>
  <c r="C288" i="2"/>
  <c r="AC287" i="2"/>
  <c r="AD287" i="2" s="1"/>
  <c r="AA287" i="2"/>
  <c r="W287" i="2"/>
  <c r="X287" i="2" s="1"/>
  <c r="U287" i="2"/>
  <c r="R287" i="2"/>
  <c r="N287" i="2"/>
  <c r="L287" i="2"/>
  <c r="I287" i="2"/>
  <c r="H287" i="2"/>
  <c r="F287" i="2"/>
  <c r="C287" i="2"/>
  <c r="AD286" i="2"/>
  <c r="AC286" i="2"/>
  <c r="AA286" i="2"/>
  <c r="X286" i="2"/>
  <c r="W286" i="2"/>
  <c r="U286" i="2"/>
  <c r="R286" i="2"/>
  <c r="N286" i="2"/>
  <c r="O286" i="2" s="1"/>
  <c r="L286" i="2"/>
  <c r="H286" i="2"/>
  <c r="I286" i="2" s="1"/>
  <c r="F286" i="2"/>
  <c r="C286" i="2"/>
  <c r="Z284" i="2"/>
  <c r="AA284" i="2" s="1"/>
  <c r="W284" i="2"/>
  <c r="X284" i="2" s="1"/>
  <c r="U284" i="2"/>
  <c r="T284" i="2"/>
  <c r="R284" i="2"/>
  <c r="Q284" i="2"/>
  <c r="K284" i="2"/>
  <c r="L284" i="2" s="1"/>
  <c r="F284" i="2"/>
  <c r="E284" i="2"/>
  <c r="B284" i="2"/>
  <c r="AC283" i="2"/>
  <c r="AD283" i="2" s="1"/>
  <c r="AA283" i="2"/>
  <c r="X283" i="2"/>
  <c r="W283" i="2"/>
  <c r="U283" i="2"/>
  <c r="R283" i="2"/>
  <c r="O283" i="2"/>
  <c r="N283" i="2"/>
  <c r="L283" i="2"/>
  <c r="I283" i="2"/>
  <c r="H283" i="2"/>
  <c r="F283" i="2"/>
  <c r="C283" i="2"/>
  <c r="AD282" i="2"/>
  <c r="AC282" i="2"/>
  <c r="AA282" i="2"/>
  <c r="W282" i="2"/>
  <c r="X282" i="2" s="1"/>
  <c r="U282" i="2"/>
  <c r="R282" i="2"/>
  <c r="N282" i="2"/>
  <c r="L282" i="2"/>
  <c r="H282" i="2"/>
  <c r="I282" i="2" s="1"/>
  <c r="F282" i="2"/>
  <c r="C282" i="2"/>
  <c r="AD281" i="2"/>
  <c r="AC281" i="2"/>
  <c r="AA281" i="2"/>
  <c r="W281" i="2"/>
  <c r="U281" i="2"/>
  <c r="R281" i="2"/>
  <c r="N281" i="2"/>
  <c r="O281" i="2" s="1"/>
  <c r="L281" i="2"/>
  <c r="I281" i="2"/>
  <c r="H281" i="2"/>
  <c r="F281" i="2"/>
  <c r="C281" i="2"/>
  <c r="AD280" i="2"/>
  <c r="AC280" i="2"/>
  <c r="AA280" i="2"/>
  <c r="W280" i="2"/>
  <c r="X280" i="2" s="1"/>
  <c r="U280" i="2"/>
  <c r="R280" i="2"/>
  <c r="N280" i="2"/>
  <c r="O280" i="2" s="1"/>
  <c r="L280" i="2"/>
  <c r="I280" i="2"/>
  <c r="H280" i="2"/>
  <c r="F280" i="2"/>
  <c r="C280" i="2"/>
  <c r="AC279" i="2"/>
  <c r="AD279" i="2" s="1"/>
  <c r="AA279" i="2"/>
  <c r="X279" i="2"/>
  <c r="W279" i="2"/>
  <c r="U279" i="2"/>
  <c r="R279" i="2"/>
  <c r="O279" i="2"/>
  <c r="N279" i="2"/>
  <c r="L279" i="2"/>
  <c r="H279" i="2"/>
  <c r="I279" i="2" s="1"/>
  <c r="F279" i="2"/>
  <c r="C279" i="2"/>
  <c r="AC278" i="2"/>
  <c r="AD278" i="2" s="1"/>
  <c r="AA278" i="2"/>
  <c r="W278" i="2"/>
  <c r="X278" i="2" s="1"/>
  <c r="U278" i="2"/>
  <c r="R278" i="2"/>
  <c r="N278" i="2"/>
  <c r="L278" i="2"/>
  <c r="H278" i="2"/>
  <c r="I278" i="2" s="1"/>
  <c r="F278" i="2"/>
  <c r="C278" i="2"/>
  <c r="AD277" i="2"/>
  <c r="AC277" i="2"/>
  <c r="AA277" i="2"/>
  <c r="W277" i="2"/>
  <c r="U277" i="2"/>
  <c r="R277" i="2"/>
  <c r="N277" i="2"/>
  <c r="O277" i="2" s="1"/>
  <c r="L277" i="2"/>
  <c r="I277" i="2"/>
  <c r="H277" i="2"/>
  <c r="F277" i="2"/>
  <c r="C277" i="2"/>
  <c r="AD276" i="2"/>
  <c r="AC276" i="2"/>
  <c r="AA276" i="2"/>
  <c r="W276" i="2"/>
  <c r="X276" i="2" s="1"/>
  <c r="U276" i="2"/>
  <c r="R276" i="2"/>
  <c r="O276" i="2"/>
  <c r="N276" i="2"/>
  <c r="L276" i="2"/>
  <c r="I276" i="2"/>
  <c r="H276" i="2"/>
  <c r="F276" i="2"/>
  <c r="C276" i="2"/>
  <c r="AC275" i="2"/>
  <c r="AD275" i="2" s="1"/>
  <c r="AA275" i="2"/>
  <c r="X275" i="2"/>
  <c r="W275" i="2"/>
  <c r="U275" i="2"/>
  <c r="R275" i="2"/>
  <c r="O275" i="2"/>
  <c r="N275" i="2"/>
  <c r="L275" i="2"/>
  <c r="I275" i="2"/>
  <c r="H275" i="2"/>
  <c r="F275" i="2"/>
  <c r="C275" i="2"/>
  <c r="Z273" i="2"/>
  <c r="AA273" i="2" s="1"/>
  <c r="U273" i="2"/>
  <c r="T273" i="2"/>
  <c r="Q273" i="2"/>
  <c r="R273" i="2" s="1"/>
  <c r="N273" i="2"/>
  <c r="O273" i="2" s="1"/>
  <c r="L273" i="2"/>
  <c r="K273" i="2"/>
  <c r="F273" i="2"/>
  <c r="E273" i="2"/>
  <c r="B273" i="2"/>
  <c r="AD272" i="2"/>
  <c r="AC272" i="2"/>
  <c r="AA272" i="2"/>
  <c r="W272" i="2"/>
  <c r="U272" i="2"/>
  <c r="R272" i="2"/>
  <c r="N272" i="2"/>
  <c r="L272" i="2"/>
  <c r="I272" i="2"/>
  <c r="H272" i="2"/>
  <c r="F272" i="2"/>
  <c r="C272" i="2"/>
  <c r="AC271" i="2"/>
  <c r="AD271" i="2" s="1"/>
  <c r="AA271" i="2"/>
  <c r="W271" i="2"/>
  <c r="X271" i="2" s="1"/>
  <c r="U271" i="2"/>
  <c r="R271" i="2"/>
  <c r="N271" i="2"/>
  <c r="L271" i="2"/>
  <c r="I271" i="2"/>
  <c r="H271" i="2"/>
  <c r="F271" i="2"/>
  <c r="C271" i="2"/>
  <c r="AD270" i="2"/>
  <c r="AC270" i="2"/>
  <c r="AA270" i="2"/>
  <c r="X270" i="2"/>
  <c r="W270" i="2"/>
  <c r="U270" i="2"/>
  <c r="R270" i="2"/>
  <c r="N270" i="2"/>
  <c r="O270" i="2" s="1"/>
  <c r="L270" i="2"/>
  <c r="H270" i="2"/>
  <c r="I270" i="2" s="1"/>
  <c r="F270" i="2"/>
  <c r="C270" i="2"/>
  <c r="AD269" i="2"/>
  <c r="AC269" i="2"/>
  <c r="AA269" i="2"/>
  <c r="X269" i="2"/>
  <c r="W269" i="2"/>
  <c r="U269" i="2"/>
  <c r="R269" i="2"/>
  <c r="O269" i="2"/>
  <c r="N269" i="2"/>
  <c r="L269" i="2"/>
  <c r="H269" i="2"/>
  <c r="I269" i="2" s="1"/>
  <c r="F269" i="2"/>
  <c r="C269" i="2"/>
  <c r="AC267" i="2"/>
  <c r="AD267" i="2" s="1"/>
  <c r="AA267" i="2"/>
  <c r="Z267" i="2"/>
  <c r="W267" i="2"/>
  <c r="X267" i="2" s="1"/>
  <c r="T267" i="2"/>
  <c r="U267" i="2" s="1"/>
  <c r="Q267" i="2"/>
  <c r="R267" i="2" s="1"/>
  <c r="L267" i="2"/>
  <c r="K267" i="2"/>
  <c r="E267" i="2"/>
  <c r="F267" i="2" s="1"/>
  <c r="C267" i="2"/>
  <c r="B267" i="2"/>
  <c r="N267" i="2" s="1"/>
  <c r="O267" i="2" s="1"/>
  <c r="AD266" i="2"/>
  <c r="AC266" i="2"/>
  <c r="AA266" i="2"/>
  <c r="X266" i="2"/>
  <c r="W266" i="2"/>
  <c r="U266" i="2"/>
  <c r="R266" i="2"/>
  <c r="N266" i="2"/>
  <c r="O266" i="2" s="1"/>
  <c r="L266" i="2"/>
  <c r="H266" i="2"/>
  <c r="I266" i="2" s="1"/>
  <c r="F266" i="2"/>
  <c r="C266" i="2"/>
  <c r="AD265" i="2"/>
  <c r="AC265" i="2"/>
  <c r="AA265" i="2"/>
  <c r="X265" i="2"/>
  <c r="W265" i="2"/>
  <c r="U265" i="2"/>
  <c r="R265" i="2"/>
  <c r="O265" i="2"/>
  <c r="N265" i="2"/>
  <c r="L265" i="2"/>
  <c r="H265" i="2"/>
  <c r="I265" i="2" s="1"/>
  <c r="F265" i="2"/>
  <c r="C265" i="2"/>
  <c r="AC263" i="2"/>
  <c r="AD263" i="2" s="1"/>
  <c r="AA263" i="2"/>
  <c r="Z263" i="2"/>
  <c r="T263" i="2"/>
  <c r="U263" i="2" s="1"/>
  <c r="R263" i="2"/>
  <c r="Q263" i="2"/>
  <c r="L263" i="2"/>
  <c r="K263" i="2"/>
  <c r="F263" i="2"/>
  <c r="E263" i="2"/>
  <c r="H263" i="2" s="1"/>
  <c r="I263" i="2" s="1"/>
  <c r="C263" i="2"/>
  <c r="B263" i="2"/>
  <c r="Z262" i="2"/>
  <c r="AA262" i="2" s="1"/>
  <c r="U262" i="2"/>
  <c r="T262" i="2"/>
  <c r="Q262" i="2"/>
  <c r="R262" i="2" s="1"/>
  <c r="N262" i="2"/>
  <c r="O262" i="2" s="1"/>
  <c r="L262" i="2"/>
  <c r="K262" i="2"/>
  <c r="F262" i="2"/>
  <c r="E262" i="2"/>
  <c r="B262" i="2"/>
  <c r="AD261" i="2"/>
  <c r="AC261" i="2"/>
  <c r="AA261" i="2"/>
  <c r="W261" i="2"/>
  <c r="U261" i="2"/>
  <c r="R261" i="2"/>
  <c r="N261" i="2"/>
  <c r="L261" i="2"/>
  <c r="I261" i="2"/>
  <c r="H261" i="2"/>
  <c r="F261" i="2"/>
  <c r="C261" i="2"/>
  <c r="AC260" i="2"/>
  <c r="AD260" i="2" s="1"/>
  <c r="AA260" i="2"/>
  <c r="W260" i="2"/>
  <c r="X260" i="2" s="1"/>
  <c r="U260" i="2"/>
  <c r="R260" i="2"/>
  <c r="N260" i="2"/>
  <c r="L260" i="2"/>
  <c r="I260" i="2"/>
  <c r="H260" i="2"/>
  <c r="F260" i="2"/>
  <c r="C260" i="2"/>
  <c r="AD259" i="2"/>
  <c r="AC259" i="2"/>
  <c r="AA259" i="2"/>
  <c r="X259" i="2"/>
  <c r="W259" i="2"/>
  <c r="U259" i="2"/>
  <c r="R259" i="2"/>
  <c r="O259" i="2"/>
  <c r="N259" i="2"/>
  <c r="L259" i="2"/>
  <c r="H259" i="2"/>
  <c r="I259" i="2" s="1"/>
  <c r="F259" i="2"/>
  <c r="C259" i="2"/>
  <c r="AC258" i="2"/>
  <c r="AD258" i="2" s="1"/>
  <c r="AA258" i="2"/>
  <c r="X258" i="2"/>
  <c r="W258" i="2"/>
  <c r="U258" i="2"/>
  <c r="R258" i="2"/>
  <c r="N258" i="2"/>
  <c r="L258" i="2"/>
  <c r="I258" i="2"/>
  <c r="H258" i="2"/>
  <c r="F258" i="2"/>
  <c r="C258" i="2"/>
  <c r="AD257" i="2"/>
  <c r="AC257" i="2"/>
  <c r="AA257" i="2"/>
  <c r="W257" i="2"/>
  <c r="X257" i="2" s="1"/>
  <c r="U257" i="2"/>
  <c r="R257" i="2"/>
  <c r="N257" i="2"/>
  <c r="O257" i="2" s="1"/>
  <c r="L257" i="2"/>
  <c r="H257" i="2"/>
  <c r="I257" i="2" s="1"/>
  <c r="F257" i="2"/>
  <c r="C257" i="2"/>
  <c r="AC256" i="2"/>
  <c r="AD256" i="2" s="1"/>
  <c r="AA256" i="2"/>
  <c r="W256" i="2"/>
  <c r="U256" i="2"/>
  <c r="R256" i="2"/>
  <c r="O256" i="2"/>
  <c r="N256" i="2"/>
  <c r="L256" i="2"/>
  <c r="I256" i="2"/>
  <c r="H256" i="2"/>
  <c r="F256" i="2"/>
  <c r="C256" i="2"/>
  <c r="AC255" i="2"/>
  <c r="AD255" i="2" s="1"/>
  <c r="AA255" i="2"/>
  <c r="X255" i="2"/>
  <c r="W255" i="2"/>
  <c r="U255" i="2"/>
  <c r="R255" i="2"/>
  <c r="O255" i="2"/>
  <c r="N255" i="2"/>
  <c r="L255" i="2"/>
  <c r="H255" i="2"/>
  <c r="I255" i="2" s="1"/>
  <c r="F255" i="2"/>
  <c r="C255" i="2"/>
  <c r="AC254" i="2"/>
  <c r="AD254" i="2" s="1"/>
  <c r="AA254" i="2"/>
  <c r="X254" i="2"/>
  <c r="W254" i="2"/>
  <c r="U254" i="2"/>
  <c r="R254" i="2"/>
  <c r="N254" i="2"/>
  <c r="L254" i="2"/>
  <c r="I254" i="2"/>
  <c r="H254" i="2"/>
  <c r="F254" i="2"/>
  <c r="C254" i="2"/>
  <c r="AD253" i="2"/>
  <c r="AC253" i="2"/>
  <c r="AA253" i="2"/>
  <c r="W253" i="2"/>
  <c r="X253" i="2" s="1"/>
  <c r="U253" i="2"/>
  <c r="R253" i="2"/>
  <c r="N253" i="2"/>
  <c r="O253" i="2" s="1"/>
  <c r="L253" i="2"/>
  <c r="H253" i="2"/>
  <c r="I253" i="2" s="1"/>
  <c r="F253" i="2"/>
  <c r="C253" i="2"/>
  <c r="AC252" i="2"/>
  <c r="AD252" i="2" s="1"/>
  <c r="AA252" i="2"/>
  <c r="W252" i="2"/>
  <c r="U252" i="2"/>
  <c r="R252" i="2"/>
  <c r="O252" i="2"/>
  <c r="N252" i="2"/>
  <c r="L252" i="2"/>
  <c r="I252" i="2"/>
  <c r="H252" i="2"/>
  <c r="F252" i="2"/>
  <c r="C252" i="2"/>
  <c r="AC251" i="2"/>
  <c r="AD251" i="2" s="1"/>
  <c r="AA251" i="2"/>
  <c r="X251" i="2"/>
  <c r="W251" i="2"/>
  <c r="U251" i="2"/>
  <c r="R251" i="2"/>
  <c r="O251" i="2"/>
  <c r="N251" i="2"/>
  <c r="L251" i="2"/>
  <c r="H251" i="2"/>
  <c r="I251" i="2" s="1"/>
  <c r="F251" i="2"/>
  <c r="C251" i="2"/>
  <c r="AC250" i="2"/>
  <c r="AD250" i="2" s="1"/>
  <c r="AA250" i="2"/>
  <c r="X250" i="2"/>
  <c r="W250" i="2"/>
  <c r="U250" i="2"/>
  <c r="R250" i="2"/>
  <c r="N250" i="2"/>
  <c r="L250" i="2"/>
  <c r="I250" i="2"/>
  <c r="H250" i="2"/>
  <c r="F250" i="2"/>
  <c r="C250" i="2"/>
  <c r="AD249" i="2"/>
  <c r="AC249" i="2"/>
  <c r="AA249" i="2"/>
  <c r="W249" i="2"/>
  <c r="X249" i="2" s="1"/>
  <c r="U249" i="2"/>
  <c r="R249" i="2"/>
  <c r="N249" i="2"/>
  <c r="O249" i="2" s="1"/>
  <c r="L249" i="2"/>
  <c r="H249" i="2"/>
  <c r="I249" i="2" s="1"/>
  <c r="F249" i="2"/>
  <c r="C249" i="2"/>
  <c r="AC248" i="2"/>
  <c r="AD248" i="2" s="1"/>
  <c r="AA248" i="2"/>
  <c r="W248" i="2"/>
  <c r="U248" i="2"/>
  <c r="R248" i="2"/>
  <c r="O248" i="2"/>
  <c r="N248" i="2"/>
  <c r="L248" i="2"/>
  <c r="I248" i="2"/>
  <c r="H248" i="2"/>
  <c r="F248" i="2"/>
  <c r="C248" i="2"/>
  <c r="AC247" i="2"/>
  <c r="AD247" i="2" s="1"/>
  <c r="AA247" i="2"/>
  <c r="X247" i="2"/>
  <c r="W247" i="2"/>
  <c r="U247" i="2"/>
  <c r="R247" i="2"/>
  <c r="O247" i="2"/>
  <c r="N247" i="2"/>
  <c r="L247" i="2"/>
  <c r="H247" i="2"/>
  <c r="I247" i="2" s="1"/>
  <c r="F247" i="2"/>
  <c r="C247" i="2"/>
  <c r="AC246" i="2"/>
  <c r="AD246" i="2" s="1"/>
  <c r="AA246" i="2"/>
  <c r="X246" i="2"/>
  <c r="W246" i="2"/>
  <c r="U246" i="2"/>
  <c r="R246" i="2"/>
  <c r="N246" i="2"/>
  <c r="L246" i="2"/>
  <c r="I246" i="2"/>
  <c r="H246" i="2"/>
  <c r="F246" i="2"/>
  <c r="C246" i="2"/>
  <c r="AD245" i="2"/>
  <c r="AC245" i="2"/>
  <c r="AA245" i="2"/>
  <c r="W245" i="2"/>
  <c r="X245" i="2" s="1"/>
  <c r="U245" i="2"/>
  <c r="R245" i="2"/>
  <c r="N245" i="2"/>
  <c r="O245" i="2" s="1"/>
  <c r="L245" i="2"/>
  <c r="H245" i="2"/>
  <c r="I245" i="2" s="1"/>
  <c r="F245" i="2"/>
  <c r="C245" i="2"/>
  <c r="AC244" i="2"/>
  <c r="AD244" i="2" s="1"/>
  <c r="AA244" i="2"/>
  <c r="W244" i="2"/>
  <c r="U244" i="2"/>
  <c r="R244" i="2"/>
  <c r="O244" i="2"/>
  <c r="N244" i="2"/>
  <c r="L244" i="2"/>
  <c r="I244" i="2"/>
  <c r="H244" i="2"/>
  <c r="F244" i="2"/>
  <c r="C244" i="2"/>
  <c r="AC243" i="2"/>
  <c r="AD243" i="2" s="1"/>
  <c r="AA243" i="2"/>
  <c r="X243" i="2"/>
  <c r="W243" i="2"/>
  <c r="U243" i="2"/>
  <c r="R243" i="2"/>
  <c r="O243" i="2"/>
  <c r="N243" i="2"/>
  <c r="L243" i="2"/>
  <c r="H243" i="2"/>
  <c r="I243" i="2" s="1"/>
  <c r="F243" i="2"/>
  <c r="C243" i="2"/>
  <c r="AC242" i="2"/>
  <c r="AD242" i="2" s="1"/>
  <c r="AA242" i="2"/>
  <c r="X242" i="2"/>
  <c r="W242" i="2"/>
  <c r="U242" i="2"/>
  <c r="R242" i="2"/>
  <c r="O242" i="2"/>
  <c r="N242" i="2"/>
  <c r="L242" i="2"/>
  <c r="H242" i="2"/>
  <c r="I242" i="2" s="1"/>
  <c r="F242" i="2"/>
  <c r="C242" i="2"/>
  <c r="AD241" i="2"/>
  <c r="AC241" i="2"/>
  <c r="AA241" i="2"/>
  <c r="X241" i="2"/>
  <c r="W241" i="2"/>
  <c r="U241" i="2"/>
  <c r="R241" i="2"/>
  <c r="O241" i="2"/>
  <c r="N241" i="2"/>
  <c r="L241" i="2"/>
  <c r="H241" i="2"/>
  <c r="I241" i="2" s="1"/>
  <c r="F241" i="2"/>
  <c r="C241" i="2"/>
  <c r="AC240" i="2"/>
  <c r="AD240" i="2" s="1"/>
  <c r="AA240" i="2"/>
  <c r="W240" i="2"/>
  <c r="U240" i="2"/>
  <c r="R240" i="2"/>
  <c r="O240" i="2"/>
  <c r="N240" i="2"/>
  <c r="L240" i="2"/>
  <c r="I240" i="2"/>
  <c r="H240" i="2"/>
  <c r="F240" i="2"/>
  <c r="C240" i="2"/>
  <c r="AD238" i="2"/>
  <c r="AC238" i="2"/>
  <c r="AA238" i="2"/>
  <c r="W238" i="2"/>
  <c r="X238" i="2" s="1"/>
  <c r="U238" i="2"/>
  <c r="R238" i="2"/>
  <c r="N238" i="2"/>
  <c r="O238" i="2" s="1"/>
  <c r="L238" i="2"/>
  <c r="H238" i="2"/>
  <c r="I238" i="2" s="1"/>
  <c r="F238" i="2"/>
  <c r="C238" i="2"/>
  <c r="AA236" i="2"/>
  <c r="Z236" i="2"/>
  <c r="AC236" i="2" s="1"/>
  <c r="AD236" i="2" s="1"/>
  <c r="W236" i="2"/>
  <c r="X236" i="2" s="1"/>
  <c r="U236" i="2"/>
  <c r="T236" i="2"/>
  <c r="Q236" i="2"/>
  <c r="R236" i="2" s="1"/>
  <c r="K236" i="2"/>
  <c r="L236" i="2" s="1"/>
  <c r="E236" i="2"/>
  <c r="F236" i="2" s="1"/>
  <c r="B236" i="2"/>
  <c r="AC235" i="2"/>
  <c r="AD235" i="2" s="1"/>
  <c r="AA235" i="2"/>
  <c r="W235" i="2"/>
  <c r="U235" i="2"/>
  <c r="R235" i="2"/>
  <c r="O235" i="2"/>
  <c r="N235" i="2"/>
  <c r="L235" i="2"/>
  <c r="I235" i="2"/>
  <c r="H235" i="2"/>
  <c r="F235" i="2"/>
  <c r="C235" i="2"/>
  <c r="AC234" i="2"/>
  <c r="AD234" i="2" s="1"/>
  <c r="AA234" i="2"/>
  <c r="X234" i="2"/>
  <c r="W234" i="2"/>
  <c r="U234" i="2"/>
  <c r="R234" i="2"/>
  <c r="O234" i="2"/>
  <c r="N234" i="2"/>
  <c r="L234" i="2"/>
  <c r="H234" i="2"/>
  <c r="I234" i="2" s="1"/>
  <c r="F234" i="2"/>
  <c r="C234" i="2"/>
  <c r="AC233" i="2"/>
  <c r="AD233" i="2" s="1"/>
  <c r="AA233" i="2"/>
  <c r="X233" i="2"/>
  <c r="W233" i="2"/>
  <c r="U233" i="2"/>
  <c r="R233" i="2"/>
  <c r="O233" i="2"/>
  <c r="N233" i="2"/>
  <c r="L233" i="2"/>
  <c r="H233" i="2"/>
  <c r="I233" i="2" s="1"/>
  <c r="F233" i="2"/>
  <c r="C233" i="2"/>
  <c r="AD232" i="2"/>
  <c r="AC232" i="2"/>
  <c r="AA232" i="2"/>
  <c r="X232" i="2"/>
  <c r="W232" i="2"/>
  <c r="U232" i="2"/>
  <c r="R232" i="2"/>
  <c r="O232" i="2"/>
  <c r="N232" i="2"/>
  <c r="L232" i="2"/>
  <c r="H232" i="2"/>
  <c r="I232" i="2" s="1"/>
  <c r="F232" i="2"/>
  <c r="C232" i="2"/>
  <c r="AC231" i="2"/>
  <c r="AD231" i="2" s="1"/>
  <c r="AA231" i="2"/>
  <c r="W231" i="2"/>
  <c r="U231" i="2"/>
  <c r="R231" i="2"/>
  <c r="O231" i="2"/>
  <c r="N231" i="2"/>
  <c r="L231" i="2"/>
  <c r="I231" i="2"/>
  <c r="H231" i="2"/>
  <c r="F231" i="2"/>
  <c r="C231" i="2"/>
  <c r="AD230" i="2"/>
  <c r="AC230" i="2"/>
  <c r="AA230" i="2"/>
  <c r="W230" i="2"/>
  <c r="X230" i="2" s="1"/>
  <c r="U230" i="2"/>
  <c r="R230" i="2"/>
  <c r="N230" i="2"/>
  <c r="O230" i="2" s="1"/>
  <c r="L230" i="2"/>
  <c r="H230" i="2"/>
  <c r="I230" i="2" s="1"/>
  <c r="F230" i="2"/>
  <c r="C230" i="2"/>
  <c r="AC229" i="2"/>
  <c r="AD229" i="2" s="1"/>
  <c r="AA229" i="2"/>
  <c r="X229" i="2"/>
  <c r="W229" i="2"/>
  <c r="U229" i="2"/>
  <c r="R229" i="2"/>
  <c r="O229" i="2"/>
  <c r="N229" i="2"/>
  <c r="L229" i="2"/>
  <c r="I229" i="2"/>
  <c r="H229" i="2"/>
  <c r="F229" i="2"/>
  <c r="C229" i="2"/>
  <c r="AD227" i="2"/>
  <c r="Z227" i="2"/>
  <c r="AA227" i="2" s="1"/>
  <c r="T227" i="2"/>
  <c r="U227" i="2" s="1"/>
  <c r="R227" i="2"/>
  <c r="Q227" i="2"/>
  <c r="AC227" i="2" s="1"/>
  <c r="L227" i="2"/>
  <c r="K227" i="2"/>
  <c r="H227" i="2"/>
  <c r="I227" i="2" s="1"/>
  <c r="F227" i="2"/>
  <c r="E227" i="2"/>
  <c r="B227" i="2"/>
  <c r="C227" i="2" s="1"/>
  <c r="AD226" i="2"/>
  <c r="AC226" i="2"/>
  <c r="AA226" i="2"/>
  <c r="W226" i="2"/>
  <c r="X226" i="2" s="1"/>
  <c r="U226" i="2"/>
  <c r="R226" i="2"/>
  <c r="N226" i="2"/>
  <c r="O226" i="2" s="1"/>
  <c r="L226" i="2"/>
  <c r="H226" i="2"/>
  <c r="I226" i="2" s="1"/>
  <c r="F226" i="2"/>
  <c r="C226" i="2"/>
  <c r="AC225" i="2"/>
  <c r="AD225" i="2" s="1"/>
  <c r="AA225" i="2"/>
  <c r="X225" i="2"/>
  <c r="W225" i="2"/>
  <c r="U225" i="2"/>
  <c r="R225" i="2"/>
  <c r="O225" i="2"/>
  <c r="N225" i="2"/>
  <c r="L225" i="2"/>
  <c r="I225" i="2"/>
  <c r="H225" i="2"/>
  <c r="F225" i="2"/>
  <c r="C225" i="2"/>
  <c r="AD224" i="2"/>
  <c r="AC224" i="2"/>
  <c r="AA224" i="2"/>
  <c r="W224" i="2"/>
  <c r="X224" i="2" s="1"/>
  <c r="U224" i="2"/>
  <c r="R224" i="2"/>
  <c r="N224" i="2"/>
  <c r="O224" i="2" s="1"/>
  <c r="L224" i="2"/>
  <c r="H224" i="2"/>
  <c r="I224" i="2" s="1"/>
  <c r="F224" i="2"/>
  <c r="C224" i="2"/>
  <c r="AC223" i="2"/>
  <c r="AD223" i="2" s="1"/>
  <c r="AA223" i="2"/>
  <c r="W223" i="2"/>
  <c r="U223" i="2"/>
  <c r="R223" i="2"/>
  <c r="O223" i="2"/>
  <c r="N223" i="2"/>
  <c r="L223" i="2"/>
  <c r="I223" i="2"/>
  <c r="H223" i="2"/>
  <c r="F223" i="2"/>
  <c r="C223" i="2"/>
  <c r="AC222" i="2"/>
  <c r="AD222" i="2" s="1"/>
  <c r="AA222" i="2"/>
  <c r="X222" i="2"/>
  <c r="W222" i="2"/>
  <c r="U222" i="2"/>
  <c r="R222" i="2"/>
  <c r="O222" i="2"/>
  <c r="N222" i="2"/>
  <c r="L222" i="2"/>
  <c r="H222" i="2"/>
  <c r="I222" i="2" s="1"/>
  <c r="F222" i="2"/>
  <c r="C222" i="2"/>
  <c r="AC221" i="2"/>
  <c r="AD221" i="2" s="1"/>
  <c r="AA221" i="2"/>
  <c r="X221" i="2"/>
  <c r="W221" i="2"/>
  <c r="U221" i="2"/>
  <c r="R221" i="2"/>
  <c r="O221" i="2"/>
  <c r="N221" i="2"/>
  <c r="L221" i="2"/>
  <c r="H221" i="2"/>
  <c r="I221" i="2" s="1"/>
  <c r="F221" i="2"/>
  <c r="C221" i="2"/>
  <c r="AD220" i="2"/>
  <c r="AC220" i="2"/>
  <c r="AA220" i="2"/>
  <c r="X220" i="2"/>
  <c r="W220" i="2"/>
  <c r="U220" i="2"/>
  <c r="R220" i="2"/>
  <c r="O220" i="2"/>
  <c r="N220" i="2"/>
  <c r="L220" i="2"/>
  <c r="H220" i="2"/>
  <c r="I220" i="2" s="1"/>
  <c r="F220" i="2"/>
  <c r="C220" i="2"/>
  <c r="AC219" i="2"/>
  <c r="AD219" i="2" s="1"/>
  <c r="AA219" i="2"/>
  <c r="W219" i="2"/>
  <c r="U219" i="2"/>
  <c r="R219" i="2"/>
  <c r="O219" i="2"/>
  <c r="N219" i="2"/>
  <c r="L219" i="2"/>
  <c r="I219" i="2"/>
  <c r="H219" i="2"/>
  <c r="F219" i="2"/>
  <c r="C219" i="2"/>
  <c r="Z218" i="2"/>
  <c r="AA218" i="2" s="1"/>
  <c r="T218" i="2"/>
  <c r="U218" i="2" s="1"/>
  <c r="Q218" i="2"/>
  <c r="AC218" i="2" s="1"/>
  <c r="AD218" i="2" s="1"/>
  <c r="N218" i="2"/>
  <c r="O218" i="2" s="1"/>
  <c r="L218" i="2"/>
  <c r="K218" i="2"/>
  <c r="E218" i="2"/>
  <c r="H218" i="2" s="1"/>
  <c r="I218" i="2" s="1"/>
  <c r="B218" i="2"/>
  <c r="C218" i="2" s="1"/>
  <c r="AD217" i="2"/>
  <c r="AC217" i="2"/>
  <c r="AA217" i="2"/>
  <c r="X217" i="2"/>
  <c r="W217" i="2"/>
  <c r="U217" i="2"/>
  <c r="R217" i="2"/>
  <c r="N217" i="2"/>
  <c r="O217" i="2" s="1"/>
  <c r="L217" i="2"/>
  <c r="H217" i="2"/>
  <c r="I217" i="2" s="1"/>
  <c r="F217" i="2"/>
  <c r="C217" i="2"/>
  <c r="AC216" i="2"/>
  <c r="AD216" i="2" s="1"/>
  <c r="AA216" i="2"/>
  <c r="W216" i="2"/>
  <c r="U216" i="2"/>
  <c r="R216" i="2"/>
  <c r="O216" i="2"/>
  <c r="N216" i="2"/>
  <c r="L216" i="2"/>
  <c r="I216" i="2"/>
  <c r="H216" i="2"/>
  <c r="F216" i="2"/>
  <c r="C216" i="2"/>
  <c r="AC215" i="2"/>
  <c r="AD215" i="2" s="1"/>
  <c r="AA215" i="2"/>
  <c r="X215" i="2"/>
  <c r="W215" i="2"/>
  <c r="U215" i="2"/>
  <c r="R215" i="2"/>
  <c r="O215" i="2"/>
  <c r="N215" i="2"/>
  <c r="L215" i="2"/>
  <c r="H215" i="2"/>
  <c r="I215" i="2" s="1"/>
  <c r="F215" i="2"/>
  <c r="C215" i="2"/>
  <c r="AC214" i="2"/>
  <c r="AD214" i="2" s="1"/>
  <c r="AA214" i="2"/>
  <c r="X214" i="2"/>
  <c r="W214" i="2"/>
  <c r="U214" i="2"/>
  <c r="R214" i="2"/>
  <c r="O214" i="2"/>
  <c r="N214" i="2"/>
  <c r="L214" i="2"/>
  <c r="H214" i="2"/>
  <c r="I214" i="2" s="1"/>
  <c r="F214" i="2"/>
  <c r="C214" i="2"/>
  <c r="AD213" i="2"/>
  <c r="AC213" i="2"/>
  <c r="AA213" i="2"/>
  <c r="X213" i="2"/>
  <c r="W213" i="2"/>
  <c r="U213" i="2"/>
  <c r="R213" i="2"/>
  <c r="O213" i="2"/>
  <c r="N213" i="2"/>
  <c r="L213" i="2"/>
  <c r="H213" i="2"/>
  <c r="I213" i="2" s="1"/>
  <c r="F213" i="2"/>
  <c r="C213" i="2"/>
  <c r="AC211" i="2"/>
  <c r="AD211" i="2" s="1"/>
  <c r="AA211" i="2"/>
  <c r="W211" i="2"/>
  <c r="U211" i="2"/>
  <c r="R211" i="2"/>
  <c r="O211" i="2"/>
  <c r="N211" i="2"/>
  <c r="L211" i="2"/>
  <c r="I211" i="2"/>
  <c r="H211" i="2"/>
  <c r="F211" i="2"/>
  <c r="C211" i="2"/>
  <c r="Z209" i="2"/>
  <c r="AA209" i="2" s="1"/>
  <c r="T209" i="2"/>
  <c r="U209" i="2" s="1"/>
  <c r="Q209" i="2"/>
  <c r="AC209" i="2" s="1"/>
  <c r="AD209" i="2" s="1"/>
  <c r="N209" i="2"/>
  <c r="O209" i="2" s="1"/>
  <c r="L209" i="2"/>
  <c r="K209" i="2"/>
  <c r="E209" i="2"/>
  <c r="F209" i="2" s="1"/>
  <c r="B209" i="2"/>
  <c r="C209" i="2" s="1"/>
  <c r="AD208" i="2"/>
  <c r="AC208" i="2"/>
  <c r="AA208" i="2"/>
  <c r="W208" i="2"/>
  <c r="X208" i="2" s="1"/>
  <c r="U208" i="2"/>
  <c r="R208" i="2"/>
  <c r="N208" i="2"/>
  <c r="O208" i="2" s="1"/>
  <c r="L208" i="2"/>
  <c r="H208" i="2"/>
  <c r="I208" i="2" s="1"/>
  <c r="F208" i="2"/>
  <c r="C208" i="2"/>
  <c r="AC207" i="2"/>
  <c r="AD207" i="2" s="1"/>
  <c r="AA207" i="2"/>
  <c r="W207" i="2"/>
  <c r="U207" i="2"/>
  <c r="R207" i="2"/>
  <c r="O207" i="2"/>
  <c r="N207" i="2"/>
  <c r="L207" i="2"/>
  <c r="I207" i="2"/>
  <c r="H207" i="2"/>
  <c r="F207" i="2"/>
  <c r="C207" i="2"/>
  <c r="AD206" i="2"/>
  <c r="AC206" i="2"/>
  <c r="AA206" i="2"/>
  <c r="X206" i="2"/>
  <c r="W206" i="2"/>
  <c r="U206" i="2"/>
  <c r="R206" i="2"/>
  <c r="O206" i="2"/>
  <c r="N206" i="2"/>
  <c r="L206" i="2"/>
  <c r="H206" i="2"/>
  <c r="I206" i="2" s="1"/>
  <c r="F206" i="2"/>
  <c r="C206" i="2"/>
  <c r="AC205" i="2"/>
  <c r="AD205" i="2" s="1"/>
  <c r="AA205" i="2"/>
  <c r="X205" i="2"/>
  <c r="W205" i="2"/>
  <c r="U205" i="2"/>
  <c r="R205" i="2"/>
  <c r="O205" i="2"/>
  <c r="N205" i="2"/>
  <c r="L205" i="2"/>
  <c r="H205" i="2"/>
  <c r="I205" i="2" s="1"/>
  <c r="F205" i="2"/>
  <c r="C205" i="2"/>
  <c r="AD204" i="2"/>
  <c r="AC204" i="2"/>
  <c r="AA204" i="2"/>
  <c r="X204" i="2"/>
  <c r="W204" i="2"/>
  <c r="U204" i="2"/>
  <c r="R204" i="2"/>
  <c r="O204" i="2"/>
  <c r="N204" i="2"/>
  <c r="L204" i="2"/>
  <c r="H204" i="2"/>
  <c r="I204" i="2" s="1"/>
  <c r="F204" i="2"/>
  <c r="C204" i="2"/>
  <c r="AC203" i="2"/>
  <c r="AD203" i="2" s="1"/>
  <c r="AA203" i="2"/>
  <c r="W203" i="2"/>
  <c r="U203" i="2"/>
  <c r="R203" i="2"/>
  <c r="O203" i="2"/>
  <c r="N203" i="2"/>
  <c r="L203" i="2"/>
  <c r="I203" i="2"/>
  <c r="H203" i="2"/>
  <c r="F203" i="2"/>
  <c r="C203" i="2"/>
  <c r="AD202" i="2"/>
  <c r="AC202" i="2"/>
  <c r="AA202" i="2"/>
  <c r="W202" i="2"/>
  <c r="X202" i="2" s="1"/>
  <c r="U202" i="2"/>
  <c r="R202" i="2"/>
  <c r="N202" i="2"/>
  <c r="O202" i="2" s="1"/>
  <c r="L202" i="2"/>
  <c r="H202" i="2"/>
  <c r="I202" i="2" s="1"/>
  <c r="F202" i="2"/>
  <c r="C202" i="2"/>
  <c r="AC201" i="2"/>
  <c r="AD201" i="2" s="1"/>
  <c r="AA201" i="2"/>
  <c r="X201" i="2"/>
  <c r="W201" i="2"/>
  <c r="U201" i="2"/>
  <c r="R201" i="2"/>
  <c r="O201" i="2"/>
  <c r="N201" i="2"/>
  <c r="L201" i="2"/>
  <c r="I201" i="2"/>
  <c r="H201" i="2"/>
  <c r="F201" i="2"/>
  <c r="C201" i="2"/>
  <c r="Z197" i="2"/>
  <c r="AA197" i="2" s="1"/>
  <c r="T197" i="2"/>
  <c r="U197" i="2" s="1"/>
  <c r="Q197" i="2"/>
  <c r="AC197" i="2" s="1"/>
  <c r="AD197" i="2" s="1"/>
  <c r="N197" i="2"/>
  <c r="O197" i="2" s="1"/>
  <c r="L197" i="2"/>
  <c r="K197" i="2"/>
  <c r="E197" i="2"/>
  <c r="F197" i="2" s="1"/>
  <c r="B197" i="2"/>
  <c r="C197" i="2" s="1"/>
  <c r="Z196" i="2"/>
  <c r="AA196" i="2" s="1"/>
  <c r="T196" i="2"/>
  <c r="U196" i="2" s="1"/>
  <c r="R196" i="2"/>
  <c r="Q196" i="2"/>
  <c r="AC196" i="2" s="1"/>
  <c r="AD196" i="2" s="1"/>
  <c r="L196" i="2"/>
  <c r="K196" i="2"/>
  <c r="N196" i="2" s="1"/>
  <c r="O196" i="2" s="1"/>
  <c r="H196" i="2"/>
  <c r="I196" i="2" s="1"/>
  <c r="F196" i="2"/>
  <c r="E196" i="2"/>
  <c r="B196" i="2"/>
  <c r="C196" i="2" s="1"/>
  <c r="AD195" i="2"/>
  <c r="AC195" i="2"/>
  <c r="AA195" i="2"/>
  <c r="X195" i="2"/>
  <c r="W195" i="2"/>
  <c r="U195" i="2"/>
  <c r="R195" i="2"/>
  <c r="N195" i="2"/>
  <c r="O195" i="2" s="1"/>
  <c r="L195" i="2"/>
  <c r="H195" i="2"/>
  <c r="I195" i="2" s="1"/>
  <c r="F195" i="2"/>
  <c r="C195" i="2"/>
  <c r="AC194" i="2"/>
  <c r="AD194" i="2" s="1"/>
  <c r="AA194" i="2"/>
  <c r="X194" i="2"/>
  <c r="W194" i="2"/>
  <c r="U194" i="2"/>
  <c r="R194" i="2"/>
  <c r="O194" i="2"/>
  <c r="N194" i="2"/>
  <c r="L194" i="2"/>
  <c r="I194" i="2"/>
  <c r="H194" i="2"/>
  <c r="F194" i="2"/>
  <c r="C194" i="2"/>
  <c r="Z193" i="2"/>
  <c r="AA193" i="2" s="1"/>
  <c r="T193" i="2"/>
  <c r="U193" i="2" s="1"/>
  <c r="R193" i="2"/>
  <c r="Q193" i="2"/>
  <c r="AC193" i="2" s="1"/>
  <c r="AD193" i="2" s="1"/>
  <c r="L193" i="2"/>
  <c r="K193" i="2"/>
  <c r="N193" i="2" s="1"/>
  <c r="O193" i="2" s="1"/>
  <c r="H193" i="2"/>
  <c r="I193" i="2" s="1"/>
  <c r="F193" i="2"/>
  <c r="E193" i="2"/>
  <c r="B193" i="2"/>
  <c r="C193" i="2" s="1"/>
  <c r="AD192" i="2"/>
  <c r="AC192" i="2"/>
  <c r="AA192" i="2"/>
  <c r="X192" i="2"/>
  <c r="W192" i="2"/>
  <c r="U192" i="2"/>
  <c r="R192" i="2"/>
  <c r="N192" i="2"/>
  <c r="O192" i="2" s="1"/>
  <c r="L192" i="2"/>
  <c r="H192" i="2"/>
  <c r="I192" i="2" s="1"/>
  <c r="F192" i="2"/>
  <c r="C192" i="2"/>
  <c r="AC191" i="2"/>
  <c r="AD191" i="2" s="1"/>
  <c r="AA191" i="2"/>
  <c r="X191" i="2"/>
  <c r="W191" i="2"/>
  <c r="U191" i="2"/>
  <c r="R191" i="2"/>
  <c r="O191" i="2"/>
  <c r="N191" i="2"/>
  <c r="L191" i="2"/>
  <c r="I191" i="2"/>
  <c r="H191" i="2"/>
  <c r="F191" i="2"/>
  <c r="C191" i="2"/>
  <c r="AD190" i="2"/>
  <c r="AC190" i="2"/>
  <c r="AA190" i="2"/>
  <c r="W190" i="2"/>
  <c r="X190" i="2" s="1"/>
  <c r="U190" i="2"/>
  <c r="R190" i="2"/>
  <c r="N190" i="2"/>
  <c r="O190" i="2" s="1"/>
  <c r="L190" i="2"/>
  <c r="H190" i="2"/>
  <c r="I190" i="2" s="1"/>
  <c r="F190" i="2"/>
  <c r="C190" i="2"/>
  <c r="AC189" i="2"/>
  <c r="AD189" i="2" s="1"/>
  <c r="AA189" i="2"/>
  <c r="W189" i="2"/>
  <c r="U189" i="2"/>
  <c r="R189" i="2"/>
  <c r="O189" i="2"/>
  <c r="N189" i="2"/>
  <c r="L189" i="2"/>
  <c r="I189" i="2"/>
  <c r="H189" i="2"/>
  <c r="F189" i="2"/>
  <c r="C189" i="2"/>
  <c r="AD188" i="2"/>
  <c r="AC188" i="2"/>
  <c r="AA188" i="2"/>
  <c r="X188" i="2"/>
  <c r="W188" i="2"/>
  <c r="U188" i="2"/>
  <c r="R188" i="2"/>
  <c r="O188" i="2"/>
  <c r="N188" i="2"/>
  <c r="L188" i="2"/>
  <c r="H188" i="2"/>
  <c r="I188" i="2" s="1"/>
  <c r="F188" i="2"/>
  <c r="C188" i="2"/>
  <c r="AC187" i="2"/>
  <c r="AD187" i="2" s="1"/>
  <c r="AA187" i="2"/>
  <c r="X187" i="2"/>
  <c r="W187" i="2"/>
  <c r="U187" i="2"/>
  <c r="R187" i="2"/>
  <c r="O187" i="2"/>
  <c r="N187" i="2"/>
  <c r="L187" i="2"/>
  <c r="H187" i="2"/>
  <c r="I187" i="2" s="1"/>
  <c r="F187" i="2"/>
  <c r="C187" i="2"/>
  <c r="AD186" i="2"/>
  <c r="AC186" i="2"/>
  <c r="AA186" i="2"/>
  <c r="X186" i="2"/>
  <c r="W186" i="2"/>
  <c r="U186" i="2"/>
  <c r="R186" i="2"/>
  <c r="O186" i="2"/>
  <c r="N186" i="2"/>
  <c r="L186" i="2"/>
  <c r="H186" i="2"/>
  <c r="I186" i="2" s="1"/>
  <c r="F186" i="2"/>
  <c r="C186" i="2"/>
  <c r="AC184" i="2"/>
  <c r="AD184" i="2" s="1"/>
  <c r="AA184" i="2"/>
  <c r="W184" i="2"/>
  <c r="U184" i="2"/>
  <c r="R184" i="2"/>
  <c r="O184" i="2"/>
  <c r="N184" i="2"/>
  <c r="L184" i="2"/>
  <c r="I184" i="2"/>
  <c r="H184" i="2"/>
  <c r="F184" i="2"/>
  <c r="C184" i="2"/>
  <c r="AD183" i="2"/>
  <c r="AC183" i="2"/>
  <c r="AA183" i="2"/>
  <c r="W183" i="2"/>
  <c r="X183" i="2" s="1"/>
  <c r="U183" i="2"/>
  <c r="R183" i="2"/>
  <c r="N183" i="2"/>
  <c r="O183" i="2" s="1"/>
  <c r="L183" i="2"/>
  <c r="H183" i="2"/>
  <c r="I183" i="2" s="1"/>
  <c r="F183" i="2"/>
  <c r="C183" i="2"/>
  <c r="AC182" i="2"/>
  <c r="AD182" i="2" s="1"/>
  <c r="AA182" i="2"/>
  <c r="Z182" i="2"/>
  <c r="W182" i="2"/>
  <c r="X182" i="2" s="1"/>
  <c r="U182" i="2"/>
  <c r="T182" i="2"/>
  <c r="Q182" i="2"/>
  <c r="R182" i="2" s="1"/>
  <c r="K182" i="2"/>
  <c r="L182" i="2" s="1"/>
  <c r="E182" i="2"/>
  <c r="F182" i="2" s="1"/>
  <c r="B182" i="2"/>
  <c r="N182" i="2" s="1"/>
  <c r="O182" i="2" s="1"/>
  <c r="AC181" i="2"/>
  <c r="AD181" i="2" s="1"/>
  <c r="AA181" i="2"/>
  <c r="W181" i="2"/>
  <c r="U181" i="2"/>
  <c r="R181" i="2"/>
  <c r="O181" i="2"/>
  <c r="N181" i="2"/>
  <c r="L181" i="2"/>
  <c r="I181" i="2"/>
  <c r="H181" i="2"/>
  <c r="F181" i="2"/>
  <c r="C181" i="2"/>
  <c r="AC180" i="2"/>
  <c r="AD180" i="2" s="1"/>
  <c r="AA180" i="2"/>
  <c r="X180" i="2"/>
  <c r="W180" i="2"/>
  <c r="U180" i="2"/>
  <c r="R180" i="2"/>
  <c r="O180" i="2"/>
  <c r="N180" i="2"/>
  <c r="L180" i="2"/>
  <c r="H180" i="2"/>
  <c r="I180" i="2" s="1"/>
  <c r="F180" i="2"/>
  <c r="C180" i="2"/>
  <c r="AC179" i="2"/>
  <c r="AD179" i="2" s="1"/>
  <c r="AA179" i="2"/>
  <c r="X179" i="2"/>
  <c r="W179" i="2"/>
  <c r="U179" i="2"/>
  <c r="R179" i="2"/>
  <c r="O179" i="2"/>
  <c r="N179" i="2"/>
  <c r="L179" i="2"/>
  <c r="H179" i="2"/>
  <c r="I179" i="2" s="1"/>
  <c r="F179" i="2"/>
  <c r="C179" i="2"/>
  <c r="AD178" i="2"/>
  <c r="AC178" i="2"/>
  <c r="AA178" i="2"/>
  <c r="X178" i="2"/>
  <c r="W178" i="2"/>
  <c r="U178" i="2"/>
  <c r="R178" i="2"/>
  <c r="O178" i="2"/>
  <c r="N178" i="2"/>
  <c r="L178" i="2"/>
  <c r="H178" i="2"/>
  <c r="I178" i="2" s="1"/>
  <c r="F178" i="2"/>
  <c r="C178" i="2"/>
  <c r="AC177" i="2"/>
  <c r="AD177" i="2" s="1"/>
  <c r="AA177" i="2"/>
  <c r="W177" i="2"/>
  <c r="U177" i="2"/>
  <c r="R177" i="2"/>
  <c r="O177" i="2"/>
  <c r="N177" i="2"/>
  <c r="L177" i="2"/>
  <c r="I177" i="2"/>
  <c r="H177" i="2"/>
  <c r="F177" i="2"/>
  <c r="C177" i="2"/>
  <c r="AD175" i="2"/>
  <c r="AC175" i="2"/>
  <c r="AA175" i="2"/>
  <c r="W175" i="2"/>
  <c r="X175" i="2" s="1"/>
  <c r="U175" i="2"/>
  <c r="R175" i="2"/>
  <c r="N175" i="2"/>
  <c r="O175" i="2" s="1"/>
  <c r="L175" i="2"/>
  <c r="H175" i="2"/>
  <c r="I175" i="2" s="1"/>
  <c r="F175" i="2"/>
  <c r="C175" i="2"/>
  <c r="I172" i="2"/>
  <c r="E172" i="2"/>
  <c r="C172" i="2"/>
  <c r="B172" i="2"/>
  <c r="H172" i="2" s="1"/>
  <c r="AA171" i="2"/>
  <c r="Z171" i="2"/>
  <c r="U171" i="2"/>
  <c r="T171" i="2"/>
  <c r="Q171" i="2"/>
  <c r="R171" i="2" s="1"/>
  <c r="K171" i="2"/>
  <c r="L171" i="2" s="1"/>
  <c r="H171" i="2"/>
  <c r="I171" i="2" s="1"/>
  <c r="E171" i="2"/>
  <c r="F171" i="2" s="1"/>
  <c r="C171" i="2"/>
  <c r="B171" i="2"/>
  <c r="Z170" i="2"/>
  <c r="AA170" i="2" s="1"/>
  <c r="U170" i="2"/>
  <c r="T170" i="2"/>
  <c r="Q170" i="2"/>
  <c r="R170" i="2" s="1"/>
  <c r="N170" i="2"/>
  <c r="O170" i="2" s="1"/>
  <c r="K170" i="2"/>
  <c r="L170" i="2" s="1"/>
  <c r="E170" i="2"/>
  <c r="F170" i="2" s="1"/>
  <c r="C170" i="2"/>
  <c r="B170" i="2"/>
  <c r="AC169" i="2"/>
  <c r="AD169" i="2" s="1"/>
  <c r="AA169" i="2"/>
  <c r="W169" i="2"/>
  <c r="U169" i="2"/>
  <c r="R169" i="2"/>
  <c r="O169" i="2"/>
  <c r="N169" i="2"/>
  <c r="L169" i="2"/>
  <c r="I169" i="2"/>
  <c r="H169" i="2"/>
  <c r="F169" i="2"/>
  <c r="C169" i="2"/>
  <c r="AD168" i="2"/>
  <c r="AC168" i="2"/>
  <c r="AA168" i="2"/>
  <c r="W168" i="2"/>
  <c r="X168" i="2" s="1"/>
  <c r="U168" i="2"/>
  <c r="R168" i="2"/>
  <c r="N168" i="2"/>
  <c r="O168" i="2" s="1"/>
  <c r="L168" i="2"/>
  <c r="H168" i="2"/>
  <c r="I168" i="2" s="1"/>
  <c r="F168" i="2"/>
  <c r="C168" i="2"/>
  <c r="AC167" i="2"/>
  <c r="AD167" i="2" s="1"/>
  <c r="AA167" i="2"/>
  <c r="X167" i="2"/>
  <c r="W167" i="2"/>
  <c r="U167" i="2"/>
  <c r="R167" i="2"/>
  <c r="O167" i="2"/>
  <c r="N167" i="2"/>
  <c r="L167" i="2"/>
  <c r="I167" i="2"/>
  <c r="H167" i="2"/>
  <c r="F167" i="2"/>
  <c r="C167" i="2"/>
  <c r="Z166" i="2"/>
  <c r="AA166" i="2" s="1"/>
  <c r="T166" i="2"/>
  <c r="U166" i="2" s="1"/>
  <c r="R166" i="2"/>
  <c r="Q166" i="2"/>
  <c r="AC166" i="2" s="1"/>
  <c r="AD166" i="2" s="1"/>
  <c r="L166" i="2"/>
  <c r="K166" i="2"/>
  <c r="H166" i="2"/>
  <c r="I166" i="2" s="1"/>
  <c r="F166" i="2"/>
  <c r="E166" i="2"/>
  <c r="B166" i="2"/>
  <c r="C166" i="2" s="1"/>
  <c r="AD165" i="2"/>
  <c r="AC165" i="2"/>
  <c r="AA165" i="2"/>
  <c r="W165" i="2"/>
  <c r="X165" i="2" s="1"/>
  <c r="U165" i="2"/>
  <c r="R165" i="2"/>
  <c r="N165" i="2"/>
  <c r="O165" i="2" s="1"/>
  <c r="L165" i="2"/>
  <c r="H165" i="2"/>
  <c r="I165" i="2" s="1"/>
  <c r="F165" i="2"/>
  <c r="C165" i="2"/>
  <c r="AC164" i="2"/>
  <c r="AD164" i="2" s="1"/>
  <c r="AA164" i="2"/>
  <c r="X164" i="2"/>
  <c r="W164" i="2"/>
  <c r="U164" i="2"/>
  <c r="R164" i="2"/>
  <c r="O164" i="2"/>
  <c r="N164" i="2"/>
  <c r="L164" i="2"/>
  <c r="I164" i="2"/>
  <c r="H164" i="2"/>
  <c r="F164" i="2"/>
  <c r="C164" i="2"/>
  <c r="AD163" i="2"/>
  <c r="AC163" i="2"/>
  <c r="AA163" i="2"/>
  <c r="W163" i="2"/>
  <c r="X163" i="2" s="1"/>
  <c r="U163" i="2"/>
  <c r="R163" i="2"/>
  <c r="N163" i="2"/>
  <c r="O163" i="2" s="1"/>
  <c r="L163" i="2"/>
  <c r="H163" i="2"/>
  <c r="I163" i="2" s="1"/>
  <c r="F163" i="2"/>
  <c r="C163" i="2"/>
  <c r="AC162" i="2"/>
  <c r="AD162" i="2" s="1"/>
  <c r="AA162" i="2"/>
  <c r="W162" i="2"/>
  <c r="U162" i="2"/>
  <c r="R162" i="2"/>
  <c r="O162" i="2"/>
  <c r="N162" i="2"/>
  <c r="L162" i="2"/>
  <c r="I162" i="2"/>
  <c r="H162" i="2"/>
  <c r="F162" i="2"/>
  <c r="C162" i="2"/>
  <c r="AC161" i="2"/>
  <c r="AD161" i="2" s="1"/>
  <c r="AA161" i="2"/>
  <c r="X161" i="2"/>
  <c r="W161" i="2"/>
  <c r="U161" i="2"/>
  <c r="R161" i="2"/>
  <c r="O161" i="2"/>
  <c r="N161" i="2"/>
  <c r="L161" i="2"/>
  <c r="H161" i="2"/>
  <c r="I161" i="2" s="1"/>
  <c r="F161" i="2"/>
  <c r="C161" i="2"/>
  <c r="AC160" i="2"/>
  <c r="AD160" i="2" s="1"/>
  <c r="AA160" i="2"/>
  <c r="X160" i="2"/>
  <c r="W160" i="2"/>
  <c r="U160" i="2"/>
  <c r="R160" i="2"/>
  <c r="O160" i="2"/>
  <c r="N160" i="2"/>
  <c r="L160" i="2"/>
  <c r="H160" i="2"/>
  <c r="I160" i="2" s="1"/>
  <c r="F160" i="2"/>
  <c r="C160" i="2"/>
  <c r="Z158" i="2"/>
  <c r="AA158" i="2" s="1"/>
  <c r="W158" i="2"/>
  <c r="X158" i="2" s="1"/>
  <c r="T158" i="2"/>
  <c r="U158" i="2" s="1"/>
  <c r="R158" i="2"/>
  <c r="Q158" i="2"/>
  <c r="N158" i="2"/>
  <c r="O158" i="2" s="1"/>
  <c r="K158" i="2"/>
  <c r="L158" i="2" s="1"/>
  <c r="H158" i="2"/>
  <c r="I158" i="2" s="1"/>
  <c r="F158" i="2"/>
  <c r="E158" i="2"/>
  <c r="B158" i="2"/>
  <c r="C158" i="2" s="1"/>
  <c r="AC157" i="2"/>
  <c r="AD157" i="2" s="1"/>
  <c r="AA157" i="2"/>
  <c r="X157" i="2"/>
  <c r="W157" i="2"/>
  <c r="U157" i="2"/>
  <c r="R157" i="2"/>
  <c r="O157" i="2"/>
  <c r="N157" i="2"/>
  <c r="L157" i="2"/>
  <c r="H157" i="2"/>
  <c r="I157" i="2" s="1"/>
  <c r="F157" i="2"/>
  <c r="C157" i="2"/>
  <c r="AC156" i="2"/>
  <c r="AD156" i="2" s="1"/>
  <c r="AA156" i="2"/>
  <c r="X156" i="2"/>
  <c r="W156" i="2"/>
  <c r="U156" i="2"/>
  <c r="R156" i="2"/>
  <c r="O156" i="2"/>
  <c r="N156" i="2"/>
  <c r="L156" i="2"/>
  <c r="H156" i="2"/>
  <c r="I156" i="2" s="1"/>
  <c r="F156" i="2"/>
  <c r="C156" i="2"/>
  <c r="AD155" i="2"/>
  <c r="AC155" i="2"/>
  <c r="AA155" i="2"/>
  <c r="X155" i="2"/>
  <c r="W155" i="2"/>
  <c r="U155" i="2"/>
  <c r="R155" i="2"/>
  <c r="O155" i="2"/>
  <c r="N155" i="2"/>
  <c r="L155" i="2"/>
  <c r="H155" i="2"/>
  <c r="I155" i="2" s="1"/>
  <c r="F155" i="2"/>
  <c r="C155" i="2"/>
  <c r="AC154" i="2"/>
  <c r="AD154" i="2" s="1"/>
  <c r="AA154" i="2"/>
  <c r="W154" i="2"/>
  <c r="U154" i="2"/>
  <c r="R154" i="2"/>
  <c r="O154" i="2"/>
  <c r="N154" i="2"/>
  <c r="L154" i="2"/>
  <c r="I154" i="2"/>
  <c r="H154" i="2"/>
  <c r="F154" i="2"/>
  <c r="C154" i="2"/>
  <c r="AD153" i="2"/>
  <c r="AC153" i="2"/>
  <c r="AA153" i="2"/>
  <c r="W153" i="2"/>
  <c r="X153" i="2" s="1"/>
  <c r="U153" i="2"/>
  <c r="R153" i="2"/>
  <c r="N153" i="2"/>
  <c r="O153" i="2" s="1"/>
  <c r="L153" i="2"/>
  <c r="H153" i="2"/>
  <c r="I153" i="2" s="1"/>
  <c r="F153" i="2"/>
  <c r="C153" i="2"/>
  <c r="AC151" i="2"/>
  <c r="AD151" i="2" s="1"/>
  <c r="AA151" i="2"/>
  <c r="X151" i="2"/>
  <c r="W151" i="2"/>
  <c r="U151" i="2"/>
  <c r="R151" i="2"/>
  <c r="O151" i="2"/>
  <c r="N151" i="2"/>
  <c r="L151" i="2"/>
  <c r="I151" i="2"/>
  <c r="H151" i="2"/>
  <c r="F151" i="2"/>
  <c r="C151" i="2"/>
  <c r="Z149" i="2"/>
  <c r="AA149" i="2" s="1"/>
  <c r="T149" i="2"/>
  <c r="U149" i="2" s="1"/>
  <c r="R149" i="2"/>
  <c r="Q149" i="2"/>
  <c r="AC149" i="2" s="1"/>
  <c r="AD149" i="2" s="1"/>
  <c r="L149" i="2"/>
  <c r="K149" i="2"/>
  <c r="N149" i="2" s="1"/>
  <c r="O149" i="2" s="1"/>
  <c r="H149" i="2"/>
  <c r="I149" i="2" s="1"/>
  <c r="F149" i="2"/>
  <c r="E149" i="2"/>
  <c r="B149" i="2"/>
  <c r="C149" i="2" s="1"/>
  <c r="Z148" i="2"/>
  <c r="AA148" i="2" s="1"/>
  <c r="T148" i="2"/>
  <c r="U148" i="2" s="1"/>
  <c r="Q148" i="2"/>
  <c r="W148" i="2" s="1"/>
  <c r="X148" i="2" s="1"/>
  <c r="N148" i="2"/>
  <c r="O148" i="2" s="1"/>
  <c r="L148" i="2"/>
  <c r="K148" i="2"/>
  <c r="H148" i="2"/>
  <c r="I148" i="2" s="1"/>
  <c r="E148" i="2"/>
  <c r="F148" i="2" s="1"/>
  <c r="B148" i="2"/>
  <c r="C148" i="2" s="1"/>
  <c r="AD147" i="2"/>
  <c r="AC147" i="2"/>
  <c r="AA147" i="2"/>
  <c r="W147" i="2"/>
  <c r="X147" i="2" s="1"/>
  <c r="U147" i="2"/>
  <c r="R147" i="2"/>
  <c r="N147" i="2"/>
  <c r="O147" i="2" s="1"/>
  <c r="L147" i="2"/>
  <c r="H147" i="2"/>
  <c r="I147" i="2" s="1"/>
  <c r="F147" i="2"/>
  <c r="C147" i="2"/>
  <c r="AC146" i="2"/>
  <c r="AD146" i="2" s="1"/>
  <c r="AA146" i="2"/>
  <c r="W146" i="2"/>
  <c r="U146" i="2"/>
  <c r="R146" i="2"/>
  <c r="O146" i="2"/>
  <c r="N146" i="2"/>
  <c r="L146" i="2"/>
  <c r="I146" i="2"/>
  <c r="H146" i="2"/>
  <c r="F146" i="2"/>
  <c r="C146" i="2"/>
  <c r="AC145" i="2"/>
  <c r="AD145" i="2" s="1"/>
  <c r="AA145" i="2"/>
  <c r="X145" i="2"/>
  <c r="W145" i="2"/>
  <c r="U145" i="2"/>
  <c r="R145" i="2"/>
  <c r="O145" i="2"/>
  <c r="N145" i="2"/>
  <c r="L145" i="2"/>
  <c r="H145" i="2"/>
  <c r="I145" i="2" s="1"/>
  <c r="F145" i="2"/>
  <c r="C145" i="2"/>
  <c r="AC144" i="2"/>
  <c r="AD144" i="2" s="1"/>
  <c r="AA144" i="2"/>
  <c r="X144" i="2"/>
  <c r="W144" i="2"/>
  <c r="U144" i="2"/>
  <c r="R144" i="2"/>
  <c r="O144" i="2"/>
  <c r="N144" i="2"/>
  <c r="L144" i="2"/>
  <c r="H144" i="2"/>
  <c r="I144" i="2" s="1"/>
  <c r="F144" i="2"/>
  <c r="C144" i="2"/>
  <c r="AD143" i="2"/>
  <c r="AC143" i="2"/>
  <c r="AA143" i="2"/>
  <c r="X143" i="2"/>
  <c r="W143" i="2"/>
  <c r="U143" i="2"/>
  <c r="R143" i="2"/>
  <c r="O143" i="2"/>
  <c r="N143" i="2"/>
  <c r="L143" i="2"/>
  <c r="H143" i="2"/>
  <c r="I143" i="2" s="1"/>
  <c r="F143" i="2"/>
  <c r="C143" i="2"/>
  <c r="AC141" i="2"/>
  <c r="AD141" i="2" s="1"/>
  <c r="AA141" i="2"/>
  <c r="Z141" i="2"/>
  <c r="U141" i="2"/>
  <c r="T141" i="2"/>
  <c r="Q141" i="2"/>
  <c r="R141" i="2" s="1"/>
  <c r="K141" i="2"/>
  <c r="L141" i="2" s="1"/>
  <c r="H141" i="2"/>
  <c r="I141" i="2" s="1"/>
  <c r="E141" i="2"/>
  <c r="F141" i="2" s="1"/>
  <c r="C141" i="2"/>
  <c r="B141" i="2"/>
  <c r="AC140" i="2"/>
  <c r="AD140" i="2" s="1"/>
  <c r="AA140" i="2"/>
  <c r="X140" i="2"/>
  <c r="W140" i="2"/>
  <c r="U140" i="2"/>
  <c r="R140" i="2"/>
  <c r="O140" i="2"/>
  <c r="N140" i="2"/>
  <c r="L140" i="2"/>
  <c r="H140" i="2"/>
  <c r="I140" i="2" s="1"/>
  <c r="F140" i="2"/>
  <c r="C140" i="2"/>
  <c r="AD139" i="2"/>
  <c r="AC139" i="2"/>
  <c r="AA139" i="2"/>
  <c r="X139" i="2"/>
  <c r="W139" i="2"/>
  <c r="U139" i="2"/>
  <c r="R139" i="2"/>
  <c r="O139" i="2"/>
  <c r="N139" i="2"/>
  <c r="L139" i="2"/>
  <c r="H139" i="2"/>
  <c r="I139" i="2" s="1"/>
  <c r="F139" i="2"/>
  <c r="C139" i="2"/>
  <c r="AC138" i="2"/>
  <c r="AD138" i="2" s="1"/>
  <c r="AA138" i="2"/>
  <c r="W138" i="2"/>
  <c r="U138" i="2"/>
  <c r="R138" i="2"/>
  <c r="O138" i="2"/>
  <c r="N138" i="2"/>
  <c r="L138" i="2"/>
  <c r="I138" i="2"/>
  <c r="H138" i="2"/>
  <c r="F138" i="2"/>
  <c r="C138" i="2"/>
  <c r="AC137" i="2"/>
  <c r="AD137" i="2" s="1"/>
  <c r="AA137" i="2"/>
  <c r="W137" i="2"/>
  <c r="X137" i="2" s="1"/>
  <c r="U137" i="2"/>
  <c r="R137" i="2"/>
  <c r="O137" i="2"/>
  <c r="N137" i="2"/>
  <c r="L137" i="2"/>
  <c r="H137" i="2"/>
  <c r="I137" i="2" s="1"/>
  <c r="F137" i="2"/>
  <c r="C137" i="2"/>
  <c r="AC136" i="2"/>
  <c r="AD136" i="2" s="1"/>
  <c r="AA136" i="2"/>
  <c r="X136" i="2"/>
  <c r="W136" i="2"/>
  <c r="U136" i="2"/>
  <c r="R136" i="2"/>
  <c r="O136" i="2"/>
  <c r="N136" i="2"/>
  <c r="L136" i="2"/>
  <c r="H136" i="2"/>
  <c r="I136" i="2" s="1"/>
  <c r="F136" i="2"/>
  <c r="C136" i="2"/>
  <c r="AD135" i="2"/>
  <c r="AC135" i="2"/>
  <c r="AA135" i="2"/>
  <c r="W135" i="2"/>
  <c r="X135" i="2" s="1"/>
  <c r="U135" i="2"/>
  <c r="R135" i="2"/>
  <c r="O135" i="2"/>
  <c r="N135" i="2"/>
  <c r="L135" i="2"/>
  <c r="H135" i="2"/>
  <c r="I135" i="2" s="1"/>
  <c r="F135" i="2"/>
  <c r="C135" i="2"/>
  <c r="AC134" i="2"/>
  <c r="AD134" i="2" s="1"/>
  <c r="AA134" i="2"/>
  <c r="W134" i="2"/>
  <c r="U134" i="2"/>
  <c r="R134" i="2"/>
  <c r="O134" i="2"/>
  <c r="N134" i="2"/>
  <c r="L134" i="2"/>
  <c r="I134" i="2"/>
  <c r="H134" i="2"/>
  <c r="F134" i="2"/>
  <c r="C134" i="2"/>
  <c r="AC133" i="2"/>
  <c r="AD133" i="2" s="1"/>
  <c r="AA133" i="2"/>
  <c r="W133" i="2"/>
  <c r="X133" i="2" s="1"/>
  <c r="U133" i="2"/>
  <c r="R133" i="2"/>
  <c r="O133" i="2"/>
  <c r="N133" i="2"/>
  <c r="L133" i="2"/>
  <c r="H133" i="2"/>
  <c r="I133" i="2" s="1"/>
  <c r="F133" i="2"/>
  <c r="C133" i="2"/>
  <c r="AC132" i="2"/>
  <c r="AD132" i="2" s="1"/>
  <c r="AA132" i="2"/>
  <c r="X132" i="2"/>
  <c r="W132" i="2"/>
  <c r="U132" i="2"/>
  <c r="R132" i="2"/>
  <c r="O132" i="2"/>
  <c r="N132" i="2"/>
  <c r="L132" i="2"/>
  <c r="I132" i="2"/>
  <c r="H132" i="2"/>
  <c r="F132" i="2"/>
  <c r="C132" i="2"/>
  <c r="AD131" i="2"/>
  <c r="AC131" i="2"/>
  <c r="AA131" i="2"/>
  <c r="W131" i="2"/>
  <c r="X131" i="2" s="1"/>
  <c r="U131" i="2"/>
  <c r="R131" i="2"/>
  <c r="O131" i="2"/>
  <c r="N131" i="2"/>
  <c r="L131" i="2"/>
  <c r="H131" i="2"/>
  <c r="I131" i="2" s="1"/>
  <c r="F131" i="2"/>
  <c r="C131" i="2"/>
  <c r="AC130" i="2"/>
  <c r="AD130" i="2" s="1"/>
  <c r="AA130" i="2"/>
  <c r="W130" i="2"/>
  <c r="U130" i="2"/>
  <c r="R130" i="2"/>
  <c r="O130" i="2"/>
  <c r="N130" i="2"/>
  <c r="L130" i="2"/>
  <c r="I130" i="2"/>
  <c r="H130" i="2"/>
  <c r="F130" i="2"/>
  <c r="C130" i="2"/>
  <c r="AC129" i="2"/>
  <c r="AD129" i="2" s="1"/>
  <c r="AA129" i="2"/>
  <c r="X129" i="2"/>
  <c r="W129" i="2"/>
  <c r="U129" i="2"/>
  <c r="R129" i="2"/>
  <c r="N129" i="2"/>
  <c r="O129" i="2" s="1"/>
  <c r="L129" i="2"/>
  <c r="H129" i="2"/>
  <c r="I129" i="2" s="1"/>
  <c r="F129" i="2"/>
  <c r="C129" i="2"/>
  <c r="AC127" i="2"/>
  <c r="AD127" i="2" s="1"/>
  <c r="AA127" i="2"/>
  <c r="X127" i="2"/>
  <c r="W127" i="2"/>
  <c r="U127" i="2"/>
  <c r="R127" i="2"/>
  <c r="O127" i="2"/>
  <c r="N127" i="2"/>
  <c r="L127" i="2"/>
  <c r="I127" i="2"/>
  <c r="H127" i="2"/>
  <c r="F127" i="2"/>
  <c r="C127" i="2"/>
  <c r="Z124" i="2"/>
  <c r="AA124" i="2" s="1"/>
  <c r="T124" i="2"/>
  <c r="R124" i="2"/>
  <c r="Q124" i="2"/>
  <c r="K124" i="2"/>
  <c r="N124" i="2" s="1"/>
  <c r="O124" i="2" s="1"/>
  <c r="H124" i="2"/>
  <c r="I124" i="2" s="1"/>
  <c r="F124" i="2"/>
  <c r="E124" i="2"/>
  <c r="B124" i="2"/>
  <c r="C124" i="2" s="1"/>
  <c r="AC123" i="2"/>
  <c r="AD123" i="2" s="1"/>
  <c r="AA123" i="2"/>
  <c r="X123" i="2"/>
  <c r="W123" i="2"/>
  <c r="U123" i="2"/>
  <c r="R123" i="2"/>
  <c r="N123" i="2"/>
  <c r="O123" i="2" s="1"/>
  <c r="L123" i="2"/>
  <c r="H123" i="2"/>
  <c r="I123" i="2" s="1"/>
  <c r="F123" i="2"/>
  <c r="C123" i="2"/>
  <c r="AA122" i="2"/>
  <c r="Z122" i="2"/>
  <c r="U122" i="2"/>
  <c r="T122" i="2"/>
  <c r="Q122" i="2"/>
  <c r="R122" i="2" s="1"/>
  <c r="K122" i="2"/>
  <c r="L122" i="2" s="1"/>
  <c r="E122" i="2"/>
  <c r="F122" i="2" s="1"/>
  <c r="C122" i="2"/>
  <c r="B122" i="2"/>
  <c r="H122" i="2" s="1"/>
  <c r="I122" i="2" s="1"/>
  <c r="AC121" i="2"/>
  <c r="AD121" i="2" s="1"/>
  <c r="AA121" i="2"/>
  <c r="W121" i="2"/>
  <c r="U121" i="2"/>
  <c r="R121" i="2"/>
  <c r="O121" i="2"/>
  <c r="N121" i="2"/>
  <c r="L121" i="2"/>
  <c r="I121" i="2"/>
  <c r="H121" i="2"/>
  <c r="F121" i="2"/>
  <c r="C121" i="2"/>
  <c r="AC120" i="2"/>
  <c r="AD120" i="2" s="1"/>
  <c r="AA120" i="2"/>
  <c r="W120" i="2"/>
  <c r="X120" i="2" s="1"/>
  <c r="U120" i="2"/>
  <c r="R120" i="2"/>
  <c r="O120" i="2"/>
  <c r="N120" i="2"/>
  <c r="L120" i="2"/>
  <c r="H120" i="2"/>
  <c r="I120" i="2" s="1"/>
  <c r="F120" i="2"/>
  <c r="C120" i="2"/>
  <c r="AC119" i="2"/>
  <c r="AD119" i="2" s="1"/>
  <c r="AA119" i="2"/>
  <c r="X119" i="2"/>
  <c r="W119" i="2"/>
  <c r="U119" i="2"/>
  <c r="R119" i="2"/>
  <c r="O119" i="2"/>
  <c r="N119" i="2"/>
  <c r="L119" i="2"/>
  <c r="H119" i="2"/>
  <c r="I119" i="2" s="1"/>
  <c r="F119" i="2"/>
  <c r="C119" i="2"/>
  <c r="Z118" i="2"/>
  <c r="AA118" i="2" s="1"/>
  <c r="X118" i="2"/>
  <c r="W118" i="2"/>
  <c r="T118" i="2"/>
  <c r="U118" i="2" s="1"/>
  <c r="R118" i="2"/>
  <c r="Q118" i="2"/>
  <c r="L118" i="2"/>
  <c r="K118" i="2"/>
  <c r="H118" i="2"/>
  <c r="I118" i="2" s="1"/>
  <c r="F118" i="2"/>
  <c r="E118" i="2"/>
  <c r="B118" i="2"/>
  <c r="C118" i="2" s="1"/>
  <c r="AC117" i="2"/>
  <c r="AD117" i="2" s="1"/>
  <c r="AA117" i="2"/>
  <c r="W117" i="2"/>
  <c r="X117" i="2" s="1"/>
  <c r="U117" i="2"/>
  <c r="R117" i="2"/>
  <c r="O117" i="2"/>
  <c r="N117" i="2"/>
  <c r="L117" i="2"/>
  <c r="H117" i="2"/>
  <c r="I117" i="2" s="1"/>
  <c r="F117" i="2"/>
  <c r="C117" i="2"/>
  <c r="AC116" i="2"/>
  <c r="AD116" i="2" s="1"/>
  <c r="AA116" i="2"/>
  <c r="X116" i="2"/>
  <c r="W116" i="2"/>
  <c r="U116" i="2"/>
  <c r="R116" i="2"/>
  <c r="O116" i="2"/>
  <c r="N116" i="2"/>
  <c r="L116" i="2"/>
  <c r="H116" i="2"/>
  <c r="I116" i="2" s="1"/>
  <c r="F116" i="2"/>
  <c r="C116" i="2"/>
  <c r="AD115" i="2"/>
  <c r="AC115" i="2"/>
  <c r="AA115" i="2"/>
  <c r="X115" i="2"/>
  <c r="W115" i="2"/>
  <c r="U115" i="2"/>
  <c r="R115" i="2"/>
  <c r="N115" i="2"/>
  <c r="O115" i="2" s="1"/>
  <c r="L115" i="2"/>
  <c r="H115" i="2"/>
  <c r="I115" i="2" s="1"/>
  <c r="F115" i="2"/>
  <c r="C115" i="2"/>
  <c r="AC114" i="2"/>
  <c r="AD114" i="2" s="1"/>
  <c r="AA114" i="2"/>
  <c r="W114" i="2"/>
  <c r="U114" i="2"/>
  <c r="R114" i="2"/>
  <c r="O114" i="2"/>
  <c r="N114" i="2"/>
  <c r="L114" i="2"/>
  <c r="I114" i="2"/>
  <c r="H114" i="2"/>
  <c r="F114" i="2"/>
  <c r="C114" i="2"/>
  <c r="AC113" i="2"/>
  <c r="AD113" i="2" s="1"/>
  <c r="AA113" i="2"/>
  <c r="W113" i="2"/>
  <c r="X113" i="2" s="1"/>
  <c r="U113" i="2"/>
  <c r="R113" i="2"/>
  <c r="O113" i="2"/>
  <c r="N113" i="2"/>
  <c r="L113" i="2"/>
  <c r="H113" i="2"/>
  <c r="I113" i="2" s="1"/>
  <c r="F113" i="2"/>
  <c r="C113" i="2"/>
  <c r="AC112" i="2"/>
  <c r="AD112" i="2" s="1"/>
  <c r="AA112" i="2"/>
  <c r="X112" i="2"/>
  <c r="W112" i="2"/>
  <c r="U112" i="2"/>
  <c r="R112" i="2"/>
  <c r="O112" i="2"/>
  <c r="N112" i="2"/>
  <c r="L112" i="2"/>
  <c r="H112" i="2"/>
  <c r="I112" i="2" s="1"/>
  <c r="F112" i="2"/>
  <c r="C112" i="2"/>
  <c r="AD111" i="2"/>
  <c r="AC111" i="2"/>
  <c r="AA111" i="2"/>
  <c r="W111" i="2"/>
  <c r="X111" i="2" s="1"/>
  <c r="U111" i="2"/>
  <c r="R111" i="2"/>
  <c r="O111" i="2"/>
  <c r="N111" i="2"/>
  <c r="L111" i="2"/>
  <c r="H111" i="2"/>
  <c r="I111" i="2" s="1"/>
  <c r="F111" i="2"/>
  <c r="C111" i="2"/>
  <c r="AC110" i="2"/>
  <c r="AD110" i="2" s="1"/>
  <c r="AA110" i="2"/>
  <c r="W110" i="2"/>
  <c r="U110" i="2"/>
  <c r="R110" i="2"/>
  <c r="O110" i="2"/>
  <c r="N110" i="2"/>
  <c r="L110" i="2"/>
  <c r="I110" i="2"/>
  <c r="H110" i="2"/>
  <c r="F110" i="2"/>
  <c r="C110" i="2"/>
  <c r="AC109" i="2"/>
  <c r="AD109" i="2" s="1"/>
  <c r="AA109" i="2"/>
  <c r="W109" i="2"/>
  <c r="X109" i="2" s="1"/>
  <c r="U109" i="2"/>
  <c r="R109" i="2"/>
  <c r="O109" i="2"/>
  <c r="N109" i="2"/>
  <c r="L109" i="2"/>
  <c r="H109" i="2"/>
  <c r="I109" i="2" s="1"/>
  <c r="F109" i="2"/>
  <c r="C109" i="2"/>
  <c r="AC108" i="2"/>
  <c r="AD108" i="2" s="1"/>
  <c r="AA108" i="2"/>
  <c r="X108" i="2"/>
  <c r="W108" i="2"/>
  <c r="U108" i="2"/>
  <c r="R108" i="2"/>
  <c r="O108" i="2"/>
  <c r="N108" i="2"/>
  <c r="L108" i="2"/>
  <c r="I108" i="2"/>
  <c r="H108" i="2"/>
  <c r="F108" i="2"/>
  <c r="C108" i="2"/>
  <c r="AD107" i="2"/>
  <c r="AC107" i="2"/>
  <c r="AA107" i="2"/>
  <c r="W107" i="2"/>
  <c r="X107" i="2" s="1"/>
  <c r="U107" i="2"/>
  <c r="R107" i="2"/>
  <c r="O107" i="2"/>
  <c r="N107" i="2"/>
  <c r="L107" i="2"/>
  <c r="H107" i="2"/>
  <c r="I107" i="2" s="1"/>
  <c r="F107" i="2"/>
  <c r="C107" i="2"/>
  <c r="AC106" i="2"/>
  <c r="AD106" i="2" s="1"/>
  <c r="AA106" i="2"/>
  <c r="W106" i="2"/>
  <c r="U106" i="2"/>
  <c r="R106" i="2"/>
  <c r="O106" i="2"/>
  <c r="N106" i="2"/>
  <c r="L106" i="2"/>
  <c r="I106" i="2"/>
  <c r="H106" i="2"/>
  <c r="F106" i="2"/>
  <c r="C106" i="2"/>
  <c r="AC105" i="2"/>
  <c r="AD105" i="2" s="1"/>
  <c r="AA105" i="2"/>
  <c r="X105" i="2"/>
  <c r="W105" i="2"/>
  <c r="U105" i="2"/>
  <c r="R105" i="2"/>
  <c r="N105" i="2"/>
  <c r="O105" i="2" s="1"/>
  <c r="L105" i="2"/>
  <c r="H105" i="2"/>
  <c r="I105" i="2" s="1"/>
  <c r="F105" i="2"/>
  <c r="C105" i="2"/>
  <c r="AC104" i="2"/>
  <c r="AD104" i="2" s="1"/>
  <c r="AA104" i="2"/>
  <c r="X104" i="2"/>
  <c r="W104" i="2"/>
  <c r="U104" i="2"/>
  <c r="R104" i="2"/>
  <c r="O104" i="2"/>
  <c r="N104" i="2"/>
  <c r="L104" i="2"/>
  <c r="I104" i="2"/>
  <c r="H104" i="2"/>
  <c r="F104" i="2"/>
  <c r="C104" i="2"/>
  <c r="AD103" i="2"/>
  <c r="AC103" i="2"/>
  <c r="AA103" i="2"/>
  <c r="W103" i="2"/>
  <c r="X103" i="2" s="1"/>
  <c r="U103" i="2"/>
  <c r="R103" i="2"/>
  <c r="O103" i="2"/>
  <c r="N103" i="2"/>
  <c r="L103" i="2"/>
  <c r="H103" i="2"/>
  <c r="I103" i="2" s="1"/>
  <c r="F103" i="2"/>
  <c r="C103" i="2"/>
  <c r="AC102" i="2"/>
  <c r="AD102" i="2" s="1"/>
  <c r="AA102" i="2"/>
  <c r="W102" i="2"/>
  <c r="U102" i="2"/>
  <c r="R102" i="2"/>
  <c r="O102" i="2"/>
  <c r="N102" i="2"/>
  <c r="L102" i="2"/>
  <c r="I102" i="2"/>
  <c r="H102" i="2"/>
  <c r="F102" i="2"/>
  <c r="C102" i="2"/>
  <c r="AD101" i="2"/>
  <c r="AC101" i="2"/>
  <c r="AA101" i="2"/>
  <c r="X101" i="2"/>
  <c r="W101" i="2"/>
  <c r="U101" i="2"/>
  <c r="R101" i="2"/>
  <c r="N101" i="2"/>
  <c r="O101" i="2" s="1"/>
  <c r="L101" i="2"/>
  <c r="H101" i="2"/>
  <c r="I101" i="2" s="1"/>
  <c r="F101" i="2"/>
  <c r="C101" i="2"/>
  <c r="AC100" i="2"/>
  <c r="AD100" i="2" s="1"/>
  <c r="AA100" i="2"/>
  <c r="X100" i="2"/>
  <c r="W100" i="2"/>
  <c r="U100" i="2"/>
  <c r="R100" i="2"/>
  <c r="O100" i="2"/>
  <c r="N100" i="2"/>
  <c r="L100" i="2"/>
  <c r="I100" i="2"/>
  <c r="H100" i="2"/>
  <c r="F100" i="2"/>
  <c r="C100" i="2"/>
  <c r="AD99" i="2"/>
  <c r="AC99" i="2"/>
  <c r="AA99" i="2"/>
  <c r="W99" i="2"/>
  <c r="X99" i="2" s="1"/>
  <c r="U99" i="2"/>
  <c r="R99" i="2"/>
  <c r="O99" i="2"/>
  <c r="N99" i="2"/>
  <c r="L99" i="2"/>
  <c r="H99" i="2"/>
  <c r="I99" i="2" s="1"/>
  <c r="F99" i="2"/>
  <c r="C99" i="2"/>
  <c r="AC98" i="2"/>
  <c r="AD98" i="2" s="1"/>
  <c r="AA98" i="2"/>
  <c r="W98" i="2"/>
  <c r="U98" i="2"/>
  <c r="R98" i="2"/>
  <c r="O98" i="2"/>
  <c r="N98" i="2"/>
  <c r="L98" i="2"/>
  <c r="I98" i="2"/>
  <c r="H98" i="2"/>
  <c r="F98" i="2"/>
  <c r="C98" i="2"/>
  <c r="AD97" i="2"/>
  <c r="AC97" i="2"/>
  <c r="AA97" i="2"/>
  <c r="X97" i="2"/>
  <c r="W97" i="2"/>
  <c r="U97" i="2"/>
  <c r="R97" i="2"/>
  <c r="N97" i="2"/>
  <c r="O97" i="2" s="1"/>
  <c r="L97" i="2"/>
  <c r="H97" i="2"/>
  <c r="I97" i="2" s="1"/>
  <c r="F97" i="2"/>
  <c r="C97" i="2"/>
  <c r="AC96" i="2"/>
  <c r="AD96" i="2" s="1"/>
  <c r="AA96" i="2"/>
  <c r="X96" i="2"/>
  <c r="W96" i="2"/>
  <c r="U96" i="2"/>
  <c r="R96" i="2"/>
  <c r="O96" i="2"/>
  <c r="N96" i="2"/>
  <c r="L96" i="2"/>
  <c r="I96" i="2"/>
  <c r="H96" i="2"/>
  <c r="F96" i="2"/>
  <c r="C96" i="2"/>
  <c r="AD95" i="2"/>
  <c r="AC95" i="2"/>
  <c r="AA95" i="2"/>
  <c r="X95" i="2"/>
  <c r="W95" i="2"/>
  <c r="U95" i="2"/>
  <c r="R95" i="2"/>
  <c r="N95" i="2"/>
  <c r="O95" i="2" s="1"/>
  <c r="L95" i="2"/>
  <c r="H95" i="2"/>
  <c r="I95" i="2" s="1"/>
  <c r="F95" i="2"/>
  <c r="C95" i="2"/>
  <c r="AC94" i="2"/>
  <c r="AD94" i="2" s="1"/>
  <c r="AA94" i="2"/>
  <c r="W94" i="2"/>
  <c r="U94" i="2"/>
  <c r="R94" i="2"/>
  <c r="O94" i="2"/>
  <c r="N94" i="2"/>
  <c r="L94" i="2"/>
  <c r="I94" i="2"/>
  <c r="H94" i="2"/>
  <c r="F94" i="2"/>
  <c r="C94" i="2"/>
  <c r="AD92" i="2"/>
  <c r="AC92" i="2"/>
  <c r="AA92" i="2"/>
  <c r="X92" i="2"/>
  <c r="W92" i="2"/>
  <c r="U92" i="2"/>
  <c r="R92" i="2"/>
  <c r="N92" i="2"/>
  <c r="O92" i="2" s="1"/>
  <c r="L92" i="2"/>
  <c r="H92" i="2"/>
  <c r="I92" i="2" s="1"/>
  <c r="F92" i="2"/>
  <c r="C92" i="2"/>
  <c r="AC91" i="2"/>
  <c r="AD91" i="2" s="1"/>
  <c r="AA91" i="2"/>
  <c r="X91" i="2"/>
  <c r="W91" i="2"/>
  <c r="U91" i="2"/>
  <c r="R91" i="2"/>
  <c r="O91" i="2"/>
  <c r="N91" i="2"/>
  <c r="L91" i="2"/>
  <c r="H91" i="2"/>
  <c r="I91" i="2" s="1"/>
  <c r="F91" i="2"/>
  <c r="C91" i="2"/>
  <c r="AD90" i="2"/>
  <c r="AC90" i="2"/>
  <c r="AA90" i="2"/>
  <c r="X90" i="2"/>
  <c r="W90" i="2"/>
  <c r="U90" i="2"/>
  <c r="R90" i="2"/>
  <c r="N90" i="2"/>
  <c r="O90" i="2" s="1"/>
  <c r="L90" i="2"/>
  <c r="H90" i="2"/>
  <c r="I90" i="2" s="1"/>
  <c r="F90" i="2"/>
  <c r="C90" i="2"/>
  <c r="AC89" i="2"/>
  <c r="AD89" i="2" s="1"/>
  <c r="AA89" i="2"/>
  <c r="W89" i="2"/>
  <c r="U89" i="2"/>
  <c r="R89" i="2"/>
  <c r="O89" i="2"/>
  <c r="N89" i="2"/>
  <c r="L89" i="2"/>
  <c r="I89" i="2"/>
  <c r="H89" i="2"/>
  <c r="F89" i="2"/>
  <c r="C89" i="2"/>
  <c r="Z88" i="2"/>
  <c r="AA88" i="2" s="1"/>
  <c r="T88" i="2"/>
  <c r="U88" i="2" s="1"/>
  <c r="R88" i="2"/>
  <c r="Q88" i="2"/>
  <c r="W88" i="2" s="1"/>
  <c r="X88" i="2" s="1"/>
  <c r="N88" i="2"/>
  <c r="O88" i="2" s="1"/>
  <c r="L88" i="2"/>
  <c r="K88" i="2"/>
  <c r="E88" i="2"/>
  <c r="F88" i="2" s="1"/>
  <c r="B88" i="2"/>
  <c r="C88" i="2" s="1"/>
  <c r="AD87" i="2"/>
  <c r="AC87" i="2"/>
  <c r="AA87" i="2"/>
  <c r="W87" i="2"/>
  <c r="X87" i="2" s="1"/>
  <c r="U87" i="2"/>
  <c r="R87" i="2"/>
  <c r="O87" i="2"/>
  <c r="N87" i="2"/>
  <c r="L87" i="2"/>
  <c r="H87" i="2"/>
  <c r="I87" i="2" s="1"/>
  <c r="F87" i="2"/>
  <c r="C87" i="2"/>
  <c r="AC86" i="2"/>
  <c r="AD86" i="2" s="1"/>
  <c r="AA86" i="2"/>
  <c r="W86" i="2"/>
  <c r="U86" i="2"/>
  <c r="R86" i="2"/>
  <c r="O86" i="2"/>
  <c r="N86" i="2"/>
  <c r="L86" i="2"/>
  <c r="I86" i="2"/>
  <c r="H86" i="2"/>
  <c r="F86" i="2"/>
  <c r="C86" i="2"/>
  <c r="AD85" i="2"/>
  <c r="AC85" i="2"/>
  <c r="AA85" i="2"/>
  <c r="X85" i="2"/>
  <c r="W85" i="2"/>
  <c r="U85" i="2"/>
  <c r="R85" i="2"/>
  <c r="N85" i="2"/>
  <c r="O85" i="2" s="1"/>
  <c r="L85" i="2"/>
  <c r="H85" i="2"/>
  <c r="I85" i="2" s="1"/>
  <c r="F85" i="2"/>
  <c r="C85" i="2"/>
  <c r="AC84" i="2"/>
  <c r="AD84" i="2" s="1"/>
  <c r="AA84" i="2"/>
  <c r="X84" i="2"/>
  <c r="W84" i="2"/>
  <c r="U84" i="2"/>
  <c r="R84" i="2"/>
  <c r="O84" i="2"/>
  <c r="N84" i="2"/>
  <c r="L84" i="2"/>
  <c r="I84" i="2"/>
  <c r="H84" i="2"/>
  <c r="F84" i="2"/>
  <c r="C84" i="2"/>
  <c r="AD83" i="2"/>
  <c r="AC83" i="2"/>
  <c r="AA83" i="2"/>
  <c r="W83" i="2"/>
  <c r="X83" i="2" s="1"/>
  <c r="U83" i="2"/>
  <c r="R83" i="2"/>
  <c r="O83" i="2"/>
  <c r="N83" i="2"/>
  <c r="L83" i="2"/>
  <c r="H83" i="2"/>
  <c r="I83" i="2" s="1"/>
  <c r="F83" i="2"/>
  <c r="C83" i="2"/>
  <c r="AC82" i="2"/>
  <c r="AD82" i="2" s="1"/>
  <c r="AA82" i="2"/>
  <c r="W82" i="2"/>
  <c r="U82" i="2"/>
  <c r="R82" i="2"/>
  <c r="O82" i="2"/>
  <c r="N82" i="2"/>
  <c r="L82" i="2"/>
  <c r="I82" i="2"/>
  <c r="H82" i="2"/>
  <c r="F82" i="2"/>
  <c r="C82" i="2"/>
  <c r="AD81" i="2"/>
  <c r="AC81" i="2"/>
  <c r="AA81" i="2"/>
  <c r="X81" i="2"/>
  <c r="W81" i="2"/>
  <c r="U81" i="2"/>
  <c r="R81" i="2"/>
  <c r="N81" i="2"/>
  <c r="O81" i="2" s="1"/>
  <c r="L81" i="2"/>
  <c r="H81" i="2"/>
  <c r="I81" i="2" s="1"/>
  <c r="F81" i="2"/>
  <c r="C81" i="2"/>
  <c r="AC80" i="2"/>
  <c r="AD80" i="2" s="1"/>
  <c r="AA80" i="2"/>
  <c r="X80" i="2"/>
  <c r="W80" i="2"/>
  <c r="U80" i="2"/>
  <c r="R80" i="2"/>
  <c r="O80" i="2"/>
  <c r="N80" i="2"/>
  <c r="L80" i="2"/>
  <c r="I80" i="2"/>
  <c r="H80" i="2"/>
  <c r="F80" i="2"/>
  <c r="C80" i="2"/>
  <c r="AD79" i="2"/>
  <c r="AC79" i="2"/>
  <c r="AA79" i="2"/>
  <c r="X79" i="2"/>
  <c r="W79" i="2"/>
  <c r="U79" i="2"/>
  <c r="R79" i="2"/>
  <c r="N79" i="2"/>
  <c r="O79" i="2" s="1"/>
  <c r="L79" i="2"/>
  <c r="H79" i="2"/>
  <c r="I79" i="2" s="1"/>
  <c r="F79" i="2"/>
  <c r="C79" i="2"/>
  <c r="AC78" i="2"/>
  <c r="AD78" i="2" s="1"/>
  <c r="AA78" i="2"/>
  <c r="W78" i="2"/>
  <c r="U78" i="2"/>
  <c r="R78" i="2"/>
  <c r="O78" i="2"/>
  <c r="N78" i="2"/>
  <c r="L78" i="2"/>
  <c r="I78" i="2"/>
  <c r="H78" i="2"/>
  <c r="F78" i="2"/>
  <c r="C78" i="2"/>
  <c r="AD77" i="2"/>
  <c r="AC77" i="2"/>
  <c r="AA77" i="2"/>
  <c r="X77" i="2"/>
  <c r="W77" i="2"/>
  <c r="U77" i="2"/>
  <c r="R77" i="2"/>
  <c r="N77" i="2"/>
  <c r="O77" i="2" s="1"/>
  <c r="L77" i="2"/>
  <c r="H77" i="2"/>
  <c r="I77" i="2" s="1"/>
  <c r="F77" i="2"/>
  <c r="C77" i="2"/>
  <c r="AC76" i="2"/>
  <c r="AD76" i="2" s="1"/>
  <c r="AA76" i="2"/>
  <c r="X76" i="2"/>
  <c r="W76" i="2"/>
  <c r="U76" i="2"/>
  <c r="R76" i="2"/>
  <c r="O76" i="2"/>
  <c r="N76" i="2"/>
  <c r="L76" i="2"/>
  <c r="H76" i="2"/>
  <c r="I76" i="2" s="1"/>
  <c r="F76" i="2"/>
  <c r="C76" i="2"/>
  <c r="AD75" i="2"/>
  <c r="AC75" i="2"/>
  <c r="AA75" i="2"/>
  <c r="X75" i="2"/>
  <c r="W75" i="2"/>
  <c r="U75" i="2"/>
  <c r="R75" i="2"/>
  <c r="N75" i="2"/>
  <c r="O75" i="2" s="1"/>
  <c r="L75" i="2"/>
  <c r="H75" i="2"/>
  <c r="I75" i="2" s="1"/>
  <c r="F75" i="2"/>
  <c r="C75" i="2"/>
  <c r="AA73" i="2"/>
  <c r="Z73" i="2"/>
  <c r="W73" i="2"/>
  <c r="X73" i="2" s="1"/>
  <c r="U73" i="2"/>
  <c r="T73" i="2"/>
  <c r="Q73" i="2"/>
  <c r="R73" i="2" s="1"/>
  <c r="K73" i="2"/>
  <c r="L73" i="2" s="1"/>
  <c r="E73" i="2"/>
  <c r="C73" i="2"/>
  <c r="B73" i="2"/>
  <c r="AC72" i="2"/>
  <c r="AD72" i="2" s="1"/>
  <c r="AA72" i="2"/>
  <c r="X72" i="2"/>
  <c r="W72" i="2"/>
  <c r="U72" i="2"/>
  <c r="R72" i="2"/>
  <c r="O72" i="2"/>
  <c r="N72" i="2"/>
  <c r="L72" i="2"/>
  <c r="H72" i="2"/>
  <c r="I72" i="2" s="1"/>
  <c r="F72" i="2"/>
  <c r="C72" i="2"/>
  <c r="AD71" i="2"/>
  <c r="AC71" i="2"/>
  <c r="AA71" i="2"/>
  <c r="X71" i="2"/>
  <c r="W71" i="2"/>
  <c r="U71" i="2"/>
  <c r="R71" i="2"/>
  <c r="N71" i="2"/>
  <c r="O71" i="2" s="1"/>
  <c r="L71" i="2"/>
  <c r="H71" i="2"/>
  <c r="I71" i="2" s="1"/>
  <c r="F71" i="2"/>
  <c r="C71" i="2"/>
  <c r="AC70" i="2"/>
  <c r="AD70" i="2" s="1"/>
  <c r="AA70" i="2"/>
  <c r="X70" i="2"/>
  <c r="W70" i="2"/>
  <c r="U70" i="2"/>
  <c r="R70" i="2"/>
  <c r="O70" i="2"/>
  <c r="N70" i="2"/>
  <c r="L70" i="2"/>
  <c r="I70" i="2"/>
  <c r="H70" i="2"/>
  <c r="F70" i="2"/>
  <c r="C70" i="2"/>
  <c r="AC69" i="2"/>
  <c r="AD69" i="2" s="1"/>
  <c r="AA69" i="2"/>
  <c r="W69" i="2"/>
  <c r="X69" i="2" s="1"/>
  <c r="U69" i="2"/>
  <c r="R69" i="2"/>
  <c r="O69" i="2"/>
  <c r="N69" i="2"/>
  <c r="L69" i="2"/>
  <c r="H69" i="2"/>
  <c r="I69" i="2" s="1"/>
  <c r="F69" i="2"/>
  <c r="C69" i="2"/>
  <c r="AC68" i="2"/>
  <c r="AD68" i="2" s="1"/>
  <c r="AA68" i="2"/>
  <c r="X68" i="2"/>
  <c r="W68" i="2"/>
  <c r="U68" i="2"/>
  <c r="R68" i="2"/>
  <c r="O68" i="2"/>
  <c r="N68" i="2"/>
  <c r="L68" i="2"/>
  <c r="I68" i="2"/>
  <c r="H68" i="2"/>
  <c r="F68" i="2"/>
  <c r="C68" i="2"/>
  <c r="AD67" i="2"/>
  <c r="AC67" i="2"/>
  <c r="AA67" i="2"/>
  <c r="W67" i="2"/>
  <c r="X67" i="2" s="1"/>
  <c r="U67" i="2"/>
  <c r="R67" i="2"/>
  <c r="O67" i="2"/>
  <c r="N67" i="2"/>
  <c r="L67" i="2"/>
  <c r="H67" i="2"/>
  <c r="I67" i="2" s="1"/>
  <c r="F67" i="2"/>
  <c r="C67" i="2"/>
  <c r="AC66" i="2"/>
  <c r="AD66" i="2" s="1"/>
  <c r="AA66" i="2"/>
  <c r="X66" i="2"/>
  <c r="W66" i="2"/>
  <c r="U66" i="2"/>
  <c r="R66" i="2"/>
  <c r="O66" i="2"/>
  <c r="N66" i="2"/>
  <c r="L66" i="2"/>
  <c r="I66" i="2"/>
  <c r="H66" i="2"/>
  <c r="F66" i="2"/>
  <c r="C66" i="2"/>
  <c r="AD65" i="2"/>
  <c r="AC65" i="2"/>
  <c r="AA65" i="2"/>
  <c r="X65" i="2"/>
  <c r="W65" i="2"/>
  <c r="U65" i="2"/>
  <c r="R65" i="2"/>
  <c r="N65" i="2"/>
  <c r="O65" i="2" s="1"/>
  <c r="L65" i="2"/>
  <c r="H65" i="2"/>
  <c r="I65" i="2" s="1"/>
  <c r="F65" i="2"/>
  <c r="C65" i="2"/>
  <c r="AC64" i="2"/>
  <c r="AD64" i="2" s="1"/>
  <c r="AA64" i="2"/>
  <c r="X64" i="2"/>
  <c r="W64" i="2"/>
  <c r="U64" i="2"/>
  <c r="R64" i="2"/>
  <c r="O64" i="2"/>
  <c r="N64" i="2"/>
  <c r="L64" i="2"/>
  <c r="H64" i="2"/>
  <c r="I64" i="2" s="1"/>
  <c r="F64" i="2"/>
  <c r="C64" i="2"/>
  <c r="Z62" i="2"/>
  <c r="AA62" i="2" s="1"/>
  <c r="W62" i="2"/>
  <c r="X62" i="2" s="1"/>
  <c r="T62" i="2"/>
  <c r="U62" i="2" s="1"/>
  <c r="R62" i="2"/>
  <c r="Q62" i="2"/>
  <c r="K62" i="2"/>
  <c r="N62" i="2" s="1"/>
  <c r="O62" i="2" s="1"/>
  <c r="F62" i="2"/>
  <c r="E62" i="2"/>
  <c r="B62" i="2"/>
  <c r="C62" i="2" s="1"/>
  <c r="Z61" i="2"/>
  <c r="X61" i="2"/>
  <c r="T61" i="2"/>
  <c r="U61" i="2" s="1"/>
  <c r="R61" i="2"/>
  <c r="Q61" i="2"/>
  <c r="W61" i="2" s="1"/>
  <c r="L61" i="2"/>
  <c r="K61" i="2"/>
  <c r="H61" i="2"/>
  <c r="I61" i="2" s="1"/>
  <c r="F61" i="2"/>
  <c r="E61" i="2"/>
  <c r="B61" i="2"/>
  <c r="C61" i="2" s="1"/>
  <c r="AD60" i="2"/>
  <c r="AC60" i="2"/>
  <c r="AA60" i="2"/>
  <c r="W60" i="2"/>
  <c r="X60" i="2" s="1"/>
  <c r="U60" i="2"/>
  <c r="R60" i="2"/>
  <c r="O60" i="2"/>
  <c r="N60" i="2"/>
  <c r="L60" i="2"/>
  <c r="H60" i="2"/>
  <c r="I60" i="2" s="1"/>
  <c r="F60" i="2"/>
  <c r="C60" i="2"/>
  <c r="AC59" i="2"/>
  <c r="AD59" i="2" s="1"/>
  <c r="AA59" i="2"/>
  <c r="X59" i="2"/>
  <c r="W59" i="2"/>
  <c r="U59" i="2"/>
  <c r="R59" i="2"/>
  <c r="O59" i="2"/>
  <c r="N59" i="2"/>
  <c r="L59" i="2"/>
  <c r="I59" i="2"/>
  <c r="H59" i="2"/>
  <c r="F59" i="2"/>
  <c r="C59" i="2"/>
  <c r="AD58" i="2"/>
  <c r="AC58" i="2"/>
  <c r="AA58" i="2"/>
  <c r="X58" i="2"/>
  <c r="W58" i="2"/>
  <c r="U58" i="2"/>
  <c r="R58" i="2"/>
  <c r="N58" i="2"/>
  <c r="O58" i="2" s="1"/>
  <c r="L58" i="2"/>
  <c r="H58" i="2"/>
  <c r="I58" i="2" s="1"/>
  <c r="F58" i="2"/>
  <c r="C58" i="2"/>
  <c r="AC57" i="2"/>
  <c r="AD57" i="2" s="1"/>
  <c r="AA57" i="2"/>
  <c r="X57" i="2"/>
  <c r="W57" i="2"/>
  <c r="U57" i="2"/>
  <c r="R57" i="2"/>
  <c r="O57" i="2"/>
  <c r="N57" i="2"/>
  <c r="L57" i="2"/>
  <c r="H57" i="2"/>
  <c r="I57" i="2" s="1"/>
  <c r="F57" i="2"/>
  <c r="C57" i="2"/>
  <c r="AD56" i="2"/>
  <c r="AC56" i="2"/>
  <c r="AA56" i="2"/>
  <c r="X56" i="2"/>
  <c r="W56" i="2"/>
  <c r="U56" i="2"/>
  <c r="R56" i="2"/>
  <c r="N56" i="2"/>
  <c r="O56" i="2" s="1"/>
  <c r="L56" i="2"/>
  <c r="H56" i="2"/>
  <c r="I56" i="2" s="1"/>
  <c r="F56" i="2"/>
  <c r="C56" i="2"/>
  <c r="AC55" i="2"/>
  <c r="AD55" i="2" s="1"/>
  <c r="AA55" i="2"/>
  <c r="X55" i="2"/>
  <c r="W55" i="2"/>
  <c r="U55" i="2"/>
  <c r="R55" i="2"/>
  <c r="O55" i="2"/>
  <c r="N55" i="2"/>
  <c r="L55" i="2"/>
  <c r="I55" i="2"/>
  <c r="H55" i="2"/>
  <c r="F55" i="2"/>
  <c r="C55" i="2"/>
  <c r="AC54" i="2"/>
  <c r="AD54" i="2" s="1"/>
  <c r="AA54" i="2"/>
  <c r="W54" i="2"/>
  <c r="X54" i="2" s="1"/>
  <c r="U54" i="2"/>
  <c r="R54" i="2"/>
  <c r="O54" i="2"/>
  <c r="N54" i="2"/>
  <c r="L54" i="2"/>
  <c r="H54" i="2"/>
  <c r="I54" i="2" s="1"/>
  <c r="F54" i="2"/>
  <c r="C54" i="2"/>
  <c r="AC53" i="2"/>
  <c r="AD53" i="2" s="1"/>
  <c r="AA53" i="2"/>
  <c r="X53" i="2"/>
  <c r="W53" i="2"/>
  <c r="U53" i="2"/>
  <c r="R53" i="2"/>
  <c r="O53" i="2"/>
  <c r="N53" i="2"/>
  <c r="L53" i="2"/>
  <c r="I53" i="2"/>
  <c r="H53" i="2"/>
  <c r="F53" i="2"/>
  <c r="C53" i="2"/>
  <c r="AD52" i="2"/>
  <c r="AC52" i="2"/>
  <c r="AA52" i="2"/>
  <c r="W52" i="2"/>
  <c r="X52" i="2" s="1"/>
  <c r="U52" i="2"/>
  <c r="R52" i="2"/>
  <c r="O52" i="2"/>
  <c r="N52" i="2"/>
  <c r="L52" i="2"/>
  <c r="H52" i="2"/>
  <c r="I52" i="2" s="1"/>
  <c r="F52" i="2"/>
  <c r="C52" i="2"/>
  <c r="AC51" i="2"/>
  <c r="AD51" i="2" s="1"/>
  <c r="AA51" i="2"/>
  <c r="X51" i="2"/>
  <c r="W51" i="2"/>
  <c r="U51" i="2"/>
  <c r="R51" i="2"/>
  <c r="O51" i="2"/>
  <c r="N51" i="2"/>
  <c r="L51" i="2"/>
  <c r="I51" i="2"/>
  <c r="H51" i="2"/>
  <c r="F51" i="2"/>
  <c r="C51" i="2"/>
  <c r="AD50" i="2"/>
  <c r="AC50" i="2"/>
  <c r="AA50" i="2"/>
  <c r="X50" i="2"/>
  <c r="W50" i="2"/>
  <c r="U50" i="2"/>
  <c r="R50" i="2"/>
  <c r="N50" i="2"/>
  <c r="O50" i="2" s="1"/>
  <c r="L50" i="2"/>
  <c r="H50" i="2"/>
  <c r="I50" i="2" s="1"/>
  <c r="F50" i="2"/>
  <c r="C50" i="2"/>
  <c r="AC49" i="2"/>
  <c r="AD49" i="2" s="1"/>
  <c r="AA49" i="2"/>
  <c r="X49" i="2"/>
  <c r="W49" i="2"/>
  <c r="U49" i="2"/>
  <c r="R49" i="2"/>
  <c r="O49" i="2"/>
  <c r="N49" i="2"/>
  <c r="L49" i="2"/>
  <c r="H49" i="2"/>
  <c r="I49" i="2" s="1"/>
  <c r="F49" i="2"/>
  <c r="C49" i="2"/>
  <c r="AD48" i="2"/>
  <c r="AC48" i="2"/>
  <c r="AA48" i="2"/>
  <c r="X48" i="2"/>
  <c r="W48" i="2"/>
  <c r="U48" i="2"/>
  <c r="R48" i="2"/>
  <c r="N48" i="2"/>
  <c r="O48" i="2" s="1"/>
  <c r="L48" i="2"/>
  <c r="H48" i="2"/>
  <c r="I48" i="2" s="1"/>
  <c r="F48" i="2"/>
  <c r="C48" i="2"/>
  <c r="AC47" i="2"/>
  <c r="AD47" i="2" s="1"/>
  <c r="AA47" i="2"/>
  <c r="X47" i="2"/>
  <c r="W47" i="2"/>
  <c r="U47" i="2"/>
  <c r="R47" i="2"/>
  <c r="O47" i="2"/>
  <c r="N47" i="2"/>
  <c r="L47" i="2"/>
  <c r="I47" i="2"/>
  <c r="H47" i="2"/>
  <c r="F47" i="2"/>
  <c r="C47" i="2"/>
  <c r="AC46" i="2"/>
  <c r="AD46" i="2" s="1"/>
  <c r="AA46" i="2"/>
  <c r="W46" i="2"/>
  <c r="X46" i="2" s="1"/>
  <c r="U46" i="2"/>
  <c r="R46" i="2"/>
  <c r="O46" i="2"/>
  <c r="N46" i="2"/>
  <c r="L46" i="2"/>
  <c r="H46" i="2"/>
  <c r="I46" i="2" s="1"/>
  <c r="F46" i="2"/>
  <c r="C46" i="2"/>
  <c r="AC44" i="2"/>
  <c r="AD44" i="2" s="1"/>
  <c r="AA44" i="2"/>
  <c r="X44" i="2"/>
  <c r="W44" i="2"/>
  <c r="U44" i="2"/>
  <c r="R44" i="2"/>
  <c r="O44" i="2"/>
  <c r="N44" i="2"/>
  <c r="L44" i="2"/>
  <c r="H44" i="2"/>
  <c r="I44" i="2" s="1"/>
  <c r="F44" i="2"/>
  <c r="C44" i="2"/>
  <c r="AD43" i="2"/>
  <c r="AC43" i="2"/>
  <c r="AA43" i="2"/>
  <c r="W43" i="2"/>
  <c r="X43" i="2" s="1"/>
  <c r="U43" i="2"/>
  <c r="R43" i="2"/>
  <c r="O43" i="2"/>
  <c r="N43" i="2"/>
  <c r="L43" i="2"/>
  <c r="H43" i="2"/>
  <c r="I43" i="2" s="1"/>
  <c r="F43" i="2"/>
  <c r="C43" i="2"/>
  <c r="AC42" i="2"/>
  <c r="AD42" i="2" s="1"/>
  <c r="AA42" i="2"/>
  <c r="X42" i="2"/>
  <c r="W42" i="2"/>
  <c r="U42" i="2"/>
  <c r="R42" i="2"/>
  <c r="O42" i="2"/>
  <c r="N42" i="2"/>
  <c r="L42" i="2"/>
  <c r="I42" i="2"/>
  <c r="H42" i="2"/>
  <c r="F42" i="2"/>
  <c r="C42" i="2"/>
  <c r="Z40" i="2"/>
  <c r="X40" i="2"/>
  <c r="T40" i="2"/>
  <c r="U40" i="2" s="1"/>
  <c r="R40" i="2"/>
  <c r="Q40" i="2"/>
  <c r="W40" i="2" s="1"/>
  <c r="L40" i="2"/>
  <c r="K40" i="2"/>
  <c r="H40" i="2"/>
  <c r="I40" i="2" s="1"/>
  <c r="F40" i="2"/>
  <c r="E40" i="2"/>
  <c r="B40" i="2"/>
  <c r="C40" i="2" s="1"/>
  <c r="AD39" i="2"/>
  <c r="AC39" i="2"/>
  <c r="AA39" i="2"/>
  <c r="W39" i="2"/>
  <c r="X39" i="2" s="1"/>
  <c r="U39" i="2"/>
  <c r="R39" i="2"/>
  <c r="O39" i="2"/>
  <c r="N39" i="2"/>
  <c r="L39" i="2"/>
  <c r="H39" i="2"/>
  <c r="I39" i="2" s="1"/>
  <c r="F39" i="2"/>
  <c r="C39" i="2"/>
  <c r="AC38" i="2"/>
  <c r="AD38" i="2" s="1"/>
  <c r="AA38" i="2"/>
  <c r="X38" i="2"/>
  <c r="W38" i="2"/>
  <c r="U38" i="2"/>
  <c r="R38" i="2"/>
  <c r="O38" i="2"/>
  <c r="N38" i="2"/>
  <c r="L38" i="2"/>
  <c r="I38" i="2"/>
  <c r="H38" i="2"/>
  <c r="F38" i="2"/>
  <c r="C38" i="2"/>
  <c r="AD37" i="2"/>
  <c r="AC37" i="2"/>
  <c r="AA37" i="2"/>
  <c r="X37" i="2"/>
  <c r="W37" i="2"/>
  <c r="U37" i="2"/>
  <c r="R37" i="2"/>
  <c r="N37" i="2"/>
  <c r="O37" i="2" s="1"/>
  <c r="L37" i="2"/>
  <c r="H37" i="2"/>
  <c r="I37" i="2" s="1"/>
  <c r="F37" i="2"/>
  <c r="C37" i="2"/>
  <c r="AC36" i="2"/>
  <c r="AD36" i="2" s="1"/>
  <c r="AA36" i="2"/>
  <c r="X36" i="2"/>
  <c r="W36" i="2"/>
  <c r="U36" i="2"/>
  <c r="R36" i="2"/>
  <c r="O36" i="2"/>
  <c r="N36" i="2"/>
  <c r="L36" i="2"/>
  <c r="H36" i="2"/>
  <c r="I36" i="2" s="1"/>
  <c r="F36" i="2"/>
  <c r="C36" i="2"/>
  <c r="AD35" i="2"/>
  <c r="AC35" i="2"/>
  <c r="AA35" i="2"/>
  <c r="X35" i="2"/>
  <c r="W35" i="2"/>
  <c r="U35" i="2"/>
  <c r="R35" i="2"/>
  <c r="N35" i="2"/>
  <c r="O35" i="2" s="1"/>
  <c r="L35" i="2"/>
  <c r="H35" i="2"/>
  <c r="I35" i="2" s="1"/>
  <c r="F35" i="2"/>
  <c r="C35" i="2"/>
  <c r="AC34" i="2"/>
  <c r="AD34" i="2" s="1"/>
  <c r="AA34" i="2"/>
  <c r="X34" i="2"/>
  <c r="W34" i="2"/>
  <c r="U34" i="2"/>
  <c r="R34" i="2"/>
  <c r="O34" i="2"/>
  <c r="N34" i="2"/>
  <c r="L34" i="2"/>
  <c r="I34" i="2"/>
  <c r="H34" i="2"/>
  <c r="F34" i="2"/>
  <c r="C34" i="2"/>
  <c r="AC33" i="2"/>
  <c r="AD33" i="2" s="1"/>
  <c r="AA33" i="2"/>
  <c r="W33" i="2"/>
  <c r="X33" i="2" s="1"/>
  <c r="U33" i="2"/>
  <c r="R33" i="2"/>
  <c r="O33" i="2"/>
  <c r="N33" i="2"/>
  <c r="L33" i="2"/>
  <c r="H33" i="2"/>
  <c r="I33" i="2" s="1"/>
  <c r="F33" i="2"/>
  <c r="C33" i="2"/>
  <c r="AC32" i="2"/>
  <c r="AD32" i="2" s="1"/>
  <c r="AA32" i="2"/>
  <c r="X32" i="2"/>
  <c r="W32" i="2"/>
  <c r="U32" i="2"/>
  <c r="R32" i="2"/>
  <c r="O32" i="2"/>
  <c r="N32" i="2"/>
  <c r="L32" i="2"/>
  <c r="H32" i="2"/>
  <c r="I32" i="2" s="1"/>
  <c r="F32" i="2"/>
  <c r="C32" i="2"/>
  <c r="AD31" i="2"/>
  <c r="AC31" i="2"/>
  <c r="AA31" i="2"/>
  <c r="W31" i="2"/>
  <c r="X31" i="2" s="1"/>
  <c r="U31" i="2"/>
  <c r="R31" i="2"/>
  <c r="O31" i="2"/>
  <c r="N31" i="2"/>
  <c r="L31" i="2"/>
  <c r="H31" i="2"/>
  <c r="I31" i="2" s="1"/>
  <c r="F31" i="2"/>
  <c r="C31" i="2"/>
  <c r="AC29" i="2"/>
  <c r="AD29" i="2" s="1"/>
  <c r="AA29" i="2"/>
  <c r="Z29" i="2"/>
  <c r="T29" i="2"/>
  <c r="U29" i="2" s="1"/>
  <c r="Q29" i="2"/>
  <c r="R29" i="2" s="1"/>
  <c r="K29" i="2"/>
  <c r="L29" i="2" s="1"/>
  <c r="H29" i="2"/>
  <c r="I29" i="2" s="1"/>
  <c r="E29" i="2"/>
  <c r="F29" i="2" s="1"/>
  <c r="C29" i="2"/>
  <c r="B29" i="2"/>
  <c r="N29" i="2" s="1"/>
  <c r="O29" i="2" s="1"/>
  <c r="AC28" i="2"/>
  <c r="AD28" i="2" s="1"/>
  <c r="AA28" i="2"/>
  <c r="X28" i="2"/>
  <c r="W28" i="2"/>
  <c r="U28" i="2"/>
  <c r="R28" i="2"/>
  <c r="O28" i="2"/>
  <c r="N28" i="2"/>
  <c r="L28" i="2"/>
  <c r="I28" i="2"/>
  <c r="H28" i="2"/>
  <c r="F28" i="2"/>
  <c r="C28" i="2"/>
  <c r="AD27" i="2"/>
  <c r="AC27" i="2"/>
  <c r="AA27" i="2"/>
  <c r="W27" i="2"/>
  <c r="X27" i="2" s="1"/>
  <c r="U27" i="2"/>
  <c r="R27" i="2"/>
  <c r="O27" i="2"/>
  <c r="N27" i="2"/>
  <c r="L27" i="2"/>
  <c r="H27" i="2"/>
  <c r="I27" i="2" s="1"/>
  <c r="F27" i="2"/>
  <c r="C27" i="2"/>
  <c r="AC26" i="2"/>
  <c r="AD26" i="2" s="1"/>
  <c r="AA26" i="2"/>
  <c r="X26" i="2"/>
  <c r="W26" i="2"/>
  <c r="U26" i="2"/>
  <c r="R26" i="2"/>
  <c r="O26" i="2"/>
  <c r="N26" i="2"/>
  <c r="L26" i="2"/>
  <c r="I26" i="2"/>
  <c r="H26" i="2"/>
  <c r="F26" i="2"/>
  <c r="C26" i="2"/>
  <c r="AD25" i="2"/>
  <c r="AC25" i="2"/>
  <c r="AA25" i="2"/>
  <c r="X25" i="2"/>
  <c r="W25" i="2"/>
  <c r="U25" i="2"/>
  <c r="R25" i="2"/>
  <c r="N25" i="2"/>
  <c r="O25" i="2" s="1"/>
  <c r="L25" i="2"/>
  <c r="H25" i="2"/>
  <c r="I25" i="2" s="1"/>
  <c r="F25" i="2"/>
  <c r="C25" i="2"/>
  <c r="AC24" i="2"/>
  <c r="AD24" i="2" s="1"/>
  <c r="AA24" i="2"/>
  <c r="X24" i="2"/>
  <c r="W24" i="2"/>
  <c r="U24" i="2"/>
  <c r="R24" i="2"/>
  <c r="O24" i="2"/>
  <c r="N24" i="2"/>
  <c r="L24" i="2"/>
  <c r="H24" i="2"/>
  <c r="I24" i="2" s="1"/>
  <c r="F24" i="2"/>
  <c r="C24" i="2"/>
  <c r="AD23" i="2"/>
  <c r="AC23" i="2"/>
  <c r="AA23" i="2"/>
  <c r="X23" i="2"/>
  <c r="W23" i="2"/>
  <c r="U23" i="2"/>
  <c r="R23" i="2"/>
  <c r="N23" i="2"/>
  <c r="O23" i="2" s="1"/>
  <c r="L23" i="2"/>
  <c r="H23" i="2"/>
  <c r="I23" i="2" s="1"/>
  <c r="F23" i="2"/>
  <c r="C23" i="2"/>
  <c r="AC22" i="2"/>
  <c r="AD22" i="2" s="1"/>
  <c r="AA22" i="2"/>
  <c r="X22" i="2"/>
  <c r="W22" i="2"/>
  <c r="U22" i="2"/>
  <c r="R22" i="2"/>
  <c r="O22" i="2"/>
  <c r="N22" i="2"/>
  <c r="L22" i="2"/>
  <c r="I22" i="2"/>
  <c r="H22" i="2"/>
  <c r="F22" i="2"/>
  <c r="C22" i="2"/>
  <c r="AC21" i="2"/>
  <c r="AD21" i="2" s="1"/>
  <c r="AA21" i="2"/>
  <c r="W21" i="2"/>
  <c r="X21" i="2" s="1"/>
  <c r="U21" i="2"/>
  <c r="R21" i="2"/>
  <c r="O21" i="2"/>
  <c r="N21" i="2"/>
  <c r="L21" i="2"/>
  <c r="H21" i="2"/>
  <c r="I21" i="2" s="1"/>
  <c r="F21" i="2"/>
  <c r="C21" i="2"/>
  <c r="AC19" i="2"/>
  <c r="AD19" i="2" s="1"/>
  <c r="AA19" i="2"/>
  <c r="X19" i="2"/>
  <c r="W19" i="2"/>
  <c r="U19" i="2"/>
  <c r="R19" i="2"/>
  <c r="O19" i="2"/>
  <c r="N19" i="2"/>
  <c r="L19" i="2"/>
  <c r="I19" i="2"/>
  <c r="H19" i="2"/>
  <c r="F19" i="2"/>
  <c r="C19" i="2"/>
  <c r="Z18" i="2"/>
  <c r="AA18" i="2" s="1"/>
  <c r="X18" i="2"/>
  <c r="W18" i="2"/>
  <c r="T18" i="2"/>
  <c r="U18" i="2" s="1"/>
  <c r="R18" i="2"/>
  <c r="Q18" i="2"/>
  <c r="K18" i="2"/>
  <c r="L18" i="2" s="1"/>
  <c r="H18" i="2"/>
  <c r="I18" i="2" s="1"/>
  <c r="F18" i="2"/>
  <c r="E18" i="2"/>
  <c r="B18" i="2"/>
  <c r="AC17" i="2"/>
  <c r="AD17" i="2" s="1"/>
  <c r="AA17" i="2"/>
  <c r="W17" i="2"/>
  <c r="X17" i="2" s="1"/>
  <c r="U17" i="2"/>
  <c r="R17" i="2"/>
  <c r="O17" i="2"/>
  <c r="N17" i="2"/>
  <c r="L17" i="2"/>
  <c r="H17" i="2"/>
  <c r="I17" i="2" s="1"/>
  <c r="F17" i="2"/>
  <c r="C17" i="2"/>
  <c r="AC16" i="2"/>
  <c r="AD16" i="2" s="1"/>
  <c r="AA16" i="2"/>
  <c r="X16" i="2"/>
  <c r="W16" i="2"/>
  <c r="U16" i="2"/>
  <c r="R16" i="2"/>
  <c r="O16" i="2"/>
  <c r="N16" i="2"/>
  <c r="L16" i="2"/>
  <c r="H16" i="2"/>
  <c r="I16" i="2" s="1"/>
  <c r="F16" i="2"/>
  <c r="C16" i="2"/>
  <c r="AD15" i="2"/>
  <c r="AC15" i="2"/>
  <c r="AA15" i="2"/>
  <c r="W15" i="2"/>
  <c r="X15" i="2" s="1"/>
  <c r="U15" i="2"/>
  <c r="R15" i="2"/>
  <c r="O15" i="2"/>
  <c r="N15" i="2"/>
  <c r="L15" i="2"/>
  <c r="H15" i="2"/>
  <c r="I15" i="2" s="1"/>
  <c r="F15" i="2"/>
  <c r="C15" i="2"/>
  <c r="AC14" i="2"/>
  <c r="AD14" i="2" s="1"/>
  <c r="AA14" i="2"/>
  <c r="X14" i="2"/>
  <c r="W14" i="2"/>
  <c r="U14" i="2"/>
  <c r="R14" i="2"/>
  <c r="O14" i="2"/>
  <c r="N14" i="2"/>
  <c r="L14" i="2"/>
  <c r="I14" i="2"/>
  <c r="H14" i="2"/>
  <c r="F14" i="2"/>
  <c r="C14" i="2"/>
  <c r="AC13" i="2"/>
  <c r="AD13" i="2" s="1"/>
  <c r="AA13" i="2"/>
  <c r="X13" i="2"/>
  <c r="W13" i="2"/>
  <c r="U13" i="2"/>
  <c r="R13" i="2"/>
  <c r="N13" i="2"/>
  <c r="O13" i="2" s="1"/>
  <c r="L13" i="2"/>
  <c r="H13" i="2"/>
  <c r="I13" i="2" s="1"/>
  <c r="F13" i="2"/>
  <c r="C13" i="2"/>
  <c r="AC12" i="2"/>
  <c r="AD12" i="2" s="1"/>
  <c r="AA12" i="2"/>
  <c r="X12" i="2"/>
  <c r="W12" i="2"/>
  <c r="U12" i="2"/>
  <c r="R12" i="2"/>
  <c r="O12" i="2"/>
  <c r="N12" i="2"/>
  <c r="L12" i="2"/>
  <c r="H12" i="2"/>
  <c r="I12" i="2" s="1"/>
  <c r="F12" i="2"/>
  <c r="C12" i="2"/>
  <c r="AD11" i="2"/>
  <c r="AC11" i="2"/>
  <c r="AA11" i="2"/>
  <c r="X11" i="2"/>
  <c r="W11" i="2"/>
  <c r="U11" i="2"/>
  <c r="R11" i="2"/>
  <c r="N11" i="2"/>
  <c r="O11" i="2" s="1"/>
  <c r="L11" i="2"/>
  <c r="H11" i="2"/>
  <c r="I11" i="2" s="1"/>
  <c r="F11" i="2"/>
  <c r="C11" i="2"/>
  <c r="AC10" i="2"/>
  <c r="AD10" i="2" s="1"/>
  <c r="AA10" i="2"/>
  <c r="X10" i="2"/>
  <c r="W10" i="2"/>
  <c r="U10" i="2"/>
  <c r="R10" i="2"/>
  <c r="O10" i="2"/>
  <c r="N10" i="2"/>
  <c r="L10" i="2"/>
  <c r="I10" i="2"/>
  <c r="H10" i="2"/>
  <c r="F10" i="2"/>
  <c r="C10" i="2"/>
  <c r="AC8" i="2"/>
  <c r="AD8" i="2" s="1"/>
  <c r="AA8" i="2"/>
  <c r="W8" i="2"/>
  <c r="X8" i="2" s="1"/>
  <c r="U8" i="2"/>
  <c r="R8" i="2"/>
  <c r="O8" i="2"/>
  <c r="N8" i="2"/>
  <c r="L8" i="2"/>
  <c r="H8" i="2"/>
  <c r="I8" i="2" s="1"/>
  <c r="F8" i="2"/>
  <c r="C8" i="2"/>
  <c r="AC444" i="1"/>
  <c r="W444" i="1"/>
  <c r="N444" i="1"/>
  <c r="H444" i="1"/>
  <c r="AA442" i="1"/>
  <c r="Z442" i="1"/>
  <c r="AC442" i="1" s="1"/>
  <c r="AD442" i="1" s="1"/>
  <c r="U442" i="1"/>
  <c r="T442" i="1"/>
  <c r="Q442" i="1"/>
  <c r="R442" i="1" s="1"/>
  <c r="O442" i="1"/>
  <c r="N442" i="1"/>
  <c r="K442" i="1"/>
  <c r="L442" i="1" s="1"/>
  <c r="I442" i="1"/>
  <c r="E442" i="1"/>
  <c r="F442" i="1" s="1"/>
  <c r="C442" i="1"/>
  <c r="B442" i="1"/>
  <c r="H442" i="1" s="1"/>
  <c r="AA441" i="1"/>
  <c r="Z441" i="1"/>
  <c r="W441" i="1"/>
  <c r="X441" i="1" s="1"/>
  <c r="U441" i="1"/>
  <c r="T441" i="1"/>
  <c r="Q441" i="1"/>
  <c r="R441" i="1" s="1"/>
  <c r="K441" i="1"/>
  <c r="L441" i="1" s="1"/>
  <c r="H441" i="1"/>
  <c r="I441" i="1" s="1"/>
  <c r="E441" i="1"/>
  <c r="F441" i="1" s="1"/>
  <c r="C441" i="1"/>
  <c r="B441" i="1"/>
  <c r="AC440" i="1"/>
  <c r="AD440" i="1" s="1"/>
  <c r="AA440" i="1"/>
  <c r="W440" i="1"/>
  <c r="U440" i="1"/>
  <c r="R440" i="1"/>
  <c r="N440" i="1"/>
  <c r="L440" i="1"/>
  <c r="I440" i="1"/>
  <c r="H440" i="1"/>
  <c r="F440" i="1"/>
  <c r="C440" i="1"/>
  <c r="AD439" i="1"/>
  <c r="AC439" i="1"/>
  <c r="AA439" i="1"/>
  <c r="W439" i="1"/>
  <c r="X439" i="1" s="1"/>
  <c r="U439" i="1"/>
  <c r="R439" i="1"/>
  <c r="N439" i="1"/>
  <c r="O439" i="1" s="1"/>
  <c r="L439" i="1"/>
  <c r="H439" i="1"/>
  <c r="I439" i="1" s="1"/>
  <c r="F439" i="1"/>
  <c r="C439" i="1"/>
  <c r="AC438" i="1"/>
  <c r="AD438" i="1" s="1"/>
  <c r="AA438" i="1"/>
  <c r="W438" i="1"/>
  <c r="U438" i="1"/>
  <c r="R438" i="1"/>
  <c r="O438" i="1"/>
  <c r="N438" i="1"/>
  <c r="L438" i="1"/>
  <c r="I438" i="1"/>
  <c r="H438" i="1"/>
  <c r="F438" i="1"/>
  <c r="C438" i="1"/>
  <c r="AC437" i="1"/>
  <c r="AD437" i="1" s="1"/>
  <c r="AA437" i="1"/>
  <c r="W437" i="1"/>
  <c r="U437" i="1"/>
  <c r="R437" i="1"/>
  <c r="N437" i="1"/>
  <c r="O437" i="1" s="1"/>
  <c r="L437" i="1"/>
  <c r="H437" i="1"/>
  <c r="I437" i="1" s="1"/>
  <c r="F437" i="1"/>
  <c r="C437" i="1"/>
  <c r="AC436" i="1"/>
  <c r="AD436" i="1" s="1"/>
  <c r="AA436" i="1"/>
  <c r="X436" i="1"/>
  <c r="W436" i="1"/>
  <c r="U436" i="1"/>
  <c r="R436" i="1"/>
  <c r="N436" i="1"/>
  <c r="L436" i="1"/>
  <c r="H436" i="1"/>
  <c r="I436" i="1" s="1"/>
  <c r="F436" i="1"/>
  <c r="C436" i="1"/>
  <c r="AD435" i="1"/>
  <c r="AC435" i="1"/>
  <c r="AA435" i="1"/>
  <c r="W435" i="1"/>
  <c r="X435" i="1" s="1"/>
  <c r="U435" i="1"/>
  <c r="R435" i="1"/>
  <c r="O435" i="1"/>
  <c r="N435" i="1"/>
  <c r="L435" i="1"/>
  <c r="H435" i="1"/>
  <c r="I435" i="1" s="1"/>
  <c r="F435" i="1"/>
  <c r="C435" i="1"/>
  <c r="AC434" i="1"/>
  <c r="AD434" i="1" s="1"/>
  <c r="AA434" i="1"/>
  <c r="W434" i="1"/>
  <c r="U434" i="1"/>
  <c r="R434" i="1"/>
  <c r="N434" i="1"/>
  <c r="L434" i="1"/>
  <c r="I434" i="1"/>
  <c r="H434" i="1"/>
  <c r="F434" i="1"/>
  <c r="C434" i="1"/>
  <c r="AC433" i="1"/>
  <c r="AD433" i="1" s="1"/>
  <c r="AA433" i="1"/>
  <c r="W433" i="1"/>
  <c r="X433" i="1" s="1"/>
  <c r="U433" i="1"/>
  <c r="R433" i="1"/>
  <c r="O433" i="1"/>
  <c r="N433" i="1"/>
  <c r="L433" i="1"/>
  <c r="H433" i="1"/>
  <c r="I433" i="1" s="1"/>
  <c r="F433" i="1"/>
  <c r="C433" i="1"/>
  <c r="AC432" i="1"/>
  <c r="AD432" i="1" s="1"/>
  <c r="AA432" i="1"/>
  <c r="X432" i="1"/>
  <c r="W432" i="1"/>
  <c r="U432" i="1"/>
  <c r="R432" i="1"/>
  <c r="N432" i="1"/>
  <c r="L432" i="1"/>
  <c r="I432" i="1"/>
  <c r="H432" i="1"/>
  <c r="F432" i="1"/>
  <c r="C432" i="1"/>
  <c r="Z429" i="1"/>
  <c r="AA429" i="1" s="1"/>
  <c r="T429" i="1"/>
  <c r="U429" i="1" s="1"/>
  <c r="R429" i="1"/>
  <c r="Q429" i="1"/>
  <c r="AC429" i="1" s="1"/>
  <c r="AD429" i="1" s="1"/>
  <c r="L429" i="1"/>
  <c r="K429" i="1"/>
  <c r="F429" i="1"/>
  <c r="E429" i="1"/>
  <c r="B429" i="1"/>
  <c r="Z428" i="1"/>
  <c r="AA428" i="1" s="1"/>
  <c r="T428" i="1"/>
  <c r="U428" i="1" s="1"/>
  <c r="R428" i="1"/>
  <c r="Q428" i="1"/>
  <c r="L428" i="1"/>
  <c r="K428" i="1"/>
  <c r="E428" i="1"/>
  <c r="F428" i="1" s="1"/>
  <c r="B428" i="1"/>
  <c r="AD427" i="1"/>
  <c r="AC427" i="1"/>
  <c r="AA427" i="1"/>
  <c r="W427" i="1"/>
  <c r="X427" i="1" s="1"/>
  <c r="U427" i="1"/>
  <c r="R427" i="1"/>
  <c r="N427" i="1"/>
  <c r="O427" i="1" s="1"/>
  <c r="L427" i="1"/>
  <c r="H427" i="1"/>
  <c r="I427" i="1" s="1"/>
  <c r="F427" i="1"/>
  <c r="C427" i="1"/>
  <c r="AC426" i="1"/>
  <c r="AD426" i="1" s="1"/>
  <c r="AA426" i="1"/>
  <c r="W426" i="1"/>
  <c r="U426" i="1"/>
  <c r="R426" i="1"/>
  <c r="O426" i="1"/>
  <c r="N426" i="1"/>
  <c r="L426" i="1"/>
  <c r="I426" i="1"/>
  <c r="H426" i="1"/>
  <c r="F426" i="1"/>
  <c r="C426" i="1"/>
  <c r="AD425" i="1"/>
  <c r="AC425" i="1"/>
  <c r="AA425" i="1"/>
  <c r="W425" i="1"/>
  <c r="U425" i="1"/>
  <c r="R425" i="1"/>
  <c r="N425" i="1"/>
  <c r="O425" i="1" s="1"/>
  <c r="L425" i="1"/>
  <c r="H425" i="1"/>
  <c r="I425" i="1" s="1"/>
  <c r="F425" i="1"/>
  <c r="C425" i="1"/>
  <c r="AC424" i="1"/>
  <c r="AD424" i="1" s="1"/>
  <c r="AA424" i="1"/>
  <c r="X424" i="1"/>
  <c r="W424" i="1"/>
  <c r="U424" i="1"/>
  <c r="R424" i="1"/>
  <c r="N424" i="1"/>
  <c r="L424" i="1"/>
  <c r="H424" i="1"/>
  <c r="I424" i="1" s="1"/>
  <c r="F424" i="1"/>
  <c r="C424" i="1"/>
  <c r="AD423" i="1"/>
  <c r="AC423" i="1"/>
  <c r="AA423" i="1"/>
  <c r="W423" i="1"/>
  <c r="X423" i="1" s="1"/>
  <c r="U423" i="1"/>
  <c r="R423" i="1"/>
  <c r="N423" i="1"/>
  <c r="O423" i="1" s="1"/>
  <c r="L423" i="1"/>
  <c r="H423" i="1"/>
  <c r="I423" i="1" s="1"/>
  <c r="F423" i="1"/>
  <c r="C423" i="1"/>
  <c r="AC422" i="1"/>
  <c r="AD422" i="1" s="1"/>
  <c r="AA422" i="1"/>
  <c r="W422" i="1"/>
  <c r="U422" i="1"/>
  <c r="R422" i="1"/>
  <c r="N422" i="1"/>
  <c r="L422" i="1"/>
  <c r="I422" i="1"/>
  <c r="H422" i="1"/>
  <c r="F422" i="1"/>
  <c r="C422" i="1"/>
  <c r="AC421" i="1"/>
  <c r="AD421" i="1" s="1"/>
  <c r="AA421" i="1"/>
  <c r="W421" i="1"/>
  <c r="X421" i="1" s="1"/>
  <c r="U421" i="1"/>
  <c r="R421" i="1"/>
  <c r="O421" i="1"/>
  <c r="N421" i="1"/>
  <c r="L421" i="1"/>
  <c r="H421" i="1"/>
  <c r="I421" i="1" s="1"/>
  <c r="F421" i="1"/>
  <c r="C421" i="1"/>
  <c r="AC420" i="1"/>
  <c r="AD420" i="1" s="1"/>
  <c r="AA420" i="1"/>
  <c r="X420" i="1"/>
  <c r="W420" i="1"/>
  <c r="U420" i="1"/>
  <c r="R420" i="1"/>
  <c r="N420" i="1"/>
  <c r="L420" i="1"/>
  <c r="I420" i="1"/>
  <c r="H420" i="1"/>
  <c r="F420" i="1"/>
  <c r="C420" i="1"/>
  <c r="AD419" i="1"/>
  <c r="AC419" i="1"/>
  <c r="AA419" i="1"/>
  <c r="X419" i="1"/>
  <c r="W419" i="1"/>
  <c r="U419" i="1"/>
  <c r="R419" i="1"/>
  <c r="N419" i="1"/>
  <c r="O419" i="1" s="1"/>
  <c r="L419" i="1"/>
  <c r="H419" i="1"/>
  <c r="I419" i="1" s="1"/>
  <c r="F419" i="1"/>
  <c r="C419" i="1"/>
  <c r="AC418" i="1"/>
  <c r="AD418" i="1" s="1"/>
  <c r="AA418" i="1"/>
  <c r="W418" i="1"/>
  <c r="U418" i="1"/>
  <c r="R418" i="1"/>
  <c r="N418" i="1"/>
  <c r="L418" i="1"/>
  <c r="I418" i="1"/>
  <c r="H418" i="1"/>
  <c r="F418" i="1"/>
  <c r="C418" i="1"/>
  <c r="AC417" i="1"/>
  <c r="AD417" i="1" s="1"/>
  <c r="AA417" i="1"/>
  <c r="W417" i="1"/>
  <c r="X417" i="1" s="1"/>
  <c r="U417" i="1"/>
  <c r="R417" i="1"/>
  <c r="N417" i="1"/>
  <c r="L417" i="1"/>
  <c r="H417" i="1"/>
  <c r="I417" i="1" s="1"/>
  <c r="F417" i="1"/>
  <c r="C417" i="1"/>
  <c r="AC416" i="1"/>
  <c r="AD416" i="1" s="1"/>
  <c r="AA416" i="1"/>
  <c r="W416" i="1"/>
  <c r="U416" i="1"/>
  <c r="R416" i="1"/>
  <c r="N416" i="1"/>
  <c r="L416" i="1"/>
  <c r="I416" i="1"/>
  <c r="H416" i="1"/>
  <c r="F416" i="1"/>
  <c r="C416" i="1"/>
  <c r="AD415" i="1"/>
  <c r="AC415" i="1"/>
  <c r="AA415" i="1"/>
  <c r="W415" i="1"/>
  <c r="X415" i="1" s="1"/>
  <c r="U415" i="1"/>
  <c r="R415" i="1"/>
  <c r="N415" i="1"/>
  <c r="O415" i="1" s="1"/>
  <c r="L415" i="1"/>
  <c r="H415" i="1"/>
  <c r="I415" i="1" s="1"/>
  <c r="F415" i="1"/>
  <c r="C415" i="1"/>
  <c r="AC414" i="1"/>
  <c r="AD414" i="1" s="1"/>
  <c r="AA414" i="1"/>
  <c r="W414" i="1"/>
  <c r="U414" i="1"/>
  <c r="R414" i="1"/>
  <c r="O414" i="1"/>
  <c r="N414" i="1"/>
  <c r="L414" i="1"/>
  <c r="I414" i="1"/>
  <c r="H414" i="1"/>
  <c r="F414" i="1"/>
  <c r="C414" i="1"/>
  <c r="AD413" i="1"/>
  <c r="AC413" i="1"/>
  <c r="AA413" i="1"/>
  <c r="X413" i="1"/>
  <c r="W413" i="1"/>
  <c r="U413" i="1"/>
  <c r="R413" i="1"/>
  <c r="N413" i="1"/>
  <c r="O413" i="1" s="1"/>
  <c r="L413" i="1"/>
  <c r="H413" i="1"/>
  <c r="I413" i="1" s="1"/>
  <c r="F413" i="1"/>
  <c r="C413" i="1"/>
  <c r="AC412" i="1"/>
  <c r="AD412" i="1" s="1"/>
  <c r="AA412" i="1"/>
  <c r="W412" i="1"/>
  <c r="U412" i="1"/>
  <c r="R412" i="1"/>
  <c r="N412" i="1"/>
  <c r="L412" i="1"/>
  <c r="I412" i="1"/>
  <c r="H412" i="1"/>
  <c r="F412" i="1"/>
  <c r="C412" i="1"/>
  <c r="AD411" i="1"/>
  <c r="AC411" i="1"/>
  <c r="AA411" i="1"/>
  <c r="W411" i="1"/>
  <c r="X411" i="1" s="1"/>
  <c r="U411" i="1"/>
  <c r="R411" i="1"/>
  <c r="N411" i="1"/>
  <c r="O411" i="1" s="1"/>
  <c r="L411" i="1"/>
  <c r="H411" i="1"/>
  <c r="I411" i="1" s="1"/>
  <c r="F411" i="1"/>
  <c r="C411" i="1"/>
  <c r="AC410" i="1"/>
  <c r="AD410" i="1" s="1"/>
  <c r="AA410" i="1"/>
  <c r="W410" i="1"/>
  <c r="U410" i="1"/>
  <c r="R410" i="1"/>
  <c r="O410" i="1"/>
  <c r="N410" i="1"/>
  <c r="L410" i="1"/>
  <c r="I410" i="1"/>
  <c r="H410" i="1"/>
  <c r="F410" i="1"/>
  <c r="C410" i="1"/>
  <c r="AD409" i="1"/>
  <c r="AC409" i="1"/>
  <c r="AA409" i="1"/>
  <c r="W409" i="1"/>
  <c r="U409" i="1"/>
  <c r="R409" i="1"/>
  <c r="O409" i="1"/>
  <c r="N409" i="1"/>
  <c r="L409" i="1"/>
  <c r="H409" i="1"/>
  <c r="I409" i="1" s="1"/>
  <c r="F409" i="1"/>
  <c r="C409" i="1"/>
  <c r="AC408" i="1"/>
  <c r="AD408" i="1" s="1"/>
  <c r="AA408" i="1"/>
  <c r="X408" i="1"/>
  <c r="W408" i="1"/>
  <c r="U408" i="1"/>
  <c r="R408" i="1"/>
  <c r="N408" i="1"/>
  <c r="L408" i="1"/>
  <c r="H408" i="1"/>
  <c r="I408" i="1" s="1"/>
  <c r="F408" i="1"/>
  <c r="C408" i="1"/>
  <c r="AD407" i="1"/>
  <c r="AC407" i="1"/>
  <c r="AA407" i="1"/>
  <c r="W407" i="1"/>
  <c r="X407" i="1" s="1"/>
  <c r="U407" i="1"/>
  <c r="R407" i="1"/>
  <c r="N407" i="1"/>
  <c r="O407" i="1" s="1"/>
  <c r="L407" i="1"/>
  <c r="H407" i="1"/>
  <c r="I407" i="1" s="1"/>
  <c r="F407" i="1"/>
  <c r="C407" i="1"/>
  <c r="AA403" i="1"/>
  <c r="Z403" i="1"/>
  <c r="U403" i="1"/>
  <c r="T403" i="1"/>
  <c r="Q403" i="1"/>
  <c r="K403" i="1"/>
  <c r="L403" i="1" s="1"/>
  <c r="E403" i="1"/>
  <c r="F403" i="1" s="1"/>
  <c r="B403" i="1"/>
  <c r="AC402" i="1"/>
  <c r="AD402" i="1" s="1"/>
  <c r="AA402" i="1"/>
  <c r="W402" i="1"/>
  <c r="U402" i="1"/>
  <c r="R402" i="1"/>
  <c r="N402" i="1"/>
  <c r="L402" i="1"/>
  <c r="I402" i="1"/>
  <c r="H402" i="1"/>
  <c r="F402" i="1"/>
  <c r="C402" i="1"/>
  <c r="AC401" i="1"/>
  <c r="AD401" i="1" s="1"/>
  <c r="AA401" i="1"/>
  <c r="W401" i="1"/>
  <c r="X401" i="1" s="1"/>
  <c r="U401" i="1"/>
  <c r="R401" i="1"/>
  <c r="N401" i="1"/>
  <c r="L401" i="1"/>
  <c r="H401" i="1"/>
  <c r="I401" i="1" s="1"/>
  <c r="F401" i="1"/>
  <c r="C401" i="1"/>
  <c r="AC400" i="1"/>
  <c r="AD400" i="1" s="1"/>
  <c r="AA400" i="1"/>
  <c r="W400" i="1"/>
  <c r="U400" i="1"/>
  <c r="R400" i="1"/>
  <c r="N400" i="1"/>
  <c r="L400" i="1"/>
  <c r="I400" i="1"/>
  <c r="H400" i="1"/>
  <c r="F400" i="1"/>
  <c r="C400" i="1"/>
  <c r="AC399" i="1"/>
  <c r="AD399" i="1" s="1"/>
  <c r="AA399" i="1"/>
  <c r="X399" i="1"/>
  <c r="W399" i="1"/>
  <c r="U399" i="1"/>
  <c r="R399" i="1"/>
  <c r="N399" i="1"/>
  <c r="O399" i="1" s="1"/>
  <c r="L399" i="1"/>
  <c r="H399" i="1"/>
  <c r="I399" i="1" s="1"/>
  <c r="F399" i="1"/>
  <c r="C399" i="1"/>
  <c r="AC398" i="1"/>
  <c r="AD398" i="1" s="1"/>
  <c r="AA398" i="1"/>
  <c r="W398" i="1"/>
  <c r="U398" i="1"/>
  <c r="R398" i="1"/>
  <c r="O398" i="1"/>
  <c r="N398" i="1"/>
  <c r="L398" i="1"/>
  <c r="I398" i="1"/>
  <c r="H398" i="1"/>
  <c r="F398" i="1"/>
  <c r="C398" i="1"/>
  <c r="AC397" i="1"/>
  <c r="AD397" i="1" s="1"/>
  <c r="AA397" i="1"/>
  <c r="W397" i="1"/>
  <c r="X397" i="1" s="1"/>
  <c r="U397" i="1"/>
  <c r="R397" i="1"/>
  <c r="N397" i="1"/>
  <c r="O397" i="1" s="1"/>
  <c r="L397" i="1"/>
  <c r="H397" i="1"/>
  <c r="I397" i="1" s="1"/>
  <c r="F397" i="1"/>
  <c r="C397" i="1"/>
  <c r="Z396" i="1"/>
  <c r="T396" i="1"/>
  <c r="W396" i="1" s="1"/>
  <c r="X396" i="1" s="1"/>
  <c r="Q396" i="1"/>
  <c r="R396" i="1" s="1"/>
  <c r="K396" i="1"/>
  <c r="L396" i="1" s="1"/>
  <c r="H396" i="1"/>
  <c r="I396" i="1" s="1"/>
  <c r="E396" i="1"/>
  <c r="F396" i="1" s="1"/>
  <c r="C396" i="1"/>
  <c r="B396" i="1"/>
  <c r="AC395" i="1"/>
  <c r="AD395" i="1" s="1"/>
  <c r="AA395" i="1"/>
  <c r="W395" i="1"/>
  <c r="U395" i="1"/>
  <c r="R395" i="1"/>
  <c r="O395" i="1"/>
  <c r="N395" i="1"/>
  <c r="L395" i="1"/>
  <c r="H395" i="1"/>
  <c r="I395" i="1" s="1"/>
  <c r="F395" i="1"/>
  <c r="C395" i="1"/>
  <c r="AC394" i="1"/>
  <c r="AD394" i="1" s="1"/>
  <c r="AA394" i="1"/>
  <c r="W394" i="1"/>
  <c r="U394" i="1"/>
  <c r="R394" i="1"/>
  <c r="N394" i="1"/>
  <c r="O394" i="1" s="1"/>
  <c r="L394" i="1"/>
  <c r="H394" i="1"/>
  <c r="I394" i="1" s="1"/>
  <c r="F394" i="1"/>
  <c r="C394" i="1"/>
  <c r="Z393" i="1"/>
  <c r="AA393" i="1" s="1"/>
  <c r="W393" i="1"/>
  <c r="X393" i="1" s="1"/>
  <c r="U393" i="1"/>
  <c r="T393" i="1"/>
  <c r="Q393" i="1"/>
  <c r="R393" i="1" s="1"/>
  <c r="K393" i="1"/>
  <c r="L393" i="1" s="1"/>
  <c r="E393" i="1"/>
  <c r="F393" i="1" s="1"/>
  <c r="B393" i="1"/>
  <c r="N393" i="1" s="1"/>
  <c r="O393" i="1" s="1"/>
  <c r="AC392" i="1"/>
  <c r="AD392" i="1" s="1"/>
  <c r="AA392" i="1"/>
  <c r="X392" i="1"/>
  <c r="W392" i="1"/>
  <c r="U392" i="1"/>
  <c r="R392" i="1"/>
  <c r="N392" i="1"/>
  <c r="L392" i="1"/>
  <c r="H392" i="1"/>
  <c r="I392" i="1" s="1"/>
  <c r="F392" i="1"/>
  <c r="C392" i="1"/>
  <c r="AD391" i="1"/>
  <c r="AC391" i="1"/>
  <c r="AA391" i="1"/>
  <c r="W391" i="1"/>
  <c r="X391" i="1" s="1"/>
  <c r="U391" i="1"/>
  <c r="R391" i="1"/>
  <c r="N391" i="1"/>
  <c r="O391" i="1" s="1"/>
  <c r="L391" i="1"/>
  <c r="H391" i="1"/>
  <c r="I391" i="1" s="1"/>
  <c r="F391" i="1"/>
  <c r="C391" i="1"/>
  <c r="AC390" i="1"/>
  <c r="AD390" i="1" s="1"/>
  <c r="AA390" i="1"/>
  <c r="X390" i="1"/>
  <c r="W390" i="1"/>
  <c r="U390" i="1"/>
  <c r="R390" i="1"/>
  <c r="N390" i="1"/>
  <c r="L390" i="1"/>
  <c r="H390" i="1"/>
  <c r="I390" i="1" s="1"/>
  <c r="F390" i="1"/>
  <c r="C390" i="1"/>
  <c r="AD389" i="1"/>
  <c r="AC389" i="1"/>
  <c r="AA389" i="1"/>
  <c r="W389" i="1"/>
  <c r="X389" i="1" s="1"/>
  <c r="U389" i="1"/>
  <c r="R389" i="1"/>
  <c r="N389" i="1"/>
  <c r="O389" i="1" s="1"/>
  <c r="L389" i="1"/>
  <c r="H389" i="1"/>
  <c r="I389" i="1" s="1"/>
  <c r="F389" i="1"/>
  <c r="C389" i="1"/>
  <c r="AC388" i="1"/>
  <c r="AD388" i="1" s="1"/>
  <c r="AA388" i="1"/>
  <c r="W388" i="1"/>
  <c r="U388" i="1"/>
  <c r="R388" i="1"/>
  <c r="O388" i="1"/>
  <c r="N388" i="1"/>
  <c r="L388" i="1"/>
  <c r="I388" i="1"/>
  <c r="H388" i="1"/>
  <c r="F388" i="1"/>
  <c r="C388" i="1"/>
  <c r="AC386" i="1"/>
  <c r="AD386" i="1" s="1"/>
  <c r="AA386" i="1"/>
  <c r="W386" i="1"/>
  <c r="X386" i="1" s="1"/>
  <c r="U386" i="1"/>
  <c r="R386" i="1"/>
  <c r="N386" i="1"/>
  <c r="O386" i="1" s="1"/>
  <c r="L386" i="1"/>
  <c r="H386" i="1"/>
  <c r="I386" i="1" s="1"/>
  <c r="F386" i="1"/>
  <c r="C386" i="1"/>
  <c r="AC385" i="1"/>
  <c r="AD385" i="1" s="1"/>
  <c r="AA385" i="1"/>
  <c r="W385" i="1"/>
  <c r="U385" i="1"/>
  <c r="R385" i="1"/>
  <c r="O385" i="1"/>
  <c r="N385" i="1"/>
  <c r="L385" i="1"/>
  <c r="I385" i="1"/>
  <c r="H385" i="1"/>
  <c r="F385" i="1"/>
  <c r="C385" i="1"/>
  <c r="AD383" i="1"/>
  <c r="AC383" i="1"/>
  <c r="AA383" i="1"/>
  <c r="W383" i="1"/>
  <c r="X383" i="1" s="1"/>
  <c r="U383" i="1"/>
  <c r="R383" i="1"/>
  <c r="O383" i="1"/>
  <c r="N383" i="1"/>
  <c r="L383" i="1"/>
  <c r="H383" i="1"/>
  <c r="I383" i="1" s="1"/>
  <c r="F383" i="1"/>
  <c r="C383" i="1"/>
  <c r="AC382" i="1"/>
  <c r="AD382" i="1" s="1"/>
  <c r="AA382" i="1"/>
  <c r="X382" i="1"/>
  <c r="W382" i="1"/>
  <c r="U382" i="1"/>
  <c r="R382" i="1"/>
  <c r="N382" i="1"/>
  <c r="L382" i="1"/>
  <c r="H382" i="1"/>
  <c r="I382" i="1" s="1"/>
  <c r="F382" i="1"/>
  <c r="C382" i="1"/>
  <c r="AD381" i="1"/>
  <c r="AC381" i="1"/>
  <c r="AA381" i="1"/>
  <c r="W381" i="1"/>
  <c r="X381" i="1" s="1"/>
  <c r="U381" i="1"/>
  <c r="R381" i="1"/>
  <c r="N381" i="1"/>
  <c r="O381" i="1" s="1"/>
  <c r="L381" i="1"/>
  <c r="H381" i="1"/>
  <c r="I381" i="1" s="1"/>
  <c r="F381" i="1"/>
  <c r="C381" i="1"/>
  <c r="AC380" i="1"/>
  <c r="AD380" i="1" s="1"/>
  <c r="AA380" i="1"/>
  <c r="X380" i="1"/>
  <c r="W380" i="1"/>
  <c r="U380" i="1"/>
  <c r="R380" i="1"/>
  <c r="N380" i="1"/>
  <c r="L380" i="1"/>
  <c r="H380" i="1"/>
  <c r="I380" i="1" s="1"/>
  <c r="F380" i="1"/>
  <c r="C380" i="1"/>
  <c r="AD379" i="1"/>
  <c r="AC379" i="1"/>
  <c r="AA379" i="1"/>
  <c r="W379" i="1"/>
  <c r="X379" i="1" s="1"/>
  <c r="U379" i="1"/>
  <c r="R379" i="1"/>
  <c r="N379" i="1"/>
  <c r="O379" i="1" s="1"/>
  <c r="L379" i="1"/>
  <c r="H379" i="1"/>
  <c r="I379" i="1" s="1"/>
  <c r="F379" i="1"/>
  <c r="C379" i="1"/>
  <c r="AC378" i="1"/>
  <c r="AD378" i="1" s="1"/>
  <c r="AA378" i="1"/>
  <c r="W378" i="1"/>
  <c r="U378" i="1"/>
  <c r="R378" i="1"/>
  <c r="O378" i="1"/>
  <c r="N378" i="1"/>
  <c r="L378" i="1"/>
  <c r="I378" i="1"/>
  <c r="H378" i="1"/>
  <c r="F378" i="1"/>
  <c r="C378" i="1"/>
  <c r="AC377" i="1"/>
  <c r="AD377" i="1" s="1"/>
  <c r="AA377" i="1"/>
  <c r="X377" i="1"/>
  <c r="W377" i="1"/>
  <c r="U377" i="1"/>
  <c r="R377" i="1"/>
  <c r="N377" i="1"/>
  <c r="O377" i="1" s="1"/>
  <c r="L377" i="1"/>
  <c r="H377" i="1"/>
  <c r="I377" i="1" s="1"/>
  <c r="F377" i="1"/>
  <c r="C377" i="1"/>
  <c r="AC376" i="1"/>
  <c r="AD376" i="1" s="1"/>
  <c r="AA376" i="1"/>
  <c r="W376" i="1"/>
  <c r="U376" i="1"/>
  <c r="R376" i="1"/>
  <c r="O376" i="1"/>
  <c r="N376" i="1"/>
  <c r="L376" i="1"/>
  <c r="I376" i="1"/>
  <c r="H376" i="1"/>
  <c r="F376" i="1"/>
  <c r="C376" i="1"/>
  <c r="AC375" i="1"/>
  <c r="AD375" i="1" s="1"/>
  <c r="AA375" i="1"/>
  <c r="W375" i="1"/>
  <c r="X375" i="1" s="1"/>
  <c r="U375" i="1"/>
  <c r="R375" i="1"/>
  <c r="N375" i="1"/>
  <c r="O375" i="1" s="1"/>
  <c r="L375" i="1"/>
  <c r="H375" i="1"/>
  <c r="I375" i="1" s="1"/>
  <c r="F375" i="1"/>
  <c r="C375" i="1"/>
  <c r="AC374" i="1"/>
  <c r="AD374" i="1" s="1"/>
  <c r="AA374" i="1"/>
  <c r="X374" i="1"/>
  <c r="W374" i="1"/>
  <c r="U374" i="1"/>
  <c r="R374" i="1"/>
  <c r="N374" i="1"/>
  <c r="L374" i="1"/>
  <c r="H374" i="1"/>
  <c r="I374" i="1" s="1"/>
  <c r="F374" i="1"/>
  <c r="C374" i="1"/>
  <c r="AD373" i="1"/>
  <c r="AC373" i="1"/>
  <c r="AA373" i="1"/>
  <c r="W373" i="1"/>
  <c r="X373" i="1" s="1"/>
  <c r="U373" i="1"/>
  <c r="R373" i="1"/>
  <c r="N373" i="1"/>
  <c r="O373" i="1" s="1"/>
  <c r="L373" i="1"/>
  <c r="H373" i="1"/>
  <c r="I373" i="1" s="1"/>
  <c r="F373" i="1"/>
  <c r="C373" i="1"/>
  <c r="AC372" i="1"/>
  <c r="AD372" i="1" s="1"/>
  <c r="AA372" i="1"/>
  <c r="X372" i="1"/>
  <c r="W372" i="1"/>
  <c r="U372" i="1"/>
  <c r="R372" i="1"/>
  <c r="N372" i="1"/>
  <c r="L372" i="1"/>
  <c r="I372" i="1"/>
  <c r="H372" i="1"/>
  <c r="F372" i="1"/>
  <c r="C372" i="1"/>
  <c r="AD371" i="1"/>
  <c r="AC371" i="1"/>
  <c r="AA371" i="1"/>
  <c r="X371" i="1"/>
  <c r="W371" i="1"/>
  <c r="U371" i="1"/>
  <c r="R371" i="1"/>
  <c r="N371" i="1"/>
  <c r="O371" i="1" s="1"/>
  <c r="L371" i="1"/>
  <c r="H371" i="1"/>
  <c r="I371" i="1" s="1"/>
  <c r="F371" i="1"/>
  <c r="C371" i="1"/>
  <c r="AC370" i="1"/>
  <c r="AD370" i="1" s="1"/>
  <c r="AA370" i="1"/>
  <c r="W370" i="1"/>
  <c r="U370" i="1"/>
  <c r="R370" i="1"/>
  <c r="O370" i="1"/>
  <c r="N370" i="1"/>
  <c r="L370" i="1"/>
  <c r="I370" i="1"/>
  <c r="H370" i="1"/>
  <c r="F370" i="1"/>
  <c r="C370" i="1"/>
  <c r="AC369" i="1"/>
  <c r="AD369" i="1" s="1"/>
  <c r="AA369" i="1"/>
  <c r="X369" i="1"/>
  <c r="W369" i="1"/>
  <c r="U369" i="1"/>
  <c r="R369" i="1"/>
  <c r="N369" i="1"/>
  <c r="O369" i="1" s="1"/>
  <c r="L369" i="1"/>
  <c r="H369" i="1"/>
  <c r="I369" i="1" s="1"/>
  <c r="F369" i="1"/>
  <c r="C369" i="1"/>
  <c r="AA368" i="1"/>
  <c r="Z368" i="1"/>
  <c r="T368" i="1"/>
  <c r="U368" i="1" s="1"/>
  <c r="Q368" i="1"/>
  <c r="K368" i="1"/>
  <c r="L368" i="1" s="1"/>
  <c r="E368" i="1"/>
  <c r="F368" i="1" s="1"/>
  <c r="C368" i="1"/>
  <c r="B368" i="1"/>
  <c r="AC367" i="1"/>
  <c r="AD367" i="1" s="1"/>
  <c r="AA367" i="1"/>
  <c r="X367" i="1"/>
  <c r="W367" i="1"/>
  <c r="U367" i="1"/>
  <c r="R367" i="1"/>
  <c r="O367" i="1"/>
  <c r="N367" i="1"/>
  <c r="L367" i="1"/>
  <c r="H367" i="1"/>
  <c r="I367" i="1" s="1"/>
  <c r="F367" i="1"/>
  <c r="C367" i="1"/>
  <c r="AC366" i="1"/>
  <c r="AD366" i="1" s="1"/>
  <c r="AA366" i="1"/>
  <c r="X366" i="1"/>
  <c r="W366" i="1"/>
  <c r="U366" i="1"/>
  <c r="R366" i="1"/>
  <c r="N366" i="1"/>
  <c r="O366" i="1" s="1"/>
  <c r="L366" i="1"/>
  <c r="H366" i="1"/>
  <c r="I366" i="1" s="1"/>
  <c r="F366" i="1"/>
  <c r="C366" i="1"/>
  <c r="AC365" i="1"/>
  <c r="AD365" i="1" s="1"/>
  <c r="AA365" i="1"/>
  <c r="W365" i="1"/>
  <c r="U365" i="1"/>
  <c r="R365" i="1"/>
  <c r="O365" i="1"/>
  <c r="N365" i="1"/>
  <c r="L365" i="1"/>
  <c r="H365" i="1"/>
  <c r="I365" i="1" s="1"/>
  <c r="F365" i="1"/>
  <c r="C365" i="1"/>
  <c r="AC364" i="1"/>
  <c r="AD364" i="1" s="1"/>
  <c r="AA364" i="1"/>
  <c r="W364" i="1"/>
  <c r="U364" i="1"/>
  <c r="R364" i="1"/>
  <c r="N364" i="1"/>
  <c r="O364" i="1" s="1"/>
  <c r="L364" i="1"/>
  <c r="H364" i="1"/>
  <c r="I364" i="1" s="1"/>
  <c r="F364" i="1"/>
  <c r="C364" i="1"/>
  <c r="AC363" i="1"/>
  <c r="AD363" i="1" s="1"/>
  <c r="AA363" i="1"/>
  <c r="X363" i="1"/>
  <c r="W363" i="1"/>
  <c r="U363" i="1"/>
  <c r="R363" i="1"/>
  <c r="N363" i="1"/>
  <c r="L363" i="1"/>
  <c r="I363" i="1"/>
  <c r="H363" i="1"/>
  <c r="F363" i="1"/>
  <c r="C363" i="1"/>
  <c r="AC362" i="1"/>
  <c r="AD362" i="1" s="1"/>
  <c r="AA362" i="1"/>
  <c r="W362" i="1"/>
  <c r="X362" i="1" s="1"/>
  <c r="U362" i="1"/>
  <c r="R362" i="1"/>
  <c r="O362" i="1"/>
  <c r="N362" i="1"/>
  <c r="L362" i="1"/>
  <c r="H362" i="1"/>
  <c r="I362" i="1" s="1"/>
  <c r="F362" i="1"/>
  <c r="C362" i="1"/>
  <c r="AC361" i="1"/>
  <c r="AD361" i="1" s="1"/>
  <c r="AA361" i="1"/>
  <c r="X361" i="1"/>
  <c r="W361" i="1"/>
  <c r="U361" i="1"/>
  <c r="R361" i="1"/>
  <c r="N361" i="1"/>
  <c r="L361" i="1"/>
  <c r="I361" i="1"/>
  <c r="H361" i="1"/>
  <c r="F361" i="1"/>
  <c r="C361" i="1"/>
  <c r="AC360" i="1"/>
  <c r="AD360" i="1" s="1"/>
  <c r="AA360" i="1"/>
  <c r="W360" i="1"/>
  <c r="X360" i="1" s="1"/>
  <c r="U360" i="1"/>
  <c r="R360" i="1"/>
  <c r="N360" i="1"/>
  <c r="L360" i="1"/>
  <c r="H360" i="1"/>
  <c r="I360" i="1" s="1"/>
  <c r="F360" i="1"/>
  <c r="C360" i="1"/>
  <c r="AC358" i="1"/>
  <c r="AD358" i="1" s="1"/>
  <c r="Z358" i="1"/>
  <c r="AA358" i="1" s="1"/>
  <c r="T358" i="1"/>
  <c r="U358" i="1" s="1"/>
  <c r="Q358" i="1"/>
  <c r="K358" i="1"/>
  <c r="L358" i="1" s="1"/>
  <c r="E358" i="1"/>
  <c r="F358" i="1" s="1"/>
  <c r="C358" i="1"/>
  <c r="B358" i="1"/>
  <c r="H358" i="1" s="1"/>
  <c r="I358" i="1" s="1"/>
  <c r="AC357" i="1"/>
  <c r="AD357" i="1" s="1"/>
  <c r="AA357" i="1"/>
  <c r="W357" i="1"/>
  <c r="U357" i="1"/>
  <c r="R357" i="1"/>
  <c r="O357" i="1"/>
  <c r="N357" i="1"/>
  <c r="L357" i="1"/>
  <c r="I357" i="1"/>
  <c r="H357" i="1"/>
  <c r="F357" i="1"/>
  <c r="C357" i="1"/>
  <c r="AC356" i="1"/>
  <c r="AD356" i="1" s="1"/>
  <c r="AA356" i="1"/>
  <c r="X356" i="1"/>
  <c r="W356" i="1"/>
  <c r="U356" i="1"/>
  <c r="R356" i="1"/>
  <c r="N356" i="1"/>
  <c r="O356" i="1" s="1"/>
  <c r="L356" i="1"/>
  <c r="H356" i="1"/>
  <c r="I356" i="1" s="1"/>
  <c r="F356" i="1"/>
  <c r="C356" i="1"/>
  <c r="AC355" i="1"/>
  <c r="AD355" i="1" s="1"/>
  <c r="AA355" i="1"/>
  <c r="W355" i="1"/>
  <c r="U355" i="1"/>
  <c r="R355" i="1"/>
  <c r="O355" i="1"/>
  <c r="N355" i="1"/>
  <c r="L355" i="1"/>
  <c r="I355" i="1"/>
  <c r="H355" i="1"/>
  <c r="F355" i="1"/>
  <c r="C355" i="1"/>
  <c r="AC354" i="1"/>
  <c r="AD354" i="1" s="1"/>
  <c r="AA354" i="1"/>
  <c r="W354" i="1"/>
  <c r="X354" i="1" s="1"/>
  <c r="U354" i="1"/>
  <c r="R354" i="1"/>
  <c r="N354" i="1"/>
  <c r="O354" i="1" s="1"/>
  <c r="L354" i="1"/>
  <c r="H354" i="1"/>
  <c r="I354" i="1" s="1"/>
  <c r="F354" i="1"/>
  <c r="C354" i="1"/>
  <c r="AC353" i="1"/>
  <c r="AD353" i="1" s="1"/>
  <c r="AA353" i="1"/>
  <c r="X353" i="1"/>
  <c r="W353" i="1"/>
  <c r="U353" i="1"/>
  <c r="R353" i="1"/>
  <c r="N353" i="1"/>
  <c r="L353" i="1"/>
  <c r="H353" i="1"/>
  <c r="I353" i="1" s="1"/>
  <c r="F353" i="1"/>
  <c r="C353" i="1"/>
  <c r="AD352" i="1"/>
  <c r="AC352" i="1"/>
  <c r="AA352" i="1"/>
  <c r="W352" i="1"/>
  <c r="X352" i="1" s="1"/>
  <c r="U352" i="1"/>
  <c r="R352" i="1"/>
  <c r="O352" i="1"/>
  <c r="N352" i="1"/>
  <c r="L352" i="1"/>
  <c r="H352" i="1"/>
  <c r="I352" i="1" s="1"/>
  <c r="F352" i="1"/>
  <c r="C352" i="1"/>
  <c r="AC351" i="1"/>
  <c r="AD351" i="1" s="1"/>
  <c r="AA351" i="1"/>
  <c r="X351" i="1"/>
  <c r="W351" i="1"/>
  <c r="U351" i="1"/>
  <c r="R351" i="1"/>
  <c r="N351" i="1"/>
  <c r="L351" i="1"/>
  <c r="I351" i="1"/>
  <c r="H351" i="1"/>
  <c r="F351" i="1"/>
  <c r="C351" i="1"/>
  <c r="AD350" i="1"/>
  <c r="AC350" i="1"/>
  <c r="AA350" i="1"/>
  <c r="X350" i="1"/>
  <c r="W350" i="1"/>
  <c r="U350" i="1"/>
  <c r="R350" i="1"/>
  <c r="N350" i="1"/>
  <c r="O350" i="1" s="1"/>
  <c r="L350" i="1"/>
  <c r="H350" i="1"/>
  <c r="I350" i="1" s="1"/>
  <c r="F350" i="1"/>
  <c r="C350" i="1"/>
  <c r="AC349" i="1"/>
  <c r="AD349" i="1" s="1"/>
  <c r="AA349" i="1"/>
  <c r="W349" i="1"/>
  <c r="U349" i="1"/>
  <c r="R349" i="1"/>
  <c r="O349" i="1"/>
  <c r="N349" i="1"/>
  <c r="L349" i="1"/>
  <c r="I349" i="1"/>
  <c r="H349" i="1"/>
  <c r="F349" i="1"/>
  <c r="C349" i="1"/>
  <c r="AC347" i="1"/>
  <c r="AD347" i="1" s="1"/>
  <c r="AA347" i="1"/>
  <c r="W347" i="1"/>
  <c r="X347" i="1" s="1"/>
  <c r="U347" i="1"/>
  <c r="R347" i="1"/>
  <c r="N347" i="1"/>
  <c r="O347" i="1" s="1"/>
  <c r="L347" i="1"/>
  <c r="H347" i="1"/>
  <c r="I347" i="1" s="1"/>
  <c r="F347" i="1"/>
  <c r="C347" i="1"/>
  <c r="Z344" i="1"/>
  <c r="AA344" i="1" s="1"/>
  <c r="T344" i="1"/>
  <c r="U344" i="1" s="1"/>
  <c r="Q344" i="1"/>
  <c r="K344" i="1"/>
  <c r="L344" i="1" s="1"/>
  <c r="I344" i="1"/>
  <c r="E344" i="1"/>
  <c r="F344" i="1" s="1"/>
  <c r="C344" i="1"/>
  <c r="B344" i="1"/>
  <c r="H344" i="1" s="1"/>
  <c r="AA343" i="1"/>
  <c r="Z343" i="1"/>
  <c r="T343" i="1"/>
  <c r="U343" i="1" s="1"/>
  <c r="Q343" i="1"/>
  <c r="R343" i="1" s="1"/>
  <c r="K343" i="1"/>
  <c r="L343" i="1" s="1"/>
  <c r="E343" i="1"/>
  <c r="F343" i="1" s="1"/>
  <c r="B343" i="1"/>
  <c r="C343" i="1" s="1"/>
  <c r="Z342" i="1"/>
  <c r="AC342" i="1" s="1"/>
  <c r="AD342" i="1" s="1"/>
  <c r="U342" i="1"/>
  <c r="T342" i="1"/>
  <c r="Q342" i="1"/>
  <c r="R342" i="1" s="1"/>
  <c r="K342" i="1"/>
  <c r="L342" i="1" s="1"/>
  <c r="E342" i="1"/>
  <c r="F342" i="1" s="1"/>
  <c r="B342" i="1"/>
  <c r="C342" i="1" s="1"/>
  <c r="AC341" i="1"/>
  <c r="AD341" i="1" s="1"/>
  <c r="AA341" i="1"/>
  <c r="X341" i="1"/>
  <c r="W341" i="1"/>
  <c r="U341" i="1"/>
  <c r="R341" i="1"/>
  <c r="N341" i="1"/>
  <c r="L341" i="1"/>
  <c r="H341" i="1"/>
  <c r="I341" i="1" s="1"/>
  <c r="F341" i="1"/>
  <c r="C341" i="1"/>
  <c r="AD340" i="1"/>
  <c r="AC340" i="1"/>
  <c r="AA340" i="1"/>
  <c r="X340" i="1"/>
  <c r="W340" i="1"/>
  <c r="U340" i="1"/>
  <c r="R340" i="1"/>
  <c r="N340" i="1"/>
  <c r="O340" i="1" s="1"/>
  <c r="L340" i="1"/>
  <c r="H340" i="1"/>
  <c r="I340" i="1" s="1"/>
  <c r="F340" i="1"/>
  <c r="C340" i="1"/>
  <c r="AC339" i="1"/>
  <c r="AD339" i="1" s="1"/>
  <c r="AA339" i="1"/>
  <c r="W339" i="1"/>
  <c r="U339" i="1"/>
  <c r="R339" i="1"/>
  <c r="O339" i="1"/>
  <c r="N339" i="1"/>
  <c r="L339" i="1"/>
  <c r="I339" i="1"/>
  <c r="H339" i="1"/>
  <c r="F339" i="1"/>
  <c r="C339" i="1"/>
  <c r="AC338" i="1"/>
  <c r="AD338" i="1" s="1"/>
  <c r="AA338" i="1"/>
  <c r="X338" i="1"/>
  <c r="W338" i="1"/>
  <c r="U338" i="1"/>
  <c r="R338" i="1"/>
  <c r="N338" i="1"/>
  <c r="O338" i="1" s="1"/>
  <c r="L338" i="1"/>
  <c r="H338" i="1"/>
  <c r="I338" i="1" s="1"/>
  <c r="F338" i="1"/>
  <c r="C338" i="1"/>
  <c r="AC337" i="1"/>
  <c r="AD337" i="1" s="1"/>
  <c r="AA337" i="1"/>
  <c r="W337" i="1"/>
  <c r="U337" i="1"/>
  <c r="R337" i="1"/>
  <c r="O337" i="1"/>
  <c r="N337" i="1"/>
  <c r="L337" i="1"/>
  <c r="I337" i="1"/>
  <c r="H337" i="1"/>
  <c r="F337" i="1"/>
  <c r="C337" i="1"/>
  <c r="AC335" i="1"/>
  <c r="AD335" i="1" s="1"/>
  <c r="AA335" i="1"/>
  <c r="W335" i="1"/>
  <c r="X335" i="1" s="1"/>
  <c r="U335" i="1"/>
  <c r="R335" i="1"/>
  <c r="N335" i="1"/>
  <c r="O335" i="1" s="1"/>
  <c r="L335" i="1"/>
  <c r="H335" i="1"/>
  <c r="I335" i="1" s="1"/>
  <c r="F335" i="1"/>
  <c r="C335" i="1"/>
  <c r="AC334" i="1"/>
  <c r="AD334" i="1" s="1"/>
  <c r="AA334" i="1"/>
  <c r="X334" i="1"/>
  <c r="W334" i="1"/>
  <c r="U334" i="1"/>
  <c r="R334" i="1"/>
  <c r="N334" i="1"/>
  <c r="L334" i="1"/>
  <c r="H334" i="1"/>
  <c r="I334" i="1" s="1"/>
  <c r="F334" i="1"/>
  <c r="C334" i="1"/>
  <c r="AD333" i="1"/>
  <c r="AC333" i="1"/>
  <c r="AA333" i="1"/>
  <c r="W333" i="1"/>
  <c r="X333" i="1" s="1"/>
  <c r="U333" i="1"/>
  <c r="R333" i="1"/>
  <c r="N333" i="1"/>
  <c r="O333" i="1" s="1"/>
  <c r="L333" i="1"/>
  <c r="H333" i="1"/>
  <c r="I333" i="1" s="1"/>
  <c r="F333" i="1"/>
  <c r="C333" i="1"/>
  <c r="AC332" i="1"/>
  <c r="AD332" i="1" s="1"/>
  <c r="AA332" i="1"/>
  <c r="X332" i="1"/>
  <c r="W332" i="1"/>
  <c r="U332" i="1"/>
  <c r="R332" i="1"/>
  <c r="N332" i="1"/>
  <c r="L332" i="1"/>
  <c r="I332" i="1"/>
  <c r="H332" i="1"/>
  <c r="F332" i="1"/>
  <c r="C332" i="1"/>
  <c r="AD331" i="1"/>
  <c r="AC331" i="1"/>
  <c r="AA331" i="1"/>
  <c r="W331" i="1"/>
  <c r="X331" i="1" s="1"/>
  <c r="U331" i="1"/>
  <c r="R331" i="1"/>
  <c r="N331" i="1"/>
  <c r="O331" i="1" s="1"/>
  <c r="L331" i="1"/>
  <c r="H331" i="1"/>
  <c r="I331" i="1" s="1"/>
  <c r="F331" i="1"/>
  <c r="C331" i="1"/>
  <c r="AC330" i="1"/>
  <c r="AD330" i="1" s="1"/>
  <c r="AA330" i="1"/>
  <c r="W330" i="1"/>
  <c r="U330" i="1"/>
  <c r="R330" i="1"/>
  <c r="O330" i="1"/>
  <c r="N330" i="1"/>
  <c r="L330" i="1"/>
  <c r="I330" i="1"/>
  <c r="H330" i="1"/>
  <c r="F330" i="1"/>
  <c r="C330" i="1"/>
  <c r="AC329" i="1"/>
  <c r="AD329" i="1" s="1"/>
  <c r="AA329" i="1"/>
  <c r="X329" i="1"/>
  <c r="W329" i="1"/>
  <c r="U329" i="1"/>
  <c r="R329" i="1"/>
  <c r="N329" i="1"/>
  <c r="O329" i="1" s="1"/>
  <c r="L329" i="1"/>
  <c r="H329" i="1"/>
  <c r="I329" i="1" s="1"/>
  <c r="F329" i="1"/>
  <c r="C329" i="1"/>
  <c r="AC328" i="1"/>
  <c r="AD328" i="1" s="1"/>
  <c r="AA328" i="1"/>
  <c r="W328" i="1"/>
  <c r="U328" i="1"/>
  <c r="R328" i="1"/>
  <c r="O328" i="1"/>
  <c r="N328" i="1"/>
  <c r="L328" i="1"/>
  <c r="I328" i="1"/>
  <c r="H328" i="1"/>
  <c r="F328" i="1"/>
  <c r="C328" i="1"/>
  <c r="Z325" i="1"/>
  <c r="AA325" i="1" s="1"/>
  <c r="T325" i="1"/>
  <c r="U325" i="1" s="1"/>
  <c r="Q325" i="1"/>
  <c r="R325" i="1" s="1"/>
  <c r="N325" i="1"/>
  <c r="O325" i="1" s="1"/>
  <c r="K325" i="1"/>
  <c r="L325" i="1" s="1"/>
  <c r="F325" i="1"/>
  <c r="E325" i="1"/>
  <c r="B325" i="1"/>
  <c r="C325" i="1" s="1"/>
  <c r="AC324" i="1"/>
  <c r="AD324" i="1" s="1"/>
  <c r="Z324" i="1"/>
  <c r="AA324" i="1" s="1"/>
  <c r="T324" i="1"/>
  <c r="U324" i="1" s="1"/>
  <c r="Q324" i="1"/>
  <c r="R324" i="1" s="1"/>
  <c r="K324" i="1"/>
  <c r="N324" i="1" s="1"/>
  <c r="O324" i="1" s="1"/>
  <c r="F324" i="1"/>
  <c r="E324" i="1"/>
  <c r="B324" i="1"/>
  <c r="C324" i="1" s="1"/>
  <c r="AC323" i="1"/>
  <c r="AD323" i="1" s="1"/>
  <c r="AA323" i="1"/>
  <c r="X323" i="1"/>
  <c r="W323" i="1"/>
  <c r="U323" i="1"/>
  <c r="R323" i="1"/>
  <c r="N323" i="1"/>
  <c r="O323" i="1" s="1"/>
  <c r="L323" i="1"/>
  <c r="H323" i="1"/>
  <c r="I323" i="1" s="1"/>
  <c r="F323" i="1"/>
  <c r="C323" i="1"/>
  <c r="AC322" i="1"/>
  <c r="AD322" i="1" s="1"/>
  <c r="AA322" i="1"/>
  <c r="X322" i="1"/>
  <c r="W322" i="1"/>
  <c r="U322" i="1"/>
  <c r="R322" i="1"/>
  <c r="N322" i="1"/>
  <c r="O322" i="1" s="1"/>
  <c r="L322" i="1"/>
  <c r="H322" i="1"/>
  <c r="I322" i="1" s="1"/>
  <c r="F322" i="1"/>
  <c r="C322" i="1"/>
  <c r="AD321" i="1"/>
  <c r="AC321" i="1"/>
  <c r="AA321" i="1"/>
  <c r="W321" i="1"/>
  <c r="X321" i="1" s="1"/>
  <c r="U321" i="1"/>
  <c r="R321" i="1"/>
  <c r="N321" i="1"/>
  <c r="O321" i="1" s="1"/>
  <c r="L321" i="1"/>
  <c r="I321" i="1"/>
  <c r="H321" i="1"/>
  <c r="F321" i="1"/>
  <c r="C321" i="1"/>
  <c r="AD320" i="1"/>
  <c r="AC320" i="1"/>
  <c r="AA320" i="1"/>
  <c r="W320" i="1"/>
  <c r="X320" i="1" s="1"/>
  <c r="U320" i="1"/>
  <c r="R320" i="1"/>
  <c r="N320" i="1"/>
  <c r="O320" i="1" s="1"/>
  <c r="L320" i="1"/>
  <c r="I320" i="1"/>
  <c r="H320" i="1"/>
  <c r="F320" i="1"/>
  <c r="C320" i="1"/>
  <c r="AC319" i="1"/>
  <c r="AD319" i="1" s="1"/>
  <c r="AA319" i="1"/>
  <c r="X319" i="1"/>
  <c r="W319" i="1"/>
  <c r="U319" i="1"/>
  <c r="R319" i="1"/>
  <c r="N319" i="1"/>
  <c r="O319" i="1" s="1"/>
  <c r="L319" i="1"/>
  <c r="H319" i="1"/>
  <c r="I319" i="1" s="1"/>
  <c r="F319" i="1"/>
  <c r="C319" i="1"/>
  <c r="AD318" i="1"/>
  <c r="AC318" i="1"/>
  <c r="AA318" i="1"/>
  <c r="W318" i="1"/>
  <c r="X318" i="1" s="1"/>
  <c r="U318" i="1"/>
  <c r="R318" i="1"/>
  <c r="N318" i="1"/>
  <c r="O318" i="1" s="1"/>
  <c r="L318" i="1"/>
  <c r="H318" i="1"/>
  <c r="I318" i="1" s="1"/>
  <c r="F318" i="1"/>
  <c r="C318" i="1"/>
  <c r="AD317" i="1"/>
  <c r="AC317" i="1"/>
  <c r="AA317" i="1"/>
  <c r="W317" i="1"/>
  <c r="X317" i="1" s="1"/>
  <c r="U317" i="1"/>
  <c r="R317" i="1"/>
  <c r="N317" i="1"/>
  <c r="O317" i="1" s="1"/>
  <c r="L317" i="1"/>
  <c r="I317" i="1"/>
  <c r="H317" i="1"/>
  <c r="F317" i="1"/>
  <c r="C317" i="1"/>
  <c r="AD316" i="1"/>
  <c r="AC316" i="1"/>
  <c r="AA316" i="1"/>
  <c r="W316" i="1"/>
  <c r="X316" i="1" s="1"/>
  <c r="U316" i="1"/>
  <c r="R316" i="1"/>
  <c r="O316" i="1"/>
  <c r="N316" i="1"/>
  <c r="L316" i="1"/>
  <c r="I316" i="1"/>
  <c r="H316" i="1"/>
  <c r="F316" i="1"/>
  <c r="C316" i="1"/>
  <c r="AC315" i="1"/>
  <c r="AD315" i="1" s="1"/>
  <c r="AA315" i="1"/>
  <c r="W315" i="1"/>
  <c r="X315" i="1" s="1"/>
  <c r="U315" i="1"/>
  <c r="R315" i="1"/>
  <c r="N315" i="1"/>
  <c r="O315" i="1" s="1"/>
  <c r="L315" i="1"/>
  <c r="I315" i="1"/>
  <c r="H315" i="1"/>
  <c r="F315" i="1"/>
  <c r="C315" i="1"/>
  <c r="AD314" i="1"/>
  <c r="AC314" i="1"/>
  <c r="AA314" i="1"/>
  <c r="W314" i="1"/>
  <c r="X314" i="1" s="1"/>
  <c r="U314" i="1"/>
  <c r="R314" i="1"/>
  <c r="N314" i="1"/>
  <c r="O314" i="1" s="1"/>
  <c r="L314" i="1"/>
  <c r="H314" i="1"/>
  <c r="I314" i="1" s="1"/>
  <c r="F314" i="1"/>
  <c r="C314" i="1"/>
  <c r="AD313" i="1"/>
  <c r="AC313" i="1"/>
  <c r="AA313" i="1"/>
  <c r="W313" i="1"/>
  <c r="X313" i="1" s="1"/>
  <c r="U313" i="1"/>
  <c r="R313" i="1"/>
  <c r="N313" i="1"/>
  <c r="O313" i="1" s="1"/>
  <c r="L313" i="1"/>
  <c r="I313" i="1"/>
  <c r="H313" i="1"/>
  <c r="F313" i="1"/>
  <c r="C313" i="1"/>
  <c r="AC312" i="1"/>
  <c r="AD312" i="1" s="1"/>
  <c r="AA312" i="1"/>
  <c r="W312" i="1"/>
  <c r="X312" i="1" s="1"/>
  <c r="U312" i="1"/>
  <c r="R312" i="1"/>
  <c r="O312" i="1"/>
  <c r="N312" i="1"/>
  <c r="L312" i="1"/>
  <c r="I312" i="1"/>
  <c r="H312" i="1"/>
  <c r="F312" i="1"/>
  <c r="C312" i="1"/>
  <c r="AC311" i="1"/>
  <c r="AD311" i="1" s="1"/>
  <c r="AA311" i="1"/>
  <c r="W311" i="1"/>
  <c r="X311" i="1" s="1"/>
  <c r="U311" i="1"/>
  <c r="R311" i="1"/>
  <c r="N311" i="1"/>
  <c r="O311" i="1" s="1"/>
  <c r="L311" i="1"/>
  <c r="H311" i="1"/>
  <c r="I311" i="1" s="1"/>
  <c r="F311" i="1"/>
  <c r="C311" i="1"/>
  <c r="AD310" i="1"/>
  <c r="AC310" i="1"/>
  <c r="AA310" i="1"/>
  <c r="X310" i="1"/>
  <c r="W310" i="1"/>
  <c r="U310" i="1"/>
  <c r="R310" i="1"/>
  <c r="N310" i="1"/>
  <c r="O310" i="1" s="1"/>
  <c r="L310" i="1"/>
  <c r="H310" i="1"/>
  <c r="I310" i="1" s="1"/>
  <c r="F310" i="1"/>
  <c r="C310" i="1"/>
  <c r="AD309" i="1"/>
  <c r="AC309" i="1"/>
  <c r="AA309" i="1"/>
  <c r="W309" i="1"/>
  <c r="X309" i="1" s="1"/>
  <c r="U309" i="1"/>
  <c r="R309" i="1"/>
  <c r="O309" i="1"/>
  <c r="N309" i="1"/>
  <c r="L309" i="1"/>
  <c r="I309" i="1"/>
  <c r="H309" i="1"/>
  <c r="F309" i="1"/>
  <c r="C309" i="1"/>
  <c r="AC308" i="1"/>
  <c r="AD308" i="1" s="1"/>
  <c r="AA308" i="1"/>
  <c r="W308" i="1"/>
  <c r="X308" i="1" s="1"/>
  <c r="U308" i="1"/>
  <c r="R308" i="1"/>
  <c r="N308" i="1"/>
  <c r="O308" i="1" s="1"/>
  <c r="L308" i="1"/>
  <c r="I308" i="1"/>
  <c r="H308" i="1"/>
  <c r="F308" i="1"/>
  <c r="C308" i="1"/>
  <c r="AC307" i="1"/>
  <c r="AD307" i="1" s="1"/>
  <c r="AA307" i="1"/>
  <c r="X307" i="1"/>
  <c r="W307" i="1"/>
  <c r="U307" i="1"/>
  <c r="R307" i="1"/>
  <c r="N307" i="1"/>
  <c r="O307" i="1" s="1"/>
  <c r="L307" i="1"/>
  <c r="H307" i="1"/>
  <c r="I307" i="1" s="1"/>
  <c r="F307" i="1"/>
  <c r="C307" i="1"/>
  <c r="AD306" i="1"/>
  <c r="AC306" i="1"/>
  <c r="AA306" i="1"/>
  <c r="X306" i="1"/>
  <c r="W306" i="1"/>
  <c r="U306" i="1"/>
  <c r="R306" i="1"/>
  <c r="N306" i="1"/>
  <c r="O306" i="1" s="1"/>
  <c r="L306" i="1"/>
  <c r="H306" i="1"/>
  <c r="I306" i="1" s="1"/>
  <c r="F306" i="1"/>
  <c r="C306" i="1"/>
  <c r="AD305" i="1"/>
  <c r="AC305" i="1"/>
  <c r="AA305" i="1"/>
  <c r="W305" i="1"/>
  <c r="X305" i="1" s="1"/>
  <c r="U305" i="1"/>
  <c r="R305" i="1"/>
  <c r="N305" i="1"/>
  <c r="O305" i="1" s="1"/>
  <c r="L305" i="1"/>
  <c r="I305" i="1"/>
  <c r="H305" i="1"/>
  <c r="F305" i="1"/>
  <c r="C305" i="1"/>
  <c r="AD304" i="1"/>
  <c r="AC304" i="1"/>
  <c r="AA304" i="1"/>
  <c r="W304" i="1"/>
  <c r="X304" i="1" s="1"/>
  <c r="U304" i="1"/>
  <c r="R304" i="1"/>
  <c r="N304" i="1"/>
  <c r="O304" i="1" s="1"/>
  <c r="L304" i="1"/>
  <c r="I304" i="1"/>
  <c r="H304" i="1"/>
  <c r="F304" i="1"/>
  <c r="C304" i="1"/>
  <c r="AC303" i="1"/>
  <c r="AD303" i="1" s="1"/>
  <c r="AA303" i="1"/>
  <c r="X303" i="1"/>
  <c r="W303" i="1"/>
  <c r="U303" i="1"/>
  <c r="R303" i="1"/>
  <c r="N303" i="1"/>
  <c r="O303" i="1" s="1"/>
  <c r="L303" i="1"/>
  <c r="I303" i="1"/>
  <c r="H303" i="1"/>
  <c r="F303" i="1"/>
  <c r="C303" i="1"/>
  <c r="AD302" i="1"/>
  <c r="AC302" i="1"/>
  <c r="AA302" i="1"/>
  <c r="W302" i="1"/>
  <c r="X302" i="1" s="1"/>
  <c r="U302" i="1"/>
  <c r="R302" i="1"/>
  <c r="N302" i="1"/>
  <c r="O302" i="1" s="1"/>
  <c r="L302" i="1"/>
  <c r="H302" i="1"/>
  <c r="I302" i="1" s="1"/>
  <c r="F302" i="1"/>
  <c r="C302" i="1"/>
  <c r="AD301" i="1"/>
  <c r="AC301" i="1"/>
  <c r="AA301" i="1"/>
  <c r="W301" i="1"/>
  <c r="X301" i="1" s="1"/>
  <c r="U301" i="1"/>
  <c r="R301" i="1"/>
  <c r="N301" i="1"/>
  <c r="O301" i="1" s="1"/>
  <c r="L301" i="1"/>
  <c r="I301" i="1"/>
  <c r="H301" i="1"/>
  <c r="F301" i="1"/>
  <c r="C301" i="1"/>
  <c r="AD300" i="1"/>
  <c r="AC300" i="1"/>
  <c r="AA300" i="1"/>
  <c r="W300" i="1"/>
  <c r="X300" i="1" s="1"/>
  <c r="U300" i="1"/>
  <c r="R300" i="1"/>
  <c r="O300" i="1"/>
  <c r="N300" i="1"/>
  <c r="L300" i="1"/>
  <c r="I300" i="1"/>
  <c r="H300" i="1"/>
  <c r="F300" i="1"/>
  <c r="C300" i="1"/>
  <c r="AC299" i="1"/>
  <c r="AD299" i="1" s="1"/>
  <c r="AA299" i="1"/>
  <c r="W299" i="1"/>
  <c r="X299" i="1" s="1"/>
  <c r="U299" i="1"/>
  <c r="R299" i="1"/>
  <c r="N299" i="1"/>
  <c r="O299" i="1" s="1"/>
  <c r="L299" i="1"/>
  <c r="I299" i="1"/>
  <c r="H299" i="1"/>
  <c r="F299" i="1"/>
  <c r="C299" i="1"/>
  <c r="AD298" i="1"/>
  <c r="AC298" i="1"/>
  <c r="AA298" i="1"/>
  <c r="W298" i="1"/>
  <c r="X298" i="1" s="1"/>
  <c r="U298" i="1"/>
  <c r="R298" i="1"/>
  <c r="N298" i="1"/>
  <c r="O298" i="1" s="1"/>
  <c r="L298" i="1"/>
  <c r="H298" i="1"/>
  <c r="I298" i="1" s="1"/>
  <c r="F298" i="1"/>
  <c r="C298" i="1"/>
  <c r="AD297" i="1"/>
  <c r="AC297" i="1"/>
  <c r="AA297" i="1"/>
  <c r="W297" i="1"/>
  <c r="X297" i="1" s="1"/>
  <c r="U297" i="1"/>
  <c r="R297" i="1"/>
  <c r="N297" i="1"/>
  <c r="O297" i="1" s="1"/>
  <c r="L297" i="1"/>
  <c r="I297" i="1"/>
  <c r="H297" i="1"/>
  <c r="F297" i="1"/>
  <c r="C297" i="1"/>
  <c r="AC295" i="1"/>
  <c r="AD295" i="1" s="1"/>
  <c r="AA295" i="1"/>
  <c r="Z295" i="1"/>
  <c r="X295" i="1"/>
  <c r="T295" i="1"/>
  <c r="U295" i="1" s="1"/>
  <c r="R295" i="1"/>
  <c r="Q295" i="1"/>
  <c r="W295" i="1" s="1"/>
  <c r="O295" i="1"/>
  <c r="L295" i="1"/>
  <c r="K295" i="1"/>
  <c r="H295" i="1"/>
  <c r="I295" i="1" s="1"/>
  <c r="F295" i="1"/>
  <c r="E295" i="1"/>
  <c r="C295" i="1"/>
  <c r="B295" i="1"/>
  <c r="N295" i="1" s="1"/>
  <c r="AD294" i="1"/>
  <c r="AC294" i="1"/>
  <c r="AA294" i="1"/>
  <c r="X294" i="1"/>
  <c r="W294" i="1"/>
  <c r="U294" i="1"/>
  <c r="R294" i="1"/>
  <c r="N294" i="1"/>
  <c r="O294" i="1" s="1"/>
  <c r="L294" i="1"/>
  <c r="H294" i="1"/>
  <c r="I294" i="1" s="1"/>
  <c r="F294" i="1"/>
  <c r="C294" i="1"/>
  <c r="AD293" i="1"/>
  <c r="AC293" i="1"/>
  <c r="AA293" i="1"/>
  <c r="W293" i="1"/>
  <c r="X293" i="1" s="1"/>
  <c r="U293" i="1"/>
  <c r="R293" i="1"/>
  <c r="N293" i="1"/>
  <c r="O293" i="1" s="1"/>
  <c r="L293" i="1"/>
  <c r="I293" i="1"/>
  <c r="H293" i="1"/>
  <c r="F293" i="1"/>
  <c r="C293" i="1"/>
  <c r="AC292" i="1"/>
  <c r="AD292" i="1" s="1"/>
  <c r="AA292" i="1"/>
  <c r="W292" i="1"/>
  <c r="X292" i="1" s="1"/>
  <c r="U292" i="1"/>
  <c r="R292" i="1"/>
  <c r="N292" i="1"/>
  <c r="O292" i="1" s="1"/>
  <c r="L292" i="1"/>
  <c r="I292" i="1"/>
  <c r="H292" i="1"/>
  <c r="F292" i="1"/>
  <c r="C292" i="1"/>
  <c r="AC291" i="1"/>
  <c r="AD291" i="1" s="1"/>
  <c r="AA291" i="1"/>
  <c r="W291" i="1"/>
  <c r="X291" i="1" s="1"/>
  <c r="U291" i="1"/>
  <c r="R291" i="1"/>
  <c r="N291" i="1"/>
  <c r="O291" i="1" s="1"/>
  <c r="L291" i="1"/>
  <c r="I291" i="1"/>
  <c r="H291" i="1"/>
  <c r="F291" i="1"/>
  <c r="C291" i="1"/>
  <c r="AD290" i="1"/>
  <c r="AC290" i="1"/>
  <c r="AA290" i="1"/>
  <c r="W290" i="1"/>
  <c r="X290" i="1" s="1"/>
  <c r="U290" i="1"/>
  <c r="R290" i="1"/>
  <c r="N290" i="1"/>
  <c r="O290" i="1" s="1"/>
  <c r="L290" i="1"/>
  <c r="H290" i="1"/>
  <c r="I290" i="1" s="1"/>
  <c r="F290" i="1"/>
  <c r="C290" i="1"/>
  <c r="AD289" i="1"/>
  <c r="AC289" i="1"/>
  <c r="AA289" i="1"/>
  <c r="W289" i="1"/>
  <c r="X289" i="1" s="1"/>
  <c r="U289" i="1"/>
  <c r="R289" i="1"/>
  <c r="O289" i="1"/>
  <c r="N289" i="1"/>
  <c r="L289" i="1"/>
  <c r="I289" i="1"/>
  <c r="H289" i="1"/>
  <c r="F289" i="1"/>
  <c r="C289" i="1"/>
  <c r="AD288" i="1"/>
  <c r="AC288" i="1"/>
  <c r="AA288" i="1"/>
  <c r="W288" i="1"/>
  <c r="X288" i="1" s="1"/>
  <c r="U288" i="1"/>
  <c r="R288" i="1"/>
  <c r="N288" i="1"/>
  <c r="O288" i="1" s="1"/>
  <c r="L288" i="1"/>
  <c r="I288" i="1"/>
  <c r="H288" i="1"/>
  <c r="F288" i="1"/>
  <c r="C288" i="1"/>
  <c r="AC287" i="1"/>
  <c r="AD287" i="1" s="1"/>
  <c r="AA287" i="1"/>
  <c r="W287" i="1"/>
  <c r="X287" i="1" s="1"/>
  <c r="U287" i="1"/>
  <c r="R287" i="1"/>
  <c r="N287" i="1"/>
  <c r="O287" i="1" s="1"/>
  <c r="L287" i="1"/>
  <c r="H287" i="1"/>
  <c r="I287" i="1" s="1"/>
  <c r="F287" i="1"/>
  <c r="C287" i="1"/>
  <c r="AD286" i="1"/>
  <c r="AC286" i="1"/>
  <c r="AA286" i="1"/>
  <c r="W286" i="1"/>
  <c r="X286" i="1" s="1"/>
  <c r="U286" i="1"/>
  <c r="R286" i="1"/>
  <c r="N286" i="1"/>
  <c r="O286" i="1" s="1"/>
  <c r="L286" i="1"/>
  <c r="H286" i="1"/>
  <c r="I286" i="1" s="1"/>
  <c r="F286" i="1"/>
  <c r="C286" i="1"/>
  <c r="AD284" i="1"/>
  <c r="AA284" i="1"/>
  <c r="Z284" i="1"/>
  <c r="W284" i="1"/>
  <c r="X284" i="1" s="1"/>
  <c r="U284" i="1"/>
  <c r="T284" i="1"/>
  <c r="R284" i="1"/>
  <c r="Q284" i="1"/>
  <c r="AC284" i="1" s="1"/>
  <c r="K284" i="1"/>
  <c r="L284" i="1" s="1"/>
  <c r="H284" i="1"/>
  <c r="I284" i="1" s="1"/>
  <c r="F284" i="1"/>
  <c r="E284" i="1"/>
  <c r="C284" i="1"/>
  <c r="B284" i="1"/>
  <c r="AC283" i="1"/>
  <c r="AD283" i="1" s="1"/>
  <c r="AA283" i="1"/>
  <c r="W283" i="1"/>
  <c r="X283" i="1" s="1"/>
  <c r="U283" i="1"/>
  <c r="R283" i="1"/>
  <c r="N283" i="1"/>
  <c r="O283" i="1" s="1"/>
  <c r="L283" i="1"/>
  <c r="H283" i="1"/>
  <c r="I283" i="1" s="1"/>
  <c r="F283" i="1"/>
  <c r="C283" i="1"/>
  <c r="AD282" i="1"/>
  <c r="AC282" i="1"/>
  <c r="AA282" i="1"/>
  <c r="W282" i="1"/>
  <c r="X282" i="1" s="1"/>
  <c r="U282" i="1"/>
  <c r="R282" i="1"/>
  <c r="N282" i="1"/>
  <c r="O282" i="1" s="1"/>
  <c r="L282" i="1"/>
  <c r="H282" i="1"/>
  <c r="I282" i="1" s="1"/>
  <c r="F282" i="1"/>
  <c r="C282" i="1"/>
  <c r="AD281" i="1"/>
  <c r="AC281" i="1"/>
  <c r="AA281" i="1"/>
  <c r="W281" i="1"/>
  <c r="X281" i="1" s="1"/>
  <c r="U281" i="1"/>
  <c r="R281" i="1"/>
  <c r="O281" i="1"/>
  <c r="N281" i="1"/>
  <c r="L281" i="1"/>
  <c r="I281" i="1"/>
  <c r="H281" i="1"/>
  <c r="F281" i="1"/>
  <c r="C281" i="1"/>
  <c r="AC280" i="1"/>
  <c r="AD280" i="1" s="1"/>
  <c r="AA280" i="1"/>
  <c r="W280" i="1"/>
  <c r="X280" i="1" s="1"/>
  <c r="U280" i="1"/>
  <c r="R280" i="1"/>
  <c r="O280" i="1"/>
  <c r="N280" i="1"/>
  <c r="L280" i="1"/>
  <c r="I280" i="1"/>
  <c r="H280" i="1"/>
  <c r="F280" i="1"/>
  <c r="C280" i="1"/>
  <c r="AC279" i="1"/>
  <c r="AD279" i="1" s="1"/>
  <c r="AA279" i="1"/>
  <c r="X279" i="1"/>
  <c r="W279" i="1"/>
  <c r="U279" i="1"/>
  <c r="R279" i="1"/>
  <c r="N279" i="1"/>
  <c r="O279" i="1" s="1"/>
  <c r="L279" i="1"/>
  <c r="H279" i="1"/>
  <c r="I279" i="1" s="1"/>
  <c r="F279" i="1"/>
  <c r="C279" i="1"/>
  <c r="AD278" i="1"/>
  <c r="AC278" i="1"/>
  <c r="AA278" i="1"/>
  <c r="W278" i="1"/>
  <c r="X278" i="1" s="1"/>
  <c r="U278" i="1"/>
  <c r="R278" i="1"/>
  <c r="N278" i="1"/>
  <c r="O278" i="1" s="1"/>
  <c r="L278" i="1"/>
  <c r="H278" i="1"/>
  <c r="I278" i="1" s="1"/>
  <c r="F278" i="1"/>
  <c r="C278" i="1"/>
  <c r="AD277" i="1"/>
  <c r="AC277" i="1"/>
  <c r="AA277" i="1"/>
  <c r="W277" i="1"/>
  <c r="X277" i="1" s="1"/>
  <c r="U277" i="1"/>
  <c r="R277" i="1"/>
  <c r="N277" i="1"/>
  <c r="O277" i="1" s="1"/>
  <c r="L277" i="1"/>
  <c r="I277" i="1"/>
  <c r="H277" i="1"/>
  <c r="F277" i="1"/>
  <c r="C277" i="1"/>
  <c r="AC276" i="1"/>
  <c r="AD276" i="1" s="1"/>
  <c r="AA276" i="1"/>
  <c r="W276" i="1"/>
  <c r="X276" i="1" s="1"/>
  <c r="U276" i="1"/>
  <c r="R276" i="1"/>
  <c r="N276" i="1"/>
  <c r="O276" i="1" s="1"/>
  <c r="L276" i="1"/>
  <c r="I276" i="1"/>
  <c r="H276" i="1"/>
  <c r="F276" i="1"/>
  <c r="C276" i="1"/>
  <c r="AC275" i="1"/>
  <c r="AD275" i="1" s="1"/>
  <c r="AA275" i="1"/>
  <c r="X275" i="1"/>
  <c r="W275" i="1"/>
  <c r="U275" i="1"/>
  <c r="R275" i="1"/>
  <c r="N275" i="1"/>
  <c r="O275" i="1" s="1"/>
  <c r="L275" i="1"/>
  <c r="I275" i="1"/>
  <c r="H275" i="1"/>
  <c r="F275" i="1"/>
  <c r="C275" i="1"/>
  <c r="Z273" i="1"/>
  <c r="AA273" i="1" s="1"/>
  <c r="W273" i="1"/>
  <c r="X273" i="1" s="1"/>
  <c r="U273" i="1"/>
  <c r="T273" i="1"/>
  <c r="R273" i="1"/>
  <c r="Q273" i="1"/>
  <c r="K273" i="1"/>
  <c r="L273" i="1" s="1"/>
  <c r="F273" i="1"/>
  <c r="E273" i="1"/>
  <c r="B273" i="1"/>
  <c r="AC272" i="1"/>
  <c r="AD272" i="1" s="1"/>
  <c r="AA272" i="1"/>
  <c r="W272" i="1"/>
  <c r="X272" i="1" s="1"/>
  <c r="U272" i="1"/>
  <c r="R272" i="1"/>
  <c r="N272" i="1"/>
  <c r="O272" i="1" s="1"/>
  <c r="L272" i="1"/>
  <c r="I272" i="1"/>
  <c r="H272" i="1"/>
  <c r="F272" i="1"/>
  <c r="C272" i="1"/>
  <c r="AC271" i="1"/>
  <c r="AD271" i="1" s="1"/>
  <c r="AA271" i="1"/>
  <c r="X271" i="1"/>
  <c r="W271" i="1"/>
  <c r="U271" i="1"/>
  <c r="R271" i="1"/>
  <c r="N271" i="1"/>
  <c r="O271" i="1" s="1"/>
  <c r="L271" i="1"/>
  <c r="I271" i="1"/>
  <c r="H271" i="1"/>
  <c r="F271" i="1"/>
  <c r="C271" i="1"/>
  <c r="AD270" i="1"/>
  <c r="AC270" i="1"/>
  <c r="AA270" i="1"/>
  <c r="X270" i="1"/>
  <c r="W270" i="1"/>
  <c r="U270" i="1"/>
  <c r="R270" i="1"/>
  <c r="N270" i="1"/>
  <c r="O270" i="1" s="1"/>
  <c r="L270" i="1"/>
  <c r="H270" i="1"/>
  <c r="I270" i="1" s="1"/>
  <c r="F270" i="1"/>
  <c r="C270" i="1"/>
  <c r="AD269" i="1"/>
  <c r="AC269" i="1"/>
  <c r="AA269" i="1"/>
  <c r="W269" i="1"/>
  <c r="X269" i="1" s="1"/>
  <c r="U269" i="1"/>
  <c r="R269" i="1"/>
  <c r="N269" i="1"/>
  <c r="O269" i="1" s="1"/>
  <c r="L269" i="1"/>
  <c r="I269" i="1"/>
  <c r="H269" i="1"/>
  <c r="F269" i="1"/>
  <c r="C269" i="1"/>
  <c r="AC267" i="1"/>
  <c r="AD267" i="1" s="1"/>
  <c r="AA267" i="1"/>
  <c r="Z267" i="1"/>
  <c r="T267" i="1"/>
  <c r="U267" i="1" s="1"/>
  <c r="Q267" i="1"/>
  <c r="W267" i="1" s="1"/>
  <c r="X267" i="1" s="1"/>
  <c r="O267" i="1"/>
  <c r="L267" i="1"/>
  <c r="K267" i="1"/>
  <c r="E267" i="1"/>
  <c r="F267" i="1" s="1"/>
  <c r="C267" i="1"/>
  <c r="B267" i="1"/>
  <c r="N267" i="1" s="1"/>
  <c r="AD266" i="1"/>
  <c r="AC266" i="1"/>
  <c r="AA266" i="1"/>
  <c r="X266" i="1"/>
  <c r="W266" i="1"/>
  <c r="U266" i="1"/>
  <c r="R266" i="1"/>
  <c r="N266" i="1"/>
  <c r="O266" i="1" s="1"/>
  <c r="L266" i="1"/>
  <c r="H266" i="1"/>
  <c r="I266" i="1" s="1"/>
  <c r="F266" i="1"/>
  <c r="C266" i="1"/>
  <c r="AD265" i="1"/>
  <c r="AC265" i="1"/>
  <c r="AA265" i="1"/>
  <c r="W265" i="1"/>
  <c r="X265" i="1" s="1"/>
  <c r="U265" i="1"/>
  <c r="R265" i="1"/>
  <c r="O265" i="1"/>
  <c r="N265" i="1"/>
  <c r="L265" i="1"/>
  <c r="I265" i="1"/>
  <c r="H265" i="1"/>
  <c r="F265" i="1"/>
  <c r="C265" i="1"/>
  <c r="AC263" i="1"/>
  <c r="AD263" i="1" s="1"/>
  <c r="AA263" i="1"/>
  <c r="Z263" i="1"/>
  <c r="T263" i="1"/>
  <c r="U263" i="1" s="1"/>
  <c r="Q263" i="1"/>
  <c r="W263" i="1" s="1"/>
  <c r="X263" i="1" s="1"/>
  <c r="O263" i="1"/>
  <c r="L263" i="1"/>
  <c r="K263" i="1"/>
  <c r="F263" i="1"/>
  <c r="E263" i="1"/>
  <c r="H263" i="1" s="1"/>
  <c r="I263" i="1" s="1"/>
  <c r="C263" i="1"/>
  <c r="B263" i="1"/>
  <c r="N263" i="1" s="1"/>
  <c r="Z262" i="1"/>
  <c r="AA262" i="1" s="1"/>
  <c r="X262" i="1"/>
  <c r="W262" i="1"/>
  <c r="U262" i="1"/>
  <c r="T262" i="1"/>
  <c r="R262" i="1"/>
  <c r="Q262" i="1"/>
  <c r="N262" i="1"/>
  <c r="O262" i="1" s="1"/>
  <c r="L262" i="1"/>
  <c r="K262" i="1"/>
  <c r="F262" i="1"/>
  <c r="E262" i="1"/>
  <c r="B262" i="1"/>
  <c r="AC261" i="1"/>
  <c r="AD261" i="1" s="1"/>
  <c r="AA261" i="1"/>
  <c r="W261" i="1"/>
  <c r="X261" i="1" s="1"/>
  <c r="U261" i="1"/>
  <c r="R261" i="1"/>
  <c r="N261" i="1"/>
  <c r="O261" i="1" s="1"/>
  <c r="L261" i="1"/>
  <c r="I261" i="1"/>
  <c r="H261" i="1"/>
  <c r="F261" i="1"/>
  <c r="C261" i="1"/>
  <c r="AC260" i="1"/>
  <c r="AD260" i="1" s="1"/>
  <c r="AA260" i="1"/>
  <c r="W260" i="1"/>
  <c r="X260" i="1" s="1"/>
  <c r="U260" i="1"/>
  <c r="R260" i="1"/>
  <c r="N260" i="1"/>
  <c r="O260" i="1" s="1"/>
  <c r="L260" i="1"/>
  <c r="I260" i="1"/>
  <c r="H260" i="1"/>
  <c r="F260" i="1"/>
  <c r="C260" i="1"/>
  <c r="AD259" i="1"/>
  <c r="AC259" i="1"/>
  <c r="AA259" i="1"/>
  <c r="W259" i="1"/>
  <c r="X259" i="1" s="1"/>
  <c r="U259" i="1"/>
  <c r="R259" i="1"/>
  <c r="N259" i="1"/>
  <c r="O259" i="1" s="1"/>
  <c r="L259" i="1"/>
  <c r="H259" i="1"/>
  <c r="I259" i="1" s="1"/>
  <c r="F259" i="1"/>
  <c r="C259" i="1"/>
  <c r="AD258" i="1"/>
  <c r="AC258" i="1"/>
  <c r="AA258" i="1"/>
  <c r="W258" i="1"/>
  <c r="X258" i="1" s="1"/>
  <c r="U258" i="1"/>
  <c r="R258" i="1"/>
  <c r="O258" i="1"/>
  <c r="N258" i="1"/>
  <c r="L258" i="1"/>
  <c r="I258" i="1"/>
  <c r="H258" i="1"/>
  <c r="F258" i="1"/>
  <c r="C258" i="1"/>
  <c r="AD257" i="1"/>
  <c r="AC257" i="1"/>
  <c r="AA257" i="1"/>
  <c r="W257" i="1"/>
  <c r="X257" i="1" s="1"/>
  <c r="U257" i="1"/>
  <c r="R257" i="1"/>
  <c r="N257" i="1"/>
  <c r="O257" i="1" s="1"/>
  <c r="L257" i="1"/>
  <c r="I257" i="1"/>
  <c r="H257" i="1"/>
  <c r="F257" i="1"/>
  <c r="C257" i="1"/>
  <c r="AC256" i="1"/>
  <c r="AD256" i="1" s="1"/>
  <c r="AA256" i="1"/>
  <c r="W256" i="1"/>
  <c r="X256" i="1" s="1"/>
  <c r="U256" i="1"/>
  <c r="R256" i="1"/>
  <c r="N256" i="1"/>
  <c r="O256" i="1" s="1"/>
  <c r="L256" i="1"/>
  <c r="H256" i="1"/>
  <c r="I256" i="1" s="1"/>
  <c r="F256" i="1"/>
  <c r="C256" i="1"/>
  <c r="AD255" i="1"/>
  <c r="AC255" i="1"/>
  <c r="AA255" i="1"/>
  <c r="W255" i="1"/>
  <c r="X255" i="1" s="1"/>
  <c r="U255" i="1"/>
  <c r="R255" i="1"/>
  <c r="N255" i="1"/>
  <c r="O255" i="1" s="1"/>
  <c r="L255" i="1"/>
  <c r="H255" i="1"/>
  <c r="I255" i="1" s="1"/>
  <c r="F255" i="1"/>
  <c r="C255" i="1"/>
  <c r="AD254" i="1"/>
  <c r="AC254" i="1"/>
  <c r="AA254" i="1"/>
  <c r="W254" i="1"/>
  <c r="X254" i="1" s="1"/>
  <c r="U254" i="1"/>
  <c r="R254" i="1"/>
  <c r="O254" i="1"/>
  <c r="N254" i="1"/>
  <c r="L254" i="1"/>
  <c r="I254" i="1"/>
  <c r="H254" i="1"/>
  <c r="F254" i="1"/>
  <c r="C254" i="1"/>
  <c r="AC253" i="1"/>
  <c r="AD253" i="1" s="1"/>
  <c r="AA253" i="1"/>
  <c r="W253" i="1"/>
  <c r="X253" i="1" s="1"/>
  <c r="U253" i="1"/>
  <c r="R253" i="1"/>
  <c r="O253" i="1"/>
  <c r="N253" i="1"/>
  <c r="L253" i="1"/>
  <c r="I253" i="1"/>
  <c r="H253" i="1"/>
  <c r="F253" i="1"/>
  <c r="C253" i="1"/>
  <c r="AC252" i="1"/>
  <c r="AD252" i="1" s="1"/>
  <c r="AA252" i="1"/>
  <c r="X252" i="1"/>
  <c r="W252" i="1"/>
  <c r="U252" i="1"/>
  <c r="R252" i="1"/>
  <c r="N252" i="1"/>
  <c r="O252" i="1" s="1"/>
  <c r="L252" i="1"/>
  <c r="H252" i="1"/>
  <c r="I252" i="1" s="1"/>
  <c r="F252" i="1"/>
  <c r="C252" i="1"/>
  <c r="AD251" i="1"/>
  <c r="AC251" i="1"/>
  <c r="AA251" i="1"/>
  <c r="W251" i="1"/>
  <c r="X251" i="1" s="1"/>
  <c r="U251" i="1"/>
  <c r="R251" i="1"/>
  <c r="N251" i="1"/>
  <c r="O251" i="1" s="1"/>
  <c r="L251" i="1"/>
  <c r="H251" i="1"/>
  <c r="I251" i="1" s="1"/>
  <c r="F251" i="1"/>
  <c r="C251" i="1"/>
  <c r="AD250" i="1"/>
  <c r="AC250" i="1"/>
  <c r="AA250" i="1"/>
  <c r="W250" i="1"/>
  <c r="X250" i="1" s="1"/>
  <c r="U250" i="1"/>
  <c r="R250" i="1"/>
  <c r="N250" i="1"/>
  <c r="O250" i="1" s="1"/>
  <c r="L250" i="1"/>
  <c r="I250" i="1"/>
  <c r="H250" i="1"/>
  <c r="F250" i="1"/>
  <c r="C250" i="1"/>
  <c r="AC249" i="1"/>
  <c r="AD249" i="1" s="1"/>
  <c r="AA249" i="1"/>
  <c r="W249" i="1"/>
  <c r="X249" i="1" s="1"/>
  <c r="U249" i="1"/>
  <c r="R249" i="1"/>
  <c r="N249" i="1"/>
  <c r="O249" i="1" s="1"/>
  <c r="L249" i="1"/>
  <c r="I249" i="1"/>
  <c r="H249" i="1"/>
  <c r="F249" i="1"/>
  <c r="C249" i="1"/>
  <c r="AD248" i="1"/>
  <c r="AC248" i="1"/>
  <c r="AA248" i="1"/>
  <c r="W248" i="1"/>
  <c r="X248" i="1" s="1"/>
  <c r="U248" i="1"/>
  <c r="R248" i="1"/>
  <c r="N248" i="1"/>
  <c r="O248" i="1" s="1"/>
  <c r="L248" i="1"/>
  <c r="H248" i="1"/>
  <c r="I248" i="1" s="1"/>
  <c r="F248" i="1"/>
  <c r="C248" i="1"/>
  <c r="AD247" i="1"/>
  <c r="AC247" i="1"/>
  <c r="AA247" i="1"/>
  <c r="X247" i="1"/>
  <c r="W247" i="1"/>
  <c r="U247" i="1"/>
  <c r="R247" i="1"/>
  <c r="N247" i="1"/>
  <c r="O247" i="1" s="1"/>
  <c r="L247" i="1"/>
  <c r="H247" i="1"/>
  <c r="I247" i="1" s="1"/>
  <c r="F247" i="1"/>
  <c r="C247" i="1"/>
  <c r="AD246" i="1"/>
  <c r="AC246" i="1"/>
  <c r="AA246" i="1"/>
  <c r="W246" i="1"/>
  <c r="X246" i="1" s="1"/>
  <c r="U246" i="1"/>
  <c r="R246" i="1"/>
  <c r="O246" i="1"/>
  <c r="N246" i="1"/>
  <c r="L246" i="1"/>
  <c r="I246" i="1"/>
  <c r="H246" i="1"/>
  <c r="F246" i="1"/>
  <c r="C246" i="1"/>
  <c r="AD245" i="1"/>
  <c r="AC245" i="1"/>
  <c r="AA245" i="1"/>
  <c r="W245" i="1"/>
  <c r="X245" i="1" s="1"/>
  <c r="U245" i="1"/>
  <c r="R245" i="1"/>
  <c r="N245" i="1"/>
  <c r="O245" i="1" s="1"/>
  <c r="L245" i="1"/>
  <c r="I245" i="1"/>
  <c r="H245" i="1"/>
  <c r="F245" i="1"/>
  <c r="C245" i="1"/>
  <c r="AC244" i="1"/>
  <c r="AD244" i="1" s="1"/>
  <c r="AA244" i="1"/>
  <c r="X244" i="1"/>
  <c r="W244" i="1"/>
  <c r="U244" i="1"/>
  <c r="R244" i="1"/>
  <c r="N244" i="1"/>
  <c r="O244" i="1" s="1"/>
  <c r="L244" i="1"/>
  <c r="H244" i="1"/>
  <c r="I244" i="1" s="1"/>
  <c r="F244" i="1"/>
  <c r="C244" i="1"/>
  <c r="AD243" i="1"/>
  <c r="AC243" i="1"/>
  <c r="AA243" i="1"/>
  <c r="W243" i="1"/>
  <c r="X243" i="1" s="1"/>
  <c r="U243" i="1"/>
  <c r="R243" i="1"/>
  <c r="N243" i="1"/>
  <c r="O243" i="1" s="1"/>
  <c r="L243" i="1"/>
  <c r="I243" i="1"/>
  <c r="H243" i="1"/>
  <c r="F243" i="1"/>
  <c r="C243" i="1"/>
  <c r="AD242" i="1"/>
  <c r="AC242" i="1"/>
  <c r="AA242" i="1"/>
  <c r="W242" i="1"/>
  <c r="X242" i="1" s="1"/>
  <c r="U242" i="1"/>
  <c r="R242" i="1"/>
  <c r="N242" i="1"/>
  <c r="O242" i="1" s="1"/>
  <c r="L242" i="1"/>
  <c r="I242" i="1"/>
  <c r="H242" i="1"/>
  <c r="F242" i="1"/>
  <c r="C242" i="1"/>
  <c r="AC241" i="1"/>
  <c r="AD241" i="1" s="1"/>
  <c r="AA241" i="1"/>
  <c r="W241" i="1"/>
  <c r="X241" i="1" s="1"/>
  <c r="U241" i="1"/>
  <c r="R241" i="1"/>
  <c r="N241" i="1"/>
  <c r="O241" i="1" s="1"/>
  <c r="L241" i="1"/>
  <c r="I241" i="1"/>
  <c r="H241" i="1"/>
  <c r="F241" i="1"/>
  <c r="C241" i="1"/>
  <c r="AD240" i="1"/>
  <c r="AC240" i="1"/>
  <c r="AA240" i="1"/>
  <c r="W240" i="1"/>
  <c r="X240" i="1" s="1"/>
  <c r="U240" i="1"/>
  <c r="R240" i="1"/>
  <c r="N240" i="1"/>
  <c r="O240" i="1" s="1"/>
  <c r="L240" i="1"/>
  <c r="H240" i="1"/>
  <c r="I240" i="1" s="1"/>
  <c r="F240" i="1"/>
  <c r="C240" i="1"/>
  <c r="AD238" i="1"/>
  <c r="AC238" i="1"/>
  <c r="AA238" i="1"/>
  <c r="X238" i="1"/>
  <c r="W238" i="1"/>
  <c r="U238" i="1"/>
  <c r="R238" i="1"/>
  <c r="N238" i="1"/>
  <c r="O238" i="1" s="1"/>
  <c r="L238" i="1"/>
  <c r="H238" i="1"/>
  <c r="I238" i="1" s="1"/>
  <c r="F238" i="1"/>
  <c r="C238" i="1"/>
  <c r="AA236" i="1"/>
  <c r="Z236" i="1"/>
  <c r="W236" i="1"/>
  <c r="X236" i="1" s="1"/>
  <c r="U236" i="1"/>
  <c r="T236" i="1"/>
  <c r="R236" i="1"/>
  <c r="Q236" i="1"/>
  <c r="AC236" i="1" s="1"/>
  <c r="AD236" i="1" s="1"/>
  <c r="K236" i="1"/>
  <c r="L236" i="1" s="1"/>
  <c r="H236" i="1"/>
  <c r="I236" i="1" s="1"/>
  <c r="F236" i="1"/>
  <c r="E236" i="1"/>
  <c r="C236" i="1"/>
  <c r="B236" i="1"/>
  <c r="AC235" i="1"/>
  <c r="AD235" i="1" s="1"/>
  <c r="AA235" i="1"/>
  <c r="X235" i="1"/>
  <c r="W235" i="1"/>
  <c r="U235" i="1"/>
  <c r="R235" i="1"/>
  <c r="N235" i="1"/>
  <c r="O235" i="1" s="1"/>
  <c r="L235" i="1"/>
  <c r="H235" i="1"/>
  <c r="I235" i="1" s="1"/>
  <c r="F235" i="1"/>
  <c r="C235" i="1"/>
  <c r="AD234" i="1"/>
  <c r="AC234" i="1"/>
  <c r="AA234" i="1"/>
  <c r="W234" i="1"/>
  <c r="X234" i="1" s="1"/>
  <c r="U234" i="1"/>
  <c r="R234" i="1"/>
  <c r="N234" i="1"/>
  <c r="O234" i="1" s="1"/>
  <c r="L234" i="1"/>
  <c r="I234" i="1"/>
  <c r="H234" i="1"/>
  <c r="F234" i="1"/>
  <c r="C234" i="1"/>
  <c r="AD233" i="1"/>
  <c r="AC233" i="1"/>
  <c r="AA233" i="1"/>
  <c r="W233" i="1"/>
  <c r="X233" i="1" s="1"/>
  <c r="U233" i="1"/>
  <c r="R233" i="1"/>
  <c r="N233" i="1"/>
  <c r="O233" i="1" s="1"/>
  <c r="L233" i="1"/>
  <c r="I233" i="1"/>
  <c r="H233" i="1"/>
  <c r="F233" i="1"/>
  <c r="C233" i="1"/>
  <c r="AC232" i="1"/>
  <c r="AD232" i="1" s="1"/>
  <c r="AA232" i="1"/>
  <c r="W232" i="1"/>
  <c r="X232" i="1" s="1"/>
  <c r="U232" i="1"/>
  <c r="R232" i="1"/>
  <c r="N232" i="1"/>
  <c r="O232" i="1" s="1"/>
  <c r="L232" i="1"/>
  <c r="I232" i="1"/>
  <c r="H232" i="1"/>
  <c r="F232" i="1"/>
  <c r="C232" i="1"/>
  <c r="AD231" i="1"/>
  <c r="AC231" i="1"/>
  <c r="AA231" i="1"/>
  <c r="W231" i="1"/>
  <c r="X231" i="1" s="1"/>
  <c r="U231" i="1"/>
  <c r="R231" i="1"/>
  <c r="N231" i="1"/>
  <c r="O231" i="1" s="1"/>
  <c r="L231" i="1"/>
  <c r="H231" i="1"/>
  <c r="I231" i="1" s="1"/>
  <c r="F231" i="1"/>
  <c r="C231" i="1"/>
  <c r="AD230" i="1"/>
  <c r="AC230" i="1"/>
  <c r="AA230" i="1"/>
  <c r="X230" i="1"/>
  <c r="W230" i="1"/>
  <c r="U230" i="1"/>
  <c r="R230" i="1"/>
  <c r="N230" i="1"/>
  <c r="O230" i="1" s="1"/>
  <c r="L230" i="1"/>
  <c r="H230" i="1"/>
  <c r="I230" i="1" s="1"/>
  <c r="F230" i="1"/>
  <c r="C230" i="1"/>
  <c r="AD229" i="1"/>
  <c r="AC229" i="1"/>
  <c r="AA229" i="1"/>
  <c r="W229" i="1"/>
  <c r="X229" i="1" s="1"/>
  <c r="U229" i="1"/>
  <c r="R229" i="1"/>
  <c r="O229" i="1"/>
  <c r="N229" i="1"/>
  <c r="L229" i="1"/>
  <c r="I229" i="1"/>
  <c r="H229" i="1"/>
  <c r="F229" i="1"/>
  <c r="C229" i="1"/>
  <c r="AA227" i="1"/>
  <c r="Z227" i="1"/>
  <c r="T227" i="1"/>
  <c r="U227" i="1" s="1"/>
  <c r="Q227" i="1"/>
  <c r="W227" i="1" s="1"/>
  <c r="X227" i="1" s="1"/>
  <c r="L227" i="1"/>
  <c r="K227" i="1"/>
  <c r="E227" i="1"/>
  <c r="F227" i="1" s="1"/>
  <c r="C227" i="1"/>
  <c r="B227" i="1"/>
  <c r="N227" i="1" s="1"/>
  <c r="O227" i="1" s="1"/>
  <c r="AD226" i="1"/>
  <c r="AC226" i="1"/>
  <c r="AA226" i="1"/>
  <c r="W226" i="1"/>
  <c r="X226" i="1" s="1"/>
  <c r="U226" i="1"/>
  <c r="R226" i="1"/>
  <c r="N226" i="1"/>
  <c r="O226" i="1" s="1"/>
  <c r="L226" i="1"/>
  <c r="I226" i="1"/>
  <c r="H226" i="1"/>
  <c r="F226" i="1"/>
  <c r="C226" i="1"/>
  <c r="AD225" i="1"/>
  <c r="AC225" i="1"/>
  <c r="AA225" i="1"/>
  <c r="W225" i="1"/>
  <c r="X225" i="1" s="1"/>
  <c r="U225" i="1"/>
  <c r="R225" i="1"/>
  <c r="N225" i="1"/>
  <c r="O225" i="1" s="1"/>
  <c r="L225" i="1"/>
  <c r="I225" i="1"/>
  <c r="H225" i="1"/>
  <c r="F225" i="1"/>
  <c r="C225" i="1"/>
  <c r="AC224" i="1"/>
  <c r="AD224" i="1" s="1"/>
  <c r="AA224" i="1"/>
  <c r="W224" i="1"/>
  <c r="X224" i="1" s="1"/>
  <c r="U224" i="1"/>
  <c r="R224" i="1"/>
  <c r="N224" i="1"/>
  <c r="O224" i="1" s="1"/>
  <c r="L224" i="1"/>
  <c r="I224" i="1"/>
  <c r="H224" i="1"/>
  <c r="F224" i="1"/>
  <c r="C224" i="1"/>
  <c r="AD223" i="1"/>
  <c r="AC223" i="1"/>
  <c r="AA223" i="1"/>
  <c r="W223" i="1"/>
  <c r="X223" i="1" s="1"/>
  <c r="U223" i="1"/>
  <c r="R223" i="1"/>
  <c r="N223" i="1"/>
  <c r="O223" i="1" s="1"/>
  <c r="L223" i="1"/>
  <c r="H223" i="1"/>
  <c r="I223" i="1" s="1"/>
  <c r="F223" i="1"/>
  <c r="C223" i="1"/>
  <c r="AD222" i="1"/>
  <c r="AC222" i="1"/>
  <c r="AA222" i="1"/>
  <c r="X222" i="1"/>
  <c r="W222" i="1"/>
  <c r="U222" i="1"/>
  <c r="R222" i="1"/>
  <c r="N222" i="1"/>
  <c r="O222" i="1" s="1"/>
  <c r="L222" i="1"/>
  <c r="H222" i="1"/>
  <c r="I222" i="1" s="1"/>
  <c r="F222" i="1"/>
  <c r="C222" i="1"/>
  <c r="AD221" i="1"/>
  <c r="AC221" i="1"/>
  <c r="AA221" i="1"/>
  <c r="W221" i="1"/>
  <c r="X221" i="1" s="1"/>
  <c r="U221" i="1"/>
  <c r="R221" i="1"/>
  <c r="O221" i="1"/>
  <c r="N221" i="1"/>
  <c r="L221" i="1"/>
  <c r="I221" i="1"/>
  <c r="H221" i="1"/>
  <c r="F221" i="1"/>
  <c r="C221" i="1"/>
  <c r="AD220" i="1"/>
  <c r="AC220" i="1"/>
  <c r="AA220" i="1"/>
  <c r="W220" i="1"/>
  <c r="X220" i="1" s="1"/>
  <c r="U220" i="1"/>
  <c r="R220" i="1"/>
  <c r="N220" i="1"/>
  <c r="O220" i="1" s="1"/>
  <c r="L220" i="1"/>
  <c r="I220" i="1"/>
  <c r="H220" i="1"/>
  <c r="F220" i="1"/>
  <c r="C220" i="1"/>
  <c r="AC219" i="1"/>
  <c r="AD219" i="1" s="1"/>
  <c r="AA219" i="1"/>
  <c r="X219" i="1"/>
  <c r="W219" i="1"/>
  <c r="U219" i="1"/>
  <c r="R219" i="1"/>
  <c r="N219" i="1"/>
  <c r="O219" i="1" s="1"/>
  <c r="L219" i="1"/>
  <c r="H219" i="1"/>
  <c r="I219" i="1" s="1"/>
  <c r="F219" i="1"/>
  <c r="C219" i="1"/>
  <c r="AA218" i="1"/>
  <c r="Z218" i="1"/>
  <c r="W218" i="1"/>
  <c r="X218" i="1" s="1"/>
  <c r="U218" i="1"/>
  <c r="T218" i="1"/>
  <c r="R218" i="1"/>
  <c r="Q218" i="1"/>
  <c r="K218" i="1"/>
  <c r="L218" i="1" s="1"/>
  <c r="I218" i="1"/>
  <c r="F218" i="1"/>
  <c r="E218" i="1"/>
  <c r="B218" i="1"/>
  <c r="H218" i="1" s="1"/>
  <c r="AC217" i="1"/>
  <c r="AD217" i="1" s="1"/>
  <c r="AA217" i="1"/>
  <c r="W217" i="1"/>
  <c r="X217" i="1" s="1"/>
  <c r="U217" i="1"/>
  <c r="R217" i="1"/>
  <c r="N217" i="1"/>
  <c r="O217" i="1" s="1"/>
  <c r="L217" i="1"/>
  <c r="I217" i="1"/>
  <c r="H217" i="1"/>
  <c r="F217" i="1"/>
  <c r="C217" i="1"/>
  <c r="AD216" i="1"/>
  <c r="AC216" i="1"/>
  <c r="AA216" i="1"/>
  <c r="W216" i="1"/>
  <c r="X216" i="1" s="1"/>
  <c r="U216" i="1"/>
  <c r="R216" i="1"/>
  <c r="N216" i="1"/>
  <c r="O216" i="1" s="1"/>
  <c r="L216" i="1"/>
  <c r="H216" i="1"/>
  <c r="I216" i="1" s="1"/>
  <c r="F216" i="1"/>
  <c r="C216" i="1"/>
  <c r="AD215" i="1"/>
  <c r="AC215" i="1"/>
  <c r="AA215" i="1"/>
  <c r="X215" i="1"/>
  <c r="W215" i="1"/>
  <c r="U215" i="1"/>
  <c r="R215" i="1"/>
  <c r="N215" i="1"/>
  <c r="O215" i="1" s="1"/>
  <c r="L215" i="1"/>
  <c r="H215" i="1"/>
  <c r="I215" i="1" s="1"/>
  <c r="F215" i="1"/>
  <c r="C215" i="1"/>
  <c r="AD214" i="1"/>
  <c r="AC214" i="1"/>
  <c r="AA214" i="1"/>
  <c r="W214" i="1"/>
  <c r="X214" i="1" s="1"/>
  <c r="U214" i="1"/>
  <c r="R214" i="1"/>
  <c r="O214" i="1"/>
  <c r="N214" i="1"/>
  <c r="L214" i="1"/>
  <c r="I214" i="1"/>
  <c r="H214" i="1"/>
  <c r="F214" i="1"/>
  <c r="C214" i="1"/>
  <c r="AD213" i="1"/>
  <c r="AC213" i="1"/>
  <c r="AA213" i="1"/>
  <c r="W213" i="1"/>
  <c r="X213" i="1" s="1"/>
  <c r="U213" i="1"/>
  <c r="R213" i="1"/>
  <c r="N213" i="1"/>
  <c r="O213" i="1" s="1"/>
  <c r="L213" i="1"/>
  <c r="I213" i="1"/>
  <c r="H213" i="1"/>
  <c r="F213" i="1"/>
  <c r="C213" i="1"/>
  <c r="AC211" i="1"/>
  <c r="AD211" i="1" s="1"/>
  <c r="AA211" i="1"/>
  <c r="X211" i="1"/>
  <c r="W211" i="1"/>
  <c r="U211" i="1"/>
  <c r="R211" i="1"/>
  <c r="N211" i="1"/>
  <c r="O211" i="1" s="1"/>
  <c r="L211" i="1"/>
  <c r="H211" i="1"/>
  <c r="I211" i="1" s="1"/>
  <c r="F211" i="1"/>
  <c r="C211" i="1"/>
  <c r="AA209" i="1"/>
  <c r="Z209" i="1"/>
  <c r="W209" i="1"/>
  <c r="X209" i="1" s="1"/>
  <c r="U209" i="1"/>
  <c r="T209" i="1"/>
  <c r="R209" i="1"/>
  <c r="Q209" i="1"/>
  <c r="K209" i="1"/>
  <c r="L209" i="1" s="1"/>
  <c r="I209" i="1"/>
  <c r="F209" i="1"/>
  <c r="E209" i="1"/>
  <c r="B209" i="1"/>
  <c r="H209" i="1" s="1"/>
  <c r="AC208" i="1"/>
  <c r="AD208" i="1" s="1"/>
  <c r="AA208" i="1"/>
  <c r="W208" i="1"/>
  <c r="X208" i="1" s="1"/>
  <c r="U208" i="1"/>
  <c r="R208" i="1"/>
  <c r="N208" i="1"/>
  <c r="O208" i="1" s="1"/>
  <c r="L208" i="1"/>
  <c r="I208" i="1"/>
  <c r="H208" i="1"/>
  <c r="F208" i="1"/>
  <c r="C208" i="1"/>
  <c r="AD207" i="1"/>
  <c r="AC207" i="1"/>
  <c r="AA207" i="1"/>
  <c r="W207" i="1"/>
  <c r="X207" i="1" s="1"/>
  <c r="U207" i="1"/>
  <c r="R207" i="1"/>
  <c r="N207" i="1"/>
  <c r="O207" i="1" s="1"/>
  <c r="L207" i="1"/>
  <c r="H207" i="1"/>
  <c r="I207" i="1" s="1"/>
  <c r="F207" i="1"/>
  <c r="C207" i="1"/>
  <c r="AD206" i="1"/>
  <c r="AC206" i="1"/>
  <c r="AA206" i="1"/>
  <c r="X206" i="1"/>
  <c r="W206" i="1"/>
  <c r="U206" i="1"/>
  <c r="R206" i="1"/>
  <c r="N206" i="1"/>
  <c r="O206" i="1" s="1"/>
  <c r="L206" i="1"/>
  <c r="H206" i="1"/>
  <c r="I206" i="1" s="1"/>
  <c r="F206" i="1"/>
  <c r="C206" i="1"/>
  <c r="AD205" i="1"/>
  <c r="AC205" i="1"/>
  <c r="AA205" i="1"/>
  <c r="W205" i="1"/>
  <c r="X205" i="1" s="1"/>
  <c r="U205" i="1"/>
  <c r="R205" i="1"/>
  <c r="O205" i="1"/>
  <c r="N205" i="1"/>
  <c r="L205" i="1"/>
  <c r="I205" i="1"/>
  <c r="H205" i="1"/>
  <c r="F205" i="1"/>
  <c r="C205" i="1"/>
  <c r="AD204" i="1"/>
  <c r="AC204" i="1"/>
  <c r="AA204" i="1"/>
  <c r="W204" i="1"/>
  <c r="X204" i="1" s="1"/>
  <c r="U204" i="1"/>
  <c r="R204" i="1"/>
  <c r="N204" i="1"/>
  <c r="O204" i="1" s="1"/>
  <c r="L204" i="1"/>
  <c r="I204" i="1"/>
  <c r="H204" i="1"/>
  <c r="F204" i="1"/>
  <c r="C204" i="1"/>
  <c r="AC203" i="1"/>
  <c r="AD203" i="1" s="1"/>
  <c r="AA203" i="1"/>
  <c r="X203" i="1"/>
  <c r="W203" i="1"/>
  <c r="U203" i="1"/>
  <c r="R203" i="1"/>
  <c r="N203" i="1"/>
  <c r="O203" i="1" s="1"/>
  <c r="L203" i="1"/>
  <c r="H203" i="1"/>
  <c r="I203" i="1" s="1"/>
  <c r="F203" i="1"/>
  <c r="C203" i="1"/>
  <c r="AD202" i="1"/>
  <c r="AC202" i="1"/>
  <c r="AA202" i="1"/>
  <c r="W202" i="1"/>
  <c r="X202" i="1" s="1"/>
  <c r="U202" i="1"/>
  <c r="R202" i="1"/>
  <c r="N202" i="1"/>
  <c r="O202" i="1" s="1"/>
  <c r="L202" i="1"/>
  <c r="I202" i="1"/>
  <c r="H202" i="1"/>
  <c r="F202" i="1"/>
  <c r="C202" i="1"/>
  <c r="AD201" i="1"/>
  <c r="AC201" i="1"/>
  <c r="AA201" i="1"/>
  <c r="W201" i="1"/>
  <c r="X201" i="1" s="1"/>
  <c r="U201" i="1"/>
  <c r="R201" i="1"/>
  <c r="N201" i="1"/>
  <c r="O201" i="1" s="1"/>
  <c r="L201" i="1"/>
  <c r="I201" i="1"/>
  <c r="H201" i="1"/>
  <c r="F201" i="1"/>
  <c r="C201" i="1"/>
  <c r="Z197" i="1"/>
  <c r="AA197" i="1" s="1"/>
  <c r="W197" i="1"/>
  <c r="X197" i="1" s="1"/>
  <c r="U197" i="1"/>
  <c r="T197" i="1"/>
  <c r="R197" i="1"/>
  <c r="Q197" i="1"/>
  <c r="K197" i="1"/>
  <c r="N197" i="1" s="1"/>
  <c r="O197" i="1" s="1"/>
  <c r="I197" i="1"/>
  <c r="F197" i="1"/>
  <c r="E197" i="1"/>
  <c r="C197" i="1"/>
  <c r="B197" i="1"/>
  <c r="H197" i="1" s="1"/>
  <c r="AC196" i="1"/>
  <c r="AD196" i="1" s="1"/>
  <c r="AA196" i="1"/>
  <c r="Z196" i="1"/>
  <c r="T196" i="1"/>
  <c r="U196" i="1" s="1"/>
  <c r="Q196" i="1"/>
  <c r="W196" i="1" s="1"/>
  <c r="X196" i="1" s="1"/>
  <c r="L196" i="1"/>
  <c r="K196" i="1"/>
  <c r="F196" i="1"/>
  <c r="E196" i="1"/>
  <c r="H196" i="1" s="1"/>
  <c r="I196" i="1" s="1"/>
  <c r="C196" i="1"/>
  <c r="B196" i="1"/>
  <c r="N196" i="1" s="1"/>
  <c r="O196" i="1" s="1"/>
  <c r="AD195" i="1"/>
  <c r="AC195" i="1"/>
  <c r="AA195" i="1"/>
  <c r="W195" i="1"/>
  <c r="X195" i="1" s="1"/>
  <c r="U195" i="1"/>
  <c r="R195" i="1"/>
  <c r="N195" i="1"/>
  <c r="O195" i="1" s="1"/>
  <c r="L195" i="1"/>
  <c r="I195" i="1"/>
  <c r="H195" i="1"/>
  <c r="F195" i="1"/>
  <c r="C195" i="1"/>
  <c r="AD194" i="1"/>
  <c r="AC194" i="1"/>
  <c r="AA194" i="1"/>
  <c r="W194" i="1"/>
  <c r="X194" i="1" s="1"/>
  <c r="U194" i="1"/>
  <c r="R194" i="1"/>
  <c r="N194" i="1"/>
  <c r="O194" i="1" s="1"/>
  <c r="L194" i="1"/>
  <c r="I194" i="1"/>
  <c r="H194" i="1"/>
  <c r="F194" i="1"/>
  <c r="C194" i="1"/>
  <c r="AA193" i="1"/>
  <c r="Z193" i="1"/>
  <c r="T193" i="1"/>
  <c r="U193" i="1" s="1"/>
  <c r="R193" i="1"/>
  <c r="Q193" i="1"/>
  <c r="L193" i="1"/>
  <c r="K193" i="1"/>
  <c r="F193" i="1"/>
  <c r="E193" i="1"/>
  <c r="H193" i="1" s="1"/>
  <c r="I193" i="1" s="1"/>
  <c r="C193" i="1"/>
  <c r="B193" i="1"/>
  <c r="N193" i="1" s="1"/>
  <c r="O193" i="1" s="1"/>
  <c r="AD192" i="1"/>
  <c r="AC192" i="1"/>
  <c r="AA192" i="1"/>
  <c r="W192" i="1"/>
  <c r="X192" i="1" s="1"/>
  <c r="U192" i="1"/>
  <c r="R192" i="1"/>
  <c r="N192" i="1"/>
  <c r="O192" i="1" s="1"/>
  <c r="L192" i="1"/>
  <c r="H192" i="1"/>
  <c r="I192" i="1" s="1"/>
  <c r="F192" i="1"/>
  <c r="C192" i="1"/>
  <c r="AD191" i="1"/>
  <c r="AC191" i="1"/>
  <c r="AA191" i="1"/>
  <c r="W191" i="1"/>
  <c r="X191" i="1" s="1"/>
  <c r="U191" i="1"/>
  <c r="R191" i="1"/>
  <c r="N191" i="1"/>
  <c r="O191" i="1" s="1"/>
  <c r="L191" i="1"/>
  <c r="I191" i="1"/>
  <c r="H191" i="1"/>
  <c r="F191" i="1"/>
  <c r="C191" i="1"/>
  <c r="AC190" i="1"/>
  <c r="AD190" i="1" s="1"/>
  <c r="AA190" i="1"/>
  <c r="W190" i="1"/>
  <c r="X190" i="1" s="1"/>
  <c r="U190" i="1"/>
  <c r="R190" i="1"/>
  <c r="O190" i="1"/>
  <c r="N190" i="1"/>
  <c r="L190" i="1"/>
  <c r="I190" i="1"/>
  <c r="H190" i="1"/>
  <c r="F190" i="1"/>
  <c r="C190" i="1"/>
  <c r="AC189" i="1"/>
  <c r="AD189" i="1" s="1"/>
  <c r="AA189" i="1"/>
  <c r="W189" i="1"/>
  <c r="X189" i="1" s="1"/>
  <c r="U189" i="1"/>
  <c r="R189" i="1"/>
  <c r="N189" i="1"/>
  <c r="O189" i="1" s="1"/>
  <c r="L189" i="1"/>
  <c r="I189" i="1"/>
  <c r="H189" i="1"/>
  <c r="F189" i="1"/>
  <c r="C189" i="1"/>
  <c r="AD188" i="1"/>
  <c r="AC188" i="1"/>
  <c r="AA188" i="1"/>
  <c r="W188" i="1"/>
  <c r="X188" i="1" s="1"/>
  <c r="U188" i="1"/>
  <c r="R188" i="1"/>
  <c r="N188" i="1"/>
  <c r="O188" i="1" s="1"/>
  <c r="L188" i="1"/>
  <c r="I188" i="1"/>
  <c r="H188" i="1"/>
  <c r="F188" i="1"/>
  <c r="C188" i="1"/>
  <c r="AD187" i="1"/>
  <c r="AC187" i="1"/>
  <c r="AA187" i="1"/>
  <c r="W187" i="1"/>
  <c r="X187" i="1" s="1"/>
  <c r="U187" i="1"/>
  <c r="R187" i="1"/>
  <c r="N187" i="1"/>
  <c r="O187" i="1" s="1"/>
  <c r="L187" i="1"/>
  <c r="I187" i="1"/>
  <c r="H187" i="1"/>
  <c r="F187" i="1"/>
  <c r="C187" i="1"/>
  <c r="AD186" i="1"/>
  <c r="AC186" i="1"/>
  <c r="AA186" i="1"/>
  <c r="W186" i="1"/>
  <c r="X186" i="1" s="1"/>
  <c r="U186" i="1"/>
  <c r="R186" i="1"/>
  <c r="O186" i="1"/>
  <c r="N186" i="1"/>
  <c r="L186" i="1"/>
  <c r="I186" i="1"/>
  <c r="H186" i="1"/>
  <c r="F186" i="1"/>
  <c r="C186" i="1"/>
  <c r="AC184" i="1"/>
  <c r="AD184" i="1" s="1"/>
  <c r="AA184" i="1"/>
  <c r="X184" i="1"/>
  <c r="W184" i="1"/>
  <c r="U184" i="1"/>
  <c r="R184" i="1"/>
  <c r="N184" i="1"/>
  <c r="O184" i="1" s="1"/>
  <c r="L184" i="1"/>
  <c r="I184" i="1"/>
  <c r="H184" i="1"/>
  <c r="F184" i="1"/>
  <c r="C184" i="1"/>
  <c r="AD183" i="1"/>
  <c r="AC183" i="1"/>
  <c r="AA183" i="1"/>
  <c r="W183" i="1"/>
  <c r="X183" i="1" s="1"/>
  <c r="U183" i="1"/>
  <c r="R183" i="1"/>
  <c r="N183" i="1"/>
  <c r="O183" i="1" s="1"/>
  <c r="L183" i="1"/>
  <c r="H183" i="1"/>
  <c r="I183" i="1" s="1"/>
  <c r="F183" i="1"/>
  <c r="C183" i="1"/>
  <c r="AA182" i="1"/>
  <c r="Z182" i="1"/>
  <c r="T182" i="1"/>
  <c r="U182" i="1" s="1"/>
  <c r="R182" i="1"/>
  <c r="Q182" i="1"/>
  <c r="AC182" i="1" s="1"/>
  <c r="AD182" i="1" s="1"/>
  <c r="K182" i="1"/>
  <c r="L182" i="1" s="1"/>
  <c r="H182" i="1"/>
  <c r="I182" i="1" s="1"/>
  <c r="F182" i="1"/>
  <c r="E182" i="1"/>
  <c r="C182" i="1"/>
  <c r="B182" i="1"/>
  <c r="AC181" i="1"/>
  <c r="AD181" i="1" s="1"/>
  <c r="AA181" i="1"/>
  <c r="W181" i="1"/>
  <c r="X181" i="1" s="1"/>
  <c r="U181" i="1"/>
  <c r="R181" i="1"/>
  <c r="N181" i="1"/>
  <c r="O181" i="1" s="1"/>
  <c r="L181" i="1"/>
  <c r="I181" i="1"/>
  <c r="H181" i="1"/>
  <c r="F181" i="1"/>
  <c r="C181" i="1"/>
  <c r="AD180" i="1"/>
  <c r="AC180" i="1"/>
  <c r="AA180" i="1"/>
  <c r="W180" i="1"/>
  <c r="X180" i="1" s="1"/>
  <c r="U180" i="1"/>
  <c r="R180" i="1"/>
  <c r="N180" i="1"/>
  <c r="O180" i="1" s="1"/>
  <c r="L180" i="1"/>
  <c r="I180" i="1"/>
  <c r="H180" i="1"/>
  <c r="F180" i="1"/>
  <c r="C180" i="1"/>
  <c r="AD179" i="1"/>
  <c r="AC179" i="1"/>
  <c r="AA179" i="1"/>
  <c r="W179" i="1"/>
  <c r="X179" i="1" s="1"/>
  <c r="U179" i="1"/>
  <c r="R179" i="1"/>
  <c r="N179" i="1"/>
  <c r="O179" i="1" s="1"/>
  <c r="L179" i="1"/>
  <c r="I179" i="1"/>
  <c r="H179" i="1"/>
  <c r="F179" i="1"/>
  <c r="C179" i="1"/>
  <c r="AD178" i="1"/>
  <c r="AC178" i="1"/>
  <c r="AA178" i="1"/>
  <c r="W178" i="1"/>
  <c r="X178" i="1" s="1"/>
  <c r="U178" i="1"/>
  <c r="R178" i="1"/>
  <c r="O178" i="1"/>
  <c r="N178" i="1"/>
  <c r="L178" i="1"/>
  <c r="I178" i="1"/>
  <c r="H178" i="1"/>
  <c r="F178" i="1"/>
  <c r="C178" i="1"/>
  <c r="AC177" i="1"/>
  <c r="AD177" i="1" s="1"/>
  <c r="AA177" i="1"/>
  <c r="X177" i="1"/>
  <c r="W177" i="1"/>
  <c r="U177" i="1"/>
  <c r="R177" i="1"/>
  <c r="N177" i="1"/>
  <c r="O177" i="1" s="1"/>
  <c r="L177" i="1"/>
  <c r="I177" i="1"/>
  <c r="H177" i="1"/>
  <c r="F177" i="1"/>
  <c r="C177" i="1"/>
  <c r="AD175" i="1"/>
  <c r="AC175" i="1"/>
  <c r="AA175" i="1"/>
  <c r="W175" i="1"/>
  <c r="X175" i="1" s="1"/>
  <c r="U175" i="1"/>
  <c r="R175" i="1"/>
  <c r="N175" i="1"/>
  <c r="O175" i="1" s="1"/>
  <c r="L175" i="1"/>
  <c r="H175" i="1"/>
  <c r="I175" i="1" s="1"/>
  <c r="F175" i="1"/>
  <c r="C175" i="1"/>
  <c r="L172" i="1"/>
  <c r="K172" i="1"/>
  <c r="AC171" i="1"/>
  <c r="AD171" i="1" s="1"/>
  <c r="AA171" i="1"/>
  <c r="Z171" i="1"/>
  <c r="U171" i="1"/>
  <c r="T171" i="1"/>
  <c r="Q171" i="1"/>
  <c r="W171" i="1" s="1"/>
  <c r="X171" i="1" s="1"/>
  <c r="L171" i="1"/>
  <c r="K171" i="1"/>
  <c r="E171" i="1"/>
  <c r="F171" i="1" s="1"/>
  <c r="B171" i="1"/>
  <c r="H171" i="1" s="1"/>
  <c r="I171" i="1" s="1"/>
  <c r="AA170" i="1"/>
  <c r="Z170" i="1"/>
  <c r="T170" i="1"/>
  <c r="U170" i="1" s="1"/>
  <c r="R170" i="1"/>
  <c r="Q170" i="1"/>
  <c r="AC170" i="1" s="1"/>
  <c r="AD170" i="1" s="1"/>
  <c r="K170" i="1"/>
  <c r="L170" i="1" s="1"/>
  <c r="H170" i="1"/>
  <c r="I170" i="1" s="1"/>
  <c r="F170" i="1"/>
  <c r="E170" i="1"/>
  <c r="C170" i="1"/>
  <c r="B170" i="1"/>
  <c r="AC169" i="1"/>
  <c r="AD169" i="1" s="1"/>
  <c r="AA169" i="1"/>
  <c r="W169" i="1"/>
  <c r="X169" i="1" s="1"/>
  <c r="U169" i="1"/>
  <c r="R169" i="1"/>
  <c r="N169" i="1"/>
  <c r="O169" i="1" s="1"/>
  <c r="L169" i="1"/>
  <c r="I169" i="1"/>
  <c r="H169" i="1"/>
  <c r="F169" i="1"/>
  <c r="C169" i="1"/>
  <c r="AD168" i="1"/>
  <c r="AC168" i="1"/>
  <c r="AA168" i="1"/>
  <c r="W168" i="1"/>
  <c r="X168" i="1" s="1"/>
  <c r="U168" i="1"/>
  <c r="R168" i="1"/>
  <c r="N168" i="1"/>
  <c r="O168" i="1" s="1"/>
  <c r="L168" i="1"/>
  <c r="I168" i="1"/>
  <c r="H168" i="1"/>
  <c r="F168" i="1"/>
  <c r="C168" i="1"/>
  <c r="AD167" i="1"/>
  <c r="AC167" i="1"/>
  <c r="AA167" i="1"/>
  <c r="W167" i="1"/>
  <c r="X167" i="1" s="1"/>
  <c r="U167" i="1"/>
  <c r="R167" i="1"/>
  <c r="N167" i="1"/>
  <c r="O167" i="1" s="1"/>
  <c r="L167" i="1"/>
  <c r="I167" i="1"/>
  <c r="H167" i="1"/>
  <c r="F167" i="1"/>
  <c r="C167" i="1"/>
  <c r="AA166" i="1"/>
  <c r="Z166" i="1"/>
  <c r="T166" i="1"/>
  <c r="U166" i="1" s="1"/>
  <c r="R166" i="1"/>
  <c r="Q166" i="1"/>
  <c r="L166" i="1"/>
  <c r="K166" i="1"/>
  <c r="F166" i="1"/>
  <c r="E166" i="1"/>
  <c r="H166" i="1" s="1"/>
  <c r="I166" i="1" s="1"/>
  <c r="C166" i="1"/>
  <c r="B166" i="1"/>
  <c r="N166" i="1" s="1"/>
  <c r="O166" i="1" s="1"/>
  <c r="AD165" i="1"/>
  <c r="AC165" i="1"/>
  <c r="AA165" i="1"/>
  <c r="W165" i="1"/>
  <c r="X165" i="1" s="1"/>
  <c r="U165" i="1"/>
  <c r="R165" i="1"/>
  <c r="N165" i="1"/>
  <c r="O165" i="1" s="1"/>
  <c r="L165" i="1"/>
  <c r="H165" i="1"/>
  <c r="I165" i="1" s="1"/>
  <c r="F165" i="1"/>
  <c r="C165" i="1"/>
  <c r="AD164" i="1"/>
  <c r="AC164" i="1"/>
  <c r="AA164" i="1"/>
  <c r="W164" i="1"/>
  <c r="X164" i="1" s="1"/>
  <c r="U164" i="1"/>
  <c r="R164" i="1"/>
  <c r="N164" i="1"/>
  <c r="O164" i="1" s="1"/>
  <c r="L164" i="1"/>
  <c r="I164" i="1"/>
  <c r="H164" i="1"/>
  <c r="F164" i="1"/>
  <c r="C164" i="1"/>
  <c r="AC163" i="1"/>
  <c r="AD163" i="1" s="1"/>
  <c r="AA163" i="1"/>
  <c r="W163" i="1"/>
  <c r="X163" i="1" s="1"/>
  <c r="U163" i="1"/>
  <c r="R163" i="1"/>
  <c r="O163" i="1"/>
  <c r="N163" i="1"/>
  <c r="L163" i="1"/>
  <c r="I163" i="1"/>
  <c r="H163" i="1"/>
  <c r="F163" i="1"/>
  <c r="C163" i="1"/>
  <c r="AC162" i="1"/>
  <c r="AD162" i="1" s="1"/>
  <c r="AA162" i="1"/>
  <c r="W162" i="1"/>
  <c r="X162" i="1" s="1"/>
  <c r="U162" i="1"/>
  <c r="R162" i="1"/>
  <c r="N162" i="1"/>
  <c r="O162" i="1" s="1"/>
  <c r="L162" i="1"/>
  <c r="I162" i="1"/>
  <c r="H162" i="1"/>
  <c r="F162" i="1"/>
  <c r="C162" i="1"/>
  <c r="AD161" i="1"/>
  <c r="AC161" i="1"/>
  <c r="AA161" i="1"/>
  <c r="W161" i="1"/>
  <c r="X161" i="1" s="1"/>
  <c r="U161" i="1"/>
  <c r="R161" i="1"/>
  <c r="N161" i="1"/>
  <c r="O161" i="1" s="1"/>
  <c r="L161" i="1"/>
  <c r="I161" i="1"/>
  <c r="H161" i="1"/>
  <c r="F161" i="1"/>
  <c r="C161" i="1"/>
  <c r="AD160" i="1"/>
  <c r="AC160" i="1"/>
  <c r="AA160" i="1"/>
  <c r="W160" i="1"/>
  <c r="X160" i="1" s="1"/>
  <c r="U160" i="1"/>
  <c r="R160" i="1"/>
  <c r="N160" i="1"/>
  <c r="O160" i="1" s="1"/>
  <c r="L160" i="1"/>
  <c r="I160" i="1"/>
  <c r="H160" i="1"/>
  <c r="F160" i="1"/>
  <c r="C160" i="1"/>
  <c r="AA158" i="1"/>
  <c r="Z158" i="1"/>
  <c r="T158" i="1"/>
  <c r="U158" i="1" s="1"/>
  <c r="R158" i="1"/>
  <c r="Q158" i="1"/>
  <c r="L158" i="1"/>
  <c r="K158" i="1"/>
  <c r="F158" i="1"/>
  <c r="E158" i="1"/>
  <c r="H158" i="1" s="1"/>
  <c r="I158" i="1" s="1"/>
  <c r="C158" i="1"/>
  <c r="B158" i="1"/>
  <c r="N158" i="1" s="1"/>
  <c r="O158" i="1" s="1"/>
  <c r="AD157" i="1"/>
  <c r="AC157" i="1"/>
  <c r="AA157" i="1"/>
  <c r="W157" i="1"/>
  <c r="X157" i="1" s="1"/>
  <c r="U157" i="1"/>
  <c r="R157" i="1"/>
  <c r="N157" i="1"/>
  <c r="O157" i="1" s="1"/>
  <c r="L157" i="1"/>
  <c r="H157" i="1"/>
  <c r="I157" i="1" s="1"/>
  <c r="F157" i="1"/>
  <c r="C157" i="1"/>
  <c r="AD156" i="1"/>
  <c r="AC156" i="1"/>
  <c r="AA156" i="1"/>
  <c r="W156" i="1"/>
  <c r="X156" i="1" s="1"/>
  <c r="U156" i="1"/>
  <c r="R156" i="1"/>
  <c r="N156" i="1"/>
  <c r="O156" i="1" s="1"/>
  <c r="L156" i="1"/>
  <c r="I156" i="1"/>
  <c r="H156" i="1"/>
  <c r="F156" i="1"/>
  <c r="C156" i="1"/>
  <c r="AC155" i="1"/>
  <c r="AD155" i="1" s="1"/>
  <c r="AA155" i="1"/>
  <c r="W155" i="1"/>
  <c r="X155" i="1" s="1"/>
  <c r="U155" i="1"/>
  <c r="R155" i="1"/>
  <c r="O155" i="1"/>
  <c r="N155" i="1"/>
  <c r="L155" i="1"/>
  <c r="I155" i="1"/>
  <c r="H155" i="1"/>
  <c r="F155" i="1"/>
  <c r="C155" i="1"/>
  <c r="AC154" i="1"/>
  <c r="AD154" i="1" s="1"/>
  <c r="AA154" i="1"/>
  <c r="W154" i="1"/>
  <c r="X154" i="1" s="1"/>
  <c r="U154" i="1"/>
  <c r="R154" i="1"/>
  <c r="N154" i="1"/>
  <c r="O154" i="1" s="1"/>
  <c r="L154" i="1"/>
  <c r="I154" i="1"/>
  <c r="H154" i="1"/>
  <c r="F154" i="1"/>
  <c r="C154" i="1"/>
  <c r="AD153" i="1"/>
  <c r="AC153" i="1"/>
  <c r="AA153" i="1"/>
  <c r="W153" i="1"/>
  <c r="X153" i="1" s="1"/>
  <c r="U153" i="1"/>
  <c r="R153" i="1"/>
  <c r="N153" i="1"/>
  <c r="O153" i="1" s="1"/>
  <c r="L153" i="1"/>
  <c r="I153" i="1"/>
  <c r="H153" i="1"/>
  <c r="F153" i="1"/>
  <c r="C153" i="1"/>
  <c r="AD151" i="1"/>
  <c r="AC151" i="1"/>
  <c r="AA151" i="1"/>
  <c r="W151" i="1"/>
  <c r="X151" i="1" s="1"/>
  <c r="U151" i="1"/>
  <c r="R151" i="1"/>
  <c r="N151" i="1"/>
  <c r="O151" i="1" s="1"/>
  <c r="L151" i="1"/>
  <c r="I151" i="1"/>
  <c r="H151" i="1"/>
  <c r="F151" i="1"/>
  <c r="C151" i="1"/>
  <c r="AA149" i="1"/>
  <c r="Z149" i="1"/>
  <c r="T149" i="1"/>
  <c r="U149" i="1" s="1"/>
  <c r="R149" i="1"/>
  <c r="Q149" i="1"/>
  <c r="L149" i="1"/>
  <c r="K149" i="1"/>
  <c r="F149" i="1"/>
  <c r="E149" i="1"/>
  <c r="H149" i="1" s="1"/>
  <c r="I149" i="1" s="1"/>
  <c r="C149" i="1"/>
  <c r="B149" i="1"/>
  <c r="N149" i="1" s="1"/>
  <c r="O149" i="1" s="1"/>
  <c r="Z148" i="1"/>
  <c r="AA148" i="1" s="1"/>
  <c r="W148" i="1"/>
  <c r="X148" i="1" s="1"/>
  <c r="U148" i="1"/>
  <c r="T148" i="1"/>
  <c r="R148" i="1"/>
  <c r="Q148" i="1"/>
  <c r="K148" i="1"/>
  <c r="L148" i="1" s="1"/>
  <c r="I148" i="1"/>
  <c r="F148" i="1"/>
  <c r="E148" i="1"/>
  <c r="C148" i="1"/>
  <c r="B148" i="1"/>
  <c r="H148" i="1" s="1"/>
  <c r="AC147" i="1"/>
  <c r="AD147" i="1" s="1"/>
  <c r="AA147" i="1"/>
  <c r="W147" i="1"/>
  <c r="X147" i="1" s="1"/>
  <c r="U147" i="1"/>
  <c r="R147" i="1"/>
  <c r="O147" i="1"/>
  <c r="N147" i="1"/>
  <c r="L147" i="1"/>
  <c r="I147" i="1"/>
  <c r="H147" i="1"/>
  <c r="F147" i="1"/>
  <c r="C147" i="1"/>
  <c r="AC146" i="1"/>
  <c r="AD146" i="1" s="1"/>
  <c r="AA146" i="1"/>
  <c r="W146" i="1"/>
  <c r="X146" i="1" s="1"/>
  <c r="U146" i="1"/>
  <c r="R146" i="1"/>
  <c r="N146" i="1"/>
  <c r="O146" i="1" s="1"/>
  <c r="L146" i="1"/>
  <c r="I146" i="1"/>
  <c r="H146" i="1"/>
  <c r="F146" i="1"/>
  <c r="C146" i="1"/>
  <c r="AD145" i="1"/>
  <c r="AC145" i="1"/>
  <c r="AA145" i="1"/>
  <c r="W145" i="1"/>
  <c r="X145" i="1" s="1"/>
  <c r="U145" i="1"/>
  <c r="R145" i="1"/>
  <c r="N145" i="1"/>
  <c r="O145" i="1" s="1"/>
  <c r="L145" i="1"/>
  <c r="I145" i="1"/>
  <c r="H145" i="1"/>
  <c r="F145" i="1"/>
  <c r="C145" i="1"/>
  <c r="AD144" i="1"/>
  <c r="AC144" i="1"/>
  <c r="AA144" i="1"/>
  <c r="W144" i="1"/>
  <c r="X144" i="1" s="1"/>
  <c r="U144" i="1"/>
  <c r="R144" i="1"/>
  <c r="N144" i="1"/>
  <c r="O144" i="1" s="1"/>
  <c r="L144" i="1"/>
  <c r="I144" i="1"/>
  <c r="H144" i="1"/>
  <c r="F144" i="1"/>
  <c r="C144" i="1"/>
  <c r="AD143" i="1"/>
  <c r="AC143" i="1"/>
  <c r="AA143" i="1"/>
  <c r="W143" i="1"/>
  <c r="X143" i="1" s="1"/>
  <c r="U143" i="1"/>
  <c r="R143" i="1"/>
  <c r="O143" i="1"/>
  <c r="N143" i="1"/>
  <c r="L143" i="1"/>
  <c r="I143" i="1"/>
  <c r="H143" i="1"/>
  <c r="F143" i="1"/>
  <c r="C143" i="1"/>
  <c r="AC141" i="1"/>
  <c r="AD141" i="1" s="1"/>
  <c r="AA141" i="1"/>
  <c r="Z141" i="1"/>
  <c r="U141" i="1"/>
  <c r="T141" i="1"/>
  <c r="Q141" i="1"/>
  <c r="W141" i="1" s="1"/>
  <c r="X141" i="1" s="1"/>
  <c r="L141" i="1"/>
  <c r="K141" i="1"/>
  <c r="E141" i="1"/>
  <c r="F141" i="1" s="1"/>
  <c r="B141" i="1"/>
  <c r="H141" i="1" s="1"/>
  <c r="I141" i="1" s="1"/>
  <c r="AD140" i="1"/>
  <c r="AC140" i="1"/>
  <c r="AA140" i="1"/>
  <c r="W140" i="1"/>
  <c r="X140" i="1" s="1"/>
  <c r="U140" i="1"/>
  <c r="R140" i="1"/>
  <c r="N140" i="1"/>
  <c r="O140" i="1" s="1"/>
  <c r="L140" i="1"/>
  <c r="I140" i="1"/>
  <c r="H140" i="1"/>
  <c r="F140" i="1"/>
  <c r="C140" i="1"/>
  <c r="AC139" i="1"/>
  <c r="AD139" i="1" s="1"/>
  <c r="AA139" i="1"/>
  <c r="W139" i="1"/>
  <c r="X139" i="1" s="1"/>
  <c r="U139" i="1"/>
  <c r="R139" i="1"/>
  <c r="O139" i="1"/>
  <c r="N139" i="1"/>
  <c r="L139" i="1"/>
  <c r="I139" i="1"/>
  <c r="H139" i="1"/>
  <c r="F139" i="1"/>
  <c r="C139" i="1"/>
  <c r="AC138" i="1"/>
  <c r="AD138" i="1" s="1"/>
  <c r="AA138" i="1"/>
  <c r="W138" i="1"/>
  <c r="X138" i="1" s="1"/>
  <c r="U138" i="1"/>
  <c r="R138" i="1"/>
  <c r="N138" i="1"/>
  <c r="O138" i="1" s="1"/>
  <c r="L138" i="1"/>
  <c r="I138" i="1"/>
  <c r="H138" i="1"/>
  <c r="F138" i="1"/>
  <c r="C138" i="1"/>
  <c r="AD137" i="1"/>
  <c r="AC137" i="1"/>
  <c r="AA137" i="1"/>
  <c r="W137" i="1"/>
  <c r="X137" i="1" s="1"/>
  <c r="U137" i="1"/>
  <c r="R137" i="1"/>
  <c r="N137" i="1"/>
  <c r="O137" i="1" s="1"/>
  <c r="L137" i="1"/>
  <c r="I137" i="1"/>
  <c r="H137" i="1"/>
  <c r="F137" i="1"/>
  <c r="C137" i="1"/>
  <c r="AD136" i="1"/>
  <c r="AC136" i="1"/>
  <c r="AA136" i="1"/>
  <c r="W136" i="1"/>
  <c r="X136" i="1" s="1"/>
  <c r="U136" i="1"/>
  <c r="R136" i="1"/>
  <c r="N136" i="1"/>
  <c r="O136" i="1" s="1"/>
  <c r="L136" i="1"/>
  <c r="I136" i="1"/>
  <c r="H136" i="1"/>
  <c r="F136" i="1"/>
  <c r="C136" i="1"/>
  <c r="AD135" i="1"/>
  <c r="AC135" i="1"/>
  <c r="AA135" i="1"/>
  <c r="W135" i="1"/>
  <c r="X135" i="1" s="1"/>
  <c r="U135" i="1"/>
  <c r="R135" i="1"/>
  <c r="N135" i="1"/>
  <c r="O135" i="1" s="1"/>
  <c r="L135" i="1"/>
  <c r="I135" i="1"/>
  <c r="H135" i="1"/>
  <c r="F135" i="1"/>
  <c r="C135" i="1"/>
  <c r="AC134" i="1"/>
  <c r="AD134" i="1" s="1"/>
  <c r="AA134" i="1"/>
  <c r="X134" i="1"/>
  <c r="W134" i="1"/>
  <c r="U134" i="1"/>
  <c r="R134" i="1"/>
  <c r="N134" i="1"/>
  <c r="O134" i="1" s="1"/>
  <c r="L134" i="1"/>
  <c r="H134" i="1"/>
  <c r="I134" i="1" s="1"/>
  <c r="F134" i="1"/>
  <c r="C134" i="1"/>
  <c r="AD133" i="1"/>
  <c r="AC133" i="1"/>
  <c r="AA133" i="1"/>
  <c r="W133" i="1"/>
  <c r="X133" i="1" s="1"/>
  <c r="U133" i="1"/>
  <c r="R133" i="1"/>
  <c r="N133" i="1"/>
  <c r="O133" i="1" s="1"/>
  <c r="L133" i="1"/>
  <c r="H133" i="1"/>
  <c r="I133" i="1" s="1"/>
  <c r="F133" i="1"/>
  <c r="C133" i="1"/>
  <c r="AD132" i="1"/>
  <c r="AC132" i="1"/>
  <c r="AA132" i="1"/>
  <c r="W132" i="1"/>
  <c r="X132" i="1" s="1"/>
  <c r="U132" i="1"/>
  <c r="R132" i="1"/>
  <c r="N132" i="1"/>
  <c r="O132" i="1" s="1"/>
  <c r="L132" i="1"/>
  <c r="I132" i="1"/>
  <c r="H132" i="1"/>
  <c r="F132" i="1"/>
  <c r="C132" i="1"/>
  <c r="AC131" i="1"/>
  <c r="AD131" i="1" s="1"/>
  <c r="AA131" i="1"/>
  <c r="W131" i="1"/>
  <c r="X131" i="1" s="1"/>
  <c r="U131" i="1"/>
  <c r="R131" i="1"/>
  <c r="O131" i="1"/>
  <c r="N131" i="1"/>
  <c r="L131" i="1"/>
  <c r="I131" i="1"/>
  <c r="H131" i="1"/>
  <c r="F131" i="1"/>
  <c r="C131" i="1"/>
  <c r="AC130" i="1"/>
  <c r="AD130" i="1" s="1"/>
  <c r="AA130" i="1"/>
  <c r="W130" i="1"/>
  <c r="X130" i="1" s="1"/>
  <c r="U130" i="1"/>
  <c r="R130" i="1"/>
  <c r="N130" i="1"/>
  <c r="O130" i="1" s="1"/>
  <c r="L130" i="1"/>
  <c r="I130" i="1"/>
  <c r="H130" i="1"/>
  <c r="F130" i="1"/>
  <c r="C130" i="1"/>
  <c r="AD129" i="1"/>
  <c r="AC129" i="1"/>
  <c r="AA129" i="1"/>
  <c r="W129" i="1"/>
  <c r="X129" i="1" s="1"/>
  <c r="U129" i="1"/>
  <c r="R129" i="1"/>
  <c r="N129" i="1"/>
  <c r="O129" i="1" s="1"/>
  <c r="L129" i="1"/>
  <c r="I129" i="1"/>
  <c r="H129" i="1"/>
  <c r="F129" i="1"/>
  <c r="C129" i="1"/>
  <c r="AD127" i="1"/>
  <c r="AC127" i="1"/>
  <c r="AA127" i="1"/>
  <c r="W127" i="1"/>
  <c r="X127" i="1" s="1"/>
  <c r="U127" i="1"/>
  <c r="R127" i="1"/>
  <c r="N127" i="1"/>
  <c r="O127" i="1" s="1"/>
  <c r="L127" i="1"/>
  <c r="I127" i="1"/>
  <c r="H127" i="1"/>
  <c r="F127" i="1"/>
  <c r="C127" i="1"/>
  <c r="AA124" i="1"/>
  <c r="Z124" i="1"/>
  <c r="Z172" i="1" s="1"/>
  <c r="AA172" i="1" s="1"/>
  <c r="T124" i="1"/>
  <c r="T172" i="1" s="1"/>
  <c r="R124" i="1"/>
  <c r="Q124" i="1"/>
  <c r="L124" i="1"/>
  <c r="K124" i="1"/>
  <c r="E124" i="1"/>
  <c r="E172" i="1" s="1"/>
  <c r="F172" i="1" s="1"/>
  <c r="C124" i="1"/>
  <c r="B124" i="1"/>
  <c r="AD123" i="1"/>
  <c r="AC123" i="1"/>
  <c r="AA123" i="1"/>
  <c r="W123" i="1"/>
  <c r="X123" i="1" s="1"/>
  <c r="U123" i="1"/>
  <c r="R123" i="1"/>
  <c r="N123" i="1"/>
  <c r="O123" i="1" s="1"/>
  <c r="L123" i="1"/>
  <c r="H123" i="1"/>
  <c r="I123" i="1" s="1"/>
  <c r="F123" i="1"/>
  <c r="C123" i="1"/>
  <c r="AA122" i="1"/>
  <c r="Z122" i="1"/>
  <c r="T122" i="1"/>
  <c r="U122" i="1" s="1"/>
  <c r="R122" i="1"/>
  <c r="Q122" i="1"/>
  <c r="AC122" i="1" s="1"/>
  <c r="AD122" i="1" s="1"/>
  <c r="K122" i="1"/>
  <c r="L122" i="1" s="1"/>
  <c r="H122" i="1"/>
  <c r="I122" i="1" s="1"/>
  <c r="F122" i="1"/>
  <c r="E122" i="1"/>
  <c r="C122" i="1"/>
  <c r="B122" i="1"/>
  <c r="AC121" i="1"/>
  <c r="AD121" i="1" s="1"/>
  <c r="AA121" i="1"/>
  <c r="W121" i="1"/>
  <c r="X121" i="1" s="1"/>
  <c r="U121" i="1"/>
  <c r="R121" i="1"/>
  <c r="N121" i="1"/>
  <c r="O121" i="1" s="1"/>
  <c r="L121" i="1"/>
  <c r="I121" i="1"/>
  <c r="H121" i="1"/>
  <c r="F121" i="1"/>
  <c r="C121" i="1"/>
  <c r="AD120" i="1"/>
  <c r="AC120" i="1"/>
  <c r="AA120" i="1"/>
  <c r="W120" i="1"/>
  <c r="X120" i="1" s="1"/>
  <c r="U120" i="1"/>
  <c r="R120" i="1"/>
  <c r="N120" i="1"/>
  <c r="O120" i="1" s="1"/>
  <c r="L120" i="1"/>
  <c r="I120" i="1"/>
  <c r="H120" i="1"/>
  <c r="F120" i="1"/>
  <c r="C120" i="1"/>
  <c r="AD119" i="1"/>
  <c r="AC119" i="1"/>
  <c r="AA119" i="1"/>
  <c r="W119" i="1"/>
  <c r="X119" i="1" s="1"/>
  <c r="U119" i="1"/>
  <c r="R119" i="1"/>
  <c r="N119" i="1"/>
  <c r="O119" i="1" s="1"/>
  <c r="L119" i="1"/>
  <c r="I119" i="1"/>
  <c r="H119" i="1"/>
  <c r="F119" i="1"/>
  <c r="C119" i="1"/>
  <c r="AA118" i="1"/>
  <c r="Z118" i="1"/>
  <c r="T118" i="1"/>
  <c r="U118" i="1" s="1"/>
  <c r="R118" i="1"/>
  <c r="Q118" i="1"/>
  <c r="L118" i="1"/>
  <c r="K118" i="1"/>
  <c r="E118" i="1"/>
  <c r="H118" i="1" s="1"/>
  <c r="I118" i="1" s="1"/>
  <c r="C118" i="1"/>
  <c r="B118" i="1"/>
  <c r="N118" i="1" s="1"/>
  <c r="O118" i="1" s="1"/>
  <c r="AD117" i="1"/>
  <c r="AC117" i="1"/>
  <c r="AA117" i="1"/>
  <c r="W117" i="1"/>
  <c r="X117" i="1" s="1"/>
  <c r="U117" i="1"/>
  <c r="R117" i="1"/>
  <c r="N117" i="1"/>
  <c r="O117" i="1" s="1"/>
  <c r="L117" i="1"/>
  <c r="H117" i="1"/>
  <c r="I117" i="1" s="1"/>
  <c r="F117" i="1"/>
  <c r="C117" i="1"/>
  <c r="AD116" i="1"/>
  <c r="AC116" i="1"/>
  <c r="AA116" i="1"/>
  <c r="W116" i="1"/>
  <c r="X116" i="1" s="1"/>
  <c r="U116" i="1"/>
  <c r="R116" i="1"/>
  <c r="N116" i="1"/>
  <c r="O116" i="1" s="1"/>
  <c r="L116" i="1"/>
  <c r="I116" i="1"/>
  <c r="H116" i="1"/>
  <c r="F116" i="1"/>
  <c r="C116" i="1"/>
  <c r="AC115" i="1"/>
  <c r="AD115" i="1" s="1"/>
  <c r="AA115" i="1"/>
  <c r="W115" i="1"/>
  <c r="X115" i="1" s="1"/>
  <c r="U115" i="1"/>
  <c r="R115" i="1"/>
  <c r="O115" i="1"/>
  <c r="N115" i="1"/>
  <c r="L115" i="1"/>
  <c r="I115" i="1"/>
  <c r="H115" i="1"/>
  <c r="F115" i="1"/>
  <c r="C115" i="1"/>
  <c r="AC114" i="1"/>
  <c r="AD114" i="1" s="1"/>
  <c r="AA114" i="1"/>
  <c r="W114" i="1"/>
  <c r="X114" i="1" s="1"/>
  <c r="U114" i="1"/>
  <c r="R114" i="1"/>
  <c r="N114" i="1"/>
  <c r="O114" i="1" s="1"/>
  <c r="L114" i="1"/>
  <c r="I114" i="1"/>
  <c r="H114" i="1"/>
  <c r="F114" i="1"/>
  <c r="C114" i="1"/>
  <c r="AD113" i="1"/>
  <c r="AC113" i="1"/>
  <c r="AA113" i="1"/>
  <c r="W113" i="1"/>
  <c r="X113" i="1" s="1"/>
  <c r="U113" i="1"/>
  <c r="R113" i="1"/>
  <c r="N113" i="1"/>
  <c r="O113" i="1" s="1"/>
  <c r="L113" i="1"/>
  <c r="I113" i="1"/>
  <c r="H113" i="1"/>
  <c r="F113" i="1"/>
  <c r="C113" i="1"/>
  <c r="AD112" i="1"/>
  <c r="AC112" i="1"/>
  <c r="AA112" i="1"/>
  <c r="W112" i="1"/>
  <c r="X112" i="1" s="1"/>
  <c r="U112" i="1"/>
  <c r="R112" i="1"/>
  <c r="N112" i="1"/>
  <c r="O112" i="1" s="1"/>
  <c r="L112" i="1"/>
  <c r="I112" i="1"/>
  <c r="H112" i="1"/>
  <c r="F112" i="1"/>
  <c r="C112" i="1"/>
  <c r="AD111" i="1"/>
  <c r="AC111" i="1"/>
  <c r="AA111" i="1"/>
  <c r="W111" i="1"/>
  <c r="X111" i="1" s="1"/>
  <c r="U111" i="1"/>
  <c r="R111" i="1"/>
  <c r="N111" i="1"/>
  <c r="O111" i="1" s="1"/>
  <c r="L111" i="1"/>
  <c r="I111" i="1"/>
  <c r="H111" i="1"/>
  <c r="F111" i="1"/>
  <c r="C111" i="1"/>
  <c r="AC110" i="1"/>
  <c r="AD110" i="1" s="1"/>
  <c r="AA110" i="1"/>
  <c r="X110" i="1"/>
  <c r="W110" i="1"/>
  <c r="U110" i="1"/>
  <c r="R110" i="1"/>
  <c r="N110" i="1"/>
  <c r="O110" i="1" s="1"/>
  <c r="L110" i="1"/>
  <c r="H110" i="1"/>
  <c r="I110" i="1" s="1"/>
  <c r="F110" i="1"/>
  <c r="C110" i="1"/>
  <c r="AD109" i="1"/>
  <c r="AC109" i="1"/>
  <c r="AA109" i="1"/>
  <c r="W109" i="1"/>
  <c r="X109" i="1" s="1"/>
  <c r="U109" i="1"/>
  <c r="R109" i="1"/>
  <c r="N109" i="1"/>
  <c r="O109" i="1" s="1"/>
  <c r="L109" i="1"/>
  <c r="H109" i="1"/>
  <c r="I109" i="1" s="1"/>
  <c r="F109" i="1"/>
  <c r="C109" i="1"/>
  <c r="AD108" i="1"/>
  <c r="AC108" i="1"/>
  <c r="AA108" i="1"/>
  <c r="W108" i="1"/>
  <c r="X108" i="1" s="1"/>
  <c r="U108" i="1"/>
  <c r="R108" i="1"/>
  <c r="N108" i="1"/>
  <c r="O108" i="1" s="1"/>
  <c r="L108" i="1"/>
  <c r="I108" i="1"/>
  <c r="H108" i="1"/>
  <c r="F108" i="1"/>
  <c r="C108" i="1"/>
  <c r="AC107" i="1"/>
  <c r="AD107" i="1" s="1"/>
  <c r="AA107" i="1"/>
  <c r="W107" i="1"/>
  <c r="X107" i="1" s="1"/>
  <c r="U107" i="1"/>
  <c r="R107" i="1"/>
  <c r="O107" i="1"/>
  <c r="N107" i="1"/>
  <c r="L107" i="1"/>
  <c r="I107" i="1"/>
  <c r="H107" i="1"/>
  <c r="F107" i="1"/>
  <c r="C107" i="1"/>
  <c r="AC106" i="1"/>
  <c r="AD106" i="1" s="1"/>
  <c r="AA106" i="1"/>
  <c r="W106" i="1"/>
  <c r="X106" i="1" s="1"/>
  <c r="U106" i="1"/>
  <c r="R106" i="1"/>
  <c r="N106" i="1"/>
  <c r="O106" i="1" s="1"/>
  <c r="L106" i="1"/>
  <c r="I106" i="1"/>
  <c r="H106" i="1"/>
  <c r="F106" i="1"/>
  <c r="C106" i="1"/>
  <c r="AD105" i="1"/>
  <c r="AC105" i="1"/>
  <c r="AA105" i="1"/>
  <c r="W105" i="1"/>
  <c r="X105" i="1" s="1"/>
  <c r="U105" i="1"/>
  <c r="R105" i="1"/>
  <c r="N105" i="1"/>
  <c r="O105" i="1" s="1"/>
  <c r="L105" i="1"/>
  <c r="I105" i="1"/>
  <c r="H105" i="1"/>
  <c r="F105" i="1"/>
  <c r="C105" i="1"/>
  <c r="AD104" i="1"/>
  <c r="AC104" i="1"/>
  <c r="AA104" i="1"/>
  <c r="W104" i="1"/>
  <c r="X104" i="1" s="1"/>
  <c r="U104" i="1"/>
  <c r="R104" i="1"/>
  <c r="N104" i="1"/>
  <c r="O104" i="1" s="1"/>
  <c r="L104" i="1"/>
  <c r="I104" i="1"/>
  <c r="H104" i="1"/>
  <c r="F104" i="1"/>
  <c r="C104" i="1"/>
  <c r="AD103" i="1"/>
  <c r="AC103" i="1"/>
  <c r="AA103" i="1"/>
  <c r="W103" i="1"/>
  <c r="X103" i="1" s="1"/>
  <c r="U103" i="1"/>
  <c r="R103" i="1"/>
  <c r="N103" i="1"/>
  <c r="O103" i="1" s="1"/>
  <c r="L103" i="1"/>
  <c r="I103" i="1"/>
  <c r="H103" i="1"/>
  <c r="F103" i="1"/>
  <c r="C103" i="1"/>
  <c r="AC102" i="1"/>
  <c r="AD102" i="1" s="1"/>
  <c r="AA102" i="1"/>
  <c r="X102" i="1"/>
  <c r="W102" i="1"/>
  <c r="U102" i="1"/>
  <c r="R102" i="1"/>
  <c r="N102" i="1"/>
  <c r="O102" i="1" s="1"/>
  <c r="L102" i="1"/>
  <c r="H102" i="1"/>
  <c r="I102" i="1" s="1"/>
  <c r="F102" i="1"/>
  <c r="C102" i="1"/>
  <c r="AD101" i="1"/>
  <c r="AC101" i="1"/>
  <c r="AA101" i="1"/>
  <c r="W101" i="1"/>
  <c r="X101" i="1" s="1"/>
  <c r="U101" i="1"/>
  <c r="R101" i="1"/>
  <c r="N101" i="1"/>
  <c r="O101" i="1" s="1"/>
  <c r="L101" i="1"/>
  <c r="H101" i="1"/>
  <c r="I101" i="1" s="1"/>
  <c r="F101" i="1"/>
  <c r="C101" i="1"/>
  <c r="AD100" i="1"/>
  <c r="AC100" i="1"/>
  <c r="AA100" i="1"/>
  <c r="W100" i="1"/>
  <c r="X100" i="1" s="1"/>
  <c r="U100" i="1"/>
  <c r="R100" i="1"/>
  <c r="N100" i="1"/>
  <c r="O100" i="1" s="1"/>
  <c r="L100" i="1"/>
  <c r="I100" i="1"/>
  <c r="H100" i="1"/>
  <c r="F100" i="1"/>
  <c r="C100" i="1"/>
  <c r="AC99" i="1"/>
  <c r="AD99" i="1" s="1"/>
  <c r="AA99" i="1"/>
  <c r="W99" i="1"/>
  <c r="X99" i="1" s="1"/>
  <c r="U99" i="1"/>
  <c r="R99" i="1"/>
  <c r="O99" i="1"/>
  <c r="N99" i="1"/>
  <c r="L99" i="1"/>
  <c r="I99" i="1"/>
  <c r="H99" i="1"/>
  <c r="F99" i="1"/>
  <c r="C99" i="1"/>
  <c r="AC98" i="1"/>
  <c r="AD98" i="1" s="1"/>
  <c r="AA98" i="1"/>
  <c r="W98" i="1"/>
  <c r="X98" i="1" s="1"/>
  <c r="U98" i="1"/>
  <c r="R98" i="1"/>
  <c r="N98" i="1"/>
  <c r="O98" i="1" s="1"/>
  <c r="L98" i="1"/>
  <c r="I98" i="1"/>
  <c r="H98" i="1"/>
  <c r="F98" i="1"/>
  <c r="C98" i="1"/>
  <c r="AD97" i="1"/>
  <c r="AC97" i="1"/>
  <c r="AA97" i="1"/>
  <c r="W97" i="1"/>
  <c r="X97" i="1" s="1"/>
  <c r="U97" i="1"/>
  <c r="R97" i="1"/>
  <c r="N97" i="1"/>
  <c r="O97" i="1" s="1"/>
  <c r="L97" i="1"/>
  <c r="I97" i="1"/>
  <c r="H97" i="1"/>
  <c r="F97" i="1"/>
  <c r="C97" i="1"/>
  <c r="AD96" i="1"/>
  <c r="AC96" i="1"/>
  <c r="AA96" i="1"/>
  <c r="W96" i="1"/>
  <c r="X96" i="1" s="1"/>
  <c r="U96" i="1"/>
  <c r="R96" i="1"/>
  <c r="N96" i="1"/>
  <c r="O96" i="1" s="1"/>
  <c r="L96" i="1"/>
  <c r="I96" i="1"/>
  <c r="H96" i="1"/>
  <c r="F96" i="1"/>
  <c r="C96" i="1"/>
  <c r="AD95" i="1"/>
  <c r="AC95" i="1"/>
  <c r="AA95" i="1"/>
  <c r="W95" i="1"/>
  <c r="X95" i="1" s="1"/>
  <c r="U95" i="1"/>
  <c r="R95" i="1"/>
  <c r="N95" i="1"/>
  <c r="O95" i="1" s="1"/>
  <c r="L95" i="1"/>
  <c r="I95" i="1"/>
  <c r="H95" i="1"/>
  <c r="F95" i="1"/>
  <c r="C95" i="1"/>
  <c r="AC94" i="1"/>
  <c r="AD94" i="1" s="1"/>
  <c r="AA94" i="1"/>
  <c r="X94" i="1"/>
  <c r="W94" i="1"/>
  <c r="U94" i="1"/>
  <c r="R94" i="1"/>
  <c r="N94" i="1"/>
  <c r="O94" i="1" s="1"/>
  <c r="L94" i="1"/>
  <c r="H94" i="1"/>
  <c r="I94" i="1" s="1"/>
  <c r="F94" i="1"/>
  <c r="C94" i="1"/>
  <c r="AD92" i="1"/>
  <c r="AC92" i="1"/>
  <c r="AA92" i="1"/>
  <c r="W92" i="1"/>
  <c r="X92" i="1" s="1"/>
  <c r="U92" i="1"/>
  <c r="R92" i="1"/>
  <c r="N92" i="1"/>
  <c r="O92" i="1" s="1"/>
  <c r="L92" i="1"/>
  <c r="H92" i="1"/>
  <c r="I92" i="1" s="1"/>
  <c r="F92" i="1"/>
  <c r="C92" i="1"/>
  <c r="AD91" i="1"/>
  <c r="AC91" i="1"/>
  <c r="AA91" i="1"/>
  <c r="W91" i="1"/>
  <c r="X91" i="1" s="1"/>
  <c r="U91" i="1"/>
  <c r="R91" i="1"/>
  <c r="N91" i="1"/>
  <c r="O91" i="1" s="1"/>
  <c r="L91" i="1"/>
  <c r="I91" i="1"/>
  <c r="H91" i="1"/>
  <c r="F91" i="1"/>
  <c r="C91" i="1"/>
  <c r="AC90" i="1"/>
  <c r="AD90" i="1" s="1"/>
  <c r="AA90" i="1"/>
  <c r="W90" i="1"/>
  <c r="X90" i="1" s="1"/>
  <c r="U90" i="1"/>
  <c r="R90" i="1"/>
  <c r="O90" i="1"/>
  <c r="N90" i="1"/>
  <c r="L90" i="1"/>
  <c r="I90" i="1"/>
  <c r="H90" i="1"/>
  <c r="F90" i="1"/>
  <c r="C90" i="1"/>
  <c r="AC89" i="1"/>
  <c r="AD89" i="1" s="1"/>
  <c r="AA89" i="1"/>
  <c r="W89" i="1"/>
  <c r="X89" i="1" s="1"/>
  <c r="U89" i="1"/>
  <c r="R89" i="1"/>
  <c r="N89" i="1"/>
  <c r="O89" i="1" s="1"/>
  <c r="L89" i="1"/>
  <c r="I89" i="1"/>
  <c r="H89" i="1"/>
  <c r="F89" i="1"/>
  <c r="C89" i="1"/>
  <c r="AA88" i="1"/>
  <c r="Z88" i="1"/>
  <c r="W88" i="1"/>
  <c r="X88" i="1" s="1"/>
  <c r="U88" i="1"/>
  <c r="T88" i="1"/>
  <c r="R88" i="1"/>
  <c r="Q88" i="1"/>
  <c r="AC88" i="1" s="1"/>
  <c r="AD88" i="1" s="1"/>
  <c r="K88" i="1"/>
  <c r="L88" i="1" s="1"/>
  <c r="F88" i="1"/>
  <c r="E88" i="1"/>
  <c r="B88" i="1"/>
  <c r="H88" i="1" s="1"/>
  <c r="I88" i="1" s="1"/>
  <c r="AD87" i="1"/>
  <c r="AC87" i="1"/>
  <c r="AA87" i="1"/>
  <c r="W87" i="1"/>
  <c r="X87" i="1" s="1"/>
  <c r="U87" i="1"/>
  <c r="R87" i="1"/>
  <c r="N87" i="1"/>
  <c r="O87" i="1" s="1"/>
  <c r="L87" i="1"/>
  <c r="I87" i="1"/>
  <c r="H87" i="1"/>
  <c r="F87" i="1"/>
  <c r="C87" i="1"/>
  <c r="AC86" i="1"/>
  <c r="AD86" i="1" s="1"/>
  <c r="AA86" i="1"/>
  <c r="X86" i="1"/>
  <c r="W86" i="1"/>
  <c r="U86" i="1"/>
  <c r="R86" i="1"/>
  <c r="N86" i="1"/>
  <c r="O86" i="1" s="1"/>
  <c r="L86" i="1"/>
  <c r="H86" i="1"/>
  <c r="I86" i="1" s="1"/>
  <c r="F86" i="1"/>
  <c r="C86" i="1"/>
  <c r="AD85" i="1"/>
  <c r="AC85" i="1"/>
  <c r="AA85" i="1"/>
  <c r="W85" i="1"/>
  <c r="X85" i="1" s="1"/>
  <c r="U85" i="1"/>
  <c r="R85" i="1"/>
  <c r="N85" i="1"/>
  <c r="O85" i="1" s="1"/>
  <c r="L85" i="1"/>
  <c r="H85" i="1"/>
  <c r="I85" i="1" s="1"/>
  <c r="F85" i="1"/>
  <c r="C85" i="1"/>
  <c r="AD84" i="1"/>
  <c r="AC84" i="1"/>
  <c r="AA84" i="1"/>
  <c r="W84" i="1"/>
  <c r="X84" i="1" s="1"/>
  <c r="U84" i="1"/>
  <c r="R84" i="1"/>
  <c r="N84" i="1"/>
  <c r="O84" i="1" s="1"/>
  <c r="L84" i="1"/>
  <c r="I84" i="1"/>
  <c r="H84" i="1"/>
  <c r="F84" i="1"/>
  <c r="C84" i="1"/>
  <c r="AC83" i="1"/>
  <c r="AD83" i="1" s="1"/>
  <c r="AA83" i="1"/>
  <c r="W83" i="1"/>
  <c r="X83" i="1" s="1"/>
  <c r="U83" i="1"/>
  <c r="R83" i="1"/>
  <c r="O83" i="1"/>
  <c r="N83" i="1"/>
  <c r="L83" i="1"/>
  <c r="I83" i="1"/>
  <c r="H83" i="1"/>
  <c r="F83" i="1"/>
  <c r="C83" i="1"/>
  <c r="AC82" i="1"/>
  <c r="AD82" i="1" s="1"/>
  <c r="AA82" i="1"/>
  <c r="W82" i="1"/>
  <c r="X82" i="1" s="1"/>
  <c r="U82" i="1"/>
  <c r="R82" i="1"/>
  <c r="N82" i="1"/>
  <c r="O82" i="1" s="1"/>
  <c r="L82" i="1"/>
  <c r="I82" i="1"/>
  <c r="H82" i="1"/>
  <c r="F82" i="1"/>
  <c r="C82" i="1"/>
  <c r="AD81" i="1"/>
  <c r="AC81" i="1"/>
  <c r="AA81" i="1"/>
  <c r="W81" i="1"/>
  <c r="X81" i="1" s="1"/>
  <c r="U81" i="1"/>
  <c r="R81" i="1"/>
  <c r="N81" i="1"/>
  <c r="O81" i="1" s="1"/>
  <c r="L81" i="1"/>
  <c r="I81" i="1"/>
  <c r="H81" i="1"/>
  <c r="F81" i="1"/>
  <c r="C81" i="1"/>
  <c r="AD80" i="1"/>
  <c r="AC80" i="1"/>
  <c r="AA80" i="1"/>
  <c r="W80" i="1"/>
  <c r="X80" i="1" s="1"/>
  <c r="U80" i="1"/>
  <c r="R80" i="1"/>
  <c r="N80" i="1"/>
  <c r="O80" i="1" s="1"/>
  <c r="L80" i="1"/>
  <c r="I80" i="1"/>
  <c r="H80" i="1"/>
  <c r="F80" i="1"/>
  <c r="C80" i="1"/>
  <c r="AD79" i="1"/>
  <c r="AC79" i="1"/>
  <c r="AA79" i="1"/>
  <c r="W79" i="1"/>
  <c r="X79" i="1" s="1"/>
  <c r="U79" i="1"/>
  <c r="R79" i="1"/>
  <c r="N79" i="1"/>
  <c r="O79" i="1" s="1"/>
  <c r="L79" i="1"/>
  <c r="I79" i="1"/>
  <c r="H79" i="1"/>
  <c r="F79" i="1"/>
  <c r="C79" i="1"/>
  <c r="AC78" i="1"/>
  <c r="AD78" i="1" s="1"/>
  <c r="AA78" i="1"/>
  <c r="X78" i="1"/>
  <c r="W78" i="1"/>
  <c r="U78" i="1"/>
  <c r="R78" i="1"/>
  <c r="N78" i="1"/>
  <c r="O78" i="1" s="1"/>
  <c r="L78" i="1"/>
  <c r="H78" i="1"/>
  <c r="I78" i="1" s="1"/>
  <c r="F78" i="1"/>
  <c r="C78" i="1"/>
  <c r="AD77" i="1"/>
  <c r="AC77" i="1"/>
  <c r="AA77" i="1"/>
  <c r="W77" i="1"/>
  <c r="X77" i="1" s="1"/>
  <c r="U77" i="1"/>
  <c r="R77" i="1"/>
  <c r="N77" i="1"/>
  <c r="O77" i="1" s="1"/>
  <c r="L77" i="1"/>
  <c r="H77" i="1"/>
  <c r="I77" i="1" s="1"/>
  <c r="F77" i="1"/>
  <c r="C77" i="1"/>
  <c r="AD76" i="1"/>
  <c r="AC76" i="1"/>
  <c r="AA76" i="1"/>
  <c r="W76" i="1"/>
  <c r="X76" i="1" s="1"/>
  <c r="U76" i="1"/>
  <c r="R76" i="1"/>
  <c r="N76" i="1"/>
  <c r="O76" i="1" s="1"/>
  <c r="L76" i="1"/>
  <c r="I76" i="1"/>
  <c r="H76" i="1"/>
  <c r="F76" i="1"/>
  <c r="C76" i="1"/>
  <c r="AC75" i="1"/>
  <c r="AD75" i="1" s="1"/>
  <c r="AA75" i="1"/>
  <c r="W75" i="1"/>
  <c r="X75" i="1" s="1"/>
  <c r="U75" i="1"/>
  <c r="R75" i="1"/>
  <c r="O75" i="1"/>
  <c r="N75" i="1"/>
  <c r="L75" i="1"/>
  <c r="I75" i="1"/>
  <c r="H75" i="1"/>
  <c r="F75" i="1"/>
  <c r="C75" i="1"/>
  <c r="Z73" i="1"/>
  <c r="AC73" i="1" s="1"/>
  <c r="AD73" i="1" s="1"/>
  <c r="X73" i="1"/>
  <c r="U73" i="1"/>
  <c r="T73" i="1"/>
  <c r="R73" i="1"/>
  <c r="Q73" i="1"/>
  <c r="W73" i="1" s="1"/>
  <c r="L73" i="1"/>
  <c r="K73" i="1"/>
  <c r="I73" i="1"/>
  <c r="F73" i="1"/>
  <c r="E73" i="1"/>
  <c r="B73" i="1"/>
  <c r="H73" i="1" s="1"/>
  <c r="AD72" i="1"/>
  <c r="AC72" i="1"/>
  <c r="AA72" i="1"/>
  <c r="W72" i="1"/>
  <c r="X72" i="1" s="1"/>
  <c r="U72" i="1"/>
  <c r="R72" i="1"/>
  <c r="N72" i="1"/>
  <c r="O72" i="1" s="1"/>
  <c r="L72" i="1"/>
  <c r="I72" i="1"/>
  <c r="H72" i="1"/>
  <c r="F72" i="1"/>
  <c r="C72" i="1"/>
  <c r="AD71" i="1"/>
  <c r="AC71" i="1"/>
  <c r="AA71" i="1"/>
  <c r="W71" i="1"/>
  <c r="X71" i="1" s="1"/>
  <c r="U71" i="1"/>
  <c r="R71" i="1"/>
  <c r="N71" i="1"/>
  <c r="O71" i="1" s="1"/>
  <c r="L71" i="1"/>
  <c r="I71" i="1"/>
  <c r="H71" i="1"/>
  <c r="F71" i="1"/>
  <c r="C71" i="1"/>
  <c r="AC70" i="1"/>
  <c r="AD70" i="1" s="1"/>
  <c r="AA70" i="1"/>
  <c r="X70" i="1"/>
  <c r="W70" i="1"/>
  <c r="U70" i="1"/>
  <c r="R70" i="1"/>
  <c r="N70" i="1"/>
  <c r="O70" i="1" s="1"/>
  <c r="L70" i="1"/>
  <c r="H70" i="1"/>
  <c r="I70" i="1" s="1"/>
  <c r="F70" i="1"/>
  <c r="C70" i="1"/>
  <c r="AD69" i="1"/>
  <c r="AC69" i="1"/>
  <c r="AA69" i="1"/>
  <c r="W69" i="1"/>
  <c r="X69" i="1" s="1"/>
  <c r="U69" i="1"/>
  <c r="R69" i="1"/>
  <c r="N69" i="1"/>
  <c r="O69" i="1" s="1"/>
  <c r="L69" i="1"/>
  <c r="H69" i="1"/>
  <c r="I69" i="1" s="1"/>
  <c r="F69" i="1"/>
  <c r="C69" i="1"/>
  <c r="AD68" i="1"/>
  <c r="AC68" i="1"/>
  <c r="AA68" i="1"/>
  <c r="W68" i="1"/>
  <c r="X68" i="1" s="1"/>
  <c r="U68" i="1"/>
  <c r="R68" i="1"/>
  <c r="N68" i="1"/>
  <c r="O68" i="1" s="1"/>
  <c r="L68" i="1"/>
  <c r="I68" i="1"/>
  <c r="H68" i="1"/>
  <c r="F68" i="1"/>
  <c r="C68" i="1"/>
  <c r="AC67" i="1"/>
  <c r="AD67" i="1" s="1"/>
  <c r="AA67" i="1"/>
  <c r="W67" i="1"/>
  <c r="X67" i="1" s="1"/>
  <c r="U67" i="1"/>
  <c r="R67" i="1"/>
  <c r="O67" i="1"/>
  <c r="N67" i="1"/>
  <c r="L67" i="1"/>
  <c r="I67" i="1"/>
  <c r="H67" i="1"/>
  <c r="F67" i="1"/>
  <c r="C67" i="1"/>
  <c r="AC66" i="1"/>
  <c r="AD66" i="1" s="1"/>
  <c r="AA66" i="1"/>
  <c r="W66" i="1"/>
  <c r="X66" i="1" s="1"/>
  <c r="U66" i="1"/>
  <c r="R66" i="1"/>
  <c r="N66" i="1"/>
  <c r="O66" i="1" s="1"/>
  <c r="L66" i="1"/>
  <c r="I66" i="1"/>
  <c r="H66" i="1"/>
  <c r="F66" i="1"/>
  <c r="C66" i="1"/>
  <c r="AD65" i="1"/>
  <c r="AC65" i="1"/>
  <c r="AA65" i="1"/>
  <c r="W65" i="1"/>
  <c r="X65" i="1" s="1"/>
  <c r="U65" i="1"/>
  <c r="R65" i="1"/>
  <c r="N65" i="1"/>
  <c r="O65" i="1" s="1"/>
  <c r="L65" i="1"/>
  <c r="I65" i="1"/>
  <c r="H65" i="1"/>
  <c r="F65" i="1"/>
  <c r="C65" i="1"/>
  <c r="AD64" i="1"/>
  <c r="AC64" i="1"/>
  <c r="AA64" i="1"/>
  <c r="W64" i="1"/>
  <c r="X64" i="1" s="1"/>
  <c r="U64" i="1"/>
  <c r="R64" i="1"/>
  <c r="N64" i="1"/>
  <c r="O64" i="1" s="1"/>
  <c r="L64" i="1"/>
  <c r="I64" i="1"/>
  <c r="H64" i="1"/>
  <c r="F64" i="1"/>
  <c r="C64" i="1"/>
  <c r="AA62" i="1"/>
  <c r="Z62" i="1"/>
  <c r="T62" i="1"/>
  <c r="U62" i="1" s="1"/>
  <c r="R62" i="1"/>
  <c r="Q62" i="1"/>
  <c r="L62" i="1"/>
  <c r="K62" i="1"/>
  <c r="E62" i="1"/>
  <c r="H62" i="1" s="1"/>
  <c r="I62" i="1" s="1"/>
  <c r="C62" i="1"/>
  <c r="B62" i="1"/>
  <c r="N62" i="1" s="1"/>
  <c r="O62" i="1" s="1"/>
  <c r="Z61" i="1"/>
  <c r="AA61" i="1" s="1"/>
  <c r="W61" i="1"/>
  <c r="X61" i="1" s="1"/>
  <c r="U61" i="1"/>
  <c r="T61" i="1"/>
  <c r="R61" i="1"/>
  <c r="Q61" i="1"/>
  <c r="K61" i="1"/>
  <c r="N61" i="1" s="1"/>
  <c r="O61" i="1" s="1"/>
  <c r="I61" i="1"/>
  <c r="F61" i="1"/>
  <c r="E61" i="1"/>
  <c r="C61" i="1"/>
  <c r="B61" i="1"/>
  <c r="H61" i="1" s="1"/>
  <c r="AC60" i="1"/>
  <c r="AD60" i="1" s="1"/>
  <c r="AA60" i="1"/>
  <c r="W60" i="1"/>
  <c r="X60" i="1" s="1"/>
  <c r="U60" i="1"/>
  <c r="R60" i="1"/>
  <c r="O60" i="1"/>
  <c r="N60" i="1"/>
  <c r="L60" i="1"/>
  <c r="I60" i="1"/>
  <c r="H60" i="1"/>
  <c r="F60" i="1"/>
  <c r="C60" i="1"/>
  <c r="AC59" i="1"/>
  <c r="AD59" i="1" s="1"/>
  <c r="AA59" i="1"/>
  <c r="W59" i="1"/>
  <c r="X59" i="1" s="1"/>
  <c r="U59" i="1"/>
  <c r="R59" i="1"/>
  <c r="N59" i="1"/>
  <c r="O59" i="1" s="1"/>
  <c r="L59" i="1"/>
  <c r="I59" i="1"/>
  <c r="H59" i="1"/>
  <c r="F59" i="1"/>
  <c r="C59" i="1"/>
  <c r="AD58" i="1"/>
  <c r="AC58" i="1"/>
  <c r="AA58" i="1"/>
  <c r="W58" i="1"/>
  <c r="X58" i="1" s="1"/>
  <c r="U58" i="1"/>
  <c r="R58" i="1"/>
  <c r="N58" i="1"/>
  <c r="O58" i="1" s="1"/>
  <c r="L58" i="1"/>
  <c r="I58" i="1"/>
  <c r="H58" i="1"/>
  <c r="F58" i="1"/>
  <c r="C58" i="1"/>
  <c r="AD57" i="1"/>
  <c r="AC57" i="1"/>
  <c r="AA57" i="1"/>
  <c r="W57" i="1"/>
  <c r="X57" i="1" s="1"/>
  <c r="U57" i="1"/>
  <c r="R57" i="1"/>
  <c r="N57" i="1"/>
  <c r="O57" i="1" s="1"/>
  <c r="L57" i="1"/>
  <c r="I57" i="1"/>
  <c r="H57" i="1"/>
  <c r="F57" i="1"/>
  <c r="C57" i="1"/>
  <c r="AD56" i="1"/>
  <c r="AC56" i="1"/>
  <c r="AA56" i="1"/>
  <c r="W56" i="1"/>
  <c r="X56" i="1" s="1"/>
  <c r="U56" i="1"/>
  <c r="R56" i="1"/>
  <c r="N56" i="1"/>
  <c r="O56" i="1" s="1"/>
  <c r="L56" i="1"/>
  <c r="I56" i="1"/>
  <c r="H56" i="1"/>
  <c r="F56" i="1"/>
  <c r="C56" i="1"/>
  <c r="AC55" i="1"/>
  <c r="AD55" i="1" s="1"/>
  <c r="AA55" i="1"/>
  <c r="X55" i="1"/>
  <c r="W55" i="1"/>
  <c r="U55" i="1"/>
  <c r="R55" i="1"/>
  <c r="N55" i="1"/>
  <c r="O55" i="1" s="1"/>
  <c r="L55" i="1"/>
  <c r="H55" i="1"/>
  <c r="I55" i="1" s="1"/>
  <c r="F55" i="1"/>
  <c r="C55" i="1"/>
  <c r="AD54" i="1"/>
  <c r="AC54" i="1"/>
  <c r="AA54" i="1"/>
  <c r="W54" i="1"/>
  <c r="X54" i="1" s="1"/>
  <c r="U54" i="1"/>
  <c r="R54" i="1"/>
  <c r="N54" i="1"/>
  <c r="O54" i="1" s="1"/>
  <c r="L54" i="1"/>
  <c r="H54" i="1"/>
  <c r="I54" i="1" s="1"/>
  <c r="F54" i="1"/>
  <c r="C54" i="1"/>
  <c r="AD53" i="1"/>
  <c r="AC53" i="1"/>
  <c r="AA53" i="1"/>
  <c r="W53" i="1"/>
  <c r="X53" i="1" s="1"/>
  <c r="U53" i="1"/>
  <c r="R53" i="1"/>
  <c r="N53" i="1"/>
  <c r="O53" i="1" s="1"/>
  <c r="L53" i="1"/>
  <c r="I53" i="1"/>
  <c r="H53" i="1"/>
  <c r="F53" i="1"/>
  <c r="C53" i="1"/>
  <c r="AC52" i="1"/>
  <c r="AD52" i="1" s="1"/>
  <c r="AA52" i="1"/>
  <c r="W52" i="1"/>
  <c r="X52" i="1" s="1"/>
  <c r="U52" i="1"/>
  <c r="R52" i="1"/>
  <c r="O52" i="1"/>
  <c r="N52" i="1"/>
  <c r="L52" i="1"/>
  <c r="I52" i="1"/>
  <c r="H52" i="1"/>
  <c r="F52" i="1"/>
  <c r="C52" i="1"/>
  <c r="AC51" i="1"/>
  <c r="AD51" i="1" s="1"/>
  <c r="AA51" i="1"/>
  <c r="W51" i="1"/>
  <c r="X51" i="1" s="1"/>
  <c r="U51" i="1"/>
  <c r="R51" i="1"/>
  <c r="N51" i="1"/>
  <c r="O51" i="1" s="1"/>
  <c r="L51" i="1"/>
  <c r="I51" i="1"/>
  <c r="H51" i="1"/>
  <c r="F51" i="1"/>
  <c r="C51" i="1"/>
  <c r="AD50" i="1"/>
  <c r="AC50" i="1"/>
  <c r="AA50" i="1"/>
  <c r="W50" i="1"/>
  <c r="X50" i="1" s="1"/>
  <c r="U50" i="1"/>
  <c r="R50" i="1"/>
  <c r="N50" i="1"/>
  <c r="O50" i="1" s="1"/>
  <c r="L50" i="1"/>
  <c r="I50" i="1"/>
  <c r="H50" i="1"/>
  <c r="F50" i="1"/>
  <c r="C50" i="1"/>
  <c r="AD49" i="1"/>
  <c r="AC49" i="1"/>
  <c r="AA49" i="1"/>
  <c r="W49" i="1"/>
  <c r="X49" i="1" s="1"/>
  <c r="U49" i="1"/>
  <c r="R49" i="1"/>
  <c r="N49" i="1"/>
  <c r="O49" i="1" s="1"/>
  <c r="L49" i="1"/>
  <c r="I49" i="1"/>
  <c r="H49" i="1"/>
  <c r="F49" i="1"/>
  <c r="C49" i="1"/>
  <c r="AD48" i="1"/>
  <c r="AC48" i="1"/>
  <c r="AA48" i="1"/>
  <c r="W48" i="1"/>
  <c r="X48" i="1" s="1"/>
  <c r="U48" i="1"/>
  <c r="R48" i="1"/>
  <c r="N48" i="1"/>
  <c r="O48" i="1" s="1"/>
  <c r="L48" i="1"/>
  <c r="I48" i="1"/>
  <c r="H48" i="1"/>
  <c r="F48" i="1"/>
  <c r="C48" i="1"/>
  <c r="AC47" i="1"/>
  <c r="AD47" i="1" s="1"/>
  <c r="AA47" i="1"/>
  <c r="X47" i="1"/>
  <c r="W47" i="1"/>
  <c r="U47" i="1"/>
  <c r="R47" i="1"/>
  <c r="N47" i="1"/>
  <c r="O47" i="1" s="1"/>
  <c r="L47" i="1"/>
  <c r="H47" i="1"/>
  <c r="I47" i="1" s="1"/>
  <c r="F47" i="1"/>
  <c r="C47" i="1"/>
  <c r="AD46" i="1"/>
  <c r="AC46" i="1"/>
  <c r="AA46" i="1"/>
  <c r="W46" i="1"/>
  <c r="X46" i="1" s="1"/>
  <c r="U46" i="1"/>
  <c r="R46" i="1"/>
  <c r="N46" i="1"/>
  <c r="O46" i="1" s="1"/>
  <c r="L46" i="1"/>
  <c r="H46" i="1"/>
  <c r="I46" i="1" s="1"/>
  <c r="F46" i="1"/>
  <c r="C46" i="1"/>
  <c r="AD44" i="1"/>
  <c r="AC44" i="1"/>
  <c r="AA44" i="1"/>
  <c r="W44" i="1"/>
  <c r="X44" i="1" s="1"/>
  <c r="U44" i="1"/>
  <c r="R44" i="1"/>
  <c r="N44" i="1"/>
  <c r="O44" i="1" s="1"/>
  <c r="L44" i="1"/>
  <c r="I44" i="1"/>
  <c r="H44" i="1"/>
  <c r="F44" i="1"/>
  <c r="C44" i="1"/>
  <c r="AC43" i="1"/>
  <c r="AD43" i="1" s="1"/>
  <c r="AA43" i="1"/>
  <c r="W43" i="1"/>
  <c r="X43" i="1" s="1"/>
  <c r="U43" i="1"/>
  <c r="R43" i="1"/>
  <c r="O43" i="1"/>
  <c r="N43" i="1"/>
  <c r="L43" i="1"/>
  <c r="I43" i="1"/>
  <c r="H43" i="1"/>
  <c r="F43" i="1"/>
  <c r="C43" i="1"/>
  <c r="AC42" i="1"/>
  <c r="AD42" i="1" s="1"/>
  <c r="AA42" i="1"/>
  <c r="W42" i="1"/>
  <c r="X42" i="1" s="1"/>
  <c r="U42" i="1"/>
  <c r="R42" i="1"/>
  <c r="N42" i="1"/>
  <c r="O42" i="1" s="1"/>
  <c r="L42" i="1"/>
  <c r="I42" i="1"/>
  <c r="H42" i="1"/>
  <c r="F42" i="1"/>
  <c r="C42" i="1"/>
  <c r="AA40" i="1"/>
  <c r="Z40" i="1"/>
  <c r="W40" i="1"/>
  <c r="X40" i="1" s="1"/>
  <c r="U40" i="1"/>
  <c r="T40" i="1"/>
  <c r="R40" i="1"/>
  <c r="Q40" i="1"/>
  <c r="AC40" i="1" s="1"/>
  <c r="AD40" i="1" s="1"/>
  <c r="K40" i="1"/>
  <c r="L40" i="1" s="1"/>
  <c r="F40" i="1"/>
  <c r="E40" i="1"/>
  <c r="B40" i="1"/>
  <c r="H40" i="1" s="1"/>
  <c r="I40" i="1" s="1"/>
  <c r="AD39" i="1"/>
  <c r="AC39" i="1"/>
  <c r="AA39" i="1"/>
  <c r="W39" i="1"/>
  <c r="X39" i="1" s="1"/>
  <c r="U39" i="1"/>
  <c r="R39" i="1"/>
  <c r="N39" i="1"/>
  <c r="O39" i="1" s="1"/>
  <c r="L39" i="1"/>
  <c r="I39" i="1"/>
  <c r="H39" i="1"/>
  <c r="F39" i="1"/>
  <c r="C39" i="1"/>
  <c r="AC38" i="1"/>
  <c r="AD38" i="1" s="1"/>
  <c r="AA38" i="1"/>
  <c r="X38" i="1"/>
  <c r="W38" i="1"/>
  <c r="U38" i="1"/>
  <c r="R38" i="1"/>
  <c r="N38" i="1"/>
  <c r="O38" i="1" s="1"/>
  <c r="L38" i="1"/>
  <c r="H38" i="1"/>
  <c r="I38" i="1" s="1"/>
  <c r="F38" i="1"/>
  <c r="C38" i="1"/>
  <c r="AD37" i="1"/>
  <c r="AC37" i="1"/>
  <c r="AA37" i="1"/>
  <c r="W37" i="1"/>
  <c r="X37" i="1" s="1"/>
  <c r="U37" i="1"/>
  <c r="R37" i="1"/>
  <c r="N37" i="1"/>
  <c r="O37" i="1" s="1"/>
  <c r="L37" i="1"/>
  <c r="H37" i="1"/>
  <c r="I37" i="1" s="1"/>
  <c r="F37" i="1"/>
  <c r="C37" i="1"/>
  <c r="AD36" i="1"/>
  <c r="AC36" i="1"/>
  <c r="AA36" i="1"/>
  <c r="W36" i="1"/>
  <c r="X36" i="1" s="1"/>
  <c r="U36" i="1"/>
  <c r="R36" i="1"/>
  <c r="N36" i="1"/>
  <c r="O36" i="1" s="1"/>
  <c r="L36" i="1"/>
  <c r="I36" i="1"/>
  <c r="H36" i="1"/>
  <c r="F36" i="1"/>
  <c r="C36" i="1"/>
  <c r="AC35" i="1"/>
  <c r="AD35" i="1" s="1"/>
  <c r="AA35" i="1"/>
  <c r="W35" i="1"/>
  <c r="X35" i="1" s="1"/>
  <c r="U35" i="1"/>
  <c r="R35" i="1"/>
  <c r="O35" i="1"/>
  <c r="N35" i="1"/>
  <c r="L35" i="1"/>
  <c r="I35" i="1"/>
  <c r="H35" i="1"/>
  <c r="F35" i="1"/>
  <c r="C35" i="1"/>
  <c r="AC34" i="1"/>
  <c r="AD34" i="1" s="1"/>
  <c r="AA34" i="1"/>
  <c r="W34" i="1"/>
  <c r="X34" i="1" s="1"/>
  <c r="U34" i="1"/>
  <c r="R34" i="1"/>
  <c r="N34" i="1"/>
  <c r="O34" i="1" s="1"/>
  <c r="L34" i="1"/>
  <c r="I34" i="1"/>
  <c r="H34" i="1"/>
  <c r="F34" i="1"/>
  <c r="C34" i="1"/>
  <c r="AD33" i="1"/>
  <c r="AC33" i="1"/>
  <c r="AA33" i="1"/>
  <c r="W33" i="1"/>
  <c r="X33" i="1" s="1"/>
  <c r="U33" i="1"/>
  <c r="R33" i="1"/>
  <c r="N33" i="1"/>
  <c r="O33" i="1" s="1"/>
  <c r="L33" i="1"/>
  <c r="I33" i="1"/>
  <c r="H33" i="1"/>
  <c r="F33" i="1"/>
  <c r="C33" i="1"/>
  <c r="AD32" i="1"/>
  <c r="AC32" i="1"/>
  <c r="AA32" i="1"/>
  <c r="W32" i="1"/>
  <c r="X32" i="1" s="1"/>
  <c r="U32" i="1"/>
  <c r="R32" i="1"/>
  <c r="N32" i="1"/>
  <c r="O32" i="1" s="1"/>
  <c r="L32" i="1"/>
  <c r="I32" i="1"/>
  <c r="H32" i="1"/>
  <c r="F32" i="1"/>
  <c r="C32" i="1"/>
  <c r="AD31" i="1"/>
  <c r="AC31" i="1"/>
  <c r="AA31" i="1"/>
  <c r="W31" i="1"/>
  <c r="X31" i="1" s="1"/>
  <c r="U31" i="1"/>
  <c r="R31" i="1"/>
  <c r="N31" i="1"/>
  <c r="O31" i="1" s="1"/>
  <c r="L31" i="1"/>
  <c r="I31" i="1"/>
  <c r="H31" i="1"/>
  <c r="F31" i="1"/>
  <c r="C31" i="1"/>
  <c r="AC29" i="1"/>
  <c r="AD29" i="1" s="1"/>
  <c r="AA29" i="1"/>
  <c r="Z29" i="1"/>
  <c r="U29" i="1"/>
  <c r="T29" i="1"/>
  <c r="Q29" i="1"/>
  <c r="W29" i="1" s="1"/>
  <c r="X29" i="1" s="1"/>
  <c r="N29" i="1"/>
  <c r="O29" i="1" s="1"/>
  <c r="L29" i="1"/>
  <c r="K29" i="1"/>
  <c r="E29" i="1"/>
  <c r="F29" i="1" s="1"/>
  <c r="B29" i="1"/>
  <c r="H29" i="1" s="1"/>
  <c r="I29" i="1" s="1"/>
  <c r="AD28" i="1"/>
  <c r="AC28" i="1"/>
  <c r="AA28" i="1"/>
  <c r="W28" i="1"/>
  <c r="X28" i="1" s="1"/>
  <c r="U28" i="1"/>
  <c r="R28" i="1"/>
  <c r="N28" i="1"/>
  <c r="O28" i="1" s="1"/>
  <c r="L28" i="1"/>
  <c r="I28" i="1"/>
  <c r="H28" i="1"/>
  <c r="F28" i="1"/>
  <c r="C28" i="1"/>
  <c r="AC27" i="1"/>
  <c r="AD27" i="1" s="1"/>
  <c r="AA27" i="1"/>
  <c r="W27" i="1"/>
  <c r="X27" i="1" s="1"/>
  <c r="U27" i="1"/>
  <c r="R27" i="1"/>
  <c r="O27" i="1"/>
  <c r="N27" i="1"/>
  <c r="L27" i="1"/>
  <c r="I27" i="1"/>
  <c r="H27" i="1"/>
  <c r="F27" i="1"/>
  <c r="C27" i="1"/>
  <c r="AC26" i="1"/>
  <c r="AD26" i="1" s="1"/>
  <c r="AA26" i="1"/>
  <c r="W26" i="1"/>
  <c r="X26" i="1" s="1"/>
  <c r="U26" i="1"/>
  <c r="R26" i="1"/>
  <c r="N26" i="1"/>
  <c r="O26" i="1" s="1"/>
  <c r="L26" i="1"/>
  <c r="I26" i="1"/>
  <c r="H26" i="1"/>
  <c r="F26" i="1"/>
  <c r="C26" i="1"/>
  <c r="AD25" i="1"/>
  <c r="AC25" i="1"/>
  <c r="AA25" i="1"/>
  <c r="W25" i="1"/>
  <c r="X25" i="1" s="1"/>
  <c r="U25" i="1"/>
  <c r="R25" i="1"/>
  <c r="N25" i="1"/>
  <c r="O25" i="1" s="1"/>
  <c r="L25" i="1"/>
  <c r="I25" i="1"/>
  <c r="H25" i="1"/>
  <c r="F25" i="1"/>
  <c r="C25" i="1"/>
  <c r="AD24" i="1"/>
  <c r="AC24" i="1"/>
  <c r="AA24" i="1"/>
  <c r="W24" i="1"/>
  <c r="X24" i="1" s="1"/>
  <c r="U24" i="1"/>
  <c r="R24" i="1"/>
  <c r="N24" i="1"/>
  <c r="O24" i="1" s="1"/>
  <c r="L24" i="1"/>
  <c r="I24" i="1"/>
  <c r="H24" i="1"/>
  <c r="F24" i="1"/>
  <c r="C24" i="1"/>
  <c r="AD23" i="1"/>
  <c r="AC23" i="1"/>
  <c r="AA23" i="1"/>
  <c r="W23" i="1"/>
  <c r="X23" i="1" s="1"/>
  <c r="U23" i="1"/>
  <c r="R23" i="1"/>
  <c r="N23" i="1"/>
  <c r="O23" i="1" s="1"/>
  <c r="L23" i="1"/>
  <c r="I23" i="1"/>
  <c r="H23" i="1"/>
  <c r="F23" i="1"/>
  <c r="C23" i="1"/>
  <c r="AC22" i="1"/>
  <c r="AD22" i="1" s="1"/>
  <c r="AA22" i="1"/>
  <c r="X22" i="1"/>
  <c r="W22" i="1"/>
  <c r="U22" i="1"/>
  <c r="R22" i="1"/>
  <c r="N22" i="1"/>
  <c r="O22" i="1" s="1"/>
  <c r="L22" i="1"/>
  <c r="H22" i="1"/>
  <c r="I22" i="1" s="1"/>
  <c r="F22" i="1"/>
  <c r="C22" i="1"/>
  <c r="AD21" i="1"/>
  <c r="AC21" i="1"/>
  <c r="AA21" i="1"/>
  <c r="W21" i="1"/>
  <c r="X21" i="1" s="1"/>
  <c r="U21" i="1"/>
  <c r="R21" i="1"/>
  <c r="N21" i="1"/>
  <c r="O21" i="1" s="1"/>
  <c r="L21" i="1"/>
  <c r="H21" i="1"/>
  <c r="I21" i="1" s="1"/>
  <c r="F21" i="1"/>
  <c r="C21" i="1"/>
  <c r="AD19" i="1"/>
  <c r="AC19" i="1"/>
  <c r="AA19" i="1"/>
  <c r="W19" i="1"/>
  <c r="X19" i="1" s="1"/>
  <c r="U19" i="1"/>
  <c r="R19" i="1"/>
  <c r="N19" i="1"/>
  <c r="O19" i="1" s="1"/>
  <c r="L19" i="1"/>
  <c r="I19" i="1"/>
  <c r="H19" i="1"/>
  <c r="F19" i="1"/>
  <c r="C19" i="1"/>
  <c r="AC18" i="1"/>
  <c r="AD18" i="1" s="1"/>
  <c r="AA18" i="1"/>
  <c r="Z18" i="1"/>
  <c r="T18" i="1"/>
  <c r="U18" i="1" s="1"/>
  <c r="Q18" i="1"/>
  <c r="W18" i="1" s="1"/>
  <c r="X18" i="1" s="1"/>
  <c r="L18" i="1"/>
  <c r="K18" i="1"/>
  <c r="F18" i="1"/>
  <c r="E18" i="1"/>
  <c r="H18" i="1" s="1"/>
  <c r="I18" i="1" s="1"/>
  <c r="C18" i="1"/>
  <c r="B18" i="1"/>
  <c r="N18" i="1" s="1"/>
  <c r="O18" i="1" s="1"/>
  <c r="AD17" i="1"/>
  <c r="AC17" i="1"/>
  <c r="AA17" i="1"/>
  <c r="W17" i="1"/>
  <c r="X17" i="1" s="1"/>
  <c r="U17" i="1"/>
  <c r="R17" i="1"/>
  <c r="N17" i="1"/>
  <c r="O17" i="1" s="1"/>
  <c r="L17" i="1"/>
  <c r="I17" i="1"/>
  <c r="H17" i="1"/>
  <c r="F17" i="1"/>
  <c r="C17" i="1"/>
  <c r="AD16" i="1"/>
  <c r="AC16" i="1"/>
  <c r="AA16" i="1"/>
  <c r="W16" i="1"/>
  <c r="X16" i="1" s="1"/>
  <c r="U16" i="1"/>
  <c r="R16" i="1"/>
  <c r="N16" i="1"/>
  <c r="O16" i="1" s="1"/>
  <c r="L16" i="1"/>
  <c r="I16" i="1"/>
  <c r="H16" i="1"/>
  <c r="F16" i="1"/>
  <c r="C16" i="1"/>
  <c r="AD15" i="1"/>
  <c r="AC15" i="1"/>
  <c r="AA15" i="1"/>
  <c r="W15" i="1"/>
  <c r="X15" i="1" s="1"/>
  <c r="U15" i="1"/>
  <c r="R15" i="1"/>
  <c r="N15" i="1"/>
  <c r="O15" i="1" s="1"/>
  <c r="L15" i="1"/>
  <c r="I15" i="1"/>
  <c r="H15" i="1"/>
  <c r="F15" i="1"/>
  <c r="C15" i="1"/>
  <c r="AC14" i="1"/>
  <c r="AD14" i="1" s="1"/>
  <c r="AA14" i="1"/>
  <c r="X14" i="1"/>
  <c r="W14" i="1"/>
  <c r="U14" i="1"/>
  <c r="R14" i="1"/>
  <c r="N14" i="1"/>
  <c r="O14" i="1" s="1"/>
  <c r="L14" i="1"/>
  <c r="H14" i="1"/>
  <c r="I14" i="1" s="1"/>
  <c r="F14" i="1"/>
  <c r="C14" i="1"/>
  <c r="AD13" i="1"/>
  <c r="AC13" i="1"/>
  <c r="AA13" i="1"/>
  <c r="W13" i="1"/>
  <c r="X13" i="1" s="1"/>
  <c r="U13" i="1"/>
  <c r="R13" i="1"/>
  <c r="N13" i="1"/>
  <c r="O13" i="1" s="1"/>
  <c r="L13" i="1"/>
  <c r="H13" i="1"/>
  <c r="I13" i="1" s="1"/>
  <c r="F13" i="1"/>
  <c r="C13" i="1"/>
  <c r="AD12" i="1"/>
  <c r="AC12" i="1"/>
  <c r="AA12" i="1"/>
  <c r="W12" i="1"/>
  <c r="X12" i="1" s="1"/>
  <c r="U12" i="1"/>
  <c r="R12" i="1"/>
  <c r="N12" i="1"/>
  <c r="O12" i="1" s="1"/>
  <c r="L12" i="1"/>
  <c r="I12" i="1"/>
  <c r="H12" i="1"/>
  <c r="F12" i="1"/>
  <c r="C12" i="1"/>
  <c r="AC11" i="1"/>
  <c r="AD11" i="1" s="1"/>
  <c r="AA11" i="1"/>
  <c r="W11" i="1"/>
  <c r="X11" i="1" s="1"/>
  <c r="U11" i="1"/>
  <c r="R11" i="1"/>
  <c r="O11" i="1"/>
  <c r="N11" i="1"/>
  <c r="L11" i="1"/>
  <c r="I11" i="1"/>
  <c r="H11" i="1"/>
  <c r="F11" i="1"/>
  <c r="C11" i="1"/>
  <c r="AC10" i="1"/>
  <c r="AD10" i="1" s="1"/>
  <c r="AA10" i="1"/>
  <c r="W10" i="1"/>
  <c r="X10" i="1" s="1"/>
  <c r="U10" i="1"/>
  <c r="R10" i="1"/>
  <c r="N10" i="1"/>
  <c r="O10" i="1" s="1"/>
  <c r="L10" i="1"/>
  <c r="I10" i="1"/>
  <c r="H10" i="1"/>
  <c r="F10" i="1"/>
  <c r="C10" i="1"/>
  <c r="AD8" i="1"/>
  <c r="AC8" i="1"/>
  <c r="AA8" i="1"/>
  <c r="W8" i="1"/>
  <c r="X8" i="1" s="1"/>
  <c r="U8" i="1"/>
  <c r="R8" i="1"/>
  <c r="N8" i="1"/>
  <c r="O8" i="1" s="1"/>
  <c r="L8" i="1"/>
  <c r="I8" i="1"/>
  <c r="H8" i="1"/>
  <c r="F8" i="1"/>
  <c r="C8" i="1"/>
  <c r="U172" i="1" l="1"/>
  <c r="T198" i="1"/>
  <c r="C40" i="1"/>
  <c r="C29" i="1"/>
  <c r="L61" i="1"/>
  <c r="H227" i="1"/>
  <c r="I227" i="1" s="1"/>
  <c r="W343" i="1"/>
  <c r="X343" i="1" s="1"/>
  <c r="N40" i="1"/>
  <c r="O40" i="1" s="1"/>
  <c r="W62" i="1"/>
  <c r="X62" i="1" s="1"/>
  <c r="N88" i="1"/>
  <c r="O88" i="1" s="1"/>
  <c r="W118" i="1"/>
  <c r="X118" i="1" s="1"/>
  <c r="N122" i="1"/>
  <c r="O122" i="1" s="1"/>
  <c r="W124" i="1"/>
  <c r="X124" i="1" s="1"/>
  <c r="Q172" i="1"/>
  <c r="W149" i="1"/>
  <c r="X149" i="1" s="1"/>
  <c r="W158" i="1"/>
  <c r="X158" i="1" s="1"/>
  <c r="W166" i="1"/>
  <c r="X166" i="1" s="1"/>
  <c r="N170" i="1"/>
  <c r="O170" i="1" s="1"/>
  <c r="K198" i="1"/>
  <c r="N182" i="1"/>
  <c r="O182" i="1" s="1"/>
  <c r="W193" i="1"/>
  <c r="X193" i="1" s="1"/>
  <c r="E198" i="1"/>
  <c r="AC227" i="1"/>
  <c r="AD227" i="1" s="1"/>
  <c r="H267" i="1"/>
  <c r="I267" i="1" s="1"/>
  <c r="N343" i="1"/>
  <c r="O343" i="1" s="1"/>
  <c r="H368" i="1"/>
  <c r="I368" i="1" s="1"/>
  <c r="N368" i="1"/>
  <c r="O368" i="1" s="1"/>
  <c r="AC396" i="1"/>
  <c r="AD396" i="1" s="1"/>
  <c r="AA396" i="1"/>
  <c r="W428" i="1"/>
  <c r="X428" i="1" s="1"/>
  <c r="AC428" i="1"/>
  <c r="AD428" i="1" s="1"/>
  <c r="C18" i="2"/>
  <c r="N18" i="2"/>
  <c r="O18" i="2" s="1"/>
  <c r="N141" i="1"/>
  <c r="O141" i="1" s="1"/>
  <c r="N171" i="1"/>
  <c r="O171" i="1" s="1"/>
  <c r="C88" i="1"/>
  <c r="F118" i="1"/>
  <c r="R227" i="1"/>
  <c r="AA342" i="1"/>
  <c r="AC344" i="1"/>
  <c r="AD344" i="1" s="1"/>
  <c r="R403" i="1"/>
  <c r="W403" i="1"/>
  <c r="X403" i="1" s="1"/>
  <c r="AC403" i="1"/>
  <c r="AD403" i="1" s="1"/>
  <c r="L324" i="1"/>
  <c r="W325" i="1"/>
  <c r="X325" i="1" s="1"/>
  <c r="C428" i="1"/>
  <c r="H428" i="1"/>
  <c r="I428" i="1" s="1"/>
  <c r="F73" i="2"/>
  <c r="H73" i="2"/>
  <c r="I73" i="2" s="1"/>
  <c r="F62" i="1"/>
  <c r="F124" i="1"/>
  <c r="U124" i="1"/>
  <c r="C171" i="1"/>
  <c r="R29" i="1"/>
  <c r="R141" i="1"/>
  <c r="N148" i="1"/>
  <c r="O148" i="1" s="1"/>
  <c r="R171" i="1"/>
  <c r="R263" i="1"/>
  <c r="N342" i="1"/>
  <c r="O342" i="1" s="1"/>
  <c r="R18" i="1"/>
  <c r="N73" i="1"/>
  <c r="O73" i="1" s="1"/>
  <c r="AA73" i="1"/>
  <c r="W122" i="1"/>
  <c r="X122" i="1" s="1"/>
  <c r="Z198" i="1"/>
  <c r="W170" i="1"/>
  <c r="X170" i="1" s="1"/>
  <c r="W182" i="1"/>
  <c r="X182" i="1" s="1"/>
  <c r="R196" i="1"/>
  <c r="N209" i="1"/>
  <c r="O209" i="1" s="1"/>
  <c r="N218" i="1"/>
  <c r="O218" i="1" s="1"/>
  <c r="N236" i="1"/>
  <c r="O236" i="1" s="1"/>
  <c r="R267" i="1"/>
  <c r="AC273" i="1"/>
  <c r="AD273" i="1" s="1"/>
  <c r="N284" i="1"/>
  <c r="O284" i="1" s="1"/>
  <c r="AC325" i="1"/>
  <c r="AD325" i="1" s="1"/>
  <c r="N344" i="1"/>
  <c r="O344" i="1" s="1"/>
  <c r="N358" i="1"/>
  <c r="O358" i="1" s="1"/>
  <c r="R368" i="1"/>
  <c r="W368" i="1"/>
  <c r="X368" i="1" s="1"/>
  <c r="AC368" i="1"/>
  <c r="AD368" i="1" s="1"/>
  <c r="H403" i="1"/>
  <c r="I403" i="1" s="1"/>
  <c r="N403" i="1"/>
  <c r="O403" i="1" s="1"/>
  <c r="C429" i="1"/>
  <c r="H429" i="1"/>
  <c r="I429" i="1" s="1"/>
  <c r="N429" i="1"/>
  <c r="O429" i="1" s="1"/>
  <c r="W429" i="1"/>
  <c r="X429" i="1" s="1"/>
  <c r="L62" i="2"/>
  <c r="C141" i="1"/>
  <c r="C262" i="1"/>
  <c r="H262" i="1"/>
  <c r="I262" i="1" s="1"/>
  <c r="N273" i="1"/>
  <c r="O273" i="1" s="1"/>
  <c r="AC61" i="1"/>
  <c r="AD61" i="1" s="1"/>
  <c r="AC148" i="1"/>
  <c r="AD148" i="1" s="1"/>
  <c r="AC197" i="1"/>
  <c r="AD197" i="1" s="1"/>
  <c r="C273" i="1"/>
  <c r="H273" i="1"/>
  <c r="I273" i="1" s="1"/>
  <c r="H343" i="1"/>
  <c r="I343" i="1" s="1"/>
  <c r="H393" i="1"/>
  <c r="I393" i="1" s="1"/>
  <c r="U396" i="1"/>
  <c r="C403" i="1"/>
  <c r="O440" i="1"/>
  <c r="O436" i="1"/>
  <c r="O432" i="1"/>
  <c r="O424" i="1"/>
  <c r="O420" i="1"/>
  <c r="O416" i="1"/>
  <c r="O412" i="1"/>
  <c r="O408" i="1"/>
  <c r="O400" i="1"/>
  <c r="O390" i="1"/>
  <c r="O380" i="1"/>
  <c r="O372" i="1"/>
  <c r="O351" i="1"/>
  <c r="O341" i="1"/>
  <c r="O332" i="1"/>
  <c r="O418" i="1"/>
  <c r="O402" i="1"/>
  <c r="O361" i="1"/>
  <c r="O392" i="1"/>
  <c r="O382" i="1"/>
  <c r="O374" i="1"/>
  <c r="O353" i="1"/>
  <c r="O334" i="1"/>
  <c r="O434" i="1"/>
  <c r="O422" i="1"/>
  <c r="O417" i="1"/>
  <c r="O401" i="1"/>
  <c r="O363" i="1"/>
  <c r="O360" i="1"/>
  <c r="AA40" i="2"/>
  <c r="AC40" i="2"/>
  <c r="AD40" i="2" s="1"/>
  <c r="AC62" i="2"/>
  <c r="AD62" i="2" s="1"/>
  <c r="H124" i="1"/>
  <c r="I124" i="1" s="1"/>
  <c r="L197" i="1"/>
  <c r="AC262" i="1"/>
  <c r="AD262" i="1" s="1"/>
  <c r="AC62" i="1"/>
  <c r="AD62" i="1" s="1"/>
  <c r="C73" i="1"/>
  <c r="AC118" i="1"/>
  <c r="AD118" i="1" s="1"/>
  <c r="B172" i="1"/>
  <c r="AC124" i="1"/>
  <c r="AD124" i="1" s="1"/>
  <c r="AC149" i="1"/>
  <c r="AD149" i="1" s="1"/>
  <c r="AC158" i="1"/>
  <c r="AD158" i="1" s="1"/>
  <c r="AC166" i="1"/>
  <c r="AD166" i="1" s="1"/>
  <c r="AC193" i="1"/>
  <c r="AD193" i="1" s="1"/>
  <c r="C209" i="1"/>
  <c r="AC209" i="1"/>
  <c r="AD209" i="1" s="1"/>
  <c r="C218" i="1"/>
  <c r="AC218" i="1"/>
  <c r="AD218" i="1" s="1"/>
  <c r="AC343" i="1"/>
  <c r="AD343" i="1" s="1"/>
  <c r="R344" i="1"/>
  <c r="W344" i="1"/>
  <c r="X344" i="1" s="1"/>
  <c r="R358" i="1"/>
  <c r="W358" i="1"/>
  <c r="X358" i="1" s="1"/>
  <c r="N428" i="1"/>
  <c r="O428" i="1" s="1"/>
  <c r="X438" i="1"/>
  <c r="X434" i="1"/>
  <c r="X426" i="1"/>
  <c r="X422" i="1"/>
  <c r="X418" i="1"/>
  <c r="X414" i="1"/>
  <c r="X410" i="1"/>
  <c r="X402" i="1"/>
  <c r="X398" i="1"/>
  <c r="X385" i="1"/>
  <c r="X376" i="1"/>
  <c r="X355" i="1"/>
  <c r="X337" i="1"/>
  <c r="X328" i="1"/>
  <c r="X395" i="1"/>
  <c r="X440" i="1"/>
  <c r="X412" i="1"/>
  <c r="X365" i="1"/>
  <c r="X388" i="1"/>
  <c r="X378" i="1"/>
  <c r="X370" i="1"/>
  <c r="X357" i="1"/>
  <c r="X349" i="1"/>
  <c r="X339" i="1"/>
  <c r="X330" i="1"/>
  <c r="X425" i="1"/>
  <c r="X437" i="1"/>
  <c r="X416" i="1"/>
  <c r="X409" i="1"/>
  <c r="X400" i="1"/>
  <c r="X394" i="1"/>
  <c r="X364" i="1"/>
  <c r="AA61" i="2"/>
  <c r="AC61" i="2"/>
  <c r="AD61" i="2" s="1"/>
  <c r="H88" i="2"/>
  <c r="I88" i="2" s="1"/>
  <c r="H197" i="2"/>
  <c r="I197" i="2" s="1"/>
  <c r="H209" i="2"/>
  <c r="I209" i="2" s="1"/>
  <c r="H267" i="2"/>
  <c r="I267" i="2" s="1"/>
  <c r="T172" i="2"/>
  <c r="U124" i="2"/>
  <c r="N124" i="1"/>
  <c r="O124" i="1" s="1"/>
  <c r="H324" i="1"/>
  <c r="I324" i="1" s="1"/>
  <c r="W324" i="1"/>
  <c r="X324" i="1" s="1"/>
  <c r="H325" i="1"/>
  <c r="I325" i="1" s="1"/>
  <c r="H342" i="1"/>
  <c r="I342" i="1" s="1"/>
  <c r="W342" i="1"/>
  <c r="X342" i="1" s="1"/>
  <c r="C393" i="1"/>
  <c r="N441" i="1"/>
  <c r="O441" i="1" s="1"/>
  <c r="W442" i="1"/>
  <c r="X442" i="1" s="1"/>
  <c r="AC18" i="2"/>
  <c r="AD18" i="2" s="1"/>
  <c r="H62" i="2"/>
  <c r="I62" i="2" s="1"/>
  <c r="N73" i="2"/>
  <c r="O73" i="2" s="1"/>
  <c r="AC88" i="2"/>
  <c r="AD88" i="2" s="1"/>
  <c r="N122" i="2"/>
  <c r="O122" i="2" s="1"/>
  <c r="AC122" i="2"/>
  <c r="AD122" i="2" s="1"/>
  <c r="W124" i="2"/>
  <c r="X124" i="2" s="1"/>
  <c r="R148" i="2"/>
  <c r="W149" i="2"/>
  <c r="X149" i="2" s="1"/>
  <c r="AC158" i="2"/>
  <c r="AD158" i="2" s="1"/>
  <c r="H170" i="2"/>
  <c r="I170" i="2" s="1"/>
  <c r="W171" i="2"/>
  <c r="X171" i="2" s="1"/>
  <c r="K172" i="2"/>
  <c r="N172" i="2" s="1"/>
  <c r="O172" i="2" s="1"/>
  <c r="W193" i="2"/>
  <c r="X193" i="2" s="1"/>
  <c r="W196" i="2"/>
  <c r="X196" i="2" s="1"/>
  <c r="F218" i="2"/>
  <c r="N227" i="2"/>
  <c r="O227" i="2" s="1"/>
  <c r="W262" i="2"/>
  <c r="X262" i="2" s="1"/>
  <c r="AC273" i="2"/>
  <c r="AD273" i="2" s="1"/>
  <c r="AC284" i="2"/>
  <c r="AD284" i="2" s="1"/>
  <c r="W342" i="2"/>
  <c r="X342" i="2" s="1"/>
  <c r="H236" i="2"/>
  <c r="I236" i="2" s="1"/>
  <c r="H284" i="2"/>
  <c r="I284" i="2" s="1"/>
  <c r="N284" i="2"/>
  <c r="O284" i="2" s="1"/>
  <c r="N141" i="2"/>
  <c r="O141" i="2" s="1"/>
  <c r="N166" i="2"/>
  <c r="O166" i="2" s="1"/>
  <c r="W170" i="2"/>
  <c r="X170" i="2" s="1"/>
  <c r="B198" i="2"/>
  <c r="C236" i="2"/>
  <c r="AC262" i="2"/>
  <c r="AD262" i="2" s="1"/>
  <c r="C284" i="2"/>
  <c r="L124" i="2"/>
  <c r="AC171" i="2"/>
  <c r="AD171" i="2" s="1"/>
  <c r="Q172" i="2"/>
  <c r="W197" i="2"/>
  <c r="X197" i="2" s="1"/>
  <c r="W209" i="2"/>
  <c r="X209" i="2" s="1"/>
  <c r="W141" i="2"/>
  <c r="X141" i="2" s="1"/>
  <c r="AC148" i="2"/>
  <c r="AD148" i="2" s="1"/>
  <c r="R197" i="2"/>
  <c r="R209" i="2"/>
  <c r="W227" i="2"/>
  <c r="X227" i="2" s="1"/>
  <c r="AC393" i="1"/>
  <c r="AD393" i="1" s="1"/>
  <c r="N61" i="2"/>
  <c r="O61" i="2" s="1"/>
  <c r="W122" i="2"/>
  <c r="X122" i="2" s="1"/>
  <c r="AC170" i="2"/>
  <c r="AD170" i="2" s="1"/>
  <c r="H182" i="2"/>
  <c r="I182" i="2" s="1"/>
  <c r="W218" i="2"/>
  <c r="X218" i="2" s="1"/>
  <c r="AC441" i="1"/>
  <c r="AD441" i="1" s="1"/>
  <c r="N40" i="2"/>
  <c r="O40" i="2" s="1"/>
  <c r="AC73" i="2"/>
  <c r="AD73" i="2" s="1"/>
  <c r="N118" i="2"/>
  <c r="O118" i="2" s="1"/>
  <c r="AC124" i="2"/>
  <c r="AD124" i="2" s="1"/>
  <c r="N396" i="1"/>
  <c r="O396" i="1" s="1"/>
  <c r="W29" i="2"/>
  <c r="X29" i="2" s="1"/>
  <c r="AC118" i="2"/>
  <c r="AD118" i="2" s="1"/>
  <c r="W166" i="2"/>
  <c r="X166" i="2" s="1"/>
  <c r="N171" i="2"/>
  <c r="O171" i="2" s="1"/>
  <c r="E198" i="2"/>
  <c r="F172" i="2"/>
  <c r="Z172" i="2"/>
  <c r="C182" i="2"/>
  <c r="R218" i="2"/>
  <c r="N236" i="2"/>
  <c r="O236" i="2" s="1"/>
  <c r="W263" i="2"/>
  <c r="X263" i="2" s="1"/>
  <c r="W273" i="2"/>
  <c r="X273" i="2" s="1"/>
  <c r="N295" i="2"/>
  <c r="O295" i="2" s="1"/>
  <c r="N325" i="2"/>
  <c r="O325" i="2" s="1"/>
  <c r="H325" i="2"/>
  <c r="I325" i="2" s="1"/>
  <c r="C325" i="2"/>
  <c r="X440" i="2"/>
  <c r="X436" i="2"/>
  <c r="X432" i="2"/>
  <c r="X424" i="2"/>
  <c r="X420" i="2"/>
  <c r="X416" i="2"/>
  <c r="X412" i="2"/>
  <c r="X408" i="2"/>
  <c r="X400" i="2"/>
  <c r="X390" i="2"/>
  <c r="X385" i="2"/>
  <c r="X380" i="2"/>
  <c r="X376" i="2"/>
  <c r="X372" i="2"/>
  <c r="X365" i="2"/>
  <c r="X361" i="2"/>
  <c r="X357" i="2"/>
  <c r="X353" i="2"/>
  <c r="X349" i="2"/>
  <c r="H193" i="3"/>
  <c r="I193" i="3" s="1"/>
  <c r="F193" i="3"/>
  <c r="H263" i="3"/>
  <c r="I263" i="3" s="1"/>
  <c r="N263" i="3"/>
  <c r="O263" i="3" s="1"/>
  <c r="C263" i="3"/>
  <c r="O260" i="2"/>
  <c r="X261" i="2"/>
  <c r="O271" i="2"/>
  <c r="X272" i="2"/>
  <c r="X277" i="2"/>
  <c r="O278" i="2"/>
  <c r="O291" i="2"/>
  <c r="X292" i="2"/>
  <c r="R325" i="2"/>
  <c r="W325" i="2"/>
  <c r="X325" i="2" s="1"/>
  <c r="X328" i="2"/>
  <c r="O335" i="2"/>
  <c r="X337" i="2"/>
  <c r="W343" i="2"/>
  <c r="X343" i="2" s="1"/>
  <c r="O377" i="2"/>
  <c r="X378" i="2"/>
  <c r="O385" i="2"/>
  <c r="X391" i="2"/>
  <c r="X401" i="2"/>
  <c r="O409" i="2"/>
  <c r="X410" i="2"/>
  <c r="O416" i="2"/>
  <c r="X421" i="2"/>
  <c r="F429" i="2"/>
  <c r="O437" i="2"/>
  <c r="O439" i="2"/>
  <c r="N40" i="3"/>
  <c r="O40" i="3" s="1"/>
  <c r="F62" i="3"/>
  <c r="W124" i="3"/>
  <c r="X124" i="3" s="1"/>
  <c r="Q172" i="3"/>
  <c r="F149" i="3"/>
  <c r="W182" i="4"/>
  <c r="X182" i="4" s="1"/>
  <c r="R182" i="4"/>
  <c r="AC182" i="4"/>
  <c r="AD182" i="4" s="1"/>
  <c r="H358" i="2"/>
  <c r="I358" i="2" s="1"/>
  <c r="N358" i="2"/>
  <c r="O358" i="2" s="1"/>
  <c r="C358" i="2"/>
  <c r="X362" i="2"/>
  <c r="X364" i="2"/>
  <c r="X366" i="2"/>
  <c r="X369" i="2"/>
  <c r="X423" i="2"/>
  <c r="X438" i="2"/>
  <c r="W158" i="3"/>
  <c r="X158" i="3" s="1"/>
  <c r="R158" i="3"/>
  <c r="AC158" i="3"/>
  <c r="AD158" i="3" s="1"/>
  <c r="H324" i="2"/>
  <c r="I324" i="2" s="1"/>
  <c r="U324" i="2"/>
  <c r="AC342" i="2"/>
  <c r="AD342" i="2" s="1"/>
  <c r="R344" i="2"/>
  <c r="W344" i="2"/>
  <c r="X344" i="2" s="1"/>
  <c r="W358" i="2"/>
  <c r="X358" i="2" s="1"/>
  <c r="X373" i="2"/>
  <c r="W393" i="2"/>
  <c r="X393" i="2" s="1"/>
  <c r="F396" i="2"/>
  <c r="W396" i="2"/>
  <c r="X396" i="2" s="1"/>
  <c r="W403" i="2"/>
  <c r="X403" i="2" s="1"/>
  <c r="X425" i="2"/>
  <c r="H428" i="2"/>
  <c r="I428" i="2" s="1"/>
  <c r="AC18" i="3"/>
  <c r="AD18" i="3" s="1"/>
  <c r="F345" i="3"/>
  <c r="E404" i="3"/>
  <c r="C236" i="3"/>
  <c r="H236" i="3"/>
  <c r="I236" i="3" s="1"/>
  <c r="N236" i="3"/>
  <c r="O236" i="3" s="1"/>
  <c r="X388" i="2"/>
  <c r="H393" i="2"/>
  <c r="I393" i="2" s="1"/>
  <c r="X398" i="2"/>
  <c r="H403" i="2"/>
  <c r="I403" i="2" s="1"/>
  <c r="X418" i="2"/>
  <c r="X433" i="2"/>
  <c r="X435" i="2"/>
  <c r="L148" i="3"/>
  <c r="AA345" i="3"/>
  <c r="Z404" i="3"/>
  <c r="C262" i="2"/>
  <c r="H262" i="2"/>
  <c r="I262" i="2" s="1"/>
  <c r="N263" i="2"/>
  <c r="O263" i="2" s="1"/>
  <c r="C273" i="2"/>
  <c r="H273" i="2"/>
  <c r="I273" i="2" s="1"/>
  <c r="X281" i="2"/>
  <c r="O282" i="2"/>
  <c r="O287" i="2"/>
  <c r="X288" i="2"/>
  <c r="O331" i="2"/>
  <c r="X332" i="2"/>
  <c r="X338" i="2"/>
  <c r="N344" i="2"/>
  <c r="O344" i="2" s="1"/>
  <c r="C344" i="2"/>
  <c r="H344" i="2"/>
  <c r="I344" i="2" s="1"/>
  <c r="X355" i="2"/>
  <c r="F368" i="2"/>
  <c r="W368" i="2"/>
  <c r="X368" i="2" s="1"/>
  <c r="X377" i="2"/>
  <c r="X409" i="2"/>
  <c r="N429" i="2"/>
  <c r="O429" i="2" s="1"/>
  <c r="L29" i="3"/>
  <c r="AA29" i="3"/>
  <c r="U40" i="3"/>
  <c r="N61" i="3"/>
  <c r="O61" i="3" s="1"/>
  <c r="AC88" i="3"/>
  <c r="AD88" i="3" s="1"/>
  <c r="W149" i="3"/>
  <c r="X149" i="3" s="1"/>
  <c r="R149" i="3"/>
  <c r="X78" i="2"/>
  <c r="X82" i="2"/>
  <c r="X86" i="2"/>
  <c r="X89" i="2"/>
  <c r="X94" i="2"/>
  <c r="X98" i="2"/>
  <c r="X102" i="2"/>
  <c r="X106" i="2"/>
  <c r="X110" i="2"/>
  <c r="X114" i="2"/>
  <c r="X121" i="2"/>
  <c r="X130" i="2"/>
  <c r="X134" i="2"/>
  <c r="X138" i="2"/>
  <c r="X146" i="2"/>
  <c r="X154" i="2"/>
  <c r="X162" i="2"/>
  <c r="X169" i="2"/>
  <c r="X177" i="2"/>
  <c r="X181" i="2"/>
  <c r="X184" i="2"/>
  <c r="X189" i="2"/>
  <c r="X203" i="2"/>
  <c r="X207" i="2"/>
  <c r="X211" i="2"/>
  <c r="X216" i="2"/>
  <c r="X219" i="2"/>
  <c r="X223" i="2"/>
  <c r="X231" i="2"/>
  <c r="X235" i="2"/>
  <c r="X240" i="2"/>
  <c r="X244" i="2"/>
  <c r="O246" i="2"/>
  <c r="X248" i="2"/>
  <c r="O250" i="2"/>
  <c r="X252" i="2"/>
  <c r="O254" i="2"/>
  <c r="X256" i="2"/>
  <c r="O258" i="2"/>
  <c r="O261" i="2"/>
  <c r="O272" i="2"/>
  <c r="O292" i="2"/>
  <c r="O297" i="2"/>
  <c r="X298" i="2"/>
  <c r="X301" i="2"/>
  <c r="O302" i="2"/>
  <c r="O305" i="2"/>
  <c r="X306" i="2"/>
  <c r="X309" i="2"/>
  <c r="O310" i="2"/>
  <c r="O313" i="2"/>
  <c r="X314" i="2"/>
  <c r="X317" i="2"/>
  <c r="O318" i="2"/>
  <c r="O321" i="2"/>
  <c r="X322" i="2"/>
  <c r="O328" i="2"/>
  <c r="O337" i="2"/>
  <c r="O339" i="2"/>
  <c r="X340" i="2"/>
  <c r="O356" i="2"/>
  <c r="AC358" i="2"/>
  <c r="AD358" i="2" s="1"/>
  <c r="O362" i="2"/>
  <c r="X363" i="2"/>
  <c r="O366" i="2"/>
  <c r="O369" i="2"/>
  <c r="X370" i="2"/>
  <c r="O376" i="2"/>
  <c r="X379" i="2"/>
  <c r="X381" i="2"/>
  <c r="O391" i="2"/>
  <c r="X392" i="2"/>
  <c r="AC396" i="2"/>
  <c r="AD396" i="2" s="1"/>
  <c r="O401" i="2"/>
  <c r="X402" i="2"/>
  <c r="O408" i="2"/>
  <c r="X413" i="2"/>
  <c r="O421" i="2"/>
  <c r="N428" i="2"/>
  <c r="O428" i="2" s="1"/>
  <c r="X442" i="2"/>
  <c r="H40" i="3"/>
  <c r="I40" i="3" s="1"/>
  <c r="W62" i="3"/>
  <c r="X62" i="3" s="1"/>
  <c r="AC62" i="3"/>
  <c r="AD62" i="3" s="1"/>
  <c r="R62" i="3"/>
  <c r="AC148" i="3"/>
  <c r="AD148" i="3" s="1"/>
  <c r="K198" i="3"/>
  <c r="L172" i="3"/>
  <c r="H342" i="2"/>
  <c r="I342" i="2" s="1"/>
  <c r="N342" i="2"/>
  <c r="O342" i="2" s="1"/>
  <c r="X367" i="2"/>
  <c r="X383" i="2"/>
  <c r="X415" i="2"/>
  <c r="X426" i="2"/>
  <c r="O438" i="2"/>
  <c r="O434" i="2"/>
  <c r="O426" i="2"/>
  <c r="O422" i="2"/>
  <c r="O418" i="2"/>
  <c r="O414" i="2"/>
  <c r="O410" i="2"/>
  <c r="O402" i="2"/>
  <c r="O398" i="2"/>
  <c r="O395" i="2"/>
  <c r="O392" i="2"/>
  <c r="O388" i="2"/>
  <c r="O382" i="2"/>
  <c r="O378" i="2"/>
  <c r="O374" i="2"/>
  <c r="O370" i="2"/>
  <c r="O367" i="2"/>
  <c r="O363" i="2"/>
  <c r="O355" i="2"/>
  <c r="O351" i="2"/>
  <c r="H158" i="3"/>
  <c r="I158" i="3" s="1"/>
  <c r="F158" i="3"/>
  <c r="T345" i="3"/>
  <c r="U198" i="3"/>
  <c r="W273" i="3"/>
  <c r="X273" i="3" s="1"/>
  <c r="U273" i="3"/>
  <c r="C209" i="3"/>
  <c r="H209" i="3"/>
  <c r="I209" i="3" s="1"/>
  <c r="N262" i="3"/>
  <c r="O262" i="3" s="1"/>
  <c r="W393" i="3"/>
  <c r="X393" i="3" s="1"/>
  <c r="U393" i="3"/>
  <c r="W429" i="2"/>
  <c r="X429" i="2" s="1"/>
  <c r="W441" i="2"/>
  <c r="X441" i="2" s="1"/>
  <c r="W29" i="3"/>
  <c r="X29" i="3" s="1"/>
  <c r="C61" i="3"/>
  <c r="H61" i="3"/>
  <c r="I61" i="3" s="1"/>
  <c r="W118" i="3"/>
  <c r="X118" i="3" s="1"/>
  <c r="AA171" i="3"/>
  <c r="F196" i="3"/>
  <c r="W227" i="3"/>
  <c r="X227" i="3" s="1"/>
  <c r="AC236" i="3"/>
  <c r="AD236" i="3" s="1"/>
  <c r="H358" i="3"/>
  <c r="I358" i="3" s="1"/>
  <c r="C358" i="3"/>
  <c r="N358" i="3"/>
  <c r="O358" i="3" s="1"/>
  <c r="W403" i="3"/>
  <c r="X403" i="3" s="1"/>
  <c r="U403" i="3"/>
  <c r="K172" i="4"/>
  <c r="L171" i="4"/>
  <c r="R262" i="3"/>
  <c r="W262" i="3"/>
  <c r="X262" i="3" s="1"/>
  <c r="C273" i="3"/>
  <c r="N273" i="3"/>
  <c r="O273" i="3" s="1"/>
  <c r="H273" i="3"/>
  <c r="I273" i="3" s="1"/>
  <c r="H295" i="3"/>
  <c r="I295" i="3" s="1"/>
  <c r="F295" i="3"/>
  <c r="C62" i="4"/>
  <c r="N62" i="4"/>
  <c r="O62" i="4" s="1"/>
  <c r="H62" i="4"/>
  <c r="I62" i="4" s="1"/>
  <c r="H170" i="4"/>
  <c r="I170" i="4" s="1"/>
  <c r="F170" i="4"/>
  <c r="R263" i="4"/>
  <c r="W263" i="4"/>
  <c r="X263" i="4" s="1"/>
  <c r="AC263" i="4"/>
  <c r="AD263" i="4" s="1"/>
  <c r="U172" i="3"/>
  <c r="C267" i="3"/>
  <c r="R267" i="3"/>
  <c r="W324" i="3"/>
  <c r="X324" i="3" s="1"/>
  <c r="W429" i="3"/>
  <c r="X429" i="3" s="1"/>
  <c r="R429" i="3"/>
  <c r="B172" i="3"/>
  <c r="H171" i="3"/>
  <c r="I171" i="3" s="1"/>
  <c r="R171" i="3"/>
  <c r="W171" i="3"/>
  <c r="X171" i="3" s="1"/>
  <c r="C218" i="3"/>
  <c r="H218" i="3"/>
  <c r="I218" i="3" s="1"/>
  <c r="W263" i="3"/>
  <c r="X263" i="3" s="1"/>
  <c r="AC263" i="3"/>
  <c r="AD263" i="3" s="1"/>
  <c r="R342" i="3"/>
  <c r="AC342" i="3"/>
  <c r="AD342" i="3" s="1"/>
  <c r="W342" i="3"/>
  <c r="X342" i="3" s="1"/>
  <c r="U88" i="4"/>
  <c r="W88" i="4"/>
  <c r="X88" i="4" s="1"/>
  <c r="AC197" i="4"/>
  <c r="AD197" i="4" s="1"/>
  <c r="AA197" i="4"/>
  <c r="C171" i="3"/>
  <c r="AA172" i="3"/>
  <c r="W193" i="3"/>
  <c r="X193" i="3" s="1"/>
  <c r="AC197" i="3"/>
  <c r="AD197" i="3" s="1"/>
  <c r="W218" i="3"/>
  <c r="X218" i="3" s="1"/>
  <c r="R236" i="3"/>
  <c r="C262" i="3"/>
  <c r="R263" i="3"/>
  <c r="W295" i="3"/>
  <c r="X295" i="3" s="1"/>
  <c r="R441" i="3"/>
  <c r="AC441" i="3"/>
  <c r="AD441" i="3" s="1"/>
  <c r="H196" i="4"/>
  <c r="I196" i="4" s="1"/>
  <c r="C196" i="4"/>
  <c r="N196" i="4"/>
  <c r="O196" i="4" s="1"/>
  <c r="N393" i="2"/>
  <c r="O393" i="2" s="1"/>
  <c r="N403" i="2"/>
  <c r="O403" i="2" s="1"/>
  <c r="H441" i="2"/>
  <c r="I441" i="2" s="1"/>
  <c r="N442" i="2"/>
  <c r="O442" i="2" s="1"/>
  <c r="H29" i="3"/>
  <c r="I29" i="3" s="1"/>
  <c r="H73" i="3"/>
  <c r="I73" i="3" s="1"/>
  <c r="R73" i="3"/>
  <c r="W73" i="3"/>
  <c r="X73" i="3" s="1"/>
  <c r="C88" i="3"/>
  <c r="H88" i="3"/>
  <c r="I88" i="3" s="1"/>
  <c r="H141" i="3"/>
  <c r="I141" i="3" s="1"/>
  <c r="R141" i="3"/>
  <c r="W141" i="3"/>
  <c r="X141" i="3" s="1"/>
  <c r="C148" i="3"/>
  <c r="H148" i="3"/>
  <c r="I148" i="3" s="1"/>
  <c r="W166" i="3"/>
  <c r="X166" i="3" s="1"/>
  <c r="R193" i="3"/>
  <c r="W196" i="3"/>
  <c r="X196" i="3" s="1"/>
  <c r="C197" i="3"/>
  <c r="H197" i="3"/>
  <c r="I197" i="3" s="1"/>
  <c r="N209" i="3"/>
  <c r="O209" i="3" s="1"/>
  <c r="H227" i="3"/>
  <c r="I227" i="3" s="1"/>
  <c r="AC262" i="3"/>
  <c r="AD262" i="3" s="1"/>
  <c r="AC267" i="3"/>
  <c r="AD267" i="3" s="1"/>
  <c r="H325" i="3"/>
  <c r="I325" i="3" s="1"/>
  <c r="AC429" i="3"/>
  <c r="AD429" i="3" s="1"/>
  <c r="B172" i="4"/>
  <c r="C124" i="4"/>
  <c r="N124" i="4"/>
  <c r="O124" i="4" s="1"/>
  <c r="H124" i="4"/>
  <c r="I124" i="4" s="1"/>
  <c r="H193" i="4"/>
  <c r="I193" i="4" s="1"/>
  <c r="C193" i="4"/>
  <c r="N193" i="4"/>
  <c r="O193" i="4" s="1"/>
  <c r="W193" i="6"/>
  <c r="X193" i="6" s="1"/>
  <c r="U193" i="6"/>
  <c r="X241" i="3"/>
  <c r="X257" i="3"/>
  <c r="X280" i="3"/>
  <c r="N284" i="3"/>
  <c r="O284" i="3" s="1"/>
  <c r="X292" i="3"/>
  <c r="AC324" i="3"/>
  <c r="AD324" i="3" s="1"/>
  <c r="N325" i="3"/>
  <c r="O325" i="3" s="1"/>
  <c r="AC325" i="3"/>
  <c r="AD325" i="3" s="1"/>
  <c r="X329" i="3"/>
  <c r="X338" i="3"/>
  <c r="W343" i="3"/>
  <c r="X343" i="3" s="1"/>
  <c r="X355" i="3"/>
  <c r="X361" i="3"/>
  <c r="W368" i="3"/>
  <c r="X368" i="3" s="1"/>
  <c r="X382" i="3"/>
  <c r="W396" i="3"/>
  <c r="X396" i="3" s="1"/>
  <c r="X408" i="3"/>
  <c r="X415" i="3"/>
  <c r="X424" i="3"/>
  <c r="N428" i="3"/>
  <c r="O428" i="3" s="1"/>
  <c r="X436" i="3"/>
  <c r="AC442" i="3"/>
  <c r="AD442" i="3" s="1"/>
  <c r="AC18" i="4"/>
  <c r="AD18" i="4" s="1"/>
  <c r="N118" i="4"/>
  <c r="O118" i="4" s="1"/>
  <c r="T198" i="4"/>
  <c r="U172" i="4"/>
  <c r="W141" i="4"/>
  <c r="X141" i="4" s="1"/>
  <c r="N149" i="4"/>
  <c r="O149" i="4" s="1"/>
  <c r="H158" i="4"/>
  <c r="I158" i="4" s="1"/>
  <c r="N166" i="4"/>
  <c r="O166" i="4" s="1"/>
  <c r="W284" i="4"/>
  <c r="X284" i="4" s="1"/>
  <c r="AC284" i="4"/>
  <c r="AD284" i="4" s="1"/>
  <c r="R284" i="4"/>
  <c r="N324" i="3"/>
  <c r="O324" i="3" s="1"/>
  <c r="AC344" i="3"/>
  <c r="AD344" i="3" s="1"/>
  <c r="AC358" i="3"/>
  <c r="AD358" i="3" s="1"/>
  <c r="AC73" i="4"/>
  <c r="AD73" i="4" s="1"/>
  <c r="W118" i="4"/>
  <c r="X118" i="4" s="1"/>
  <c r="AC122" i="4"/>
  <c r="AD122" i="4" s="1"/>
  <c r="W170" i="4"/>
  <c r="X170" i="4" s="1"/>
  <c r="R170" i="4"/>
  <c r="AA343" i="3"/>
  <c r="H393" i="3"/>
  <c r="I393" i="3" s="1"/>
  <c r="H403" i="3"/>
  <c r="I403" i="3" s="1"/>
  <c r="N441" i="3"/>
  <c r="O441" i="3" s="1"/>
  <c r="N18" i="4"/>
  <c r="O18" i="4" s="1"/>
  <c r="C29" i="4"/>
  <c r="C40" i="4"/>
  <c r="C61" i="4"/>
  <c r="Z172" i="4"/>
  <c r="AA124" i="4"/>
  <c r="AA141" i="4"/>
  <c r="R149" i="4"/>
  <c r="W344" i="4"/>
  <c r="X344" i="4" s="1"/>
  <c r="U344" i="4"/>
  <c r="N295" i="3"/>
  <c r="O295" i="3" s="1"/>
  <c r="R324" i="3"/>
  <c r="C325" i="3"/>
  <c r="H342" i="3"/>
  <c r="I342" i="3" s="1"/>
  <c r="N343" i="3"/>
  <c r="O343" i="3" s="1"/>
  <c r="W40" i="4"/>
  <c r="X40" i="4" s="1"/>
  <c r="W61" i="4"/>
  <c r="X61" i="4" s="1"/>
  <c r="AC62" i="4"/>
  <c r="AD62" i="4" s="1"/>
  <c r="L88" i="4"/>
  <c r="AC124" i="4"/>
  <c r="AD124" i="4" s="1"/>
  <c r="N141" i="4"/>
  <c r="O141" i="4" s="1"/>
  <c r="W158" i="4"/>
  <c r="X158" i="4" s="1"/>
  <c r="R158" i="4"/>
  <c r="H263" i="4"/>
  <c r="I263" i="4" s="1"/>
  <c r="N263" i="4"/>
  <c r="O263" i="4" s="1"/>
  <c r="C263" i="4"/>
  <c r="R18" i="4"/>
  <c r="R73" i="4"/>
  <c r="AC170" i="4"/>
  <c r="AD170" i="4" s="1"/>
  <c r="E198" i="4"/>
  <c r="F172" i="4"/>
  <c r="AC218" i="3"/>
  <c r="AD218" i="3" s="1"/>
  <c r="X281" i="3"/>
  <c r="H284" i="3"/>
  <c r="I284" i="3" s="1"/>
  <c r="X293" i="3"/>
  <c r="X300" i="3"/>
  <c r="X308" i="3"/>
  <c r="X316" i="3"/>
  <c r="X341" i="3"/>
  <c r="X349" i="3"/>
  <c r="X356" i="3"/>
  <c r="X376" i="3"/>
  <c r="X383" i="3"/>
  <c r="X418" i="3"/>
  <c r="H441" i="3"/>
  <c r="I441" i="3" s="1"/>
  <c r="W442" i="3"/>
  <c r="X442" i="3" s="1"/>
  <c r="AA29" i="4"/>
  <c r="C73" i="4"/>
  <c r="H118" i="4"/>
  <c r="I118" i="4" s="1"/>
  <c r="H149" i="4"/>
  <c r="I149" i="4" s="1"/>
  <c r="Q172" i="4"/>
  <c r="H182" i="4"/>
  <c r="I182" i="4" s="1"/>
  <c r="F182" i="4"/>
  <c r="X156" i="3"/>
  <c r="X160" i="3"/>
  <c r="X164" i="3"/>
  <c r="X167" i="3"/>
  <c r="X179" i="3"/>
  <c r="X187" i="3"/>
  <c r="X191" i="3"/>
  <c r="X194" i="3"/>
  <c r="X201" i="3"/>
  <c r="X205" i="3"/>
  <c r="X214" i="3"/>
  <c r="X220" i="3"/>
  <c r="X223" i="3"/>
  <c r="X232" i="3"/>
  <c r="X235" i="3"/>
  <c r="X245" i="3"/>
  <c r="X248" i="3"/>
  <c r="X261" i="3"/>
  <c r="X271" i="3"/>
  <c r="X278" i="3"/>
  <c r="X290" i="3"/>
  <c r="X297" i="3"/>
  <c r="X305" i="3"/>
  <c r="X313" i="3"/>
  <c r="X321" i="3"/>
  <c r="H324" i="3"/>
  <c r="I324" i="3" s="1"/>
  <c r="X335" i="3"/>
  <c r="W344" i="3"/>
  <c r="X344" i="3" s="1"/>
  <c r="X351" i="3"/>
  <c r="X364" i="3"/>
  <c r="X369" i="3"/>
  <c r="X378" i="3"/>
  <c r="X386" i="3"/>
  <c r="X411" i="3"/>
  <c r="X420" i="3"/>
  <c r="X427" i="3"/>
  <c r="X432" i="3"/>
  <c r="C441" i="3"/>
  <c r="H442" i="3"/>
  <c r="I442" i="3" s="1"/>
  <c r="N29" i="4"/>
  <c r="O29" i="4" s="1"/>
  <c r="AC118" i="4"/>
  <c r="AD118" i="4" s="1"/>
  <c r="W122" i="4"/>
  <c r="X122" i="4" s="1"/>
  <c r="W148" i="4"/>
  <c r="X148" i="4" s="1"/>
  <c r="AC149" i="4"/>
  <c r="AD149" i="4" s="1"/>
  <c r="AC158" i="4"/>
  <c r="AD158" i="4" s="1"/>
  <c r="H166" i="4"/>
  <c r="I166" i="4" s="1"/>
  <c r="AC196" i="4"/>
  <c r="AD196" i="4" s="1"/>
  <c r="N197" i="4"/>
  <c r="O197" i="4" s="1"/>
  <c r="AC209" i="4"/>
  <c r="AD209" i="4" s="1"/>
  <c r="N227" i="4"/>
  <c r="O227" i="4" s="1"/>
  <c r="N295" i="4"/>
  <c r="O295" i="4" s="1"/>
  <c r="AC325" i="4"/>
  <c r="AD325" i="4" s="1"/>
  <c r="N358" i="4"/>
  <c r="O358" i="4" s="1"/>
  <c r="N396" i="4"/>
  <c r="O396" i="4" s="1"/>
  <c r="AC166" i="4"/>
  <c r="AD166" i="4" s="1"/>
  <c r="N171" i="4"/>
  <c r="O171" i="4" s="1"/>
  <c r="AC193" i="4"/>
  <c r="AD193" i="4" s="1"/>
  <c r="R267" i="4"/>
  <c r="W267" i="4"/>
  <c r="X267" i="4" s="1"/>
  <c r="C325" i="4"/>
  <c r="H325" i="4"/>
  <c r="I325" i="4" s="1"/>
  <c r="C61" i="5"/>
  <c r="H61" i="5"/>
  <c r="I61" i="5" s="1"/>
  <c r="N61" i="5"/>
  <c r="O61" i="5" s="1"/>
  <c r="R166" i="4"/>
  <c r="C171" i="4"/>
  <c r="R193" i="4"/>
  <c r="C197" i="4"/>
  <c r="R209" i="4"/>
  <c r="C227" i="4"/>
  <c r="R227" i="4"/>
  <c r="W227" i="4"/>
  <c r="X227" i="4" s="1"/>
  <c r="AC236" i="4"/>
  <c r="AD236" i="4" s="1"/>
  <c r="U262" i="4"/>
  <c r="C267" i="4"/>
  <c r="F284" i="4"/>
  <c r="R295" i="4"/>
  <c r="W295" i="4"/>
  <c r="X295" i="4" s="1"/>
  <c r="R324" i="4"/>
  <c r="R358" i="4"/>
  <c r="W358" i="4"/>
  <c r="X358" i="4" s="1"/>
  <c r="U368" i="4"/>
  <c r="R124" i="5"/>
  <c r="Q172" i="5"/>
  <c r="AC124" i="5"/>
  <c r="AD124" i="5" s="1"/>
  <c r="W124" i="5"/>
  <c r="X124" i="5" s="1"/>
  <c r="AC171" i="4"/>
  <c r="AD171" i="4" s="1"/>
  <c r="C295" i="4"/>
  <c r="C358" i="4"/>
  <c r="U396" i="4"/>
  <c r="C442" i="4"/>
  <c r="N442" i="4"/>
  <c r="O442" i="4" s="1"/>
  <c r="H442" i="4"/>
  <c r="I442" i="4" s="1"/>
  <c r="W196" i="4"/>
  <c r="X196" i="4" s="1"/>
  <c r="U218" i="4"/>
  <c r="N273" i="4"/>
  <c r="O273" i="4" s="1"/>
  <c r="F324" i="4"/>
  <c r="N342" i="3"/>
  <c r="O342" i="3" s="1"/>
  <c r="N344" i="3"/>
  <c r="O344" i="3" s="1"/>
  <c r="N368" i="3"/>
  <c r="O368" i="3" s="1"/>
  <c r="N393" i="3"/>
  <c r="O393" i="3" s="1"/>
  <c r="N396" i="3"/>
  <c r="O396" i="3" s="1"/>
  <c r="N403" i="3"/>
  <c r="O403" i="3" s="1"/>
  <c r="AC428" i="3"/>
  <c r="AD428" i="3" s="1"/>
  <c r="N442" i="3"/>
  <c r="O442" i="3" s="1"/>
  <c r="AC40" i="4"/>
  <c r="AD40" i="4" s="1"/>
  <c r="AC61" i="4"/>
  <c r="AD61" i="4" s="1"/>
  <c r="AC88" i="4"/>
  <c r="AD88" i="4" s="1"/>
  <c r="N122" i="4"/>
  <c r="O122" i="4" s="1"/>
  <c r="AC148" i="4"/>
  <c r="AD148" i="4" s="1"/>
  <c r="N170" i="4"/>
  <c r="O170" i="4" s="1"/>
  <c r="N182" i="4"/>
  <c r="O182" i="4" s="1"/>
  <c r="R236" i="4"/>
  <c r="N344" i="4"/>
  <c r="O344" i="4" s="1"/>
  <c r="N342" i="4"/>
  <c r="O342" i="4" s="1"/>
  <c r="R343" i="4"/>
  <c r="W343" i="4"/>
  <c r="X343" i="4" s="1"/>
  <c r="R429" i="4"/>
  <c r="AC429" i="4"/>
  <c r="AD429" i="4" s="1"/>
  <c r="W429" i="4"/>
  <c r="X429" i="4" s="1"/>
  <c r="R62" i="5"/>
  <c r="AC62" i="5"/>
  <c r="AD62" i="5" s="1"/>
  <c r="W62" i="5"/>
  <c r="X62" i="5" s="1"/>
  <c r="I412" i="4"/>
  <c r="AD415" i="4"/>
  <c r="H429" i="4"/>
  <c r="I429" i="4" s="1"/>
  <c r="I432" i="4"/>
  <c r="AD435" i="4"/>
  <c r="AC29" i="5"/>
  <c r="AD29" i="5" s="1"/>
  <c r="W73" i="5"/>
  <c r="X73" i="5" s="1"/>
  <c r="F118" i="5"/>
  <c r="H118" i="5"/>
  <c r="I118" i="5" s="1"/>
  <c r="W122" i="5"/>
  <c r="X122" i="5" s="1"/>
  <c r="C148" i="5"/>
  <c r="N148" i="5"/>
  <c r="O148" i="5" s="1"/>
  <c r="U149" i="5"/>
  <c r="W149" i="5"/>
  <c r="X149" i="5" s="1"/>
  <c r="R171" i="5"/>
  <c r="W171" i="5"/>
  <c r="X171" i="5" s="1"/>
  <c r="AC171" i="5"/>
  <c r="AD171" i="5" s="1"/>
  <c r="B172" i="5"/>
  <c r="N124" i="5"/>
  <c r="O124" i="5" s="1"/>
  <c r="C124" i="5"/>
  <c r="N428" i="4"/>
  <c r="O428" i="4" s="1"/>
  <c r="N18" i="5"/>
  <c r="O18" i="5" s="1"/>
  <c r="AC18" i="5"/>
  <c r="AD18" i="5" s="1"/>
  <c r="U40" i="5"/>
  <c r="L118" i="5"/>
  <c r="W441" i="4"/>
  <c r="X441" i="4" s="1"/>
  <c r="AC442" i="4"/>
  <c r="AD442" i="4" s="1"/>
  <c r="X437" i="4"/>
  <c r="X425" i="4"/>
  <c r="X421" i="4"/>
  <c r="X417" i="4"/>
  <c r="H124" i="5"/>
  <c r="I124" i="5" s="1"/>
  <c r="W428" i="4"/>
  <c r="X428" i="4" s="1"/>
  <c r="H441" i="4"/>
  <c r="I441" i="4" s="1"/>
  <c r="H40" i="5"/>
  <c r="I40" i="5" s="1"/>
  <c r="F73" i="5"/>
  <c r="W403" i="4"/>
  <c r="X403" i="4" s="1"/>
  <c r="AD411" i="4"/>
  <c r="H428" i="4"/>
  <c r="I428" i="4" s="1"/>
  <c r="N429" i="4"/>
  <c r="O429" i="4" s="1"/>
  <c r="H18" i="5"/>
  <c r="I18" i="5" s="1"/>
  <c r="W29" i="5"/>
  <c r="X29" i="5" s="1"/>
  <c r="N122" i="5"/>
  <c r="O122" i="5" s="1"/>
  <c r="L218" i="5"/>
  <c r="N218" i="5"/>
  <c r="O218" i="5" s="1"/>
  <c r="X282" i="4"/>
  <c r="X286" i="4"/>
  <c r="X290" i="4"/>
  <c r="X294" i="4"/>
  <c r="X298" i="4"/>
  <c r="X302" i="4"/>
  <c r="X306" i="4"/>
  <c r="X310" i="4"/>
  <c r="X314" i="4"/>
  <c r="X318" i="4"/>
  <c r="X322" i="4"/>
  <c r="X330" i="4"/>
  <c r="X334" i="4"/>
  <c r="X339" i="4"/>
  <c r="X349" i="4"/>
  <c r="X353" i="4"/>
  <c r="X357" i="4"/>
  <c r="X361" i="4"/>
  <c r="X365" i="4"/>
  <c r="X372" i="4"/>
  <c r="X376" i="4"/>
  <c r="X380" i="4"/>
  <c r="X385" i="4"/>
  <c r="X390" i="4"/>
  <c r="X400" i="4"/>
  <c r="I408" i="4"/>
  <c r="X410" i="4"/>
  <c r="I413" i="4"/>
  <c r="AD413" i="4"/>
  <c r="X415" i="4"/>
  <c r="AD418" i="4"/>
  <c r="I420" i="4"/>
  <c r="X422" i="4"/>
  <c r="AD423" i="4"/>
  <c r="AD433" i="4"/>
  <c r="X435" i="4"/>
  <c r="I440" i="4"/>
  <c r="AC170" i="5"/>
  <c r="AD170" i="5" s="1"/>
  <c r="F198" i="5"/>
  <c r="E345" i="5"/>
  <c r="W295" i="5"/>
  <c r="X295" i="5" s="1"/>
  <c r="U295" i="5"/>
  <c r="N62" i="5"/>
  <c r="O62" i="5" s="1"/>
  <c r="H62" i="5"/>
  <c r="I62" i="5" s="1"/>
  <c r="L149" i="5"/>
  <c r="W197" i="5"/>
  <c r="X197" i="5" s="1"/>
  <c r="AC197" i="5"/>
  <c r="AD197" i="5" s="1"/>
  <c r="F227" i="5"/>
  <c r="H227" i="5"/>
  <c r="I227" i="5" s="1"/>
  <c r="F263" i="5"/>
  <c r="H263" i="5"/>
  <c r="I263" i="5" s="1"/>
  <c r="Z345" i="5"/>
  <c r="AA198" i="5"/>
  <c r="R227" i="5"/>
  <c r="AC227" i="5"/>
  <c r="AD227" i="5" s="1"/>
  <c r="R118" i="5"/>
  <c r="AC118" i="5"/>
  <c r="AD118" i="5" s="1"/>
  <c r="W118" i="5"/>
  <c r="X118" i="5" s="1"/>
  <c r="L124" i="5"/>
  <c r="K172" i="5"/>
  <c r="R141" i="5"/>
  <c r="W141" i="5"/>
  <c r="X141" i="5" s="1"/>
  <c r="AA172" i="5"/>
  <c r="H197" i="5"/>
  <c r="I197" i="5" s="1"/>
  <c r="N197" i="5"/>
  <c r="O197" i="5" s="1"/>
  <c r="C197" i="5"/>
  <c r="N284" i="5"/>
  <c r="O284" i="5" s="1"/>
  <c r="AC73" i="5"/>
  <c r="AD73" i="5" s="1"/>
  <c r="H88" i="5"/>
  <c r="I88" i="5" s="1"/>
  <c r="R88" i="5"/>
  <c r="C149" i="5"/>
  <c r="N158" i="5"/>
  <c r="O158" i="5" s="1"/>
  <c r="W166" i="5"/>
  <c r="X166" i="5" s="1"/>
  <c r="W170" i="5"/>
  <c r="X170" i="5" s="1"/>
  <c r="AC236" i="5"/>
  <c r="AD236" i="5" s="1"/>
  <c r="R267" i="5"/>
  <c r="W267" i="5"/>
  <c r="X267" i="5" s="1"/>
  <c r="AC344" i="5"/>
  <c r="AD344" i="5" s="1"/>
  <c r="AA344" i="5"/>
  <c r="T172" i="5"/>
  <c r="H170" i="5"/>
  <c r="I170" i="5" s="1"/>
  <c r="W193" i="5"/>
  <c r="X193" i="5" s="1"/>
  <c r="F441" i="5"/>
  <c r="H441" i="5"/>
  <c r="I441" i="5" s="1"/>
  <c r="R263" i="5"/>
  <c r="AC263" i="5"/>
  <c r="AD263" i="5" s="1"/>
  <c r="N267" i="5"/>
  <c r="O267" i="5" s="1"/>
  <c r="H295" i="5"/>
  <c r="I295" i="5" s="1"/>
  <c r="C284" i="5"/>
  <c r="H284" i="5"/>
  <c r="I284" i="5" s="1"/>
  <c r="H182" i="5"/>
  <c r="I182" i="5" s="1"/>
  <c r="N262" i="5"/>
  <c r="O262" i="5" s="1"/>
  <c r="N263" i="5"/>
  <c r="O263" i="5" s="1"/>
  <c r="F267" i="5"/>
  <c r="H267" i="5"/>
  <c r="I267" i="5" s="1"/>
  <c r="AC267" i="5"/>
  <c r="AD267" i="5" s="1"/>
  <c r="N273" i="5"/>
  <c r="O273" i="5" s="1"/>
  <c r="U284" i="5"/>
  <c r="W284" i="5"/>
  <c r="X284" i="5" s="1"/>
  <c r="H209" i="5"/>
  <c r="I209" i="5" s="1"/>
  <c r="W325" i="5"/>
  <c r="X325" i="5" s="1"/>
  <c r="N344" i="5"/>
  <c r="O344" i="5" s="1"/>
  <c r="N396" i="5"/>
  <c r="O396" i="5" s="1"/>
  <c r="U18" i="6"/>
  <c r="W18" i="6"/>
  <c r="X18" i="6" s="1"/>
  <c r="N342" i="5"/>
  <c r="O342" i="5" s="1"/>
  <c r="AC393" i="5"/>
  <c r="AD393" i="5" s="1"/>
  <c r="R393" i="5"/>
  <c r="AC342" i="5"/>
  <c r="AD342" i="5" s="1"/>
  <c r="AC343" i="5"/>
  <c r="AD343" i="5" s="1"/>
  <c r="N393" i="5"/>
  <c r="O393" i="5" s="1"/>
  <c r="C396" i="5"/>
  <c r="W368" i="5"/>
  <c r="X368" i="5" s="1"/>
  <c r="AC403" i="5"/>
  <c r="AD403" i="5" s="1"/>
  <c r="R403" i="5"/>
  <c r="N343" i="5"/>
  <c r="O343" i="5" s="1"/>
  <c r="C344" i="5"/>
  <c r="N141" i="5"/>
  <c r="O141" i="5" s="1"/>
  <c r="AC149" i="5"/>
  <c r="AD149" i="5" s="1"/>
  <c r="AC158" i="5"/>
  <c r="AD158" i="5" s="1"/>
  <c r="AC166" i="5"/>
  <c r="AD166" i="5" s="1"/>
  <c r="N171" i="5"/>
  <c r="O171" i="5" s="1"/>
  <c r="AC284" i="5"/>
  <c r="AD284" i="5" s="1"/>
  <c r="AC325" i="5"/>
  <c r="AD325" i="5" s="1"/>
  <c r="C342" i="5"/>
  <c r="AC358" i="5"/>
  <c r="AD358" i="5" s="1"/>
  <c r="W403" i="5"/>
  <c r="X403" i="5" s="1"/>
  <c r="N196" i="5"/>
  <c r="O196" i="5" s="1"/>
  <c r="N209" i="5"/>
  <c r="O209" i="5" s="1"/>
  <c r="H218" i="5"/>
  <c r="I218" i="5" s="1"/>
  <c r="H262" i="5"/>
  <c r="I262" i="5" s="1"/>
  <c r="H273" i="5"/>
  <c r="I273" i="5" s="1"/>
  <c r="W343" i="5"/>
  <c r="X343" i="5" s="1"/>
  <c r="N358" i="5"/>
  <c r="O358" i="5" s="1"/>
  <c r="AC368" i="5"/>
  <c r="AD368" i="5" s="1"/>
  <c r="AD379" i="5"/>
  <c r="AD408" i="5"/>
  <c r="X413" i="5"/>
  <c r="AD414" i="5"/>
  <c r="AD419" i="5"/>
  <c r="X421" i="5"/>
  <c r="AD424" i="5"/>
  <c r="N428" i="5"/>
  <c r="O428" i="5" s="1"/>
  <c r="AD439" i="5"/>
  <c r="AC40" i="6"/>
  <c r="AD40" i="6" s="1"/>
  <c r="F18" i="6"/>
  <c r="H18" i="6"/>
  <c r="I18" i="6" s="1"/>
  <c r="R88" i="6"/>
  <c r="W88" i="6"/>
  <c r="X88" i="6" s="1"/>
  <c r="F428" i="5"/>
  <c r="U428" i="5"/>
  <c r="H429" i="5"/>
  <c r="I429" i="5" s="1"/>
  <c r="AC441" i="5"/>
  <c r="AD441" i="5" s="1"/>
  <c r="C40" i="6"/>
  <c r="R62" i="6"/>
  <c r="AC62" i="6"/>
  <c r="AD62" i="6" s="1"/>
  <c r="N118" i="6"/>
  <c r="O118" i="6" s="1"/>
  <c r="C118" i="6"/>
  <c r="U118" i="6"/>
  <c r="W429" i="5"/>
  <c r="X429" i="5" s="1"/>
  <c r="L18" i="6"/>
  <c r="X373" i="5"/>
  <c r="X391" i="5"/>
  <c r="X401" i="5"/>
  <c r="I417" i="5"/>
  <c r="I422" i="5"/>
  <c r="AD432" i="5"/>
  <c r="I434" i="5"/>
  <c r="C442" i="5"/>
  <c r="H442" i="5"/>
  <c r="I442" i="5" s="1"/>
  <c r="AC29" i="6"/>
  <c r="AD29" i="6" s="1"/>
  <c r="AC61" i="6"/>
  <c r="AD61" i="6" s="1"/>
  <c r="R61" i="6"/>
  <c r="C73" i="6"/>
  <c r="H73" i="6"/>
  <c r="I73" i="6" s="1"/>
  <c r="H118" i="6"/>
  <c r="I118" i="6" s="1"/>
  <c r="AD329" i="5"/>
  <c r="AD333" i="5"/>
  <c r="AD338" i="5"/>
  <c r="AD347" i="5"/>
  <c r="AD352" i="5"/>
  <c r="AD356" i="5"/>
  <c r="X361" i="5"/>
  <c r="AD377" i="5"/>
  <c r="X379" i="5"/>
  <c r="AD380" i="5"/>
  <c r="X382" i="5"/>
  <c r="AD383" i="5"/>
  <c r="X408" i="5"/>
  <c r="AD409" i="5"/>
  <c r="X419" i="5"/>
  <c r="X424" i="5"/>
  <c r="AD425" i="5"/>
  <c r="U442" i="5"/>
  <c r="W442" i="5"/>
  <c r="X442" i="5" s="1"/>
  <c r="R18" i="6"/>
  <c r="AC18" i="6"/>
  <c r="AD18" i="6" s="1"/>
  <c r="N61" i="6"/>
  <c r="O61" i="6" s="1"/>
  <c r="W62" i="6"/>
  <c r="X62" i="6" s="1"/>
  <c r="AC88" i="6"/>
  <c r="AD88" i="6" s="1"/>
  <c r="Z172" i="6"/>
  <c r="AA124" i="6"/>
  <c r="N122" i="6"/>
  <c r="O122" i="6" s="1"/>
  <c r="N124" i="6"/>
  <c r="O124" i="6" s="1"/>
  <c r="W148" i="6"/>
  <c r="X148" i="6" s="1"/>
  <c r="R148" i="6"/>
  <c r="AC148" i="6"/>
  <c r="AD148" i="6" s="1"/>
  <c r="H209" i="6"/>
  <c r="I209" i="6" s="1"/>
  <c r="N209" i="6"/>
  <c r="O209" i="6" s="1"/>
  <c r="AC122" i="6"/>
  <c r="AD122" i="6" s="1"/>
  <c r="N172" i="6"/>
  <c r="O172" i="6" s="1"/>
  <c r="C172" i="6"/>
  <c r="C122" i="6"/>
  <c r="R124" i="6"/>
  <c r="Q172" i="6"/>
  <c r="B198" i="6"/>
  <c r="R122" i="6"/>
  <c r="E172" i="6"/>
  <c r="F124" i="6"/>
  <c r="H148" i="6"/>
  <c r="I148" i="6" s="1"/>
  <c r="N148" i="6"/>
  <c r="O148" i="6" s="1"/>
  <c r="W197" i="6"/>
  <c r="X197" i="6" s="1"/>
  <c r="R197" i="6"/>
  <c r="H124" i="6"/>
  <c r="I124" i="6" s="1"/>
  <c r="C148" i="6"/>
  <c r="H197" i="6"/>
  <c r="I197" i="6" s="1"/>
  <c r="C197" i="6"/>
  <c r="AD411" i="5"/>
  <c r="AD427" i="5"/>
  <c r="I438" i="5"/>
  <c r="W124" i="6"/>
  <c r="X124" i="6" s="1"/>
  <c r="L236" i="6"/>
  <c r="K345" i="6"/>
  <c r="L198" i="6"/>
  <c r="W209" i="6"/>
  <c r="X209" i="6" s="1"/>
  <c r="AC209" i="6"/>
  <c r="AD209" i="6" s="1"/>
  <c r="H284" i="6"/>
  <c r="I284" i="6" s="1"/>
  <c r="N284" i="6"/>
  <c r="O284" i="6" s="1"/>
  <c r="AA358" i="6"/>
  <c r="AC170" i="6"/>
  <c r="AD170" i="6" s="1"/>
  <c r="W182" i="6"/>
  <c r="X182" i="6" s="1"/>
  <c r="R182" i="6"/>
  <c r="AC218" i="6"/>
  <c r="AD218" i="6" s="1"/>
  <c r="AA218" i="6"/>
  <c r="H227" i="6"/>
  <c r="I227" i="6" s="1"/>
  <c r="C227" i="6"/>
  <c r="T345" i="6"/>
  <c r="U198" i="6"/>
  <c r="N141" i="6"/>
  <c r="O141" i="6" s="1"/>
  <c r="AC158" i="6"/>
  <c r="AD158" i="6" s="1"/>
  <c r="AC171" i="6"/>
  <c r="AD171" i="6" s="1"/>
  <c r="U172" i="6"/>
  <c r="R284" i="6"/>
  <c r="W284" i="6"/>
  <c r="X284" i="6" s="1"/>
  <c r="H170" i="6"/>
  <c r="I170" i="6" s="1"/>
  <c r="R170" i="6"/>
  <c r="W324" i="6"/>
  <c r="X324" i="6" s="1"/>
  <c r="R324" i="6"/>
  <c r="U368" i="6"/>
  <c r="N171" i="6"/>
  <c r="O171" i="6" s="1"/>
  <c r="N263" i="6"/>
  <c r="O263" i="6" s="1"/>
  <c r="C273" i="6"/>
  <c r="C295" i="6"/>
  <c r="N344" i="6"/>
  <c r="O344" i="6" s="1"/>
  <c r="H441" i="6"/>
  <c r="I441" i="6" s="1"/>
  <c r="N441" i="6"/>
  <c r="O441" i="6" s="1"/>
  <c r="C441" i="6"/>
  <c r="N196" i="6"/>
  <c r="O196" i="6" s="1"/>
  <c r="AC227" i="6"/>
  <c r="AD227" i="6" s="1"/>
  <c r="AC236" i="6"/>
  <c r="AD236" i="6" s="1"/>
  <c r="AC263" i="6"/>
  <c r="AD263" i="6" s="1"/>
  <c r="W358" i="6"/>
  <c r="X358" i="6" s="1"/>
  <c r="R358" i="6"/>
  <c r="N149" i="6"/>
  <c r="O149" i="6" s="1"/>
  <c r="N166" i="6"/>
  <c r="O166" i="6" s="1"/>
  <c r="W218" i="6"/>
  <c r="X218" i="6" s="1"/>
  <c r="R262" i="6"/>
  <c r="N267" i="6"/>
  <c r="O267" i="6" s="1"/>
  <c r="C358" i="6"/>
  <c r="U396" i="6"/>
  <c r="AC196" i="6"/>
  <c r="AD196" i="6" s="1"/>
  <c r="AC267" i="6"/>
  <c r="AD267" i="6" s="1"/>
  <c r="W18" i="7"/>
  <c r="X18" i="7" s="1"/>
  <c r="W62" i="7"/>
  <c r="X62" i="7" s="1"/>
  <c r="H88" i="7"/>
  <c r="I88" i="7" s="1"/>
  <c r="C88" i="7"/>
  <c r="K345" i="7"/>
  <c r="L198" i="7"/>
  <c r="C325" i="6"/>
  <c r="AC325" i="6"/>
  <c r="AD325" i="6" s="1"/>
  <c r="O373" i="6"/>
  <c r="O376" i="6"/>
  <c r="O381" i="6"/>
  <c r="O385" i="6"/>
  <c r="O391" i="6"/>
  <c r="O395" i="6"/>
  <c r="N396" i="6"/>
  <c r="O396" i="6" s="1"/>
  <c r="C428" i="6"/>
  <c r="O429" i="6"/>
  <c r="W429" i="6"/>
  <c r="X429" i="6" s="1"/>
  <c r="O434" i="6"/>
  <c r="R441" i="6"/>
  <c r="R18" i="7"/>
  <c r="R62" i="7"/>
  <c r="F18" i="7"/>
  <c r="F62" i="7"/>
  <c r="U403" i="6"/>
  <c r="F429" i="6"/>
  <c r="U442" i="6"/>
  <c r="AA29" i="7"/>
  <c r="AC40" i="7"/>
  <c r="AD40" i="7" s="1"/>
  <c r="O374" i="6"/>
  <c r="O382" i="6"/>
  <c r="O392" i="6"/>
  <c r="N393" i="6"/>
  <c r="O393" i="6" s="1"/>
  <c r="O409" i="6"/>
  <c r="O412" i="6"/>
  <c r="O417" i="6"/>
  <c r="O425" i="6"/>
  <c r="N428" i="6"/>
  <c r="O428" i="6" s="1"/>
  <c r="AC441" i="6"/>
  <c r="AD441" i="6" s="1"/>
  <c r="H29" i="7"/>
  <c r="I29" i="7" s="1"/>
  <c r="H73" i="7"/>
  <c r="I73" i="7" s="1"/>
  <c r="AC61" i="7"/>
  <c r="AD61" i="7" s="1"/>
  <c r="AC62" i="7"/>
  <c r="AD62" i="7" s="1"/>
  <c r="H148" i="7"/>
  <c r="I148" i="7" s="1"/>
  <c r="AC148" i="7"/>
  <c r="AD148" i="7" s="1"/>
  <c r="N197" i="7"/>
  <c r="O197" i="7" s="1"/>
  <c r="AC197" i="7"/>
  <c r="AD197" i="7" s="1"/>
  <c r="R273" i="7"/>
  <c r="AC273" i="7"/>
  <c r="AD273" i="7" s="1"/>
  <c r="F172" i="7"/>
  <c r="H267" i="7"/>
  <c r="I267" i="7" s="1"/>
  <c r="N267" i="7"/>
  <c r="O267" i="7" s="1"/>
  <c r="N170" i="7"/>
  <c r="O170" i="7" s="1"/>
  <c r="C197" i="7"/>
  <c r="AC209" i="7"/>
  <c r="AD209" i="7" s="1"/>
  <c r="R262" i="7"/>
  <c r="W262" i="7"/>
  <c r="X262" i="7" s="1"/>
  <c r="C284" i="7"/>
  <c r="N284" i="7"/>
  <c r="O284" i="7" s="1"/>
  <c r="AA345" i="7"/>
  <c r="Z404" i="7"/>
  <c r="N182" i="7"/>
  <c r="O182" i="7" s="1"/>
  <c r="N193" i="7"/>
  <c r="O193" i="7" s="1"/>
  <c r="U196" i="7"/>
  <c r="R197" i="7"/>
  <c r="C122" i="7"/>
  <c r="AC122" i="7"/>
  <c r="AD122" i="7" s="1"/>
  <c r="E345" i="7"/>
  <c r="F198" i="7"/>
  <c r="C170" i="7"/>
  <c r="AC170" i="7"/>
  <c r="AD170" i="7" s="1"/>
  <c r="L172" i="7"/>
  <c r="AA172" i="7"/>
  <c r="AA198" i="7"/>
  <c r="H284" i="7"/>
  <c r="I284" i="7" s="1"/>
  <c r="T172" i="7"/>
  <c r="AC141" i="7"/>
  <c r="AD141" i="7" s="1"/>
  <c r="C182" i="7"/>
  <c r="AC182" i="7"/>
  <c r="AD182" i="7" s="1"/>
  <c r="H209" i="7"/>
  <c r="I209" i="7" s="1"/>
  <c r="AC218" i="7"/>
  <c r="AD218" i="7" s="1"/>
  <c r="H227" i="7"/>
  <c r="I227" i="7" s="1"/>
  <c r="R227" i="7"/>
  <c r="AC236" i="7"/>
  <c r="AD236" i="7" s="1"/>
  <c r="W263" i="7"/>
  <c r="X263" i="7" s="1"/>
  <c r="AC263" i="7"/>
  <c r="AD263" i="7" s="1"/>
  <c r="F273" i="7"/>
  <c r="H273" i="7"/>
  <c r="I273" i="7" s="1"/>
  <c r="W171" i="7"/>
  <c r="X171" i="7" s="1"/>
  <c r="C209" i="7"/>
  <c r="R209" i="7"/>
  <c r="C227" i="7"/>
  <c r="AC262" i="7"/>
  <c r="AD262" i="7" s="1"/>
  <c r="R263" i="7"/>
  <c r="R267" i="7"/>
  <c r="R141" i="7"/>
  <c r="N148" i="7"/>
  <c r="O148" i="7" s="1"/>
  <c r="H172" i="7"/>
  <c r="I172" i="7" s="1"/>
  <c r="B198" i="7"/>
  <c r="H263" i="7"/>
  <c r="I263" i="7" s="1"/>
  <c r="N263" i="7"/>
  <c r="O263" i="7" s="1"/>
  <c r="H218" i="7"/>
  <c r="I218" i="7" s="1"/>
  <c r="W284" i="7"/>
  <c r="X284" i="7" s="1"/>
  <c r="R324" i="7"/>
  <c r="W324" i="7"/>
  <c r="X324" i="7" s="1"/>
  <c r="AA295" i="7"/>
  <c r="C324" i="7"/>
  <c r="N295" i="7"/>
  <c r="O295" i="7" s="1"/>
  <c r="Q172" i="7"/>
  <c r="N236" i="7"/>
  <c r="O236" i="7" s="1"/>
  <c r="AC284" i="7"/>
  <c r="AD284" i="7" s="1"/>
  <c r="H295" i="7"/>
  <c r="I295" i="7" s="1"/>
  <c r="N324" i="7"/>
  <c r="O324" i="7" s="1"/>
  <c r="AC324" i="7"/>
  <c r="AD324" i="7" s="1"/>
  <c r="C295" i="7"/>
  <c r="AC342" i="7"/>
  <c r="AD342" i="7" s="1"/>
  <c r="H344" i="7"/>
  <c r="I344" i="7" s="1"/>
  <c r="H343" i="7"/>
  <c r="I343" i="7" s="1"/>
  <c r="U343" i="7"/>
  <c r="N393" i="7"/>
  <c r="O393" i="7" s="1"/>
  <c r="N441" i="7"/>
  <c r="O441" i="7" s="1"/>
  <c r="N368" i="7"/>
  <c r="O368" i="7" s="1"/>
  <c r="AC441" i="7"/>
  <c r="AD441" i="7" s="1"/>
  <c r="N344" i="7"/>
  <c r="O344" i="7" s="1"/>
  <c r="W429" i="7"/>
  <c r="X429" i="7" s="1"/>
  <c r="C393" i="7"/>
  <c r="H403" i="7"/>
  <c r="I403" i="7" s="1"/>
  <c r="W441" i="7"/>
  <c r="X441" i="7" s="1"/>
  <c r="U441" i="7"/>
  <c r="C368" i="7"/>
  <c r="H428" i="7"/>
  <c r="I428" i="7" s="1"/>
  <c r="F428" i="7"/>
  <c r="AC429" i="7"/>
  <c r="AD429" i="7" s="1"/>
  <c r="N262" i="7"/>
  <c r="O262" i="7" s="1"/>
  <c r="N273" i="7"/>
  <c r="O273" i="7" s="1"/>
  <c r="AC343" i="7"/>
  <c r="AD343" i="7" s="1"/>
  <c r="N358" i="7"/>
  <c r="O358" i="7" s="1"/>
  <c r="N325" i="7"/>
  <c r="O325" i="7" s="1"/>
  <c r="AC358" i="7"/>
  <c r="AD358" i="7" s="1"/>
  <c r="N403" i="7"/>
  <c r="O403" i="7" s="1"/>
  <c r="H441" i="7"/>
  <c r="I441" i="7" s="1"/>
  <c r="W342" i="7"/>
  <c r="X342" i="7" s="1"/>
  <c r="W344" i="7"/>
  <c r="X344" i="7" s="1"/>
  <c r="W368" i="7"/>
  <c r="X368" i="7" s="1"/>
  <c r="W393" i="7"/>
  <c r="X393" i="7" s="1"/>
  <c r="W396" i="7"/>
  <c r="X396" i="7" s="1"/>
  <c r="W403" i="7"/>
  <c r="X403" i="7" s="1"/>
  <c r="H429" i="7"/>
  <c r="I429" i="7" s="1"/>
  <c r="W442" i="7"/>
  <c r="X442" i="7" s="1"/>
  <c r="I331" i="7"/>
  <c r="I335" i="7"/>
  <c r="I340" i="7"/>
  <c r="I350" i="7"/>
  <c r="I354" i="7"/>
  <c r="I362" i="7"/>
  <c r="I366" i="7"/>
  <c r="I369" i="7"/>
  <c r="I373" i="7"/>
  <c r="I377" i="7"/>
  <c r="I381" i="7"/>
  <c r="I386" i="7"/>
  <c r="I391" i="7"/>
  <c r="I394" i="7"/>
  <c r="I397" i="7"/>
  <c r="I401" i="7"/>
  <c r="I409" i="7"/>
  <c r="I413" i="7"/>
  <c r="I417" i="7"/>
  <c r="I421" i="7"/>
  <c r="I425" i="7"/>
  <c r="I433" i="7"/>
  <c r="AC368" i="7"/>
  <c r="AD368" i="7" s="1"/>
  <c r="AC393" i="7"/>
  <c r="AD393" i="7" s="1"/>
  <c r="AC396" i="7"/>
  <c r="AD396" i="7" s="1"/>
  <c r="AC403" i="7"/>
  <c r="AD403" i="7" s="1"/>
  <c r="N429" i="7"/>
  <c r="O429" i="7" s="1"/>
  <c r="AC442" i="7"/>
  <c r="AD442" i="7" s="1"/>
  <c r="U172" i="2" l="1"/>
  <c r="T198" i="2"/>
  <c r="Z345" i="1"/>
  <c r="AA198" i="1"/>
  <c r="B198" i="5"/>
  <c r="H172" i="5"/>
  <c r="I172" i="5" s="1"/>
  <c r="C172" i="5"/>
  <c r="N172" i="5"/>
  <c r="O172" i="5" s="1"/>
  <c r="K198" i="5"/>
  <c r="L172" i="5"/>
  <c r="AA345" i="5"/>
  <c r="Z404" i="5"/>
  <c r="R172" i="5"/>
  <c r="Q198" i="5"/>
  <c r="AC172" i="5"/>
  <c r="AD172" i="5" s="1"/>
  <c r="W172" i="5"/>
  <c r="X172" i="5" s="1"/>
  <c r="Z198" i="2"/>
  <c r="AA172" i="2"/>
  <c r="B345" i="2"/>
  <c r="C198" i="2"/>
  <c r="H198" i="2"/>
  <c r="I198" i="2" s="1"/>
  <c r="N198" i="2"/>
  <c r="O198" i="2" s="1"/>
  <c r="L172" i="2"/>
  <c r="K198" i="2"/>
  <c r="E198" i="6"/>
  <c r="F172" i="6"/>
  <c r="H172" i="6"/>
  <c r="I172" i="6" s="1"/>
  <c r="E443" i="3"/>
  <c r="F443" i="3" s="1"/>
  <c r="F404" i="3"/>
  <c r="AC172" i="3"/>
  <c r="AD172" i="3" s="1"/>
  <c r="W172" i="3"/>
  <c r="X172" i="3" s="1"/>
  <c r="Q198" i="3"/>
  <c r="R172" i="3"/>
  <c r="E345" i="1"/>
  <c r="F198" i="1"/>
  <c r="AC172" i="1"/>
  <c r="AD172" i="1" s="1"/>
  <c r="Q198" i="1"/>
  <c r="W172" i="1"/>
  <c r="X172" i="1" s="1"/>
  <c r="R172" i="1"/>
  <c r="K345" i="3"/>
  <c r="L198" i="3"/>
  <c r="E345" i="2"/>
  <c r="F198" i="2"/>
  <c r="Q198" i="2"/>
  <c r="R172" i="2"/>
  <c r="W172" i="2"/>
  <c r="X172" i="2" s="1"/>
  <c r="AC172" i="2"/>
  <c r="AD172" i="2" s="1"/>
  <c r="H198" i="6"/>
  <c r="I198" i="6" s="1"/>
  <c r="B345" i="6"/>
  <c r="C198" i="6"/>
  <c r="N198" i="6"/>
  <c r="O198" i="6" s="1"/>
  <c r="AA172" i="6"/>
  <c r="Z198" i="6"/>
  <c r="F198" i="4"/>
  <c r="E345" i="4"/>
  <c r="Q198" i="7"/>
  <c r="AC172" i="7"/>
  <c r="AD172" i="7" s="1"/>
  <c r="R172" i="7"/>
  <c r="W172" i="7"/>
  <c r="X172" i="7" s="1"/>
  <c r="AA404" i="7"/>
  <c r="Z443" i="7"/>
  <c r="AA443" i="7" s="1"/>
  <c r="K404" i="7"/>
  <c r="L345" i="7"/>
  <c r="T404" i="6"/>
  <c r="U345" i="6"/>
  <c r="Q198" i="6"/>
  <c r="AC172" i="6"/>
  <c r="AD172" i="6" s="1"/>
  <c r="W172" i="6"/>
  <c r="X172" i="6" s="1"/>
  <c r="R172" i="6"/>
  <c r="U172" i="5"/>
  <c r="T198" i="5"/>
  <c r="F345" i="5"/>
  <c r="E404" i="5"/>
  <c r="AA172" i="4"/>
  <c r="Z198" i="4"/>
  <c r="L172" i="4"/>
  <c r="K198" i="4"/>
  <c r="U345" i="3"/>
  <c r="T404" i="3"/>
  <c r="Z443" i="3"/>
  <c r="AA443" i="3" s="1"/>
  <c r="AA404" i="3"/>
  <c r="K345" i="1"/>
  <c r="L198" i="1"/>
  <c r="K404" i="6"/>
  <c r="L345" i="6"/>
  <c r="T198" i="7"/>
  <c r="U172" i="7"/>
  <c r="F345" i="7"/>
  <c r="E404" i="7"/>
  <c r="T345" i="4"/>
  <c r="U198" i="4"/>
  <c r="N172" i="3"/>
  <c r="O172" i="3" s="1"/>
  <c r="B198" i="3"/>
  <c r="H172" i="3"/>
  <c r="I172" i="3" s="1"/>
  <c r="C172" i="3"/>
  <c r="N172" i="1"/>
  <c r="O172" i="1" s="1"/>
  <c r="B198" i="1"/>
  <c r="H172" i="1"/>
  <c r="I172" i="1" s="1"/>
  <c r="C172" i="1"/>
  <c r="T345" i="1"/>
  <c r="U198" i="1"/>
  <c r="B345" i="7"/>
  <c r="N198" i="7"/>
  <c r="O198" i="7" s="1"/>
  <c r="H198" i="7"/>
  <c r="I198" i="7" s="1"/>
  <c r="C198" i="7"/>
  <c r="Q198" i="4"/>
  <c r="W172" i="4"/>
  <c r="X172" i="4" s="1"/>
  <c r="R172" i="4"/>
  <c r="AC172" i="4"/>
  <c r="AD172" i="4" s="1"/>
  <c r="C172" i="4"/>
  <c r="N172" i="4"/>
  <c r="O172" i="4" s="1"/>
  <c r="B198" i="4"/>
  <c r="H172" i="4"/>
  <c r="I172" i="4" s="1"/>
  <c r="C345" i="7" l="1"/>
  <c r="N345" i="7"/>
  <c r="O345" i="7" s="1"/>
  <c r="H345" i="7"/>
  <c r="I345" i="7" s="1"/>
  <c r="B404" i="7"/>
  <c r="T345" i="7"/>
  <c r="U198" i="7"/>
  <c r="T443" i="6"/>
  <c r="U443" i="6" s="1"/>
  <c r="U404" i="6"/>
  <c r="Q345" i="7"/>
  <c r="AC198" i="7"/>
  <c r="AD198" i="7" s="1"/>
  <c r="R198" i="7"/>
  <c r="W198" i="7"/>
  <c r="X198" i="7" s="1"/>
  <c r="L345" i="3"/>
  <c r="K404" i="3"/>
  <c r="W198" i="3"/>
  <c r="X198" i="3" s="1"/>
  <c r="Q345" i="3"/>
  <c r="R198" i="3"/>
  <c r="AC198" i="3"/>
  <c r="AD198" i="3" s="1"/>
  <c r="K345" i="2"/>
  <c r="L198" i="2"/>
  <c r="R198" i="4"/>
  <c r="Q345" i="4"/>
  <c r="AC198" i="4"/>
  <c r="AD198" i="4" s="1"/>
  <c r="W198" i="4"/>
  <c r="X198" i="4" s="1"/>
  <c r="H198" i="4"/>
  <c r="I198" i="4" s="1"/>
  <c r="B345" i="4"/>
  <c r="C198" i="4"/>
  <c r="N198" i="4"/>
  <c r="O198" i="4" s="1"/>
  <c r="U404" i="3"/>
  <c r="T443" i="3"/>
  <c r="U443" i="3" s="1"/>
  <c r="T345" i="5"/>
  <c r="U198" i="5"/>
  <c r="E404" i="4"/>
  <c r="F345" i="4"/>
  <c r="R198" i="5"/>
  <c r="Q345" i="5"/>
  <c r="AC198" i="5"/>
  <c r="AD198" i="5" s="1"/>
  <c r="W198" i="5"/>
  <c r="X198" i="5" s="1"/>
  <c r="B345" i="3"/>
  <c r="N198" i="3"/>
  <c r="O198" i="3" s="1"/>
  <c r="C198" i="3"/>
  <c r="H198" i="3"/>
  <c r="I198" i="3" s="1"/>
  <c r="K345" i="4"/>
  <c r="L198" i="4"/>
  <c r="Z345" i="6"/>
  <c r="AA198" i="6"/>
  <c r="W198" i="1"/>
  <c r="X198" i="1" s="1"/>
  <c r="R198" i="1"/>
  <c r="AC198" i="1"/>
  <c r="AD198" i="1" s="1"/>
  <c r="Q345" i="1"/>
  <c r="B345" i="5"/>
  <c r="N198" i="5"/>
  <c r="O198" i="5" s="1"/>
  <c r="C198" i="5"/>
  <c r="H198" i="5"/>
  <c r="I198" i="5" s="1"/>
  <c r="L404" i="7"/>
  <c r="K443" i="7"/>
  <c r="L443" i="7" s="1"/>
  <c r="T404" i="1"/>
  <c r="U345" i="1"/>
  <c r="K443" i="6"/>
  <c r="L443" i="6" s="1"/>
  <c r="L404" i="6"/>
  <c r="Q345" i="2"/>
  <c r="AC198" i="2"/>
  <c r="AD198" i="2" s="1"/>
  <c r="W198" i="2"/>
  <c r="X198" i="2" s="1"/>
  <c r="R198" i="2"/>
  <c r="AA404" i="5"/>
  <c r="Z443" i="5"/>
  <c r="AA443" i="5" s="1"/>
  <c r="AA198" i="4"/>
  <c r="Z345" i="4"/>
  <c r="H345" i="2"/>
  <c r="I345" i="2" s="1"/>
  <c r="B404" i="2"/>
  <c r="N345" i="2"/>
  <c r="O345" i="2" s="1"/>
  <c r="C345" i="2"/>
  <c r="Z404" i="1"/>
  <c r="AA345" i="1"/>
  <c r="U345" i="4"/>
  <c r="T404" i="4"/>
  <c r="L345" i="1"/>
  <c r="K404" i="1"/>
  <c r="AC198" i="6"/>
  <c r="AD198" i="6" s="1"/>
  <c r="W198" i="6"/>
  <c r="X198" i="6" s="1"/>
  <c r="R198" i="6"/>
  <c r="Q345" i="6"/>
  <c r="F345" i="2"/>
  <c r="E404" i="2"/>
  <c r="F345" i="1"/>
  <c r="E404" i="1"/>
  <c r="T345" i="2"/>
  <c r="U198" i="2"/>
  <c r="N198" i="1"/>
  <c r="O198" i="1" s="1"/>
  <c r="C198" i="1"/>
  <c r="B345" i="1"/>
  <c r="H198" i="1"/>
  <c r="I198" i="1" s="1"/>
  <c r="F404" i="7"/>
  <c r="E443" i="7"/>
  <c r="F443" i="7" s="1"/>
  <c r="E443" i="5"/>
  <c r="F443" i="5" s="1"/>
  <c r="F404" i="5"/>
  <c r="B404" i="6"/>
  <c r="N345" i="6"/>
  <c r="O345" i="6" s="1"/>
  <c r="C345" i="6"/>
  <c r="E345" i="6"/>
  <c r="F198" i="6"/>
  <c r="AA198" i="2"/>
  <c r="Z345" i="2"/>
  <c r="K345" i="5"/>
  <c r="L198" i="5"/>
  <c r="AC345" i="3" l="1"/>
  <c r="AD345" i="3" s="1"/>
  <c r="W345" i="3"/>
  <c r="X345" i="3" s="1"/>
  <c r="R345" i="3"/>
  <c r="Q404" i="3"/>
  <c r="H345" i="3"/>
  <c r="I345" i="3" s="1"/>
  <c r="B404" i="3"/>
  <c r="C345" i="3"/>
  <c r="N345" i="3"/>
  <c r="O345" i="3" s="1"/>
  <c r="U345" i="5"/>
  <c r="T404" i="5"/>
  <c r="Q404" i="4"/>
  <c r="R345" i="4"/>
  <c r="W345" i="4"/>
  <c r="X345" i="4" s="1"/>
  <c r="AC345" i="4"/>
  <c r="AD345" i="4" s="1"/>
  <c r="L404" i="3"/>
  <c r="K443" i="3"/>
  <c r="L443" i="3" s="1"/>
  <c r="T404" i="2"/>
  <c r="U345" i="2"/>
  <c r="E404" i="6"/>
  <c r="F345" i="6"/>
  <c r="R345" i="2"/>
  <c r="Q404" i="2"/>
  <c r="AC345" i="2"/>
  <c r="AD345" i="2" s="1"/>
  <c r="W345" i="2"/>
  <c r="X345" i="2" s="1"/>
  <c r="Z404" i="6"/>
  <c r="AA345" i="6"/>
  <c r="T404" i="7"/>
  <c r="U345" i="7"/>
  <c r="F404" i="1"/>
  <c r="E443" i="1"/>
  <c r="F443" i="1" s="1"/>
  <c r="H404" i="2"/>
  <c r="I404" i="2" s="1"/>
  <c r="B443" i="2"/>
  <c r="C404" i="2"/>
  <c r="Q404" i="5"/>
  <c r="R345" i="5"/>
  <c r="AC345" i="5"/>
  <c r="AD345" i="5" s="1"/>
  <c r="W345" i="5"/>
  <c r="X345" i="5" s="1"/>
  <c r="C404" i="7"/>
  <c r="B443" i="7"/>
  <c r="N404" i="7"/>
  <c r="O404" i="7" s="1"/>
  <c r="H404" i="7"/>
  <c r="I404" i="7" s="1"/>
  <c r="L404" i="1"/>
  <c r="K443" i="1"/>
  <c r="L443" i="1" s="1"/>
  <c r="F404" i="2"/>
  <c r="E443" i="2"/>
  <c r="F443" i="2" s="1"/>
  <c r="B404" i="1"/>
  <c r="H345" i="1"/>
  <c r="I345" i="1" s="1"/>
  <c r="N345" i="1"/>
  <c r="O345" i="1" s="1"/>
  <c r="C345" i="1"/>
  <c r="K404" i="4"/>
  <c r="L345" i="4"/>
  <c r="L345" i="2"/>
  <c r="K404" i="2"/>
  <c r="Z404" i="4"/>
  <c r="AA345" i="4"/>
  <c r="R345" i="1"/>
  <c r="W345" i="1"/>
  <c r="X345" i="1" s="1"/>
  <c r="AC345" i="1"/>
  <c r="AD345" i="1" s="1"/>
  <c r="Q404" i="1"/>
  <c r="H345" i="4"/>
  <c r="I345" i="4" s="1"/>
  <c r="C345" i="4"/>
  <c r="N345" i="4"/>
  <c r="O345" i="4" s="1"/>
  <c r="B404" i="4"/>
  <c r="AA345" i="2"/>
  <c r="Z404" i="2"/>
  <c r="U404" i="4"/>
  <c r="T443" i="4"/>
  <c r="U443" i="4" s="1"/>
  <c r="C345" i="5"/>
  <c r="N345" i="5"/>
  <c r="O345" i="5" s="1"/>
  <c r="B404" i="5"/>
  <c r="H345" i="5"/>
  <c r="I345" i="5" s="1"/>
  <c r="N404" i="6"/>
  <c r="O404" i="6" s="1"/>
  <c r="C404" i="6"/>
  <c r="B443" i="6"/>
  <c r="W345" i="6"/>
  <c r="X345" i="6" s="1"/>
  <c r="Q404" i="6"/>
  <c r="AC345" i="6"/>
  <c r="AD345" i="6" s="1"/>
  <c r="R345" i="6"/>
  <c r="K404" i="5"/>
  <c r="L345" i="5"/>
  <c r="H345" i="6"/>
  <c r="I345" i="6" s="1"/>
  <c r="Z443" i="1"/>
  <c r="AA443" i="1" s="1"/>
  <c r="AA404" i="1"/>
  <c r="T443" i="1"/>
  <c r="U443" i="1" s="1"/>
  <c r="U404" i="1"/>
  <c r="E443" i="4"/>
  <c r="F443" i="4" s="1"/>
  <c r="F404" i="4"/>
  <c r="W345" i="7"/>
  <c r="X345" i="7" s="1"/>
  <c r="R345" i="7"/>
  <c r="Q404" i="7"/>
  <c r="AC345" i="7"/>
  <c r="AD345" i="7" s="1"/>
  <c r="C404" i="5" l="1"/>
  <c r="B443" i="5"/>
  <c r="N404" i="5"/>
  <c r="O404" i="5" s="1"/>
  <c r="H404" i="5"/>
  <c r="I404" i="5" s="1"/>
  <c r="K443" i="2"/>
  <c r="L443" i="2" s="1"/>
  <c r="L404" i="2"/>
  <c r="C404" i="4"/>
  <c r="H404" i="4"/>
  <c r="I404" i="4" s="1"/>
  <c r="B443" i="4"/>
  <c r="N404" i="4"/>
  <c r="O404" i="4" s="1"/>
  <c r="C443" i="7"/>
  <c r="N443" i="7"/>
  <c r="O443" i="7" s="1"/>
  <c r="H443" i="7"/>
  <c r="I443" i="7" s="1"/>
  <c r="N404" i="2"/>
  <c r="O404" i="2" s="1"/>
  <c r="AA404" i="4"/>
  <c r="Z443" i="4"/>
  <c r="AA443" i="4" s="1"/>
  <c r="H404" i="3"/>
  <c r="I404" i="3" s="1"/>
  <c r="C404" i="3"/>
  <c r="N404" i="3"/>
  <c r="O404" i="3" s="1"/>
  <c r="B443" i="3"/>
  <c r="H443" i="6"/>
  <c r="I443" i="6" s="1"/>
  <c r="N443" i="6"/>
  <c r="O443" i="6" s="1"/>
  <c r="C443" i="6"/>
  <c r="W404" i="3"/>
  <c r="X404" i="3" s="1"/>
  <c r="R404" i="3"/>
  <c r="AC404" i="3"/>
  <c r="AD404" i="3" s="1"/>
  <c r="Q443" i="3"/>
  <c r="R404" i="2"/>
  <c r="W404" i="2"/>
  <c r="X404" i="2" s="1"/>
  <c r="AC404" i="2"/>
  <c r="AD404" i="2" s="1"/>
  <c r="Q443" i="2"/>
  <c r="Q443" i="4"/>
  <c r="AC404" i="4"/>
  <c r="AD404" i="4" s="1"/>
  <c r="W404" i="4"/>
  <c r="X404" i="4" s="1"/>
  <c r="R404" i="4"/>
  <c r="B443" i="1"/>
  <c r="N404" i="1"/>
  <c r="O404" i="1" s="1"/>
  <c r="C404" i="1"/>
  <c r="H404" i="1"/>
  <c r="I404" i="1" s="1"/>
  <c r="W404" i="7"/>
  <c r="X404" i="7" s="1"/>
  <c r="R404" i="7"/>
  <c r="Q443" i="7"/>
  <c r="AC404" i="7"/>
  <c r="AD404" i="7" s="1"/>
  <c r="R404" i="1"/>
  <c r="AC404" i="1"/>
  <c r="AD404" i="1" s="1"/>
  <c r="W404" i="1"/>
  <c r="X404" i="1" s="1"/>
  <c r="Q443" i="1"/>
  <c r="K443" i="4"/>
  <c r="L443" i="4" s="1"/>
  <c r="L404" i="4"/>
  <c r="AC404" i="5"/>
  <c r="AD404" i="5" s="1"/>
  <c r="Q443" i="5"/>
  <c r="R404" i="5"/>
  <c r="W404" i="5"/>
  <c r="X404" i="5" s="1"/>
  <c r="F404" i="6"/>
  <c r="E443" i="6"/>
  <c r="F443" i="6" s="1"/>
  <c r="U404" i="5"/>
  <c r="T443" i="5"/>
  <c r="U443" i="5" s="1"/>
  <c r="W404" i="6"/>
  <c r="X404" i="6" s="1"/>
  <c r="AC404" i="6"/>
  <c r="AD404" i="6" s="1"/>
  <c r="R404" i="6"/>
  <c r="Q443" i="6"/>
  <c r="U404" i="7"/>
  <c r="T443" i="7"/>
  <c r="U443" i="7" s="1"/>
  <c r="Z443" i="2"/>
  <c r="AA443" i="2" s="1"/>
  <c r="AA404" i="2"/>
  <c r="L404" i="5"/>
  <c r="K443" i="5"/>
  <c r="L443" i="5" s="1"/>
  <c r="H404" i="6"/>
  <c r="I404" i="6" s="1"/>
  <c r="H443" i="2"/>
  <c r="I443" i="2" s="1"/>
  <c r="N443" i="2"/>
  <c r="O443" i="2" s="1"/>
  <c r="C443" i="2"/>
  <c r="AA404" i="6"/>
  <c r="Z443" i="6"/>
  <c r="AA443" i="6" s="1"/>
  <c r="T443" i="2"/>
  <c r="U443" i="2" s="1"/>
  <c r="U404" i="2"/>
  <c r="AC443" i="4" l="1"/>
  <c r="AD443" i="4" s="1"/>
  <c r="W443" i="4"/>
  <c r="X443" i="4" s="1"/>
  <c r="R443" i="4"/>
  <c r="W443" i="6"/>
  <c r="X443" i="6" s="1"/>
  <c r="AC443" i="6"/>
  <c r="AD443" i="6" s="1"/>
  <c r="R443" i="6"/>
  <c r="R443" i="2"/>
  <c r="W443" i="2"/>
  <c r="X443" i="2" s="1"/>
  <c r="AC443" i="2"/>
  <c r="AD443" i="2" s="1"/>
  <c r="H443" i="3"/>
  <c r="I443" i="3" s="1"/>
  <c r="N443" i="3"/>
  <c r="O443" i="3" s="1"/>
  <c r="C443" i="3"/>
  <c r="R443" i="1"/>
  <c r="W443" i="1"/>
  <c r="X443" i="1" s="1"/>
  <c r="AC443" i="1"/>
  <c r="AD443" i="1" s="1"/>
  <c r="N443" i="1"/>
  <c r="O443" i="1" s="1"/>
  <c r="H443" i="1"/>
  <c r="I443" i="1" s="1"/>
  <c r="C443" i="1"/>
  <c r="C443" i="5"/>
  <c r="N443" i="5"/>
  <c r="O443" i="5" s="1"/>
  <c r="H443" i="5"/>
  <c r="I443" i="5" s="1"/>
  <c r="AC443" i="5"/>
  <c r="AD443" i="5" s="1"/>
  <c r="W443" i="5"/>
  <c r="X443" i="5" s="1"/>
  <c r="R443" i="5"/>
  <c r="AC443" i="3"/>
  <c r="AD443" i="3" s="1"/>
  <c r="W443" i="3"/>
  <c r="X443" i="3" s="1"/>
  <c r="R443" i="3"/>
  <c r="W443" i="7"/>
  <c r="X443" i="7" s="1"/>
  <c r="R443" i="7"/>
  <c r="AC443" i="7"/>
  <c r="AD443" i="7" s="1"/>
  <c r="C443" i="4"/>
  <c r="N443" i="4"/>
  <c r="O443" i="4" s="1"/>
  <c r="H443" i="4"/>
  <c r="I443" i="4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<sst xmlns="http://schemas.openxmlformats.org/spreadsheetml/2006/main" count="3934" uniqueCount="417">
  <si>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</si>
  <si>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12/28/2025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</si>
  <si>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</si>
  <si>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</si>
  <si>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</si>
  <si>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</si>
  <si>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</si>
  <si>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</si>
  <si>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</si>
  <si>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</si>
  <si>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</si>
  <si>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</si>
  <si>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</si>
  <si>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</si>
  <si>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</si>
  <si>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</si>
  <si>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</si>
  <si>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</si>
  <si>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</si>
  <si>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</si>
  <si>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</si>
  <si>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</si>
  <si>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</si>
  <si>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</si>
  <si>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</si>
  <si>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</si>
  <si>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</si>
  <si>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</si>
  <si>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</si>
  <si>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</si>
  <si>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</si>
  <si>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</si>
  <si>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</si>
  <si>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</si>
  <si>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</si>
  <si>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</si>
  <si>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</si>
  <si>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</si>
  <si>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</si>
  <si>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</si>
  <si>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</si>
  <si>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</si>
  <si>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</si>
  <si>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</si>
  <si>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</si>
  <si>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</si>
  <si>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</si>
  <si>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</si>
  <si>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</si>
  <si>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</si>
  <si>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</si>
  <si>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</si>
  <si>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</si>
  <si>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</si>
  <si>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</si>
  <si>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</si>
  <si>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</si>
  <si>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</si>
  <si>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</si>
  <si>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</si>
  <si>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</si>
  <si>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</si>
  <si>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</si>
  <si>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</si>
  <si>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</si>
  <si>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</si>
  <si>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</si>
  <si>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</si>
  <si>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</si>
  <si>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</si>
  <si>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</si>
  <si>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</si>
  <si>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</si>
  <si>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</si>
  <si>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</si>
  <si>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</si>
  <si>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</si>
  <si>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</si>
  <si>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</si>
  <si>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</si>
  <si>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</si>
  <si>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</si>
  <si>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</si>
  <si>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</si>
  <si>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</si>
  <si>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</si>
  <si>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</si>
  <si>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</si>
  <si>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</si>
  <si>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</si>
  <si>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</si>
  <si>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</si>
  <si>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</si>
  <si>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</si>
  <si>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</si>
  <si>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</si>
  <si>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</si>
  <si>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</si>
  <si>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</si>
  <si>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</si>
  <si>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</si>
  <si>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</si>
  <si>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</si>
  <si>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</si>
  <si>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</si>
  <si>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</si>
  <si>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</si>
  <si>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</si>
  <si>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</si>
  <si>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</si>
  <si>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</si>
  <si>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</si>
  <si>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</si>
  <si>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</si>
  <si>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</si>
  <si>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</si>
  <si>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</si>
  <si>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</si>
  <si>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</si>
  <si>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</si>
  <si>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</si>
  <si>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</si>
  <si>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</si>
  <si>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</si>
  <si>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</si>
  <si>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</si>
  <si>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</si>
  <si>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</si>
  <si>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</si>
  <si>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</si>
  <si>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</si>
  <si>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</si>
  <si>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</si>
  <si>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</si>
  <si>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</si>
  <si>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</si>
  <si>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</si>
  <si>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</si>
  <si>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</si>
  <si>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</si>
  <si>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</si>
  <si>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</si>
  <si>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</si>
  <si>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</si>
  <si>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</si>
  <si>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</si>
  <si>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</si>
  <si>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</si>
  <si>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</si>
  <si>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</si>
  <si>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</si>
  <si>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</si>
  <si>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</si>
  <si>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</si>
  <si>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</si>
  <si>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</si>
  <si>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</si>
  <si>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</si>
  <si>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</si>
  <si>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</si>
  <si>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</si>
  <si>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</si>
  <si>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</si>
  <si>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</si>
  <si>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</si>
  <si>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</si>
  <si>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</si>
  <si>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</si>
  <si>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</si>
  <si>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</si>
  <si>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</si>
  <si>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</si>
  <si>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</si>
  <si>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</si>
  <si>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</si>
  <si>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</si>
  <si>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</si>
  <si>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</si>
  <si>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</si>
  <si>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</si>
  <si>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</si>
  <si>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</si>
  <si>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</si>
  <si>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</si>
  <si>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</si>
  <si>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</si>
  <si>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</si>
  <si>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</si>
  <si>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</si>
  <si>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</si>
  <si>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</si>
  <si>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</si>
  <si>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</si>
  <si>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</si>
  <si>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</si>
  <si>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</si>
  <si>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</si>
  <si>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</si>
  <si>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</si>
  <si>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</si>
  <si>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</si>
  <si>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</si>
  <si>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</si>
  <si>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</si>
  <si>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</si>
  <si>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</si>
  <si>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</si>
  <si>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</si>
  <si>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</si>
  <si>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</si>
  <si>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</si>
  <si>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</si>
  <si>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</si>
  <si>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</si>
  <si>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</si>
  <si>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</si>
  <si>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</si>
  <si>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</si>
  <si>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</si>
  <si>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</si>
  <si>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</si>
  <si>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</si>
  <si>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</si>
  <si>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</si>
  <si>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</si>
  <si>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</si>
  <si>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</si>
  <si>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</si>
  <si>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</si>
  <si>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</si>
  <si>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</si>
  <si>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</si>
  <si>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</si>
  <si>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</si>
  <si>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</si>
  <si>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</si>
  <si>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</si>
  <si>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</si>
  <si>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</si>
  <si>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</si>
  <si>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</si>
  <si>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</si>
  <si>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</si>
  <si>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</si>
  <si>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</si>
  <si>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</si>
  <si>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</si>
  <si>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</si>
  <si>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</si>
  <si>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</si>
  <si>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</si>
  <si>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</si>
  <si>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</si>
  <si>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</si>
  <si>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</si>
  <si>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</si>
  <si>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</si>
  <si>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</si>
  <si>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</si>
  <si>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</si>
  <si>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</si>
  <si>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</si>
  <si>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</si>
  <si>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</si>
  <si>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</si>
  <si>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</si>
  <si>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</si>
  <si>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</si>
  <si>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</si>
  <si>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</si>
  <si>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</si>
  <si>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</si>
  <si>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</si>
  <si>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</si>
  <si>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</si>
  <si>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</si>
  <si>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</si>
  <si>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</si>
  <si>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</si>
  <si>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</si>
  <si>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</si>
  <si>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</si>
  <si>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</si>
  <si>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</si>
  <si>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</si>
  <si>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</si>
  <si>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</si>
  <si>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</si>
  <si>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</si>
  <si>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</si>
  <si>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</si>
  <si>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</si>
  <si>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</si>
  <si>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</si>
  <si>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</si>
  <si>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</si>
  <si>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</si>
  <si>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</si>
  <si>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</si>
  <si>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</si>
  <si>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</si>
  <si>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</si>
  <si>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</si>
  <si>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</si>
  <si>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</si>
  <si>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</si>
  <si>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</si>
  <si>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</si>
  <si>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</si>
  <si>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</si>
  <si>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</si>
  <si>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</si>
  <si>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</si>
  <si>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</si>
  <si>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</si>
  <si>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</si>
  <si>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</si>
  <si>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</si>
  <si>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</si>
  <si>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</si>
  <si>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</si>
  <si>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</si>
  <si>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</si>
  <si>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</si>
  <si>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</si>
  <si>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</si>
  <si>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</si>
  <si>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</si>
  <si>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</si>
  <si>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</si>
  <si>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</si>
  <si>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</si>
  <si>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</si>
  <si>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</si>
  <si>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</si>
  <si>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</si>
  <si>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</si>
  <si>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</si>
  <si>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</si>
  <si>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</si>
  <si>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</si>
  <si>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</si>
  <si>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</si>
  <si>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</si>
  <si>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</si>
  <si>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</si>
  <si>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</si>
  <si>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</si>
  <si>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</si>
  <si>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</si>
  <si>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</si>
  <si>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</si>
  <si>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</si>
  <si>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</si>
  <si>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</si>
  <si>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</si>
  <si>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</si>
  <si>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</si>
  <si>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</si>
  <si>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</si>
  <si>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</si>
  <si>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</si>
  <si>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</si>
  <si>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</si>
  <si>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</si>
  <si>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</si>
  <si>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</si>
  <si>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</si>
  <si>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</si>
  <si>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</si>
  <si>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</si>
  <si>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</si>
  <si>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</si>
  <si>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</si>
  <si>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</si>
  <si>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</si>
  <si>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</si>
  <si>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</si>
  <si>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</si>
  <si>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</si>
  <si>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</si>
  <si>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</si>
  <si>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</si>
  <si>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</si>
  <si>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</si>
  <si>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</si>
  <si>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</si>
  <si>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</si>
  <si>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</si>
  <si>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</si>
  <si>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</si>
  <si>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</si>
  <si>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</si>
  <si>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</si>
  <si>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</si>
  <si>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</si>
  <si>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</si>
  <si>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</si>
  <si>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</si>
  <si>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</si>
  <si>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</si>
  <si>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</si>
  <si>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</si>
  <si>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</si>
  <si>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</si>
  <si>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</si>
  <si>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</si>
  <si>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</si>
  <si>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</si>
  <si>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</si>
  <si>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07:03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</si>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</sst>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266163.06</v>
      </c>
      <c r="F10" s="8">
        <f>IFERROR(E10/E444, "NA")</f>
        <v>0.45374927766369683</v>
      </c>
      <c r="G10" s="9"/>
      <c r="H10" s="10">
        <f t="shared" ref="H10:H19" si="0">IFERROR(B10-E10, "NA")</f>
        <v>-266163.06</v>
      </c>
      <c r="I10" s="8">
        <f>IFERROR(H10/H444, "NA")</f>
        <v>4.7588892905839302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3441249.9699999997</v>
      </c>
      <c r="U10" s="8">
        <f>IFERROR(T10/T444, "NA")</f>
        <v>0.45544472945722564</v>
      </c>
      <c r="V10" s="9"/>
      <c r="W10" s="10">
        <f t="shared" ref="W10:W19" si="2">IFERROR(Q10-T10, "NA")</f>
        <v>-3441249.9699999997</v>
      </c>
      <c r="X10" s="8">
        <f>IFERROR(W10/W444, "NA")</f>
        <v>8.9580082928835765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203092.53000000003</v>
      </c>
      <c r="C11" s="8">
        <f>IFERROR(B11/B444, "NA")</f>
        <v>0.38271936463308953</v>
      </c>
      <c r="D11" s="9"/>
      <c r="E11" s="7">
        <v>0</v>
      </c>
      <c r="F11" s="8">
        <f>IFERROR(E11/E444, "NA")</f>
        <v>0</v>
      </c>
      <c r="G11" s="9"/>
      <c r="H11" s="10">
        <f t="shared" si="0"/>
        <v>203092.53000000003</v>
      </c>
      <c r="I11" s="8">
        <f>IFERROR(H11/H444, "NA")</f>
        <v>-3.6312133848122863</v>
      </c>
      <c r="J11" s="9"/>
      <c r="K11" s="7">
        <v>228883.51</v>
      </c>
      <c r="L11" s="8">
        <f>IFERROR(K11/K444, "NA")</f>
        <v>0.4310571661778238</v>
      </c>
      <c r="M11" s="9"/>
      <c r="N11" s="10">
        <f t="shared" si="1"/>
        <v>-25790.979999999981</v>
      </c>
      <c r="O11" s="8">
        <f>IFERROR(N11/N444, "NA")</f>
        <v>79.290989024498117</v>
      </c>
      <c r="P11" s="9"/>
      <c r="Q11" s="7">
        <v>2871034.0999999996</v>
      </c>
      <c r="R11" s="8">
        <f>IFERROR(Q11/Q444, "NA")</f>
        <v>0.40033114954750498</v>
      </c>
      <c r="S11" s="9"/>
      <c r="T11" s="7">
        <v>0</v>
      </c>
      <c r="U11" s="8">
        <f>IFERROR(T11/T444, "NA")</f>
        <v>0</v>
      </c>
      <c r="V11" s="9"/>
      <c r="W11" s="10">
        <f t="shared" si="2"/>
        <v>2871034.0999999996</v>
      </c>
      <c r="X11" s="8">
        <f>IFERROR(W11/W444, "NA")</f>
        <v>-7.4736643664835345</v>
      </c>
      <c r="Y11" s="9"/>
      <c r="Z11" s="7">
        <v>2866522.34</v>
      </c>
      <c r="AA11" s="8">
        <f>IFERROR(Z11/Z444, "NA")</f>
        <v>0.42564645024132652</v>
      </c>
      <c r="AB11" s="9"/>
      <c r="AC11" s="10">
        <f t="shared" si="3"/>
        <v>4511.7599999997765</v>
      </c>
      <c r="AD11" s="8">
        <f>IFERROR(AC11/AC444, "NA")</f>
        <v>1.0321248091942551E-2</v>
      </c>
    </row>
    <row r="12" spans="1:30" ht="16.5" customHeight="1" x14ac:dyDescent="0.45">
      <c r="A12" s="12" t="s">
        <v>14</v>
      </c>
      <c r="B12" s="7">
        <v>18751.849999999999</v>
      </c>
      <c r="C12" s="8">
        <f>IFERROR(B12/B444, "NA")</f>
        <v>3.5337075754066381E-2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18751.849999999999</v>
      </c>
      <c r="I12" s="8">
        <f>IFERROR(H12/H444, "NA")</f>
        <v>-0.33527559438051341</v>
      </c>
      <c r="J12" s="9"/>
      <c r="K12" s="7">
        <v>23064.25</v>
      </c>
      <c r="L12" s="8">
        <f>IFERROR(K12/K444, "NA")</f>
        <v>4.3436987859094223E-2</v>
      </c>
      <c r="M12" s="9"/>
      <c r="N12" s="10">
        <f t="shared" si="1"/>
        <v>-4312.4000000000015</v>
      </c>
      <c r="O12" s="8">
        <f>IFERROR(N12/N444, "NA")</f>
        <v>13.257908814215128</v>
      </c>
      <c r="P12" s="9"/>
      <c r="Q12" s="7">
        <v>299176.38999999996</v>
      </c>
      <c r="R12" s="8">
        <f>IFERROR(Q12/Q444, "NA")</f>
        <v>4.1716546705653085E-2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299176.38999999996</v>
      </c>
      <c r="X12" s="8">
        <f>IFERROR(W12/W444, "NA")</f>
        <v>-0.77879392837451178</v>
      </c>
      <c r="Y12" s="9"/>
      <c r="Z12" s="7">
        <v>289465.84999999998</v>
      </c>
      <c r="AA12" s="8">
        <f>IFERROR(Z12/Z444, "NA")</f>
        <v>4.2982435475660129E-2</v>
      </c>
      <c r="AB12" s="9"/>
      <c r="AC12" s="10">
        <f t="shared" si="3"/>
        <v>9710.539999999979</v>
      </c>
      <c r="AD12" s="8">
        <f>IFERROR(AC12/AC444, "NA")</f>
        <v>2.2214145354969361E-2</v>
      </c>
    </row>
    <row r="13" spans="1:30" ht="16.5" customHeight="1" x14ac:dyDescent="0.45">
      <c r="A13" s="12" t="s">
        <v>15</v>
      </c>
      <c r="B13" s="7">
        <v>599.5</v>
      </c>
      <c r="C13" s="8">
        <f>IFERROR(B13/B444, "NA")</f>
        <v>1.1297326351566803E-3</v>
      </c>
      <c r="D13" s="9"/>
      <c r="E13" s="7">
        <v>0</v>
      </c>
      <c r="F13" s="8">
        <f>IFERROR(E13/E444, "NA")</f>
        <v>0</v>
      </c>
      <c r="G13" s="9"/>
      <c r="H13" s="10">
        <f t="shared" si="0"/>
        <v>599.5</v>
      </c>
      <c r="I13" s="8">
        <f>IFERROR(H13/H444, "NA")</f>
        <v>-1.0718820747345878E-2</v>
      </c>
      <c r="J13" s="9"/>
      <c r="K13" s="7">
        <v>727.5</v>
      </c>
      <c r="L13" s="8">
        <f>IFERROR(K13/K444, "NA")</f>
        <v>1.3701034574066379E-3</v>
      </c>
      <c r="M13" s="9"/>
      <c r="N13" s="10">
        <f t="shared" si="1"/>
        <v>-128</v>
      </c>
      <c r="O13" s="8">
        <f>IFERROR(N13/N444, "NA")</f>
        <v>0.3935192301779834</v>
      </c>
      <c r="P13" s="9"/>
      <c r="Q13" s="7">
        <v>13057.5</v>
      </c>
      <c r="R13" s="8">
        <f>IFERROR(Q13/Q444, "NA")</f>
        <v>1.8207112152435064E-3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13057.5</v>
      </c>
      <c r="X13" s="8">
        <f>IFERROR(W13/W444, "NA")</f>
        <v>-3.3990321628488765E-2</v>
      </c>
      <c r="Y13" s="9"/>
      <c r="Z13" s="7">
        <v>11645.26</v>
      </c>
      <c r="AA13" s="8">
        <f>IFERROR(Z13/Z444, "NA")</f>
        <v>1.729190633531679E-3</v>
      </c>
      <c r="AB13" s="9"/>
      <c r="AC13" s="10">
        <f t="shared" si="3"/>
        <v>1412.2399999999998</v>
      </c>
      <c r="AD13" s="8">
        <f>IFERROR(AC13/AC444, "NA")</f>
        <v>3.2306858976021923E-3</v>
      </c>
    </row>
    <row r="14" spans="1:30" ht="16.5" customHeight="1" x14ac:dyDescent="0.45">
      <c r="A14" s="12" t="s">
        <v>16</v>
      </c>
      <c r="B14" s="7">
        <v>135</v>
      </c>
      <c r="C14" s="8">
        <f>IFERROR(B14/B444, "NA")</f>
        <v>2.5440184444729249E-4</v>
      </c>
      <c r="D14" s="9"/>
      <c r="E14" s="7">
        <v>0</v>
      </c>
      <c r="F14" s="8">
        <f>IFERROR(E14/E444, "NA")</f>
        <v>0</v>
      </c>
      <c r="G14" s="9"/>
      <c r="H14" s="10">
        <f t="shared" si="0"/>
        <v>135</v>
      </c>
      <c r="I14" s="8">
        <f>IFERROR(H14/H444, "NA")</f>
        <v>-2.4137461232555356E-3</v>
      </c>
      <c r="J14" s="9"/>
      <c r="K14" s="7">
        <v>1777</v>
      </c>
      <c r="L14" s="8">
        <f>IFERROR(K14/K444, "NA")</f>
        <v>3.3466307131430869E-3</v>
      </c>
      <c r="M14" s="9"/>
      <c r="N14" s="10">
        <f t="shared" si="1"/>
        <v>-1642</v>
      </c>
      <c r="O14" s="8">
        <f>IFERROR(N14/N444, "NA")</f>
        <v>5.0481138746269441</v>
      </c>
      <c r="P14" s="9"/>
      <c r="Q14" s="7">
        <v>14075</v>
      </c>
      <c r="R14" s="8">
        <f>IFERROR(Q14/Q444, "NA")</f>
        <v>1.9625893436379365E-3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14075</v>
      </c>
      <c r="X14" s="8">
        <f>IFERROR(W14/W444, "NA")</f>
        <v>-3.6639002636107934E-2</v>
      </c>
      <c r="Y14" s="9"/>
      <c r="Z14" s="7">
        <v>32303.989999999998</v>
      </c>
      <c r="AA14" s="8">
        <f>IFERROR(Z14/Z444, "NA")</f>
        <v>4.7967805728426002E-3</v>
      </c>
      <c r="AB14" s="9"/>
      <c r="AC14" s="10">
        <f t="shared" si="3"/>
        <v>-18228.989999999998</v>
      </c>
      <c r="AD14" s="8">
        <f>IFERROR(AC14/AC444, "NA")</f>
        <v>-4.1701227072262072E-2</v>
      </c>
    </row>
    <row r="15" spans="1:30" ht="16.5" customHeight="1" x14ac:dyDescent="0.45">
      <c r="A15" s="12" t="s">
        <v>17</v>
      </c>
      <c r="B15" s="7">
        <v>127</v>
      </c>
      <c r="C15" s="8">
        <f>IFERROR(B15/B444, "NA")</f>
        <v>2.3932617959115664E-4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127</v>
      </c>
      <c r="I15" s="8">
        <f>IFERROR(H15/H444, "NA")</f>
        <v>-2.2707093159515038E-3</v>
      </c>
      <c r="J15" s="9"/>
      <c r="K15" s="7">
        <v>231.5</v>
      </c>
      <c r="L15" s="8">
        <f>IFERROR(K15/K444, "NA")</f>
        <v>4.3598481153214665E-4</v>
      </c>
      <c r="M15" s="9"/>
      <c r="N15" s="10">
        <f t="shared" si="1"/>
        <v>-104.5</v>
      </c>
      <c r="O15" s="8">
        <f>IFERROR(N15/N444, "NA")</f>
        <v>0.32127155901249427</v>
      </c>
      <c r="P15" s="9"/>
      <c r="Q15" s="7">
        <v>3002</v>
      </c>
      <c r="R15" s="8">
        <f>IFERROR(Q15/Q444, "NA")</f>
        <v>4.1859276800007707E-4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3002</v>
      </c>
      <c r="X15" s="8">
        <f>IFERROR(W15/W444, "NA")</f>
        <v>-7.8145851448380831E-3</v>
      </c>
      <c r="Y15" s="9"/>
      <c r="Z15" s="7">
        <v>3733</v>
      </c>
      <c r="AA15" s="8">
        <f>IFERROR(Z15/Z444, "NA")</f>
        <v>5.5430867451424501E-4</v>
      </c>
      <c r="AB15" s="9"/>
      <c r="AC15" s="10">
        <f t="shared" si="3"/>
        <v>-731</v>
      </c>
      <c r="AD15" s="8">
        <f>IFERROR(AC15/AC444, "NA")</f>
        <v>-1.6722592414513135E-3</v>
      </c>
    </row>
    <row r="16" spans="1:30" ht="16.5" customHeight="1" x14ac:dyDescent="0.45">
      <c r="A16" s="12" t="s">
        <v>18</v>
      </c>
      <c r="B16" s="7">
        <v>84.63</v>
      </c>
      <c r="C16" s="8">
        <f>IFERROR(B16/B444, "NA")</f>
        <v>1.5948168959684713E-4</v>
      </c>
      <c r="D16" s="9"/>
      <c r="E16" s="7">
        <v>0</v>
      </c>
      <c r="F16" s="8">
        <f>IFERROR(E16/E444, "NA")</f>
        <v>0</v>
      </c>
      <c r="G16" s="9"/>
      <c r="H16" s="10">
        <f t="shared" si="0"/>
        <v>84.63</v>
      </c>
      <c r="I16" s="8">
        <f>IFERROR(H16/H444, "NA")</f>
        <v>-1.5131506252675257E-3</v>
      </c>
      <c r="J16" s="9"/>
      <c r="K16" s="7">
        <v>0</v>
      </c>
      <c r="L16" s="8">
        <f>IFERROR(K16/K444, "NA")</f>
        <v>0</v>
      </c>
      <c r="M16" s="9"/>
      <c r="N16" s="10">
        <f t="shared" si="1"/>
        <v>84.63</v>
      </c>
      <c r="O16" s="8">
        <f>IFERROR(N16/N444, "NA")</f>
        <v>-0.26018384726533389</v>
      </c>
      <c r="P16" s="9"/>
      <c r="Q16" s="7">
        <v>99.1</v>
      </c>
      <c r="R16" s="8">
        <f>IFERROR(Q16/Q444, "NA")</f>
        <v>1.3818302234779359E-5</v>
      </c>
      <c r="S16" s="9"/>
      <c r="T16" s="7">
        <v>0</v>
      </c>
      <c r="U16" s="8">
        <f>IFERROR(T16/T444, "NA")</f>
        <v>0</v>
      </c>
      <c r="V16" s="9"/>
      <c r="W16" s="10">
        <f t="shared" si="2"/>
        <v>99.1</v>
      </c>
      <c r="X16" s="8">
        <f>IFERROR(W16/W444, "NA")</f>
        <v>-2.5796981607376882E-4</v>
      </c>
      <c r="Y16" s="9"/>
      <c r="Z16" s="7">
        <v>2.1</v>
      </c>
      <c r="AA16" s="8">
        <f>IFERROR(Z16/Z444, "NA")</f>
        <v>3.1182647106346491E-7</v>
      </c>
      <c r="AB16" s="9"/>
      <c r="AC16" s="10">
        <f t="shared" si="3"/>
        <v>97</v>
      </c>
      <c r="AD16" s="8">
        <f>IFERROR(AC16/AC444, "NA")</f>
        <v>2.2190033710092668E-4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222790.51000000004</v>
      </c>
      <c r="C18" s="15">
        <f>IFERROR(B18/B444, "NA")</f>
        <v>0.4198393827359479</v>
      </c>
      <c r="D18" s="2"/>
      <c r="E18" s="14">
        <f>IFERROR(E10+E11+E12+E13+E14+E15+E16+E17, "NA")</f>
        <v>266163.06</v>
      </c>
      <c r="F18" s="15">
        <f>IFERROR(E18/E444, "NA")</f>
        <v>0.45374927766369683</v>
      </c>
      <c r="G18" s="2"/>
      <c r="H18" s="14">
        <f t="shared" si="0"/>
        <v>-43372.549999999959</v>
      </c>
      <c r="I18" s="15">
        <f>IFERROR(H18/H444, "NA")</f>
        <v>0.7754838845793095</v>
      </c>
      <c r="J18" s="2"/>
      <c r="K18" s="14">
        <f>IFERROR(K10+K11+K12+K13+K14+K15+K16+K17, "NA")</f>
        <v>254683.76</v>
      </c>
      <c r="L18" s="15">
        <f>IFERROR(K18/K444, "NA")</f>
        <v>0.47964687301899989</v>
      </c>
      <c r="M18" s="2"/>
      <c r="N18" s="14">
        <f t="shared" si="1"/>
        <v>-31893.249999999971</v>
      </c>
      <c r="O18" s="15">
        <f>IFERROR(N18/N444, "NA")</f>
        <v>98.051618655265301</v>
      </c>
      <c r="P18" s="2"/>
      <c r="Q18" s="14">
        <f>IFERROR(Q10+Q11+Q12+Q13+Q14+Q15+Q16+Q17, "NA")</f>
        <v>3200444.09</v>
      </c>
      <c r="R18" s="15">
        <f>IFERROR(Q18/Q444, "NA")</f>
        <v>0.44626340788227442</v>
      </c>
      <c r="S18" s="2"/>
      <c r="T18" s="14">
        <f>IFERROR(T10+T11+T12+T13+T14+T15+T16+T17, "NA")</f>
        <v>3441249.9699999997</v>
      </c>
      <c r="U18" s="15">
        <f>IFERROR(T18/T444, "NA")</f>
        <v>0.45544472945722564</v>
      </c>
      <c r="V18" s="2"/>
      <c r="W18" s="14">
        <f t="shared" si="2"/>
        <v>-240805.87999999989</v>
      </c>
      <c r="X18" s="15">
        <f>IFERROR(W18/W444, "NA")</f>
        <v>0.62684811880002034</v>
      </c>
      <c r="Y18" s="2"/>
      <c r="Z18" s="14">
        <f>IFERROR(Z10+Z11+Z12+Z13+Z14+Z15+Z16+Z17, "NA")</f>
        <v>3203672.54</v>
      </c>
      <c r="AA18" s="15">
        <f>IFERROR(Z18/Z444, "NA")</f>
        <v>0.47570947742434627</v>
      </c>
      <c r="AB18" s="2"/>
      <c r="AC18" s="14">
        <f t="shared" si="3"/>
        <v>-3228.4500000001863</v>
      </c>
      <c r="AD18" s="15">
        <f>IFERROR(AC18/AC444, "NA")</f>
        <v>-7.3855066320982279E-3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48343.19</v>
      </c>
      <c r="F21" s="8">
        <f>IFERROR(E21/E444, "NA")</f>
        <v>8.2414470071312126E-2</v>
      </c>
      <c r="G21" s="9"/>
      <c r="H21" s="10">
        <f t="shared" ref="H21:H29" si="4">IFERROR(B21-E21, "NA")</f>
        <v>-48343.19</v>
      </c>
      <c r="I21" s="8">
        <f>IFERROR(H21/H444, "NA")</f>
        <v>0.8643569440615243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620691.74</v>
      </c>
      <c r="U21" s="8">
        <f>IFERROR(T21/T444, "NA")</f>
        <v>8.2147703324392515E-2</v>
      </c>
      <c r="V21" s="9"/>
      <c r="W21" s="10">
        <f t="shared" ref="W21:W29" si="6">IFERROR(Q21-T21, "NA")</f>
        <v>-620691.74</v>
      </c>
      <c r="X21" s="8">
        <f>IFERROR(W21/W444, "NA")</f>
        <v>1.6157389909819126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43193.41</v>
      </c>
      <c r="C22" s="8">
        <f>IFERROR(B22/B444, "NA")</f>
        <v>8.1396171644208357E-2</v>
      </c>
      <c r="D22" s="9"/>
      <c r="E22" s="7">
        <v>0</v>
      </c>
      <c r="F22" s="8">
        <f>IFERROR(E22/E444, "NA")</f>
        <v>0</v>
      </c>
      <c r="G22" s="9"/>
      <c r="H22" s="10">
        <f t="shared" si="4"/>
        <v>43193.41</v>
      </c>
      <c r="I22" s="8">
        <f>IFERROR(H22/H444, "NA")</f>
        <v>-0.77228093287175481</v>
      </c>
      <c r="J22" s="9"/>
      <c r="K22" s="7">
        <v>43954</v>
      </c>
      <c r="L22" s="8">
        <f>IFERROR(K22/K444, "NA")</f>
        <v>8.2778731775740702E-2</v>
      </c>
      <c r="M22" s="9"/>
      <c r="N22" s="10">
        <f t="shared" si="5"/>
        <v>-760.58999999999651</v>
      </c>
      <c r="O22" s="8">
        <f>IFERROR(N22/N444, "NA")</f>
        <v>2.3383343068833673</v>
      </c>
      <c r="P22" s="9"/>
      <c r="Q22" s="7">
        <v>462620.75</v>
      </c>
      <c r="R22" s="8">
        <f>IFERROR(Q22/Q444, "NA")</f>
        <v>6.4506895495260383E-2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462620.75</v>
      </c>
      <c r="X22" s="8">
        <f>IFERROR(W22/W444, "NA")</f>
        <v>-1.204260240054581</v>
      </c>
      <c r="Y22" s="9"/>
      <c r="Z22" s="7">
        <v>457271.04000000004</v>
      </c>
      <c r="AA22" s="8">
        <f>IFERROR(Z22/Z444, "NA")</f>
        <v>6.7899626058438342E-2</v>
      </c>
      <c r="AB22" s="9"/>
      <c r="AC22" s="10">
        <f t="shared" si="7"/>
        <v>5349.7099999999627</v>
      </c>
      <c r="AD22" s="8">
        <f>IFERROR(AC22/AC444, "NA")</f>
        <v>1.2238169612290621E-2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3786.4100000000003</v>
      </c>
      <c r="C24" s="8">
        <f>IFERROR(B24/B444, "NA")</f>
        <v>7.1353310209901688E-3</v>
      </c>
      <c r="D24" s="9"/>
      <c r="E24" s="7">
        <v>0</v>
      </c>
      <c r="F24" s="8">
        <f>IFERROR(E24/E444, "NA")</f>
        <v>0</v>
      </c>
      <c r="G24" s="9"/>
      <c r="H24" s="10">
        <f t="shared" si="4"/>
        <v>3786.4100000000003</v>
      </c>
      <c r="I24" s="8">
        <f>IFERROR(H24/H444, "NA")</f>
        <v>-6.7699499693007356E-2</v>
      </c>
      <c r="J24" s="9"/>
      <c r="K24" s="7">
        <v>5180.6200000000008</v>
      </c>
      <c r="L24" s="8">
        <f>IFERROR(K24/K444, "NA")</f>
        <v>9.7566809257869109E-3</v>
      </c>
      <c r="M24" s="9"/>
      <c r="N24" s="10">
        <f t="shared" si="5"/>
        <v>-1394.2100000000005</v>
      </c>
      <c r="O24" s="8">
        <f>IFERROR(N24/N444, "NA")</f>
        <v>4.2863159836441129</v>
      </c>
      <c r="P24" s="9"/>
      <c r="Q24" s="7">
        <v>58137.24</v>
      </c>
      <c r="R24" s="8">
        <f>IFERROR(Q24/Q444, "NA")</f>
        <v>8.1065383795752167E-3</v>
      </c>
      <c r="S24" s="9"/>
      <c r="T24" s="7">
        <v>0</v>
      </c>
      <c r="U24" s="8">
        <f>IFERROR(T24/T444, "NA")</f>
        <v>0</v>
      </c>
      <c r="V24" s="9"/>
      <c r="W24" s="10">
        <f t="shared" si="6"/>
        <v>58137.24</v>
      </c>
      <c r="X24" s="8">
        <f>IFERROR(W24/W444, "NA")</f>
        <v>-0.15133857830309339</v>
      </c>
      <c r="Y24" s="9"/>
      <c r="Z24" s="7">
        <v>38670.94</v>
      </c>
      <c r="AA24" s="8">
        <f>IFERROR(Z24/Z444, "NA")</f>
        <v>5.7422013109080898E-3</v>
      </c>
      <c r="AB24" s="9"/>
      <c r="AC24" s="10">
        <f t="shared" si="7"/>
        <v>19466.299999999996</v>
      </c>
      <c r="AD24" s="8">
        <f>IFERROR(AC24/AC444, "NA")</f>
        <v>4.4531737444409983E-2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1615.7</v>
      </c>
      <c r="C26" s="8">
        <f>IFERROR(B26/B444, "NA")</f>
        <v>3.0447189635073369E-3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1615.7</v>
      </c>
      <c r="I26" s="8">
        <f>IFERROR(H26/H444, "NA")</f>
        <v>-2.8888071195140513E-2</v>
      </c>
      <c r="J26" s="9"/>
      <c r="K26" s="7">
        <v>2070.61</v>
      </c>
      <c r="L26" s="8">
        <f>IFERROR(K26/K444, "NA")</f>
        <v>3.8995875188189122E-3</v>
      </c>
      <c r="M26" s="9"/>
      <c r="N26" s="10">
        <f t="shared" si="5"/>
        <v>-454.91000000000008</v>
      </c>
      <c r="O26" s="8">
        <f>IFERROR(N26/N444, "NA")</f>
        <v>1.3985611953145818</v>
      </c>
      <c r="P26" s="9"/>
      <c r="Q26" s="7">
        <v>23708.959999999999</v>
      </c>
      <c r="R26" s="8">
        <f>IFERROR(Q26/Q444, "NA")</f>
        <v>3.3059291115266846E-3</v>
      </c>
      <c r="S26" s="9"/>
      <c r="T26" s="7">
        <v>0</v>
      </c>
      <c r="U26" s="8">
        <f>IFERROR(T26/T444, "NA")</f>
        <v>0</v>
      </c>
      <c r="V26" s="9"/>
      <c r="W26" s="10">
        <f t="shared" si="6"/>
        <v>23708.959999999999</v>
      </c>
      <c r="X26" s="8">
        <f>IFERROR(W26/W444, "NA")</f>
        <v>-6.1717417260346533E-2</v>
      </c>
      <c r="Y26" s="9"/>
      <c r="Z26" s="7">
        <v>21386.52</v>
      </c>
      <c r="AA26" s="8">
        <f>IFERROR(Z26/Z444, "NA")</f>
        <v>3.1756585999658162E-3</v>
      </c>
      <c r="AB26" s="9"/>
      <c r="AC26" s="10">
        <f t="shared" si="7"/>
        <v>2322.4399999999987</v>
      </c>
      <c r="AD26" s="8">
        <f>IFERROR(AC26/AC444, "NA")</f>
        <v>5.3128888546049059E-3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4664.1000000000004</v>
      </c>
      <c r="AA27" s="8">
        <f>IFERROR(Z27/Z444, "NA")</f>
        <v>6.9256659223195568E-4</v>
      </c>
      <c r="AB27" s="9"/>
      <c r="AC27" s="10">
        <f t="shared" si="7"/>
        <v>-4664.1000000000004</v>
      </c>
      <c r="AD27" s="8">
        <f>IFERROR(AC27/AC444, "NA")</f>
        <v>-1.0669746002808581E-2</v>
      </c>
    </row>
    <row r="28" spans="1:30" ht="16.5" customHeight="1" x14ac:dyDescent="0.45">
      <c r="A28" s="12" t="s">
        <v>29</v>
      </c>
      <c r="B28" s="7">
        <v>3965.38</v>
      </c>
      <c r="C28" s="8">
        <f>IFERROR(B28/B444, "NA")</f>
        <v>7.4725924884029979E-3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3965.38</v>
      </c>
      <c r="I28" s="8">
        <f>IFERROR(H28/H444, "NA")</f>
        <v>-7.0899411868407675E-2</v>
      </c>
      <c r="J28" s="9"/>
      <c r="K28" s="7">
        <v>3665.88</v>
      </c>
      <c r="L28" s="8">
        <f>IFERROR(K28/K444, "NA")</f>
        <v>6.9039654466499598E-3</v>
      </c>
      <c r="M28" s="9"/>
      <c r="N28" s="10">
        <f t="shared" si="5"/>
        <v>299.5</v>
      </c>
      <c r="O28" s="8">
        <f>IFERROR(N28/N444, "NA")</f>
        <v>-0.92077351123676587</v>
      </c>
      <c r="P28" s="9"/>
      <c r="Q28" s="7">
        <v>51524.66</v>
      </c>
      <c r="R28" s="8">
        <f>IFERROR(Q28/Q444, "NA")</f>
        <v>7.1844936874293315E-3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51524.66</v>
      </c>
      <c r="X28" s="8">
        <f>IFERROR(W28/W444, "NA")</f>
        <v>-0.13412519741133677</v>
      </c>
      <c r="Y28" s="9"/>
      <c r="Z28" s="7">
        <v>49127.91</v>
      </c>
      <c r="AA28" s="8">
        <f>IFERROR(Z28/Z444, "NA")</f>
        <v>7.294944193344529E-3</v>
      </c>
      <c r="AB28" s="9"/>
      <c r="AC28" s="10">
        <f t="shared" si="7"/>
        <v>2396.75</v>
      </c>
      <c r="AD28" s="8">
        <f>IFERROR(AC28/AC444, "NA")</f>
        <v>5.4828828138829486E-3</v>
      </c>
    </row>
    <row r="29" spans="1:30" ht="16.5" customHeight="1" x14ac:dyDescent="0.45">
      <c r="A29" s="13" t="s">
        <v>30</v>
      </c>
      <c r="B29" s="14">
        <f>IFERROR(B21+B22+B23+B24+B25+B26+B27+B28, "NA")</f>
        <v>52560.9</v>
      </c>
      <c r="C29" s="15">
        <f>IFERROR(B29/B444, "NA")</f>
        <v>9.9048814117108849E-2</v>
      </c>
      <c r="D29" s="2"/>
      <c r="E29" s="14">
        <f>IFERROR(E21+E22+E23+E24+E25+E26+E27+E28, "NA")</f>
        <v>48343.19</v>
      </c>
      <c r="F29" s="15">
        <f>IFERROR(E29/E444, "NA")</f>
        <v>8.2414470071312126E-2</v>
      </c>
      <c r="G29" s="2"/>
      <c r="H29" s="14">
        <f t="shared" si="4"/>
        <v>4217.7099999999991</v>
      </c>
      <c r="I29" s="15">
        <f>IFERROR(H29/H444, "NA")</f>
        <v>-7.5410971566785945E-2</v>
      </c>
      <c r="J29" s="2"/>
      <c r="K29" s="14">
        <f>IFERROR(K21+K22+K23+K24+K25+K26+K27+K28, "NA")</f>
        <v>54871.11</v>
      </c>
      <c r="L29" s="15">
        <f>IFERROR(K29/K444, "NA")</f>
        <v>0.10333896566699649</v>
      </c>
      <c r="M29" s="2"/>
      <c r="N29" s="14">
        <f t="shared" si="5"/>
        <v>-2310.2099999999991</v>
      </c>
      <c r="O29" s="15">
        <f>IFERROR(N29/N444, "NA")</f>
        <v>7.1024379746053024</v>
      </c>
      <c r="P29" s="2"/>
      <c r="Q29" s="14">
        <f>IFERROR(Q21+Q22+Q23+Q24+Q25+Q26+Q27+Q28, "NA")</f>
        <v>595991.61</v>
      </c>
      <c r="R29" s="15">
        <f>IFERROR(Q29/Q444, "NA")</f>
        <v>8.310385667379161E-2</v>
      </c>
      <c r="S29" s="2"/>
      <c r="T29" s="14">
        <f>IFERROR(T21+T22+T23+T24+T25+T26+T27+T28, "NA")</f>
        <v>620691.74</v>
      </c>
      <c r="U29" s="15">
        <f>IFERROR(T29/T444, "NA")</f>
        <v>8.2147703324392515E-2</v>
      </c>
      <c r="V29" s="2"/>
      <c r="W29" s="14">
        <f t="shared" si="6"/>
        <v>-24700.130000000005</v>
      </c>
      <c r="X29" s="15">
        <f>IFERROR(W29/W444, "NA")</f>
        <v>6.4297557952554804E-2</v>
      </c>
      <c r="Y29" s="2"/>
      <c r="Z29" s="14">
        <f>IFERROR(Z21+Z22+Z23+Z24+Z25+Z26+Z27+Z28, "NA")</f>
        <v>571120.51</v>
      </c>
      <c r="AA29" s="15">
        <f>IFERROR(Z29/Z444, "NA")</f>
        <v>8.4804996754888728E-2</v>
      </c>
      <c r="AB29" s="2"/>
      <c r="AC29" s="14">
        <f t="shared" si="7"/>
        <v>24871.099999999977</v>
      </c>
      <c r="AD29" s="15">
        <f>IFERROR(AC29/AC444, "NA")</f>
        <v>5.6895932722379923E-2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128541.79</v>
      </c>
      <c r="F31" s="8">
        <f>IFERROR(E31/E444, "NA")</f>
        <v>0.2191353840089553</v>
      </c>
      <c r="G31" s="9"/>
      <c r="H31" s="10">
        <f t="shared" ref="H31:H40" si="8">IFERROR(B31-E31, "NA")</f>
        <v>-128541.79</v>
      </c>
      <c r="I31" s="8">
        <f>IFERROR(H31/H444, "NA")</f>
        <v>2.2982759058431643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1654008.94</v>
      </c>
      <c r="U31" s="8">
        <f>IFERROR(T31/T444, "NA")</f>
        <v>0.21890582223474239</v>
      </c>
      <c r="V31" s="9"/>
      <c r="W31" s="10">
        <f t="shared" ref="W31:W40" si="10">IFERROR(Q31-T31, "NA")</f>
        <v>-1654008.94</v>
      </c>
      <c r="X31" s="8">
        <f>IFERROR(W31/W444, "NA")</f>
        <v>4.3055941678725462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55615.960000000006</v>
      </c>
      <c r="C33" s="8">
        <f>IFERROR(B33/B444, "NA")</f>
        <v>0.10480594670153216</v>
      </c>
      <c r="D33" s="9"/>
      <c r="E33" s="7">
        <v>0</v>
      </c>
      <c r="F33" s="8">
        <f>IFERROR(E33/E444, "NA")</f>
        <v>0</v>
      </c>
      <c r="G33" s="9"/>
      <c r="H33" s="10">
        <f t="shared" si="8"/>
        <v>55615.960000000006</v>
      </c>
      <c r="I33" s="8">
        <f>IFERROR(H33/H444, "NA")</f>
        <v>-0.99439116919359227</v>
      </c>
      <c r="J33" s="9"/>
      <c r="K33" s="7">
        <v>53391.7</v>
      </c>
      <c r="L33" s="8">
        <f>IFERROR(K33/K444, "NA")</f>
        <v>0.10055278730834087</v>
      </c>
      <c r="M33" s="9"/>
      <c r="N33" s="10">
        <f t="shared" si="9"/>
        <v>2224.2600000000093</v>
      </c>
      <c r="O33" s="8">
        <f>IFERROR(N33/N444, "NA")</f>
        <v>-6.8381959602787896</v>
      </c>
      <c r="P33" s="9"/>
      <c r="Q33" s="7">
        <v>629220.93999999994</v>
      </c>
      <c r="R33" s="8">
        <f>IFERROR(Q33/Q444, "NA")</f>
        <v>8.7737286794873554E-2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629220.93999999994</v>
      </c>
      <c r="X33" s="8">
        <f>IFERROR(W33/W444, "NA")</f>
        <v>-1.6379415757978195</v>
      </c>
      <c r="Y33" s="9"/>
      <c r="Z33" s="7">
        <v>543349.33000000007</v>
      </c>
      <c r="AA33" s="8">
        <f>IFERROR(Z33/Z444, "NA")</f>
        <v>8.0681287680284805E-2</v>
      </c>
      <c r="AB33" s="9"/>
      <c r="AC33" s="10">
        <f t="shared" si="11"/>
        <v>85871.60999999987</v>
      </c>
      <c r="AD33" s="8">
        <f>IFERROR(AC33/AC444, "NA")</f>
        <v>0.19644267223092041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3416.27</v>
      </c>
      <c r="C35" s="8">
        <f>IFERROR(B35/B444, "NA")</f>
        <v>6.4378176972589027E-3</v>
      </c>
      <c r="D35" s="9"/>
      <c r="E35" s="7">
        <v>0</v>
      </c>
      <c r="F35" s="8">
        <f>IFERROR(E35/E444, "NA")</f>
        <v>0</v>
      </c>
      <c r="G35" s="9"/>
      <c r="H35" s="10">
        <f t="shared" si="8"/>
        <v>3416.27</v>
      </c>
      <c r="I35" s="8">
        <f>IFERROR(H35/H444, "NA")</f>
        <v>-6.1081544211068067E-2</v>
      </c>
      <c r="J35" s="9"/>
      <c r="K35" s="7">
        <v>5930.0999999999995</v>
      </c>
      <c r="L35" s="8">
        <f>IFERROR(K35/K444, "NA")</f>
        <v>1.1168179398992581E-2</v>
      </c>
      <c r="M35" s="9"/>
      <c r="N35" s="10">
        <f t="shared" si="9"/>
        <v>-2513.8299999999995</v>
      </c>
      <c r="O35" s="8">
        <f>IFERROR(N35/N444, "NA")</f>
        <v>7.7284409874868745</v>
      </c>
      <c r="P35" s="9"/>
      <c r="Q35" s="7">
        <v>66465.52</v>
      </c>
      <c r="R35" s="8">
        <f>IFERROR(Q35/Q444, "NA")</f>
        <v>9.2678167865970964E-3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66465.52</v>
      </c>
      <c r="X35" s="8">
        <f>IFERROR(W35/W444, "NA")</f>
        <v>-0.17301814298332396</v>
      </c>
      <c r="Y35" s="9"/>
      <c r="Z35" s="7">
        <v>36699.74</v>
      </c>
      <c r="AA35" s="8">
        <f>IFERROR(Z35/Z444, "NA")</f>
        <v>5.4495001967365172E-3</v>
      </c>
      <c r="AB35" s="9"/>
      <c r="AC35" s="10">
        <f t="shared" si="11"/>
        <v>29765.780000000006</v>
      </c>
      <c r="AD35" s="8">
        <f>IFERROR(AC35/AC444, "NA")</f>
        <v>6.8093160990433221E-2</v>
      </c>
    </row>
    <row r="36" spans="1:30" ht="16.5" customHeight="1" x14ac:dyDescent="0.45">
      <c r="A36" s="12" t="s">
        <v>36</v>
      </c>
      <c r="B36" s="7">
        <v>75346.05</v>
      </c>
      <c r="C36" s="8">
        <f>IFERROR(B36/B444, "NA")</f>
        <v>0.14198647475420684</v>
      </c>
      <c r="D36" s="9"/>
      <c r="E36" s="7">
        <v>0</v>
      </c>
      <c r="F36" s="8">
        <f>IFERROR(E36/E444, "NA")</f>
        <v>0</v>
      </c>
      <c r="G36" s="9"/>
      <c r="H36" s="10">
        <f t="shared" si="8"/>
        <v>75346.05</v>
      </c>
      <c r="I36" s="8">
        <f>IFERROR(H36/H444, "NA")</f>
        <v>-1.3471573043712426</v>
      </c>
      <c r="J36" s="9"/>
      <c r="K36" s="7">
        <v>76217.599999999991</v>
      </c>
      <c r="L36" s="8">
        <f>IFERROR(K36/K444, "NA")</f>
        <v>0.14354088972541051</v>
      </c>
      <c r="M36" s="9"/>
      <c r="N36" s="10">
        <f t="shared" si="9"/>
        <v>-871.54999999998836</v>
      </c>
      <c r="O36" s="8">
        <f>IFERROR(N36/N444, "NA")</f>
        <v>2.6794662895438819</v>
      </c>
      <c r="P36" s="9"/>
      <c r="Q36" s="7">
        <v>734314.10000000009</v>
      </c>
      <c r="R36" s="8">
        <f>IFERROR(Q36/Q444, "NA")</f>
        <v>0.10239126305812307</v>
      </c>
      <c r="S36" s="9"/>
      <c r="T36" s="7">
        <v>0</v>
      </c>
      <c r="U36" s="8">
        <f>IFERROR(T36/T444, "NA")</f>
        <v>0</v>
      </c>
      <c r="V36" s="9"/>
      <c r="W36" s="10">
        <f t="shared" si="10"/>
        <v>734314.10000000009</v>
      </c>
      <c r="X36" s="8">
        <f>IFERROR(W36/W444, "NA")</f>
        <v>-1.9115123442722008</v>
      </c>
      <c r="Y36" s="9"/>
      <c r="Z36" s="7">
        <v>770962.64</v>
      </c>
      <c r="AA36" s="8">
        <f>IFERROR(Z36/Z444, "NA")</f>
        <v>0.11447931397760597</v>
      </c>
      <c r="AB36" s="9"/>
      <c r="AC36" s="10">
        <f t="shared" si="11"/>
        <v>-36648.539999999921</v>
      </c>
      <c r="AD36" s="8">
        <f>IFERROR(AC36/AC444, "NA")</f>
        <v>-8.3838385363471948E-2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3921.7000000000003</v>
      </c>
      <c r="C39" s="8">
        <f>IFERROR(B39/B444, "NA")</f>
        <v>7.3902793582884957E-3</v>
      </c>
      <c r="D39" s="9"/>
      <c r="E39" s="7">
        <v>0</v>
      </c>
      <c r="F39" s="8">
        <f>IFERROR(E39/E444, "NA")</f>
        <v>0</v>
      </c>
      <c r="G39" s="9"/>
      <c r="H39" s="10">
        <f t="shared" si="8"/>
        <v>3921.7000000000003</v>
      </c>
      <c r="I39" s="8">
        <f>IFERROR(H39/H444, "NA")</f>
        <v>-7.0118430900527662E-2</v>
      </c>
      <c r="J39" s="9"/>
      <c r="K39" s="7">
        <v>5537.7499999999991</v>
      </c>
      <c r="L39" s="8">
        <f>IFERROR(K39/K444, "NA")</f>
        <v>1.0429265183853757E-2</v>
      </c>
      <c r="M39" s="9"/>
      <c r="N39" s="10">
        <f t="shared" si="9"/>
        <v>-1616.0499999999988</v>
      </c>
      <c r="O39" s="8">
        <f>IFERROR(N39/N444, "NA")</f>
        <v>4.9683339994463251</v>
      </c>
      <c r="P39" s="9"/>
      <c r="Q39" s="7">
        <v>64234.939999999995</v>
      </c>
      <c r="R39" s="8">
        <f>IFERROR(Q39/Q444, "NA")</f>
        <v>8.9567892528044195E-3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64234.939999999995</v>
      </c>
      <c r="X39" s="8">
        <f>IFERROR(W39/W444, "NA")</f>
        <v>-0.16721166152683728</v>
      </c>
      <c r="Y39" s="9"/>
      <c r="Z39" s="7">
        <v>70115.08</v>
      </c>
      <c r="AA39" s="8">
        <f>IFERROR(Z39/Z444, "NA")</f>
        <v>1.0411303792729776E-2</v>
      </c>
      <c r="AB39" s="9"/>
      <c r="AC39" s="10">
        <f t="shared" si="11"/>
        <v>-5880.1400000000067</v>
      </c>
      <c r="AD39" s="8">
        <f>IFERROR(AC39/AC444, "NA")</f>
        <v>-1.3451598435058191E-2</v>
      </c>
    </row>
    <row r="40" spans="1:30" ht="16.5" customHeight="1" x14ac:dyDescent="0.45">
      <c r="A40" s="13" t="s">
        <v>40</v>
      </c>
      <c r="B40" s="14">
        <f>IFERROR(B31+B32+B33+B34+B35+B36+B37+B38+B39, "NA")</f>
        <v>138299.98000000001</v>
      </c>
      <c r="C40" s="15">
        <f>IFERROR(B40/B444, "NA")</f>
        <v>0.26062051851128637</v>
      </c>
      <c r="D40" s="2"/>
      <c r="E40" s="14">
        <f>IFERROR(E31+E32+E33+E34+E35+E36+E37+E38+E39, "NA")</f>
        <v>128541.79</v>
      </c>
      <c r="F40" s="15">
        <f>IFERROR(E40/E444, "NA")</f>
        <v>0.2191353840089553</v>
      </c>
      <c r="G40" s="2"/>
      <c r="H40" s="14">
        <f t="shared" si="8"/>
        <v>9758.1900000000169</v>
      </c>
      <c r="I40" s="15">
        <f>IFERROR(H40/H444, "NA")</f>
        <v>-0.17447254283326649</v>
      </c>
      <c r="J40" s="2"/>
      <c r="K40" s="14">
        <f>IFERROR(K31+K32+K33+K34+K35+K36+K37+K38+K39, "NA")</f>
        <v>141077.15</v>
      </c>
      <c r="L40" s="15">
        <f>IFERROR(K40/K444, "NA")</f>
        <v>0.26569112161659775</v>
      </c>
      <c r="M40" s="2"/>
      <c r="N40" s="14">
        <f t="shared" si="9"/>
        <v>-2777.1699999999837</v>
      </c>
      <c r="O40" s="15">
        <f>IFERROR(N40/N444, "NA")</f>
        <v>8.5380453161983105</v>
      </c>
      <c r="P40" s="2"/>
      <c r="Q40" s="14">
        <f>IFERROR(Q31+Q32+Q33+Q34+Q35+Q36+Q37+Q38+Q39, "NA")</f>
        <v>1494235.5</v>
      </c>
      <c r="R40" s="15">
        <f>IFERROR(Q40/Q444, "NA")</f>
        <v>0.20835315589239814</v>
      </c>
      <c r="S40" s="2"/>
      <c r="T40" s="14">
        <f>IFERROR(T31+T32+T33+T34+T35+T36+T37+T38+T39, "NA")</f>
        <v>1654008.94</v>
      </c>
      <c r="U40" s="15">
        <f>IFERROR(T40/T444, "NA")</f>
        <v>0.21890582223474239</v>
      </c>
      <c r="V40" s="2"/>
      <c r="W40" s="14">
        <f t="shared" si="10"/>
        <v>-159773.43999999994</v>
      </c>
      <c r="X40" s="15">
        <f>IFERROR(W40/W444, "NA")</f>
        <v>0.41591044329236454</v>
      </c>
      <c r="Y40" s="2"/>
      <c r="Z40" s="14">
        <f>IFERROR(Z31+Z32+Z33+Z34+Z35+Z36+Z37+Z38+Z39, "NA")</f>
        <v>1421126.79</v>
      </c>
      <c r="AA40" s="15">
        <f>IFERROR(Z40/Z444, "NA")</f>
        <v>0.21102140564735705</v>
      </c>
      <c r="AB40" s="2"/>
      <c r="AC40" s="14">
        <f t="shared" si="11"/>
        <v>73108.709999999963</v>
      </c>
      <c r="AD40" s="15">
        <f>IFERROR(AC40/AC444, "NA")</f>
        <v>0.16724584942282353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22823.03</v>
      </c>
      <c r="C43" s="8">
        <f>IFERROR(B43/B444, "NA")</f>
        <v>4.3009043910191773E-2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22823.03</v>
      </c>
      <c r="I43" s="8">
        <f>IFERROR(H43/H444, "NA")</f>
        <v>-0.40806666802551694</v>
      </c>
      <c r="J43" s="9"/>
      <c r="K43" s="7">
        <v>27357.279999999999</v>
      </c>
      <c r="L43" s="8">
        <f>IFERROR(K43/K444, "NA")</f>
        <v>5.152206723469617E-2</v>
      </c>
      <c r="M43" s="9"/>
      <c r="N43" s="10">
        <f>IFERROR(B43-K43, "NA")</f>
        <v>-4534.25</v>
      </c>
      <c r="O43" s="8">
        <f>IFERROR(N43/N444, "NA")</f>
        <v>13.939957573707199</v>
      </c>
      <c r="P43" s="9"/>
      <c r="Q43" s="7">
        <v>367197.65</v>
      </c>
      <c r="R43" s="8">
        <f>IFERROR(Q43/Q444, "NA")</f>
        <v>5.1201292710400907E-2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367197.65</v>
      </c>
      <c r="X43" s="8">
        <f>IFERROR(W43/W444, "NA")</f>
        <v>-0.95586185906377541</v>
      </c>
      <c r="Y43" s="9"/>
      <c r="Z43" s="7">
        <v>188596.93999999997</v>
      </c>
      <c r="AA43" s="8">
        <f>IFERROR(Z43/Z444, "NA")</f>
        <v>2.8004532501699059E-2</v>
      </c>
      <c r="AB43" s="9"/>
      <c r="AC43" s="10">
        <f>IFERROR(Q43-Z43, "NA")</f>
        <v>178600.71000000005</v>
      </c>
      <c r="AD43" s="8">
        <f>IFERROR(AC43/AC444, "NA")</f>
        <v>0.40857276036561713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154870.55000000002</v>
      </c>
      <c r="F46" s="8">
        <f>IFERROR(E46/E444, "NA")</f>
        <v>0.26402010930397124</v>
      </c>
      <c r="G46" s="9"/>
      <c r="H46" s="10">
        <f t="shared" ref="H46:H62" si="12">IFERROR(B46-E46, "NA")</f>
        <v>-154870.55000000002</v>
      </c>
      <c r="I46" s="8">
        <f>IFERROR(H46/H444, "NA")</f>
        <v>2.7690236271774271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1985457.92</v>
      </c>
      <c r="U46" s="8">
        <f>IFERROR(T46/T444, "NA")</f>
        <v>0.2627726416582013</v>
      </c>
      <c r="V46" s="9"/>
      <c r="W46" s="10">
        <f t="shared" ref="W46:W62" si="14">IFERROR(Q46-T46, "NA")</f>
        <v>-1985457.92</v>
      </c>
      <c r="X46" s="8">
        <f>IFERROR(W46/W444, "NA")</f>
        <v>5.1683977239617311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9038.98</v>
      </c>
      <c r="R47" s="8">
        <f>IFERROR(Q47/Q444, "NA")</f>
        <v>1.260376968053743E-3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9038.98</v>
      </c>
      <c r="X47" s="8">
        <f>IFERROR(W47/W444, "NA")</f>
        <v>-2.3529606539802975E-2</v>
      </c>
      <c r="Y47" s="9"/>
      <c r="Z47" s="7">
        <v>4473.6000000000004</v>
      </c>
      <c r="AA47" s="8">
        <f>IFERROR(Z47/Z444, "NA")</f>
        <v>6.6427947664262699E-4</v>
      </c>
      <c r="AB47" s="9"/>
      <c r="AC47" s="10">
        <f t="shared" si="15"/>
        <v>4565.3799999999992</v>
      </c>
      <c r="AD47" s="8">
        <f>IFERROR(AC47/AC444, "NA")</f>
        <v>1.0443910938080706E-2</v>
      </c>
    </row>
    <row r="48" spans="1:30" ht="16.5" customHeight="1" x14ac:dyDescent="0.45">
      <c r="A48" s="17" t="s">
        <v>46</v>
      </c>
      <c r="B48" s="7">
        <v>73833.19</v>
      </c>
      <c r="C48" s="8">
        <f>IFERROR(B48/B444, "NA")</f>
        <v>0.13913555346242512</v>
      </c>
      <c r="D48" s="9"/>
      <c r="E48" s="7">
        <v>0</v>
      </c>
      <c r="F48" s="8">
        <f>IFERROR(E48/E444, "NA")</f>
        <v>0</v>
      </c>
      <c r="G48" s="9"/>
      <c r="H48" s="10">
        <f t="shared" si="12"/>
        <v>73833.19</v>
      </c>
      <c r="I48" s="8">
        <f>IFERROR(H48/H444, "NA")</f>
        <v>-1.3201079713339954</v>
      </c>
      <c r="J48" s="9"/>
      <c r="K48" s="7">
        <v>70314.579999999987</v>
      </c>
      <c r="L48" s="8">
        <f>IFERROR(K48/K444, "NA")</f>
        <v>0.13242371019119673</v>
      </c>
      <c r="M48" s="9"/>
      <c r="N48" s="10">
        <f t="shared" si="13"/>
        <v>3518.6100000000151</v>
      </c>
      <c r="O48" s="8">
        <f>IFERROR(N48/N444, "NA")</f>
        <v>-10.817505457004376</v>
      </c>
      <c r="P48" s="9"/>
      <c r="Q48" s="7">
        <v>985967.66999999993</v>
      </c>
      <c r="R48" s="8">
        <f>IFERROR(Q48/Q444, "NA")</f>
        <v>0.13748132449829664</v>
      </c>
      <c r="S48" s="9"/>
      <c r="T48" s="7">
        <v>0</v>
      </c>
      <c r="U48" s="8">
        <f>IFERROR(T48/T444, "NA")</f>
        <v>0</v>
      </c>
      <c r="V48" s="9"/>
      <c r="W48" s="10">
        <f t="shared" si="14"/>
        <v>985967.66999999993</v>
      </c>
      <c r="X48" s="8">
        <f>IFERROR(W48/W444, "NA")</f>
        <v>-2.5665983701774207</v>
      </c>
      <c r="Y48" s="9"/>
      <c r="Z48" s="7">
        <v>1228591.7</v>
      </c>
      <c r="AA48" s="8">
        <f>IFERROR(Z48/Z444, "NA")</f>
        <v>0.18243210199469675</v>
      </c>
      <c r="AB48" s="9"/>
      <c r="AC48" s="10">
        <f t="shared" si="15"/>
        <v>-242624.03000000003</v>
      </c>
      <c r="AD48" s="8">
        <f>IFERROR(AC48/AC444, "NA")</f>
        <v>-0.55503457779160159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44852.29</v>
      </c>
      <c r="R49" s="8">
        <f>IFERROR(Q49/Q444, "NA")</f>
        <v>6.2541119994144493E-3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44852.29</v>
      </c>
      <c r="X49" s="8">
        <f>IFERROR(W49/W444, "NA")</f>
        <v>-0.11675617559825772</v>
      </c>
      <c r="Y49" s="9"/>
      <c r="Z49" s="7">
        <v>4310.2700000000004</v>
      </c>
      <c r="AA49" s="8">
        <f>IFERROR(Z49/Z444, "NA")</f>
        <v>6.4002680163367668E-4</v>
      </c>
      <c r="AB49" s="9"/>
      <c r="AC49" s="10">
        <f t="shared" si="15"/>
        <v>40542.020000000004</v>
      </c>
      <c r="AD49" s="8">
        <f>IFERROR(AC49/AC444, "NA")</f>
        <v>9.2745236131469205E-2</v>
      </c>
    </row>
    <row r="50" spans="1:30" ht="16.5" customHeight="1" x14ac:dyDescent="0.45">
      <c r="A50" s="17" t="s">
        <v>48</v>
      </c>
      <c r="B50" s="7">
        <v>2272.8000000000002</v>
      </c>
      <c r="C50" s="8">
        <f>IFERROR(B50/B444, "NA")</f>
        <v>4.282996385628195E-3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2272.8000000000002</v>
      </c>
      <c r="I50" s="8">
        <f>IFERROR(H50/H444, "NA")</f>
        <v>-4.0636756955075425E-2</v>
      </c>
      <c r="J50" s="9"/>
      <c r="K50" s="7">
        <v>1187.5999999999999</v>
      </c>
      <c r="L50" s="8">
        <f>IFERROR(K50/K444, "NA")</f>
        <v>2.2366114996785198E-3</v>
      </c>
      <c r="M50" s="9"/>
      <c r="N50" s="10">
        <f t="shared" si="13"/>
        <v>1085.2000000000003</v>
      </c>
      <c r="O50" s="8">
        <f>IFERROR(N50/N444, "NA")</f>
        <v>-3.3363052233527166</v>
      </c>
      <c r="P50" s="9"/>
      <c r="Q50" s="7">
        <v>32523.62</v>
      </c>
      <c r="R50" s="8">
        <f>IFERROR(Q50/Q444, "NA")</f>
        <v>4.535027355490562E-3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32523.62</v>
      </c>
      <c r="X50" s="8">
        <f>IFERROR(W50/W444, "NA")</f>
        <v>-8.4663090509113512E-2</v>
      </c>
      <c r="Y50" s="9"/>
      <c r="Z50" s="7">
        <v>28627.19</v>
      </c>
      <c r="AA50" s="8">
        <f>IFERROR(Z50/Z444, "NA")</f>
        <v>4.2508169686491966E-3</v>
      </c>
      <c r="AB50" s="9"/>
      <c r="AC50" s="10">
        <f t="shared" si="15"/>
        <v>3896.4300000000003</v>
      </c>
      <c r="AD50" s="8">
        <f>IFERROR(AC50/AC444, "NA")</f>
        <v>8.9135992834037513E-3</v>
      </c>
    </row>
    <row r="51" spans="1:30" ht="16.5" customHeight="1" x14ac:dyDescent="0.45">
      <c r="A51" s="17" t="s">
        <v>49</v>
      </c>
      <c r="B51" s="7">
        <v>2556.5100000000002</v>
      </c>
      <c r="C51" s="8">
        <f>IFERROR(B51/B444, "NA")</f>
        <v>4.8176359951699835E-3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2556.5100000000002</v>
      </c>
      <c r="I51" s="8">
        <f>IFERROR(H51/H444, "NA")</f>
        <v>-4.5709378530103775E-2</v>
      </c>
      <c r="J51" s="9"/>
      <c r="K51" s="7">
        <v>3963.99</v>
      </c>
      <c r="L51" s="8">
        <f>IFERROR(K51/K444, "NA")</f>
        <v>7.4653971190726297E-3</v>
      </c>
      <c r="M51" s="9"/>
      <c r="N51" s="10">
        <f t="shared" si="13"/>
        <v>-1407.4799999999996</v>
      </c>
      <c r="O51" s="8">
        <f>IFERROR(N51/N444, "NA")</f>
        <v>4.3271128600852187</v>
      </c>
      <c r="P51" s="9"/>
      <c r="Q51" s="7">
        <v>34862.25</v>
      </c>
      <c r="R51" s="8">
        <f>IFERROR(Q51/Q444, "NA")</f>
        <v>4.8611211612960316E-3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34862.25</v>
      </c>
      <c r="X51" s="8">
        <f>IFERROR(W51/W444, "NA")</f>
        <v>-9.0750839762035795E-2</v>
      </c>
      <c r="Y51" s="9"/>
      <c r="Z51" s="7">
        <v>75358.39</v>
      </c>
      <c r="AA51" s="8">
        <f>IFERROR(Z51/Z444, "NA")</f>
        <v>1.1189876580344907E-2</v>
      </c>
      <c r="AB51" s="9"/>
      <c r="AC51" s="10">
        <f t="shared" si="15"/>
        <v>-40496.14</v>
      </c>
      <c r="AD51" s="8">
        <f>IFERROR(AC51/AC444, "NA")</f>
        <v>-9.2640279559652802E-2</v>
      </c>
    </row>
    <row r="52" spans="1:30" ht="16.5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146500</v>
      </c>
      <c r="R52" s="8">
        <f>IFERROR(Q52/Q444, "NA")</f>
        <v>2.0427661729517418E-2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146500</v>
      </c>
      <c r="X52" s="8">
        <f>IFERROR(W52/W444, "NA")</f>
        <v>-0.38135800257121222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146500</v>
      </c>
      <c r="AD52" s="8">
        <f>IFERROR(AC52/AC444, "NA")</f>
        <v>0.3351381379926367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11074.8</v>
      </c>
      <c r="R53" s="8">
        <f>IFERROR(Q53/Q444, "NA")</f>
        <v>1.5442475639731025E-3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11074.8</v>
      </c>
      <c r="X53" s="8">
        <f>IFERROR(W53/W444, "NA")</f>
        <v>-2.8829103118605193E-2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11074.8</v>
      </c>
      <c r="AD53" s="8">
        <f>IFERROR(AC53/AC444, "NA")</f>
        <v>2.5335070652838586E-2</v>
      </c>
    </row>
    <row r="54" spans="1:30" ht="16.5" customHeight="1" x14ac:dyDescent="0.45">
      <c r="A54" s="17" t="s">
        <v>52</v>
      </c>
      <c r="B54" s="7">
        <v>936.79</v>
      </c>
      <c r="C54" s="8">
        <f>IFERROR(B54/B444, "NA")</f>
        <v>1.7653415100724378E-3</v>
      </c>
      <c r="D54" s="9"/>
      <c r="E54" s="7">
        <v>0</v>
      </c>
      <c r="F54" s="8">
        <f>IFERROR(E54/E444, "NA")</f>
        <v>0</v>
      </c>
      <c r="G54" s="9"/>
      <c r="H54" s="10">
        <f t="shared" si="12"/>
        <v>936.79</v>
      </c>
      <c r="I54" s="8">
        <f>IFERROR(H54/H444, "NA")</f>
        <v>-1.6749431339292985E-2</v>
      </c>
      <c r="J54" s="9"/>
      <c r="K54" s="7">
        <v>286.2</v>
      </c>
      <c r="L54" s="8">
        <f>IFERROR(K54/K444, "NA")</f>
        <v>5.3900152509935365E-4</v>
      </c>
      <c r="M54" s="9"/>
      <c r="N54" s="10">
        <f t="shared" si="13"/>
        <v>650.58999999999992</v>
      </c>
      <c r="O54" s="8">
        <f>IFERROR(N54/N444, "NA")</f>
        <v>-2.0001537184491736</v>
      </c>
      <c r="P54" s="9"/>
      <c r="Q54" s="7">
        <v>1014.5400000000001</v>
      </c>
      <c r="R54" s="8">
        <f>IFERROR(Q54/Q444, "NA")</f>
        <v>1.4146539202091881E-4</v>
      </c>
      <c r="S54" s="9"/>
      <c r="T54" s="7">
        <v>0</v>
      </c>
      <c r="U54" s="8">
        <f>IFERROR(T54/T444, "NA")</f>
        <v>0</v>
      </c>
      <c r="V54" s="9"/>
      <c r="W54" s="10">
        <f t="shared" si="14"/>
        <v>1014.5400000000001</v>
      </c>
      <c r="X54" s="8">
        <f>IFERROR(W54/W444, "NA")</f>
        <v>-2.6409757537788239E-3</v>
      </c>
      <c r="Y54" s="9"/>
      <c r="Z54" s="7">
        <v>1663.9</v>
      </c>
      <c r="AA54" s="8">
        <f>IFERROR(Z54/Z444, "NA")</f>
        <v>2.4707050723928541E-4</v>
      </c>
      <c r="AB54" s="9"/>
      <c r="AC54" s="10">
        <f t="shared" si="15"/>
        <v>-649.36</v>
      </c>
      <c r="AD54" s="8">
        <f>IFERROR(AC54/AC444, "NA")</f>
        <v>-1.4854969371119356E-3</v>
      </c>
    </row>
    <row r="55" spans="1:30" ht="16.5" customHeight="1" x14ac:dyDescent="0.45">
      <c r="A55" s="17" t="s">
        <v>53</v>
      </c>
      <c r="B55" s="7">
        <v>648.71</v>
      </c>
      <c r="C55" s="8">
        <f>IFERROR(B55/B444, "NA")</f>
        <v>1.2224668186029859E-3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648.71</v>
      </c>
      <c r="I55" s="8">
        <f>IFERROR(H55/H444, "NA")</f>
        <v>-1.1598675908274805E-2</v>
      </c>
      <c r="J55" s="9"/>
      <c r="K55" s="7">
        <v>240.48</v>
      </c>
      <c r="L55" s="8">
        <f>IFERROR(K55/K444, "NA")</f>
        <v>4.5289687895140655E-4</v>
      </c>
      <c r="M55" s="9"/>
      <c r="N55" s="10">
        <f t="shared" si="13"/>
        <v>408.23</v>
      </c>
      <c r="O55" s="8">
        <f>IFERROR(N55/N444, "NA")</f>
        <v>-1.2550496510590483</v>
      </c>
      <c r="P55" s="9"/>
      <c r="Q55" s="7">
        <v>9795.15</v>
      </c>
      <c r="R55" s="8">
        <f>IFERROR(Q55/Q444, "NA")</f>
        <v>1.3658157733097784E-3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9795.15</v>
      </c>
      <c r="X55" s="8">
        <f>IFERROR(W55/W444, "NA")</f>
        <v>-2.5498012552118834E-2</v>
      </c>
      <c r="Y55" s="9"/>
      <c r="Z55" s="7">
        <v>8287.51</v>
      </c>
      <c r="AA55" s="8">
        <f>IFERROR(Z55/Z444, "NA")</f>
        <v>1.2306023796205602E-3</v>
      </c>
      <c r="AB55" s="9"/>
      <c r="AC55" s="10">
        <f t="shared" si="15"/>
        <v>1507.6399999999994</v>
      </c>
      <c r="AD55" s="8">
        <f>IFERROR(AC55/AC444, "NA")</f>
        <v>3.4489260229571238E-3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155.60000000000002</v>
      </c>
      <c r="R56" s="8">
        <f>IFERROR(Q56/Q444, "NA")</f>
        <v>2.1696547202135912E-5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155.60000000000002</v>
      </c>
      <c r="X56" s="8">
        <f>IFERROR(W56/W444, "NA")</f>
        <v>-4.0504645187768349E-4</v>
      </c>
      <c r="Y56" s="9"/>
      <c r="Z56" s="7">
        <v>3622.37</v>
      </c>
      <c r="AA56" s="8">
        <f>IFERROR(Z56/Z444, "NA")</f>
        <v>5.3788135904103023E-4</v>
      </c>
      <c r="AB56" s="9"/>
      <c r="AC56" s="10">
        <f t="shared" si="15"/>
        <v>-3466.77</v>
      </c>
      <c r="AD56" s="8">
        <f>IFERROR(AC56/AC444, "NA")</f>
        <v>-7.9306951716637073E-3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328.31</v>
      </c>
      <c r="L57" s="8">
        <f>IFERROR(K57/K444, "NA")</f>
        <v>6.183074448126094E-4</v>
      </c>
      <c r="M57" s="9"/>
      <c r="N57" s="10">
        <f t="shared" si="13"/>
        <v>-328.31</v>
      </c>
      <c r="O57" s="8">
        <f>IFERROR(N57/N444, "NA")</f>
        <v>1.00934608171667</v>
      </c>
      <c r="P57" s="9"/>
      <c r="Q57" s="7">
        <v>12386.21</v>
      </c>
      <c r="R57" s="8">
        <f>IFERROR(Q57/Q444, "NA")</f>
        <v>1.7271079043738289E-3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12386.21</v>
      </c>
      <c r="X57" s="8">
        <f>IFERROR(W57/W444, "NA")</f>
        <v>-3.2242868976297433E-2</v>
      </c>
      <c r="Y57" s="9"/>
      <c r="Z57" s="7">
        <v>14684.72</v>
      </c>
      <c r="AA57" s="8">
        <f>IFERROR(Z57/Z444, "NA")</f>
        <v>2.1805163886452783E-3</v>
      </c>
      <c r="AB57" s="9"/>
      <c r="AC57" s="10">
        <f t="shared" si="15"/>
        <v>-2298.5100000000002</v>
      </c>
      <c r="AD57" s="8">
        <f>IFERROR(AC57/AC444, "NA")</f>
        <v>-5.258145812678877E-3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2904.13</v>
      </c>
      <c r="R58" s="8">
        <f>IFERROR(Q58/Q444, "NA")</f>
        <v>4.0494597446104726E-4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2904.13</v>
      </c>
      <c r="X58" s="8">
        <f>IFERROR(W58/W444, "NA")</f>
        <v>-7.5598171741101342E-3</v>
      </c>
      <c r="Y58" s="9"/>
      <c r="Z58" s="7">
        <v>5464.25</v>
      </c>
      <c r="AA58" s="8">
        <f>IFERROR(Z58/Z444, "NA")</f>
        <v>8.1137990214692291E-4</v>
      </c>
      <c r="AB58" s="9"/>
      <c r="AC58" s="10">
        <f t="shared" si="15"/>
        <v>-2560.12</v>
      </c>
      <c r="AD58" s="8">
        <f>IFERROR(AC58/AC444, "NA")</f>
        <v>-5.8566133094724165E-3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4787.2299999999996</v>
      </c>
      <c r="AA59" s="8">
        <f>IFERROR(Z59/Z444, "NA")</f>
        <v>7.1085001765197674E-4</v>
      </c>
      <c r="AB59" s="9"/>
      <c r="AC59" s="10">
        <f t="shared" si="15"/>
        <v>-4787.2299999999996</v>
      </c>
      <c r="AD59" s="8">
        <f>IFERROR(AC59/AC444, "NA")</f>
        <v>-1.095142217298628E-2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1.7917778377085245E-6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-3.3450172921775267E-5</v>
      </c>
      <c r="Y60" s="9"/>
      <c r="Z60" s="7">
        <v>319.54000000000002</v>
      </c>
      <c r="AA60" s="8">
        <f>IFERROR(Z60/Z444, "NA")</f>
        <v>4.7448109792199804E-5</v>
      </c>
      <c r="AB60" s="9"/>
      <c r="AC60" s="10">
        <f t="shared" si="15"/>
        <v>-306.69</v>
      </c>
      <c r="AD60" s="8">
        <f>IFERROR(AC60/AC444, "NA")</f>
        <v>-7.0159396273694033E-4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80248</v>
      </c>
      <c r="C61" s="15">
        <f>IFERROR(B61/B444, "NA")</f>
        <v>0.15122399417189872</v>
      </c>
      <c r="D61" s="2"/>
      <c r="E61" s="14">
        <f>IFERROR(E46+E47+E48+E49+E50+E51+E52+E53+E54+E55+E56+E57+E58+E59+E60, "NA")</f>
        <v>154870.55000000002</v>
      </c>
      <c r="F61" s="15">
        <f>IFERROR(E61/E444, "NA")</f>
        <v>0.26402010930397124</v>
      </c>
      <c r="G61" s="2"/>
      <c r="H61" s="14">
        <f t="shared" si="12"/>
        <v>-74622.550000000017</v>
      </c>
      <c r="I61" s="15">
        <f>IFERROR(H61/H444, "NA")</f>
        <v>1.3342214131106847</v>
      </c>
      <c r="J61" s="2"/>
      <c r="K61" s="14">
        <f>IFERROR(K46+K47+K48+K49+K50+K51+K52+K53+K54+K55+K56+K57+K58+K59+K60, "NA")</f>
        <v>76321.159999999989</v>
      </c>
      <c r="L61" s="15">
        <f>IFERROR(K61/K444, "NA")</f>
        <v>0.14373592465881124</v>
      </c>
      <c r="M61" s="2"/>
      <c r="N61" s="14">
        <f t="shared" si="13"/>
        <v>3926.8400000000111</v>
      </c>
      <c r="O61" s="15">
        <f>IFERROR(N61/N444, "NA")</f>
        <v>-12.072555108063412</v>
      </c>
      <c r="P61" s="2"/>
      <c r="Q61" s="14">
        <f>IFERROR(Q46+Q47+Q48+Q49+Q50+Q51+Q52+Q53+Q54+Q55+Q56+Q57+Q58+Q59+Q60, "NA")</f>
        <v>1291088.0900000001</v>
      </c>
      <c r="R61" s="15">
        <f>IFERROR(Q61/Q444, "NA")</f>
        <v>0.1800266946452474</v>
      </c>
      <c r="S61" s="2"/>
      <c r="T61" s="14">
        <f>IFERROR(T46+T47+T48+T49+T50+T51+T52+T53+T54+T55+T56+T57+T58+T59+T60, "NA")</f>
        <v>1985457.92</v>
      </c>
      <c r="U61" s="15">
        <f>IFERROR(T61/T444, "NA")</f>
        <v>0.2627726416582013</v>
      </c>
      <c r="V61" s="2"/>
      <c r="W61" s="14">
        <f t="shared" si="14"/>
        <v>-694369.82999999984</v>
      </c>
      <c r="X61" s="15">
        <f>IFERROR(W61/W444, "NA")</f>
        <v>1.8075323646041783</v>
      </c>
      <c r="Y61" s="2"/>
      <c r="Z61" s="14">
        <f>IFERROR(Z46+Z47+Z48+Z49+Z50+Z51+Z52+Z53+Z54+Z55+Z56+Z57+Z58+Z59+Z60, "NA")</f>
        <v>1380190.67</v>
      </c>
      <c r="AA61" s="15">
        <f>IFERROR(Z61/Z444, "NA")</f>
        <v>0.20494285048610439</v>
      </c>
      <c r="AB61" s="2"/>
      <c r="AC61" s="14">
        <f t="shared" si="15"/>
        <v>-89102.579999999842</v>
      </c>
      <c r="AD61" s="15">
        <f>IFERROR(AC61/AC444, "NA")</f>
        <v>-0.20383394369651808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103071.03</v>
      </c>
      <c r="C62" s="15">
        <f>IFERROR(B62/B444, "NA")</f>
        <v>0.1942330380820905</v>
      </c>
      <c r="D62" s="2"/>
      <c r="E62" s="14">
        <f>IFERROR(E42+E43+E44+E46+E47+E48+E49+E50+E51+E52+E53+E54+E55+E56+E57+E58+E59+E60, "NA")</f>
        <v>154870.55000000002</v>
      </c>
      <c r="F62" s="15">
        <f>IFERROR(E62/E444, "NA")</f>
        <v>0.26402010930397124</v>
      </c>
      <c r="G62" s="2"/>
      <c r="H62" s="14">
        <f t="shared" si="12"/>
        <v>-51799.520000000019</v>
      </c>
      <c r="I62" s="15">
        <f>IFERROR(H62/H444, "NA")</f>
        <v>0.9261547450851676</v>
      </c>
      <c r="J62" s="2"/>
      <c r="K62" s="14">
        <f>IFERROR(K42+K43+K44+K46+K47+K48+K49+K50+K51+K52+K53+K54+K55+K56+K57+K58+K59+K60, "NA")</f>
        <v>103678.43999999999</v>
      </c>
      <c r="L62" s="15">
        <f>IFERROR(K62/K444, "NA")</f>
        <v>0.19525799189350743</v>
      </c>
      <c r="M62" s="2"/>
      <c r="N62" s="14">
        <f t="shared" si="13"/>
        <v>-607.40999999998894</v>
      </c>
      <c r="O62" s="15">
        <f>IFERROR(N62/N444, "NA")</f>
        <v>1.8674024656437855</v>
      </c>
      <c r="P62" s="2"/>
      <c r="Q62" s="14">
        <f>IFERROR(Q42+Q43+Q44+Q46+Q47+Q48+Q49+Q50+Q51+Q52+Q53+Q54+Q55+Q56+Q57+Q58+Q59+Q60, "NA")</f>
        <v>1658285.74</v>
      </c>
      <c r="R62" s="15">
        <f>IFERROR(Q62/Q444, "NA")</f>
        <v>0.23122798735564828</v>
      </c>
      <c r="S62" s="2"/>
      <c r="T62" s="14">
        <f>IFERROR(T42+T43+T44+T46+T47+T48+T49+T50+T51+T52+T53+T54+T55+T56+T57+T58+T59+T60, "NA")</f>
        <v>1985457.92</v>
      </c>
      <c r="U62" s="15">
        <f>IFERROR(T62/T444, "NA")</f>
        <v>0.2627726416582013</v>
      </c>
      <c r="V62" s="2"/>
      <c r="W62" s="14">
        <f t="shared" si="14"/>
        <v>-327172.17999999993</v>
      </c>
      <c r="X62" s="15">
        <f>IFERROR(W62/W444, "NA")</f>
        <v>0.85167050554040336</v>
      </c>
      <c r="Y62" s="2"/>
      <c r="Z62" s="14">
        <f>IFERROR(Z42+Z43+Z44+Z46+Z47+Z48+Z49+Z50+Z51+Z52+Z53+Z54+Z55+Z56+Z57+Z58+Z59+Z60, "NA")</f>
        <v>1568787.6099999999</v>
      </c>
      <c r="AA62" s="15">
        <f>IFERROR(Z62/Z444, "NA")</f>
        <v>0.23294738298780346</v>
      </c>
      <c r="AB62" s="2"/>
      <c r="AC62" s="14">
        <f t="shared" si="15"/>
        <v>89498.130000000121</v>
      </c>
      <c r="AD62" s="15">
        <f>IFERROR(AC62/AC444, "NA")</f>
        <v>0.20473881666909885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19577.02</v>
      </c>
      <c r="C65" s="8">
        <f>IFERROR(B65/B444, "NA")</f>
        <v>3.6892074050233585E-2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19577.02</v>
      </c>
      <c r="I65" s="8">
        <f>IFERROR(H65/H444, "NA")</f>
        <v>-0.35002930466589693</v>
      </c>
      <c r="J65" s="9"/>
      <c r="K65" s="7">
        <v>866.93</v>
      </c>
      <c r="L65" s="8">
        <f>IFERROR(K65/K444, "NA")</f>
        <v>1.6326924952983321E-3</v>
      </c>
      <c r="M65" s="9"/>
      <c r="N65" s="10">
        <f t="shared" si="17"/>
        <v>18710.09</v>
      </c>
      <c r="O65" s="8">
        <f>IFERROR(N65/N444, "NA")</f>
        <v>-57.521720416881138</v>
      </c>
      <c r="P65" s="9"/>
      <c r="Q65" s="7">
        <v>154595.12</v>
      </c>
      <c r="R65" s="8">
        <f>IFERROR(Q65/Q444, "NA")</f>
        <v>2.1556428780847459E-2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154595.12</v>
      </c>
      <c r="X65" s="8">
        <f>IFERROR(W65/W444, "NA")</f>
        <v>-0.40243062232393761</v>
      </c>
      <c r="Y65" s="9"/>
      <c r="Z65" s="7">
        <v>7939.1799999999994</v>
      </c>
      <c r="AA65" s="8">
        <f>IFERROR(Z65/Z444, "NA")</f>
        <v>1.1788792773988759E-3</v>
      </c>
      <c r="AB65" s="9"/>
      <c r="AC65" s="10">
        <f t="shared" si="19"/>
        <v>146655.94</v>
      </c>
      <c r="AD65" s="8">
        <f>IFERROR(AC65/AC444, "NA")</f>
        <v>0.33549487137993073</v>
      </c>
    </row>
    <row r="66" spans="1:30" ht="16.5" customHeight="1" x14ac:dyDescent="0.45">
      <c r="A66" s="12" t="s">
        <v>63</v>
      </c>
      <c r="B66" s="7">
        <v>9242.6</v>
      </c>
      <c r="C66" s="8">
        <f>IFERROR(B66/B444, "NA")</f>
        <v>1.7417292499915152E-2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9242.6</v>
      </c>
      <c r="I66" s="8">
        <f>IFERROR(H66/H444, "NA")</f>
        <v>-0.16525399939853047</v>
      </c>
      <c r="J66" s="9"/>
      <c r="K66" s="7">
        <v>969.58</v>
      </c>
      <c r="L66" s="8">
        <f>IFERROR(K66/K444, "NA")</f>
        <v>1.8260136223124785E-3</v>
      </c>
      <c r="M66" s="9"/>
      <c r="N66" s="10">
        <f t="shared" si="17"/>
        <v>8273.02</v>
      </c>
      <c r="O66" s="8">
        <f>IFERROR(N66/N444, "NA")</f>
        <v>-25.434316106617661</v>
      </c>
      <c r="P66" s="9"/>
      <c r="Q66" s="7">
        <v>211772.67</v>
      </c>
      <c r="R66" s="8">
        <f>IFERROR(Q66/Q444, "NA")</f>
        <v>2.9529149940728479E-2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211772.67</v>
      </c>
      <c r="X66" s="8">
        <f>IFERROR(W66/W444, "NA")</f>
        <v>-0.55127100635066539</v>
      </c>
      <c r="Y66" s="9"/>
      <c r="Z66" s="7">
        <v>146155.93</v>
      </c>
      <c r="AA66" s="8">
        <f>IFERROR(Z66/Z444, "NA")</f>
        <v>2.1702518036618476E-2</v>
      </c>
      <c r="AB66" s="9"/>
      <c r="AC66" s="10">
        <f t="shared" si="19"/>
        <v>65616.74000000002</v>
      </c>
      <c r="AD66" s="8">
        <f>IFERROR(AC66/AC444, "NA")</f>
        <v>0.15010697655117386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1.3780305389582818E-3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-2.5726046415772339E-2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2.2608098520455498E-2</v>
      </c>
    </row>
    <row r="68" spans="1:30" ht="16.5" customHeight="1" x14ac:dyDescent="0.45">
      <c r="A68" s="12" t="s">
        <v>65</v>
      </c>
      <c r="B68" s="7">
        <v>1236.55</v>
      </c>
      <c r="C68" s="8">
        <f>IFERROR(B68/B444, "NA")</f>
        <v>2.3302266722318482E-3</v>
      </c>
      <c r="D68" s="9"/>
      <c r="E68" s="7">
        <v>0</v>
      </c>
      <c r="F68" s="8">
        <f>IFERROR(E68/E444, "NA")</f>
        <v>0</v>
      </c>
      <c r="G68" s="9"/>
      <c r="H68" s="10">
        <f t="shared" si="16"/>
        <v>1236.55</v>
      </c>
      <c r="I68" s="8">
        <f>IFERROR(H68/H444, "NA")</f>
        <v>-2.2109020508975057E-2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1236.55</v>
      </c>
      <c r="O68" s="8">
        <f>IFERROR(N68/N444, "NA")</f>
        <v>-3.8016109693483235</v>
      </c>
      <c r="P68" s="9"/>
      <c r="Q68" s="7">
        <v>45082.47</v>
      </c>
      <c r="R68" s="8">
        <f>IFERROR(Q68/Q444, "NA")</f>
        <v>6.2862078299734964E-3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45082.47</v>
      </c>
      <c r="X68" s="8">
        <f>IFERROR(W68/W444, "NA")</f>
        <v>-0.11735536320939657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45082.47</v>
      </c>
      <c r="AD68" s="8">
        <f>IFERROR(AC68/AC444, "NA")</f>
        <v>0.10313211639528262</v>
      </c>
    </row>
    <row r="69" spans="1:30" ht="16.5" customHeight="1" x14ac:dyDescent="0.45">
      <c r="A69" s="12" t="s">
        <v>66</v>
      </c>
      <c r="B69" s="7">
        <v>3375</v>
      </c>
      <c r="C69" s="8">
        <f>IFERROR(B69/B444, "NA")</f>
        <v>6.3600461111823119E-3</v>
      </c>
      <c r="D69" s="9"/>
      <c r="E69" s="7">
        <v>0</v>
      </c>
      <c r="F69" s="8">
        <f>IFERROR(E69/E444, "NA")</f>
        <v>0</v>
      </c>
      <c r="G69" s="9"/>
      <c r="H69" s="10">
        <f t="shared" si="16"/>
        <v>3375</v>
      </c>
      <c r="I69" s="8">
        <f>IFERROR(H69/H444, "NA")</f>
        <v>-6.0343653081388393E-2</v>
      </c>
      <c r="J69" s="9"/>
      <c r="K69" s="7">
        <v>0</v>
      </c>
      <c r="L69" s="8">
        <f>IFERROR(K69/K444, "NA")</f>
        <v>0</v>
      </c>
      <c r="M69" s="9"/>
      <c r="N69" s="10">
        <f t="shared" si="17"/>
        <v>3375</v>
      </c>
      <c r="O69" s="8">
        <f>IFERROR(N69/N444, "NA")</f>
        <v>-10.375995326958547</v>
      </c>
      <c r="P69" s="9"/>
      <c r="Q69" s="7">
        <v>17568</v>
      </c>
      <c r="R69" s="8">
        <f>IFERROR(Q69/Q444, "NA")</f>
        <v>2.4496461519738022E-3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17568</v>
      </c>
      <c r="X69" s="8">
        <f>IFERROR(W69/W444, "NA")</f>
        <v>-4.5731722792976492E-2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17568</v>
      </c>
      <c r="AD69" s="8">
        <f>IFERROR(AC69/AC444, "NA")</f>
        <v>4.0189124971021443E-2</v>
      </c>
    </row>
    <row r="70" spans="1:30" ht="16.5" customHeight="1" x14ac:dyDescent="0.45">
      <c r="A70" s="12" t="s">
        <v>67</v>
      </c>
      <c r="B70" s="7">
        <v>5796.83</v>
      </c>
      <c r="C70" s="8">
        <f>IFERROR(B70/B444, "NA")</f>
        <v>1.0923883288499248E-2</v>
      </c>
      <c r="D70" s="9"/>
      <c r="E70" s="7">
        <v>0</v>
      </c>
      <c r="F70" s="8">
        <f>IFERROR(E70/E444, "NA")</f>
        <v>0</v>
      </c>
      <c r="G70" s="9"/>
      <c r="H70" s="10">
        <f t="shared" si="16"/>
        <v>5796.83</v>
      </c>
      <c r="I70" s="8">
        <f>IFERROR(H70/H444, "NA")</f>
        <v>-0.10364500696052879</v>
      </c>
      <c r="J70" s="9"/>
      <c r="K70" s="7">
        <v>0</v>
      </c>
      <c r="L70" s="8">
        <f>IFERROR(K70/K444, "NA")</f>
        <v>0</v>
      </c>
      <c r="M70" s="9"/>
      <c r="N70" s="10">
        <f t="shared" si="17"/>
        <v>5796.83</v>
      </c>
      <c r="O70" s="8">
        <f>IFERROR(N70/N444, "NA")</f>
        <v>-17.821594367754997</v>
      </c>
      <c r="P70" s="9"/>
      <c r="Q70" s="7">
        <v>21489.87</v>
      </c>
      <c r="R70" s="8">
        <f>IFERROR(Q70/Q444, "NA")</f>
        <v>2.996503719940645E-3</v>
      </c>
      <c r="S70" s="9"/>
      <c r="T70" s="7">
        <v>0</v>
      </c>
      <c r="U70" s="8">
        <f>IFERROR(T70/T444, "NA")</f>
        <v>0</v>
      </c>
      <c r="V70" s="9"/>
      <c r="W70" s="10">
        <f t="shared" si="18"/>
        <v>21489.87</v>
      </c>
      <c r="X70" s="8">
        <f>IFERROR(W70/W444, "NA")</f>
        <v>-5.5940845725017174E-2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21489.87</v>
      </c>
      <c r="AD70" s="8">
        <f>IFERROR(AC70/AC444, "NA")</f>
        <v>4.9160921621186508E-2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39228</v>
      </c>
      <c r="C73" s="15">
        <f>IFERROR(B73/B444, "NA")</f>
        <v>7.3923522622062143E-2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39228</v>
      </c>
      <c r="I73" s="15">
        <f>IFERROR(H73/H444, "NA")</f>
        <v>-0.70138098461531961</v>
      </c>
      <c r="J73" s="2"/>
      <c r="K73" s="14">
        <f>IFERROR(K64+K65+K66+K67+K68+K69+K70+K71+K72, "NA")</f>
        <v>1836.51</v>
      </c>
      <c r="L73" s="15">
        <f>IFERROR(K73/K444, "NA")</f>
        <v>3.4587061176108106E-3</v>
      </c>
      <c r="M73" s="2"/>
      <c r="N73" s="14">
        <f t="shared" si="17"/>
        <v>37391.49</v>
      </c>
      <c r="O73" s="15">
        <f>IFERROR(N73/N444, "NA")</f>
        <v>-114.95523718756067</v>
      </c>
      <c r="P73" s="2"/>
      <c r="Q73" s="14">
        <f>IFERROR(Q64+Q65+Q66+Q67+Q68+Q69+Q70+Q71+Q72, "NA")</f>
        <v>460390.88</v>
      </c>
      <c r="R73" s="15">
        <f>IFERROR(Q73/Q444, "NA")</f>
        <v>6.4195966962422163E-2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460390.88</v>
      </c>
      <c r="X73" s="15">
        <f>IFERROR(W73/W444, "NA")</f>
        <v>-1.1984556068177656</v>
      </c>
      <c r="Y73" s="2"/>
      <c r="Z73" s="14">
        <f>IFERROR(Z64+Z65+Z66+Z67+Z68+Z69+Z70+Z71+Z72, "NA")</f>
        <v>154095.10999999999</v>
      </c>
      <c r="AA73" s="15">
        <f>IFERROR(Z73/Z444, "NA")</f>
        <v>2.2881397314017352E-2</v>
      </c>
      <c r="AB73" s="2"/>
      <c r="AC73" s="14">
        <f t="shared" si="19"/>
        <v>306295.77</v>
      </c>
      <c r="AD73" s="15">
        <f>IFERROR(AC73/AC444, "NA")</f>
        <v>0.70069210943905069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10633.64</v>
      </c>
      <c r="F75" s="8">
        <f>IFERROR(E75/E444, "NA")</f>
        <v>1.812800945757008E-2</v>
      </c>
      <c r="G75" s="9"/>
      <c r="H75" s="10">
        <f t="shared" ref="H75:H92" si="20">IFERROR(B75-E75, "NA")</f>
        <v>-10633.64</v>
      </c>
      <c r="I75" s="8">
        <f>IFERROR(H75/H444, "NA")</f>
        <v>0.19012523945255549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136385.09</v>
      </c>
      <c r="U75" s="8">
        <f>IFERROR(T75/T444, "NA")</f>
        <v>1.8050380227696557E-2</v>
      </c>
      <c r="V75" s="9"/>
      <c r="W75" s="10">
        <f t="shared" ref="W75:W92" si="22">IFERROR(Q75-T75, "NA")</f>
        <v>-136385.09</v>
      </c>
      <c r="X75" s="8">
        <f>IFERROR(W75/W444, "NA")</f>
        <v>0.35502761435423213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2197.37</v>
      </c>
      <c r="C77" s="8">
        <f>IFERROR(B77/B444, "NA")</f>
        <v>4.1408517106159039E-3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2197.37</v>
      </c>
      <c r="I77" s="8">
        <f>IFERROR(H77/H444, "NA")</f>
        <v>-3.9288098658207524E-2</v>
      </c>
      <c r="J77" s="9"/>
      <c r="K77" s="7">
        <v>2643.0499999999997</v>
      </c>
      <c r="L77" s="8">
        <f>IFERROR(K77/K444, "NA")</f>
        <v>4.97766590116648E-3</v>
      </c>
      <c r="M77" s="9"/>
      <c r="N77" s="10">
        <f t="shared" si="21"/>
        <v>-445.67999999999984</v>
      </c>
      <c r="O77" s="8">
        <f>IFERROR(N77/N444, "NA")</f>
        <v>1.3701847695759655</v>
      </c>
      <c r="P77" s="9"/>
      <c r="Q77" s="7">
        <v>30966.73</v>
      </c>
      <c r="R77" s="8">
        <f>IFERROR(Q77/Q444, "NA")</f>
        <v>4.3179377836812215E-3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30966.73</v>
      </c>
      <c r="X77" s="8">
        <f>IFERROR(W77/W444, "NA")</f>
        <v>-8.0610309207931982E-2</v>
      </c>
      <c r="Y77" s="9"/>
      <c r="Z77" s="7">
        <v>13552.05</v>
      </c>
      <c r="AA77" s="8">
        <f>IFERROR(Z77/Z444, "NA")</f>
        <v>2.0123275843693476E-3</v>
      </c>
      <c r="AB77" s="9"/>
      <c r="AC77" s="10">
        <f t="shared" si="23"/>
        <v>17414.68</v>
      </c>
      <c r="AD77" s="8">
        <f>IFERROR(AC77/AC444, "NA")</f>
        <v>3.9838385180461504E-2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475</v>
      </c>
      <c r="R78" s="8">
        <f>IFERROR(Q78/Q444, "NA")</f>
        <v>6.62330329114046E-5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475</v>
      </c>
      <c r="X78" s="8">
        <f>IFERROR(W78/W444, "NA")</f>
        <v>-1.2364849912718486E-3</v>
      </c>
      <c r="Y78" s="9"/>
      <c r="Z78" s="7">
        <v>300</v>
      </c>
      <c r="AA78" s="8">
        <f>IFERROR(Z78/Z444, "NA")</f>
        <v>4.4546638723352132E-5</v>
      </c>
      <c r="AB78" s="9"/>
      <c r="AC78" s="10">
        <f t="shared" si="23"/>
        <v>175</v>
      </c>
      <c r="AD78" s="8">
        <f>IFERROR(AC78/AC444, "NA")</f>
        <v>4.0033565971816669E-4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43.98</v>
      </c>
      <c r="R79" s="8">
        <f>IFERROR(Q79/Q444, "NA")</f>
        <v>6.1324816577759457E-6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43.98</v>
      </c>
      <c r="X79" s="8">
        <f>IFERROR(W79/W444, "NA")</f>
        <v>-1.1448549456028609E-4</v>
      </c>
      <c r="Y79" s="9"/>
      <c r="Z79" s="7">
        <v>372.09000000000003</v>
      </c>
      <c r="AA79" s="8">
        <f>IFERROR(Z79/Z444, "NA")</f>
        <v>5.5251196008573653E-5</v>
      </c>
      <c r="AB79" s="9"/>
      <c r="AC79" s="10">
        <f t="shared" si="23"/>
        <v>-328.11</v>
      </c>
      <c r="AD79" s="8">
        <f>IFERROR(AC79/AC444, "NA")</f>
        <v>-7.5059504748644387E-4</v>
      </c>
    </row>
    <row r="80" spans="1:30" ht="16.5" customHeight="1" x14ac:dyDescent="0.45">
      <c r="A80" s="12" t="s">
        <v>76</v>
      </c>
      <c r="B80" s="7">
        <v>7071.99</v>
      </c>
      <c r="C80" s="8">
        <f>IFERROR(B80/B444, "NA")</f>
        <v>1.3326868888243021E-2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7071.99</v>
      </c>
      <c r="I80" s="8">
        <f>IFERROR(H80/H444, "NA")</f>
        <v>-0.12644435886075492</v>
      </c>
      <c r="J80" s="9"/>
      <c r="K80" s="7">
        <v>6782.8500000000013</v>
      </c>
      <c r="L80" s="8">
        <f>IFERROR(K80/K444, "NA")</f>
        <v>1.2774166647519746E-2</v>
      </c>
      <c r="M80" s="9"/>
      <c r="N80" s="10">
        <f t="shared" si="21"/>
        <v>289.13999999999851</v>
      </c>
      <c r="O80" s="8">
        <f>IFERROR(N80/N444, "NA")</f>
        <v>-0.88892304854423076</v>
      </c>
      <c r="P80" s="9"/>
      <c r="Q80" s="7">
        <v>92314.180000000008</v>
      </c>
      <c r="R80" s="8">
        <f>IFERROR(Q80/Q444, "NA")</f>
        <v>1.2872101309745957E-2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92314.180000000008</v>
      </c>
      <c r="X80" s="8">
        <f>IFERROR(W80/W444, "NA")</f>
        <v>-0.24030546958224813</v>
      </c>
      <c r="Y80" s="9"/>
      <c r="Z80" s="7">
        <v>107767.43</v>
      </c>
      <c r="AA80" s="8">
        <f>IFERROR(Z80/Z444, "NA")</f>
        <v>1.6002255901180467E-2</v>
      </c>
      <c r="AB80" s="9"/>
      <c r="AC80" s="10">
        <f t="shared" si="23"/>
        <v>-15453.249999999985</v>
      </c>
      <c r="AD80" s="8">
        <f>IFERROR(AC80/AC444, "NA")</f>
        <v>-3.535135447737002E-2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50</v>
      </c>
      <c r="R82" s="8">
        <f>IFERROR(Q82/Q444, "NA")</f>
        <v>6.9718982012004841E-6</v>
      </c>
      <c r="S82" s="9"/>
      <c r="T82" s="7">
        <v>0</v>
      </c>
      <c r="U82" s="8">
        <f>IFERROR(T82/T444, "NA")</f>
        <v>0</v>
      </c>
      <c r="V82" s="9"/>
      <c r="W82" s="10">
        <f t="shared" si="22"/>
        <v>50</v>
      </c>
      <c r="X82" s="8">
        <f>IFERROR(W82/W444, "NA")</f>
        <v>-1.3015631487072089E-4</v>
      </c>
      <c r="Y82" s="9"/>
      <c r="Z82" s="7">
        <v>150</v>
      </c>
      <c r="AA82" s="8">
        <f>IFERROR(Z82/Z444, "NA")</f>
        <v>2.2273319361676066E-5</v>
      </c>
      <c r="AB82" s="9"/>
      <c r="AC82" s="10">
        <f t="shared" si="23"/>
        <v>-100</v>
      </c>
      <c r="AD82" s="8">
        <f>IFERROR(AC82/AC444, "NA")</f>
        <v>-2.2876323412466669E-4</v>
      </c>
    </row>
    <row r="83" spans="1:30" ht="16.5" customHeight="1" x14ac:dyDescent="0.45">
      <c r="A83" s="12" t="s">
        <v>79</v>
      </c>
      <c r="B83" s="7">
        <v>152.4</v>
      </c>
      <c r="C83" s="8">
        <f>IFERROR(B83/B444, "NA")</f>
        <v>2.8719141550938797E-4</v>
      </c>
      <c r="D83" s="9"/>
      <c r="E83" s="7">
        <v>0</v>
      </c>
      <c r="F83" s="8">
        <f>IFERROR(E83/E444, "NA")</f>
        <v>0</v>
      </c>
      <c r="G83" s="9"/>
      <c r="H83" s="10">
        <f t="shared" si="20"/>
        <v>152.4</v>
      </c>
      <c r="I83" s="8">
        <f>IFERROR(H83/H444, "NA")</f>
        <v>-2.7248511791418046E-3</v>
      </c>
      <c r="J83" s="9"/>
      <c r="K83" s="7">
        <v>0</v>
      </c>
      <c r="L83" s="8">
        <f>IFERROR(K83/K444, "NA")</f>
        <v>0</v>
      </c>
      <c r="M83" s="9"/>
      <c r="N83" s="10">
        <f t="shared" si="21"/>
        <v>152.4</v>
      </c>
      <c r="O83" s="8">
        <f>IFERROR(N83/N444, "NA")</f>
        <v>-0.46853383343066152</v>
      </c>
      <c r="P83" s="9"/>
      <c r="Q83" s="7">
        <v>664.59</v>
      </c>
      <c r="R83" s="8">
        <f>IFERROR(Q83/Q444, "NA")</f>
        <v>9.2669076510716602E-5</v>
      </c>
      <c r="S83" s="9"/>
      <c r="T83" s="7">
        <v>0</v>
      </c>
      <c r="U83" s="8">
        <f>IFERROR(T83/T444, "NA")</f>
        <v>0</v>
      </c>
      <c r="V83" s="9"/>
      <c r="W83" s="10">
        <f t="shared" si="22"/>
        <v>664.59</v>
      </c>
      <c r="X83" s="8">
        <f>IFERROR(W83/W444, "NA")</f>
        <v>-1.730011705998648E-3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664.59</v>
      </c>
      <c r="AD83" s="8">
        <f>IFERROR(AC83/AC444, "NA")</f>
        <v>1.5203375776691225E-3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325.98</v>
      </c>
      <c r="AA85" s="8">
        <f>IFERROR(Z85/Z444, "NA")</f>
        <v>4.8404377636794427E-5</v>
      </c>
      <c r="AB85" s="9"/>
      <c r="AC85" s="10">
        <f t="shared" si="23"/>
        <v>-325.98</v>
      </c>
      <c r="AD85" s="8">
        <f>IFERROR(AC85/AC444, "NA")</f>
        <v>-7.4572239059958858E-4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4.7111452675424533E-5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-4.4699002282509921E-4</v>
      </c>
      <c r="J86" s="9"/>
      <c r="K86" s="7">
        <v>25</v>
      </c>
      <c r="L86" s="8">
        <f>IFERROR(K86/K444, "NA")</f>
        <v>4.7082593038028794E-5</v>
      </c>
      <c r="M86" s="9"/>
      <c r="N86" s="10">
        <f t="shared" si="21"/>
        <v>0</v>
      </c>
      <c r="O86" s="8">
        <f>IFERROR(N86/N444, "NA")</f>
        <v>0</v>
      </c>
      <c r="P86" s="9"/>
      <c r="Q86" s="7">
        <v>200</v>
      </c>
      <c r="R86" s="8">
        <f>IFERROR(Q86/Q444, "NA")</f>
        <v>2.7887592804801936E-5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200</v>
      </c>
      <c r="X86" s="8">
        <f>IFERROR(W86/W444, "NA")</f>
        <v>-5.2062525948288357E-4</v>
      </c>
      <c r="Y86" s="9"/>
      <c r="Z86" s="7">
        <v>845</v>
      </c>
      <c r="AA86" s="8">
        <f>IFERROR(Z86/Z444, "NA")</f>
        <v>1.254730324041085E-4</v>
      </c>
      <c r="AB86" s="9"/>
      <c r="AC86" s="10">
        <f t="shared" si="23"/>
        <v>-645</v>
      </c>
      <c r="AD86" s="8">
        <f>IFERROR(AC86/AC444, "NA")</f>
        <v>-1.4755228601041001E-3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1.378037510856483E-4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-2.5726176572087207E-3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2.2608212902072559E-3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9446.76</v>
      </c>
      <c r="C88" s="15">
        <f>IFERROR(B88/B444, "NA")</f>
        <v>1.7802023467043737E-2</v>
      </c>
      <c r="D88" s="2"/>
      <c r="E88" s="14">
        <f>IFERROR(E75+E76+E77+E78+E79+E80+E81+E82+E83+E84+E85+E86+E87, "NA")</f>
        <v>10633.64</v>
      </c>
      <c r="F88" s="15">
        <f>IFERROR(E88/E444, "NA")</f>
        <v>1.812800945757008E-2</v>
      </c>
      <c r="G88" s="2"/>
      <c r="H88" s="14">
        <f t="shared" si="20"/>
        <v>-1186.8799999999992</v>
      </c>
      <c r="I88" s="15">
        <f>IFERROR(H88/H444, "NA")</f>
        <v>2.1220940731626135E-2</v>
      </c>
      <c r="J88" s="2"/>
      <c r="K88" s="14">
        <f>IFERROR(K75+K76+K77+K78+K79+K80+K81+K82+K83+K84+K85+K86+K87, "NA")</f>
        <v>9450.9000000000015</v>
      </c>
      <c r="L88" s="15">
        <f>IFERROR(K88/K444, "NA")</f>
        <v>1.7798915141724256E-2</v>
      </c>
      <c r="M88" s="2"/>
      <c r="N88" s="14">
        <f t="shared" si="21"/>
        <v>-4.1400000000012369</v>
      </c>
      <c r="O88" s="15">
        <f>IFERROR(N88/N444, "NA")</f>
        <v>1.2727887601072954E-2</v>
      </c>
      <c r="P88" s="2"/>
      <c r="Q88" s="14">
        <f>IFERROR(Q75+Q76+Q77+Q78+Q79+Q80+Q81+Q82+Q83+Q84+Q85+Q86+Q87, "NA")</f>
        <v>125702.76000000001</v>
      </c>
      <c r="R88" s="15">
        <f>IFERROR(Q88/Q444, "NA")</f>
        <v>1.7527736926598727E-2</v>
      </c>
      <c r="S88" s="2"/>
      <c r="T88" s="14">
        <f>IFERROR(T75+T76+T77+T78+T79+T80+T81+T82+T83+T84+T85+T86+T87, "NA")</f>
        <v>136385.09</v>
      </c>
      <c r="U88" s="15">
        <f>IFERROR(T88/T444, "NA")</f>
        <v>1.8050380227696557E-2</v>
      </c>
      <c r="V88" s="2"/>
      <c r="W88" s="14">
        <f t="shared" si="22"/>
        <v>-10682.329999999987</v>
      </c>
      <c r="X88" s="15">
        <f>IFERROR(W88/W444, "NA")</f>
        <v>2.7807454140658924E-2</v>
      </c>
      <c r="Y88" s="2"/>
      <c r="Z88" s="14">
        <f>IFERROR(Z75+Z76+Z77+Z78+Z79+Z80+Z81+Z82+Z83+Z84+Z85+Z86+Z87, "NA")</f>
        <v>123312.54999999999</v>
      </c>
      <c r="AA88" s="15">
        <f>IFERROR(Z88/Z444, "NA")</f>
        <v>1.8310532049684317E-2</v>
      </c>
      <c r="AB88" s="2"/>
      <c r="AC88" s="14">
        <f t="shared" si="23"/>
        <v>2390.210000000021</v>
      </c>
      <c r="AD88" s="15">
        <f>IFERROR(AC88/AC444, "NA")</f>
        <v>5.4679216983712434E-3</v>
      </c>
    </row>
    <row r="89" spans="1:30" ht="16.5" customHeight="1" x14ac:dyDescent="0.45">
      <c r="A89" s="6" t="s">
        <v>85</v>
      </c>
      <c r="B89" s="7">
        <v>-12.25</v>
      </c>
      <c r="C89" s="8">
        <f>IFERROR(B89/B444, "NA")</f>
        <v>-2.308461181095802E-5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-12.25</v>
      </c>
      <c r="I89" s="8">
        <f>IFERROR(H89/H444, "NA")</f>
        <v>2.1902511118429861E-4</v>
      </c>
      <c r="J89" s="9"/>
      <c r="K89" s="7">
        <v>-123.03</v>
      </c>
      <c r="L89" s="8">
        <f>IFERROR(K89/K444, "NA")</f>
        <v>-2.3170285685874731E-4</v>
      </c>
      <c r="M89" s="9"/>
      <c r="N89" s="10">
        <f t="shared" si="21"/>
        <v>110.78</v>
      </c>
      <c r="O89" s="8">
        <f>IFERROR(N89/N444, "NA")</f>
        <v>-0.34057859624310161</v>
      </c>
      <c r="P89" s="9"/>
      <c r="Q89" s="7">
        <v>-550.29</v>
      </c>
      <c r="R89" s="8">
        <f>IFERROR(Q89/Q444, "NA")</f>
        <v>-7.6731317222772282E-5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-550.29</v>
      </c>
      <c r="X89" s="8">
        <f>IFERROR(W89/W444, "NA")</f>
        <v>1.43247437020418E-3</v>
      </c>
      <c r="Y89" s="9"/>
      <c r="Z89" s="7">
        <v>-446.06999999999982</v>
      </c>
      <c r="AA89" s="8">
        <f>IFERROR(Z89/Z444, "NA")</f>
        <v>-6.6236397117752264E-5</v>
      </c>
      <c r="AB89" s="9"/>
      <c r="AC89" s="10">
        <f t="shared" si="23"/>
        <v>-104.22000000000014</v>
      </c>
      <c r="AD89" s="8">
        <f>IFERROR(AC89/AC444, "NA")</f>
        <v>-2.3841704260472795E-4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-21966.04</v>
      </c>
      <c r="F94" s="8">
        <f>IFERROR(E94/E444, "NA")</f>
        <v>-3.7447250505505431E-2</v>
      </c>
      <c r="G94" s="9"/>
      <c r="H94" s="10">
        <f t="shared" ref="H94:H124" si="24">IFERROR(B94-E94, "NA")</f>
        <v>21966.04</v>
      </c>
      <c r="I94" s="8">
        <f>IFERROR(H94/H444, "NA")</f>
        <v>-0.39274402883908172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-281992.15999999997</v>
      </c>
      <c r="U94" s="8">
        <f>IFERROR(T94/T444, "NA")</f>
        <v>-3.7321276902258477E-2</v>
      </c>
      <c r="V94" s="9"/>
      <c r="W94" s="10">
        <f t="shared" ref="W94:W124" si="26">IFERROR(Q94-T94, "NA")</f>
        <v>281992.15999999997</v>
      </c>
      <c r="X94" s="8">
        <f>IFERROR(W94/W444, "NA")</f>
        <v>-0.73406120736069402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-8015.9199999999992</v>
      </c>
      <c r="C96" s="8">
        <f>IFERROR(B96/B444, "NA")</f>
        <v>-1.5105665429199559E-2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-8015.9199999999992</v>
      </c>
      <c r="I96" s="8">
        <f>IFERROR(H96/H444, "NA")</f>
        <v>0.14332145055056675</v>
      </c>
      <c r="J96" s="9"/>
      <c r="K96" s="7">
        <v>-7437.0499999999993</v>
      </c>
      <c r="L96" s="8">
        <f>IFERROR(K96/K444, "NA")</f>
        <v>-1.4006223942138881E-2</v>
      </c>
      <c r="M96" s="9"/>
      <c r="N96" s="10">
        <f t="shared" si="25"/>
        <v>-578.86999999999989</v>
      </c>
      <c r="O96" s="8">
        <f>IFERROR(N96/N444, "NA")</f>
        <v>1.7796599747900721</v>
      </c>
      <c r="P96" s="9"/>
      <c r="Q96" s="7">
        <v>-94607.010000000009</v>
      </c>
      <c r="R96" s="8">
        <f>IFERROR(Q96/Q444, "NA")</f>
        <v>-1.3191808856799126E-2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-94607.010000000009</v>
      </c>
      <c r="X96" s="8">
        <f>IFERROR(W96/W444, "NA")</f>
        <v>0.24627399565074884</v>
      </c>
      <c r="Y96" s="9"/>
      <c r="Z96" s="7">
        <v>-33708.03</v>
      </c>
      <c r="AA96" s="8">
        <f>IFERROR(Z96/Z444, "NA")</f>
        <v>-5.0052647816197175E-3</v>
      </c>
      <c r="AB96" s="9"/>
      <c r="AC96" s="10">
        <f t="shared" si="27"/>
        <v>-60898.98000000001</v>
      </c>
      <c r="AD96" s="8">
        <f>IFERROR(AC96/AC444, "NA")</f>
        <v>-0.13931447619693396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-17441.34</v>
      </c>
      <c r="C98" s="8">
        <f>IFERROR(B98/B444, "NA")</f>
        <v>-3.2867474560239557E-2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-17441.34</v>
      </c>
      <c r="I98" s="8">
        <f>IFERROR(H98/H444, "NA")</f>
        <v>0.3118441985880126</v>
      </c>
      <c r="J98" s="9"/>
      <c r="K98" s="7">
        <v>-16863.55</v>
      </c>
      <c r="L98" s="8">
        <f>IFERROR(K98/K444, "NA")</f>
        <v>-3.1759186473058018E-2</v>
      </c>
      <c r="M98" s="9"/>
      <c r="N98" s="10">
        <f t="shared" si="25"/>
        <v>-577.79000000000087</v>
      </c>
      <c r="O98" s="8">
        <f>IFERROR(N98/N444, "NA")</f>
        <v>1.7763396562854483</v>
      </c>
      <c r="P98" s="9"/>
      <c r="Q98" s="7">
        <v>-141066.84</v>
      </c>
      <c r="R98" s="8">
        <f>IFERROR(Q98/Q444, "NA")</f>
        <v>-1.9670072960900731E-2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-141066.84</v>
      </c>
      <c r="X98" s="8">
        <f>IFERROR(W98/W444, "NA")</f>
        <v>0.36721480089715208</v>
      </c>
      <c r="Y98" s="9"/>
      <c r="Z98" s="7">
        <v>-145199.22999999998</v>
      </c>
      <c r="AA98" s="8">
        <f>IFERROR(Z98/Z444, "NA")</f>
        <v>-2.1560458805729706E-2</v>
      </c>
      <c r="AB98" s="9"/>
      <c r="AC98" s="10">
        <f t="shared" si="27"/>
        <v>4132.3899999999849</v>
      </c>
      <c r="AD98" s="8">
        <f>IFERROR(AC98/AC444, "NA")</f>
        <v>9.4533890106442801E-3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-239.19</v>
      </c>
      <c r="C100" s="8">
        <f>IFERROR(B100/B444, "NA")</f>
        <v>-4.5074353461739173E-4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-239.19</v>
      </c>
      <c r="I100" s="8">
        <f>IFERROR(H100/H444, "NA")</f>
        <v>4.2766217423814189E-3</v>
      </c>
      <c r="J100" s="9"/>
      <c r="K100" s="7">
        <v>-259.45999999999998</v>
      </c>
      <c r="L100" s="8">
        <f>IFERROR(K100/K444, "NA")</f>
        <v>-4.8864198358587805E-4</v>
      </c>
      <c r="M100" s="9"/>
      <c r="N100" s="10">
        <f t="shared" si="25"/>
        <v>20.269999999999982</v>
      </c>
      <c r="O100" s="8">
        <f>IFERROR(N100/N444, "NA")</f>
        <v>-6.2317459341466541E-2</v>
      </c>
      <c r="P100" s="9"/>
      <c r="Q100" s="7">
        <v>-19309.849999999999</v>
      </c>
      <c r="R100" s="8">
        <f>IFERROR(Q100/Q444, "NA")</f>
        <v>-2.6925261696090232E-3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-19309.849999999999</v>
      </c>
      <c r="X100" s="8">
        <f>IFERROR(W100/W444, "NA")</f>
        <v>5.0265978334127798E-2</v>
      </c>
      <c r="Y100" s="9"/>
      <c r="Z100" s="7">
        <v>-25418.47</v>
      </c>
      <c r="AA100" s="8">
        <f>IFERROR(Z100/Z444, "NA")</f>
        <v>-3.7743579999678818E-3</v>
      </c>
      <c r="AB100" s="9"/>
      <c r="AC100" s="10">
        <f t="shared" si="27"/>
        <v>6108.6200000000026</v>
      </c>
      <c r="AD100" s="8">
        <f>IFERROR(AC100/AC444, "NA")</f>
        <v>1.397427667238622E-2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-5193.13</v>
      </c>
      <c r="C102" s="8">
        <f>IFERROR(B102/B444, "NA")</f>
        <v>-9.7862359292930964E-3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-5193.13</v>
      </c>
      <c r="I102" s="8">
        <f>IFERROR(H102/H444, "NA")</f>
        <v>9.28510918893483E-2</v>
      </c>
      <c r="J102" s="9"/>
      <c r="K102" s="7">
        <v>-4856.1099999999997</v>
      </c>
      <c r="L102" s="8">
        <f>IFERROR(K102/K444, "NA")</f>
        <v>-9.1455300351160791E-3</v>
      </c>
      <c r="M102" s="9"/>
      <c r="N102" s="10">
        <f t="shared" si="25"/>
        <v>-337.02000000000044</v>
      </c>
      <c r="O102" s="8">
        <f>IFERROR(N102/N444, "NA")</f>
        <v>1.0361238355826887</v>
      </c>
      <c r="P102" s="9"/>
      <c r="Q102" s="7">
        <v>-61173.169999999991</v>
      </c>
      <c r="R102" s="8">
        <f>IFERROR(Q102/Q444, "NA")</f>
        <v>-8.5298622776946269E-3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-61173.169999999991</v>
      </c>
      <c r="X102" s="8">
        <f>IFERROR(W102/W444, "NA")</f>
        <v>0.15924148752320272</v>
      </c>
      <c r="Y102" s="9"/>
      <c r="Z102" s="7">
        <v>-29190.11</v>
      </c>
      <c r="AA102" s="8">
        <f>IFERROR(Z102/Z444, "NA")</f>
        <v>-4.3344042815496942E-3</v>
      </c>
      <c r="AB102" s="9"/>
      <c r="AC102" s="10">
        <f t="shared" si="27"/>
        <v>-31983.05999999999</v>
      </c>
      <c r="AD102" s="8">
        <f>IFERROR(AC102/AC444, "NA")</f>
        <v>-7.3165482428032599E-2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-2816.96</v>
      </c>
      <c r="C104" s="8">
        <f>IFERROR(B104/B444, "NA")</f>
        <v>-5.3084431091425556E-3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-2816.96</v>
      </c>
      <c r="I104" s="8">
        <f>IFERROR(H104/H444, "NA")</f>
        <v>5.0366120587895656E-2</v>
      </c>
      <c r="J104" s="9"/>
      <c r="K104" s="7">
        <v>-4258.21</v>
      </c>
      <c r="L104" s="8">
        <f>IFERROR(K104/K444, "NA")</f>
        <v>-8.0195027400185841E-3</v>
      </c>
      <c r="M104" s="9"/>
      <c r="N104" s="10">
        <f t="shared" si="25"/>
        <v>1441.25</v>
      </c>
      <c r="O104" s="8">
        <f>IFERROR(N104/N444, "NA")</f>
        <v>-4.4309343007345205</v>
      </c>
      <c r="P104" s="9"/>
      <c r="Q104" s="7">
        <v>-40439.159999999996</v>
      </c>
      <c r="R104" s="8">
        <f>IFERROR(Q104/Q444, "NA")</f>
        <v>-5.6387541372411708E-3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-40439.159999999996</v>
      </c>
      <c r="X104" s="8">
        <f>IFERROR(W104/W444, "NA")</f>
        <v>0.10526824084134923</v>
      </c>
      <c r="Y104" s="9"/>
      <c r="Z104" s="7">
        <v>-42818.07</v>
      </c>
      <c r="AA104" s="8">
        <f>IFERROR(Z104/Z444, "NA")</f>
        <v>-6.3580036504040077E-3</v>
      </c>
      <c r="AB104" s="9"/>
      <c r="AC104" s="10">
        <f t="shared" si="27"/>
        <v>2378.9100000000035</v>
      </c>
      <c r="AD104" s="8">
        <f>IFERROR(AC104/AC444, "NA")</f>
        <v>5.4420714529151166E-3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-1021.86</v>
      </c>
      <c r="C106" s="8">
        <f>IFERROR(B106/B444, "NA")</f>
        <v>-1.9256523612363725E-3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-1021.86</v>
      </c>
      <c r="I106" s="8">
        <f>IFERROR(H106/H444, "NA")</f>
        <v>1.8270448988962233E-2</v>
      </c>
      <c r="J106" s="9"/>
      <c r="K106" s="7">
        <v>-818.66000000000008</v>
      </c>
      <c r="L106" s="8">
        <f>IFERROR(K106/K444, "NA")</f>
        <v>-1.5417854246605064E-3</v>
      </c>
      <c r="M106" s="9"/>
      <c r="N106" s="10">
        <f t="shared" si="25"/>
        <v>-203.19999999999993</v>
      </c>
      <c r="O106" s="8">
        <f>IFERROR(N106/N444, "NA")</f>
        <v>0.6247117779075485</v>
      </c>
      <c r="P106" s="9"/>
      <c r="Q106" s="7">
        <v>-6256.23</v>
      </c>
      <c r="R106" s="8">
        <f>IFERROR(Q106/Q444, "NA")</f>
        <v>-8.7235597366593011E-4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-6256.23</v>
      </c>
      <c r="X106" s="8">
        <f>IFERROR(W106/W444, "NA")</f>
        <v>1.6285756835673001E-2</v>
      </c>
      <c r="Y106" s="9"/>
      <c r="Z106" s="7">
        <v>-30510.95</v>
      </c>
      <c r="AA106" s="8">
        <f>IFERROR(Z106/Z444, "NA")</f>
        <v>-4.530534222520869E-3</v>
      </c>
      <c r="AB106" s="9"/>
      <c r="AC106" s="10">
        <f t="shared" si="27"/>
        <v>24254.720000000001</v>
      </c>
      <c r="AD106" s="8">
        <f>IFERROR(AC106/AC444, "NA")</f>
        <v>5.5485881899882357E-2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-297.77999999999997</v>
      </c>
      <c r="AA108" s="8">
        <f>IFERROR(Z108/Z444, "NA")</f>
        <v>-4.4216993596799324E-5</v>
      </c>
      <c r="AB108" s="9"/>
      <c r="AC108" s="10">
        <f t="shared" si="27"/>
        <v>297.77999999999997</v>
      </c>
      <c r="AD108" s="8">
        <f>IFERROR(AC108/AC444, "NA")</f>
        <v>6.812111585764324E-4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-1.7150455908490572E-6</v>
      </c>
      <c r="AB111" s="9"/>
      <c r="AC111" s="10">
        <f t="shared" si="27"/>
        <v>11.55</v>
      </c>
      <c r="AD111" s="8">
        <f>IFERROR(AC111/AC444, "NA")</f>
        <v>2.6422153541399005E-5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-34728.400000000001</v>
      </c>
      <c r="C118" s="15">
        <f>IFERROR(B118/B444, "NA")</f>
        <v>-6.5444214923728539E-2</v>
      </c>
      <c r="D118" s="2"/>
      <c r="E118" s="14">
        <f>IFERROR(E94+E95+E96+E97+E98+E99+E100+E101+E102+E103+E104+E105+E106+E107+E108+E109+E110+E111+E112+E113+E114+E115+E116+E117, "NA")</f>
        <v>-21966.04</v>
      </c>
      <c r="F118" s="15">
        <f>IFERROR(E118/E444, "NA")</f>
        <v>-3.7447250505505431E-2</v>
      </c>
      <c r="G118" s="2"/>
      <c r="H118" s="14">
        <f t="shared" si="24"/>
        <v>-12762.36</v>
      </c>
      <c r="I118" s="15">
        <f>IFERROR(H118/H444, "NA")</f>
        <v>0.22818590350808532</v>
      </c>
      <c r="J118" s="2"/>
      <c r="K118" s="14">
        <f>IFERROR(K94+K95+K96+K97+K98+K99+K100+K101+K102+K103+K104+K105+K106+K107+K108+K109+K110+K111+K112+K113+K114+K115+K116+K117, "NA")</f>
        <v>-34493.040000000001</v>
      </c>
      <c r="L118" s="15">
        <f>IFERROR(K118/K444, "NA")</f>
        <v>-6.4960870598577955E-2</v>
      </c>
      <c r="M118" s="2"/>
      <c r="N118" s="14">
        <f t="shared" si="25"/>
        <v>-235.36000000000058</v>
      </c>
      <c r="O118" s="15">
        <f>IFERROR(N118/N444, "NA")</f>
        <v>0.72358348448976884</v>
      </c>
      <c r="P118" s="2"/>
      <c r="Q118" s="14">
        <f>IFERROR(Q94+Q95+Q96+Q97+Q98+Q99+Q100+Q101+Q102+Q103+Q104+Q105+Q106+Q107+Q108+Q109+Q110+Q111+Q112+Q113+Q114+Q115+Q116+Q117, "NA")</f>
        <v>-362852.25999999995</v>
      </c>
      <c r="R118" s="15">
        <f>IFERROR(Q118/Q444, "NA")</f>
        <v>-5.0595380375910604E-2</v>
      </c>
      <c r="S118" s="2"/>
      <c r="T118" s="14">
        <f>IFERROR(T94+T95+T96+T97+T98+T99+T100+T101+T102+T103+T104+T105+T106+T107+T108+T109+T110+T111+T112+T113+T114+T115+T116+T117, "NA")</f>
        <v>-281992.15999999997</v>
      </c>
      <c r="U118" s="15">
        <f>IFERROR(T118/T444, "NA")</f>
        <v>-3.7321276902258477E-2</v>
      </c>
      <c r="V118" s="2"/>
      <c r="W118" s="14">
        <f t="shared" si="26"/>
        <v>-80860.099999999977</v>
      </c>
      <c r="X118" s="15">
        <f>IFERROR(W118/W444, "NA")</f>
        <v>0.21048905272155952</v>
      </c>
      <c r="Y118" s="2"/>
      <c r="Z118" s="14">
        <f>IFERROR(Z94+Z95+Z96+Z97+Z98+Z99+Z100+Z101+Z102+Z103+Z104+Z105+Z106+Z107+Z108+Z109+Z110+Z111+Z112+Z113+Z114+Z115+Z116+Z117, "NA")</f>
        <v>-307154.19</v>
      </c>
      <c r="AA118" s="15">
        <f>IFERROR(Z118/Z444, "NA")</f>
        <v>-4.5608955780979531E-2</v>
      </c>
      <c r="AB118" s="2"/>
      <c r="AC118" s="14">
        <f t="shared" si="27"/>
        <v>-55698.069999999949</v>
      </c>
      <c r="AD118" s="15">
        <f>IFERROR(AC118/AC444, "NA")</f>
        <v>-0.12741670627702062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530656.53000000014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586586.18999999994</v>
      </c>
      <c r="F122" s="15">
        <f>IFERROR(E122/E444, "NA")</f>
        <v>1</v>
      </c>
      <c r="G122" s="2"/>
      <c r="H122" s="14">
        <f t="shared" si="24"/>
        <v>-55929.6599999998</v>
      </c>
      <c r="I122" s="15">
        <f>IFERROR(H122/H444, "NA")</f>
        <v>0.99999999999999789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530981.79999999981</v>
      </c>
      <c r="L122" s="15">
        <f>IFERROR(K122/K444, "NA")</f>
        <v>0.99999999999999956</v>
      </c>
      <c r="M122" s="2"/>
      <c r="N122" s="14">
        <f t="shared" si="25"/>
        <v>-325.26999999966938</v>
      </c>
      <c r="O122" s="15">
        <f>IFERROR(N122/N444, "NA")</f>
        <v>0.9999999999989263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7171648.0300000012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7555801.5</v>
      </c>
      <c r="U122" s="15">
        <f>IFERROR(T122/T444, "NA")</f>
        <v>1</v>
      </c>
      <c r="V122" s="2"/>
      <c r="W122" s="14">
        <f t="shared" si="26"/>
        <v>-384153.46999999881</v>
      </c>
      <c r="X122" s="15">
        <f>IFERROR(W122/W444, "NA")</f>
        <v>0.99999999999999756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6734514.8499999987</v>
      </c>
      <c r="AA122" s="15">
        <f>IFERROR(Z122/Z444, "NA")</f>
        <v>0.99999999999999978</v>
      </c>
      <c r="AB122" s="2"/>
      <c r="AC122" s="14">
        <f t="shared" si="27"/>
        <v>437133.1800000025</v>
      </c>
      <c r="AD122" s="15">
        <f>IFERROR(AC122/AC444, "NA")</f>
        <v>1.0000000000000064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530656.53000000014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586586.18999999994</v>
      </c>
      <c r="F124" s="15">
        <f>IFERROR(E124/E444, "NA")</f>
        <v>1</v>
      </c>
      <c r="G124" s="2"/>
      <c r="H124" s="14">
        <f t="shared" si="24"/>
        <v>-55929.6599999998</v>
      </c>
      <c r="I124" s="15">
        <f>IFERROR(H124/H444, "NA")</f>
        <v>0.99999999999999789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530981.79999999981</v>
      </c>
      <c r="L124" s="15">
        <f>IFERROR(K124/K444, "NA")</f>
        <v>0.99999999999999956</v>
      </c>
      <c r="M124" s="2"/>
      <c r="N124" s="14">
        <f t="shared" si="25"/>
        <v>-325.26999999966938</v>
      </c>
      <c r="O124" s="15">
        <f>IFERROR(N124/N444, "NA")</f>
        <v>0.9999999999989263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7171648.0300000012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7555801.5</v>
      </c>
      <c r="U124" s="15">
        <f>IFERROR(T124/T444, "NA")</f>
        <v>1</v>
      </c>
      <c r="V124" s="2"/>
      <c r="W124" s="14">
        <f t="shared" si="26"/>
        <v>-384153.46999999881</v>
      </c>
      <c r="X124" s="15">
        <f>IFERROR(W124/W444, "NA")</f>
        <v>0.99999999999999756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6734514.8499999987</v>
      </c>
      <c r="AA124" s="15">
        <f>IFERROR(Z124/Z444, "NA")</f>
        <v>0.99999999999999978</v>
      </c>
      <c r="AB124" s="2"/>
      <c r="AC124" s="14">
        <f t="shared" si="27"/>
        <v>437133.1800000025</v>
      </c>
      <c r="AD124" s="15">
        <f>IFERROR(AC124/AC444, "NA")</f>
        <v>1.0000000000000064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128912.54</v>
      </c>
      <c r="F129" s="8">
        <f>IFERROR(E129/E444, "NA")</f>
        <v>0.21976743093798373</v>
      </c>
      <c r="G129" s="9"/>
      <c r="H129" s="10">
        <f t="shared" ref="H129:H141" si="28">IFERROR(-(B129-E129), "NA")</f>
        <v>128912.54</v>
      </c>
      <c r="I129" s="8">
        <f>IFERROR(H129/H444, "NA")</f>
        <v>-2.3049047678816605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1717240.4100000001</v>
      </c>
      <c r="U129" s="8">
        <f>IFERROR(T129/T444, "NA")</f>
        <v>0.22727442085396238</v>
      </c>
      <c r="V129" s="9"/>
      <c r="W129" s="10">
        <f t="shared" ref="W129:W141" si="30">IFERROR(-(Q129-T129), "NA")</f>
        <v>1717240.4100000001</v>
      </c>
      <c r="X129" s="8">
        <f>IFERROR(W129/W444, "NA")</f>
        <v>-4.4701936702537175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27660.46</v>
      </c>
      <c r="C130" s="8">
        <f>IFERROR(B130/B444, "NA")</f>
        <v>5.2124978090818931E-2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-27660.46</v>
      </c>
      <c r="I130" s="8">
        <f>IFERROR(H130/H444, "NA")</f>
        <v>0.49455798587010974</v>
      </c>
      <c r="J130" s="9"/>
      <c r="K130" s="7">
        <v>32487.3</v>
      </c>
      <c r="L130" s="8">
        <f>IFERROR(K130/K444, "NA")</f>
        <v>6.1183452992174113E-2</v>
      </c>
      <c r="M130" s="9"/>
      <c r="N130" s="10">
        <f t="shared" si="29"/>
        <v>4826.84</v>
      </c>
      <c r="O130" s="8">
        <f>IFERROR(N130/N444, "NA")</f>
        <v>-14.839487195252325</v>
      </c>
      <c r="P130" s="9"/>
      <c r="Q130" s="7">
        <v>372608.05</v>
      </c>
      <c r="R130" s="8">
        <f>IFERROR(Q130/Q444, "NA")</f>
        <v>5.1955707870956401E-2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-372608.05</v>
      </c>
      <c r="X130" s="8">
        <f>IFERROR(W130/W444, "NA")</f>
        <v>0.96994581358330623</v>
      </c>
      <c r="Y130" s="9"/>
      <c r="Z130" s="7">
        <v>422002.14</v>
      </c>
      <c r="AA130" s="8">
        <f>IFERROR(Z130/Z444, "NA")</f>
        <v>6.2662589570204888E-2</v>
      </c>
      <c r="AB130" s="9"/>
      <c r="AC130" s="10">
        <f t="shared" si="31"/>
        <v>49394.090000000026</v>
      </c>
      <c r="AD130" s="8">
        <f>IFERROR(AC130/AC444, "NA")</f>
        <v>0.11299551775044864</v>
      </c>
    </row>
    <row r="131" spans="1:30" ht="16.5" customHeight="1" x14ac:dyDescent="0.45">
      <c r="A131" s="12" t="s">
        <v>123</v>
      </c>
      <c r="B131" s="7">
        <v>15953.34</v>
      </c>
      <c r="C131" s="8">
        <f>IFERROR(B131/B444, "NA")</f>
        <v>3.0063400896998289E-2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-15953.34</v>
      </c>
      <c r="I131" s="8">
        <f>IFERROR(H131/H444, "NA")</f>
        <v>0.28523935242946274</v>
      </c>
      <c r="J131" s="9"/>
      <c r="K131" s="7">
        <v>17738.25</v>
      </c>
      <c r="L131" s="8">
        <f>IFERROR(K131/K444, "NA")</f>
        <v>3.3406512238272568E-2</v>
      </c>
      <c r="M131" s="9"/>
      <c r="N131" s="10">
        <f t="shared" si="29"/>
        <v>1784.9099999999999</v>
      </c>
      <c r="O131" s="8">
        <f>IFERROR(N131/N444, "NA")</f>
        <v>-5.4874719463826906</v>
      </c>
      <c r="P131" s="9"/>
      <c r="Q131" s="7">
        <v>207072.7</v>
      </c>
      <c r="R131" s="8">
        <f>IFERROR(Q131/Q444, "NA")</f>
        <v>2.8873795692954552E-2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-207072.7</v>
      </c>
      <c r="X131" s="8">
        <f>IFERROR(W131/W444, "NA")</f>
        <v>0.53903639084660659</v>
      </c>
      <c r="Y131" s="9"/>
      <c r="Z131" s="7">
        <v>208801.69</v>
      </c>
      <c r="AA131" s="8">
        <f>IFERROR(Z131/Z444, "NA")</f>
        <v>3.1004711497517892E-2</v>
      </c>
      <c r="AB131" s="9"/>
      <c r="AC131" s="10">
        <f t="shared" si="31"/>
        <v>1728.9899999999907</v>
      </c>
      <c r="AD131" s="8">
        <f>IFERROR(AC131/AC444, "NA")</f>
        <v>3.9552934416920531E-3</v>
      </c>
    </row>
    <row r="132" spans="1:30" ht="16.5" customHeight="1" x14ac:dyDescent="0.45">
      <c r="A132" s="12" t="s">
        <v>124</v>
      </c>
      <c r="B132" s="7">
        <v>14755.09</v>
      </c>
      <c r="C132" s="8">
        <f>IFERROR(B132/B444, "NA")</f>
        <v>2.7805348970265192E-2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-14755.09</v>
      </c>
      <c r="I132" s="8">
        <f>IFERROR(H132/H444, "NA")</f>
        <v>0.2638151206354557</v>
      </c>
      <c r="J132" s="9"/>
      <c r="K132" s="7">
        <v>20391.22</v>
      </c>
      <c r="L132" s="8">
        <f>IFERROR(K132/K444, "NA")</f>
        <v>3.8402860512356543E-2</v>
      </c>
      <c r="M132" s="9"/>
      <c r="N132" s="10">
        <f t="shared" si="29"/>
        <v>5636.130000000001</v>
      </c>
      <c r="O132" s="8">
        <f>IFERROR(N132/N444, "NA")</f>
        <v>-17.327543271742485</v>
      </c>
      <c r="P132" s="9"/>
      <c r="Q132" s="7">
        <v>310906.28999999998</v>
      </c>
      <c r="R132" s="8">
        <f>IFERROR(Q132/Q444, "NA")</f>
        <v>4.3352140079858319E-2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-310906.28999999998</v>
      </c>
      <c r="X132" s="8">
        <f>IFERROR(W132/W444, "NA")</f>
        <v>0.80932833953055316</v>
      </c>
      <c r="Y132" s="9"/>
      <c r="Z132" s="7">
        <v>243614.16</v>
      </c>
      <c r="AA132" s="8">
        <f>IFERROR(Z132/Z444, "NA")</f>
        <v>3.6173973244709674E-2</v>
      </c>
      <c r="AB132" s="9"/>
      <c r="AC132" s="10">
        <f t="shared" si="31"/>
        <v>-67292.129999999976</v>
      </c>
      <c r="AD132" s="8">
        <f>IFERROR(AC132/AC444, "NA")</f>
        <v>-0.15393965289937503</v>
      </c>
    </row>
    <row r="133" spans="1:30" ht="16.5" customHeight="1" x14ac:dyDescent="0.45">
      <c r="A133" s="12" t="s">
        <v>125</v>
      </c>
      <c r="B133" s="7">
        <v>13631.35</v>
      </c>
      <c r="C133" s="8">
        <f>IFERROR(B133/B444, "NA")</f>
        <v>2.568770801708593E-2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-13631.35</v>
      </c>
      <c r="I133" s="8">
        <f>IFERROR(H133/H444, "NA")</f>
        <v>0.24372309790547664</v>
      </c>
      <c r="J133" s="9"/>
      <c r="K133" s="7">
        <v>13093.92</v>
      </c>
      <c r="L133" s="8">
        <f>IFERROR(K133/K444, "NA")</f>
        <v>2.4659828265300238E-2</v>
      </c>
      <c r="M133" s="9"/>
      <c r="N133" s="10">
        <f t="shared" si="29"/>
        <v>-537.43000000000029</v>
      </c>
      <c r="O133" s="8">
        <f>IFERROR(N133/N444, "NA")</f>
        <v>1.6522581240199512</v>
      </c>
      <c r="P133" s="9"/>
      <c r="Q133" s="7">
        <v>168594.23</v>
      </c>
      <c r="R133" s="8">
        <f>IFERROR(Q133/Q444, "NA")</f>
        <v>2.3508436177395616E-2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-168594.23</v>
      </c>
      <c r="X133" s="8">
        <f>IFERROR(W133/W444, "NA")</f>
        <v>0.43887207370533482</v>
      </c>
      <c r="Y133" s="9"/>
      <c r="Z133" s="7">
        <v>144774.91</v>
      </c>
      <c r="AA133" s="8">
        <f>IFERROR(Z133/Z444, "NA")</f>
        <v>2.1497452039919401E-2</v>
      </c>
      <c r="AB133" s="9"/>
      <c r="AC133" s="10">
        <f t="shared" si="31"/>
        <v>-23819.320000000007</v>
      </c>
      <c r="AD133" s="8">
        <f>IFERROR(AC133/AC444, "NA")</f>
        <v>-5.4489846778503576E-2</v>
      </c>
    </row>
    <row r="134" spans="1:30" ht="16.5" customHeight="1" x14ac:dyDescent="0.45">
      <c r="A134" s="12" t="s">
        <v>126</v>
      </c>
      <c r="B134" s="7">
        <v>7482.2799999999988</v>
      </c>
      <c r="C134" s="8">
        <f>IFERROR(B134/B444, "NA")</f>
        <v>1.4100043204971017E-2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-7482.2799999999988</v>
      </c>
      <c r="I134" s="8">
        <f>IFERROR(H134/H444, "NA")</f>
        <v>0.13378018031935129</v>
      </c>
      <c r="J134" s="9"/>
      <c r="K134" s="7">
        <v>5777.74</v>
      </c>
      <c r="L134" s="8">
        <f>IFERROR(K134/K444, "NA")</f>
        <v>1.0881239243981619E-2</v>
      </c>
      <c r="M134" s="9"/>
      <c r="N134" s="10">
        <f t="shared" si="29"/>
        <v>-1704.5399999999991</v>
      </c>
      <c r="O134" s="8">
        <f>IFERROR(N134/N444, "NA")</f>
        <v>5.2403849109967151</v>
      </c>
      <c r="P134" s="9"/>
      <c r="Q134" s="7">
        <v>67672.89</v>
      </c>
      <c r="R134" s="8">
        <f>IFERROR(Q134/Q444, "NA")</f>
        <v>9.4361700012207655E-3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-67672.89</v>
      </c>
      <c r="X134" s="8">
        <f>IFERROR(W134/W444, "NA")</f>
        <v>0.17616107958103319</v>
      </c>
      <c r="Y134" s="9"/>
      <c r="Z134" s="7">
        <v>69922.880000000005</v>
      </c>
      <c r="AA134" s="8">
        <f>IFERROR(Z134/Z444, "NA")</f>
        <v>1.0382764246187682E-2</v>
      </c>
      <c r="AB134" s="9"/>
      <c r="AC134" s="10">
        <f t="shared" si="31"/>
        <v>2249.9900000000052</v>
      </c>
      <c r="AD134" s="8">
        <f>IFERROR(AC134/AC444, "NA")</f>
        <v>5.1471498914816005E-3</v>
      </c>
    </row>
    <row r="135" spans="1:30" ht="16.5" customHeight="1" x14ac:dyDescent="0.45">
      <c r="A135" s="12" t="s">
        <v>127</v>
      </c>
      <c r="B135" s="7">
        <v>4423.8999999999996</v>
      </c>
      <c r="C135" s="8">
        <f>IFERROR(B135/B444, "NA")</f>
        <v>8.3366542196324223E-3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-4423.8999999999996</v>
      </c>
      <c r="I135" s="8">
        <f>IFERROR(H135/H444, "NA")</f>
        <v>7.9097566479038248E-2</v>
      </c>
      <c r="J135" s="9"/>
      <c r="K135" s="7">
        <v>4713.95</v>
      </c>
      <c r="L135" s="8">
        <f>IFERROR(K135/K444, "NA")</f>
        <v>8.8777995780646331E-3</v>
      </c>
      <c r="M135" s="9"/>
      <c r="N135" s="10">
        <f t="shared" si="29"/>
        <v>290.05000000000018</v>
      </c>
      <c r="O135" s="8">
        <f>IFERROR(N135/N444, "NA")</f>
        <v>-0.89172072432128258</v>
      </c>
      <c r="P135" s="9"/>
      <c r="Q135" s="7">
        <v>59538.25</v>
      </c>
      <c r="R135" s="8">
        <f>IFERROR(Q135/Q444, "NA")</f>
        <v>8.3018923615524945E-3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-59538.25</v>
      </c>
      <c r="X135" s="8">
        <f>IFERROR(W135/W444, "NA")</f>
        <v>0.15498558427703396</v>
      </c>
      <c r="Y135" s="9"/>
      <c r="Z135" s="7">
        <v>58377.9</v>
      </c>
      <c r="AA135" s="8">
        <f>IFERROR(Z135/Z444, "NA")</f>
        <v>8.6684640690932614E-3</v>
      </c>
      <c r="AB135" s="9"/>
      <c r="AC135" s="10">
        <f t="shared" si="31"/>
        <v>-1160.3499999999985</v>
      </c>
      <c r="AD135" s="8">
        <f>IFERROR(AC135/AC444, "NA")</f>
        <v>-2.6544541871655666E-3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4654.66</v>
      </c>
      <c r="L136" s="8">
        <f>IFERROR(K136/K444, "NA")</f>
        <v>8.7661385004156444E-3</v>
      </c>
      <c r="M136" s="9"/>
      <c r="N136" s="10">
        <f t="shared" si="29"/>
        <v>4654.66</v>
      </c>
      <c r="O136" s="8">
        <f>IFERROR(N136/N444, "NA")</f>
        <v>-14.310142343283221</v>
      </c>
      <c r="P136" s="9"/>
      <c r="Q136" s="7">
        <v>25124.32</v>
      </c>
      <c r="R136" s="8">
        <f>IFERROR(Q136/Q444, "NA")</f>
        <v>3.503284028287707E-3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-25124.32</v>
      </c>
      <c r="X136" s="8">
        <f>IFERROR(W136/W444, "NA")</f>
        <v>6.5401778096655011E-2</v>
      </c>
      <c r="Y136" s="9"/>
      <c r="Z136" s="7">
        <v>57167.100000000006</v>
      </c>
      <c r="AA136" s="8">
        <f>IFERROR(Z136/Z444, "NA")</f>
        <v>8.4886738352058129E-3</v>
      </c>
      <c r="AB136" s="9"/>
      <c r="AC136" s="10">
        <f t="shared" si="31"/>
        <v>32042.780000000006</v>
      </c>
      <c r="AD136" s="8">
        <f>IFERROR(AC136/AC444, "NA")</f>
        <v>7.3302099831451889E-2</v>
      </c>
    </row>
    <row r="137" spans="1:30" ht="16.5" customHeight="1" x14ac:dyDescent="0.45">
      <c r="A137" s="12" t="s">
        <v>129</v>
      </c>
      <c r="B137" s="7">
        <v>2651.51</v>
      </c>
      <c r="C137" s="8">
        <f>IFERROR(B137/B444, "NA")</f>
        <v>4.9966595153365968E-3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-2651.51</v>
      </c>
      <c r="I137" s="8">
        <f>IFERROR(H137/H444, "NA")</f>
        <v>4.7407940616839152E-2</v>
      </c>
      <c r="J137" s="9"/>
      <c r="K137" s="7">
        <v>3264.98</v>
      </c>
      <c r="L137" s="8">
        <f>IFERROR(K137/K444, "NA")</f>
        <v>6.1489489846921304E-3</v>
      </c>
      <c r="M137" s="9"/>
      <c r="N137" s="10">
        <f t="shared" si="29"/>
        <v>613.4699999999998</v>
      </c>
      <c r="O137" s="8">
        <f>IFERROR(N137/N444, "NA")</f>
        <v>-1.886033141697558</v>
      </c>
      <c r="P137" s="9"/>
      <c r="Q137" s="7">
        <v>36830.259999999995</v>
      </c>
      <c r="R137" s="8">
        <f>IFERROR(Q137/Q444, "NA")</f>
        <v>5.135536468874922E-3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-36830.259999999995</v>
      </c>
      <c r="X137" s="8">
        <f>IFERROR(W137/W444, "NA")</f>
        <v>9.5873818346610323E-2</v>
      </c>
      <c r="Y137" s="9"/>
      <c r="Z137" s="7">
        <v>34824.769999999997</v>
      </c>
      <c r="AA137" s="8">
        <f>IFERROR(Z137/Z444, "NA")</f>
        <v>5.1710881593794384E-3</v>
      </c>
      <c r="AB137" s="9"/>
      <c r="AC137" s="10">
        <f t="shared" si="31"/>
        <v>-2005.489999999998</v>
      </c>
      <c r="AD137" s="8">
        <f>IFERROR(AC137/AC444, "NA")</f>
        <v>-4.5878237840467732E-3</v>
      </c>
    </row>
    <row r="138" spans="1:30" ht="16.5" customHeight="1" x14ac:dyDescent="0.45">
      <c r="A138" s="12" t="s">
        <v>130</v>
      </c>
      <c r="B138" s="7">
        <v>39470.899999999994</v>
      </c>
      <c r="C138" s="8">
        <f>IFERROR(B138/B444, "NA")</f>
        <v>7.4381257496256556E-2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-39470.899999999994</v>
      </c>
      <c r="I138" s="8">
        <f>IFERROR(H138/H444, "NA")</f>
        <v>0.70572393967708824</v>
      </c>
      <c r="J138" s="9"/>
      <c r="K138" s="7">
        <v>29858.240000000002</v>
      </c>
      <c r="L138" s="8">
        <f>IFERROR(K138/K444, "NA")</f>
        <v>5.6232134510071717E-2</v>
      </c>
      <c r="M138" s="9"/>
      <c r="N138" s="10">
        <f t="shared" si="29"/>
        <v>-9612.6599999999926</v>
      </c>
      <c r="O138" s="8">
        <f>IFERROR(N138/N444, "NA")</f>
        <v>29.552863774708527</v>
      </c>
      <c r="P138" s="9"/>
      <c r="Q138" s="7">
        <v>437704.99000000005</v>
      </c>
      <c r="R138" s="8">
        <f>IFERROR(Q138/Q444, "NA")</f>
        <v>6.1032692648749526E-2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-437704.99000000005</v>
      </c>
      <c r="X138" s="8">
        <f>IFERROR(W138/W444, "NA")</f>
        <v>1.139401369978515</v>
      </c>
      <c r="Y138" s="9"/>
      <c r="Z138" s="7">
        <v>332661.61</v>
      </c>
      <c r="AA138" s="8">
        <f>IFERROR(Z138/Z444, "NA")</f>
        <v>4.9396521859328878E-2</v>
      </c>
      <c r="AB138" s="9"/>
      <c r="AC138" s="10">
        <f t="shared" si="31"/>
        <v>-105043.38000000006</v>
      </c>
      <c r="AD138" s="8">
        <f>IFERROR(AC138/AC444, "NA")</f>
        <v>-0.24030063332186347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32.799999999999997</v>
      </c>
      <c r="L140" s="8">
        <f>IFERROR(K140/K444, "NA")</f>
        <v>6.1772362065893777E-5</v>
      </c>
      <c r="M140" s="9"/>
      <c r="N140" s="10">
        <f t="shared" si="29"/>
        <v>32.799999999999997</v>
      </c>
      <c r="O140" s="8">
        <f>IFERROR(N140/N444, "NA")</f>
        <v>-0.10083930273310825</v>
      </c>
      <c r="P140" s="9"/>
      <c r="Q140" s="7">
        <v>107.2</v>
      </c>
      <c r="R140" s="8">
        <f>IFERROR(Q140/Q444, "NA")</f>
        <v>1.4947749743373839E-5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-107.2</v>
      </c>
      <c r="X140" s="8">
        <f>IFERROR(W140/W444, "NA")</f>
        <v>2.7905513908282561E-4</v>
      </c>
      <c r="Y140" s="9"/>
      <c r="Z140" s="7">
        <v>406.67</v>
      </c>
      <c r="AA140" s="8">
        <f>IFERROR(Z140/Z444, "NA")</f>
        <v>6.0385938565418709E-5</v>
      </c>
      <c r="AB140" s="9"/>
      <c r="AC140" s="10">
        <f t="shared" si="31"/>
        <v>299.47000000000003</v>
      </c>
      <c r="AD140" s="8">
        <f>IFERROR(AC140/AC444, "NA")</f>
        <v>6.8507725723313938E-4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126028.82999999999</v>
      </c>
      <c r="C141" s="15">
        <f>IFERROR(B141/B444, "NA")</f>
        <v>0.23749605041136493</v>
      </c>
      <c r="D141" s="2"/>
      <c r="E141" s="14">
        <f>IFERROR(E129+E130+E131+E132+E133+E134+E135+E136+E137+E138+E139+E140, "NA")</f>
        <v>128912.54</v>
      </c>
      <c r="F141" s="15">
        <f>IFERROR(E141/E444, "NA")</f>
        <v>0.21976743093798373</v>
      </c>
      <c r="G141" s="2"/>
      <c r="H141" s="14">
        <f t="shared" si="28"/>
        <v>2883.7100000000064</v>
      </c>
      <c r="I141" s="15">
        <f>IFERROR(H141/H444, "NA")</f>
        <v>-5.1559583948838784E-2</v>
      </c>
      <c r="J141" s="2"/>
      <c r="K141" s="14">
        <f>IFERROR(K129+K130+K131+K132+K133+K134+K135+K136+K137+K138+K139+K140, "NA")</f>
        <v>132013.06</v>
      </c>
      <c r="L141" s="15">
        <f>IFERROR(K141/K444, "NA")</f>
        <v>0.24862068718739511</v>
      </c>
      <c r="M141" s="2"/>
      <c r="N141" s="14">
        <f t="shared" si="29"/>
        <v>5984.2300000000105</v>
      </c>
      <c r="O141" s="15">
        <f>IFERROR(N141/N444, "NA")</f>
        <v>-18.397731115687485</v>
      </c>
      <c r="P141" s="2"/>
      <c r="Q141" s="14">
        <f>IFERROR(Q129+Q130+Q131+Q132+Q133+Q134+Q135+Q136+Q137+Q138+Q139+Q140, "NA")</f>
        <v>1686159.18</v>
      </c>
      <c r="R141" s="15">
        <f>IFERROR(Q141/Q444, "NA")</f>
        <v>0.23511460307959367</v>
      </c>
      <c r="S141" s="2"/>
      <c r="T141" s="14">
        <f>IFERROR(T129+T130+T131+T132+T133+T134+T135+T136+T137+T138+T139+T140, "NA")</f>
        <v>1717240.4100000001</v>
      </c>
      <c r="U141" s="15">
        <f>IFERROR(T141/T444, "NA")</f>
        <v>0.22727442085396238</v>
      </c>
      <c r="V141" s="2"/>
      <c r="W141" s="14">
        <f t="shared" si="30"/>
        <v>31081.230000000214</v>
      </c>
      <c r="X141" s="15">
        <f>IFERROR(W141/W444, "NA")</f>
        <v>-8.0908367168986486E-2</v>
      </c>
      <c r="Y141" s="2"/>
      <c r="Z141" s="14">
        <f>IFERROR(Z129+Z130+Z131+Z132+Z133+Z134+Z135+Z136+Z137+Z138+Z139+Z140, "NA")</f>
        <v>1572553.83</v>
      </c>
      <c r="AA141" s="15">
        <f>IFERROR(Z141/Z444, "NA")</f>
        <v>0.23350662446011236</v>
      </c>
      <c r="AB141" s="2"/>
      <c r="AC141" s="14">
        <f t="shared" si="31"/>
        <v>-113605.34999999986</v>
      </c>
      <c r="AD141" s="15">
        <f>IFERROR(AC141/AC444, "NA")</f>
        <v>-0.25988727279864671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6680.43</v>
      </c>
      <c r="C144" s="8">
        <f>IFERROR(B144/B444, "NA")</f>
        <v>1.2588990471859452E-2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-6680.43</v>
      </c>
      <c r="I144" s="8">
        <f>IFERROR(H144/H444, "NA")</f>
        <v>0.1194434223272591</v>
      </c>
      <c r="J144" s="9"/>
      <c r="K144" s="7">
        <v>6539.65</v>
      </c>
      <c r="L144" s="8">
        <f>IFERROR(K144/K444, "NA")</f>
        <v>1.2316147182445799E-2</v>
      </c>
      <c r="M144" s="9"/>
      <c r="N144" s="10">
        <f t="shared" si="33"/>
        <v>-140.78000000000065</v>
      </c>
      <c r="O144" s="8">
        <f>IFERROR(N144/N444, "NA")</f>
        <v>0.4328096658160685</v>
      </c>
      <c r="P144" s="9"/>
      <c r="Q144" s="7">
        <v>91555.54</v>
      </c>
      <c r="R144" s="8">
        <f>IFERROR(Q144/Q444, "NA")</f>
        <v>1.2766318092718779E-2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-91555.54</v>
      </c>
      <c r="X144" s="8">
        <f>IFERROR(W144/W444, "NA")</f>
        <v>0.23833063384797762</v>
      </c>
      <c r="Y144" s="9"/>
      <c r="Z144" s="7">
        <v>71183.11</v>
      </c>
      <c r="AA144" s="8">
        <f>IFERROR(Z144/Z444, "NA")</f>
        <v>1.0569894281248781E-2</v>
      </c>
      <c r="AB144" s="9"/>
      <c r="AC144" s="10">
        <f t="shared" si="35"/>
        <v>-20372.429999999993</v>
      </c>
      <c r="AD144" s="8">
        <f>IFERROR(AC144/AC444, "NA")</f>
        <v>-4.6604629737783822E-2</v>
      </c>
    </row>
    <row r="145" spans="1:30" ht="16.5" customHeight="1" x14ac:dyDescent="0.45">
      <c r="A145" s="12" t="s">
        <v>136</v>
      </c>
      <c r="B145" s="7">
        <v>293.32</v>
      </c>
      <c r="C145" s="8">
        <f>IFERROR(B145/B444, "NA")</f>
        <v>5.5274925195022094E-4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-293.32</v>
      </c>
      <c r="I145" s="8">
        <f>IFERROR(H145/H444, "NA")</f>
        <v>5.2444445398023235E-3</v>
      </c>
      <c r="J145" s="9"/>
      <c r="K145" s="7">
        <v>241.45</v>
      </c>
      <c r="L145" s="8">
        <f>IFERROR(K145/K444, "NA")</f>
        <v>4.547236835612821E-4</v>
      </c>
      <c r="M145" s="9"/>
      <c r="N145" s="10">
        <f t="shared" si="33"/>
        <v>-51.870000000000005</v>
      </c>
      <c r="O145" s="8">
        <f>IFERROR(N145/N444, "NA")</f>
        <v>0.15946751929165626</v>
      </c>
      <c r="P145" s="9"/>
      <c r="Q145" s="7">
        <v>4793.2000000000007</v>
      </c>
      <c r="R145" s="8">
        <f>IFERROR(Q145/Q444, "NA")</f>
        <v>6.6835404915988332E-4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-4793.2000000000007</v>
      </c>
      <c r="X145" s="8">
        <f>IFERROR(W145/W444, "NA")</f>
        <v>1.2477304968766791E-2</v>
      </c>
      <c r="Y145" s="9"/>
      <c r="Z145" s="7">
        <v>5739.8300000000008</v>
      </c>
      <c r="AA145" s="8">
        <f>IFERROR(Z145/Z444, "NA")</f>
        <v>8.5230044447819433E-4</v>
      </c>
      <c r="AB145" s="9"/>
      <c r="AC145" s="10">
        <f t="shared" si="35"/>
        <v>946.63000000000011</v>
      </c>
      <c r="AD145" s="8">
        <f>IFERROR(AC145/AC444, "NA")</f>
        <v>2.1655414031943325E-3</v>
      </c>
    </row>
    <row r="146" spans="1:30" ht="16.5" customHeight="1" x14ac:dyDescent="0.45">
      <c r="A146" s="12" t="s">
        <v>137</v>
      </c>
      <c r="B146" s="7">
        <v>597.76</v>
      </c>
      <c r="C146" s="8">
        <f>IFERROR(B146/B444, "NA")</f>
        <v>1.1264536780504707E-3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-597.76</v>
      </c>
      <c r="I146" s="8">
        <f>IFERROR(H146/H444, "NA")</f>
        <v>1.0687710241757251E-2</v>
      </c>
      <c r="J146" s="9"/>
      <c r="K146" s="7">
        <v>-177.96000000000004</v>
      </c>
      <c r="L146" s="8">
        <f>IFERROR(K146/K444, "NA")</f>
        <v>-3.3515273028190425E-4</v>
      </c>
      <c r="M146" s="9"/>
      <c r="N146" s="10">
        <f t="shared" si="33"/>
        <v>-775.72</v>
      </c>
      <c r="O146" s="8">
        <f>IFERROR(N146/N444, "NA")</f>
        <v>2.3848495096380105</v>
      </c>
      <c r="P146" s="9"/>
      <c r="Q146" s="7">
        <v>5894.47</v>
      </c>
      <c r="R146" s="8">
        <f>IFERROR(Q146/Q444, "NA")</f>
        <v>8.2191289580060443E-4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-5894.47</v>
      </c>
      <c r="X146" s="8">
        <f>IFERROR(W146/W444, "NA")</f>
        <v>1.5344049866320365E-2</v>
      </c>
      <c r="Y146" s="9"/>
      <c r="Z146" s="7">
        <v>17979.419999999998</v>
      </c>
      <c r="AA146" s="8">
        <f>IFERROR(Z146/Z444, "NA")</f>
        <v>2.6697424239847055E-3</v>
      </c>
      <c r="AB146" s="9"/>
      <c r="AC146" s="10">
        <f t="shared" si="35"/>
        <v>12084.949999999997</v>
      </c>
      <c r="AD146" s="8">
        <f>IFERROR(AC146/AC444, "NA")</f>
        <v>2.7645922462348902E-2</v>
      </c>
    </row>
    <row r="147" spans="1:30" ht="16.5" customHeight="1" x14ac:dyDescent="0.45">
      <c r="A147" s="12" t="s">
        <v>138</v>
      </c>
      <c r="B147" s="7">
        <v>65.040000000000006</v>
      </c>
      <c r="C147" s="8">
        <f>IFERROR(B147/B444, "NA")</f>
        <v>1.2256515528038449E-4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-65.040000000000006</v>
      </c>
      <c r="I147" s="8">
        <f>IFERROR(H147/H444, "NA")</f>
        <v>1.1628892433817781E-3</v>
      </c>
      <c r="J147" s="9"/>
      <c r="K147" s="7">
        <v>25.040000000000006</v>
      </c>
      <c r="L147" s="8">
        <f>IFERROR(K147/K444, "NA")</f>
        <v>4.7157925186889654E-5</v>
      </c>
      <c r="M147" s="9"/>
      <c r="N147" s="10">
        <f t="shared" si="33"/>
        <v>-40</v>
      </c>
      <c r="O147" s="8">
        <f>IFERROR(N147/N444, "NA")</f>
        <v>0.12297475943061982</v>
      </c>
      <c r="P147" s="9"/>
      <c r="Q147" s="7">
        <v>1327.8899999999996</v>
      </c>
      <c r="R147" s="8">
        <f>IFERROR(Q147/Q444, "NA")</f>
        <v>1.8515827804784217E-4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-1327.8899999999996</v>
      </c>
      <c r="X147" s="8">
        <f>IFERROR(W147/W444, "NA")</f>
        <v>3.4566653790736304E-3</v>
      </c>
      <c r="Y147" s="9"/>
      <c r="Z147" s="7">
        <v>1016.8</v>
      </c>
      <c r="AA147" s="8">
        <f>IFERROR(Z147/Z444, "NA")</f>
        <v>1.5098340751301483E-4</v>
      </c>
      <c r="AB147" s="9"/>
      <c r="AC147" s="10">
        <f t="shared" si="35"/>
        <v>-311.08999999999969</v>
      </c>
      <c r="AD147" s="8">
        <f>IFERROR(AC147/AC444, "NA")</f>
        <v>-7.1165954503842489E-4</v>
      </c>
    </row>
    <row r="148" spans="1:30" ht="16.5" customHeight="1" x14ac:dyDescent="0.45">
      <c r="A148" s="13" t="s">
        <v>139</v>
      </c>
      <c r="B148" s="14">
        <f>IFERROR(B143+B144+B145+B146+B147, "NA")</f>
        <v>7636.55</v>
      </c>
      <c r="C148" s="15">
        <f>IFERROR(B148/B444, "NA")</f>
        <v>1.4390758557140528E-2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-7636.55</v>
      </c>
      <c r="I148" s="15">
        <f>IFERROR(H148/H444, "NA")</f>
        <v>0.13653846635220046</v>
      </c>
      <c r="J148" s="2"/>
      <c r="K148" s="14">
        <f>IFERROR(K143+K144+K145+K146+K147, "NA")</f>
        <v>6628.1799999999994</v>
      </c>
      <c r="L148" s="15">
        <f>IFERROR(K148/K444, "NA")</f>
        <v>1.2482876060912067E-2</v>
      </c>
      <c r="M148" s="2"/>
      <c r="N148" s="14">
        <f t="shared" si="33"/>
        <v>-1008.3700000000008</v>
      </c>
      <c r="O148" s="15">
        <f>IFERROR(N148/N444, "NA")</f>
        <v>3.1001014541763552</v>
      </c>
      <c r="P148" s="2"/>
      <c r="Q148" s="14">
        <f>IFERROR(Q143+Q144+Q145+Q146+Q147, "NA")</f>
        <v>103571.09999999999</v>
      </c>
      <c r="R148" s="15">
        <f>IFERROR(Q148/Q444, "NA")</f>
        <v>1.4441743315727109E-2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-103571.09999999999</v>
      </c>
      <c r="X148" s="15">
        <f>IFERROR(W148/W444, "NA")</f>
        <v>0.26960865406213841</v>
      </c>
      <c r="Y148" s="2"/>
      <c r="Z148" s="14">
        <f>IFERROR(Z143+Z144+Z145+Z146+Z147, "NA")</f>
        <v>95919.16</v>
      </c>
      <c r="AA148" s="15">
        <f>IFERROR(Z148/Z444, "NA")</f>
        <v>1.4242920557224696E-2</v>
      </c>
      <c r="AB148" s="2"/>
      <c r="AC148" s="14">
        <f t="shared" si="35"/>
        <v>-7651.9399999999878</v>
      </c>
      <c r="AD148" s="15">
        <f>IFERROR(AC148/AC444, "NA")</f>
        <v>-1.7504825417278994E-2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133665.38</v>
      </c>
      <c r="C149" s="15">
        <f>IFERROR(B149/B444, "NA")</f>
        <v>0.25188680896850546</v>
      </c>
      <c r="D149" s="2"/>
      <c r="E149" s="14">
        <f>IFERROR(E127+E129+E130+E131+E132+E133+E134+E135+E136+E137+E138+E139+E140+E143+E144+E145+E146+E147, "NA")</f>
        <v>128912.54</v>
      </c>
      <c r="F149" s="15">
        <f>IFERROR(E149/E444, "NA")</f>
        <v>0.21976743093798373</v>
      </c>
      <c r="G149" s="2"/>
      <c r="H149" s="14">
        <f t="shared" si="32"/>
        <v>-4752.8400000000111</v>
      </c>
      <c r="I149" s="15">
        <f>IFERROR(H149/H444, "NA")</f>
        <v>8.4978882403361974E-2</v>
      </c>
      <c r="J149" s="2"/>
      <c r="K149" s="14">
        <f>IFERROR(K127+K129+K130+K131+K132+K133+K134+K135+K136+K137+K138+K139+K140+K143+K144+K145+K146+K147, "NA")</f>
        <v>138641.24000000002</v>
      </c>
      <c r="L149" s="15">
        <f>IFERROR(K149/K444, "NA")</f>
        <v>0.26110356324830719</v>
      </c>
      <c r="M149" s="2"/>
      <c r="N149" s="14">
        <f t="shared" si="33"/>
        <v>4975.8600000000151</v>
      </c>
      <c r="O149" s="15">
        <f>IFERROR(N149/N444, "NA")</f>
        <v>-15.297629661511145</v>
      </c>
      <c r="P149" s="2"/>
      <c r="Q149" s="14">
        <f>IFERROR(Q127+Q129+Q130+Q131+Q132+Q133+Q134+Q135+Q136+Q137+Q138+Q139+Q140+Q143+Q144+Q145+Q146+Q147, "NA")</f>
        <v>1789730.2799999998</v>
      </c>
      <c r="R149" s="15">
        <f>IFERROR(Q149/Q444, "NA")</f>
        <v>0.24955634639532076</v>
      </c>
      <c r="S149" s="2"/>
      <c r="T149" s="14">
        <f>IFERROR(T127+T129+T130+T131+T132+T133+T134+T135+T136+T137+T138+T139+T140+T143+T144+T145+T146+T147, "NA")</f>
        <v>1717240.4100000001</v>
      </c>
      <c r="U149" s="15">
        <f>IFERROR(T149/T444, "NA")</f>
        <v>0.22727442085396238</v>
      </c>
      <c r="V149" s="2"/>
      <c r="W149" s="14">
        <f t="shared" si="34"/>
        <v>-72489.869999999646</v>
      </c>
      <c r="X149" s="15">
        <f>IFERROR(W149/W444, "NA")</f>
        <v>0.18870028689315158</v>
      </c>
      <c r="Y149" s="2"/>
      <c r="Z149" s="14">
        <f>IFERROR(Z127+Z129+Z130+Z131+Z132+Z133+Z134+Z135+Z136+Z137+Z138+Z139+Z140+Z143+Z144+Z145+Z146+Z147, "NA")</f>
        <v>1668472.9900000002</v>
      </c>
      <c r="AA149" s="15">
        <f>IFERROR(Z149/Z444, "NA")</f>
        <v>0.24774954501733709</v>
      </c>
      <c r="AB149" s="2"/>
      <c r="AC149" s="14">
        <f t="shared" si="35"/>
        <v>-121257.28999999957</v>
      </c>
      <c r="AD149" s="15">
        <f>IFERROR(AC149/AC444, "NA")</f>
        <v>-0.27739209821592509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9684.91</v>
      </c>
      <c r="F153" s="8">
        <f>IFERROR(E153/E444, "NA")</f>
        <v>1.6510634183187982E-2</v>
      </c>
      <c r="G153" s="9"/>
      <c r="H153" s="10">
        <f t="shared" ref="H153:H158" si="36">IFERROR(-(B153-E153), "NA")</f>
        <v>9684.91</v>
      </c>
      <c r="I153" s="8">
        <f>IFERROR(H153/H444, "NA")</f>
        <v>-0.17316232567836126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129677.23000000001</v>
      </c>
      <c r="U153" s="8">
        <f>IFERROR(T153/T444, "NA")</f>
        <v>1.7162604126114221E-2</v>
      </c>
      <c r="V153" s="9"/>
      <c r="W153" s="10">
        <f t="shared" ref="W153:W158" si="38">IFERROR(-(Q153-T153), "NA")</f>
        <v>129677.23000000001</v>
      </c>
      <c r="X153" s="8">
        <f>IFERROR(W153/W444, "NA")</f>
        <v>-0.33756620758885791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17255.400000000001</v>
      </c>
      <c r="C154" s="8">
        <f>IFERROR(B154/B444, "NA")</f>
        <v>3.2517078419820822E-2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-17255.400000000001</v>
      </c>
      <c r="I154" s="8">
        <f>IFERROR(H154/H444, "NA")</f>
        <v>0.3085196655942487</v>
      </c>
      <c r="J154" s="9"/>
      <c r="K154" s="7">
        <v>17849.159999999996</v>
      </c>
      <c r="L154" s="8">
        <f>IFERROR(K154/K444, "NA")</f>
        <v>3.3615389454026472E-2</v>
      </c>
      <c r="M154" s="9"/>
      <c r="N154" s="10">
        <f t="shared" si="37"/>
        <v>593.75999999999476</v>
      </c>
      <c r="O154" s="8">
        <f>IFERROR(N154/N444, "NA")</f>
        <v>-1.8254373289881045</v>
      </c>
      <c r="P154" s="9"/>
      <c r="Q154" s="7">
        <v>223254.86000000002</v>
      </c>
      <c r="R154" s="8">
        <f>IFERROR(Q154/Q444, "NA")</f>
        <v>3.1130203136865323E-2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-223254.86000000002</v>
      </c>
      <c r="X154" s="8">
        <f>IFERROR(W154/W444, "NA")</f>
        <v>0.5811605970915743</v>
      </c>
      <c r="Y154" s="9"/>
      <c r="Z154" s="7">
        <v>216997.86999999997</v>
      </c>
      <c r="AA154" s="8">
        <f>IFERROR(Z154/Z444, "NA")</f>
        <v>3.2221752395423103E-2</v>
      </c>
      <c r="AB154" s="9"/>
      <c r="AC154" s="10">
        <f t="shared" si="39"/>
        <v>-6256.9900000000489</v>
      </c>
      <c r="AD154" s="8">
        <f>IFERROR(AC154/AC444, "NA")</f>
        <v>-1.4313692682857095E-2</v>
      </c>
    </row>
    <row r="155" spans="1:30" ht="16.5" customHeight="1" x14ac:dyDescent="0.45">
      <c r="A155" s="12" t="s">
        <v>144</v>
      </c>
      <c r="B155" s="7">
        <v>6711.74</v>
      </c>
      <c r="C155" s="8">
        <f>IFERROR(B155/B444, "NA")</f>
        <v>1.2647992855190153E-2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-6711.74</v>
      </c>
      <c r="I155" s="8">
        <f>IFERROR(H155/H444, "NA")</f>
        <v>0.12000323263184524</v>
      </c>
      <c r="J155" s="9"/>
      <c r="K155" s="7">
        <v>6013.2300000000005</v>
      </c>
      <c r="L155" s="8">
        <f>IFERROR(K155/K444, "NA")</f>
        <v>1.1324738437362637E-2</v>
      </c>
      <c r="M155" s="9"/>
      <c r="N155" s="10">
        <f t="shared" si="37"/>
        <v>-698.50999999999931</v>
      </c>
      <c r="O155" s="8">
        <f>IFERROR(N155/N444, "NA")</f>
        <v>2.147477480247054</v>
      </c>
      <c r="P155" s="9"/>
      <c r="Q155" s="7">
        <v>84789.4</v>
      </c>
      <c r="R155" s="8">
        <f>IFERROR(Q155/Q444, "NA")</f>
        <v>1.1822861306817367E-2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-84789.4</v>
      </c>
      <c r="X155" s="8">
        <f>IFERROR(W155/W444, "NA")</f>
        <v>0.22071751688199004</v>
      </c>
      <c r="Y155" s="9"/>
      <c r="Z155" s="7">
        <v>79837.91</v>
      </c>
      <c r="AA155" s="8">
        <f>IFERROR(Z155/Z444, "NA")</f>
        <v>1.1855035110658342E-2</v>
      </c>
      <c r="AB155" s="9"/>
      <c r="AC155" s="10">
        <f t="shared" si="39"/>
        <v>-4951.4899999999907</v>
      </c>
      <c r="AD155" s="8">
        <f>IFERROR(AC155/AC444, "NA")</f>
        <v>-1.1327188661359438E-2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245.48</v>
      </c>
      <c r="R156" s="8">
        <f>IFERROR(Q156/Q444, "NA")</f>
        <v>3.4229231408613897E-5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-245.48</v>
      </c>
      <c r="X156" s="8">
        <f>IFERROR(W156/W444, "NA")</f>
        <v>6.3901544348929124E-4</v>
      </c>
      <c r="Y156" s="9"/>
      <c r="Z156" s="7">
        <v>642.19000000000005</v>
      </c>
      <c r="AA156" s="8">
        <f>IFERROR(Z156/Z444, "NA")</f>
        <v>9.5358019739165032E-5</v>
      </c>
      <c r="AB156" s="9"/>
      <c r="AC156" s="10">
        <f t="shared" si="39"/>
        <v>396.71000000000004</v>
      </c>
      <c r="AD156" s="8">
        <f>IFERROR(AC156/AC444, "NA")</f>
        <v>9.075266260959653E-4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23967.14</v>
      </c>
      <c r="C158" s="15">
        <f>IFERROR(B158/B444, "NA")</f>
        <v>4.5165071275010973E-2</v>
      </c>
      <c r="D158" s="2"/>
      <c r="E158" s="14">
        <f>IFERROR(E153+E154+E155+E156+E157, "NA")</f>
        <v>9684.91</v>
      </c>
      <c r="F158" s="15">
        <f>IFERROR(E158/E444, "NA")</f>
        <v>1.6510634183187982E-2</v>
      </c>
      <c r="G158" s="2"/>
      <c r="H158" s="14">
        <f t="shared" si="36"/>
        <v>-14282.23</v>
      </c>
      <c r="I158" s="15">
        <f>IFERROR(H158/H444, "NA")</f>
        <v>0.25536057254773264</v>
      </c>
      <c r="J158" s="2"/>
      <c r="K158" s="14">
        <f>IFERROR(K153+K154+K155+K156+K157, "NA")</f>
        <v>23862.389999999996</v>
      </c>
      <c r="L158" s="15">
        <f>IFERROR(K158/K444, "NA")</f>
        <v>4.4940127891389112E-2</v>
      </c>
      <c r="M158" s="2"/>
      <c r="N158" s="14">
        <f t="shared" si="37"/>
        <v>-104.75000000000364</v>
      </c>
      <c r="O158" s="15">
        <f>IFERROR(N158/N444, "NA")</f>
        <v>0.32204015125894686</v>
      </c>
      <c r="P158" s="2"/>
      <c r="Q158" s="14">
        <f>IFERROR(Q153+Q154+Q155+Q156+Q157, "NA")</f>
        <v>308289.74</v>
      </c>
      <c r="R158" s="15">
        <f>IFERROR(Q158/Q444, "NA")</f>
        <v>4.2987293675091298E-2</v>
      </c>
      <c r="S158" s="2"/>
      <c r="T158" s="14">
        <f>IFERROR(T153+T154+T155+T156+T157, "NA")</f>
        <v>129677.23000000001</v>
      </c>
      <c r="U158" s="15">
        <f>IFERROR(T158/T444, "NA")</f>
        <v>1.7162604126114221E-2</v>
      </c>
      <c r="V158" s="2"/>
      <c r="W158" s="14">
        <f t="shared" si="38"/>
        <v>-178612.50999999998</v>
      </c>
      <c r="X158" s="15">
        <f>IFERROR(W158/W444, "NA")</f>
        <v>0.46495092182819564</v>
      </c>
      <c r="Y158" s="2"/>
      <c r="Z158" s="14">
        <f>IFERROR(Z153+Z154+Z155+Z156+Z157, "NA")</f>
        <v>297477.96999999997</v>
      </c>
      <c r="AA158" s="15">
        <f>IFERROR(Z158/Z444, "NA")</f>
        <v>4.4172145525820605E-2</v>
      </c>
      <c r="AB158" s="2"/>
      <c r="AC158" s="14">
        <f t="shared" si="39"/>
        <v>-10811.770000000019</v>
      </c>
      <c r="AD158" s="15">
        <f>IFERROR(AC158/AC444, "NA")</f>
        <v>-2.473335471812052E-2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1652.58</v>
      </c>
      <c r="C161" s="8">
        <f>IFERROR(B161/B444, "NA")</f>
        <v>3.1142177784941228E-3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-1652.58</v>
      </c>
      <c r="I161" s="8">
        <f>IFERROR(H161/H444, "NA")</f>
        <v>2.9547470876812094E-2</v>
      </c>
      <c r="J161" s="9"/>
      <c r="K161" s="7">
        <v>1660.91</v>
      </c>
      <c r="L161" s="8">
        <f>IFERROR(K161/K444, "NA")</f>
        <v>3.1279979841116962E-3</v>
      </c>
      <c r="M161" s="9"/>
      <c r="N161" s="10">
        <f t="shared" si="41"/>
        <v>8.3300000000001546</v>
      </c>
      <c r="O161" s="8">
        <f>IFERROR(N161/N444, "NA")</f>
        <v>-2.5609493651427052E-2</v>
      </c>
      <c r="P161" s="9"/>
      <c r="Q161" s="7">
        <v>18838.04</v>
      </c>
      <c r="R161" s="8">
        <f>IFERROR(Q161/Q444, "NA")</f>
        <v>2.6267379438028558E-3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-18838.04</v>
      </c>
      <c r="X161" s="8">
        <f>IFERROR(W161/W444, "NA")</f>
        <v>4.9037797315744702E-2</v>
      </c>
      <c r="Y161" s="9"/>
      <c r="Z161" s="7">
        <v>19366</v>
      </c>
      <c r="AA161" s="8">
        <f>IFERROR(Z161/Z444, "NA")</f>
        <v>2.8756340183881245E-3</v>
      </c>
      <c r="AB161" s="9"/>
      <c r="AC161" s="10">
        <f t="shared" si="43"/>
        <v>527.95999999999913</v>
      </c>
      <c r="AD161" s="8">
        <f>IFERROR(AC161/AC444, "NA")</f>
        <v>1.2077783708845883E-3</v>
      </c>
    </row>
    <row r="162" spans="1:30" ht="16.5" customHeight="1" x14ac:dyDescent="0.45">
      <c r="A162" s="12" t="s">
        <v>150</v>
      </c>
      <c r="B162" s="7">
        <v>5.83</v>
      </c>
      <c r="C162" s="8">
        <f>IFERROR(B162/B444, "NA")</f>
        <v>1.0986390763909001E-5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-5.83</v>
      </c>
      <c r="I162" s="8">
        <f>IFERROR(H162/H444, "NA")</f>
        <v>1.0423807332281314E-4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-5.83</v>
      </c>
      <c r="O162" s="8">
        <f>IFERROR(N162/N444, "NA")</f>
        <v>1.7923571187012838E-2</v>
      </c>
      <c r="P162" s="9"/>
      <c r="Q162" s="7">
        <v>5.83</v>
      </c>
      <c r="R162" s="8">
        <f>IFERROR(Q162/Q444, "NA")</f>
        <v>8.1292333025997655E-7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-5.83</v>
      </c>
      <c r="X162" s="8">
        <f>IFERROR(W162/W444, "NA")</f>
        <v>1.5176226313926057E-5</v>
      </c>
      <c r="Y162" s="9"/>
      <c r="Z162" s="7">
        <v>2.72</v>
      </c>
      <c r="AA162" s="8">
        <f>IFERROR(Z162/Z444, "NA")</f>
        <v>4.0388952442505936E-7</v>
      </c>
      <c r="AB162" s="9"/>
      <c r="AC162" s="10">
        <f t="shared" si="43"/>
        <v>-3.11</v>
      </c>
      <c r="AD162" s="8">
        <f>IFERROR(AC162/AC444, "NA")</f>
        <v>-7.1145365812771338E-6</v>
      </c>
    </row>
    <row r="163" spans="1:30" ht="16.5" customHeight="1" x14ac:dyDescent="0.45">
      <c r="A163" s="12" t="s">
        <v>151</v>
      </c>
      <c r="B163" s="7">
        <v>1.4</v>
      </c>
      <c r="C163" s="8">
        <f>IFERROR(B163/B444, "NA")</f>
        <v>2.6382413498237738E-6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-1.4</v>
      </c>
      <c r="I163" s="8">
        <f>IFERROR(H163/H444, "NA")</f>
        <v>2.5031441278205553E-5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-1.4</v>
      </c>
      <c r="O163" s="8">
        <f>IFERROR(N163/N444, "NA")</f>
        <v>4.3041165800716931E-3</v>
      </c>
      <c r="P163" s="9"/>
      <c r="Q163" s="7">
        <v>1.4</v>
      </c>
      <c r="R163" s="8">
        <f>IFERROR(Q163/Q444, "NA")</f>
        <v>1.9521314963361355E-7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-1.4</v>
      </c>
      <c r="X163" s="8">
        <f>IFERROR(W163/W444, "NA")</f>
        <v>3.6443768163801848E-6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-1.4</v>
      </c>
      <c r="AD163" s="8">
        <f>IFERROR(AC163/AC444, "NA")</f>
        <v>-3.2026852777453336E-6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1659.81</v>
      </c>
      <c r="C166" s="15">
        <f>IFERROR(B166/B444, "NA")</f>
        <v>3.1278424106078555E-3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-1659.81</v>
      </c>
      <c r="I166" s="15">
        <f>IFERROR(H166/H444, "NA")</f>
        <v>2.9676740391413114E-2</v>
      </c>
      <c r="J166" s="2"/>
      <c r="K166" s="14">
        <f>IFERROR(K160+K161+K162+K163+K164+K165, "NA")</f>
        <v>1660.91</v>
      </c>
      <c r="L166" s="15">
        <f>IFERROR(K166/K444, "NA")</f>
        <v>3.1279979841116962E-3</v>
      </c>
      <c r="M166" s="2"/>
      <c r="N166" s="14">
        <f t="shared" si="41"/>
        <v>1.1000000000001364</v>
      </c>
      <c r="O166" s="15">
        <f>IFERROR(N166/N444, "NA")</f>
        <v>-3.3818058843424646E-3</v>
      </c>
      <c r="P166" s="2"/>
      <c r="Q166" s="14">
        <f>IFERROR(Q160+Q161+Q162+Q163+Q164+Q165, "NA")</f>
        <v>18845.270000000004</v>
      </c>
      <c r="R166" s="15">
        <f>IFERROR(Q166/Q444, "NA")</f>
        <v>2.6277460802827494E-3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-18845.270000000004</v>
      </c>
      <c r="X166" s="15">
        <f>IFERROR(W166/W444, "NA")</f>
        <v>4.9056617918875021E-2</v>
      </c>
      <c r="Y166" s="2"/>
      <c r="Z166" s="14">
        <f>IFERROR(Z160+Z161+Z162+Z163+Z164+Z165, "NA")</f>
        <v>19368.72</v>
      </c>
      <c r="AA166" s="15">
        <f>IFERROR(Z166/Z444, "NA")</f>
        <v>2.87603790791255E-3</v>
      </c>
      <c r="AB166" s="2"/>
      <c r="AC166" s="14">
        <f t="shared" si="43"/>
        <v>523.44999999999709</v>
      </c>
      <c r="AD166" s="15">
        <f>IFERROR(AC166/AC444, "NA")</f>
        <v>1.1974611490255611E-3</v>
      </c>
    </row>
    <row r="167" spans="1:30" ht="16.5" customHeight="1" x14ac:dyDescent="0.45">
      <c r="A167" s="6" t="s">
        <v>155</v>
      </c>
      <c r="B167" s="7">
        <v>797.07999999999993</v>
      </c>
      <c r="C167" s="8">
        <f>IFERROR(B167/B444, "NA")</f>
        <v>1.5020638679410954E-3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-797.07999999999993</v>
      </c>
      <c r="I167" s="8">
        <f>IFERROR(H167/H444, "NA")</f>
        <v>1.4251472295737201E-2</v>
      </c>
      <c r="J167" s="9"/>
      <c r="K167" s="7">
        <v>766.59999999999991</v>
      </c>
      <c r="L167" s="8">
        <f>IFERROR(K167/K444, "NA")</f>
        <v>1.4437406329181148E-3</v>
      </c>
      <c r="M167" s="9"/>
      <c r="N167" s="10">
        <f t="shared" si="41"/>
        <v>-30.480000000000018</v>
      </c>
      <c r="O167" s="8">
        <f>IFERROR(N167/N444, "NA")</f>
        <v>9.3706766686132356E-2</v>
      </c>
      <c r="P167" s="9"/>
      <c r="Q167" s="7">
        <v>10059.69</v>
      </c>
      <c r="R167" s="8">
        <f>IFERROR(Q167/Q444, "NA")</f>
        <v>1.4027026923126901E-3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-10059.69</v>
      </c>
      <c r="X167" s="8">
        <f>IFERROR(W167/W444, "NA")</f>
        <v>2.6186643582836847E-2</v>
      </c>
      <c r="Y167" s="9"/>
      <c r="Z167" s="7">
        <v>10277.169999999998</v>
      </c>
      <c r="AA167" s="8">
        <f>IFERROR(Z167/Z444, "NA")</f>
        <v>1.5260445969615759E-3</v>
      </c>
      <c r="AB167" s="9"/>
      <c r="AC167" s="10">
        <f t="shared" si="43"/>
        <v>217.47999999999774</v>
      </c>
      <c r="AD167" s="8">
        <f>IFERROR(AC167/AC444, "NA")</f>
        <v>4.9751428157431997E-4</v>
      </c>
    </row>
    <row r="168" spans="1:30" ht="16.5" customHeight="1" x14ac:dyDescent="0.45">
      <c r="A168" s="6" t="s">
        <v>156</v>
      </c>
      <c r="B168" s="7">
        <v>193.55</v>
      </c>
      <c r="C168" s="8">
        <f>IFERROR(B168/B444, "NA")</f>
        <v>3.6473686661313677E-4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-193.55</v>
      </c>
      <c r="I168" s="8">
        <f>IFERROR(H168/H444, "NA")</f>
        <v>3.4605967567119182E-3</v>
      </c>
      <c r="J168" s="9"/>
      <c r="K168" s="7">
        <v>306.55</v>
      </c>
      <c r="L168" s="8">
        <f>IFERROR(K168/K444, "NA")</f>
        <v>5.7732675583230914E-4</v>
      </c>
      <c r="M168" s="9"/>
      <c r="N168" s="10">
        <f t="shared" si="41"/>
        <v>113</v>
      </c>
      <c r="O168" s="8">
        <f>IFERROR(N168/N444, "NA")</f>
        <v>-0.34740369539150101</v>
      </c>
      <c r="P168" s="9"/>
      <c r="Q168" s="7">
        <v>3132.91</v>
      </c>
      <c r="R168" s="8">
        <f>IFERROR(Q168/Q444, "NA")</f>
        <v>4.3684659187046015E-4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-3132.91</v>
      </c>
      <c r="X168" s="8">
        <f>IFERROR(W168/W444, "NA")</f>
        <v>8.1553604084326041E-3</v>
      </c>
      <c r="Y168" s="9"/>
      <c r="Z168" s="7">
        <v>2985.9399999999996</v>
      </c>
      <c r="AA168" s="8">
        <f>IFERROR(Z168/Z444, "NA")</f>
        <v>4.4337863476535348E-4</v>
      </c>
      <c r="AB168" s="9"/>
      <c r="AC168" s="10">
        <f t="shared" si="43"/>
        <v>-146.97000000000025</v>
      </c>
      <c r="AD168" s="8">
        <f>IFERROR(AC168/AC444, "NA")</f>
        <v>-3.362133251930232E-4</v>
      </c>
    </row>
    <row r="169" spans="1:30" ht="16.5" customHeight="1" x14ac:dyDescent="0.45">
      <c r="A169" s="6" t="s">
        <v>157</v>
      </c>
      <c r="B169" s="7">
        <v>-8624.5400000000009</v>
      </c>
      <c r="C169" s="8">
        <f>IFERROR(B169/B444, "NA")</f>
        <v>-1.6252584322292239E-2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8624.5400000000009</v>
      </c>
      <c r="I169" s="8">
        <f>IFERROR(H169/H444, "NA")</f>
        <v>-0.15420333325823926</v>
      </c>
      <c r="J169" s="9"/>
      <c r="K169" s="7">
        <v>-16206.039999999999</v>
      </c>
      <c r="L169" s="8">
        <f>IFERROR(K169/K444, "NA")</f>
        <v>-3.0520895443120644E-2</v>
      </c>
      <c r="M169" s="9"/>
      <c r="N169" s="10">
        <f t="shared" si="41"/>
        <v>-7581.4999999999982</v>
      </c>
      <c r="O169" s="8">
        <f>IFERROR(N169/N444, "NA")</f>
        <v>23.308328465581098</v>
      </c>
      <c r="P169" s="9"/>
      <c r="Q169" s="7">
        <v>-107179.12</v>
      </c>
      <c r="R169" s="8">
        <f>IFERROR(Q169/Q444, "NA")</f>
        <v>-1.4944838278685016E-2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107179.12</v>
      </c>
      <c r="X169" s="8">
        <f>IFERROR(W169/W444, "NA")</f>
        <v>-0.27900078580573556</v>
      </c>
      <c r="Y169" s="9"/>
      <c r="Z169" s="7">
        <v>-160458.95000000001</v>
      </c>
      <c r="AA169" s="8">
        <f>IFERROR(Z169/Z444, "NA")</f>
        <v>-2.3826356251928079E-2</v>
      </c>
      <c r="AB169" s="9"/>
      <c r="AC169" s="10">
        <f t="shared" si="43"/>
        <v>-53279.830000000016</v>
      </c>
      <c r="AD169" s="8">
        <f>IFERROR(AC169/AC444, "NA")</f>
        <v>-0.12188466224412443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17993.040000000005</v>
      </c>
      <c r="C170" s="15">
        <f>IFERROR(B170/B444, "NA")</f>
        <v>3.3907130097880836E-2</v>
      </c>
      <c r="D170" s="2"/>
      <c r="E170" s="14">
        <f>IFERROR(E151+E153+E154+E155+E156+E157+E160+E161+E162+E163+E164+E165+E167+E168+E169, "NA")</f>
        <v>9684.91</v>
      </c>
      <c r="F170" s="15">
        <f>IFERROR(E170/E444, "NA")</f>
        <v>1.6510634183187982E-2</v>
      </c>
      <c r="G170" s="2"/>
      <c r="H170" s="14">
        <f t="shared" si="40"/>
        <v>-8308.1300000000047</v>
      </c>
      <c r="I170" s="15">
        <f>IFERROR(H170/H444, "NA")</f>
        <v>0.14854604873335575</v>
      </c>
      <c r="J170" s="2"/>
      <c r="K170" s="14">
        <f>IFERROR(K151+K153+K154+K155+K156+K157+K160+K161+K162+K163+K164+K165+K167+K168+K169, "NA")</f>
        <v>10390.409999999994</v>
      </c>
      <c r="L170" s="15">
        <f>IFERROR(K170/K444, "NA")</f>
        <v>1.9568297821130579E-2</v>
      </c>
      <c r="M170" s="2"/>
      <c r="N170" s="14">
        <f t="shared" si="41"/>
        <v>-7602.6300000000101</v>
      </c>
      <c r="O170" s="15">
        <f>IFERROR(N170/N444, "NA")</f>
        <v>23.373289882250361</v>
      </c>
      <c r="P170" s="2"/>
      <c r="Q170" s="14">
        <f>IFERROR(Q151+Q153+Q154+Q155+Q156+Q157+Q160+Q161+Q162+Q163+Q164+Q165+Q167+Q168+Q169, "NA")</f>
        <v>233148.49</v>
      </c>
      <c r="R170" s="15">
        <f>IFERROR(Q170/Q444, "NA")</f>
        <v>3.2509750760872182E-2</v>
      </c>
      <c r="S170" s="2"/>
      <c r="T170" s="14">
        <f>IFERROR(T151+T153+T154+T155+T156+T157+T160+T161+T162+T163+T164+T165+T167+T168+T169, "NA")</f>
        <v>129677.23000000001</v>
      </c>
      <c r="U170" s="15">
        <f>IFERROR(T170/T444, "NA")</f>
        <v>1.7162604126114221E-2</v>
      </c>
      <c r="V170" s="2"/>
      <c r="W170" s="14">
        <f t="shared" si="42"/>
        <v>-103471.25999999998</v>
      </c>
      <c r="X170" s="15">
        <f>IFERROR(W170/W444, "NA")</f>
        <v>0.26934875793260449</v>
      </c>
      <c r="Y170" s="2"/>
      <c r="Z170" s="14">
        <f>IFERROR(Z151+Z153+Z154+Z155+Z156+Z157+Z160+Z161+Z162+Z163+Z164+Z165+Z167+Z168+Z169, "NA")</f>
        <v>169650.84999999992</v>
      </c>
      <c r="AA170" s="15">
        <f>IFERROR(Z170/Z444, "NA")</f>
        <v>2.5191250413532002E-2</v>
      </c>
      <c r="AB170" s="2"/>
      <c r="AC170" s="14">
        <f t="shared" si="43"/>
        <v>-63497.640000000072</v>
      </c>
      <c r="AD170" s="15">
        <f>IFERROR(AC170/AC444, "NA")</f>
        <v>-0.14525925485683816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151658.41999999993</v>
      </c>
      <c r="C171" s="15">
        <f>IFERROR(B171/B444, "NA")</f>
        <v>0.28579393906638617</v>
      </c>
      <c r="D171" s="2"/>
      <c r="E171" s="14">
        <f>IFERROR(E127+E129+E130+E131+E132+E133+E134+E135+E136+E137+E138+E139+E140+E143+E144+E145+E146+E147+E151+E153+E154+E155+E156+E157+E160+E161+E162+E163+E164+E165+E167+E168+E169, "NA")</f>
        <v>138597.44999999998</v>
      </c>
      <c r="F171" s="15">
        <f>IFERROR(E171/E444, "NA")</f>
        <v>0.23627806512117169</v>
      </c>
      <c r="G171" s="2"/>
      <c r="H171" s="14">
        <f t="shared" si="40"/>
        <v>-13060.969999999943</v>
      </c>
      <c r="I171" s="15">
        <f>IFERROR(H171/H444, "NA")</f>
        <v>0.23352493113671641</v>
      </c>
      <c r="J171" s="2"/>
      <c r="K171" s="14">
        <f>IFERROR(K127+K129+K130+K131+K132+K133+K134+K135+K136+K137+K138+K139+K140+K143+K144+K145+K146+K147+K151+K153+K154+K155+K156+K157+K160+K161+K162+K163+K164+K165+K167+K168+K169, "NA")</f>
        <v>149031.65000000002</v>
      </c>
      <c r="L171" s="15">
        <f>IFERROR(K171/K444, "NA")</f>
        <v>0.28067186106943781</v>
      </c>
      <c r="M171" s="2"/>
      <c r="N171" s="14">
        <f t="shared" si="41"/>
        <v>-2626.7699999999022</v>
      </c>
      <c r="O171" s="15">
        <f>IFERROR(N171/N444, "NA")</f>
        <v>8.0756602207389303</v>
      </c>
      <c r="P171" s="2"/>
      <c r="Q171" s="14">
        <f>IFERROR(Q127+Q129+Q130+Q131+Q132+Q133+Q134+Q135+Q136+Q137+Q138+Q139+Q140+Q143+Q144+Q145+Q146+Q147+Q151+Q153+Q154+Q155+Q156+Q157+Q160+Q161+Q162+Q163+Q164+Q165+Q167+Q168+Q169, "NA")</f>
        <v>2022878.77</v>
      </c>
      <c r="R171" s="15">
        <f>IFERROR(Q171/Q444, "NA")</f>
        <v>0.28206609715619296</v>
      </c>
      <c r="S171" s="2"/>
      <c r="T171" s="14">
        <f>IFERROR(T127+T129+T130+T131+T132+T133+T134+T135+T136+T137+T138+T139+T140+T143+T144+T145+T146+T147+T151+T153+T154+T155+T156+T157+T160+T161+T162+T163+T164+T165+T167+T168+T169, "NA")</f>
        <v>1846917.6400000001</v>
      </c>
      <c r="U171" s="15">
        <f>IFERROR(T171/T444, "NA")</f>
        <v>0.24443702498007658</v>
      </c>
      <c r="V171" s="2"/>
      <c r="W171" s="14">
        <f t="shared" si="42"/>
        <v>-175961.12999999989</v>
      </c>
      <c r="X171" s="15">
        <f>IFERROR(W171/W444, "NA")</f>
        <v>0.45804904482575676</v>
      </c>
      <c r="Y171" s="2"/>
      <c r="Z171" s="14">
        <f>IFERROR(Z127+Z129+Z130+Z131+Z132+Z133+Z134+Z135+Z136+Z137+Z138+Z139+Z140+Z143+Z144+Z145+Z146+Z147+Z151+Z153+Z154+Z155+Z156+Z157+Z160+Z161+Z162+Z163+Z164+Z165+Z167+Z168+Z169, "NA")</f>
        <v>1838123.8399999999</v>
      </c>
      <c r="AA171" s="15">
        <f>IFERROR(Z171/Z444, "NA")</f>
        <v>0.27294079543086902</v>
      </c>
      <c r="AB171" s="2"/>
      <c r="AC171" s="14">
        <f t="shared" si="43"/>
        <v>-184754.93000000017</v>
      </c>
      <c r="AD171" s="15">
        <f>IFERROR(AC171/AC444, "NA")</f>
        <v>-0.42265135307276447</v>
      </c>
    </row>
    <row r="172" spans="1:30" ht="16.5" customHeight="1" x14ac:dyDescent="0.45">
      <c r="A172" s="22" t="s">
        <v>160</v>
      </c>
      <c r="B172" s="23">
        <f>IFERROR(B124-B171, "NA")</f>
        <v>378998.11000000022</v>
      </c>
      <c r="C172" s="24">
        <f>IFERROR(B172/B444, "NA")</f>
        <v>0.71420606093361405</v>
      </c>
      <c r="D172" s="25"/>
      <c r="E172" s="23">
        <f>IFERROR(E124-E171, "NA")</f>
        <v>447988.74</v>
      </c>
      <c r="F172" s="24">
        <f>IFERROR(E172/E444, "NA")</f>
        <v>0.76372193487882833</v>
      </c>
      <c r="G172" s="25"/>
      <c r="H172" s="23">
        <f>IFERROR(B172-E172, "NA")</f>
        <v>-68990.629999999772</v>
      </c>
      <c r="I172" s="24">
        <f>IFERROR(H172/H444, "NA")</f>
        <v>1.2335249311367149</v>
      </c>
      <c r="J172" s="25"/>
      <c r="K172" s="23">
        <f>IFERROR(K124-K171, "NA")</f>
        <v>381950.14999999979</v>
      </c>
      <c r="L172" s="24">
        <f>IFERROR(K172/K444, "NA")</f>
        <v>0.7193281389305618</v>
      </c>
      <c r="M172" s="25"/>
      <c r="N172" s="23">
        <f>IFERROR(B172-K172, "NA")</f>
        <v>-2952.0399999995716</v>
      </c>
      <c r="O172" s="24">
        <f>IFERROR(N172/N444, "NA")</f>
        <v>9.0756602207378556</v>
      </c>
      <c r="P172" s="25"/>
      <c r="Q172" s="23">
        <f>IFERROR(Q124-Q171, "NA")</f>
        <v>5148769.2600000016</v>
      </c>
      <c r="R172" s="24">
        <f>IFERROR(Q172/Q444, "NA")</f>
        <v>0.7179339028438072</v>
      </c>
      <c r="S172" s="25"/>
      <c r="T172" s="23">
        <f>IFERROR(T124-T171, "NA")</f>
        <v>5708883.8599999994</v>
      </c>
      <c r="U172" s="24">
        <f>IFERROR(T172/T444, "NA")</f>
        <v>0.75556297501992331</v>
      </c>
      <c r="V172" s="25"/>
      <c r="W172" s="23">
        <f>IFERROR(Q172-T172, "NA")</f>
        <v>-560114.59999999776</v>
      </c>
      <c r="X172" s="24">
        <f>IFERROR(W172/W444, "NA")</f>
        <v>1.4580490448257519</v>
      </c>
      <c r="Y172" s="25"/>
      <c r="Z172" s="23">
        <f>IFERROR(Z124-Z171, "NA")</f>
        <v>4896391.0099999988</v>
      </c>
      <c r="AA172" s="24">
        <f>IFERROR(Z172/Z444, "NA")</f>
        <v>0.72705920456913065</v>
      </c>
      <c r="AB172" s="25"/>
      <c r="AC172" s="23">
        <f>IFERROR(Q172-Z172, "NA")</f>
        <v>252378.25000000279</v>
      </c>
      <c r="AD172" s="24">
        <f>IFERROR(AC172/AC444, "NA")</f>
        <v>0.57734864692724297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39790.400000000001</v>
      </c>
      <c r="C178" s="8">
        <f>IFERROR(B178/B444, "NA")</f>
        <v>7.4983341861448491E-2</v>
      </c>
      <c r="D178" s="9"/>
      <c r="E178" s="7">
        <v>40048.07</v>
      </c>
      <c r="F178" s="8">
        <f>IFERROR(E178/E444, "NA")</f>
        <v>6.8273121124791572E-2</v>
      </c>
      <c r="G178" s="9"/>
      <c r="H178" s="10">
        <f t="shared" si="44"/>
        <v>257.66999999999825</v>
      </c>
      <c r="I178" s="8">
        <f>IFERROR(H178/H444, "NA")</f>
        <v>-4.6070367672537008E-3</v>
      </c>
      <c r="J178" s="9"/>
      <c r="K178" s="7">
        <v>33108.480000000003</v>
      </c>
      <c r="L178" s="8">
        <f>IFERROR(K178/K444, "NA")</f>
        <v>6.2353323597908628E-2</v>
      </c>
      <c r="M178" s="9"/>
      <c r="N178" s="10">
        <f t="shared" si="45"/>
        <v>-6681.9199999999983</v>
      </c>
      <c r="O178" s="8">
        <f>IFERROR(N178/N444, "NA")</f>
        <v>20.542687613366173</v>
      </c>
      <c r="P178" s="9"/>
      <c r="Q178" s="7">
        <v>409445.28</v>
      </c>
      <c r="R178" s="8">
        <f>IFERROR(Q178/Q444, "NA")</f>
        <v>5.7092216222440581E-2</v>
      </c>
      <c r="S178" s="9"/>
      <c r="T178" s="7">
        <v>416499.96</v>
      </c>
      <c r="U178" s="8">
        <f>IFERROR(T178/T444, "NA")</f>
        <v>5.5123200364646956E-2</v>
      </c>
      <c r="V178" s="9"/>
      <c r="W178" s="10">
        <f t="shared" si="46"/>
        <v>7054.679999999993</v>
      </c>
      <c r="X178" s="8">
        <f>IFERROR(W178/W444, "NA")</f>
        <v>-1.8364223027843529E-2</v>
      </c>
      <c r="Y178" s="9"/>
      <c r="Z178" s="7">
        <v>338329.88</v>
      </c>
      <c r="AA178" s="8">
        <f>IFERROR(Z178/Z444, "NA")</f>
        <v>5.0238196445583604E-2</v>
      </c>
      <c r="AB178" s="9"/>
      <c r="AC178" s="10">
        <f t="shared" si="47"/>
        <v>-71115.400000000023</v>
      </c>
      <c r="AD178" s="8">
        <f>IFERROR(AC178/AC444, "NA")</f>
        <v>-0.16268588900069328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108569.29000000001</v>
      </c>
      <c r="C180" s="8">
        <f>IFERROR(B180/B444, "NA")</f>
        <v>0.20459427871357769</v>
      </c>
      <c r="D180" s="9"/>
      <c r="E180" s="7">
        <v>118293.64</v>
      </c>
      <c r="F180" s="8">
        <f>IFERROR(E180/E444, "NA")</f>
        <v>0.20166454992743693</v>
      </c>
      <c r="G180" s="9"/>
      <c r="H180" s="10">
        <f t="shared" si="44"/>
        <v>9724.3499999999913</v>
      </c>
      <c r="I180" s="8">
        <f>IFERROR(H180/H444, "NA")</f>
        <v>-0.17386749713836999</v>
      </c>
      <c r="J180" s="9"/>
      <c r="K180" s="7">
        <v>107673.84</v>
      </c>
      <c r="L180" s="8">
        <f>IFERROR(K180/K444, "NA")</f>
        <v>0.20278254358247305</v>
      </c>
      <c r="M180" s="9"/>
      <c r="N180" s="10">
        <f t="shared" si="45"/>
        <v>-895.45000000001164</v>
      </c>
      <c r="O180" s="8">
        <f>IFERROR(N180/N444, "NA")</f>
        <v>2.7529437083037487</v>
      </c>
      <c r="P180" s="9"/>
      <c r="Q180" s="7">
        <v>1336682.1500000001</v>
      </c>
      <c r="R180" s="8">
        <f>IFERROR(Q180/Q444, "NA")</f>
        <v>0.18638423754323594</v>
      </c>
      <c r="S180" s="9"/>
      <c r="T180" s="7">
        <v>1411817.83</v>
      </c>
      <c r="U180" s="8">
        <f>IFERROR(T180/T444, "NA")</f>
        <v>0.18685215989329526</v>
      </c>
      <c r="V180" s="9"/>
      <c r="W180" s="10">
        <f t="shared" si="46"/>
        <v>75135.679999999935</v>
      </c>
      <c r="X180" s="8">
        <f>IFERROR(W180/W444, "NA")</f>
        <v>-0.19558766448211437</v>
      </c>
      <c r="Y180" s="9"/>
      <c r="Z180" s="7">
        <v>1320426.3899999999</v>
      </c>
      <c r="AA180" s="8">
        <f>IFERROR(Z180/Z444, "NA")</f>
        <v>0.19606852452036685</v>
      </c>
      <c r="AB180" s="9"/>
      <c r="AC180" s="10">
        <f t="shared" si="47"/>
        <v>-16255.760000000242</v>
      </c>
      <c r="AD180" s="8">
        <f>IFERROR(AC180/AC444, "NA")</f>
        <v>-3.7187202307544472E-2</v>
      </c>
    </row>
    <row r="181" spans="1:30" ht="16.5" customHeight="1" x14ac:dyDescent="0.45">
      <c r="A181" s="12" t="s">
        <v>166</v>
      </c>
      <c r="B181" s="7">
        <v>1203.6100000000001</v>
      </c>
      <c r="C181" s="8">
        <f>IFERROR(B181/B444, "NA")</f>
        <v>2.2681526221867091E-3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-1203.6100000000001</v>
      </c>
      <c r="I181" s="8">
        <f>IFERROR(H181/H444, "NA")</f>
        <v>2.1520066454900708E-2</v>
      </c>
      <c r="J181" s="9"/>
      <c r="K181" s="7">
        <v>714.93999999999994</v>
      </c>
      <c r="L181" s="8">
        <f>IFERROR(K181/K444, "NA")</f>
        <v>1.3464491626643321E-3</v>
      </c>
      <c r="M181" s="9"/>
      <c r="N181" s="10">
        <f t="shared" si="45"/>
        <v>-488.67000000000019</v>
      </c>
      <c r="O181" s="8">
        <f>IFERROR(N181/N444, "NA")</f>
        <v>1.5023518922740253</v>
      </c>
      <c r="P181" s="9"/>
      <c r="Q181" s="7">
        <v>28661.17</v>
      </c>
      <c r="R181" s="8">
        <f>IFERROR(Q181/Q444, "NA")</f>
        <v>3.9964551913460253E-3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-28661.17</v>
      </c>
      <c r="X181" s="8">
        <f>IFERROR(W181/W444, "NA")</f>
        <v>7.4608645341665183E-2</v>
      </c>
      <c r="Y181" s="9"/>
      <c r="Z181" s="7">
        <v>14404.33</v>
      </c>
      <c r="AA181" s="8">
        <f>IFERROR(Z181/Z444, "NA")</f>
        <v>2.1388816152064761E-3</v>
      </c>
      <c r="AB181" s="9"/>
      <c r="AC181" s="10">
        <f t="shared" si="47"/>
        <v>-14256.839999999998</v>
      </c>
      <c r="AD181" s="8">
        <f>IFERROR(AC181/AC444, "NA")</f>
        <v>-3.2614408267979129E-2</v>
      </c>
    </row>
    <row r="182" spans="1:30" ht="16.5" customHeight="1" x14ac:dyDescent="0.45">
      <c r="A182" s="13" t="s">
        <v>167</v>
      </c>
      <c r="B182" s="14">
        <f>IFERROR(B177+B178+B179+B180+B181, "NA")</f>
        <v>149563.29999999999</v>
      </c>
      <c r="C182" s="15">
        <f>IFERROR(B182/B444, "NA")</f>
        <v>0.28184577319721288</v>
      </c>
      <c r="D182" s="2"/>
      <c r="E182" s="14">
        <f>IFERROR(E177+E178+E179+E180+E181, "NA")</f>
        <v>158341.71</v>
      </c>
      <c r="F182" s="15">
        <f>IFERROR(E182/E444, "NA")</f>
        <v>0.26993767105222849</v>
      </c>
      <c r="G182" s="2"/>
      <c r="H182" s="14">
        <f t="shared" si="44"/>
        <v>8778.4100000000035</v>
      </c>
      <c r="I182" s="15">
        <f>IFERROR(H182/H444, "NA")</f>
        <v>-0.15695446745072322</v>
      </c>
      <c r="J182" s="2"/>
      <c r="K182" s="14">
        <f>IFERROR(K177+K178+K179+K180+K181, "NA")</f>
        <v>141497.26</v>
      </c>
      <c r="L182" s="15">
        <f>IFERROR(K182/K444, "NA")</f>
        <v>0.26648231634304603</v>
      </c>
      <c r="M182" s="2"/>
      <c r="N182" s="14">
        <f t="shared" si="45"/>
        <v>-8066.039999999979</v>
      </c>
      <c r="O182" s="15">
        <f>IFERROR(N182/N444, "NA")</f>
        <v>24.797983213943855</v>
      </c>
      <c r="P182" s="2"/>
      <c r="Q182" s="14">
        <f>IFERROR(Q177+Q178+Q179+Q180+Q181, "NA")</f>
        <v>1774788.6</v>
      </c>
      <c r="R182" s="15">
        <f>IFERROR(Q182/Q444, "NA")</f>
        <v>0.24747290895702254</v>
      </c>
      <c r="S182" s="2"/>
      <c r="T182" s="14">
        <f>IFERROR(T177+T178+T179+T180+T181, "NA")</f>
        <v>1828317.79</v>
      </c>
      <c r="U182" s="15">
        <f>IFERROR(T182/T444, "NA")</f>
        <v>0.2419753602579422</v>
      </c>
      <c r="V182" s="2"/>
      <c r="W182" s="14">
        <f t="shared" si="46"/>
        <v>53529.189999999944</v>
      </c>
      <c r="X182" s="15">
        <f>IFERROR(W182/W444, "NA")</f>
        <v>-0.13934324216829275</v>
      </c>
      <c r="Y182" s="2"/>
      <c r="Z182" s="14">
        <f>IFERROR(Z177+Z178+Z179+Z180+Z181, "NA")</f>
        <v>1673160.6</v>
      </c>
      <c r="AA182" s="15">
        <f>IFERROR(Z182/Z444, "NA")</f>
        <v>0.24844560258115697</v>
      </c>
      <c r="AB182" s="2"/>
      <c r="AC182" s="14">
        <f t="shared" si="47"/>
        <v>-101628</v>
      </c>
      <c r="AD182" s="15">
        <f>IFERROR(AC182/AC444, "NA")</f>
        <v>-0.23248749957621626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2950</v>
      </c>
      <c r="C184" s="8">
        <f>IFERROR(B184/B444, "NA")</f>
        <v>5.559151415700095E-3</v>
      </c>
      <c r="D184" s="9"/>
      <c r="E184" s="7">
        <v>2950</v>
      </c>
      <c r="F184" s="8">
        <f>IFERROR(E184/E444, "NA")</f>
        <v>5.0290989632742634E-3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775</v>
      </c>
      <c r="L184" s="8">
        <f>IFERROR(K184/K444, "NA")</f>
        <v>1.4595603841788926E-3</v>
      </c>
      <c r="M184" s="9"/>
      <c r="N184" s="10">
        <f t="shared" si="45"/>
        <v>-2175</v>
      </c>
      <c r="O184" s="8">
        <f>IFERROR(N184/N444, "NA")</f>
        <v>6.6867525440399529</v>
      </c>
      <c r="P184" s="9"/>
      <c r="Q184" s="7">
        <v>16500</v>
      </c>
      <c r="R184" s="8">
        <f>IFERROR(Q184/Q444, "NA")</f>
        <v>2.3007264063961597E-3</v>
      </c>
      <c r="S184" s="9"/>
      <c r="T184" s="7">
        <v>35400</v>
      </c>
      <c r="U184" s="8">
        <f>IFERROR(T184/T444, "NA")</f>
        <v>4.6851416093977591E-3</v>
      </c>
      <c r="V184" s="9"/>
      <c r="W184" s="10">
        <f t="shared" si="46"/>
        <v>18900</v>
      </c>
      <c r="X184" s="8">
        <f>IFERROR(W184/W444, "NA")</f>
        <v>-4.9199087021132501E-2</v>
      </c>
      <c r="Y184" s="9"/>
      <c r="Z184" s="7">
        <v>16775</v>
      </c>
      <c r="AA184" s="8">
        <f>IFERROR(Z184/Z444, "NA")</f>
        <v>2.4908995486141068E-3</v>
      </c>
      <c r="AB184" s="9"/>
      <c r="AC184" s="10">
        <f t="shared" si="47"/>
        <v>275</v>
      </c>
      <c r="AD184" s="8">
        <f>IFERROR(AC184/AC444, "NA")</f>
        <v>6.2909889384283344E-4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13788.009999999998</v>
      </c>
      <c r="C186" s="8">
        <f>IFERROR(B186/B444, "NA")</f>
        <v>2.5982927224131206E-2</v>
      </c>
      <c r="D186" s="9"/>
      <c r="E186" s="7">
        <v>14527.030000000002</v>
      </c>
      <c r="F186" s="8">
        <f>IFERROR(E186/E444, "NA")</f>
        <v>2.4765380173713266E-2</v>
      </c>
      <c r="G186" s="9"/>
      <c r="H186" s="10">
        <f t="shared" ref="H186:H197" si="48">IFERROR(-(B186-E186), "NA")</f>
        <v>739.02000000000407</v>
      </c>
      <c r="I186" s="8">
        <f>IFERROR(H186/H444, "NA")</f>
        <v>-1.3213382666728266E-2</v>
      </c>
      <c r="J186" s="9"/>
      <c r="K186" s="7">
        <v>14328.86</v>
      </c>
      <c r="L186" s="8">
        <f>IFERROR(K186/K444, "NA")</f>
        <v>2.6985595363155573E-2</v>
      </c>
      <c r="M186" s="9"/>
      <c r="N186" s="10">
        <f t="shared" ref="N186:N197" si="49">IFERROR(-(B186-K186), "NA")</f>
        <v>540.85000000000218</v>
      </c>
      <c r="O186" s="8">
        <f>IFERROR(N186/N444, "NA")</f>
        <v>-1.662772465951275</v>
      </c>
      <c r="P186" s="9"/>
      <c r="Q186" s="7">
        <v>172842.14999999997</v>
      </c>
      <c r="R186" s="8">
        <f>IFERROR(Q186/Q444, "NA")</f>
        <v>2.4100757493532483E-2</v>
      </c>
      <c r="S186" s="9"/>
      <c r="T186" s="7">
        <v>192533.32</v>
      </c>
      <c r="U186" s="8">
        <f>IFERROR(T186/T444, "NA")</f>
        <v>2.5481521715465926E-2</v>
      </c>
      <c r="V186" s="9"/>
      <c r="W186" s="10">
        <f t="shared" ref="W186:W197" si="50">IFERROR(-(Q186-T186), "NA")</f>
        <v>19691.170000000042</v>
      </c>
      <c r="X186" s="8">
        <f>IFERROR(W186/W444, "NA")</f>
        <v>-5.1258602453857972E-2</v>
      </c>
      <c r="Y186" s="9"/>
      <c r="Z186" s="7">
        <v>171802.49</v>
      </c>
      <c r="AA186" s="8">
        <f>IFERROR(Z186/Z444, "NA")</f>
        <v>2.5510744846007724E-2</v>
      </c>
      <c r="AB186" s="9"/>
      <c r="AC186" s="10">
        <f t="shared" ref="AC186:AC197" si="51">IFERROR(-(Q186-Z186), "NA")</f>
        <v>-1039.6599999999744</v>
      </c>
      <c r="AD186" s="8">
        <f>IFERROR(AC186/AC444, "NA")</f>
        <v>-2.3783598399004513E-3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7.0000000000000007E-2</v>
      </c>
      <c r="AA187" s="8">
        <f>IFERROR(Z187/Z444, "NA")</f>
        <v>1.0394215702115499E-8</v>
      </c>
      <c r="AB187" s="9"/>
      <c r="AC187" s="10">
        <f t="shared" si="51"/>
        <v>7.0000000000000007E-2</v>
      </c>
      <c r="AD187" s="8">
        <f>IFERROR(AC187/AC444, "NA")</f>
        <v>1.6013426388726669E-7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13788.009999999998</v>
      </c>
      <c r="C193" s="15">
        <f>IFERROR(B193/B444, "NA")</f>
        <v>2.5982927224131206E-2</v>
      </c>
      <c r="D193" s="2"/>
      <c r="E193" s="14">
        <f>IFERROR(E186+E187+E188+E189+E190+E191+E192, "NA")</f>
        <v>14527.030000000002</v>
      </c>
      <c r="F193" s="15">
        <f>IFERROR(E193/E444, "NA")</f>
        <v>2.4765380173713266E-2</v>
      </c>
      <c r="G193" s="2"/>
      <c r="H193" s="14">
        <f t="shared" si="48"/>
        <v>739.02000000000407</v>
      </c>
      <c r="I193" s="15">
        <f>IFERROR(H193/H444, "NA")</f>
        <v>-1.3213382666728266E-2</v>
      </c>
      <c r="J193" s="2"/>
      <c r="K193" s="14">
        <f>IFERROR(K186+K187+K188+K189+K190+K191+K192, "NA")</f>
        <v>14328.86</v>
      </c>
      <c r="L193" s="15">
        <f>IFERROR(K193/K444, "NA")</f>
        <v>2.6985595363155573E-2</v>
      </c>
      <c r="M193" s="2"/>
      <c r="N193" s="14">
        <f t="shared" si="49"/>
        <v>540.85000000000218</v>
      </c>
      <c r="O193" s="15">
        <f>IFERROR(N193/N444, "NA")</f>
        <v>-1.662772465951275</v>
      </c>
      <c r="P193" s="2"/>
      <c r="Q193" s="14">
        <f>IFERROR(Q186+Q187+Q188+Q189+Q190+Q191+Q192, "NA")</f>
        <v>172842.14999999997</v>
      </c>
      <c r="R193" s="15">
        <f>IFERROR(Q193/Q444, "NA")</f>
        <v>2.4100757493532483E-2</v>
      </c>
      <c r="S193" s="2"/>
      <c r="T193" s="14">
        <f>IFERROR(T186+T187+T188+T189+T190+T191+T192, "NA")</f>
        <v>192533.32</v>
      </c>
      <c r="U193" s="15">
        <f>IFERROR(T193/T444, "NA")</f>
        <v>2.5481521715465926E-2</v>
      </c>
      <c r="V193" s="2"/>
      <c r="W193" s="14">
        <f t="shared" si="50"/>
        <v>19691.170000000042</v>
      </c>
      <c r="X193" s="15">
        <f>IFERROR(W193/W444, "NA")</f>
        <v>-5.1258602453857972E-2</v>
      </c>
      <c r="Y193" s="2"/>
      <c r="Z193" s="14">
        <f>IFERROR(Z186+Z187+Z188+Z189+Z190+Z191+Z192, "NA")</f>
        <v>171802.56</v>
      </c>
      <c r="AA193" s="15">
        <f>IFERROR(Z193/Z444, "NA")</f>
        <v>2.5510755240223427E-2</v>
      </c>
      <c r="AB193" s="2"/>
      <c r="AC193" s="14">
        <f t="shared" si="51"/>
        <v>-1039.5899999999674</v>
      </c>
      <c r="AD193" s="15">
        <f>IFERROR(AC193/AC444, "NA")</f>
        <v>-2.378199705636548E-3</v>
      </c>
    </row>
    <row r="194" spans="1:30" ht="16.5" customHeight="1" x14ac:dyDescent="0.45">
      <c r="A194" s="6" t="s">
        <v>178</v>
      </c>
      <c r="B194" s="7">
        <v>1286.08</v>
      </c>
      <c r="C194" s="8">
        <f>IFERROR(B194/B444, "NA")</f>
        <v>2.4235638822723993E-3</v>
      </c>
      <c r="D194" s="9"/>
      <c r="E194" s="7">
        <v>1290.3399999999999</v>
      </c>
      <c r="F194" s="8">
        <f>IFERROR(E194/E444, "NA")</f>
        <v>2.1997449343292585E-3</v>
      </c>
      <c r="G194" s="9"/>
      <c r="H194" s="10">
        <f t="shared" si="48"/>
        <v>4.2599999999999909</v>
      </c>
      <c r="I194" s="8">
        <f>IFERROR(H194/H444, "NA")</f>
        <v>-7.616709988939674E-5</v>
      </c>
      <c r="J194" s="9"/>
      <c r="K194" s="7">
        <v>1223.2</v>
      </c>
      <c r="L194" s="8">
        <f>IFERROR(K194/K444, "NA")</f>
        <v>2.3036571121646731E-3</v>
      </c>
      <c r="M194" s="9"/>
      <c r="N194" s="10">
        <f t="shared" si="49"/>
        <v>-62.879999999999882</v>
      </c>
      <c r="O194" s="8">
        <f>IFERROR(N194/N444, "NA")</f>
        <v>0.193316321824934</v>
      </c>
      <c r="P194" s="9"/>
      <c r="Q194" s="7">
        <v>15472.72</v>
      </c>
      <c r="R194" s="8">
        <f>IFERROR(Q194/Q444, "NA")</f>
        <v>2.1574845747135752E-3</v>
      </c>
      <c r="S194" s="9"/>
      <c r="T194" s="7">
        <v>14909.79</v>
      </c>
      <c r="U194" s="8">
        <f>IFERROR(T194/T444, "NA")</f>
        <v>1.9732903253215426E-3</v>
      </c>
      <c r="V194" s="9"/>
      <c r="W194" s="10">
        <f t="shared" si="50"/>
        <v>-562.92999999999847</v>
      </c>
      <c r="X194" s="8">
        <f>IFERROR(W194/W444, "NA")</f>
        <v>1.4653778866034943E-3</v>
      </c>
      <c r="Y194" s="9"/>
      <c r="Z194" s="7">
        <v>13921.670000000002</v>
      </c>
      <c r="AA194" s="8">
        <f>IFERROR(Z194/Z444, "NA")</f>
        <v>2.0672120130524325E-3</v>
      </c>
      <c r="AB194" s="9"/>
      <c r="AC194" s="10">
        <f t="shared" si="51"/>
        <v>-1551.0499999999975</v>
      </c>
      <c r="AD194" s="8">
        <f>IFERROR(AC194/AC444, "NA")</f>
        <v>-3.5482321428906369E-3</v>
      </c>
    </row>
    <row r="195" spans="1:30" ht="16.5" customHeight="1" x14ac:dyDescent="0.45">
      <c r="A195" s="6" t="s">
        <v>179</v>
      </c>
      <c r="B195" s="7">
        <v>2189.39</v>
      </c>
      <c r="C195" s="8">
        <f>IFERROR(B195/B444, "NA")</f>
        <v>4.1258137349219088E-3</v>
      </c>
      <c r="D195" s="9"/>
      <c r="E195" s="7">
        <v>641.61</v>
      </c>
      <c r="F195" s="8">
        <f>IFERROR(E195/E444, "NA")</f>
        <v>1.0938034528225086E-3</v>
      </c>
      <c r="G195" s="9"/>
      <c r="H195" s="10">
        <f t="shared" si="48"/>
        <v>-1547.7799999999997</v>
      </c>
      <c r="I195" s="8">
        <f>IFERROR(H195/H444, "NA")</f>
        <v>2.7673688701129278E-2</v>
      </c>
      <c r="J195" s="9"/>
      <c r="K195" s="7">
        <v>1190.8200000000002</v>
      </c>
      <c r="L195" s="8">
        <f>IFERROR(K195/K444, "NA")</f>
        <v>2.2426757376618183E-3</v>
      </c>
      <c r="M195" s="9"/>
      <c r="N195" s="10">
        <f t="shared" si="49"/>
        <v>-998.56999999999971</v>
      </c>
      <c r="O195" s="8">
        <f>IFERROR(N195/N444, "NA")</f>
        <v>3.0699726381158499</v>
      </c>
      <c r="P195" s="9"/>
      <c r="Q195" s="7">
        <v>15164.61</v>
      </c>
      <c r="R195" s="8">
        <f>IFERROR(Q195/Q444, "NA")</f>
        <v>2.1145223436181376E-3</v>
      </c>
      <c r="S195" s="9"/>
      <c r="T195" s="7">
        <v>7184.79</v>
      </c>
      <c r="U195" s="8">
        <f>IFERROR(T195/T444, "NA")</f>
        <v>9.508971351351673E-4</v>
      </c>
      <c r="V195" s="9"/>
      <c r="W195" s="10">
        <f t="shared" si="50"/>
        <v>-7979.8200000000006</v>
      </c>
      <c r="X195" s="8">
        <f>IFERROR(W195/W444, "NA")</f>
        <v>2.0772479290633521E-2</v>
      </c>
      <c r="Y195" s="9"/>
      <c r="Z195" s="7">
        <v>13428.279999999999</v>
      </c>
      <c r="AA195" s="8">
        <f>IFERROR(Z195/Z444, "NA")</f>
        <v>1.9939491261200498E-3</v>
      </c>
      <c r="AB195" s="9"/>
      <c r="AC195" s="10">
        <f t="shared" si="51"/>
        <v>-1736.3300000000017</v>
      </c>
      <c r="AD195" s="8">
        <f>IFERROR(AC195/AC444, "NA")</f>
        <v>-3.9720846630768294E-3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169776.78</v>
      </c>
      <c r="C196" s="15">
        <f>IFERROR(B196/B444, "NA")</f>
        <v>0.31993722945423847</v>
      </c>
      <c r="D196" s="2"/>
      <c r="E196" s="14">
        <f>IFERROR(E175+E177+E178+E179+E180+E181+E183+E184+E186+E187+E188+E189+E190+E191+E192+E194+E195, "NA")</f>
        <v>177750.68999999997</v>
      </c>
      <c r="F196" s="15">
        <f>IFERROR(E196/E444, "NA")</f>
        <v>0.30302569857636774</v>
      </c>
      <c r="G196" s="2"/>
      <c r="H196" s="14">
        <f t="shared" si="48"/>
        <v>7973.9099999999744</v>
      </c>
      <c r="I196" s="15">
        <f>IFERROR(H196/H444, "NA")</f>
        <v>-0.14257032851621101</v>
      </c>
      <c r="J196" s="2"/>
      <c r="K196" s="14">
        <f>IFERROR(K175+K177+K178+K179+K180+K181+K183+K184+K186+K187+K188+K189+K190+K191+K192+K194+K195, "NA")</f>
        <v>159015.14000000001</v>
      </c>
      <c r="L196" s="15">
        <f>IFERROR(K196/K444, "NA")</f>
        <v>0.29947380494020698</v>
      </c>
      <c r="M196" s="2"/>
      <c r="N196" s="14">
        <f t="shared" si="49"/>
        <v>-10761.639999999985</v>
      </c>
      <c r="O196" s="15">
        <f>IFERROR(N196/N444, "NA")</f>
        <v>33.085252251973344</v>
      </c>
      <c r="P196" s="2"/>
      <c r="Q196" s="14">
        <f>IFERROR(Q175+Q177+Q178+Q179+Q180+Q181+Q183+Q184+Q186+Q187+Q188+Q189+Q190+Q191+Q192+Q194+Q195, "NA")</f>
        <v>1994768.08</v>
      </c>
      <c r="R196" s="15">
        <f>IFERROR(Q196/Q444, "NA")</f>
        <v>0.27814639977528288</v>
      </c>
      <c r="S196" s="2"/>
      <c r="T196" s="14">
        <f>IFERROR(T175+T177+T178+T179+T180+T181+T183+T184+T186+T187+T188+T189+T190+T191+T192+T194+T195, "NA")</f>
        <v>2078345.6900000002</v>
      </c>
      <c r="U196" s="15">
        <f>IFERROR(T196/T444, "NA")</f>
        <v>0.27506621104326262</v>
      </c>
      <c r="V196" s="2"/>
      <c r="W196" s="14">
        <f t="shared" si="50"/>
        <v>83577.610000000102</v>
      </c>
      <c r="X196" s="15">
        <f>IFERROR(W196/W444, "NA")</f>
        <v>-0.2175630744660465</v>
      </c>
      <c r="Y196" s="2"/>
      <c r="Z196" s="14">
        <f>IFERROR(Z175+Z177+Z178+Z179+Z180+Z181+Z183+Z184+Z186+Z187+Z188+Z189+Z190+Z191+Z192+Z194+Z195, "NA")</f>
        <v>1889088.11</v>
      </c>
      <c r="AA196" s="15">
        <f>IFERROR(Z196/Z444, "NA")</f>
        <v>0.28050841850916697</v>
      </c>
      <c r="AB196" s="2"/>
      <c r="AC196" s="14">
        <f t="shared" si="51"/>
        <v>-105679.96999999997</v>
      </c>
      <c r="AD196" s="15">
        <f>IFERROR(AC196/AC444, "NA")</f>
        <v>-0.24175691719397746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169776.78</v>
      </c>
      <c r="C197" s="15">
        <f>IFERROR(B197/B444, "NA")</f>
        <v>0.31993722945423847</v>
      </c>
      <c r="D197" s="2"/>
      <c r="E197" s="14">
        <f>IFERROR(E175+E177+E178+E179+E180+E181+E183+E184+E186+E187+E188+E189+E190+E191+E192+E194+E195, "NA")</f>
        <v>177750.68999999997</v>
      </c>
      <c r="F197" s="15">
        <f>IFERROR(E197/E444, "NA")</f>
        <v>0.30302569857636774</v>
      </c>
      <c r="G197" s="2"/>
      <c r="H197" s="14">
        <f t="shared" si="48"/>
        <v>7973.9099999999744</v>
      </c>
      <c r="I197" s="15">
        <f>IFERROR(H197/H444, "NA")</f>
        <v>-0.14257032851621101</v>
      </c>
      <c r="J197" s="2"/>
      <c r="K197" s="14">
        <f>IFERROR(K175+K177+K178+K179+K180+K181+K183+K184+K186+K187+K188+K189+K190+K191+K192+K194+K195, "NA")</f>
        <v>159015.14000000001</v>
      </c>
      <c r="L197" s="15">
        <f>IFERROR(K197/K444, "NA")</f>
        <v>0.29947380494020698</v>
      </c>
      <c r="M197" s="2"/>
      <c r="N197" s="14">
        <f t="shared" si="49"/>
        <v>-10761.639999999985</v>
      </c>
      <c r="O197" s="15">
        <f>IFERROR(N197/N444, "NA")</f>
        <v>33.085252251973344</v>
      </c>
      <c r="P197" s="2"/>
      <c r="Q197" s="14">
        <f>IFERROR(Q175+Q177+Q178+Q179+Q180+Q181+Q183+Q184+Q186+Q187+Q188+Q189+Q190+Q191+Q192+Q194+Q195, "NA")</f>
        <v>1994768.08</v>
      </c>
      <c r="R197" s="15">
        <f>IFERROR(Q197/Q444, "NA")</f>
        <v>0.27814639977528288</v>
      </c>
      <c r="S197" s="2"/>
      <c r="T197" s="14">
        <f>IFERROR(T175+T177+T178+T179+T180+T181+T183+T184+T186+T187+T188+T189+T190+T191+T192+T194+T195, "NA")</f>
        <v>2078345.6900000002</v>
      </c>
      <c r="U197" s="15">
        <f>IFERROR(T197/T444, "NA")</f>
        <v>0.27506621104326262</v>
      </c>
      <c r="V197" s="2"/>
      <c r="W197" s="14">
        <f t="shared" si="50"/>
        <v>83577.610000000102</v>
      </c>
      <c r="X197" s="15">
        <f>IFERROR(W197/W444, "NA")</f>
        <v>-0.2175630744660465</v>
      </c>
      <c r="Y197" s="2"/>
      <c r="Z197" s="14">
        <f>IFERROR(Z175+Z177+Z178+Z179+Z180+Z181+Z183+Z184+Z186+Z187+Z188+Z189+Z190+Z191+Z192+Z194+Z195, "NA")</f>
        <v>1889088.11</v>
      </c>
      <c r="AA197" s="15">
        <f>IFERROR(Z197/Z444, "NA")</f>
        <v>0.28050841850916697</v>
      </c>
      <c r="AB197" s="2"/>
      <c r="AC197" s="14">
        <f t="shared" si="51"/>
        <v>-105679.96999999997</v>
      </c>
      <c r="AD197" s="15">
        <f>IFERROR(AC197/AC444, "NA")</f>
        <v>-0.24175691719397746</v>
      </c>
    </row>
    <row r="198" spans="1:30" ht="16.5" customHeight="1" x14ac:dyDescent="0.45">
      <c r="A198" s="22" t="s">
        <v>181</v>
      </c>
      <c r="B198" s="23">
        <f>IFERROR(B172-B197, "NA")</f>
        <v>209221.33000000022</v>
      </c>
      <c r="C198" s="24">
        <f>IFERROR(B198/B444, "NA")</f>
        <v>0.39426883147937558</v>
      </c>
      <c r="D198" s="25"/>
      <c r="E198" s="23">
        <f>IFERROR(E172-E197, "NA")</f>
        <v>270238.05000000005</v>
      </c>
      <c r="F198" s="24">
        <f>IFERROR(E198/E444, "NA")</f>
        <v>0.46069623630246065</v>
      </c>
      <c r="G198" s="25"/>
      <c r="H198" s="23">
        <f>IFERROR(B198-E198, "NA")</f>
        <v>-61016.719999999827</v>
      </c>
      <c r="I198" s="24">
        <f>IFERROR(H198/H444, "NA")</f>
        <v>1.0909546026205044</v>
      </c>
      <c r="J198" s="25"/>
      <c r="K198" s="23">
        <f>IFERROR(K172-K197, "NA")</f>
        <v>222935.00999999978</v>
      </c>
      <c r="L198" s="24">
        <f>IFERROR(K198/K444, "NA")</f>
        <v>0.41985433399035477</v>
      </c>
      <c r="M198" s="25"/>
      <c r="N198" s="23">
        <f>IFERROR(B198-K198, "NA")</f>
        <v>-13713.679999999556</v>
      </c>
      <c r="O198" s="24">
        <f>IFERROR(N198/N444, "NA")</f>
        <v>42.160912472711196</v>
      </c>
      <c r="P198" s="25"/>
      <c r="Q198" s="23">
        <f>IFERROR(Q172-Q197, "NA")</f>
        <v>3154001.1800000016</v>
      </c>
      <c r="R198" s="24">
        <f>IFERROR(Q198/Q444, "NA")</f>
        <v>0.43978750306852432</v>
      </c>
      <c r="S198" s="25"/>
      <c r="T198" s="23">
        <f>IFERROR(T172-T197, "NA")</f>
        <v>3630538.169999999</v>
      </c>
      <c r="U198" s="24">
        <f>IFERROR(T198/T444, "NA")</f>
        <v>0.48049676397666069</v>
      </c>
      <c r="V198" s="25"/>
      <c r="W198" s="23">
        <f>IFERROR(Q198-T198, "NA")</f>
        <v>-476536.98999999743</v>
      </c>
      <c r="X198" s="24">
        <f>IFERROR(W198/W444, "NA")</f>
        <v>1.2404859703597049</v>
      </c>
      <c r="Y198" s="25"/>
      <c r="Z198" s="23">
        <f>IFERROR(Z172-Z197, "NA")</f>
        <v>3007302.8999999985</v>
      </c>
      <c r="AA198" s="24">
        <f>IFERROR(Z198/Z444, "NA")</f>
        <v>0.44655078605996368</v>
      </c>
      <c r="AB198" s="25"/>
      <c r="AC198" s="23">
        <f>IFERROR(Q198-Z198, "NA")</f>
        <v>146698.28000000305</v>
      </c>
      <c r="AD198" s="24">
        <f>IFERROR(AC198/AC444, "NA")</f>
        <v>0.33559172973326606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11292.77</v>
      </c>
      <c r="F201" s="8">
        <f>IFERROR(E201/E444, "NA")</f>
        <v>1.9251680643896513E-2</v>
      </c>
      <c r="G201" s="9"/>
      <c r="H201" s="10">
        <f t="shared" ref="H201:H209" si="52">IFERROR(-(B201-E201), "NA")</f>
        <v>11292.77</v>
      </c>
      <c r="I201" s="8">
        <f>IFERROR(H201/H444, "NA")</f>
        <v>-0.20191022080234383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146575.41</v>
      </c>
      <c r="U201" s="8">
        <f>IFERROR(T201/T444, "NA")</f>
        <v>1.939905514987391E-2</v>
      </c>
      <c r="V201" s="9"/>
      <c r="W201" s="10">
        <f t="shared" ref="W201:W209" si="54">IFERROR(-(Q201-T201), "NA")</f>
        <v>146575.41</v>
      </c>
      <c r="X201" s="8">
        <f>IFERROR(W201/W444, "NA")</f>
        <v>-0.38155430432530024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6686.74</v>
      </c>
      <c r="C202" s="8">
        <f>IFERROR(B202/B444, "NA")</f>
        <v>1.2600881402514729E-2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-6686.74</v>
      </c>
      <c r="I202" s="8">
        <f>IFERROR(H202/H444, "NA")</f>
        <v>0.11955624260902015</v>
      </c>
      <c r="J202" s="9"/>
      <c r="K202" s="7">
        <v>5442.22</v>
      </c>
      <c r="L202" s="8">
        <f>IFERROR(K202/K444, "NA")</f>
        <v>1.0249353179336843E-2</v>
      </c>
      <c r="M202" s="9"/>
      <c r="N202" s="10">
        <f t="shared" si="53"/>
        <v>-1244.5199999999995</v>
      </c>
      <c r="O202" s="8">
        <f>IFERROR(N202/N444, "NA")</f>
        <v>3.8261136901648731</v>
      </c>
      <c r="P202" s="9"/>
      <c r="Q202" s="7">
        <v>72789.119999999995</v>
      </c>
      <c r="R202" s="8">
        <f>IFERROR(Q202/Q444, "NA")</f>
        <v>1.0149566695899323E-2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-72789.119999999995</v>
      </c>
      <c r="X202" s="8">
        <f>IFERROR(W202/W444, "NA")</f>
        <v>0.18947927243765375</v>
      </c>
      <c r="Y202" s="9"/>
      <c r="Z202" s="7">
        <v>61150.89</v>
      </c>
      <c r="AA202" s="8">
        <f>IFERROR(Z202/Z444, "NA")</f>
        <v>9.0802220148048229E-3</v>
      </c>
      <c r="AB202" s="9"/>
      <c r="AC202" s="10">
        <f t="shared" si="55"/>
        <v>-11638.229999999996</v>
      </c>
      <c r="AD202" s="8">
        <f>IFERROR(AC202/AC444, "NA")</f>
        <v>-2.6623991342867186E-2</v>
      </c>
    </row>
    <row r="203" spans="1:30" ht="16.5" customHeight="1" x14ac:dyDescent="0.45">
      <c r="A203" s="6" t="s">
        <v>185</v>
      </c>
      <c r="B203" s="7">
        <v>4396.3200000000006</v>
      </c>
      <c r="C203" s="8">
        <f>IFERROR(B203/B444, "NA")</f>
        <v>8.2846808650408957E-3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-4396.3200000000006</v>
      </c>
      <c r="I203" s="8">
        <f>IFERROR(H203/H444, "NA")</f>
        <v>7.8604447085857621E-2</v>
      </c>
      <c r="J203" s="9"/>
      <c r="K203" s="7">
        <v>3968.35</v>
      </c>
      <c r="L203" s="8">
        <f>IFERROR(K203/K444, "NA")</f>
        <v>7.4736083232984623E-3</v>
      </c>
      <c r="M203" s="9"/>
      <c r="N203" s="10">
        <f t="shared" si="53"/>
        <v>-427.97000000000071</v>
      </c>
      <c r="O203" s="8">
        <f>IFERROR(N203/N444, "NA")</f>
        <v>1.3157376948380612</v>
      </c>
      <c r="P203" s="9"/>
      <c r="Q203" s="7">
        <v>56435.039999999994</v>
      </c>
      <c r="R203" s="8">
        <f>IFERROR(Q203/Q444, "NA")</f>
        <v>7.8691870772135478E-3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-56435.039999999994</v>
      </c>
      <c r="X203" s="8">
        <f>IFERROR(W203/W444, "NA")</f>
        <v>0.14690753671963455</v>
      </c>
      <c r="Y203" s="9"/>
      <c r="Z203" s="7">
        <v>44913.36</v>
      </c>
      <c r="AA203" s="8">
        <f>IFERROR(Z203/Z444, "NA")</f>
        <v>6.6691307392395156E-3</v>
      </c>
      <c r="AB203" s="9"/>
      <c r="AC203" s="10">
        <f t="shared" si="55"/>
        <v>-11521.679999999993</v>
      </c>
      <c r="AD203" s="8">
        <f>IFERROR(AC203/AC444, "NA")</f>
        <v>-2.6357367793494881E-2</v>
      </c>
    </row>
    <row r="204" spans="1:30" ht="16.5" customHeight="1" x14ac:dyDescent="0.45">
      <c r="A204" s="6" t="s">
        <v>186</v>
      </c>
      <c r="B204" s="7">
        <v>2431.61</v>
      </c>
      <c r="C204" s="8">
        <f>IFERROR(B204/B444, "NA")</f>
        <v>4.5822671776035622E-3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-2431.61</v>
      </c>
      <c r="I204" s="8">
        <f>IFERROR(H204/H444, "NA")</f>
        <v>4.3476216376069583E-2</v>
      </c>
      <c r="J204" s="9"/>
      <c r="K204" s="7">
        <v>374.56</v>
      </c>
      <c r="L204" s="8">
        <f>IFERROR(K204/K444, "NA")</f>
        <v>7.0541024193296266E-4</v>
      </c>
      <c r="M204" s="9"/>
      <c r="N204" s="10">
        <f t="shared" si="53"/>
        <v>-2057.0500000000002</v>
      </c>
      <c r="O204" s="8">
        <f>IFERROR(N204/N444, "NA")</f>
        <v>6.3241307221689134</v>
      </c>
      <c r="P204" s="9"/>
      <c r="Q204" s="7">
        <v>16531.03</v>
      </c>
      <c r="R204" s="8">
        <f>IFERROR(Q204/Q444, "NA")</f>
        <v>2.3050531664198246E-3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-16531.03</v>
      </c>
      <c r="X204" s="8">
        <f>IFERROR(W204/W444, "NA")</f>
        <v>4.3032358916346665E-2</v>
      </c>
      <c r="Y204" s="9"/>
      <c r="Z204" s="7">
        <v>8831.5499999999993</v>
      </c>
      <c r="AA204" s="8">
        <f>IFERROR(Z204/Z444, "NA")</f>
        <v>1.3113862240574016E-3</v>
      </c>
      <c r="AB204" s="9"/>
      <c r="AC204" s="10">
        <f t="shared" si="55"/>
        <v>-7699.48</v>
      </c>
      <c r="AD204" s="8">
        <f>IFERROR(AC204/AC444, "NA")</f>
        <v>-1.7613579458781885E-2</v>
      </c>
    </row>
    <row r="205" spans="1:30" ht="16.5" customHeight="1" x14ac:dyDescent="0.45">
      <c r="A205" s="6" t="s">
        <v>187</v>
      </c>
      <c r="B205" s="7">
        <v>2096.2600000000002</v>
      </c>
      <c r="C205" s="8">
        <f>IFERROR(B205/B444, "NA")</f>
        <v>3.9503141514154174E-3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-2096.2600000000002</v>
      </c>
      <c r="I205" s="8">
        <f>IFERROR(H205/H444, "NA")</f>
        <v>3.7480292209893698E-2</v>
      </c>
      <c r="J205" s="9"/>
      <c r="K205" s="7">
        <v>2437.3300000000004</v>
      </c>
      <c r="L205" s="8">
        <f>IFERROR(K205/K444, "NA")</f>
        <v>4.5902326595751494E-3</v>
      </c>
      <c r="M205" s="9"/>
      <c r="N205" s="10">
        <f t="shared" si="53"/>
        <v>341.07000000000016</v>
      </c>
      <c r="O205" s="8">
        <f>IFERROR(N205/N444, "NA")</f>
        <v>-1.048575029975038</v>
      </c>
      <c r="P205" s="9"/>
      <c r="Q205" s="7">
        <v>25124.46</v>
      </c>
      <c r="R205" s="8">
        <f>IFERROR(Q205/Q444, "NA")</f>
        <v>3.5033035496026704E-3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-25124.46</v>
      </c>
      <c r="X205" s="8">
        <f>IFERROR(W205/W444, "NA")</f>
        <v>6.5402142534336641E-2</v>
      </c>
      <c r="Y205" s="9"/>
      <c r="Z205" s="7">
        <v>24243.510000000002</v>
      </c>
      <c r="AA205" s="8">
        <f>IFERROR(Z205/Z444, "NA")</f>
        <v>3.5998896045199157E-3</v>
      </c>
      <c r="AB205" s="9"/>
      <c r="AC205" s="10">
        <f t="shared" si="55"/>
        <v>-880.94999999999709</v>
      </c>
      <c r="AD205" s="8">
        <f>IFERROR(AC205/AC444, "NA")</f>
        <v>-2.0152897110212445E-3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52.12</v>
      </c>
      <c r="L206" s="8">
        <f>IFERROR(K206/K444, "NA")</f>
        <v>9.815778996568243E-5</v>
      </c>
      <c r="M206" s="9"/>
      <c r="N206" s="10">
        <f t="shared" si="53"/>
        <v>52.12</v>
      </c>
      <c r="O206" s="8">
        <f>IFERROR(N206/N444, "NA")</f>
        <v>-0.16023611153809761</v>
      </c>
      <c r="P206" s="9"/>
      <c r="Q206" s="7">
        <v>5409.7800000000007</v>
      </c>
      <c r="R206" s="8">
        <f>IFERROR(Q206/Q444, "NA")</f>
        <v>7.5432870901780721E-4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-5409.7800000000007</v>
      </c>
      <c r="X206" s="8">
        <f>IFERROR(W206/W444, "NA")</f>
        <v>1.4082340581226571E-2</v>
      </c>
      <c r="Y206" s="9"/>
      <c r="Z206" s="7">
        <v>3112.1899999999996</v>
      </c>
      <c r="AA206" s="8">
        <f>IFERROR(Z206/Z444, "NA")</f>
        <v>4.6212534522809749E-4</v>
      </c>
      <c r="AB206" s="9"/>
      <c r="AC206" s="10">
        <f t="shared" si="55"/>
        <v>-2297.5900000000011</v>
      </c>
      <c r="AD206" s="8">
        <f>IFERROR(AC206/AC444, "NA")</f>
        <v>-5.2560411909249316E-3</v>
      </c>
    </row>
    <row r="207" spans="1:30" ht="16.5" customHeight="1" x14ac:dyDescent="0.45">
      <c r="A207" s="6" t="s">
        <v>189</v>
      </c>
      <c r="B207" s="7">
        <v>448.23</v>
      </c>
      <c r="C207" s="8">
        <f>IFERROR(B207/B444, "NA")</f>
        <v>8.4467065730822158E-4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-448.23</v>
      </c>
      <c r="I207" s="8">
        <f>IFERROR(H207/H444, "NA")</f>
        <v>8.0141735172357693E-3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-448.23</v>
      </c>
      <c r="O207" s="8">
        <f>IFERROR(N207/N444, "NA")</f>
        <v>1.3780244104896682</v>
      </c>
      <c r="P207" s="9"/>
      <c r="Q207" s="7">
        <v>5663.08</v>
      </c>
      <c r="R207" s="8">
        <f>IFERROR(Q207/Q444, "NA")</f>
        <v>7.8964834530508878E-4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-5663.08</v>
      </c>
      <c r="X207" s="8">
        <f>IFERROR(W207/W444, "NA")</f>
        <v>1.4741712472361642E-2</v>
      </c>
      <c r="Y207" s="9"/>
      <c r="Z207" s="7">
        <v>2861.06</v>
      </c>
      <c r="AA207" s="8">
        <f>IFERROR(Z207/Z444, "NA")</f>
        <v>4.248353539527795E-4</v>
      </c>
      <c r="AB207" s="9"/>
      <c r="AC207" s="10">
        <f t="shared" si="55"/>
        <v>-2802.02</v>
      </c>
      <c r="AD207" s="8">
        <f>IFERROR(AC207/AC444, "NA")</f>
        <v>-6.4099915728199853E-3</v>
      </c>
    </row>
    <row r="208" spans="1:30" ht="16.5" customHeight="1" x14ac:dyDescent="0.45">
      <c r="A208" s="6" t="s">
        <v>190</v>
      </c>
      <c r="B208" s="7">
        <v>699.02</v>
      </c>
      <c r="C208" s="8">
        <f>IFERROR(B208/B444, "NA")</f>
        <v>1.3172739059670103E-3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-699.02</v>
      </c>
      <c r="I208" s="8">
        <f>IFERROR(H208/H444, "NA")</f>
        <v>1.2498198630208034E-2</v>
      </c>
      <c r="J208" s="9"/>
      <c r="K208" s="7">
        <v>788.62</v>
      </c>
      <c r="L208" s="8">
        <f>IFERROR(K208/K444, "NA")</f>
        <v>1.4852109808660106E-3</v>
      </c>
      <c r="M208" s="9"/>
      <c r="N208" s="10">
        <f t="shared" si="53"/>
        <v>89.600000000000023</v>
      </c>
      <c r="O208" s="8">
        <f>IFERROR(N208/N444, "NA")</f>
        <v>-0.27546346112458847</v>
      </c>
      <c r="P208" s="9"/>
      <c r="Q208" s="7">
        <v>10503.68</v>
      </c>
      <c r="R208" s="8">
        <f>IFERROR(Q208/Q444, "NA")</f>
        <v>1.4646117539597102E-3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-10503.68</v>
      </c>
      <c r="X208" s="8">
        <f>IFERROR(W208/W444, "NA")</f>
        <v>2.7342405627625875E-2</v>
      </c>
      <c r="Y208" s="9"/>
      <c r="Z208" s="7">
        <v>9511.74</v>
      </c>
      <c r="AA208" s="8">
        <f>IFERROR(Z208/Z444, "NA")</f>
        <v>1.412386818034858E-3</v>
      </c>
      <c r="AB208" s="9"/>
      <c r="AC208" s="10">
        <f t="shared" si="55"/>
        <v>-991.94000000000051</v>
      </c>
      <c r="AD208" s="8">
        <f>IFERROR(AC208/AC444, "NA")</f>
        <v>-2.26919402457622E-3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16758.18</v>
      </c>
      <c r="C209" s="15">
        <f>IFERROR(B209/B444, "NA")</f>
        <v>3.1580088159849834E-2</v>
      </c>
      <c r="D209" s="2"/>
      <c r="E209" s="14">
        <f>IFERROR(E201+E202+E203+E204+E205+E206+E207+E208, "NA")</f>
        <v>11292.77</v>
      </c>
      <c r="F209" s="15">
        <f>IFERROR(E209/E444, "NA")</f>
        <v>1.9251680643896513E-2</v>
      </c>
      <c r="G209" s="2"/>
      <c r="H209" s="14">
        <f t="shared" si="52"/>
        <v>-5465.41</v>
      </c>
      <c r="I209" s="15">
        <f>IFERROR(H209/H444, "NA")</f>
        <v>9.7719349625941018E-2</v>
      </c>
      <c r="J209" s="2"/>
      <c r="K209" s="14">
        <f>IFERROR(K201+K202+K203+K204+K205+K206+K207+K208, "NA")</f>
        <v>13063.2</v>
      </c>
      <c r="L209" s="15">
        <f>IFERROR(K209/K444, "NA")</f>
        <v>2.460197317497511E-2</v>
      </c>
      <c r="M209" s="2"/>
      <c r="N209" s="14">
        <f t="shared" si="53"/>
        <v>-3694.9799999999996</v>
      </c>
      <c r="O209" s="15">
        <f>IFERROR(N209/N444, "NA")</f>
        <v>11.35973191502379</v>
      </c>
      <c r="P209" s="2"/>
      <c r="Q209" s="14">
        <f>IFERROR(Q201+Q202+Q203+Q204+Q205+Q206+Q207+Q208, "NA")</f>
        <v>192456.18999999997</v>
      </c>
      <c r="R209" s="15">
        <f>IFERROR(Q209/Q444, "NA")</f>
        <v>2.683569929741797E-2</v>
      </c>
      <c r="S209" s="2"/>
      <c r="T209" s="14">
        <f>IFERROR(T201+T202+T203+T204+T205+T206+T207+T208, "NA")</f>
        <v>146575.41</v>
      </c>
      <c r="U209" s="15">
        <f>IFERROR(T209/T444, "NA")</f>
        <v>1.939905514987391E-2</v>
      </c>
      <c r="V209" s="2"/>
      <c r="W209" s="14">
        <f t="shared" si="54"/>
        <v>-45880.77999999997</v>
      </c>
      <c r="X209" s="15">
        <f>IFERROR(W209/W444, "NA")</f>
        <v>0.11943346496388541</v>
      </c>
      <c r="Y209" s="2"/>
      <c r="Z209" s="14">
        <f>IFERROR(Z201+Z202+Z203+Z204+Z205+Z206+Z207+Z208, "NA")</f>
        <v>154624.29999999999</v>
      </c>
      <c r="AA209" s="15">
        <f>IFERROR(Z209/Z444, "NA")</f>
        <v>2.2959976099837388E-2</v>
      </c>
      <c r="AB209" s="2"/>
      <c r="AC209" s="14">
        <f t="shared" si="55"/>
        <v>-37831.889999999985</v>
      </c>
      <c r="AD209" s="15">
        <f>IFERROR(AC209/AC444, "NA")</f>
        <v>-8.6545455094486329E-2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17322.25</v>
      </c>
      <c r="F213" s="8">
        <f>IFERROR(E213/E444, "NA")</f>
        <v>2.9530613395450038E-2</v>
      </c>
      <c r="G213" s="9"/>
      <c r="H213" s="10">
        <f t="shared" ref="H213:H227" si="56">IFERROR(-(B213-E213), "NA")</f>
        <v>17322.25</v>
      </c>
      <c r="I213" s="8">
        <f>IFERROR(H213/H444, "NA")</f>
        <v>-0.30971491691528297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258944.97999999998</v>
      </c>
      <c r="U213" s="8">
        <f>IFERROR(T213/T444, "NA")</f>
        <v>3.4271014133973737E-2</v>
      </c>
      <c r="V213" s="9"/>
      <c r="W213" s="10">
        <f t="shared" ref="W213:W227" si="58">IFERROR(-(Q213-T213), "NA")</f>
        <v>258944.97999999998</v>
      </c>
      <c r="X213" s="8">
        <f>IFERROR(W213/W444, "NA")</f>
        <v>-0.67406648702145044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8078.6799999999994</v>
      </c>
      <c r="C214" s="8">
        <f>IFERROR(B214/B444, "NA")</f>
        <v>1.5223934019995946E-2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-8078.6799999999994</v>
      </c>
      <c r="I214" s="8">
        <f>IFERROR(H214/H444, "NA")</f>
        <v>0.1444435743038669</v>
      </c>
      <c r="J214" s="9"/>
      <c r="K214" s="7">
        <v>14084.34</v>
      </c>
      <c r="L214" s="8">
        <f>IFERROR(K214/K444, "NA")</f>
        <v>2.6525089937169219E-2</v>
      </c>
      <c r="M214" s="9"/>
      <c r="N214" s="10">
        <f t="shared" si="57"/>
        <v>6005.6600000000008</v>
      </c>
      <c r="O214" s="8">
        <f>IFERROR(N214/N444, "NA")</f>
        <v>-18.463614843052408</v>
      </c>
      <c r="P214" s="9"/>
      <c r="Q214" s="7">
        <v>122603.93000000001</v>
      </c>
      <c r="R214" s="8">
        <f>IFERROR(Q214/Q444, "NA")</f>
        <v>1.7095642380542203E-2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-122603.93000000001</v>
      </c>
      <c r="X214" s="8">
        <f>IFERROR(W214/W444, "NA")</f>
        <v>0.31915351434935652</v>
      </c>
      <c r="Y214" s="9"/>
      <c r="Z214" s="7">
        <v>99599.000000000015</v>
      </c>
      <c r="AA214" s="8">
        <f>IFERROR(Z214/Z444, "NA")</f>
        <v>1.4789335567357165E-2</v>
      </c>
      <c r="AB214" s="9"/>
      <c r="AC214" s="10">
        <f t="shared" si="59"/>
        <v>-23004.929999999993</v>
      </c>
      <c r="AD214" s="8">
        <f>IFERROR(AC214/AC444, "NA")</f>
        <v>-5.262682187611567E-2</v>
      </c>
    </row>
    <row r="215" spans="1:30" ht="16.5" customHeight="1" x14ac:dyDescent="0.45">
      <c r="A215" s="12" t="s">
        <v>195</v>
      </c>
      <c r="B215" s="7">
        <v>2045.39</v>
      </c>
      <c r="C215" s="8">
        <f>IFERROR(B215/B444, "NA")</f>
        <v>3.8544517675114637E-3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-2045.39</v>
      </c>
      <c r="I215" s="8">
        <f>IFERROR(H215/H444, "NA")</f>
        <v>3.657075691144919E-2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-2045.39</v>
      </c>
      <c r="O215" s="8">
        <f>IFERROR(N215/N444, "NA")</f>
        <v>6.2882835797948875</v>
      </c>
      <c r="P215" s="9"/>
      <c r="Q215" s="7">
        <v>13383.380000000001</v>
      </c>
      <c r="R215" s="8">
        <f>IFERROR(Q215/Q444, "NA")</f>
        <v>1.866151258959651E-3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-13383.380000000001</v>
      </c>
      <c r="X215" s="8">
        <f>IFERROR(W215/W444, "NA")</f>
        <v>3.4838628426290173E-2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-13383.380000000001</v>
      </c>
      <c r="AD215" s="8">
        <f>IFERROR(AC215/AC444, "NA")</f>
        <v>-3.061625292319382E-2</v>
      </c>
    </row>
    <row r="216" spans="1:30" ht="16.5" customHeight="1" x14ac:dyDescent="0.45">
      <c r="A216" s="12" t="s">
        <v>196</v>
      </c>
      <c r="B216" s="7">
        <v>27</v>
      </c>
      <c r="C216" s="8">
        <f>IFERROR(B216/B444, "NA")</f>
        <v>5.0880368889458497E-5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-27</v>
      </c>
      <c r="I216" s="8">
        <f>IFERROR(H216/H444, "NA")</f>
        <v>4.8274922465110711E-4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-27</v>
      </c>
      <c r="O216" s="8">
        <f>IFERROR(N216/N444, "NA")</f>
        <v>8.3007962615668382E-2</v>
      </c>
      <c r="P216" s="9"/>
      <c r="Q216" s="7">
        <v>999.22</v>
      </c>
      <c r="R216" s="8">
        <f>IFERROR(Q216/Q444, "NA")</f>
        <v>1.3932920241207096E-4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-999.22</v>
      </c>
      <c r="X216" s="8">
        <f>IFERROR(W216/W444, "NA")</f>
        <v>2.6010958589024347E-3</v>
      </c>
      <c r="Y216" s="9"/>
      <c r="Z216" s="7">
        <v>3443.99</v>
      </c>
      <c r="AA216" s="8">
        <f>IFERROR(Z216/Z444, "NA")</f>
        <v>5.1139392765612495E-4</v>
      </c>
      <c r="AB216" s="9"/>
      <c r="AC216" s="10">
        <f t="shared" si="59"/>
        <v>2444.7699999999995</v>
      </c>
      <c r="AD216" s="8">
        <f>IFERROR(AC216/AC444, "NA")</f>
        <v>5.5927349189096127E-3</v>
      </c>
    </row>
    <row r="217" spans="1:30" ht="16.5" customHeight="1" x14ac:dyDescent="0.45">
      <c r="A217" s="12" t="s">
        <v>197</v>
      </c>
      <c r="B217" s="7">
        <v>9691.14</v>
      </c>
      <c r="C217" s="8">
        <f>IFERROR(B217/B444, "NA")</f>
        <v>1.8262547339236546E-2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-9691.14</v>
      </c>
      <c r="I217" s="8">
        <f>IFERROR(H217/H444, "NA")</f>
        <v>0.17327371559204927</v>
      </c>
      <c r="J217" s="9"/>
      <c r="K217" s="7">
        <v>15951.26</v>
      </c>
      <c r="L217" s="8">
        <f>IFERROR(K217/K444, "NA")</f>
        <v>3.0041067320951489E-2</v>
      </c>
      <c r="M217" s="9"/>
      <c r="N217" s="10">
        <f t="shared" si="57"/>
        <v>6260.1200000000008</v>
      </c>
      <c r="O217" s="8">
        <f>IFERROR(N217/N444, "NA")</f>
        <v>-19.245918775170296</v>
      </c>
      <c r="P217" s="9"/>
      <c r="Q217" s="7">
        <v>123687.32</v>
      </c>
      <c r="R217" s="8">
        <f>IFERROR(Q217/Q444, "NA")</f>
        <v>1.7246708076386175E-2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-123687.32</v>
      </c>
      <c r="X217" s="8">
        <f>IFERROR(W217/W444, "NA")</f>
        <v>0.32197371534871227</v>
      </c>
      <c r="Y217" s="9"/>
      <c r="Z217" s="7">
        <v>166254.02000000002</v>
      </c>
      <c r="AA217" s="8">
        <f>IFERROR(Z217/Z444, "NA")</f>
        <v>2.4686859217483204E-2</v>
      </c>
      <c r="AB217" s="9"/>
      <c r="AC217" s="10">
        <f t="shared" si="59"/>
        <v>42566.700000000012</v>
      </c>
      <c r="AD217" s="8">
        <f>IFERROR(AC217/AC444, "NA")</f>
        <v>9.7376959580144529E-2</v>
      </c>
    </row>
    <row r="218" spans="1:30" ht="16.5" customHeight="1" x14ac:dyDescent="0.45">
      <c r="A218" s="13" t="s">
        <v>198</v>
      </c>
      <c r="B218" s="14">
        <f>IFERROR(B213+B214+B215+B216+B217, "NA")</f>
        <v>19842.21</v>
      </c>
      <c r="C218" s="15">
        <f>IFERROR(B218/B444, "NA")</f>
        <v>3.7391813495633412E-2</v>
      </c>
      <c r="D218" s="2"/>
      <c r="E218" s="14">
        <f>IFERROR(E213+E214+E215+E216+E217, "NA")</f>
        <v>17322.25</v>
      </c>
      <c r="F218" s="15">
        <f>IFERROR(E218/E444, "NA")</f>
        <v>2.9530613395450038E-2</v>
      </c>
      <c r="G218" s="2"/>
      <c r="H218" s="14">
        <f t="shared" si="56"/>
        <v>-2519.9599999999991</v>
      </c>
      <c r="I218" s="15">
        <f>IFERROR(H218/H444, "NA")</f>
        <v>4.5055879116733463E-2</v>
      </c>
      <c r="J218" s="2"/>
      <c r="K218" s="14">
        <f>IFERROR(K213+K214+K215+K216+K217, "NA")</f>
        <v>30035.599999999999</v>
      </c>
      <c r="L218" s="15">
        <f>IFERROR(K218/K444, "NA")</f>
        <v>5.6566157258120704E-2</v>
      </c>
      <c r="M218" s="2"/>
      <c r="N218" s="14">
        <f t="shared" si="57"/>
        <v>10193.39</v>
      </c>
      <c r="O218" s="15">
        <f>IFERROR(N218/N444, "NA")</f>
        <v>-31.338242075812143</v>
      </c>
      <c r="P218" s="2"/>
      <c r="Q218" s="14">
        <f>IFERROR(Q213+Q214+Q215+Q216+Q217, "NA")</f>
        <v>260673.85</v>
      </c>
      <c r="R218" s="15">
        <f>IFERROR(Q218/Q444, "NA")</f>
        <v>3.63478309183001E-2</v>
      </c>
      <c r="S218" s="2"/>
      <c r="T218" s="14">
        <f>IFERROR(T213+T214+T215+T216+T217, "NA")</f>
        <v>258944.97999999998</v>
      </c>
      <c r="U218" s="15">
        <f>IFERROR(T218/T444, "NA")</f>
        <v>3.4271014133973737E-2</v>
      </c>
      <c r="V218" s="2"/>
      <c r="W218" s="14">
        <f t="shared" si="58"/>
        <v>-1728.8700000000244</v>
      </c>
      <c r="X218" s="15">
        <f>IFERROR(W218/W444, "NA")</f>
        <v>4.5004669618109285E-3</v>
      </c>
      <c r="Y218" s="2"/>
      <c r="Z218" s="14">
        <f>IFERROR(Z213+Z214+Z215+Z216+Z217, "NA")</f>
        <v>269297.01</v>
      </c>
      <c r="AA218" s="15">
        <f>IFERROR(Z218/Z444, "NA")</f>
        <v>3.998758871249649E-2</v>
      </c>
      <c r="AB218" s="2"/>
      <c r="AC218" s="14">
        <f t="shared" si="59"/>
        <v>8623.1600000000035</v>
      </c>
      <c r="AD218" s="15">
        <f>IFERROR(AC218/AC444, "NA")</f>
        <v>1.9726619699744617E-2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1925.5900000000001</v>
      </c>
      <c r="C222" s="8">
        <f>IFERROR(B222/B444, "NA")</f>
        <v>3.6286936862908294E-3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-1925.5900000000001</v>
      </c>
      <c r="I222" s="8">
        <f>IFERROR(H222/H444, "NA")</f>
        <v>3.4428780722071312E-2</v>
      </c>
      <c r="J222" s="9"/>
      <c r="K222" s="7">
        <v>1707.4099999999999</v>
      </c>
      <c r="L222" s="8">
        <f>IFERROR(K222/K444, "NA")</f>
        <v>3.2155716071624297E-3</v>
      </c>
      <c r="M222" s="9"/>
      <c r="N222" s="10">
        <f t="shared" si="57"/>
        <v>-218.18000000000029</v>
      </c>
      <c r="O222" s="8">
        <f>IFERROR(N222/N444, "NA")</f>
        <v>0.67076582531431672</v>
      </c>
      <c r="P222" s="9"/>
      <c r="Q222" s="7">
        <v>12921.07</v>
      </c>
      <c r="R222" s="8">
        <f>IFERROR(Q222/Q444, "NA")</f>
        <v>1.8016876938117109E-3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-12921.07</v>
      </c>
      <c r="X222" s="8">
        <f>IFERROR(W222/W444, "NA")</f>
        <v>3.3635177107732513E-2</v>
      </c>
      <c r="Y222" s="9"/>
      <c r="Z222" s="7">
        <v>6328.1299999999992</v>
      </c>
      <c r="AA222" s="8">
        <f>IFERROR(Z222/Z444, "NA")</f>
        <v>9.3965640301468768E-4</v>
      </c>
      <c r="AB222" s="9"/>
      <c r="AC222" s="10">
        <f t="shared" si="59"/>
        <v>-6592.9400000000005</v>
      </c>
      <c r="AD222" s="8">
        <f>IFERROR(AC222/AC444, "NA")</f>
        <v>-1.5082222767898801E-2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586.59</v>
      </c>
      <c r="F226" s="8">
        <f>IFERROR(E226/E444, "NA")</f>
        <v>1.0000064952091696E-3</v>
      </c>
      <c r="G226" s="9"/>
      <c r="H226" s="10">
        <f t="shared" si="56"/>
        <v>586.59</v>
      </c>
      <c r="I226" s="8">
        <f>IFERROR(H226/H444, "NA")</f>
        <v>-1.0487995099558998E-2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7555.84</v>
      </c>
      <c r="U226" s="8">
        <f>IFERROR(T226/T444, "NA")</f>
        <v>1.0000050954223718E-3</v>
      </c>
      <c r="V226" s="9"/>
      <c r="W226" s="10">
        <f t="shared" si="58"/>
        <v>7555.84</v>
      </c>
      <c r="X226" s="8">
        <f>IFERROR(W226/W444, "NA")</f>
        <v>-1.9668805803055755E-2</v>
      </c>
      <c r="Y226" s="9"/>
      <c r="Z226" s="7">
        <v>3956.1899999999996</v>
      </c>
      <c r="AA226" s="8">
        <f>IFERROR(Z226/Z444, "NA")</f>
        <v>5.8744988883646155E-4</v>
      </c>
      <c r="AB226" s="9"/>
      <c r="AC226" s="10">
        <f t="shared" si="59"/>
        <v>3956.1899999999996</v>
      </c>
      <c r="AD226" s="8">
        <f>IFERROR(AC226/AC444, "NA")</f>
        <v>9.0503081921166507E-3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21767.8</v>
      </c>
      <c r="C227" s="15">
        <f>IFERROR(B227/B444, "NA")</f>
        <v>4.1020507181924244E-2</v>
      </c>
      <c r="D227" s="2"/>
      <c r="E227" s="14">
        <f>IFERROR(E211+E213+E214+E215+E216+E217+E219+E220+E221+E222+E223+E224+E225+E226, "NA")</f>
        <v>17908.84</v>
      </c>
      <c r="F227" s="15">
        <f>IFERROR(E227/E444, "NA")</f>
        <v>3.0530619890659208E-2</v>
      </c>
      <c r="G227" s="2"/>
      <c r="H227" s="14">
        <f t="shared" si="56"/>
        <v>-3858.9599999999991</v>
      </c>
      <c r="I227" s="15">
        <f>IFERROR(H227/H444, "NA")</f>
        <v>6.8996664739245775E-2</v>
      </c>
      <c r="J227" s="2"/>
      <c r="K227" s="14">
        <f>IFERROR(K211+K213+K214+K215+K216+K217+K219+K220+K221+K222+K223+K224+K225+K226, "NA")</f>
        <v>31743.01</v>
      </c>
      <c r="L227" s="15">
        <f>IFERROR(K227/K444, "NA")</f>
        <v>5.9781728865283136E-2</v>
      </c>
      <c r="M227" s="2"/>
      <c r="N227" s="14">
        <f t="shared" si="57"/>
        <v>9975.2099999999991</v>
      </c>
      <c r="O227" s="15">
        <f>IFERROR(N227/N444, "NA")</f>
        <v>-30.667476250497828</v>
      </c>
      <c r="P227" s="2"/>
      <c r="Q227" s="14">
        <f>IFERROR(Q211+Q213+Q214+Q215+Q216+Q217+Q219+Q220+Q221+Q222+Q223+Q224+Q225+Q226, "NA")</f>
        <v>273594.92</v>
      </c>
      <c r="R227" s="15">
        <f>IFERROR(Q227/Q444, "NA")</f>
        <v>3.8149518612111806E-2</v>
      </c>
      <c r="S227" s="2"/>
      <c r="T227" s="14">
        <f>IFERROR(T211+T213+T214+T215+T216+T217+T219+T220+T221+T222+T223+T224+T225+T226, "NA")</f>
        <v>266500.82</v>
      </c>
      <c r="U227" s="15">
        <f>IFERROR(T227/T444, "NA")</f>
        <v>3.5271019229396114E-2</v>
      </c>
      <c r="V227" s="2"/>
      <c r="W227" s="14">
        <f t="shared" si="58"/>
        <v>-7094.0999999999767</v>
      </c>
      <c r="X227" s="15">
        <f>IFERROR(W227/W444, "NA")</f>
        <v>1.846683826648756E-2</v>
      </c>
      <c r="Y227" s="2"/>
      <c r="Z227" s="14">
        <f>IFERROR(Z211+Z213+Z214+Z215+Z216+Z217+Z219+Z220+Z221+Z222+Z223+Z224+Z225+Z226, "NA")</f>
        <v>279581.33</v>
      </c>
      <c r="AA227" s="15">
        <f>IFERROR(Z227/Z444, "NA")</f>
        <v>4.1514695004347638E-2</v>
      </c>
      <c r="AB227" s="2"/>
      <c r="AC227" s="14">
        <f t="shared" si="59"/>
        <v>5986.4100000000326</v>
      </c>
      <c r="AD227" s="15">
        <f>IFERROR(AC227/AC444, "NA")</f>
        <v>1.3694705123962534E-2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10282.48</v>
      </c>
      <c r="F229" s="8">
        <f>IFERROR(E229/E444, "NA")</f>
        <v>1.752935915521639E-2</v>
      </c>
      <c r="G229" s="9"/>
      <c r="H229" s="10">
        <f t="shared" ref="H229:H236" si="60">IFERROR(-(B229-E229), "NA")</f>
        <v>10282.48</v>
      </c>
      <c r="I229" s="8">
        <f>IFERROR(H229/H444, "NA")</f>
        <v>-0.18384663879594504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131480.41</v>
      </c>
      <c r="U229" s="8">
        <f>IFERROR(T229/T444, "NA")</f>
        <v>1.7401252534228168E-2</v>
      </c>
      <c r="V229" s="9"/>
      <c r="W229" s="10">
        <f t="shared" ref="W229:W236" si="62">IFERROR(-(Q229-T229), "NA")</f>
        <v>131480.41</v>
      </c>
      <c r="X229" s="8">
        <f>IFERROR(W229/W444, "NA")</f>
        <v>-0.34226011286582964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1.1705817079815614E-5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2.1853245266794039E-4</v>
      </c>
      <c r="Y230" s="9"/>
      <c r="Z230" s="7">
        <v>682.33999999999992</v>
      </c>
      <c r="AA230" s="8">
        <f>IFERROR(Z230/Z444, "NA")</f>
        <v>1.0131984488830696E-4</v>
      </c>
      <c r="AB230" s="9"/>
      <c r="AC230" s="10">
        <f t="shared" si="63"/>
        <v>598.38999999999987</v>
      </c>
      <c r="AD230" s="8">
        <f>IFERROR(AC230/AC444, "NA")</f>
        <v>1.3688963166785927E-3</v>
      </c>
    </row>
    <row r="231" spans="1:30" ht="16.5" customHeight="1" x14ac:dyDescent="0.45">
      <c r="A231" s="6" t="s">
        <v>210</v>
      </c>
      <c r="B231" s="7">
        <v>420</v>
      </c>
      <c r="C231" s="8">
        <f>IFERROR(B231/B444, "NA")</f>
        <v>7.9147240494713213E-4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-420</v>
      </c>
      <c r="I231" s="8">
        <f>IFERROR(H231/H444, "NA")</f>
        <v>7.5094323834616668E-3</v>
      </c>
      <c r="J231" s="9"/>
      <c r="K231" s="7">
        <v>1133.02</v>
      </c>
      <c r="L231" s="8">
        <f>IFERROR(K231/K444, "NA")</f>
        <v>2.1338207825578955E-3</v>
      </c>
      <c r="M231" s="9"/>
      <c r="N231" s="10">
        <f t="shared" si="61"/>
        <v>713.02</v>
      </c>
      <c r="O231" s="8">
        <f>IFERROR(N231/N444, "NA")</f>
        <v>-2.1920865742305136</v>
      </c>
      <c r="P231" s="9"/>
      <c r="Q231" s="7">
        <v>9107.2999999999993</v>
      </c>
      <c r="R231" s="8">
        <f>IFERROR(Q231/Q444, "NA")</f>
        <v>1.2699033697558633E-3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-9107.2999999999993</v>
      </c>
      <c r="X231" s="8">
        <f>IFERROR(W231/W444, "NA")</f>
        <v>2.3707452128442327E-2</v>
      </c>
      <c r="Y231" s="9"/>
      <c r="Z231" s="7">
        <v>15496.160000000002</v>
      </c>
      <c r="AA231" s="8">
        <f>IFERROR(Z231/Z444, "NA")</f>
        <v>2.3010061370642015E-3</v>
      </c>
      <c r="AB231" s="9"/>
      <c r="AC231" s="10">
        <f t="shared" si="63"/>
        <v>6388.8600000000024</v>
      </c>
      <c r="AD231" s="8">
        <f>IFERROR(AC231/AC444, "NA")</f>
        <v>1.4615362759697185E-2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472.96</v>
      </c>
      <c r="C233" s="8">
        <f>IFERROR(B233/B444, "NA")</f>
        <v>8.9127330629475143E-4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-472.96</v>
      </c>
      <c r="I233" s="8">
        <f>IFERROR(H233/H444, "NA")</f>
        <v>8.4563360478143567E-3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-472.96</v>
      </c>
      <c r="O233" s="8">
        <f>IFERROR(N233/N444, "NA")</f>
        <v>1.4540535555076488</v>
      </c>
      <c r="P233" s="9"/>
      <c r="Q233" s="7">
        <v>2059.52</v>
      </c>
      <c r="R233" s="8">
        <f>IFERROR(Q233/Q444, "NA")</f>
        <v>2.8717527566672846E-4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-2059.52</v>
      </c>
      <c r="X233" s="8">
        <f>IFERROR(W233/W444, "NA")</f>
        <v>5.3611906720509419E-3</v>
      </c>
      <c r="Y233" s="9"/>
      <c r="Z233" s="7">
        <v>42.5</v>
      </c>
      <c r="AA233" s="8">
        <f>IFERROR(Z233/Z444, "NA")</f>
        <v>6.3107738191415517E-6</v>
      </c>
      <c r="AB233" s="9"/>
      <c r="AC233" s="10">
        <f t="shared" si="63"/>
        <v>-2017.02</v>
      </c>
      <c r="AD233" s="8">
        <f>IFERROR(AC233/AC444, "NA")</f>
        <v>-4.6142001849413519E-3</v>
      </c>
    </row>
    <row r="234" spans="1:30" ht="16.5" customHeight="1" x14ac:dyDescent="0.45">
      <c r="A234" s="6" t="s">
        <v>213</v>
      </c>
      <c r="B234" s="7">
        <v>7958.130000000001</v>
      </c>
      <c r="C234" s="8">
        <f>IFERROR(B234/B444, "NA")</f>
        <v>1.4996762595195052E-2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-7958.130000000001</v>
      </c>
      <c r="I234" s="8">
        <f>IFERROR(H234/H444, "NA")</f>
        <v>0.14228818841380428</v>
      </c>
      <c r="J234" s="9"/>
      <c r="K234" s="7">
        <v>6817.33</v>
      </c>
      <c r="L234" s="8">
        <f>IFERROR(K234/K444, "NA")</f>
        <v>1.2839102959837794E-2</v>
      </c>
      <c r="M234" s="9"/>
      <c r="N234" s="10">
        <f t="shared" si="61"/>
        <v>-1140.8000000000011</v>
      </c>
      <c r="O234" s="8">
        <f>IFERROR(N234/N444, "NA")</f>
        <v>3.5072401389612806</v>
      </c>
      <c r="P234" s="9"/>
      <c r="Q234" s="7">
        <v>98858.590000000011</v>
      </c>
      <c r="R234" s="8">
        <f>IFERROR(Q234/Q444, "NA")</f>
        <v>1.3784640515884326E-2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-98858.590000000011</v>
      </c>
      <c r="X234" s="8">
        <f>IFERROR(W234/W444, "NA")</f>
        <v>0.25734139535431005</v>
      </c>
      <c r="Y234" s="9"/>
      <c r="Z234" s="7">
        <v>104486.16</v>
      </c>
      <c r="AA234" s="8">
        <f>IFERROR(Z234/Z444, "NA")</f>
        <v>1.5515024070367889E-2</v>
      </c>
      <c r="AB234" s="9"/>
      <c r="AC234" s="10">
        <f t="shared" si="63"/>
        <v>5627.5699999999924</v>
      </c>
      <c r="AD234" s="8">
        <f>IFERROR(AC234/AC444, "NA")</f>
        <v>1.2873811134629489E-2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8851.09</v>
      </c>
      <c r="C236" s="15">
        <f>IFERROR(B236/B444, "NA")</f>
        <v>1.6679508306436934E-2</v>
      </c>
      <c r="D236" s="2"/>
      <c r="E236" s="14">
        <f>IFERROR(E229+E230+E231+E232+E233+E234+E235, "NA")</f>
        <v>10282.48</v>
      </c>
      <c r="F236" s="15">
        <f>IFERROR(E236/E444, "NA")</f>
        <v>1.752935915521639E-2</v>
      </c>
      <c r="G236" s="2"/>
      <c r="H236" s="14">
        <f t="shared" si="60"/>
        <v>1431.3899999999994</v>
      </c>
      <c r="I236" s="15">
        <f>IFERROR(H236/H444, "NA")</f>
        <v>-2.559268195086474E-2</v>
      </c>
      <c r="J236" s="2"/>
      <c r="K236" s="14">
        <f>IFERROR(K229+K230+K231+K232+K233+K234+K235, "NA")</f>
        <v>7950.35</v>
      </c>
      <c r="L236" s="15">
        <f>IFERROR(K236/K444, "NA")</f>
        <v>1.4972923742395689E-2</v>
      </c>
      <c r="M236" s="2"/>
      <c r="N236" s="14">
        <f t="shared" si="61"/>
        <v>-900.73999999999978</v>
      </c>
      <c r="O236" s="15">
        <f>IFERROR(N236/N444, "NA")</f>
        <v>2.7692071202384119</v>
      </c>
      <c r="P236" s="2"/>
      <c r="Q236" s="14">
        <f>IFERROR(Q229+Q230+Q231+Q232+Q233+Q234+Q235, "NA")</f>
        <v>110109.36000000002</v>
      </c>
      <c r="R236" s="15">
        <f>IFERROR(Q236/Q444, "NA")</f>
        <v>1.5353424978386734E-2</v>
      </c>
      <c r="S236" s="2"/>
      <c r="T236" s="14">
        <f>IFERROR(T229+T230+T231+T232+T233+T234+T235, "NA")</f>
        <v>131480.41</v>
      </c>
      <c r="U236" s="15">
        <f>IFERROR(T236/T444, "NA")</f>
        <v>1.7401252534228168E-2</v>
      </c>
      <c r="V236" s="2"/>
      <c r="W236" s="14">
        <f t="shared" si="62"/>
        <v>21371.049999999988</v>
      </c>
      <c r="X236" s="15">
        <f>IFERROR(W236/W444, "NA")</f>
        <v>-5.5631542258358369E-2</v>
      </c>
      <c r="Y236" s="2"/>
      <c r="Z236" s="14">
        <f>IFERROR(Z229+Z230+Z231+Z232+Z233+Z234+Z235, "NA")</f>
        <v>120707.16</v>
      </c>
      <c r="AA236" s="15">
        <f>IFERROR(Z236/Z444, "NA")</f>
        <v>1.792366082613954E-2</v>
      </c>
      <c r="AB236" s="2"/>
      <c r="AC236" s="14">
        <f t="shared" si="63"/>
        <v>10597.799999999988</v>
      </c>
      <c r="AD236" s="15">
        <f>IFERROR(AC236/AC444, "NA")</f>
        <v>2.4243870026063902E-2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37505.94</v>
      </c>
      <c r="F240" s="8">
        <f>IFERROR(E240/E444, "NA")</f>
        <v>6.3939350498517539E-2</v>
      </c>
      <c r="G240" s="9"/>
      <c r="H240" s="10">
        <f t="shared" ref="H240:H263" si="64">IFERROR(-(B240-E240), "NA")</f>
        <v>37505.94</v>
      </c>
      <c r="I240" s="8">
        <f>IFERROR(H240/H444, "NA")</f>
        <v>-0.67059123906707208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484344.70999999996</v>
      </c>
      <c r="U240" s="8">
        <f>IFERROR(T240/T444, "NA")</f>
        <v>6.4102360285669222E-2</v>
      </c>
      <c r="V240" s="9"/>
      <c r="W240" s="10">
        <f t="shared" ref="W240:W263" si="66">IFERROR(-(Q240-T240), "NA")</f>
        <v>484344.70999999996</v>
      </c>
      <c r="X240" s="8">
        <f>IFERROR(W240/W444, "NA")</f>
        <v>-1.26081045161456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1418.94</v>
      </c>
      <c r="R241" s="8">
        <f>IFERROR(Q241/Q444, "NA")</f>
        <v>1.9785410467222832E-4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-1418.94</v>
      </c>
      <c r="X241" s="8">
        <f>IFERROR(W241/W444, "NA")</f>
        <v>3.6936800284532141E-3</v>
      </c>
      <c r="Y241" s="9"/>
      <c r="Z241" s="7">
        <v>759.99</v>
      </c>
      <c r="AA241" s="8">
        <f>IFERROR(Z241/Z444, "NA")</f>
        <v>1.1284999987786795E-4</v>
      </c>
      <c r="AB241" s="9"/>
      <c r="AC241" s="10">
        <f t="shared" si="67"/>
        <v>-658.95</v>
      </c>
      <c r="AD241" s="8">
        <f>IFERROR(AC241/AC444, "NA")</f>
        <v>-1.5074353312644912E-3</v>
      </c>
    </row>
    <row r="242" spans="1:30" ht="16.5" customHeight="1" x14ac:dyDescent="0.45">
      <c r="A242" s="12" t="s">
        <v>219</v>
      </c>
      <c r="B242" s="7">
        <v>7984.1099999999988</v>
      </c>
      <c r="C242" s="8">
        <f>IFERROR(B242/B444, "NA")</f>
        <v>1.5045720816815348E-2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-7984.1099999999988</v>
      </c>
      <c r="I242" s="8">
        <f>IFERROR(H242/H444, "NA")</f>
        <v>0.1427527004455241</v>
      </c>
      <c r="J242" s="9"/>
      <c r="K242" s="7">
        <v>6899.55</v>
      </c>
      <c r="L242" s="8">
        <f>IFERROR(K242/K444, "NA")</f>
        <v>1.2993948191821264E-2</v>
      </c>
      <c r="M242" s="9"/>
      <c r="N242" s="10">
        <f t="shared" si="65"/>
        <v>-1084.5599999999986</v>
      </c>
      <c r="O242" s="8">
        <f>IFERROR(N242/N444, "NA")</f>
        <v>3.3343376272018217</v>
      </c>
      <c r="P242" s="9"/>
      <c r="Q242" s="7">
        <v>86512.099999999991</v>
      </c>
      <c r="R242" s="8">
        <f>IFERROR(Q242/Q444, "NA")</f>
        <v>1.2063071087441528E-2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-86512.099999999991</v>
      </c>
      <c r="X242" s="8">
        <f>IFERROR(W242/W444, "NA")</f>
        <v>0.22520192255454585</v>
      </c>
      <c r="Y242" s="9"/>
      <c r="Z242" s="7">
        <v>73919.799999999988</v>
      </c>
      <c r="AA242" s="8">
        <f>IFERROR(Z242/Z444, "NA")</f>
        <v>1.0976262083674814E-2</v>
      </c>
      <c r="AB242" s="9"/>
      <c r="AC242" s="10">
        <f t="shared" si="67"/>
        <v>-12592.300000000003</v>
      </c>
      <c r="AD242" s="8">
        <f>IFERROR(AC242/AC444, "NA")</f>
        <v>-2.8806552730680411E-2</v>
      </c>
    </row>
    <row r="243" spans="1:30" ht="16.5" customHeight="1" x14ac:dyDescent="0.45">
      <c r="A243" s="12" t="s">
        <v>220</v>
      </c>
      <c r="B243" s="7">
        <v>12795.29</v>
      </c>
      <c r="C243" s="8">
        <f>IFERROR(B243/B444, "NA")</f>
        <v>2.4112187972133312E-2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-12795.29</v>
      </c>
      <c r="I243" s="8">
        <f>IFERROR(H243/H444, "NA")</f>
        <v>0.22877467876615057</v>
      </c>
      <c r="J243" s="9"/>
      <c r="K243" s="7">
        <v>12519.66</v>
      </c>
      <c r="L243" s="8">
        <f>IFERROR(K243/K444, "NA")</f>
        <v>2.3578322270179503E-2</v>
      </c>
      <c r="M243" s="9"/>
      <c r="N243" s="10">
        <f t="shared" si="65"/>
        <v>-275.63000000000102</v>
      </c>
      <c r="O243" s="8">
        <f>IFERROR(N243/N444, "NA")</f>
        <v>0.8473883235465467</v>
      </c>
      <c r="P243" s="9"/>
      <c r="Q243" s="7">
        <v>171373.75999999998</v>
      </c>
      <c r="R243" s="8">
        <f>IFERROR(Q243/Q444, "NA")</f>
        <v>2.389600818153927E-2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-171373.75999999998</v>
      </c>
      <c r="X243" s="8">
        <f>IFERROR(W243/W444, "NA")</f>
        <v>0.44610754134278702</v>
      </c>
      <c r="Y243" s="9"/>
      <c r="Z243" s="7">
        <v>191952.62</v>
      </c>
      <c r="AA243" s="8">
        <f>IFERROR(Z243/Z444, "NA")</f>
        <v>2.8502813383802988E-2</v>
      </c>
      <c r="AB243" s="9"/>
      <c r="AC243" s="10">
        <f t="shared" si="67"/>
        <v>20578.860000000015</v>
      </c>
      <c r="AD243" s="8">
        <f>IFERROR(AC243/AC444, "NA")</f>
        <v>4.707686568198742E-2</v>
      </c>
    </row>
    <row r="244" spans="1:30" ht="16.5" customHeight="1" x14ac:dyDescent="0.45">
      <c r="A244" s="12" t="s">
        <v>221</v>
      </c>
      <c r="B244" s="7">
        <v>4412.55</v>
      </c>
      <c r="C244" s="8">
        <f>IFERROR(B244/B444, "NA")</f>
        <v>8.3152656201177805E-3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-4412.55</v>
      </c>
      <c r="I244" s="8">
        <f>IFERROR(H244/H444, "NA")</f>
        <v>7.8894633008675663E-2</v>
      </c>
      <c r="J244" s="9"/>
      <c r="K244" s="7">
        <v>214.51</v>
      </c>
      <c r="L244" s="8">
        <f>IFERROR(K244/K444, "NA")</f>
        <v>4.0398748130350223E-4</v>
      </c>
      <c r="M244" s="9"/>
      <c r="N244" s="10">
        <f t="shared" si="65"/>
        <v>-4198.04</v>
      </c>
      <c r="O244" s="8">
        <f>IFERROR(N244/N444, "NA")</f>
        <v>12.90632397700298</v>
      </c>
      <c r="P244" s="9"/>
      <c r="Q244" s="7">
        <v>32754.71</v>
      </c>
      <c r="R244" s="8">
        <f>IFERROR(Q244/Q444, "NA")</f>
        <v>4.5672500745968705E-3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-32754.71</v>
      </c>
      <c r="X244" s="8">
        <f>IFERROR(W244/W444, "NA")</f>
        <v>8.5264646965183002E-2</v>
      </c>
      <c r="Y244" s="9"/>
      <c r="Z244" s="7">
        <v>1184.1199999999999</v>
      </c>
      <c r="AA244" s="8">
        <f>IFERROR(Z244/Z444, "NA")</f>
        <v>1.7582855281698574E-4</v>
      </c>
      <c r="AB244" s="9"/>
      <c r="AC244" s="10">
        <f t="shared" si="67"/>
        <v>-31570.59</v>
      </c>
      <c r="AD244" s="8">
        <f>IFERROR(AC244/AC444, "NA")</f>
        <v>-7.2221902716238615E-2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555.26</v>
      </c>
      <c r="C246" s="8">
        <f>IFERROR(B246/B444, "NA")</f>
        <v>1.046364208502249E-3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-555.26</v>
      </c>
      <c r="I246" s="8">
        <f>IFERROR(H246/H444, "NA")</f>
        <v>9.9278272029545839E-3</v>
      </c>
      <c r="J246" s="9"/>
      <c r="K246" s="7">
        <v>1745.29</v>
      </c>
      <c r="L246" s="8">
        <f>IFERROR(K246/K444, "NA")</f>
        <v>3.2869111521336507E-3</v>
      </c>
      <c r="M246" s="9"/>
      <c r="N246" s="10">
        <f t="shared" si="65"/>
        <v>1190.03</v>
      </c>
      <c r="O246" s="8">
        <f>IFERROR(N246/N444, "NA")</f>
        <v>-3.6585913241305126</v>
      </c>
      <c r="P246" s="9"/>
      <c r="Q246" s="7">
        <v>17264.620000000003</v>
      </c>
      <c r="R246" s="8">
        <f>IFERROR(Q246/Q444, "NA")</f>
        <v>2.4073434624481984E-3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-17264.620000000003</v>
      </c>
      <c r="X246" s="8">
        <f>IFERROR(W246/W444, "NA")</f>
        <v>4.4941986336866913E-2</v>
      </c>
      <c r="Y246" s="9"/>
      <c r="Z246" s="7">
        <v>10405.5</v>
      </c>
      <c r="AA246" s="8">
        <f>IFERROR(Z246/Z444, "NA")</f>
        <v>1.5451001641194687E-3</v>
      </c>
      <c r="AB246" s="9"/>
      <c r="AC246" s="10">
        <f t="shared" si="67"/>
        <v>-6859.1200000000026</v>
      </c>
      <c r="AD246" s="8">
        <f>IFERROR(AC246/AC444, "NA")</f>
        <v>-1.5691144744491844E-2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457.1</v>
      </c>
      <c r="AA247" s="8">
        <f>IFERROR(Z247/Z444, "NA")</f>
        <v>6.7874228534814195E-5</v>
      </c>
      <c r="AB247" s="9"/>
      <c r="AC247" s="10">
        <f t="shared" si="67"/>
        <v>457.1</v>
      </c>
      <c r="AD247" s="8">
        <f>IFERROR(AC247/AC444, "NA")</f>
        <v>1.0456767431838514E-3</v>
      </c>
    </row>
    <row r="248" spans="1:30" ht="16.5" customHeight="1" x14ac:dyDescent="0.45">
      <c r="A248" s="12" t="s">
        <v>225</v>
      </c>
      <c r="B248" s="7">
        <v>1080.98</v>
      </c>
      <c r="C248" s="8">
        <f>IFERROR(B248/B444, "NA")</f>
        <v>2.0370615245232167E-3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-1080.98</v>
      </c>
      <c r="I248" s="8">
        <f>IFERROR(H248/H444, "NA")</f>
        <v>1.932749099493903E-2</v>
      </c>
      <c r="J248" s="9"/>
      <c r="K248" s="7">
        <v>999.88000000000011</v>
      </c>
      <c r="L248" s="8">
        <f>IFERROR(K248/K444, "NA")</f>
        <v>1.8830777250745695E-3</v>
      </c>
      <c r="M248" s="9"/>
      <c r="N248" s="10">
        <f t="shared" si="65"/>
        <v>-81.099999999999909</v>
      </c>
      <c r="O248" s="8">
        <f>IFERROR(N248/N444, "NA")</f>
        <v>0.2493313247455814</v>
      </c>
      <c r="P248" s="9"/>
      <c r="Q248" s="7">
        <v>14327.900000000001</v>
      </c>
      <c r="R248" s="8">
        <f>IFERROR(Q248/Q444, "NA")</f>
        <v>1.9978532047396085E-3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-14327.900000000001</v>
      </c>
      <c r="X248" s="8">
        <f>IFERROR(W248/W444, "NA")</f>
        <v>3.7297333276724041E-2</v>
      </c>
      <c r="Y248" s="9"/>
      <c r="Z248" s="7">
        <v>13464.289999999999</v>
      </c>
      <c r="AA248" s="8">
        <f>IFERROR(Z248/Z444, "NA")</f>
        <v>1.9992962076548094E-3</v>
      </c>
      <c r="AB248" s="9"/>
      <c r="AC248" s="10">
        <f t="shared" si="67"/>
        <v>-863.6100000000024</v>
      </c>
      <c r="AD248" s="8">
        <f>IFERROR(AC248/AC444, "NA")</f>
        <v>-1.9756221662240395E-3</v>
      </c>
    </row>
    <row r="249" spans="1:30" ht="16.5" customHeight="1" x14ac:dyDescent="0.45">
      <c r="A249" s="12" t="s">
        <v>226</v>
      </c>
      <c r="B249" s="7">
        <v>12282.130000000001</v>
      </c>
      <c r="C249" s="8">
        <f>IFERROR(B249/B444, "NA")</f>
        <v>2.3145159449936479E-2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-12282.130000000001</v>
      </c>
      <c r="I249" s="8">
        <f>IFERROR(H249/H444, "NA")</f>
        <v>0.21959958276163344</v>
      </c>
      <c r="J249" s="9"/>
      <c r="K249" s="7">
        <v>10530.75</v>
      </c>
      <c r="L249" s="8">
        <f>IFERROR(K249/K444, "NA")</f>
        <v>1.9832600665408869E-2</v>
      </c>
      <c r="M249" s="9"/>
      <c r="N249" s="10">
        <f t="shared" si="65"/>
        <v>-1751.380000000001</v>
      </c>
      <c r="O249" s="8">
        <f>IFERROR(N249/N444, "NA")</f>
        <v>5.3843883542899764</v>
      </c>
      <c r="P249" s="9"/>
      <c r="Q249" s="7">
        <v>111270.93999999999</v>
      </c>
      <c r="R249" s="8">
        <f>IFERROR(Q249/Q444, "NA")</f>
        <v>1.5515393328637739E-2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-111270.93999999999</v>
      </c>
      <c r="X249" s="8">
        <f>IFERROR(W249/W444, "NA")</f>
        <v>0.2896523100520218</v>
      </c>
      <c r="Y249" s="9"/>
      <c r="Z249" s="7">
        <v>105322.67</v>
      </c>
      <c r="AA249" s="8">
        <f>IFERROR(Z249/Z444, "NA")</f>
        <v>1.5639236432896126E-2</v>
      </c>
      <c r="AB249" s="9"/>
      <c r="AC249" s="10">
        <f t="shared" si="67"/>
        <v>-5948.2699999999895</v>
      </c>
      <c r="AD249" s="8">
        <f>IFERROR(AC249/AC444, "NA")</f>
        <v>-1.3607454826467287E-2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5.13</v>
      </c>
      <c r="AA250" s="8">
        <f>IFERROR(Z250/Z444, "NA")</f>
        <v>7.6174752216932142E-7</v>
      </c>
      <c r="AB250" s="9"/>
      <c r="AC250" s="10">
        <f t="shared" si="67"/>
        <v>5.13</v>
      </c>
      <c r="AD250" s="8">
        <f>IFERROR(AC250/AC444, "NA")</f>
        <v>1.17355539105954E-5</v>
      </c>
    </row>
    <row r="251" spans="1:30" ht="16.5" customHeight="1" x14ac:dyDescent="0.45">
      <c r="A251" s="12" t="s">
        <v>228</v>
      </c>
      <c r="B251" s="7">
        <v>50.63</v>
      </c>
      <c r="C251" s="8">
        <f>IFERROR(B251/B444, "NA")</f>
        <v>9.5410113958269765E-5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-50.63</v>
      </c>
      <c r="I251" s="8">
        <f>IFERROR(H251/H444, "NA")</f>
        <v>9.0524419422539091E-4</v>
      </c>
      <c r="J251" s="9"/>
      <c r="K251" s="7">
        <v>36.369999999999997</v>
      </c>
      <c r="L251" s="8">
        <f>IFERROR(K251/K444, "NA")</f>
        <v>6.8495756351724281E-5</v>
      </c>
      <c r="M251" s="9"/>
      <c r="N251" s="10">
        <f t="shared" si="65"/>
        <v>-14.260000000000005</v>
      </c>
      <c r="O251" s="8">
        <f>IFERROR(N251/N444, "NA")</f>
        <v>4.384050173701598E-2</v>
      </c>
      <c r="P251" s="9"/>
      <c r="Q251" s="7">
        <v>912.73</v>
      </c>
      <c r="R251" s="8">
        <f>IFERROR(Q251/Q444, "NA")</f>
        <v>1.2726921290363437E-4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-912.73</v>
      </c>
      <c r="X251" s="8">
        <f>IFERROR(W251/W444, "NA")</f>
        <v>2.3759514654390617E-3</v>
      </c>
      <c r="Y251" s="9"/>
      <c r="Z251" s="7">
        <v>1048.1300000000001</v>
      </c>
      <c r="AA251" s="8">
        <f>IFERROR(Z251/Z444, "NA")</f>
        <v>1.5563556148369024E-4</v>
      </c>
      <c r="AB251" s="9"/>
      <c r="AC251" s="10">
        <f t="shared" si="67"/>
        <v>135.40000000000009</v>
      </c>
      <c r="AD251" s="8">
        <f>IFERROR(AC251/AC444, "NA")</f>
        <v>3.097454190047989E-4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461.42</v>
      </c>
      <c r="AA252" s="8">
        <f>IFERROR(Z252/Z444, "NA")</f>
        <v>6.8515700132430469E-5</v>
      </c>
      <c r="AB252" s="9"/>
      <c r="AC252" s="10">
        <f t="shared" si="67"/>
        <v>461.42</v>
      </c>
      <c r="AD252" s="8">
        <f>IFERROR(AC252/AC444, "NA")</f>
        <v>1.0555593148980371E-3</v>
      </c>
    </row>
    <row r="253" spans="1:30" ht="16.5" customHeight="1" x14ac:dyDescent="0.45">
      <c r="A253" s="12" t="s">
        <v>230</v>
      </c>
      <c r="B253" s="7">
        <v>480.93</v>
      </c>
      <c r="C253" s="8">
        <f>IFERROR(B253/B444, "NA")</f>
        <v>9.0629243740767687E-4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-480.93</v>
      </c>
      <c r="I253" s="8">
        <f>IFERROR(H253/H444, "NA")</f>
        <v>8.5988364670909982E-3</v>
      </c>
      <c r="J253" s="9"/>
      <c r="K253" s="7">
        <v>75.58</v>
      </c>
      <c r="L253" s="8">
        <f>IFERROR(K253/K444, "NA")</f>
        <v>1.4234009527256864E-4</v>
      </c>
      <c r="M253" s="9"/>
      <c r="N253" s="10">
        <f t="shared" si="65"/>
        <v>-405.35</v>
      </c>
      <c r="O253" s="8">
        <f>IFERROR(N253/N444, "NA")</f>
        <v>1.2461954683800436</v>
      </c>
      <c r="P253" s="9"/>
      <c r="Q253" s="7">
        <v>3093.66</v>
      </c>
      <c r="R253" s="8">
        <f>IFERROR(Q253/Q444, "NA")</f>
        <v>4.313736517825178E-4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-3093.66</v>
      </c>
      <c r="X253" s="8">
        <f>IFERROR(W253/W444, "NA")</f>
        <v>8.0531877012590871E-3</v>
      </c>
      <c r="Y253" s="9"/>
      <c r="Z253" s="7">
        <v>3740.53</v>
      </c>
      <c r="AA253" s="8">
        <f>IFERROR(Z253/Z444, "NA")</f>
        <v>5.5542679514620119E-4</v>
      </c>
      <c r="AB253" s="9"/>
      <c r="AC253" s="10">
        <f t="shared" si="67"/>
        <v>646.87000000000035</v>
      </c>
      <c r="AD253" s="8">
        <f>IFERROR(AC253/AC444, "NA")</f>
        <v>1.4798007325822322E-3</v>
      </c>
    </row>
    <row r="254" spans="1:30" ht="16.5" customHeight="1" x14ac:dyDescent="0.45">
      <c r="A254" s="12" t="s">
        <v>231</v>
      </c>
      <c r="B254" s="7">
        <v>1848.52</v>
      </c>
      <c r="C254" s="8">
        <f>IFERROR(B254/B444, "NA")</f>
        <v>3.4834584999830303E-3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-1848.52</v>
      </c>
      <c r="I254" s="8">
        <f>IFERROR(H254/H444, "NA")</f>
        <v>3.3050799879706091E-2</v>
      </c>
      <c r="J254" s="9"/>
      <c r="K254" s="7">
        <v>193.92</v>
      </c>
      <c r="L254" s="8">
        <f>IFERROR(K254/K444, "NA")</f>
        <v>3.6521025767738175E-4</v>
      </c>
      <c r="M254" s="9"/>
      <c r="N254" s="10">
        <f t="shared" si="65"/>
        <v>-1654.6</v>
      </c>
      <c r="O254" s="8">
        <f>IFERROR(N254/N444, "NA")</f>
        <v>5.0868509238475887</v>
      </c>
      <c r="P254" s="9"/>
      <c r="Q254" s="7">
        <v>36000.82</v>
      </c>
      <c r="R254" s="8">
        <f>IFERROR(Q254/Q444, "NA")</f>
        <v>5.0198810439948489E-3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-36000.82</v>
      </c>
      <c r="X254" s="8">
        <f>IFERROR(W254/W444, "NA")</f>
        <v>9.3714681270482922E-2</v>
      </c>
      <c r="Y254" s="9"/>
      <c r="Z254" s="7">
        <v>29399.97</v>
      </c>
      <c r="AA254" s="8">
        <f>IFERROR(Z254/Z444, "NA")</f>
        <v>4.365566140224637E-3</v>
      </c>
      <c r="AB254" s="9"/>
      <c r="AC254" s="10">
        <f t="shared" si="67"/>
        <v>-6600.8499999999985</v>
      </c>
      <c r="AD254" s="8">
        <f>IFERROR(AC254/AC444, "NA")</f>
        <v>-1.5100317939718059E-2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251.39</v>
      </c>
      <c r="AA255" s="8">
        <f>IFERROR(Z255/Z444, "NA")</f>
        <v>3.7328598362211639E-5</v>
      </c>
      <c r="AB255" s="9"/>
      <c r="AC255" s="10">
        <f t="shared" si="67"/>
        <v>251.39</v>
      </c>
      <c r="AD255" s="8">
        <f>IFERROR(AC255/AC444, "NA")</f>
        <v>5.7508789426599953E-4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1.1592520283773668E-5</v>
      </c>
      <c r="AB256" s="9"/>
      <c r="AC256" s="10">
        <f t="shared" si="67"/>
        <v>78.069999999999993</v>
      </c>
      <c r="AD256" s="8">
        <f>IFERROR(AC256/AC444, "NA")</f>
        <v>1.7859545688112728E-4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5290.07</v>
      </c>
      <c r="R257" s="8">
        <f>IFERROR(Q257/Q444, "NA")</f>
        <v>7.3763659034449286E-4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-5290.07</v>
      </c>
      <c r="X257" s="8">
        <f>IFERROR(W257/W444, "NA")</f>
        <v>1.3770720332163089E-2</v>
      </c>
      <c r="Y257" s="9"/>
      <c r="Z257" s="7">
        <v>1237.1199999999999</v>
      </c>
      <c r="AA257" s="8">
        <f>IFERROR(Z257/Z444, "NA")</f>
        <v>1.8369845899144461E-4</v>
      </c>
      <c r="AB257" s="9"/>
      <c r="AC257" s="10">
        <f t="shared" si="67"/>
        <v>-4052.95</v>
      </c>
      <c r="AD257" s="8">
        <f>IFERROR(AC257/AC444, "NA")</f>
        <v>-9.2716594974556789E-3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8141.9400000000005</v>
      </c>
      <c r="R258" s="8">
        <f>IFERROR(Q258/Q444, "NA")</f>
        <v>1.1352955368056454E-3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-8141.9400000000005</v>
      </c>
      <c r="X258" s="8">
        <f>IFERROR(W258/W444, "NA")</f>
        <v>2.1194498125970348E-2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-8141.9400000000005</v>
      </c>
      <c r="AD258" s="8">
        <f>IFERROR(AC258/AC444, "NA")</f>
        <v>-1.8625765264489887E-2</v>
      </c>
    </row>
    <row r="259" spans="1:30" ht="16.5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1350.6</v>
      </c>
      <c r="R259" s="8">
        <f>IFERROR(Q259/Q444, "NA")</f>
        <v>1.8832491421082748E-4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-1350.6</v>
      </c>
      <c r="X259" s="8">
        <f>IFERROR(W259/W444, "NA")</f>
        <v>3.5157823772879126E-3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-1350.6</v>
      </c>
      <c r="AD259" s="8">
        <f>IFERROR(AC259/AC444, "NA")</f>
        <v>-3.0896762400877483E-3</v>
      </c>
    </row>
    <row r="260" spans="1:30" ht="16.5" customHeight="1" x14ac:dyDescent="0.45">
      <c r="A260" s="12" t="s">
        <v>237</v>
      </c>
      <c r="B260" s="7">
        <v>1159.3699999999999</v>
      </c>
      <c r="C260" s="8">
        <f>IFERROR(B260/B444, "NA")</f>
        <v>2.1847841955322774E-3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-1159.3699999999999</v>
      </c>
      <c r="I260" s="8">
        <f>IFERROR(H260/H444, "NA")</f>
        <v>2.0729072910509409E-2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-1159.3699999999999</v>
      </c>
      <c r="O260" s="8">
        <f>IFERROR(N260/N444, "NA")</f>
        <v>3.5643311710269421</v>
      </c>
      <c r="P260" s="9"/>
      <c r="Q260" s="7">
        <v>4297.9799999999996</v>
      </c>
      <c r="R260" s="8">
        <f>IFERROR(Q260/Q444, "NA")</f>
        <v>5.993015806159131E-4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-4297.9799999999996</v>
      </c>
      <c r="X260" s="8">
        <f>IFERROR(W260/W444, "NA")</f>
        <v>1.118818476376122E-2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-4297.9799999999996</v>
      </c>
      <c r="AD260" s="8">
        <f>IFERROR(AC260/AC444, "NA")</f>
        <v>-9.8321980500313492E-3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42649.77</v>
      </c>
      <c r="C262" s="15">
        <f>IFERROR(B262/B444, "NA")</f>
        <v>8.0371704838909638E-2</v>
      </c>
      <c r="D262" s="2"/>
      <c r="E262" s="14">
        <f>IFERROR(E240+E241+E242+E243+E244+E245+E246+E247+E248+E249+E250+E251+E252+E253+E254+E255+E256+E257+E258+E259+E260+E261, "NA")</f>
        <v>37505.94</v>
      </c>
      <c r="F262" s="15">
        <f>IFERROR(E262/E444, "NA")</f>
        <v>6.3939350498517539E-2</v>
      </c>
      <c r="G262" s="2"/>
      <c r="H262" s="14">
        <f t="shared" si="64"/>
        <v>-5143.8299999999945</v>
      </c>
      <c r="I262" s="15">
        <f>IFERROR(H262/H444, "NA")</f>
        <v>9.1969627564337103E-2</v>
      </c>
      <c r="J262" s="2"/>
      <c r="K262" s="14">
        <f>IFERROR(K240+K241+K242+K243+K244+K245+K246+K247+K248+K249+K250+K251+K252+K253+K254+K255+K256+K257+K258+K259+K260+K261, "NA")</f>
        <v>33215.51</v>
      </c>
      <c r="L262" s="15">
        <f>IFERROR(K262/K444, "NA")</f>
        <v>6.2554893595223038E-2</v>
      </c>
      <c r="M262" s="2"/>
      <c r="N262" s="14">
        <f t="shared" si="65"/>
        <v>-9434.2599999999948</v>
      </c>
      <c r="O262" s="15">
        <f>IFERROR(N262/N444, "NA")</f>
        <v>29.004396347647969</v>
      </c>
      <c r="P262" s="2"/>
      <c r="Q262" s="14">
        <f>IFERROR(Q240+Q241+Q242+Q243+Q244+Q245+Q246+Q247+Q248+Q249+Q250+Q251+Q252+Q253+Q254+Q255+Q256+Q257+Q258+Q259+Q260+Q261, "NA")</f>
        <v>494010.76999999996</v>
      </c>
      <c r="R262" s="15">
        <f>IFERROR(Q262/Q444, "NA")</f>
        <v>6.8883855974733316E-2</v>
      </c>
      <c r="S262" s="2"/>
      <c r="T262" s="14">
        <f>IFERROR(T240+T241+T242+T243+T244+T245+T246+T247+T248+T249+T250+T251+T252+T253+T254+T255+T256+T257+T258+T259+T260+T261, "NA")</f>
        <v>484344.70999999996</v>
      </c>
      <c r="U262" s="15">
        <f>IFERROR(T262/T444, "NA")</f>
        <v>6.4102360285669222E-2</v>
      </c>
      <c r="V262" s="2"/>
      <c r="W262" s="14">
        <f t="shared" si="66"/>
        <v>-9666.0599999999977</v>
      </c>
      <c r="X262" s="15">
        <f>IFERROR(W262/W444, "NA")</f>
        <v>2.5161974978385602E-2</v>
      </c>
      <c r="Y262" s="2"/>
      <c r="Z262" s="14">
        <f>IFERROR(Z240+Z241+Z242+Z243+Z244+Z245+Z246+Z247+Z248+Z249+Z250+Z251+Z252+Z253+Z254+Z255+Z256+Z257+Z258+Z259+Z260+Z261, "NA")</f>
        <v>433687.84999999992</v>
      </c>
      <c r="AA262" s="15">
        <f>IFERROR(Z262/Z444, "NA")</f>
        <v>6.4397786575524418E-2</v>
      </c>
      <c r="AB262" s="2"/>
      <c r="AC262" s="14">
        <f t="shared" si="67"/>
        <v>-60322.920000000042</v>
      </c>
      <c r="AD262" s="15">
        <f>IFERROR(AC262/AC444, "NA")</f>
        <v>-0.13799666271043548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42649.77</v>
      </c>
      <c r="C263" s="15">
        <f>IFERROR(B263/B444, "NA")</f>
        <v>8.0371704838909638E-2</v>
      </c>
      <c r="D263" s="2"/>
      <c r="E263" s="14">
        <f>IFERROR(E238+E240+E241+E242+E243+E244+E245+E246+E247+E248+E249+E250+E251+E252+E253+E254+E255+E256+E257+E258+E259+E260+E261, "NA")</f>
        <v>37505.94</v>
      </c>
      <c r="F263" s="15">
        <f>IFERROR(E263/E444, "NA")</f>
        <v>6.3939350498517539E-2</v>
      </c>
      <c r="G263" s="2"/>
      <c r="H263" s="14">
        <f t="shared" si="64"/>
        <v>-5143.8299999999945</v>
      </c>
      <c r="I263" s="15">
        <f>IFERROR(H263/H444, "NA")</f>
        <v>9.1969627564337103E-2</v>
      </c>
      <c r="J263" s="2"/>
      <c r="K263" s="14">
        <f>IFERROR(K238+K240+K241+K242+K243+K244+K245+K246+K247+K248+K249+K250+K251+K252+K253+K254+K255+K256+K257+K258+K259+K260+K261, "NA")</f>
        <v>33215.51</v>
      </c>
      <c r="L263" s="15">
        <f>IFERROR(K263/K444, "NA")</f>
        <v>6.2554893595223038E-2</v>
      </c>
      <c r="M263" s="2"/>
      <c r="N263" s="14">
        <f t="shared" si="65"/>
        <v>-9434.2599999999948</v>
      </c>
      <c r="O263" s="15">
        <f>IFERROR(N263/N444, "NA")</f>
        <v>29.004396347647969</v>
      </c>
      <c r="P263" s="2"/>
      <c r="Q263" s="14">
        <f>IFERROR(Q238+Q240+Q241+Q242+Q243+Q244+Q245+Q246+Q247+Q248+Q249+Q250+Q251+Q252+Q253+Q254+Q255+Q256+Q257+Q258+Q259+Q260+Q261, "NA")</f>
        <v>494010.76999999996</v>
      </c>
      <c r="R263" s="15">
        <f>IFERROR(Q263/Q444, "NA")</f>
        <v>6.8883855974733316E-2</v>
      </c>
      <c r="S263" s="2"/>
      <c r="T263" s="14">
        <f>IFERROR(T238+T240+T241+T242+T243+T244+T245+T246+T247+T248+T249+T250+T251+T252+T253+T254+T255+T256+T257+T258+T259+T260+T261, "NA")</f>
        <v>484344.70999999996</v>
      </c>
      <c r="U263" s="15">
        <f>IFERROR(T263/T444, "NA")</f>
        <v>6.4102360285669222E-2</v>
      </c>
      <c r="V263" s="2"/>
      <c r="W263" s="14">
        <f t="shared" si="66"/>
        <v>-9666.0599999999977</v>
      </c>
      <c r="X263" s="15">
        <f>IFERROR(W263/W444, "NA")</f>
        <v>2.5161974978385602E-2</v>
      </c>
      <c r="Y263" s="2"/>
      <c r="Z263" s="14">
        <f>IFERROR(Z238+Z240+Z241+Z242+Z243+Z244+Z245+Z246+Z247+Z248+Z249+Z250+Z251+Z252+Z253+Z254+Z255+Z256+Z257+Z258+Z259+Z260+Z261, "NA")</f>
        <v>433687.84999999992</v>
      </c>
      <c r="AA263" s="15">
        <f>IFERROR(Z263/Z444, "NA")</f>
        <v>6.4397786575524418E-2</v>
      </c>
      <c r="AB263" s="2"/>
      <c r="AC263" s="14">
        <f t="shared" si="67"/>
        <v>-60322.920000000042</v>
      </c>
      <c r="AD263" s="15">
        <f>IFERROR(AC263/AC444, "NA")</f>
        <v>-0.13799666271043548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13453.16</v>
      </c>
      <c r="C265" s="8">
        <f>IFERROR(B265/B444, "NA")</f>
        <v>2.5351916426996572E-2</v>
      </c>
      <c r="D265" s="9"/>
      <c r="E265" s="7">
        <v>15708.359999999999</v>
      </c>
      <c r="F265" s="8">
        <f>IFERROR(E265/E444, "NA")</f>
        <v>2.6779287115504716E-2</v>
      </c>
      <c r="G265" s="9"/>
      <c r="H265" s="10">
        <f>IFERROR(-(B265-E265), "NA")</f>
        <v>2255.1999999999989</v>
      </c>
      <c r="I265" s="8">
        <f>IFERROR(H265/H444, "NA")</f>
        <v>-4.0322075979006528E-2</v>
      </c>
      <c r="J265" s="9"/>
      <c r="K265" s="7">
        <v>13591.94</v>
      </c>
      <c r="L265" s="8">
        <f>IFERROR(K265/K444, "NA")</f>
        <v>2.5597751184692204E-2</v>
      </c>
      <c r="M265" s="9"/>
      <c r="N265" s="10">
        <f>IFERROR(-(B265-K265), "NA")</f>
        <v>138.78000000000065</v>
      </c>
      <c r="O265" s="8">
        <f>IFERROR(N265/N444, "NA")</f>
        <v>-0.42666092784453746</v>
      </c>
      <c r="P265" s="9"/>
      <c r="Q265" s="7">
        <v>182558.71</v>
      </c>
      <c r="R265" s="8">
        <f>IFERROR(Q265/Q444, "NA")</f>
        <v>2.5455614837249618E-2</v>
      </c>
      <c r="S265" s="9"/>
      <c r="T265" s="7">
        <v>203131.5</v>
      </c>
      <c r="U265" s="8">
        <f>IFERROR(T265/T444, "NA")</f>
        <v>2.6884176351112454E-2</v>
      </c>
      <c r="V265" s="9"/>
      <c r="W265" s="10">
        <f>IFERROR(-(Q265-T265), "NA")</f>
        <v>20572.790000000008</v>
      </c>
      <c r="X265" s="8">
        <f>IFERROR(W265/W444, "NA")</f>
        <v>-5.3553570660184381E-2</v>
      </c>
      <c r="Y265" s="9"/>
      <c r="Z265" s="7">
        <v>180299.12</v>
      </c>
      <c r="AA265" s="8">
        <f>IFERROR(Z265/Z444, "NA")</f>
        <v>2.6772399202594374E-2</v>
      </c>
      <c r="AB265" s="9"/>
      <c r="AC265" s="10">
        <f>IFERROR(-(Q265-Z265), "NA")</f>
        <v>-2259.5899999999965</v>
      </c>
      <c r="AD265" s="8">
        <f>IFERROR(AC265/AC444, "NA")</f>
        <v>-5.1691111619575477E-3</v>
      </c>
    </row>
    <row r="266" spans="1:30" ht="16.5" customHeight="1" x14ac:dyDescent="0.45">
      <c r="A266" s="6" t="s">
        <v>242</v>
      </c>
      <c r="B266" s="7">
        <v>-63.339999999999996</v>
      </c>
      <c r="C266" s="8">
        <f>IFERROR(B266/B444, "NA")</f>
        <v>-1.1936157649845559E-4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63.339999999999996</v>
      </c>
      <c r="I266" s="8">
        <f>IFERROR(H266/H444, "NA")</f>
        <v>-1.1324939218296712E-3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63.339999999999996</v>
      </c>
      <c r="O266" s="8">
        <f>IFERROR(N266/N444, "NA")</f>
        <v>-0.19473053155838649</v>
      </c>
      <c r="P266" s="9"/>
      <c r="Q266" s="7">
        <v>1647.31</v>
      </c>
      <c r="R266" s="8">
        <f>IFERROR(Q266/Q444, "NA")</f>
        <v>2.296975525163914E-4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-1647.31</v>
      </c>
      <c r="X266" s="8">
        <f>IFERROR(W266/W444, "NA")</f>
        <v>4.2881559809937447E-3</v>
      </c>
      <c r="Y266" s="9"/>
      <c r="Z266" s="7">
        <v>392.65</v>
      </c>
      <c r="AA266" s="8">
        <f>IFERROR(Z266/Z444, "NA")</f>
        <v>5.8304125649080715E-5</v>
      </c>
      <c r="AB266" s="9"/>
      <c r="AC266" s="10">
        <f>IFERROR(-(Q266-Z266), "NA")</f>
        <v>-1254.6599999999999</v>
      </c>
      <c r="AD266" s="8">
        <f>IFERROR(AC266/AC444, "NA")</f>
        <v>-2.8702007932685427E-3</v>
      </c>
    </row>
    <row r="267" spans="1:30" ht="16.5" customHeight="1" x14ac:dyDescent="0.45">
      <c r="A267" s="19" t="s">
        <v>243</v>
      </c>
      <c r="B267" s="14">
        <f>IFERROR(B265+B266, "NA")</f>
        <v>13389.82</v>
      </c>
      <c r="C267" s="15">
        <f>IFERROR(B267/B444, "NA")</f>
        <v>2.5232554850498117E-2</v>
      </c>
      <c r="D267" s="2"/>
      <c r="E267" s="14">
        <f>IFERROR(E265+E266, "NA")</f>
        <v>15708.359999999999</v>
      </c>
      <c r="F267" s="15">
        <f>IFERROR(E267/E444, "NA")</f>
        <v>2.6779287115504716E-2</v>
      </c>
      <c r="G267" s="2"/>
      <c r="H267" s="14">
        <f>IFERROR(-(B267-E267), "NA")</f>
        <v>2318.5399999999991</v>
      </c>
      <c r="I267" s="15">
        <f>IFERROR(H267/H444, "NA")</f>
        <v>-4.1454569900836201E-2</v>
      </c>
      <c r="J267" s="2"/>
      <c r="K267" s="14">
        <f>IFERROR(K265+K266, "NA")</f>
        <v>13591.94</v>
      </c>
      <c r="L267" s="15">
        <f>IFERROR(K267/K444, "NA")</f>
        <v>2.5597751184692204E-2</v>
      </c>
      <c r="M267" s="2"/>
      <c r="N267" s="14">
        <f>IFERROR(-(B267-K267), "NA")</f>
        <v>202.1200000000008</v>
      </c>
      <c r="O267" s="15">
        <f>IFERROR(N267/N444, "NA")</f>
        <v>-0.6213914594029244</v>
      </c>
      <c r="P267" s="2"/>
      <c r="Q267" s="14">
        <f>IFERROR(Q265+Q266, "NA")</f>
        <v>184206.02</v>
      </c>
      <c r="R267" s="15">
        <f>IFERROR(Q267/Q444, "NA")</f>
        <v>2.5685312389766009E-2</v>
      </c>
      <c r="S267" s="2"/>
      <c r="T267" s="14">
        <f>IFERROR(T265+T266, "NA")</f>
        <v>203131.5</v>
      </c>
      <c r="U267" s="15">
        <f>IFERROR(T267/T444, "NA")</f>
        <v>2.6884176351112454E-2</v>
      </c>
      <c r="V267" s="2"/>
      <c r="W267" s="14">
        <f>IFERROR(-(Q267-T267), "NA")</f>
        <v>18925.48000000001</v>
      </c>
      <c r="X267" s="15">
        <f>IFERROR(W267/W444, "NA")</f>
        <v>-4.9265414679190649E-2</v>
      </c>
      <c r="Y267" s="2"/>
      <c r="Z267" s="14">
        <f>IFERROR(Z265+Z266, "NA")</f>
        <v>180691.77</v>
      </c>
      <c r="AA267" s="15">
        <f>IFERROR(Z267/Z444, "NA")</f>
        <v>2.6830703328243454E-2</v>
      </c>
      <c r="AB267" s="2"/>
      <c r="AC267" s="14">
        <f>IFERROR(-(Q267-Z267), "NA")</f>
        <v>-3514.25</v>
      </c>
      <c r="AD267" s="15">
        <f>IFERROR(AC267/AC444, "NA")</f>
        <v>-8.0393119552261E-3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1104.0900000000001</v>
      </c>
      <c r="C270" s="8">
        <f>IFERROR(B270/B444, "NA")</f>
        <v>2.080611351376379E-3</v>
      </c>
      <c r="D270" s="9"/>
      <c r="E270" s="7">
        <v>967.76</v>
      </c>
      <c r="F270" s="8">
        <f>IFERROR(E270/E444, "NA")</f>
        <v>1.649817224643492E-3</v>
      </c>
      <c r="G270" s="9"/>
      <c r="H270" s="10">
        <f>IFERROR(-(B270-E270), "NA")</f>
        <v>-136.33000000000015</v>
      </c>
      <c r="I270" s="8">
        <f>IFERROR(H270/H444, "NA")</f>
        <v>2.4375259924698336E-3</v>
      </c>
      <c r="J270" s="9"/>
      <c r="K270" s="7">
        <v>1139.1599999999999</v>
      </c>
      <c r="L270" s="8">
        <f>IFERROR(K270/K444, "NA")</f>
        <v>2.1453842674080351E-3</v>
      </c>
      <c r="M270" s="9"/>
      <c r="N270" s="10">
        <f>IFERROR(-(B270-K270), "NA")</f>
        <v>35.069999999999709</v>
      </c>
      <c r="O270" s="8">
        <f>IFERROR(N270/N444, "NA")</f>
        <v>-0.10781812033079503</v>
      </c>
      <c r="P270" s="9"/>
      <c r="Q270" s="7">
        <v>13606.689999999999</v>
      </c>
      <c r="R270" s="8">
        <f>IFERROR(Q270/Q444, "NA")</f>
        <v>1.8972891507058522E-3</v>
      </c>
      <c r="S270" s="9"/>
      <c r="T270" s="7">
        <v>12011.460000000001</v>
      </c>
      <c r="U270" s="8">
        <f>IFERROR(T270/T444, "NA")</f>
        <v>1.5897003117405879E-3</v>
      </c>
      <c r="V270" s="9"/>
      <c r="W270" s="10">
        <f>IFERROR(-(Q270-T270), "NA")</f>
        <v>-1595.2299999999977</v>
      </c>
      <c r="X270" s="8">
        <f>IFERROR(W270/W444, "NA")</f>
        <v>4.1525851634243958E-3</v>
      </c>
      <c r="Y270" s="9"/>
      <c r="Z270" s="7">
        <v>12289.43</v>
      </c>
      <c r="AA270" s="8">
        <f>IFERROR(Z270/Z444, "NA")</f>
        <v>1.8248426610864179E-3</v>
      </c>
      <c r="AB270" s="9"/>
      <c r="AC270" s="10">
        <f>IFERROR(-(Q270-Z270), "NA")</f>
        <v>-1317.2599999999984</v>
      </c>
      <c r="AD270" s="8">
        <f>IFERROR(AC270/AC444, "NA")</f>
        <v>-3.0134065778305809E-3</v>
      </c>
    </row>
    <row r="271" spans="1:30" ht="16.5" customHeight="1" x14ac:dyDescent="0.45">
      <c r="A271" s="6" t="s">
        <v>246</v>
      </c>
      <c r="B271" s="7">
        <v>5037.4699999999993</v>
      </c>
      <c r="C271" s="8">
        <f>IFERROR(B271/B444, "NA")</f>
        <v>9.4929011803548315E-3</v>
      </c>
      <c r="D271" s="9"/>
      <c r="E271" s="7">
        <v>3811.33</v>
      </c>
      <c r="F271" s="8">
        <f>IFERROR(E271/E444, "NA")</f>
        <v>6.4974765259986781E-3</v>
      </c>
      <c r="G271" s="9"/>
      <c r="H271" s="10">
        <f>IFERROR(-(B271-E271), "NA")</f>
        <v>-1226.1399999999994</v>
      </c>
      <c r="I271" s="8">
        <f>IFERROR(H271/H444, "NA")</f>
        <v>2.1922893863470676E-2</v>
      </c>
      <c r="J271" s="9"/>
      <c r="K271" s="7">
        <v>3811.37</v>
      </c>
      <c r="L271" s="8">
        <f>IFERROR(K271/K444, "NA")</f>
        <v>7.1779673050940719E-3</v>
      </c>
      <c r="M271" s="9"/>
      <c r="N271" s="10">
        <f>IFERROR(-(B271-K271), "NA")</f>
        <v>-1226.0999999999995</v>
      </c>
      <c r="O271" s="8">
        <f>IFERROR(N271/N444, "NA")</f>
        <v>3.7694838134470725</v>
      </c>
      <c r="P271" s="9"/>
      <c r="Q271" s="7">
        <v>60182.929999999993</v>
      </c>
      <c r="R271" s="8">
        <f>IFERROR(Q271/Q444, "NA")</f>
        <v>8.3917852281994929E-3</v>
      </c>
      <c r="S271" s="9"/>
      <c r="T271" s="7">
        <v>49084.539999999994</v>
      </c>
      <c r="U271" s="8">
        <f>IFERROR(T271/T444, "NA")</f>
        <v>6.4962717720945945E-3</v>
      </c>
      <c r="V271" s="9"/>
      <c r="W271" s="10">
        <f>IFERROR(-(Q271-T271), "NA")</f>
        <v>-11098.39</v>
      </c>
      <c r="X271" s="8">
        <f>IFERROR(W271/W444, "NA")</f>
        <v>2.8890510867961201E-2</v>
      </c>
      <c r="Y271" s="9"/>
      <c r="Z271" s="7">
        <v>46534.479999999996</v>
      </c>
      <c r="AA271" s="8">
        <f>IFERROR(Z271/Z444, "NA")</f>
        <v>6.9098488957968504E-3</v>
      </c>
      <c r="AB271" s="9"/>
      <c r="AC271" s="10">
        <f>IFERROR(-(Q271-Z271), "NA")</f>
        <v>-13648.449999999997</v>
      </c>
      <c r="AD271" s="8">
        <f>IFERROR(AC271/AC444, "NA")</f>
        <v>-3.1222635627888063E-2</v>
      </c>
    </row>
    <row r="272" spans="1:30" ht="16.5" customHeight="1" x14ac:dyDescent="0.45">
      <c r="A272" s="6" t="s">
        <v>247</v>
      </c>
      <c r="B272" s="7">
        <v>199.27</v>
      </c>
      <c r="C272" s="8">
        <f>IFERROR(B272/B444, "NA")</f>
        <v>3.755159669852739E-4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-199.27</v>
      </c>
      <c r="I272" s="8">
        <f>IFERROR(H272/H444, "NA")</f>
        <v>3.5628680739343008E-3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-199.27</v>
      </c>
      <c r="O272" s="8">
        <f>IFERROR(N272/N444, "NA")</f>
        <v>0.61262950779349035</v>
      </c>
      <c r="P272" s="9"/>
      <c r="Q272" s="7">
        <v>199.27</v>
      </c>
      <c r="R272" s="8">
        <f>IFERROR(Q272/Q444, "NA")</f>
        <v>2.7785803091064413E-5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-199.27</v>
      </c>
      <c r="X272" s="8">
        <f>IFERROR(W272/W444, "NA")</f>
        <v>5.1872497728577111E-4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-199.27</v>
      </c>
      <c r="AD272" s="8">
        <f>IFERROR(AC272/AC444, "NA")</f>
        <v>-4.5585649664022334E-4</v>
      </c>
    </row>
    <row r="273" spans="1:30" ht="16.5" customHeight="1" x14ac:dyDescent="0.45">
      <c r="A273" s="19" t="s">
        <v>248</v>
      </c>
      <c r="B273" s="14">
        <f>IFERROR(B269+B270+B271+B272, "NA")</f>
        <v>6340.83</v>
      </c>
      <c r="C273" s="15">
        <f>IFERROR(B273/B444, "NA")</f>
        <v>1.1949028498716485E-2</v>
      </c>
      <c r="D273" s="2"/>
      <c r="E273" s="14">
        <f>IFERROR(E269+E270+E271+E272, "NA")</f>
        <v>4779.09</v>
      </c>
      <c r="F273" s="15">
        <f>IFERROR(E273/E444, "NA")</f>
        <v>8.1472937506421698E-3</v>
      </c>
      <c r="G273" s="2"/>
      <c r="H273" s="14">
        <f>IFERROR(-(B273-E273), "NA")</f>
        <v>-1561.7399999999998</v>
      </c>
      <c r="I273" s="15">
        <f>IFERROR(H273/H444, "NA")</f>
        <v>2.7923287929874814E-2</v>
      </c>
      <c r="J273" s="2"/>
      <c r="K273" s="14">
        <f>IFERROR(K269+K270+K271+K272, "NA")</f>
        <v>4950.53</v>
      </c>
      <c r="L273" s="15">
        <f>IFERROR(K273/K444, "NA")</f>
        <v>9.323351572502107E-3</v>
      </c>
      <c r="M273" s="2"/>
      <c r="N273" s="14">
        <f>IFERROR(-(B273-K273), "NA")</f>
        <v>-1390.3000000000002</v>
      </c>
      <c r="O273" s="15">
        <f>IFERROR(N273/N444, "NA")</f>
        <v>4.2742952009097692</v>
      </c>
      <c r="P273" s="2"/>
      <c r="Q273" s="14">
        <f>IFERROR(Q269+Q270+Q271+Q272, "NA")</f>
        <v>73988.89</v>
      </c>
      <c r="R273" s="15">
        <f>IFERROR(Q273/Q444, "NA")</f>
        <v>1.031686018199641E-2</v>
      </c>
      <c r="S273" s="2"/>
      <c r="T273" s="14">
        <f>IFERROR(T269+T270+T271+T272, "NA")</f>
        <v>61095.999999999993</v>
      </c>
      <c r="U273" s="15">
        <f>IFERROR(T273/T444, "NA")</f>
        <v>8.0859720838351822E-3</v>
      </c>
      <c r="V273" s="2"/>
      <c r="W273" s="14">
        <f>IFERROR(-(Q273-T273), "NA")</f>
        <v>-12892.890000000007</v>
      </c>
      <c r="X273" s="15">
        <f>IFERROR(W273/W444, "NA")</f>
        <v>3.3561821008671396E-2</v>
      </c>
      <c r="Y273" s="2"/>
      <c r="Z273" s="14">
        <f>IFERROR(Z269+Z270+Z271+Z272, "NA")</f>
        <v>58823.909999999996</v>
      </c>
      <c r="AA273" s="15">
        <f>IFERROR(Z273/Z444, "NA")</f>
        <v>8.734691556883268E-3</v>
      </c>
      <c r="AB273" s="2"/>
      <c r="AC273" s="14">
        <f>IFERROR(-(Q273-Z273), "NA")</f>
        <v>-15164.980000000003</v>
      </c>
      <c r="AD273" s="15">
        <f>IFERROR(AC273/AC444, "NA")</f>
        <v>-3.4691898702358885E-2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1.8289231266031909E-3</v>
      </c>
      <c r="D287" s="9"/>
      <c r="E287" s="7">
        <v>2703</v>
      </c>
      <c r="F287" s="8">
        <f>IFERROR(E287/E444, "NA")</f>
        <v>4.6080184738068932E-3</v>
      </c>
      <c r="G287" s="9"/>
      <c r="H287" s="10">
        <f t="shared" si="72"/>
        <v>1732.47</v>
      </c>
      <c r="I287" s="8">
        <f>IFERROR(H287/H444, "NA")</f>
        <v>-3.0975872193751985E-2</v>
      </c>
      <c r="J287" s="9"/>
      <c r="K287" s="7">
        <v>970.53</v>
      </c>
      <c r="L287" s="8">
        <f>IFERROR(K287/K444, "NA")</f>
        <v>1.8278027608479234E-3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11646.36</v>
      </c>
      <c r="R287" s="8">
        <f>IFERROR(Q287/Q444, "NA")</f>
        <v>1.6239447266906655E-3</v>
      </c>
      <c r="S287" s="9"/>
      <c r="T287" s="7">
        <v>32436</v>
      </c>
      <c r="U287" s="8">
        <f>IFERROR(T287/T444, "NA")</f>
        <v>4.2928602610854717E-3</v>
      </c>
      <c r="V287" s="9"/>
      <c r="W287" s="10">
        <f t="shared" si="74"/>
        <v>20789.64</v>
      </c>
      <c r="X287" s="8">
        <f>IFERROR(W287/W444, "NA")</f>
        <v>-5.4118058597778677E-2</v>
      </c>
      <c r="Y287" s="9"/>
      <c r="Z287" s="7">
        <v>11646.36</v>
      </c>
      <c r="AA287" s="8">
        <f>IFERROR(Z287/Z444, "NA")</f>
        <v>1.729353971206998E-3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765.99</v>
      </c>
      <c r="C288" s="8">
        <f>IFERROR(B288/B444, "NA")</f>
        <v>1.4434760653939376E-3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-765.99</v>
      </c>
      <c r="I288" s="8">
        <f>IFERROR(H288/H444, "NA")</f>
        <v>1.369559550335191E-2</v>
      </c>
      <c r="J288" s="9"/>
      <c r="K288" s="7">
        <v>736.14</v>
      </c>
      <c r="L288" s="8">
        <f>IFERROR(K288/K444, "NA")</f>
        <v>1.3863752015605807E-3</v>
      </c>
      <c r="M288" s="9"/>
      <c r="N288" s="10">
        <f t="shared" si="73"/>
        <v>-29.850000000000023</v>
      </c>
      <c r="O288" s="8">
        <f>IFERROR(N288/N444, "NA")</f>
        <v>9.1769914225100113E-2</v>
      </c>
      <c r="P288" s="9"/>
      <c r="Q288" s="7">
        <v>10107.709999999999</v>
      </c>
      <c r="R288" s="8">
        <f>IFERROR(Q288/Q444, "NA")</f>
        <v>1.4093985033451228E-3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-10107.709999999999</v>
      </c>
      <c r="X288" s="8">
        <f>IFERROR(W288/W444, "NA")</f>
        <v>2.6311645707638685E-2</v>
      </c>
      <c r="Y288" s="9"/>
      <c r="Z288" s="7">
        <v>8446.2900000000009</v>
      </c>
      <c r="AA288" s="8">
        <f>IFERROR(Z288/Z444, "NA")</f>
        <v>1.254179430608873E-3</v>
      </c>
      <c r="AB288" s="9"/>
      <c r="AC288" s="10">
        <f t="shared" si="75"/>
        <v>-1661.4199999999983</v>
      </c>
      <c r="AD288" s="8">
        <f>IFERROR(AC288/AC444, "NA")</f>
        <v>-3.8007181243940335E-3</v>
      </c>
    </row>
    <row r="289" spans="1:30" ht="16.5" customHeight="1" x14ac:dyDescent="0.45">
      <c r="A289" s="6" t="s">
        <v>262</v>
      </c>
      <c r="B289" s="7">
        <v>1085.95</v>
      </c>
      <c r="C289" s="8">
        <f>IFERROR(B289/B444, "NA")</f>
        <v>2.046427281315091E-3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-1085.95</v>
      </c>
      <c r="I289" s="8">
        <f>IFERROR(H289/H444, "NA")</f>
        <v>1.9416352611476659E-2</v>
      </c>
      <c r="J289" s="9"/>
      <c r="K289" s="7">
        <v>978.57</v>
      </c>
      <c r="L289" s="8">
        <f>IFERROR(K289/K444, "NA")</f>
        <v>1.8429445227689536E-3</v>
      </c>
      <c r="M289" s="9"/>
      <c r="N289" s="10">
        <f t="shared" si="73"/>
        <v>-107.38</v>
      </c>
      <c r="O289" s="8">
        <f>IFERROR(N289/N444, "NA")</f>
        <v>0.33012574169149889</v>
      </c>
      <c r="P289" s="9"/>
      <c r="Q289" s="7">
        <v>13096.28</v>
      </c>
      <c r="R289" s="8">
        <f>IFERROR(Q289/Q444, "NA")</f>
        <v>1.8261186194883578E-3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-13096.28</v>
      </c>
      <c r="X289" s="8">
        <f>IFERROR(W289/W444, "NA")</f>
        <v>3.4091270866302495E-2</v>
      </c>
      <c r="Y289" s="9"/>
      <c r="Z289" s="7">
        <v>12518.06</v>
      </c>
      <c r="AA289" s="8">
        <f>IFERROR(Z289/Z444, "NA")</f>
        <v>1.8587916544574846E-3</v>
      </c>
      <c r="AB289" s="9"/>
      <c r="AC289" s="10">
        <f t="shared" si="75"/>
        <v>-578.22000000000116</v>
      </c>
      <c r="AD289" s="8">
        <f>IFERROR(AC289/AC444, "NA")</f>
        <v>-1.3227547723556503E-3</v>
      </c>
    </row>
    <row r="290" spans="1:30" ht="16.5" customHeight="1" x14ac:dyDescent="0.45">
      <c r="A290" s="6" t="s">
        <v>263</v>
      </c>
      <c r="B290" s="7">
        <v>4866.5499999999993</v>
      </c>
      <c r="C290" s="8">
        <f>IFERROR(B290/B444, "NA")</f>
        <v>9.1708096007034889E-3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-4866.5499999999993</v>
      </c>
      <c r="I290" s="8">
        <f>IFERROR(H290/H444, "NA")</f>
        <v>8.7011971823179449E-2</v>
      </c>
      <c r="J290" s="9"/>
      <c r="K290" s="7">
        <v>3573.8399999999997</v>
      </c>
      <c r="L290" s="8">
        <f>IFERROR(K290/K444, "NA")</f>
        <v>6.7306261721211524E-3</v>
      </c>
      <c r="M290" s="9"/>
      <c r="N290" s="10">
        <f t="shared" si="73"/>
        <v>-1292.7099999999996</v>
      </c>
      <c r="O290" s="8">
        <f>IFERROR(N290/N444, "NA")</f>
        <v>3.9742675315889127</v>
      </c>
      <c r="P290" s="9"/>
      <c r="Q290" s="7">
        <v>39897.969999999994</v>
      </c>
      <c r="R290" s="8">
        <f>IFERROR(Q290/Q444, "NA")</f>
        <v>5.5632917054910169E-3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-39897.969999999994</v>
      </c>
      <c r="X290" s="8">
        <f>IFERROR(W290/W444, "NA")</f>
        <v>0.10385945492045151</v>
      </c>
      <c r="Y290" s="9"/>
      <c r="Z290" s="7">
        <v>28888.57</v>
      </c>
      <c r="AA290" s="8">
        <f>IFERROR(Z290/Z444, "NA")</f>
        <v>4.289628970080896E-3</v>
      </c>
      <c r="AB290" s="9"/>
      <c r="AC290" s="10">
        <f t="shared" si="75"/>
        <v>-11009.399999999994</v>
      </c>
      <c r="AD290" s="8">
        <f>IFERROR(AC290/AC444, "NA")</f>
        <v>-2.5185459497721042E-2</v>
      </c>
    </row>
    <row r="291" spans="1:30" ht="16.5" customHeight="1" x14ac:dyDescent="0.45">
      <c r="A291" s="6" t="s">
        <v>264</v>
      </c>
      <c r="B291" s="7">
        <v>3277.71</v>
      </c>
      <c r="C291" s="8">
        <f>IFERROR(B291/B444, "NA")</f>
        <v>6.1767071819506299E-3</v>
      </c>
      <c r="D291" s="9"/>
      <c r="E291" s="7">
        <v>7222.3099999999995</v>
      </c>
      <c r="F291" s="8">
        <f>IFERROR(E291/E444, "NA")</f>
        <v>1.2312444655405201E-2</v>
      </c>
      <c r="G291" s="9"/>
      <c r="H291" s="10">
        <f t="shared" si="72"/>
        <v>3944.5999999999995</v>
      </c>
      <c r="I291" s="8">
        <f>IFERROR(H291/H444, "NA")</f>
        <v>-7.0527873761435447E-2</v>
      </c>
      <c r="J291" s="9"/>
      <c r="K291" s="7">
        <v>617.29999999999995</v>
      </c>
      <c r="L291" s="8">
        <f>IFERROR(K291/K444, "NA")</f>
        <v>1.162563387295007E-3</v>
      </c>
      <c r="M291" s="9"/>
      <c r="N291" s="10">
        <f t="shared" si="73"/>
        <v>-2660.41</v>
      </c>
      <c r="O291" s="8">
        <f>IFERROR(N291/N444, "NA")</f>
        <v>8.1790819934203807</v>
      </c>
      <c r="P291" s="9"/>
      <c r="Q291" s="7">
        <v>46828.17</v>
      </c>
      <c r="R291" s="8">
        <f>IFERROR(Q291/Q444, "NA")</f>
        <v>6.5296246837702092E-3</v>
      </c>
      <c r="S291" s="9"/>
      <c r="T291" s="7">
        <v>93251.74</v>
      </c>
      <c r="U291" s="8">
        <f>IFERROR(T291/T444, "NA")</f>
        <v>1.2341740317026593E-2</v>
      </c>
      <c r="V291" s="9"/>
      <c r="W291" s="10">
        <f t="shared" si="74"/>
        <v>46423.570000000007</v>
      </c>
      <c r="X291" s="8">
        <f>IFERROR(W291/W444, "NA")</f>
        <v>-0.12084641588685907</v>
      </c>
      <c r="Y291" s="9"/>
      <c r="Z291" s="7">
        <v>31130.67</v>
      </c>
      <c r="AA291" s="8">
        <f>IFERROR(Z291/Z444, "NA")</f>
        <v>4.6225556990196551E-3</v>
      </c>
      <c r="AB291" s="9"/>
      <c r="AC291" s="10">
        <f t="shared" si="75"/>
        <v>-15697.5</v>
      </c>
      <c r="AD291" s="8">
        <f>IFERROR(AC291/AC444, "NA")</f>
        <v>-3.5910108676719552E-2</v>
      </c>
    </row>
    <row r="292" spans="1:30" ht="16.5" customHeight="1" x14ac:dyDescent="0.45">
      <c r="A292" s="6" t="s">
        <v>265</v>
      </c>
      <c r="B292" s="7">
        <v>406.69</v>
      </c>
      <c r="C292" s="8">
        <f>IFERROR(B292/B444, "NA")</f>
        <v>7.6639026754273616E-4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-406.69</v>
      </c>
      <c r="I292" s="8">
        <f>IFERROR(H292/H444, "NA")</f>
        <v>7.2714548953095835E-3</v>
      </c>
      <c r="J292" s="9"/>
      <c r="K292" s="7">
        <v>444.92</v>
      </c>
      <c r="L292" s="8">
        <f>IFERROR(K292/K444, "NA")</f>
        <v>8.3791949177919084E-4</v>
      </c>
      <c r="M292" s="9"/>
      <c r="N292" s="10">
        <f t="shared" si="73"/>
        <v>38.230000000000018</v>
      </c>
      <c r="O292" s="8">
        <f>IFERROR(N292/N444, "NA")</f>
        <v>-0.11753312632581495</v>
      </c>
      <c r="P292" s="9"/>
      <c r="Q292" s="7">
        <v>8135.65</v>
      </c>
      <c r="R292" s="8">
        <f>IFERROR(Q292/Q444, "NA")</f>
        <v>1.1344184720119344E-3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-8135.65</v>
      </c>
      <c r="X292" s="8">
        <f>IFERROR(W292/W444, "NA")</f>
        <v>2.117812446155961E-2</v>
      </c>
      <c r="Y292" s="9"/>
      <c r="Z292" s="7">
        <v>6333.91</v>
      </c>
      <c r="AA292" s="8">
        <f>IFERROR(Z292/Z444, "NA")</f>
        <v>9.4051466825409099E-4</v>
      </c>
      <c r="AB292" s="9"/>
      <c r="AC292" s="10">
        <f t="shared" si="75"/>
        <v>-1801.7399999999998</v>
      </c>
      <c r="AD292" s="8">
        <f>IFERROR(AC292/AC444, "NA")</f>
        <v>-4.1217186945177696E-3</v>
      </c>
    </row>
    <row r="293" spans="1:30" ht="16.5" customHeight="1" x14ac:dyDescent="0.45">
      <c r="A293" s="6" t="s">
        <v>266</v>
      </c>
      <c r="B293" s="7">
        <v>259.95</v>
      </c>
      <c r="C293" s="8">
        <f>IFERROR(B293/B444, "NA")</f>
        <v>4.8986488491906425E-4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-259.95</v>
      </c>
      <c r="I293" s="8">
        <f>IFERROR(H293/H444, "NA")</f>
        <v>4.6478022573353817E-3</v>
      </c>
      <c r="J293" s="9"/>
      <c r="K293" s="7">
        <v>969.89</v>
      </c>
      <c r="L293" s="8">
        <f>IFERROR(K293/K444, "NA")</f>
        <v>1.82659744646615E-3</v>
      </c>
      <c r="M293" s="9"/>
      <c r="N293" s="10">
        <f t="shared" si="73"/>
        <v>709.94</v>
      </c>
      <c r="O293" s="8">
        <f>IFERROR(N293/N444, "NA")</f>
        <v>-2.1826175177543559</v>
      </c>
      <c r="P293" s="9"/>
      <c r="Q293" s="7">
        <v>8784.91</v>
      </c>
      <c r="R293" s="8">
        <f>IFERROR(Q293/Q444, "NA")</f>
        <v>1.224949964534163E-3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-8784.91</v>
      </c>
      <c r="X293" s="8">
        <f>IFERROR(W293/W444, "NA")</f>
        <v>2.2868230241418895E-2</v>
      </c>
      <c r="Y293" s="9"/>
      <c r="Z293" s="7">
        <v>10803.79</v>
      </c>
      <c r="AA293" s="8">
        <f>IFERROR(Z293/Z444, "NA")</f>
        <v>1.6042417665765485E-3</v>
      </c>
      <c r="AB293" s="9"/>
      <c r="AC293" s="10">
        <f t="shared" si="75"/>
        <v>2018.880000000001</v>
      </c>
      <c r="AD293" s="8">
        <f>IFERROR(AC293/AC444, "NA")</f>
        <v>4.6184551810960735E-3</v>
      </c>
    </row>
    <row r="294" spans="1:30" ht="16.5" customHeight="1" x14ac:dyDescent="0.45">
      <c r="A294" s="6" t="s">
        <v>267</v>
      </c>
      <c r="B294" s="7">
        <v>1248.79</v>
      </c>
      <c r="C294" s="8">
        <f>IFERROR(B294/B444, "NA")</f>
        <v>2.353292439461736E-3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-1248.79</v>
      </c>
      <c r="I294" s="8">
        <f>IFERROR(H294/H444, "NA")</f>
        <v>2.2327866824150226E-2</v>
      </c>
      <c r="J294" s="9"/>
      <c r="K294" s="7">
        <v>1703.31</v>
      </c>
      <c r="L294" s="8">
        <f>IFERROR(K294/K444, "NA")</f>
        <v>3.2078500619041931E-3</v>
      </c>
      <c r="M294" s="9"/>
      <c r="N294" s="10">
        <f t="shared" si="73"/>
        <v>454.52</v>
      </c>
      <c r="O294" s="8">
        <f>IFERROR(N294/N444, "NA")</f>
        <v>-1.3973621914101331</v>
      </c>
      <c r="P294" s="9"/>
      <c r="Q294" s="7">
        <v>21378.41</v>
      </c>
      <c r="R294" s="8">
        <f>IFERROR(Q294/Q444, "NA")</f>
        <v>2.9809619644705289E-3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-21378.41</v>
      </c>
      <c r="X294" s="8">
        <f>IFERROR(W294/W444, "NA")</f>
        <v>5.5650701267907367E-2</v>
      </c>
      <c r="Y294" s="9"/>
      <c r="Z294" s="7">
        <v>9165.2900000000009</v>
      </c>
      <c r="AA294" s="8">
        <f>IFERROR(Z294/Z444, "NA")</f>
        <v>1.3609428747491737E-3</v>
      </c>
      <c r="AB294" s="9"/>
      <c r="AC294" s="10">
        <f t="shared" si="75"/>
        <v>-12213.119999999999</v>
      </c>
      <c r="AD294" s="8">
        <f>IFERROR(AC294/AC444, "NA")</f>
        <v>-2.7939128299526491E-2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12882.16</v>
      </c>
      <c r="C295" s="15">
        <f>IFERROR(B295/B444, "NA")</f>
        <v>2.4275890847889874E-2</v>
      </c>
      <c r="D295" s="2"/>
      <c r="E295" s="14">
        <f>IFERROR(E286+E287+E288+E289+E290+E291+E292+E293+E294, "NA")</f>
        <v>9925.31</v>
      </c>
      <c r="F295" s="15">
        <f>IFERROR(E295/E444, "NA")</f>
        <v>1.6920463129212096E-2</v>
      </c>
      <c r="G295" s="2"/>
      <c r="H295" s="14">
        <f t="shared" si="72"/>
        <v>-2956.8500000000004</v>
      </c>
      <c r="I295" s="15">
        <f>IFERROR(H295/H444, "NA")</f>
        <v>5.286729795961579E-2</v>
      </c>
      <c r="J295" s="2"/>
      <c r="K295" s="14">
        <f>IFERROR(K286+K287+K288+K289+K290+K291+K292+K293+K294, "NA")</f>
        <v>9994.5</v>
      </c>
      <c r="L295" s="15">
        <f>IFERROR(K295/K444, "NA")</f>
        <v>1.8822679044743152E-2</v>
      </c>
      <c r="M295" s="2"/>
      <c r="N295" s="14">
        <f t="shared" si="73"/>
        <v>-2887.66</v>
      </c>
      <c r="O295" s="15">
        <f>IFERROR(N295/N444, "NA")</f>
        <v>8.8777323454355912</v>
      </c>
      <c r="P295" s="2"/>
      <c r="Q295" s="14">
        <f>IFERROR(Q286+Q287+Q288+Q289+Q290+Q291+Q292+Q293+Q294, "NA")</f>
        <v>159875.46</v>
      </c>
      <c r="R295" s="15">
        <f>IFERROR(Q295/Q444, "NA")</f>
        <v>2.2292708639801997E-2</v>
      </c>
      <c r="S295" s="2"/>
      <c r="T295" s="14">
        <f>IFERROR(T286+T287+T288+T289+T290+T291+T292+T293+T294, "NA")</f>
        <v>125687.74</v>
      </c>
      <c r="U295" s="15">
        <f>IFERROR(T295/T444, "NA")</f>
        <v>1.6634600578112065E-2</v>
      </c>
      <c r="V295" s="2"/>
      <c r="W295" s="14">
        <f t="shared" si="74"/>
        <v>-34187.719999999987</v>
      </c>
      <c r="X295" s="15">
        <f>IFERROR(W295/W444, "NA")</f>
        <v>8.8994952980640807E-2</v>
      </c>
      <c r="Y295" s="2"/>
      <c r="Z295" s="14">
        <f>IFERROR(Z286+Z287+Z288+Z289+Z290+Z291+Z292+Z293+Z294, "NA")</f>
        <v>118932.94</v>
      </c>
      <c r="AA295" s="15">
        <f>IFERROR(Z295/Z444, "NA")</f>
        <v>1.766020903495372E-2</v>
      </c>
      <c r="AB295" s="2"/>
      <c r="AC295" s="14">
        <f t="shared" si="75"/>
        <v>-40942.51999999999</v>
      </c>
      <c r="AD295" s="15">
        <f>IFERROR(AC295/AC444, "NA")</f>
        <v>-9.366143288413846E-2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7625.62</v>
      </c>
      <c r="F297" s="8">
        <f>IFERROR(E297/E444, "NA")</f>
        <v>1.2999999198753725E-2</v>
      </c>
      <c r="G297" s="9"/>
      <c r="H297" s="10">
        <f t="shared" ref="H297:H325" si="76">IFERROR(-(B297-E297), "NA")</f>
        <v>7625.62</v>
      </c>
      <c r="I297" s="8">
        <f>IFERROR(H297/H444, "NA")</f>
        <v>-0.13634304231422131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98225.44</v>
      </c>
      <c r="U297" s="8">
        <f>IFERROR(T297/T444, "NA")</f>
        <v>1.3000002713146977E-2</v>
      </c>
      <c r="V297" s="9"/>
      <c r="W297" s="10">
        <f t="shared" ref="W297:W325" si="78">IFERROR(-(Q297-T297), "NA")</f>
        <v>98225.44</v>
      </c>
      <c r="X297" s="8">
        <f>IFERROR(W297/W444, "NA")</f>
        <v>-0.2556932259391021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2373.62</v>
      </c>
      <c r="C299" s="8">
        <f>IFERROR(B299/B444, "NA")</f>
        <v>4.4729874519776466E-3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-2373.62</v>
      </c>
      <c r="I299" s="8">
        <f>IFERROR(H299/H444, "NA")</f>
        <v>4.2439378319124477E-2</v>
      </c>
      <c r="J299" s="9"/>
      <c r="K299" s="7">
        <v>1550.51</v>
      </c>
      <c r="L299" s="8">
        <f>IFERROR(K299/K444, "NA")</f>
        <v>2.9200812532557611E-3</v>
      </c>
      <c r="M299" s="9"/>
      <c r="N299" s="10">
        <f t="shared" si="77"/>
        <v>-823.1099999999999</v>
      </c>
      <c r="O299" s="8">
        <f>IFERROR(N299/N444, "NA")</f>
        <v>2.5305438558734368</v>
      </c>
      <c r="P299" s="9"/>
      <c r="Q299" s="7">
        <v>29558.110000000004</v>
      </c>
      <c r="R299" s="8">
        <f>IFERROR(Q299/Q444, "NA")</f>
        <v>4.1215226787977219E-3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-29558.110000000004</v>
      </c>
      <c r="X299" s="8">
        <f>IFERROR(W299/W444, "NA")</f>
        <v>7.6943493442868091E-2</v>
      </c>
      <c r="Y299" s="9"/>
      <c r="Z299" s="7">
        <v>18826.22</v>
      </c>
      <c r="AA299" s="8">
        <f>IFERROR(Z299/Z444, "NA")</f>
        <v>2.795482736221155E-3</v>
      </c>
      <c r="AB299" s="9"/>
      <c r="AC299" s="10">
        <f t="shared" si="79"/>
        <v>-10731.890000000003</v>
      </c>
      <c r="AD299" s="8">
        <f>IFERROR(AC299/AC444, "NA")</f>
        <v>-2.4550618646701699E-2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219.76</v>
      </c>
      <c r="C304" s="8">
        <f>IFERROR(B304/B444, "NA")</f>
        <v>4.1412851359805177E-4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-219.76</v>
      </c>
      <c r="I304" s="8">
        <f>IFERROR(H304/H444, "NA")</f>
        <v>3.929221096641752E-3</v>
      </c>
      <c r="J304" s="9"/>
      <c r="K304" s="7">
        <v>94.69</v>
      </c>
      <c r="L304" s="8">
        <f>IFERROR(K304/K444, "NA")</f>
        <v>1.7833002939083786E-4</v>
      </c>
      <c r="M304" s="9"/>
      <c r="N304" s="10">
        <f t="shared" si="77"/>
        <v>-125.07</v>
      </c>
      <c r="O304" s="8">
        <f>IFERROR(N304/N444, "NA")</f>
        <v>0.38451132904969049</v>
      </c>
      <c r="P304" s="9"/>
      <c r="Q304" s="7">
        <v>1054.3800000000001</v>
      </c>
      <c r="R304" s="8">
        <f>IFERROR(Q304/Q444, "NA")</f>
        <v>1.4702060050763536E-4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-1054.3800000000001</v>
      </c>
      <c r="X304" s="8">
        <f>IFERROR(W304/W444, "NA")</f>
        <v>2.7446843054678141E-3</v>
      </c>
      <c r="Y304" s="9"/>
      <c r="Z304" s="7">
        <v>904.73</v>
      </c>
      <c r="AA304" s="8">
        <f>IFERROR(Z304/Z444, "NA")</f>
        <v>1.3434226817392791E-4</v>
      </c>
      <c r="AB304" s="9"/>
      <c r="AC304" s="10">
        <f t="shared" si="79"/>
        <v>-149.65000000000009</v>
      </c>
      <c r="AD304" s="8">
        <f>IFERROR(AC304/AC444, "NA")</f>
        <v>-3.4234417986756389E-4</v>
      </c>
    </row>
    <row r="305" spans="1:30" ht="16.5" customHeight="1" x14ac:dyDescent="0.45">
      <c r="A305" s="6" t="s">
        <v>277</v>
      </c>
      <c r="B305" s="7">
        <v>41.55</v>
      </c>
      <c r="C305" s="8">
        <f>IFERROR(B305/B444, "NA")</f>
        <v>7.8299234346555565E-5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-41.55</v>
      </c>
      <c r="I305" s="8">
        <f>IFERROR(H305/H444, "NA")</f>
        <v>7.4289741793531479E-4</v>
      </c>
      <c r="J305" s="9"/>
      <c r="K305" s="7">
        <v>61.910000000000004</v>
      </c>
      <c r="L305" s="8">
        <f>IFERROR(K305/K444, "NA")</f>
        <v>1.1659533339937452E-4</v>
      </c>
      <c r="M305" s="9"/>
      <c r="N305" s="10">
        <f t="shared" si="77"/>
        <v>20.360000000000007</v>
      </c>
      <c r="O305" s="8">
        <f>IFERROR(N305/N444, "NA")</f>
        <v>-6.2594152550185508E-2</v>
      </c>
      <c r="P305" s="9"/>
      <c r="Q305" s="7">
        <v>1039.51</v>
      </c>
      <c r="R305" s="8">
        <f>IFERROR(Q305/Q444, "NA")</f>
        <v>1.4494715798259831E-4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-1039.51</v>
      </c>
      <c r="X305" s="8">
        <f>IFERROR(W305/W444, "NA")</f>
        <v>2.7059758174252614E-3</v>
      </c>
      <c r="Y305" s="9"/>
      <c r="Z305" s="7">
        <v>688.1</v>
      </c>
      <c r="AA305" s="8">
        <f>IFERROR(Z305/Z444, "NA")</f>
        <v>1.0217514035179535E-4</v>
      </c>
      <c r="AB305" s="9"/>
      <c r="AC305" s="10">
        <f t="shared" si="79"/>
        <v>-351.40999999999997</v>
      </c>
      <c r="AD305" s="8">
        <f>IFERROR(AC305/AC444, "NA")</f>
        <v>-8.0389688103749113E-4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331.90999999999997</v>
      </c>
      <c r="C310" s="8">
        <f>IFERROR(B310/B444, "NA")</f>
        <v>6.2547049030000626E-4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-331.90999999999997</v>
      </c>
      <c r="I310" s="8">
        <f>IFERROR(H310/H444, "NA")</f>
        <v>5.9344183390351466E-3</v>
      </c>
      <c r="J310" s="9"/>
      <c r="K310" s="7">
        <v>139.59</v>
      </c>
      <c r="L310" s="8">
        <f>IFERROR(K310/K444, "NA")</f>
        <v>2.6289036648713757E-4</v>
      </c>
      <c r="M310" s="9"/>
      <c r="N310" s="10">
        <f t="shared" si="77"/>
        <v>-192.31999999999996</v>
      </c>
      <c r="O310" s="8">
        <f>IFERROR(N310/N444, "NA")</f>
        <v>0.59126264334241996</v>
      </c>
      <c r="P310" s="9"/>
      <c r="Q310" s="7">
        <v>3558.0899999999997</v>
      </c>
      <c r="R310" s="8">
        <f>IFERROR(Q310/Q444, "NA")</f>
        <v>4.9613282541418864E-4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-3558.0899999999997</v>
      </c>
      <c r="X310" s="8">
        <f>IFERROR(W310/W444, "NA")</f>
        <v>9.2621576475672655E-3</v>
      </c>
      <c r="Y310" s="9"/>
      <c r="Z310" s="7">
        <v>2195.27</v>
      </c>
      <c r="AA310" s="8">
        <f>IFERROR(Z310/Z444, "NA")</f>
        <v>3.2597299863404411E-4</v>
      </c>
      <c r="AB310" s="9"/>
      <c r="AC310" s="10">
        <f t="shared" si="79"/>
        <v>-1362.8199999999997</v>
      </c>
      <c r="AD310" s="8">
        <f>IFERROR(AC310/AC444, "NA")</f>
        <v>-3.1176311072977818E-3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2.3353070214741141E-5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4.3597159229096671E-4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-3.8313266451199177E-4</v>
      </c>
    </row>
    <row r="312" spans="1:30" ht="16.5" customHeight="1" x14ac:dyDescent="0.45">
      <c r="A312" s="6" t="s">
        <v>284</v>
      </c>
      <c r="B312" s="7">
        <v>579.73</v>
      </c>
      <c r="C312" s="8">
        <f>IFERROR(B312/B444, "NA")</f>
        <v>1.0924768983809547E-3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-579.73</v>
      </c>
      <c r="I312" s="8">
        <f>IFERROR(H312/H444, "NA")</f>
        <v>1.036534103729579E-2</v>
      </c>
      <c r="J312" s="9"/>
      <c r="K312" s="7">
        <v>86.09</v>
      </c>
      <c r="L312" s="8">
        <f>IFERROR(K312/K444, "NA")</f>
        <v>1.6213361738575595E-4</v>
      </c>
      <c r="M312" s="9"/>
      <c r="N312" s="10">
        <f t="shared" si="77"/>
        <v>-493.64</v>
      </c>
      <c r="O312" s="8">
        <f>IFERROR(N312/N444, "NA")</f>
        <v>1.5176315061332792</v>
      </c>
      <c r="P312" s="9"/>
      <c r="Q312" s="7">
        <v>21849.14</v>
      </c>
      <c r="R312" s="8">
        <f>IFERROR(Q312/Q444, "NA")</f>
        <v>3.0465995972755512E-3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-21849.14</v>
      </c>
      <c r="X312" s="8">
        <f>IFERROR(W312/W444, "NA")</f>
        <v>5.6876070909889255E-2</v>
      </c>
      <c r="Y312" s="9"/>
      <c r="Z312" s="7">
        <v>5557.36</v>
      </c>
      <c r="AA312" s="8">
        <f>IFERROR(Z312/Z444, "NA")</f>
        <v>8.2520569391869396E-4</v>
      </c>
      <c r="AB312" s="9"/>
      <c r="AC312" s="10">
        <f t="shared" si="79"/>
        <v>-16291.779999999999</v>
      </c>
      <c r="AD312" s="8">
        <f>IFERROR(AC312/AC444, "NA")</f>
        <v>-3.7269602824475619E-2</v>
      </c>
    </row>
    <row r="313" spans="1:30" ht="16.5" customHeight="1" x14ac:dyDescent="0.45">
      <c r="A313" s="6" t="s">
        <v>285</v>
      </c>
      <c r="B313" s="7">
        <v>244</v>
      </c>
      <c r="C313" s="8">
        <f>IFERROR(B313/B444, "NA")</f>
        <v>4.5980777811214341E-4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-244</v>
      </c>
      <c r="I313" s="8">
        <f>IFERROR(H313/H444, "NA")</f>
        <v>4.3626226227729678E-3</v>
      </c>
      <c r="J313" s="9"/>
      <c r="K313" s="7">
        <v>200</v>
      </c>
      <c r="L313" s="8">
        <f>IFERROR(K313/K444, "NA")</f>
        <v>3.7666074430423035E-4</v>
      </c>
      <c r="M313" s="9"/>
      <c r="N313" s="10">
        <f t="shared" si="77"/>
        <v>-44</v>
      </c>
      <c r="O313" s="8">
        <f>IFERROR(N313/N444, "NA")</f>
        <v>0.1352722353736818</v>
      </c>
      <c r="P313" s="9"/>
      <c r="Q313" s="7">
        <v>3941.2799999999997</v>
      </c>
      <c r="R313" s="8">
        <f>IFERROR(Q313/Q444, "NA")</f>
        <v>5.4956405884854886E-4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-3941.2799999999997</v>
      </c>
      <c r="X313" s="8">
        <f>IFERROR(W313/W444, "NA")</f>
        <v>1.0259649613473497E-2</v>
      </c>
      <c r="Y313" s="9"/>
      <c r="Z313" s="7">
        <v>715.55</v>
      </c>
      <c r="AA313" s="8">
        <f>IFERROR(Z313/Z444, "NA")</f>
        <v>1.0625115779498206E-4</v>
      </c>
      <c r="AB313" s="9"/>
      <c r="AC313" s="10">
        <f t="shared" si="79"/>
        <v>-3225.7299999999996</v>
      </c>
      <c r="AD313" s="8">
        <f>IFERROR(AC313/AC444, "NA")</f>
        <v>-7.3792842721296104E-3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1690.38</v>
      </c>
      <c r="C315" s="8">
        <f>IFERROR(B315/B444, "NA")</f>
        <v>3.1854502949393649E-3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-1690.38</v>
      </c>
      <c r="I315" s="8">
        <f>IFERROR(H315/H444, "NA")</f>
        <v>3.0223319791323647E-2</v>
      </c>
      <c r="J315" s="9"/>
      <c r="K315" s="7">
        <v>1249.6300000000001</v>
      </c>
      <c r="L315" s="8">
        <f>IFERROR(K315/K444, "NA")</f>
        <v>2.3534328295244772E-3</v>
      </c>
      <c r="M315" s="9"/>
      <c r="N315" s="10">
        <f t="shared" si="77"/>
        <v>-440.75</v>
      </c>
      <c r="O315" s="8">
        <f>IFERROR(N315/N444, "NA")</f>
        <v>1.3550281304761422</v>
      </c>
      <c r="P315" s="9"/>
      <c r="Q315" s="7">
        <v>20113.27</v>
      </c>
      <c r="R315" s="8">
        <f>IFERROR(Q315/Q444, "NA")</f>
        <v>2.8045534186651932E-3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-20113.27</v>
      </c>
      <c r="X315" s="8">
        <f>IFERROR(W315/W444, "NA")</f>
        <v>5.235738206399649E-2</v>
      </c>
      <c r="Y315" s="9"/>
      <c r="Z315" s="7">
        <v>9198.02</v>
      </c>
      <c r="AA315" s="8">
        <f>IFERROR(Z315/Z444, "NA")</f>
        <v>1.3658029130338913E-3</v>
      </c>
      <c r="AB315" s="9"/>
      <c r="AC315" s="10">
        <f t="shared" si="79"/>
        <v>-10915.25</v>
      </c>
      <c r="AD315" s="8">
        <f>IFERROR(AC315/AC444, "NA")</f>
        <v>-2.4970078912792681E-2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2.542128183145962E-6</v>
      </c>
      <c r="AB316" s="9"/>
      <c r="AC316" s="10">
        <f t="shared" si="79"/>
        <v>17.12</v>
      </c>
      <c r="AD316" s="8">
        <f>IFERROR(AC316/AC444, "NA")</f>
        <v>3.9164265682142939E-5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2.4870135867356611E-3</v>
      </c>
      <c r="D318" s="9"/>
      <c r="E318" s="7">
        <v>3210</v>
      </c>
      <c r="F318" s="8">
        <f>IFERROR(E318/E444, "NA")</f>
        <v>5.4723415837662328E-3</v>
      </c>
      <c r="G318" s="9"/>
      <c r="H318" s="10">
        <f t="shared" si="76"/>
        <v>1890.25</v>
      </c>
      <c r="I318" s="8">
        <f>IFERROR(H318/H444, "NA")</f>
        <v>-3.3796915625805751E-2</v>
      </c>
      <c r="J318" s="9"/>
      <c r="K318" s="7">
        <v>1319.75</v>
      </c>
      <c r="L318" s="8">
        <f>IFERROR(K318/K444, "NA")</f>
        <v>2.4854900864775399E-3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16088.63</v>
      </c>
      <c r="R318" s="8">
        <f>IFERROR(Q318/Q444, "NA")</f>
        <v>2.2433658111356029E-3</v>
      </c>
      <c r="S318" s="9"/>
      <c r="T318" s="7">
        <v>38520</v>
      </c>
      <c r="U318" s="8">
        <f>IFERROR(T318/T444, "NA")</f>
        <v>5.0980693444633244E-3</v>
      </c>
      <c r="V318" s="9"/>
      <c r="W318" s="10">
        <f t="shared" si="78"/>
        <v>22431.370000000003</v>
      </c>
      <c r="X318" s="8">
        <f>IFERROR(W318/W444, "NA")</f>
        <v>-5.8391689134032858E-2</v>
      </c>
      <c r="Y318" s="9"/>
      <c r="Z318" s="7">
        <v>16165.11</v>
      </c>
      <c r="AA318" s="8">
        <f>IFERROR(Z318/Z444, "NA")</f>
        <v>2.4003377169774893E-3</v>
      </c>
      <c r="AB318" s="9"/>
      <c r="AC318" s="10">
        <f t="shared" si="79"/>
        <v>76.480000000001382</v>
      </c>
      <c r="AD318" s="8">
        <f>IFERROR(AC318/AC444, "NA")</f>
        <v>1.7495812145854826E-4</v>
      </c>
    </row>
    <row r="319" spans="1:30" ht="16.5" customHeight="1" x14ac:dyDescent="0.45">
      <c r="A319" s="6" t="s">
        <v>291</v>
      </c>
      <c r="B319" s="7">
        <v>1260.21</v>
      </c>
      <c r="C319" s="8">
        <f>IFERROR(B319/B444, "NA")</f>
        <v>2.37481295104387E-3</v>
      </c>
      <c r="D319" s="9"/>
      <c r="E319" s="7">
        <v>1084</v>
      </c>
      <c r="F319" s="8">
        <f>IFERROR(E319/E444, "NA")</f>
        <v>1.8479807715895938E-3</v>
      </c>
      <c r="G319" s="9"/>
      <c r="H319" s="10">
        <f t="shared" si="76"/>
        <v>-176.21000000000004</v>
      </c>
      <c r="I319" s="8">
        <f>IFERROR(H319/H444, "NA")</f>
        <v>3.1505644768804299E-3</v>
      </c>
      <c r="J319" s="9"/>
      <c r="K319" s="7">
        <v>1074.31</v>
      </c>
      <c r="L319" s="8">
        <f>IFERROR(K319/K444, "NA")</f>
        <v>2.0232520210673884E-3</v>
      </c>
      <c r="M319" s="9"/>
      <c r="N319" s="10">
        <f t="shared" si="77"/>
        <v>-185.90000000000009</v>
      </c>
      <c r="O319" s="8">
        <f>IFERROR(N319/N444, "NA")</f>
        <v>0.5715251944538059</v>
      </c>
      <c r="P319" s="9"/>
      <c r="Q319" s="7">
        <v>14666.580000000002</v>
      </c>
      <c r="R319" s="8">
        <f>IFERROR(Q319/Q444, "NA")</f>
        <v>2.0450780543952601E-3</v>
      </c>
      <c r="S319" s="9"/>
      <c r="T319" s="7">
        <v>13008</v>
      </c>
      <c r="U319" s="8">
        <f>IFERROR(T319/T444, "NA")</f>
        <v>1.7215910185041257E-3</v>
      </c>
      <c r="V319" s="9"/>
      <c r="W319" s="10">
        <f t="shared" si="78"/>
        <v>-1658.5800000000017</v>
      </c>
      <c r="X319" s="8">
        <f>IFERROR(W319/W444, "NA")</f>
        <v>4.3174932143656098E-3</v>
      </c>
      <c r="Y319" s="9"/>
      <c r="Z319" s="7">
        <v>12798.560000000001</v>
      </c>
      <c r="AA319" s="8">
        <f>IFERROR(Z319/Z444, "NA")</f>
        <v>1.9004427616638191E-3</v>
      </c>
      <c r="AB319" s="9"/>
      <c r="AC319" s="10">
        <f t="shared" si="79"/>
        <v>-1868.0200000000004</v>
      </c>
      <c r="AD319" s="8">
        <f>IFERROR(AC319/AC444, "NA")</f>
        <v>-4.2733429660955996E-3</v>
      </c>
    </row>
    <row r="320" spans="1:30" ht="16.5" customHeight="1" x14ac:dyDescent="0.45">
      <c r="A320" s="6" t="s">
        <v>292</v>
      </c>
      <c r="B320" s="7">
        <v>5753.43</v>
      </c>
      <c r="C320" s="8">
        <f>IFERROR(B320/B444, "NA")</f>
        <v>1.0842097806654712E-2</v>
      </c>
      <c r="D320" s="9"/>
      <c r="E320" s="7">
        <v>4243</v>
      </c>
      <c r="F320" s="8">
        <f>IFERROR(E320/E444, "NA")</f>
        <v>7.2333786105670175E-3</v>
      </c>
      <c r="G320" s="9"/>
      <c r="H320" s="10">
        <f t="shared" si="76"/>
        <v>-1510.4300000000003</v>
      </c>
      <c r="I320" s="8">
        <f>IFERROR(H320/H444, "NA")</f>
        <v>2.7005885607028587E-2</v>
      </c>
      <c r="J320" s="9"/>
      <c r="K320" s="7">
        <v>4347.7400000000007</v>
      </c>
      <c r="L320" s="8">
        <f>IFERROR(K320/K444, "NA")</f>
        <v>8.1881149222063736E-3</v>
      </c>
      <c r="M320" s="9"/>
      <c r="N320" s="10">
        <f t="shared" si="77"/>
        <v>-1405.6899999999996</v>
      </c>
      <c r="O320" s="8">
        <f>IFERROR(N320/N444, "NA")</f>
        <v>4.3216097396006985</v>
      </c>
      <c r="P320" s="9"/>
      <c r="Q320" s="7">
        <v>69659.06</v>
      </c>
      <c r="R320" s="8">
        <f>IFERROR(Q320/Q444, "NA")</f>
        <v>9.713117502226332E-3</v>
      </c>
      <c r="S320" s="9"/>
      <c r="T320" s="7">
        <v>50916</v>
      </c>
      <c r="U320" s="8">
        <f>IFERROR(T320/T444, "NA")</f>
        <v>6.7386629995507428E-3</v>
      </c>
      <c r="V320" s="9"/>
      <c r="W320" s="10">
        <f t="shared" si="78"/>
        <v>-18743.059999999998</v>
      </c>
      <c r="X320" s="8">
        <f>IFERROR(W320/W444, "NA")</f>
        <v>4.8790552380016276E-2</v>
      </c>
      <c r="Y320" s="9"/>
      <c r="Z320" s="7">
        <v>48782.23</v>
      </c>
      <c r="AA320" s="8">
        <f>IFERROR(Z320/Z444, "NA")</f>
        <v>7.2436145864315672E-3</v>
      </c>
      <c r="AB320" s="9"/>
      <c r="AC320" s="10">
        <f t="shared" si="79"/>
        <v>-20876.829999999994</v>
      </c>
      <c r="AD320" s="8">
        <f>IFERROR(AC320/AC444, "NA")</f>
        <v>-4.7758511490708644E-2</v>
      </c>
    </row>
    <row r="321" spans="1:30" ht="16.5" customHeight="1" x14ac:dyDescent="0.45">
      <c r="A321" s="6" t="s">
        <v>293</v>
      </c>
      <c r="B321" s="7">
        <v>8624.5400000000009</v>
      </c>
      <c r="C321" s="8">
        <f>IFERROR(B321/B444, "NA")</f>
        <v>1.6252584322292239E-2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-8624.5400000000009</v>
      </c>
      <c r="I321" s="8">
        <f>IFERROR(H321/H444, "NA")</f>
        <v>0.15420333325823926</v>
      </c>
      <c r="J321" s="9"/>
      <c r="K321" s="7">
        <v>16206.039999999999</v>
      </c>
      <c r="L321" s="8">
        <f>IFERROR(K321/K444, "NA")</f>
        <v>3.0520895443120644E-2</v>
      </c>
      <c r="M321" s="9"/>
      <c r="N321" s="10">
        <f t="shared" si="77"/>
        <v>7581.4999999999982</v>
      </c>
      <c r="O321" s="8">
        <f>IFERROR(N321/N444, "NA")</f>
        <v>-23.308328465581098</v>
      </c>
      <c r="P321" s="9"/>
      <c r="Q321" s="7">
        <v>107179.12</v>
      </c>
      <c r="R321" s="8">
        <f>IFERROR(Q321/Q444, "NA")</f>
        <v>1.4944838278685016E-2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-107179.12</v>
      </c>
      <c r="X321" s="8">
        <f>IFERROR(W321/W444, "NA")</f>
        <v>0.27900078580573556</v>
      </c>
      <c r="Y321" s="9"/>
      <c r="Z321" s="7">
        <v>155434.20000000001</v>
      </c>
      <c r="AA321" s="8">
        <f>IFERROR(Z321/Z444, "NA")</f>
        <v>2.308023717551087E-2</v>
      </c>
      <c r="AB321" s="9"/>
      <c r="AC321" s="10">
        <f t="shared" si="79"/>
        <v>48255.080000000016</v>
      </c>
      <c r="AD321" s="8">
        <f>IFERROR(AC321/AC444, "NA")</f>
        <v>0.11038988163744524</v>
      </c>
    </row>
    <row r="322" spans="1:30" ht="16.5" customHeight="1" x14ac:dyDescent="0.45">
      <c r="A322" s="6" t="s">
        <v>294</v>
      </c>
      <c r="B322" s="7">
        <v>1476.76</v>
      </c>
      <c r="C322" s="8">
        <f>IFERROR(B322/B444, "NA")</f>
        <v>2.7828923541183973E-3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-1476.76</v>
      </c>
      <c r="I322" s="8">
        <f>IFERROR(H322/H444, "NA")</f>
        <v>2.640387944428774E-2</v>
      </c>
      <c r="J322" s="9"/>
      <c r="K322" s="7">
        <v>2491.7799999999997</v>
      </c>
      <c r="L322" s="8">
        <f>IFERROR(K322/K444, "NA")</f>
        <v>4.6927785472119753E-3</v>
      </c>
      <c r="M322" s="9"/>
      <c r="N322" s="10">
        <f t="shared" si="77"/>
        <v>1015.0199999999998</v>
      </c>
      <c r="O322" s="8">
        <f>IFERROR(N322/N444, "NA")</f>
        <v>-3.1205460079316927</v>
      </c>
      <c r="P322" s="9"/>
      <c r="Q322" s="7">
        <v>19783.599999999999</v>
      </c>
      <c r="R322" s="8">
        <f>IFERROR(Q322/Q444, "NA")</f>
        <v>2.7585849050653978E-3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-19783.599999999999</v>
      </c>
      <c r="X322" s="8">
        <f>IFERROR(W322/W444, "NA")</f>
        <v>5.1499209417527878E-2</v>
      </c>
      <c r="Y322" s="9"/>
      <c r="Z322" s="7">
        <v>17081.38</v>
      </c>
      <c r="AA322" s="8">
        <f>IFERROR(Z322/Z444, "NA")</f>
        <v>2.5363935458543089E-3</v>
      </c>
      <c r="AB322" s="9"/>
      <c r="AC322" s="10">
        <f t="shared" si="79"/>
        <v>-2702.2199999999975</v>
      </c>
      <c r="AD322" s="8">
        <f>IFERROR(AC322/AC444, "NA")</f>
        <v>-6.1816858651635625E-3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415.65000000000003</v>
      </c>
      <c r="L323" s="8">
        <f>IFERROR(K323/K444, "NA")</f>
        <v>7.8279519185026677E-4</v>
      </c>
      <c r="M323" s="9"/>
      <c r="N323" s="10">
        <f t="shared" si="77"/>
        <v>415.65000000000003</v>
      </c>
      <c r="O323" s="8">
        <f>IFERROR(N323/N444, "NA")</f>
        <v>-1.2778614689334282</v>
      </c>
      <c r="P323" s="9"/>
      <c r="Q323" s="7">
        <v>94.25</v>
      </c>
      <c r="R323" s="8">
        <f>IFERROR(Q323/Q444, "NA")</f>
        <v>1.3142028109262914E-5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-94.25</v>
      </c>
      <c r="X323" s="8">
        <f>IFERROR(W323/W444, "NA")</f>
        <v>2.4534465353130886E-4</v>
      </c>
      <c r="Y323" s="9"/>
      <c r="Z323" s="7">
        <v>383.23</v>
      </c>
      <c r="AA323" s="8">
        <f>IFERROR(Z323/Z444, "NA")</f>
        <v>5.6905361193167462E-5</v>
      </c>
      <c r="AB323" s="9"/>
      <c r="AC323" s="10">
        <f t="shared" si="79"/>
        <v>288.98</v>
      </c>
      <c r="AD323" s="8">
        <f>IFERROR(AC323/AC444, "NA")</f>
        <v>6.6107999397346188E-4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23915.64</v>
      </c>
      <c r="C324" s="15">
        <f>IFERROR(B324/B444, "NA")</f>
        <v>4.5068021682499598E-2</v>
      </c>
      <c r="D324" s="2"/>
      <c r="E324" s="14">
        <f>IFERROR(E297+E298+E299+E300+E301+E302+E303+E304+E305+E306+E307+E308+E309+E310+E311+E312+E313+E314+E315+E316+E317+E318+E319+E320+E321+E322+E323, "NA")</f>
        <v>16162.619999999999</v>
      </c>
      <c r="F324" s="15">
        <f>IFERROR(E324/E444, "NA")</f>
        <v>2.7553700164676568E-2</v>
      </c>
      <c r="G324" s="2"/>
      <c r="H324" s="14">
        <f t="shared" si="76"/>
        <v>-7753.02</v>
      </c>
      <c r="I324" s="15">
        <f>IFERROR(H324/H444, "NA")</f>
        <v>0.13862090347053804</v>
      </c>
      <c r="J324" s="2"/>
      <c r="K324" s="14">
        <f>IFERROR(K297+K298+K299+K300+K301+K302+K303+K304+K305+K306+K307+K308+K309+K310+K311+K312+K313+K314+K315+K316+K317+K318+K319+K320+K321+K322+K323, "NA")</f>
        <v>29237.690000000002</v>
      </c>
      <c r="L324" s="15">
        <f>IFERROR(K324/K444, "NA")</f>
        <v>5.5063450385681771E-2</v>
      </c>
      <c r="M324" s="2"/>
      <c r="N324" s="14">
        <f t="shared" si="77"/>
        <v>5322.0500000000029</v>
      </c>
      <c r="O324" s="15">
        <f>IFERROR(N324/N444, "NA")</f>
        <v>-16.361945460693263</v>
      </c>
      <c r="P324" s="2"/>
      <c r="Q324" s="14">
        <f>IFERROR(Q297+Q298+Q299+Q300+Q301+Q302+Q303+Q304+Q305+Q306+Q307+Q308+Q309+Q310+Q311+Q312+Q313+Q314+Q315+Q316+Q317+Q318+Q319+Q320+Q321+Q322+Q323, "NA")</f>
        <v>308752.5</v>
      </c>
      <c r="R324" s="15">
        <f>IFERROR(Q324/Q444, "NA")</f>
        <v>4.3051819987323055E-2</v>
      </c>
      <c r="S324" s="2"/>
      <c r="T324" s="14">
        <f>IFERROR(T297+T298+T299+T300+T301+T302+T303+T304+T305+T306+T307+T308+T309+T310+T311+T312+T313+T314+T315+T316+T317+T318+T319+T320+T321+T322+T323, "NA")</f>
        <v>200669.44</v>
      </c>
      <c r="U324" s="15">
        <f>IFERROR(T324/T444, "NA")</f>
        <v>2.6558326075665169E-2</v>
      </c>
      <c r="V324" s="2"/>
      <c r="W324" s="14">
        <f t="shared" si="78"/>
        <v>-108083.06</v>
      </c>
      <c r="X324" s="15">
        <f>IFERROR(W324/W444, "NA")</f>
        <v>0.28135385579102035</v>
      </c>
      <c r="Y324" s="2"/>
      <c r="Z324" s="14">
        <f>IFERROR(Z297+Z298+Z299+Z300+Z301+Z302+Z303+Z304+Z305+Z306+Z307+Z308+Z309+Z310+Z311+Z312+Z313+Z314+Z315+Z316+Z317+Z318+Z319+Z320+Z321+Z322+Z323, "NA")</f>
        <v>288747.08</v>
      </c>
      <c r="AA324" s="15">
        <f>IFERROR(Z324/Z444, "NA")</f>
        <v>4.2875706183942854E-2</v>
      </c>
      <c r="AB324" s="2"/>
      <c r="AC324" s="14">
        <f t="shared" si="79"/>
        <v>-20005.419999999984</v>
      </c>
      <c r="AD324" s="15">
        <f>IFERROR(AC324/AC444, "NA")</f>
        <v>-4.5765045792222861E-2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146555.29000000004</v>
      </c>
      <c r="C325" s="15">
        <f>IFERROR(B325/B444, "NA")</f>
        <v>0.27617730436672477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123565.40999999999</v>
      </c>
      <c r="F325" s="15">
        <f>IFERROR(E325/E444, "NA")</f>
        <v>0.21065175434832517</v>
      </c>
      <c r="G325" s="2"/>
      <c r="H325" s="14">
        <f t="shared" si="76"/>
        <v>-22989.880000000048</v>
      </c>
      <c r="I325" s="15">
        <f>IFERROR(H325/H444, "NA")</f>
        <v>0.41104987943785254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143746.72999999998</v>
      </c>
      <c r="L325" s="15">
        <f>IFERROR(K325/K444, "NA")</f>
        <v>0.27071875156549619</v>
      </c>
      <c r="M325" s="2"/>
      <c r="N325" s="14">
        <f t="shared" si="77"/>
        <v>-2808.5600000000559</v>
      </c>
      <c r="O325" s="15">
        <f>IFERROR(N325/N444, "NA")</f>
        <v>8.6345497586617128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1796994.1099999999</v>
      </c>
      <c r="R325" s="15">
        <f>IFERROR(Q325/Q444, "NA")</f>
        <v>0.25056920006153727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1619486.03</v>
      </c>
      <c r="U325" s="15">
        <f>IFERROR(T325/T444, "NA")</f>
        <v>0.21433676228789231</v>
      </c>
      <c r="V325" s="2"/>
      <c r="W325" s="14">
        <f t="shared" si="78"/>
        <v>-177508.07999999984</v>
      </c>
      <c r="X325" s="15">
        <f>IFERROR(W325/W444, "NA")</f>
        <v>0.46207595105154187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1635796.3400000005</v>
      </c>
      <c r="AA325" s="15">
        <f>IFERROR(Z325/Z444, "NA")</f>
        <v>0.24289742860987237</v>
      </c>
      <c r="AB325" s="2"/>
      <c r="AC325" s="14">
        <f t="shared" si="79"/>
        <v>-161197.76999999932</v>
      </c>
      <c r="AD325" s="15">
        <f>IFERROR(AC325/AC444, "NA")</f>
        <v>-0.3687612319888402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59761.599999999999</v>
      </c>
      <c r="C329" s="8">
        <f>IFERROR(B329/B444, "NA")</f>
        <v>0.11261823160830603</v>
      </c>
      <c r="D329" s="9"/>
      <c r="E329" s="7">
        <v>68926.39</v>
      </c>
      <c r="F329" s="8">
        <f>IFERROR(E329/E444, "NA")</f>
        <v>0.11750428355635172</v>
      </c>
      <c r="G329" s="9"/>
      <c r="H329" s="10">
        <f t="shared" si="80"/>
        <v>9164.7900000000009</v>
      </c>
      <c r="I329" s="8">
        <f>IFERROR(H329/H444, "NA")</f>
        <v>-0.16386278765148965</v>
      </c>
      <c r="J329" s="9"/>
      <c r="K329" s="7">
        <v>52081.25</v>
      </c>
      <c r="L329" s="8">
        <f>IFERROR(K329/K444, "NA")</f>
        <v>9.8084811946473491E-2</v>
      </c>
      <c r="M329" s="9"/>
      <c r="N329" s="10">
        <f t="shared" si="81"/>
        <v>-7680.3499999999985</v>
      </c>
      <c r="O329" s="8">
        <f>IFERROR(N329/N444, "NA")</f>
        <v>23.612229839824018</v>
      </c>
      <c r="P329" s="9"/>
      <c r="Q329" s="7">
        <v>692204.42</v>
      </c>
      <c r="R329" s="8">
        <f>IFERROR(Q329/Q444, "NA")</f>
        <v>9.6519575013220504E-2</v>
      </c>
      <c r="S329" s="9"/>
      <c r="T329" s="7">
        <v>695506.83000000007</v>
      </c>
      <c r="U329" s="8">
        <f>IFERROR(T329/T444, "NA")</f>
        <v>9.2049378216195868E-2</v>
      </c>
      <c r="V329" s="9"/>
      <c r="W329" s="10">
        <f t="shared" si="82"/>
        <v>3302.4100000000326</v>
      </c>
      <c r="X329" s="8">
        <f>IFERROR(W329/W444, "NA")</f>
        <v>-8.5965903158444334E-3</v>
      </c>
      <c r="Y329" s="9"/>
      <c r="Z329" s="7">
        <v>629958.56000000006</v>
      </c>
      <c r="AA329" s="8">
        <f>IFERROR(Z329/Z444, "NA")</f>
        <v>9.3541787943343835E-2</v>
      </c>
      <c r="AB329" s="9"/>
      <c r="AC329" s="10">
        <f t="shared" si="83"/>
        <v>-62245.859999999986</v>
      </c>
      <c r="AD329" s="8">
        <f>IFERROR(AC329/AC444, "NA")</f>
        <v>-0.14239564244471223</v>
      </c>
    </row>
    <row r="330" spans="1:30" ht="16.5" customHeight="1" x14ac:dyDescent="0.45">
      <c r="A330" s="6" t="s">
        <v>301</v>
      </c>
      <c r="B330" s="7">
        <v>8039.18</v>
      </c>
      <c r="C330" s="8">
        <f>IFERROR(B330/B444, "NA")</f>
        <v>1.5149497924768777E-2</v>
      </c>
      <c r="D330" s="9"/>
      <c r="E330" s="7">
        <v>6065</v>
      </c>
      <c r="F330" s="8">
        <f>IFERROR(E330/E444, "NA")</f>
        <v>1.033948651262997E-2</v>
      </c>
      <c r="G330" s="9"/>
      <c r="H330" s="10">
        <f t="shared" si="80"/>
        <v>-1974.1800000000003</v>
      </c>
      <c r="I330" s="8">
        <f>IFERROR(H330/H444, "NA")</f>
        <v>3.529755053043418E-2</v>
      </c>
      <c r="J330" s="9"/>
      <c r="K330" s="7">
        <v>6496.68</v>
      </c>
      <c r="L330" s="8">
        <f>IFERROR(K330/K444, "NA")</f>
        <v>1.2235221621532037E-2</v>
      </c>
      <c r="M330" s="9"/>
      <c r="N330" s="10">
        <f t="shared" si="81"/>
        <v>-1542.5</v>
      </c>
      <c r="O330" s="8">
        <f>IFERROR(N330/N444, "NA")</f>
        <v>4.742214160543277</v>
      </c>
      <c r="P330" s="9"/>
      <c r="Q330" s="7">
        <v>78949.22</v>
      </c>
      <c r="R330" s="8">
        <f>IFERROR(Q330/Q444, "NA")</f>
        <v>1.1008518498083627E-2</v>
      </c>
      <c r="S330" s="9"/>
      <c r="T330" s="7">
        <v>72780</v>
      </c>
      <c r="U330" s="8">
        <f>IFERROR(T330/T444, "NA")</f>
        <v>9.6323335122025112E-3</v>
      </c>
      <c r="V330" s="9"/>
      <c r="W330" s="10">
        <f t="shared" si="82"/>
        <v>-6169.2200000000012</v>
      </c>
      <c r="X330" s="8">
        <f>IFERROR(W330/W444, "NA")</f>
        <v>1.6059258816534978E-2</v>
      </c>
      <c r="Y330" s="9"/>
      <c r="Z330" s="7">
        <v>73534.31</v>
      </c>
      <c r="AA330" s="8">
        <f>IFERROR(Z330/Z444, "NA")</f>
        <v>1.0919021137803266E-2</v>
      </c>
      <c r="AB330" s="9"/>
      <c r="AC330" s="10">
        <f t="shared" si="83"/>
        <v>-5414.9100000000035</v>
      </c>
      <c r="AD330" s="8">
        <f>IFERROR(AC330/AC444, "NA")</f>
        <v>-1.2387323240939998E-2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3.6777084416543407E-4</v>
      </c>
      <c r="D332" s="9"/>
      <c r="E332" s="7">
        <v>195</v>
      </c>
      <c r="F332" s="8">
        <f>IFERROR(E332/E444, "NA")</f>
        <v>3.3243196536897676E-4</v>
      </c>
      <c r="G332" s="9"/>
      <c r="H332" s="10">
        <f t="shared" si="80"/>
        <v>-0.15999999999999659</v>
      </c>
      <c r="I332" s="8">
        <f>IFERROR(H332/H444, "NA")</f>
        <v>2.860736146080574E-6</v>
      </c>
      <c r="J332" s="9"/>
      <c r="K332" s="7">
        <v>195.16</v>
      </c>
      <c r="L332" s="8">
        <f>IFERROR(K332/K444, "NA")</f>
        <v>3.6754555429206797E-4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3637.16</v>
      </c>
      <c r="R332" s="8">
        <f>IFERROR(Q332/Q444, "NA")</f>
        <v>5.071581852295671E-4</v>
      </c>
      <c r="S332" s="9"/>
      <c r="T332" s="7">
        <v>2340</v>
      </c>
      <c r="U332" s="8">
        <f>IFERROR(T332/T444, "NA")</f>
        <v>3.096958012991739E-4</v>
      </c>
      <c r="V332" s="9"/>
      <c r="W332" s="10">
        <f t="shared" si="82"/>
        <v>-1297.1599999999999</v>
      </c>
      <c r="X332" s="8">
        <f>IFERROR(W332/W444, "NA")</f>
        <v>3.3766713079540862E-3</v>
      </c>
      <c r="Y332" s="9"/>
      <c r="Z332" s="7">
        <v>2341.92</v>
      </c>
      <c r="AA332" s="8">
        <f>IFERROR(Z332/Z444, "NA")</f>
        <v>3.4774888052997607E-4</v>
      </c>
      <c r="AB332" s="9"/>
      <c r="AC332" s="10">
        <f t="shared" si="83"/>
        <v>-1295.2399999999998</v>
      </c>
      <c r="AD332" s="8">
        <f>IFERROR(AC332/AC444, "NA")</f>
        <v>-2.9630329136763325E-3</v>
      </c>
    </row>
    <row r="333" spans="1:30" ht="16.5" customHeight="1" x14ac:dyDescent="0.45">
      <c r="A333" s="6" t="s">
        <v>304</v>
      </c>
      <c r="B333" s="7">
        <v>1947.5900000000001</v>
      </c>
      <c r="C333" s="8">
        <f>IFERROR(B333/B444, "NA")</f>
        <v>3.670151764645203E-3</v>
      </c>
      <c r="D333" s="9"/>
      <c r="E333" s="7">
        <v>5155</v>
      </c>
      <c r="F333" s="8">
        <f>IFERROR(E333/E444, "NA")</f>
        <v>8.7881373409080775E-3</v>
      </c>
      <c r="G333" s="9"/>
      <c r="H333" s="10">
        <f t="shared" si="80"/>
        <v>3207.41</v>
      </c>
      <c r="I333" s="8">
        <f>IFERROR(H333/H444, "NA")</f>
        <v>-5.7347210764378057E-2</v>
      </c>
      <c r="J333" s="9"/>
      <c r="K333" s="7">
        <v>5558.9100000000008</v>
      </c>
      <c r="L333" s="8">
        <f>IFERROR(K333/K444, "NA")</f>
        <v>1.0469115890601148E-2</v>
      </c>
      <c r="M333" s="9"/>
      <c r="N333" s="10">
        <f t="shared" si="81"/>
        <v>3611.3200000000006</v>
      </c>
      <c r="O333" s="8">
        <f>IFERROR(N333/N444, "NA")</f>
        <v>-11.10253020567465</v>
      </c>
      <c r="P333" s="9"/>
      <c r="Q333" s="7">
        <v>63645.04</v>
      </c>
      <c r="R333" s="8">
        <f>IFERROR(Q333/Q444, "NA")</f>
        <v>8.8745347978266571E-3</v>
      </c>
      <c r="S333" s="9"/>
      <c r="T333" s="7">
        <v>61860</v>
      </c>
      <c r="U333" s="8">
        <f>IFERROR(T333/T444, "NA")</f>
        <v>8.1870864394730323E-3</v>
      </c>
      <c r="V333" s="9"/>
      <c r="W333" s="10">
        <f t="shared" si="82"/>
        <v>-1785.0400000000009</v>
      </c>
      <c r="X333" s="8">
        <f>IFERROR(W333/W444, "NA")</f>
        <v>4.6466845659366351E-3</v>
      </c>
      <c r="Y333" s="9"/>
      <c r="Z333" s="7">
        <v>63838.92</v>
      </c>
      <c r="AA333" s="8">
        <f>IFERROR(Z333/Z444, "NA")</f>
        <v>9.4793643524299295E-3</v>
      </c>
      <c r="AB333" s="9"/>
      <c r="AC333" s="10">
        <f t="shared" si="83"/>
        <v>193.87999999999738</v>
      </c>
      <c r="AD333" s="8">
        <f>IFERROR(AC333/AC444, "NA")</f>
        <v>4.4352615832089781E-4</v>
      </c>
    </row>
    <row r="334" spans="1:30" ht="16.5" customHeight="1" x14ac:dyDescent="0.45">
      <c r="A334" s="6" t="s">
        <v>305</v>
      </c>
      <c r="B334" s="7">
        <v>9203.2999999999993</v>
      </c>
      <c r="C334" s="8">
        <f>IFERROR(B334/B444, "NA")</f>
        <v>1.7343233296309383E-2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-9203.2999999999993</v>
      </c>
      <c r="I334" s="8">
        <f>IFERROR(H334/H444, "NA")</f>
        <v>0.16455133108264941</v>
      </c>
      <c r="J334" s="9"/>
      <c r="K334" s="7">
        <v>8095.68</v>
      </c>
      <c r="L334" s="8">
        <f>IFERROR(K334/K444, "NA")</f>
        <v>1.5246624272244359E-2</v>
      </c>
      <c r="M334" s="9"/>
      <c r="N334" s="10">
        <f t="shared" si="81"/>
        <v>-1107.619999999999</v>
      </c>
      <c r="O334" s="8">
        <f>IFERROR(N334/N444, "NA")</f>
        <v>3.4052325760135749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9367.2900000000009</v>
      </c>
      <c r="C335" s="8">
        <f>IFERROR(B335/B444, "NA")</f>
        <v>1.7652265581279102E-2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-9367.2900000000009</v>
      </c>
      <c r="I335" s="8">
        <f>IFERROR(H335/H444, "NA")</f>
        <v>0.16748340683637294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-9367.2900000000009</v>
      </c>
      <c r="O335" s="8">
        <f>IFERROR(N335/N444, "NA")</f>
        <v>28.798505856671273</v>
      </c>
      <c r="P335" s="9"/>
      <c r="Q335" s="7">
        <v>13521.28</v>
      </c>
      <c r="R335" s="8">
        <f>IFERROR(Q335/Q444, "NA")</f>
        <v>1.8853797541985619E-3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-13521.28</v>
      </c>
      <c r="X335" s="8">
        <f>IFERROR(W335/W444, "NA")</f>
        <v>3.5197599542703621E-2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-13521.28</v>
      </c>
      <c r="AD335" s="8">
        <f>IFERROR(AC335/AC444, "NA")</f>
        <v>-3.0931717423051733E-2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15128.379999999997</v>
      </c>
      <c r="F337" s="8">
        <f>IFERROR(E337/E444, "NA")</f>
        <v>2.5790549211531896E-2</v>
      </c>
      <c r="G337" s="9"/>
      <c r="H337" s="10">
        <f t="shared" ref="H337:H344" si="84">IFERROR(-(B337-E337), "NA")</f>
        <v>15128.379999999997</v>
      </c>
      <c r="I337" s="8">
        <f>IFERROR(H337/H444, "NA")</f>
        <v>-0.2704893968602709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187145.28999999998</v>
      </c>
      <c r="U337" s="8">
        <f>IFERROR(T337/T444, "NA")</f>
        <v>2.4768423310220628E-2</v>
      </c>
      <c r="V337" s="9"/>
      <c r="W337" s="10">
        <f t="shared" ref="W337:W344" si="86">IFERROR(-(Q337-T337), "NA")</f>
        <v>187145.28999999998</v>
      </c>
      <c r="X337" s="8">
        <f>IFERROR(W337/W444, "NA")</f>
        <v>-0.48716282583624743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8942.73</v>
      </c>
      <c r="C338" s="8">
        <f>IFERROR(B338/B444, "NA")</f>
        <v>1.6852200047363968E-2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-8942.73</v>
      </c>
      <c r="I338" s="8">
        <f>IFERROR(H338/H444, "NA")</f>
        <v>0.15989244347274797</v>
      </c>
      <c r="J338" s="9"/>
      <c r="K338" s="7">
        <v>7550.98</v>
      </c>
      <c r="L338" s="8">
        <f>IFERROR(K338/K444, "NA")</f>
        <v>1.4220788735131785E-2</v>
      </c>
      <c r="M338" s="9"/>
      <c r="N338" s="10">
        <f t="shared" si="85"/>
        <v>-1391.75</v>
      </c>
      <c r="O338" s="8">
        <f>IFERROR(N338/N444, "NA")</f>
        <v>4.2787530359391281</v>
      </c>
      <c r="P338" s="9"/>
      <c r="Q338" s="7">
        <v>118378.56000000001</v>
      </c>
      <c r="R338" s="8">
        <f>IFERROR(Q338/Q444, "NA")</f>
        <v>1.6506465390494073E-2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-118378.56000000001</v>
      </c>
      <c r="X338" s="8">
        <f>IFERROR(W338/W444, "NA")</f>
        <v>0.30815434258605057</v>
      </c>
      <c r="Y338" s="9"/>
      <c r="Z338" s="7">
        <v>100784.29999999999</v>
      </c>
      <c r="AA338" s="8">
        <f>IFERROR(Z338/Z444, "NA")</f>
        <v>1.4965339336953126E-2</v>
      </c>
      <c r="AB338" s="9"/>
      <c r="AC338" s="10">
        <f t="shared" si="87"/>
        <v>-17594.260000000024</v>
      </c>
      <c r="AD338" s="8">
        <f>IFERROR(AC338/AC444, "NA")</f>
        <v>-4.0249198196302634E-2</v>
      </c>
    </row>
    <row r="339" spans="1:30" ht="16.5" customHeight="1" x14ac:dyDescent="0.45">
      <c r="A339" s="12" t="s">
        <v>309</v>
      </c>
      <c r="B339" s="7">
        <v>2850.17</v>
      </c>
      <c r="C339" s="8">
        <f>IFERROR(B339/B444, "NA")</f>
        <v>5.3710259628765899E-3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-2850.17</v>
      </c>
      <c r="I339" s="8">
        <f>IFERROR(H339/H444, "NA")</f>
        <v>5.0959902134216521E-2</v>
      </c>
      <c r="J339" s="9"/>
      <c r="K339" s="7">
        <v>2490.69</v>
      </c>
      <c r="L339" s="8">
        <f>IFERROR(K339/K444, "NA")</f>
        <v>4.6907257461555173E-3</v>
      </c>
      <c r="M339" s="9"/>
      <c r="N339" s="10">
        <f t="shared" si="85"/>
        <v>-359.48</v>
      </c>
      <c r="O339" s="8">
        <f>IFERROR(N339/N444, "NA")</f>
        <v>1.1051741630029803</v>
      </c>
      <c r="P339" s="9"/>
      <c r="Q339" s="7">
        <v>27443.47</v>
      </c>
      <c r="R339" s="8">
        <f>IFERROR(Q339/Q444, "NA")</f>
        <v>3.8266615825539893E-3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-27443.47</v>
      </c>
      <c r="X339" s="8">
        <f>IFERROR(W339/W444, "NA")</f>
        <v>7.1438818449303665E-2</v>
      </c>
      <c r="Y339" s="9"/>
      <c r="Z339" s="7">
        <v>26715.75</v>
      </c>
      <c r="AA339" s="8">
        <f>IFERROR(Z339/Z444, "NA")</f>
        <v>3.9669895449113155E-3</v>
      </c>
      <c r="AB339" s="9"/>
      <c r="AC339" s="10">
        <f t="shared" si="87"/>
        <v>-727.72000000000116</v>
      </c>
      <c r="AD339" s="8">
        <f>IFERROR(AC339/AC444, "NA")</f>
        <v>-1.6647558073720271E-3</v>
      </c>
    </row>
    <row r="340" spans="1:30" ht="16.5" customHeight="1" x14ac:dyDescent="0.45">
      <c r="A340" s="12" t="s">
        <v>310</v>
      </c>
      <c r="B340" s="7">
        <v>3264.6500000000005</v>
      </c>
      <c r="C340" s="8">
        <f>IFERROR(B340/B444, "NA")</f>
        <v>6.1520961590729893E-3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-3264.6500000000005</v>
      </c>
      <c r="I340" s="8">
        <f>IFERROR(H340/H444, "NA")</f>
        <v>5.8370639120638411E-2</v>
      </c>
      <c r="J340" s="9"/>
      <c r="K340" s="7">
        <v>2738.3</v>
      </c>
      <c r="L340" s="8">
        <f>IFERROR(K340/K444, "NA")</f>
        <v>5.1570505806413699E-3</v>
      </c>
      <c r="M340" s="9"/>
      <c r="N340" s="10">
        <f t="shared" si="85"/>
        <v>-526.35000000000036</v>
      </c>
      <c r="O340" s="8">
        <f>IFERROR(N340/N444, "NA")</f>
        <v>1.6181941156576698</v>
      </c>
      <c r="P340" s="9"/>
      <c r="Q340" s="7">
        <v>40251.97</v>
      </c>
      <c r="R340" s="8">
        <f>IFERROR(Q340/Q444, "NA")</f>
        <v>5.6126527447555178E-3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-40251.97</v>
      </c>
      <c r="X340" s="8">
        <f>IFERROR(W340/W444, "NA")</f>
        <v>0.10478096162973623</v>
      </c>
      <c r="Y340" s="9"/>
      <c r="Z340" s="7">
        <v>29699.599999999999</v>
      </c>
      <c r="AA340" s="8">
        <f>IFERROR(Z340/Z444, "NA")</f>
        <v>4.4100578380935626E-3</v>
      </c>
      <c r="AB340" s="9"/>
      <c r="AC340" s="10">
        <f t="shared" si="87"/>
        <v>-10552.370000000003</v>
      </c>
      <c r="AD340" s="8">
        <f>IFERROR(AC340/AC444, "NA")</f>
        <v>-2.4139942888801096E-2</v>
      </c>
    </row>
    <row r="341" spans="1:30" ht="16.5" customHeight="1" x14ac:dyDescent="0.45">
      <c r="A341" s="12" t="s">
        <v>311</v>
      </c>
      <c r="B341" s="7">
        <v>1884.5900000000001</v>
      </c>
      <c r="C341" s="8">
        <f>IFERROR(B341/B444, "NA")</f>
        <v>3.5514309039031328E-3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-1884.5900000000001</v>
      </c>
      <c r="I341" s="8">
        <f>IFERROR(H341/H444, "NA")</f>
        <v>3.3695717084638151E-2</v>
      </c>
      <c r="J341" s="9"/>
      <c r="K341" s="7">
        <v>1787.98</v>
      </c>
      <c r="L341" s="8">
        <f>IFERROR(K341/K444, "NA")</f>
        <v>3.3673093880053889E-3</v>
      </c>
      <c r="M341" s="9"/>
      <c r="N341" s="10">
        <f t="shared" si="85"/>
        <v>-96.610000000000127</v>
      </c>
      <c r="O341" s="8">
        <f>IFERROR(N341/N444, "NA")</f>
        <v>0.29701478771480494</v>
      </c>
      <c r="P341" s="9"/>
      <c r="Q341" s="7">
        <v>22567.7</v>
      </c>
      <c r="R341" s="8">
        <f>IFERROR(Q341/Q444, "NA")</f>
        <v>3.1467941407046437E-3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-22567.7</v>
      </c>
      <c r="X341" s="8">
        <f>IFERROR(W341/W444, "NA")</f>
        <v>5.874657334215936E-2</v>
      </c>
      <c r="Y341" s="9"/>
      <c r="Z341" s="7">
        <v>21186.720000000001</v>
      </c>
      <c r="AA341" s="8">
        <f>IFERROR(Z341/Z444, "NA")</f>
        <v>3.1459905385760639E-3</v>
      </c>
      <c r="AB341" s="9"/>
      <c r="AC341" s="10">
        <f t="shared" si="87"/>
        <v>-1380.9799999999996</v>
      </c>
      <c r="AD341" s="8">
        <f>IFERROR(AC341/AC444, "NA")</f>
        <v>-3.1591745106148211E-3</v>
      </c>
    </row>
    <row r="342" spans="1:30" ht="16.5" customHeight="1" x14ac:dyDescent="0.45">
      <c r="A342" s="13" t="s">
        <v>312</v>
      </c>
      <c r="B342" s="14">
        <f>IFERROR(B337+B338+B339+B340+B341, "NA")</f>
        <v>16942.14</v>
      </c>
      <c r="C342" s="15">
        <f>IFERROR(B342/B444, "NA")</f>
        <v>3.1926753073216678E-2</v>
      </c>
      <c r="D342" s="2"/>
      <c r="E342" s="14">
        <f>IFERROR(E337+E338+E339+E340+E341, "NA")</f>
        <v>15128.379999999997</v>
      </c>
      <c r="F342" s="15">
        <f>IFERROR(E342/E444, "NA")</f>
        <v>2.5790549211531896E-2</v>
      </c>
      <c r="G342" s="2"/>
      <c r="H342" s="14">
        <f t="shared" si="84"/>
        <v>-1813.760000000002</v>
      </c>
      <c r="I342" s="15">
        <f>IFERROR(H342/H444, "NA")</f>
        <v>3.2429304951970113E-2</v>
      </c>
      <c r="J342" s="2"/>
      <c r="K342" s="14">
        <f>IFERROR(K337+K338+K339+K340+K341, "NA")</f>
        <v>14567.95</v>
      </c>
      <c r="L342" s="15">
        <f>IFERROR(K342/K444, "NA")</f>
        <v>2.7435874449934065E-2</v>
      </c>
      <c r="M342" s="2"/>
      <c r="N342" s="14">
        <f t="shared" si="85"/>
        <v>-2374.1899999999987</v>
      </c>
      <c r="O342" s="15">
        <f>IFERROR(N342/N444, "NA")</f>
        <v>7.299136102314578</v>
      </c>
      <c r="P342" s="2"/>
      <c r="Q342" s="14">
        <f>IFERROR(Q337+Q338+Q339+Q340+Q341, "NA")</f>
        <v>208641.70000000004</v>
      </c>
      <c r="R342" s="15">
        <f>IFERROR(Q342/Q444, "NA")</f>
        <v>2.909257385850823E-2</v>
      </c>
      <c r="S342" s="2"/>
      <c r="T342" s="14">
        <f>IFERROR(T337+T338+T339+T340+T341, "NA")</f>
        <v>187145.28999999998</v>
      </c>
      <c r="U342" s="15">
        <f>IFERROR(T342/T444, "NA")</f>
        <v>2.4768423310220628E-2</v>
      </c>
      <c r="V342" s="2"/>
      <c r="W342" s="14">
        <f t="shared" si="86"/>
        <v>-21496.410000000062</v>
      </c>
      <c r="X342" s="15">
        <f>IFERROR(W342/W444, "NA")</f>
        <v>5.5957870171002427E-2</v>
      </c>
      <c r="Y342" s="2"/>
      <c r="Z342" s="14">
        <f>IFERROR(Z337+Z338+Z339+Z340+Z341, "NA")</f>
        <v>178386.37</v>
      </c>
      <c r="AA342" s="15">
        <f>IFERROR(Z342/Z444, "NA")</f>
        <v>2.648837725853407E-2</v>
      </c>
      <c r="AB342" s="2"/>
      <c r="AC342" s="14">
        <f t="shared" si="87"/>
        <v>-30255.330000000045</v>
      </c>
      <c r="AD342" s="15">
        <f>IFERROR(AC342/AC444, "NA")</f>
        <v>-6.9213071403090617E-2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105456.25999999998</v>
      </c>
      <c r="C343" s="15">
        <f>IFERROR(B343/B444, "NA")</f>
        <v>0.19872790409269056</v>
      </c>
      <c r="D343" s="2"/>
      <c r="E343" s="14">
        <f>IFERROR(E328+E329+E330+E331+E332+E333+E334+E335+E337+E338+E339+E340+E341, "NA")</f>
        <v>95469.76999999999</v>
      </c>
      <c r="F343" s="15">
        <f>IFERROR(E343/E444, "NA")</f>
        <v>0.16275488858679063</v>
      </c>
      <c r="G343" s="2"/>
      <c r="H343" s="14">
        <f t="shared" si="84"/>
        <v>-9986.4899999999907</v>
      </c>
      <c r="I343" s="15">
        <f>IFERROR(H343/H444, "NA")</f>
        <v>0.17855445572170484</v>
      </c>
      <c r="J343" s="2"/>
      <c r="K343" s="14">
        <f>IFERROR(K328+K329+K330+K331+K332+K333+K334+K335+K337+K338+K339+K340+K341, "NA")</f>
        <v>86995.63</v>
      </c>
      <c r="L343" s="15">
        <f>IFERROR(K343/K444, "NA")</f>
        <v>0.16383919373507716</v>
      </c>
      <c r="M343" s="2"/>
      <c r="N343" s="14">
        <f t="shared" si="85"/>
        <v>-18460.629999999976</v>
      </c>
      <c r="O343" s="15">
        <f>IFERROR(N343/N444, "NA")</f>
        <v>56.754788329692005</v>
      </c>
      <c r="P343" s="2"/>
      <c r="Q343" s="14">
        <f>IFERROR(Q328+Q329+Q330+Q331+Q332+Q333+Q334+Q335+Q337+Q338+Q339+Q340+Q341, "NA")</f>
        <v>1060598.82</v>
      </c>
      <c r="R343" s="15">
        <f>IFERROR(Q343/Q444, "NA")</f>
        <v>0.14788774010706715</v>
      </c>
      <c r="S343" s="2"/>
      <c r="T343" s="14">
        <f>IFERROR(T328+T329+T330+T331+T332+T333+T334+T335+T337+T338+T339+T340+T341, "NA")</f>
        <v>1019632.1200000001</v>
      </c>
      <c r="U343" s="15">
        <f>IFERROR(T343/T444, "NA")</f>
        <v>0.13494691727939123</v>
      </c>
      <c r="V343" s="2"/>
      <c r="W343" s="14">
        <f t="shared" si="86"/>
        <v>-40966.699999999953</v>
      </c>
      <c r="X343" s="15">
        <f>IFERROR(W343/W444, "NA")</f>
        <v>0.10664149408828712</v>
      </c>
      <c r="Y343" s="2"/>
      <c r="Z343" s="14">
        <f>IFERROR(Z328+Z329+Z330+Z331+Z332+Z333+Z334+Z335+Z337+Z338+Z339+Z340+Z341, "NA")</f>
        <v>948060.08000000019</v>
      </c>
      <c r="AA343" s="15">
        <f>IFERROR(Z343/Z444, "NA")</f>
        <v>0.14077629957264109</v>
      </c>
      <c r="AB343" s="2"/>
      <c r="AC343" s="14">
        <f t="shared" si="87"/>
        <v>-112538.73999999987</v>
      </c>
      <c r="AD343" s="15">
        <f>IFERROR(AC343/AC444, "NA")</f>
        <v>-0.25744726126714962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105456.25999999998</v>
      </c>
      <c r="C344" s="15">
        <f>IFERROR(B344/B444, "NA")</f>
        <v>0.19872790409269056</v>
      </c>
      <c r="D344" s="2"/>
      <c r="E344" s="14">
        <f>IFERROR(E328+E329+E330+E331+E332+E333+E334+E335+E337+E338+E339+E340+E341, "NA")</f>
        <v>95469.76999999999</v>
      </c>
      <c r="F344" s="15">
        <f>IFERROR(E344/E444, "NA")</f>
        <v>0.16275488858679063</v>
      </c>
      <c r="G344" s="2"/>
      <c r="H344" s="14">
        <f t="shared" si="84"/>
        <v>-9986.4899999999907</v>
      </c>
      <c r="I344" s="15">
        <f>IFERROR(H344/H444, "NA")</f>
        <v>0.17855445572170484</v>
      </c>
      <c r="J344" s="2"/>
      <c r="K344" s="14">
        <f>IFERROR(K328+K329+K330+K331+K332+K333+K334+K335+K337+K338+K339+K340+K341, "NA")</f>
        <v>86995.63</v>
      </c>
      <c r="L344" s="15">
        <f>IFERROR(K344/K444, "NA")</f>
        <v>0.16383919373507716</v>
      </c>
      <c r="M344" s="2"/>
      <c r="N344" s="14">
        <f t="shared" si="85"/>
        <v>-18460.629999999976</v>
      </c>
      <c r="O344" s="15">
        <f>IFERROR(N344/N444, "NA")</f>
        <v>56.754788329692005</v>
      </c>
      <c r="P344" s="2"/>
      <c r="Q344" s="14">
        <f>IFERROR(Q328+Q329+Q330+Q331+Q332+Q333+Q334+Q335+Q337+Q338+Q339+Q340+Q341, "NA")</f>
        <v>1060598.82</v>
      </c>
      <c r="R344" s="15">
        <f>IFERROR(Q344/Q444, "NA")</f>
        <v>0.14788774010706715</v>
      </c>
      <c r="S344" s="2"/>
      <c r="T344" s="14">
        <f>IFERROR(T328+T329+T330+T331+T332+T333+T334+T335+T337+T338+T339+T340+T341, "NA")</f>
        <v>1019632.1200000001</v>
      </c>
      <c r="U344" s="15">
        <f>IFERROR(T344/T444, "NA")</f>
        <v>0.13494691727939123</v>
      </c>
      <c r="V344" s="2"/>
      <c r="W344" s="14">
        <f t="shared" si="86"/>
        <v>-40966.699999999953</v>
      </c>
      <c r="X344" s="15">
        <f>IFERROR(W344/W444, "NA")</f>
        <v>0.10664149408828712</v>
      </c>
      <c r="Y344" s="2"/>
      <c r="Z344" s="14">
        <f>IFERROR(Z328+Z329+Z330+Z331+Z332+Z333+Z334+Z335+Z337+Z338+Z339+Z340+Z341, "NA")</f>
        <v>948060.08000000019</v>
      </c>
      <c r="AA344" s="15">
        <f>IFERROR(Z344/Z444, "NA")</f>
        <v>0.14077629957264109</v>
      </c>
      <c r="AB344" s="2"/>
      <c r="AC344" s="14">
        <f t="shared" si="87"/>
        <v>-112538.73999999987</v>
      </c>
      <c r="AD344" s="15">
        <f>IFERROR(AC344/AC444, "NA")</f>
        <v>-0.25744726126714962</v>
      </c>
    </row>
    <row r="345" spans="1:30" ht="16.5" customHeight="1" x14ac:dyDescent="0.45">
      <c r="A345" s="22" t="s">
        <v>315</v>
      </c>
      <c r="B345" s="23">
        <f>IFERROR(B198-B325-B344, "NA")</f>
        <v>-42790.219999999797</v>
      </c>
      <c r="C345" s="24">
        <f>IFERROR(B345/B444, "NA")</f>
        <v>-8.0636376980039795E-2</v>
      </c>
      <c r="D345" s="25"/>
      <c r="E345" s="23">
        <f>IFERROR(E198-E325-E344, "NA")</f>
        <v>51202.870000000083</v>
      </c>
      <c r="F345" s="24">
        <f>IFERROR(E345/E444, "NA")</f>
        <v>8.7289593367344848E-2</v>
      </c>
      <c r="G345" s="25"/>
      <c r="H345" s="23">
        <f>IFERROR(B345-E345, "NA")</f>
        <v>-93993.08999999988</v>
      </c>
      <c r="I345" s="24">
        <f>IFERROR(H345/H444, "NA")</f>
        <v>1.680558937780062</v>
      </c>
      <c r="J345" s="25"/>
      <c r="K345" s="23">
        <f>IFERROR(K198-K325-K344, "NA")</f>
        <v>-7807.3500000002095</v>
      </c>
      <c r="L345" s="24">
        <f>IFERROR(K345/K444, "NA")</f>
        <v>-1.4703611310218559E-2</v>
      </c>
      <c r="M345" s="25"/>
      <c r="N345" s="23">
        <f>IFERROR(B345-K345, "NA")</f>
        <v>-34982.869999999588</v>
      </c>
      <c r="O345" s="24">
        <f>IFERROR(N345/N444, "NA")</f>
        <v>107.55025056106491</v>
      </c>
      <c r="P345" s="25"/>
      <c r="Q345" s="23">
        <f>IFERROR(Q198-Q325-Q344, "NA")</f>
        <v>296408.25000000163</v>
      </c>
      <c r="R345" s="24">
        <f>IFERROR(Q345/Q444, "NA")</f>
        <v>4.1330562899919897E-2</v>
      </c>
      <c r="S345" s="25"/>
      <c r="T345" s="23">
        <f>IFERROR(T198-T325-T344, "NA")</f>
        <v>991420.01999999885</v>
      </c>
      <c r="U345" s="24">
        <f>IFERROR(T345/T444, "NA")</f>
        <v>0.13121308440937721</v>
      </c>
      <c r="V345" s="25"/>
      <c r="W345" s="23">
        <f>IFERROR(Q345-T345, "NA")</f>
        <v>-695011.76999999722</v>
      </c>
      <c r="X345" s="24">
        <f>IFERROR(W345/W444, "NA")</f>
        <v>1.8092034154995338</v>
      </c>
      <c r="Y345" s="25"/>
      <c r="Z345" s="23">
        <f>IFERROR(Z198-Z325-Z344, "NA")</f>
        <v>423446.47999999777</v>
      </c>
      <c r="AA345" s="24">
        <f>IFERROR(Z345/Z444, "NA")</f>
        <v>6.2877057877450182E-2</v>
      </c>
      <c r="AB345" s="25"/>
      <c r="AC345" s="23">
        <f>IFERROR(Q345-Z345, "NA")</f>
        <v>-127038.22999999614</v>
      </c>
      <c r="AD345" s="24">
        <f>IFERROR(AC345/AC444, "NA")</f>
        <v>-0.29061676352272375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111794.64</v>
      </c>
      <c r="C350" s="8">
        <f>IFERROR(B350/B444, "NA")</f>
        <v>0.2106723156690449</v>
      </c>
      <c r="D350" s="9"/>
      <c r="E350" s="7">
        <v>77644</v>
      </c>
      <c r="F350" s="8">
        <f>IFERROR(E350/E444, "NA")</f>
        <v>0.13236588471337862</v>
      </c>
      <c r="G350" s="9"/>
      <c r="H350" s="10">
        <f t="shared" si="88"/>
        <v>-34150.639999999999</v>
      </c>
      <c r="I350" s="8">
        <f>IFERROR(H350/H444, "NA")</f>
        <v>0.61059981412366982</v>
      </c>
      <c r="J350" s="9"/>
      <c r="K350" s="7">
        <v>68144.19</v>
      </c>
      <c r="L350" s="8">
        <f>IFERROR(K350/K444, "NA")</f>
        <v>0.12833620662704445</v>
      </c>
      <c r="M350" s="9"/>
      <c r="N350" s="10">
        <f t="shared" si="89"/>
        <v>-43650.45</v>
      </c>
      <c r="O350" s="8">
        <f>IFERROR(N350/N444, "NA")</f>
        <v>134.19758969470746</v>
      </c>
      <c r="P350" s="9"/>
      <c r="Q350" s="7">
        <v>652367.68999999994</v>
      </c>
      <c r="R350" s="8">
        <f>IFERROR(Q350/Q444, "NA")</f>
        <v>9.0964822488646305E-2</v>
      </c>
      <c r="S350" s="9"/>
      <c r="T350" s="7">
        <v>800189</v>
      </c>
      <c r="U350" s="8">
        <f>IFERROR(T350/T444, "NA")</f>
        <v>0.10590392031871139</v>
      </c>
      <c r="V350" s="9"/>
      <c r="W350" s="10">
        <f t="shared" si="90"/>
        <v>147821.31000000006</v>
      </c>
      <c r="X350" s="8">
        <f>IFERROR(W350/W444, "NA")</f>
        <v>-0.38479753937924904</v>
      </c>
      <c r="Y350" s="9"/>
      <c r="Z350" s="7">
        <v>653214.55000000005</v>
      </c>
      <c r="AA350" s="8">
        <f>IFERROR(Z350/Z444, "NA")</f>
        <v>9.6995041892290135E-2</v>
      </c>
      <c r="AB350" s="9"/>
      <c r="AC350" s="10">
        <f t="shared" si="91"/>
        <v>846.86000000010245</v>
      </c>
      <c r="AD350" s="8">
        <f>IFERROR(AC350/AC444, "NA")</f>
        <v>1.9373043245083867E-3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13461.55</v>
      </c>
      <c r="L352" s="8">
        <f>IFERROR(K352/K444, "NA")</f>
        <v>2.5352187212443058E-2</v>
      </c>
      <c r="M352" s="9"/>
      <c r="N352" s="10">
        <f t="shared" si="89"/>
        <v>13461.55</v>
      </c>
      <c r="O352" s="8">
        <f>IFERROR(N352/N444, "NA")</f>
        <v>-41.385771820331506</v>
      </c>
      <c r="P352" s="9"/>
      <c r="Q352" s="7">
        <v>0</v>
      </c>
      <c r="R352" s="8">
        <f>IFERROR(Q352/Q444, "NA")</f>
        <v>0</v>
      </c>
      <c r="S352" s="9"/>
      <c r="T352" s="7">
        <v>23375</v>
      </c>
      <c r="U352" s="8">
        <f>IFERROR(T352/T444, "NA")</f>
        <v>3.093649297165893E-3</v>
      </c>
      <c r="V352" s="9"/>
      <c r="W352" s="10">
        <f t="shared" si="90"/>
        <v>23375</v>
      </c>
      <c r="X352" s="8">
        <f>IFERROR(W352/W444, "NA")</f>
        <v>-6.084807720206202E-2</v>
      </c>
      <c r="Y352" s="9"/>
      <c r="Z352" s="7">
        <v>129807.79</v>
      </c>
      <c r="AA352" s="8">
        <f>IFERROR(Z352/Z444, "NA")</f>
        <v>1.9275002415355871E-2</v>
      </c>
      <c r="AB352" s="9"/>
      <c r="AC352" s="10">
        <f t="shared" si="91"/>
        <v>129807.79</v>
      </c>
      <c r="AD352" s="8">
        <f>IFERROR(AC352/AC444, "NA")</f>
        <v>0.29695249854975564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5162.6099999999997</v>
      </c>
      <c r="F353" s="8">
        <f>IFERROR(E353/E444, "NA")</f>
        <v>8.8011107114540146E-3</v>
      </c>
      <c r="G353" s="9"/>
      <c r="H353" s="10">
        <f t="shared" si="88"/>
        <v>5162.6099999999997</v>
      </c>
      <c r="I353" s="8">
        <f>IFERROR(H353/H444, "NA")</f>
        <v>-9.2305406469483403E-2</v>
      </c>
      <c r="J353" s="9"/>
      <c r="K353" s="7">
        <v>4635.45</v>
      </c>
      <c r="L353" s="8">
        <f>IFERROR(K353/K444, "NA")</f>
        <v>8.7299602359252222E-3</v>
      </c>
      <c r="M353" s="9"/>
      <c r="N353" s="10">
        <f t="shared" si="89"/>
        <v>4635.45</v>
      </c>
      <c r="O353" s="8">
        <f>IFERROR(N353/N444, "NA")</f>
        <v>-14.251083715066665</v>
      </c>
      <c r="P353" s="9"/>
      <c r="Q353" s="7">
        <v>7499.8</v>
      </c>
      <c r="R353" s="8">
        <f>IFERROR(Q353/Q444, "NA")</f>
        <v>1.0457568425872679E-3</v>
      </c>
      <c r="S353" s="9"/>
      <c r="T353" s="7">
        <v>64684.23</v>
      </c>
      <c r="U353" s="8">
        <f>IFERROR(T353/T444, "NA")</f>
        <v>8.5608694193461815E-3</v>
      </c>
      <c r="V353" s="9"/>
      <c r="W353" s="10">
        <f t="shared" si="90"/>
        <v>57184.43</v>
      </c>
      <c r="X353" s="8">
        <f>IFERROR(W353/W444, "NA")</f>
        <v>-0.14885829353565397</v>
      </c>
      <c r="Y353" s="9"/>
      <c r="Z353" s="7">
        <v>29958.33</v>
      </c>
      <c r="AA353" s="8">
        <f>IFERROR(Z353/Z444, "NA")</f>
        <v>4.4484763442165396E-3</v>
      </c>
      <c r="AB353" s="9"/>
      <c r="AC353" s="10">
        <f t="shared" si="91"/>
        <v>22458.530000000002</v>
      </c>
      <c r="AD353" s="8">
        <f>IFERROR(AC353/AC444, "NA")</f>
        <v>5.1376859564858511E-2</v>
      </c>
    </row>
    <row r="354" spans="1:30" ht="16.5" customHeight="1" x14ac:dyDescent="0.45">
      <c r="A354" s="6" t="s">
        <v>323</v>
      </c>
      <c r="B354" s="7">
        <v>9675.67</v>
      </c>
      <c r="C354" s="8">
        <f>IFERROR(B354/B444, "NA")</f>
        <v>1.8233394772320995E-2</v>
      </c>
      <c r="D354" s="9"/>
      <c r="E354" s="7">
        <v>5260.19</v>
      </c>
      <c r="F354" s="8">
        <f>IFERROR(E354/E444, "NA")</f>
        <v>8.9674630764832695E-3</v>
      </c>
      <c r="G354" s="9"/>
      <c r="H354" s="10">
        <f t="shared" si="88"/>
        <v>-4415.4800000000005</v>
      </c>
      <c r="I354" s="8">
        <f>IFERROR(H354/H444, "NA")</f>
        <v>7.8947020239350768E-2</v>
      </c>
      <c r="J354" s="9"/>
      <c r="K354" s="7">
        <v>5973.29</v>
      </c>
      <c r="L354" s="8">
        <f>IFERROR(K354/K444, "NA")</f>
        <v>1.1249519286725081E-2</v>
      </c>
      <c r="M354" s="9"/>
      <c r="N354" s="10">
        <f t="shared" si="89"/>
        <v>-3702.38</v>
      </c>
      <c r="O354" s="8">
        <f>IFERROR(N354/N444, "NA")</f>
        <v>11.382482245518455</v>
      </c>
      <c r="P354" s="9"/>
      <c r="Q354" s="7">
        <v>53801.42</v>
      </c>
      <c r="R354" s="8">
        <f>IFERROR(Q354/Q444, "NA")</f>
        <v>7.5019604664006354E-3</v>
      </c>
      <c r="S354" s="9"/>
      <c r="T354" s="7">
        <v>64861.88</v>
      </c>
      <c r="U354" s="8">
        <f>IFERROR(T354/T444, "NA")</f>
        <v>8.5843811540046409E-3</v>
      </c>
      <c r="V354" s="9"/>
      <c r="W354" s="10">
        <f t="shared" si="90"/>
        <v>11060.46</v>
      </c>
      <c r="X354" s="8">
        <f>IFERROR(W354/W444, "NA")</f>
        <v>-2.8791774287500269E-2</v>
      </c>
      <c r="Y354" s="9"/>
      <c r="Z354" s="7">
        <v>58552.69</v>
      </c>
      <c r="AA354" s="8">
        <f>IFERROR(Z354/Z444, "NA")</f>
        <v>8.6944184257014435E-3</v>
      </c>
      <c r="AB354" s="9"/>
      <c r="AC354" s="10">
        <f t="shared" si="91"/>
        <v>4751.2700000000041</v>
      </c>
      <c r="AD354" s="8">
        <f>IFERROR(AC354/AC444, "NA")</f>
        <v>1.086915891399506E-2</v>
      </c>
    </row>
    <row r="355" spans="1:30" ht="16.5" customHeight="1" x14ac:dyDescent="0.45">
      <c r="A355" s="6" t="s">
        <v>324</v>
      </c>
      <c r="B355" s="7">
        <v>381.6</v>
      </c>
      <c r="C355" s="8">
        <f>IFERROR(B355/B444, "NA")</f>
        <v>7.1910921363768014E-4</v>
      </c>
      <c r="D355" s="9"/>
      <c r="E355" s="7">
        <v>350</v>
      </c>
      <c r="F355" s="8">
        <f>IFERROR(E355/E444, "NA")</f>
        <v>5.9667275835457371E-4</v>
      </c>
      <c r="G355" s="9"/>
      <c r="H355" s="10">
        <f t="shared" si="88"/>
        <v>-31.600000000000023</v>
      </c>
      <c r="I355" s="8">
        <f>IFERROR(H355/H444, "NA")</f>
        <v>5.6499538885092574E-4</v>
      </c>
      <c r="J355" s="9"/>
      <c r="K355" s="7">
        <v>233.2</v>
      </c>
      <c r="L355" s="8">
        <f>IFERROR(K355/K444, "NA")</f>
        <v>4.3918642785873259E-4</v>
      </c>
      <c r="M355" s="9"/>
      <c r="N355" s="10">
        <f t="shared" si="89"/>
        <v>-148.40000000000003</v>
      </c>
      <c r="O355" s="8">
        <f>IFERROR(N355/N444, "NA")</f>
        <v>0.45623635748759966</v>
      </c>
      <c r="P355" s="9"/>
      <c r="Q355" s="7">
        <v>2809</v>
      </c>
      <c r="R355" s="8">
        <f>IFERROR(Q355/Q444, "NA")</f>
        <v>3.9168124094344321E-4</v>
      </c>
      <c r="S355" s="9"/>
      <c r="T355" s="7">
        <v>3640</v>
      </c>
      <c r="U355" s="8">
        <f>IFERROR(T355/T444, "NA")</f>
        <v>4.8174902424315936E-4</v>
      </c>
      <c r="V355" s="9"/>
      <c r="W355" s="10">
        <f t="shared" si="90"/>
        <v>831</v>
      </c>
      <c r="X355" s="8">
        <f>IFERROR(W355/W444, "NA")</f>
        <v>-2.1631979531513811E-3</v>
      </c>
      <c r="Y355" s="9"/>
      <c r="Z355" s="7">
        <v>2832.32</v>
      </c>
      <c r="AA355" s="8">
        <f>IFERROR(Z355/Z444, "NA")</f>
        <v>4.2056778596308238E-4</v>
      </c>
      <c r="AB355" s="9"/>
      <c r="AC355" s="10">
        <f t="shared" si="91"/>
        <v>23.320000000000164</v>
      </c>
      <c r="AD355" s="8">
        <f>IFERROR(AC355/AC444, "NA")</f>
        <v>5.3347586197872649E-5</v>
      </c>
    </row>
    <row r="356" spans="1:30" ht="16.5" customHeight="1" x14ac:dyDescent="0.45">
      <c r="A356" s="6" t="s">
        <v>325</v>
      </c>
      <c r="B356" s="7">
        <v>-22762.5</v>
      </c>
      <c r="C356" s="8">
        <f>IFERROR(B356/B444, "NA")</f>
        <v>-4.289497766097404E-2</v>
      </c>
      <c r="D356" s="9"/>
      <c r="E356" s="7">
        <v>6187.5</v>
      </c>
      <c r="F356" s="8">
        <f>IFERROR(E356/E444, "NA")</f>
        <v>1.0548321978054069E-2</v>
      </c>
      <c r="G356" s="9"/>
      <c r="H356" s="10">
        <f t="shared" si="88"/>
        <v>28950</v>
      </c>
      <c r="I356" s="8">
        <f>IFERROR(H356/H444, "NA")</f>
        <v>-0.51761444643146481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22762.5</v>
      </c>
      <c r="O356" s="8">
        <f>IFERROR(N356/N444, "NA")</f>
        <v>-69.980324038487097</v>
      </c>
      <c r="P356" s="9"/>
      <c r="Q356" s="7">
        <v>4612.5</v>
      </c>
      <c r="R356" s="8">
        <f>IFERROR(Q356/Q444, "NA")</f>
        <v>6.4315760906074465E-4</v>
      </c>
      <c r="S356" s="9"/>
      <c r="T356" s="7">
        <v>74250</v>
      </c>
      <c r="U356" s="8">
        <f>IFERROR(T356/T444, "NA")</f>
        <v>9.8268860027622487E-3</v>
      </c>
      <c r="V356" s="9"/>
      <c r="W356" s="10">
        <f t="shared" si="90"/>
        <v>69637.5</v>
      </c>
      <c r="X356" s="8">
        <f>IFERROR(W356/W444, "NA")</f>
        <v>-0.18127520753619653</v>
      </c>
      <c r="Y356" s="9"/>
      <c r="Z356" s="7">
        <v>14300</v>
      </c>
      <c r="AA356" s="8">
        <f>IFERROR(Z356/Z444, "NA")</f>
        <v>2.1233897791464516E-3</v>
      </c>
      <c r="AB356" s="9"/>
      <c r="AC356" s="10">
        <f t="shared" si="91"/>
        <v>9687.5</v>
      </c>
      <c r="AD356" s="8">
        <f>IFERROR(AC356/AC444, "NA")</f>
        <v>2.2161438305827084E-2</v>
      </c>
    </row>
    <row r="357" spans="1:30" ht="16.5" customHeight="1" x14ac:dyDescent="0.45">
      <c r="A357" s="6" t="s">
        <v>326</v>
      </c>
      <c r="B357" s="7">
        <v>2242.23</v>
      </c>
      <c r="C357" s="8">
        <f>IFERROR(B357/B444, "NA")</f>
        <v>4.2253885012966856E-3</v>
      </c>
      <c r="D357" s="9"/>
      <c r="E357" s="7">
        <v>3183.4</v>
      </c>
      <c r="F357" s="8">
        <f>IFERROR(E357/E444, "NA")</f>
        <v>5.4269944541312856E-3</v>
      </c>
      <c r="G357" s="9"/>
      <c r="H357" s="10">
        <f t="shared" si="88"/>
        <v>941.17000000000007</v>
      </c>
      <c r="I357" s="8">
        <f>IFERROR(H357/H444, "NA")</f>
        <v>-1.6827743991291947E-2</v>
      </c>
      <c r="J357" s="9"/>
      <c r="K357" s="7">
        <v>2961.12</v>
      </c>
      <c r="L357" s="8">
        <f>IFERROR(K357/K444, "NA")</f>
        <v>5.5766883158707131E-3</v>
      </c>
      <c r="M357" s="9"/>
      <c r="N357" s="10">
        <f t="shared" si="89"/>
        <v>718.88999999999987</v>
      </c>
      <c r="O357" s="8">
        <f>IFERROR(N357/N444, "NA")</f>
        <v>-2.2101331201769567</v>
      </c>
      <c r="P357" s="9"/>
      <c r="Q357" s="7">
        <v>41172.949999999997</v>
      </c>
      <c r="R357" s="8">
        <f>IFERROR(Q357/Q444, "NA")</f>
        <v>5.7410723208623496E-3</v>
      </c>
      <c r="S357" s="9"/>
      <c r="T357" s="7">
        <v>32807.760000000002</v>
      </c>
      <c r="U357" s="8">
        <f>IFERROR(T357/T444, "NA")</f>
        <v>4.3420621889021307E-3</v>
      </c>
      <c r="V357" s="9"/>
      <c r="W357" s="10">
        <f t="shared" si="90"/>
        <v>-8365.1899999999951</v>
      </c>
      <c r="X357" s="8">
        <f>IFERROR(W357/W444, "NA")</f>
        <v>2.1775646071868101E-2</v>
      </c>
      <c r="Y357" s="9"/>
      <c r="Z357" s="7">
        <v>32205.22</v>
      </c>
      <c r="AA357" s="8">
        <f>IFERROR(Z357/Z444, "NA")</f>
        <v>4.7821143344869152E-3</v>
      </c>
      <c r="AB357" s="9"/>
      <c r="AC357" s="10">
        <f t="shared" si="91"/>
        <v>-8967.7299999999959</v>
      </c>
      <c r="AD357" s="8">
        <f>IFERROR(AC357/AC444, "NA")</f>
        <v>-2.0514869175567964E-2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101331.64</v>
      </c>
      <c r="C358" s="15">
        <f>IFERROR(B358/B444, "NA")</f>
        <v>0.19095523049532623</v>
      </c>
      <c r="D358" s="2"/>
      <c r="E358" s="14">
        <f>IFERROR(E349+E350+E351+E352+E353+E354+E355+E356+E357, "NA")</f>
        <v>97787.7</v>
      </c>
      <c r="F358" s="15">
        <f>IFERROR(E358/E444, "NA")</f>
        <v>0.16670644769185583</v>
      </c>
      <c r="G358" s="2"/>
      <c r="H358" s="14">
        <f t="shared" si="88"/>
        <v>-3543.9400000000023</v>
      </c>
      <c r="I358" s="15">
        <f>IFERROR(H358/H444, "NA")</f>
        <v>6.3364232859631317E-2</v>
      </c>
      <c r="J358" s="2"/>
      <c r="K358" s="14">
        <f>IFERROR(K349+K350+K351+K352+K353+K354+K355+K356+K357, "NA")</f>
        <v>95408.799999999988</v>
      </c>
      <c r="L358" s="15">
        <f>IFERROR(K358/K444, "NA")</f>
        <v>0.17968374810586724</v>
      </c>
      <c r="M358" s="2"/>
      <c r="N358" s="14">
        <f t="shared" si="89"/>
        <v>-5922.8400000000111</v>
      </c>
      <c r="O358" s="15">
        <f>IFERROR(N358/N444, "NA")</f>
        <v>18.208995603651342</v>
      </c>
      <c r="P358" s="2"/>
      <c r="Q358" s="14">
        <f>IFERROR(Q349+Q350+Q351+Q352+Q353+Q354+Q355+Q356+Q357, "NA")</f>
        <v>762263.36</v>
      </c>
      <c r="R358" s="15">
        <f>IFERROR(Q358/Q444, "NA")</f>
        <v>0.10628845096850074</v>
      </c>
      <c r="S358" s="2"/>
      <c r="T358" s="14">
        <f>IFERROR(T349+T350+T351+T352+T353+T354+T355+T356+T357, "NA")</f>
        <v>1063807.8699999999</v>
      </c>
      <c r="U358" s="15">
        <f>IFERROR(T358/T444, "NA")</f>
        <v>0.14079351740513563</v>
      </c>
      <c r="V358" s="2"/>
      <c r="W358" s="14">
        <f t="shared" si="90"/>
        <v>301544.50999999989</v>
      </c>
      <c r="X358" s="15">
        <f>IFERROR(W358/W444, "NA")</f>
        <v>-0.78495844382194468</v>
      </c>
      <c r="Y358" s="2"/>
      <c r="Z358" s="14">
        <f>IFERROR(Z349+Z350+Z351+Z352+Z353+Z354+Z355+Z356+Z357, "NA")</f>
        <v>920870.9</v>
      </c>
      <c r="AA358" s="15">
        <f>IFERROR(Z358/Z444, "NA")</f>
        <v>0.13673901097716043</v>
      </c>
      <c r="AB358" s="2"/>
      <c r="AC358" s="14">
        <f t="shared" si="91"/>
        <v>158607.54000000004</v>
      </c>
      <c r="AD358" s="15">
        <f>IFERROR(AC358/AC444, "NA")</f>
        <v>0.36283573806957448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2.5571689643767441E-3</v>
      </c>
      <c r="G360" s="9"/>
      <c r="H360" s="10">
        <f t="shared" ref="H360:H383" si="92">IFERROR(-(B360-E360), "NA")</f>
        <v>1500</v>
      </c>
      <c r="I360" s="8">
        <f>IFERROR(H360/H444, "NA")</f>
        <v>-2.6819401369505953E-2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17500</v>
      </c>
      <c r="U360" s="8">
        <f>IFERROR(T360/T444, "NA")</f>
        <v>2.3161010780921123E-3</v>
      </c>
      <c r="V360" s="9"/>
      <c r="W360" s="10">
        <f t="shared" ref="W360:W383" si="94">IFERROR(-(Q360-T360), "NA")</f>
        <v>17500</v>
      </c>
      <c r="X360" s="8">
        <f>IFERROR(W360/W444, "NA")</f>
        <v>-4.5554710204752311E-2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3606.01</v>
      </c>
      <c r="AA361" s="8">
        <f>IFERROR(Z361/Z444, "NA")</f>
        <v>5.3545208234265012E-4</v>
      </c>
      <c r="AB361" s="9"/>
      <c r="AC361" s="10">
        <f t="shared" si="95"/>
        <v>3606.01</v>
      </c>
      <c r="AD361" s="8">
        <f>IFERROR(AC361/AC444, "NA")</f>
        <v>8.2492250988588939E-3</v>
      </c>
    </row>
    <row r="362" spans="1:30" ht="16.5" customHeight="1" x14ac:dyDescent="0.45">
      <c r="A362" s="6" t="s">
        <v>330</v>
      </c>
      <c r="B362" s="7">
        <v>305.54000000000002</v>
      </c>
      <c r="C362" s="8">
        <f>IFERROR(B362/B444, "NA")</f>
        <v>5.7577733001796855E-4</v>
      </c>
      <c r="D362" s="9"/>
      <c r="E362" s="7">
        <v>500</v>
      </c>
      <c r="F362" s="8">
        <f>IFERROR(E362/E444, "NA")</f>
        <v>8.5238965479224804E-4</v>
      </c>
      <c r="G362" s="9"/>
      <c r="H362" s="10">
        <f t="shared" si="92"/>
        <v>194.45999999999998</v>
      </c>
      <c r="I362" s="8">
        <f>IFERROR(H362/H444, "NA")</f>
        <v>-3.4768671935427511E-3</v>
      </c>
      <c r="J362" s="9"/>
      <c r="K362" s="7">
        <v>479.8</v>
      </c>
      <c r="L362" s="8">
        <f>IFERROR(K362/K444, "NA")</f>
        <v>9.0360912558584867E-4</v>
      </c>
      <c r="M362" s="9"/>
      <c r="N362" s="10">
        <f t="shared" si="93"/>
        <v>174.26</v>
      </c>
      <c r="O362" s="8">
        <f>IFERROR(N362/N444, "NA")</f>
        <v>-0.53573953945949526</v>
      </c>
      <c r="P362" s="9"/>
      <c r="Q362" s="7">
        <v>8901.73</v>
      </c>
      <c r="R362" s="8">
        <f>IFERROR(Q362/Q444, "NA")</f>
        <v>1.2412391074914477E-3</v>
      </c>
      <c r="S362" s="9"/>
      <c r="T362" s="7">
        <v>5400</v>
      </c>
      <c r="U362" s="8">
        <f>IFERROR(T362/T444, "NA")</f>
        <v>7.1468261838270898E-4</v>
      </c>
      <c r="V362" s="9"/>
      <c r="W362" s="10">
        <f t="shared" si="94"/>
        <v>-3501.7299999999996</v>
      </c>
      <c r="X362" s="8">
        <f>IFERROR(W362/W444, "NA")</f>
        <v>9.115445449444988E-3</v>
      </c>
      <c r="Y362" s="9"/>
      <c r="Z362" s="7">
        <v>7545.64</v>
      </c>
      <c r="AA362" s="8">
        <f>IFERROR(Z362/Z444, "NA")</f>
        <v>1.1204429967215826E-3</v>
      </c>
      <c r="AB362" s="9"/>
      <c r="AC362" s="10">
        <f t="shared" si="95"/>
        <v>-1356.0899999999992</v>
      </c>
      <c r="AD362" s="8">
        <f>IFERROR(AC362/AC444, "NA")</f>
        <v>-3.1022353416411907E-3</v>
      </c>
    </row>
    <row r="363" spans="1:30" ht="16.5" customHeight="1" x14ac:dyDescent="0.45">
      <c r="A363" s="6" t="s">
        <v>331</v>
      </c>
      <c r="B363" s="7">
        <v>544.69000000000005</v>
      </c>
      <c r="C363" s="8">
        <f>IFERROR(B363/B444, "NA")</f>
        <v>1.0264454863110797E-3</v>
      </c>
      <c r="D363" s="9"/>
      <c r="E363" s="7">
        <v>250</v>
      </c>
      <c r="F363" s="8">
        <f>IFERROR(E363/E444, "NA")</f>
        <v>4.2619482739612402E-4</v>
      </c>
      <c r="G363" s="9"/>
      <c r="H363" s="10">
        <f t="shared" si="92"/>
        <v>-294.69000000000005</v>
      </c>
      <c r="I363" s="8">
        <f>IFERROR(H363/H444, "NA")</f>
        <v>5.2689395930531398E-3</v>
      </c>
      <c r="J363" s="9"/>
      <c r="K363" s="7">
        <v>237.26</v>
      </c>
      <c r="L363" s="8">
        <f>IFERROR(K363/K444, "NA")</f>
        <v>4.4683264096810843E-4</v>
      </c>
      <c r="M363" s="9"/>
      <c r="N363" s="10">
        <f t="shared" si="93"/>
        <v>-307.43000000000006</v>
      </c>
      <c r="O363" s="8">
        <f>IFERROR(N363/N444, "NA")</f>
        <v>0.94515325729388644</v>
      </c>
      <c r="P363" s="9"/>
      <c r="Q363" s="7">
        <v>10987.39</v>
      </c>
      <c r="R363" s="8">
        <f>IFERROR(Q363/Q444, "NA")</f>
        <v>1.5320592915377637E-3</v>
      </c>
      <c r="S363" s="9"/>
      <c r="T363" s="7">
        <v>2600</v>
      </c>
      <c r="U363" s="8">
        <f>IFERROR(T363/T444, "NA")</f>
        <v>3.4410644588797097E-4</v>
      </c>
      <c r="V363" s="9"/>
      <c r="W363" s="10">
        <f t="shared" si="94"/>
        <v>-8387.39</v>
      </c>
      <c r="X363" s="8">
        <f>IFERROR(W363/W444, "NA")</f>
        <v>2.1833435475670713E-2</v>
      </c>
      <c r="Y363" s="9"/>
      <c r="Z363" s="7">
        <v>19634.89</v>
      </c>
      <c r="AA363" s="8">
        <f>IFERROR(Z363/Z444, "NA")</f>
        <v>2.915561170675865E-3</v>
      </c>
      <c r="AB363" s="9"/>
      <c r="AC363" s="10">
        <f t="shared" si="95"/>
        <v>8647.5</v>
      </c>
      <c r="AD363" s="8">
        <f>IFERROR(AC363/AC444, "NA")</f>
        <v>1.9782300670930553E-2</v>
      </c>
    </row>
    <row r="364" spans="1:30" ht="16.5" customHeight="1" x14ac:dyDescent="0.45">
      <c r="A364" s="6" t="s">
        <v>332</v>
      </c>
      <c r="B364" s="7">
        <v>1113.48</v>
      </c>
      <c r="C364" s="8">
        <f>IFERROR(B364/B444, "NA")</f>
        <v>2.0983064130012685E-3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-1113.48</v>
      </c>
      <c r="I364" s="8">
        <f>IFERROR(H364/H444, "NA")</f>
        <v>1.990857802461166E-2</v>
      </c>
      <c r="J364" s="9"/>
      <c r="K364" s="7">
        <v>887.08</v>
      </c>
      <c r="L364" s="8">
        <f>IFERROR(K364/K444, "NA")</f>
        <v>1.6706410652869833E-3</v>
      </c>
      <c r="M364" s="9"/>
      <c r="N364" s="10">
        <f t="shared" si="93"/>
        <v>-226.39999999999998</v>
      </c>
      <c r="O364" s="8">
        <f>IFERROR(N364/N444, "NA")</f>
        <v>0.69603713837730807</v>
      </c>
      <c r="P364" s="9"/>
      <c r="Q364" s="7">
        <v>8114.61</v>
      </c>
      <c r="R364" s="8">
        <f>IFERROR(Q364/Q444, "NA")</f>
        <v>1.1314846972488692E-3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-8114.61</v>
      </c>
      <c r="X364" s="8">
        <f>IFERROR(W364/W444, "NA")</f>
        <v>2.1123354684262009E-2</v>
      </c>
      <c r="Y364" s="9"/>
      <c r="Z364" s="7">
        <v>14123.77</v>
      </c>
      <c r="AA364" s="8">
        <f>IFERROR(Z364/Z444, "NA")</f>
        <v>2.0972215986723971E-3</v>
      </c>
      <c r="AB364" s="9"/>
      <c r="AC364" s="10">
        <f t="shared" si="95"/>
        <v>6009.1600000000008</v>
      </c>
      <c r="AD364" s="8">
        <f>IFERROR(AC364/AC444, "NA")</f>
        <v>1.3746748759725824E-2</v>
      </c>
    </row>
    <row r="365" spans="1:30" ht="16.5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5302.6</v>
      </c>
      <c r="R365" s="8">
        <f>IFERROR(Q365/Q444, "NA")</f>
        <v>7.3938374803371378E-4</v>
      </c>
      <c r="S365" s="9"/>
      <c r="T365" s="7">
        <v>2100</v>
      </c>
      <c r="U365" s="8">
        <f>IFERROR(T365/T444, "NA")</f>
        <v>2.7793212937105347E-4</v>
      </c>
      <c r="V365" s="9"/>
      <c r="W365" s="10">
        <f t="shared" si="94"/>
        <v>-3202.6000000000004</v>
      </c>
      <c r="X365" s="8">
        <f>IFERROR(W365/W444, "NA")</f>
        <v>8.3367722800994151E-3</v>
      </c>
      <c r="Y365" s="9"/>
      <c r="Z365" s="7">
        <v>723.13</v>
      </c>
      <c r="AA365" s="8">
        <f>IFERROR(Z365/Z444, "NA")</f>
        <v>1.0737670286672543E-4</v>
      </c>
      <c r="AB365" s="9"/>
      <c r="AC365" s="10">
        <f t="shared" si="95"/>
        <v>-4579.47</v>
      </c>
      <c r="AD365" s="8">
        <f>IFERROR(AC365/AC444, "NA")</f>
        <v>-1.0476143677768874E-2</v>
      </c>
    </row>
    <row r="366" spans="1:30" ht="16.5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4711.01</v>
      </c>
      <c r="R366" s="8">
        <f>IFERROR(Q366/Q444, "NA")</f>
        <v>6.5689364289674992E-4</v>
      </c>
      <c r="S366" s="9"/>
      <c r="T366" s="7">
        <v>3105</v>
      </c>
      <c r="U366" s="8">
        <f>IFERROR(T366/T444, "NA")</f>
        <v>4.1094250557005763E-4</v>
      </c>
      <c r="V366" s="9"/>
      <c r="W366" s="10">
        <f t="shared" si="94"/>
        <v>-1606.0100000000002</v>
      </c>
      <c r="X366" s="8">
        <f>IFERROR(W366/W444, "NA")</f>
        <v>4.18064686491053E-3</v>
      </c>
      <c r="Y366" s="9"/>
      <c r="Z366" s="7">
        <v>1263.9100000000001</v>
      </c>
      <c r="AA366" s="8">
        <f>IFERROR(Z366/Z444, "NA")</f>
        <v>1.8767647382944E-4</v>
      </c>
      <c r="AB366" s="9"/>
      <c r="AC366" s="10">
        <f t="shared" si="95"/>
        <v>-3447.1000000000004</v>
      </c>
      <c r="AD366" s="8">
        <f>IFERROR(AC366/AC444, "NA")</f>
        <v>-7.8856974435113861E-3</v>
      </c>
    </row>
    <row r="367" spans="1:30" ht="16.5" customHeight="1" x14ac:dyDescent="0.45">
      <c r="A367" s="6" t="s">
        <v>335</v>
      </c>
      <c r="B367" s="7">
        <v>488.88</v>
      </c>
      <c r="C367" s="8">
        <f>IFERROR(B367/B444, "NA")</f>
        <v>9.2127387935846182E-4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-488.88</v>
      </c>
      <c r="I367" s="8">
        <f>IFERROR(H367/H444, "NA")</f>
        <v>8.7409792943493794E-3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-488.88</v>
      </c>
      <c r="O367" s="8">
        <f>IFERROR(N367/N444, "NA")</f>
        <v>1.5029975097610355</v>
      </c>
      <c r="P367" s="9"/>
      <c r="Q367" s="7">
        <v>9028.65</v>
      </c>
      <c r="R367" s="8">
        <f>IFERROR(Q367/Q444, "NA")</f>
        <v>1.258936573885375E-3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-9028.65</v>
      </c>
      <c r="X367" s="8">
        <f>IFERROR(W367/W444, "NA")</f>
        <v>2.3502716245150684E-2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-9028.65</v>
      </c>
      <c r="AD367" s="8">
        <f>IFERROR(AC367/AC444, "NA")</f>
        <v>-2.0654231737796718E-2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2452.59</v>
      </c>
      <c r="C368" s="15">
        <f>IFERROR(B368/B444, "NA")</f>
        <v>4.6218031086887783E-3</v>
      </c>
      <c r="D368" s="2"/>
      <c r="E368" s="14">
        <f>IFERROR(E360+E361+E362+E363+E364+E365+E366+E367, "NA")</f>
        <v>2250</v>
      </c>
      <c r="F368" s="15">
        <f>IFERROR(E368/E444, "NA")</f>
        <v>3.8357534465651164E-3</v>
      </c>
      <c r="G368" s="2"/>
      <c r="H368" s="14">
        <f t="shared" si="92"/>
        <v>-202.59000000000015</v>
      </c>
      <c r="I368" s="15">
        <f>IFERROR(H368/H444, "NA")</f>
        <v>3.6222283489654766E-3</v>
      </c>
      <c r="J368" s="2"/>
      <c r="K368" s="14">
        <f>IFERROR(K360+K361+K362+K363+K364+K365+K366+K367, "NA")</f>
        <v>1604.1399999999999</v>
      </c>
      <c r="L368" s="15">
        <f>IFERROR(K368/K444, "NA")</f>
        <v>3.0210828318409403E-3</v>
      </c>
      <c r="M368" s="2"/>
      <c r="N368" s="14">
        <f t="shared" si="93"/>
        <v>-848.45000000000027</v>
      </c>
      <c r="O368" s="15">
        <f>IFERROR(N368/N444, "NA")</f>
        <v>2.6084483659727353</v>
      </c>
      <c r="P368" s="2"/>
      <c r="Q368" s="14">
        <f>IFERROR(Q360+Q361+Q362+Q363+Q364+Q365+Q366+Q367, "NA")</f>
        <v>47045.990000000005</v>
      </c>
      <c r="R368" s="15">
        <f>IFERROR(Q368/Q444, "NA")</f>
        <v>6.5599970610939204E-3</v>
      </c>
      <c r="S368" s="2"/>
      <c r="T368" s="14">
        <f>IFERROR(T360+T361+T362+T363+T364+T365+T366+T367, "NA")</f>
        <v>30705</v>
      </c>
      <c r="U368" s="15">
        <f>IFERROR(T368/T444, "NA")</f>
        <v>4.0637647773039036E-3</v>
      </c>
      <c r="V368" s="2"/>
      <c r="W368" s="14">
        <f t="shared" si="94"/>
        <v>-16340.990000000005</v>
      </c>
      <c r="X368" s="15">
        <f>IFERROR(W368/W444, "NA")</f>
        <v>4.2537660794786041E-2</v>
      </c>
      <c r="Y368" s="2"/>
      <c r="Z368" s="14">
        <f>IFERROR(Z360+Z361+Z362+Z363+Z364+Z365+Z366+Z367, "NA")</f>
        <v>46897.35</v>
      </c>
      <c r="AA368" s="15">
        <f>IFERROR(Z368/Z444, "NA")</f>
        <v>6.9637310251086599E-3</v>
      </c>
      <c r="AB368" s="2"/>
      <c r="AC368" s="14">
        <f t="shared" si="95"/>
        <v>-148.64000000000669</v>
      </c>
      <c r="AD368" s="15">
        <f>IFERROR(AC368/AC444, "NA")</f>
        <v>-3.4003367120291991E-4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349.71</v>
      </c>
      <c r="C370" s="8">
        <f>IFERROR(B370/B444, "NA")</f>
        <v>6.5901384460490854E-4</v>
      </c>
      <c r="D370" s="9"/>
      <c r="E370" s="7">
        <v>635</v>
      </c>
      <c r="F370" s="8">
        <f>IFERROR(E370/E444, "NA")</f>
        <v>1.0825348615861551E-3</v>
      </c>
      <c r="G370" s="9"/>
      <c r="H370" s="10">
        <f t="shared" si="92"/>
        <v>285.29000000000002</v>
      </c>
      <c r="I370" s="8">
        <f>IFERROR(H370/H444, "NA")</f>
        <v>-5.1008713444709022E-3</v>
      </c>
      <c r="J370" s="9"/>
      <c r="K370" s="7">
        <v>298.8</v>
      </c>
      <c r="L370" s="8">
        <f>IFERROR(K370/K444, "NA")</f>
        <v>5.6273115199052012E-4</v>
      </c>
      <c r="M370" s="9"/>
      <c r="N370" s="10">
        <f t="shared" si="93"/>
        <v>-50.909999999999968</v>
      </c>
      <c r="O370" s="8">
        <f>IFERROR(N370/N444, "NA")</f>
        <v>0.15651612506532128</v>
      </c>
      <c r="P370" s="9"/>
      <c r="Q370" s="7">
        <v>3410.2</v>
      </c>
      <c r="R370" s="8">
        <f>IFERROR(Q370/Q444, "NA")</f>
        <v>4.7551134491467784E-4</v>
      </c>
      <c r="S370" s="9"/>
      <c r="T370" s="7">
        <v>7620</v>
      </c>
      <c r="U370" s="8">
        <f>IFERROR(T370/T444, "NA")</f>
        <v>1.0084965837178226E-3</v>
      </c>
      <c r="V370" s="9"/>
      <c r="W370" s="10">
        <f t="shared" si="94"/>
        <v>4209.8</v>
      </c>
      <c r="X370" s="8">
        <f>IFERROR(W370/W444, "NA")</f>
        <v>-1.0958641086855217E-2</v>
      </c>
      <c r="Y370" s="9"/>
      <c r="Z370" s="7">
        <v>6214.07</v>
      </c>
      <c r="AA370" s="8">
        <f>IFERROR(Z370/Z444, "NA")</f>
        <v>9.2271977097206919E-4</v>
      </c>
      <c r="AB370" s="9"/>
      <c r="AC370" s="10">
        <f t="shared" si="95"/>
        <v>2803.87</v>
      </c>
      <c r="AD370" s="8">
        <f>IFERROR(AC370/AC444, "NA")</f>
        <v>6.4142236926512915E-3</v>
      </c>
    </row>
    <row r="371" spans="1:30" ht="16.5" customHeight="1" x14ac:dyDescent="0.45">
      <c r="A371" s="20" t="s">
        <v>339</v>
      </c>
      <c r="B371" s="7">
        <v>171.69</v>
      </c>
      <c r="C371" s="8">
        <f>IFERROR(B371/B444, "NA")</f>
        <v>3.2354261239374554E-4</v>
      </c>
      <c r="D371" s="9"/>
      <c r="E371" s="7">
        <v>100</v>
      </c>
      <c r="F371" s="8">
        <f>IFERROR(E371/E444, "NA")</f>
        <v>1.7047793095844961E-4</v>
      </c>
      <c r="G371" s="9"/>
      <c r="H371" s="10">
        <f t="shared" si="92"/>
        <v>-71.69</v>
      </c>
      <c r="I371" s="8">
        <f>IFERROR(H371/H444, "NA")</f>
        <v>1.2817885894532545E-3</v>
      </c>
      <c r="J371" s="9"/>
      <c r="K371" s="7">
        <v>182.89</v>
      </c>
      <c r="L371" s="8">
        <f>IFERROR(K371/K444, "NA")</f>
        <v>3.4443741762900344E-4</v>
      </c>
      <c r="M371" s="9"/>
      <c r="N371" s="10">
        <f t="shared" si="93"/>
        <v>11.199999999999989</v>
      </c>
      <c r="O371" s="8">
        <f>IFERROR(N371/N444, "NA")</f>
        <v>-3.4432932640573517E-2</v>
      </c>
      <c r="P371" s="9"/>
      <c r="Q371" s="7">
        <v>5635.35</v>
      </c>
      <c r="R371" s="8">
        <f>IFERROR(Q371/Q444, "NA")</f>
        <v>7.8578173056270304E-4</v>
      </c>
      <c r="S371" s="9"/>
      <c r="T371" s="7">
        <v>1200</v>
      </c>
      <c r="U371" s="8">
        <f>IFERROR(T371/T444, "NA")</f>
        <v>1.5881835964060199E-4</v>
      </c>
      <c r="V371" s="9"/>
      <c r="W371" s="10">
        <f t="shared" si="94"/>
        <v>-4435.3500000000004</v>
      </c>
      <c r="X371" s="8">
        <f>IFERROR(W371/W444, "NA")</f>
        <v>1.1545776223237039E-2</v>
      </c>
      <c r="Y371" s="9"/>
      <c r="Z371" s="7">
        <v>5077.9799999999996</v>
      </c>
      <c r="AA371" s="8">
        <f>IFERROR(Z371/Z444, "NA")</f>
        <v>7.5402313501469218E-4</v>
      </c>
      <c r="AB371" s="9"/>
      <c r="AC371" s="10">
        <f t="shared" si="95"/>
        <v>-557.3700000000008</v>
      </c>
      <c r="AD371" s="8">
        <f>IFERROR(AC371/AC444, "NA")</f>
        <v>-1.2750576380406566E-3</v>
      </c>
    </row>
    <row r="372" spans="1:30" ht="16.5" customHeight="1" x14ac:dyDescent="0.45">
      <c r="A372" s="20" t="s">
        <v>340</v>
      </c>
      <c r="B372" s="7">
        <v>277.20999999999998</v>
      </c>
      <c r="C372" s="8">
        <f>IFERROR(B372/B444, "NA")</f>
        <v>5.2239063184617734E-4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-277.20999999999998</v>
      </c>
      <c r="I372" s="8">
        <f>IFERROR(H372/H444, "NA")</f>
        <v>4.9564041690938294E-3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-277.20999999999998</v>
      </c>
      <c r="O372" s="8">
        <f>IFERROR(N372/N444, "NA")</f>
        <v>0.85224582654405301</v>
      </c>
      <c r="P372" s="9"/>
      <c r="Q372" s="7">
        <v>5168.91</v>
      </c>
      <c r="R372" s="8">
        <f>IFERROR(Q372/Q444, "NA")</f>
        <v>7.2074228662334389E-4</v>
      </c>
      <c r="S372" s="9"/>
      <c r="T372" s="7">
        <v>3500</v>
      </c>
      <c r="U372" s="8">
        <f>IFERROR(T372/T444, "NA")</f>
        <v>4.632202156184225E-4</v>
      </c>
      <c r="V372" s="9"/>
      <c r="W372" s="10">
        <f t="shared" si="94"/>
        <v>-1668.9099999999999</v>
      </c>
      <c r="X372" s="8">
        <f>IFERROR(W372/W444, "NA")</f>
        <v>4.3443835090178958E-3</v>
      </c>
      <c r="Y372" s="9"/>
      <c r="Z372" s="7">
        <v>4804.1000000000004</v>
      </c>
      <c r="AA372" s="8">
        <f>IFERROR(Z372/Z444, "NA")</f>
        <v>7.1335502363618669E-4</v>
      </c>
      <c r="AB372" s="9"/>
      <c r="AC372" s="10">
        <f t="shared" si="95"/>
        <v>-364.80999999999949</v>
      </c>
      <c r="AD372" s="8">
        <f>IFERROR(AC372/AC444, "NA")</f>
        <v>-8.3455115441019535E-4</v>
      </c>
    </row>
    <row r="373" spans="1:30" ht="16.5" customHeight="1" x14ac:dyDescent="0.45">
      <c r="A373" s="20" t="s">
        <v>341</v>
      </c>
      <c r="B373" s="7">
        <v>1487.78</v>
      </c>
      <c r="C373" s="8">
        <f>IFERROR(B373/B444, "NA")</f>
        <v>2.8036590824577243E-3</v>
      </c>
      <c r="D373" s="9"/>
      <c r="E373" s="7">
        <v>325</v>
      </c>
      <c r="F373" s="8">
        <f>IFERROR(E373/E444, "NA")</f>
        <v>5.5405327561496129E-4</v>
      </c>
      <c r="G373" s="9"/>
      <c r="H373" s="10">
        <f t="shared" si="92"/>
        <v>-1162.78</v>
      </c>
      <c r="I373" s="8">
        <f>IFERROR(H373/H444, "NA")</f>
        <v>2.0790042349622753E-2</v>
      </c>
      <c r="J373" s="9"/>
      <c r="K373" s="7">
        <v>390.24</v>
      </c>
      <c r="L373" s="8">
        <f>IFERROR(K373/K444, "NA")</f>
        <v>7.3494044428641431E-4</v>
      </c>
      <c r="M373" s="9"/>
      <c r="N373" s="10">
        <f t="shared" si="93"/>
        <v>-1097.54</v>
      </c>
      <c r="O373" s="8">
        <f>IFERROR(N373/N444, "NA")</f>
        <v>3.3742429366370619</v>
      </c>
      <c r="P373" s="9"/>
      <c r="Q373" s="7">
        <v>9213.84</v>
      </c>
      <c r="R373" s="8">
        <f>IFERROR(Q373/Q444, "NA")</f>
        <v>1.2847590904429816E-3</v>
      </c>
      <c r="S373" s="9"/>
      <c r="T373" s="7">
        <v>3900</v>
      </c>
      <c r="U373" s="8">
        <f>IFERROR(T373/T444, "NA")</f>
        <v>5.1615966883195648E-4</v>
      </c>
      <c r="V373" s="9"/>
      <c r="W373" s="10">
        <f t="shared" si="94"/>
        <v>-5313.84</v>
      </c>
      <c r="X373" s="8">
        <f>IFERROR(W373/W444, "NA")</f>
        <v>1.3832596644252631E-2</v>
      </c>
      <c r="Y373" s="9"/>
      <c r="Z373" s="7">
        <v>7791.49</v>
      </c>
      <c r="AA373" s="8">
        <f>IFERROR(Z373/Z444, "NA")</f>
        <v>1.1569489671553696E-3</v>
      </c>
      <c r="AB373" s="9"/>
      <c r="AC373" s="10">
        <f t="shared" si="95"/>
        <v>-1422.3500000000004</v>
      </c>
      <c r="AD373" s="8">
        <f>IFERROR(AC373/AC444, "NA")</f>
        <v>-3.2538138605721976E-3</v>
      </c>
    </row>
    <row r="374" spans="1:30" ht="16.5" customHeight="1" x14ac:dyDescent="0.45">
      <c r="A374" s="20" t="s">
        <v>342</v>
      </c>
      <c r="B374" s="7">
        <v>2149.52</v>
      </c>
      <c r="C374" s="8">
        <f>IFERROR(B374/B444, "NA")</f>
        <v>4.0506803901951419E-3</v>
      </c>
      <c r="D374" s="9"/>
      <c r="E374" s="7">
        <v>1900</v>
      </c>
      <c r="F374" s="8">
        <f>IFERROR(E374/E444, "NA")</f>
        <v>3.2390806882105429E-3</v>
      </c>
      <c r="G374" s="9"/>
      <c r="H374" s="10">
        <f t="shared" si="92"/>
        <v>-249.51999999999998</v>
      </c>
      <c r="I374" s="8">
        <f>IFERROR(H374/H444, "NA")</f>
        <v>4.4613180198127501E-3</v>
      </c>
      <c r="J374" s="9"/>
      <c r="K374" s="7">
        <v>1897.01</v>
      </c>
      <c r="L374" s="8">
        <f>IFERROR(K374/K444, "NA")</f>
        <v>3.57264599276284E-3</v>
      </c>
      <c r="M374" s="9"/>
      <c r="N374" s="10">
        <f t="shared" si="93"/>
        <v>-252.51</v>
      </c>
      <c r="O374" s="8">
        <f>IFERROR(N374/N444, "NA")</f>
        <v>0.77630891259564527</v>
      </c>
      <c r="P374" s="9"/>
      <c r="Q374" s="7">
        <v>24630.71</v>
      </c>
      <c r="R374" s="8">
        <f>IFERROR(Q374/Q444, "NA")</f>
        <v>3.4344560548658157E-3</v>
      </c>
      <c r="S374" s="9"/>
      <c r="T374" s="7">
        <v>22800</v>
      </c>
      <c r="U374" s="8">
        <f>IFERROR(T374/T444, "NA")</f>
        <v>3.0175488331714378E-3</v>
      </c>
      <c r="V374" s="9"/>
      <c r="W374" s="10">
        <f t="shared" si="94"/>
        <v>-1830.7099999999991</v>
      </c>
      <c r="X374" s="8">
        <f>IFERROR(W374/W444, "NA")</f>
        <v>4.7655693439395469E-3</v>
      </c>
      <c r="Y374" s="9"/>
      <c r="Z374" s="7">
        <v>22105.77</v>
      </c>
      <c r="AA374" s="8">
        <f>IFERROR(Z374/Z444, "NA")</f>
        <v>3.2824591663050528E-3</v>
      </c>
      <c r="AB374" s="9"/>
      <c r="AC374" s="10">
        <f t="shared" si="95"/>
        <v>-2524.9399999999987</v>
      </c>
      <c r="AD374" s="8">
        <f>IFERROR(AC374/AC444, "NA")</f>
        <v>-5.7761344037073562E-3</v>
      </c>
    </row>
    <row r="375" spans="1:30" ht="16.5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319.39</v>
      </c>
      <c r="L375" s="8">
        <f>IFERROR(K375/K444, "NA")</f>
        <v>6.015083756166406E-4</v>
      </c>
      <c r="M375" s="9"/>
      <c r="N375" s="10">
        <f t="shared" si="93"/>
        <v>319.39</v>
      </c>
      <c r="O375" s="8">
        <f>IFERROR(N375/N444, "NA")</f>
        <v>-0.98192271036364154</v>
      </c>
      <c r="P375" s="9"/>
      <c r="Q375" s="7">
        <v>4164.08</v>
      </c>
      <c r="R375" s="8">
        <f>IFERROR(Q375/Q444, "NA")</f>
        <v>5.8063083723309823E-4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-4164.08</v>
      </c>
      <c r="X375" s="8">
        <f>IFERROR(W375/W444, "NA")</f>
        <v>1.0839626152537429E-2</v>
      </c>
      <c r="Y375" s="9"/>
      <c r="Z375" s="7">
        <v>1664.38</v>
      </c>
      <c r="AA375" s="8">
        <f>IFERROR(Z375/Z444, "NA")</f>
        <v>2.4714178186124278E-4</v>
      </c>
      <c r="AB375" s="9"/>
      <c r="AC375" s="10">
        <f t="shared" si="95"/>
        <v>-2499.6999999999998</v>
      </c>
      <c r="AD375" s="8">
        <f>IFERROR(AC375/AC444, "NA")</f>
        <v>-5.7183945634142926E-3</v>
      </c>
    </row>
    <row r="376" spans="1:30" ht="16.5" customHeight="1" x14ac:dyDescent="0.45">
      <c r="A376" s="20" t="s">
        <v>344</v>
      </c>
      <c r="B376" s="7">
        <v>2222.15</v>
      </c>
      <c r="C376" s="8">
        <f>IFERROR(B376/B444, "NA")</f>
        <v>4.1875485825077852E-3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-2222.15</v>
      </c>
      <c r="I376" s="8">
        <f>IFERROR(H376/H444, "NA")</f>
        <v>3.9731155168831772E-2</v>
      </c>
      <c r="J376" s="9"/>
      <c r="K376" s="7">
        <v>3302.28</v>
      </c>
      <c r="L376" s="8">
        <f>IFERROR(K376/K444, "NA")</f>
        <v>6.2191962135048698E-3</v>
      </c>
      <c r="M376" s="9"/>
      <c r="N376" s="10">
        <f t="shared" si="93"/>
        <v>1080.1300000000001</v>
      </c>
      <c r="O376" s="8">
        <f>IFERROR(N376/N444, "NA")</f>
        <v>-3.3207181725948849</v>
      </c>
      <c r="P376" s="9"/>
      <c r="Q376" s="7">
        <v>832.07</v>
      </c>
      <c r="R376" s="8">
        <f>IFERROR(Q376/Q444, "NA")</f>
        <v>1.1602214672545775E-4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-832.07</v>
      </c>
      <c r="X376" s="8">
        <f>IFERROR(W376/W444, "NA")</f>
        <v>2.165983298289615E-3</v>
      </c>
      <c r="Y376" s="9"/>
      <c r="Z376" s="7">
        <v>3302.28</v>
      </c>
      <c r="AA376" s="8">
        <f>IFERROR(Z376/Z444, "NA")</f>
        <v>4.9035158041117093E-4</v>
      </c>
      <c r="AB376" s="9"/>
      <c r="AC376" s="10">
        <f t="shared" si="95"/>
        <v>2470.21</v>
      </c>
      <c r="AD376" s="8">
        <f>IFERROR(AC376/AC444, "NA")</f>
        <v>5.6509322856709296E-3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9361.52</v>
      </c>
      <c r="C378" s="8">
        <f>IFERROR(B378/B444, "NA")</f>
        <v>1.7641392258001612E-2</v>
      </c>
      <c r="D378" s="9"/>
      <c r="E378" s="7">
        <v>8470.33</v>
      </c>
      <c r="F378" s="8">
        <f>IFERROR(E378/E444, "NA")</f>
        <v>1.4440043329352845E-2</v>
      </c>
      <c r="G378" s="9"/>
      <c r="H378" s="10">
        <f t="shared" si="92"/>
        <v>-891.19000000000051</v>
      </c>
      <c r="I378" s="8">
        <f>IFERROR(H378/H444, "NA")</f>
        <v>1.5934121537660016E-2</v>
      </c>
      <c r="J378" s="9"/>
      <c r="K378" s="7">
        <v>6945.13</v>
      </c>
      <c r="L378" s="8">
        <f>IFERROR(K378/K444, "NA")</f>
        <v>1.3079789175448197E-2</v>
      </c>
      <c r="M378" s="9"/>
      <c r="N378" s="10">
        <f t="shared" si="93"/>
        <v>-2416.3900000000003</v>
      </c>
      <c r="O378" s="8">
        <f>IFERROR(N378/N444, "NA")</f>
        <v>7.4288744735138872</v>
      </c>
      <c r="P378" s="9"/>
      <c r="Q378" s="7">
        <v>113189.82</v>
      </c>
      <c r="R378" s="8">
        <f>IFERROR(Q378/Q444, "NA")</f>
        <v>1.5782958049044133E-2</v>
      </c>
      <c r="S378" s="9"/>
      <c r="T378" s="7">
        <v>101643.96</v>
      </c>
      <c r="U378" s="8">
        <f>IFERROR(T378/T444, "NA")</f>
        <v>1.3452439162145804E-2</v>
      </c>
      <c r="V378" s="9"/>
      <c r="W378" s="10">
        <f t="shared" si="94"/>
        <v>-11545.86</v>
      </c>
      <c r="X378" s="8">
        <f>IFERROR(W378/W444, "NA")</f>
        <v>3.0055331792265234E-2</v>
      </c>
      <c r="Y378" s="9"/>
      <c r="Z378" s="7">
        <v>83177.98</v>
      </c>
      <c r="AA378" s="8">
        <f>IFERROR(Z378/Z444, "NA")</f>
        <v>1.2350998082660696E-2</v>
      </c>
      <c r="AB378" s="9"/>
      <c r="AC378" s="10">
        <f t="shared" si="95"/>
        <v>-30011.840000000011</v>
      </c>
      <c r="AD378" s="8">
        <f>IFERROR(AC378/AC444, "NA")</f>
        <v>-6.8656055804320396E-2</v>
      </c>
    </row>
    <row r="379" spans="1:30" ht="16.5" customHeight="1" x14ac:dyDescent="0.45">
      <c r="A379" s="20" t="s">
        <v>347</v>
      </c>
      <c r="B379" s="7">
        <v>834.93</v>
      </c>
      <c r="C379" s="8">
        <f>IFERROR(B379/B444, "NA")</f>
        <v>1.5733906072916881E-3</v>
      </c>
      <c r="D379" s="9"/>
      <c r="E379" s="7">
        <v>200</v>
      </c>
      <c r="F379" s="8">
        <f>IFERROR(E379/E444, "NA")</f>
        <v>3.4095586191689923E-4</v>
      </c>
      <c r="G379" s="9"/>
      <c r="H379" s="10">
        <f t="shared" si="92"/>
        <v>-634.92999999999995</v>
      </c>
      <c r="I379" s="8">
        <f>IFERROR(H379/H444, "NA")</f>
        <v>1.1352295007693608E-2</v>
      </c>
      <c r="J379" s="9"/>
      <c r="K379" s="7">
        <v>2618.86</v>
      </c>
      <c r="L379" s="8">
        <f>IFERROR(K379/K444, "NA")</f>
        <v>4.9321087841428836E-3</v>
      </c>
      <c r="M379" s="9"/>
      <c r="N379" s="10">
        <f t="shared" si="93"/>
        <v>1783.9300000000003</v>
      </c>
      <c r="O379" s="8">
        <f>IFERROR(N379/N444, "NA")</f>
        <v>-5.4844590647766411</v>
      </c>
      <c r="P379" s="9"/>
      <c r="Q379" s="7">
        <v>9314.66</v>
      </c>
      <c r="R379" s="8">
        <f>IFERROR(Q379/Q444, "NA")</f>
        <v>1.2988172259758822E-3</v>
      </c>
      <c r="S379" s="9"/>
      <c r="T379" s="7">
        <v>2400</v>
      </c>
      <c r="U379" s="8">
        <f>IFERROR(T379/T444, "NA")</f>
        <v>3.1763671928120398E-4</v>
      </c>
      <c r="V379" s="9"/>
      <c r="W379" s="10">
        <f t="shared" si="94"/>
        <v>-6914.66</v>
      </c>
      <c r="X379" s="8">
        <f>IFERROR(W379/W444, "NA")</f>
        <v>1.799973328367958E-2</v>
      </c>
      <c r="Y379" s="9"/>
      <c r="Z379" s="7">
        <v>7843.04</v>
      </c>
      <c r="AA379" s="8">
        <f>IFERROR(Z379/Z444, "NA")</f>
        <v>1.164603564575999E-3</v>
      </c>
      <c r="AB379" s="9"/>
      <c r="AC379" s="10">
        <f t="shared" si="95"/>
        <v>-1471.62</v>
      </c>
      <c r="AD379" s="8">
        <f>IFERROR(AC379/AC444, "NA")</f>
        <v>-3.3665255060254199E-3</v>
      </c>
    </row>
    <row r="380" spans="1:30" ht="16.5" customHeight="1" x14ac:dyDescent="0.45">
      <c r="A380" s="20" t="s">
        <v>348</v>
      </c>
      <c r="B380" s="7">
        <v>11800</v>
      </c>
      <c r="C380" s="8">
        <f>IFERROR(B380/B444, "NA")</f>
        <v>2.223660566280038E-2</v>
      </c>
      <c r="D380" s="9"/>
      <c r="E380" s="7">
        <v>11500</v>
      </c>
      <c r="F380" s="8">
        <f>IFERROR(E380/E444, "NA")</f>
        <v>1.9604962060221706E-2</v>
      </c>
      <c r="G380" s="9"/>
      <c r="H380" s="10">
        <f t="shared" si="92"/>
        <v>-300</v>
      </c>
      <c r="I380" s="8">
        <f>IFERROR(H380/H444, "NA")</f>
        <v>5.3638802739011905E-3</v>
      </c>
      <c r="J380" s="9"/>
      <c r="K380" s="7">
        <v>11500</v>
      </c>
      <c r="L380" s="8">
        <f>IFERROR(K380/K444, "NA")</f>
        <v>2.1657992797493246E-2</v>
      </c>
      <c r="M380" s="9"/>
      <c r="N380" s="10">
        <f t="shared" si="93"/>
        <v>-300</v>
      </c>
      <c r="O380" s="8">
        <f>IFERROR(N380/N444, "NA")</f>
        <v>0.92231069572964863</v>
      </c>
      <c r="P380" s="9"/>
      <c r="Q380" s="7">
        <v>140100</v>
      </c>
      <c r="R380" s="8">
        <f>IFERROR(Q380/Q444, "NA")</f>
        <v>1.9535258759763759E-2</v>
      </c>
      <c r="S380" s="9"/>
      <c r="T380" s="7">
        <v>138000</v>
      </c>
      <c r="U380" s="8">
        <f>IFERROR(T380/T444, "NA")</f>
        <v>1.8264111358669229E-2</v>
      </c>
      <c r="V380" s="9"/>
      <c r="W380" s="10">
        <f t="shared" si="94"/>
        <v>-2100</v>
      </c>
      <c r="X380" s="8">
        <f>IFERROR(W380/W444, "NA")</f>
        <v>5.4665652245702778E-3</v>
      </c>
      <c r="Y380" s="9"/>
      <c r="Z380" s="7">
        <v>138000</v>
      </c>
      <c r="AA380" s="8">
        <f>IFERROR(Z380/Z444, "NA")</f>
        <v>2.0491453812741981E-2</v>
      </c>
      <c r="AB380" s="9"/>
      <c r="AC380" s="10">
        <f t="shared" si="95"/>
        <v>-2100</v>
      </c>
      <c r="AD380" s="8">
        <f>IFERROR(AC380/AC444, "NA")</f>
        <v>-4.8040279166180009E-3</v>
      </c>
    </row>
    <row r="381" spans="1:30" ht="16.5" customHeight="1" x14ac:dyDescent="0.45">
      <c r="A381" s="20" t="s">
        <v>349</v>
      </c>
      <c r="B381" s="7">
        <v>-33360</v>
      </c>
      <c r="C381" s="8">
        <f>IFERROR(B381/B444, "NA")</f>
        <v>-6.2865522450086503E-2</v>
      </c>
      <c r="D381" s="9"/>
      <c r="E381" s="7">
        <v>4000</v>
      </c>
      <c r="F381" s="8">
        <f>IFERROR(E381/E444, "NA")</f>
        <v>6.8191172383379843E-3</v>
      </c>
      <c r="G381" s="9"/>
      <c r="H381" s="10">
        <f t="shared" si="92"/>
        <v>37360</v>
      </c>
      <c r="I381" s="8">
        <f>IFERROR(H381/H444, "NA")</f>
        <v>-0.66798189010982822</v>
      </c>
      <c r="J381" s="9"/>
      <c r="K381" s="7">
        <v>-62671.41</v>
      </c>
      <c r="L381" s="8">
        <f>IFERROR(K381/K444, "NA")</f>
        <v>-0.11802929968597793</v>
      </c>
      <c r="M381" s="9"/>
      <c r="N381" s="10">
        <f t="shared" si="93"/>
        <v>-29311.410000000003</v>
      </c>
      <c r="O381" s="8">
        <f>IFERROR(N381/N444, "NA")</f>
        <v>90.11408983305661</v>
      </c>
      <c r="P381" s="9"/>
      <c r="Q381" s="7">
        <v>30199.01</v>
      </c>
      <c r="R381" s="8">
        <f>IFERROR(Q381/Q444, "NA")</f>
        <v>4.210888469940709E-3</v>
      </c>
      <c r="S381" s="9"/>
      <c r="T381" s="7">
        <v>48000</v>
      </c>
      <c r="U381" s="8">
        <f>IFERROR(T381/T444, "NA")</f>
        <v>6.35273438562408E-3</v>
      </c>
      <c r="V381" s="9"/>
      <c r="W381" s="10">
        <f t="shared" si="94"/>
        <v>17800.990000000002</v>
      </c>
      <c r="X381" s="8">
        <f>IFERROR(W381/W444, "NA")</f>
        <v>-4.6338225189011081E-2</v>
      </c>
      <c r="Y381" s="9"/>
      <c r="Z381" s="7">
        <v>83287.31</v>
      </c>
      <c r="AA381" s="8">
        <f>IFERROR(Z381/Z444, "NA")</f>
        <v>1.2367232362699444E-2</v>
      </c>
      <c r="AB381" s="9"/>
      <c r="AC381" s="10">
        <f t="shared" si="95"/>
        <v>53088.3</v>
      </c>
      <c r="AD381" s="8">
        <f>IFERROR(AC381/AC444, "NA")</f>
        <v>0.12144651202180544</v>
      </c>
    </row>
    <row r="382" spans="1:30" ht="16.5" customHeight="1" x14ac:dyDescent="0.45">
      <c r="A382" s="20" t="s">
        <v>350</v>
      </c>
      <c r="B382" s="7">
        <v>719.16</v>
      </c>
      <c r="C382" s="8">
        <f>IFERROR(B382/B444, "NA")</f>
        <v>1.3552268922423323E-3</v>
      </c>
      <c r="D382" s="9"/>
      <c r="E382" s="7">
        <v>795</v>
      </c>
      <c r="F382" s="8">
        <f>IFERROR(E382/E444, "NA")</f>
        <v>1.3552995511196745E-3</v>
      </c>
      <c r="G382" s="9"/>
      <c r="H382" s="10">
        <f t="shared" si="92"/>
        <v>75.840000000000032</v>
      </c>
      <c r="I382" s="8">
        <f>IFERROR(H382/H444, "NA")</f>
        <v>-1.3559889332422216E-3</v>
      </c>
      <c r="J382" s="9"/>
      <c r="K382" s="7">
        <v>505.62</v>
      </c>
      <c r="L382" s="8">
        <f>IFERROR(K382/K444, "NA")</f>
        <v>9.5223602767552482E-4</v>
      </c>
      <c r="M382" s="9"/>
      <c r="N382" s="10">
        <f t="shared" si="93"/>
        <v>-213.53999999999996</v>
      </c>
      <c r="O382" s="8">
        <f>IFERROR(N382/N444, "NA")</f>
        <v>0.65650075322036383</v>
      </c>
      <c r="P382" s="9"/>
      <c r="Q382" s="7">
        <v>6884.94</v>
      </c>
      <c r="R382" s="8">
        <f>IFERROR(Q382/Q444, "NA")</f>
        <v>9.6002201602746521E-4</v>
      </c>
      <c r="S382" s="9"/>
      <c r="T382" s="7">
        <v>9540</v>
      </c>
      <c r="U382" s="8">
        <f>IFERROR(T382/T444, "NA")</f>
        <v>1.2626059591427858E-3</v>
      </c>
      <c r="V382" s="9"/>
      <c r="W382" s="10">
        <f t="shared" si="94"/>
        <v>2655.0600000000004</v>
      </c>
      <c r="X382" s="8">
        <f>IFERROR(W382/W444, "NA")</f>
        <v>-6.9114565072131255E-3</v>
      </c>
      <c r="Y382" s="9"/>
      <c r="Z382" s="7">
        <v>4024.11</v>
      </c>
      <c r="AA382" s="8">
        <f>IFERROR(Z382/Z444, "NA")</f>
        <v>5.9753524784342856E-4</v>
      </c>
      <c r="AB382" s="9"/>
      <c r="AC382" s="10">
        <f t="shared" si="95"/>
        <v>-2860.8299999999995</v>
      </c>
      <c r="AD382" s="8">
        <f>IFERROR(AC382/AC444, "NA")</f>
        <v>-6.5445272308087008E-3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709.22</v>
      </c>
      <c r="C385" s="8">
        <f>IFERROR(B385/B444, "NA")</f>
        <v>1.3364953786585835E-3</v>
      </c>
      <c r="D385" s="9"/>
      <c r="E385" s="7">
        <v>1173.17</v>
      </c>
      <c r="F385" s="8">
        <f>IFERROR(E385/E444, "NA")</f>
        <v>1.9999959426252436E-3</v>
      </c>
      <c r="G385" s="9"/>
      <c r="H385" s="10">
        <f>IFERROR(-(B385-E385), "NA")</f>
        <v>463.95000000000005</v>
      </c>
      <c r="I385" s="8">
        <f>IFERROR(H385/H444, "NA")</f>
        <v>-8.2952408435881912E-3</v>
      </c>
      <c r="J385" s="9"/>
      <c r="K385" s="7">
        <v>1547.31</v>
      </c>
      <c r="L385" s="8">
        <f>IFERROR(K385/K444, "NA")</f>
        <v>2.9140546813468931E-3</v>
      </c>
      <c r="M385" s="9"/>
      <c r="N385" s="10">
        <f>IFERROR(-(B385-K385), "NA")</f>
        <v>838.08999999999992</v>
      </c>
      <c r="O385" s="8">
        <f>IFERROR(N385/N444, "NA")</f>
        <v>-2.576597903280204</v>
      </c>
      <c r="P385" s="9"/>
      <c r="Q385" s="7">
        <v>25769.77</v>
      </c>
      <c r="R385" s="8">
        <f>IFERROR(Q385/Q444, "NA")</f>
        <v>3.5932842621670042E-3</v>
      </c>
      <c r="S385" s="9"/>
      <c r="T385" s="7">
        <v>25702.84</v>
      </c>
      <c r="U385" s="8">
        <f>IFERROR(T385/T444, "NA")</f>
        <v>3.4017357390873754E-3</v>
      </c>
      <c r="V385" s="9"/>
      <c r="W385" s="10">
        <f>IFERROR(-(Q385-T385), "NA")</f>
        <v>-66.930000000000291</v>
      </c>
      <c r="X385" s="8">
        <f>IFERROR(W385/W444, "NA")</f>
        <v>1.7422724308594774E-4</v>
      </c>
      <c r="Y385" s="9"/>
      <c r="Z385" s="7">
        <v>33967.449999999997</v>
      </c>
      <c r="AA385" s="8">
        <f>IFERROR(Z385/Z444, "NA")</f>
        <v>5.0437857450117574E-3</v>
      </c>
      <c r="AB385" s="9"/>
      <c r="AC385" s="10">
        <f>IFERROR(-(Q385-Z385), "NA")</f>
        <v>8197.6799999999967</v>
      </c>
      <c r="AD385" s="8">
        <f>IFERROR(AC385/AC444, "NA")</f>
        <v>1.875327789119097E-2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260.7</v>
      </c>
      <c r="R386" s="8">
        <f>IFERROR(Q386/Q444, "NA")</f>
        <v>3.6351477221059326E-5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-260.7</v>
      </c>
      <c r="X386" s="8">
        <f>IFERROR(W386/W444, "NA")</f>
        <v>6.7863502573593869E-4</v>
      </c>
      <c r="Y386" s="9"/>
      <c r="Z386" s="7">
        <v>5255.6</v>
      </c>
      <c r="AA386" s="8">
        <f>IFERROR(Z386/Z444, "NA")</f>
        <v>7.803977149148316E-4</v>
      </c>
      <c r="AB386" s="9"/>
      <c r="AC386" s="10">
        <f>IFERROR(-(Q386-Z386), "NA")</f>
        <v>4994.9000000000005</v>
      </c>
      <c r="AD386" s="8">
        <f>IFERROR(AC386/AC444, "NA")</f>
        <v>1.1426494781292977E-2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7062.99</v>
      </c>
      <c r="C389" s="8">
        <f>IFERROR(B389/B444, "NA")</f>
        <v>1.3309908765279868E-2</v>
      </c>
      <c r="D389" s="9"/>
      <c r="E389" s="7">
        <v>2433.89</v>
      </c>
      <c r="F389" s="8">
        <f>IFERROR(E389/E444, "NA")</f>
        <v>4.1492453138046092E-3</v>
      </c>
      <c r="G389" s="9"/>
      <c r="H389" s="10">
        <f t="shared" si="96"/>
        <v>-4629.1000000000004</v>
      </c>
      <c r="I389" s="8">
        <f>IFERROR(H389/H444, "NA")</f>
        <v>8.2766460586386675E-2</v>
      </c>
      <c r="J389" s="9"/>
      <c r="K389" s="7">
        <v>3847.23</v>
      </c>
      <c r="L389" s="8">
        <f>IFERROR(K389/K444, "NA")</f>
        <v>7.2455025765478208E-3</v>
      </c>
      <c r="M389" s="9"/>
      <c r="N389" s="10">
        <f t="shared" si="97"/>
        <v>-3215.7599999999998</v>
      </c>
      <c r="O389" s="8">
        <f>IFERROR(N389/N444, "NA")</f>
        <v>9.8864328096652496</v>
      </c>
      <c r="P389" s="9"/>
      <c r="Q389" s="7">
        <v>62712.86</v>
      </c>
      <c r="R389" s="8">
        <f>IFERROR(Q389/Q444, "NA")</f>
        <v>8.7445535165227573E-3</v>
      </c>
      <c r="S389" s="9"/>
      <c r="T389" s="7">
        <v>34624.01</v>
      </c>
      <c r="U389" s="8">
        <f>IFERROR(T389/T444, "NA")</f>
        <v>4.5824403936498333E-3</v>
      </c>
      <c r="V389" s="9"/>
      <c r="W389" s="10">
        <f t="shared" si="98"/>
        <v>-28088.85</v>
      </c>
      <c r="X389" s="8">
        <f>IFERROR(W389/W444, "NA")</f>
        <v>7.3118824099128968E-2</v>
      </c>
      <c r="Y389" s="9"/>
      <c r="Z389" s="7">
        <v>36084.769999999997</v>
      </c>
      <c r="AA389" s="8">
        <f>IFERROR(Z389/Z444, "NA")</f>
        <v>5.3581840420175173E-3</v>
      </c>
      <c r="AB389" s="9"/>
      <c r="AC389" s="10">
        <f t="shared" si="99"/>
        <v>-26628.090000000004</v>
      </c>
      <c r="AD389" s="8">
        <f>IFERROR(AC389/AC444, "NA")</f>
        <v>-6.091527986962697E-2</v>
      </c>
    </row>
    <row r="390" spans="1:30" ht="16.5" customHeight="1" x14ac:dyDescent="0.45">
      <c r="A390" s="12" t="s">
        <v>356</v>
      </c>
      <c r="B390" s="7">
        <v>6320.91</v>
      </c>
      <c r="C390" s="8">
        <f>IFERROR(B390/B444, "NA")</f>
        <v>1.1911490093224708E-2</v>
      </c>
      <c r="D390" s="9"/>
      <c r="E390" s="7">
        <v>11826.54</v>
      </c>
      <c r="F390" s="8">
        <f>IFERROR(E390/E444, "NA")</f>
        <v>2.016164069597343E-2</v>
      </c>
      <c r="G390" s="9"/>
      <c r="H390" s="10">
        <f t="shared" si="96"/>
        <v>5505.630000000001</v>
      </c>
      <c r="I390" s="8">
        <f>IFERROR(H390/H444, "NA")</f>
        <v>-9.843846717466205E-2</v>
      </c>
      <c r="J390" s="9"/>
      <c r="K390" s="7">
        <v>10618.8</v>
      </c>
      <c r="L390" s="8">
        <f>IFERROR(K390/K444, "NA")</f>
        <v>1.9998425558088805E-2</v>
      </c>
      <c r="M390" s="9"/>
      <c r="N390" s="10">
        <f t="shared" si="97"/>
        <v>4297.8899999999994</v>
      </c>
      <c r="O390" s="8">
        <f>IFERROR(N390/N444, "NA")</f>
        <v>-13.213299720231664</v>
      </c>
      <c r="P390" s="9"/>
      <c r="Q390" s="7">
        <v>81757.31</v>
      </c>
      <c r="R390" s="8">
        <f>IFERROR(Q390/Q444, "NA")</f>
        <v>1.1400072850479807E-2</v>
      </c>
      <c r="S390" s="9"/>
      <c r="T390" s="7">
        <v>168242</v>
      </c>
      <c r="U390" s="8">
        <f>IFERROR(T390/T444, "NA")</f>
        <v>2.2266598718878466E-2</v>
      </c>
      <c r="V390" s="9"/>
      <c r="W390" s="10">
        <f t="shared" si="98"/>
        <v>86484.69</v>
      </c>
      <c r="X390" s="8">
        <f>IFERROR(W390/W444, "NA")</f>
        <v>-0.22513057086273375</v>
      </c>
      <c r="Y390" s="9"/>
      <c r="Z390" s="7">
        <v>174669.54</v>
      </c>
      <c r="AA390" s="8">
        <f>IFERROR(Z390/Z444, "NA")</f>
        <v>2.5936469647847016E-2</v>
      </c>
      <c r="AB390" s="9"/>
      <c r="AC390" s="10">
        <f t="shared" si="99"/>
        <v>92912.23000000001</v>
      </c>
      <c r="AD390" s="8">
        <f>IFERROR(AC390/AC444, "NA")</f>
        <v>0.21254902224534883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6654.34</v>
      </c>
      <c r="C392" s="8">
        <f>IFERROR(B392/B444, "NA")</f>
        <v>1.253982495984738E-2</v>
      </c>
      <c r="D392" s="9"/>
      <c r="E392" s="7">
        <v>1816.84</v>
      </c>
      <c r="F392" s="8">
        <f>IFERROR(E392/E444, "NA")</f>
        <v>3.097311240825496E-3</v>
      </c>
      <c r="G392" s="9"/>
      <c r="H392" s="10">
        <f t="shared" si="96"/>
        <v>-4837.5</v>
      </c>
      <c r="I392" s="8">
        <f>IFERROR(H392/H444, "NA")</f>
        <v>8.6492569416656701E-2</v>
      </c>
      <c r="J392" s="9"/>
      <c r="K392" s="7">
        <v>5450.06</v>
      </c>
      <c r="L392" s="8">
        <f>IFERROR(K392/K444, "NA")</f>
        <v>1.026411828051357E-2</v>
      </c>
      <c r="M392" s="9"/>
      <c r="N392" s="10">
        <f t="shared" si="97"/>
        <v>-1204.2799999999997</v>
      </c>
      <c r="O392" s="8">
        <f>IFERROR(N392/N444, "NA")</f>
        <v>3.7024010821776701</v>
      </c>
      <c r="P392" s="9"/>
      <c r="Q392" s="7">
        <v>59598.06</v>
      </c>
      <c r="R392" s="8">
        <f>IFERROR(Q392/Q444, "NA")</f>
        <v>8.3102321461807713E-3</v>
      </c>
      <c r="S392" s="9"/>
      <c r="T392" s="7">
        <v>25845.99</v>
      </c>
      <c r="U392" s="8">
        <f>IFERROR(T392/T444, "NA")</f>
        <v>3.4206814459061693E-3</v>
      </c>
      <c r="V392" s="9"/>
      <c r="W392" s="10">
        <f t="shared" si="98"/>
        <v>-33752.069999999992</v>
      </c>
      <c r="X392" s="8">
        <f>IFERROR(W392/W444, "NA")</f>
        <v>8.7860901009172238E-2</v>
      </c>
      <c r="Y392" s="9"/>
      <c r="Z392" s="7">
        <v>26924.880000000001</v>
      </c>
      <c r="AA392" s="8">
        <f>IFERROR(Z392/Z444, "NA")</f>
        <v>3.9980430067653649E-3</v>
      </c>
      <c r="AB392" s="9"/>
      <c r="AC392" s="10">
        <f t="shared" si="99"/>
        <v>-32673.179999999997</v>
      </c>
      <c r="AD392" s="8">
        <f>IFERROR(AC392/AC444, "NA")</f>
        <v>-7.4744223259373771E-2</v>
      </c>
    </row>
    <row r="393" spans="1:30" ht="16.5" customHeight="1" x14ac:dyDescent="0.45">
      <c r="A393" s="13" t="s">
        <v>359</v>
      </c>
      <c r="B393" s="14">
        <f>IFERROR(B388+B389+B390+B391+B392, "NA")</f>
        <v>20038.239999999998</v>
      </c>
      <c r="C393" s="15">
        <f>IFERROR(B393/B444, "NA")</f>
        <v>3.7761223818351952E-2</v>
      </c>
      <c r="D393" s="2"/>
      <c r="E393" s="14">
        <f>IFERROR(E388+E389+E390+E391+E392, "NA")</f>
        <v>16077.27</v>
      </c>
      <c r="F393" s="15">
        <f>IFERROR(E393/E444, "NA")</f>
        <v>2.7408197250603533E-2</v>
      </c>
      <c r="G393" s="2"/>
      <c r="H393" s="14">
        <f t="shared" si="96"/>
        <v>-3960.9699999999975</v>
      </c>
      <c r="I393" s="15">
        <f>IFERROR(H393/H444, "NA")</f>
        <v>7.0820562828381284E-2</v>
      </c>
      <c r="J393" s="2"/>
      <c r="K393" s="14">
        <f>IFERROR(K388+K389+K390+K391+K392, "NA")</f>
        <v>19916.09</v>
      </c>
      <c r="L393" s="15">
        <f>IFERROR(K393/K444, "NA")</f>
        <v>3.7508046415150195E-2</v>
      </c>
      <c r="M393" s="2"/>
      <c r="N393" s="14">
        <f t="shared" si="97"/>
        <v>-122.14999999999782</v>
      </c>
      <c r="O393" s="15">
        <f>IFERROR(N393/N444, "NA")</f>
        <v>0.37553417161124858</v>
      </c>
      <c r="P393" s="2"/>
      <c r="Q393" s="14">
        <f>IFERROR(Q388+Q389+Q390+Q391+Q392, "NA")</f>
        <v>204068.22999999998</v>
      </c>
      <c r="R393" s="15">
        <f>IFERROR(Q393/Q444, "NA")</f>
        <v>2.8454858513183332E-2</v>
      </c>
      <c r="S393" s="2"/>
      <c r="T393" s="14">
        <f>IFERROR(T388+T389+T390+T391+T392, "NA")</f>
        <v>228712</v>
      </c>
      <c r="U393" s="15">
        <f>IFERROR(T393/T444, "NA")</f>
        <v>3.0269720558434469E-2</v>
      </c>
      <c r="V393" s="2"/>
      <c r="W393" s="14">
        <f t="shared" si="98"/>
        <v>24643.770000000019</v>
      </c>
      <c r="X393" s="15">
        <f>IFERROR(W393/W444, "NA")</f>
        <v>-6.4150845754432556E-2</v>
      </c>
      <c r="Y393" s="2"/>
      <c r="Z393" s="14">
        <f>IFERROR(Z388+Z389+Z390+Z391+Z392, "NA")</f>
        <v>237679.19</v>
      </c>
      <c r="AA393" s="15">
        <f>IFERROR(Z393/Z444, "NA")</f>
        <v>3.5292696696629898E-2</v>
      </c>
      <c r="AB393" s="2"/>
      <c r="AC393" s="14">
        <f t="shared" si="99"/>
        <v>33610.960000000021</v>
      </c>
      <c r="AD393" s="15">
        <f>IFERROR(AC393/AC444, "NA")</f>
        <v>7.6889519116348115E-2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2932.93</v>
      </c>
      <c r="F394" s="8">
        <f>IFERROR(E394/E444, "NA")</f>
        <v>4.9999983804596563E-3</v>
      </c>
      <c r="G394" s="9"/>
      <c r="H394" s="10">
        <f t="shared" si="96"/>
        <v>2932.93</v>
      </c>
      <c r="I394" s="8">
        <f>IFERROR(H394/H444, "NA")</f>
        <v>-5.2439617905776725E-2</v>
      </c>
      <c r="J394" s="9"/>
      <c r="K394" s="7">
        <v>3742.99</v>
      </c>
      <c r="L394" s="8">
        <f>IFERROR(K394/K444, "NA")</f>
        <v>7.0491869966164558E-3</v>
      </c>
      <c r="M394" s="9"/>
      <c r="N394" s="10">
        <f t="shared" si="97"/>
        <v>3742.99</v>
      </c>
      <c r="O394" s="8">
        <f>IFERROR(N394/N444, "NA")</f>
        <v>-11.507332370030392</v>
      </c>
      <c r="P394" s="9"/>
      <c r="Q394" s="7">
        <v>6717.06</v>
      </c>
      <c r="R394" s="8">
        <f>IFERROR(Q394/Q444, "NA")</f>
        <v>9.3661317062711453E-4</v>
      </c>
      <c r="S394" s="9"/>
      <c r="T394" s="7">
        <v>54912.800000000003</v>
      </c>
      <c r="U394" s="8">
        <f>IFERROR(T394/T444, "NA")</f>
        <v>7.2676340160603746E-3</v>
      </c>
      <c r="V394" s="9"/>
      <c r="W394" s="10">
        <f t="shared" si="98"/>
        <v>48195.740000000005</v>
      </c>
      <c r="X394" s="8">
        <f>IFERROR(W394/W444, "NA")</f>
        <v>-0.12545959821734798</v>
      </c>
      <c r="Y394" s="9"/>
      <c r="Z394" s="7">
        <v>50005.11</v>
      </c>
      <c r="AA394" s="8">
        <f>IFERROR(Z394/Z444, "NA")</f>
        <v>7.4251985649716095E-3</v>
      </c>
      <c r="AB394" s="9"/>
      <c r="AC394" s="10">
        <f t="shared" si="99"/>
        <v>43288.05</v>
      </c>
      <c r="AD394" s="8">
        <f>IFERROR(AC394/AC444, "NA")</f>
        <v>9.9027143169502785E-2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20747.46</v>
      </c>
      <c r="C396" s="15">
        <f>IFERROR(B396/B444, "NA")</f>
        <v>3.9097719197010536E-2</v>
      </c>
      <c r="D396" s="2"/>
      <c r="E396" s="14">
        <f>IFERROR(E385+E386+E388+E389+E390+E391+E392+E394+E395, "NA")</f>
        <v>20183.37</v>
      </c>
      <c r="F396" s="15">
        <f>IFERROR(E396/E444, "NA")</f>
        <v>3.4408191573688428E-2</v>
      </c>
      <c r="G396" s="2"/>
      <c r="H396" s="14">
        <f t="shared" si="96"/>
        <v>-564.09000000000015</v>
      </c>
      <c r="I396" s="15">
        <f>IFERROR(H396/H444, "NA")</f>
        <v>1.0085704079016411E-2</v>
      </c>
      <c r="J396" s="2"/>
      <c r="K396" s="14">
        <f>IFERROR(K385+K386+K388+K389+K390+K391+K392+K394+K395, "NA")</f>
        <v>25206.39</v>
      </c>
      <c r="L396" s="15">
        <f>IFERROR(K396/K444, "NA")</f>
        <v>4.7471288093113545E-2</v>
      </c>
      <c r="M396" s="2"/>
      <c r="N396" s="14">
        <f t="shared" si="97"/>
        <v>4458.93</v>
      </c>
      <c r="O396" s="15">
        <f>IFERROR(N396/N444, "NA")</f>
        <v>-13.708396101699343</v>
      </c>
      <c r="P396" s="2"/>
      <c r="Q396" s="14">
        <f>IFERROR(Q385+Q386+Q388+Q389+Q390+Q391+Q392+Q394+Q395, "NA")</f>
        <v>236815.76</v>
      </c>
      <c r="R396" s="15">
        <f>IFERROR(Q396/Q444, "NA")</f>
        <v>3.3021107423198512E-2</v>
      </c>
      <c r="S396" s="2"/>
      <c r="T396" s="14">
        <f>IFERROR(T385+T386+T388+T389+T390+T391+T392+T394+T395, "NA")</f>
        <v>309327.64</v>
      </c>
      <c r="U396" s="15">
        <f>IFERROR(T396/T444, "NA")</f>
        <v>4.093909031358222E-2</v>
      </c>
      <c r="V396" s="2"/>
      <c r="W396" s="14">
        <f t="shared" si="98"/>
        <v>72511.88</v>
      </c>
      <c r="X396" s="15">
        <f>IFERROR(W396/W444, "NA")</f>
        <v>-0.18875758170295859</v>
      </c>
      <c r="Y396" s="2"/>
      <c r="Z396" s="14">
        <f>IFERROR(Z385+Z386+Z388+Z389+Z390+Z391+Z392+Z394+Z395, "NA")</f>
        <v>326907.34999999998</v>
      </c>
      <c r="AA396" s="15">
        <f>IFERROR(Z396/Z444, "NA")</f>
        <v>4.854207872152809E-2</v>
      </c>
      <c r="AB396" s="2"/>
      <c r="AC396" s="14">
        <f t="shared" si="99"/>
        <v>90091.589999999967</v>
      </c>
      <c r="AD396" s="15">
        <f>IFERROR(AC396/AC444, "NA")</f>
        <v>0.20609643495833474</v>
      </c>
    </row>
    <row r="397" spans="1:30" ht="16.5" customHeight="1" x14ac:dyDescent="0.45">
      <c r="A397" s="20" t="s">
        <v>363</v>
      </c>
      <c r="B397" s="7">
        <v>17453.36</v>
      </c>
      <c r="C397" s="8">
        <f>IFERROR(B397/B444, "NA")</f>
        <v>3.28901257466859E-2</v>
      </c>
      <c r="D397" s="9"/>
      <c r="E397" s="7">
        <v>20224.240000000002</v>
      </c>
      <c r="F397" s="8">
        <f>IFERROR(E397/E444, "NA")</f>
        <v>3.4477865904071155E-2</v>
      </c>
      <c r="G397" s="9"/>
      <c r="H397" s="10">
        <f t="shared" si="96"/>
        <v>2770.880000000001</v>
      </c>
      <c r="I397" s="8">
        <f>IFERROR(H397/H444, "NA")</f>
        <v>-4.9542228577824456E-2</v>
      </c>
      <c r="J397" s="9"/>
      <c r="K397" s="7">
        <v>10620.88</v>
      </c>
      <c r="L397" s="8">
        <f>IFERROR(K397/K444, "NA")</f>
        <v>2.0002342829829569E-2</v>
      </c>
      <c r="M397" s="9"/>
      <c r="N397" s="10">
        <f t="shared" si="97"/>
        <v>-6832.4800000000014</v>
      </c>
      <c r="O397" s="8">
        <f>IFERROR(N397/N444, "NA")</f>
        <v>21.005564607863036</v>
      </c>
      <c r="P397" s="9"/>
      <c r="Q397" s="7">
        <v>135874.06</v>
      </c>
      <c r="R397" s="8">
        <f>IFERROR(Q397/Q444, "NA")</f>
        <v>1.8946002290076133E-2</v>
      </c>
      <c r="S397" s="9"/>
      <c r="T397" s="7">
        <v>225099.97</v>
      </c>
      <c r="U397" s="8">
        <f>IFERROR(T397/T444, "NA")</f>
        <v>2.9791673325457266E-2</v>
      </c>
      <c r="V397" s="9"/>
      <c r="W397" s="10">
        <f t="shared" si="98"/>
        <v>89225.91</v>
      </c>
      <c r="X397" s="8">
        <f>IFERROR(W397/W444, "NA")</f>
        <v>-0.23226631273173209</v>
      </c>
      <c r="Y397" s="9"/>
      <c r="Z397" s="7">
        <v>98585.38</v>
      </c>
      <c r="AA397" s="8">
        <f>IFERROR(Z397/Z444, "NA")</f>
        <v>1.4638824354214616E-2</v>
      </c>
      <c r="AB397" s="9"/>
      <c r="AC397" s="10">
        <f t="shared" si="99"/>
        <v>-37288.679999999993</v>
      </c>
      <c r="AD397" s="8">
        <f>IFERROR(AC397/AC444, "NA")</f>
        <v>-8.5302790330397754E-2</v>
      </c>
    </row>
    <row r="398" spans="1:30" ht="16.5" customHeight="1" x14ac:dyDescent="0.45">
      <c r="A398" s="20" t="s">
        <v>364</v>
      </c>
      <c r="B398" s="7">
        <v>388</v>
      </c>
      <c r="C398" s="8">
        <f>IFERROR(B398/B444, "NA")</f>
        <v>7.311697455225887E-4</v>
      </c>
      <c r="D398" s="9"/>
      <c r="E398" s="7">
        <v>75</v>
      </c>
      <c r="F398" s="8">
        <f>IFERROR(E398/E444, "NA")</f>
        <v>1.2785844821883722E-4</v>
      </c>
      <c r="G398" s="9"/>
      <c r="H398" s="10">
        <f t="shared" si="96"/>
        <v>-313</v>
      </c>
      <c r="I398" s="8">
        <f>IFERROR(H398/H444, "NA")</f>
        <v>5.5963150857702417E-3</v>
      </c>
      <c r="J398" s="9"/>
      <c r="K398" s="7">
        <v>178.05</v>
      </c>
      <c r="L398" s="8">
        <f>IFERROR(K398/K444, "NA")</f>
        <v>3.3532222761684111E-4</v>
      </c>
      <c r="M398" s="9"/>
      <c r="N398" s="10">
        <f t="shared" si="97"/>
        <v>-209.95</v>
      </c>
      <c r="O398" s="8">
        <f>IFERROR(N398/N444, "NA")</f>
        <v>0.6454637685614657</v>
      </c>
      <c r="P398" s="9"/>
      <c r="Q398" s="7">
        <v>4848.3999999999996</v>
      </c>
      <c r="R398" s="8">
        <f>IFERROR(Q398/Q444, "NA")</f>
        <v>6.7605102477400858E-4</v>
      </c>
      <c r="S398" s="9"/>
      <c r="T398" s="7">
        <v>900</v>
      </c>
      <c r="U398" s="8">
        <f>IFERROR(T398/T444, "NA")</f>
        <v>1.1911376973045149E-4</v>
      </c>
      <c r="V398" s="9"/>
      <c r="W398" s="10">
        <f t="shared" si="98"/>
        <v>-3948.3999999999996</v>
      </c>
      <c r="X398" s="8">
        <f>IFERROR(W398/W444, "NA")</f>
        <v>1.0278183872711087E-2</v>
      </c>
      <c r="Y398" s="9"/>
      <c r="Z398" s="7">
        <v>1404.11</v>
      </c>
      <c r="AA398" s="8">
        <f>IFERROR(Z398/Z444, "NA")</f>
        <v>2.0849460299281986E-4</v>
      </c>
      <c r="AB398" s="9"/>
      <c r="AC398" s="10">
        <f t="shared" si="99"/>
        <v>-3444.29</v>
      </c>
      <c r="AD398" s="8">
        <f>IFERROR(AC398/AC444, "NA")</f>
        <v>-7.8792691966324824E-3</v>
      </c>
    </row>
    <row r="399" spans="1:30" ht="16.5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700</v>
      </c>
      <c r="F399" s="8">
        <f>IFERROR(E399/E444, "NA")</f>
        <v>1.1933455167091474E-3</v>
      </c>
      <c r="G399" s="9"/>
      <c r="H399" s="10">
        <f t="shared" si="96"/>
        <v>700</v>
      </c>
      <c r="I399" s="8">
        <f>IFERROR(H399/H444, "NA")</f>
        <v>-1.2515720639102777E-2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3974.79</v>
      </c>
      <c r="R399" s="8">
        <f>IFERROR(Q399/Q444, "NA")</f>
        <v>5.5423662502299348E-4</v>
      </c>
      <c r="S399" s="9"/>
      <c r="T399" s="7">
        <v>8400</v>
      </c>
      <c r="U399" s="8">
        <f>IFERROR(T399/T444, "NA")</f>
        <v>1.1117285174842139E-3</v>
      </c>
      <c r="V399" s="9"/>
      <c r="W399" s="10">
        <f t="shared" si="98"/>
        <v>4425.21</v>
      </c>
      <c r="X399" s="8">
        <f>IFERROR(W399/W444, "NA")</f>
        <v>-1.1519380522581257E-2</v>
      </c>
      <c r="Y399" s="9"/>
      <c r="Z399" s="7">
        <v>8681.2000000000007</v>
      </c>
      <c r="AA399" s="8">
        <f>IFERROR(Z399/Z444, "NA")</f>
        <v>1.2890609336172153E-3</v>
      </c>
      <c r="AB399" s="9"/>
      <c r="AC399" s="10">
        <f t="shared" si="99"/>
        <v>4706.4100000000008</v>
      </c>
      <c r="AD399" s="8">
        <f>IFERROR(AC399/AC444, "NA")</f>
        <v>1.0766535727166727E-2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8333.34</v>
      </c>
      <c r="L401" s="8">
        <f>IFERROR(K401/K444, "NA")</f>
        <v>1.5694210234701075E-2</v>
      </c>
      <c r="M401" s="9"/>
      <c r="N401" s="10">
        <f t="shared" si="97"/>
        <v>8333.34</v>
      </c>
      <c r="O401" s="8">
        <f>IFERROR(N401/N444, "NA")</f>
        <v>-25.619762043839035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100000</v>
      </c>
      <c r="AA401" s="8">
        <f>IFERROR(Z401/Z444, "NA")</f>
        <v>1.4848879574450712E-2</v>
      </c>
      <c r="AB401" s="9"/>
      <c r="AC401" s="10">
        <f t="shared" si="99"/>
        <v>100000</v>
      </c>
      <c r="AD401" s="8">
        <f>IFERROR(AC401/AC444, "NA")</f>
        <v>0.2287632341246667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138386.72</v>
      </c>
      <c r="C403" s="15">
        <f>IFERROR(B403/B444, "NA")</f>
        <v>0.26078397640748902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169145.63999999998</v>
      </c>
      <c r="F403" s="15">
        <f>IFERROR(E403/E444, "NA")</f>
        <v>0.28835598737842771</v>
      </c>
      <c r="G403" s="2"/>
      <c r="H403" s="14">
        <f t="shared" si="96"/>
        <v>30758.919999999984</v>
      </c>
      <c r="I403" s="15">
        <f>IFERROR(H403/H444, "NA")</f>
        <v>-0.54995721411501575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106640.41</v>
      </c>
      <c r="L403" s="15">
        <f>IFERROR(K403/K444, "NA")</f>
        <v>0.20083628101754145</v>
      </c>
      <c r="M403" s="2"/>
      <c r="N403" s="14">
        <f t="shared" si="97"/>
        <v>-31746.309999999998</v>
      </c>
      <c r="O403" s="15">
        <f>IFERROR(N403/N444, "NA")</f>
        <v>97.599870876497008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1543565.95</v>
      </c>
      <c r="R403" s="15">
        <f>IFERROR(Q403/Q444, "NA")</f>
        <v>0.21523169340478635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1976844.44</v>
      </c>
      <c r="U403" s="15">
        <f>IFERROR(T403/T444, "NA")</f>
        <v>0.26163265935453706</v>
      </c>
      <c r="V403" s="2"/>
      <c r="W403" s="14">
        <f t="shared" si="98"/>
        <v>433278.49</v>
      </c>
      <c r="X403" s="15">
        <f>IFERROR(W403/W444, "NA")</f>
        <v>-1.1278786314230098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1870638.8000000003</v>
      </c>
      <c r="AA403" s="15">
        <f>IFERROR(Z403/Z444, "NA")</f>
        <v>0.27776890268494991</v>
      </c>
      <c r="AB403" s="2"/>
      <c r="AC403" s="14">
        <f t="shared" si="99"/>
        <v>327072.85000000033</v>
      </c>
      <c r="AD403" s="15">
        <f>IFERROR(AC403/AC444, "NA")</f>
        <v>0.74822242960372065</v>
      </c>
    </row>
    <row r="404" spans="1:30" ht="16.5" customHeight="1" x14ac:dyDescent="0.45">
      <c r="A404" s="22" t="s">
        <v>370</v>
      </c>
      <c r="B404" s="23">
        <f>IFERROR(B345-B403, "NA")</f>
        <v>-181176.9399999998</v>
      </c>
      <c r="C404" s="24">
        <f>IFERROR(B404/B444, "NA")</f>
        <v>-0.3414203533875288</v>
      </c>
      <c r="D404" s="25"/>
      <c r="E404" s="23">
        <f>IFERROR(E345-E403, "NA")</f>
        <v>-117942.7699999999</v>
      </c>
      <c r="F404" s="24">
        <f>IFERROR(E404/E444, "NA")</f>
        <v>-0.20106639401108287</v>
      </c>
      <c r="G404" s="25"/>
      <c r="H404" s="23">
        <f>IFERROR(B404-E404, "NA")</f>
        <v>-63234.169999999896</v>
      </c>
      <c r="I404" s="24">
        <f>IFERROR(H404/H444, "NA")</f>
        <v>1.1306017236650463</v>
      </c>
      <c r="J404" s="25"/>
      <c r="K404" s="23">
        <f>IFERROR(K345-K403, "NA")</f>
        <v>-114447.76000000021</v>
      </c>
      <c r="L404" s="24">
        <f>IFERROR(K404/K444, "NA")</f>
        <v>-0.21553989232776002</v>
      </c>
      <c r="M404" s="25"/>
      <c r="N404" s="23">
        <f>IFERROR(B404-K404, "NA")</f>
        <v>-66729.179999999586</v>
      </c>
      <c r="O404" s="24">
        <f>IFERROR(N404/N444, "NA")</f>
        <v>205.15012143756192</v>
      </c>
      <c r="P404" s="25"/>
      <c r="Q404" s="23">
        <f>IFERROR(Q345-Q403, "NA")</f>
        <v>-1247157.6999999983</v>
      </c>
      <c r="R404" s="24">
        <f>IFERROR(Q404/Q444, "NA")</f>
        <v>-0.17390113050486644</v>
      </c>
      <c r="S404" s="25"/>
      <c r="T404" s="23">
        <f>IFERROR(T345-T403, "NA")</f>
        <v>-985424.42000000109</v>
      </c>
      <c r="U404" s="24">
        <f>IFERROR(T404/T444, "NA")</f>
        <v>-0.13041957494515982</v>
      </c>
      <c r="V404" s="25"/>
      <c r="W404" s="23">
        <f>IFERROR(Q404-T404, "NA")</f>
        <v>-261733.27999999723</v>
      </c>
      <c r="X404" s="24">
        <f>IFERROR(W404/W444, "NA")</f>
        <v>0.68132478407652397</v>
      </c>
      <c r="Y404" s="25"/>
      <c r="Z404" s="23">
        <f>IFERROR(Z345-Z403, "NA")</f>
        <v>-1447192.3200000026</v>
      </c>
      <c r="AA404" s="24">
        <f>IFERROR(Z404/Z444, "NA")</f>
        <v>-0.21489184480749976</v>
      </c>
      <c r="AB404" s="25"/>
      <c r="AC404" s="23">
        <f>IFERROR(Q404-Z404, "NA")</f>
        <v>200034.6200000043</v>
      </c>
      <c r="AD404" s="24">
        <f>IFERROR(AC404/AC444, "NA")</f>
        <v>0.45760566608099718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-110</v>
      </c>
      <c r="C407" s="8">
        <f>IFERROR(B407/B444, "NA")</f>
        <v>-2.0729039177186793E-4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110</v>
      </c>
      <c r="I407" s="8">
        <f>IFERROR(H407/H444, "NA")</f>
        <v>-1.9667561004304366E-3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110</v>
      </c>
      <c r="O407" s="8">
        <f>IFERROR(N407/N444, "NA")</f>
        <v>-0.33818058843420451</v>
      </c>
      <c r="P407" s="9"/>
      <c r="Q407" s="7">
        <v>-135</v>
      </c>
      <c r="R407" s="8">
        <f>IFERROR(Q407/Q444, "NA")</f>
        <v>-1.8824125143241308E-5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135</v>
      </c>
      <c r="X407" s="8">
        <f>IFERROR(W407/W444, "NA")</f>
        <v>-3.5142205015094644E-4</v>
      </c>
      <c r="Y407" s="9"/>
      <c r="Z407" s="7">
        <v>-58938.32</v>
      </c>
      <c r="AA407" s="8">
        <f>IFERROR(Z407/Z444, "NA")</f>
        <v>-8.7516801600043981E-3</v>
      </c>
      <c r="AB407" s="9"/>
      <c r="AC407" s="10">
        <f t="shared" ref="AC407:AC429" si="103">IFERROR(-(Q407-Z407), "NA")</f>
        <v>-58803.32</v>
      </c>
      <c r="AD407" s="8">
        <f>IFERROR(AC407/AC444, "NA")</f>
        <v>-0.13452037660467694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527.33000000000004</v>
      </c>
      <c r="L408" s="8">
        <f>IFERROR(K408/K444, "NA")</f>
        <v>9.9312255146974913E-4</v>
      </c>
      <c r="M408" s="9"/>
      <c r="N408" s="10">
        <f t="shared" si="101"/>
        <v>527.33000000000004</v>
      </c>
      <c r="O408" s="8">
        <f>IFERROR(N408/N444, "NA")</f>
        <v>-1.6212069972637189</v>
      </c>
      <c r="P408" s="9"/>
      <c r="Q408" s="7">
        <v>-107.84</v>
      </c>
      <c r="R408" s="8">
        <f>IFERROR(Q408/Q444, "NA")</f>
        <v>-1.5036990040349205E-5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107.84</v>
      </c>
      <c r="X408" s="8">
        <f>IFERROR(W408/W444, "NA")</f>
        <v>-2.8072113991317084E-4</v>
      </c>
      <c r="Y408" s="9"/>
      <c r="Z408" s="7">
        <v>19808.38</v>
      </c>
      <c r="AA408" s="8">
        <f>IFERROR(Z408/Z444, "NA")</f>
        <v>2.9413224918495798E-3</v>
      </c>
      <c r="AB408" s="9"/>
      <c r="AC408" s="10">
        <f t="shared" si="103"/>
        <v>19916.22</v>
      </c>
      <c r="AD408" s="8">
        <f>IFERROR(AC408/AC444, "NA")</f>
        <v>4.5560988987383692E-2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31404.959999999999</v>
      </c>
      <c r="C410" s="8">
        <f>IFERROR(B410/B444, "NA")</f>
        <v>5.9181331472544015E-2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-31404.959999999999</v>
      </c>
      <c r="I410" s="8">
        <f>IFERROR(H410/H444, "NA")</f>
        <v>0.56150815148885302</v>
      </c>
      <c r="J410" s="9"/>
      <c r="K410" s="7">
        <v>27525.239999999998</v>
      </c>
      <c r="L410" s="8">
        <f>IFERROR(K410/K444, "NA")</f>
        <v>5.1838386927762867E-2</v>
      </c>
      <c r="M410" s="9"/>
      <c r="N410" s="10">
        <f t="shared" si="101"/>
        <v>-3879.7200000000012</v>
      </c>
      <c r="O410" s="8">
        <f>IFERROR(N410/N444, "NA")</f>
        <v>11.927690841454112</v>
      </c>
      <c r="P410" s="9"/>
      <c r="Q410" s="7">
        <v>353677.88</v>
      </c>
      <c r="R410" s="8">
        <f>IFERROR(Q410/Q444, "NA")</f>
        <v>4.9316123507528016E-2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-353677.88</v>
      </c>
      <c r="X410" s="8">
        <f>IFERROR(W410/W444, "NA")</f>
        <v>0.92066819024178081</v>
      </c>
      <c r="Y410" s="9"/>
      <c r="Z410" s="7">
        <v>372073.66</v>
      </c>
      <c r="AA410" s="8">
        <f>IFERROR(Z410/Z444, "NA")</f>
        <v>5.5248769701651178E-2</v>
      </c>
      <c r="AB410" s="9"/>
      <c r="AC410" s="10">
        <f t="shared" si="103"/>
        <v>18395.77999999997</v>
      </c>
      <c r="AD410" s="8">
        <f>IFERROR(AC410/AC444, "NA")</f>
        <v>4.2082781270458544E-2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5.0573202218014732E-4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4.7983484970228751E-3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0.82506840470988607</v>
      </c>
      <c r="P411" s="9"/>
      <c r="Q411" s="7">
        <v>2952.07</v>
      </c>
      <c r="R411" s="8">
        <f>IFERROR(Q411/Q444, "NA")</f>
        <v>4.116306304563583E-4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-2952.07</v>
      </c>
      <c r="X411" s="8">
        <f>IFERROR(W411/W444, "NA")</f>
        <v>7.6846110488081815E-3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-2952.07</v>
      </c>
      <c r="AD411" s="8">
        <f>IFERROR(AC411/AC444, "NA")</f>
        <v>-6.7532508056240481E-3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-107.24000000000001</v>
      </c>
      <c r="C416" s="8">
        <f>IFERROR(B416/B444, "NA")</f>
        <v>-2.020892873965011E-4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107.24000000000001</v>
      </c>
      <c r="I416" s="8">
        <f>IFERROR(H416/H444, "NA")</f>
        <v>-1.9174084019105456E-3</v>
      </c>
      <c r="J416" s="9"/>
      <c r="K416" s="7">
        <v>-294.34999999999997</v>
      </c>
      <c r="L416" s="8">
        <f>IFERROR(K416/K444, "NA")</f>
        <v>-5.5435045042975101E-4</v>
      </c>
      <c r="M416" s="9"/>
      <c r="N416" s="10">
        <f t="shared" si="101"/>
        <v>-187.10999999999996</v>
      </c>
      <c r="O416" s="8">
        <f>IFERROR(N416/N444, "NA")</f>
        <v>0.57524518092658172</v>
      </c>
      <c r="P416" s="9"/>
      <c r="Q416" s="7">
        <v>-924.69</v>
      </c>
      <c r="R416" s="8">
        <f>IFERROR(Q416/Q444, "NA")</f>
        <v>-1.2893689095336153E-4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924.69</v>
      </c>
      <c r="X416" s="8">
        <f>IFERROR(W416/W444, "NA")</f>
        <v>-2.4070848559561383E-3</v>
      </c>
      <c r="Y416" s="9"/>
      <c r="Z416" s="7">
        <v>-1526.0900000000001</v>
      </c>
      <c r="AA416" s="8">
        <f>IFERROR(Z416/Z444, "NA")</f>
        <v>-2.2660726629773487E-4</v>
      </c>
      <c r="AB416" s="9"/>
      <c r="AC416" s="10">
        <f t="shared" si="103"/>
        <v>-601.40000000000009</v>
      </c>
      <c r="AD416" s="8">
        <f>IFERROR(AC416/AC444, "NA")</f>
        <v>-1.3757820900257456E-3</v>
      </c>
    </row>
    <row r="417" spans="1:30" ht="16.5" customHeight="1" x14ac:dyDescent="0.45">
      <c r="A417" s="6" t="s">
        <v>382</v>
      </c>
      <c r="B417" s="7">
        <v>19.919999999999987</v>
      </c>
      <c r="C417" s="8">
        <f>IFERROR(B417/B444, "NA")</f>
        <v>3.7538405491778242E-5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-19.919999999999987</v>
      </c>
      <c r="I417" s="8">
        <f>IFERROR(H417/H444, "NA")</f>
        <v>3.5616165018703883E-4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-19.919999999999987</v>
      </c>
      <c r="O417" s="8">
        <f>IFERROR(N417/N444, "NA")</f>
        <v>6.1241430196448635E-2</v>
      </c>
      <c r="P417" s="9"/>
      <c r="Q417" s="7">
        <v>-1094.21</v>
      </c>
      <c r="R417" s="8">
        <f>IFERROR(Q417/Q444, "NA")</f>
        <v>-1.5257441461471164E-4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1094.21</v>
      </c>
      <c r="X417" s="8">
        <f>IFERROR(W417/W444, "NA")</f>
        <v>-2.8483668258938305E-3</v>
      </c>
      <c r="Y417" s="9"/>
      <c r="Z417" s="7">
        <v>-330.78999999999996</v>
      </c>
      <c r="AA417" s="8">
        <f>IFERROR(Z417/Z444, "NA")</f>
        <v>-4.9118608744325503E-5</v>
      </c>
      <c r="AB417" s="9"/>
      <c r="AC417" s="10">
        <f t="shared" si="103"/>
        <v>763.42000000000007</v>
      </c>
      <c r="AD417" s="8">
        <f>IFERROR(AC417/AC444, "NA")</f>
        <v>1.7464242819545306E-3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-3000</v>
      </c>
      <c r="L418" s="8">
        <f>IFERROR(K418/K444, "NA")</f>
        <v>-5.6499111645634554E-3</v>
      </c>
      <c r="M418" s="9"/>
      <c r="N418" s="10">
        <f t="shared" si="101"/>
        <v>-3000</v>
      </c>
      <c r="O418" s="8">
        <f>IFERROR(N418/N444, "NA")</f>
        <v>9.223106957296487</v>
      </c>
      <c r="P418" s="9"/>
      <c r="Q418" s="7">
        <v>-3725.69</v>
      </c>
      <c r="R418" s="8">
        <f>IFERROR(Q418/Q444, "NA")</f>
        <v>-5.1950262818461265E-4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3725.69</v>
      </c>
      <c r="X418" s="8">
        <f>IFERROR(W418/W444, "NA")</f>
        <v>-9.6984416150139221E-3</v>
      </c>
      <c r="Y418" s="9"/>
      <c r="Z418" s="7">
        <v>-7485.23</v>
      </c>
      <c r="AA418" s="8">
        <f>IFERROR(Z418/Z444, "NA")</f>
        <v>-1.111472788570657E-3</v>
      </c>
      <c r="AB418" s="9"/>
      <c r="AC418" s="10">
        <f t="shared" si="103"/>
        <v>-3759.5399999999995</v>
      </c>
      <c r="AD418" s="8">
        <f>IFERROR(AC418/AC444, "NA")</f>
        <v>-8.6004452922104936E-3</v>
      </c>
    </row>
    <row r="419" spans="1:30" ht="16.5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363.75</v>
      </c>
      <c r="R419" s="8">
        <f>IFERROR(Q419/Q444, "NA")</f>
        <v>5.0720559413733526E-5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-363.75</v>
      </c>
      <c r="X419" s="8">
        <f>IFERROR(W419/W444, "NA")</f>
        <v>9.4688719068449455E-4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-363.75</v>
      </c>
      <c r="AD419" s="8">
        <f>IFERROR(AC419/AC444, "NA")</f>
        <v>-8.3212626412847515E-4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-160</v>
      </c>
      <c r="R421" s="8">
        <f>IFERROR(Q421/Q444, "NA")</f>
        <v>-2.2310074243841552E-5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160</v>
      </c>
      <c r="X421" s="8">
        <f>IFERROR(W421/W444, "NA")</f>
        <v>-4.1650020758630685E-4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160</v>
      </c>
      <c r="AD421" s="8">
        <f>IFERROR(AC421/AC444, "NA")</f>
        <v>3.6602117459946673E-4</v>
      </c>
    </row>
    <row r="422" spans="1:30" ht="16.5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-498.48</v>
      </c>
      <c r="R422" s="8">
        <f>IFERROR(Q422/Q444, "NA")</f>
        <v>-6.9507036306688352E-5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498.48</v>
      </c>
      <c r="X422" s="8">
        <f>IFERROR(W422/W444, "NA")</f>
        <v>-1.2976063967351391E-3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498.48</v>
      </c>
      <c r="AD422" s="8">
        <f>IFERROR(AC422/AC444, "NA")</f>
        <v>1.1403389694646386E-3</v>
      </c>
    </row>
    <row r="423" spans="1:30" ht="16.5" customHeight="1" x14ac:dyDescent="0.45">
      <c r="A423" s="6" t="s">
        <v>388</v>
      </c>
      <c r="B423" s="7">
        <v>-16069.4</v>
      </c>
      <c r="C423" s="8">
        <f>IFERROR(B423/B444, "NA")</f>
        <v>-3.0282111104898677E-2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16069.4</v>
      </c>
      <c r="I423" s="8">
        <f>IFERROR(H423/H444, "NA")</f>
        <v>-0.28731445891142593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16069.4</v>
      </c>
      <c r="O423" s="8">
        <f>IFERROR(N423/N444, "NA")</f>
        <v>-49.403264979860054</v>
      </c>
      <c r="P423" s="9"/>
      <c r="Q423" s="7">
        <v>-56707.62</v>
      </c>
      <c r="R423" s="8">
        <f>IFERROR(Q423/Q444, "NA")</f>
        <v>-7.9071950774472124E-3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56707.62</v>
      </c>
      <c r="X423" s="8">
        <f>IFERROR(W423/W444, "NA")</f>
        <v>-0.14761709688578381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56707.62</v>
      </c>
      <c r="AD423" s="8">
        <f>IFERROR(AC423/AC444, "NA")</f>
        <v>0.12972618550712631</v>
      </c>
    </row>
    <row r="424" spans="1:30" ht="16.5" customHeight="1" x14ac:dyDescent="0.45">
      <c r="A424" s="6" t="s">
        <v>389</v>
      </c>
      <c r="B424" s="7">
        <v>1370.4</v>
      </c>
      <c r="C424" s="8">
        <f>IFERROR(B424/B444, "NA")</f>
        <v>2.5824613898560713E-3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-1370.4</v>
      </c>
      <c r="I424" s="8">
        <f>IFERROR(H424/H444, "NA")</f>
        <v>2.4502205091180639E-2</v>
      </c>
      <c r="J424" s="9"/>
      <c r="K424" s="7">
        <v>328.58</v>
      </c>
      <c r="L424" s="8">
        <f>IFERROR(K424/K444, "NA")</f>
        <v>6.1881593681742007E-4</v>
      </c>
      <c r="M424" s="9"/>
      <c r="N424" s="10">
        <f t="shared" si="101"/>
        <v>-1041.8200000000002</v>
      </c>
      <c r="O424" s="8">
        <f>IFERROR(N424/N444, "NA")</f>
        <v>3.2029390967502089</v>
      </c>
      <c r="P424" s="9"/>
      <c r="Q424" s="7">
        <v>1610</v>
      </c>
      <c r="R424" s="8">
        <f>IFERROR(Q424/Q444, "NA")</f>
        <v>2.244951220786556E-4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-1610</v>
      </c>
      <c r="X424" s="8">
        <f>IFERROR(W424/W444, "NA")</f>
        <v>4.1910333388372129E-3</v>
      </c>
      <c r="Y424" s="9"/>
      <c r="Z424" s="7">
        <v>2624.48</v>
      </c>
      <c r="AA424" s="8">
        <f>IFERROR(Z424/Z444, "NA")</f>
        <v>3.8970587465554402E-4</v>
      </c>
      <c r="AB424" s="9"/>
      <c r="AC424" s="10">
        <f t="shared" si="103"/>
        <v>1014.48</v>
      </c>
      <c r="AD424" s="8">
        <f>IFERROR(AC424/AC444, "NA")</f>
        <v>2.3207572575479189E-3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-2834.73</v>
      </c>
      <c r="C426" s="8">
        <f>IFERROR(B426/B444, "NA")</f>
        <v>-5.3419299297042472E-3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2834.73</v>
      </c>
      <c r="I426" s="8">
        <f>IFERROR(H426/H444, "NA")</f>
        <v>-5.0683841096119737E-2</v>
      </c>
      <c r="J426" s="9"/>
      <c r="K426" s="7">
        <v>-887.47</v>
      </c>
      <c r="L426" s="8">
        <f>IFERROR(K426/K444, "NA")</f>
        <v>-1.6713755537383767E-3</v>
      </c>
      <c r="M426" s="9"/>
      <c r="N426" s="10">
        <f t="shared" si="101"/>
        <v>1947.26</v>
      </c>
      <c r="O426" s="8">
        <f>IFERROR(N426/N444, "NA")</f>
        <v>-5.9865957512217189</v>
      </c>
      <c r="P426" s="9"/>
      <c r="Q426" s="7">
        <v>-112801.65000000001</v>
      </c>
      <c r="R426" s="8">
        <f>IFERROR(Q426/Q444, "NA")</f>
        <v>-1.5728832414548935E-2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112801.65000000001</v>
      </c>
      <c r="X426" s="8">
        <f>IFERROR(W426/W444, "NA")</f>
        <v>-0.29363694150673708</v>
      </c>
      <c r="Y426" s="9"/>
      <c r="Z426" s="7">
        <v>-12634.4</v>
      </c>
      <c r="AA426" s="8">
        <f>IFERROR(Z426/Z444, "NA")</f>
        <v>-1.8760668409544005E-3</v>
      </c>
      <c r="AB426" s="9"/>
      <c r="AC426" s="10">
        <f t="shared" si="103"/>
        <v>100167.25000000001</v>
      </c>
      <c r="AD426" s="8">
        <f>IFERROR(AC426/AC444, "NA")</f>
        <v>0.22914584063374024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13942.279999999995</v>
      </c>
      <c r="C428" s="15">
        <f>IFERROR(B428/B444, "NA")</f>
        <v>2.6273642576300708E-2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-13942.279999999995</v>
      </c>
      <c r="I428" s="15">
        <f>IFERROR(H428/H444, "NA")</f>
        <v>0.24928240221735687</v>
      </c>
      <c r="J428" s="2"/>
      <c r="K428" s="14">
        <f>IFERROR(K407+K408+K409+K410+K411+K412+K413+K414+K415+K416+K417+K418+K419+K420+K421+K422+K423+K424+K425+K426+K427, "NA")</f>
        <v>24199.33</v>
      </c>
      <c r="L428" s="15">
        <f>IFERROR(K428/K444, "NA")</f>
        <v>4.5574688247318459E-2</v>
      </c>
      <c r="M428" s="2"/>
      <c r="N428" s="14">
        <f t="shared" si="101"/>
        <v>10257.050000000007</v>
      </c>
      <c r="O428" s="15">
        <f>IFERROR(N428/N444, "NA")</f>
        <v>-31.533956405445995</v>
      </c>
      <c r="P428" s="2"/>
      <c r="Q428" s="14">
        <f>IFERROR(Q407+Q408+Q409+Q410+Q411+Q412+Q413+Q414+Q415+Q416+Q417+Q418+Q419+Q420+Q421+Q422+Q423+Q424+Q425+Q426+Q427, "NA")</f>
        <v>182448.51999999996</v>
      </c>
      <c r="R428" s="15">
        <f>IFERROR(Q428/Q444, "NA")</f>
        <v>2.5440250167993807E-2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-182448.51999999996</v>
      </c>
      <c r="X428" s="15">
        <f>IFERROR(W428/W444, "NA")</f>
        <v>0.47493654033634025</v>
      </c>
      <c r="Y428" s="2"/>
      <c r="Z428" s="14">
        <f>IFERROR(Z407+Z408+Z409+Z410+Z411+Z412+Z413+Z414+Z415+Z416+Z417+Z418+Z419+Z420+Z421+Z422+Z423+Z424+Z425+Z426+Z427, "NA")</f>
        <v>313591.68999999994</v>
      </c>
      <c r="AA428" s="15">
        <f>IFERROR(Z428/Z444, "NA")</f>
        <v>4.6564852403584781E-2</v>
      </c>
      <c r="AB428" s="2"/>
      <c r="AC428" s="14">
        <f t="shared" si="103"/>
        <v>131143.16999999998</v>
      </c>
      <c r="AD428" s="15">
        <f>IFERROR(AC428/AC444, "NA")</f>
        <v>0.3000073570256096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13942.279999999995</v>
      </c>
      <c r="C429" s="15">
        <f>IFERROR(B429/B444, "NA")</f>
        <v>2.6273642576300708E-2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-13942.279999999995</v>
      </c>
      <c r="I429" s="15">
        <f>IFERROR(H429/H444, "NA")</f>
        <v>0.24928240221735687</v>
      </c>
      <c r="J429" s="2"/>
      <c r="K429" s="14">
        <f>IFERROR(K407+K408+K409+K410+K411+K412+K413+K414+K415+K416+K417+K418+K419+K420+K421+K422+K423+K424+K425+K426+K427, "NA")</f>
        <v>24199.33</v>
      </c>
      <c r="L429" s="15">
        <f>IFERROR(K429/K444, "NA")</f>
        <v>4.5574688247318459E-2</v>
      </c>
      <c r="M429" s="2"/>
      <c r="N429" s="14">
        <f t="shared" si="101"/>
        <v>10257.050000000007</v>
      </c>
      <c r="O429" s="15">
        <f>IFERROR(N429/N444, "NA")</f>
        <v>-31.533956405445995</v>
      </c>
      <c r="P429" s="2"/>
      <c r="Q429" s="14">
        <f>IFERROR(Q407+Q408+Q409+Q410+Q411+Q412+Q413+Q414+Q415+Q416+Q417+Q418+Q419+Q420+Q421+Q422+Q423+Q424+Q425+Q426+Q427, "NA")</f>
        <v>182448.51999999996</v>
      </c>
      <c r="R429" s="15">
        <f>IFERROR(Q429/Q444, "NA")</f>
        <v>2.5440250167993807E-2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-182448.51999999996</v>
      </c>
      <c r="X429" s="15">
        <f>IFERROR(W429/W444, "NA")</f>
        <v>0.47493654033634025</v>
      </c>
      <c r="Y429" s="2"/>
      <c r="Z429" s="14">
        <f>IFERROR(Z407+Z408+Z409+Z410+Z411+Z412+Z413+Z414+Z415+Z416+Z417+Z418+Z419+Z420+Z421+Z422+Z423+Z424+Z425+Z426+Z427, "NA")</f>
        <v>313591.68999999994</v>
      </c>
      <c r="AA429" s="15">
        <f>IFERROR(Z429/Z444, "NA")</f>
        <v>4.6564852403584781E-2</v>
      </c>
      <c r="AB429" s="2"/>
      <c r="AC429" s="14">
        <f t="shared" si="103"/>
        <v>131143.16999999998</v>
      </c>
      <c r="AD429" s="15">
        <f>IFERROR(AC429/AC444, "NA")</f>
        <v>0.3000073570256096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-195119.2199999998</v>
      </c>
      <c r="C443" s="24">
        <f>IFERROR(B443/B444, "NA")</f>
        <v>-0.36769399596382951</v>
      </c>
      <c r="D443" s="25"/>
      <c r="E443" s="23">
        <f>IFERROR(E404-E429-E442, "NA")</f>
        <v>-117942.7699999999</v>
      </c>
      <c r="F443" s="24">
        <f>IFERROR(E443/E444, "NA")</f>
        <v>-0.20106639401108287</v>
      </c>
      <c r="G443" s="25"/>
      <c r="H443" s="23">
        <f>IFERROR(B443-E443, "NA")</f>
        <v>-77176.449999999895</v>
      </c>
      <c r="I443" s="24">
        <f>IFERROR(H443/H444, "NA")</f>
        <v>1.3798841258824033</v>
      </c>
      <c r="J443" s="25"/>
      <c r="K443" s="23">
        <f>IFERROR(K404-K429-K442, "NA")</f>
        <v>-138647.0900000002</v>
      </c>
      <c r="L443" s="24">
        <f>IFERROR(K443/K444, "NA")</f>
        <v>-0.26111458057507847</v>
      </c>
      <c r="M443" s="25"/>
      <c r="N443" s="23">
        <f>IFERROR(B443-K443, "NA")</f>
        <v>-56472.129999999597</v>
      </c>
      <c r="O443" s="24">
        <f>IFERROR(N443/N444, "NA")</f>
        <v>173.61616503211599</v>
      </c>
      <c r="P443" s="25"/>
      <c r="Q443" s="23">
        <f>IFERROR(Q404-Q429-Q442, "NA")</f>
        <v>-1429606.2199999983</v>
      </c>
      <c r="R443" s="24">
        <f>IFERROR(Q443/Q444, "NA")</f>
        <v>-0.19934138067286025</v>
      </c>
      <c r="S443" s="25"/>
      <c r="T443" s="23">
        <f>IFERROR(T404-T429-T442, "NA")</f>
        <v>-985424.42000000109</v>
      </c>
      <c r="U443" s="24">
        <f>IFERROR(T443/T444, "NA")</f>
        <v>-0.13041957494515982</v>
      </c>
      <c r="V443" s="25"/>
      <c r="W443" s="23">
        <f>IFERROR(Q443-T443, "NA")</f>
        <v>-444181.79999999725</v>
      </c>
      <c r="X443" s="24">
        <f>IFERROR(W443/W444, "NA")</f>
        <v>1.1562613244128643</v>
      </c>
      <c r="Y443" s="25"/>
      <c r="Z443" s="23">
        <f>IFERROR(Z404-Z429-Z442, "NA")</f>
        <v>-1760784.0100000026</v>
      </c>
      <c r="AA443" s="24">
        <f>IFERROR(Z443/Z444, "NA")</f>
        <v>-0.26145669721108455</v>
      </c>
      <c r="AB443" s="25"/>
      <c r="AC443" s="23">
        <f>IFERROR(Q443-Z443, "NA")</f>
        <v>331177.79000000423</v>
      </c>
      <c r="AD443" s="24">
        <f>IFERROR(AC443/AC444, "NA")</f>
        <v>0.75761302310660672</v>
      </c>
    </row>
    <row r="444" spans="1:30" ht="15.75" hidden="1" x14ac:dyDescent="0.45">
      <c r="A444" s="26" t="s">
        <v>117</v>
      </c>
      <c r="B444" s="7">
        <v>530656.53</v>
      </c>
      <c r="C444" s="27"/>
      <c r="D444" s="9"/>
      <c r="E444" s="7">
        <v>586586.18999999994</v>
      </c>
      <c r="F444" s="27"/>
      <c r="G444" s="9"/>
      <c r="H444" s="10">
        <f>IFERROR(B444-E444, "NA")</f>
        <v>-55929.659999999916</v>
      </c>
      <c r="I444" s="27"/>
      <c r="J444" s="9"/>
      <c r="K444" s="7">
        <v>530981.80000000005</v>
      </c>
      <c r="L444" s="27"/>
      <c r="M444" s="9"/>
      <c r="N444" s="10">
        <f>IFERROR(B444-K444, "NA")</f>
        <v>-325.27000000001863</v>
      </c>
      <c r="O444" s="27"/>
      <c r="P444" s="9"/>
      <c r="Q444" s="7">
        <v>7171648.0300000003</v>
      </c>
      <c r="R444" s="27"/>
      <c r="S444" s="9"/>
      <c r="T444" s="7">
        <v>7555801.5</v>
      </c>
      <c r="U444" s="27"/>
      <c r="V444" s="9"/>
      <c r="W444" s="10">
        <f>IFERROR(Q444-T444, "NA")</f>
        <v>-384153.46999999974</v>
      </c>
      <c r="X444" s="27"/>
      <c r="Y444" s="9"/>
      <c r="Z444" s="7">
        <v>6734514.8500000006</v>
      </c>
      <c r="AA444" s="27"/>
      <c r="AB444" s="9"/>
      <c r="AC444" s="10">
        <f>IFERROR(Q444-Z444, "NA")</f>
        <v>437133.1799999997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111794.64</v>
      </c>
      <c r="C350" s="8" t="str">
        <f>IFERROR(B350/B444, "NA")</f>
        <v>NA</v>
      </c>
      <c r="D350" s="9"/>
      <c r="E350" s="7">
        <v>77644</v>
      </c>
      <c r="F350" s="8" t="str">
        <f>IFERROR(E350/E444, "NA")</f>
        <v>NA</v>
      </c>
      <c r="G350" s="9"/>
      <c r="H350" s="10">
        <f t="shared" si="88"/>
        <v>-34150.639999999999</v>
      </c>
      <c r="I350" s="8" t="str">
        <f>IFERROR(H350/H444, "NA")</f>
        <v>NA</v>
      </c>
      <c r="J350" s="9"/>
      <c r="K350" s="7">
        <v>68144.19</v>
      </c>
      <c r="L350" s="8" t="str">
        <f>IFERROR(K350/K444, "NA")</f>
        <v>NA</v>
      </c>
      <c r="M350" s="9"/>
      <c r="N350" s="10">
        <f t="shared" si="89"/>
        <v>-43650.45</v>
      </c>
      <c r="O350" s="8" t="str">
        <f>IFERROR(N350/N444, "NA")</f>
        <v>NA</v>
      </c>
      <c r="P350" s="9"/>
      <c r="Q350" s="7">
        <v>652367.68999999994</v>
      </c>
      <c r="R350" s="8" t="str">
        <f>IFERROR(Q350/Q444, "NA")</f>
        <v>NA</v>
      </c>
      <c r="S350" s="9"/>
      <c r="T350" s="7">
        <v>800189</v>
      </c>
      <c r="U350" s="8" t="str">
        <f>IFERROR(T350/T444, "NA")</f>
        <v>NA</v>
      </c>
      <c r="V350" s="9"/>
      <c r="W350" s="10">
        <f t="shared" si="90"/>
        <v>147821.31000000006</v>
      </c>
      <c r="X350" s="8" t="str">
        <f>IFERROR(W350/W444, "NA")</f>
        <v>NA</v>
      </c>
      <c r="Y350" s="9"/>
      <c r="Z350" s="7">
        <v>653214.55000000005</v>
      </c>
      <c r="AA350" s="8" t="str">
        <f>IFERROR(Z350/Z444, "NA")</f>
        <v>NA</v>
      </c>
      <c r="AB350" s="9"/>
      <c r="AC350" s="10">
        <f t="shared" si="91"/>
        <v>846.86000000010245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13461.55</v>
      </c>
      <c r="L352" s="8" t="str">
        <f>IFERROR(K352/K444, "NA")</f>
        <v>NA</v>
      </c>
      <c r="M352" s="9"/>
      <c r="N352" s="10">
        <f t="shared" si="89"/>
        <v>13461.55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23375</v>
      </c>
      <c r="U352" s="8" t="str">
        <f>IFERROR(T352/T444, "NA")</f>
        <v>NA</v>
      </c>
      <c r="V352" s="9"/>
      <c r="W352" s="10">
        <f t="shared" si="90"/>
        <v>23375</v>
      </c>
      <c r="X352" s="8" t="str">
        <f>IFERROR(W352/W444, "NA")</f>
        <v>NA</v>
      </c>
      <c r="Y352" s="9"/>
      <c r="Z352" s="7">
        <v>129807.79</v>
      </c>
      <c r="AA352" s="8" t="str">
        <f>IFERROR(Z352/Z444, "NA")</f>
        <v>NA</v>
      </c>
      <c r="AB352" s="9"/>
      <c r="AC352" s="10">
        <f t="shared" si="91"/>
        <v>129807.79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5162.6099999999997</v>
      </c>
      <c r="F353" s="8" t="str">
        <f>IFERROR(E353/E444, "NA")</f>
        <v>NA</v>
      </c>
      <c r="G353" s="9"/>
      <c r="H353" s="10">
        <f t="shared" si="88"/>
        <v>5162.6099999999997</v>
      </c>
      <c r="I353" s="8" t="str">
        <f>IFERROR(H353/H444, "NA")</f>
        <v>NA</v>
      </c>
      <c r="J353" s="9"/>
      <c r="K353" s="7">
        <v>4635.45</v>
      </c>
      <c r="L353" s="8" t="str">
        <f>IFERROR(K353/K444, "NA")</f>
        <v>NA</v>
      </c>
      <c r="M353" s="9"/>
      <c r="N353" s="10">
        <f t="shared" si="89"/>
        <v>4635.45</v>
      </c>
      <c r="O353" s="8" t="str">
        <f>IFERROR(N353/N444, "NA")</f>
        <v>NA</v>
      </c>
      <c r="P353" s="9"/>
      <c r="Q353" s="7">
        <v>7499.8</v>
      </c>
      <c r="R353" s="8" t="str">
        <f>IFERROR(Q353/Q444, "NA")</f>
        <v>NA</v>
      </c>
      <c r="S353" s="9"/>
      <c r="T353" s="7">
        <v>64684.23</v>
      </c>
      <c r="U353" s="8" t="str">
        <f>IFERROR(T353/T444, "NA")</f>
        <v>NA</v>
      </c>
      <c r="V353" s="9"/>
      <c r="W353" s="10">
        <f t="shared" si="90"/>
        <v>57184.43</v>
      </c>
      <c r="X353" s="8" t="str">
        <f>IFERROR(W353/W444, "NA")</f>
        <v>NA</v>
      </c>
      <c r="Y353" s="9"/>
      <c r="Z353" s="7">
        <v>29958.33</v>
      </c>
      <c r="AA353" s="8" t="str">
        <f>IFERROR(Z353/Z444, "NA")</f>
        <v>NA</v>
      </c>
      <c r="AB353" s="9"/>
      <c r="AC353" s="10">
        <f t="shared" si="91"/>
        <v>22458.530000000002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9675.67</v>
      </c>
      <c r="C354" s="8" t="str">
        <f>IFERROR(B354/B444, "NA")</f>
        <v>NA</v>
      </c>
      <c r="D354" s="9"/>
      <c r="E354" s="7">
        <v>5260.19</v>
      </c>
      <c r="F354" s="8" t="str">
        <f>IFERROR(E354/E444, "NA")</f>
        <v>NA</v>
      </c>
      <c r="G354" s="9"/>
      <c r="H354" s="10">
        <f t="shared" si="88"/>
        <v>-4415.4800000000005</v>
      </c>
      <c r="I354" s="8" t="str">
        <f>IFERROR(H354/H444, "NA")</f>
        <v>NA</v>
      </c>
      <c r="J354" s="9"/>
      <c r="K354" s="7">
        <v>5973.29</v>
      </c>
      <c r="L354" s="8" t="str">
        <f>IFERROR(K354/K444, "NA")</f>
        <v>NA</v>
      </c>
      <c r="M354" s="9"/>
      <c r="N354" s="10">
        <f t="shared" si="89"/>
        <v>-3702.38</v>
      </c>
      <c r="O354" s="8" t="str">
        <f>IFERROR(N354/N444, "NA")</f>
        <v>NA</v>
      </c>
      <c r="P354" s="9"/>
      <c r="Q354" s="7">
        <v>53801.42</v>
      </c>
      <c r="R354" s="8" t="str">
        <f>IFERROR(Q354/Q444, "NA")</f>
        <v>NA</v>
      </c>
      <c r="S354" s="9"/>
      <c r="T354" s="7">
        <v>64861.88</v>
      </c>
      <c r="U354" s="8" t="str">
        <f>IFERROR(T354/T444, "NA")</f>
        <v>NA</v>
      </c>
      <c r="V354" s="9"/>
      <c r="W354" s="10">
        <f t="shared" si="90"/>
        <v>11060.46</v>
      </c>
      <c r="X354" s="8" t="str">
        <f>IFERROR(W354/W444, "NA")</f>
        <v>NA</v>
      </c>
      <c r="Y354" s="9"/>
      <c r="Z354" s="7">
        <v>58552.69</v>
      </c>
      <c r="AA354" s="8" t="str">
        <f>IFERROR(Z354/Z444, "NA")</f>
        <v>NA</v>
      </c>
      <c r="AB354" s="9"/>
      <c r="AC354" s="10">
        <f t="shared" si="91"/>
        <v>4751.2700000000041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381.6</v>
      </c>
      <c r="C355" s="8" t="str">
        <f>IFERROR(B355/B444, "NA")</f>
        <v>NA</v>
      </c>
      <c r="D355" s="9"/>
      <c r="E355" s="7">
        <v>350</v>
      </c>
      <c r="F355" s="8" t="str">
        <f>IFERROR(E355/E444, "NA")</f>
        <v>NA</v>
      </c>
      <c r="G355" s="9"/>
      <c r="H355" s="10">
        <f t="shared" si="88"/>
        <v>-31.600000000000023</v>
      </c>
      <c r="I355" s="8" t="str">
        <f>IFERROR(H355/H444, "NA")</f>
        <v>NA</v>
      </c>
      <c r="J355" s="9"/>
      <c r="K355" s="7">
        <v>233.2</v>
      </c>
      <c r="L355" s="8" t="str">
        <f>IFERROR(K355/K444, "NA")</f>
        <v>NA</v>
      </c>
      <c r="M355" s="9"/>
      <c r="N355" s="10">
        <f t="shared" si="89"/>
        <v>-148.40000000000003</v>
      </c>
      <c r="O355" s="8" t="str">
        <f>IFERROR(N355/N444, "NA")</f>
        <v>NA</v>
      </c>
      <c r="P355" s="9"/>
      <c r="Q355" s="7">
        <v>2809</v>
      </c>
      <c r="R355" s="8" t="str">
        <f>IFERROR(Q355/Q444, "NA")</f>
        <v>NA</v>
      </c>
      <c r="S355" s="9"/>
      <c r="T355" s="7">
        <v>3640</v>
      </c>
      <c r="U355" s="8" t="str">
        <f>IFERROR(T355/T444, "NA")</f>
        <v>NA</v>
      </c>
      <c r="V355" s="9"/>
      <c r="W355" s="10">
        <f t="shared" si="90"/>
        <v>831</v>
      </c>
      <c r="X355" s="8" t="str">
        <f>IFERROR(W355/W444, "NA")</f>
        <v>NA</v>
      </c>
      <c r="Y355" s="9"/>
      <c r="Z355" s="7">
        <v>2832.32</v>
      </c>
      <c r="AA355" s="8" t="str">
        <f>IFERROR(Z355/Z444, "NA")</f>
        <v>NA</v>
      </c>
      <c r="AB355" s="9"/>
      <c r="AC355" s="10">
        <f t="shared" si="91"/>
        <v>23.320000000000164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-22762.5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28950</v>
      </c>
      <c r="I356" s="8" t="str">
        <f>IFERROR(H356/H444, "NA")</f>
        <v>NA</v>
      </c>
      <c r="J356" s="9"/>
      <c r="K356" s="7">
        <v>0</v>
      </c>
      <c r="L356" s="8" t="str">
        <f>IFERROR(K356/K444, "NA")</f>
        <v>NA</v>
      </c>
      <c r="M356" s="9"/>
      <c r="N356" s="10">
        <f t="shared" si="89"/>
        <v>22762.5</v>
      </c>
      <c r="O356" s="8" t="str">
        <f>IFERROR(N356/N444, "NA")</f>
        <v>NA</v>
      </c>
      <c r="P356" s="9"/>
      <c r="Q356" s="7">
        <v>4612.5</v>
      </c>
      <c r="R356" s="8" t="str">
        <f>IFERROR(Q356/Q444, "NA")</f>
        <v>NA</v>
      </c>
      <c r="S356" s="9"/>
      <c r="T356" s="7">
        <v>74250</v>
      </c>
      <c r="U356" s="8" t="str">
        <f>IFERROR(T356/T444, "NA")</f>
        <v>NA</v>
      </c>
      <c r="V356" s="9"/>
      <c r="W356" s="10">
        <f t="shared" si="90"/>
        <v>69637.5</v>
      </c>
      <c r="X356" s="8" t="str">
        <f>IFERROR(W356/W444, "NA")</f>
        <v>NA</v>
      </c>
      <c r="Y356" s="9"/>
      <c r="Z356" s="7">
        <v>14300</v>
      </c>
      <c r="AA356" s="8" t="str">
        <f>IFERROR(Z356/Z444, "NA")</f>
        <v>NA</v>
      </c>
      <c r="AB356" s="9"/>
      <c r="AC356" s="10">
        <f t="shared" si="91"/>
        <v>9687.5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2242.23</v>
      </c>
      <c r="C357" s="8" t="str">
        <f>IFERROR(B357/B444, "NA")</f>
        <v>NA</v>
      </c>
      <c r="D357" s="9"/>
      <c r="E357" s="7">
        <v>3183.4</v>
      </c>
      <c r="F357" s="8" t="str">
        <f>IFERROR(E357/E444, "NA")</f>
        <v>NA</v>
      </c>
      <c r="G357" s="9"/>
      <c r="H357" s="10">
        <f t="shared" si="88"/>
        <v>941.17000000000007</v>
      </c>
      <c r="I357" s="8" t="str">
        <f>IFERROR(H357/H444, "NA")</f>
        <v>NA</v>
      </c>
      <c r="J357" s="9"/>
      <c r="K357" s="7">
        <v>2961.12</v>
      </c>
      <c r="L357" s="8" t="str">
        <f>IFERROR(K357/K444, "NA")</f>
        <v>NA</v>
      </c>
      <c r="M357" s="9"/>
      <c r="N357" s="10">
        <f t="shared" si="89"/>
        <v>718.88999999999987</v>
      </c>
      <c r="O357" s="8" t="str">
        <f>IFERROR(N357/N444, "NA")</f>
        <v>NA</v>
      </c>
      <c r="P357" s="9"/>
      <c r="Q357" s="7">
        <v>41172.949999999997</v>
      </c>
      <c r="R357" s="8" t="str">
        <f>IFERROR(Q357/Q444, "NA")</f>
        <v>NA</v>
      </c>
      <c r="S357" s="9"/>
      <c r="T357" s="7">
        <v>32807.760000000002</v>
      </c>
      <c r="U357" s="8" t="str">
        <f>IFERROR(T357/T444, "NA")</f>
        <v>NA</v>
      </c>
      <c r="V357" s="9"/>
      <c r="W357" s="10">
        <f t="shared" si="90"/>
        <v>-8365.1899999999951</v>
      </c>
      <c r="X357" s="8" t="str">
        <f>IFERROR(W357/W444, "NA")</f>
        <v>NA</v>
      </c>
      <c r="Y357" s="9"/>
      <c r="Z357" s="7">
        <v>32205.22</v>
      </c>
      <c r="AA357" s="8" t="str">
        <f>IFERROR(Z357/Z444, "NA")</f>
        <v>NA</v>
      </c>
      <c r="AB357" s="9"/>
      <c r="AC357" s="10">
        <f t="shared" si="91"/>
        <v>-8967.7299999999959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101331.64</v>
      </c>
      <c r="C358" s="15" t="str">
        <f>IFERROR(B358/B444, "NA")</f>
        <v>NA</v>
      </c>
      <c r="D358" s="2"/>
      <c r="E358" s="14">
        <f>IFERROR(E349+E350+E351+E352+E353+E354+E355+E356+E357, "NA")</f>
        <v>97787.7</v>
      </c>
      <c r="F358" s="15" t="str">
        <f>IFERROR(E358/E444, "NA")</f>
        <v>NA</v>
      </c>
      <c r="G358" s="2"/>
      <c r="H358" s="14">
        <f t="shared" si="88"/>
        <v>-3543.9400000000023</v>
      </c>
      <c r="I358" s="15" t="str">
        <f>IFERROR(H358/H444, "NA")</f>
        <v>NA</v>
      </c>
      <c r="J358" s="2"/>
      <c r="K358" s="14">
        <f>IFERROR(K349+K350+K351+K352+K353+K354+K355+K356+K357, "NA")</f>
        <v>95408.799999999988</v>
      </c>
      <c r="L358" s="15" t="str">
        <f>IFERROR(K358/K444, "NA")</f>
        <v>NA</v>
      </c>
      <c r="M358" s="2"/>
      <c r="N358" s="14">
        <f t="shared" si="89"/>
        <v>-5922.8400000000111</v>
      </c>
      <c r="O358" s="15" t="str">
        <f>IFERROR(N358/N444, "NA")</f>
        <v>NA</v>
      </c>
      <c r="P358" s="2"/>
      <c r="Q358" s="14">
        <f>IFERROR(Q349+Q350+Q351+Q352+Q353+Q354+Q355+Q356+Q357, "NA")</f>
        <v>762263.36</v>
      </c>
      <c r="R358" s="15" t="str">
        <f>IFERROR(Q358/Q444, "NA")</f>
        <v>NA</v>
      </c>
      <c r="S358" s="2"/>
      <c r="T358" s="14">
        <f>IFERROR(T349+T350+T351+T352+T353+T354+T355+T356+T357, "NA")</f>
        <v>1063807.8699999999</v>
      </c>
      <c r="U358" s="15" t="str">
        <f>IFERROR(T358/T444, "NA")</f>
        <v>NA</v>
      </c>
      <c r="V358" s="2"/>
      <c r="W358" s="14">
        <f t="shared" si="90"/>
        <v>301544.50999999989</v>
      </c>
      <c r="X358" s="15" t="str">
        <f>IFERROR(W358/W444, "NA")</f>
        <v>NA</v>
      </c>
      <c r="Y358" s="2"/>
      <c r="Z358" s="14">
        <f>IFERROR(Z349+Z350+Z351+Z352+Z353+Z354+Z355+Z356+Z357, "NA")</f>
        <v>920870.9</v>
      </c>
      <c r="AA358" s="15" t="str">
        <f>IFERROR(Z358/Z444, "NA")</f>
        <v>NA</v>
      </c>
      <c r="AB358" s="2"/>
      <c r="AC358" s="14">
        <f t="shared" si="91"/>
        <v>158607.54000000004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17500</v>
      </c>
      <c r="U360" s="8" t="str">
        <f>IFERROR(T360/T444, "NA")</f>
        <v>NA</v>
      </c>
      <c r="V360" s="9"/>
      <c r="W360" s="10">
        <f t="shared" ref="W360:W383" si="94">IFERROR(-(Q360-T360), "NA")</f>
        <v>17500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0</v>
      </c>
      <c r="L361" s="8" t="str">
        <f>IFERROR(K361/K444, "NA")</f>
        <v>NA</v>
      </c>
      <c r="M361" s="9"/>
      <c r="N361" s="10">
        <f t="shared" si="93"/>
        <v>0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3606.01</v>
      </c>
      <c r="AA361" s="8" t="str">
        <f>IFERROR(Z361/Z444, "NA")</f>
        <v>NA</v>
      </c>
      <c r="AB361" s="9"/>
      <c r="AC361" s="10">
        <f t="shared" si="95"/>
        <v>3606.01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305.54000000000002</v>
      </c>
      <c r="C362" s="8" t="str">
        <f>IFERROR(B362/B444, "NA")</f>
        <v>NA</v>
      </c>
      <c r="D362" s="9"/>
      <c r="E362" s="7">
        <v>500</v>
      </c>
      <c r="F362" s="8" t="str">
        <f>IFERROR(E362/E444, "NA")</f>
        <v>NA</v>
      </c>
      <c r="G362" s="9"/>
      <c r="H362" s="10">
        <f t="shared" si="92"/>
        <v>194.45999999999998</v>
      </c>
      <c r="I362" s="8" t="str">
        <f>IFERROR(H362/H444, "NA")</f>
        <v>NA</v>
      </c>
      <c r="J362" s="9"/>
      <c r="K362" s="7">
        <v>479.8</v>
      </c>
      <c r="L362" s="8" t="str">
        <f>IFERROR(K362/K444, "NA")</f>
        <v>NA</v>
      </c>
      <c r="M362" s="9"/>
      <c r="N362" s="10">
        <f t="shared" si="93"/>
        <v>174.26</v>
      </c>
      <c r="O362" s="8" t="str">
        <f>IFERROR(N362/N444, "NA")</f>
        <v>NA</v>
      </c>
      <c r="P362" s="9"/>
      <c r="Q362" s="7">
        <v>8901.73</v>
      </c>
      <c r="R362" s="8" t="str">
        <f>IFERROR(Q362/Q444, "NA")</f>
        <v>NA</v>
      </c>
      <c r="S362" s="9"/>
      <c r="T362" s="7">
        <v>5400</v>
      </c>
      <c r="U362" s="8" t="str">
        <f>IFERROR(T362/T444, "NA")</f>
        <v>NA</v>
      </c>
      <c r="V362" s="9"/>
      <c r="W362" s="10">
        <f t="shared" si="94"/>
        <v>-3501.7299999999996</v>
      </c>
      <c r="X362" s="8" t="str">
        <f>IFERROR(W362/W444, "NA")</f>
        <v>NA</v>
      </c>
      <c r="Y362" s="9"/>
      <c r="Z362" s="7">
        <v>7545.64</v>
      </c>
      <c r="AA362" s="8" t="str">
        <f>IFERROR(Z362/Z444, "NA")</f>
        <v>NA</v>
      </c>
      <c r="AB362" s="9"/>
      <c r="AC362" s="10">
        <f t="shared" si="95"/>
        <v>-1356.0899999999992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544.69000000000005</v>
      </c>
      <c r="C363" s="8" t="str">
        <f>IFERROR(B363/B444, "NA")</f>
        <v>NA</v>
      </c>
      <c r="D363" s="9"/>
      <c r="E363" s="7">
        <v>250</v>
      </c>
      <c r="F363" s="8" t="str">
        <f>IFERROR(E363/E444, "NA")</f>
        <v>NA</v>
      </c>
      <c r="G363" s="9"/>
      <c r="H363" s="10">
        <f t="shared" si="92"/>
        <v>-294.69000000000005</v>
      </c>
      <c r="I363" s="8" t="str">
        <f>IFERROR(H363/H444, "NA")</f>
        <v>NA</v>
      </c>
      <c r="J363" s="9"/>
      <c r="K363" s="7">
        <v>237.26</v>
      </c>
      <c r="L363" s="8" t="str">
        <f>IFERROR(K363/K444, "NA")</f>
        <v>NA</v>
      </c>
      <c r="M363" s="9"/>
      <c r="N363" s="10">
        <f t="shared" si="93"/>
        <v>-307.43000000000006</v>
      </c>
      <c r="O363" s="8" t="str">
        <f>IFERROR(N363/N444, "NA")</f>
        <v>NA</v>
      </c>
      <c r="P363" s="9"/>
      <c r="Q363" s="7">
        <v>10987.39</v>
      </c>
      <c r="R363" s="8" t="str">
        <f>IFERROR(Q363/Q444, "NA")</f>
        <v>NA</v>
      </c>
      <c r="S363" s="9"/>
      <c r="T363" s="7">
        <v>2600</v>
      </c>
      <c r="U363" s="8" t="str">
        <f>IFERROR(T363/T444, "NA")</f>
        <v>NA</v>
      </c>
      <c r="V363" s="9"/>
      <c r="W363" s="10">
        <f t="shared" si="94"/>
        <v>-8387.39</v>
      </c>
      <c r="X363" s="8" t="str">
        <f>IFERROR(W363/W444, "NA")</f>
        <v>NA</v>
      </c>
      <c r="Y363" s="9"/>
      <c r="Z363" s="7">
        <v>19634.89</v>
      </c>
      <c r="AA363" s="8" t="str">
        <f>IFERROR(Z363/Z444, "NA")</f>
        <v>NA</v>
      </c>
      <c r="AB363" s="9"/>
      <c r="AC363" s="10">
        <f t="shared" si="95"/>
        <v>8647.5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1113.48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-1113.48</v>
      </c>
      <c r="I364" s="8" t="str">
        <f>IFERROR(H364/H444, "NA")</f>
        <v>NA</v>
      </c>
      <c r="J364" s="9"/>
      <c r="K364" s="7">
        <v>887.08</v>
      </c>
      <c r="L364" s="8" t="str">
        <f>IFERROR(K364/K444, "NA")</f>
        <v>NA</v>
      </c>
      <c r="M364" s="9"/>
      <c r="N364" s="10">
        <f t="shared" si="93"/>
        <v>-226.39999999999998</v>
      </c>
      <c r="O364" s="8" t="str">
        <f>IFERROR(N364/N444, "NA")</f>
        <v>NA</v>
      </c>
      <c r="P364" s="9"/>
      <c r="Q364" s="7">
        <v>8114.61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-8114.61</v>
      </c>
      <c r="X364" s="8" t="str">
        <f>IFERROR(W364/W444, "NA")</f>
        <v>NA</v>
      </c>
      <c r="Y364" s="9"/>
      <c r="Z364" s="7">
        <v>14123.77</v>
      </c>
      <c r="AA364" s="8" t="str">
        <f>IFERROR(Z364/Z444, "NA")</f>
        <v>NA</v>
      </c>
      <c r="AB364" s="9"/>
      <c r="AC364" s="10">
        <f t="shared" si="95"/>
        <v>6009.1600000000008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0</v>
      </c>
      <c r="C365" s="8" t="str">
        <f>IFERROR(B365/B444, "NA")</f>
        <v>NA</v>
      </c>
      <c r="D365" s="9"/>
      <c r="E365" s="7">
        <v>0</v>
      </c>
      <c r="F365" s="8" t="str">
        <f>IFERROR(E365/E444, "NA")</f>
        <v>NA</v>
      </c>
      <c r="G365" s="9"/>
      <c r="H365" s="10">
        <f t="shared" si="92"/>
        <v>0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0</v>
      </c>
      <c r="O365" s="8" t="str">
        <f>IFERROR(N365/N444, "NA")</f>
        <v>NA</v>
      </c>
      <c r="P365" s="9"/>
      <c r="Q365" s="7">
        <v>5302.6</v>
      </c>
      <c r="R365" s="8" t="str">
        <f>IFERROR(Q365/Q444, "NA")</f>
        <v>NA</v>
      </c>
      <c r="S365" s="9"/>
      <c r="T365" s="7">
        <v>2100</v>
      </c>
      <c r="U365" s="8" t="str">
        <f>IFERROR(T365/T444, "NA")</f>
        <v>NA</v>
      </c>
      <c r="V365" s="9"/>
      <c r="W365" s="10">
        <f t="shared" si="94"/>
        <v>-3202.6000000000004</v>
      </c>
      <c r="X365" s="8" t="str">
        <f>IFERROR(W365/W444, "NA")</f>
        <v>NA</v>
      </c>
      <c r="Y365" s="9"/>
      <c r="Z365" s="7">
        <v>723.13</v>
      </c>
      <c r="AA365" s="8" t="str">
        <f>IFERROR(Z365/Z444, "NA")</f>
        <v>NA</v>
      </c>
      <c r="AB365" s="9"/>
      <c r="AC365" s="10">
        <f t="shared" si="95"/>
        <v>-4579.47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0</v>
      </c>
      <c r="C366" s="8" t="str">
        <f>IFERROR(B366/B444, "NA")</f>
        <v>NA</v>
      </c>
      <c r="D366" s="9"/>
      <c r="E366" s="7">
        <v>0</v>
      </c>
      <c r="F366" s="8" t="str">
        <f>IFERROR(E366/E444, "NA")</f>
        <v>NA</v>
      </c>
      <c r="G366" s="9"/>
      <c r="H366" s="10">
        <f t="shared" si="92"/>
        <v>0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0</v>
      </c>
      <c r="O366" s="8" t="str">
        <f>IFERROR(N366/N444, "NA")</f>
        <v>NA</v>
      </c>
      <c r="P366" s="9"/>
      <c r="Q366" s="7">
        <v>4711.01</v>
      </c>
      <c r="R366" s="8" t="str">
        <f>IFERROR(Q366/Q444, "NA")</f>
        <v>NA</v>
      </c>
      <c r="S366" s="9"/>
      <c r="T366" s="7">
        <v>3105</v>
      </c>
      <c r="U366" s="8" t="str">
        <f>IFERROR(T366/T444, "NA")</f>
        <v>NA</v>
      </c>
      <c r="V366" s="9"/>
      <c r="W366" s="10">
        <f t="shared" si="94"/>
        <v>-1606.0100000000002</v>
      </c>
      <c r="X366" s="8" t="str">
        <f>IFERROR(W366/W444, "NA")</f>
        <v>NA</v>
      </c>
      <c r="Y366" s="9"/>
      <c r="Z366" s="7">
        <v>1263.9100000000001</v>
      </c>
      <c r="AA366" s="8" t="str">
        <f>IFERROR(Z366/Z444, "NA")</f>
        <v>NA</v>
      </c>
      <c r="AB366" s="9"/>
      <c r="AC366" s="10">
        <f t="shared" si="95"/>
        <v>-3447.1000000000004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488.88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-488.88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-488.88</v>
      </c>
      <c r="O367" s="8" t="str">
        <f>IFERROR(N367/N444, "NA")</f>
        <v>NA</v>
      </c>
      <c r="P367" s="9"/>
      <c r="Q367" s="7">
        <v>9028.65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-9028.65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-9028.65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2452.59</v>
      </c>
      <c r="C368" s="15" t="str">
        <f>IFERROR(B368/B444, "NA")</f>
        <v>NA</v>
      </c>
      <c r="D368" s="2"/>
      <c r="E368" s="14">
        <f>IFERROR(E360+E361+E362+E363+E364+E365+E366+E367, "NA")</f>
        <v>2250</v>
      </c>
      <c r="F368" s="15" t="str">
        <f>IFERROR(E368/E444, "NA")</f>
        <v>NA</v>
      </c>
      <c r="G368" s="2"/>
      <c r="H368" s="14">
        <f t="shared" si="92"/>
        <v>-202.59000000000015</v>
      </c>
      <c r="I368" s="15" t="str">
        <f>IFERROR(H368/H444, "NA")</f>
        <v>NA</v>
      </c>
      <c r="J368" s="2"/>
      <c r="K368" s="14">
        <f>IFERROR(K360+K361+K362+K363+K364+K365+K366+K367, "NA")</f>
        <v>1604.1399999999999</v>
      </c>
      <c r="L368" s="15" t="str">
        <f>IFERROR(K368/K444, "NA")</f>
        <v>NA</v>
      </c>
      <c r="M368" s="2"/>
      <c r="N368" s="14">
        <f t="shared" si="93"/>
        <v>-848.45000000000027</v>
      </c>
      <c r="O368" s="15" t="str">
        <f>IFERROR(N368/N444, "NA")</f>
        <v>NA</v>
      </c>
      <c r="P368" s="2"/>
      <c r="Q368" s="14">
        <f>IFERROR(Q360+Q361+Q362+Q363+Q364+Q365+Q366+Q367, "NA")</f>
        <v>47045.990000000005</v>
      </c>
      <c r="R368" s="15" t="str">
        <f>IFERROR(Q368/Q444, "NA")</f>
        <v>NA</v>
      </c>
      <c r="S368" s="2"/>
      <c r="T368" s="14">
        <f>IFERROR(T360+T361+T362+T363+T364+T365+T366+T367, "NA")</f>
        <v>30705</v>
      </c>
      <c r="U368" s="15" t="str">
        <f>IFERROR(T368/T444, "NA")</f>
        <v>NA</v>
      </c>
      <c r="V368" s="2"/>
      <c r="W368" s="14">
        <f t="shared" si="94"/>
        <v>-16340.990000000005</v>
      </c>
      <c r="X368" s="15" t="str">
        <f>IFERROR(W368/W444, "NA")</f>
        <v>NA</v>
      </c>
      <c r="Y368" s="2"/>
      <c r="Z368" s="14">
        <f>IFERROR(Z360+Z361+Z362+Z363+Z364+Z365+Z366+Z367, "NA")</f>
        <v>46897.35</v>
      </c>
      <c r="AA368" s="15" t="str">
        <f>IFERROR(Z368/Z444, "NA")</f>
        <v>NA</v>
      </c>
      <c r="AB368" s="2"/>
      <c r="AC368" s="14">
        <f t="shared" si="95"/>
        <v>-148.64000000000669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349.71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285.29000000000002</v>
      </c>
      <c r="I370" s="8" t="str">
        <f>IFERROR(H370/H444, "NA")</f>
        <v>NA</v>
      </c>
      <c r="J370" s="9"/>
      <c r="K370" s="7">
        <v>298.8</v>
      </c>
      <c r="L370" s="8" t="str">
        <f>IFERROR(K370/K444, "NA")</f>
        <v>NA</v>
      </c>
      <c r="M370" s="9"/>
      <c r="N370" s="10">
        <f t="shared" si="93"/>
        <v>-50.909999999999968</v>
      </c>
      <c r="O370" s="8" t="str">
        <f>IFERROR(N370/N444, "NA")</f>
        <v>NA</v>
      </c>
      <c r="P370" s="9"/>
      <c r="Q370" s="7">
        <v>3410.2</v>
      </c>
      <c r="R370" s="8" t="str">
        <f>IFERROR(Q370/Q444, "NA")</f>
        <v>NA</v>
      </c>
      <c r="S370" s="9"/>
      <c r="T370" s="7">
        <v>7620</v>
      </c>
      <c r="U370" s="8" t="str">
        <f>IFERROR(T370/T444, "NA")</f>
        <v>NA</v>
      </c>
      <c r="V370" s="9"/>
      <c r="W370" s="10">
        <f t="shared" si="94"/>
        <v>4209.8</v>
      </c>
      <c r="X370" s="8" t="str">
        <f>IFERROR(W370/W444, "NA")</f>
        <v>NA</v>
      </c>
      <c r="Y370" s="9"/>
      <c r="Z370" s="7">
        <v>6214.07</v>
      </c>
      <c r="AA370" s="8" t="str">
        <f>IFERROR(Z370/Z444, "NA")</f>
        <v>NA</v>
      </c>
      <c r="AB370" s="9"/>
      <c r="AC370" s="10">
        <f t="shared" si="95"/>
        <v>2803.87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171.69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-71.69</v>
      </c>
      <c r="I371" s="8" t="str">
        <f>IFERROR(H371/H444, "NA")</f>
        <v>NA</v>
      </c>
      <c r="J371" s="9"/>
      <c r="K371" s="7">
        <v>182.89</v>
      </c>
      <c r="L371" s="8" t="str">
        <f>IFERROR(K371/K444, "NA")</f>
        <v>NA</v>
      </c>
      <c r="M371" s="9"/>
      <c r="N371" s="10">
        <f t="shared" si="93"/>
        <v>11.199999999999989</v>
      </c>
      <c r="O371" s="8" t="str">
        <f>IFERROR(N371/N444, "NA")</f>
        <v>NA</v>
      </c>
      <c r="P371" s="9"/>
      <c r="Q371" s="7">
        <v>5635.35</v>
      </c>
      <c r="R371" s="8" t="str">
        <f>IFERROR(Q371/Q444, "NA")</f>
        <v>NA</v>
      </c>
      <c r="S371" s="9"/>
      <c r="T371" s="7">
        <v>1200</v>
      </c>
      <c r="U371" s="8" t="str">
        <f>IFERROR(T371/T444, "NA")</f>
        <v>NA</v>
      </c>
      <c r="V371" s="9"/>
      <c r="W371" s="10">
        <f t="shared" si="94"/>
        <v>-4435.3500000000004</v>
      </c>
      <c r="X371" s="8" t="str">
        <f>IFERROR(W371/W444, "NA")</f>
        <v>NA</v>
      </c>
      <c r="Y371" s="9"/>
      <c r="Z371" s="7">
        <v>5077.9799999999996</v>
      </c>
      <c r="AA371" s="8" t="str">
        <f>IFERROR(Z371/Z444, "NA")</f>
        <v>NA</v>
      </c>
      <c r="AB371" s="9"/>
      <c r="AC371" s="10">
        <f t="shared" si="95"/>
        <v>-557.3700000000008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277.20999999999998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-277.20999999999998</v>
      </c>
      <c r="I372" s="8" t="str">
        <f>IFERROR(H372/H444, "NA")</f>
        <v>NA</v>
      </c>
      <c r="J372" s="9"/>
      <c r="K372" s="7">
        <v>0</v>
      </c>
      <c r="L372" s="8" t="str">
        <f>IFERROR(K372/K444, "NA")</f>
        <v>NA</v>
      </c>
      <c r="M372" s="9"/>
      <c r="N372" s="10">
        <f t="shared" si="93"/>
        <v>-277.20999999999998</v>
      </c>
      <c r="O372" s="8" t="str">
        <f>IFERROR(N372/N444, "NA")</f>
        <v>NA</v>
      </c>
      <c r="P372" s="9"/>
      <c r="Q372" s="7">
        <v>5168.91</v>
      </c>
      <c r="R372" s="8" t="str">
        <f>IFERROR(Q372/Q444, "NA")</f>
        <v>NA</v>
      </c>
      <c r="S372" s="9"/>
      <c r="T372" s="7">
        <v>3500</v>
      </c>
      <c r="U372" s="8" t="str">
        <f>IFERROR(T372/T444, "NA")</f>
        <v>NA</v>
      </c>
      <c r="V372" s="9"/>
      <c r="W372" s="10">
        <f t="shared" si="94"/>
        <v>-1668.9099999999999</v>
      </c>
      <c r="X372" s="8" t="str">
        <f>IFERROR(W372/W444, "NA")</f>
        <v>NA</v>
      </c>
      <c r="Y372" s="9"/>
      <c r="Z372" s="7">
        <v>4804.1000000000004</v>
      </c>
      <c r="AA372" s="8" t="str">
        <f>IFERROR(Z372/Z444, "NA")</f>
        <v>NA</v>
      </c>
      <c r="AB372" s="9"/>
      <c r="AC372" s="10">
        <f t="shared" si="95"/>
        <v>-364.80999999999949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1487.78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-1162.78</v>
      </c>
      <c r="I373" s="8" t="str">
        <f>IFERROR(H373/H444, "NA")</f>
        <v>NA</v>
      </c>
      <c r="J373" s="9"/>
      <c r="K373" s="7">
        <v>390.24</v>
      </c>
      <c r="L373" s="8" t="str">
        <f>IFERROR(K373/K444, "NA")</f>
        <v>NA</v>
      </c>
      <c r="M373" s="9"/>
      <c r="N373" s="10">
        <f t="shared" si="93"/>
        <v>-1097.54</v>
      </c>
      <c r="O373" s="8" t="str">
        <f>IFERROR(N373/N444, "NA")</f>
        <v>NA</v>
      </c>
      <c r="P373" s="9"/>
      <c r="Q373" s="7">
        <v>9213.84</v>
      </c>
      <c r="R373" s="8" t="str">
        <f>IFERROR(Q373/Q444, "NA")</f>
        <v>NA</v>
      </c>
      <c r="S373" s="9"/>
      <c r="T373" s="7">
        <v>3900</v>
      </c>
      <c r="U373" s="8" t="str">
        <f>IFERROR(T373/T444, "NA")</f>
        <v>NA</v>
      </c>
      <c r="V373" s="9"/>
      <c r="W373" s="10">
        <f t="shared" si="94"/>
        <v>-5313.84</v>
      </c>
      <c r="X373" s="8" t="str">
        <f>IFERROR(W373/W444, "NA")</f>
        <v>NA</v>
      </c>
      <c r="Y373" s="9"/>
      <c r="Z373" s="7">
        <v>7791.49</v>
      </c>
      <c r="AA373" s="8" t="str">
        <f>IFERROR(Z373/Z444, "NA")</f>
        <v>NA</v>
      </c>
      <c r="AB373" s="9"/>
      <c r="AC373" s="10">
        <f t="shared" si="95"/>
        <v>-1422.3500000000004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2149.52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-249.51999999999998</v>
      </c>
      <c r="I374" s="8" t="str">
        <f>IFERROR(H374/H444, "NA")</f>
        <v>NA</v>
      </c>
      <c r="J374" s="9"/>
      <c r="K374" s="7">
        <v>1897.01</v>
      </c>
      <c r="L374" s="8" t="str">
        <f>IFERROR(K374/K444, "NA")</f>
        <v>NA</v>
      </c>
      <c r="M374" s="9"/>
      <c r="N374" s="10">
        <f t="shared" si="93"/>
        <v>-252.51</v>
      </c>
      <c r="O374" s="8" t="str">
        <f>IFERROR(N374/N444, "NA")</f>
        <v>NA</v>
      </c>
      <c r="P374" s="9"/>
      <c r="Q374" s="7">
        <v>24630.71</v>
      </c>
      <c r="R374" s="8" t="str">
        <f>IFERROR(Q374/Q444, "NA")</f>
        <v>NA</v>
      </c>
      <c r="S374" s="9"/>
      <c r="T374" s="7">
        <v>22800</v>
      </c>
      <c r="U374" s="8" t="str">
        <f>IFERROR(T374/T444, "NA")</f>
        <v>NA</v>
      </c>
      <c r="V374" s="9"/>
      <c r="W374" s="10">
        <f t="shared" si="94"/>
        <v>-1830.7099999999991</v>
      </c>
      <c r="X374" s="8" t="str">
        <f>IFERROR(W374/W444, "NA")</f>
        <v>NA</v>
      </c>
      <c r="Y374" s="9"/>
      <c r="Z374" s="7">
        <v>22105.77</v>
      </c>
      <c r="AA374" s="8" t="str">
        <f>IFERROR(Z374/Z444, "NA")</f>
        <v>NA</v>
      </c>
      <c r="AB374" s="9"/>
      <c r="AC374" s="10">
        <f t="shared" si="95"/>
        <v>-2524.9399999999987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0</v>
      </c>
      <c r="I375" s="8" t="str">
        <f>IFERROR(H375/H444, "NA")</f>
        <v>NA</v>
      </c>
      <c r="J375" s="9"/>
      <c r="K375" s="7">
        <v>319.39</v>
      </c>
      <c r="L375" s="8" t="str">
        <f>IFERROR(K375/K444, "NA")</f>
        <v>NA</v>
      </c>
      <c r="M375" s="9"/>
      <c r="N375" s="10">
        <f t="shared" si="93"/>
        <v>319.39</v>
      </c>
      <c r="O375" s="8" t="str">
        <f>IFERROR(N375/N444, "NA")</f>
        <v>NA</v>
      </c>
      <c r="P375" s="9"/>
      <c r="Q375" s="7">
        <v>4164.08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-4164.08</v>
      </c>
      <c r="X375" s="8" t="str">
        <f>IFERROR(W375/W444, "NA")</f>
        <v>NA</v>
      </c>
      <c r="Y375" s="9"/>
      <c r="Z375" s="7">
        <v>1664.38</v>
      </c>
      <c r="AA375" s="8" t="str">
        <f>IFERROR(Z375/Z444, "NA")</f>
        <v>NA</v>
      </c>
      <c r="AB375" s="9"/>
      <c r="AC375" s="10">
        <f t="shared" si="95"/>
        <v>-2499.6999999999998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2222.15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-2222.15</v>
      </c>
      <c r="I376" s="8" t="str">
        <f>IFERROR(H376/H444, "NA")</f>
        <v>NA</v>
      </c>
      <c r="J376" s="9"/>
      <c r="K376" s="7">
        <v>3302.28</v>
      </c>
      <c r="L376" s="8" t="str">
        <f>IFERROR(K376/K444, "NA")</f>
        <v>NA</v>
      </c>
      <c r="M376" s="9"/>
      <c r="N376" s="10">
        <f t="shared" si="93"/>
        <v>1080.1300000000001</v>
      </c>
      <c r="O376" s="8" t="str">
        <f>IFERROR(N376/N444, "NA")</f>
        <v>NA</v>
      </c>
      <c r="P376" s="9"/>
      <c r="Q376" s="7">
        <v>832.07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-832.07</v>
      </c>
      <c r="X376" s="8" t="str">
        <f>IFERROR(W376/W444, "NA")</f>
        <v>NA</v>
      </c>
      <c r="Y376" s="9"/>
      <c r="Z376" s="7">
        <v>3302.28</v>
      </c>
      <c r="AA376" s="8" t="str">
        <f>IFERROR(Z376/Z444, "NA")</f>
        <v>NA</v>
      </c>
      <c r="AB376" s="9"/>
      <c r="AC376" s="10">
        <f t="shared" si="95"/>
        <v>2470.21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9361.52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-891.19000000000051</v>
      </c>
      <c r="I378" s="8" t="str">
        <f>IFERROR(H378/H444, "NA")</f>
        <v>NA</v>
      </c>
      <c r="J378" s="9"/>
      <c r="K378" s="7">
        <v>6945.13</v>
      </c>
      <c r="L378" s="8" t="str">
        <f>IFERROR(K378/K444, "NA")</f>
        <v>NA</v>
      </c>
      <c r="M378" s="9"/>
      <c r="N378" s="10">
        <f t="shared" si="93"/>
        <v>-2416.3900000000003</v>
      </c>
      <c r="O378" s="8" t="str">
        <f>IFERROR(N378/N444, "NA")</f>
        <v>NA</v>
      </c>
      <c r="P378" s="9"/>
      <c r="Q378" s="7">
        <v>113189.82</v>
      </c>
      <c r="R378" s="8" t="str">
        <f>IFERROR(Q378/Q444, "NA")</f>
        <v>NA</v>
      </c>
      <c r="S378" s="9"/>
      <c r="T378" s="7">
        <v>101643.96</v>
      </c>
      <c r="U378" s="8" t="str">
        <f>IFERROR(T378/T444, "NA")</f>
        <v>NA</v>
      </c>
      <c r="V378" s="9"/>
      <c r="W378" s="10">
        <f t="shared" si="94"/>
        <v>-11545.86</v>
      </c>
      <c r="X378" s="8" t="str">
        <f>IFERROR(W378/W444, "NA")</f>
        <v>NA</v>
      </c>
      <c r="Y378" s="9"/>
      <c r="Z378" s="7">
        <v>83177.98</v>
      </c>
      <c r="AA378" s="8" t="str">
        <f>IFERROR(Z378/Z444, "NA")</f>
        <v>NA</v>
      </c>
      <c r="AB378" s="9"/>
      <c r="AC378" s="10">
        <f t="shared" si="95"/>
        <v>-30011.840000000011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834.93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-634.92999999999995</v>
      </c>
      <c r="I379" s="8" t="str">
        <f>IFERROR(H379/H444, "NA")</f>
        <v>NA</v>
      </c>
      <c r="J379" s="9"/>
      <c r="K379" s="7">
        <v>2618.86</v>
      </c>
      <c r="L379" s="8" t="str">
        <f>IFERROR(K379/K444, "NA")</f>
        <v>NA</v>
      </c>
      <c r="M379" s="9"/>
      <c r="N379" s="10">
        <f t="shared" si="93"/>
        <v>1783.9300000000003</v>
      </c>
      <c r="O379" s="8" t="str">
        <f>IFERROR(N379/N444, "NA")</f>
        <v>NA</v>
      </c>
      <c r="P379" s="9"/>
      <c r="Q379" s="7">
        <v>9314.66</v>
      </c>
      <c r="R379" s="8" t="str">
        <f>IFERROR(Q379/Q444, "NA")</f>
        <v>NA</v>
      </c>
      <c r="S379" s="9"/>
      <c r="T379" s="7">
        <v>2400</v>
      </c>
      <c r="U379" s="8" t="str">
        <f>IFERROR(T379/T444, "NA")</f>
        <v>NA</v>
      </c>
      <c r="V379" s="9"/>
      <c r="W379" s="10">
        <f t="shared" si="94"/>
        <v>-6914.66</v>
      </c>
      <c r="X379" s="8" t="str">
        <f>IFERROR(W379/W444, "NA")</f>
        <v>NA</v>
      </c>
      <c r="Y379" s="9"/>
      <c r="Z379" s="7">
        <v>7843.04</v>
      </c>
      <c r="AA379" s="8" t="str">
        <f>IFERROR(Z379/Z444, "NA")</f>
        <v>NA</v>
      </c>
      <c r="AB379" s="9"/>
      <c r="AC379" s="10">
        <f t="shared" si="95"/>
        <v>-1471.62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11800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-300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-300</v>
      </c>
      <c r="O380" s="8" t="str">
        <f>IFERROR(N380/N444, "NA")</f>
        <v>NA</v>
      </c>
      <c r="P380" s="9"/>
      <c r="Q380" s="7">
        <v>140100</v>
      </c>
      <c r="R380" s="8" t="str">
        <f>IFERROR(Q380/Q444, "NA")</f>
        <v>NA</v>
      </c>
      <c r="S380" s="9"/>
      <c r="T380" s="7">
        <v>138000</v>
      </c>
      <c r="U380" s="8" t="str">
        <f>IFERROR(T380/T444, "NA")</f>
        <v>NA</v>
      </c>
      <c r="V380" s="9"/>
      <c r="W380" s="10">
        <f t="shared" si="94"/>
        <v>-2100</v>
      </c>
      <c r="X380" s="8" t="str">
        <f>IFERROR(W380/W444, "NA")</f>
        <v>NA</v>
      </c>
      <c r="Y380" s="9"/>
      <c r="Z380" s="7">
        <v>138000</v>
      </c>
      <c r="AA380" s="8" t="str">
        <f>IFERROR(Z380/Z444, "NA")</f>
        <v>NA</v>
      </c>
      <c r="AB380" s="9"/>
      <c r="AC380" s="10">
        <f t="shared" si="95"/>
        <v>-2100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-33360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37360</v>
      </c>
      <c r="I381" s="8" t="str">
        <f>IFERROR(H381/H444, "NA")</f>
        <v>NA</v>
      </c>
      <c r="J381" s="9"/>
      <c r="K381" s="7">
        <v>-62671.41</v>
      </c>
      <c r="L381" s="8" t="str">
        <f>IFERROR(K381/K444, "NA")</f>
        <v>NA</v>
      </c>
      <c r="M381" s="9"/>
      <c r="N381" s="10">
        <f t="shared" si="93"/>
        <v>-29311.410000000003</v>
      </c>
      <c r="O381" s="8" t="str">
        <f>IFERROR(N381/N444, "NA")</f>
        <v>NA</v>
      </c>
      <c r="P381" s="9"/>
      <c r="Q381" s="7">
        <v>30199.01</v>
      </c>
      <c r="R381" s="8" t="str">
        <f>IFERROR(Q381/Q444, "NA")</f>
        <v>NA</v>
      </c>
      <c r="S381" s="9"/>
      <c r="T381" s="7">
        <v>48000</v>
      </c>
      <c r="U381" s="8" t="str">
        <f>IFERROR(T381/T444, "NA")</f>
        <v>NA</v>
      </c>
      <c r="V381" s="9"/>
      <c r="W381" s="10">
        <f t="shared" si="94"/>
        <v>17800.990000000002</v>
      </c>
      <c r="X381" s="8" t="str">
        <f>IFERROR(W381/W444, "NA")</f>
        <v>NA</v>
      </c>
      <c r="Y381" s="9"/>
      <c r="Z381" s="7">
        <v>83287.31</v>
      </c>
      <c r="AA381" s="8" t="str">
        <f>IFERROR(Z381/Z444, "NA")</f>
        <v>NA</v>
      </c>
      <c r="AB381" s="9"/>
      <c r="AC381" s="10">
        <f t="shared" si="95"/>
        <v>53088.3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719.16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75.840000000000032</v>
      </c>
      <c r="I382" s="8" t="str">
        <f>IFERROR(H382/H444, "NA")</f>
        <v>NA</v>
      </c>
      <c r="J382" s="9"/>
      <c r="K382" s="7">
        <v>505.62</v>
      </c>
      <c r="L382" s="8" t="str">
        <f>IFERROR(K382/K444, "NA")</f>
        <v>NA</v>
      </c>
      <c r="M382" s="9"/>
      <c r="N382" s="10">
        <f t="shared" si="93"/>
        <v>-213.53999999999996</v>
      </c>
      <c r="O382" s="8" t="str">
        <f>IFERROR(N382/N444, "NA")</f>
        <v>NA</v>
      </c>
      <c r="P382" s="9"/>
      <c r="Q382" s="7">
        <v>6884.94</v>
      </c>
      <c r="R382" s="8" t="str">
        <f>IFERROR(Q382/Q444, "NA")</f>
        <v>NA</v>
      </c>
      <c r="S382" s="9"/>
      <c r="T382" s="7">
        <v>9540</v>
      </c>
      <c r="U382" s="8" t="str">
        <f>IFERROR(T382/T444, "NA")</f>
        <v>NA</v>
      </c>
      <c r="V382" s="9"/>
      <c r="W382" s="10">
        <f t="shared" si="94"/>
        <v>2655.0600000000004</v>
      </c>
      <c r="X382" s="8" t="str">
        <f>IFERROR(W382/W444, "NA")</f>
        <v>NA</v>
      </c>
      <c r="Y382" s="9"/>
      <c r="Z382" s="7">
        <v>4024.11</v>
      </c>
      <c r="AA382" s="8" t="str">
        <f>IFERROR(Z382/Z444, "NA")</f>
        <v>NA</v>
      </c>
      <c r="AB382" s="9"/>
      <c r="AC382" s="10">
        <f t="shared" si="95"/>
        <v>-2860.8299999999995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709.22</v>
      </c>
      <c r="C385" s="8" t="str">
        <f>IFERROR(B385/B444, "NA")</f>
        <v>NA</v>
      </c>
      <c r="D385" s="9"/>
      <c r="E385" s="7">
        <v>1173.17</v>
      </c>
      <c r="F385" s="8" t="str">
        <f>IFERROR(E385/E444, "NA")</f>
        <v>NA</v>
      </c>
      <c r="G385" s="9"/>
      <c r="H385" s="10">
        <f>IFERROR(-(B385-E385), "NA")</f>
        <v>463.95000000000005</v>
      </c>
      <c r="I385" s="8" t="str">
        <f>IFERROR(H385/H444, "NA")</f>
        <v>NA</v>
      </c>
      <c r="J385" s="9"/>
      <c r="K385" s="7">
        <v>1547.31</v>
      </c>
      <c r="L385" s="8" t="str">
        <f>IFERROR(K385/K444, "NA")</f>
        <v>NA</v>
      </c>
      <c r="M385" s="9"/>
      <c r="N385" s="10">
        <f>IFERROR(-(B385-K385), "NA")</f>
        <v>838.08999999999992</v>
      </c>
      <c r="O385" s="8" t="str">
        <f>IFERROR(N385/N444, "NA")</f>
        <v>NA</v>
      </c>
      <c r="P385" s="9"/>
      <c r="Q385" s="7">
        <v>25769.77</v>
      </c>
      <c r="R385" s="8" t="str">
        <f>IFERROR(Q385/Q444, "NA")</f>
        <v>NA</v>
      </c>
      <c r="S385" s="9"/>
      <c r="T385" s="7">
        <v>25702.84</v>
      </c>
      <c r="U385" s="8" t="str">
        <f>IFERROR(T385/T444, "NA")</f>
        <v>NA</v>
      </c>
      <c r="V385" s="9"/>
      <c r="W385" s="10">
        <f>IFERROR(-(Q385-T385), "NA")</f>
        <v>-66.930000000000291</v>
      </c>
      <c r="X385" s="8" t="str">
        <f>IFERROR(W385/W444, "NA")</f>
        <v>NA</v>
      </c>
      <c r="Y385" s="9"/>
      <c r="Z385" s="7">
        <v>33967.449999999997</v>
      </c>
      <c r="AA385" s="8" t="str">
        <f>IFERROR(Z385/Z444, "NA")</f>
        <v>NA</v>
      </c>
      <c r="AB385" s="9"/>
      <c r="AC385" s="10">
        <f>IFERROR(-(Q385-Z385), "NA")</f>
        <v>8197.6799999999967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0</v>
      </c>
      <c r="L386" s="8" t="str">
        <f>IFERROR(K386/K444, "NA")</f>
        <v>NA</v>
      </c>
      <c r="M386" s="9"/>
      <c r="N386" s="10">
        <f>IFERROR(-(B386-K386), "NA")</f>
        <v>0</v>
      </c>
      <c r="O386" s="8" t="str">
        <f>IFERROR(N386/N444, "NA")</f>
        <v>NA</v>
      </c>
      <c r="P386" s="9"/>
      <c r="Q386" s="7">
        <v>260.7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-260.7</v>
      </c>
      <c r="X386" s="8" t="str">
        <f>IFERROR(W386/W444, "NA")</f>
        <v>NA</v>
      </c>
      <c r="Y386" s="9"/>
      <c r="Z386" s="7">
        <v>5255.6</v>
      </c>
      <c r="AA386" s="8" t="str">
        <f>IFERROR(Z386/Z444, "NA")</f>
        <v>NA</v>
      </c>
      <c r="AB386" s="9"/>
      <c r="AC386" s="10">
        <f>IFERROR(-(Q386-Z386), "NA")</f>
        <v>4994.9000000000005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7062.99</v>
      </c>
      <c r="C389" s="8" t="str">
        <f>IFERROR(B389/B444, "NA")</f>
        <v>NA</v>
      </c>
      <c r="D389" s="9"/>
      <c r="E389" s="7">
        <v>2433.89</v>
      </c>
      <c r="F389" s="8" t="str">
        <f>IFERROR(E389/E444, "NA")</f>
        <v>NA</v>
      </c>
      <c r="G389" s="9"/>
      <c r="H389" s="10">
        <f t="shared" si="96"/>
        <v>-4629.1000000000004</v>
      </c>
      <c r="I389" s="8" t="str">
        <f>IFERROR(H389/H444, "NA")</f>
        <v>NA</v>
      </c>
      <c r="J389" s="9"/>
      <c r="K389" s="7">
        <v>3847.23</v>
      </c>
      <c r="L389" s="8" t="str">
        <f>IFERROR(K389/K444, "NA")</f>
        <v>NA</v>
      </c>
      <c r="M389" s="9"/>
      <c r="N389" s="10">
        <f t="shared" si="97"/>
        <v>-3215.7599999999998</v>
      </c>
      <c r="O389" s="8" t="str">
        <f>IFERROR(N389/N444, "NA")</f>
        <v>NA</v>
      </c>
      <c r="P389" s="9"/>
      <c r="Q389" s="7">
        <v>62712.86</v>
      </c>
      <c r="R389" s="8" t="str">
        <f>IFERROR(Q389/Q444, "NA")</f>
        <v>NA</v>
      </c>
      <c r="S389" s="9"/>
      <c r="T389" s="7">
        <v>34624.01</v>
      </c>
      <c r="U389" s="8" t="str">
        <f>IFERROR(T389/T444, "NA")</f>
        <v>NA</v>
      </c>
      <c r="V389" s="9"/>
      <c r="W389" s="10">
        <f t="shared" si="98"/>
        <v>-28088.85</v>
      </c>
      <c r="X389" s="8" t="str">
        <f>IFERROR(W389/W444, "NA")</f>
        <v>NA</v>
      </c>
      <c r="Y389" s="9"/>
      <c r="Z389" s="7">
        <v>36084.769999999997</v>
      </c>
      <c r="AA389" s="8" t="str">
        <f>IFERROR(Z389/Z444, "NA")</f>
        <v>NA</v>
      </c>
      <c r="AB389" s="9"/>
      <c r="AC389" s="10">
        <f t="shared" si="99"/>
        <v>-26628.090000000004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6320.91</v>
      </c>
      <c r="C390" s="8" t="str">
        <f>IFERROR(B390/B444, "NA")</f>
        <v>NA</v>
      </c>
      <c r="D390" s="9"/>
      <c r="E390" s="7">
        <v>11826.54</v>
      </c>
      <c r="F390" s="8" t="str">
        <f>IFERROR(E390/E444, "NA")</f>
        <v>NA</v>
      </c>
      <c r="G390" s="9"/>
      <c r="H390" s="10">
        <f t="shared" si="96"/>
        <v>5505.630000000001</v>
      </c>
      <c r="I390" s="8" t="str">
        <f>IFERROR(H390/H444, "NA")</f>
        <v>NA</v>
      </c>
      <c r="J390" s="9"/>
      <c r="K390" s="7">
        <v>10618.8</v>
      </c>
      <c r="L390" s="8" t="str">
        <f>IFERROR(K390/K444, "NA")</f>
        <v>NA</v>
      </c>
      <c r="M390" s="9"/>
      <c r="N390" s="10">
        <f t="shared" si="97"/>
        <v>4297.8899999999994</v>
      </c>
      <c r="O390" s="8" t="str">
        <f>IFERROR(N390/N444, "NA")</f>
        <v>NA</v>
      </c>
      <c r="P390" s="9"/>
      <c r="Q390" s="7">
        <v>81757.31</v>
      </c>
      <c r="R390" s="8" t="str">
        <f>IFERROR(Q390/Q444, "NA")</f>
        <v>NA</v>
      </c>
      <c r="S390" s="9"/>
      <c r="T390" s="7">
        <v>168242</v>
      </c>
      <c r="U390" s="8" t="str">
        <f>IFERROR(T390/T444, "NA")</f>
        <v>NA</v>
      </c>
      <c r="V390" s="9"/>
      <c r="W390" s="10">
        <f t="shared" si="98"/>
        <v>86484.69</v>
      </c>
      <c r="X390" s="8" t="str">
        <f>IFERROR(W390/W444, "NA")</f>
        <v>NA</v>
      </c>
      <c r="Y390" s="9"/>
      <c r="Z390" s="7">
        <v>174669.54</v>
      </c>
      <c r="AA390" s="8" t="str">
        <f>IFERROR(Z390/Z444, "NA")</f>
        <v>NA</v>
      </c>
      <c r="AB390" s="9"/>
      <c r="AC390" s="10">
        <f t="shared" si="99"/>
        <v>92912.23000000001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6654.34</v>
      </c>
      <c r="C392" s="8" t="str">
        <f>IFERROR(B392/B444, "NA")</f>
        <v>NA</v>
      </c>
      <c r="D392" s="9"/>
      <c r="E392" s="7">
        <v>1816.84</v>
      </c>
      <c r="F392" s="8" t="str">
        <f>IFERROR(E392/E444, "NA")</f>
        <v>NA</v>
      </c>
      <c r="G392" s="9"/>
      <c r="H392" s="10">
        <f t="shared" si="96"/>
        <v>-4837.5</v>
      </c>
      <c r="I392" s="8" t="str">
        <f>IFERROR(H392/H444, "NA")</f>
        <v>NA</v>
      </c>
      <c r="J392" s="9"/>
      <c r="K392" s="7">
        <v>5450.06</v>
      </c>
      <c r="L392" s="8" t="str">
        <f>IFERROR(K392/K444, "NA")</f>
        <v>NA</v>
      </c>
      <c r="M392" s="9"/>
      <c r="N392" s="10">
        <f t="shared" si="97"/>
        <v>-1204.2799999999997</v>
      </c>
      <c r="O392" s="8" t="str">
        <f>IFERROR(N392/N444, "NA")</f>
        <v>NA</v>
      </c>
      <c r="P392" s="9"/>
      <c r="Q392" s="7">
        <v>59598.06</v>
      </c>
      <c r="R392" s="8" t="str">
        <f>IFERROR(Q392/Q444, "NA")</f>
        <v>NA</v>
      </c>
      <c r="S392" s="9"/>
      <c r="T392" s="7">
        <v>25845.99</v>
      </c>
      <c r="U392" s="8" t="str">
        <f>IFERROR(T392/T444, "NA")</f>
        <v>NA</v>
      </c>
      <c r="V392" s="9"/>
      <c r="W392" s="10">
        <f t="shared" si="98"/>
        <v>-33752.069999999992</v>
      </c>
      <c r="X392" s="8" t="str">
        <f>IFERROR(W392/W444, "NA")</f>
        <v>NA</v>
      </c>
      <c r="Y392" s="9"/>
      <c r="Z392" s="7">
        <v>26924.880000000001</v>
      </c>
      <c r="AA392" s="8" t="str">
        <f>IFERROR(Z392/Z444, "NA")</f>
        <v>NA</v>
      </c>
      <c r="AB392" s="9"/>
      <c r="AC392" s="10">
        <f t="shared" si="99"/>
        <v>-32673.179999999997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20038.239999999998</v>
      </c>
      <c r="C393" s="15" t="str">
        <f>IFERROR(B393/B444, "NA")</f>
        <v>NA</v>
      </c>
      <c r="D393" s="2"/>
      <c r="E393" s="14">
        <f>IFERROR(E388+E389+E390+E391+E392, "NA")</f>
        <v>16077.27</v>
      </c>
      <c r="F393" s="15" t="str">
        <f>IFERROR(E393/E444, "NA")</f>
        <v>NA</v>
      </c>
      <c r="G393" s="2"/>
      <c r="H393" s="14">
        <f t="shared" si="96"/>
        <v>-3960.9699999999975</v>
      </c>
      <c r="I393" s="15" t="str">
        <f>IFERROR(H393/H444, "NA")</f>
        <v>NA</v>
      </c>
      <c r="J393" s="2"/>
      <c r="K393" s="14">
        <f>IFERROR(K388+K389+K390+K391+K392, "NA")</f>
        <v>19916.09</v>
      </c>
      <c r="L393" s="15" t="str">
        <f>IFERROR(K393/K444, "NA")</f>
        <v>NA</v>
      </c>
      <c r="M393" s="2"/>
      <c r="N393" s="14">
        <f t="shared" si="97"/>
        <v>-122.14999999999782</v>
      </c>
      <c r="O393" s="15" t="str">
        <f>IFERROR(N393/N444, "NA")</f>
        <v>NA</v>
      </c>
      <c r="P393" s="2"/>
      <c r="Q393" s="14">
        <f>IFERROR(Q388+Q389+Q390+Q391+Q392, "NA")</f>
        <v>204068.22999999998</v>
      </c>
      <c r="R393" s="15" t="str">
        <f>IFERROR(Q393/Q444, "NA")</f>
        <v>NA</v>
      </c>
      <c r="S393" s="2"/>
      <c r="T393" s="14">
        <f>IFERROR(T388+T389+T390+T391+T392, "NA")</f>
        <v>228712</v>
      </c>
      <c r="U393" s="15" t="str">
        <f>IFERROR(T393/T444, "NA")</f>
        <v>NA</v>
      </c>
      <c r="V393" s="2"/>
      <c r="W393" s="14">
        <f t="shared" si="98"/>
        <v>24643.770000000019</v>
      </c>
      <c r="X393" s="15" t="str">
        <f>IFERROR(W393/W444, "NA")</f>
        <v>NA</v>
      </c>
      <c r="Y393" s="2"/>
      <c r="Z393" s="14">
        <f>IFERROR(Z388+Z389+Z390+Z391+Z392, "NA")</f>
        <v>237679.19</v>
      </c>
      <c r="AA393" s="15" t="str">
        <f>IFERROR(Z393/Z444, "NA")</f>
        <v>NA</v>
      </c>
      <c r="AB393" s="2"/>
      <c r="AC393" s="14">
        <f t="shared" si="99"/>
        <v>33610.960000000021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2932.93</v>
      </c>
      <c r="F394" s="8" t="str">
        <f>IFERROR(E394/E444, "NA")</f>
        <v>NA</v>
      </c>
      <c r="G394" s="9"/>
      <c r="H394" s="10">
        <f t="shared" si="96"/>
        <v>2932.93</v>
      </c>
      <c r="I394" s="8" t="str">
        <f>IFERROR(H394/H444, "NA")</f>
        <v>NA</v>
      </c>
      <c r="J394" s="9"/>
      <c r="K394" s="7">
        <v>3742.99</v>
      </c>
      <c r="L394" s="8" t="str">
        <f>IFERROR(K394/K444, "NA")</f>
        <v>NA</v>
      </c>
      <c r="M394" s="9"/>
      <c r="N394" s="10">
        <f t="shared" si="97"/>
        <v>3742.99</v>
      </c>
      <c r="O394" s="8" t="str">
        <f>IFERROR(N394/N444, "NA")</f>
        <v>NA</v>
      </c>
      <c r="P394" s="9"/>
      <c r="Q394" s="7">
        <v>6717.06</v>
      </c>
      <c r="R394" s="8" t="str">
        <f>IFERROR(Q394/Q444, "NA")</f>
        <v>NA</v>
      </c>
      <c r="S394" s="9"/>
      <c r="T394" s="7">
        <v>54912.800000000003</v>
      </c>
      <c r="U394" s="8" t="str">
        <f>IFERROR(T394/T444, "NA")</f>
        <v>NA</v>
      </c>
      <c r="V394" s="9"/>
      <c r="W394" s="10">
        <f t="shared" si="98"/>
        <v>48195.740000000005</v>
      </c>
      <c r="X394" s="8" t="str">
        <f>IFERROR(W394/W444, "NA")</f>
        <v>NA</v>
      </c>
      <c r="Y394" s="9"/>
      <c r="Z394" s="7">
        <v>50005.11</v>
      </c>
      <c r="AA394" s="8" t="str">
        <f>IFERROR(Z394/Z444, "NA")</f>
        <v>NA</v>
      </c>
      <c r="AB394" s="9"/>
      <c r="AC394" s="10">
        <f t="shared" si="99"/>
        <v>43288.05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20747.46</v>
      </c>
      <c r="C396" s="15" t="str">
        <f>IFERROR(B396/B444, "NA")</f>
        <v>NA</v>
      </c>
      <c r="D396" s="2"/>
      <c r="E396" s="14">
        <f>IFERROR(E385+E386+E388+E389+E390+E391+E392+E394+E395, "NA")</f>
        <v>20183.37</v>
      </c>
      <c r="F396" s="15" t="str">
        <f>IFERROR(E396/E444, "NA")</f>
        <v>NA</v>
      </c>
      <c r="G396" s="2"/>
      <c r="H396" s="14">
        <f t="shared" si="96"/>
        <v>-564.09000000000015</v>
      </c>
      <c r="I396" s="15" t="str">
        <f>IFERROR(H396/H444, "NA")</f>
        <v>NA</v>
      </c>
      <c r="J396" s="2"/>
      <c r="K396" s="14">
        <f>IFERROR(K385+K386+K388+K389+K390+K391+K392+K394+K395, "NA")</f>
        <v>25206.39</v>
      </c>
      <c r="L396" s="15" t="str">
        <f>IFERROR(K396/K444, "NA")</f>
        <v>NA</v>
      </c>
      <c r="M396" s="2"/>
      <c r="N396" s="14">
        <f t="shared" si="97"/>
        <v>4458.93</v>
      </c>
      <c r="O396" s="15" t="str">
        <f>IFERROR(N396/N444, "NA")</f>
        <v>NA</v>
      </c>
      <c r="P396" s="2"/>
      <c r="Q396" s="14">
        <f>IFERROR(Q385+Q386+Q388+Q389+Q390+Q391+Q392+Q394+Q395, "NA")</f>
        <v>236815.76</v>
      </c>
      <c r="R396" s="15" t="str">
        <f>IFERROR(Q396/Q444, "NA")</f>
        <v>NA</v>
      </c>
      <c r="S396" s="2"/>
      <c r="T396" s="14">
        <f>IFERROR(T385+T386+T388+T389+T390+T391+T392+T394+T395, "NA")</f>
        <v>309327.64</v>
      </c>
      <c r="U396" s="15" t="str">
        <f>IFERROR(T396/T444, "NA")</f>
        <v>NA</v>
      </c>
      <c r="V396" s="2"/>
      <c r="W396" s="14">
        <f t="shared" si="98"/>
        <v>72511.88</v>
      </c>
      <c r="X396" s="15" t="str">
        <f>IFERROR(W396/W444, "NA")</f>
        <v>NA</v>
      </c>
      <c r="Y396" s="2"/>
      <c r="Z396" s="14">
        <f>IFERROR(Z385+Z386+Z388+Z389+Z390+Z391+Z392+Z394+Z395, "NA")</f>
        <v>326907.34999999998</v>
      </c>
      <c r="AA396" s="15" t="str">
        <f>IFERROR(Z396/Z444, "NA")</f>
        <v>NA</v>
      </c>
      <c r="AB396" s="2"/>
      <c r="AC396" s="14">
        <f t="shared" si="99"/>
        <v>90091.589999999967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17453.36</v>
      </c>
      <c r="C397" s="8" t="str">
        <f>IFERROR(B397/B444, "NA")</f>
        <v>NA</v>
      </c>
      <c r="D397" s="9"/>
      <c r="E397" s="7">
        <v>20224.240000000002</v>
      </c>
      <c r="F397" s="8" t="str">
        <f>IFERROR(E397/E444, "NA")</f>
        <v>NA</v>
      </c>
      <c r="G397" s="9"/>
      <c r="H397" s="10">
        <f t="shared" si="96"/>
        <v>2770.880000000001</v>
      </c>
      <c r="I397" s="8" t="str">
        <f>IFERROR(H397/H444, "NA")</f>
        <v>NA</v>
      </c>
      <c r="J397" s="9"/>
      <c r="K397" s="7">
        <v>10620.88</v>
      </c>
      <c r="L397" s="8" t="str">
        <f>IFERROR(K397/K444, "NA")</f>
        <v>NA</v>
      </c>
      <c r="M397" s="9"/>
      <c r="N397" s="10">
        <f t="shared" si="97"/>
        <v>-6832.4800000000014</v>
      </c>
      <c r="O397" s="8" t="str">
        <f>IFERROR(N397/N444, "NA")</f>
        <v>NA</v>
      </c>
      <c r="P397" s="9"/>
      <c r="Q397" s="7">
        <v>135874.06</v>
      </c>
      <c r="R397" s="8" t="str">
        <f>IFERROR(Q397/Q444, "NA")</f>
        <v>NA</v>
      </c>
      <c r="S397" s="9"/>
      <c r="T397" s="7">
        <v>225099.97</v>
      </c>
      <c r="U397" s="8" t="str">
        <f>IFERROR(T397/T444, "NA")</f>
        <v>NA</v>
      </c>
      <c r="V397" s="9"/>
      <c r="W397" s="10">
        <f t="shared" si="98"/>
        <v>89225.91</v>
      </c>
      <c r="X397" s="8" t="str">
        <f>IFERROR(W397/W444, "NA")</f>
        <v>NA</v>
      </c>
      <c r="Y397" s="9"/>
      <c r="Z397" s="7">
        <v>98585.38</v>
      </c>
      <c r="AA397" s="8" t="str">
        <f>IFERROR(Z397/Z444, "NA")</f>
        <v>NA</v>
      </c>
      <c r="AB397" s="9"/>
      <c r="AC397" s="10">
        <f t="shared" si="99"/>
        <v>-37288.679999999993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388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-313</v>
      </c>
      <c r="I398" s="8" t="str">
        <f>IFERROR(H398/H444, "NA")</f>
        <v>NA</v>
      </c>
      <c r="J398" s="9"/>
      <c r="K398" s="7">
        <v>178.05</v>
      </c>
      <c r="L398" s="8" t="str">
        <f>IFERROR(K398/K444, "NA")</f>
        <v>NA</v>
      </c>
      <c r="M398" s="9"/>
      <c r="N398" s="10">
        <f t="shared" si="97"/>
        <v>-209.95</v>
      </c>
      <c r="O398" s="8" t="str">
        <f>IFERROR(N398/N444, "NA")</f>
        <v>NA</v>
      </c>
      <c r="P398" s="9"/>
      <c r="Q398" s="7">
        <v>4848.3999999999996</v>
      </c>
      <c r="R398" s="8" t="str">
        <f>IFERROR(Q398/Q444, "NA")</f>
        <v>NA</v>
      </c>
      <c r="S398" s="9"/>
      <c r="T398" s="7">
        <v>900</v>
      </c>
      <c r="U398" s="8" t="str">
        <f>IFERROR(T398/T444, "NA")</f>
        <v>NA</v>
      </c>
      <c r="V398" s="9"/>
      <c r="W398" s="10">
        <f t="shared" si="98"/>
        <v>-3948.3999999999996</v>
      </c>
      <c r="X398" s="8" t="str">
        <f>IFERROR(W398/W444, "NA")</f>
        <v>NA</v>
      </c>
      <c r="Y398" s="9"/>
      <c r="Z398" s="7">
        <v>1404.11</v>
      </c>
      <c r="AA398" s="8" t="str">
        <f>IFERROR(Z398/Z444, "NA")</f>
        <v>NA</v>
      </c>
      <c r="AB398" s="9"/>
      <c r="AC398" s="10">
        <f t="shared" si="99"/>
        <v>-3444.29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0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700</v>
      </c>
      <c r="I399" s="8" t="str">
        <f>IFERROR(H399/H444, "NA")</f>
        <v>NA</v>
      </c>
      <c r="J399" s="9"/>
      <c r="K399" s="7">
        <v>0</v>
      </c>
      <c r="L399" s="8" t="str">
        <f>IFERROR(K399/K444, "NA")</f>
        <v>NA</v>
      </c>
      <c r="M399" s="9"/>
      <c r="N399" s="10">
        <f t="shared" si="97"/>
        <v>0</v>
      </c>
      <c r="O399" s="8" t="str">
        <f>IFERROR(N399/N444, "NA")</f>
        <v>NA</v>
      </c>
      <c r="P399" s="9"/>
      <c r="Q399" s="7">
        <v>3974.79</v>
      </c>
      <c r="R399" s="8" t="str">
        <f>IFERROR(Q399/Q444, "NA")</f>
        <v>NA</v>
      </c>
      <c r="S399" s="9"/>
      <c r="T399" s="7">
        <v>8400</v>
      </c>
      <c r="U399" s="8" t="str">
        <f>IFERROR(T399/T444, "NA")</f>
        <v>NA</v>
      </c>
      <c r="V399" s="9"/>
      <c r="W399" s="10">
        <f t="shared" si="98"/>
        <v>4425.21</v>
      </c>
      <c r="X399" s="8" t="str">
        <f>IFERROR(W399/W444, "NA")</f>
        <v>NA</v>
      </c>
      <c r="Y399" s="9"/>
      <c r="Z399" s="7">
        <v>8681.2000000000007</v>
      </c>
      <c r="AA399" s="8" t="str">
        <f>IFERROR(Z399/Z444, "NA")</f>
        <v>NA</v>
      </c>
      <c r="AB399" s="9"/>
      <c r="AC399" s="10">
        <f t="shared" si="99"/>
        <v>4706.4100000000008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8333.34</v>
      </c>
      <c r="L401" s="8" t="str">
        <f>IFERROR(K401/K444, "NA")</f>
        <v>NA</v>
      </c>
      <c r="M401" s="9"/>
      <c r="N401" s="10">
        <f t="shared" si="97"/>
        <v>8333.34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100000</v>
      </c>
      <c r="AA401" s="8" t="str">
        <f>IFERROR(Z401/Z444, "NA")</f>
        <v>NA</v>
      </c>
      <c r="AB401" s="9"/>
      <c r="AC401" s="10">
        <f t="shared" si="99"/>
        <v>100000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138386.72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169145.63999999998</v>
      </c>
      <c r="F403" s="15" t="str">
        <f>IFERROR(E403/E444, "NA")</f>
        <v>NA</v>
      </c>
      <c r="G403" s="2"/>
      <c r="H403" s="14">
        <f t="shared" si="96"/>
        <v>30758.919999999984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106640.41</v>
      </c>
      <c r="L403" s="15" t="str">
        <f>IFERROR(K403/K444, "NA")</f>
        <v>NA</v>
      </c>
      <c r="M403" s="2"/>
      <c r="N403" s="14">
        <f t="shared" si="97"/>
        <v>-31746.309999999998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1543565.95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1976844.44</v>
      </c>
      <c r="U403" s="15" t="str">
        <f>IFERROR(T403/T444, "NA")</f>
        <v>NA</v>
      </c>
      <c r="V403" s="2"/>
      <c r="W403" s="14">
        <f t="shared" si="98"/>
        <v>433278.49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1870638.8000000003</v>
      </c>
      <c r="AA403" s="15" t="str">
        <f>IFERROR(Z403/Z444, "NA")</f>
        <v>NA</v>
      </c>
      <c r="AB403" s="2"/>
      <c r="AC403" s="14">
        <f t="shared" si="99"/>
        <v>327072.85000000033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-138386.72</v>
      </c>
      <c r="C404" s="24" t="str">
        <f>IFERROR(B404/B444, "NA")</f>
        <v>NA</v>
      </c>
      <c r="D404" s="25"/>
      <c r="E404" s="23">
        <f>IFERROR(E345-E403, "NA")</f>
        <v>-169145.63999999998</v>
      </c>
      <c r="F404" s="24" t="str">
        <f>IFERROR(E404/E444, "NA")</f>
        <v>NA</v>
      </c>
      <c r="G404" s="25"/>
      <c r="H404" s="23">
        <f>IFERROR(B404-E404, "NA")</f>
        <v>30758.919999999984</v>
      </c>
      <c r="I404" s="24" t="str">
        <f>IFERROR(H404/H444, "NA")</f>
        <v>NA</v>
      </c>
      <c r="J404" s="25"/>
      <c r="K404" s="23">
        <f>IFERROR(K345-K403, "NA")</f>
        <v>-106640.41</v>
      </c>
      <c r="L404" s="24" t="str">
        <f>IFERROR(K404/K444, "NA")</f>
        <v>NA</v>
      </c>
      <c r="M404" s="25"/>
      <c r="N404" s="23">
        <f>IFERROR(B404-K404, "NA")</f>
        <v>-31746.309999999998</v>
      </c>
      <c r="O404" s="24" t="str">
        <f>IFERROR(N404/N444, "NA")</f>
        <v>NA</v>
      </c>
      <c r="P404" s="25"/>
      <c r="Q404" s="23">
        <f>IFERROR(Q345-Q403, "NA")</f>
        <v>-1543565.95</v>
      </c>
      <c r="R404" s="24" t="str">
        <f>IFERROR(Q404/Q444, "NA")</f>
        <v>NA</v>
      </c>
      <c r="S404" s="25"/>
      <c r="T404" s="23">
        <f>IFERROR(T345-T403, "NA")</f>
        <v>-1976844.44</v>
      </c>
      <c r="U404" s="24" t="str">
        <f>IFERROR(T404/T444, "NA")</f>
        <v>NA</v>
      </c>
      <c r="V404" s="25"/>
      <c r="W404" s="23">
        <f>IFERROR(Q404-T404, "NA")</f>
        <v>433278.49</v>
      </c>
      <c r="X404" s="24" t="str">
        <f>IFERROR(W404/W444, "NA")</f>
        <v>NA</v>
      </c>
      <c r="Y404" s="25"/>
      <c r="Z404" s="23">
        <f>IFERROR(Z345-Z403, "NA")</f>
        <v>-1870638.8000000003</v>
      </c>
      <c r="AA404" s="24" t="str">
        <f>IFERROR(Z404/Z444, "NA")</f>
        <v>NA</v>
      </c>
      <c r="AB404" s="25"/>
      <c r="AC404" s="23">
        <f>IFERROR(Q404-Z404, "NA")</f>
        <v>327072.85000000033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841.59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-841.59</v>
      </c>
      <c r="X410" s="8" t="str">
        <f>IFERROR(W410/W444, "NA")</f>
        <v>NA</v>
      </c>
      <c r="Y410" s="9"/>
      <c r="Z410" s="7">
        <v>2218.6799999999998</v>
      </c>
      <c r="AA410" s="8" t="str">
        <f>IFERROR(Z410/Z444, "NA")</f>
        <v>NA</v>
      </c>
      <c r="AB410" s="9"/>
      <c r="AC410" s="10">
        <f t="shared" si="103"/>
        <v>1377.0899999999997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2952.07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-2952.07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-2952.07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-3000</v>
      </c>
      <c r="L418" s="8" t="str">
        <f>IFERROR(K418/K444, "NA")</f>
        <v>NA</v>
      </c>
      <c r="M418" s="9"/>
      <c r="N418" s="10">
        <f t="shared" si="101"/>
        <v>-3000</v>
      </c>
      <c r="O418" s="8" t="str">
        <f>IFERROR(N418/N444, "NA")</f>
        <v>NA</v>
      </c>
      <c r="P418" s="9"/>
      <c r="Q418" s="7">
        <v>-3725.69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3725.69</v>
      </c>
      <c r="X418" s="8" t="str">
        <f>IFERROR(W418/W444, "NA")</f>
        <v>NA</v>
      </c>
      <c r="Y418" s="9"/>
      <c r="Z418" s="7">
        <v>-7485.23</v>
      </c>
      <c r="AA418" s="8" t="str">
        <f>IFERROR(Z418/Z444, "NA")</f>
        <v>NA</v>
      </c>
      <c r="AB418" s="9"/>
      <c r="AC418" s="10">
        <f t="shared" si="103"/>
        <v>-3759.5399999999995</v>
      </c>
      <c r="AD418" s="8" t="str">
        <f>IFERROR(AC418/AC444, "NA")</f>
        <v>NA</v>
      </c>
    </row>
    <row r="419" spans="1:30" ht="16.5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363.75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-363.75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-363.75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-498.48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498.48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498.48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-16069.4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16069.4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16069.4</v>
      </c>
      <c r="O423" s="8" t="str">
        <f>IFERROR(N423/N444, "NA")</f>
        <v>NA</v>
      </c>
      <c r="P423" s="9"/>
      <c r="Q423" s="7">
        <v>-56707.62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56707.62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56707.62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-2715.98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2715.98</v>
      </c>
      <c r="I426" s="8" t="str">
        <f>IFERROR(H426/H444, "NA")</f>
        <v>NA</v>
      </c>
      <c r="J426" s="9"/>
      <c r="K426" s="7">
        <v>-731.45</v>
      </c>
      <c r="L426" s="8" t="str">
        <f>IFERROR(K426/K444, "NA")</f>
        <v>NA</v>
      </c>
      <c r="M426" s="9"/>
      <c r="N426" s="10">
        <f t="shared" si="101"/>
        <v>1984.53</v>
      </c>
      <c r="O426" s="8" t="str">
        <f>IFERROR(N426/N444, "NA")</f>
        <v>NA</v>
      </c>
      <c r="P426" s="9"/>
      <c r="Q426" s="7">
        <v>-111214.19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111214.19</v>
      </c>
      <c r="X426" s="8" t="str">
        <f>IFERROR(W426/W444, "NA")</f>
        <v>NA</v>
      </c>
      <c r="Y426" s="9"/>
      <c r="Z426" s="7">
        <v>-10597.97</v>
      </c>
      <c r="AA426" s="8" t="str">
        <f>IFERROR(Z426/Z444, "NA")</f>
        <v>NA</v>
      </c>
      <c r="AB426" s="9"/>
      <c r="AC426" s="10">
        <f t="shared" si="103"/>
        <v>100616.22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-18457.310000000001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18457.310000000001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-3546.5600000000004</v>
      </c>
      <c r="L428" s="15" t="str">
        <f>IFERROR(K428/K444, "NA")</f>
        <v>NA</v>
      </c>
      <c r="M428" s="2"/>
      <c r="N428" s="14">
        <f t="shared" si="101"/>
        <v>14910.75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-167988.57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167988.57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-15864.519999999999</v>
      </c>
      <c r="AA428" s="15" t="str">
        <f>IFERROR(Z428/Z444, "NA")</f>
        <v>NA</v>
      </c>
      <c r="AB428" s="2"/>
      <c r="AC428" s="14">
        <f t="shared" si="103"/>
        <v>152124.05000000002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-18457.310000000001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18457.310000000001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-3546.5600000000004</v>
      </c>
      <c r="L429" s="15" t="str">
        <f>IFERROR(K429/K444, "NA")</f>
        <v>NA</v>
      </c>
      <c r="M429" s="2"/>
      <c r="N429" s="14">
        <f t="shared" si="101"/>
        <v>14910.75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-167988.57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167988.57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-15864.519999999999</v>
      </c>
      <c r="AA429" s="15" t="str">
        <f>IFERROR(Z429/Z444, "NA")</f>
        <v>NA</v>
      </c>
      <c r="AB429" s="2"/>
      <c r="AC429" s="14">
        <f t="shared" si="103"/>
        <v>152124.05000000002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-119929.41</v>
      </c>
      <c r="C443" s="24" t="str">
        <f>IFERROR(B443/B444, "NA")</f>
        <v>NA</v>
      </c>
      <c r="D443" s="25"/>
      <c r="E443" s="23">
        <f>IFERROR(E404-E429-E442, "NA")</f>
        <v>-169145.63999999998</v>
      </c>
      <c r="F443" s="24" t="str">
        <f>IFERROR(E443/E444, "NA")</f>
        <v>NA</v>
      </c>
      <c r="G443" s="25"/>
      <c r="H443" s="23">
        <f>IFERROR(B443-E443, "NA")</f>
        <v>49216.229999999981</v>
      </c>
      <c r="I443" s="24" t="str">
        <f>IFERROR(H443/H444, "NA")</f>
        <v>NA</v>
      </c>
      <c r="J443" s="25"/>
      <c r="K443" s="23">
        <f>IFERROR(K404-K429-K442, "NA")</f>
        <v>-103093.85</v>
      </c>
      <c r="L443" s="24" t="str">
        <f>IFERROR(K443/K444, "NA")</f>
        <v>NA</v>
      </c>
      <c r="M443" s="25"/>
      <c r="N443" s="23">
        <f>IFERROR(B443-K443, "NA")</f>
        <v>-16835.559999999998</v>
      </c>
      <c r="O443" s="24" t="str">
        <f>IFERROR(N443/N444, "NA")</f>
        <v>NA</v>
      </c>
      <c r="P443" s="25"/>
      <c r="Q443" s="23">
        <f>IFERROR(Q404-Q429-Q442, "NA")</f>
        <v>-1375577.38</v>
      </c>
      <c r="R443" s="24" t="str">
        <f>IFERROR(Q443/Q444, "NA")</f>
        <v>NA</v>
      </c>
      <c r="S443" s="25"/>
      <c r="T443" s="23">
        <f>IFERROR(T404-T429-T442, "NA")</f>
        <v>-1976844.44</v>
      </c>
      <c r="U443" s="24" t="str">
        <f>IFERROR(T443/T444, "NA")</f>
        <v>NA</v>
      </c>
      <c r="V443" s="25"/>
      <c r="W443" s="23">
        <f>IFERROR(Q443-T443, "NA")</f>
        <v>601267.06000000006</v>
      </c>
      <c r="X443" s="24" t="str">
        <f>IFERROR(W443/W444, "NA")</f>
        <v>NA</v>
      </c>
      <c r="Y443" s="25"/>
      <c r="Z443" s="23">
        <f>IFERROR(Z404-Z429-Z442, "NA")</f>
        <v>-1854774.2800000003</v>
      </c>
      <c r="AA443" s="24" t="str">
        <f>IFERROR(Z443/Z444, "NA")</f>
        <v>NA</v>
      </c>
      <c r="AB443" s="25"/>
      <c r="AC443" s="23">
        <f>IFERROR(Q443-Z443, "NA")</f>
        <v>479196.90000000037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48644.2</v>
      </c>
      <c r="F10" s="8">
        <f>IFERROR(E10/E444, "NA")</f>
        <v>0.56399994481069193</v>
      </c>
      <c r="G10" s="9"/>
      <c r="H10" s="10">
        <f t="shared" ref="H10:H19" si="0">IFERROR(B10-E10, "NA")</f>
        <v>-48644.2</v>
      </c>
      <c r="I10" s="8">
        <f>IFERROR(H10/H444, "NA")</f>
        <v>12.873535841127199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629697.06000000006</v>
      </c>
      <c r="U10" s="8">
        <f>IFERROR(T10/T444, "NA")</f>
        <v>0.56399999441102688</v>
      </c>
      <c r="V10" s="9"/>
      <c r="W10" s="10">
        <f t="shared" ref="W10:W19" si="2">IFERROR(Q10-T10, "NA")</f>
        <v>-629697.06000000006</v>
      </c>
      <c r="X10" s="8">
        <f>IFERROR(W10/W444, "NA")</f>
        <v>12.758091913799731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35858.83</v>
      </c>
      <c r="C11" s="8">
        <f>IFERROR(B11/B444, "NA")</f>
        <v>0.43481075596365565</v>
      </c>
      <c r="D11" s="9"/>
      <c r="E11" s="7">
        <v>0</v>
      </c>
      <c r="F11" s="8">
        <f>IFERROR(E11/E444, "NA")</f>
        <v>0</v>
      </c>
      <c r="G11" s="9"/>
      <c r="H11" s="10">
        <f t="shared" si="0"/>
        <v>35858.83</v>
      </c>
      <c r="I11" s="8">
        <f>IFERROR(H11/H444, "NA")</f>
        <v>-9.4899275396838121</v>
      </c>
      <c r="J11" s="9"/>
      <c r="K11" s="7">
        <v>34396.86</v>
      </c>
      <c r="L11" s="8">
        <f>IFERROR(K11/K444, "NA")</f>
        <v>0.43774829211675709</v>
      </c>
      <c r="M11" s="9"/>
      <c r="N11" s="10">
        <f t="shared" si="1"/>
        <v>1461.9700000000012</v>
      </c>
      <c r="O11" s="8">
        <f>IFERROR(N11/N444, "NA")</f>
        <v>0.37552174705959457</v>
      </c>
      <c r="P11" s="9"/>
      <c r="Q11" s="7">
        <v>467593.74</v>
      </c>
      <c r="R11" s="8">
        <f>IFERROR(Q11/Q444, "NA")</f>
        <v>0.43817983208529127</v>
      </c>
      <c r="S11" s="9"/>
      <c r="T11" s="7">
        <v>0</v>
      </c>
      <c r="U11" s="8">
        <f>IFERROR(T11/T444, "NA")</f>
        <v>0</v>
      </c>
      <c r="V11" s="9"/>
      <c r="W11" s="10">
        <f t="shared" si="2"/>
        <v>467593.74</v>
      </c>
      <c r="X11" s="8">
        <f>IFERROR(W11/W444, "NA")</f>
        <v>-9.4737680897499708</v>
      </c>
      <c r="Y11" s="9"/>
      <c r="Z11" s="7">
        <v>513197.91</v>
      </c>
      <c r="AA11" s="8">
        <f>IFERROR(Z11/Z444, "NA")</f>
        <v>0.51262018704919554</v>
      </c>
      <c r="AB11" s="9"/>
      <c r="AC11" s="10">
        <f t="shared" si="3"/>
        <v>-45604.169999999984</v>
      </c>
      <c r="AD11" s="8">
        <f>IFERROR(AC11/AC444, "NA")</f>
        <v>-0.6909672475109272</v>
      </c>
    </row>
    <row r="12" spans="1:30" ht="16.5" customHeight="1" x14ac:dyDescent="0.45">
      <c r="A12" s="12" t="s">
        <v>14</v>
      </c>
      <c r="B12" s="7">
        <v>3057.6</v>
      </c>
      <c r="C12" s="8">
        <f>IFERROR(B12/B444, "NA")</f>
        <v>3.7075313595967115E-2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3057.6</v>
      </c>
      <c r="I12" s="8">
        <f>IFERROR(H12/H444, "NA")</f>
        <v>-0.80918430538133068</v>
      </c>
      <c r="J12" s="9"/>
      <c r="K12" s="7">
        <v>3272.6</v>
      </c>
      <c r="L12" s="8">
        <f>IFERROR(K12/K444, "NA")</f>
        <v>4.1648425489457443E-2</v>
      </c>
      <c r="M12" s="9"/>
      <c r="N12" s="10">
        <f t="shared" si="1"/>
        <v>-215</v>
      </c>
      <c r="O12" s="8">
        <f>IFERROR(N12/N444, "NA")</f>
        <v>-5.5224919538576556E-2</v>
      </c>
      <c r="P12" s="9"/>
      <c r="Q12" s="7">
        <v>48275.95</v>
      </c>
      <c r="R12" s="8">
        <f>IFERROR(Q12/Q444, "NA")</f>
        <v>4.5239159242717653E-2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48275.95</v>
      </c>
      <c r="X12" s="8">
        <f>IFERROR(W12/W444, "NA")</f>
        <v>-0.97810367309956947</v>
      </c>
      <c r="Y12" s="9"/>
      <c r="Z12" s="7">
        <v>48464.05</v>
      </c>
      <c r="AA12" s="8">
        <f>IFERROR(Z12/Z444, "NA")</f>
        <v>4.8409492501950306E-2</v>
      </c>
      <c r="AB12" s="9"/>
      <c r="AC12" s="10">
        <f t="shared" si="3"/>
        <v>-188.10000000000582</v>
      </c>
      <c r="AD12" s="8">
        <f>IFERROR(AC12/AC444, "NA")</f>
        <v>-2.8499792728781045E-3</v>
      </c>
    </row>
    <row r="13" spans="1:30" ht="16.5" customHeight="1" x14ac:dyDescent="0.45">
      <c r="A13" s="12" t="s">
        <v>15</v>
      </c>
      <c r="B13" s="7">
        <v>151</v>
      </c>
      <c r="C13" s="8">
        <f>IFERROR(B13/B444, "NA")</f>
        <v>1.8309695032021958E-3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151</v>
      </c>
      <c r="I13" s="8">
        <f>IFERROR(H13/H444, "NA")</f>
        <v>-3.9961679131534845E-2</v>
      </c>
      <c r="J13" s="9"/>
      <c r="K13" s="7">
        <v>77</v>
      </c>
      <c r="L13" s="8">
        <f>IFERROR(K13/K444, "NA")</f>
        <v>9.7993300821616548E-4</v>
      </c>
      <c r="M13" s="9"/>
      <c r="N13" s="10">
        <f t="shared" si="1"/>
        <v>74</v>
      </c>
      <c r="O13" s="8">
        <f>IFERROR(N13/N444, "NA")</f>
        <v>1.900764672490542E-2</v>
      </c>
      <c r="P13" s="9"/>
      <c r="Q13" s="7">
        <v>2423.5</v>
      </c>
      <c r="R13" s="8">
        <f>IFERROR(Q13/Q444, "NA")</f>
        <v>2.271050127956596E-3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2423.5</v>
      </c>
      <c r="X13" s="8">
        <f>IFERROR(W13/W444, "NA")</f>
        <v>-4.9101762922465673E-2</v>
      </c>
      <c r="Y13" s="9"/>
      <c r="Z13" s="7">
        <v>2126.77</v>
      </c>
      <c r="AA13" s="8">
        <f>IFERROR(Z13/Z444, "NA")</f>
        <v>2.1243758284413467E-3</v>
      </c>
      <c r="AB13" s="9"/>
      <c r="AC13" s="10">
        <f t="shared" si="3"/>
        <v>296.73</v>
      </c>
      <c r="AD13" s="8">
        <f>IFERROR(AC13/AC444, "NA")</f>
        <v>4.4958763936262299E-3</v>
      </c>
    </row>
    <row r="14" spans="1:30" ht="16.5" customHeight="1" x14ac:dyDescent="0.45">
      <c r="A14" s="12" t="s">
        <v>16</v>
      </c>
      <c r="B14" s="7">
        <v>65</v>
      </c>
      <c r="C14" s="8">
        <f>IFERROR(B14/B444, "NA")</f>
        <v>7.8816568018637572E-4</v>
      </c>
      <c r="D14" s="9"/>
      <c r="E14" s="7">
        <v>0</v>
      </c>
      <c r="F14" s="8">
        <f>IFERROR(E14/E444, "NA")</f>
        <v>0</v>
      </c>
      <c r="G14" s="9"/>
      <c r="H14" s="10">
        <f t="shared" si="0"/>
        <v>65</v>
      </c>
      <c r="I14" s="8">
        <f>IFERROR(H14/H444, "NA")</f>
        <v>-1.7202047308276586E-2</v>
      </c>
      <c r="J14" s="9"/>
      <c r="K14" s="7">
        <v>215</v>
      </c>
      <c r="L14" s="8">
        <f>IFERROR(K14/K444, "NA")</f>
        <v>2.7361765813827999E-3</v>
      </c>
      <c r="M14" s="9"/>
      <c r="N14" s="10">
        <f t="shared" si="1"/>
        <v>-150</v>
      </c>
      <c r="O14" s="8">
        <f>IFERROR(N14/N444, "NA")</f>
        <v>-3.8529013631565037E-2</v>
      </c>
      <c r="P14" s="9"/>
      <c r="Q14" s="7">
        <v>2070</v>
      </c>
      <c r="R14" s="8">
        <f>IFERROR(Q14/Q444, "NA")</f>
        <v>1.9397869877739444E-3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2070</v>
      </c>
      <c r="X14" s="8">
        <f>IFERROR(W14/W444, "NA")</f>
        <v>-4.1939611821540726E-2</v>
      </c>
      <c r="Y14" s="9"/>
      <c r="Z14" s="7">
        <v>4004.99</v>
      </c>
      <c r="AA14" s="8">
        <f>IFERROR(Z14/Z444, "NA")</f>
        <v>4.0004814573975124E-3</v>
      </c>
      <c r="AB14" s="9"/>
      <c r="AC14" s="10">
        <f t="shared" si="3"/>
        <v>-1934.9899999999998</v>
      </c>
      <c r="AD14" s="8">
        <f>IFERROR(AC14/AC444, "NA")</f>
        <v>-2.9317817082542434E-2</v>
      </c>
    </row>
    <row r="15" spans="1:30" ht="16.5" customHeight="1" x14ac:dyDescent="0.45">
      <c r="A15" s="12" t="s">
        <v>17</v>
      </c>
      <c r="B15" s="7">
        <v>24</v>
      </c>
      <c r="C15" s="8">
        <f>IFERROR(B15/B444, "NA")</f>
        <v>2.9101502037650798E-4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24</v>
      </c>
      <c r="I15" s="8">
        <f>IFERROR(H15/H444, "NA")</f>
        <v>-6.3515251599790476E-3</v>
      </c>
      <c r="J15" s="9"/>
      <c r="K15" s="7">
        <v>73</v>
      </c>
      <c r="L15" s="8">
        <f>IFERROR(K15/K444, "NA")</f>
        <v>9.2902739739974139E-4</v>
      </c>
      <c r="M15" s="9"/>
      <c r="N15" s="10">
        <f t="shared" si="1"/>
        <v>-49</v>
      </c>
      <c r="O15" s="8">
        <f>IFERROR(N15/N444, "NA")</f>
        <v>-1.2586144452977913E-2</v>
      </c>
      <c r="P15" s="9"/>
      <c r="Q15" s="7">
        <v>558</v>
      </c>
      <c r="R15" s="8">
        <f>IFERROR(Q15/Q444, "NA")</f>
        <v>5.2289910105210674E-4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558</v>
      </c>
      <c r="X15" s="8">
        <f>IFERROR(W15/W444, "NA")</f>
        <v>-1.1305460577980543E-2</v>
      </c>
      <c r="Y15" s="9"/>
      <c r="Z15" s="7">
        <v>535</v>
      </c>
      <c r="AA15" s="8">
        <f>IFERROR(Z15/Z444, "NA")</f>
        <v>5.3439773375405918E-4</v>
      </c>
      <c r="AB15" s="9"/>
      <c r="AC15" s="10">
        <f t="shared" si="3"/>
        <v>23</v>
      </c>
      <c r="AD15" s="8">
        <f>IFERROR(AC15/AC444, "NA")</f>
        <v>3.4848231406801899E-4</v>
      </c>
    </row>
    <row r="16" spans="1:30" ht="16.5" customHeight="1" x14ac:dyDescent="0.45">
      <c r="A16" s="12" t="s">
        <v>18</v>
      </c>
      <c r="B16" s="7">
        <v>0.32</v>
      </c>
      <c r="C16" s="8">
        <f>IFERROR(B16/B444, "NA")</f>
        <v>3.880200271686773E-6</v>
      </c>
      <c r="D16" s="9"/>
      <c r="E16" s="7">
        <v>0</v>
      </c>
      <c r="F16" s="8">
        <f>IFERROR(E16/E444, "NA")</f>
        <v>0</v>
      </c>
      <c r="G16" s="9"/>
      <c r="H16" s="10">
        <f t="shared" si="0"/>
        <v>0.32</v>
      </c>
      <c r="I16" s="8">
        <f>IFERROR(H16/H444, "NA")</f>
        <v>-8.4687002133053971E-5</v>
      </c>
      <c r="J16" s="9"/>
      <c r="K16" s="7">
        <v>0</v>
      </c>
      <c r="L16" s="8">
        <f>IFERROR(K16/K444, "NA")</f>
        <v>0</v>
      </c>
      <c r="M16" s="9"/>
      <c r="N16" s="10">
        <f t="shared" si="1"/>
        <v>0.32</v>
      </c>
      <c r="O16" s="8">
        <f>IFERROR(N16/N444, "NA")</f>
        <v>8.2195229080672083E-5</v>
      </c>
      <c r="P16" s="9"/>
      <c r="Q16" s="7">
        <v>9.36</v>
      </c>
      <c r="R16" s="8">
        <f>IFERROR(Q16/Q444, "NA")</f>
        <v>8.7712107273256609E-6</v>
      </c>
      <c r="S16" s="9"/>
      <c r="T16" s="7">
        <v>0</v>
      </c>
      <c r="U16" s="8">
        <f>IFERROR(T16/T444, "NA")</f>
        <v>0</v>
      </c>
      <c r="V16" s="9"/>
      <c r="W16" s="10">
        <f t="shared" si="2"/>
        <v>9.36</v>
      </c>
      <c r="X16" s="8">
        <f>IFERROR(W16/W444, "NA")</f>
        <v>-1.8963998388870588E-4</v>
      </c>
      <c r="Y16" s="9"/>
      <c r="Z16" s="7">
        <v>0</v>
      </c>
      <c r="AA16" s="8">
        <f>IFERROR(Z16/Z444, "NA")</f>
        <v>0</v>
      </c>
      <c r="AB16" s="9"/>
      <c r="AC16" s="10">
        <f t="shared" si="3"/>
        <v>9.36</v>
      </c>
      <c r="AD16" s="8">
        <f>IFERROR(AC16/AC444, "NA")</f>
        <v>1.4181715042072424E-4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39156.75</v>
      </c>
      <c r="C18" s="15">
        <f>IFERROR(B18/B444, "NA")</f>
        <v>0.47480009996365952</v>
      </c>
      <c r="D18" s="2"/>
      <c r="E18" s="14">
        <f>IFERROR(E10+E11+E12+E13+E14+E15+E16+E17, "NA")</f>
        <v>48644.2</v>
      </c>
      <c r="F18" s="15">
        <f>IFERROR(E18/E444, "NA")</f>
        <v>0.56399994481069193</v>
      </c>
      <c r="G18" s="2"/>
      <c r="H18" s="14">
        <f t="shared" si="0"/>
        <v>-9487.4499999999971</v>
      </c>
      <c r="I18" s="15">
        <f>IFERROR(H18/H444, "NA")</f>
        <v>2.5108240574601335</v>
      </c>
      <c r="J18" s="2"/>
      <c r="K18" s="14">
        <f>IFERROR(K10+K11+K12+K13+K14+K15+K16+K17, "NA")</f>
        <v>38034.46</v>
      </c>
      <c r="L18" s="15">
        <f>IFERROR(K18/K444, "NA")</f>
        <v>0.48404185459321325</v>
      </c>
      <c r="M18" s="2"/>
      <c r="N18" s="14">
        <f t="shared" si="1"/>
        <v>1122.2900000000009</v>
      </c>
      <c r="O18" s="15">
        <f>IFERROR(N18/N444, "NA")</f>
        <v>0.28827151139046109</v>
      </c>
      <c r="P18" s="2"/>
      <c r="Q18" s="14">
        <f>IFERROR(Q10+Q11+Q12+Q13+Q14+Q15+Q16+Q17, "NA")</f>
        <v>520930.55</v>
      </c>
      <c r="R18" s="15">
        <f>IFERROR(Q18/Q444, "NA")</f>
        <v>0.4881614987555189</v>
      </c>
      <c r="S18" s="2"/>
      <c r="T18" s="14">
        <f>IFERROR(T10+T11+T12+T13+T14+T15+T16+T17, "NA")</f>
        <v>629697.06000000006</v>
      </c>
      <c r="U18" s="15">
        <f>IFERROR(T18/T444, "NA")</f>
        <v>0.56399999441102688</v>
      </c>
      <c r="V18" s="2"/>
      <c r="W18" s="14">
        <f t="shared" si="2"/>
        <v>-108766.51000000007</v>
      </c>
      <c r="X18" s="15">
        <f>IFERROR(W18/W444, "NA")</f>
        <v>2.2036836756443141</v>
      </c>
      <c r="Y18" s="2"/>
      <c r="Z18" s="14">
        <f>IFERROR(Z10+Z11+Z12+Z13+Z14+Z15+Z16+Z17, "NA")</f>
        <v>568328.72</v>
      </c>
      <c r="AA18" s="15">
        <f>IFERROR(Z18/Z444, "NA")</f>
        <v>0.56768893457073877</v>
      </c>
      <c r="AB18" s="2"/>
      <c r="AC18" s="14">
        <f t="shared" si="3"/>
        <v>-47398.169999999984</v>
      </c>
      <c r="AD18" s="15">
        <f>IFERROR(AC18/AC444, "NA")</f>
        <v>-0.71814886800823263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9142.35</v>
      </c>
      <c r="F21" s="8">
        <f>IFERROR(E21/E444, "NA")</f>
        <v>0.10599999373902809</v>
      </c>
      <c r="G21" s="9"/>
      <c r="H21" s="10">
        <f t="shared" ref="H21:H29" si="4">IFERROR(B21-E21, "NA")</f>
        <v>-9142.35</v>
      </c>
      <c r="I21" s="8">
        <f>IFERROR(H21/H444, "NA")</f>
        <v>2.4194944185972687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118347.31</v>
      </c>
      <c r="U21" s="8">
        <f>IFERROR(T21/T444, "NA")</f>
        <v>0.10599999018347023</v>
      </c>
      <c r="V21" s="9"/>
      <c r="W21" s="10">
        <f t="shared" ref="W21:W29" si="6">IFERROR(Q21-T21, "NA")</f>
        <v>-118347.31</v>
      </c>
      <c r="X21" s="8">
        <f>IFERROR(W21/W444, "NA")</f>
        <v>2.3977972181273164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6595.26</v>
      </c>
      <c r="C22" s="8">
        <f>IFERROR(B22/B444, "NA")</f>
        <v>7.9971655137015332E-2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6595.26</v>
      </c>
      <c r="I22" s="8">
        <f>IFERROR(H22/H444, "NA")</f>
        <v>-1.7454149927751423</v>
      </c>
      <c r="J22" s="9"/>
      <c r="K22" s="7">
        <v>9190.85</v>
      </c>
      <c r="L22" s="8">
        <f>IFERROR(K22/K444, "NA")</f>
        <v>0.11696645829303305</v>
      </c>
      <c r="M22" s="9"/>
      <c r="N22" s="10">
        <f t="shared" si="5"/>
        <v>-2595.59</v>
      </c>
      <c r="O22" s="8">
        <f>IFERROR(N22/N444, "NA")</f>
        <v>-0.66670348327969275</v>
      </c>
      <c r="P22" s="9"/>
      <c r="Q22" s="7">
        <v>81550.98</v>
      </c>
      <c r="R22" s="8">
        <f>IFERROR(Q22/Q444, "NA")</f>
        <v>7.6421028910247907E-2</v>
      </c>
      <c r="S22" s="9"/>
      <c r="T22" s="7">
        <v>0</v>
      </c>
      <c r="U22" s="8">
        <f>IFERROR(T22/T444, "NA")</f>
        <v>0</v>
      </c>
      <c r="V22" s="9"/>
      <c r="W22" s="10">
        <f t="shared" si="6"/>
        <v>81550.98</v>
      </c>
      <c r="X22" s="8">
        <f>IFERROR(W22/W444, "NA")</f>
        <v>-1.652278475780788</v>
      </c>
      <c r="Y22" s="9"/>
      <c r="Z22" s="7">
        <v>91797.79</v>
      </c>
      <c r="AA22" s="8">
        <f>IFERROR(Z22/Z444, "NA")</f>
        <v>9.1694450354450521E-2</v>
      </c>
      <c r="AB22" s="9"/>
      <c r="AC22" s="10">
        <f t="shared" si="7"/>
        <v>-10246.809999999998</v>
      </c>
      <c r="AD22" s="8">
        <f>IFERROR(AC22/AC444, "NA")</f>
        <v>-0.15525356785283986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676.74</v>
      </c>
      <c r="C24" s="8">
        <f>IFERROR(B24/B444, "NA")</f>
        <v>8.2058960370665832E-3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676.74</v>
      </c>
      <c r="I24" s="8">
        <f>IFERROR(H24/H444, "NA")</f>
        <v>-0.17909713069850922</v>
      </c>
      <c r="J24" s="9"/>
      <c r="K24" s="7">
        <v>761.48</v>
      </c>
      <c r="L24" s="8">
        <f>IFERROR(K24/K444, "NA")</f>
        <v>9.6909011311226718E-3</v>
      </c>
      <c r="M24" s="9"/>
      <c r="N24" s="10">
        <f t="shared" si="5"/>
        <v>-84.740000000000009</v>
      </c>
      <c r="O24" s="8">
        <f>IFERROR(N24/N444, "NA")</f>
        <v>-2.176632410092548E-2</v>
      </c>
      <c r="P24" s="9"/>
      <c r="Q24" s="7">
        <v>7541.45</v>
      </c>
      <c r="R24" s="8">
        <f>IFERROR(Q24/Q444, "NA")</f>
        <v>7.0670563183322767E-3</v>
      </c>
      <c r="S24" s="9"/>
      <c r="T24" s="7">
        <v>0</v>
      </c>
      <c r="U24" s="8">
        <f>IFERROR(T24/T444, "NA")</f>
        <v>0</v>
      </c>
      <c r="V24" s="9"/>
      <c r="W24" s="10">
        <f t="shared" si="6"/>
        <v>7541.45</v>
      </c>
      <c r="X24" s="8">
        <f>IFERROR(W24/W444, "NA")</f>
        <v>-0.15279492056597019</v>
      </c>
      <c r="Y24" s="9"/>
      <c r="Z24" s="7">
        <v>6525.78</v>
      </c>
      <c r="AA24" s="8">
        <f>IFERROR(Z24/Z444, "NA")</f>
        <v>6.5184337251917085E-3</v>
      </c>
      <c r="AB24" s="9"/>
      <c r="AC24" s="10">
        <f t="shared" si="7"/>
        <v>1015.6700000000001</v>
      </c>
      <c r="AD24" s="8">
        <f>IFERROR(AC24/AC444, "NA")</f>
        <v>1.5388827475194124E-2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3041.56</v>
      </c>
      <c r="AA27" s="8">
        <f>IFERROR(Z27/Z444, "NA")</f>
        <v>3.0381360207046657E-3</v>
      </c>
      <c r="AB27" s="9"/>
      <c r="AC27" s="10">
        <f t="shared" si="7"/>
        <v>-3041.56</v>
      </c>
      <c r="AD27" s="8">
        <f>IFERROR(AC27/AC444, "NA")</f>
        <v>-4.6083907268553208E-2</v>
      </c>
    </row>
    <row r="28" spans="1:30" ht="16.5" customHeight="1" x14ac:dyDescent="0.45">
      <c r="A28" s="12" t="s">
        <v>29</v>
      </c>
      <c r="B28" s="7">
        <v>718.8</v>
      </c>
      <c r="C28" s="8">
        <f>IFERROR(B28/B444, "NA")</f>
        <v>8.7158998602764135E-3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718.8</v>
      </c>
      <c r="I28" s="8">
        <f>IFERROR(H28/H444, "NA")</f>
        <v>-0.19022817854137247</v>
      </c>
      <c r="J28" s="9"/>
      <c r="K28" s="7">
        <v>736.77</v>
      </c>
      <c r="L28" s="8">
        <f>IFERROR(K28/K444, "NA")</f>
        <v>9.3764317203042114E-3</v>
      </c>
      <c r="M28" s="9"/>
      <c r="N28" s="10">
        <f t="shared" si="5"/>
        <v>-17.970000000000027</v>
      </c>
      <c r="O28" s="8">
        <f>IFERROR(N28/N444, "NA")</f>
        <v>-4.615775833061499E-3</v>
      </c>
      <c r="P28" s="9"/>
      <c r="Q28" s="7">
        <v>10075.18</v>
      </c>
      <c r="R28" s="8">
        <f>IFERROR(Q28/Q444, "NA")</f>
        <v>9.4414024461257438E-3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10075.18</v>
      </c>
      <c r="X28" s="8">
        <f>IFERROR(W28/W444, "NA")</f>
        <v>-0.20413001846963802</v>
      </c>
      <c r="Y28" s="9"/>
      <c r="Z28" s="7">
        <v>10094.299999999999</v>
      </c>
      <c r="AA28" s="8">
        <f>IFERROR(Z28/Z444, "NA")</f>
        <v>1.0082936530530091E-2</v>
      </c>
      <c r="AB28" s="9"/>
      <c r="AC28" s="10">
        <f t="shared" si="7"/>
        <v>-19.119999999998981</v>
      </c>
      <c r="AD28" s="8">
        <f>IFERROR(AC28/AC444, "NA")</f>
        <v>-2.8969486282522469E-4</v>
      </c>
    </row>
    <row r="29" spans="1:30" ht="16.5" customHeight="1" x14ac:dyDescent="0.45">
      <c r="A29" s="13" t="s">
        <v>30</v>
      </c>
      <c r="B29" s="14">
        <f>IFERROR(B21+B22+B23+B24+B25+B26+B27+B28, "NA")</f>
        <v>7990.8</v>
      </c>
      <c r="C29" s="15">
        <f>IFERROR(B29/B444, "NA")</f>
        <v>9.6893451034358327E-2</v>
      </c>
      <c r="D29" s="2"/>
      <c r="E29" s="14">
        <f>IFERROR(E21+E22+E23+E24+E25+E26+E27+E28, "NA")</f>
        <v>9142.35</v>
      </c>
      <c r="F29" s="15">
        <f>IFERROR(E29/E444, "NA")</f>
        <v>0.10599999373902809</v>
      </c>
      <c r="G29" s="2"/>
      <c r="H29" s="14">
        <f t="shared" si="4"/>
        <v>-1151.5500000000002</v>
      </c>
      <c r="I29" s="15">
        <f>IFERROR(H29/H444, "NA")</f>
        <v>0.30475411658224472</v>
      </c>
      <c r="J29" s="2"/>
      <c r="K29" s="14">
        <f>IFERROR(K21+K22+K23+K24+K25+K26+K27+K28, "NA")</f>
        <v>10689.1</v>
      </c>
      <c r="L29" s="15">
        <f>IFERROR(K29/K444, "NA")</f>
        <v>0.13603379114445993</v>
      </c>
      <c r="M29" s="2"/>
      <c r="N29" s="14">
        <f t="shared" si="5"/>
        <v>-2698.3</v>
      </c>
      <c r="O29" s="15">
        <f>IFERROR(N29/N444, "NA")</f>
        <v>-0.69308558321367975</v>
      </c>
      <c r="P29" s="2"/>
      <c r="Q29" s="14">
        <f>IFERROR(Q21+Q22+Q23+Q24+Q25+Q26+Q27+Q28, "NA")</f>
        <v>99167.609999999986</v>
      </c>
      <c r="R29" s="15">
        <f>IFERROR(Q29/Q444, "NA")</f>
        <v>9.2929487674705921E-2</v>
      </c>
      <c r="S29" s="2"/>
      <c r="T29" s="14">
        <f>IFERROR(T21+T22+T23+T24+T25+T26+T27+T28, "NA")</f>
        <v>118347.31</v>
      </c>
      <c r="U29" s="15">
        <f>IFERROR(T29/T444, "NA")</f>
        <v>0.10599999018347023</v>
      </c>
      <c r="V29" s="2"/>
      <c r="W29" s="14">
        <f t="shared" si="6"/>
        <v>-19179.700000000012</v>
      </c>
      <c r="X29" s="15">
        <f>IFERROR(W29/W444, "NA")</f>
        <v>0.38859380331092036</v>
      </c>
      <c r="Y29" s="2"/>
      <c r="Z29" s="14">
        <f>IFERROR(Z21+Z22+Z23+Z24+Z25+Z26+Z27+Z28, "NA")</f>
        <v>111459.43</v>
      </c>
      <c r="AA29" s="15">
        <f>IFERROR(Z29/Z444, "NA")</f>
        <v>0.111333956630877</v>
      </c>
      <c r="AB29" s="2"/>
      <c r="AC29" s="14">
        <f t="shared" si="7"/>
        <v>-12291.820000000007</v>
      </c>
      <c r="AD29" s="15">
        <f>IFERROR(AC29/AC444, "NA")</f>
        <v>-0.18623834250902432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18543.45</v>
      </c>
      <c r="F31" s="8">
        <f>IFERROR(E31/E444, "NA")</f>
        <v>0.21500003652233621</v>
      </c>
      <c r="G31" s="9"/>
      <c r="H31" s="10">
        <f t="shared" ref="H31:H40" si="8">IFERROR(B31-E31, "NA")</f>
        <v>-18543.45</v>
      </c>
      <c r="I31" s="8">
        <f>IFERROR(H31/H444, "NA")</f>
        <v>4.9074662178255615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240044.1</v>
      </c>
      <c r="U31" s="8">
        <f>IFERROR(T31/T444, "NA")</f>
        <v>0.21500000501574515</v>
      </c>
      <c r="V31" s="9"/>
      <c r="W31" s="10">
        <f t="shared" ref="W31:W40" si="10">IFERROR(Q31-T31, "NA")</f>
        <v>-240044.1</v>
      </c>
      <c r="X31" s="8">
        <f>IFERROR(W31/W444, "NA")</f>
        <v>4.8634571855319342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6431.02</v>
      </c>
      <c r="C33" s="8">
        <f>IFERROR(B33/B444, "NA")</f>
        <v>7.7980142347572098E-2</v>
      </c>
      <c r="D33" s="9"/>
      <c r="E33" s="7">
        <v>0</v>
      </c>
      <c r="F33" s="8">
        <f>IFERROR(E33/E444, "NA")</f>
        <v>0</v>
      </c>
      <c r="G33" s="9"/>
      <c r="H33" s="10">
        <f t="shared" si="8"/>
        <v>6431.02</v>
      </c>
      <c r="I33" s="8">
        <f>IFERROR(H33/H444, "NA")</f>
        <v>-1.7019493889303525</v>
      </c>
      <c r="J33" s="9"/>
      <c r="K33" s="7">
        <v>6011.94</v>
      </c>
      <c r="L33" s="8">
        <f>IFERROR(K33/K444, "NA")</f>
        <v>7.6510369472923292E-2</v>
      </c>
      <c r="M33" s="9"/>
      <c r="N33" s="10">
        <f t="shared" si="9"/>
        <v>419.08000000000084</v>
      </c>
      <c r="O33" s="8">
        <f>IFERROR(N33/N444, "NA")</f>
        <v>0.10764492688477539</v>
      </c>
      <c r="P33" s="9"/>
      <c r="Q33" s="7">
        <v>62954.65</v>
      </c>
      <c r="R33" s="8">
        <f>IFERROR(Q33/Q444, "NA")</f>
        <v>5.8994498014426543E-2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62954.65</v>
      </c>
      <c r="X33" s="8">
        <f>IFERROR(W33/W444, "NA")</f>
        <v>-1.2755041465511878</v>
      </c>
      <c r="Y33" s="9"/>
      <c r="Z33" s="7">
        <v>59950.31</v>
      </c>
      <c r="AA33" s="8">
        <f>IFERROR(Z33/Z444, "NA")</f>
        <v>5.9882822059538897E-2</v>
      </c>
      <c r="AB33" s="9"/>
      <c r="AC33" s="10">
        <f t="shared" si="11"/>
        <v>3004.3400000000038</v>
      </c>
      <c r="AD33" s="8">
        <f>IFERROR(AC33/AC444, "NA")</f>
        <v>4.5519971975961457E-2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725.84</v>
      </c>
      <c r="C35" s="8">
        <f>IFERROR(B35/B444, "NA")</f>
        <v>8.8012642662535223E-3</v>
      </c>
      <c r="D35" s="9"/>
      <c r="E35" s="7">
        <v>0</v>
      </c>
      <c r="F35" s="8">
        <f>IFERROR(E35/E444, "NA")</f>
        <v>0</v>
      </c>
      <c r="G35" s="9"/>
      <c r="H35" s="10">
        <f t="shared" si="8"/>
        <v>725.84</v>
      </c>
      <c r="I35" s="8">
        <f>IFERROR(H35/H444, "NA")</f>
        <v>-0.19209129258829968</v>
      </c>
      <c r="J35" s="9"/>
      <c r="K35" s="7">
        <v>277.92</v>
      </c>
      <c r="L35" s="8">
        <f>IFERROR(K35/K444, "NA")</f>
        <v>3.5369218395251527E-3</v>
      </c>
      <c r="M35" s="9"/>
      <c r="N35" s="10">
        <f t="shared" si="9"/>
        <v>447.92</v>
      </c>
      <c r="O35" s="8">
        <f>IFERROR(N35/N444, "NA")</f>
        <v>0.11505277190567076</v>
      </c>
      <c r="P35" s="9"/>
      <c r="Q35" s="7">
        <v>6759.34</v>
      </c>
      <c r="R35" s="8">
        <f>IFERROR(Q35/Q444, "NA")</f>
        <v>6.3341448202608374E-3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6759.34</v>
      </c>
      <c r="X35" s="8">
        <f>IFERROR(W35/W444, "NA")</f>
        <v>-0.13694883853614159</v>
      </c>
      <c r="Y35" s="9"/>
      <c r="Z35" s="7">
        <v>3121.59</v>
      </c>
      <c r="AA35" s="8">
        <f>IFERROR(Z35/Z444, "NA")</f>
        <v>3.1180759284286609E-3</v>
      </c>
      <c r="AB35" s="9"/>
      <c r="AC35" s="10">
        <f t="shared" si="11"/>
        <v>3637.75</v>
      </c>
      <c r="AD35" s="8">
        <f>IFERROR(AC35/AC444, "NA")</f>
        <v>5.5117023391345048E-2</v>
      </c>
    </row>
    <row r="36" spans="1:30" ht="16.5" customHeight="1" x14ac:dyDescent="0.45">
      <c r="A36" s="12" t="s">
        <v>36</v>
      </c>
      <c r="B36" s="7">
        <v>14169.93</v>
      </c>
      <c r="C36" s="8">
        <f>IFERROR(B36/B444, "NA")</f>
        <v>0.17181926948682047</v>
      </c>
      <c r="D36" s="9"/>
      <c r="E36" s="7">
        <v>0</v>
      </c>
      <c r="F36" s="8">
        <f>IFERROR(E36/E444, "NA")</f>
        <v>0</v>
      </c>
      <c r="G36" s="9"/>
      <c r="H36" s="10">
        <f t="shared" si="8"/>
        <v>14169.93</v>
      </c>
      <c r="I36" s="8">
        <f>IFERROR(H36/H444, "NA")</f>
        <v>-3.7500277879225794</v>
      </c>
      <c r="J36" s="9"/>
      <c r="K36" s="7">
        <v>14615.5</v>
      </c>
      <c r="L36" s="8">
        <f>IFERROR(K36/K444, "NA")</f>
        <v>0.1860027387218619</v>
      </c>
      <c r="M36" s="9"/>
      <c r="N36" s="10">
        <f t="shared" si="9"/>
        <v>-445.56999999999971</v>
      </c>
      <c r="O36" s="8">
        <f>IFERROR(N36/N444, "NA")</f>
        <v>-0.11444915069210949</v>
      </c>
      <c r="P36" s="9"/>
      <c r="Q36" s="7">
        <v>118661.73</v>
      </c>
      <c r="R36" s="8">
        <f>IFERROR(Q36/Q444, "NA")</f>
        <v>0.11119733323707491</v>
      </c>
      <c r="S36" s="9"/>
      <c r="T36" s="7">
        <v>0</v>
      </c>
      <c r="U36" s="8">
        <f>IFERROR(T36/T444, "NA")</f>
        <v>0</v>
      </c>
      <c r="V36" s="9"/>
      <c r="W36" s="10">
        <f t="shared" si="10"/>
        <v>118661.73</v>
      </c>
      <c r="X36" s="8">
        <f>IFERROR(W36/W444, "NA")</f>
        <v>-2.4041675817741419</v>
      </c>
      <c r="Y36" s="9"/>
      <c r="Z36" s="7">
        <v>150636.53</v>
      </c>
      <c r="AA36" s="8">
        <f>IFERROR(Z36/Z444, "NA")</f>
        <v>0.15046695374313149</v>
      </c>
      <c r="AB36" s="9"/>
      <c r="AC36" s="10">
        <f t="shared" si="11"/>
        <v>-31974.800000000003</v>
      </c>
      <c r="AD36" s="8">
        <f>IFERROR(AC36/AC444, "NA")</f>
        <v>-0.48446314329835194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446.04</v>
      </c>
      <c r="C39" s="8">
        <f>IFERROR(B39/B444, "NA")</f>
        <v>5.4085141536974008E-3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446.04</v>
      </c>
      <c r="I39" s="8">
        <f>IFERROR(H39/H444, "NA")</f>
        <v>-0.11804309509821061</v>
      </c>
      <c r="J39" s="9"/>
      <c r="K39" s="7">
        <v>1105.05</v>
      </c>
      <c r="L39" s="8">
        <f>IFERROR(K39/K444, "NA")</f>
        <v>1.4063311308172385E-2</v>
      </c>
      <c r="M39" s="9"/>
      <c r="N39" s="10">
        <f t="shared" si="9"/>
        <v>-659.01</v>
      </c>
      <c r="O39" s="8">
        <f>IFERROR(N39/N444, "NA")</f>
        <v>-0.16927336848891786</v>
      </c>
      <c r="P39" s="9"/>
      <c r="Q39" s="7">
        <v>6866.12</v>
      </c>
      <c r="R39" s="8">
        <f>IFERROR(Q39/Q444, "NA")</f>
        <v>6.4342078417847512E-3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6866.12</v>
      </c>
      <c r="X39" s="8">
        <f>IFERROR(W39/W444, "NA")</f>
        <v>-0.13911227416430783</v>
      </c>
      <c r="Y39" s="9"/>
      <c r="Z39" s="7">
        <v>11841.61</v>
      </c>
      <c r="AA39" s="8">
        <f>IFERROR(Z39/Z444, "NA")</f>
        <v>1.182827952897085E-2</v>
      </c>
      <c r="AB39" s="9"/>
      <c r="AC39" s="10">
        <f t="shared" si="11"/>
        <v>-4975.4900000000007</v>
      </c>
      <c r="AD39" s="8">
        <f>IFERROR(AC39/AC444, "NA")</f>
        <v>-7.5385663861838606E-2</v>
      </c>
    </row>
    <row r="40" spans="1:30" ht="16.5" customHeight="1" x14ac:dyDescent="0.45">
      <c r="A40" s="13" t="s">
        <v>40</v>
      </c>
      <c r="B40" s="14">
        <f>IFERROR(B31+B32+B33+B34+B35+B36+B37+B38+B39, "NA")</f>
        <v>21772.83</v>
      </c>
      <c r="C40" s="15">
        <f>IFERROR(B40/B444, "NA")</f>
        <v>0.2640091902543435</v>
      </c>
      <c r="D40" s="2"/>
      <c r="E40" s="14">
        <f>IFERROR(E31+E32+E33+E34+E35+E36+E37+E38+E39, "NA")</f>
        <v>18543.45</v>
      </c>
      <c r="F40" s="15">
        <f>IFERROR(E40/E444, "NA")</f>
        <v>0.21500003652233621</v>
      </c>
      <c r="G40" s="2"/>
      <c r="H40" s="14">
        <f t="shared" si="8"/>
        <v>3229.380000000001</v>
      </c>
      <c r="I40" s="15">
        <f>IFERROR(H40/H444, "NA")</f>
        <v>-0.85464534671388104</v>
      </c>
      <c r="J40" s="2"/>
      <c r="K40" s="14">
        <f>IFERROR(K31+K32+K33+K34+K35+K36+K37+K38+K39, "NA")</f>
        <v>22010.41</v>
      </c>
      <c r="L40" s="15">
        <f>IFERROR(K40/K444, "NA")</f>
        <v>0.28011334134248278</v>
      </c>
      <c r="M40" s="2"/>
      <c r="N40" s="14">
        <f t="shared" si="9"/>
        <v>-237.57999999999811</v>
      </c>
      <c r="O40" s="15">
        <f>IFERROR(N40/N444, "NA")</f>
        <v>-6.1024820390580999E-2</v>
      </c>
      <c r="P40" s="2"/>
      <c r="Q40" s="14">
        <f>IFERROR(Q31+Q32+Q33+Q34+Q35+Q36+Q37+Q38+Q39, "NA")</f>
        <v>195241.84</v>
      </c>
      <c r="R40" s="15">
        <f>IFERROR(Q40/Q444, "NA")</f>
        <v>0.18296018391354704</v>
      </c>
      <c r="S40" s="2"/>
      <c r="T40" s="14">
        <f>IFERROR(T31+T32+T33+T34+T35+T36+T37+T38+T39, "NA")</f>
        <v>240044.1</v>
      </c>
      <c r="U40" s="15">
        <f>IFERROR(T40/T444, "NA")</f>
        <v>0.21500000501574515</v>
      </c>
      <c r="V40" s="2"/>
      <c r="W40" s="14">
        <f t="shared" si="10"/>
        <v>-44802.260000000009</v>
      </c>
      <c r="X40" s="15">
        <f>IFERROR(W40/W444, "NA")</f>
        <v>0.90772434450615536</v>
      </c>
      <c r="Y40" s="2"/>
      <c r="Z40" s="14">
        <f>IFERROR(Z31+Z32+Z33+Z34+Z35+Z36+Z37+Z38+Z39, "NA")</f>
        <v>225550.03999999998</v>
      </c>
      <c r="AA40" s="15">
        <f>IFERROR(Z40/Z444, "NA")</f>
        <v>0.22529613126006989</v>
      </c>
      <c r="AB40" s="2"/>
      <c r="AC40" s="14">
        <f t="shared" si="11"/>
        <v>-30308.199999999983</v>
      </c>
      <c r="AD40" s="15">
        <f>IFERROR(AC40/AC444, "NA")</f>
        <v>-0.45921181179288378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3090.43</v>
      </c>
      <c r="C43" s="8">
        <f>IFERROR(B43/B444, "NA")</f>
        <v>3.7473397892590479E-2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3090.43</v>
      </c>
      <c r="I43" s="8">
        <f>IFERROR(H43/H444, "NA")</f>
        <v>-0.81787266250641866</v>
      </c>
      <c r="J43" s="9"/>
      <c r="K43" s="7">
        <v>1767.09</v>
      </c>
      <c r="L43" s="8">
        <f>IFERROR(K43/K444, "NA")</f>
        <v>2.2488698954398752E-2</v>
      </c>
      <c r="M43" s="9"/>
      <c r="N43" s="10">
        <f>IFERROR(B43-K43, "NA")</f>
        <v>1323.34</v>
      </c>
      <c r="O43" s="8">
        <f>IFERROR(N43/N444, "NA")</f>
        <v>0.33991323266130186</v>
      </c>
      <c r="P43" s="9"/>
      <c r="Q43" s="7">
        <v>51021.8</v>
      </c>
      <c r="R43" s="8">
        <f>IFERROR(Q43/Q444, "NA")</f>
        <v>4.781228199652398E-2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51021.8</v>
      </c>
      <c r="X43" s="8">
        <f>IFERROR(W43/W444, "NA")</f>
        <v>-1.0337364668774331</v>
      </c>
      <c r="Y43" s="9"/>
      <c r="Z43" s="7">
        <v>15259.76</v>
      </c>
      <c r="AA43" s="8">
        <f>IFERROR(Z43/Z444, "NA")</f>
        <v>1.5242581610524939E-2</v>
      </c>
      <c r="AB43" s="9"/>
      <c r="AC43" s="10">
        <f>IFERROR(Q43-Z43, "NA")</f>
        <v>35762.04</v>
      </c>
      <c r="AD43" s="8">
        <f>IFERROR(AC43/AC444, "NA")</f>
        <v>0.54184515021708946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12678.54</v>
      </c>
      <c r="F46" s="8">
        <f>IFERROR(E46/E444, "NA")</f>
        <v>0.14699996834730866</v>
      </c>
      <c r="G46" s="9"/>
      <c r="H46" s="10">
        <f t="shared" ref="H46:H62" si="12">IFERROR(B46-E46, "NA")</f>
        <v>-12678.54</v>
      </c>
      <c r="I46" s="8">
        <f>IFERROR(H46/H444, "NA")</f>
        <v>3.3553360750750318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164123.18</v>
      </c>
      <c r="U46" s="8">
        <f>IFERROR(T46/T444, "NA")</f>
        <v>0.14700000759527121</v>
      </c>
      <c r="V46" s="9"/>
      <c r="W46" s="10">
        <f t="shared" ref="W46:W62" si="14">IFERROR(Q46-T46, "NA")</f>
        <v>-164123.18</v>
      </c>
      <c r="X46" s="8">
        <f>IFERROR(W46/W444, "NA")</f>
        <v>3.3252475652738438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9038.98</v>
      </c>
      <c r="R47" s="8">
        <f>IFERROR(Q47/Q444, "NA")</f>
        <v>8.4703844380429605E-3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9038.98</v>
      </c>
      <c r="X47" s="8">
        <f>IFERROR(W47/W444, "NA")</f>
        <v>-0.18313589974042038</v>
      </c>
      <c r="Y47" s="9"/>
      <c r="Z47" s="7">
        <v>4473.6000000000004</v>
      </c>
      <c r="AA47" s="8">
        <f>IFERROR(Z47/Z444, "NA")</f>
        <v>4.4685639284526343E-3</v>
      </c>
      <c r="AB47" s="9"/>
      <c r="AC47" s="10">
        <f t="shared" si="15"/>
        <v>4565.3799999999992</v>
      </c>
      <c r="AD47" s="8">
        <f>IFERROR(AC47/AC444, "NA")</f>
        <v>6.9171921173906623E-2</v>
      </c>
    </row>
    <row r="48" spans="1:30" ht="16.5" customHeight="1" x14ac:dyDescent="0.45">
      <c r="A48" s="17" t="s">
        <v>46</v>
      </c>
      <c r="B48" s="7">
        <v>2179.92</v>
      </c>
      <c r="C48" s="8">
        <f>IFERROR(B48/B444, "NA")</f>
        <v>2.6432894300798218E-2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2179.92</v>
      </c>
      <c r="I48" s="8">
        <f>IFERROR(H48/H444, "NA")</f>
        <v>-0.57690903028089691</v>
      </c>
      <c r="J48" s="9"/>
      <c r="K48" s="7">
        <v>8106.56</v>
      </c>
      <c r="L48" s="8">
        <f>IFERROR(K48/K444, "NA")</f>
        <v>0.10316734710499792</v>
      </c>
      <c r="M48" s="9"/>
      <c r="N48" s="10">
        <f t="shared" si="13"/>
        <v>-5926.64</v>
      </c>
      <c r="O48" s="8">
        <f>IFERROR(N48/N444, "NA")</f>
        <v>-1.5223172889958576</v>
      </c>
      <c r="P48" s="9"/>
      <c r="Q48" s="7">
        <v>47589.81</v>
      </c>
      <c r="R48" s="8">
        <f>IFERROR(Q48/Q444, "NA")</f>
        <v>4.4596180767456195E-2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47589.81</v>
      </c>
      <c r="X48" s="8">
        <f>IFERROR(W48/W444, "NA")</f>
        <v>-0.96420200872506134</v>
      </c>
      <c r="Y48" s="9"/>
      <c r="Z48" s="7">
        <v>73293.509999999995</v>
      </c>
      <c r="AA48" s="8">
        <f>IFERROR(Z48/Z444, "NA")</f>
        <v>7.321100120164574E-2</v>
      </c>
      <c r="AB48" s="9"/>
      <c r="AC48" s="10">
        <f t="shared" si="15"/>
        <v>-25703.699999999997</v>
      </c>
      <c r="AD48" s="8">
        <f>IFERROR(AC48/AC444, "NA")</f>
        <v>-0.38944716765696258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27.5</v>
      </c>
      <c r="R49" s="8">
        <f>IFERROR(Q49/Q444, "NA")</f>
        <v>2.577011698733501E-5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27.5</v>
      </c>
      <c r="X49" s="8">
        <f>IFERROR(W49/W444, "NA")</f>
        <v>-5.5716875608327057E-4</v>
      </c>
      <c r="Y49" s="9"/>
      <c r="Z49" s="7">
        <v>420</v>
      </c>
      <c r="AA49" s="8">
        <f>IFERROR(Z49/Z444, "NA")</f>
        <v>4.1952719285365394E-4</v>
      </c>
      <c r="AB49" s="9"/>
      <c r="AC49" s="10">
        <f t="shared" si="15"/>
        <v>-392.5</v>
      </c>
      <c r="AD49" s="8">
        <f>IFERROR(AC49/AC444, "NA")</f>
        <v>-5.9469264465955417E-3</v>
      </c>
    </row>
    <row r="50" spans="1:30" ht="16.5" customHeight="1" x14ac:dyDescent="0.45">
      <c r="A50" s="17" t="s">
        <v>48</v>
      </c>
      <c r="B50" s="7">
        <v>2272.8000000000002</v>
      </c>
      <c r="C50" s="8">
        <f>IFERROR(B50/B444, "NA")</f>
        <v>2.7559122429655306E-2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2272.8000000000002</v>
      </c>
      <c r="I50" s="8">
        <f>IFERROR(H50/H444, "NA")</f>
        <v>-0.60148943265001587</v>
      </c>
      <c r="J50" s="9"/>
      <c r="K50" s="7">
        <v>1187.5999999999999</v>
      </c>
      <c r="L50" s="8">
        <f>IFERROR(K50/K444, "NA")</f>
        <v>1.5113875851396339E-2</v>
      </c>
      <c r="M50" s="9"/>
      <c r="N50" s="10">
        <f t="shared" si="13"/>
        <v>1085.2000000000003</v>
      </c>
      <c r="O50" s="8">
        <f>IFERROR(N50/N444, "NA")</f>
        <v>0.27874457061982927</v>
      </c>
      <c r="P50" s="9"/>
      <c r="Q50" s="7">
        <v>32523.62</v>
      </c>
      <c r="R50" s="8">
        <f>IFERROR(Q50/Q444, "NA")</f>
        <v>3.0477726990968314E-2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32523.62</v>
      </c>
      <c r="X50" s="8">
        <f>IFERROR(W50/W444, "NA")</f>
        <v>-0.65895072358999918</v>
      </c>
      <c r="Y50" s="9"/>
      <c r="Z50" s="7">
        <v>28627.19</v>
      </c>
      <c r="AA50" s="8">
        <f>IFERROR(Z50/Z444, "NA")</f>
        <v>2.8594963476162364E-2</v>
      </c>
      <c r="AB50" s="9"/>
      <c r="AC50" s="10">
        <f t="shared" si="15"/>
        <v>3896.4300000000003</v>
      </c>
      <c r="AD50" s="8">
        <f>IFERROR(AC50/AC444, "NA")</f>
        <v>5.9036388826263102E-2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customHeight="1" x14ac:dyDescent="0.45">
      <c r="A52" s="17" t="s">
        <v>50</v>
      </c>
      <c r="B52" s="7">
        <v>-476.07</v>
      </c>
      <c r="C52" s="8">
        <f>IFERROR(B52/B444, "NA")</f>
        <v>-5.7726466979435061E-3</v>
      </c>
      <c r="D52" s="9"/>
      <c r="E52" s="7">
        <v>0</v>
      </c>
      <c r="F52" s="8">
        <f>IFERROR(E52/E444, "NA")</f>
        <v>0</v>
      </c>
      <c r="G52" s="9"/>
      <c r="H52" s="10">
        <f t="shared" si="12"/>
        <v>-476.07</v>
      </c>
      <c r="I52" s="8">
        <f>IFERROR(H52/H444, "NA")</f>
        <v>0.12599044095463438</v>
      </c>
      <c r="J52" s="9"/>
      <c r="K52" s="7">
        <v>0</v>
      </c>
      <c r="L52" s="8">
        <f>IFERROR(K52/K444, "NA")</f>
        <v>0</v>
      </c>
      <c r="M52" s="9"/>
      <c r="N52" s="10">
        <f t="shared" si="13"/>
        <v>-476.07</v>
      </c>
      <c r="O52" s="8">
        <f>IFERROR(N52/N444, "NA")</f>
        <v>-0.12228338346386113</v>
      </c>
      <c r="P52" s="9"/>
      <c r="Q52" s="7">
        <v>51993.93</v>
      </c>
      <c r="R52" s="8">
        <f>IFERROR(Q52/Q444, "NA")</f>
        <v>4.8723260317502085E-2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51993.93</v>
      </c>
      <c r="X52" s="8">
        <f>IFERROR(W52/W444, "NA")</f>
        <v>-1.053432483708387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51993.93</v>
      </c>
      <c r="AD52" s="8">
        <f>IFERROR(AC52/AC444, "NA")</f>
        <v>0.78778108886480847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286.2</v>
      </c>
      <c r="L54" s="8">
        <f>IFERROR(K54/K444, "NA")</f>
        <v>3.6422964539151504E-3</v>
      </c>
      <c r="M54" s="9"/>
      <c r="N54" s="10">
        <f t="shared" si="13"/>
        <v>-286.2</v>
      </c>
      <c r="O54" s="8">
        <f>IFERROR(N54/N444, "NA")</f>
        <v>-7.35133580090261E-2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1663.9</v>
      </c>
      <c r="AA54" s="8">
        <f>IFERROR(Z54/Z444, "NA")</f>
        <v>1.6620268956885592E-3</v>
      </c>
      <c r="AB54" s="9"/>
      <c r="AC54" s="10">
        <f t="shared" si="15"/>
        <v>-1663.9</v>
      </c>
      <c r="AD54" s="8">
        <f>IFERROR(AC54/AC444, "NA")</f>
        <v>-2.5210422712077254E-2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5246.89</v>
      </c>
      <c r="R55" s="8">
        <f>IFERROR(Q55/Q444, "NA")</f>
        <v>4.9168352407155703E-3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5246.89</v>
      </c>
      <c r="X55" s="8">
        <f>IFERROR(W55/W444, "NA")</f>
        <v>-0.10630556998566369</v>
      </c>
      <c r="Y55" s="9"/>
      <c r="Z55" s="7">
        <v>3187.37</v>
      </c>
      <c r="AA55" s="8">
        <f>IFERROR(Z55/Z444, "NA")</f>
        <v>3.1837818778236928E-3</v>
      </c>
      <c r="AB55" s="9"/>
      <c r="AC55" s="10">
        <f t="shared" si="15"/>
        <v>2059.5200000000004</v>
      </c>
      <c r="AD55" s="8">
        <f>IFERROR(AC55/AC444, "NA")</f>
        <v>3.1204621542146375E-2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54.95</v>
      </c>
      <c r="R56" s="8">
        <f>IFERROR(Q56/Q444, "NA")</f>
        <v>5.149337921651123E-5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54.95</v>
      </c>
      <c r="X56" s="8">
        <f>IFERROR(W56/W444, "NA")</f>
        <v>-1.1133244780645716E-3</v>
      </c>
      <c r="Y56" s="9"/>
      <c r="Z56" s="7">
        <v>1372.05</v>
      </c>
      <c r="AA56" s="8">
        <f>IFERROR(Z56/Z444, "NA")</f>
        <v>1.3705054403687043E-3</v>
      </c>
      <c r="AB56" s="9"/>
      <c r="AC56" s="10">
        <f t="shared" si="15"/>
        <v>-1317.1</v>
      </c>
      <c r="AD56" s="8">
        <f>IFERROR(AC56/AC444, "NA")</f>
        <v>-1.9955915472129902E-2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328.31</v>
      </c>
      <c r="L57" s="8">
        <f>IFERROR(K57/K444, "NA")</f>
        <v>4.1782052717850562E-3</v>
      </c>
      <c r="M57" s="9"/>
      <c r="N57" s="10">
        <f t="shared" si="13"/>
        <v>-328.31</v>
      </c>
      <c r="O57" s="8">
        <f>IFERROR(N57/N444, "NA")</f>
        <v>-8.4329736435860794E-2</v>
      </c>
      <c r="P57" s="9"/>
      <c r="Q57" s="7">
        <v>12386.21</v>
      </c>
      <c r="R57" s="8">
        <f>IFERROR(Q57/Q444, "NA")</f>
        <v>1.1607057481079954E-2</v>
      </c>
      <c r="S57" s="9"/>
      <c r="T57" s="7">
        <v>0</v>
      </c>
      <c r="U57" s="8">
        <f>IFERROR(T57/T444, "NA")</f>
        <v>0</v>
      </c>
      <c r="V57" s="9"/>
      <c r="W57" s="10">
        <f t="shared" si="14"/>
        <v>12386.21</v>
      </c>
      <c r="X57" s="8">
        <f>IFERROR(W57/W444, "NA")</f>
        <v>-0.25095306248313332</v>
      </c>
      <c r="Y57" s="9"/>
      <c r="Z57" s="7">
        <v>14684.72</v>
      </c>
      <c r="AA57" s="8">
        <f>IFERROR(Z57/Z444, "NA")</f>
        <v>1.4668188951052163E-2</v>
      </c>
      <c r="AB57" s="9"/>
      <c r="AC57" s="10">
        <f t="shared" si="15"/>
        <v>-2298.5100000000002</v>
      </c>
      <c r="AD57" s="8">
        <f>IFERROR(AC57/AC444, "NA")</f>
        <v>-3.4825655813412279E-2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3976.65</v>
      </c>
      <c r="C61" s="15">
        <f>IFERROR(B61/B444, "NA")</f>
        <v>4.8219370032510013E-2</v>
      </c>
      <c r="D61" s="2"/>
      <c r="E61" s="14">
        <f>IFERROR(E46+E47+E48+E49+E50+E51+E52+E53+E54+E55+E56+E57+E58+E59+E60, "NA")</f>
        <v>12678.54</v>
      </c>
      <c r="F61" s="15">
        <f>IFERROR(E61/E444, "NA")</f>
        <v>0.14699996834730866</v>
      </c>
      <c r="G61" s="2"/>
      <c r="H61" s="14">
        <f t="shared" si="12"/>
        <v>-8701.8900000000012</v>
      </c>
      <c r="I61" s="15">
        <f>IFERROR(H61/H444, "NA")</f>
        <v>2.3029280530987535</v>
      </c>
      <c r="J61" s="2"/>
      <c r="K61" s="14">
        <f>IFERROR(K46+K47+K48+K49+K50+K51+K52+K53+K54+K55+K56+K57+K58+K59+K60, "NA")</f>
        <v>9908.67</v>
      </c>
      <c r="L61" s="15">
        <f>IFERROR(K61/K444, "NA")</f>
        <v>0.12610172468209446</v>
      </c>
      <c r="M61" s="2"/>
      <c r="N61" s="14">
        <f t="shared" si="13"/>
        <v>-5932.02</v>
      </c>
      <c r="O61" s="15">
        <f>IFERROR(N61/N444, "NA")</f>
        <v>-1.5236991962847763</v>
      </c>
      <c r="P61" s="2"/>
      <c r="Q61" s="14">
        <f>IFERROR(Q46+Q47+Q48+Q49+Q50+Q51+Q52+Q53+Q54+Q55+Q56+Q57+Q58+Q59+Q60, "NA")</f>
        <v>158861.89000000001</v>
      </c>
      <c r="R61" s="15">
        <f>IFERROR(Q61/Q444, "NA")</f>
        <v>0.14886870873196895</v>
      </c>
      <c r="S61" s="2"/>
      <c r="T61" s="14">
        <f>IFERROR(T46+T47+T48+T49+T50+T51+T52+T53+T54+T55+T56+T57+T58+T59+T60, "NA")</f>
        <v>164123.18</v>
      </c>
      <c r="U61" s="15">
        <f>IFERROR(T61/T444, "NA")</f>
        <v>0.14700000759527121</v>
      </c>
      <c r="V61" s="2"/>
      <c r="W61" s="14">
        <f t="shared" si="14"/>
        <v>-5261.289999999979</v>
      </c>
      <c r="X61" s="15">
        <f>IFERROR(W61/W444, "NA")</f>
        <v>0.10659732380703049</v>
      </c>
      <c r="Y61" s="2"/>
      <c r="Z61" s="14">
        <f>IFERROR(Z46+Z47+Z48+Z49+Z50+Z51+Z52+Z53+Z54+Z55+Z56+Z57+Z58+Z59+Z60, "NA")</f>
        <v>127722.34</v>
      </c>
      <c r="AA61" s="15">
        <f>IFERROR(Z61/Z444, "NA")</f>
        <v>0.12757855896404752</v>
      </c>
      <c r="AB61" s="2"/>
      <c r="AC61" s="14">
        <f t="shared" si="15"/>
        <v>31139.550000000017</v>
      </c>
      <c r="AD61" s="15">
        <f>IFERROR(AC61/AC444, "NA")</f>
        <v>0.47180793230594725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7067.0800000000008</v>
      </c>
      <c r="C62" s="15">
        <f>IFERROR(B62/B444, "NA")</f>
        <v>8.5692767925100499E-2</v>
      </c>
      <c r="D62" s="2"/>
      <c r="E62" s="14">
        <f>IFERROR(E42+E43+E44+E46+E47+E48+E49+E50+E51+E52+E53+E54+E55+E56+E57+E58+E59+E60, "NA")</f>
        <v>12678.54</v>
      </c>
      <c r="F62" s="15">
        <f>IFERROR(E62/E444, "NA")</f>
        <v>0.14699996834730866</v>
      </c>
      <c r="G62" s="2"/>
      <c r="H62" s="14">
        <f t="shared" si="12"/>
        <v>-5611.46</v>
      </c>
      <c r="I62" s="15">
        <f>IFERROR(H62/H444, "NA")</f>
        <v>1.4850553905923345</v>
      </c>
      <c r="J62" s="2"/>
      <c r="K62" s="14">
        <f>IFERROR(K42+K43+K44+K46+K47+K48+K49+K50+K51+K52+K53+K54+K55+K56+K57+K58+K59+K60, "NA")</f>
        <v>11675.76</v>
      </c>
      <c r="L62" s="15">
        <f>IFERROR(K62/K444, "NA")</f>
        <v>0.14859042363649322</v>
      </c>
      <c r="M62" s="2"/>
      <c r="N62" s="14">
        <f t="shared" si="13"/>
        <v>-4608.6799999999994</v>
      </c>
      <c r="O62" s="15">
        <f>IFERROR(N62/N444, "NA")</f>
        <v>-1.1837859636234742</v>
      </c>
      <c r="P62" s="2"/>
      <c r="Q62" s="14">
        <f>IFERROR(Q42+Q43+Q44+Q46+Q47+Q48+Q49+Q50+Q51+Q52+Q53+Q54+Q55+Q56+Q57+Q58+Q59+Q60, "NA")</f>
        <v>209883.69</v>
      </c>
      <c r="R62" s="15">
        <f>IFERROR(Q62/Q444, "NA")</f>
        <v>0.1966809907284929</v>
      </c>
      <c r="S62" s="2"/>
      <c r="T62" s="14">
        <f>IFERROR(T42+T43+T44+T46+T47+T48+T49+T50+T51+T52+T53+T54+T55+T56+T57+T58+T59+T60, "NA")</f>
        <v>164123.18</v>
      </c>
      <c r="U62" s="15">
        <f>IFERROR(T62/T444, "NA")</f>
        <v>0.14700000759527121</v>
      </c>
      <c r="V62" s="2"/>
      <c r="W62" s="14">
        <f t="shared" si="14"/>
        <v>45760.510000000009</v>
      </c>
      <c r="X62" s="15">
        <f>IFERROR(W62/W444, "NA")</f>
        <v>-0.92713914307040246</v>
      </c>
      <c r="Y62" s="2"/>
      <c r="Z62" s="14">
        <f>IFERROR(Z42+Z43+Z44+Z46+Z47+Z48+Z49+Z50+Z51+Z52+Z53+Z54+Z55+Z56+Z57+Z58+Z59+Z60, "NA")</f>
        <v>142982.09999999998</v>
      </c>
      <c r="AA62" s="15">
        <f>IFERROR(Z62/Z444, "NA")</f>
        <v>0.14282114057457243</v>
      </c>
      <c r="AB62" s="2"/>
      <c r="AC62" s="14">
        <f t="shared" si="15"/>
        <v>66901.590000000026</v>
      </c>
      <c r="AD62" s="15">
        <f>IFERROR(AC62/AC444, "NA")</f>
        <v>1.0136530825230368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7516.26</v>
      </c>
      <c r="C65" s="8">
        <f>IFERROR(B65/B444, "NA")</f>
        <v>9.1139356543963823E-2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7516.26</v>
      </c>
      <c r="I65" s="8">
        <f>IFERROR(H65/H444, "NA")</f>
        <v>-1.9891547707893382</v>
      </c>
      <c r="J65" s="9"/>
      <c r="K65" s="7">
        <v>0</v>
      </c>
      <c r="L65" s="8">
        <f>IFERROR(K65/K444, "NA")</f>
        <v>0</v>
      </c>
      <c r="M65" s="9"/>
      <c r="N65" s="10">
        <f t="shared" si="17"/>
        <v>7516.26</v>
      </c>
      <c r="O65" s="8">
        <f>IFERROR(N65/N444, "NA")</f>
        <v>1.9306272266559137</v>
      </c>
      <c r="P65" s="9"/>
      <c r="Q65" s="7">
        <v>54525.48</v>
      </c>
      <c r="R65" s="8">
        <f>IFERROR(Q65/Q444, "NA")</f>
        <v>5.1095563577839835E-2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54525.48</v>
      </c>
      <c r="X65" s="8">
        <f>IFERROR(W65/W444, "NA")</f>
        <v>-1.1047234133252091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54525.48</v>
      </c>
      <c r="AD65" s="8">
        <f>IFERROR(AC65/AC444, "NA")</f>
        <v>0.82613762808997782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969.58</v>
      </c>
      <c r="L66" s="8">
        <f>IFERROR(K66/K444, "NA")</f>
        <v>1.233926553384714E-2</v>
      </c>
      <c r="M66" s="9"/>
      <c r="N66" s="10">
        <f t="shared" si="17"/>
        <v>-969.58</v>
      </c>
      <c r="O66" s="8">
        <f>IFERROR(N66/N444, "NA")</f>
        <v>-0.2490464069126189</v>
      </c>
      <c r="P66" s="9"/>
      <c r="Q66" s="7">
        <v>6889.38</v>
      </c>
      <c r="R66" s="8">
        <f>IFERROR(Q66/Q444, "NA")</f>
        <v>6.4560046752802211E-3</v>
      </c>
      <c r="S66" s="9"/>
      <c r="T66" s="7">
        <v>0</v>
      </c>
      <c r="U66" s="8">
        <f>IFERROR(T66/T444, "NA")</f>
        <v>0</v>
      </c>
      <c r="V66" s="9"/>
      <c r="W66" s="10">
        <f t="shared" si="18"/>
        <v>6889.38</v>
      </c>
      <c r="X66" s="8">
        <f>IFERROR(W66/W444, "NA")</f>
        <v>-0.13958353762854409</v>
      </c>
      <c r="Y66" s="9"/>
      <c r="Z66" s="7">
        <v>4507.6499999999996</v>
      </c>
      <c r="AA66" s="8">
        <f>IFERROR(Z66/Z444, "NA")</f>
        <v>4.5025755973018408E-3</v>
      </c>
      <c r="AB66" s="9"/>
      <c r="AC66" s="10">
        <f t="shared" si="19"/>
        <v>2381.7300000000005</v>
      </c>
      <c r="AD66" s="8">
        <f>IFERROR(AC66/AC444, "NA")</f>
        <v>3.608655573414013E-2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15554.45</v>
      </c>
      <c r="R68" s="8">
        <f>IFERROR(Q68/Q444, "NA")</f>
        <v>1.4575999860860112E-2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15554.45</v>
      </c>
      <c r="X68" s="8">
        <f>IFERROR(W68/W444, "NA")</f>
        <v>-0.31514376574761555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15554.45</v>
      </c>
      <c r="AD68" s="8">
        <f>IFERROR(AC68/AC444, "NA")</f>
        <v>0.2356717708719695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customHeight="1" x14ac:dyDescent="0.45">
      <c r="A70" s="12" t="s">
        <v>67</v>
      </c>
      <c r="B70" s="7">
        <v>5796.83</v>
      </c>
      <c r="C70" s="8">
        <f>IFERROR(B70/B444, "NA")</f>
        <v>7.0290191690381351E-2</v>
      </c>
      <c r="D70" s="9"/>
      <c r="E70" s="7">
        <v>0</v>
      </c>
      <c r="F70" s="8">
        <f>IFERROR(E70/E444, "NA")</f>
        <v>0</v>
      </c>
      <c r="G70" s="9"/>
      <c r="H70" s="10">
        <f t="shared" si="16"/>
        <v>5796.83</v>
      </c>
      <c r="I70" s="8">
        <f>IFERROR(H70/H444, "NA")</f>
        <v>-1.5341129830467226</v>
      </c>
      <c r="J70" s="9"/>
      <c r="K70" s="7">
        <v>0</v>
      </c>
      <c r="L70" s="8">
        <f>IFERROR(K70/K444, "NA")</f>
        <v>0</v>
      </c>
      <c r="M70" s="9"/>
      <c r="N70" s="10">
        <f t="shared" si="17"/>
        <v>5796.83</v>
      </c>
      <c r="O70" s="8">
        <f>IFERROR(N70/N444, "NA")</f>
        <v>1.4889742805991011</v>
      </c>
      <c r="P70" s="9"/>
      <c r="Q70" s="7">
        <v>21489.87</v>
      </c>
      <c r="R70" s="8">
        <f>IFERROR(Q70/Q444, "NA")</f>
        <v>2.0138053234277125E-2</v>
      </c>
      <c r="S70" s="9"/>
      <c r="T70" s="7">
        <v>0</v>
      </c>
      <c r="U70" s="8">
        <f>IFERROR(T70/T444, "NA")</f>
        <v>0</v>
      </c>
      <c r="V70" s="9"/>
      <c r="W70" s="10">
        <f t="shared" si="18"/>
        <v>21489.87</v>
      </c>
      <c r="X70" s="8">
        <f>IFERROR(W70/W444, "NA")</f>
        <v>-0.43539942313786151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21489.87</v>
      </c>
      <c r="AD70" s="8">
        <f>IFERROR(AC70/AC444, "NA")</f>
        <v>0.32560172289656081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13313.09</v>
      </c>
      <c r="C73" s="15">
        <f>IFERROR(B73/B444, "NA")</f>
        <v>0.16142954823434519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13313.09</v>
      </c>
      <c r="I73" s="15">
        <f>IFERROR(H73/H444, "NA")</f>
        <v>-3.5232677538360608</v>
      </c>
      <c r="J73" s="2"/>
      <c r="K73" s="14">
        <f>IFERROR(K64+K65+K66+K67+K68+K69+K70+K71+K72, "NA")</f>
        <v>969.58</v>
      </c>
      <c r="L73" s="15">
        <f>IFERROR(K73/K444, "NA")</f>
        <v>1.233926553384714E-2</v>
      </c>
      <c r="M73" s="2"/>
      <c r="N73" s="14">
        <f t="shared" si="17"/>
        <v>12343.51</v>
      </c>
      <c r="O73" s="15">
        <f>IFERROR(N73/N444, "NA")</f>
        <v>3.170555100342396</v>
      </c>
      <c r="P73" s="2"/>
      <c r="Q73" s="14">
        <f>IFERROR(Q64+Q65+Q66+Q67+Q68+Q69+Q70+Q71+Q72, "NA")</f>
        <v>98459.18</v>
      </c>
      <c r="R73" s="15">
        <f>IFERROR(Q73/Q444, "NA")</f>
        <v>9.2265621348257276E-2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98459.18</v>
      </c>
      <c r="X73" s="15">
        <f>IFERROR(W73/W444, "NA")</f>
        <v>-1.99485013983923</v>
      </c>
      <c r="Y73" s="2"/>
      <c r="Z73" s="14">
        <f>IFERROR(Z64+Z65+Z66+Z67+Z68+Z69+Z70+Z71+Z72, "NA")</f>
        <v>4507.6499999999996</v>
      </c>
      <c r="AA73" s="15">
        <f>IFERROR(Z73/Z444, "NA")</f>
        <v>4.5025755973018408E-3</v>
      </c>
      <c r="AB73" s="2"/>
      <c r="AC73" s="14">
        <f t="shared" si="19"/>
        <v>93951.53</v>
      </c>
      <c r="AD73" s="15">
        <f>IFERROR(AC73/AC444, "NA")</f>
        <v>1.4234976775926482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689.99</v>
      </c>
      <c r="F75" s="8">
        <f>IFERROR(E75/E444, "NA")</f>
        <v>8.0000148408223264E-3</v>
      </c>
      <c r="G75" s="9"/>
      <c r="H75" s="10">
        <f t="shared" ref="H75:H92" si="20">IFERROR(B75-E75, "NA")</f>
        <v>-689.99</v>
      </c>
      <c r="I75" s="8">
        <f>IFERROR(H75/H444, "NA")</f>
        <v>0.18260370188058098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8931.89</v>
      </c>
      <c r="U75" s="8">
        <f>IFERROR(T75/T444, "NA")</f>
        <v>8.0000149755819188E-3</v>
      </c>
      <c r="V75" s="9"/>
      <c r="W75" s="10">
        <f t="shared" ref="W75:W92" si="22">IFERROR(Q75-T75, "NA")</f>
        <v>-8931.89</v>
      </c>
      <c r="X75" s="8">
        <f>IFERROR(W75/W444, "NA")</f>
        <v>0.18096618330082193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326.82</v>
      </c>
      <c r="C77" s="8">
        <f>IFERROR(B77/B444, "NA")</f>
        <v>3.9628970399770971E-3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326.82</v>
      </c>
      <c r="I77" s="8">
        <f>IFERROR(H77/H444, "NA")</f>
        <v>-8.6491893866014677E-2</v>
      </c>
      <c r="J77" s="9"/>
      <c r="K77" s="7">
        <v>197.8</v>
      </c>
      <c r="L77" s="8">
        <f>IFERROR(K77/K444, "NA")</f>
        <v>2.517282454872176E-3</v>
      </c>
      <c r="M77" s="9"/>
      <c r="N77" s="10">
        <f t="shared" si="21"/>
        <v>129.01999999999998</v>
      </c>
      <c r="O77" s="8">
        <f>IFERROR(N77/N444, "NA")</f>
        <v>3.3140088924963472E-2</v>
      </c>
      <c r="P77" s="9"/>
      <c r="Q77" s="7">
        <v>2672.3</v>
      </c>
      <c r="R77" s="8">
        <f>IFERROR(Q77/Q444, "NA")</f>
        <v>2.5041994045547399E-3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2672.3</v>
      </c>
      <c r="X77" s="8">
        <f>IFERROR(W77/W444, "NA")</f>
        <v>-5.4142620613866321E-2</v>
      </c>
      <c r="Y77" s="9"/>
      <c r="Z77" s="7">
        <v>1442.28</v>
      </c>
      <c r="AA77" s="8">
        <f>IFERROR(Z77/Z444, "NA")</f>
        <v>1.4406563802594476E-3</v>
      </c>
      <c r="AB77" s="9"/>
      <c r="AC77" s="10">
        <f t="shared" si="23"/>
        <v>1230.0200000000002</v>
      </c>
      <c r="AD77" s="8">
        <f>IFERROR(AC77/AC444, "NA")</f>
        <v>1.8636531128258471E-2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475</v>
      </c>
      <c r="R78" s="8">
        <f>IFERROR(Q78/Q444, "NA")</f>
        <v>4.4512020250851378E-4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475</v>
      </c>
      <c r="X78" s="8">
        <f>IFERROR(W78/W444, "NA")</f>
        <v>-9.6238239687110368E-3</v>
      </c>
      <c r="Y78" s="9"/>
      <c r="Z78" s="7">
        <v>300</v>
      </c>
      <c r="AA78" s="8">
        <f>IFERROR(Z78/Z444, "NA")</f>
        <v>2.9966228060975279E-4</v>
      </c>
      <c r="AB78" s="9"/>
      <c r="AC78" s="10">
        <f t="shared" si="23"/>
        <v>175</v>
      </c>
      <c r="AD78" s="8">
        <f>IFERROR(AC78/AC444, "NA")</f>
        <v>2.6514958679088401E-3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150.83000000000001</v>
      </c>
      <c r="AA79" s="8">
        <f>IFERROR(Z79/Z444, "NA")</f>
        <v>1.5066020594789673E-4</v>
      </c>
      <c r="AB79" s="9"/>
      <c r="AC79" s="10">
        <f t="shared" si="23"/>
        <v>-150.83000000000001</v>
      </c>
      <c r="AD79" s="8">
        <f>IFERROR(AC79/AC444, "NA")</f>
        <v>-2.2852864100382309E-3</v>
      </c>
    </row>
    <row r="80" spans="1:30" ht="16.5" customHeight="1" x14ac:dyDescent="0.45">
      <c r="A80" s="12" t="s">
        <v>76</v>
      </c>
      <c r="B80" s="7">
        <v>213.52</v>
      </c>
      <c r="C80" s="8">
        <f>IFERROR(B80/B444, "NA")</f>
        <v>2.5890636312829994E-3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213.52</v>
      </c>
      <c r="I80" s="8">
        <f>IFERROR(H80/H444, "NA")</f>
        <v>-5.6507402173280263E-2</v>
      </c>
      <c r="J80" s="9"/>
      <c r="K80" s="7">
        <v>887.49</v>
      </c>
      <c r="L80" s="8">
        <f>IFERROR(K80/K444, "NA")</f>
        <v>1.1294555135867076E-2</v>
      </c>
      <c r="M80" s="9"/>
      <c r="N80" s="10">
        <f t="shared" si="21"/>
        <v>-673.97</v>
      </c>
      <c r="O80" s="8">
        <f>IFERROR(N80/N444, "NA")</f>
        <v>-0.17311599544843928</v>
      </c>
      <c r="P80" s="9"/>
      <c r="Q80" s="7">
        <v>4489.26</v>
      </c>
      <c r="R80" s="8">
        <f>IFERROR(Q80/Q444, "NA")</f>
        <v>4.2068638322386755E-3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4489.26</v>
      </c>
      <c r="X80" s="8">
        <f>IFERROR(W80/W444, "NA")</f>
        <v>-9.095546945215939E-2</v>
      </c>
      <c r="Y80" s="9"/>
      <c r="Z80" s="7">
        <v>6382.67</v>
      </c>
      <c r="AA80" s="8">
        <f>IFERROR(Z80/Z444, "NA")</f>
        <v>6.37548482859817E-3</v>
      </c>
      <c r="AB80" s="9"/>
      <c r="AC80" s="10">
        <f t="shared" si="23"/>
        <v>-1893.4099999999999</v>
      </c>
      <c r="AD80" s="8">
        <f>IFERROR(AC80/AC444, "NA")</f>
        <v>-2.8687821664327297E-2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2.3427379079395462E-5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-5.0651705098479142E-4</v>
      </c>
      <c r="Y82" s="9"/>
      <c r="Z82" s="7">
        <v>125</v>
      </c>
      <c r="AA82" s="8">
        <f>IFERROR(Z82/Z444, "NA")</f>
        <v>1.2485928358739701E-4</v>
      </c>
      <c r="AB82" s="9"/>
      <c r="AC82" s="10">
        <f t="shared" si="23"/>
        <v>-100</v>
      </c>
      <c r="AD82" s="8">
        <f>IFERROR(AC82/AC444, "NA")</f>
        <v>-1.5151404959479087E-3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145.97999999999999</v>
      </c>
      <c r="AA85" s="8">
        <f>IFERROR(Z85/Z444, "NA")</f>
        <v>1.4581566574470571E-4</v>
      </c>
      <c r="AB85" s="9"/>
      <c r="AC85" s="10">
        <f t="shared" si="23"/>
        <v>-145.97999999999999</v>
      </c>
      <c r="AD85" s="8">
        <f>IFERROR(AC85/AC444, "NA")</f>
        <v>-2.2118020959847572E-3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3.0314064622552912E-4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-6.6161720416448412E-3</v>
      </c>
      <c r="J86" s="9"/>
      <c r="K86" s="7">
        <v>25</v>
      </c>
      <c r="L86" s="8">
        <f>IFERROR(K86/K444, "NA")</f>
        <v>3.1816006760265113E-4</v>
      </c>
      <c r="M86" s="9"/>
      <c r="N86" s="10">
        <f t="shared" si="21"/>
        <v>0</v>
      </c>
      <c r="O86" s="8">
        <f>IFERROR(N86/N444, "NA")</f>
        <v>0</v>
      </c>
      <c r="P86" s="9"/>
      <c r="Q86" s="7">
        <v>200</v>
      </c>
      <c r="R86" s="8">
        <f>IFERROR(Q86/Q444, "NA")</f>
        <v>1.874190326351637E-4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200</v>
      </c>
      <c r="X86" s="8">
        <f>IFERROR(W86/W444, "NA")</f>
        <v>-4.0521364078783314E-3</v>
      </c>
      <c r="Y86" s="9"/>
      <c r="Z86" s="7">
        <v>845</v>
      </c>
      <c r="AA86" s="8">
        <f>IFERROR(Z86/Z444, "NA")</f>
        <v>8.4404875705080379E-4</v>
      </c>
      <c r="AB86" s="9"/>
      <c r="AC86" s="10">
        <f t="shared" si="23"/>
        <v>-645</v>
      </c>
      <c r="AD86" s="8">
        <f>IFERROR(AC86/AC444, "NA")</f>
        <v>-9.7726561988640114E-3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565.34</v>
      </c>
      <c r="C88" s="15">
        <f>IFERROR(B88/B444, "NA")</f>
        <v>6.8551013174856261E-3</v>
      </c>
      <c r="D88" s="2"/>
      <c r="E88" s="14">
        <f>IFERROR(E75+E76+E77+E78+E79+E80+E81+E82+E83+E84+E85+E86+E87, "NA")</f>
        <v>689.99</v>
      </c>
      <c r="F88" s="15">
        <f>IFERROR(E88/E444, "NA")</f>
        <v>8.0000148408223264E-3</v>
      </c>
      <c r="G88" s="2"/>
      <c r="H88" s="14">
        <f t="shared" si="20"/>
        <v>-124.64999999999998</v>
      </c>
      <c r="I88" s="15">
        <f>IFERROR(H88/H444, "NA")</f>
        <v>3.2988233799641171E-2</v>
      </c>
      <c r="J88" s="2"/>
      <c r="K88" s="14">
        <f>IFERROR(K75+K76+K77+K78+K79+K80+K81+K82+K83+K84+K85+K86+K87, "NA")</f>
        <v>1110.29</v>
      </c>
      <c r="L88" s="15">
        <f>IFERROR(K88/K444, "NA")</f>
        <v>1.4129997658341902E-2</v>
      </c>
      <c r="M88" s="2"/>
      <c r="N88" s="14">
        <f t="shared" si="21"/>
        <v>-544.94999999999993</v>
      </c>
      <c r="O88" s="15">
        <f>IFERROR(N88/N444, "NA")</f>
        <v>-0.13997590652347577</v>
      </c>
      <c r="P88" s="2"/>
      <c r="Q88" s="14">
        <f>IFERROR(Q75+Q76+Q77+Q78+Q79+Q80+Q81+Q82+Q83+Q84+Q85+Q86+Q87, "NA")</f>
        <v>7861.56</v>
      </c>
      <c r="R88" s="15">
        <f>IFERROR(Q88/Q444, "NA")</f>
        <v>7.3670298510164879E-3</v>
      </c>
      <c r="S88" s="2"/>
      <c r="T88" s="14">
        <f>IFERROR(T75+T76+T77+T78+T79+T80+T81+T82+T83+T84+T85+T86+T87, "NA")</f>
        <v>8931.89</v>
      </c>
      <c r="U88" s="15">
        <f>IFERROR(T88/T444, "NA")</f>
        <v>8.0000149755819188E-3</v>
      </c>
      <c r="V88" s="2"/>
      <c r="W88" s="14">
        <f t="shared" si="22"/>
        <v>-1070.329999999999</v>
      </c>
      <c r="X88" s="15">
        <f>IFERROR(W88/W444, "NA")</f>
        <v>2.1685615807222051E-2</v>
      </c>
      <c r="Y88" s="2"/>
      <c r="Z88" s="14">
        <f>IFERROR(Z75+Z76+Z77+Z78+Z79+Z80+Z81+Z82+Z83+Z84+Z85+Z86+Z87, "NA")</f>
        <v>9391.76</v>
      </c>
      <c r="AA88" s="15">
        <f>IFERROR(Z88/Z444, "NA")</f>
        <v>9.3811874017981738E-3</v>
      </c>
      <c r="AB88" s="2"/>
      <c r="AC88" s="14">
        <f t="shared" si="23"/>
        <v>-1530.1999999999998</v>
      </c>
      <c r="AD88" s="15">
        <f>IFERROR(AC88/AC444, "NA")</f>
        <v>-2.3184679868994897E-2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0</v>
      </c>
      <c r="L89" s="8">
        <f>IFERROR(K89/K444, "NA")</f>
        <v>0</v>
      </c>
      <c r="M89" s="9"/>
      <c r="N89" s="10">
        <f t="shared" si="21"/>
        <v>0</v>
      </c>
      <c r="O89" s="8">
        <f>IFERROR(N89/N444, "NA")</f>
        <v>0</v>
      </c>
      <c r="P89" s="9"/>
      <c r="Q89" s="7">
        <v>-726.06</v>
      </c>
      <c r="R89" s="8">
        <f>IFERROR(Q89/Q444, "NA")</f>
        <v>-6.8038731417543476E-4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-726.06</v>
      </c>
      <c r="X89" s="8">
        <f>IFERROR(W89/W444, "NA")</f>
        <v>1.4710470801520704E-2</v>
      </c>
      <c r="Y89" s="9"/>
      <c r="Z89" s="7">
        <v>-2552.15</v>
      </c>
      <c r="AA89" s="8">
        <f>IFERROR(Z89/Z444, "NA")</f>
        <v>-2.5492769648606021E-3</v>
      </c>
      <c r="AB89" s="9"/>
      <c r="AC89" s="10">
        <f t="shared" si="23"/>
        <v>1826.0900000000001</v>
      </c>
      <c r="AD89" s="8">
        <f>IFERROR(AC89/AC444, "NA")</f>
        <v>2.7667829082455169E-2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-3449.94</v>
      </c>
      <c r="F94" s="8">
        <f>IFERROR(E94/E444, "NA")</f>
        <v>-3.9999958260187214E-2</v>
      </c>
      <c r="G94" s="9"/>
      <c r="H94" s="10">
        <f t="shared" ref="H94:H124" si="24">IFERROR(B94-E94, "NA")</f>
        <v>3449.94</v>
      </c>
      <c r="I94" s="8">
        <f>IFERROR(H94/H444, "NA")</f>
        <v>-0.91301586293408821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-44659.38</v>
      </c>
      <c r="U94" s="8">
        <f>IFERROR(T94/T444, "NA")</f>
        <v>-4.0000012181095342E-2</v>
      </c>
      <c r="V94" s="9"/>
      <c r="W94" s="10">
        <f t="shared" ref="W94:W124" si="26">IFERROR(Q94-T94, "NA")</f>
        <v>44659.38</v>
      </c>
      <c r="X94" s="8">
        <f>IFERROR(W94/W444, "NA")</f>
        <v>-0.90482949825636683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-1939.55</v>
      </c>
      <c r="C96" s="8">
        <f>IFERROR(B96/B444, "NA")</f>
        <v>-2.3518257615468999E-2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-1939.55</v>
      </c>
      <c r="I96" s="8">
        <f>IFERROR(H96/H444, "NA")</f>
        <v>0.51329585933489008</v>
      </c>
      <c r="J96" s="9"/>
      <c r="K96" s="7">
        <v>-1311.35</v>
      </c>
      <c r="L96" s="8">
        <f>IFERROR(K96/K444, "NA")</f>
        <v>-1.6688768186029462E-2</v>
      </c>
      <c r="M96" s="9"/>
      <c r="N96" s="10">
        <f t="shared" si="25"/>
        <v>-628.20000000000005</v>
      </c>
      <c r="O96" s="8">
        <f>IFERROR(N96/N444, "NA")</f>
        <v>-0.16135950908899441</v>
      </c>
      <c r="P96" s="9"/>
      <c r="Q96" s="7">
        <v>-15878.32</v>
      </c>
      <c r="R96" s="8">
        <f>IFERROR(Q96/Q444, "NA")</f>
        <v>-1.4879496871357863E-2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-15878.32</v>
      </c>
      <c r="X96" s="8">
        <f>IFERROR(W96/W444, "NA")</f>
        <v>0.32170559283971328</v>
      </c>
      <c r="Y96" s="9"/>
      <c r="Z96" s="7">
        <v>-12168</v>
      </c>
      <c r="AA96" s="8">
        <f>IFERROR(Z96/Z444, "NA")</f>
        <v>-1.2154302101531574E-2</v>
      </c>
      <c r="AB96" s="9"/>
      <c r="AC96" s="10">
        <f t="shared" si="27"/>
        <v>-3710.3199999999997</v>
      </c>
      <c r="AD96" s="8">
        <f>IFERROR(AC96/AC444, "NA")</f>
        <v>-5.6216560849254443E-2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-2837.91</v>
      </c>
      <c r="C98" s="8">
        <f>IFERROR(B98/B444, "NA")</f>
        <v>-3.4411434853195651E-2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-2837.91</v>
      </c>
      <c r="I98" s="8">
        <f>IFERROR(H98/H444, "NA")</f>
        <v>0.75104403194817249</v>
      </c>
      <c r="J98" s="9"/>
      <c r="K98" s="7">
        <v>-2907.01</v>
      </c>
      <c r="L98" s="8">
        <f>IFERROR(K98/K444, "NA")</f>
        <v>-3.6995779924863317E-2</v>
      </c>
      <c r="M98" s="9"/>
      <c r="N98" s="10">
        <f t="shared" si="25"/>
        <v>69.100000000000364</v>
      </c>
      <c r="O98" s="8">
        <f>IFERROR(N98/N444, "NA")</f>
        <v>1.774903227960772E-2</v>
      </c>
      <c r="P98" s="9"/>
      <c r="Q98" s="7">
        <v>-23722.99</v>
      </c>
      <c r="R98" s="8">
        <f>IFERROR(Q98/Q444, "NA")</f>
        <v>-2.2230699185068311E-2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-23722.99</v>
      </c>
      <c r="X98" s="8">
        <f>IFERROR(W98/W444, "NA")</f>
        <v>0.48064395741366789</v>
      </c>
      <c r="Y98" s="9"/>
      <c r="Z98" s="7">
        <v>-25995.42</v>
      </c>
      <c r="AA98" s="8">
        <f>IFERROR(Z98/Z444, "NA")</f>
        <v>-2.5966156142027932E-2</v>
      </c>
      <c r="AB98" s="9"/>
      <c r="AC98" s="10">
        <f t="shared" si="27"/>
        <v>2272.4299999999967</v>
      </c>
      <c r="AD98" s="8">
        <f>IFERROR(AC98/AC444, "NA")</f>
        <v>3.4430507172069011E-2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-1.87</v>
      </c>
      <c r="C100" s="8">
        <f>IFERROR(B100/B444, "NA")</f>
        <v>-2.2674920337669579E-5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-1.87</v>
      </c>
      <c r="I100" s="8">
        <f>IFERROR(H100/H444, "NA")</f>
        <v>4.9488966871503418E-4</v>
      </c>
      <c r="J100" s="9"/>
      <c r="K100" s="7">
        <v>-104.29</v>
      </c>
      <c r="L100" s="8">
        <f>IFERROR(K100/K444, "NA")</f>
        <v>-1.3272365380112196E-3</v>
      </c>
      <c r="M100" s="9"/>
      <c r="N100" s="10">
        <f t="shared" si="25"/>
        <v>102.42</v>
      </c>
      <c r="O100" s="8">
        <f>IFERROR(N100/N444, "NA")</f>
        <v>2.6307610507632608E-2</v>
      </c>
      <c r="P100" s="9"/>
      <c r="Q100" s="7">
        <v>-2684.48</v>
      </c>
      <c r="R100" s="8">
        <f>IFERROR(Q100/Q444, "NA")</f>
        <v>-2.5156132236422214E-3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-2684.48</v>
      </c>
      <c r="X100" s="8">
        <f>IFERROR(W100/W444, "NA")</f>
        <v>5.4389395721106112E-2</v>
      </c>
      <c r="Y100" s="9"/>
      <c r="Z100" s="7">
        <v>-2870.52</v>
      </c>
      <c r="AA100" s="8">
        <f>IFERROR(Z100/Z444, "NA")</f>
        <v>-2.8672885657863587E-3</v>
      </c>
      <c r="AB100" s="9"/>
      <c r="AC100" s="10">
        <f t="shared" si="27"/>
        <v>186.03999999999996</v>
      </c>
      <c r="AD100" s="8">
        <f>IFERROR(AC100/AC444, "NA")</f>
        <v>2.8187673786614887E-3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-1653.54</v>
      </c>
      <c r="C102" s="8">
        <f>IFERROR(B102/B444, "NA")</f>
        <v>-2.0050207366390457E-2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-1653.54</v>
      </c>
      <c r="I102" s="8">
        <f>IFERROR(H102/H444, "NA")</f>
        <v>0.43760420470965644</v>
      </c>
      <c r="J102" s="9"/>
      <c r="K102" s="7">
        <v>-984.8</v>
      </c>
      <c r="L102" s="8">
        <f>IFERROR(K102/K444, "NA")</f>
        <v>-1.2532961383003634E-2</v>
      </c>
      <c r="M102" s="9"/>
      <c r="N102" s="10">
        <f t="shared" si="25"/>
        <v>-668.74</v>
      </c>
      <c r="O102" s="8">
        <f>IFERROR(N102/N444, "NA")</f>
        <v>-0.17177261717315204</v>
      </c>
      <c r="P102" s="9"/>
      <c r="Q102" s="7">
        <v>-13773.42</v>
      </c>
      <c r="R102" s="8">
        <f>IFERROR(Q102/Q444, "NA")</f>
        <v>-1.2907005262389082E-2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-13773.42</v>
      </c>
      <c r="X102" s="8">
        <f>IFERROR(W102/W444, "NA")</f>
        <v>0.27905888321499783</v>
      </c>
      <c r="Y102" s="9"/>
      <c r="Z102" s="7">
        <v>-4988.9799999999996</v>
      </c>
      <c r="AA102" s="8">
        <f>IFERROR(Z102/Z444, "NA")</f>
        <v>-4.9833637490548149E-3</v>
      </c>
      <c r="AB102" s="9"/>
      <c r="AC102" s="10">
        <f t="shared" si="27"/>
        <v>-8784.44</v>
      </c>
      <c r="AD102" s="8">
        <f>IFERROR(AC102/AC444, "NA")</f>
        <v>-0.13309660778224647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-750.95</v>
      </c>
      <c r="C104" s="8">
        <f>IFERROR(B104/B444, "NA")</f>
        <v>-9.1057387313224439E-3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-750.95</v>
      </c>
      <c r="I104" s="8">
        <f>IFERROR(H104/H444, "NA")</f>
        <v>0.19873657578692777</v>
      </c>
      <c r="J104" s="9"/>
      <c r="K104" s="7">
        <v>-480.85</v>
      </c>
      <c r="L104" s="8">
        <f>IFERROR(K104/K444, "NA")</f>
        <v>-6.1194907402693927E-3</v>
      </c>
      <c r="M104" s="9"/>
      <c r="N104" s="10">
        <f t="shared" si="25"/>
        <v>-270.10000000000002</v>
      </c>
      <c r="O104" s="8">
        <f>IFERROR(N104/N444, "NA")</f>
        <v>-6.9377910545904795E-2</v>
      </c>
      <c r="P104" s="9"/>
      <c r="Q104" s="7">
        <v>-6122.74</v>
      </c>
      <c r="R104" s="8">
        <f>IFERROR(Q104/Q444, "NA")</f>
        <v>-5.7375900393831112E-3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-6122.74</v>
      </c>
      <c r="X104" s="8">
        <f>IFERROR(W104/W444, "NA")</f>
        <v>0.12405088834986486</v>
      </c>
      <c r="Y104" s="9"/>
      <c r="Z104" s="7">
        <v>-6612.25</v>
      </c>
      <c r="AA104" s="8">
        <f>IFERROR(Z104/Z444, "NA")</f>
        <v>-6.6048063832061269E-3</v>
      </c>
      <c r="AB104" s="9"/>
      <c r="AC104" s="10">
        <f t="shared" si="27"/>
        <v>489.51000000000022</v>
      </c>
      <c r="AD104" s="8">
        <f>IFERROR(AC104/AC444, "NA")</f>
        <v>7.4167642417146112E-3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-212.1</v>
      </c>
      <c r="C106" s="8">
        <f>IFERROR(B106/B444, "NA")</f>
        <v>-2.5718452425773889E-3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-212.1</v>
      </c>
      <c r="I106" s="8">
        <f>IFERROR(H106/H444, "NA")</f>
        <v>5.6131603601314833E-2</v>
      </c>
      <c r="J106" s="9"/>
      <c r="K106" s="7">
        <v>-124.5</v>
      </c>
      <c r="L106" s="8">
        <f>IFERROR(K106/K444, "NA")</f>
        <v>-1.5844371366612027E-3</v>
      </c>
      <c r="M106" s="9"/>
      <c r="N106" s="10">
        <f t="shared" si="25"/>
        <v>-87.6</v>
      </c>
      <c r="O106" s="8">
        <f>IFERROR(N106/N444, "NA")</f>
        <v>-2.2500943960833981E-2</v>
      </c>
      <c r="P106" s="9"/>
      <c r="Q106" s="7">
        <v>-1508.94</v>
      </c>
      <c r="R106" s="8">
        <f>IFERROR(Q106/Q444, "NA")</f>
        <v>-1.4140203755225198E-3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-1508.94</v>
      </c>
      <c r="X106" s="8">
        <f>IFERROR(W106/W444, "NA")</f>
        <v>3.0572153556519644E-2</v>
      </c>
      <c r="Y106" s="9"/>
      <c r="Z106" s="7">
        <v>-5748.18</v>
      </c>
      <c r="AA106" s="8">
        <f>IFERROR(Z106/Z444, "NA")</f>
        <v>-5.74170909385123E-3</v>
      </c>
      <c r="AB106" s="9"/>
      <c r="AC106" s="10">
        <f t="shared" si="27"/>
        <v>4239.24</v>
      </c>
      <c r="AD106" s="8">
        <f>IFERROR(AC106/AC444, "NA")</f>
        <v>6.4230441960422116E-2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-157.19999999999999</v>
      </c>
      <c r="AA108" s="8">
        <f>IFERROR(Z108/Z444, "NA")</f>
        <v>-1.5702303503951047E-4</v>
      </c>
      <c r="AB108" s="9"/>
      <c r="AC108" s="10">
        <f t="shared" si="27"/>
        <v>157.19999999999999</v>
      </c>
      <c r="AD108" s="8">
        <f>IFERROR(AC108/AC444, "NA")</f>
        <v>2.3818008596301122E-3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-7395.92</v>
      </c>
      <c r="C118" s="15">
        <f>IFERROR(B118/B444, "NA")</f>
        <v>-8.9680158729292608E-2</v>
      </c>
      <c r="D118" s="2"/>
      <c r="E118" s="14">
        <f>IFERROR(E94+E95+E96+E97+E98+E99+E100+E101+E102+E103+E104+E105+E106+E107+E108+E109+E110+E111+E112+E113+E114+E115+E116+E117, "NA")</f>
        <v>-3449.94</v>
      </c>
      <c r="F118" s="15">
        <f>IFERROR(E118/E444, "NA")</f>
        <v>-3.9999958260187214E-2</v>
      </c>
      <c r="G118" s="2"/>
      <c r="H118" s="14">
        <f t="shared" si="24"/>
        <v>-3945.98</v>
      </c>
      <c r="I118" s="15">
        <f>IFERROR(H118/H444, "NA")</f>
        <v>1.0442913021155884</v>
      </c>
      <c r="J118" s="2"/>
      <c r="K118" s="14">
        <f>IFERROR(K94+K95+K96+K97+K98+K99+K100+K101+K102+K103+K104+K105+K106+K107+K108+K109+K110+K111+K112+K113+K114+K115+K116+K117, "NA")</f>
        <v>-5912.8000000000011</v>
      </c>
      <c r="L118" s="15">
        <f>IFERROR(K118/K444, "NA")</f>
        <v>-7.5248673908838243E-2</v>
      </c>
      <c r="M118" s="2"/>
      <c r="N118" s="14">
        <f t="shared" si="25"/>
        <v>-1483.119999999999</v>
      </c>
      <c r="O118" s="15">
        <f>IFERROR(N118/N444, "NA")</f>
        <v>-0.38095433798164469</v>
      </c>
      <c r="P118" s="2"/>
      <c r="Q118" s="14">
        <f>IFERROR(Q94+Q95+Q96+Q97+Q98+Q99+Q100+Q101+Q102+Q103+Q104+Q105+Q106+Q107+Q108+Q109+Q110+Q111+Q112+Q113+Q114+Q115+Q116+Q117, "NA")</f>
        <v>-63690.89</v>
      </c>
      <c r="R118" s="15">
        <f>IFERROR(Q118/Q444, "NA")</f>
        <v>-5.9684424957363105E-2</v>
      </c>
      <c r="S118" s="2"/>
      <c r="T118" s="14">
        <f>IFERROR(T94+T95+T96+T97+T98+T99+T100+T101+T102+T103+T104+T105+T106+T107+T108+T109+T110+T111+T112+T113+T114+T115+T116+T117, "NA")</f>
        <v>-44659.38</v>
      </c>
      <c r="U118" s="15">
        <f>IFERROR(T118/T444, "NA")</f>
        <v>-4.0000012181095342E-2</v>
      </c>
      <c r="V118" s="2"/>
      <c r="W118" s="14">
        <f t="shared" si="26"/>
        <v>-19031.510000000002</v>
      </c>
      <c r="X118" s="15">
        <f>IFERROR(W118/W444, "NA")</f>
        <v>0.38559137283950273</v>
      </c>
      <c r="Y118" s="2"/>
      <c r="Z118" s="14">
        <f>IFERROR(Z94+Z95+Z96+Z97+Z98+Z99+Z100+Z101+Z102+Z103+Z104+Z105+Z106+Z107+Z108+Z109+Z110+Z111+Z112+Z113+Z114+Z115+Z116+Z117, "NA")</f>
        <v>-58540.549999999996</v>
      </c>
      <c r="AA118" s="15">
        <f>IFERROR(Z118/Z444, "NA")</f>
        <v>-5.8474649070497542E-2</v>
      </c>
      <c r="AB118" s="2"/>
      <c r="AC118" s="14">
        <f t="shared" si="27"/>
        <v>-5150.3400000000038</v>
      </c>
      <c r="AD118" s="15">
        <f>IFERROR(AC118/AC444, "NA")</f>
        <v>-7.8034887019003574E-2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82469.969999999987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86248.590000000011</v>
      </c>
      <c r="F122" s="15">
        <f>IFERROR(E122/E444, "NA")</f>
        <v>1.0000000000000002</v>
      </c>
      <c r="G122" s="2"/>
      <c r="H122" s="14">
        <f t="shared" si="24"/>
        <v>-3778.6200000000244</v>
      </c>
      <c r="I122" s="15">
        <f>IFERROR(H122/H444, "NA")</f>
        <v>1.0000000000000078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78576.800000000003</v>
      </c>
      <c r="L122" s="15">
        <f>IFERROR(K122/K444, "NA")</f>
        <v>1</v>
      </c>
      <c r="M122" s="2"/>
      <c r="N122" s="14">
        <f t="shared" si="25"/>
        <v>3893.1699999999837</v>
      </c>
      <c r="O122" s="15">
        <f>IFERROR(N122/N444, "NA")</f>
        <v>0.99999999999999623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1067127.4800000002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1116484.1600000001</v>
      </c>
      <c r="U122" s="15">
        <f>IFERROR(T122/T444, "NA")</f>
        <v>1.0000000000000002</v>
      </c>
      <c r="V122" s="2"/>
      <c r="W122" s="14">
        <f t="shared" si="26"/>
        <v>-49356.679999999935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1001127.0000000002</v>
      </c>
      <c r="AA122" s="15">
        <f>IFERROR(Z122/Z444, "NA")</f>
        <v>1.0000000000000002</v>
      </c>
      <c r="AB122" s="2"/>
      <c r="AC122" s="14">
        <f t="shared" si="27"/>
        <v>66000.479999999981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82469.969999999987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86248.590000000011</v>
      </c>
      <c r="F124" s="15">
        <f>IFERROR(E124/E444, "NA")</f>
        <v>1.0000000000000002</v>
      </c>
      <c r="G124" s="2"/>
      <c r="H124" s="14">
        <f t="shared" si="24"/>
        <v>-3778.6200000000244</v>
      </c>
      <c r="I124" s="15">
        <f>IFERROR(H124/H444, "NA")</f>
        <v>1.0000000000000078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78576.800000000003</v>
      </c>
      <c r="L124" s="15">
        <f>IFERROR(K124/K444, "NA")</f>
        <v>1</v>
      </c>
      <c r="M124" s="2"/>
      <c r="N124" s="14">
        <f t="shared" si="25"/>
        <v>3893.1699999999837</v>
      </c>
      <c r="O124" s="15">
        <f>IFERROR(N124/N444, "NA")</f>
        <v>0.99999999999999623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1067127.4800000002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1116484.1600000001</v>
      </c>
      <c r="U124" s="15">
        <f>IFERROR(T124/T444, "NA")</f>
        <v>1.0000000000000002</v>
      </c>
      <c r="V124" s="2"/>
      <c r="W124" s="14">
        <f t="shared" si="26"/>
        <v>-49356.679999999935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1001127.0000000002</v>
      </c>
      <c r="AA124" s="15">
        <f>IFERROR(Z124/Z444, "NA")</f>
        <v>1.0000000000000002</v>
      </c>
      <c r="AB124" s="2"/>
      <c r="AC124" s="14">
        <f t="shared" si="27"/>
        <v>66000.479999999981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20613.41</v>
      </c>
      <c r="F129" s="8">
        <f>IFERROR(E129/E444, "NA")</f>
        <v>0.23899996510087876</v>
      </c>
      <c r="G129" s="9"/>
      <c r="H129" s="10">
        <f t="shared" ref="H129:H141" si="28">IFERROR(-(B129-E129), "NA")</f>
        <v>20613.41</v>
      </c>
      <c r="I129" s="8">
        <f>IFERROR(H129/H444, "NA")</f>
        <v>-5.4552746769984877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277491.92</v>
      </c>
      <c r="U129" s="8">
        <f>IFERROR(T129/T444, "NA")</f>
        <v>0.24854084808511748</v>
      </c>
      <c r="V129" s="9"/>
      <c r="W129" s="10">
        <f t="shared" ref="W129:W141" si="30">IFERROR(-(Q129-T129), "NA")</f>
        <v>277491.92</v>
      </c>
      <c r="X129" s="8">
        <f>IFERROR(W129/W444, "NA")</f>
        <v>-5.622175559620306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4163.47</v>
      </c>
      <c r="C130" s="8">
        <f>IFERROR(B130/B444, "NA")</f>
        <v>5.048467945362415E-2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-4163.47</v>
      </c>
      <c r="I130" s="8">
        <f>IFERROR(H130/H444, "NA")</f>
        <v>1.101849352409082</v>
      </c>
      <c r="J130" s="9"/>
      <c r="K130" s="7">
        <v>4660.9399999999996</v>
      </c>
      <c r="L130" s="8">
        <f>IFERROR(K130/K444, "NA")</f>
        <v>5.9316999419676032E-2</v>
      </c>
      <c r="M130" s="9"/>
      <c r="N130" s="10">
        <f t="shared" si="29"/>
        <v>497.46999999999935</v>
      </c>
      <c r="O130" s="8">
        <f>IFERROR(N130/N444, "NA")</f>
        <v>0.1277801894086309</v>
      </c>
      <c r="P130" s="9"/>
      <c r="Q130" s="7">
        <v>54598.93</v>
      </c>
      <c r="R130" s="8">
        <f>IFERROR(Q130/Q444, "NA")</f>
        <v>5.1164393217575092E-2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-54598.93</v>
      </c>
      <c r="X130" s="8">
        <f>IFERROR(W130/W444, "NA")</f>
        <v>1.1062115604210023</v>
      </c>
      <c r="Y130" s="9"/>
      <c r="Z130" s="7">
        <v>64962.36</v>
      </c>
      <c r="AA130" s="8">
        <f>IFERROR(Z130/Z444, "NA")</f>
        <v>6.4889229837972601E-2</v>
      </c>
      <c r="AB130" s="9"/>
      <c r="AC130" s="10">
        <f t="shared" si="31"/>
        <v>10363.43</v>
      </c>
      <c r="AD130" s="8">
        <f>IFERROR(AC130/AC444, "NA")</f>
        <v>0.15702052469921435</v>
      </c>
    </row>
    <row r="131" spans="1:30" ht="16.5" customHeight="1" x14ac:dyDescent="0.45">
      <c r="A131" s="12" t="s">
        <v>123</v>
      </c>
      <c r="B131" s="7">
        <v>2515.79</v>
      </c>
      <c r="C131" s="8">
        <f>IFERROR(B131/B444, "NA")</f>
        <v>3.0505528254708956E-2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-2515.79</v>
      </c>
      <c r="I131" s="8">
        <f>IFERROR(H131/H444, "NA")</f>
        <v>0.66579597842598703</v>
      </c>
      <c r="J131" s="9"/>
      <c r="K131" s="7">
        <v>2607.52</v>
      </c>
      <c r="L131" s="8">
        <f>IFERROR(K131/K444, "NA")</f>
        <v>3.3184349579010598E-2</v>
      </c>
      <c r="M131" s="9"/>
      <c r="N131" s="10">
        <f t="shared" si="29"/>
        <v>91.730000000000018</v>
      </c>
      <c r="O131" s="8">
        <f>IFERROR(N131/N444, "NA")</f>
        <v>2.3561776136156412E-2</v>
      </c>
      <c r="P131" s="9"/>
      <c r="Q131" s="7">
        <v>31600.68</v>
      </c>
      <c r="R131" s="8">
        <f>IFERROR(Q131/Q444, "NA")</f>
        <v>2.9612844381066827E-2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-31600.68</v>
      </c>
      <c r="X131" s="8">
        <f>IFERROR(W131/W444, "NA")</f>
        <v>0.64025132970856313</v>
      </c>
      <c r="Y131" s="9"/>
      <c r="Z131" s="7">
        <v>31902.02</v>
      </c>
      <c r="AA131" s="8">
        <f>IFERROR(Z131/Z444, "NA")</f>
        <v>3.1866106897526489E-2</v>
      </c>
      <c r="AB131" s="9"/>
      <c r="AC131" s="10">
        <f t="shared" si="31"/>
        <v>301.34000000000015</v>
      </c>
      <c r="AD131" s="8">
        <f>IFERROR(AC131/AC444, "NA")</f>
        <v>4.5657243704894301E-3</v>
      </c>
    </row>
    <row r="132" spans="1:30" ht="16.5" customHeight="1" x14ac:dyDescent="0.45">
      <c r="A132" s="12" t="s">
        <v>124</v>
      </c>
      <c r="B132" s="7">
        <v>2747.06</v>
      </c>
      <c r="C132" s="8">
        <f>IFERROR(B132/B444, "NA")</f>
        <v>3.3309821744812083E-2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-2747.06</v>
      </c>
      <c r="I132" s="8">
        <f>IFERROR(H132/H444, "NA")</f>
        <v>0.72700086274883513</v>
      </c>
      <c r="J132" s="9"/>
      <c r="K132" s="7">
        <v>3037.3</v>
      </c>
      <c r="L132" s="8">
        <f>IFERROR(K132/K444, "NA")</f>
        <v>3.8653902933181293E-2</v>
      </c>
      <c r="M132" s="9"/>
      <c r="N132" s="10">
        <f t="shared" si="29"/>
        <v>290.24000000000024</v>
      </c>
      <c r="O132" s="8">
        <f>IFERROR(N132/N444, "NA")</f>
        <v>7.4551072776169638E-2</v>
      </c>
      <c r="P132" s="9"/>
      <c r="Q132" s="7">
        <v>49300.06</v>
      </c>
      <c r="R132" s="8">
        <f>IFERROR(Q132/Q444, "NA")</f>
        <v>4.6198847770277642E-2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-49300.06</v>
      </c>
      <c r="X132" s="8">
        <f>IFERROR(W132/W444, "NA")</f>
        <v>0.99885284018293097</v>
      </c>
      <c r="Y132" s="9"/>
      <c r="Z132" s="7">
        <v>37152.6</v>
      </c>
      <c r="AA132" s="8">
        <f>IFERROR(Z132/Z444, "NA")</f>
        <v>3.7110776155273008E-2</v>
      </c>
      <c r="AB132" s="9"/>
      <c r="AC132" s="10">
        <f t="shared" si="31"/>
        <v>-12147.46</v>
      </c>
      <c r="AD132" s="8">
        <f>IFERROR(AC132/AC444, "NA")</f>
        <v>-0.18405108568907383</v>
      </c>
    </row>
    <row r="133" spans="1:30" ht="16.5" customHeight="1" x14ac:dyDescent="0.45">
      <c r="A133" s="12" t="s">
        <v>125</v>
      </c>
      <c r="B133" s="7">
        <v>1634.19</v>
      </c>
      <c r="C133" s="8">
        <f>IFERROR(B133/B444, "NA")</f>
        <v>1.9815576506211897E-2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-1634.19</v>
      </c>
      <c r="I133" s="8">
        <f>IFERROR(H133/H444, "NA")</f>
        <v>0.43248328754942333</v>
      </c>
      <c r="J133" s="9"/>
      <c r="K133" s="7">
        <v>1638.59</v>
      </c>
      <c r="L133" s="8">
        <f>IFERROR(K133/K444, "NA")</f>
        <v>2.0853356206921126E-2</v>
      </c>
      <c r="M133" s="9"/>
      <c r="N133" s="10">
        <f t="shared" si="29"/>
        <v>4.3999999999998636</v>
      </c>
      <c r="O133" s="8">
        <f>IFERROR(N133/N444, "NA")</f>
        <v>1.1301843998592061E-3</v>
      </c>
      <c r="P133" s="9"/>
      <c r="Q133" s="7">
        <v>22328.33</v>
      </c>
      <c r="R133" s="8">
        <f>IFERROR(Q133/Q444, "NA")</f>
        <v>2.0923770044793524E-2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-22328.33</v>
      </c>
      <c r="X133" s="8">
        <f>IFERROR(W133/W444, "NA")</f>
        <v>0.45238719460060989</v>
      </c>
      <c r="Y133" s="9"/>
      <c r="Z133" s="7">
        <v>20749.349999999999</v>
      </c>
      <c r="AA133" s="8">
        <f>IFERROR(Z133/Z444, "NA")</f>
        <v>2.0725991807233248E-2</v>
      </c>
      <c r="AB133" s="9"/>
      <c r="AC133" s="10">
        <f t="shared" si="31"/>
        <v>-1578.9800000000032</v>
      </c>
      <c r="AD133" s="8">
        <f>IFERROR(AC133/AC444, "NA")</f>
        <v>-2.3923765402918337E-2</v>
      </c>
    </row>
    <row r="134" spans="1:30" ht="16.5" customHeight="1" x14ac:dyDescent="0.45">
      <c r="A134" s="12" t="s">
        <v>126</v>
      </c>
      <c r="B134" s="7">
        <v>995.85</v>
      </c>
      <c r="C134" s="8">
        <f>IFERROR(B134/B444, "NA")</f>
        <v>1.2075304501747727E-2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-995.85</v>
      </c>
      <c r="I134" s="8">
        <f>IFERROR(H134/H444, "NA")</f>
        <v>0.26354859710688061</v>
      </c>
      <c r="J134" s="9"/>
      <c r="K134" s="7">
        <v>719.93</v>
      </c>
      <c r="L134" s="8">
        <f>IFERROR(K134/K444, "NA")</f>
        <v>9.1621190987670655E-3</v>
      </c>
      <c r="M134" s="9"/>
      <c r="N134" s="10">
        <f t="shared" si="29"/>
        <v>-275.92000000000007</v>
      </c>
      <c r="O134" s="8">
        <f>IFERROR(N134/N444, "NA")</f>
        <v>-7.0872836274809531E-2</v>
      </c>
      <c r="P134" s="9"/>
      <c r="Q134" s="7">
        <v>8955.4699999999993</v>
      </c>
      <c r="R134" s="8">
        <f>IFERROR(Q134/Q444, "NA")</f>
        <v>8.3921276209661475E-3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-8955.4699999999993</v>
      </c>
      <c r="X134" s="8">
        <f>IFERROR(W134/W444, "NA")</f>
        <v>0.18144393018331079</v>
      </c>
      <c r="Y134" s="9"/>
      <c r="Z134" s="7">
        <v>10373.06</v>
      </c>
      <c r="AA134" s="8">
        <f>IFERROR(Z134/Z444, "NA")</f>
        <v>1.0361382721672674E-2</v>
      </c>
      <c r="AB134" s="9"/>
      <c r="AC134" s="10">
        <f t="shared" si="31"/>
        <v>1417.5900000000001</v>
      </c>
      <c r="AD134" s="8">
        <f>IFERROR(AC134/AC444, "NA")</f>
        <v>2.1478480156507961E-2</v>
      </c>
    </row>
    <row r="135" spans="1:30" ht="16.5" customHeight="1" x14ac:dyDescent="0.45">
      <c r="A135" s="12" t="s">
        <v>127</v>
      </c>
      <c r="B135" s="7">
        <v>607.16</v>
      </c>
      <c r="C135" s="8">
        <f>IFERROR(B135/B444, "NA")</f>
        <v>7.3621949904916903E-3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-607.16</v>
      </c>
      <c r="I135" s="8">
        <f>IFERROR(H135/H444, "NA")</f>
        <v>0.16068300067220326</v>
      </c>
      <c r="J135" s="9"/>
      <c r="K135" s="7">
        <v>866.11</v>
      </c>
      <c r="L135" s="8">
        <f>IFERROR(K135/K444, "NA")</f>
        <v>1.1022464646053288E-2</v>
      </c>
      <c r="M135" s="9"/>
      <c r="N135" s="10">
        <f t="shared" si="29"/>
        <v>258.95000000000005</v>
      </c>
      <c r="O135" s="8">
        <f>IFERROR(N135/N444, "NA")</f>
        <v>6.6513920532625129E-2</v>
      </c>
      <c r="P135" s="9"/>
      <c r="Q135" s="7">
        <v>8450.4699999999993</v>
      </c>
      <c r="R135" s="8">
        <f>IFERROR(Q135/Q444, "NA")</f>
        <v>7.9188945635623592E-3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-8450.4699999999993</v>
      </c>
      <c r="X135" s="8">
        <f>IFERROR(W135/W444, "NA")</f>
        <v>0.17121228575341799</v>
      </c>
      <c r="Y135" s="9"/>
      <c r="Z135" s="7">
        <v>9163.51</v>
      </c>
      <c r="AA135" s="8">
        <f>IFERROR(Z135/Z444, "NA")</f>
        <v>9.1531943499675861E-3</v>
      </c>
      <c r="AB135" s="9"/>
      <c r="AC135" s="10">
        <f t="shared" si="31"/>
        <v>713.04000000000087</v>
      </c>
      <c r="AD135" s="8">
        <f>IFERROR(AC135/AC444, "NA")</f>
        <v>1.0803557792306981E-2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958.46</v>
      </c>
      <c r="L136" s="8">
        <f>IFERROR(K136/K444, "NA")</f>
        <v>1.2197747935777482E-2</v>
      </c>
      <c r="M136" s="9"/>
      <c r="N136" s="10">
        <f t="shared" si="29"/>
        <v>958.46</v>
      </c>
      <c r="O136" s="8">
        <f>IFERROR(N136/N444, "NA")</f>
        <v>0.24619012270206553</v>
      </c>
      <c r="P136" s="9"/>
      <c r="Q136" s="7">
        <v>4916.55</v>
      </c>
      <c r="R136" s="8">
        <f>IFERROR(Q136/Q444, "NA")</f>
        <v>4.6072752245120705E-3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-4916.55</v>
      </c>
      <c r="X136" s="8">
        <f>IFERROR(W136/W444, "NA")</f>
        <v>9.9612656280771039E-2</v>
      </c>
      <c r="Y136" s="9"/>
      <c r="Z136" s="7">
        <v>12970.48</v>
      </c>
      <c r="AA136" s="8">
        <f>IFERROR(Z136/Z444, "NA")</f>
        <v>1.2955878724677287E-2</v>
      </c>
      <c r="AB136" s="9"/>
      <c r="AC136" s="10">
        <f t="shared" si="31"/>
        <v>8053.9299999999994</v>
      </c>
      <c r="AD136" s="8">
        <f>IFERROR(AC136/AC444, "NA")</f>
        <v>0.12202835494529739</v>
      </c>
    </row>
    <row r="137" spans="1:30" ht="16.5" customHeight="1" x14ac:dyDescent="0.45">
      <c r="A137" s="12" t="s">
        <v>129</v>
      </c>
      <c r="B137" s="7">
        <v>425.5</v>
      </c>
      <c r="C137" s="8">
        <f>IFERROR(B137/B444, "NA")</f>
        <v>5.159453798758506E-3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-425.5</v>
      </c>
      <c r="I137" s="8">
        <f>IFERROR(H137/H444, "NA")</f>
        <v>0.11260724814879521</v>
      </c>
      <c r="J137" s="9"/>
      <c r="K137" s="7">
        <v>429.63</v>
      </c>
      <c r="L137" s="8">
        <f>IFERROR(K137/K444, "NA")</f>
        <v>5.4676443937650802E-3</v>
      </c>
      <c r="M137" s="9"/>
      <c r="N137" s="10">
        <f t="shared" si="29"/>
        <v>4.1299999999999955</v>
      </c>
      <c r="O137" s="8">
        <f>IFERROR(N137/N444, "NA")</f>
        <v>1.0608321753224229E-3</v>
      </c>
      <c r="P137" s="9"/>
      <c r="Q137" s="7">
        <v>5891.59</v>
      </c>
      <c r="R137" s="8">
        <f>IFERROR(Q137/Q444, "NA")</f>
        <v>5.5209804924150211E-3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-5891.59</v>
      </c>
      <c r="X137" s="8">
        <f>IFERROR(W137/W444, "NA")</f>
        <v>0.11936763169645949</v>
      </c>
      <c r="Y137" s="9"/>
      <c r="Z137" s="7">
        <v>5595.79</v>
      </c>
      <c r="AA137" s="8">
        <f>IFERROR(Z137/Z444, "NA")</f>
        <v>5.5894906440441625E-3</v>
      </c>
      <c r="AB137" s="9"/>
      <c r="AC137" s="10">
        <f t="shared" si="31"/>
        <v>-295.80000000000018</v>
      </c>
      <c r="AD137" s="8">
        <f>IFERROR(AC137/AC444, "NA")</f>
        <v>-4.4817855870139169E-3</v>
      </c>
    </row>
    <row r="138" spans="1:30" ht="16.5" customHeight="1" x14ac:dyDescent="0.45">
      <c r="A138" s="12" t="s">
        <v>130</v>
      </c>
      <c r="B138" s="7">
        <v>6137.17</v>
      </c>
      <c r="C138" s="8">
        <f>IFERROR(B138/B444, "NA")</f>
        <v>7.4417027191837223E-2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-6137.17</v>
      </c>
      <c r="I138" s="8">
        <f>IFERROR(H138/H444, "NA")</f>
        <v>1.6241829027528589</v>
      </c>
      <c r="J138" s="9"/>
      <c r="K138" s="7">
        <v>4658.49</v>
      </c>
      <c r="L138" s="8">
        <f>IFERROR(K138/K444, "NA")</f>
        <v>5.9285819733050971E-2</v>
      </c>
      <c r="M138" s="9"/>
      <c r="N138" s="10">
        <f t="shared" si="29"/>
        <v>-1478.6800000000003</v>
      </c>
      <c r="O138" s="8">
        <f>IFERROR(N138/N444, "NA")</f>
        <v>-0.37981387917815068</v>
      </c>
      <c r="P138" s="9"/>
      <c r="Q138" s="7">
        <v>64194.559999999998</v>
      </c>
      <c r="R138" s="8">
        <f>IFERROR(Q138/Q444, "NA")</f>
        <v>6.0156411678199871E-2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-64194.559999999998</v>
      </c>
      <c r="X138" s="8">
        <f>IFERROR(W138/W444, "NA")</f>
        <v>1.3006255688186499</v>
      </c>
      <c r="Y138" s="9"/>
      <c r="Z138" s="7">
        <v>51457.93</v>
      </c>
      <c r="AA138" s="8">
        <f>IFERROR(Z138/Z444, "NA")</f>
        <v>5.1400002197523394E-2</v>
      </c>
      <c r="AB138" s="9"/>
      <c r="AC138" s="10">
        <f t="shared" si="31"/>
        <v>-12736.629999999997</v>
      </c>
      <c r="AD138" s="8">
        <f>IFERROR(AC138/AC444, "NA")</f>
        <v>-0.19297783894905007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19226.190000000002</v>
      </c>
      <c r="C141" s="15">
        <f>IFERROR(B141/B444, "NA")</f>
        <v>0.23312958644219225</v>
      </c>
      <c r="D141" s="2"/>
      <c r="E141" s="14">
        <f>IFERROR(E129+E130+E131+E132+E133+E134+E135+E136+E137+E138+E139+E140, "NA")</f>
        <v>20613.41</v>
      </c>
      <c r="F141" s="15">
        <f>IFERROR(E141/E444, "NA")</f>
        <v>0.23899996510087876</v>
      </c>
      <c r="G141" s="2"/>
      <c r="H141" s="14">
        <f t="shared" si="28"/>
        <v>1387.2199999999975</v>
      </c>
      <c r="I141" s="15">
        <f>IFERROR(H141/H444, "NA")</f>
        <v>-0.36712344718442164</v>
      </c>
      <c r="J141" s="2"/>
      <c r="K141" s="14">
        <f>IFERROR(K129+K130+K131+K132+K133+K134+K135+K136+K137+K138+K139+K140, "NA")</f>
        <v>19576.969999999998</v>
      </c>
      <c r="L141" s="15">
        <f>IFERROR(K141/K444, "NA")</f>
        <v>0.24914440394620291</v>
      </c>
      <c r="M141" s="2"/>
      <c r="N141" s="14">
        <f t="shared" si="29"/>
        <v>350.7799999999952</v>
      </c>
      <c r="O141" s="15">
        <f>IFERROR(N141/N444, "NA")</f>
        <v>9.0101382677867992E-2</v>
      </c>
      <c r="P141" s="2"/>
      <c r="Q141" s="14">
        <f>IFERROR(Q129+Q130+Q131+Q132+Q133+Q134+Q135+Q136+Q137+Q138+Q139+Q140, "NA")</f>
        <v>250236.63999999998</v>
      </c>
      <c r="R141" s="15">
        <f>IFERROR(Q141/Q444, "NA")</f>
        <v>0.23449554499336855</v>
      </c>
      <c r="S141" s="2"/>
      <c r="T141" s="14">
        <f>IFERROR(T129+T130+T131+T132+T133+T134+T135+T136+T137+T138+T139+T140, "NA")</f>
        <v>277491.92</v>
      </c>
      <c r="U141" s="15">
        <f>IFERROR(T141/T444, "NA")</f>
        <v>0.24854084808511748</v>
      </c>
      <c r="V141" s="2"/>
      <c r="W141" s="14">
        <f t="shared" si="30"/>
        <v>27255.279999999999</v>
      </c>
      <c r="X141" s="15">
        <f>IFERROR(W141/W444, "NA")</f>
        <v>-0.55221056197459062</v>
      </c>
      <c r="Y141" s="2"/>
      <c r="Z141" s="14">
        <f>IFERROR(Z129+Z130+Z131+Z132+Z133+Z134+Z135+Z136+Z137+Z138+Z139+Z140, "NA")</f>
        <v>244327.10000000003</v>
      </c>
      <c r="AA141" s="15">
        <f>IFERROR(Z141/Z444, "NA")</f>
        <v>0.24405205333589047</v>
      </c>
      <c r="AB141" s="2"/>
      <c r="AC141" s="14">
        <f t="shared" si="31"/>
        <v>-5909.5399999999499</v>
      </c>
      <c r="AD141" s="15">
        <f>IFERROR(AC141/AC444, "NA")</f>
        <v>-8.9537833664239286E-2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1005.24</v>
      </c>
      <c r="C144" s="8">
        <f>IFERROR(B144/B444, "NA")</f>
        <v>1.2189164128470036E-2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-1005.24</v>
      </c>
      <c r="I144" s="8">
        <f>IFERROR(H144/H444, "NA")</f>
        <v>0.26603363132572244</v>
      </c>
      <c r="J144" s="9"/>
      <c r="K144" s="7">
        <v>1045.6199999999999</v>
      </c>
      <c r="L144" s="8">
        <f>IFERROR(K144/K444, "NA")</f>
        <v>1.3306981195467362E-2</v>
      </c>
      <c r="M144" s="9"/>
      <c r="N144" s="10">
        <f t="shared" si="33"/>
        <v>40.379999999999882</v>
      </c>
      <c r="O144" s="8">
        <f>IFERROR(N144/N444, "NA")</f>
        <v>1.0372010469617278E-2</v>
      </c>
      <c r="P144" s="9"/>
      <c r="Q144" s="7">
        <v>14813.94</v>
      </c>
      <c r="R144" s="8">
        <f>IFERROR(Q144/Q444, "NA")</f>
        <v>1.3882071521576786E-2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-14813.94</v>
      </c>
      <c r="X144" s="8">
        <f>IFERROR(W144/W444, "NA")</f>
        <v>0.30014052809062564</v>
      </c>
      <c r="Y144" s="9"/>
      <c r="Z144" s="7">
        <v>11889.58</v>
      </c>
      <c r="AA144" s="8">
        <f>IFERROR(Z144/Z444, "NA")</f>
        <v>1.1876195527640349E-2</v>
      </c>
      <c r="AB144" s="9"/>
      <c r="AC144" s="10">
        <f t="shared" si="35"/>
        <v>-2924.3600000000006</v>
      </c>
      <c r="AD144" s="8">
        <f>IFERROR(AC144/AC444, "NA")</f>
        <v>-4.4308162607302269E-2</v>
      </c>
    </row>
    <row r="145" spans="1:30" ht="16.5" customHeight="1" x14ac:dyDescent="0.45">
      <c r="A145" s="12" t="s">
        <v>136</v>
      </c>
      <c r="B145" s="7">
        <v>53.23</v>
      </c>
      <c r="C145" s="8">
        <f>IFERROR(B145/B444, "NA")</f>
        <v>6.4544706394339653E-4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-53.23</v>
      </c>
      <c r="I145" s="8">
        <f>IFERROR(H145/H444, "NA")</f>
        <v>1.4087153511070196E-2</v>
      </c>
      <c r="J145" s="9"/>
      <c r="K145" s="7">
        <v>58.42</v>
      </c>
      <c r="L145" s="8">
        <f>IFERROR(K145/K444, "NA")</f>
        <v>7.434764459738752E-4</v>
      </c>
      <c r="M145" s="9"/>
      <c r="N145" s="10">
        <f t="shared" si="33"/>
        <v>5.1900000000000048</v>
      </c>
      <c r="O145" s="8">
        <f>IFERROR(N145/N444, "NA")</f>
        <v>1.3331038716521517E-3</v>
      </c>
      <c r="P145" s="9"/>
      <c r="Q145" s="7">
        <v>1474.97</v>
      </c>
      <c r="R145" s="8">
        <f>IFERROR(Q145/Q444, "NA")</f>
        <v>1.3821872528294371E-3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-1474.97</v>
      </c>
      <c r="X145" s="8">
        <f>IFERROR(W145/W444, "NA")</f>
        <v>2.9883898187641509E-2</v>
      </c>
      <c r="Y145" s="9"/>
      <c r="Z145" s="7">
        <v>1625.63</v>
      </c>
      <c r="AA145" s="8">
        <f>IFERROR(Z145/Z444, "NA")</f>
        <v>1.6237999774254416E-3</v>
      </c>
      <c r="AB145" s="9"/>
      <c r="AC145" s="10">
        <f t="shared" si="35"/>
        <v>150.66000000000008</v>
      </c>
      <c r="AD145" s="8">
        <f>IFERROR(AC145/AC444, "NA")</f>
        <v>2.2827106711951206E-3</v>
      </c>
    </row>
    <row r="146" spans="1:30" ht="16.5" customHeight="1" x14ac:dyDescent="0.45">
      <c r="A146" s="12" t="s">
        <v>137</v>
      </c>
      <c r="B146" s="7">
        <v>419.25</v>
      </c>
      <c r="C146" s="8">
        <f>IFERROR(B146/B444, "NA")</f>
        <v>5.0836686372021231E-3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-419.25</v>
      </c>
      <c r="I146" s="8">
        <f>IFERROR(H146/H444, "NA")</f>
        <v>0.110953205138384</v>
      </c>
      <c r="J146" s="9"/>
      <c r="K146" s="7">
        <v>149.26</v>
      </c>
      <c r="L146" s="8">
        <f>IFERROR(K146/K444, "NA")</f>
        <v>1.8995428676148683E-3</v>
      </c>
      <c r="M146" s="9"/>
      <c r="N146" s="10">
        <f t="shared" si="33"/>
        <v>-269.99</v>
      </c>
      <c r="O146" s="8">
        <f>IFERROR(N146/N444, "NA")</f>
        <v>-6.9349655935908305E-2</v>
      </c>
      <c r="P146" s="9"/>
      <c r="Q146" s="7">
        <v>1511.77</v>
      </c>
      <c r="R146" s="8">
        <f>IFERROR(Q146/Q444, "NA")</f>
        <v>1.4166723548343072E-3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-1511.77</v>
      </c>
      <c r="X146" s="8">
        <f>IFERROR(W146/W444, "NA")</f>
        <v>3.0629491286691121E-2</v>
      </c>
      <c r="Y146" s="9"/>
      <c r="Z146" s="7">
        <v>3869.88</v>
      </c>
      <c r="AA146" s="8">
        <f>IFERROR(Z146/Z444, "NA")</f>
        <v>3.8655235549535675E-3</v>
      </c>
      <c r="AB146" s="9"/>
      <c r="AC146" s="10">
        <f t="shared" si="35"/>
        <v>2358.11</v>
      </c>
      <c r="AD146" s="8">
        <f>IFERROR(AC146/AC444, "NA")</f>
        <v>3.5728679548997229E-2</v>
      </c>
    </row>
    <row r="147" spans="1:30" ht="16.5" customHeight="1" x14ac:dyDescent="0.45">
      <c r="A147" s="12" t="s">
        <v>138</v>
      </c>
      <c r="B147" s="7">
        <v>40.96</v>
      </c>
      <c r="C147" s="8">
        <f>IFERROR(B147/B444, "NA")</f>
        <v>4.9666563477590694E-4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-40.96</v>
      </c>
      <c r="I147" s="8">
        <f>IFERROR(H147/H444, "NA")</f>
        <v>1.0839936273030908E-2</v>
      </c>
      <c r="J147" s="9"/>
      <c r="K147" s="7">
        <v>6.33</v>
      </c>
      <c r="L147" s="8">
        <f>IFERROR(K147/K444, "NA")</f>
        <v>8.0558129116991279E-5</v>
      </c>
      <c r="M147" s="9"/>
      <c r="N147" s="10">
        <f t="shared" si="33"/>
        <v>-34.630000000000003</v>
      </c>
      <c r="O147" s="8">
        <f>IFERROR(N147/N444, "NA")</f>
        <v>-8.8950649470739829E-3</v>
      </c>
      <c r="P147" s="9"/>
      <c r="Q147" s="7">
        <v>367.71</v>
      </c>
      <c r="R147" s="8">
        <f>IFERROR(Q147/Q444, "NA")</f>
        <v>3.445792624513802E-4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-367.71</v>
      </c>
      <c r="X147" s="8">
        <f>IFERROR(W147/W444, "NA")</f>
        <v>7.4500553927047053E-3</v>
      </c>
      <c r="Y147" s="9"/>
      <c r="Z147" s="7">
        <v>257.58</v>
      </c>
      <c r="AA147" s="8">
        <f>IFERROR(Z147/Z444, "NA")</f>
        <v>2.5729003413153372E-4</v>
      </c>
      <c r="AB147" s="9"/>
      <c r="AC147" s="10">
        <f t="shared" si="35"/>
        <v>-110.13</v>
      </c>
      <c r="AD147" s="8">
        <f>IFERROR(AC147/AC444, "NA")</f>
        <v>-1.6686242281874317E-3</v>
      </c>
    </row>
    <row r="148" spans="1:30" ht="16.5" customHeight="1" x14ac:dyDescent="0.45">
      <c r="A148" s="13" t="s">
        <v>139</v>
      </c>
      <c r="B148" s="14">
        <f>IFERROR(B143+B144+B145+B146+B147, "NA")</f>
        <v>1518.68</v>
      </c>
      <c r="C148" s="15">
        <f>IFERROR(B148/B444, "NA")</f>
        <v>1.8414945464391465E-2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-1518.68</v>
      </c>
      <c r="I148" s="15">
        <f>IFERROR(H148/H444, "NA")</f>
        <v>0.40191392624820754</v>
      </c>
      <c r="J148" s="2"/>
      <c r="K148" s="14">
        <f>IFERROR(K143+K144+K145+K146+K147, "NA")</f>
        <v>1259.6299999999999</v>
      </c>
      <c r="L148" s="15">
        <f>IFERROR(K148/K444, "NA")</f>
        <v>1.6030558638173098E-2</v>
      </c>
      <c r="M148" s="2"/>
      <c r="N148" s="14">
        <f t="shared" si="33"/>
        <v>-259.05000000000018</v>
      </c>
      <c r="O148" s="15">
        <f>IFERROR(N148/N444, "NA")</f>
        <v>-6.653960654171287E-2</v>
      </c>
      <c r="P148" s="2"/>
      <c r="Q148" s="14">
        <f>IFERROR(Q143+Q144+Q145+Q146+Q147, "NA")</f>
        <v>18168.39</v>
      </c>
      <c r="R148" s="15">
        <f>IFERROR(Q148/Q444, "NA")</f>
        <v>1.7025510391691909E-2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-18168.39</v>
      </c>
      <c r="X148" s="15">
        <f>IFERROR(W148/W444, "NA")</f>
        <v>0.36810397295766295</v>
      </c>
      <c r="Y148" s="2"/>
      <c r="Z148" s="14">
        <f>IFERROR(Z143+Z144+Z145+Z146+Z147, "NA")</f>
        <v>17642.670000000002</v>
      </c>
      <c r="AA148" s="15">
        <f>IFERROR(Z148/Z444, "NA")</f>
        <v>1.7622809094150895E-2</v>
      </c>
      <c r="AB148" s="2"/>
      <c r="AC148" s="14">
        <f t="shared" si="35"/>
        <v>-525.71999999999753</v>
      </c>
      <c r="AD148" s="15">
        <f>IFERROR(AC148/AC444, "NA")</f>
        <v>-7.9653966152973075E-3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20744.870000000003</v>
      </c>
      <c r="C149" s="15">
        <f>IFERROR(B149/B444, "NA")</f>
        <v>0.25154453190658371</v>
      </c>
      <c r="D149" s="2"/>
      <c r="E149" s="14">
        <f>IFERROR(E127+E129+E130+E131+E132+E133+E134+E135+E136+E137+E138+E139+E140+E143+E144+E145+E146+E147, "NA")</f>
        <v>20613.41</v>
      </c>
      <c r="F149" s="15">
        <f>IFERROR(E149/E444, "NA")</f>
        <v>0.23899996510087876</v>
      </c>
      <c r="G149" s="2"/>
      <c r="H149" s="14">
        <f t="shared" si="32"/>
        <v>-131.46000000000276</v>
      </c>
      <c r="I149" s="15">
        <f>IFERROR(H149/H444, "NA")</f>
        <v>3.4790479063785969E-2</v>
      </c>
      <c r="J149" s="2"/>
      <c r="K149" s="14">
        <f>IFERROR(K127+K129+K130+K131+K132+K133+K134+K135+K136+K137+K138+K139+K140+K143+K144+K145+K146+K147, "NA")</f>
        <v>20836.599999999995</v>
      </c>
      <c r="L149" s="15">
        <f>IFERROR(K149/K444, "NA")</f>
        <v>0.26517496258437595</v>
      </c>
      <c r="M149" s="2"/>
      <c r="N149" s="14">
        <f t="shared" si="33"/>
        <v>91.729999999992287</v>
      </c>
      <c r="O149" s="15">
        <f>IFERROR(N149/N444, "NA")</f>
        <v>2.3561776136154428E-2</v>
      </c>
      <c r="P149" s="2"/>
      <c r="Q149" s="14">
        <f>IFERROR(Q127+Q129+Q130+Q131+Q132+Q133+Q134+Q135+Q136+Q137+Q138+Q139+Q140+Q143+Q144+Q145+Q146+Q147, "NA")</f>
        <v>268405.02999999997</v>
      </c>
      <c r="R149" s="15">
        <f>IFERROR(Q149/Q444, "NA")</f>
        <v>0.25152105538506042</v>
      </c>
      <c r="S149" s="2"/>
      <c r="T149" s="14">
        <f>IFERROR(T127+T129+T130+T131+T132+T133+T134+T135+T136+T137+T138+T139+T140+T143+T144+T145+T146+T147, "NA")</f>
        <v>277491.92</v>
      </c>
      <c r="U149" s="15">
        <f>IFERROR(T149/T444, "NA")</f>
        <v>0.24854084808511748</v>
      </c>
      <c r="V149" s="2"/>
      <c r="W149" s="14">
        <f t="shared" si="34"/>
        <v>9086.890000000014</v>
      </c>
      <c r="X149" s="15">
        <f>IFERROR(W149/W444, "NA")</f>
        <v>-0.18410658901692792</v>
      </c>
      <c r="Y149" s="2"/>
      <c r="Z149" s="14">
        <f>IFERROR(Z127+Z129+Z130+Z131+Z132+Z133+Z134+Z135+Z136+Z137+Z138+Z139+Z140+Z143+Z144+Z145+Z146+Z147, "NA")</f>
        <v>261969.77000000002</v>
      </c>
      <c r="AA149" s="15">
        <f>IFERROR(Z149/Z444, "NA")</f>
        <v>0.26167486243004134</v>
      </c>
      <c r="AB149" s="2"/>
      <c r="AC149" s="14">
        <f t="shared" si="35"/>
        <v>-6435.2599999999511</v>
      </c>
      <c r="AD149" s="15">
        <f>IFERROR(AC149/AC444, "NA")</f>
        <v>-9.7503230279536654E-2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1293.73</v>
      </c>
      <c r="F153" s="8">
        <f>IFERROR(E153/E444, "NA")</f>
        <v>1.5000013333551309E-2</v>
      </c>
      <c r="G153" s="9"/>
      <c r="H153" s="10">
        <f t="shared" ref="H153:H158" si="36">IFERROR(-(B153-E153), "NA")</f>
        <v>1293.73</v>
      </c>
      <c r="I153" s="8">
        <f>IFERROR(H153/H444, "NA")</f>
        <v>-0.34238161021748725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17314.61</v>
      </c>
      <c r="U153" s="8">
        <f>IFERROR(T153/T444, "NA")</f>
        <v>1.5508155529945004E-2</v>
      </c>
      <c r="V153" s="9"/>
      <c r="W153" s="10">
        <f t="shared" ref="W153:W158" si="38">IFERROR(-(Q153-T153), "NA")</f>
        <v>17314.61</v>
      </c>
      <c r="X153" s="8">
        <f>IFERROR(W153/W444, "NA")</f>
        <v>-0.35080580784607118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2826.53</v>
      </c>
      <c r="C154" s="8">
        <f>IFERROR(B154/B444, "NA")</f>
        <v>3.4273445231033796E-2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-2826.53</v>
      </c>
      <c r="I154" s="8">
        <f>IFERROR(H154/H444, "NA")</f>
        <v>0.74803235043481575</v>
      </c>
      <c r="J154" s="9"/>
      <c r="K154" s="7">
        <v>3213.43</v>
      </c>
      <c r="L154" s="8">
        <f>IFERROR(K154/K444, "NA")</f>
        <v>4.0895404241455491E-2</v>
      </c>
      <c r="M154" s="9"/>
      <c r="N154" s="10">
        <f t="shared" si="37"/>
        <v>386.89999999999964</v>
      </c>
      <c r="O154" s="8">
        <f>IFERROR(N154/N444, "NA")</f>
        <v>9.937916916035E-2</v>
      </c>
      <c r="P154" s="9"/>
      <c r="Q154" s="7">
        <v>35380</v>
      </c>
      <c r="R154" s="8">
        <f>IFERROR(Q154/Q444, "NA")</f>
        <v>3.3154426873160461E-2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-35380</v>
      </c>
      <c r="X154" s="8">
        <f>IFERROR(W154/W444, "NA")</f>
        <v>0.71682293055367674</v>
      </c>
      <c r="Y154" s="9"/>
      <c r="Z154" s="7">
        <v>37952.519999999997</v>
      </c>
      <c r="AA154" s="8">
        <f>IFERROR(Z154/Z444, "NA")</f>
        <v>3.7909795660290846E-2</v>
      </c>
      <c r="AB154" s="9"/>
      <c r="AC154" s="10">
        <f t="shared" si="39"/>
        <v>2572.5199999999968</v>
      </c>
      <c r="AD154" s="8">
        <f>IFERROR(AC154/AC444, "NA")</f>
        <v>3.8977292286359093E-2</v>
      </c>
    </row>
    <row r="155" spans="1:30" ht="16.5" customHeight="1" x14ac:dyDescent="0.45">
      <c r="A155" s="12" t="s">
        <v>144</v>
      </c>
      <c r="B155" s="7">
        <v>626.02</v>
      </c>
      <c r="C155" s="8">
        <f>IFERROR(B155/B444, "NA")</f>
        <v>7.5908842940042289E-3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-626.02</v>
      </c>
      <c r="I155" s="8">
        <f>IFERROR(H155/H444, "NA")</f>
        <v>0.16567424086042015</v>
      </c>
      <c r="J155" s="9"/>
      <c r="K155" s="7">
        <v>599.61</v>
      </c>
      <c r="L155" s="8">
        <f>IFERROR(K155/K444, "NA")</f>
        <v>7.6308783254090268E-3</v>
      </c>
      <c r="M155" s="9"/>
      <c r="N155" s="10">
        <f t="shared" si="37"/>
        <v>-26.409999999999968</v>
      </c>
      <c r="O155" s="8">
        <f>IFERROR(N155/N444, "NA")</f>
        <v>-6.7836750000642102E-3</v>
      </c>
      <c r="P155" s="9"/>
      <c r="Q155" s="7">
        <v>9342.75</v>
      </c>
      <c r="R155" s="8">
        <f>IFERROR(Q155/Q444, "NA")</f>
        <v>8.7550458357608784E-3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-9342.75</v>
      </c>
      <c r="X155" s="8">
        <f>IFERROR(W155/W444, "NA")</f>
        <v>0.18929048712352639</v>
      </c>
      <c r="Y155" s="9"/>
      <c r="Z155" s="7">
        <v>6300.05</v>
      </c>
      <c r="AA155" s="8">
        <f>IFERROR(Z155/Z444, "NA")</f>
        <v>6.2929578365182445E-3</v>
      </c>
      <c r="AB155" s="9"/>
      <c r="AC155" s="10">
        <f t="shared" si="39"/>
        <v>-3042.7</v>
      </c>
      <c r="AD155" s="8">
        <f>IFERROR(AC155/AC444, "NA")</f>
        <v>-4.6101179870207017E-2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21.14</v>
      </c>
      <c r="R156" s="8">
        <f>IFERROR(Q156/Q444, "NA")</f>
        <v>1.9810191749536803E-5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-21.14</v>
      </c>
      <c r="X156" s="8">
        <f>IFERROR(W156/W444, "NA")</f>
        <v>4.2831081831273962E-4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-21.14</v>
      </c>
      <c r="AD156" s="8">
        <f>IFERROR(AC156/AC444, "NA")</f>
        <v>-3.2030070084338791E-4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3452.55</v>
      </c>
      <c r="C158" s="15">
        <f>IFERROR(B158/B444, "NA")</f>
        <v>4.1864329525038026E-2</v>
      </c>
      <c r="D158" s="2"/>
      <c r="E158" s="14">
        <f>IFERROR(E153+E154+E155+E156+E157, "NA")</f>
        <v>1293.73</v>
      </c>
      <c r="F158" s="15">
        <f>IFERROR(E158/E444, "NA")</f>
        <v>1.5000013333551309E-2</v>
      </c>
      <c r="G158" s="2"/>
      <c r="H158" s="14">
        <f t="shared" si="36"/>
        <v>-2158.8200000000002</v>
      </c>
      <c r="I158" s="15">
        <f>IFERROR(H158/H444, "NA")</f>
        <v>0.57132498107774876</v>
      </c>
      <c r="J158" s="2"/>
      <c r="K158" s="14">
        <f>IFERROR(K153+K154+K155+K156+K157, "NA")</f>
        <v>3813.04</v>
      </c>
      <c r="L158" s="15">
        <f>IFERROR(K158/K444, "NA")</f>
        <v>4.8526282566864518E-2</v>
      </c>
      <c r="M158" s="2"/>
      <c r="N158" s="14">
        <f t="shared" si="37"/>
        <v>360.48999999999978</v>
      </c>
      <c r="O158" s="15">
        <f>IFERROR(N158/N444, "NA")</f>
        <v>9.2595494160285813E-2</v>
      </c>
      <c r="P158" s="2"/>
      <c r="Q158" s="14">
        <f>IFERROR(Q153+Q154+Q155+Q156+Q157, "NA")</f>
        <v>44743.89</v>
      </c>
      <c r="R158" s="15">
        <f>IFERROR(Q158/Q444, "NA")</f>
        <v>4.1929282900670876E-2</v>
      </c>
      <c r="S158" s="2"/>
      <c r="T158" s="14">
        <f>IFERROR(T153+T154+T155+T156+T157, "NA")</f>
        <v>17314.61</v>
      </c>
      <c r="U158" s="15">
        <f>IFERROR(T158/T444, "NA")</f>
        <v>1.5508155529945004E-2</v>
      </c>
      <c r="V158" s="2"/>
      <c r="W158" s="14">
        <f t="shared" si="38"/>
        <v>-27429.279999999999</v>
      </c>
      <c r="X158" s="15">
        <f>IFERROR(W158/W444, "NA")</f>
        <v>0.55573592064944477</v>
      </c>
      <c r="Y158" s="2"/>
      <c r="Z158" s="14">
        <f>IFERROR(Z153+Z154+Z155+Z156+Z157, "NA")</f>
        <v>44252.57</v>
      </c>
      <c r="AA158" s="15">
        <f>IFERROR(Z158/Z444, "NA")</f>
        <v>4.4202753496809098E-2</v>
      </c>
      <c r="AB158" s="2"/>
      <c r="AC158" s="14">
        <f t="shared" si="39"/>
        <v>-491.31999999999971</v>
      </c>
      <c r="AD158" s="15">
        <f>IFERROR(AC158/AC444, "NA")</f>
        <v>-7.4441882846912602E-3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410.95</v>
      </c>
      <c r="C161" s="8">
        <f>IFERROR(B161/B444, "NA")</f>
        <v>4.9830259426552476E-3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-410.95</v>
      </c>
      <c r="I161" s="8">
        <f>IFERROR(H161/H444, "NA")</f>
        <v>0.10875663602055791</v>
      </c>
      <c r="J161" s="9"/>
      <c r="K161" s="7">
        <v>492.55</v>
      </c>
      <c r="L161" s="8">
        <f>IFERROR(K161/K444, "NA")</f>
        <v>6.2683896519074335E-3</v>
      </c>
      <c r="M161" s="9"/>
      <c r="N161" s="10">
        <f t="shared" si="41"/>
        <v>81.600000000000023</v>
      </c>
      <c r="O161" s="8">
        <f>IFERROR(N161/N444, "NA")</f>
        <v>2.0959783415571389E-2</v>
      </c>
      <c r="P161" s="9"/>
      <c r="Q161" s="7">
        <v>3916.15</v>
      </c>
      <c r="R161" s="8">
        <f>IFERROR(Q161/Q444, "NA")</f>
        <v>3.6698052232709819E-3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-3916.15</v>
      </c>
      <c r="X161" s="8">
        <f>IFERROR(W161/W444, "NA")</f>
        <v>7.934386996856363E-2</v>
      </c>
      <c r="Y161" s="9"/>
      <c r="Z161" s="7">
        <v>3265.62</v>
      </c>
      <c r="AA161" s="8">
        <f>IFERROR(Z161/Z444, "NA")</f>
        <v>3.2619437893494029E-3</v>
      </c>
      <c r="AB161" s="9"/>
      <c r="AC161" s="10">
        <f t="shared" si="43"/>
        <v>-650.5300000000002</v>
      </c>
      <c r="AD161" s="8">
        <f>IFERROR(AC161/AC444, "NA")</f>
        <v>-9.8564434682899341E-3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410.95</v>
      </c>
      <c r="C166" s="15">
        <f>IFERROR(B166/B444, "NA")</f>
        <v>4.9830259426552476E-3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-410.95</v>
      </c>
      <c r="I166" s="15">
        <f>IFERROR(H166/H444, "NA")</f>
        <v>0.10875663602055791</v>
      </c>
      <c r="J166" s="2"/>
      <c r="K166" s="14">
        <f>IFERROR(K160+K161+K162+K163+K164+K165, "NA")</f>
        <v>492.55</v>
      </c>
      <c r="L166" s="15">
        <f>IFERROR(K166/K444, "NA")</f>
        <v>6.2683896519074335E-3</v>
      </c>
      <c r="M166" s="2"/>
      <c r="N166" s="14">
        <f t="shared" si="41"/>
        <v>81.600000000000023</v>
      </c>
      <c r="O166" s="15">
        <f>IFERROR(N166/N444, "NA")</f>
        <v>2.0959783415571389E-2</v>
      </c>
      <c r="P166" s="2"/>
      <c r="Q166" s="14">
        <f>IFERROR(Q160+Q161+Q162+Q163+Q164+Q165, "NA")</f>
        <v>3916.15</v>
      </c>
      <c r="R166" s="15">
        <f>IFERROR(Q166/Q444, "NA")</f>
        <v>3.6698052232709819E-3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-3916.15</v>
      </c>
      <c r="X166" s="15">
        <f>IFERROR(W166/W444, "NA")</f>
        <v>7.934386996856363E-2</v>
      </c>
      <c r="Y166" s="2"/>
      <c r="Z166" s="14">
        <f>IFERROR(Z160+Z161+Z162+Z163+Z164+Z165, "NA")</f>
        <v>3265.62</v>
      </c>
      <c r="AA166" s="15">
        <f>IFERROR(Z166/Z444, "NA")</f>
        <v>3.2619437893494029E-3</v>
      </c>
      <c r="AB166" s="2"/>
      <c r="AC166" s="14">
        <f t="shared" si="43"/>
        <v>-650.5300000000002</v>
      </c>
      <c r="AD166" s="15">
        <f>IFERROR(AC166/AC444, "NA")</f>
        <v>-9.8564434682899341E-3</v>
      </c>
    </row>
    <row r="167" spans="1:30" ht="16.5" customHeight="1" x14ac:dyDescent="0.45">
      <c r="A167" s="6" t="s">
        <v>155</v>
      </c>
      <c r="B167" s="7">
        <v>108.02</v>
      </c>
      <c r="C167" s="8">
        <f>IFERROR(B167/B444, "NA")</f>
        <v>1.3098101042112661E-3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-108.02</v>
      </c>
      <c r="I167" s="8">
        <f>IFERROR(H167/H444, "NA")</f>
        <v>2.8587156157539029E-2</v>
      </c>
      <c r="J167" s="9"/>
      <c r="K167" s="7">
        <v>74.5</v>
      </c>
      <c r="L167" s="8">
        <f>IFERROR(K167/K444, "NA")</f>
        <v>9.4811700145590045E-4</v>
      </c>
      <c r="M167" s="9"/>
      <c r="N167" s="10">
        <f t="shared" si="41"/>
        <v>-33.519999999999996</v>
      </c>
      <c r="O167" s="8">
        <f>IFERROR(N167/N444, "NA")</f>
        <v>-8.6099502462004002E-3</v>
      </c>
      <c r="P167" s="9"/>
      <c r="Q167" s="7">
        <v>998.21</v>
      </c>
      <c r="R167" s="8">
        <f>IFERROR(Q167/Q444, "NA")</f>
        <v>9.3541776283373381E-4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-998.21</v>
      </c>
      <c r="X167" s="8">
        <f>IFERROR(W167/W444, "NA")</f>
        <v>2.0224415418541145E-2</v>
      </c>
      <c r="Y167" s="9"/>
      <c r="Z167" s="7">
        <v>1235.28</v>
      </c>
      <c r="AA167" s="8">
        <f>IFERROR(Z167/Z444, "NA")</f>
        <v>1.2338894066387181E-3</v>
      </c>
      <c r="AB167" s="9"/>
      <c r="AC167" s="10">
        <f t="shared" si="43"/>
        <v>237.06999999999994</v>
      </c>
      <c r="AD167" s="8">
        <f>IFERROR(AC167/AC444, "NA")</f>
        <v>3.591943573743706E-3</v>
      </c>
    </row>
    <row r="168" spans="1:30" ht="16.5" customHeight="1" x14ac:dyDescent="0.45">
      <c r="A168" s="6" t="s">
        <v>156</v>
      </c>
      <c r="B168" s="7">
        <v>27.31</v>
      </c>
      <c r="C168" s="8">
        <f>IFERROR(B168/B444, "NA")</f>
        <v>3.3115084193676797E-4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-27.31</v>
      </c>
      <c r="I168" s="8">
        <f>IFERROR(H168/H444, "NA")</f>
        <v>7.2275063382928242E-3</v>
      </c>
      <c r="J168" s="9"/>
      <c r="K168" s="7">
        <v>41.6</v>
      </c>
      <c r="L168" s="8">
        <f>IFERROR(K168/K444, "NA")</f>
        <v>5.2941835249081153E-4</v>
      </c>
      <c r="M168" s="9"/>
      <c r="N168" s="10">
        <f t="shared" si="41"/>
        <v>14.290000000000003</v>
      </c>
      <c r="O168" s="8">
        <f>IFERROR(N168/N444, "NA")</f>
        <v>3.6705306986337637E-3</v>
      </c>
      <c r="P168" s="9"/>
      <c r="Q168" s="7">
        <v>545.23</v>
      </c>
      <c r="R168" s="8">
        <f>IFERROR(Q168/Q444, "NA")</f>
        <v>5.1093239581835159E-4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-545.23</v>
      </c>
      <c r="X168" s="8">
        <f>IFERROR(W168/W444, "NA")</f>
        <v>1.1046731668337513E-2</v>
      </c>
      <c r="Y168" s="9"/>
      <c r="Z168" s="7">
        <v>532.29</v>
      </c>
      <c r="AA168" s="8">
        <f>IFERROR(Z168/Z444, "NA")</f>
        <v>5.3169078448588437E-4</v>
      </c>
      <c r="AB168" s="9"/>
      <c r="AC168" s="10">
        <f t="shared" si="43"/>
        <v>-12.940000000000055</v>
      </c>
      <c r="AD168" s="8">
        <f>IFERROR(AC168/AC444, "NA")</f>
        <v>-1.960591801756602E-4</v>
      </c>
    </row>
    <row r="169" spans="1:30" ht="16.5" customHeight="1" x14ac:dyDescent="0.45">
      <c r="A169" s="6" t="s">
        <v>157</v>
      </c>
      <c r="B169" s="7">
        <v>-1848.98</v>
      </c>
      <c r="C169" s="8">
        <f>IFERROR(B169/B444, "NA")</f>
        <v>-2.2420039682323152E-2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1848.98</v>
      </c>
      <c r="I169" s="8">
        <f>IFERROR(H169/H444, "NA")</f>
        <v>-0.48932679126241918</v>
      </c>
      <c r="J169" s="9"/>
      <c r="K169" s="7">
        <v>-2558.52</v>
      </c>
      <c r="L169" s="8">
        <f>IFERROR(K169/K444, "NA")</f>
        <v>-3.2560755846509401E-2</v>
      </c>
      <c r="M169" s="9"/>
      <c r="N169" s="10">
        <f t="shared" si="41"/>
        <v>-709.54</v>
      </c>
      <c r="O169" s="8">
        <f>IFERROR(N169/N444, "NA")</f>
        <v>-0.18225250888093772</v>
      </c>
      <c r="P169" s="9"/>
      <c r="Q169" s="7">
        <v>-18744.96</v>
      </c>
      <c r="R169" s="8">
        <f>IFERROR(Q169/Q444, "NA")</f>
        <v>-1.7565811349924191E-2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18744.96</v>
      </c>
      <c r="X169" s="8">
        <f>IFERROR(W169/W444, "NA")</f>
        <v>-0.37978567440111499</v>
      </c>
      <c r="Y169" s="9"/>
      <c r="Z169" s="7">
        <v>-27687.5</v>
      </c>
      <c r="AA169" s="8">
        <f>IFERROR(Z169/Z444, "NA")</f>
        <v>-2.7656331314608436E-2</v>
      </c>
      <c r="AB169" s="9"/>
      <c r="AC169" s="10">
        <f t="shared" si="43"/>
        <v>-8942.5400000000009</v>
      </c>
      <c r="AD169" s="8">
        <f>IFERROR(AC169/AC444, "NA")</f>
        <v>-0.13549204490634012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2149.85</v>
      </c>
      <c r="C170" s="15">
        <f>IFERROR(B170/B444, "NA")</f>
        <v>2.6068276731518149E-2</v>
      </c>
      <c r="D170" s="2"/>
      <c r="E170" s="14">
        <f>IFERROR(E151+E153+E154+E155+E156+E157+E160+E161+E162+E163+E164+E165+E167+E168+E169, "NA")</f>
        <v>1293.73</v>
      </c>
      <c r="F170" s="15">
        <f>IFERROR(E170/E444, "NA")</f>
        <v>1.5000013333551309E-2</v>
      </c>
      <c r="G170" s="2"/>
      <c r="H170" s="14">
        <f t="shared" si="40"/>
        <v>-856.11999999999989</v>
      </c>
      <c r="I170" s="15">
        <f>IFERROR(H170/H444, "NA")</f>
        <v>0.22656948833171925</v>
      </c>
      <c r="J170" s="2"/>
      <c r="K170" s="14">
        <f>IFERROR(K151+K153+K154+K155+K156+K157+K160+K161+K162+K163+K164+K165+K167+K168+K169, "NA")</f>
        <v>1863.1700000000005</v>
      </c>
      <c r="L170" s="15">
        <f>IFERROR(K170/K444, "NA")</f>
        <v>2.3711451726209268E-2</v>
      </c>
      <c r="M170" s="2"/>
      <c r="N170" s="14">
        <f t="shared" si="41"/>
        <v>-286.67999999999938</v>
      </c>
      <c r="O170" s="15">
        <f>IFERROR(N170/N444, "NA")</f>
        <v>-7.3636650852646951E-2</v>
      </c>
      <c r="P170" s="2"/>
      <c r="Q170" s="14">
        <f>IFERROR(Q151+Q153+Q154+Q155+Q156+Q157+Q160+Q161+Q162+Q163+Q164+Q165+Q167+Q168+Q169, "NA")</f>
        <v>31458.520000000004</v>
      </c>
      <c r="R170" s="15">
        <f>IFERROR(Q170/Q444, "NA")</f>
        <v>2.9479626932669756E-2</v>
      </c>
      <c r="S170" s="2"/>
      <c r="T170" s="14">
        <f>IFERROR(T151+T153+T154+T155+T156+T157+T160+T161+T162+T163+T164+T165+T167+T168+T169, "NA")</f>
        <v>17314.61</v>
      </c>
      <c r="U170" s="15">
        <f>IFERROR(T170/T444, "NA")</f>
        <v>1.5508155529945004E-2</v>
      </c>
      <c r="V170" s="2"/>
      <c r="W170" s="14">
        <f t="shared" si="42"/>
        <v>-14143.910000000003</v>
      </c>
      <c r="X170" s="15">
        <f>IFERROR(W170/W444, "NA")</f>
        <v>0.28656526330377208</v>
      </c>
      <c r="Y170" s="2"/>
      <c r="Z170" s="14">
        <f>IFERROR(Z151+Z153+Z154+Z155+Z156+Z157+Z160+Z161+Z162+Z163+Z164+Z165+Z167+Z168+Z169, "NA")</f>
        <v>21598.260000000002</v>
      </c>
      <c r="AA170" s="15">
        <f>IFERROR(Z170/Z444, "NA")</f>
        <v>2.1573946162674669E-2</v>
      </c>
      <c r="AB170" s="2"/>
      <c r="AC170" s="14">
        <f t="shared" si="43"/>
        <v>-9860.260000000002</v>
      </c>
      <c r="AD170" s="15">
        <f>IFERROR(AC170/AC444, "NA")</f>
        <v>-0.14939679226575328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22894.720000000005</v>
      </c>
      <c r="C171" s="15">
        <f>IFERROR(B171/B444, "NA")</f>
        <v>0.27761280863810189</v>
      </c>
      <c r="D171" s="2"/>
      <c r="E171" s="14">
        <f>IFERROR(E127+E129+E130+E131+E132+E133+E134+E135+E136+E137+E138+E139+E140+E143+E144+E145+E146+E147+E151+E153+E154+E155+E156+E157+E160+E161+E162+E163+E164+E165+E167+E168+E169, "NA")</f>
        <v>21907.14</v>
      </c>
      <c r="F171" s="15">
        <f>IFERROR(E171/E444, "NA")</f>
        <v>0.25399997843443006</v>
      </c>
      <c r="G171" s="2"/>
      <c r="H171" s="14">
        <f t="shared" si="40"/>
        <v>-987.58000000000538</v>
      </c>
      <c r="I171" s="15">
        <f>IFERROR(H171/H444, "NA")</f>
        <v>0.26135996739550593</v>
      </c>
      <c r="J171" s="2"/>
      <c r="K171" s="14">
        <f>IFERROR(K127+K129+K130+K131+K132+K133+K134+K135+K136+K137+K138+K139+K140+K143+K144+K145+K146+K147+K151+K153+K154+K155+K156+K157+K160+K161+K162+K163+K164+K165+K167+K168+K169, "NA")</f>
        <v>22699.769999999993</v>
      </c>
      <c r="L171" s="15">
        <f>IFERROR(K171/K444, "NA")</f>
        <v>0.2888864143105852</v>
      </c>
      <c r="M171" s="2"/>
      <c r="N171" s="14">
        <f t="shared" si="41"/>
        <v>-194.95000000001164</v>
      </c>
      <c r="O171" s="15">
        <f>IFERROR(N171/N444, "NA")</f>
        <v>-5.0074874716493689E-2</v>
      </c>
      <c r="P171" s="2"/>
      <c r="Q171" s="14">
        <f>IFERROR(Q127+Q129+Q130+Q131+Q132+Q133+Q134+Q135+Q136+Q137+Q138+Q139+Q140+Q143+Q144+Q145+Q146+Q147+Q151+Q153+Q154+Q155+Q156+Q157+Q160+Q161+Q162+Q163+Q164+Q165+Q167+Q168+Q169, "NA")</f>
        <v>299863.55</v>
      </c>
      <c r="R171" s="15">
        <f>IFERROR(Q171/Q444, "NA")</f>
        <v>0.28100068231773023</v>
      </c>
      <c r="S171" s="2"/>
      <c r="T171" s="14">
        <f>IFERROR(T127+T129+T130+T131+T132+T133+T134+T135+T136+T137+T138+T139+T140+T143+T144+T145+T146+T147+T151+T153+T154+T155+T156+T157+T160+T161+T162+T163+T164+T165+T167+T168+T169, "NA")</f>
        <v>294806.52999999997</v>
      </c>
      <c r="U171" s="15">
        <f>IFERROR(T171/T444, "NA")</f>
        <v>0.26404900361506245</v>
      </c>
      <c r="V171" s="2"/>
      <c r="W171" s="14">
        <f t="shared" si="42"/>
        <v>-5057.0200000000186</v>
      </c>
      <c r="X171" s="15">
        <f>IFERROR(W171/W444, "NA")</f>
        <v>0.10245867428684477</v>
      </c>
      <c r="Y171" s="2"/>
      <c r="Z171" s="14">
        <f>IFERROR(Z127+Z129+Z130+Z131+Z132+Z133+Z134+Z135+Z136+Z137+Z138+Z139+Z140+Z143+Z144+Z145+Z146+Z147+Z151+Z153+Z154+Z155+Z156+Z157+Z160+Z161+Z162+Z163+Z164+Z165+Z167+Z168+Z169, "NA")</f>
        <v>283568.03000000003</v>
      </c>
      <c r="AA171" s="15">
        <f>IFERROR(Z171/Z444, "NA")</f>
        <v>0.28324880859271606</v>
      </c>
      <c r="AB171" s="2"/>
      <c r="AC171" s="14">
        <f t="shared" si="43"/>
        <v>-16295.51999999996</v>
      </c>
      <c r="AD171" s="15">
        <f>IFERROR(AC171/AC444, "NA")</f>
        <v>-0.24690002254529006</v>
      </c>
    </row>
    <row r="172" spans="1:30" ht="16.5" customHeight="1" x14ac:dyDescent="0.45">
      <c r="A172" s="22" t="s">
        <v>160</v>
      </c>
      <c r="B172" s="23">
        <f>IFERROR(B124-B171, "NA")</f>
        <v>59575.249999999985</v>
      </c>
      <c r="C172" s="24">
        <f>IFERROR(B172/B444, "NA")</f>
        <v>0.722387191361898</v>
      </c>
      <c r="D172" s="25"/>
      <c r="E172" s="23">
        <f>IFERROR(E124-E171, "NA")</f>
        <v>64341.450000000012</v>
      </c>
      <c r="F172" s="24">
        <f>IFERROR(E172/E444, "NA")</f>
        <v>0.7460000215655701</v>
      </c>
      <c r="G172" s="25"/>
      <c r="H172" s="23">
        <f>IFERROR(B172-E172, "NA")</f>
        <v>-4766.2000000000262</v>
      </c>
      <c r="I172" s="24">
        <f>IFERROR(H172/H444, "NA")</f>
        <v>1.2613599673955127</v>
      </c>
      <c r="J172" s="25"/>
      <c r="K172" s="23">
        <f>IFERROR(K124-K171, "NA")</f>
        <v>55877.030000000013</v>
      </c>
      <c r="L172" s="24">
        <f>IFERROR(K172/K444, "NA")</f>
        <v>0.71111358568941485</v>
      </c>
      <c r="M172" s="25"/>
      <c r="N172" s="23">
        <f>IFERROR(B172-K172, "NA")</f>
        <v>3698.2199999999721</v>
      </c>
      <c r="O172" s="24">
        <f>IFERROR(N172/N444, "NA")</f>
        <v>0.94992512528350259</v>
      </c>
      <c r="P172" s="25"/>
      <c r="Q172" s="23">
        <f>IFERROR(Q124-Q171, "NA")</f>
        <v>767263.93000000017</v>
      </c>
      <c r="R172" s="24">
        <f>IFERROR(Q172/Q444, "NA")</f>
        <v>0.71899931768226999</v>
      </c>
      <c r="S172" s="25"/>
      <c r="T172" s="23">
        <f>IFERROR(T124-T171, "NA")</f>
        <v>821677.63000000012</v>
      </c>
      <c r="U172" s="24">
        <f>IFERROR(T172/T444, "NA")</f>
        <v>0.73595099638493766</v>
      </c>
      <c r="V172" s="25"/>
      <c r="W172" s="23">
        <f>IFERROR(Q172-T172, "NA")</f>
        <v>-54413.699999999953</v>
      </c>
      <c r="X172" s="24">
        <f>IFERROR(W172/W444, "NA")</f>
        <v>1.1024586742868447</v>
      </c>
      <c r="Y172" s="25"/>
      <c r="Z172" s="23">
        <f>IFERROR(Z124-Z171, "NA")</f>
        <v>717558.9700000002</v>
      </c>
      <c r="AA172" s="24">
        <f>IFERROR(Z172/Z444, "NA")</f>
        <v>0.71675119140728416</v>
      </c>
      <c r="AB172" s="25"/>
      <c r="AC172" s="23">
        <f>IFERROR(Q172-Z172, "NA")</f>
        <v>49704.959999999963</v>
      </c>
      <c r="AD172" s="24">
        <f>IFERROR(AC172/AC444, "NA")</f>
        <v>0.75309997745470902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6346.15</v>
      </c>
      <c r="C178" s="8">
        <f>IFERROR(B178/B444, "NA")</f>
        <v>7.6951040481765653E-2</v>
      </c>
      <c r="D178" s="9"/>
      <c r="E178" s="7">
        <v>6250</v>
      </c>
      <c r="F178" s="8">
        <f>IFERROR(E178/E444, "NA")</f>
        <v>7.2464952760387155E-2</v>
      </c>
      <c r="G178" s="9"/>
      <c r="H178" s="10">
        <f t="shared" si="44"/>
        <v>-96.149999999999636</v>
      </c>
      <c r="I178" s="8">
        <f>IFERROR(H178/H444, "NA")</f>
        <v>2.5445797672165964E-2</v>
      </c>
      <c r="J178" s="9"/>
      <c r="K178" s="7">
        <v>6634.6</v>
      </c>
      <c r="L178" s="8">
        <f>IFERROR(K178/K444, "NA")</f>
        <v>8.4434591380661977E-2</v>
      </c>
      <c r="M178" s="9"/>
      <c r="N178" s="10">
        <f t="shared" si="45"/>
        <v>288.45000000000073</v>
      </c>
      <c r="O178" s="8">
        <f>IFERROR(N178/N444, "NA")</f>
        <v>7.4091293213499762E-2</v>
      </c>
      <c r="P178" s="9"/>
      <c r="Q178" s="7">
        <v>62725.08</v>
      </c>
      <c r="R178" s="8">
        <f>IFERROR(Q178/Q444, "NA")</f>
        <v>5.8779369077816272E-2</v>
      </c>
      <c r="S178" s="9"/>
      <c r="T178" s="7">
        <v>65000</v>
      </c>
      <c r="U178" s="8">
        <f>IFERROR(T178/T444, "NA")</f>
        <v>5.8218470381165108E-2</v>
      </c>
      <c r="V178" s="9"/>
      <c r="W178" s="10">
        <f t="shared" si="46"/>
        <v>2274.9199999999983</v>
      </c>
      <c r="X178" s="8">
        <f>IFERROR(W178/W444, "NA")</f>
        <v>-4.6091430785052831E-2</v>
      </c>
      <c r="Y178" s="9"/>
      <c r="Z178" s="7">
        <v>68999.839999999997</v>
      </c>
      <c r="AA178" s="8">
        <f>IFERROR(Z178/Z444, "NA")</f>
        <v>6.8922164720360155E-2</v>
      </c>
      <c r="AB178" s="9"/>
      <c r="AC178" s="10">
        <f t="shared" si="47"/>
        <v>6274.7599999999948</v>
      </c>
      <c r="AD178" s="8">
        <f>IFERROR(AC178/AC444, "NA")</f>
        <v>9.5071429783540912E-2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19616.560000000001</v>
      </c>
      <c r="C180" s="8">
        <f>IFERROR(B180/B444, "NA")</f>
        <v>0.23786306700487464</v>
      </c>
      <c r="D180" s="9"/>
      <c r="E180" s="7">
        <v>21130.9</v>
      </c>
      <c r="F180" s="8">
        <f>IFERROR(E180/E444, "NA")</f>
        <v>0.24499994724551441</v>
      </c>
      <c r="G180" s="9"/>
      <c r="H180" s="10">
        <f t="shared" si="44"/>
        <v>1514.3400000000001</v>
      </c>
      <c r="I180" s="8">
        <f>IFERROR(H180/H444, "NA")</f>
        <v>-0.40076535878177799</v>
      </c>
      <c r="J180" s="9"/>
      <c r="K180" s="7">
        <v>16457.560000000001</v>
      </c>
      <c r="L180" s="8">
        <f>IFERROR(K180/K444, "NA")</f>
        <v>0.20944553608698752</v>
      </c>
      <c r="M180" s="9"/>
      <c r="N180" s="10">
        <f t="shared" si="45"/>
        <v>-3159</v>
      </c>
      <c r="O180" s="8">
        <f>IFERROR(N180/N444, "NA")</f>
        <v>-0.81142102708075969</v>
      </c>
      <c r="P180" s="9"/>
      <c r="Q180" s="7">
        <v>224591.42</v>
      </c>
      <c r="R180" s="8">
        <f>IFERROR(Q180/Q444, "NA")</f>
        <v>0.21046353337278881</v>
      </c>
      <c r="S180" s="9"/>
      <c r="T180" s="7">
        <v>218711.36</v>
      </c>
      <c r="U180" s="8">
        <f>IFERROR(T180/T444, "NA")</f>
        <v>0.19589293591052828</v>
      </c>
      <c r="V180" s="9"/>
      <c r="W180" s="10">
        <f t="shared" si="46"/>
        <v>-5880.0600000000268</v>
      </c>
      <c r="X180" s="8">
        <f>IFERROR(W180/W444, "NA")</f>
        <v>0.11913402603254584</v>
      </c>
      <c r="Y180" s="9"/>
      <c r="Z180" s="7">
        <v>200368.15</v>
      </c>
      <c r="AA180" s="8">
        <f>IFERROR(Z180/Z444, "NA")</f>
        <v>0.2001425893018568</v>
      </c>
      <c r="AB180" s="9"/>
      <c r="AC180" s="10">
        <f t="shared" si="47"/>
        <v>-24223.270000000019</v>
      </c>
      <c r="AD180" s="8">
        <f>IFERROR(AC180/AC444, "NA")</f>
        <v>-0.36701657321280129</v>
      </c>
    </row>
    <row r="181" spans="1:30" ht="16.5" customHeight="1" x14ac:dyDescent="0.45">
      <c r="A181" s="12" t="s">
        <v>166</v>
      </c>
      <c r="B181" s="7">
        <v>166.45</v>
      </c>
      <c r="C181" s="8">
        <f>IFERROR(B181/B444, "NA")</f>
        <v>2.0183104225695728E-3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-166.45</v>
      </c>
      <c r="I181" s="8">
        <f>IFERROR(H181/H444, "NA")</f>
        <v>4.4050473453271351E-2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-166.45</v>
      </c>
      <c r="O181" s="8">
        <f>IFERROR(N181/N444, "NA")</f>
        <v>-4.2754362126493334E-2</v>
      </c>
      <c r="P181" s="9"/>
      <c r="Q181" s="7">
        <v>3185.43</v>
      </c>
      <c r="R181" s="8">
        <f>IFERROR(Q181/Q444, "NA")</f>
        <v>2.9850510456351474E-3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-3185.43</v>
      </c>
      <c r="X181" s="8">
        <f>IFERROR(W181/W444, "NA")</f>
        <v>6.4538984388739354E-2</v>
      </c>
      <c r="Y181" s="9"/>
      <c r="Z181" s="7">
        <v>376.78</v>
      </c>
      <c r="AA181" s="8">
        <f>IFERROR(Z181/Z444, "NA")</f>
        <v>3.7635584696047553E-4</v>
      </c>
      <c r="AB181" s="9"/>
      <c r="AC181" s="10">
        <f t="shared" si="47"/>
        <v>-2808.6499999999996</v>
      </c>
      <c r="AD181" s="8">
        <f>IFERROR(AC181/AC444, "NA")</f>
        <v>-4.2554993539440929E-2</v>
      </c>
    </row>
    <row r="182" spans="1:30" ht="16.5" customHeight="1" x14ac:dyDescent="0.45">
      <c r="A182" s="13" t="s">
        <v>167</v>
      </c>
      <c r="B182" s="14">
        <f>IFERROR(B177+B178+B179+B180+B181, "NA")</f>
        <v>26129.16</v>
      </c>
      <c r="C182" s="15">
        <f>IFERROR(B182/B444, "NA")</f>
        <v>0.31683241790920985</v>
      </c>
      <c r="D182" s="2"/>
      <c r="E182" s="14">
        <f>IFERROR(E177+E178+E179+E180+E181, "NA")</f>
        <v>27380.9</v>
      </c>
      <c r="F182" s="15">
        <f>IFERROR(E182/E444, "NA")</f>
        <v>0.31746490000590155</v>
      </c>
      <c r="G182" s="2"/>
      <c r="H182" s="14">
        <f t="shared" si="44"/>
        <v>1251.7400000000016</v>
      </c>
      <c r="I182" s="15">
        <f>IFERROR(H182/H444, "NA")</f>
        <v>-0.331269087656341</v>
      </c>
      <c r="J182" s="2"/>
      <c r="K182" s="14">
        <f>IFERROR(K177+K178+K179+K180+K181, "NA")</f>
        <v>23092.160000000003</v>
      </c>
      <c r="L182" s="15">
        <f>IFERROR(K182/K444, "NA")</f>
        <v>0.29388012746764952</v>
      </c>
      <c r="M182" s="2"/>
      <c r="N182" s="14">
        <f t="shared" si="45"/>
        <v>-3036.9999999999964</v>
      </c>
      <c r="O182" s="15">
        <f>IFERROR(N182/N444, "NA")</f>
        <v>-0.78008409599375261</v>
      </c>
      <c r="P182" s="2"/>
      <c r="Q182" s="14">
        <f>IFERROR(Q177+Q178+Q179+Q180+Q181, "NA")</f>
        <v>290501.93</v>
      </c>
      <c r="R182" s="15">
        <f>IFERROR(Q182/Q444, "NA")</f>
        <v>0.27222795349624018</v>
      </c>
      <c r="S182" s="2"/>
      <c r="T182" s="14">
        <f>IFERROR(T177+T178+T179+T180+T181, "NA")</f>
        <v>283711.35999999999</v>
      </c>
      <c r="U182" s="15">
        <f>IFERROR(T182/T444, "NA")</f>
        <v>0.25411140629169338</v>
      </c>
      <c r="V182" s="2"/>
      <c r="W182" s="14">
        <f t="shared" si="46"/>
        <v>-6790.570000000007</v>
      </c>
      <c r="X182" s="15">
        <f>IFERROR(W182/W444, "NA")</f>
        <v>0.13758157963623194</v>
      </c>
      <c r="Y182" s="2"/>
      <c r="Z182" s="14">
        <f>IFERROR(Z177+Z178+Z179+Z180+Z181, "NA")</f>
        <v>269744.77</v>
      </c>
      <c r="AA182" s="15">
        <f>IFERROR(Z182/Z444, "NA")</f>
        <v>0.26944110986917746</v>
      </c>
      <c r="AB182" s="2"/>
      <c r="AC182" s="14">
        <f t="shared" si="47"/>
        <v>-20757.159999999974</v>
      </c>
      <c r="AD182" s="15">
        <f>IFERROR(AC182/AC444, "NA")</f>
        <v>-0.31450013696870055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300</v>
      </c>
      <c r="C184" s="8">
        <f>IFERROR(B184/B444, "NA")</f>
        <v>3.6376877547063496E-3</v>
      </c>
      <c r="D184" s="9"/>
      <c r="E184" s="7">
        <v>300</v>
      </c>
      <c r="F184" s="8">
        <f>IFERROR(E184/E444, "NA")</f>
        <v>3.4783177324985838E-3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-100</v>
      </c>
      <c r="L184" s="8">
        <f>IFERROR(K184/K444, "NA")</f>
        <v>-1.2726402704106045E-3</v>
      </c>
      <c r="M184" s="9"/>
      <c r="N184" s="10">
        <f t="shared" si="45"/>
        <v>-400</v>
      </c>
      <c r="O184" s="8">
        <f>IFERROR(N184/N444, "NA")</f>
        <v>-0.1027440363508401</v>
      </c>
      <c r="P184" s="9"/>
      <c r="Q184" s="7">
        <v>2200</v>
      </c>
      <c r="R184" s="8">
        <f>IFERROR(Q184/Q444, "NA")</f>
        <v>2.0616093589868006E-3</v>
      </c>
      <c r="S184" s="9"/>
      <c r="T184" s="7">
        <v>3600</v>
      </c>
      <c r="U184" s="8">
        <f>IFERROR(T184/T444, "NA")</f>
        <v>3.2244075903414523E-3</v>
      </c>
      <c r="V184" s="9"/>
      <c r="W184" s="10">
        <f t="shared" si="46"/>
        <v>1400</v>
      </c>
      <c r="X184" s="8">
        <f>IFERROR(W184/W444, "NA")</f>
        <v>-2.8364954855148318E-2</v>
      </c>
      <c r="Y184" s="9"/>
      <c r="Z184" s="7">
        <v>2450</v>
      </c>
      <c r="AA184" s="8">
        <f>IFERROR(Z184/Z444, "NA")</f>
        <v>2.4472419583129812E-3</v>
      </c>
      <c r="AB184" s="9"/>
      <c r="AC184" s="10">
        <f t="shared" si="47"/>
        <v>250</v>
      </c>
      <c r="AD184" s="8">
        <f>IFERROR(AC184/AC444, "NA")</f>
        <v>3.7878512398697717E-3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2631.27</v>
      </c>
      <c r="C186" s="8">
        <f>IFERROR(B186/B444, "NA")</f>
        <v>3.1905795527753918E-2</v>
      </c>
      <c r="D186" s="9"/>
      <c r="E186" s="7">
        <v>2493.13</v>
      </c>
      <c r="F186" s="8">
        <f>IFERROR(E186/E444, "NA")</f>
        <v>2.8906327628080646E-2</v>
      </c>
      <c r="G186" s="9"/>
      <c r="H186" s="10">
        <f t="shared" ref="H186:H197" si="48">IFERROR(-(B186-E186), "NA")</f>
        <v>-138.13999999999987</v>
      </c>
      <c r="I186" s="8">
        <f>IFERROR(H186/H444, "NA")</f>
        <v>3.6558320233312701E-2</v>
      </c>
      <c r="J186" s="9"/>
      <c r="K186" s="7">
        <v>2891.22</v>
      </c>
      <c r="L186" s="8">
        <f>IFERROR(K186/K444, "NA")</f>
        <v>3.679483002616548E-2</v>
      </c>
      <c r="M186" s="9"/>
      <c r="N186" s="10">
        <f t="shared" ref="N186:N197" si="49">IFERROR(-(B186-K186), "NA")</f>
        <v>259.94999999999982</v>
      </c>
      <c r="O186" s="8">
        <f>IFERROR(N186/N444, "NA")</f>
        <v>6.6770780623502168E-2</v>
      </c>
      <c r="P186" s="9"/>
      <c r="Q186" s="7">
        <v>32448.17</v>
      </c>
      <c r="R186" s="8">
        <f>IFERROR(Q186/Q444, "NA")</f>
        <v>3.0407023160906696E-2</v>
      </c>
      <c r="S186" s="9"/>
      <c r="T186" s="7">
        <v>29666.34</v>
      </c>
      <c r="U186" s="8">
        <f>IFERROR(T186/T444, "NA")</f>
        <v>2.6571214409347288E-2</v>
      </c>
      <c r="V186" s="9"/>
      <c r="W186" s="10">
        <f t="shared" ref="W186:W197" si="50">IFERROR(-(Q186-T186), "NA")</f>
        <v>-2781.8299999999981</v>
      </c>
      <c r="X186" s="8">
        <f>IFERROR(W186/W444, "NA")</f>
        <v>5.6361773117640852E-2</v>
      </c>
      <c r="Y186" s="9"/>
      <c r="Z186" s="7">
        <v>33718.559999999998</v>
      </c>
      <c r="AA186" s="8">
        <f>IFERROR(Z186/Z444, "NA")</f>
        <v>3.3680601961589285E-2</v>
      </c>
      <c r="AB186" s="9"/>
      <c r="AC186" s="10">
        <f t="shared" ref="AC186:AC197" si="51">IFERROR(-(Q186-Z186), "NA")</f>
        <v>1270.3899999999994</v>
      </c>
      <c r="AD186" s="8">
        <f>IFERROR(AC186/AC444, "NA")</f>
        <v>1.9248193346472629E-2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0.05</v>
      </c>
      <c r="AA187" s="8">
        <f>IFERROR(Z187/Z444, "NA")</f>
        <v>4.9943713434958802E-8</v>
      </c>
      <c r="AB187" s="9"/>
      <c r="AC187" s="10">
        <f t="shared" si="51"/>
        <v>0.05</v>
      </c>
      <c r="AD187" s="8">
        <f>IFERROR(AC187/AC444, "NA")</f>
        <v>7.575702479739544E-7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2631.27</v>
      </c>
      <c r="C193" s="15">
        <f>IFERROR(B193/B444, "NA")</f>
        <v>3.1905795527753918E-2</v>
      </c>
      <c r="D193" s="2"/>
      <c r="E193" s="14">
        <f>IFERROR(E186+E187+E188+E189+E190+E191+E192, "NA")</f>
        <v>2493.13</v>
      </c>
      <c r="F193" s="15">
        <f>IFERROR(E193/E444, "NA")</f>
        <v>2.8906327628080646E-2</v>
      </c>
      <c r="G193" s="2"/>
      <c r="H193" s="14">
        <f t="shared" si="48"/>
        <v>-138.13999999999987</v>
      </c>
      <c r="I193" s="15">
        <f>IFERROR(H193/H444, "NA")</f>
        <v>3.6558320233312701E-2</v>
      </c>
      <c r="J193" s="2"/>
      <c r="K193" s="14">
        <f>IFERROR(K186+K187+K188+K189+K190+K191+K192, "NA")</f>
        <v>2891.22</v>
      </c>
      <c r="L193" s="15">
        <f>IFERROR(K193/K444, "NA")</f>
        <v>3.679483002616548E-2</v>
      </c>
      <c r="M193" s="2"/>
      <c r="N193" s="14">
        <f t="shared" si="49"/>
        <v>259.94999999999982</v>
      </c>
      <c r="O193" s="15">
        <f>IFERROR(N193/N444, "NA")</f>
        <v>6.6770780623502168E-2</v>
      </c>
      <c r="P193" s="2"/>
      <c r="Q193" s="14">
        <f>IFERROR(Q186+Q187+Q188+Q189+Q190+Q191+Q192, "NA")</f>
        <v>32448.17</v>
      </c>
      <c r="R193" s="15">
        <f>IFERROR(Q193/Q444, "NA")</f>
        <v>3.0407023160906696E-2</v>
      </c>
      <c r="S193" s="2"/>
      <c r="T193" s="14">
        <f>IFERROR(T186+T187+T188+T189+T190+T191+T192, "NA")</f>
        <v>29666.34</v>
      </c>
      <c r="U193" s="15">
        <f>IFERROR(T193/T444, "NA")</f>
        <v>2.6571214409347288E-2</v>
      </c>
      <c r="V193" s="2"/>
      <c r="W193" s="14">
        <f t="shared" si="50"/>
        <v>-2781.8299999999981</v>
      </c>
      <c r="X193" s="15">
        <f>IFERROR(W193/W444, "NA")</f>
        <v>5.6361773117640852E-2</v>
      </c>
      <c r="Y193" s="2"/>
      <c r="Z193" s="14">
        <f>IFERROR(Z186+Z187+Z188+Z189+Z190+Z191+Z192, "NA")</f>
        <v>33718.61</v>
      </c>
      <c r="AA193" s="15">
        <f>IFERROR(Z193/Z444, "NA")</f>
        <v>3.3680651905302728E-2</v>
      </c>
      <c r="AB193" s="2"/>
      <c r="AC193" s="14">
        <f t="shared" si="51"/>
        <v>1270.4400000000023</v>
      </c>
      <c r="AD193" s="15">
        <f>IFERROR(AC193/AC444, "NA")</f>
        <v>1.9248950916720648E-2</v>
      </c>
    </row>
    <row r="194" spans="1:30" ht="16.5" customHeight="1" x14ac:dyDescent="0.45">
      <c r="A194" s="6" t="s">
        <v>178</v>
      </c>
      <c r="B194" s="7">
        <v>288.32</v>
      </c>
      <c r="C194" s="8">
        <f>IFERROR(B194/B444, "NA")</f>
        <v>3.4960604447897823E-3</v>
      </c>
      <c r="D194" s="9"/>
      <c r="E194" s="7">
        <v>221.45</v>
      </c>
      <c r="F194" s="8">
        <f>IFERROR(E194/E444, "NA")</f>
        <v>2.5675782062060375E-3</v>
      </c>
      <c r="G194" s="9"/>
      <c r="H194" s="10">
        <f t="shared" si="48"/>
        <v>-66.87</v>
      </c>
      <c r="I194" s="8">
        <f>IFERROR(H194/H444, "NA")</f>
        <v>1.7696936976991623E-2</v>
      </c>
      <c r="J194" s="9"/>
      <c r="K194" s="7">
        <v>224.72</v>
      </c>
      <c r="L194" s="8">
        <f>IFERROR(K194/K444, "NA")</f>
        <v>2.8598772156667109E-3</v>
      </c>
      <c r="M194" s="9"/>
      <c r="N194" s="10">
        <f t="shared" si="49"/>
        <v>-63.599999999999994</v>
      </c>
      <c r="O194" s="8">
        <f>IFERROR(N194/N444, "NA")</f>
        <v>-1.6336301779783576E-2</v>
      </c>
      <c r="P194" s="9"/>
      <c r="Q194" s="7">
        <v>2952.1</v>
      </c>
      <c r="R194" s="8">
        <f>IFERROR(Q194/Q444, "NA")</f>
        <v>2.7663986312113338E-3</v>
      </c>
      <c r="S194" s="9"/>
      <c r="T194" s="7">
        <v>2298.5</v>
      </c>
      <c r="U194" s="8">
        <f>IFERROR(T194/T444, "NA")</f>
        <v>2.0586946795555076E-3</v>
      </c>
      <c r="V194" s="9"/>
      <c r="W194" s="10">
        <f t="shared" si="50"/>
        <v>-653.59999999999991</v>
      </c>
      <c r="X194" s="8">
        <f>IFERROR(W194/W444, "NA")</f>
        <v>1.3242381780946383E-2</v>
      </c>
      <c r="Y194" s="9"/>
      <c r="Z194" s="7">
        <v>2545.06</v>
      </c>
      <c r="AA194" s="8">
        <f>IFERROR(Z194/Z444, "NA")</f>
        <v>2.5421949462955248E-3</v>
      </c>
      <c r="AB194" s="9"/>
      <c r="AC194" s="10">
        <f t="shared" si="51"/>
        <v>-407.03999999999996</v>
      </c>
      <c r="AD194" s="8">
        <f>IFERROR(AC194/AC444, "NA")</f>
        <v>-6.1672278747063672E-3</v>
      </c>
    </row>
    <row r="195" spans="1:30" ht="16.5" customHeight="1" x14ac:dyDescent="0.45">
      <c r="A195" s="6" t="s">
        <v>179</v>
      </c>
      <c r="B195" s="7">
        <v>3.57</v>
      </c>
      <c r="C195" s="8">
        <f>IFERROR(B195/B444, "NA")</f>
        <v>4.3288484281005559E-5</v>
      </c>
      <c r="D195" s="9"/>
      <c r="E195" s="7">
        <v>193.77</v>
      </c>
      <c r="F195" s="8">
        <f>IFERROR(E195/E444, "NA")</f>
        <v>2.2466454234208351E-3</v>
      </c>
      <c r="G195" s="9"/>
      <c r="H195" s="10">
        <f t="shared" si="48"/>
        <v>190.20000000000002</v>
      </c>
      <c r="I195" s="8">
        <f>IFERROR(H195/H444, "NA")</f>
        <v>-5.0335836892833961E-2</v>
      </c>
      <c r="J195" s="9"/>
      <c r="K195" s="7">
        <v>154.65</v>
      </c>
      <c r="L195" s="8">
        <f>IFERROR(K195/K444, "NA")</f>
        <v>1.96813817819E-3</v>
      </c>
      <c r="M195" s="9"/>
      <c r="N195" s="10">
        <f t="shared" si="49"/>
        <v>151.08000000000001</v>
      </c>
      <c r="O195" s="8">
        <f>IFERROR(N195/N444, "NA")</f>
        <v>3.8806422529712309E-2</v>
      </c>
      <c r="P195" s="9"/>
      <c r="Q195" s="7">
        <v>3.57</v>
      </c>
      <c r="R195" s="8">
        <f>IFERROR(Q195/Q444, "NA")</f>
        <v>3.345429732537672E-6</v>
      </c>
      <c r="S195" s="9"/>
      <c r="T195" s="7">
        <v>2011.18</v>
      </c>
      <c r="U195" s="8">
        <f>IFERROR(T195/T444, "NA")</f>
        <v>1.8013511270952561E-3</v>
      </c>
      <c r="V195" s="9"/>
      <c r="W195" s="10">
        <f t="shared" si="50"/>
        <v>2007.6100000000001</v>
      </c>
      <c r="X195" s="8">
        <f>IFERROR(W195/W444, "NA")</f>
        <v>-4.0675547869103081E-2</v>
      </c>
      <c r="Y195" s="9"/>
      <c r="Z195" s="7">
        <v>2225.7199999999998</v>
      </c>
      <c r="AA195" s="8">
        <f>IFERROR(Z195/Z444, "NA")</f>
        <v>2.2232144373291298E-3</v>
      </c>
      <c r="AB195" s="9"/>
      <c r="AC195" s="10">
        <f t="shared" si="51"/>
        <v>2222.1499999999996</v>
      </c>
      <c r="AD195" s="8">
        <f>IFERROR(AC195/AC444, "NA")</f>
        <v>3.366869453070645E-2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29352.32</v>
      </c>
      <c r="C196" s="15">
        <f>IFERROR(B196/B444, "NA")</f>
        <v>0.35591525012074093</v>
      </c>
      <c r="D196" s="2"/>
      <c r="E196" s="14">
        <f>IFERROR(E175+E177+E178+E179+E180+E181+E183+E184+E186+E187+E188+E189+E190+E191+E192+E194+E195, "NA")</f>
        <v>30589.250000000004</v>
      </c>
      <c r="F196" s="15">
        <f>IFERROR(E196/E444, "NA")</f>
        <v>0.35466376899610769</v>
      </c>
      <c r="G196" s="2"/>
      <c r="H196" s="14">
        <f t="shared" si="48"/>
        <v>1236.9300000000039</v>
      </c>
      <c r="I196" s="15">
        <f>IFERROR(H196/H444, "NA")</f>
        <v>-0.32734966733887116</v>
      </c>
      <c r="J196" s="2"/>
      <c r="K196" s="14">
        <f>IFERROR(K175+K177+K178+K179+K180+K181+K183+K184+K186+K187+K188+K189+K190+K191+K192+K194+K195, "NA")</f>
        <v>26262.750000000007</v>
      </c>
      <c r="L196" s="15">
        <f>IFERROR(K196/K444, "NA")</f>
        <v>0.33423033261726115</v>
      </c>
      <c r="M196" s="2"/>
      <c r="N196" s="14">
        <f t="shared" si="49"/>
        <v>-3089.5699999999924</v>
      </c>
      <c r="O196" s="15">
        <f>IFERROR(N196/N444, "NA")</f>
        <v>-0.79358723097116068</v>
      </c>
      <c r="P196" s="2"/>
      <c r="Q196" s="14">
        <f>IFERROR(Q175+Q177+Q178+Q179+Q180+Q181+Q183+Q184+Q186+Q187+Q188+Q189+Q190+Q191+Q192+Q194+Q195, "NA")</f>
        <v>328105.76999999996</v>
      </c>
      <c r="R196" s="15">
        <f>IFERROR(Q196/Q444, "NA")</f>
        <v>0.30746633007707752</v>
      </c>
      <c r="S196" s="2"/>
      <c r="T196" s="14">
        <f>IFERROR(T175+T177+T178+T179+T180+T181+T183+T184+T186+T187+T188+T189+T190+T191+T192+T194+T195, "NA")</f>
        <v>321287.38</v>
      </c>
      <c r="U196" s="15">
        <f>IFERROR(T196/T444, "NA")</f>
        <v>0.28776707409803293</v>
      </c>
      <c r="V196" s="2"/>
      <c r="W196" s="14">
        <f t="shared" si="50"/>
        <v>-6818.3899999999558</v>
      </c>
      <c r="X196" s="15">
        <f>IFERROR(W196/W444, "NA")</f>
        <v>0.13814523181056676</v>
      </c>
      <c r="Y196" s="2"/>
      <c r="Z196" s="14">
        <f>IFERROR(Z175+Z177+Z178+Z179+Z180+Z181+Z183+Z184+Z186+Z187+Z188+Z189+Z190+Z191+Z192+Z194+Z195, "NA")</f>
        <v>310684.15999999997</v>
      </c>
      <c r="AA196" s="15">
        <f>IFERROR(Z196/Z444, "NA")</f>
        <v>0.3103344131164178</v>
      </c>
      <c r="AB196" s="2"/>
      <c r="AC196" s="14">
        <f t="shared" si="51"/>
        <v>-17421.609999999986</v>
      </c>
      <c r="AD196" s="15">
        <f>IFERROR(AC196/AC444, "NA")</f>
        <v>-0.26396186815611022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29352.32</v>
      </c>
      <c r="C197" s="15">
        <f>IFERROR(B197/B444, "NA")</f>
        <v>0.35591525012074093</v>
      </c>
      <c r="D197" s="2"/>
      <c r="E197" s="14">
        <f>IFERROR(E175+E177+E178+E179+E180+E181+E183+E184+E186+E187+E188+E189+E190+E191+E192+E194+E195, "NA")</f>
        <v>30589.250000000004</v>
      </c>
      <c r="F197" s="15">
        <f>IFERROR(E197/E444, "NA")</f>
        <v>0.35466376899610769</v>
      </c>
      <c r="G197" s="2"/>
      <c r="H197" s="14">
        <f t="shared" si="48"/>
        <v>1236.9300000000039</v>
      </c>
      <c r="I197" s="15">
        <f>IFERROR(H197/H444, "NA")</f>
        <v>-0.32734966733887116</v>
      </c>
      <c r="J197" s="2"/>
      <c r="K197" s="14">
        <f>IFERROR(K175+K177+K178+K179+K180+K181+K183+K184+K186+K187+K188+K189+K190+K191+K192+K194+K195, "NA")</f>
        <v>26262.750000000007</v>
      </c>
      <c r="L197" s="15">
        <f>IFERROR(K197/K444, "NA")</f>
        <v>0.33423033261726115</v>
      </c>
      <c r="M197" s="2"/>
      <c r="N197" s="14">
        <f t="shared" si="49"/>
        <v>-3089.5699999999924</v>
      </c>
      <c r="O197" s="15">
        <f>IFERROR(N197/N444, "NA")</f>
        <v>-0.79358723097116068</v>
      </c>
      <c r="P197" s="2"/>
      <c r="Q197" s="14">
        <f>IFERROR(Q175+Q177+Q178+Q179+Q180+Q181+Q183+Q184+Q186+Q187+Q188+Q189+Q190+Q191+Q192+Q194+Q195, "NA")</f>
        <v>328105.76999999996</v>
      </c>
      <c r="R197" s="15">
        <f>IFERROR(Q197/Q444, "NA")</f>
        <v>0.30746633007707752</v>
      </c>
      <c r="S197" s="2"/>
      <c r="T197" s="14">
        <f>IFERROR(T175+T177+T178+T179+T180+T181+T183+T184+T186+T187+T188+T189+T190+T191+T192+T194+T195, "NA")</f>
        <v>321287.38</v>
      </c>
      <c r="U197" s="15">
        <f>IFERROR(T197/T444, "NA")</f>
        <v>0.28776707409803293</v>
      </c>
      <c r="V197" s="2"/>
      <c r="W197" s="14">
        <f t="shared" si="50"/>
        <v>-6818.3899999999558</v>
      </c>
      <c r="X197" s="15">
        <f>IFERROR(W197/W444, "NA")</f>
        <v>0.13814523181056676</v>
      </c>
      <c r="Y197" s="2"/>
      <c r="Z197" s="14">
        <f>IFERROR(Z175+Z177+Z178+Z179+Z180+Z181+Z183+Z184+Z186+Z187+Z188+Z189+Z190+Z191+Z192+Z194+Z195, "NA")</f>
        <v>310684.15999999997</v>
      </c>
      <c r="AA197" s="15">
        <f>IFERROR(Z197/Z444, "NA")</f>
        <v>0.3103344131164178</v>
      </c>
      <c r="AB197" s="2"/>
      <c r="AC197" s="14">
        <f t="shared" si="51"/>
        <v>-17421.609999999986</v>
      </c>
      <c r="AD197" s="15">
        <f>IFERROR(AC197/AC444, "NA")</f>
        <v>-0.26396186815611022</v>
      </c>
    </row>
    <row r="198" spans="1:30" ht="16.5" customHeight="1" x14ac:dyDescent="0.45">
      <c r="A198" s="22" t="s">
        <v>181</v>
      </c>
      <c r="B198" s="23">
        <f>IFERROR(B172-B197, "NA")</f>
        <v>30222.929999999986</v>
      </c>
      <c r="C198" s="24">
        <f>IFERROR(B198/B444, "NA")</f>
        <v>0.36647194124115706</v>
      </c>
      <c r="D198" s="25"/>
      <c r="E198" s="23">
        <f>IFERROR(E172-E197, "NA")</f>
        <v>33752.200000000012</v>
      </c>
      <c r="F198" s="24">
        <f>IFERROR(E198/E444, "NA")</f>
        <v>0.39133625256946247</v>
      </c>
      <c r="G198" s="25"/>
      <c r="H198" s="23">
        <f>IFERROR(B198-E198, "NA")</f>
        <v>-3529.2700000000259</v>
      </c>
      <c r="I198" s="24">
        <f>IFERROR(H198/H444, "NA")</f>
        <v>0.93401030005664243</v>
      </c>
      <c r="J198" s="25"/>
      <c r="K198" s="23">
        <f>IFERROR(K172-K197, "NA")</f>
        <v>29614.280000000006</v>
      </c>
      <c r="L198" s="24">
        <f>IFERROR(K198/K444, "NA")</f>
        <v>0.3768832530721537</v>
      </c>
      <c r="M198" s="25"/>
      <c r="N198" s="23">
        <f>IFERROR(B198-K198, "NA")</f>
        <v>608.64999999997963</v>
      </c>
      <c r="O198" s="24">
        <f>IFERROR(N198/N444, "NA")</f>
        <v>0.15633789431234185</v>
      </c>
      <c r="P198" s="25"/>
      <c r="Q198" s="23">
        <f>IFERROR(Q172-Q197, "NA")</f>
        <v>439158.16000000021</v>
      </c>
      <c r="R198" s="24">
        <f>IFERROR(Q198/Q444, "NA")</f>
        <v>0.41153298760519241</v>
      </c>
      <c r="S198" s="25"/>
      <c r="T198" s="23">
        <f>IFERROR(T172-T197, "NA")</f>
        <v>500390.25000000012</v>
      </c>
      <c r="U198" s="24">
        <f>IFERROR(T198/T444, "NA")</f>
        <v>0.44818392228690479</v>
      </c>
      <c r="V198" s="25"/>
      <c r="W198" s="23">
        <f>IFERROR(Q198-T198, "NA")</f>
        <v>-61232.089999999909</v>
      </c>
      <c r="X198" s="24">
        <f>IFERROR(W198/W444, "NA")</f>
        <v>1.2406039060974114</v>
      </c>
      <c r="Y198" s="25"/>
      <c r="Z198" s="23">
        <f>IFERROR(Z172-Z197, "NA")</f>
        <v>406874.81000000023</v>
      </c>
      <c r="AA198" s="24">
        <f>IFERROR(Z198/Z444, "NA")</f>
        <v>0.40641677829086642</v>
      </c>
      <c r="AB198" s="25"/>
      <c r="AC198" s="23">
        <f>IFERROR(Q198-Z198, "NA")</f>
        <v>32283.349999999977</v>
      </c>
      <c r="AD198" s="24">
        <f>IFERROR(AC198/AC444, "NA")</f>
        <v>0.4891381092985988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1897.47</v>
      </c>
      <c r="F201" s="8">
        <f>IFERROR(E201/E444, "NA")</f>
        <v>2.2000011826280291E-2</v>
      </c>
      <c r="G201" s="9"/>
      <c r="H201" s="10">
        <f t="shared" ref="H201:H209" si="52">IFERROR(-(B201-E201), "NA")</f>
        <v>1897.47</v>
      </c>
      <c r="I201" s="8">
        <f>IFERROR(H201/H444, "NA")</f>
        <v>-0.50215951855439345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24789.57</v>
      </c>
      <c r="U201" s="8">
        <f>IFERROR(T201/T444, "NA")</f>
        <v>2.2203243797027986E-2</v>
      </c>
      <c r="V201" s="9"/>
      <c r="W201" s="10">
        <f t="shared" ref="W201:W209" si="54">IFERROR(-(Q201-T201), "NA")</f>
        <v>24789.57</v>
      </c>
      <c r="X201" s="8">
        <f>IFERROR(W201/W444, "NA")</f>
        <v>-0.50225359566324224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704.11</v>
      </c>
      <c r="C202" s="8">
        <f>IFERROR(B202/B444, "NA")</f>
        <v>8.5377744165542925E-3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-704.11</v>
      </c>
      <c r="I202" s="8">
        <f>IFERROR(H202/H444, "NA")</f>
        <v>0.18634051584970199</v>
      </c>
      <c r="J202" s="9"/>
      <c r="K202" s="7">
        <v>665.87</v>
      </c>
      <c r="L202" s="8">
        <f>IFERROR(K202/K444, "NA")</f>
        <v>8.4741297685830934E-3</v>
      </c>
      <c r="M202" s="9"/>
      <c r="N202" s="10">
        <f t="shared" si="53"/>
        <v>-38.240000000000009</v>
      </c>
      <c r="O202" s="8">
        <f>IFERROR(N202/N444, "NA")</f>
        <v>-9.8223298751403173E-3</v>
      </c>
      <c r="P202" s="9"/>
      <c r="Q202" s="7">
        <v>8255.23</v>
      </c>
      <c r="R202" s="8">
        <f>IFERROR(Q202/Q444, "NA")</f>
        <v>7.7359361039039121E-3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-8255.23</v>
      </c>
      <c r="X202" s="8">
        <f>IFERROR(W202/W444, "NA")</f>
        <v>0.16725659019204717</v>
      </c>
      <c r="Y202" s="9"/>
      <c r="Z202" s="7">
        <v>8862.73</v>
      </c>
      <c r="AA202" s="8">
        <f>IFERROR(Z202/Z444, "NA")</f>
        <v>8.8527529474282472E-3</v>
      </c>
      <c r="AB202" s="9"/>
      <c r="AC202" s="10">
        <f t="shared" si="55"/>
        <v>607.5</v>
      </c>
      <c r="AD202" s="8">
        <f>IFERROR(AC202/AC444, "NA")</f>
        <v>9.204478512883545E-3</v>
      </c>
    </row>
    <row r="203" spans="1:30" ht="16.5" customHeight="1" x14ac:dyDescent="0.45">
      <c r="A203" s="6" t="s">
        <v>185</v>
      </c>
      <c r="B203" s="7">
        <v>669.82</v>
      </c>
      <c r="C203" s="8">
        <f>IFERROR(B203/B444, "NA")</f>
        <v>8.1219867061913566E-3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-669.82</v>
      </c>
      <c r="I203" s="8">
        <f>IFERROR(H203/H444, "NA")</f>
        <v>0.17726577427738191</v>
      </c>
      <c r="J203" s="9"/>
      <c r="K203" s="7">
        <v>639.65</v>
      </c>
      <c r="L203" s="8">
        <f>IFERROR(K203/K444, "NA")</f>
        <v>8.1404434896814315E-3</v>
      </c>
      <c r="M203" s="9"/>
      <c r="N203" s="10">
        <f t="shared" si="53"/>
        <v>-30.170000000000073</v>
      </c>
      <c r="O203" s="8">
        <f>IFERROR(N203/N444, "NA")</f>
        <v>-7.7494689417621334E-3</v>
      </c>
      <c r="P203" s="9"/>
      <c r="Q203" s="7">
        <v>9805.52</v>
      </c>
      <c r="R203" s="8">
        <f>IFERROR(Q203/Q444, "NA")</f>
        <v>9.1887053644237517E-3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-9805.52</v>
      </c>
      <c r="X203" s="8">
        <f>IFERROR(W203/W444, "NA")</f>
        <v>0.19866652295089568</v>
      </c>
      <c r="Y203" s="9"/>
      <c r="Z203" s="7">
        <v>9170.52</v>
      </c>
      <c r="AA203" s="8">
        <f>IFERROR(Z203/Z444, "NA")</f>
        <v>9.1601964585911674E-3</v>
      </c>
      <c r="AB203" s="9"/>
      <c r="AC203" s="10">
        <f t="shared" si="55"/>
        <v>-635</v>
      </c>
      <c r="AD203" s="8">
        <f>IFERROR(AC203/AC444, "NA")</f>
        <v>-9.6211421492692194E-3</v>
      </c>
    </row>
    <row r="204" spans="1:30" ht="16.5" customHeight="1" x14ac:dyDescent="0.45">
      <c r="A204" s="6" t="s">
        <v>186</v>
      </c>
      <c r="B204" s="7">
        <v>97.35</v>
      </c>
      <c r="C204" s="8">
        <f>IFERROR(B204/B444, "NA")</f>
        <v>1.1804296764022103E-3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-97.35</v>
      </c>
      <c r="I204" s="8">
        <f>IFERROR(H204/H444, "NA")</f>
        <v>2.576337393016501E-2</v>
      </c>
      <c r="J204" s="9"/>
      <c r="K204" s="7">
        <v>43.77</v>
      </c>
      <c r="L204" s="8">
        <f>IFERROR(K204/K444, "NA")</f>
        <v>5.5703464635872162E-4</v>
      </c>
      <c r="M204" s="9"/>
      <c r="N204" s="10">
        <f t="shared" si="53"/>
        <v>-53.579999999999991</v>
      </c>
      <c r="O204" s="8">
        <f>IFERROR(N204/N444, "NA")</f>
        <v>-1.3762563669195029E-2</v>
      </c>
      <c r="P204" s="9"/>
      <c r="Q204" s="7">
        <v>3162.35</v>
      </c>
      <c r="R204" s="8">
        <f>IFERROR(Q204/Q444, "NA")</f>
        <v>2.9634228892690497E-3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-3162.35</v>
      </c>
      <c r="X204" s="8">
        <f>IFERROR(W204/W444, "NA")</f>
        <v>6.4071367847270203E-2</v>
      </c>
      <c r="Y204" s="9"/>
      <c r="Z204" s="7">
        <v>2190.08</v>
      </c>
      <c r="AA204" s="8">
        <f>IFERROR(Z204/Z444, "NA")</f>
        <v>2.1876145583926915E-3</v>
      </c>
      <c r="AB204" s="9"/>
      <c r="AC204" s="10">
        <f t="shared" si="55"/>
        <v>-972.27</v>
      </c>
      <c r="AD204" s="8">
        <f>IFERROR(AC204/AC444, "NA")</f>
        <v>-1.4731256499952732E-2</v>
      </c>
    </row>
    <row r="205" spans="1:30" ht="16.5" customHeight="1" x14ac:dyDescent="0.45">
      <c r="A205" s="6" t="s">
        <v>187</v>
      </c>
      <c r="B205" s="7">
        <v>325.86</v>
      </c>
      <c r="C205" s="8">
        <f>IFERROR(B205/B444, "NA")</f>
        <v>3.9512564391620368E-3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-325.86</v>
      </c>
      <c r="I205" s="8">
        <f>IFERROR(H205/H444, "NA")</f>
        <v>8.6237832859615532E-2</v>
      </c>
      <c r="J205" s="9"/>
      <c r="K205" s="7">
        <v>358.94</v>
      </c>
      <c r="L205" s="8">
        <f>IFERROR(K205/K444, "NA")</f>
        <v>4.5680149866118239E-3</v>
      </c>
      <c r="M205" s="9"/>
      <c r="N205" s="10">
        <f t="shared" si="53"/>
        <v>33.079999999999984</v>
      </c>
      <c r="O205" s="8">
        <f>IFERROR(N205/N444, "NA")</f>
        <v>8.4969318062144729E-3</v>
      </c>
      <c r="P205" s="9"/>
      <c r="Q205" s="7">
        <v>4171.3100000000004</v>
      </c>
      <c r="R205" s="8">
        <f>IFERROR(Q205/Q444, "NA")</f>
        <v>3.9089144251069239E-3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-4171.3100000000004</v>
      </c>
      <c r="X205" s="8">
        <f>IFERROR(W205/W444, "NA")</f>
        <v>8.4513585597734808E-2</v>
      </c>
      <c r="Y205" s="9"/>
      <c r="Z205" s="7">
        <v>4986.7</v>
      </c>
      <c r="AA205" s="8">
        <f>IFERROR(Z205/Z444, "NA")</f>
        <v>4.9810863157221811E-3</v>
      </c>
      <c r="AB205" s="9"/>
      <c r="AC205" s="10">
        <f t="shared" si="55"/>
        <v>815.38999999999942</v>
      </c>
      <c r="AD205" s="8">
        <f>IFERROR(AC205/AC444, "NA")</f>
        <v>1.2354304089909644E-2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602.58000000000004</v>
      </c>
      <c r="R206" s="8">
        <f>IFERROR(Q206/Q444, "NA")</f>
        <v>5.6467480342648477E-4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-602.58000000000004</v>
      </c>
      <c r="X206" s="8">
        <f>IFERROR(W206/W444, "NA")</f>
        <v>1.2208681783296624E-2</v>
      </c>
      <c r="Y206" s="9"/>
      <c r="Z206" s="7">
        <v>649.73</v>
      </c>
      <c r="AA206" s="8">
        <f>IFERROR(Z206/Z444, "NA")</f>
        <v>6.4899857860191564E-4</v>
      </c>
      <c r="AB206" s="9"/>
      <c r="AC206" s="10">
        <f t="shared" si="55"/>
        <v>47.149999999999977</v>
      </c>
      <c r="AD206" s="8">
        <f>IFERROR(AC206/AC444, "NA")</f>
        <v>7.1438874383943855E-4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1007.06</v>
      </c>
      <c r="R207" s="8">
        <f>IFERROR(Q207/Q444, "NA")</f>
        <v>9.4371105502783978E-4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-1007.06</v>
      </c>
      <c r="X207" s="8">
        <f>IFERROR(W207/W444, "NA")</f>
        <v>2.0403722454589761E-2</v>
      </c>
      <c r="Y207" s="9"/>
      <c r="Z207" s="7">
        <v>574.41999999999996</v>
      </c>
      <c r="AA207" s="8">
        <f>IFERROR(Z207/Z444, "NA")</f>
        <v>5.7377335742618064E-4</v>
      </c>
      <c r="AB207" s="9"/>
      <c r="AC207" s="10">
        <f t="shared" si="55"/>
        <v>-432.64</v>
      </c>
      <c r="AD207" s="8">
        <f>IFERROR(AC207/AC444, "NA")</f>
        <v>-6.5551038416690318E-3</v>
      </c>
    </row>
    <row r="208" spans="1:30" ht="16.5" customHeight="1" x14ac:dyDescent="0.45">
      <c r="A208" s="6" t="s">
        <v>190</v>
      </c>
      <c r="B208" s="7">
        <v>93.15</v>
      </c>
      <c r="C208" s="8">
        <f>IFERROR(B208/B444, "NA")</f>
        <v>1.1295020478363216E-3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-93.15</v>
      </c>
      <c r="I208" s="8">
        <f>IFERROR(H208/H444, "NA")</f>
        <v>2.465185702716868E-2</v>
      </c>
      <c r="J208" s="9"/>
      <c r="K208" s="7">
        <v>61.71</v>
      </c>
      <c r="L208" s="8">
        <f>IFERROR(K208/K444, "NA")</f>
        <v>7.8534631087038415E-4</v>
      </c>
      <c r="M208" s="9"/>
      <c r="N208" s="10">
        <f t="shared" si="53"/>
        <v>-31.440000000000005</v>
      </c>
      <c r="O208" s="8">
        <f>IFERROR(N208/N444, "NA")</f>
        <v>-8.0756812571760334E-3</v>
      </c>
      <c r="P208" s="9"/>
      <c r="Q208" s="7">
        <v>2633.58</v>
      </c>
      <c r="R208" s="8">
        <f>IFERROR(Q208/Q444, "NA")</f>
        <v>2.467915079836572E-3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-2633.58</v>
      </c>
      <c r="X208" s="8">
        <f>IFERROR(W208/W444, "NA")</f>
        <v>5.3358127005301077E-2</v>
      </c>
      <c r="Y208" s="9"/>
      <c r="Z208" s="7">
        <v>1126.8599999999999</v>
      </c>
      <c r="AA208" s="8">
        <f>IFERROR(Z208/Z444, "NA")</f>
        <v>1.1255914584263533E-3</v>
      </c>
      <c r="AB208" s="9"/>
      <c r="AC208" s="10">
        <f t="shared" si="55"/>
        <v>-1506.72</v>
      </c>
      <c r="AD208" s="8">
        <f>IFERROR(AC208/AC444, "NA")</f>
        <v>-2.2828924880546331E-2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1890.29</v>
      </c>
      <c r="C209" s="15">
        <f>IFERROR(B209/B444, "NA")</f>
        <v>2.2920949286146217E-2</v>
      </c>
      <c r="D209" s="2"/>
      <c r="E209" s="14">
        <f>IFERROR(E201+E202+E203+E204+E205+E206+E207+E208, "NA")</f>
        <v>1897.47</v>
      </c>
      <c r="F209" s="15">
        <f>IFERROR(E209/E444, "NA")</f>
        <v>2.2000011826280291E-2</v>
      </c>
      <c r="G209" s="2"/>
      <c r="H209" s="14">
        <f t="shared" si="52"/>
        <v>7.1800000000000637</v>
      </c>
      <c r="I209" s="15">
        <f>IFERROR(H209/H444, "NA")</f>
        <v>-1.9001646103604154E-3</v>
      </c>
      <c r="J209" s="2"/>
      <c r="K209" s="14">
        <f>IFERROR(K201+K202+K203+K204+K205+K206+K207+K208, "NA")</f>
        <v>1769.94</v>
      </c>
      <c r="L209" s="15">
        <f>IFERROR(K209/K444, "NA")</f>
        <v>2.2524969202105456E-2</v>
      </c>
      <c r="M209" s="2"/>
      <c r="N209" s="14">
        <f t="shared" si="53"/>
        <v>-120.34999999999991</v>
      </c>
      <c r="O209" s="15">
        <f>IFERROR(N209/N444, "NA")</f>
        <v>-3.0913111937058993E-2</v>
      </c>
      <c r="P209" s="2"/>
      <c r="Q209" s="14">
        <f>IFERROR(Q201+Q202+Q203+Q204+Q205+Q206+Q207+Q208, "NA")</f>
        <v>29637.630000000005</v>
      </c>
      <c r="R209" s="15">
        <f>IFERROR(Q209/Q444, "NA")</f>
        <v>2.777327972099454E-2</v>
      </c>
      <c r="S209" s="2"/>
      <c r="T209" s="14">
        <f>IFERROR(T201+T202+T203+T204+T205+T206+T207+T208, "NA")</f>
        <v>24789.57</v>
      </c>
      <c r="U209" s="15">
        <f>IFERROR(T209/T444, "NA")</f>
        <v>2.2203243797027986E-2</v>
      </c>
      <c r="V209" s="2"/>
      <c r="W209" s="14">
        <f t="shared" si="54"/>
        <v>-4848.0600000000049</v>
      </c>
      <c r="X209" s="15">
        <f>IFERROR(W209/W444, "NA")</f>
        <v>9.8225002167893205E-2</v>
      </c>
      <c r="Y209" s="2"/>
      <c r="Z209" s="14">
        <f>IFERROR(Z201+Z202+Z203+Z204+Z205+Z206+Z207+Z208, "NA")</f>
        <v>27561.040000000001</v>
      </c>
      <c r="AA209" s="15">
        <f>IFERROR(Z209/Z444, "NA")</f>
        <v>2.7530013674588738E-2</v>
      </c>
      <c r="AB209" s="2"/>
      <c r="AC209" s="14">
        <f t="shared" si="55"/>
        <v>-2076.5900000000038</v>
      </c>
      <c r="AD209" s="15">
        <f>IFERROR(AC209/AC444, "NA")</f>
        <v>-3.1463256024804737E-2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3512.03</v>
      </c>
      <c r="F213" s="8">
        <f>IFERROR(E213/E444, "NA")</f>
        <v>4.0719854086890002E-2</v>
      </c>
      <c r="G213" s="9"/>
      <c r="H213" s="10">
        <f t="shared" ref="H213:H227" si="56">IFERROR(-(B213-E213), "NA")</f>
        <v>3512.03</v>
      </c>
      <c r="I213" s="8">
        <f>IFERROR(H213/H444, "NA")</f>
        <v>-0.92944778781671733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39516</v>
      </c>
      <c r="U213" s="8">
        <f>IFERROR(T213/T444, "NA")</f>
        <v>3.5393247316648009E-2</v>
      </c>
      <c r="V213" s="9"/>
      <c r="W213" s="10">
        <f t="shared" ref="W213:W227" si="58">IFERROR(-(Q213-T213), "NA")</f>
        <v>39516</v>
      </c>
      <c r="X213" s="8">
        <f>IFERROR(W213/W444, "NA")</f>
        <v>-0.8006211114686006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840.16</v>
      </c>
      <c r="C214" s="8">
        <f>IFERROR(B214/B444, "NA")</f>
        <v>1.0187465813313621E-2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-840.16</v>
      </c>
      <c r="I214" s="8">
        <f>IFERROR(H214/H444, "NA")</f>
        <v>0.22234572410033318</v>
      </c>
      <c r="J214" s="9"/>
      <c r="K214" s="7">
        <v>1513.51</v>
      </c>
      <c r="L214" s="8">
        <f>IFERROR(K214/K444, "NA")</f>
        <v>1.9261537756691541E-2</v>
      </c>
      <c r="M214" s="9"/>
      <c r="N214" s="10">
        <f t="shared" si="57"/>
        <v>673.35</v>
      </c>
      <c r="O214" s="8">
        <f>IFERROR(N214/N444, "NA")</f>
        <v>0.17295674219209548</v>
      </c>
      <c r="P214" s="9"/>
      <c r="Q214" s="7">
        <v>11734.6</v>
      </c>
      <c r="R214" s="8">
        <f>IFERROR(Q214/Q444, "NA")</f>
        <v>1.099643690180296E-2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-11734.6</v>
      </c>
      <c r="X214" s="8">
        <f>IFERROR(W214/W444, "NA")</f>
        <v>0.23775099945944533</v>
      </c>
      <c r="Y214" s="9"/>
      <c r="Z214" s="7">
        <v>10544.55</v>
      </c>
      <c r="AA214" s="8">
        <f>IFERROR(Z214/Z444, "NA")</f>
        <v>1.0532679670011896E-2</v>
      </c>
      <c r="AB214" s="9"/>
      <c r="AC214" s="10">
        <f t="shared" si="59"/>
        <v>-1190.0500000000011</v>
      </c>
      <c r="AD214" s="8">
        <f>IFERROR(AC214/AC444, "NA")</f>
        <v>-1.8030929472028105E-2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61.09</v>
      </c>
      <c r="R216" s="8">
        <f>IFERROR(Q216/Q444, "NA")</f>
        <v>5.7247143518410754E-5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-61.09</v>
      </c>
      <c r="X216" s="8">
        <f>IFERROR(W216/W444, "NA")</f>
        <v>1.2377250657864363E-3</v>
      </c>
      <c r="Y216" s="9"/>
      <c r="Z216" s="7">
        <v>285.79000000000002</v>
      </c>
      <c r="AA216" s="8">
        <f>IFERROR(Z216/Z444, "NA")</f>
        <v>2.8546827725153752E-4</v>
      </c>
      <c r="AB216" s="9"/>
      <c r="AC216" s="10">
        <f t="shared" si="59"/>
        <v>224.70000000000002</v>
      </c>
      <c r="AD216" s="8">
        <f>IFERROR(AC216/AC444, "NA")</f>
        <v>3.4045206943949511E-3</v>
      </c>
    </row>
    <row r="217" spans="1:30" ht="16.5" customHeight="1" x14ac:dyDescent="0.45">
      <c r="A217" s="12" t="s">
        <v>197</v>
      </c>
      <c r="B217" s="7">
        <v>1911.29</v>
      </c>
      <c r="C217" s="8">
        <f>IFERROR(B217/B444, "NA")</f>
        <v>2.3175587428975662E-2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-1911.29</v>
      </c>
      <c r="I217" s="8">
        <f>IFERROR(H217/H444, "NA")</f>
        <v>0.50581693845901476</v>
      </c>
      <c r="J217" s="9"/>
      <c r="K217" s="7">
        <v>2954.2</v>
      </c>
      <c r="L217" s="8">
        <f>IFERROR(K217/K444, "NA")</f>
        <v>3.7596338868470081E-2</v>
      </c>
      <c r="M217" s="9"/>
      <c r="N217" s="10">
        <f t="shared" si="57"/>
        <v>1042.9099999999999</v>
      </c>
      <c r="O217" s="8">
        <f>IFERROR(N217/N444, "NA")</f>
        <v>0.26788195737663661</v>
      </c>
      <c r="P217" s="9"/>
      <c r="Q217" s="7">
        <v>19690.88</v>
      </c>
      <c r="R217" s="8">
        <f>IFERROR(Q217/Q444, "NA")</f>
        <v>1.8452228406675462E-2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-19690.88</v>
      </c>
      <c r="X217" s="8">
        <f>IFERROR(W217/W444, "NA")</f>
        <v>0.39895065875581637</v>
      </c>
      <c r="Y217" s="9"/>
      <c r="Z217" s="7">
        <v>31757.47</v>
      </c>
      <c r="AA217" s="8">
        <f>IFERROR(Z217/Z444, "NA")</f>
        <v>3.1721719621986021E-2</v>
      </c>
      <c r="AB217" s="9"/>
      <c r="AC217" s="10">
        <f t="shared" si="59"/>
        <v>12066.59</v>
      </c>
      <c r="AD217" s="8">
        <f>IFERROR(AC217/AC444, "NA")</f>
        <v>0.18282579157000076</v>
      </c>
    </row>
    <row r="218" spans="1:30" ht="16.5" customHeight="1" x14ac:dyDescent="0.45">
      <c r="A218" s="13" t="s">
        <v>198</v>
      </c>
      <c r="B218" s="14">
        <f>IFERROR(B213+B214+B215+B216+B217, "NA")</f>
        <v>2751.45</v>
      </c>
      <c r="C218" s="15">
        <f>IFERROR(B218/B444, "NA")</f>
        <v>3.3363053242289283E-2</v>
      </c>
      <c r="D218" s="2"/>
      <c r="E218" s="14">
        <f>IFERROR(E213+E214+E215+E216+E217, "NA")</f>
        <v>3512.03</v>
      </c>
      <c r="F218" s="15">
        <f>IFERROR(E218/E444, "NA")</f>
        <v>4.0719854086890002E-2</v>
      </c>
      <c r="G218" s="2"/>
      <c r="H218" s="14">
        <f t="shared" si="56"/>
        <v>760.58000000000038</v>
      </c>
      <c r="I218" s="15">
        <f>IFERROR(H218/H444, "NA")</f>
        <v>-0.20128512525736944</v>
      </c>
      <c r="J218" s="2"/>
      <c r="K218" s="14">
        <f>IFERROR(K213+K214+K215+K216+K217, "NA")</f>
        <v>4467.71</v>
      </c>
      <c r="L218" s="15">
        <f>IFERROR(K218/K444, "NA")</f>
        <v>5.6857876625161625E-2</v>
      </c>
      <c r="M218" s="2"/>
      <c r="N218" s="14">
        <f t="shared" si="57"/>
        <v>1716.2600000000002</v>
      </c>
      <c r="O218" s="15">
        <f>IFERROR(N218/N444, "NA")</f>
        <v>0.44083869956873217</v>
      </c>
      <c r="P218" s="2"/>
      <c r="Q218" s="14">
        <f>IFERROR(Q213+Q214+Q215+Q216+Q217, "NA")</f>
        <v>31486.57</v>
      </c>
      <c r="R218" s="15">
        <f>IFERROR(Q218/Q444, "NA")</f>
        <v>2.9505912451996831E-2</v>
      </c>
      <c r="S218" s="2"/>
      <c r="T218" s="14">
        <f>IFERROR(T213+T214+T215+T216+T217, "NA")</f>
        <v>39516</v>
      </c>
      <c r="U218" s="15">
        <f>IFERROR(T218/T444, "NA")</f>
        <v>3.5393247316648009E-2</v>
      </c>
      <c r="V218" s="2"/>
      <c r="W218" s="14">
        <f t="shared" si="58"/>
        <v>8029.43</v>
      </c>
      <c r="X218" s="15">
        <f>IFERROR(W218/W444, "NA")</f>
        <v>-0.16268172818755255</v>
      </c>
      <c r="Y218" s="2"/>
      <c r="Z218" s="14">
        <f>IFERROR(Z213+Z214+Z215+Z216+Z217, "NA")</f>
        <v>42587.81</v>
      </c>
      <c r="AA218" s="15">
        <f>IFERROR(Z218/Z444, "NA")</f>
        <v>4.2539867569249455E-2</v>
      </c>
      <c r="AB218" s="2"/>
      <c r="AC218" s="14">
        <f t="shared" si="59"/>
        <v>11101.239999999998</v>
      </c>
      <c r="AD218" s="15">
        <f>IFERROR(AC218/AC444, "NA")</f>
        <v>0.1681993827923676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554.15</v>
      </c>
      <c r="C222" s="8">
        <f>IFERROR(B222/B444, "NA")</f>
        <v>6.7194155642350782E-3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-554.15</v>
      </c>
      <c r="I222" s="8">
        <f>IFERROR(H222/H444, "NA")</f>
        <v>0.14665406947509954</v>
      </c>
      <c r="J222" s="9"/>
      <c r="K222" s="7">
        <v>177.16</v>
      </c>
      <c r="L222" s="8">
        <f>IFERROR(K222/K444, "NA")</f>
        <v>2.2546095030594269E-3</v>
      </c>
      <c r="M222" s="9"/>
      <c r="N222" s="10">
        <f t="shared" si="57"/>
        <v>-376.99</v>
      </c>
      <c r="O222" s="8">
        <f>IFERROR(N222/N444, "NA")</f>
        <v>-9.6833685659758029E-2</v>
      </c>
      <c r="P222" s="9"/>
      <c r="Q222" s="7">
        <v>2288.5300000000002</v>
      </c>
      <c r="R222" s="8">
        <f>IFERROR(Q222/Q444, "NA")</f>
        <v>2.1445703937827561E-3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-2288.5300000000002</v>
      </c>
      <c r="X222" s="8">
        <f>IFERROR(W222/W444, "NA")</f>
        <v>4.6367178667608991E-2</v>
      </c>
      <c r="Y222" s="9"/>
      <c r="Z222" s="7">
        <v>1044.94</v>
      </c>
      <c r="AA222" s="8">
        <f>IFERROR(Z222/Z444, "NA")</f>
        <v>1.0437636783345171E-3</v>
      </c>
      <c r="AB222" s="9"/>
      <c r="AC222" s="10">
        <f t="shared" si="59"/>
        <v>-1243.5900000000001</v>
      </c>
      <c r="AD222" s="8">
        <f>IFERROR(AC222/AC444, "NA")</f>
        <v>-1.8842135693558599E-2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86.25</v>
      </c>
      <c r="F226" s="8">
        <f>IFERROR(E226/E444, "NA")</f>
        <v>1.0000163480933428E-3</v>
      </c>
      <c r="G226" s="9"/>
      <c r="H226" s="10">
        <f t="shared" si="56"/>
        <v>86.25</v>
      </c>
      <c r="I226" s="8">
        <f>IFERROR(H226/H444, "NA")</f>
        <v>-2.2825793543674703E-2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1116.49</v>
      </c>
      <c r="U226" s="8">
        <f>IFERROR(T226/T444, "NA")</f>
        <v>1.0000052307056466E-3</v>
      </c>
      <c r="V226" s="9"/>
      <c r="W226" s="10">
        <f t="shared" si="58"/>
        <v>1116.49</v>
      </c>
      <c r="X226" s="8">
        <f>IFERROR(W226/W444, "NA")</f>
        <v>-2.2620848890160389E-2</v>
      </c>
      <c r="Y226" s="9"/>
      <c r="Z226" s="7">
        <v>1554.17</v>
      </c>
      <c r="AA226" s="8">
        <f>IFERROR(Z226/Z444, "NA")</f>
        <v>1.5524204221841985E-3</v>
      </c>
      <c r="AB226" s="9"/>
      <c r="AC226" s="10">
        <f t="shared" si="59"/>
        <v>1554.17</v>
      </c>
      <c r="AD226" s="8">
        <f>IFERROR(AC226/AC444, "NA")</f>
        <v>2.3547859045873615E-2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3305.6</v>
      </c>
      <c r="C227" s="15">
        <f>IFERROR(B227/B444, "NA")</f>
        <v>4.0082468806524364E-2</v>
      </c>
      <c r="D227" s="2"/>
      <c r="E227" s="14">
        <f>IFERROR(E211+E213+E214+E215+E216+E217+E219+E220+E221+E222+E223+E224+E225+E226, "NA")</f>
        <v>3598.28</v>
      </c>
      <c r="F227" s="15">
        <f>IFERROR(E227/E444, "NA")</f>
        <v>4.1719870434983347E-2</v>
      </c>
      <c r="G227" s="2"/>
      <c r="H227" s="14">
        <f t="shared" si="56"/>
        <v>292.68000000000029</v>
      </c>
      <c r="I227" s="15">
        <f>IFERROR(H227/H444, "NA")</f>
        <v>-7.7456849325944571E-2</v>
      </c>
      <c r="J227" s="2"/>
      <c r="K227" s="14">
        <f>IFERROR(K211+K213+K214+K215+K216+K217+K219+K220+K221+K222+K223+K224+K225+K226, "NA")</f>
        <v>4644.87</v>
      </c>
      <c r="L227" s="15">
        <f>IFERROR(K227/K444, "NA")</f>
        <v>5.9112486128221051E-2</v>
      </c>
      <c r="M227" s="2"/>
      <c r="N227" s="14">
        <f t="shared" si="57"/>
        <v>1339.27</v>
      </c>
      <c r="O227" s="15">
        <f>IFERROR(N227/N444, "NA")</f>
        <v>0.34400501390897409</v>
      </c>
      <c r="P227" s="2"/>
      <c r="Q227" s="14">
        <f>IFERROR(Q211+Q213+Q214+Q215+Q216+Q217+Q219+Q220+Q221+Q222+Q223+Q224+Q225+Q226, "NA")</f>
        <v>33775.1</v>
      </c>
      <c r="R227" s="15">
        <f>IFERROR(Q227/Q444, "NA")</f>
        <v>3.1650482845779586E-2</v>
      </c>
      <c r="S227" s="2"/>
      <c r="T227" s="14">
        <f>IFERROR(T211+T213+T214+T215+T216+T217+T219+T220+T221+T222+T223+T224+T225+T226, "NA")</f>
        <v>40632.49</v>
      </c>
      <c r="U227" s="15">
        <f>IFERROR(T227/T444, "NA")</f>
        <v>3.6393252547353649E-2</v>
      </c>
      <c r="V227" s="2"/>
      <c r="W227" s="14">
        <f t="shared" si="58"/>
        <v>6857.3899999999994</v>
      </c>
      <c r="X227" s="15">
        <f>IFERROR(W227/W444, "NA")</f>
        <v>-0.13893539841010394</v>
      </c>
      <c r="Y227" s="2"/>
      <c r="Z227" s="14">
        <f>IFERROR(Z211+Z213+Z214+Z215+Z216+Z217+Z219+Z220+Z221+Z222+Z223+Z224+Z225+Z226, "NA")</f>
        <v>45186.92</v>
      </c>
      <c r="AA227" s="15">
        <f>IFERROR(Z227/Z444, "NA")</f>
        <v>4.5136051669768168E-2</v>
      </c>
      <c r="AB227" s="2"/>
      <c r="AC227" s="14">
        <f t="shared" si="59"/>
        <v>11411.82</v>
      </c>
      <c r="AD227" s="15">
        <f>IFERROR(AC227/AC444, "NA")</f>
        <v>0.17290510614468263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706.38</v>
      </c>
      <c r="F229" s="8">
        <f>IFERROR(E229/E444, "NA")</f>
        <v>8.1900469329411647E-3</v>
      </c>
      <c r="G229" s="9"/>
      <c r="H229" s="10">
        <f t="shared" ref="H229:H236" si="60">IFERROR(-(B229-E229), "NA")</f>
        <v>706.38</v>
      </c>
      <c r="I229" s="8">
        <f>IFERROR(H229/H444, "NA")</f>
        <v>-0.18694126427108332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9144.02</v>
      </c>
      <c r="U229" s="8">
        <f>IFERROR(T229/T444, "NA")</f>
        <v>8.1900131928427898E-3</v>
      </c>
      <c r="V229" s="9"/>
      <c r="W229" s="10">
        <f t="shared" ref="W229:W236" si="62">IFERROR(-(Q229-T229), "NA")</f>
        <v>9144.02</v>
      </c>
      <c r="X229" s="8">
        <f>IFERROR(W229/W444, "NA")</f>
        <v>-0.18526408178183809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7.8669138948609971E-5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1.7008842572069295E-3</v>
      </c>
      <c r="Y230" s="9"/>
      <c r="Z230" s="7">
        <v>730</v>
      </c>
      <c r="AA230" s="8">
        <f>IFERROR(Z230/Z444, "NA")</f>
        <v>7.291782161503985E-4</v>
      </c>
      <c r="AB230" s="9"/>
      <c r="AC230" s="10">
        <f t="shared" si="63"/>
        <v>646.04999999999995</v>
      </c>
      <c r="AD230" s="8">
        <f>IFERROR(AC230/AC444, "NA")</f>
        <v>9.7885651740714629E-3</v>
      </c>
    </row>
    <row r="231" spans="1:30" ht="16.5" customHeight="1" x14ac:dyDescent="0.45">
      <c r="A231" s="6" t="s">
        <v>210</v>
      </c>
      <c r="B231" s="7">
        <v>42</v>
      </c>
      <c r="C231" s="8">
        <f>IFERROR(B231/B444, "NA")</f>
        <v>5.0927628565888893E-4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-42</v>
      </c>
      <c r="I231" s="8">
        <f>IFERROR(H231/H444, "NA")</f>
        <v>1.1115169029963333E-2</v>
      </c>
      <c r="J231" s="9"/>
      <c r="K231" s="7">
        <v>202.66</v>
      </c>
      <c r="L231" s="8">
        <f>IFERROR(K231/K444, "NA")</f>
        <v>2.579132772014131E-3</v>
      </c>
      <c r="M231" s="9"/>
      <c r="N231" s="10">
        <f t="shared" si="61"/>
        <v>160.66</v>
      </c>
      <c r="O231" s="8">
        <f>IFERROR(N231/N444, "NA")</f>
        <v>4.1267142200314931E-2</v>
      </c>
      <c r="P231" s="9"/>
      <c r="Q231" s="7">
        <v>1077.05</v>
      </c>
      <c r="R231" s="8">
        <f>IFERROR(Q231/Q444, "NA")</f>
        <v>1.0092983454985153E-3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-1077.05</v>
      </c>
      <c r="X231" s="8">
        <f>IFERROR(W231/W444, "NA")</f>
        <v>2.1821767590526783E-2</v>
      </c>
      <c r="Y231" s="9"/>
      <c r="Z231" s="7">
        <v>2520.94</v>
      </c>
      <c r="AA231" s="8">
        <f>IFERROR(Z231/Z444, "NA")</f>
        <v>2.5181020989345007E-3</v>
      </c>
      <c r="AB231" s="9"/>
      <c r="AC231" s="10">
        <f t="shared" si="63"/>
        <v>1443.89</v>
      </c>
      <c r="AD231" s="8">
        <f>IFERROR(AC231/AC444, "NA")</f>
        <v>2.187696210694226E-2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25.5</v>
      </c>
      <c r="AA233" s="8">
        <f>IFERROR(Z233/Z444, "NA")</f>
        <v>2.5471293851828989E-5</v>
      </c>
      <c r="AB233" s="9"/>
      <c r="AC233" s="10">
        <f t="shared" si="63"/>
        <v>25.5</v>
      </c>
      <c r="AD233" s="8">
        <f>IFERROR(AC233/AC444, "NA")</f>
        <v>3.8636082646671671E-4</v>
      </c>
    </row>
    <row r="234" spans="1:30" ht="16.5" customHeight="1" x14ac:dyDescent="0.45">
      <c r="A234" s="6" t="s">
        <v>213</v>
      </c>
      <c r="B234" s="7">
        <v>355.55</v>
      </c>
      <c r="C234" s="8">
        <f>IFERROR(B234/B444, "NA")</f>
        <v>4.311266270619475E-3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-355.55</v>
      </c>
      <c r="I234" s="8">
        <f>IFERROR(H234/H444, "NA")</f>
        <v>9.409519877627294E-2</v>
      </c>
      <c r="J234" s="9"/>
      <c r="K234" s="7">
        <v>800.44</v>
      </c>
      <c r="L234" s="8">
        <f>IFERROR(K234/K444, "NA")</f>
        <v>1.0186721780474644E-2</v>
      </c>
      <c r="M234" s="9"/>
      <c r="N234" s="10">
        <f t="shared" si="61"/>
        <v>444.89000000000004</v>
      </c>
      <c r="O234" s="8">
        <f>IFERROR(N234/N444, "NA")</f>
        <v>0.11427448583031315</v>
      </c>
      <c r="P234" s="9"/>
      <c r="Q234" s="7">
        <v>6092.91</v>
      </c>
      <c r="R234" s="8">
        <f>IFERROR(Q234/Q444, "NA")</f>
        <v>5.7096364906655764E-3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-6092.91</v>
      </c>
      <c r="X234" s="8">
        <f>IFERROR(W234/W444, "NA")</f>
        <v>0.12344651220462981</v>
      </c>
      <c r="Y234" s="9"/>
      <c r="Z234" s="7">
        <v>7540.5</v>
      </c>
      <c r="AA234" s="8">
        <f>IFERROR(Z234/Z444, "NA")</f>
        <v>7.5320114231261365E-3</v>
      </c>
      <c r="AB234" s="9"/>
      <c r="AC234" s="10">
        <f t="shared" si="63"/>
        <v>1447.5900000000001</v>
      </c>
      <c r="AD234" s="8">
        <f>IFERROR(AC234/AC444, "NA")</f>
        <v>2.1933022305292333E-2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397.55</v>
      </c>
      <c r="C236" s="15">
        <f>IFERROR(B236/B444, "NA")</f>
        <v>4.8205425562783642E-3</v>
      </c>
      <c r="D236" s="2"/>
      <c r="E236" s="14">
        <f>IFERROR(E229+E230+E231+E232+E233+E234+E235, "NA")</f>
        <v>706.38</v>
      </c>
      <c r="F236" s="15">
        <f>IFERROR(E236/E444, "NA")</f>
        <v>8.1900469329411647E-3</v>
      </c>
      <c r="G236" s="2"/>
      <c r="H236" s="14">
        <f t="shared" si="60"/>
        <v>308.83</v>
      </c>
      <c r="I236" s="15">
        <f>IFERROR(H236/H444, "NA")</f>
        <v>-8.1730896464847047E-2</v>
      </c>
      <c r="J236" s="2"/>
      <c r="K236" s="14">
        <f>IFERROR(K229+K230+K231+K232+K233+K234+K235, "NA")</f>
        <v>1003.1</v>
      </c>
      <c r="L236" s="15">
        <f>IFERROR(K236/K444, "NA")</f>
        <v>1.2765854552488775E-2</v>
      </c>
      <c r="M236" s="2"/>
      <c r="N236" s="14">
        <f t="shared" si="61"/>
        <v>605.54999999999995</v>
      </c>
      <c r="O236" s="15">
        <f>IFERROR(N236/N444, "NA")</f>
        <v>0.15554162803062804</v>
      </c>
      <c r="P236" s="2"/>
      <c r="Q236" s="14">
        <f>IFERROR(Q229+Q230+Q231+Q232+Q233+Q234+Q235, "NA")</f>
        <v>7253.91</v>
      </c>
      <c r="R236" s="15">
        <f>IFERROR(Q236/Q444, "NA")</f>
        <v>6.7976039751127017E-3</v>
      </c>
      <c r="S236" s="2"/>
      <c r="T236" s="14">
        <f>IFERROR(T229+T230+T231+T232+T233+T234+T235, "NA")</f>
        <v>9144.02</v>
      </c>
      <c r="U236" s="15">
        <f>IFERROR(T236/T444, "NA")</f>
        <v>8.1900131928427898E-3</v>
      </c>
      <c r="V236" s="2"/>
      <c r="W236" s="14">
        <f t="shared" si="62"/>
        <v>1890.1100000000006</v>
      </c>
      <c r="X236" s="15">
        <f>IFERROR(W236/W444, "NA")</f>
        <v>-3.8294917729474576E-2</v>
      </c>
      <c r="Y236" s="2"/>
      <c r="Z236" s="14">
        <f>IFERROR(Z229+Z230+Z231+Z232+Z233+Z234+Z235, "NA")</f>
        <v>10816.94</v>
      </c>
      <c r="AA236" s="15">
        <f>IFERROR(Z236/Z444, "NA")</f>
        <v>1.0804763032062866E-2</v>
      </c>
      <c r="AB236" s="2"/>
      <c r="AC236" s="14">
        <f t="shared" si="63"/>
        <v>3563.0300000000007</v>
      </c>
      <c r="AD236" s="15">
        <f>IFERROR(AC236/AC444, "NA")</f>
        <v>5.3984910412772778E-2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4317.26</v>
      </c>
      <c r="F240" s="8">
        <f>IFERROR(E240/E444, "NA")</f>
        <v>5.0056006712689449E-2</v>
      </c>
      <c r="G240" s="9"/>
      <c r="H240" s="10">
        <f t="shared" ref="H240:H263" si="64">IFERROR(-(B240-E240), "NA")</f>
        <v>4317.26</v>
      </c>
      <c r="I240" s="8">
        <f>IFERROR(H240/H444, "NA")</f>
        <v>-1.1425493963404645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56024.83</v>
      </c>
      <c r="U240" s="8">
        <f>IFERROR(T240/T444, "NA")</f>
        <v>5.0179690860997085E-2</v>
      </c>
      <c r="V240" s="9"/>
      <c r="W240" s="10">
        <f t="shared" ref="W240:W263" si="66">IFERROR(-(Q240-T240), "NA")</f>
        <v>56024.83</v>
      </c>
      <c r="X240" s="8">
        <f>IFERROR(W240/W444, "NA")</f>
        <v>-1.1351012669409708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1418.94</v>
      </c>
      <c r="R241" s="8">
        <f>IFERROR(Q241/Q444, "NA")</f>
        <v>1.3296818108366961E-3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-1418.94</v>
      </c>
      <c r="X241" s="8">
        <f>IFERROR(W241/W444, "NA")</f>
        <v>2.8748692172974398E-2</v>
      </c>
      <c r="Y241" s="9"/>
      <c r="Z241" s="7">
        <v>759.99</v>
      </c>
      <c r="AA241" s="8">
        <f>IFERROR(Z241/Z444, "NA")</f>
        <v>7.5913445546868681E-4</v>
      </c>
      <c r="AB241" s="9"/>
      <c r="AC241" s="10">
        <f t="shared" si="67"/>
        <v>-658.95</v>
      </c>
      <c r="AD241" s="8">
        <f>IFERROR(AC241/AC444, "NA")</f>
        <v>-9.9840182980487444E-3</v>
      </c>
    </row>
    <row r="242" spans="1:30" ht="16.5" customHeight="1" x14ac:dyDescent="0.45">
      <c r="A242" s="12" t="s">
        <v>219</v>
      </c>
      <c r="B242" s="7">
        <v>749.18</v>
      </c>
      <c r="C242" s="8">
        <f>IFERROR(B242/B444, "NA")</f>
        <v>9.0842763735696757E-3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-749.18</v>
      </c>
      <c r="I242" s="8">
        <f>IFERROR(H242/H444, "NA")</f>
        <v>0.19826815080637927</v>
      </c>
      <c r="J242" s="9"/>
      <c r="K242" s="7">
        <v>635.82000000000005</v>
      </c>
      <c r="L242" s="8">
        <f>IFERROR(K242/K444, "NA")</f>
        <v>8.0917013673247069E-3</v>
      </c>
      <c r="M242" s="9"/>
      <c r="N242" s="10">
        <f t="shared" si="65"/>
        <v>-113.3599999999999</v>
      </c>
      <c r="O242" s="8">
        <f>IFERROR(N242/N444, "NA")</f>
        <v>-2.9117659901828061E-2</v>
      </c>
      <c r="P242" s="9"/>
      <c r="Q242" s="7">
        <v>7026.1</v>
      </c>
      <c r="R242" s="8">
        <f>IFERROR(Q242/Q444, "NA")</f>
        <v>6.5841243259896192E-3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-7026.1</v>
      </c>
      <c r="X242" s="8">
        <f>IFERROR(W242/W444, "NA")</f>
        <v>0.14235357807696972</v>
      </c>
      <c r="Y242" s="9"/>
      <c r="Z242" s="7">
        <v>6708.94</v>
      </c>
      <c r="AA242" s="8">
        <f>IFERROR(Z242/Z444, "NA")</f>
        <v>6.70138753624665E-3</v>
      </c>
      <c r="AB242" s="9"/>
      <c r="AC242" s="10">
        <f t="shared" si="67"/>
        <v>-317.16000000000076</v>
      </c>
      <c r="AD242" s="8">
        <f>IFERROR(AC242/AC444, "NA")</f>
        <v>-4.8054195969483987E-3</v>
      </c>
    </row>
    <row r="243" spans="1:30" ht="16.5" customHeight="1" x14ac:dyDescent="0.45">
      <c r="A243" s="12" t="s">
        <v>220</v>
      </c>
      <c r="B243" s="7">
        <v>352.31</v>
      </c>
      <c r="C243" s="8">
        <f>IFERROR(B243/B444, "NA")</f>
        <v>4.2719792428686466E-3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-352.31</v>
      </c>
      <c r="I243" s="8">
        <f>IFERROR(H243/H444, "NA")</f>
        <v>9.3237742879675761E-2</v>
      </c>
      <c r="J243" s="9"/>
      <c r="K243" s="7">
        <v>1464.3</v>
      </c>
      <c r="L243" s="8">
        <f>IFERROR(K243/K444, "NA")</f>
        <v>1.8635271479622482E-2</v>
      </c>
      <c r="M243" s="9"/>
      <c r="N243" s="10">
        <f t="shared" si="65"/>
        <v>1111.99</v>
      </c>
      <c r="O243" s="8">
        <f>IFERROR(N243/N444, "NA")</f>
        <v>0.28562585245442673</v>
      </c>
      <c r="P243" s="9"/>
      <c r="Q243" s="7">
        <v>7660.91</v>
      </c>
      <c r="R243" s="8">
        <f>IFERROR(Q243/Q444, "NA")</f>
        <v>7.1790017065252601E-3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-7660.91</v>
      </c>
      <c r="X243" s="8">
        <f>IFERROR(W243/W444, "NA")</f>
        <v>0.15521526164239594</v>
      </c>
      <c r="Y243" s="9"/>
      <c r="Z243" s="7">
        <v>9544.7900000000009</v>
      </c>
      <c r="AA243" s="8">
        <f>IFERROR(Z243/Z444, "NA")</f>
        <v>9.5340451311372084E-3</v>
      </c>
      <c r="AB243" s="9"/>
      <c r="AC243" s="10">
        <f t="shared" si="67"/>
        <v>1883.880000000001</v>
      </c>
      <c r="AD243" s="8">
        <f>IFERROR(AC243/AC444, "NA")</f>
        <v>2.8543428775063478E-2</v>
      </c>
    </row>
    <row r="244" spans="1:30" ht="16.5" customHeight="1" x14ac:dyDescent="0.45">
      <c r="A244" s="12" t="s">
        <v>221</v>
      </c>
      <c r="B244" s="7">
        <v>1528.26</v>
      </c>
      <c r="C244" s="8">
        <f>IFERROR(B244/B444, "NA")</f>
        <v>1.8531108960025085E-2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-1528.26</v>
      </c>
      <c r="I244" s="8">
        <f>IFERROR(H244/H444, "NA")</f>
        <v>0.40444924337456584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-1528.26</v>
      </c>
      <c r="O244" s="8">
        <f>IFERROR(N244/N444, "NA")</f>
        <v>-0.39254900248383723</v>
      </c>
      <c r="P244" s="9"/>
      <c r="Q244" s="7">
        <v>11114.03</v>
      </c>
      <c r="R244" s="8">
        <f>IFERROR(Q244/Q444, "NA")</f>
        <v>1.0414903756390943E-2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-11114.03</v>
      </c>
      <c r="X244" s="8">
        <f>IFERROR(W244/W444, "NA")</f>
        <v>0.22517782800626004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-11114.03</v>
      </c>
      <c r="AD244" s="8">
        <f>IFERROR(AC244/AC444, "NA")</f>
        <v>-0.16839316926179937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115.57</v>
      </c>
      <c r="C246" s="8">
        <f>IFERROR(B246/B444, "NA")</f>
        <v>1.4013585793713759E-3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-115.57</v>
      </c>
      <c r="I246" s="8">
        <f>IFERROR(H246/H444, "NA")</f>
        <v>3.0585240114115772E-2</v>
      </c>
      <c r="J246" s="9"/>
      <c r="K246" s="7">
        <v>93.57</v>
      </c>
      <c r="L246" s="8">
        <f>IFERROR(K246/K444, "NA")</f>
        <v>1.1908095010232027E-3</v>
      </c>
      <c r="M246" s="9"/>
      <c r="N246" s="10">
        <f t="shared" si="65"/>
        <v>-22</v>
      </c>
      <c r="O246" s="8">
        <f>IFERROR(N246/N444, "NA")</f>
        <v>-5.6509219992962063E-3</v>
      </c>
      <c r="P246" s="9"/>
      <c r="Q246" s="7">
        <v>1590.31</v>
      </c>
      <c r="R246" s="8">
        <f>IFERROR(Q246/Q444, "NA")</f>
        <v>1.4902718089501359E-3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-1590.31</v>
      </c>
      <c r="X246" s="8">
        <f>IFERROR(W246/W444, "NA")</f>
        <v>3.2220765254064941E-2</v>
      </c>
      <c r="Y246" s="9"/>
      <c r="Z246" s="7">
        <v>847.01</v>
      </c>
      <c r="AA246" s="8">
        <f>IFERROR(Z246/Z444, "NA")</f>
        <v>8.4605649433088903E-4</v>
      </c>
      <c r="AB246" s="9"/>
      <c r="AC246" s="10">
        <f t="shared" si="67"/>
        <v>-743.3</v>
      </c>
      <c r="AD246" s="8">
        <f>IFERROR(AC246/AC444, "NA")</f>
        <v>-1.1262039306380804E-2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301.69</v>
      </c>
      <c r="AA247" s="8">
        <f>IFERROR(Z247/Z444, "NA")</f>
        <v>3.0135037812385442E-4</v>
      </c>
      <c r="AB247" s="9"/>
      <c r="AC247" s="10">
        <f t="shared" si="67"/>
        <v>301.69</v>
      </c>
      <c r="AD247" s="8">
        <f>IFERROR(AC247/AC444, "NA")</f>
        <v>4.5710273622252455E-3</v>
      </c>
    </row>
    <row r="248" spans="1:30" ht="16.5" customHeight="1" x14ac:dyDescent="0.45">
      <c r="A248" s="12" t="s">
        <v>225</v>
      </c>
      <c r="B248" s="7">
        <v>166.8</v>
      </c>
      <c r="C248" s="8">
        <f>IFERROR(B248/B444, "NA")</f>
        <v>2.0225543916167306E-3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-166.8</v>
      </c>
      <c r="I248" s="8">
        <f>IFERROR(H248/H444, "NA")</f>
        <v>4.4143099861854385E-2</v>
      </c>
      <c r="J248" s="9"/>
      <c r="K248" s="7">
        <v>170.97</v>
      </c>
      <c r="L248" s="8">
        <f>IFERROR(K248/K444, "NA")</f>
        <v>2.1758330703210106E-3</v>
      </c>
      <c r="M248" s="9"/>
      <c r="N248" s="10">
        <f t="shared" si="65"/>
        <v>4.1699999999999875</v>
      </c>
      <c r="O248" s="8">
        <f>IFERROR(N248/N444, "NA")</f>
        <v>1.0711065789575048E-3</v>
      </c>
      <c r="P248" s="9"/>
      <c r="Q248" s="7">
        <v>2396.98</v>
      </c>
      <c r="R248" s="8">
        <f>IFERROR(Q248/Q444, "NA")</f>
        <v>2.2461983642291733E-3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-2396.98</v>
      </c>
      <c r="X248" s="8">
        <f>IFERROR(W248/W444, "NA")</f>
        <v>4.8564449634781008E-2</v>
      </c>
      <c r="Y248" s="9"/>
      <c r="Z248" s="7">
        <v>2412.9499999999998</v>
      </c>
      <c r="AA248" s="8">
        <f>IFERROR(Z248/Z444, "NA")</f>
        <v>2.4102336666576765E-3</v>
      </c>
      <c r="AB248" s="9"/>
      <c r="AC248" s="10">
        <f t="shared" si="67"/>
        <v>15.9699999999998</v>
      </c>
      <c r="AD248" s="8">
        <f>IFERROR(AC248/AC444, "NA")</f>
        <v>2.4196793720287799E-4</v>
      </c>
    </row>
    <row r="249" spans="1:30" ht="16.5" customHeight="1" x14ac:dyDescent="0.45">
      <c r="A249" s="12" t="s">
        <v>226</v>
      </c>
      <c r="B249" s="7">
        <v>2282.58</v>
      </c>
      <c r="C249" s="8">
        <f>IFERROR(B249/B444, "NA")</f>
        <v>2.7677711050458728E-2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-2282.58</v>
      </c>
      <c r="I249" s="8">
        <f>IFERROR(H249/H444, "NA")</f>
        <v>0.60407767915270727</v>
      </c>
      <c r="J249" s="9"/>
      <c r="K249" s="7">
        <v>2051.44</v>
      </c>
      <c r="L249" s="8">
        <f>IFERROR(K249/K444, "NA")</f>
        <v>2.6107451563311308E-2</v>
      </c>
      <c r="M249" s="9"/>
      <c r="N249" s="10">
        <f t="shared" si="65"/>
        <v>-231.13999999999987</v>
      </c>
      <c r="O249" s="8">
        <f>IFERROR(N249/N444, "NA")</f>
        <v>-5.9370641405332922E-2</v>
      </c>
      <c r="P249" s="9"/>
      <c r="Q249" s="7">
        <v>17510.7</v>
      </c>
      <c r="R249" s="8">
        <f>IFERROR(Q249/Q444, "NA")</f>
        <v>1.6409192273822808E-2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-17510.7</v>
      </c>
      <c r="X249" s="8">
        <f>IFERROR(W249/W444, "NA")</f>
        <v>0.3547787249871755</v>
      </c>
      <c r="Y249" s="9"/>
      <c r="Z249" s="7">
        <v>20998.74</v>
      </c>
      <c r="AA249" s="8">
        <f>IFERROR(Z249/Z444, "NA")</f>
        <v>2.0975101061104139E-2</v>
      </c>
      <c r="AB249" s="9"/>
      <c r="AC249" s="10">
        <f t="shared" si="67"/>
        <v>3488.0400000000009</v>
      </c>
      <c r="AD249" s="8">
        <f>IFERROR(AC249/AC444, "NA")</f>
        <v>5.2848706554861451E-2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4.53</v>
      </c>
      <c r="AA250" s="8">
        <f>IFERROR(Z250/Z444, "NA")</f>
        <v>4.5249004372072676E-6</v>
      </c>
      <c r="AB250" s="9"/>
      <c r="AC250" s="10">
        <f t="shared" si="67"/>
        <v>4.53</v>
      </c>
      <c r="AD250" s="8">
        <f>IFERROR(AC250/AC444, "NA")</f>
        <v>6.8635864466440267E-5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272.94</v>
      </c>
      <c r="R251" s="8">
        <f>IFERROR(Q251/Q444, "NA")</f>
        <v>2.5577075383720788E-4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-272.94</v>
      </c>
      <c r="X251" s="8">
        <f>IFERROR(W251/W444, "NA")</f>
        <v>5.5299505558315584E-3</v>
      </c>
      <c r="Y251" s="9"/>
      <c r="Z251" s="7">
        <v>305.60000000000002</v>
      </c>
      <c r="AA251" s="8">
        <f>IFERROR(Z251/Z444, "NA")</f>
        <v>3.0525597651446824E-4</v>
      </c>
      <c r="AB251" s="9"/>
      <c r="AC251" s="10">
        <f t="shared" si="67"/>
        <v>32.660000000000025</v>
      </c>
      <c r="AD251" s="8">
        <f>IFERROR(AC251/AC444, "NA")</f>
        <v>4.9484488597658738E-4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153.31</v>
      </c>
      <c r="AA252" s="8">
        <f>IFERROR(Z252/Z444, "NA")</f>
        <v>1.5313741413427068E-4</v>
      </c>
      <c r="AB252" s="9"/>
      <c r="AC252" s="10">
        <f t="shared" si="67"/>
        <v>153.31</v>
      </c>
      <c r="AD252" s="8">
        <f>IFERROR(AC252/AC444, "NA")</f>
        <v>2.3228618943377387E-3</v>
      </c>
    </row>
    <row r="253" spans="1:30" ht="16.5" customHeight="1" x14ac:dyDescent="0.45">
      <c r="A253" s="12" t="s">
        <v>230</v>
      </c>
      <c r="B253" s="7">
        <v>480.93</v>
      </c>
      <c r="C253" s="8">
        <f>IFERROR(B253/B444, "NA")</f>
        <v>5.8315772395697487E-3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-480.93</v>
      </c>
      <c r="I253" s="8">
        <f>IFERROR(H253/H444, "NA")</f>
        <v>0.12727662479953014</v>
      </c>
      <c r="J253" s="9"/>
      <c r="K253" s="7">
        <v>75.58</v>
      </c>
      <c r="L253" s="8">
        <f>IFERROR(K253/K444, "NA")</f>
        <v>9.6186151637633497E-4</v>
      </c>
      <c r="M253" s="9"/>
      <c r="N253" s="10">
        <f t="shared" si="65"/>
        <v>-405.35</v>
      </c>
      <c r="O253" s="8">
        <f>IFERROR(N253/N444, "NA")</f>
        <v>-0.1041182378370326</v>
      </c>
      <c r="P253" s="9"/>
      <c r="Q253" s="7">
        <v>3093.66</v>
      </c>
      <c r="R253" s="8">
        <f>IFERROR(Q253/Q444, "NA")</f>
        <v>2.8990538225105028E-3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-3093.66</v>
      </c>
      <c r="X253" s="8">
        <f>IFERROR(W253/W444, "NA")</f>
        <v>6.2679661597984382E-2</v>
      </c>
      <c r="Y253" s="9"/>
      <c r="Z253" s="7">
        <v>3740.53</v>
      </c>
      <c r="AA253" s="8">
        <f>IFERROR(Z253/Z444, "NA")</f>
        <v>3.7363191682973293E-3</v>
      </c>
      <c r="AB253" s="9"/>
      <c r="AC253" s="10">
        <f t="shared" si="67"/>
        <v>646.87000000000035</v>
      </c>
      <c r="AD253" s="8">
        <f>IFERROR(AC253/AC444, "NA")</f>
        <v>9.8009893261382427E-3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193.92</v>
      </c>
      <c r="L254" s="8">
        <f>IFERROR(K254/K444, "NA")</f>
        <v>2.4679040123802443E-3</v>
      </c>
      <c r="M254" s="9"/>
      <c r="N254" s="10">
        <f t="shared" si="65"/>
        <v>193.92</v>
      </c>
      <c r="O254" s="8">
        <f>IFERROR(N254/N444, "NA")</f>
        <v>4.9810308822887284E-2</v>
      </c>
      <c r="P254" s="9"/>
      <c r="Q254" s="7">
        <v>721.84</v>
      </c>
      <c r="R254" s="8">
        <f>IFERROR(Q254/Q444, "NA")</f>
        <v>6.7643277258683287E-4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-721.84</v>
      </c>
      <c r="X254" s="8">
        <f>IFERROR(W254/W444, "NA")</f>
        <v>1.4624970723314474E-2</v>
      </c>
      <c r="Y254" s="9"/>
      <c r="Z254" s="7">
        <v>848.29</v>
      </c>
      <c r="AA254" s="8">
        <f>IFERROR(Z254/Z444, "NA")</f>
        <v>8.4733505339482399E-4</v>
      </c>
      <c r="AB254" s="9"/>
      <c r="AC254" s="10">
        <f t="shared" si="67"/>
        <v>126.44999999999993</v>
      </c>
      <c r="AD254" s="8">
        <f>IFERROR(AC254/AC444, "NA")</f>
        <v>1.9158951571261295E-3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294</v>
      </c>
      <c r="AA257" s="8">
        <f>IFERROR(Z257/Z444, "NA")</f>
        <v>2.9366903499755773E-4</v>
      </c>
      <c r="AB257" s="9"/>
      <c r="AC257" s="10">
        <f t="shared" si="67"/>
        <v>294</v>
      </c>
      <c r="AD257" s="8">
        <f>IFERROR(AC257/AC444, "NA")</f>
        <v>4.4545130580868515E-3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2673.02</v>
      </c>
      <c r="R258" s="8">
        <f>IFERROR(Q258/Q444, "NA")</f>
        <v>2.5048741130722263E-3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-2673.02</v>
      </c>
      <c r="X258" s="8">
        <f>IFERROR(W258/W444, "NA")</f>
        <v>5.415720830493468E-2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-2673.02</v>
      </c>
      <c r="AD258" s="8">
        <f>IFERROR(AC258/AC444, "NA")</f>
        <v>-4.0500008484786791E-2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1159.3699999999999</v>
      </c>
      <c r="C260" s="8">
        <f>IFERROR(B260/B444, "NA")</f>
        <v>1.4058086840579666E-2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-1159.3699999999999</v>
      </c>
      <c r="I260" s="8">
        <f>IFERROR(H260/H444, "NA")</f>
        <v>0.30682365519687116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-1159.3699999999999</v>
      </c>
      <c r="O260" s="8">
        <f>IFERROR(N260/N444, "NA")</f>
        <v>-0.29779588356018372</v>
      </c>
      <c r="P260" s="9"/>
      <c r="Q260" s="7">
        <v>4297.9799999999996</v>
      </c>
      <c r="R260" s="8">
        <f>IFERROR(Q260/Q444, "NA")</f>
        <v>4.0276162694264043E-3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-4297.9799999999996</v>
      </c>
      <c r="X260" s="8">
        <f>IFERROR(W260/W444, "NA")</f>
        <v>8.7080006191664533E-2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-4297.9799999999996</v>
      </c>
      <c r="AD260" s="8">
        <f>IFERROR(AC260/AC444, "NA")</f>
        <v>-6.5120435487741921E-2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6835.0000000000009</v>
      </c>
      <c r="C262" s="15">
        <f>IFERROR(B262/B444, "NA")</f>
        <v>8.2878652678059675E-2</v>
      </c>
      <c r="D262" s="2"/>
      <c r="E262" s="14">
        <f>IFERROR(E240+E241+E242+E243+E244+E245+E246+E247+E248+E249+E250+E251+E252+E253+E254+E255+E256+E257+E258+E259+E260+E261, "NA")</f>
        <v>4317.26</v>
      </c>
      <c r="F262" s="15">
        <f>IFERROR(E262/E444, "NA")</f>
        <v>5.0056006712689449E-2</v>
      </c>
      <c r="G262" s="2"/>
      <c r="H262" s="14">
        <f t="shared" si="64"/>
        <v>-2517.7400000000007</v>
      </c>
      <c r="I262" s="15">
        <f>IFERROR(H262/H444, "NA")</f>
        <v>0.66631203984523546</v>
      </c>
      <c r="J262" s="2"/>
      <c r="K262" s="14">
        <f>IFERROR(K240+K241+K242+K243+K244+K245+K246+K247+K248+K249+K250+K251+K252+K253+K254+K255+K256+K257+K258+K259+K260+K261, "NA")</f>
        <v>4685.6000000000004</v>
      </c>
      <c r="L262" s="15">
        <f>IFERROR(K262/K444, "NA")</f>
        <v>5.9630832510359291E-2</v>
      </c>
      <c r="M262" s="2"/>
      <c r="N262" s="14">
        <f t="shared" si="65"/>
        <v>-2149.4000000000005</v>
      </c>
      <c r="O262" s="15">
        <f>IFERROR(N262/N444, "NA")</f>
        <v>-0.55209507933123947</v>
      </c>
      <c r="P262" s="2"/>
      <c r="Q262" s="14">
        <f>IFERROR(Q240+Q241+Q242+Q243+Q244+Q245+Q246+Q247+Q248+Q249+Q250+Q251+Q252+Q253+Q254+Q255+Q256+Q257+Q258+Q259+Q260+Q261, "NA")</f>
        <v>59777.41</v>
      </c>
      <c r="R262" s="15">
        <f>IFERROR(Q262/Q444, "NA")</f>
        <v>5.601712177817781E-2</v>
      </c>
      <c r="S262" s="2"/>
      <c r="T262" s="14">
        <f>IFERROR(T240+T241+T242+T243+T244+T245+T246+T247+T248+T249+T250+T251+T252+T253+T254+T255+T256+T257+T258+T259+T260+T261, "NA")</f>
        <v>56024.83</v>
      </c>
      <c r="U262" s="15">
        <f>IFERROR(T262/T444, "NA")</f>
        <v>5.0179690860997085E-2</v>
      </c>
      <c r="V262" s="2"/>
      <c r="W262" s="14">
        <f t="shared" si="66"/>
        <v>-3752.5800000000017</v>
      </c>
      <c r="X262" s="15">
        <f>IFERROR(W262/W444, "NA")</f>
        <v>7.6029830207380369E-2</v>
      </c>
      <c r="Y262" s="2"/>
      <c r="Z262" s="14">
        <f>IFERROR(Z240+Z241+Z242+Z243+Z244+Z245+Z246+Z247+Z248+Z249+Z250+Z251+Z252+Z253+Z254+Z255+Z256+Z257+Z258+Z259+Z260+Z261, "NA")</f>
        <v>46920.369999999995</v>
      </c>
      <c r="AA262" s="15">
        <f>IFERROR(Z262/Z444, "NA")</f>
        <v>4.686755027084475E-2</v>
      </c>
      <c r="AB262" s="2"/>
      <c r="AC262" s="14">
        <f t="shared" si="67"/>
        <v>-12857.040000000008</v>
      </c>
      <c r="AD262" s="15">
        <f>IFERROR(AC262/AC444, "NA")</f>
        <v>-0.19480221962022112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6835.0000000000009</v>
      </c>
      <c r="C263" s="15">
        <f>IFERROR(B263/B444, "NA")</f>
        <v>8.2878652678059675E-2</v>
      </c>
      <c r="D263" s="2"/>
      <c r="E263" s="14">
        <f>IFERROR(E238+E240+E241+E242+E243+E244+E245+E246+E247+E248+E249+E250+E251+E252+E253+E254+E255+E256+E257+E258+E259+E260+E261, "NA")</f>
        <v>4317.26</v>
      </c>
      <c r="F263" s="15">
        <f>IFERROR(E263/E444, "NA")</f>
        <v>5.0056006712689449E-2</v>
      </c>
      <c r="G263" s="2"/>
      <c r="H263" s="14">
        <f t="shared" si="64"/>
        <v>-2517.7400000000007</v>
      </c>
      <c r="I263" s="15">
        <f>IFERROR(H263/H444, "NA")</f>
        <v>0.66631203984523546</v>
      </c>
      <c r="J263" s="2"/>
      <c r="K263" s="14">
        <f>IFERROR(K238+K240+K241+K242+K243+K244+K245+K246+K247+K248+K249+K250+K251+K252+K253+K254+K255+K256+K257+K258+K259+K260+K261, "NA")</f>
        <v>4685.6000000000004</v>
      </c>
      <c r="L263" s="15">
        <f>IFERROR(K263/K444, "NA")</f>
        <v>5.9630832510359291E-2</v>
      </c>
      <c r="M263" s="2"/>
      <c r="N263" s="14">
        <f t="shared" si="65"/>
        <v>-2149.4000000000005</v>
      </c>
      <c r="O263" s="15">
        <f>IFERROR(N263/N444, "NA")</f>
        <v>-0.55209507933123947</v>
      </c>
      <c r="P263" s="2"/>
      <c r="Q263" s="14">
        <f>IFERROR(Q238+Q240+Q241+Q242+Q243+Q244+Q245+Q246+Q247+Q248+Q249+Q250+Q251+Q252+Q253+Q254+Q255+Q256+Q257+Q258+Q259+Q260+Q261, "NA")</f>
        <v>59777.41</v>
      </c>
      <c r="R263" s="15">
        <f>IFERROR(Q263/Q444, "NA")</f>
        <v>5.601712177817781E-2</v>
      </c>
      <c r="S263" s="2"/>
      <c r="T263" s="14">
        <f>IFERROR(T238+T240+T241+T242+T243+T244+T245+T246+T247+T248+T249+T250+T251+T252+T253+T254+T255+T256+T257+T258+T259+T260+T261, "NA")</f>
        <v>56024.83</v>
      </c>
      <c r="U263" s="15">
        <f>IFERROR(T263/T444, "NA")</f>
        <v>5.0179690860997085E-2</v>
      </c>
      <c r="V263" s="2"/>
      <c r="W263" s="14">
        <f t="shared" si="66"/>
        <v>-3752.5800000000017</v>
      </c>
      <c r="X263" s="15">
        <f>IFERROR(W263/W444, "NA")</f>
        <v>7.6029830207380369E-2</v>
      </c>
      <c r="Y263" s="2"/>
      <c r="Z263" s="14">
        <f>IFERROR(Z238+Z240+Z241+Z242+Z243+Z244+Z245+Z246+Z247+Z248+Z249+Z250+Z251+Z252+Z253+Z254+Z255+Z256+Z257+Z258+Z259+Z260+Z261, "NA")</f>
        <v>46920.369999999995</v>
      </c>
      <c r="AA263" s="15">
        <f>IFERROR(Z263/Z444, "NA")</f>
        <v>4.686755027084475E-2</v>
      </c>
      <c r="AB263" s="2"/>
      <c r="AC263" s="14">
        <f t="shared" si="67"/>
        <v>-12857.040000000008</v>
      </c>
      <c r="AD263" s="15">
        <f>IFERROR(AC263/AC444, "NA")</f>
        <v>-0.19480221962022112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2023.43</v>
      </c>
      <c r="C265" s="8">
        <f>IFERROR(B265/B444, "NA")</f>
        <v>2.4535355111684896E-2</v>
      </c>
      <c r="D265" s="9"/>
      <c r="E265" s="7">
        <v>2414.96</v>
      </c>
      <c r="F265" s="8">
        <f>IFERROR(E265/E444, "NA")</f>
        <v>2.7999993970915932E-2</v>
      </c>
      <c r="G265" s="9"/>
      <c r="H265" s="10">
        <f>IFERROR(-(B265-E265), "NA")</f>
        <v>391.53</v>
      </c>
      <c r="I265" s="8">
        <f>IFERROR(H265/H444, "NA")</f>
        <v>-0.10361719357860819</v>
      </c>
      <c r="J265" s="9"/>
      <c r="K265" s="7">
        <v>2120.89</v>
      </c>
      <c r="L265" s="8">
        <f>IFERROR(K265/K444, "NA")</f>
        <v>2.699130023111147E-2</v>
      </c>
      <c r="M265" s="9"/>
      <c r="N265" s="10">
        <f>IFERROR(-(B265-K265), "NA")</f>
        <v>97.459999999999809</v>
      </c>
      <c r="O265" s="8">
        <f>IFERROR(N265/N444, "NA")</f>
        <v>2.5033584456882144E-2</v>
      </c>
      <c r="P265" s="9"/>
      <c r="Q265" s="7">
        <v>27224.9</v>
      </c>
      <c r="R265" s="8">
        <f>IFERROR(Q265/Q444, "NA")</f>
        <v>2.5512322107945344E-2</v>
      </c>
      <c r="S265" s="9"/>
      <c r="T265" s="7">
        <v>31375.040000000001</v>
      </c>
      <c r="U265" s="8">
        <f>IFERROR(T265/T444, "NA")</f>
        <v>2.8101643645351854E-2</v>
      </c>
      <c r="V265" s="9"/>
      <c r="W265" s="10">
        <f>IFERROR(-(Q265-T265), "NA")</f>
        <v>4150.1399999999994</v>
      </c>
      <c r="X265" s="8">
        <f>IFERROR(W265/W444, "NA")</f>
        <v>-8.4084666958960871E-2</v>
      </c>
      <c r="Y265" s="9"/>
      <c r="Z265" s="7">
        <v>27349.14</v>
      </c>
      <c r="AA265" s="8">
        <f>IFERROR(Z265/Z444, "NA")</f>
        <v>2.7318352217051381E-2</v>
      </c>
      <c r="AB265" s="9"/>
      <c r="AC265" s="10">
        <f>IFERROR(-(Q265-Z265), "NA")</f>
        <v>124.23999999999796</v>
      </c>
      <c r="AD265" s="8">
        <f>IFERROR(AC265/AC444, "NA")</f>
        <v>1.8824105521656508E-3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441.97</v>
      </c>
      <c r="R266" s="8">
        <f>IFERROR(Q266/Q444, "NA")</f>
        <v>4.1416794926881655E-4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-441.97</v>
      </c>
      <c r="X266" s="8">
        <f>IFERROR(W266/W444, "NA")</f>
        <v>8.9546136409499304E-3</v>
      </c>
      <c r="Y266" s="9"/>
      <c r="Z266" s="7">
        <v>328.93</v>
      </c>
      <c r="AA266" s="8">
        <f>IFERROR(Z266/Z444, "NA")</f>
        <v>3.2855971320321998E-4</v>
      </c>
      <c r="AB266" s="9"/>
      <c r="AC266" s="10">
        <f>IFERROR(-(Q266-Z266), "NA")</f>
        <v>-113.04000000000002</v>
      </c>
      <c r="AD266" s="8">
        <f>IFERROR(AC266/AC444, "NA")</f>
        <v>-1.7127148166195163E-3</v>
      </c>
    </row>
    <row r="267" spans="1:30" ht="16.5" customHeight="1" x14ac:dyDescent="0.45">
      <c r="A267" s="19" t="s">
        <v>243</v>
      </c>
      <c r="B267" s="14">
        <f>IFERROR(B265+B266, "NA")</f>
        <v>2023.43</v>
      </c>
      <c r="C267" s="15">
        <f>IFERROR(B267/B444, "NA")</f>
        <v>2.4535355111684896E-2</v>
      </c>
      <c r="D267" s="2"/>
      <c r="E267" s="14">
        <f>IFERROR(E265+E266, "NA")</f>
        <v>2414.96</v>
      </c>
      <c r="F267" s="15">
        <f>IFERROR(E267/E444, "NA")</f>
        <v>2.7999993970915932E-2</v>
      </c>
      <c r="G267" s="2"/>
      <c r="H267" s="14">
        <f>IFERROR(-(B267-E267), "NA")</f>
        <v>391.53</v>
      </c>
      <c r="I267" s="15">
        <f>IFERROR(H267/H444, "NA")</f>
        <v>-0.10361719357860819</v>
      </c>
      <c r="J267" s="2"/>
      <c r="K267" s="14">
        <f>IFERROR(K265+K266, "NA")</f>
        <v>2120.89</v>
      </c>
      <c r="L267" s="15">
        <f>IFERROR(K267/K444, "NA")</f>
        <v>2.699130023111147E-2</v>
      </c>
      <c r="M267" s="2"/>
      <c r="N267" s="14">
        <f>IFERROR(-(B267-K267), "NA")</f>
        <v>97.459999999999809</v>
      </c>
      <c r="O267" s="15">
        <f>IFERROR(N267/N444, "NA")</f>
        <v>2.5033584456882144E-2</v>
      </c>
      <c r="P267" s="2"/>
      <c r="Q267" s="14">
        <f>IFERROR(Q265+Q266, "NA")</f>
        <v>27666.870000000003</v>
      </c>
      <c r="R267" s="15">
        <f>IFERROR(Q267/Q444, "NA")</f>
        <v>2.592649005721416E-2</v>
      </c>
      <c r="S267" s="2"/>
      <c r="T267" s="14">
        <f>IFERROR(T265+T266, "NA")</f>
        <v>31375.040000000001</v>
      </c>
      <c r="U267" s="15">
        <f>IFERROR(T267/T444, "NA")</f>
        <v>2.8101643645351854E-2</v>
      </c>
      <c r="V267" s="2"/>
      <c r="W267" s="14">
        <f>IFERROR(-(Q267-T267), "NA")</f>
        <v>3708.1699999999983</v>
      </c>
      <c r="X267" s="15">
        <f>IFERROR(W267/W444, "NA")</f>
        <v>-7.5130053318010925E-2</v>
      </c>
      <c r="Y267" s="2"/>
      <c r="Z267" s="14">
        <f>IFERROR(Z265+Z266, "NA")</f>
        <v>27678.07</v>
      </c>
      <c r="AA267" s="15">
        <f>IFERROR(Z267/Z444, "NA")</f>
        <v>2.7646911930254602E-2</v>
      </c>
      <c r="AB267" s="2"/>
      <c r="AC267" s="14">
        <f>IFERROR(-(Q267-Z267), "NA")</f>
        <v>11.19999999999709</v>
      </c>
      <c r="AD267" s="15">
        <f>IFERROR(AC267/AC444, "NA")</f>
        <v>1.6969573554612169E-4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267</v>
      </c>
      <c r="C270" s="8">
        <f>IFERROR(B270/B444, "NA")</f>
        <v>3.2375421016886509E-3</v>
      </c>
      <c r="D270" s="9"/>
      <c r="E270" s="7">
        <v>166.09</v>
      </c>
      <c r="F270" s="8">
        <f>IFERROR(E270/E444, "NA")</f>
        <v>1.9257126406356324E-3</v>
      </c>
      <c r="G270" s="9"/>
      <c r="H270" s="10">
        <f>IFERROR(-(B270-E270), "NA")</f>
        <v>-100.91</v>
      </c>
      <c r="I270" s="8">
        <f>IFERROR(H270/H444, "NA")</f>
        <v>2.6705516828895236E-2</v>
      </c>
      <c r="J270" s="9"/>
      <c r="K270" s="7">
        <v>216.67</v>
      </c>
      <c r="L270" s="8">
        <f>IFERROR(K270/K444, "NA")</f>
        <v>2.757429673898657E-3</v>
      </c>
      <c r="M270" s="9"/>
      <c r="N270" s="10">
        <f>IFERROR(-(B270-K270), "NA")</f>
        <v>-50.330000000000013</v>
      </c>
      <c r="O270" s="8">
        <f>IFERROR(N270/N444, "NA")</f>
        <v>-1.292776837384446E-2</v>
      </c>
      <c r="P270" s="9"/>
      <c r="Q270" s="7">
        <v>2779.66</v>
      </c>
      <c r="R270" s="8">
        <f>IFERROR(Q270/Q444, "NA")</f>
        <v>2.6048059412732954E-3</v>
      </c>
      <c r="S270" s="9"/>
      <c r="T270" s="7">
        <v>1854.93</v>
      </c>
      <c r="U270" s="8">
        <f>IFERROR(T270/T444, "NA")</f>
        <v>1.6614028809866861E-3</v>
      </c>
      <c r="V270" s="9"/>
      <c r="W270" s="10">
        <f>IFERROR(-(Q270-T270), "NA")</f>
        <v>-924.72999999999979</v>
      </c>
      <c r="X270" s="8">
        <f>IFERROR(W270/W444, "NA")</f>
        <v>1.8735660502286641E-2</v>
      </c>
      <c r="Y270" s="9"/>
      <c r="Z270" s="7">
        <v>2262.59</v>
      </c>
      <c r="AA270" s="8">
        <f>IFERROR(Z270/Z444, "NA")</f>
        <v>2.2600429316160689E-3</v>
      </c>
      <c r="AB270" s="9"/>
      <c r="AC270" s="10">
        <f>IFERROR(-(Q270-Z270), "NA")</f>
        <v>-517.06999999999971</v>
      </c>
      <c r="AD270" s="8">
        <f>IFERROR(AC270/AC444, "NA")</f>
        <v>-7.8343369623978462E-3</v>
      </c>
    </row>
    <row r="271" spans="1:30" ht="16.5" customHeight="1" x14ac:dyDescent="0.45">
      <c r="A271" s="6" t="s">
        <v>246</v>
      </c>
      <c r="B271" s="7">
        <v>1095.08</v>
      </c>
      <c r="C271" s="8">
        <f>IFERROR(B271/B444, "NA")</f>
        <v>1.3278530354746096E-2</v>
      </c>
      <c r="D271" s="9"/>
      <c r="E271" s="7">
        <v>1034.98</v>
      </c>
      <c r="F271" s="8">
        <f>IFERROR(E271/E444, "NA")</f>
        <v>1.1999964289271281E-2</v>
      </c>
      <c r="G271" s="9"/>
      <c r="H271" s="10">
        <f>IFERROR(-(B271-E271), "NA")</f>
        <v>-60.099999999999909</v>
      </c>
      <c r="I271" s="8">
        <f>IFERROR(H271/H444, "NA")</f>
        <v>1.5905277588114174E-2</v>
      </c>
      <c r="J271" s="9"/>
      <c r="K271" s="7">
        <v>1200</v>
      </c>
      <c r="L271" s="8">
        <f>IFERROR(K271/K444, "NA")</f>
        <v>1.5271683244927255E-2</v>
      </c>
      <c r="M271" s="9"/>
      <c r="N271" s="10">
        <f>IFERROR(-(B271-K271), "NA")</f>
        <v>104.92000000000007</v>
      </c>
      <c r="O271" s="8">
        <f>IFERROR(N271/N444, "NA")</f>
        <v>2.6949760734825377E-2</v>
      </c>
      <c r="P271" s="9"/>
      <c r="Q271" s="7">
        <v>14178.41</v>
      </c>
      <c r="R271" s="8">
        <f>IFERROR(Q271/Q444, "NA")</f>
        <v>1.3286519432523658E-2</v>
      </c>
      <c r="S271" s="9"/>
      <c r="T271" s="7">
        <v>13397.82</v>
      </c>
      <c r="U271" s="8">
        <f>IFERROR(T271/T444, "NA")</f>
        <v>1.2000009028341254E-2</v>
      </c>
      <c r="V271" s="9"/>
      <c r="W271" s="10">
        <f>IFERROR(-(Q271-T271), "NA")</f>
        <v>-780.59000000000015</v>
      </c>
      <c r="X271" s="8">
        <f>IFERROR(W271/W444, "NA")</f>
        <v>1.5815285793128735E-2</v>
      </c>
      <c r="Y271" s="9"/>
      <c r="Z271" s="7">
        <v>13261.42</v>
      </c>
      <c r="AA271" s="8">
        <f>IFERROR(Z271/Z444, "NA")</f>
        <v>1.3246491204412627E-2</v>
      </c>
      <c r="AB271" s="9"/>
      <c r="AC271" s="10">
        <f>IFERROR(-(Q271-Z271), "NA")</f>
        <v>-916.98999999999978</v>
      </c>
      <c r="AD271" s="8">
        <f>IFERROR(AC271/AC444, "NA")</f>
        <v>-1.3893686833792725E-2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1362.08</v>
      </c>
      <c r="C273" s="15">
        <f>IFERROR(B273/B444, "NA")</f>
        <v>1.6516072456434747E-2</v>
      </c>
      <c r="D273" s="2"/>
      <c r="E273" s="14">
        <f>IFERROR(E269+E270+E271+E272, "NA")</f>
        <v>1201.07</v>
      </c>
      <c r="F273" s="15">
        <f>IFERROR(E273/E444, "NA")</f>
        <v>1.3925676929906912E-2</v>
      </c>
      <c r="G273" s="2"/>
      <c r="H273" s="14">
        <f>IFERROR(-(B273-E273), "NA")</f>
        <v>-161.01</v>
      </c>
      <c r="I273" s="15">
        <f>IFERROR(H273/H444, "NA")</f>
        <v>4.2610794417009434E-2</v>
      </c>
      <c r="J273" s="2"/>
      <c r="K273" s="14">
        <f>IFERROR(K269+K270+K271+K272, "NA")</f>
        <v>1416.67</v>
      </c>
      <c r="L273" s="15">
        <f>IFERROR(K273/K444, "NA")</f>
        <v>1.8029112918825915E-2</v>
      </c>
      <c r="M273" s="2"/>
      <c r="N273" s="14">
        <f>IFERROR(-(B273-K273), "NA")</f>
        <v>54.590000000000146</v>
      </c>
      <c r="O273" s="15">
        <f>IFERROR(N273/N444, "NA")</f>
        <v>1.4021992360980942E-2</v>
      </c>
      <c r="P273" s="2"/>
      <c r="Q273" s="14">
        <f>IFERROR(Q269+Q270+Q271+Q272, "NA")</f>
        <v>16958.07</v>
      </c>
      <c r="R273" s="15">
        <f>IFERROR(Q273/Q444, "NA")</f>
        <v>1.5891325373796953E-2</v>
      </c>
      <c r="S273" s="2"/>
      <c r="T273" s="14">
        <f>IFERROR(T269+T270+T271+T272, "NA")</f>
        <v>15252.75</v>
      </c>
      <c r="U273" s="15">
        <f>IFERROR(T273/T444, "NA")</f>
        <v>1.3661411909327939E-2</v>
      </c>
      <c r="V273" s="2"/>
      <c r="W273" s="14">
        <f>IFERROR(-(Q273-T273), "NA")</f>
        <v>-1705.3199999999997</v>
      </c>
      <c r="X273" s="15">
        <f>IFERROR(W273/W444, "NA")</f>
        <v>3.4550946295415372E-2</v>
      </c>
      <c r="Y273" s="2"/>
      <c r="Z273" s="14">
        <f>IFERROR(Z269+Z270+Z271+Z272, "NA")</f>
        <v>15524.01</v>
      </c>
      <c r="AA273" s="15">
        <f>IFERROR(Z273/Z444, "NA")</f>
        <v>1.5506534136028696E-2</v>
      </c>
      <c r="AB273" s="2"/>
      <c r="AC273" s="14">
        <f>IFERROR(-(Q273-Z273), "NA")</f>
        <v>-1434.0599999999995</v>
      </c>
      <c r="AD273" s="15">
        <f>IFERROR(AC273/AC444, "NA")</f>
        <v>-2.1728023796190571E-2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1.1768283655250511E-2</v>
      </c>
      <c r="D287" s="9"/>
      <c r="E287" s="7">
        <v>1350</v>
      </c>
      <c r="F287" s="8">
        <f>IFERROR(E287/E444, "NA")</f>
        <v>1.5652429796243626E-2</v>
      </c>
      <c r="G287" s="9"/>
      <c r="H287" s="10">
        <f t="shared" si="72"/>
        <v>379.47</v>
      </c>
      <c r="I287" s="8">
        <f>IFERROR(H287/H444, "NA")</f>
        <v>-0.10042555218571873</v>
      </c>
      <c r="J287" s="9"/>
      <c r="K287" s="7">
        <v>970.53</v>
      </c>
      <c r="L287" s="8">
        <f>IFERROR(K287/K444, "NA")</f>
        <v>1.2351355616416041E-2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11646.36</v>
      </c>
      <c r="R287" s="8">
        <f>IFERROR(Q287/Q444, "NA")</f>
        <v>1.0913747624604326E-2</v>
      </c>
      <c r="S287" s="9"/>
      <c r="T287" s="7">
        <v>16200</v>
      </c>
      <c r="U287" s="8">
        <f>IFERROR(T287/T444, "NA")</f>
        <v>1.4509834156536535E-2</v>
      </c>
      <c r="V287" s="9"/>
      <c r="W287" s="10">
        <f t="shared" si="74"/>
        <v>4553.6399999999994</v>
      </c>
      <c r="X287" s="8">
        <f>IFERROR(W287/W444, "NA")</f>
        <v>-9.2259852161855407E-2</v>
      </c>
      <c r="Y287" s="9"/>
      <c r="Z287" s="7">
        <v>11646.36</v>
      </c>
      <c r="AA287" s="8">
        <f>IFERROR(Z287/Z444, "NA")</f>
        <v>1.1633249328007337E-2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185.81</v>
      </c>
      <c r="C288" s="8">
        <f>IFERROR(B288/B444, "NA")</f>
        <v>2.2530625390066224E-3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-185.81</v>
      </c>
      <c r="I288" s="8">
        <f>IFERROR(H288/H444, "NA")</f>
        <v>4.9174037082321119E-2</v>
      </c>
      <c r="J288" s="9"/>
      <c r="K288" s="7">
        <v>165.96</v>
      </c>
      <c r="L288" s="8">
        <f>IFERROR(K288/K444, "NA")</f>
        <v>2.1120737927734397E-3</v>
      </c>
      <c r="M288" s="9"/>
      <c r="N288" s="10">
        <f t="shared" si="73"/>
        <v>-19.849999999999994</v>
      </c>
      <c r="O288" s="8">
        <f>IFERROR(N288/N444, "NA")</f>
        <v>-5.0986728039104385E-3</v>
      </c>
      <c r="P288" s="9"/>
      <c r="Q288" s="7">
        <v>3158.73</v>
      </c>
      <c r="R288" s="8">
        <f>IFERROR(Q288/Q444, "NA")</f>
        <v>2.960030604778353E-3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-3158.73</v>
      </c>
      <c r="X288" s="8">
        <f>IFERROR(W288/W444, "NA")</f>
        <v>6.3998024178287607E-2</v>
      </c>
      <c r="Y288" s="9"/>
      <c r="Z288" s="7">
        <v>1530.79</v>
      </c>
      <c r="AA288" s="8">
        <f>IFERROR(Z288/Z444, "NA")</f>
        <v>1.5290667417820116E-3</v>
      </c>
      <c r="AB288" s="9"/>
      <c r="AC288" s="10">
        <f t="shared" si="75"/>
        <v>-1627.94</v>
      </c>
      <c r="AD288" s="8">
        <f>IFERROR(AC288/AC444, "NA")</f>
        <v>-2.4665578189734385E-2</v>
      </c>
    </row>
    <row r="289" spans="1:30" ht="16.5" customHeight="1" x14ac:dyDescent="0.45">
      <c r="A289" s="6" t="s">
        <v>262</v>
      </c>
      <c r="B289" s="7">
        <v>223.61</v>
      </c>
      <c r="C289" s="8">
        <f>IFERROR(B289/B444, "NA")</f>
        <v>2.711411196099623E-3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-223.61</v>
      </c>
      <c r="I289" s="8">
        <f>IFERROR(H289/H444, "NA")</f>
        <v>5.917768920928812E-2</v>
      </c>
      <c r="J289" s="9"/>
      <c r="K289" s="7">
        <v>208.25</v>
      </c>
      <c r="L289" s="8">
        <f>IFERROR(K289/K444, "NA")</f>
        <v>2.650273363130084E-3</v>
      </c>
      <c r="M289" s="9"/>
      <c r="N289" s="10">
        <f t="shared" si="73"/>
        <v>-15.360000000000014</v>
      </c>
      <c r="O289" s="8">
        <f>IFERROR(N289/N444, "NA")</f>
        <v>-3.9453709958722633E-3</v>
      </c>
      <c r="P289" s="9"/>
      <c r="Q289" s="7">
        <v>2773.65</v>
      </c>
      <c r="R289" s="8">
        <f>IFERROR(Q289/Q444, "NA")</f>
        <v>2.5991739993426093E-3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-2773.65</v>
      </c>
      <c r="X289" s="8">
        <f>IFERROR(W289/W444, "NA")</f>
        <v>5.6196040738558668E-2</v>
      </c>
      <c r="Y289" s="9"/>
      <c r="Z289" s="7">
        <v>3108.95</v>
      </c>
      <c r="AA289" s="8">
        <f>IFERROR(Z289/Z444, "NA")</f>
        <v>3.1054501576723032E-3</v>
      </c>
      <c r="AB289" s="9"/>
      <c r="AC289" s="10">
        <f t="shared" si="75"/>
        <v>335.29999999999973</v>
      </c>
      <c r="AD289" s="8">
        <f>IFERROR(AC289/AC444, "NA")</f>
        <v>5.0802660829133333E-3</v>
      </c>
    </row>
    <row r="290" spans="1:30" ht="16.5" customHeight="1" x14ac:dyDescent="0.45">
      <c r="A290" s="6" t="s">
        <v>263</v>
      </c>
      <c r="B290" s="7">
        <v>-1254.8</v>
      </c>
      <c r="C290" s="8">
        <f>IFERROR(B290/B444, "NA")</f>
        <v>-1.5215235315351757E-2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1254.8</v>
      </c>
      <c r="I290" s="8">
        <f>IFERROR(H290/H444, "NA")</f>
        <v>-0.33207890711423788</v>
      </c>
      <c r="J290" s="9"/>
      <c r="K290" s="7">
        <v>276.23</v>
      </c>
      <c r="L290" s="8">
        <f>IFERROR(K290/K444, "NA")</f>
        <v>3.5154142189552135E-3</v>
      </c>
      <c r="M290" s="9"/>
      <c r="N290" s="10">
        <f t="shared" si="73"/>
        <v>1531.03</v>
      </c>
      <c r="O290" s="8">
        <f>IFERROR(N290/N444, "NA")</f>
        <v>0.3932605049355668</v>
      </c>
      <c r="P290" s="9"/>
      <c r="Q290" s="7">
        <v>4010.43</v>
      </c>
      <c r="R290" s="8">
        <f>IFERROR(Q290/Q444, "NA")</f>
        <v>3.7581545552551978E-3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-4010.43</v>
      </c>
      <c r="X290" s="8">
        <f>IFERROR(W290/W444, "NA")</f>
        <v>8.125404707123747E-2</v>
      </c>
      <c r="Y290" s="9"/>
      <c r="Z290" s="7">
        <v>9687.18</v>
      </c>
      <c r="AA290" s="8">
        <f>IFERROR(Z290/Z444, "NA")</f>
        <v>9.6762748382572851E-3</v>
      </c>
      <c r="AB290" s="9"/>
      <c r="AC290" s="10">
        <f t="shared" si="75"/>
        <v>5676.75</v>
      </c>
      <c r="AD290" s="8">
        <f>IFERROR(AC290/AC444, "NA")</f>
        <v>8.6010738103722909E-2</v>
      </c>
    </row>
    <row r="291" spans="1:30" ht="16.5" customHeight="1" x14ac:dyDescent="0.45">
      <c r="A291" s="6" t="s">
        <v>264</v>
      </c>
      <c r="B291" s="7">
        <v>1218.23</v>
      </c>
      <c r="C291" s="8">
        <f>IFERROR(B291/B444, "NA")</f>
        <v>1.4771801178053054E-2</v>
      </c>
      <c r="D291" s="9"/>
      <c r="E291" s="7">
        <v>1293.73</v>
      </c>
      <c r="F291" s="8">
        <f>IFERROR(E291/E444, "NA")</f>
        <v>1.5000013333551309E-2</v>
      </c>
      <c r="G291" s="9"/>
      <c r="H291" s="10">
        <f t="shared" si="72"/>
        <v>75.5</v>
      </c>
      <c r="I291" s="8">
        <f>IFERROR(H291/H444, "NA")</f>
        <v>-1.9980839565767423E-2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-1218.23</v>
      </c>
      <c r="O291" s="8">
        <f>IFERROR(N291/N444, "NA")</f>
        <v>-0.31291466850920985</v>
      </c>
      <c r="P291" s="9"/>
      <c r="Q291" s="7">
        <v>6184.28</v>
      </c>
      <c r="R291" s="8">
        <f>IFERROR(Q291/Q444, "NA")</f>
        <v>5.7952588757249511E-3</v>
      </c>
      <c r="S291" s="9"/>
      <c r="T291" s="7">
        <v>16747.25</v>
      </c>
      <c r="U291" s="8">
        <f>IFERROR(T291/T444, "NA")</f>
        <v>1.499998889370719E-2</v>
      </c>
      <c r="V291" s="9"/>
      <c r="W291" s="10">
        <f t="shared" si="74"/>
        <v>10562.970000000001</v>
      </c>
      <c r="X291" s="8">
        <f>IFERROR(W291/W444, "NA")</f>
        <v>-0.2140129765616329</v>
      </c>
      <c r="Y291" s="9"/>
      <c r="Z291" s="7">
        <v>12241.52</v>
      </c>
      <c r="AA291" s="8">
        <f>IFERROR(Z291/Z444, "NA")</f>
        <v>1.2227739337766337E-2</v>
      </c>
      <c r="AB291" s="9"/>
      <c r="AC291" s="10">
        <f t="shared" si="75"/>
        <v>6057.2400000000007</v>
      </c>
      <c r="AD291" s="8">
        <f>IFERROR(AC291/AC444, "NA")</f>
        <v>9.1775696176755114E-2</v>
      </c>
    </row>
    <row r="292" spans="1:30" ht="16.5" customHeight="1" x14ac:dyDescent="0.45">
      <c r="A292" s="6" t="s">
        <v>265</v>
      </c>
      <c r="B292" s="7">
        <v>406.69</v>
      </c>
      <c r="C292" s="8">
        <f>IFERROR(B292/B444, "NA")</f>
        <v>4.9313707765384178E-3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-406.69</v>
      </c>
      <c r="I292" s="8">
        <f>IFERROR(H292/H444, "NA")</f>
        <v>0.10762924030466162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-406.69</v>
      </c>
      <c r="O292" s="8">
        <f>IFERROR(N292/N444, "NA")</f>
        <v>-0.10446243035880791</v>
      </c>
      <c r="P292" s="9"/>
      <c r="Q292" s="7">
        <v>3300.5</v>
      </c>
      <c r="R292" s="8">
        <f>IFERROR(Q292/Q444, "NA")</f>
        <v>3.0928825860617889E-3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-3300.5</v>
      </c>
      <c r="X292" s="8">
        <f>IFERROR(W292/W444, "NA")</f>
        <v>6.6870381071012161E-2</v>
      </c>
      <c r="Y292" s="9"/>
      <c r="Z292" s="7">
        <v>3594.02</v>
      </c>
      <c r="AA292" s="8">
        <f>IFERROR(Z292/Z444, "NA")</f>
        <v>3.5899740991902126E-3</v>
      </c>
      <c r="AB292" s="9"/>
      <c r="AC292" s="10">
        <f t="shared" si="75"/>
        <v>293.52</v>
      </c>
      <c r="AD292" s="8">
        <f>IFERROR(AC292/AC444, "NA")</f>
        <v>4.447240383706301E-3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2724.85</v>
      </c>
      <c r="R293" s="8">
        <f>IFERROR(Q293/Q444, "NA")</f>
        <v>2.5534437553796289E-3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-2724.85</v>
      </c>
      <c r="X293" s="8">
        <f>IFERROR(W293/W444, "NA")</f>
        <v>5.5207319455036347E-2</v>
      </c>
      <c r="Y293" s="9"/>
      <c r="Z293" s="7">
        <v>343.94</v>
      </c>
      <c r="AA293" s="8">
        <f>IFERROR(Z293/Z444, "NA")</f>
        <v>3.4355281597639459E-4</v>
      </c>
      <c r="AB293" s="9"/>
      <c r="AC293" s="10">
        <f t="shared" si="75"/>
        <v>-2380.91</v>
      </c>
      <c r="AD293" s="8">
        <f>IFERROR(AC293/AC444, "NA")</f>
        <v>-3.607413158207335E-2</v>
      </c>
    </row>
    <row r="294" spans="1:30" ht="16.5" customHeight="1" x14ac:dyDescent="0.45">
      <c r="A294" s="6" t="s">
        <v>267</v>
      </c>
      <c r="B294" s="7">
        <v>-91.66</v>
      </c>
      <c r="C294" s="8">
        <f>IFERROR(B294/B444, "NA")</f>
        <v>-1.1114348653212798E-3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91.66</v>
      </c>
      <c r="I294" s="8">
        <f>IFERROR(H294/H444, "NA")</f>
        <v>-2.4257533173486646E-2</v>
      </c>
      <c r="J294" s="9"/>
      <c r="K294" s="7">
        <v>408.35</v>
      </c>
      <c r="L294" s="8">
        <f>IFERROR(K294/K444, "NA")</f>
        <v>5.196826544221704E-3</v>
      </c>
      <c r="M294" s="9"/>
      <c r="N294" s="10">
        <f t="shared" si="73"/>
        <v>500.01</v>
      </c>
      <c r="O294" s="8">
        <f>IFERROR(N294/N444, "NA")</f>
        <v>0.12843261403945891</v>
      </c>
      <c r="P294" s="9"/>
      <c r="Q294" s="7">
        <v>3952.9</v>
      </c>
      <c r="R294" s="8">
        <f>IFERROR(Q294/Q444, "NA")</f>
        <v>3.7042434705176932E-3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-3952.9</v>
      </c>
      <c r="X294" s="8">
        <f>IFERROR(W294/W444, "NA")</f>
        <v>8.0088450033511283E-2</v>
      </c>
      <c r="Y294" s="9"/>
      <c r="Z294" s="7">
        <v>2466.4499999999998</v>
      </c>
      <c r="AA294" s="8">
        <f>IFERROR(Z294/Z444, "NA")</f>
        <v>2.4636734400330824E-3</v>
      </c>
      <c r="AB294" s="9"/>
      <c r="AC294" s="10">
        <f t="shared" si="75"/>
        <v>-1486.4500000000003</v>
      </c>
      <c r="AD294" s="8">
        <f>IFERROR(AC294/AC444, "NA")</f>
        <v>-2.2521805902017692E-2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1658.4099999999999</v>
      </c>
      <c r="C295" s="15">
        <f>IFERROR(B295/B444, "NA")</f>
        <v>2.0109259164275188E-2</v>
      </c>
      <c r="D295" s="2"/>
      <c r="E295" s="14">
        <f>IFERROR(E286+E287+E288+E289+E290+E291+E292+E293+E294, "NA")</f>
        <v>2643.73</v>
      </c>
      <c r="F295" s="15">
        <f>IFERROR(E295/E444, "NA")</f>
        <v>3.0652443129794933E-2</v>
      </c>
      <c r="G295" s="2"/>
      <c r="H295" s="14">
        <f t="shared" si="72"/>
        <v>985.32000000000016</v>
      </c>
      <c r="I295" s="15">
        <f>IFERROR(H295/H444, "NA")</f>
        <v>-0.26076186544293983</v>
      </c>
      <c r="J295" s="2"/>
      <c r="K295" s="14">
        <f>IFERROR(K286+K287+K288+K289+K290+K291+K292+K293+K294, "NA")</f>
        <v>2029.3200000000002</v>
      </c>
      <c r="L295" s="15">
        <f>IFERROR(K295/K444, "NA")</f>
        <v>2.5825943535496484E-2</v>
      </c>
      <c r="M295" s="2"/>
      <c r="N295" s="14">
        <f t="shared" si="73"/>
        <v>370.91000000000031</v>
      </c>
      <c r="O295" s="15">
        <f>IFERROR(N295/N444, "NA")</f>
        <v>9.5271976307225337E-2</v>
      </c>
      <c r="P295" s="2"/>
      <c r="Q295" s="14">
        <f>IFERROR(Q286+Q287+Q288+Q289+Q290+Q291+Q292+Q293+Q294, "NA")</f>
        <v>37751.700000000004</v>
      </c>
      <c r="R295" s="15">
        <f>IFERROR(Q295/Q444, "NA")</f>
        <v>3.5376935471664553E-2</v>
      </c>
      <c r="S295" s="2"/>
      <c r="T295" s="14">
        <f>IFERROR(T286+T287+T288+T289+T290+T291+T292+T293+T294, "NA")</f>
        <v>32947.25</v>
      </c>
      <c r="U295" s="15">
        <f>IFERROR(T295/T444, "NA")</f>
        <v>2.9509823050243723E-2</v>
      </c>
      <c r="V295" s="2"/>
      <c r="W295" s="14">
        <f t="shared" si="74"/>
        <v>-4804.4500000000044</v>
      </c>
      <c r="X295" s="15">
        <f>IFERROR(W295/W444, "NA")</f>
        <v>9.7341433824155332E-2</v>
      </c>
      <c r="Y295" s="2"/>
      <c r="Z295" s="14">
        <f>IFERROR(Z286+Z287+Z288+Z289+Z290+Z291+Z292+Z293+Z294, "NA")</f>
        <v>44619.21</v>
      </c>
      <c r="AA295" s="15">
        <f>IFERROR(Z295/Z444, "NA")</f>
        <v>4.4568980758684963E-2</v>
      </c>
      <c r="AB295" s="2"/>
      <c r="AC295" s="14">
        <f t="shared" si="75"/>
        <v>6867.5099999999948</v>
      </c>
      <c r="AD295" s="15">
        <f>IFERROR(AC295/AC444, "NA")</f>
        <v>0.10405242507327214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1121.23</v>
      </c>
      <c r="F297" s="8">
        <f>IFERROR(E297/E444, "NA")</f>
        <v>1.2999980637364622E-2</v>
      </c>
      <c r="G297" s="9"/>
      <c r="H297" s="10">
        <f t="shared" ref="H297:H325" si="76">IFERROR(-(B297-E297), "NA")</f>
        <v>1121.23</v>
      </c>
      <c r="I297" s="8">
        <f>IFERROR(H297/H444, "NA")</f>
        <v>-0.29673002313013785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14514.3</v>
      </c>
      <c r="U297" s="8">
        <f>IFERROR(T297/T444, "NA")</f>
        <v>1.3000005302359148E-2</v>
      </c>
      <c r="V297" s="9"/>
      <c r="W297" s="10">
        <f t="shared" ref="W297:W325" si="78">IFERROR(-(Q297-T297), "NA")</f>
        <v>14514.3</v>
      </c>
      <c r="X297" s="8">
        <f>IFERROR(W297/W444, "NA")</f>
        <v>-0.29406961732434228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488.76</v>
      </c>
      <c r="C299" s="8">
        <f>IFERROR(B299/B444, "NA")</f>
        <v>5.9265208899675842E-3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-488.76</v>
      </c>
      <c r="I299" s="8">
        <f>IFERROR(H299/H444, "NA")</f>
        <v>0.12934880988297331</v>
      </c>
      <c r="J299" s="9"/>
      <c r="K299" s="7">
        <v>516.35</v>
      </c>
      <c r="L299" s="8">
        <f>IFERROR(K299/K444, "NA")</f>
        <v>6.5712780362651574E-3</v>
      </c>
      <c r="M299" s="9"/>
      <c r="N299" s="10">
        <f t="shared" si="77"/>
        <v>27.590000000000032</v>
      </c>
      <c r="O299" s="8">
        <f>IFERROR(N299/N444, "NA")</f>
        <v>7.0867699072992042E-3</v>
      </c>
      <c r="P299" s="9"/>
      <c r="Q299" s="7">
        <v>7483.34</v>
      </c>
      <c r="R299" s="8">
        <f>IFERROR(Q299/Q444, "NA")</f>
        <v>7.0126017184001296E-3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-7483.34</v>
      </c>
      <c r="X299" s="8">
        <f>IFERROR(W299/W444, "NA")</f>
        <v>0.15161757233266115</v>
      </c>
      <c r="Y299" s="9"/>
      <c r="Z299" s="7">
        <v>6101.31</v>
      </c>
      <c r="AA299" s="8">
        <f>IFERROR(Z299/Z444, "NA")</f>
        <v>6.0944415643569699E-3</v>
      </c>
      <c r="AB299" s="9"/>
      <c r="AC299" s="10">
        <f t="shared" si="79"/>
        <v>-1382.0299999999997</v>
      </c>
      <c r="AD299" s="8">
        <f>IFERROR(AC299/AC444, "NA")</f>
        <v>-2.0939696196148879E-2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58.38</v>
      </c>
      <c r="L305" s="8">
        <f>IFERROR(K305/K444, "NA")</f>
        <v>7.4296738986571098E-4</v>
      </c>
      <c r="M305" s="9"/>
      <c r="N305" s="10">
        <f t="shared" si="77"/>
        <v>58.38</v>
      </c>
      <c r="O305" s="8">
        <f>IFERROR(N305/N444, "NA")</f>
        <v>1.4995492105405114E-2</v>
      </c>
      <c r="P305" s="9"/>
      <c r="Q305" s="7">
        <v>317.35000000000002</v>
      </c>
      <c r="R305" s="8">
        <f>IFERROR(Q305/Q444, "NA")</f>
        <v>2.9738715003384606E-4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-317.35000000000002</v>
      </c>
      <c r="X305" s="8">
        <f>IFERROR(W305/W444, "NA")</f>
        <v>6.4297274452009426E-3</v>
      </c>
      <c r="Y305" s="9"/>
      <c r="Z305" s="7">
        <v>684.57</v>
      </c>
      <c r="AA305" s="8">
        <f>IFERROR(Z305/Z444, "NA")</f>
        <v>6.83799358123395E-4</v>
      </c>
      <c r="AB305" s="9"/>
      <c r="AC305" s="10">
        <f t="shared" si="79"/>
        <v>367.22</v>
      </c>
      <c r="AD305" s="8">
        <f>IFERROR(AC305/AC444, "NA")</f>
        <v>5.5638989292199105E-3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947.63</v>
      </c>
      <c r="R310" s="8">
        <f>IFERROR(Q310/Q444, "NA")</f>
        <v>8.8801948948030089E-4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-947.63</v>
      </c>
      <c r="X310" s="8">
        <f>IFERROR(W310/W444, "NA")</f>
        <v>1.9199630120988714E-2</v>
      </c>
      <c r="Y310" s="9"/>
      <c r="Z310" s="7">
        <v>83.34</v>
      </c>
      <c r="AA310" s="8">
        <f>IFERROR(Z310/Z444, "NA")</f>
        <v>8.3246181553389329E-5</v>
      </c>
      <c r="AB310" s="9"/>
      <c r="AC310" s="10">
        <f t="shared" si="79"/>
        <v>-864.29</v>
      </c>
      <c r="AD310" s="8">
        <f>IFERROR(AC310/AC444, "NA")</f>
        <v>-1.309520779242818E-2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2.5048553711689629E-5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5.4156803091293896E-4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-4.0499705456687601E-4</v>
      </c>
    </row>
    <row r="312" spans="1:30" ht="16.5" customHeight="1" x14ac:dyDescent="0.45">
      <c r="A312" s="6" t="s">
        <v>284</v>
      </c>
      <c r="B312" s="7">
        <v>168.41</v>
      </c>
      <c r="C312" s="8">
        <f>IFERROR(B312/B444, "NA")</f>
        <v>2.0420766492336541E-3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-168.41</v>
      </c>
      <c r="I312" s="8">
        <f>IFERROR(H312/H444, "NA")</f>
        <v>4.4569181341336306E-2</v>
      </c>
      <c r="J312" s="9"/>
      <c r="K312" s="7">
        <v>32.700000000000003</v>
      </c>
      <c r="L312" s="8">
        <f>IFERROR(K312/K444, "NA")</f>
        <v>4.1615336842426776E-4</v>
      </c>
      <c r="M312" s="9"/>
      <c r="N312" s="10">
        <f t="shared" si="77"/>
        <v>-135.70999999999998</v>
      </c>
      <c r="O312" s="8">
        <f>IFERROR(N312/N444, "NA")</f>
        <v>-3.485848293293127E-2</v>
      </c>
      <c r="P312" s="9"/>
      <c r="Q312" s="7">
        <v>4549.63</v>
      </c>
      <c r="R312" s="8">
        <f>IFERROR(Q312/Q444, "NA")</f>
        <v>4.2634362672395992E-3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-4549.63</v>
      </c>
      <c r="X312" s="8">
        <f>IFERROR(W312/W444, "NA")</f>
        <v>9.2178606826877452E-2</v>
      </c>
      <c r="Y312" s="9"/>
      <c r="Z312" s="7">
        <v>486.2</v>
      </c>
      <c r="AA312" s="8">
        <f>IFERROR(Z312/Z444, "NA")</f>
        <v>4.8565266944153936E-4</v>
      </c>
      <c r="AB312" s="9"/>
      <c r="AC312" s="10">
        <f t="shared" si="79"/>
        <v>-4063.4300000000003</v>
      </c>
      <c r="AD312" s="8">
        <f>IFERROR(AC312/AC444, "NA")</f>
        <v>-6.156667345449611E-2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300.10000000000002</v>
      </c>
      <c r="R313" s="8">
        <f>IFERROR(Q313/Q444, "NA")</f>
        <v>2.8122225846906318E-4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-300.10000000000002</v>
      </c>
      <c r="X313" s="8">
        <f>IFERROR(W313/W444, "NA")</f>
        <v>6.0802306800214366E-3</v>
      </c>
      <c r="Y313" s="9"/>
      <c r="Z313" s="7">
        <v>22.5</v>
      </c>
      <c r="AA313" s="8">
        <f>IFERROR(Z313/Z444, "NA")</f>
        <v>2.2474671045731462E-5</v>
      </c>
      <c r="AB313" s="9"/>
      <c r="AC313" s="10">
        <f t="shared" si="79"/>
        <v>-277.60000000000002</v>
      </c>
      <c r="AD313" s="8">
        <f>IFERROR(AC313/AC444, "NA")</f>
        <v>-4.2060300167513949E-3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1.7100727480129894E-5</v>
      </c>
      <c r="AB316" s="9"/>
      <c r="AC316" s="10">
        <f t="shared" si="79"/>
        <v>17.12</v>
      </c>
      <c r="AD316" s="8">
        <f>IFERROR(AC316/AC444, "NA")</f>
        <v>2.59392052906282E-4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5.0269207082287038E-3</v>
      </c>
      <c r="D318" s="9"/>
      <c r="E318" s="7">
        <v>915</v>
      </c>
      <c r="F318" s="8">
        <f>IFERROR(E318/E444, "NA")</f>
        <v>1.0608869084120679E-2</v>
      </c>
      <c r="G318" s="9"/>
      <c r="H318" s="10">
        <f t="shared" si="76"/>
        <v>500.43</v>
      </c>
      <c r="I318" s="8">
        <f>IFERROR(H318/H444, "NA")</f>
        <v>-0.13243723899201312</v>
      </c>
      <c r="J318" s="9"/>
      <c r="K318" s="7">
        <v>414.57</v>
      </c>
      <c r="L318" s="8">
        <f>IFERROR(K318/K444, "NA")</f>
        <v>5.2759847690412431E-3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4974.84</v>
      </c>
      <c r="R318" s="8">
        <f>IFERROR(Q318/Q444, "NA")</f>
        <v>4.6618985015735893E-3</v>
      </c>
      <c r="S318" s="9"/>
      <c r="T318" s="7">
        <v>10980</v>
      </c>
      <c r="U318" s="8">
        <f>IFERROR(T318/T444, "NA")</f>
        <v>9.8344431505414283E-3</v>
      </c>
      <c r="V318" s="9"/>
      <c r="W318" s="10">
        <f t="shared" si="78"/>
        <v>6005.16</v>
      </c>
      <c r="X318" s="8">
        <f>IFERROR(W318/W444, "NA")</f>
        <v>-0.1216686373556732</v>
      </c>
      <c r="Y318" s="9"/>
      <c r="Z318" s="7">
        <v>4974.84</v>
      </c>
      <c r="AA318" s="8">
        <f>IFERROR(Z318/Z444, "NA")</f>
        <v>4.969239666895409E-3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149.65</v>
      </c>
      <c r="C319" s="8">
        <f>IFERROR(B319/B444, "NA")</f>
        <v>1.8145999083060173E-3</v>
      </c>
      <c r="D319" s="9"/>
      <c r="E319" s="7">
        <v>149</v>
      </c>
      <c r="F319" s="8">
        <f>IFERROR(E319/E444, "NA")</f>
        <v>1.7275644738076299E-3</v>
      </c>
      <c r="G319" s="9"/>
      <c r="H319" s="10">
        <f t="shared" si="76"/>
        <v>-0.65000000000000568</v>
      </c>
      <c r="I319" s="8">
        <f>IFERROR(H319/H444, "NA")</f>
        <v>1.7202047308276737E-4</v>
      </c>
      <c r="J319" s="9"/>
      <c r="K319" s="7">
        <v>149.54</v>
      </c>
      <c r="L319" s="8">
        <f>IFERROR(K319/K444, "NA")</f>
        <v>1.9031062603720181E-3</v>
      </c>
      <c r="M319" s="9"/>
      <c r="N319" s="10">
        <f t="shared" si="77"/>
        <v>-0.11000000000001364</v>
      </c>
      <c r="O319" s="8">
        <f>IFERROR(N319/N444, "NA")</f>
        <v>-2.8254609996484535E-5</v>
      </c>
      <c r="P319" s="9"/>
      <c r="Q319" s="7">
        <v>1794.76</v>
      </c>
      <c r="R319" s="8">
        <f>IFERROR(Q319/Q444, "NA")</f>
        <v>1.6818609150614321E-3</v>
      </c>
      <c r="S319" s="9"/>
      <c r="T319" s="7">
        <v>1788</v>
      </c>
      <c r="U319" s="8">
        <f>IFERROR(T319/T444, "NA")</f>
        <v>1.6014557698695879E-3</v>
      </c>
      <c r="V319" s="9"/>
      <c r="W319" s="10">
        <f t="shared" si="78"/>
        <v>-6.7599999999999909</v>
      </c>
      <c r="X319" s="8">
        <f>IFERROR(W319/W444, "NA")</f>
        <v>1.3696221058628742E-4</v>
      </c>
      <c r="Y319" s="9"/>
      <c r="Z319" s="7">
        <v>1793.57</v>
      </c>
      <c r="AA319" s="8">
        <f>IFERROR(Z319/Z444, "NA")</f>
        <v>1.791550922110781E-3</v>
      </c>
      <c r="AB319" s="9"/>
      <c r="AC319" s="10">
        <f t="shared" si="79"/>
        <v>-1.1900000000000546</v>
      </c>
      <c r="AD319" s="8">
        <f>IFERROR(AC319/AC444, "NA")</f>
        <v>-1.8030171901780942E-5</v>
      </c>
    </row>
    <row r="320" spans="1:30" ht="16.5" customHeight="1" x14ac:dyDescent="0.45">
      <c r="A320" s="6" t="s">
        <v>292</v>
      </c>
      <c r="B320" s="7">
        <v>1199.08</v>
      </c>
      <c r="C320" s="8">
        <f>IFERROR(B320/B444, "NA")</f>
        <v>1.4539595443044298E-2</v>
      </c>
      <c r="D320" s="9"/>
      <c r="E320" s="7">
        <v>800</v>
      </c>
      <c r="F320" s="8">
        <f>IFERROR(E320/E444, "NA")</f>
        <v>9.2755139533295568E-3</v>
      </c>
      <c r="G320" s="9"/>
      <c r="H320" s="10">
        <f t="shared" si="76"/>
        <v>-399.07999999999993</v>
      </c>
      <c r="I320" s="8">
        <f>IFERROR(H320/H444, "NA")</f>
        <v>0.10561527753518492</v>
      </c>
      <c r="J320" s="9"/>
      <c r="K320" s="7">
        <v>852.01</v>
      </c>
      <c r="L320" s="8">
        <f>IFERROR(K320/K444, "NA")</f>
        <v>1.0843022367925392E-2</v>
      </c>
      <c r="M320" s="9"/>
      <c r="N320" s="10">
        <f t="shared" si="77"/>
        <v>-347.06999999999994</v>
      </c>
      <c r="O320" s="8">
        <f>IFERROR(N320/N444, "NA")</f>
        <v>-8.914843174071517E-2</v>
      </c>
      <c r="P320" s="9"/>
      <c r="Q320" s="7">
        <v>14164.99</v>
      </c>
      <c r="R320" s="8">
        <f>IFERROR(Q320/Q444, "NA")</f>
        <v>1.3273943615433837E-2</v>
      </c>
      <c r="S320" s="9"/>
      <c r="T320" s="7">
        <v>9600</v>
      </c>
      <c r="U320" s="8">
        <f>IFERROR(T320/T444, "NA")</f>
        <v>8.5984202409105388E-3</v>
      </c>
      <c r="V320" s="9"/>
      <c r="W320" s="10">
        <f t="shared" si="78"/>
        <v>-4564.99</v>
      </c>
      <c r="X320" s="8">
        <f>IFERROR(W320/W444, "NA")</f>
        <v>9.2489810903002512E-2</v>
      </c>
      <c r="Y320" s="9"/>
      <c r="Z320" s="7">
        <v>8789.9599999999991</v>
      </c>
      <c r="AA320" s="8">
        <f>IFERROR(Z320/Z444, "NA")</f>
        <v>8.7800648668950078E-3</v>
      </c>
      <c r="AB320" s="9"/>
      <c r="AC320" s="10">
        <f t="shared" si="79"/>
        <v>-5375.0300000000007</v>
      </c>
      <c r="AD320" s="8">
        <f>IFERROR(AC320/AC444, "NA")</f>
        <v>-8.1439256199348886E-2</v>
      </c>
    </row>
    <row r="321" spans="1:30" ht="16.5" customHeight="1" x14ac:dyDescent="0.45">
      <c r="A321" s="6" t="s">
        <v>293</v>
      </c>
      <c r="B321" s="7">
        <v>1848.98</v>
      </c>
      <c r="C321" s="8">
        <f>IFERROR(B321/B444, "NA")</f>
        <v>2.2420039682323152E-2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-1848.98</v>
      </c>
      <c r="I321" s="8">
        <f>IFERROR(H321/H444, "NA")</f>
        <v>0.48932679126241918</v>
      </c>
      <c r="J321" s="9"/>
      <c r="K321" s="7">
        <v>2558.52</v>
      </c>
      <c r="L321" s="8">
        <f>IFERROR(K321/K444, "NA")</f>
        <v>3.2560755846509401E-2</v>
      </c>
      <c r="M321" s="9"/>
      <c r="N321" s="10">
        <f t="shared" si="77"/>
        <v>709.54</v>
      </c>
      <c r="O321" s="8">
        <f>IFERROR(N321/N444, "NA")</f>
        <v>0.18225250888093772</v>
      </c>
      <c r="P321" s="9"/>
      <c r="Q321" s="7">
        <v>18744.96</v>
      </c>
      <c r="R321" s="8">
        <f>IFERROR(Q321/Q444, "NA")</f>
        <v>1.7565811349924191E-2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-18744.96</v>
      </c>
      <c r="X321" s="8">
        <f>IFERROR(W321/W444, "NA")</f>
        <v>0.37978567440111499</v>
      </c>
      <c r="Y321" s="9"/>
      <c r="Z321" s="7">
        <v>26304.78</v>
      </c>
      <c r="AA321" s="8">
        <f>IFERROR(Z321/Z444, "NA")</f>
        <v>2.6275167885792712E-2</v>
      </c>
      <c r="AB321" s="9"/>
      <c r="AC321" s="10">
        <f t="shared" si="79"/>
        <v>7559.82</v>
      </c>
      <c r="AD321" s="8">
        <f>IFERROR(AC321/AC444, "NA")</f>
        <v>0.11454189424076919</v>
      </c>
    </row>
    <row r="322" spans="1:30" ht="16.5" customHeight="1" x14ac:dyDescent="0.45">
      <c r="A322" s="6" t="s">
        <v>294</v>
      </c>
      <c r="B322" s="7">
        <v>282.33</v>
      </c>
      <c r="C322" s="8">
        <f>IFERROR(B322/B444, "NA")</f>
        <v>3.4234279459541455E-3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-282.33</v>
      </c>
      <c r="I322" s="8">
        <f>IFERROR(H322/H444, "NA")</f>
        <v>7.4717754100703526E-2</v>
      </c>
      <c r="J322" s="9"/>
      <c r="K322" s="7">
        <v>260.95999999999998</v>
      </c>
      <c r="L322" s="8">
        <f>IFERROR(K322/K444, "NA")</f>
        <v>3.3210820496635137E-3</v>
      </c>
      <c r="M322" s="9"/>
      <c r="N322" s="10">
        <f t="shared" si="77"/>
        <v>-21.370000000000005</v>
      </c>
      <c r="O322" s="8">
        <f>IFERROR(N322/N444, "NA")</f>
        <v>-5.489100142043634E-3</v>
      </c>
      <c r="P322" s="9"/>
      <c r="Q322" s="7">
        <v>3120.12</v>
      </c>
      <c r="R322" s="8">
        <f>IFERROR(Q322/Q444, "NA")</f>
        <v>2.9238493605281348E-3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-3120.12</v>
      </c>
      <c r="X322" s="8">
        <f>IFERROR(W322/W444, "NA")</f>
        <v>6.3215759244746692E-2</v>
      </c>
      <c r="Y322" s="9"/>
      <c r="Z322" s="7">
        <v>2324.46</v>
      </c>
      <c r="AA322" s="8">
        <f>IFERROR(Z322/Z444, "NA")</f>
        <v>2.3218432826204866E-3</v>
      </c>
      <c r="AB322" s="9"/>
      <c r="AC322" s="10">
        <f t="shared" si="79"/>
        <v>-795.65999999999985</v>
      </c>
      <c r="AD322" s="8">
        <f>IFERROR(AC322/AC444, "NA")</f>
        <v>-1.2055366870059129E-2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412.35</v>
      </c>
      <c r="L323" s="8">
        <f>IFERROR(K323/K444, "NA")</f>
        <v>5.2477321550381288E-3</v>
      </c>
      <c r="M323" s="9"/>
      <c r="N323" s="10">
        <f t="shared" si="77"/>
        <v>412.35</v>
      </c>
      <c r="O323" s="8">
        <f>IFERROR(N323/N444, "NA")</f>
        <v>0.10591625847317231</v>
      </c>
      <c r="P323" s="9"/>
      <c r="Q323" s="7">
        <v>14.25</v>
      </c>
      <c r="R323" s="8">
        <f>IFERROR(Q323/Q444, "NA")</f>
        <v>1.3353606075255415E-5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-14.25</v>
      </c>
      <c r="X323" s="8">
        <f>IFERROR(W323/W444, "NA")</f>
        <v>2.8871471906133107E-4</v>
      </c>
      <c r="Y323" s="9"/>
      <c r="Z323" s="7">
        <v>412.35</v>
      </c>
      <c r="AA323" s="8">
        <f>IFERROR(Z323/Z444, "NA")</f>
        <v>4.1188580469810526E-4</v>
      </c>
      <c r="AB323" s="9"/>
      <c r="AC323" s="10">
        <f t="shared" si="79"/>
        <v>398.1</v>
      </c>
      <c r="AD323" s="8">
        <f>IFERROR(AC323/AC444, "NA")</f>
        <v>6.031774314368625E-3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4551.7800000000007</v>
      </c>
      <c r="C324" s="15">
        <f>IFERROR(B324/B444, "NA")</f>
        <v>5.5193181227057568E-2</v>
      </c>
      <c r="D324" s="2"/>
      <c r="E324" s="14">
        <f>IFERROR(E297+E298+E299+E300+E301+E302+E303+E304+E305+E306+E307+E308+E309+E310+E311+E312+E313+E314+E315+E316+E317+E318+E319+E320+E321+E322+E323, "NA")</f>
        <v>2985.23</v>
      </c>
      <c r="F324" s="15">
        <f>IFERROR(E324/E444, "NA")</f>
        <v>3.4611928148622489E-2</v>
      </c>
      <c r="G324" s="2"/>
      <c r="H324" s="14">
        <f t="shared" si="76"/>
        <v>-1566.5500000000006</v>
      </c>
      <c r="I324" s="15">
        <f>IFERROR(H324/H444, "NA")</f>
        <v>0.41458257247354924</v>
      </c>
      <c r="J324" s="2"/>
      <c r="K324" s="14">
        <f>IFERROR(K297+K298+K299+K300+K301+K302+K303+K304+K305+K306+K307+K308+K309+K310+K311+K312+K313+K314+K315+K316+K317+K318+K319+K320+K321+K322+K323, "NA")</f>
        <v>5255.38</v>
      </c>
      <c r="L324" s="15">
        <f>IFERROR(K324/K444, "NA")</f>
        <v>6.6882082243104837E-2</v>
      </c>
      <c r="M324" s="2"/>
      <c r="N324" s="14">
        <f t="shared" si="77"/>
        <v>703.59999999999945</v>
      </c>
      <c r="O324" s="15">
        <f>IFERROR(N324/N444, "NA")</f>
        <v>0.18072675994112761</v>
      </c>
      <c r="P324" s="2"/>
      <c r="Q324" s="14">
        <f>IFERROR(Q297+Q298+Q299+Q300+Q301+Q302+Q303+Q304+Q305+Q306+Q307+Q308+Q309+Q310+Q311+Q312+Q313+Q314+Q315+Q316+Q317+Q318+Q319+Q320+Q321+Q322+Q323, "NA")</f>
        <v>56438.700000000004</v>
      </c>
      <c r="R324" s="15">
        <f>IFERROR(Q324/Q444, "NA")</f>
        <v>5.2888432785931076E-2</v>
      </c>
      <c r="S324" s="2"/>
      <c r="T324" s="14">
        <f>IFERROR(T297+T298+T299+T300+T301+T302+T303+T304+T305+T306+T307+T308+T309+T310+T311+T312+T313+T314+T315+T316+T317+T318+T319+T320+T321+T322+T323, "NA")</f>
        <v>36882.300000000003</v>
      </c>
      <c r="U324" s="15">
        <f>IFERROR(T324/T444, "NA")</f>
        <v>3.3034324463680709E-2</v>
      </c>
      <c r="V324" s="2"/>
      <c r="W324" s="14">
        <f t="shared" si="78"/>
        <v>-19556.400000000001</v>
      </c>
      <c r="X324" s="15">
        <f>IFERROR(W324/W444, "NA")</f>
        <v>0.39622600223515897</v>
      </c>
      <c r="Y324" s="2"/>
      <c r="Z324" s="14">
        <f>IFERROR(Z297+Z298+Z299+Z300+Z301+Z302+Z303+Z304+Z305+Z306+Z307+Z308+Z309+Z310+Z311+Z312+Z313+Z314+Z315+Z316+Z317+Z318+Z319+Z320+Z321+Z322+Z323, "NA")</f>
        <v>51995</v>
      </c>
      <c r="AA324" s="15">
        <f>IFERROR(Z324/Z444, "NA")</f>
        <v>5.1936467601013656E-2</v>
      </c>
      <c r="AB324" s="2"/>
      <c r="AC324" s="14">
        <f t="shared" si="79"/>
        <v>-4443.7000000000044</v>
      </c>
      <c r="AD324" s="15">
        <f>IFERROR(AC324/AC444, "NA")</f>
        <v>-6.7328298218437291E-2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22024.140000000003</v>
      </c>
      <c r="C325" s="15">
        <f>IFERROR(B325/B444, "NA")</f>
        <v>0.26705648128646103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19764.379999999997</v>
      </c>
      <c r="F325" s="15">
        <f>IFERROR(E325/E444, "NA")</f>
        <v>0.2291559780861345</v>
      </c>
      <c r="G325" s="2"/>
      <c r="H325" s="14">
        <f t="shared" si="76"/>
        <v>-2259.7600000000057</v>
      </c>
      <c r="I325" s="15">
        <f>IFERROR(H325/H444, "NA")</f>
        <v>0.59803843731309536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22925.769999999993</v>
      </c>
      <c r="L325" s="15">
        <f>IFERROR(K325/K444, "NA")</f>
        <v>0.29176258132171318</v>
      </c>
      <c r="M325" s="2"/>
      <c r="N325" s="14">
        <f t="shared" si="77"/>
        <v>901.6299999999901</v>
      </c>
      <c r="O325" s="15">
        <f>IFERROR(N325/N444, "NA")</f>
        <v>0.23159276373751736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269259.39000000007</v>
      </c>
      <c r="R325" s="15">
        <f>IFERROR(Q325/Q444, "NA")</f>
        <v>0.25232167200867145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247048.25</v>
      </c>
      <c r="U325" s="15">
        <f>IFERROR(T325/T444, "NA")</f>
        <v>0.22127340346682572</v>
      </c>
      <c r="V325" s="2"/>
      <c r="W325" s="14">
        <f t="shared" si="78"/>
        <v>-22211.140000000072</v>
      </c>
      <c r="X325" s="15">
        <f>IFERROR(W325/W444, "NA")</f>
        <v>0.45001284527241503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270301.56</v>
      </c>
      <c r="AA325" s="15">
        <f>IFERROR(Z325/Z444, "NA")</f>
        <v>0.26999727307324645</v>
      </c>
      <c r="AB325" s="2"/>
      <c r="AC325" s="14">
        <f t="shared" si="79"/>
        <v>1042.1699999999255</v>
      </c>
      <c r="AD325" s="15">
        <f>IFERROR(AC325/AC444, "NA")</f>
        <v>1.5790339706619191E-2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5.5750717503595552E-2</v>
      </c>
      <c r="D329" s="9"/>
      <c r="E329" s="7">
        <v>5307.39</v>
      </c>
      <c r="F329" s="8">
        <f>IFERROR(E329/E444, "NA")</f>
        <v>6.1535962500952196E-2</v>
      </c>
      <c r="G329" s="9"/>
      <c r="H329" s="10">
        <f t="shared" si="80"/>
        <v>709.63000000000011</v>
      </c>
      <c r="I329" s="8">
        <f>IFERROR(H329/H444, "NA")</f>
        <v>-0.18780136663649719</v>
      </c>
      <c r="J329" s="9"/>
      <c r="K329" s="7">
        <v>6377.92</v>
      </c>
      <c r="L329" s="8">
        <f>IFERROR(K329/K444, "NA")</f>
        <v>8.1167978334572038E-2</v>
      </c>
      <c r="M329" s="9"/>
      <c r="N329" s="10">
        <f t="shared" si="81"/>
        <v>1780.1599999999999</v>
      </c>
      <c r="O329" s="8">
        <f>IFERROR(N329/N444, "NA")</f>
        <v>0.45725205937577879</v>
      </c>
      <c r="P329" s="9"/>
      <c r="Q329" s="7">
        <v>55173.120000000003</v>
      </c>
      <c r="R329" s="8">
        <f>IFERROR(Q329/Q444, "NA")</f>
        <v>5.1702463889319018E-2</v>
      </c>
      <c r="S329" s="9"/>
      <c r="T329" s="7">
        <v>58546.83</v>
      </c>
      <c r="U329" s="8">
        <f>IFERROR(T329/T444, "NA")</f>
        <v>5.2438567511786292E-2</v>
      </c>
      <c r="V329" s="9"/>
      <c r="W329" s="10">
        <f t="shared" si="82"/>
        <v>3373.7099999999991</v>
      </c>
      <c r="X329" s="8">
        <f>IFERROR(W329/W444, "NA")</f>
        <v>-6.8353665603116009E-2</v>
      </c>
      <c r="Y329" s="9"/>
      <c r="Z329" s="7">
        <v>76535.039999999994</v>
      </c>
      <c r="AA329" s="8">
        <f>IFERROR(Z329/Z444, "NA")</f>
        <v>7.6448882109862185E-2</v>
      </c>
      <c r="AB329" s="9"/>
      <c r="AC329" s="10">
        <f t="shared" si="83"/>
        <v>21361.919999999991</v>
      </c>
      <c r="AD329" s="8">
        <f>IFERROR(AC329/AC444, "NA")</f>
        <v>0.32366310063199538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2.0444047693966665E-2</v>
      </c>
      <c r="D330" s="9"/>
      <c r="E330" s="7">
        <v>1686</v>
      </c>
      <c r="F330" s="8">
        <f>IFERROR(E330/E444, "NA")</f>
        <v>1.9548145656642039E-2</v>
      </c>
      <c r="G330" s="9"/>
      <c r="H330" s="10">
        <f t="shared" si="80"/>
        <v>-1.999999999998181E-2</v>
      </c>
      <c r="I330" s="8">
        <f>IFERROR(H330/H444, "NA")</f>
        <v>5.2929376333110595E-6</v>
      </c>
      <c r="J330" s="9"/>
      <c r="K330" s="7">
        <v>1636.91</v>
      </c>
      <c r="L330" s="8">
        <f>IFERROR(K330/K444, "NA")</f>
        <v>2.0831975850378229E-2</v>
      </c>
      <c r="M330" s="9"/>
      <c r="N330" s="10">
        <f t="shared" si="81"/>
        <v>-49.1099999999999</v>
      </c>
      <c r="O330" s="8">
        <f>IFERROR(N330/N444, "NA")</f>
        <v>-1.2614399062974369E-2</v>
      </c>
      <c r="P330" s="9"/>
      <c r="Q330" s="7">
        <v>21483.35</v>
      </c>
      <c r="R330" s="8">
        <f>IFERROR(Q330/Q444, "NA")</f>
        <v>2.0131943373813219E-2</v>
      </c>
      <c r="S330" s="9"/>
      <c r="T330" s="7">
        <v>20232</v>
      </c>
      <c r="U330" s="8">
        <f>IFERROR(T330/T444, "NA")</f>
        <v>1.8121170657718962E-2</v>
      </c>
      <c r="V330" s="9"/>
      <c r="W330" s="10">
        <f t="shared" si="82"/>
        <v>-1251.3499999999985</v>
      </c>
      <c r="X330" s="8">
        <f>IFERROR(W330/W444, "NA")</f>
        <v>2.5353204469992719E-2</v>
      </c>
      <c r="Y330" s="9"/>
      <c r="Z330" s="7">
        <v>18141.740000000002</v>
      </c>
      <c r="AA330" s="8">
        <f>IFERROR(Z330/Z444, "NA")</f>
        <v>1.8121317275430593E-2</v>
      </c>
      <c r="AB330" s="9"/>
      <c r="AC330" s="10">
        <f t="shared" si="83"/>
        <v>-3341.6099999999969</v>
      </c>
      <c r="AD330" s="8">
        <f>IFERROR(AC330/AC444, "NA")</f>
        <v>-5.0630086326644862E-2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2.320808410625104E-2</v>
      </c>
      <c r="D333" s="9"/>
      <c r="E333" s="7">
        <v>1686</v>
      </c>
      <c r="F333" s="8">
        <f>IFERROR(E333/E444, "NA")</f>
        <v>1.9548145656642039E-2</v>
      </c>
      <c r="G333" s="9"/>
      <c r="H333" s="10">
        <f t="shared" si="80"/>
        <v>-227.97000000000003</v>
      </c>
      <c r="I333" s="8">
        <f>IFERROR(H333/H444, "NA")</f>
        <v>6.0331549613350986E-2</v>
      </c>
      <c r="J333" s="9"/>
      <c r="K333" s="7">
        <v>1853.78</v>
      </c>
      <c r="L333" s="8">
        <f>IFERROR(K333/K444, "NA")</f>
        <v>2.3591950804817706E-2</v>
      </c>
      <c r="M333" s="9"/>
      <c r="N333" s="10">
        <f t="shared" si="81"/>
        <v>-60.190000000000055</v>
      </c>
      <c r="O333" s="8">
        <f>IFERROR(N333/N444, "NA")</f>
        <v>-1.5460408869892679E-2</v>
      </c>
      <c r="P333" s="9"/>
      <c r="Q333" s="7">
        <v>22208.9</v>
      </c>
      <c r="R333" s="8">
        <f>IFERROR(Q333/Q444, "NA")</f>
        <v>2.0811852769455439E-2</v>
      </c>
      <c r="S333" s="9"/>
      <c r="T333" s="7">
        <v>20232</v>
      </c>
      <c r="U333" s="8">
        <f>IFERROR(T333/T444, "NA")</f>
        <v>1.8121170657718962E-2</v>
      </c>
      <c r="V333" s="9"/>
      <c r="W333" s="10">
        <f t="shared" si="82"/>
        <v>-1976.9000000000015</v>
      </c>
      <c r="X333" s="8">
        <f>IFERROR(W333/W444, "NA")</f>
        <v>4.0053342323673392E-2</v>
      </c>
      <c r="Y333" s="9"/>
      <c r="Z333" s="7">
        <v>22456.18</v>
      </c>
      <c r="AA333" s="8">
        <f>IFERROR(Z333/Z444, "NA")</f>
        <v>2.2430900375277063E-2</v>
      </c>
      <c r="AB333" s="9"/>
      <c r="AC333" s="10">
        <f t="shared" si="83"/>
        <v>247.27999999999884</v>
      </c>
      <c r="AD333" s="8">
        <f>IFERROR(AC333/AC444, "NA")</f>
        <v>3.7466394183799708E-3</v>
      </c>
    </row>
    <row r="334" spans="1:30" ht="16.5" customHeight="1" x14ac:dyDescent="0.45">
      <c r="A334" s="6" t="s">
        <v>305</v>
      </c>
      <c r="B334" s="7">
        <v>708.06</v>
      </c>
      <c r="C334" s="8">
        <f>IFERROR(B334/B444, "NA")</f>
        <v>8.5856706386579253E-3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-708.06</v>
      </c>
      <c r="I334" s="8">
        <f>IFERROR(H334/H444, "NA")</f>
        <v>0.18738587103228185</v>
      </c>
      <c r="J334" s="9"/>
      <c r="K334" s="7">
        <v>982.2</v>
      </c>
      <c r="L334" s="8">
        <f>IFERROR(K334/K444, "NA")</f>
        <v>1.2499872735972958E-2</v>
      </c>
      <c r="M334" s="9"/>
      <c r="N334" s="10">
        <f t="shared" si="81"/>
        <v>274.1400000000001</v>
      </c>
      <c r="O334" s="8">
        <f>IFERROR(N334/N444, "NA")</f>
        <v>7.0415625313048291E-2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2422.88</v>
      </c>
      <c r="F337" s="8">
        <f>IFERROR(E337/E444, "NA")</f>
        <v>2.8091821559053896E-2</v>
      </c>
      <c r="G337" s="9"/>
      <c r="H337" s="10">
        <f t="shared" ref="H337:H344" si="84">IFERROR(-(B337-E337), "NA")</f>
        <v>2422.88</v>
      </c>
      <c r="I337" s="8">
        <f>IFERROR(H337/H444, "NA")</f>
        <v>-0.64120763665041813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33619.03</v>
      </c>
      <c r="U337" s="8">
        <f>IFERROR(T337/T444, "NA")</f>
        <v>3.0111515419976941E-2</v>
      </c>
      <c r="V337" s="9"/>
      <c r="W337" s="10">
        <f t="shared" ref="W337:W344" si="86">IFERROR(-(Q337-T337), "NA")</f>
        <v>33619.03</v>
      </c>
      <c r="X337" s="8">
        <f>IFERROR(W337/W444, "NA")</f>
        <v>-0.68114447730276917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2545.8200000000002</v>
      </c>
      <c r="C338" s="8">
        <f>IFERROR(B338/B444, "NA")</f>
        <v>3.0869660798955062E-2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-2545.8200000000002</v>
      </c>
      <c r="I338" s="8">
        <f>IFERROR(H338/H444, "NA")</f>
        <v>0.6737433242824109</v>
      </c>
      <c r="J338" s="9"/>
      <c r="K338" s="7">
        <v>2115.21</v>
      </c>
      <c r="L338" s="8">
        <f>IFERROR(K338/K444, "NA")</f>
        <v>2.691901426375215E-2</v>
      </c>
      <c r="M338" s="9"/>
      <c r="N338" s="10">
        <f t="shared" si="85"/>
        <v>-430.61000000000013</v>
      </c>
      <c r="O338" s="8">
        <f>IFERROR(N338/N444, "NA")</f>
        <v>-0.11060652373258818</v>
      </c>
      <c r="P338" s="9"/>
      <c r="Q338" s="7">
        <v>30819.03</v>
      </c>
      <c r="R338" s="8">
        <f>IFERROR(Q338/Q444, "NA")</f>
        <v>2.8880363946770446E-2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-30819.03</v>
      </c>
      <c r="X338" s="8">
        <f>IFERROR(W338/W444, "NA")</f>
        <v>0.6244145675924726</v>
      </c>
      <c r="Y338" s="9"/>
      <c r="Z338" s="7">
        <v>26137.71</v>
      </c>
      <c r="AA338" s="8">
        <f>IFERROR(Z338/Z444, "NA")</f>
        <v>2.6108285961721139E-2</v>
      </c>
      <c r="AB338" s="9"/>
      <c r="AC338" s="10">
        <f t="shared" si="87"/>
        <v>-4681.32</v>
      </c>
      <c r="AD338" s="8">
        <f>IFERROR(AC338/AC444, "NA")</f>
        <v>-7.0928575064908628E-2</v>
      </c>
    </row>
    <row r="339" spans="1:30" ht="16.5" customHeight="1" x14ac:dyDescent="0.45">
      <c r="A339" s="12" t="s">
        <v>309</v>
      </c>
      <c r="B339" s="7">
        <v>386.8</v>
      </c>
      <c r="C339" s="8">
        <f>IFERROR(B339/B444, "NA")</f>
        <v>4.6901920784013871E-3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-386.8</v>
      </c>
      <c r="I339" s="8">
        <f>IFERROR(H339/H444, "NA")</f>
        <v>0.10236541382832899</v>
      </c>
      <c r="J339" s="9"/>
      <c r="K339" s="7">
        <v>304.54000000000002</v>
      </c>
      <c r="L339" s="8">
        <f>IFERROR(K339/K444, "NA")</f>
        <v>3.8756986795084555E-3</v>
      </c>
      <c r="M339" s="9"/>
      <c r="N339" s="10">
        <f t="shared" si="85"/>
        <v>-82.259999999999991</v>
      </c>
      <c r="O339" s="8">
        <f>IFERROR(N339/N444, "NA")</f>
        <v>-2.1129311075550265E-2</v>
      </c>
      <c r="P339" s="9"/>
      <c r="Q339" s="7">
        <v>4090.83</v>
      </c>
      <c r="R339" s="8">
        <f>IFERROR(Q339/Q444, "NA")</f>
        <v>3.8334970063745337E-3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-4090.83</v>
      </c>
      <c r="X339" s="8">
        <f>IFERROR(W339/W444, "NA")</f>
        <v>8.2883005907204557E-2</v>
      </c>
      <c r="Y339" s="9"/>
      <c r="Z339" s="7">
        <v>3773.03</v>
      </c>
      <c r="AA339" s="8">
        <f>IFERROR(Z339/Z444, "NA")</f>
        <v>3.7687825820300522E-3</v>
      </c>
      <c r="AB339" s="9"/>
      <c r="AC339" s="10">
        <f t="shared" si="87"/>
        <v>-317.79999999999973</v>
      </c>
      <c r="AD339" s="8">
        <f>IFERROR(AC339/AC444, "NA")</f>
        <v>-4.8151164961224499E-3</v>
      </c>
    </row>
    <row r="340" spans="1:30" ht="16.5" customHeight="1" x14ac:dyDescent="0.45">
      <c r="A340" s="12" t="s">
        <v>310</v>
      </c>
      <c r="B340" s="7">
        <v>392.05</v>
      </c>
      <c r="C340" s="8">
        <f>IFERROR(B340/B444, "NA")</f>
        <v>4.7538516141087481E-3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-392.05</v>
      </c>
      <c r="I340" s="8">
        <f>IFERROR(H340/H444, "NA")</f>
        <v>0.10375480995707441</v>
      </c>
      <c r="J340" s="9"/>
      <c r="K340" s="7">
        <v>372.32</v>
      </c>
      <c r="L340" s="8">
        <f>IFERROR(K340/K444, "NA")</f>
        <v>4.7382942547927629E-3</v>
      </c>
      <c r="M340" s="9"/>
      <c r="N340" s="10">
        <f t="shared" si="85"/>
        <v>-19.730000000000018</v>
      </c>
      <c r="O340" s="8">
        <f>IFERROR(N340/N444, "NA")</f>
        <v>-5.0678495930051928E-3</v>
      </c>
      <c r="P340" s="9"/>
      <c r="Q340" s="7">
        <v>4750.8500000000004</v>
      </c>
      <c r="R340" s="8">
        <f>IFERROR(Q340/Q444, "NA")</f>
        <v>4.4519985559738377E-3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-4750.8500000000004</v>
      </c>
      <c r="X340" s="8">
        <f>IFERROR(W340/W444, "NA")</f>
        <v>9.6255461266843853E-2</v>
      </c>
      <c r="Y340" s="9"/>
      <c r="Z340" s="7">
        <v>4289.88</v>
      </c>
      <c r="AA340" s="8">
        <f>IFERROR(Z340/Z444, "NA")</f>
        <v>4.285050747807221E-3</v>
      </c>
      <c r="AB340" s="9"/>
      <c r="AC340" s="10">
        <f t="shared" si="87"/>
        <v>-460.97000000000025</v>
      </c>
      <c r="AD340" s="8">
        <f>IFERROR(AC340/AC444, "NA")</f>
        <v>-6.9843431441710783E-3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3324.6700000000005</v>
      </c>
      <c r="C342" s="15">
        <f>IFERROR(B342/B444, "NA")</f>
        <v>4.0313704491465201E-2</v>
      </c>
      <c r="D342" s="2"/>
      <c r="E342" s="14">
        <f>IFERROR(E337+E338+E339+E340+E341, "NA")</f>
        <v>2422.88</v>
      </c>
      <c r="F342" s="15">
        <f>IFERROR(E342/E444, "NA")</f>
        <v>2.8091821559053896E-2</v>
      </c>
      <c r="G342" s="2"/>
      <c r="H342" s="14">
        <f t="shared" si="84"/>
        <v>-901.79000000000042</v>
      </c>
      <c r="I342" s="15">
        <f>IFERROR(H342/H444, "NA")</f>
        <v>0.23865591141739617</v>
      </c>
      <c r="J342" s="2"/>
      <c r="K342" s="14">
        <f>IFERROR(K337+K338+K339+K340+K341, "NA")</f>
        <v>2792.07</v>
      </c>
      <c r="L342" s="15">
        <f>IFERROR(K342/K444, "NA")</f>
        <v>3.5533007198053371E-2</v>
      </c>
      <c r="M342" s="2"/>
      <c r="N342" s="14">
        <f t="shared" si="85"/>
        <v>-532.60000000000036</v>
      </c>
      <c r="O342" s="15">
        <f>IFERROR(N342/N444, "NA")</f>
        <v>-0.13680368440114368</v>
      </c>
      <c r="P342" s="2"/>
      <c r="Q342" s="14">
        <f>IFERROR(Q337+Q338+Q339+Q340+Q341, "NA")</f>
        <v>39660.71</v>
      </c>
      <c r="R342" s="15">
        <f>IFERROR(Q342/Q444, "NA")</f>
        <v>3.7165859509118819E-2</v>
      </c>
      <c r="S342" s="2"/>
      <c r="T342" s="14">
        <f>IFERROR(T337+T338+T339+T340+T341, "NA")</f>
        <v>33619.03</v>
      </c>
      <c r="U342" s="15">
        <f>IFERROR(T342/T444, "NA")</f>
        <v>3.0111515419976941E-2</v>
      </c>
      <c r="V342" s="2"/>
      <c r="W342" s="14">
        <f t="shared" si="86"/>
        <v>-6041.68</v>
      </c>
      <c r="X342" s="15">
        <f>IFERROR(W342/W444, "NA")</f>
        <v>0.12240855746375179</v>
      </c>
      <c r="Y342" s="2"/>
      <c r="Z342" s="14">
        <f>IFERROR(Z337+Z338+Z339+Z340+Z341, "NA")</f>
        <v>34200.619999999995</v>
      </c>
      <c r="AA342" s="15">
        <f>IFERROR(Z342/Z444, "NA")</f>
        <v>3.4162119291558407E-2</v>
      </c>
      <c r="AB342" s="2"/>
      <c r="AC342" s="14">
        <f t="shared" si="87"/>
        <v>-5460.0900000000038</v>
      </c>
      <c r="AD342" s="15">
        <f>IFERROR(AC342/AC444, "NA")</f>
        <v>-8.2728034705202222E-2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12230.479999999998</v>
      </c>
      <c r="C343" s="15">
        <f>IFERROR(B343/B444, "NA")</f>
        <v>0.14830222443393634</v>
      </c>
      <c r="D343" s="2"/>
      <c r="E343" s="14">
        <f>IFERROR(E328+E329+E330+E331+E332+E333+E334+E335+E337+E338+E339+E340+E341, "NA")</f>
        <v>11102.27</v>
      </c>
      <c r="F343" s="15">
        <f>IFERROR(E343/E444, "NA")</f>
        <v>0.12872407537329017</v>
      </c>
      <c r="G343" s="2"/>
      <c r="H343" s="14">
        <f t="shared" si="84"/>
        <v>-1128.2099999999973</v>
      </c>
      <c r="I343" s="15">
        <f>IFERROR(H343/H444, "NA")</f>
        <v>0.29857725836416438</v>
      </c>
      <c r="J343" s="2"/>
      <c r="K343" s="14">
        <f>IFERROR(K328+K329+K330+K331+K332+K333+K334+K335+K337+K338+K339+K340+K341, "NA")</f>
        <v>13642.880000000001</v>
      </c>
      <c r="L343" s="15">
        <f>IFERROR(K343/K444, "NA")</f>
        <v>0.1736247849237943</v>
      </c>
      <c r="M343" s="2"/>
      <c r="N343" s="14">
        <f t="shared" si="85"/>
        <v>1412.4000000000033</v>
      </c>
      <c r="O343" s="15">
        <f>IFERROR(N343/N444, "NA")</f>
        <v>0.36278919235481727</v>
      </c>
      <c r="P343" s="2"/>
      <c r="Q343" s="14">
        <f>IFERROR(Q328+Q329+Q330+Q331+Q332+Q333+Q334+Q335+Q337+Q338+Q339+Q340+Q341, "NA")</f>
        <v>138526.07999999999</v>
      </c>
      <c r="R343" s="15">
        <f>IFERROR(Q343/Q444, "NA")</f>
        <v>0.12981211954170649</v>
      </c>
      <c r="S343" s="2"/>
      <c r="T343" s="14">
        <f>IFERROR(T328+T329+T330+T331+T332+T333+T334+T335+T337+T338+T339+T340+T341, "NA")</f>
        <v>132629.85999999999</v>
      </c>
      <c r="U343" s="15">
        <f>IFERROR(T343/T444, "NA")</f>
        <v>0.11879242424720114</v>
      </c>
      <c r="V343" s="2"/>
      <c r="W343" s="14">
        <f t="shared" si="86"/>
        <v>-5896.2200000000012</v>
      </c>
      <c r="X343" s="15">
        <f>IFERROR(W343/W444, "NA")</f>
        <v>0.11946143865430189</v>
      </c>
      <c r="Y343" s="2"/>
      <c r="Z343" s="14">
        <f>IFERROR(Z328+Z329+Z330+Z331+Z332+Z333+Z334+Z335+Z337+Z338+Z339+Z340+Z341, "NA")</f>
        <v>151333.57999999999</v>
      </c>
      <c r="AA343" s="15">
        <f>IFERROR(Z343/Z444, "NA")</f>
        <v>0.15116321905212823</v>
      </c>
      <c r="AB343" s="2"/>
      <c r="AC343" s="14">
        <f t="shared" si="87"/>
        <v>12807.5</v>
      </c>
      <c r="AD343" s="15">
        <f>IFERROR(AC343/AC444, "NA")</f>
        <v>0.19405161901852841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12230.479999999998</v>
      </c>
      <c r="C344" s="15">
        <f>IFERROR(B344/B444, "NA")</f>
        <v>0.14830222443393634</v>
      </c>
      <c r="D344" s="2"/>
      <c r="E344" s="14">
        <f>IFERROR(E328+E329+E330+E331+E332+E333+E334+E335+E337+E338+E339+E340+E341, "NA")</f>
        <v>11102.27</v>
      </c>
      <c r="F344" s="15">
        <f>IFERROR(E344/E444, "NA")</f>
        <v>0.12872407537329017</v>
      </c>
      <c r="G344" s="2"/>
      <c r="H344" s="14">
        <f t="shared" si="84"/>
        <v>-1128.2099999999973</v>
      </c>
      <c r="I344" s="15">
        <f>IFERROR(H344/H444, "NA")</f>
        <v>0.29857725836416438</v>
      </c>
      <c r="J344" s="2"/>
      <c r="K344" s="14">
        <f>IFERROR(K328+K329+K330+K331+K332+K333+K334+K335+K337+K338+K339+K340+K341, "NA")</f>
        <v>13642.880000000001</v>
      </c>
      <c r="L344" s="15">
        <f>IFERROR(K344/K444, "NA")</f>
        <v>0.1736247849237943</v>
      </c>
      <c r="M344" s="2"/>
      <c r="N344" s="14">
        <f t="shared" si="85"/>
        <v>1412.4000000000033</v>
      </c>
      <c r="O344" s="15">
        <f>IFERROR(N344/N444, "NA")</f>
        <v>0.36278919235481727</v>
      </c>
      <c r="P344" s="2"/>
      <c r="Q344" s="14">
        <f>IFERROR(Q328+Q329+Q330+Q331+Q332+Q333+Q334+Q335+Q337+Q338+Q339+Q340+Q341, "NA")</f>
        <v>138526.07999999999</v>
      </c>
      <c r="R344" s="15">
        <f>IFERROR(Q344/Q444, "NA")</f>
        <v>0.12981211954170649</v>
      </c>
      <c r="S344" s="2"/>
      <c r="T344" s="14">
        <f>IFERROR(T328+T329+T330+T331+T332+T333+T334+T335+T337+T338+T339+T340+T341, "NA")</f>
        <v>132629.85999999999</v>
      </c>
      <c r="U344" s="15">
        <f>IFERROR(T344/T444, "NA")</f>
        <v>0.11879242424720114</v>
      </c>
      <c r="V344" s="2"/>
      <c r="W344" s="14">
        <f t="shared" si="86"/>
        <v>-5896.2200000000012</v>
      </c>
      <c r="X344" s="15">
        <f>IFERROR(W344/W444, "NA")</f>
        <v>0.11946143865430189</v>
      </c>
      <c r="Y344" s="2"/>
      <c r="Z344" s="14">
        <f>IFERROR(Z328+Z329+Z330+Z331+Z332+Z333+Z334+Z335+Z337+Z338+Z339+Z340+Z341, "NA")</f>
        <v>151333.57999999999</v>
      </c>
      <c r="AA344" s="15">
        <f>IFERROR(Z344/Z444, "NA")</f>
        <v>0.15116321905212823</v>
      </c>
      <c r="AB344" s="2"/>
      <c r="AC344" s="14">
        <f t="shared" si="87"/>
        <v>12807.5</v>
      </c>
      <c r="AD344" s="15">
        <f>IFERROR(AC344/AC444, "NA")</f>
        <v>0.19405161901852841</v>
      </c>
    </row>
    <row r="345" spans="1:30" ht="16.5" customHeight="1" x14ac:dyDescent="0.45">
      <c r="A345" s="22" t="s">
        <v>315</v>
      </c>
      <c r="B345" s="23">
        <f>IFERROR(B198-B325-B344, "NA")</f>
        <v>-4031.6900000000151</v>
      </c>
      <c r="C345" s="24">
        <f>IFERROR(B345/B444, "NA")</f>
        <v>-4.888676447924032E-2</v>
      </c>
      <c r="D345" s="25"/>
      <c r="E345" s="23">
        <f>IFERROR(E198-E325-E344, "NA")</f>
        <v>2885.5500000000138</v>
      </c>
      <c r="F345" s="24">
        <f>IFERROR(E345/E444, "NA")</f>
        <v>3.3456199110037783E-2</v>
      </c>
      <c r="G345" s="25"/>
      <c r="H345" s="23">
        <f>IFERROR(B345-E345, "NA")</f>
        <v>-6917.2400000000289</v>
      </c>
      <c r="I345" s="24">
        <f>IFERROR(H345/H444, "NA")</f>
        <v>1.8306259957339022</v>
      </c>
      <c r="J345" s="25"/>
      <c r="K345" s="23">
        <f>IFERROR(K198-K325-K344, "NA")</f>
        <v>-6954.3699999999881</v>
      </c>
      <c r="L345" s="24">
        <f>IFERROR(K345/K444, "NA")</f>
        <v>-8.8504113173353813E-2</v>
      </c>
      <c r="M345" s="25"/>
      <c r="N345" s="23">
        <f>IFERROR(B345-K345, "NA")</f>
        <v>2922.679999999973</v>
      </c>
      <c r="O345" s="24">
        <f>IFERROR(N345/N444, "NA")</f>
        <v>0.75071985040467648</v>
      </c>
      <c r="P345" s="25"/>
      <c r="Q345" s="23">
        <f>IFERROR(Q198-Q325-Q344, "NA")</f>
        <v>31372.690000000148</v>
      </c>
      <c r="R345" s="24">
        <f>IFERROR(Q345/Q444, "NA")</f>
        <v>2.939919605481451E-2</v>
      </c>
      <c r="S345" s="25"/>
      <c r="T345" s="23">
        <f>IFERROR(T198-T325-T344, "NA")</f>
        <v>120712.14000000013</v>
      </c>
      <c r="U345" s="24">
        <f>IFERROR(T345/T444, "NA")</f>
        <v>0.1081180945728779</v>
      </c>
      <c r="V345" s="25"/>
      <c r="W345" s="23">
        <f>IFERROR(Q345-T345, "NA")</f>
        <v>-89339.449999999983</v>
      </c>
      <c r="X345" s="24">
        <f>IFERROR(W345/W444, "NA")</f>
        <v>1.8100781900241285</v>
      </c>
      <c r="Y345" s="25"/>
      <c r="Z345" s="23">
        <f>IFERROR(Z198-Z325-Z344, "NA")</f>
        <v>-14760.329999999754</v>
      </c>
      <c r="AA345" s="24">
        <f>IFERROR(Z345/Z444, "NA")</f>
        <v>-1.4743713834508263E-2</v>
      </c>
      <c r="AB345" s="25"/>
      <c r="AC345" s="23">
        <f>IFERROR(Q345-Z345, "NA")</f>
        <v>46133.019999999902</v>
      </c>
      <c r="AD345" s="24">
        <f>IFERROR(AC345/AC444, "NA")</f>
        <v>0.69898006802374646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-4031.6900000000151</v>
      </c>
      <c r="C404" s="24">
        <f>IFERROR(B404/B444, "NA")</f>
        <v>-4.888676447924032E-2</v>
      </c>
      <c r="D404" s="25"/>
      <c r="E404" s="23">
        <f>IFERROR(E345-E403, "NA")</f>
        <v>2885.5500000000138</v>
      </c>
      <c r="F404" s="24">
        <f>IFERROR(E404/E444, "NA")</f>
        <v>3.3456199110037783E-2</v>
      </c>
      <c r="G404" s="25"/>
      <c r="H404" s="23">
        <f>IFERROR(B404-E404, "NA")</f>
        <v>-6917.2400000000289</v>
      </c>
      <c r="I404" s="24">
        <f>IFERROR(H404/H444, "NA")</f>
        <v>1.8306259957339022</v>
      </c>
      <c r="J404" s="25"/>
      <c r="K404" s="23">
        <f>IFERROR(K345-K403, "NA")</f>
        <v>-6954.3699999999881</v>
      </c>
      <c r="L404" s="24">
        <f>IFERROR(K404/K444, "NA")</f>
        <v>-8.8504113173353813E-2</v>
      </c>
      <c r="M404" s="25"/>
      <c r="N404" s="23">
        <f>IFERROR(B404-K404, "NA")</f>
        <v>2922.679999999973</v>
      </c>
      <c r="O404" s="24">
        <f>IFERROR(N404/N444, "NA")</f>
        <v>0.75071985040467648</v>
      </c>
      <c r="P404" s="25"/>
      <c r="Q404" s="23">
        <f>IFERROR(Q345-Q403, "NA")</f>
        <v>31372.690000000148</v>
      </c>
      <c r="R404" s="24">
        <f>IFERROR(Q404/Q444, "NA")</f>
        <v>2.939919605481451E-2</v>
      </c>
      <c r="S404" s="25"/>
      <c r="T404" s="23">
        <f>IFERROR(T345-T403, "NA")</f>
        <v>120712.14000000013</v>
      </c>
      <c r="U404" s="24">
        <f>IFERROR(T404/T444, "NA")</f>
        <v>0.1081180945728779</v>
      </c>
      <c r="V404" s="25"/>
      <c r="W404" s="23">
        <f>IFERROR(Q404-T404, "NA")</f>
        <v>-89339.449999999983</v>
      </c>
      <c r="X404" s="24">
        <f>IFERROR(W404/W444, "NA")</f>
        <v>1.8100781900241285</v>
      </c>
      <c r="Y404" s="25"/>
      <c r="Z404" s="23">
        <f>IFERROR(Z345-Z403, "NA")</f>
        <v>-14760.329999999754</v>
      </c>
      <c r="AA404" s="24">
        <f>IFERROR(Z404/Z444, "NA")</f>
        <v>-1.4743713834508263E-2</v>
      </c>
      <c r="AB404" s="25"/>
      <c r="AC404" s="23">
        <f>IFERROR(Q404-Z404, "NA")</f>
        <v>46133.019999999902</v>
      </c>
      <c r="AD404" s="24">
        <f>IFERROR(AC404/AC444, "NA")</f>
        <v>0.69898006802374646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-5.883201631761005E-2</v>
      </c>
      <c r="AB407" s="9"/>
      <c r="AC407" s="10">
        <f t="shared" ref="AC407:AC429" si="103">IFERROR(-(Q407-Z407), "NA")</f>
        <v>-58898.32</v>
      </c>
      <c r="AD407" s="8">
        <f>IFERROR(AC407/AC444, "NA")</f>
        <v>-0.89239229775298634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2284.3200000000002</v>
      </c>
      <c r="AA408" s="8">
        <f>IFERROR(Z408/Z444, "NA")</f>
        <v>2.2817484694749018E-3</v>
      </c>
      <c r="AB408" s="9"/>
      <c r="AC408" s="10">
        <f t="shared" si="103"/>
        <v>2284.3200000000002</v>
      </c>
      <c r="AD408" s="8">
        <f>IFERROR(AC408/AC444, "NA")</f>
        <v>3.4610657377037272E-2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4735.63</v>
      </c>
      <c r="C410" s="8">
        <f>IFERROR(B410/B444, "NA")</f>
        <v>5.7422477539400101E-2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-4735.63</v>
      </c>
      <c r="I410" s="8">
        <f>IFERROR(H410/H444, "NA")</f>
        <v>1.2532697122229826</v>
      </c>
      <c r="J410" s="9"/>
      <c r="K410" s="7">
        <v>3786.64</v>
      </c>
      <c r="L410" s="8">
        <f>IFERROR(K410/K444, "NA")</f>
        <v>4.8190305535476118E-2</v>
      </c>
      <c r="M410" s="9"/>
      <c r="N410" s="10">
        <f t="shared" si="101"/>
        <v>-948.99000000000024</v>
      </c>
      <c r="O410" s="8">
        <f>IFERROR(N410/N444, "NA")</f>
        <v>-0.24375765764145943</v>
      </c>
      <c r="P410" s="9"/>
      <c r="Q410" s="7">
        <v>51701.94</v>
      </c>
      <c r="R410" s="8">
        <f>IFERROR(Q410/Q444, "NA")</f>
        <v>4.8449637900806378E-2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-51701.94</v>
      </c>
      <c r="X410" s="8">
        <f>IFERROR(W410/W444, "NA")</f>
        <v>1.0475165671597051</v>
      </c>
      <c r="Y410" s="9"/>
      <c r="Z410" s="7">
        <v>43458.239999999998</v>
      </c>
      <c r="AA410" s="8">
        <f>IFERROR(Z410/Z444, "NA")</f>
        <v>4.340931769895328E-2</v>
      </c>
      <c r="AB410" s="9"/>
      <c r="AC410" s="10">
        <f t="shared" si="103"/>
        <v>-8243.7000000000044</v>
      </c>
      <c r="AD410" s="8">
        <f>IFERROR(AC410/AC444, "NA")</f>
        <v>-0.12490363706445781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16.91</v>
      </c>
      <c r="C417" s="8">
        <f>IFERROR(B417/B444, "NA")</f>
        <v>2.0504433310694791E-4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-16.91</v>
      </c>
      <c r="I417" s="8">
        <f>IFERROR(H417/H444, "NA")</f>
        <v>4.4751787689685709E-3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-16.91</v>
      </c>
      <c r="O417" s="8">
        <f>IFERROR(N417/N444, "NA")</f>
        <v>-4.3435041367317654E-3</v>
      </c>
      <c r="P417" s="9"/>
      <c r="Q417" s="7">
        <v>-35.869999999999997</v>
      </c>
      <c r="R417" s="8">
        <f>IFERROR(Q417/Q444, "NA")</f>
        <v>-3.3613603503116606E-5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35.869999999999997</v>
      </c>
      <c r="X417" s="8">
        <f>IFERROR(W417/W444, "NA")</f>
        <v>-7.2675066475297865E-4</v>
      </c>
      <c r="Y417" s="9"/>
      <c r="Z417" s="7">
        <v>-56.46</v>
      </c>
      <c r="AA417" s="8">
        <f>IFERROR(Z417/Z444, "NA")</f>
        <v>-5.6396441210755478E-5</v>
      </c>
      <c r="AB417" s="9"/>
      <c r="AC417" s="10">
        <f t="shared" si="103"/>
        <v>-20.590000000000003</v>
      </c>
      <c r="AD417" s="8">
        <f>IFERROR(AC417/AC444, "NA")</f>
        <v>-3.1196742811567444E-4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1370.4</v>
      </c>
      <c r="C424" s="8">
        <f>IFERROR(B424/B444, "NA")</f>
        <v>1.6616957663498605E-2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-1370.4</v>
      </c>
      <c r="I424" s="8">
        <f>IFERROR(H424/H444, "NA")</f>
        <v>0.36267208663480366</v>
      </c>
      <c r="J424" s="9"/>
      <c r="K424" s="7">
        <v>328.58</v>
      </c>
      <c r="L424" s="8">
        <f>IFERROR(K424/K444, "NA")</f>
        <v>4.1816414005151643E-3</v>
      </c>
      <c r="M424" s="9"/>
      <c r="N424" s="10">
        <f t="shared" si="101"/>
        <v>-1041.8200000000002</v>
      </c>
      <c r="O424" s="8">
        <f>IFERROR(N424/N444, "NA")</f>
        <v>-0.26760197987758066</v>
      </c>
      <c r="P424" s="9"/>
      <c r="Q424" s="7">
        <v>1610</v>
      </c>
      <c r="R424" s="8">
        <f>IFERROR(Q424/Q444, "NA")</f>
        <v>1.5087232127130679E-3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-1610</v>
      </c>
      <c r="X424" s="8">
        <f>IFERROR(W424/W444, "NA")</f>
        <v>3.2619698083420565E-2</v>
      </c>
      <c r="Y424" s="9"/>
      <c r="Z424" s="7">
        <v>2300</v>
      </c>
      <c r="AA424" s="8">
        <f>IFERROR(Z424/Z444, "NA")</f>
        <v>2.297410818008105E-3</v>
      </c>
      <c r="AB424" s="9"/>
      <c r="AC424" s="10">
        <f t="shared" si="103"/>
        <v>690</v>
      </c>
      <c r="AD424" s="8">
        <f>IFERROR(AC424/AC444, "NA")</f>
        <v>1.045446942204057E-2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-118.75</v>
      </c>
      <c r="C426" s="8">
        <f>IFERROR(B426/B444, "NA")</f>
        <v>-1.4399180695712633E-3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118.75</v>
      </c>
      <c r="I426" s="8">
        <f>IFERROR(H426/H444, "NA")</f>
        <v>-3.1426817197812998E-2</v>
      </c>
      <c r="J426" s="9"/>
      <c r="K426" s="7">
        <v>-156.02000000000001</v>
      </c>
      <c r="L426" s="8">
        <f>IFERROR(K426/K444, "NA")</f>
        <v>-1.9855733498946255E-3</v>
      </c>
      <c r="M426" s="9"/>
      <c r="N426" s="10">
        <f t="shared" si="101"/>
        <v>-37.27000000000001</v>
      </c>
      <c r="O426" s="8">
        <f>IFERROR(N426/N444, "NA")</f>
        <v>-9.5731755869895296E-3</v>
      </c>
      <c r="P426" s="9"/>
      <c r="Q426" s="7">
        <v>-1587.46</v>
      </c>
      <c r="R426" s="8">
        <f>IFERROR(Q426/Q444, "NA")</f>
        <v>-1.4876010877350849E-3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1587.46</v>
      </c>
      <c r="X426" s="8">
        <f>IFERROR(W426/W444, "NA")</f>
        <v>-3.2163022310252677E-2</v>
      </c>
      <c r="Y426" s="9"/>
      <c r="Z426" s="7">
        <v>-2036.43</v>
      </c>
      <c r="AA426" s="8">
        <f>IFERROR(Z426/Z444, "NA")</f>
        <v>-2.0341375270070631E-3</v>
      </c>
      <c r="AB426" s="9"/>
      <c r="AC426" s="10">
        <f t="shared" si="103"/>
        <v>-448.97</v>
      </c>
      <c r="AD426" s="8">
        <f>IFERROR(AC426/AC444, "NA")</f>
        <v>-6.8025262846573261E-3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6004.1900000000005</v>
      </c>
      <c r="C428" s="15">
        <f>IFERROR(B428/B444, "NA")</f>
        <v>7.2804561466434395E-2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-6004.1900000000005</v>
      </c>
      <c r="I428" s="15">
        <f>IFERROR(H428/H444, "NA")</f>
        <v>1.5889901604289418</v>
      </c>
      <c r="J428" s="2"/>
      <c r="K428" s="14">
        <f>IFERROR(K407+K408+K409+K410+K411+K412+K413+K414+K415+K416+K417+K418+K419+K420+K421+K422+K423+K424+K425+K426+K427, "NA")</f>
        <v>3959.2000000000003</v>
      </c>
      <c r="L428" s="15">
        <f>IFERROR(K428/K444, "NA")</f>
        <v>5.0386373586096662E-2</v>
      </c>
      <c r="M428" s="2"/>
      <c r="N428" s="14">
        <f t="shared" si="101"/>
        <v>-2044.9900000000002</v>
      </c>
      <c r="O428" s="15">
        <f>IFERROR(N428/N444, "NA")</f>
        <v>-0.52527631724276136</v>
      </c>
      <c r="P428" s="2"/>
      <c r="Q428" s="14">
        <f>IFERROR(Q407+Q408+Q409+Q410+Q411+Q412+Q413+Q414+Q415+Q416+Q417+Q418+Q419+Q420+Q421+Q422+Q423+Q424+Q425+Q426+Q427, "NA")</f>
        <v>51688.61</v>
      </c>
      <c r="R428" s="15">
        <f>IFERROR(Q428/Q444, "NA")</f>
        <v>4.8437146422281245E-2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-51688.61</v>
      </c>
      <c r="X428" s="15">
        <f>IFERROR(W428/W444, "NA")</f>
        <v>1.0472464922681199</v>
      </c>
      <c r="Y428" s="2"/>
      <c r="Z428" s="14">
        <f>IFERROR(Z407+Z408+Z409+Z410+Z411+Z412+Z413+Z414+Z415+Z416+Z417+Z418+Z419+Z420+Z421+Z422+Z423+Z424+Z425+Z426+Z427, "NA")</f>
        <v>-12948.650000000001</v>
      </c>
      <c r="AA428" s="15">
        <f>IFERROR(Z428/Z444, "NA")</f>
        <v>-1.2934073299391587E-2</v>
      </c>
      <c r="AB428" s="2"/>
      <c r="AC428" s="14">
        <f t="shared" si="103"/>
        <v>-64637.26</v>
      </c>
      <c r="AD428" s="15">
        <f>IFERROR(AC428/AC444, "NA")</f>
        <v>-0.97934530173113921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6004.1900000000005</v>
      </c>
      <c r="C429" s="15">
        <f>IFERROR(B429/B444, "NA")</f>
        <v>7.2804561466434395E-2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-6004.1900000000005</v>
      </c>
      <c r="I429" s="15">
        <f>IFERROR(H429/H444, "NA")</f>
        <v>1.5889901604289418</v>
      </c>
      <c r="J429" s="2"/>
      <c r="K429" s="14">
        <f>IFERROR(K407+K408+K409+K410+K411+K412+K413+K414+K415+K416+K417+K418+K419+K420+K421+K422+K423+K424+K425+K426+K427, "NA")</f>
        <v>3959.2000000000003</v>
      </c>
      <c r="L429" s="15">
        <f>IFERROR(K429/K444, "NA")</f>
        <v>5.0386373586096662E-2</v>
      </c>
      <c r="M429" s="2"/>
      <c r="N429" s="14">
        <f t="shared" si="101"/>
        <v>-2044.9900000000002</v>
      </c>
      <c r="O429" s="15">
        <f>IFERROR(N429/N444, "NA")</f>
        <v>-0.52527631724276136</v>
      </c>
      <c r="P429" s="2"/>
      <c r="Q429" s="14">
        <f>IFERROR(Q407+Q408+Q409+Q410+Q411+Q412+Q413+Q414+Q415+Q416+Q417+Q418+Q419+Q420+Q421+Q422+Q423+Q424+Q425+Q426+Q427, "NA")</f>
        <v>51688.61</v>
      </c>
      <c r="R429" s="15">
        <f>IFERROR(Q429/Q444, "NA")</f>
        <v>4.8437146422281245E-2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-51688.61</v>
      </c>
      <c r="X429" s="15">
        <f>IFERROR(W429/W444, "NA")</f>
        <v>1.0472464922681199</v>
      </c>
      <c r="Y429" s="2"/>
      <c r="Z429" s="14">
        <f>IFERROR(Z407+Z408+Z409+Z410+Z411+Z412+Z413+Z414+Z415+Z416+Z417+Z418+Z419+Z420+Z421+Z422+Z423+Z424+Z425+Z426+Z427, "NA")</f>
        <v>-12948.650000000001</v>
      </c>
      <c r="AA429" s="15">
        <f>IFERROR(Z429/Z444, "NA")</f>
        <v>-1.2934073299391587E-2</v>
      </c>
      <c r="AB429" s="2"/>
      <c r="AC429" s="14">
        <f t="shared" si="103"/>
        <v>-64637.26</v>
      </c>
      <c r="AD429" s="15">
        <f>IFERROR(AC429/AC444, "NA")</f>
        <v>-0.97934530173113921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-10035.880000000016</v>
      </c>
      <c r="C443" s="24">
        <f>IFERROR(B443/B444, "NA")</f>
        <v>-0.12169132594567472</v>
      </c>
      <c r="D443" s="25"/>
      <c r="E443" s="23">
        <f>IFERROR(E404-E429-E442, "NA")</f>
        <v>2885.5500000000138</v>
      </c>
      <c r="F443" s="24">
        <f>IFERROR(E443/E444, "NA")</f>
        <v>3.3456199110037783E-2</v>
      </c>
      <c r="G443" s="25"/>
      <c r="H443" s="23">
        <f>IFERROR(B443-E443, "NA")</f>
        <v>-12921.430000000029</v>
      </c>
      <c r="I443" s="24">
        <f>IFERROR(H443/H444, "NA")</f>
        <v>3.419616156162844</v>
      </c>
      <c r="J443" s="25"/>
      <c r="K443" s="23">
        <f>IFERROR(K404-K429-K442, "NA")</f>
        <v>-10913.569999999989</v>
      </c>
      <c r="L443" s="24">
        <f>IFERROR(K443/K444, "NA")</f>
        <v>-0.13889048675945048</v>
      </c>
      <c r="M443" s="25"/>
      <c r="N443" s="23">
        <f>IFERROR(B443-K443, "NA")</f>
        <v>877.68999999997322</v>
      </c>
      <c r="O443" s="24">
        <f>IFERROR(N443/N444, "NA")</f>
        <v>0.22544353316191526</v>
      </c>
      <c r="P443" s="25"/>
      <c r="Q443" s="23">
        <f>IFERROR(Q404-Q429-Q442, "NA")</f>
        <v>-20315.919999999853</v>
      </c>
      <c r="R443" s="24">
        <f>IFERROR(Q443/Q444, "NA")</f>
        <v>-1.9037950367466736E-2</v>
      </c>
      <c r="S443" s="25"/>
      <c r="T443" s="23">
        <f>IFERROR(T404-T429-T442, "NA")</f>
        <v>120712.14000000013</v>
      </c>
      <c r="U443" s="24">
        <f>IFERROR(T443/T444, "NA")</f>
        <v>0.1081180945728779</v>
      </c>
      <c r="V443" s="25"/>
      <c r="W443" s="23">
        <f>IFERROR(Q443-T443, "NA")</f>
        <v>-141028.06</v>
      </c>
      <c r="X443" s="24">
        <f>IFERROR(W443/W444, "NA")</f>
        <v>2.8573246822922487</v>
      </c>
      <c r="Y443" s="25"/>
      <c r="Z443" s="23">
        <f>IFERROR(Z404-Z429-Z442, "NA")</f>
        <v>-1811.6799999997529</v>
      </c>
      <c r="AA443" s="24">
        <f>IFERROR(Z443/Z444, "NA")</f>
        <v>-1.8096405351166764E-3</v>
      </c>
      <c r="AB443" s="25"/>
      <c r="AC443" s="23">
        <f>IFERROR(Q443-Z443, "NA")</f>
        <v>-18504.2400000001</v>
      </c>
      <c r="AD443" s="24">
        <f>IFERROR(AC443/AC444, "NA")</f>
        <v>-0.2803652337073928</v>
      </c>
    </row>
    <row r="444" spans="1:30" ht="15.75" hidden="1" x14ac:dyDescent="0.45">
      <c r="A444" s="26" t="s">
        <v>117</v>
      </c>
      <c r="B444" s="7">
        <v>82469.97</v>
      </c>
      <c r="C444" s="27"/>
      <c r="D444" s="9"/>
      <c r="E444" s="7">
        <v>86248.59</v>
      </c>
      <c r="F444" s="27"/>
      <c r="G444" s="9"/>
      <c r="H444" s="10">
        <f>IFERROR(B444-E444, "NA")</f>
        <v>-3778.6199999999953</v>
      </c>
      <c r="I444" s="27"/>
      <c r="J444" s="9"/>
      <c r="K444" s="7">
        <v>78576.800000000003</v>
      </c>
      <c r="L444" s="27"/>
      <c r="M444" s="9"/>
      <c r="N444" s="10">
        <f>IFERROR(B444-K444, "NA")</f>
        <v>3893.1699999999983</v>
      </c>
      <c r="O444" s="27"/>
      <c r="P444" s="9"/>
      <c r="Q444" s="7">
        <v>1067127.48</v>
      </c>
      <c r="R444" s="27"/>
      <c r="S444" s="9"/>
      <c r="T444" s="7">
        <v>1116484.1599999999</v>
      </c>
      <c r="U444" s="27"/>
      <c r="V444" s="9"/>
      <c r="W444" s="10">
        <f>IFERROR(Q444-T444, "NA")</f>
        <v>-49356.679999999935</v>
      </c>
      <c r="X444" s="27"/>
      <c r="Y444" s="9"/>
      <c r="Z444" s="7">
        <v>1001127</v>
      </c>
      <c r="AA444" s="27"/>
      <c r="AB444" s="9"/>
      <c r="AC444" s="10">
        <f>IFERROR(Q444-Z444, "NA")</f>
        <v>66000.479999999981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42146.239999999998</v>
      </c>
      <c r="F10" s="8">
        <f>IFERROR(E10/E444, "NA")</f>
        <v>0.24000000455556661</v>
      </c>
      <c r="G10" s="9"/>
      <c r="H10" s="10">
        <f t="shared" ref="H10:H19" si="0">IFERROR(B10-E10, "NA")</f>
        <v>-42146.239999999998</v>
      </c>
      <c r="I10" s="8">
        <f>IFERROR(H10/H444, "NA")</f>
        <v>1.8241998341409877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533253.30000000005</v>
      </c>
      <c r="U10" s="8">
        <f>IFERROR(T10/T444, "NA")</f>
        <v>0.23999999783967585</v>
      </c>
      <c r="V10" s="9"/>
      <c r="W10" s="10">
        <f t="shared" ref="W10:W19" si="2">IFERROR(Q10-T10, "NA")</f>
        <v>-533253.30000000005</v>
      </c>
      <c r="X10" s="8">
        <f>IFERROR(W10/W444, "NA")</f>
        <v>21.9281747236017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34856.39</v>
      </c>
      <c r="C11" s="8">
        <f>IFERROR(B11/B444, "NA")</f>
        <v>0.22855844354857799</v>
      </c>
      <c r="D11" s="9"/>
      <c r="E11" s="7">
        <v>0</v>
      </c>
      <c r="F11" s="8">
        <f>IFERROR(E11/E444, "NA")</f>
        <v>0</v>
      </c>
      <c r="G11" s="9"/>
      <c r="H11" s="10">
        <f t="shared" si="0"/>
        <v>34856.39</v>
      </c>
      <c r="I11" s="8">
        <f>IFERROR(H11/H444, "NA")</f>
        <v>-1.5086760018628846</v>
      </c>
      <c r="J11" s="9"/>
      <c r="K11" s="7">
        <v>45064.32</v>
      </c>
      <c r="L11" s="8">
        <f>IFERROR(K11/K444, "NA")</f>
        <v>0.29071781708751127</v>
      </c>
      <c r="M11" s="9"/>
      <c r="N11" s="10">
        <f t="shared" si="1"/>
        <v>-10207.93</v>
      </c>
      <c r="O11" s="8">
        <f>IFERROR(N11/N444, "NA")</f>
        <v>4.0747779574077496</v>
      </c>
      <c r="P11" s="9"/>
      <c r="Q11" s="7">
        <v>585839.92000000004</v>
      </c>
      <c r="R11" s="8">
        <f>IFERROR(Q11/Q444, "NA")</f>
        <v>0.26658525676756534</v>
      </c>
      <c r="S11" s="9"/>
      <c r="T11" s="7">
        <v>0</v>
      </c>
      <c r="U11" s="8">
        <f>IFERROR(T11/T444, "NA")</f>
        <v>0</v>
      </c>
      <c r="V11" s="9"/>
      <c r="W11" s="10">
        <f t="shared" si="2"/>
        <v>585839.92000000004</v>
      </c>
      <c r="X11" s="8">
        <f>IFERROR(W11/W444, "NA")</f>
        <v>-24.090615333877619</v>
      </c>
      <c r="Y11" s="9"/>
      <c r="Z11" s="7">
        <v>501515.31</v>
      </c>
      <c r="AA11" s="8">
        <f>IFERROR(Z11/Z444, "NA")</f>
        <v>0.24872662797395309</v>
      </c>
      <c r="AB11" s="9"/>
      <c r="AC11" s="10">
        <f t="shared" si="3"/>
        <v>84324.610000000044</v>
      </c>
      <c r="AD11" s="8">
        <f>IFERROR(AC11/AC444, "NA")</f>
        <v>0.46526697675044826</v>
      </c>
    </row>
    <row r="12" spans="1:30" ht="16.5" customHeight="1" x14ac:dyDescent="0.45">
      <c r="A12" s="12" t="s">
        <v>14</v>
      </c>
      <c r="B12" s="7">
        <v>2902.45</v>
      </c>
      <c r="C12" s="8">
        <f>IFERROR(B12/B444, "NA")</f>
        <v>1.9031788847828766E-2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2902.45</v>
      </c>
      <c r="I12" s="8">
        <f>IFERROR(H12/H444, "NA")</f>
        <v>-0.12562565032141679</v>
      </c>
      <c r="J12" s="9"/>
      <c r="K12" s="7">
        <v>4225.8500000000004</v>
      </c>
      <c r="L12" s="8">
        <f>IFERROR(K12/K444, "NA")</f>
        <v>2.7261698109263814E-2</v>
      </c>
      <c r="M12" s="9"/>
      <c r="N12" s="10">
        <f t="shared" si="1"/>
        <v>-1323.4000000000005</v>
      </c>
      <c r="O12" s="8">
        <f>IFERROR(N12/N444, "NA")</f>
        <v>0.52827176017404287</v>
      </c>
      <c r="P12" s="9"/>
      <c r="Q12" s="7">
        <v>55939.39</v>
      </c>
      <c r="R12" s="8">
        <f>IFERROR(Q12/Q444, "NA")</f>
        <v>2.5455104948414877E-2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55939.39</v>
      </c>
      <c r="X12" s="8">
        <f>IFERROR(W12/W444, "NA")</f>
        <v>-2.3003115364718747</v>
      </c>
      <c r="Y12" s="9"/>
      <c r="Z12" s="7">
        <v>43701.3</v>
      </c>
      <c r="AA12" s="8">
        <f>IFERROR(Z12/Z444, "NA")</f>
        <v>2.1673669318446366E-2</v>
      </c>
      <c r="AB12" s="9"/>
      <c r="AC12" s="10">
        <f t="shared" si="3"/>
        <v>12238.089999999997</v>
      </c>
      <c r="AD12" s="8">
        <f>IFERROR(AC12/AC444, "NA")</f>
        <v>6.7524523807461295E-2</v>
      </c>
    </row>
    <row r="13" spans="1:30" ht="16.5" customHeight="1" x14ac:dyDescent="0.45">
      <c r="A13" s="12" t="s">
        <v>15</v>
      </c>
      <c r="B13" s="7">
        <v>107.5</v>
      </c>
      <c r="C13" s="8">
        <f>IFERROR(B13/B444, "NA")</f>
        <v>7.0489321130134638E-4</v>
      </c>
      <c r="D13" s="9"/>
      <c r="E13" s="7">
        <v>0</v>
      </c>
      <c r="F13" s="8">
        <f>IFERROR(E13/E444, "NA")</f>
        <v>0</v>
      </c>
      <c r="G13" s="9"/>
      <c r="H13" s="10">
        <f t="shared" si="0"/>
        <v>107.5</v>
      </c>
      <c r="I13" s="8">
        <f>IFERROR(H13/H444, "NA")</f>
        <v>-4.6528820167624965E-3</v>
      </c>
      <c r="J13" s="9"/>
      <c r="K13" s="7">
        <v>282</v>
      </c>
      <c r="L13" s="8">
        <f>IFERROR(K13/K444, "NA")</f>
        <v>1.81923136571634E-3</v>
      </c>
      <c r="M13" s="9"/>
      <c r="N13" s="10">
        <f t="shared" si="1"/>
        <v>-174.5</v>
      </c>
      <c r="O13" s="8">
        <f>IFERROR(N13/N444, "NA")</f>
        <v>6.9656507594355793E-2</v>
      </c>
      <c r="P13" s="9"/>
      <c r="Q13" s="7">
        <v>3300.5</v>
      </c>
      <c r="R13" s="8">
        <f>IFERROR(Q13/Q444, "NA")</f>
        <v>1.5018857710504764E-3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3300.5</v>
      </c>
      <c r="X13" s="8">
        <f>IFERROR(W13/W444, "NA")</f>
        <v>-0.13572150547450415</v>
      </c>
      <c r="Y13" s="9"/>
      <c r="Z13" s="7">
        <v>2995</v>
      </c>
      <c r="AA13" s="8">
        <f>IFERROR(Z13/Z444, "NA")</f>
        <v>1.4853709067864538E-3</v>
      </c>
      <c r="AB13" s="9"/>
      <c r="AC13" s="10">
        <f t="shared" si="3"/>
        <v>305.5</v>
      </c>
      <c r="AD13" s="8">
        <f>IFERROR(AC13/AC444, "NA")</f>
        <v>1.6856177739483392E-3</v>
      </c>
    </row>
    <row r="14" spans="1:30" ht="16.5" customHeight="1" x14ac:dyDescent="0.45">
      <c r="A14" s="12" t="s">
        <v>16</v>
      </c>
      <c r="B14" s="7">
        <v>15</v>
      </c>
      <c r="C14" s="8">
        <f>IFERROR(B14/B444, "NA")</f>
        <v>9.8357192274606468E-5</v>
      </c>
      <c r="D14" s="9"/>
      <c r="E14" s="7">
        <v>0</v>
      </c>
      <c r="F14" s="8">
        <f>IFERROR(E14/E444, "NA")</f>
        <v>0</v>
      </c>
      <c r="G14" s="9"/>
      <c r="H14" s="10">
        <f t="shared" si="0"/>
        <v>15</v>
      </c>
      <c r="I14" s="8">
        <f>IFERROR(H14/H444, "NA")</f>
        <v>-6.4923935117616228E-4</v>
      </c>
      <c r="J14" s="9"/>
      <c r="K14" s="7">
        <v>295</v>
      </c>
      <c r="L14" s="8">
        <f>IFERROR(K14/K444, "NA")</f>
        <v>1.903096641440852E-3</v>
      </c>
      <c r="M14" s="9"/>
      <c r="N14" s="10">
        <f t="shared" si="1"/>
        <v>-280</v>
      </c>
      <c r="O14" s="8">
        <f>IFERROR(N14/N444, "NA")</f>
        <v>0.11176975430612963</v>
      </c>
      <c r="P14" s="9"/>
      <c r="Q14" s="7">
        <v>3330</v>
      </c>
      <c r="R14" s="8">
        <f>IFERROR(Q14/Q444, "NA")</f>
        <v>1.5153096856834075E-3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3330</v>
      </c>
      <c r="X14" s="8">
        <f>IFERROR(W14/W444, "NA")</f>
        <v>-0.13693458967735156</v>
      </c>
      <c r="Y14" s="9"/>
      <c r="Z14" s="7">
        <v>7172</v>
      </c>
      <c r="AA14" s="8">
        <f>IFERROR(Z14/Z444, "NA")</f>
        <v>3.5569549727787805E-3</v>
      </c>
      <c r="AB14" s="9"/>
      <c r="AC14" s="10">
        <f t="shared" si="3"/>
        <v>-3842</v>
      </c>
      <c r="AD14" s="8">
        <f>IFERROR(AC14/AC444, "NA")</f>
        <v>-2.1198505687428867E-2</v>
      </c>
    </row>
    <row r="15" spans="1:30" ht="16.5" customHeight="1" x14ac:dyDescent="0.45">
      <c r="A15" s="12" t="s">
        <v>17</v>
      </c>
      <c r="B15" s="7">
        <v>42</v>
      </c>
      <c r="C15" s="8">
        <f>IFERROR(B15/B444, "NA")</f>
        <v>2.7540013836889813E-4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42</v>
      </c>
      <c r="I15" s="8">
        <f>IFERROR(H15/H444, "NA")</f>
        <v>-1.8178701832932543E-3</v>
      </c>
      <c r="J15" s="9"/>
      <c r="K15" s="7">
        <v>57</v>
      </c>
      <c r="L15" s="8">
        <f>IFERROR(K15/K444, "NA")</f>
        <v>3.6771697817670698E-4</v>
      </c>
      <c r="M15" s="9"/>
      <c r="N15" s="10">
        <f t="shared" si="1"/>
        <v>-15</v>
      </c>
      <c r="O15" s="8">
        <f>IFERROR(N15/N444, "NA")</f>
        <v>5.9876654092569448E-3</v>
      </c>
      <c r="P15" s="9"/>
      <c r="Q15" s="7">
        <v>936</v>
      </c>
      <c r="R15" s="8">
        <f>IFERROR(Q15/Q444, "NA")</f>
        <v>4.2592488462452532E-4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936</v>
      </c>
      <c r="X15" s="8">
        <f>IFERROR(W15/W444, "NA")</f>
        <v>-3.8489722503904221E-2</v>
      </c>
      <c r="Y15" s="9"/>
      <c r="Z15" s="7">
        <v>1015</v>
      </c>
      <c r="AA15" s="8">
        <f>IFERROR(Z15/Z444, "NA")</f>
        <v>5.0338947258372316E-4</v>
      </c>
      <c r="AB15" s="9"/>
      <c r="AC15" s="10">
        <f t="shared" si="3"/>
        <v>-79</v>
      </c>
      <c r="AD15" s="8">
        <f>IFERROR(AC15/AC444, "NA")</f>
        <v>-4.3588806593099444E-4</v>
      </c>
    </row>
    <row r="16" spans="1:30" ht="16.5" customHeight="1" x14ac:dyDescent="0.45">
      <c r="A16" s="12" t="s">
        <v>18</v>
      </c>
      <c r="B16" s="7">
        <v>84.31</v>
      </c>
      <c r="C16" s="8">
        <f>IFERROR(B16/B444, "NA")</f>
        <v>5.5283299204480477E-4</v>
      </c>
      <c r="D16" s="9"/>
      <c r="E16" s="7">
        <v>0</v>
      </c>
      <c r="F16" s="8">
        <f>IFERROR(E16/E444, "NA")</f>
        <v>0</v>
      </c>
      <c r="G16" s="9"/>
      <c r="H16" s="10">
        <f t="shared" si="0"/>
        <v>84.31</v>
      </c>
      <c r="I16" s="8">
        <f>IFERROR(H16/H444, "NA")</f>
        <v>-3.6491579798441495E-3</v>
      </c>
      <c r="J16" s="9"/>
      <c r="K16" s="7">
        <v>0</v>
      </c>
      <c r="L16" s="8">
        <f>IFERROR(K16/K444, "NA")</f>
        <v>0</v>
      </c>
      <c r="M16" s="9"/>
      <c r="N16" s="10">
        <f t="shared" si="1"/>
        <v>84.31</v>
      </c>
      <c r="O16" s="8">
        <f>IFERROR(N16/N444, "NA")</f>
        <v>-3.3654671376963534E-2</v>
      </c>
      <c r="P16" s="9"/>
      <c r="Q16" s="7">
        <v>88.64</v>
      </c>
      <c r="R16" s="8">
        <f>IFERROR(Q16/Q444, "NA")</f>
        <v>4.0335450612305478E-5</v>
      </c>
      <c r="S16" s="9"/>
      <c r="T16" s="7">
        <v>0</v>
      </c>
      <c r="U16" s="8">
        <f>IFERROR(T16/T444, "NA")</f>
        <v>0</v>
      </c>
      <c r="V16" s="9"/>
      <c r="W16" s="10">
        <f t="shared" si="2"/>
        <v>88.64</v>
      </c>
      <c r="X16" s="8">
        <f>IFERROR(W16/W444, "NA")</f>
        <v>-3.645009618318451E-3</v>
      </c>
      <c r="Y16" s="9"/>
      <c r="Z16" s="7">
        <v>2.1</v>
      </c>
      <c r="AA16" s="8">
        <f>IFERROR(Z16/Z444, "NA")</f>
        <v>1.0414954605180478E-6</v>
      </c>
      <c r="AB16" s="9"/>
      <c r="AC16" s="10">
        <f t="shared" si="3"/>
        <v>86.54</v>
      </c>
      <c r="AD16" s="8">
        <f>IFERROR(AC16/AC444, "NA")</f>
        <v>4.7749054716035772E-4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38007.649999999994</v>
      </c>
      <c r="C18" s="15">
        <f>IFERROR(B18/B444, "NA")</f>
        <v>0.24922171593039638</v>
      </c>
      <c r="D18" s="2"/>
      <c r="E18" s="14">
        <f>IFERROR(E10+E11+E12+E13+E14+E15+E16+E17, "NA")</f>
        <v>42146.239999999998</v>
      </c>
      <c r="F18" s="15">
        <f>IFERROR(E18/E444, "NA")</f>
        <v>0.24000000455556661</v>
      </c>
      <c r="G18" s="2"/>
      <c r="H18" s="14">
        <f t="shared" si="0"/>
        <v>-4138.5900000000038</v>
      </c>
      <c r="I18" s="15">
        <f>IFERROR(H18/H444, "NA")</f>
        <v>0.17912903242561037</v>
      </c>
      <c r="J18" s="2"/>
      <c r="K18" s="14">
        <f>IFERROR(K10+K11+K12+K13+K14+K15+K16+K17, "NA")</f>
        <v>49924.17</v>
      </c>
      <c r="L18" s="15">
        <f>IFERROR(K18/K444, "NA")</f>
        <v>0.32206956018210892</v>
      </c>
      <c r="M18" s="2"/>
      <c r="N18" s="14">
        <f t="shared" si="1"/>
        <v>-11916.520000000004</v>
      </c>
      <c r="O18" s="15">
        <f>IFERROR(N18/N444, "NA")</f>
        <v>4.7568089735145724</v>
      </c>
      <c r="P18" s="2"/>
      <c r="Q18" s="14">
        <f>IFERROR(Q10+Q11+Q12+Q13+Q14+Q15+Q16+Q17, "NA")</f>
        <v>649434.45000000007</v>
      </c>
      <c r="R18" s="15">
        <f>IFERROR(Q18/Q444, "NA")</f>
        <v>0.29552381750795098</v>
      </c>
      <c r="S18" s="2"/>
      <c r="T18" s="14">
        <f>IFERROR(T10+T11+T12+T13+T14+T15+T16+T17, "NA")</f>
        <v>533253.30000000005</v>
      </c>
      <c r="U18" s="15">
        <f>IFERROR(T18/T444, "NA")</f>
        <v>0.23999999783967585</v>
      </c>
      <c r="V18" s="2"/>
      <c r="W18" s="14">
        <f t="shared" si="2"/>
        <v>116181.15000000002</v>
      </c>
      <c r="X18" s="15">
        <f>IFERROR(W18/W444, "NA")</f>
        <v>-4.7775429740218724</v>
      </c>
      <c r="Y18" s="2"/>
      <c r="Z18" s="14">
        <f>IFERROR(Z10+Z11+Z12+Z13+Z14+Z15+Z16+Z17, "NA")</f>
        <v>556400.71</v>
      </c>
      <c r="AA18" s="15">
        <f>IFERROR(Z18/Z444, "NA")</f>
        <v>0.27594705414000892</v>
      </c>
      <c r="AB18" s="2"/>
      <c r="AC18" s="14">
        <f t="shared" si="3"/>
        <v>93033.740000000107</v>
      </c>
      <c r="AD18" s="15">
        <f>IFERROR(AC18/AC444, "NA")</f>
        <v>0.51332021512565873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9834.1200000000008</v>
      </c>
      <c r="F21" s="8">
        <f>IFERROR(E21/E444, "NA")</f>
        <v>5.5999985877743519E-2</v>
      </c>
      <c r="G21" s="9"/>
      <c r="H21" s="10">
        <f t="shared" ref="H21:H29" si="4">IFERROR(B21-E21, "NA")</f>
        <v>-9834.1200000000008</v>
      </c>
      <c r="I21" s="8">
        <f>IFERROR(H21/H444, "NA")</f>
        <v>0.42564651254590141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124425.77</v>
      </c>
      <c r="U21" s="8">
        <f>IFERROR(T21/T444, "NA")</f>
        <v>5.5999999495924366E-2</v>
      </c>
      <c r="V21" s="9"/>
      <c r="W21" s="10">
        <f t="shared" ref="W21:W29" si="6">IFERROR(Q21-T21, "NA")</f>
        <v>-124425.77</v>
      </c>
      <c r="X21" s="8">
        <f>IFERROR(W21/W444, "NA")</f>
        <v>5.1165741021737299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8666.1200000000008</v>
      </c>
      <c r="C22" s="8">
        <f>IFERROR(B22/B444, "NA")</f>
        <v>5.6825015407654174E-2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8666.1200000000008</v>
      </c>
      <c r="I22" s="8">
        <f>IFERROR(H22/H444, "NA")</f>
        <v>-0.37509240840098423</v>
      </c>
      <c r="J22" s="9"/>
      <c r="K22" s="7">
        <v>8056.65</v>
      </c>
      <c r="L22" s="8">
        <f>IFERROR(K22/K444, "NA")</f>
        <v>5.1974859512760811E-2</v>
      </c>
      <c r="M22" s="9"/>
      <c r="N22" s="10">
        <f t="shared" si="5"/>
        <v>609.47000000000116</v>
      </c>
      <c r="O22" s="8">
        <f>IFERROR(N22/N444, "NA")</f>
        <v>-0.24328682913198912</v>
      </c>
      <c r="P22" s="9"/>
      <c r="Q22" s="7">
        <v>97026.05</v>
      </c>
      <c r="R22" s="8">
        <f>IFERROR(Q22/Q444, "NA")</f>
        <v>4.4151505504084858E-2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97026.05</v>
      </c>
      <c r="X22" s="8">
        <f>IFERROR(W22/W444, "NA")</f>
        <v>-3.9898565599892479</v>
      </c>
      <c r="Y22" s="9"/>
      <c r="Z22" s="7">
        <v>82559.27</v>
      </c>
      <c r="AA22" s="8">
        <f>IFERROR(Z22/Z444, "NA")</f>
        <v>4.0945288061278028E-2</v>
      </c>
      <c r="AB22" s="9"/>
      <c r="AC22" s="10">
        <f t="shared" si="7"/>
        <v>14466.779999999999</v>
      </c>
      <c r="AD22" s="8">
        <f>IFERROR(AC22/AC444, "NA")</f>
        <v>7.9821477904420138E-2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946.52</v>
      </c>
      <c r="C24" s="8">
        <f>IFERROR(B24/B444, "NA")</f>
        <v>6.2064699754507003E-3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946.52</v>
      </c>
      <c r="I24" s="8">
        <f>IFERROR(H24/H444, "NA")</f>
        <v>-4.096786871168407E-2</v>
      </c>
      <c r="J24" s="9"/>
      <c r="K24" s="7">
        <v>1555.4</v>
      </c>
      <c r="L24" s="8">
        <f>IFERROR(K24/K444, "NA")</f>
        <v>1.0034157681685089E-2</v>
      </c>
      <c r="M24" s="9"/>
      <c r="N24" s="10">
        <f t="shared" si="5"/>
        <v>-608.88000000000011</v>
      </c>
      <c r="O24" s="8">
        <f>IFERROR(N24/N444, "NA")</f>
        <v>0.24305131429255794</v>
      </c>
      <c r="P24" s="9"/>
      <c r="Q24" s="7">
        <v>17818.53</v>
      </c>
      <c r="R24" s="8">
        <f>IFERROR(Q24/Q444, "NA")</f>
        <v>8.1082856137058151E-3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17818.53</v>
      </c>
      <c r="X24" s="8">
        <f>IFERROR(W24/W444, "NA")</f>
        <v>-0.7327246529139877</v>
      </c>
      <c r="Y24" s="9"/>
      <c r="Z24" s="7">
        <v>10054.81</v>
      </c>
      <c r="AA24" s="8">
        <f>IFERROR(Z24/Z444, "NA")</f>
        <v>4.9866852244626059E-3</v>
      </c>
      <c r="AB24" s="9"/>
      <c r="AC24" s="10">
        <f t="shared" si="7"/>
        <v>7763.7199999999993</v>
      </c>
      <c r="AD24" s="8">
        <f>IFERROR(AC24/AC444, "NA")</f>
        <v>4.2836872091516195E-2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1615.7</v>
      </c>
      <c r="C26" s="8">
        <f>IFERROR(B26/B444, "NA")</f>
        <v>1.0594381037205445E-2</v>
      </c>
      <c r="D26" s="9"/>
      <c r="E26" s="7">
        <v>0</v>
      </c>
      <c r="F26" s="8">
        <f>IFERROR(E26/E444, "NA")</f>
        <v>0</v>
      </c>
      <c r="G26" s="9"/>
      <c r="H26" s="10">
        <f t="shared" si="4"/>
        <v>1615.7</v>
      </c>
      <c r="I26" s="8">
        <f>IFERROR(H26/H444, "NA")</f>
        <v>-6.993173464635502E-2</v>
      </c>
      <c r="J26" s="9"/>
      <c r="K26" s="7">
        <v>2070.61</v>
      </c>
      <c r="L26" s="8">
        <f>IFERROR(K26/K444, "NA")</f>
        <v>1.335786758214862E-2</v>
      </c>
      <c r="M26" s="9"/>
      <c r="N26" s="10">
        <f t="shared" si="5"/>
        <v>-454.91000000000008</v>
      </c>
      <c r="O26" s="8">
        <f>IFERROR(N26/N444, "NA")</f>
        <v>0.18158992475500516</v>
      </c>
      <c r="P26" s="9"/>
      <c r="Q26" s="7">
        <v>23708.959999999999</v>
      </c>
      <c r="R26" s="8">
        <f>IFERROR(Q26/Q444, "NA")</f>
        <v>1.0788713731375519E-2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23708.959999999999</v>
      </c>
      <c r="X26" s="8">
        <f>IFERROR(W26/W444, "NA")</f>
        <v>-0.974947960743766</v>
      </c>
      <c r="Y26" s="9"/>
      <c r="Z26" s="7">
        <v>21386.52</v>
      </c>
      <c r="AA26" s="8">
        <f>IFERROR(Z26/Z444, "NA")</f>
        <v>1.0606649283942114E-2</v>
      </c>
      <c r="AB26" s="9"/>
      <c r="AC26" s="10">
        <f t="shared" si="7"/>
        <v>2322.4399999999987</v>
      </c>
      <c r="AD26" s="8">
        <f>IFERROR(AC26/AC444, "NA")</f>
        <v>1.2814226327098457E-2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179.91</v>
      </c>
      <c r="AA27" s="8">
        <f>IFERROR(Z27/Z444, "NA")</f>
        <v>8.9226403953239039E-5</v>
      </c>
      <c r="AB27" s="9"/>
      <c r="AC27" s="10">
        <f t="shared" si="7"/>
        <v>-179.91</v>
      </c>
      <c r="AD27" s="8">
        <f>IFERROR(AC27/AC444, "NA")</f>
        <v>-9.9266610052715443E-4</v>
      </c>
    </row>
    <row r="28" spans="1:30" ht="16.5" customHeight="1" x14ac:dyDescent="0.45">
      <c r="A28" s="12" t="s">
        <v>29</v>
      </c>
      <c r="B28" s="7">
        <v>838.6</v>
      </c>
      <c r="C28" s="8">
        <f>IFERROR(B28/B444, "NA")</f>
        <v>5.4988227627656653E-3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838.6</v>
      </c>
      <c r="I28" s="8">
        <f>IFERROR(H28/H444, "NA")</f>
        <v>-3.6296807993088646E-2</v>
      </c>
      <c r="J28" s="9"/>
      <c r="K28" s="7">
        <v>694.84</v>
      </c>
      <c r="L28" s="8">
        <f>IFERROR(K28/K444, "NA")</f>
        <v>4.4825344757246158E-3</v>
      </c>
      <c r="M28" s="9"/>
      <c r="N28" s="10">
        <f t="shared" si="5"/>
        <v>143.76</v>
      </c>
      <c r="O28" s="8">
        <f>IFERROR(N28/N444, "NA")</f>
        <v>-5.7385785282318552E-2</v>
      </c>
      <c r="P28" s="9"/>
      <c r="Q28" s="7">
        <v>10039.24</v>
      </c>
      <c r="R28" s="8">
        <f>IFERROR(Q28/Q444, "NA")</f>
        <v>4.568335618288376E-3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10039.24</v>
      </c>
      <c r="X28" s="8">
        <f>IFERROR(W28/W444, "NA")</f>
        <v>-0.41282859161334978</v>
      </c>
      <c r="Y28" s="9"/>
      <c r="Z28" s="7">
        <v>8782.3700000000008</v>
      </c>
      <c r="AA28" s="8">
        <f>IFERROR(Z28/Z444, "NA")</f>
        <v>4.3556183274237568E-3</v>
      </c>
      <c r="AB28" s="9"/>
      <c r="AC28" s="10">
        <f t="shared" si="7"/>
        <v>1256.869999999999</v>
      </c>
      <c r="AD28" s="8">
        <f>IFERROR(AC28/AC444, "NA")</f>
        <v>6.9348687775530188E-3</v>
      </c>
    </row>
    <row r="29" spans="1:30" ht="16.5" customHeight="1" x14ac:dyDescent="0.45">
      <c r="A29" s="13" t="s">
        <v>30</v>
      </c>
      <c r="B29" s="14">
        <f>IFERROR(B21+B22+B23+B24+B25+B26+B27+B28, "NA")</f>
        <v>12066.940000000002</v>
      </c>
      <c r="C29" s="15">
        <f>IFERROR(B29/B444, "NA")</f>
        <v>7.9124689183075997E-2</v>
      </c>
      <c r="D29" s="2"/>
      <c r="E29" s="14">
        <f>IFERROR(E21+E22+E23+E24+E25+E26+E27+E28, "NA")</f>
        <v>9834.1200000000008</v>
      </c>
      <c r="F29" s="15">
        <f>IFERROR(E29/E444, "NA")</f>
        <v>5.5999985877743519E-2</v>
      </c>
      <c r="G29" s="2"/>
      <c r="H29" s="14">
        <f t="shared" si="4"/>
        <v>2232.8200000000015</v>
      </c>
      <c r="I29" s="15">
        <f>IFERROR(H29/H444, "NA")</f>
        <v>-9.6642307206210643E-2</v>
      </c>
      <c r="J29" s="2"/>
      <c r="K29" s="14">
        <f>IFERROR(K21+K22+K23+K24+K25+K26+K27+K28, "NA")</f>
        <v>12377.5</v>
      </c>
      <c r="L29" s="15">
        <f>IFERROR(K29/K444, "NA")</f>
        <v>7.9849419252319143E-2</v>
      </c>
      <c r="M29" s="2"/>
      <c r="N29" s="14">
        <f t="shared" si="5"/>
        <v>-310.55999999999767</v>
      </c>
      <c r="O29" s="15">
        <f>IFERROR(N29/N444, "NA")</f>
        <v>0.12396862463325485</v>
      </c>
      <c r="P29" s="2"/>
      <c r="Q29" s="14">
        <f>IFERROR(Q21+Q22+Q23+Q24+Q25+Q26+Q27+Q28, "NA")</f>
        <v>148592.78</v>
      </c>
      <c r="R29" s="15">
        <f>IFERROR(Q29/Q444, "NA")</f>
        <v>6.7616840467454573E-2</v>
      </c>
      <c r="S29" s="2"/>
      <c r="T29" s="14">
        <f>IFERROR(T21+T22+T23+T24+T25+T26+T27+T28, "NA")</f>
        <v>124425.77</v>
      </c>
      <c r="U29" s="15">
        <f>IFERROR(T29/T444, "NA")</f>
        <v>5.5999999495924366E-2</v>
      </c>
      <c r="V29" s="2"/>
      <c r="W29" s="14">
        <f t="shared" si="6"/>
        <v>24167.009999999995</v>
      </c>
      <c r="X29" s="15">
        <f>IFERROR(W29/W444, "NA")</f>
        <v>-0.99378366308662192</v>
      </c>
      <c r="Y29" s="2"/>
      <c r="Z29" s="14">
        <f>IFERROR(Z21+Z22+Z23+Z24+Z25+Z26+Z27+Z28, "NA")</f>
        <v>122962.88</v>
      </c>
      <c r="AA29" s="15">
        <f>IFERROR(Z29/Z444, "NA")</f>
        <v>6.0983467301059739E-2</v>
      </c>
      <c r="AB29" s="2"/>
      <c r="AC29" s="14">
        <f t="shared" si="7"/>
        <v>25629.899999999994</v>
      </c>
      <c r="AD29" s="15">
        <f>IFERROR(AC29/AC444, "NA")</f>
        <v>0.14141477900006064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47238.91</v>
      </c>
      <c r="F31" s="8">
        <f>IFERROR(E31/E444, "NA")</f>
        <v>0.26900000130972546</v>
      </c>
      <c r="G31" s="9"/>
      <c r="H31" s="10">
        <f t="shared" ref="H31:H40" si="8">IFERROR(B31-E31, "NA")</f>
        <v>-47238.91</v>
      </c>
      <c r="I31" s="8">
        <f>IFERROR(H31/H444, "NA")</f>
        <v>2.0446239519112748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597688.09</v>
      </c>
      <c r="U31" s="8">
        <f>IFERROR(T31/T444, "NA")</f>
        <v>0.26900000489223408</v>
      </c>
      <c r="V31" s="9"/>
      <c r="W31" s="10">
        <f t="shared" ref="W31:W40" si="10">IFERROR(Q31-T31, "NA")</f>
        <v>-597688.09</v>
      </c>
      <c r="X31" s="8">
        <f>IFERROR(W31/W444, "NA")</f>
        <v>24.577829837594585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19781.47</v>
      </c>
      <c r="C33" s="8">
        <f>IFERROR(B33/B444, "NA")</f>
        <v>0.12970998988429064</v>
      </c>
      <c r="D33" s="9"/>
      <c r="E33" s="7">
        <v>0</v>
      </c>
      <c r="F33" s="8">
        <f>IFERROR(E33/E444, "NA")</f>
        <v>0</v>
      </c>
      <c r="G33" s="9"/>
      <c r="H33" s="10">
        <f t="shared" si="8"/>
        <v>19781.47</v>
      </c>
      <c r="I33" s="8">
        <f>IFERROR(H33/H444, "NA")</f>
        <v>-0.85619391654071464</v>
      </c>
      <c r="J33" s="9"/>
      <c r="K33" s="7">
        <v>20050.330000000002</v>
      </c>
      <c r="L33" s="8">
        <f>IFERROR(K33/K444, "NA")</f>
        <v>0.12934818875518903</v>
      </c>
      <c r="M33" s="9"/>
      <c r="N33" s="10">
        <f t="shared" si="9"/>
        <v>-268.86000000000058</v>
      </c>
      <c r="O33" s="8">
        <f>IFERROR(N33/N444, "NA")</f>
        <v>0.10732291479552171</v>
      </c>
      <c r="P33" s="9"/>
      <c r="Q33" s="7">
        <v>234183.79</v>
      </c>
      <c r="R33" s="8">
        <f>IFERROR(Q33/Q444, "NA")</f>
        <v>0.10656485441953427</v>
      </c>
      <c r="S33" s="9"/>
      <c r="T33" s="7">
        <v>0</v>
      </c>
      <c r="U33" s="8">
        <f>IFERROR(T33/T444, "NA")</f>
        <v>0</v>
      </c>
      <c r="V33" s="9"/>
      <c r="W33" s="10">
        <f t="shared" si="10"/>
        <v>234183.79</v>
      </c>
      <c r="X33" s="8">
        <f>IFERROR(W33/W444, "NA")</f>
        <v>-9.6299883461672877</v>
      </c>
      <c r="Y33" s="9"/>
      <c r="Z33" s="7">
        <v>209789.71</v>
      </c>
      <c r="AA33" s="8">
        <f>IFERROR(Z33/Z444, "NA")</f>
        <v>0.10404525268018938</v>
      </c>
      <c r="AB33" s="9"/>
      <c r="AC33" s="10">
        <f t="shared" si="11"/>
        <v>24394.080000000016</v>
      </c>
      <c r="AD33" s="8">
        <f>IFERROR(AC33/AC444, "NA")</f>
        <v>0.13459605508058176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932.68</v>
      </c>
      <c r="C35" s="8">
        <f>IFERROR(B35/B444, "NA")</f>
        <v>6.1157190727119965E-3</v>
      </c>
      <c r="D35" s="9"/>
      <c r="E35" s="7">
        <v>0</v>
      </c>
      <c r="F35" s="8">
        <f>IFERROR(E35/E444, "NA")</f>
        <v>0</v>
      </c>
      <c r="G35" s="9"/>
      <c r="H35" s="10">
        <f t="shared" si="8"/>
        <v>932.68</v>
      </c>
      <c r="I35" s="8">
        <f>IFERROR(H35/H444, "NA")</f>
        <v>-4.0368837203665534E-2</v>
      </c>
      <c r="J35" s="9"/>
      <c r="K35" s="7">
        <v>1803.11</v>
      </c>
      <c r="L35" s="8">
        <f>IFERROR(K35/K444, "NA")</f>
        <v>1.1632178254740388E-2</v>
      </c>
      <c r="M35" s="9"/>
      <c r="N35" s="10">
        <f t="shared" si="9"/>
        <v>-870.43</v>
      </c>
      <c r="O35" s="8">
        <f>IFERROR(N35/N444, "NA")</f>
        <v>0.34745624014530146</v>
      </c>
      <c r="P35" s="9"/>
      <c r="Q35" s="7">
        <v>21894.43</v>
      </c>
      <c r="R35" s="8">
        <f>IFERROR(Q35/Q444, "NA")</f>
        <v>9.963015568023233E-3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21894.43</v>
      </c>
      <c r="X35" s="8">
        <f>IFERROR(W35/W444, "NA")</f>
        <v>-0.900331768249098</v>
      </c>
      <c r="Y35" s="9"/>
      <c r="Z35" s="7">
        <v>11288.57</v>
      </c>
      <c r="AA35" s="8">
        <f>IFERROR(Z35/Z444, "NA")</f>
        <v>5.5985687670191521E-3</v>
      </c>
      <c r="AB35" s="9"/>
      <c r="AC35" s="10">
        <f t="shared" si="11"/>
        <v>10605.86</v>
      </c>
      <c r="AD35" s="8">
        <f>IFERROR(AC35/AC444, "NA")</f>
        <v>5.8518579783986037E-2</v>
      </c>
    </row>
    <row r="36" spans="1:30" ht="16.5" customHeight="1" x14ac:dyDescent="0.45">
      <c r="A36" s="12" t="s">
        <v>36</v>
      </c>
      <c r="B36" s="7">
        <v>24805.89</v>
      </c>
      <c r="C36" s="8">
        <f>IFERROR(B36/B444, "NA")</f>
        <v>0.16265584615151585</v>
      </c>
      <c r="D36" s="9"/>
      <c r="E36" s="7">
        <v>0</v>
      </c>
      <c r="F36" s="8">
        <f>IFERROR(E36/E444, "NA")</f>
        <v>0</v>
      </c>
      <c r="G36" s="9"/>
      <c r="H36" s="10">
        <f t="shared" si="8"/>
        <v>24805.89</v>
      </c>
      <c r="I36" s="8">
        <f>IFERROR(H36/H444, "NA")</f>
        <v>-1.0736639952631502</v>
      </c>
      <c r="J36" s="9"/>
      <c r="K36" s="7">
        <v>23492.81</v>
      </c>
      <c r="L36" s="8">
        <f>IFERROR(K36/K444, "NA")</f>
        <v>0.15155622986104428</v>
      </c>
      <c r="M36" s="9"/>
      <c r="N36" s="10">
        <f t="shared" si="9"/>
        <v>1313.0799999999981</v>
      </c>
      <c r="O36" s="8">
        <f>IFERROR(N36/N444, "NA")</f>
        <v>-0.52415224637247315</v>
      </c>
      <c r="P36" s="9"/>
      <c r="Q36" s="7">
        <v>246547.03</v>
      </c>
      <c r="R36" s="8">
        <f>IFERROR(Q36/Q444, "NA")</f>
        <v>0.11219072148212542</v>
      </c>
      <c r="S36" s="9"/>
      <c r="T36" s="7">
        <v>0</v>
      </c>
      <c r="U36" s="8">
        <f>IFERROR(T36/T444, "NA")</f>
        <v>0</v>
      </c>
      <c r="V36" s="9"/>
      <c r="W36" s="10">
        <f t="shared" si="10"/>
        <v>246547.03</v>
      </c>
      <c r="X36" s="8">
        <f>IFERROR(W36/W444, "NA")</f>
        <v>-10.138383300065971</v>
      </c>
      <c r="Y36" s="9"/>
      <c r="Z36" s="7">
        <v>252028.93</v>
      </c>
      <c r="AA36" s="8">
        <f>IFERROR(Z36/Z444, "NA")</f>
        <v>0.12499380310200991</v>
      </c>
      <c r="AB36" s="9"/>
      <c r="AC36" s="10">
        <f t="shared" si="11"/>
        <v>-5481.8999999999942</v>
      </c>
      <c r="AD36" s="8">
        <f>IFERROR(AC36/AC444, "NA")</f>
        <v>-3.0246769476292606E-2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1693.38</v>
      </c>
      <c r="C39" s="8">
        <f>IFERROR(B39/B444, "NA")</f>
        <v>1.1103740150264874E-2</v>
      </c>
      <c r="D39" s="9"/>
      <c r="E39" s="7">
        <v>0</v>
      </c>
      <c r="F39" s="8">
        <f>IFERROR(E39/E444, "NA")</f>
        <v>0</v>
      </c>
      <c r="G39" s="9"/>
      <c r="H39" s="10">
        <f t="shared" si="8"/>
        <v>1693.38</v>
      </c>
      <c r="I39" s="8">
        <f>IFERROR(H39/H444, "NA")</f>
        <v>-7.3293928832979319E-2</v>
      </c>
      <c r="J39" s="9"/>
      <c r="K39" s="7">
        <v>2103.85</v>
      </c>
      <c r="L39" s="8">
        <f>IFERROR(K39/K444, "NA")</f>
        <v>1.357230464100114E-2</v>
      </c>
      <c r="M39" s="9"/>
      <c r="N39" s="10">
        <f t="shared" si="9"/>
        <v>-410.4699999999998</v>
      </c>
      <c r="O39" s="8">
        <f>IFERROR(N39/N444, "NA")</f>
        <v>0.16385046803584646</v>
      </c>
      <c r="P39" s="9"/>
      <c r="Q39" s="7">
        <v>28660.19</v>
      </c>
      <c r="R39" s="8">
        <f>IFERROR(Q39/Q444, "NA")</f>
        <v>1.3041760810968989E-2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28660.19</v>
      </c>
      <c r="X39" s="8">
        <f>IFERROR(W39/W444, "NA")</f>
        <v>-1.1785499572747551</v>
      </c>
      <c r="Y39" s="9"/>
      <c r="Z39" s="7">
        <v>23694.68</v>
      </c>
      <c r="AA39" s="8">
        <f>IFERROR(Z39/Z444, "NA")</f>
        <v>1.1751381742108465E-2</v>
      </c>
      <c r="AB39" s="9"/>
      <c r="AC39" s="10">
        <f t="shared" si="11"/>
        <v>4965.5099999999984</v>
      </c>
      <c r="AD39" s="8">
        <f>IFERROR(AC39/AC444, "NA")</f>
        <v>2.7397551269126727E-2</v>
      </c>
    </row>
    <row r="40" spans="1:30" ht="16.5" customHeight="1" x14ac:dyDescent="0.45">
      <c r="A40" s="13" t="s">
        <v>40</v>
      </c>
      <c r="B40" s="14">
        <f>IFERROR(B31+B32+B33+B34+B35+B36+B37+B38+B39, "NA")</f>
        <v>47213.42</v>
      </c>
      <c r="C40" s="15">
        <f>IFERROR(B40/B444, "NA")</f>
        <v>0.30958529525878337</v>
      </c>
      <c r="D40" s="2"/>
      <c r="E40" s="14">
        <f>IFERROR(E31+E32+E33+E34+E35+E36+E37+E38+E39, "NA")</f>
        <v>47238.91</v>
      </c>
      <c r="F40" s="15">
        <f>IFERROR(E40/E444, "NA")</f>
        <v>0.26900000130972546</v>
      </c>
      <c r="G40" s="2"/>
      <c r="H40" s="14">
        <f t="shared" si="8"/>
        <v>-25.490000000005239</v>
      </c>
      <c r="I40" s="15">
        <f>IFERROR(H40/H444, "NA")</f>
        <v>1.103274070765585E-3</v>
      </c>
      <c r="J40" s="2"/>
      <c r="K40" s="14">
        <f>IFERROR(K31+K32+K33+K34+K35+K36+K37+K38+K39, "NA")</f>
        <v>47450.1</v>
      </c>
      <c r="L40" s="15">
        <f>IFERROR(K40/K444, "NA")</f>
        <v>0.30610890151197478</v>
      </c>
      <c r="M40" s="2"/>
      <c r="N40" s="14">
        <f t="shared" si="9"/>
        <v>-236.68000000000029</v>
      </c>
      <c r="O40" s="15">
        <f>IFERROR(N40/N444, "NA")</f>
        <v>9.4477376604195695E-2</v>
      </c>
      <c r="P40" s="2"/>
      <c r="Q40" s="14">
        <f>IFERROR(Q31+Q32+Q33+Q34+Q35+Q36+Q37+Q38+Q39, "NA")</f>
        <v>531285.43999999994</v>
      </c>
      <c r="R40" s="15">
        <f>IFERROR(Q40/Q444, "NA")</f>
        <v>0.24176035228065187</v>
      </c>
      <c r="S40" s="2"/>
      <c r="T40" s="14">
        <f>IFERROR(T31+T32+T33+T34+T35+T36+T37+T38+T39, "NA")</f>
        <v>597688.09</v>
      </c>
      <c r="U40" s="15">
        <f>IFERROR(T40/T444, "NA")</f>
        <v>0.26900000489223408</v>
      </c>
      <c r="V40" s="2"/>
      <c r="W40" s="14">
        <f t="shared" si="10"/>
        <v>-66402.650000000023</v>
      </c>
      <c r="X40" s="15">
        <f>IFERROR(W40/W444, "NA")</f>
        <v>2.7305764658374749</v>
      </c>
      <c r="Y40" s="2"/>
      <c r="Z40" s="14">
        <f>IFERROR(Z31+Z32+Z33+Z34+Z35+Z36+Z37+Z38+Z39, "NA")</f>
        <v>496801.88999999996</v>
      </c>
      <c r="AA40" s="15">
        <f>IFERROR(Z40/Z444, "NA")</f>
        <v>0.2463890062913269</v>
      </c>
      <c r="AB40" s="2"/>
      <c r="AC40" s="14">
        <f t="shared" si="11"/>
        <v>34483.549999999988</v>
      </c>
      <c r="AD40" s="15">
        <f>IFERROR(AC40/AC444, "NA")</f>
        <v>0.19026541665740174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11314.22</v>
      </c>
      <c r="C43" s="8">
        <f>IFERROR(B43/B444, "NA")</f>
        <v>7.4188994131813193E-2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11314.22</v>
      </c>
      <c r="I43" s="8">
        <f>IFERROR(H43/H444, "NA")</f>
        <v>-0.48970912345762385</v>
      </c>
      <c r="J43" s="9"/>
      <c r="K43" s="7">
        <v>10455.07</v>
      </c>
      <c r="L43" s="8">
        <f>IFERROR(K43/K444, "NA")</f>
        <v>6.7447486789928845E-2</v>
      </c>
      <c r="M43" s="9"/>
      <c r="N43" s="10">
        <f>IFERROR(B43-K43, "NA")</f>
        <v>859.14999999999964</v>
      </c>
      <c r="O43" s="8">
        <f>IFERROR(N43/N444, "NA")</f>
        <v>-0.34295351575754013</v>
      </c>
      <c r="P43" s="9"/>
      <c r="Q43" s="7">
        <v>157915.67000000001</v>
      </c>
      <c r="R43" s="8">
        <f>IFERROR(Q43/Q444, "NA")</f>
        <v>7.1859202484139559E-2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157915.67000000001</v>
      </c>
      <c r="X43" s="8">
        <f>IFERROR(W43/W444, "NA")</f>
        <v>-6.4937289714937103</v>
      </c>
      <c r="Y43" s="9"/>
      <c r="Z43" s="7">
        <v>79563.97</v>
      </c>
      <c r="AA43" s="8">
        <f>IFERROR(Z43/Z444, "NA")</f>
        <v>3.9459768369425781E-2</v>
      </c>
      <c r="AB43" s="9"/>
      <c r="AC43" s="10">
        <f>IFERROR(Q43-Z43, "NA")</f>
        <v>78351.700000000012</v>
      </c>
      <c r="AD43" s="8">
        <f>IFERROR(AC43/AC444, "NA")</f>
        <v>0.43231102500513291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77443.72</v>
      </c>
      <c r="F46" s="8">
        <f>IFERROR(E46/E444, "NA")</f>
        <v>0.44100003114868674</v>
      </c>
      <c r="G46" s="9"/>
      <c r="H46" s="10">
        <f t="shared" ref="H46:H62" si="12">IFERROR(B46-E46, "NA")</f>
        <v>-77443.72</v>
      </c>
      <c r="I46" s="8">
        <f>IFERROR(H46/H444, "NA")</f>
        <v>3.3519673683645586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979852.97</v>
      </c>
      <c r="U46" s="8">
        <f>IFERROR(T46/T444, "NA")</f>
        <v>0.44100001009501477</v>
      </c>
      <c r="V46" s="9"/>
      <c r="W46" s="10">
        <f t="shared" ref="W46:W62" si="14">IFERROR(Q46-T46, "NA")</f>
        <v>-979852.97</v>
      </c>
      <c r="X46" s="8">
        <f>IFERROR(W46/W444, "NA")</f>
        <v>40.293022339664944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32647.07</v>
      </c>
      <c r="C48" s="8">
        <f>IFERROR(B48/B444, "NA")</f>
        <v>0.21407160941283576</v>
      </c>
      <c r="D48" s="9"/>
      <c r="E48" s="7">
        <v>0</v>
      </c>
      <c r="F48" s="8">
        <f>IFERROR(E48/E444, "NA")</f>
        <v>0</v>
      </c>
      <c r="G48" s="9"/>
      <c r="H48" s="10">
        <f t="shared" si="12"/>
        <v>32647.07</v>
      </c>
      <c r="I48" s="8">
        <f>IFERROR(H48/H444, "NA")</f>
        <v>-1.4130508363068501</v>
      </c>
      <c r="J48" s="9"/>
      <c r="K48" s="7">
        <v>34544.35</v>
      </c>
      <c r="L48" s="8">
        <f>IFERROR(K48/K444, "NA")</f>
        <v>0.2228516490364654</v>
      </c>
      <c r="M48" s="9"/>
      <c r="N48" s="10">
        <f t="shared" si="13"/>
        <v>-1897.2799999999988</v>
      </c>
      <c r="O48" s="8">
        <f>IFERROR(N48/N444, "NA")</f>
        <v>0.75735185517833392</v>
      </c>
      <c r="P48" s="9"/>
      <c r="Q48" s="7">
        <v>473527.92</v>
      </c>
      <c r="R48" s="8">
        <f>IFERROR(Q48/Q444, "NA")</f>
        <v>0.21547791099625155</v>
      </c>
      <c r="S48" s="9"/>
      <c r="T48" s="7">
        <v>0</v>
      </c>
      <c r="U48" s="8">
        <f>IFERROR(T48/T444, "NA")</f>
        <v>0</v>
      </c>
      <c r="V48" s="9"/>
      <c r="W48" s="10">
        <f t="shared" si="14"/>
        <v>473527.92</v>
      </c>
      <c r="X48" s="8">
        <f>IFERROR(W48/W444, "NA")</f>
        <v>-19.472177605396322</v>
      </c>
      <c r="Y48" s="9"/>
      <c r="Z48" s="7">
        <v>560271.37</v>
      </c>
      <c r="AA48" s="8">
        <f>IFERROR(Z48/Z444, "NA")</f>
        <v>0.27786670881582265</v>
      </c>
      <c r="AB48" s="9"/>
      <c r="AC48" s="10">
        <f t="shared" si="15"/>
        <v>-86743.450000000012</v>
      </c>
      <c r="AD48" s="8">
        <f>IFERROR(AC48/AC444, "NA")</f>
        <v>-0.47861309686939141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7541.23</v>
      </c>
      <c r="R49" s="8">
        <f>IFERROR(Q49/Q444, "NA")</f>
        <v>3.4316212795694541E-3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7541.23</v>
      </c>
      <c r="X49" s="8">
        <f>IFERROR(W49/W444, "NA")</f>
        <v>-0.31010667739115128</v>
      </c>
      <c r="Y49" s="9"/>
      <c r="Z49" s="7">
        <v>3000</v>
      </c>
      <c r="AA49" s="8">
        <f>IFERROR(Z49/Z444, "NA")</f>
        <v>1.4878506578829254E-3</v>
      </c>
      <c r="AB49" s="9"/>
      <c r="AC49" s="10">
        <f t="shared" si="15"/>
        <v>4541.2299999999996</v>
      </c>
      <c r="AD49" s="8">
        <f>IFERROR(AC49/AC444, "NA")</f>
        <v>2.5056556476554553E-2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2556.5100000000002</v>
      </c>
      <c r="C51" s="8">
        <f>IFERROR(B51/B444, "NA")</f>
        <v>1.676340970813028E-2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2556.5100000000002</v>
      </c>
      <c r="I51" s="8">
        <f>IFERROR(H51/H444, "NA")</f>
        <v>-0.11065245957835805</v>
      </c>
      <c r="J51" s="9"/>
      <c r="K51" s="7">
        <v>3963.99</v>
      </c>
      <c r="L51" s="8">
        <f>IFERROR(K51/K444, "NA")</f>
        <v>2.5572393409169909E-2</v>
      </c>
      <c r="M51" s="9"/>
      <c r="N51" s="10">
        <f t="shared" si="13"/>
        <v>-1407.4799999999996</v>
      </c>
      <c r="O51" s="8">
        <f>IFERROR(N51/N444, "NA")</f>
        <v>0.56183462068139745</v>
      </c>
      <c r="P51" s="9"/>
      <c r="Q51" s="7">
        <v>34862.25</v>
      </c>
      <c r="R51" s="8">
        <f>IFERROR(Q51/Q444, "NA")</f>
        <v>1.5863995522437349E-2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34862.25</v>
      </c>
      <c r="X51" s="8">
        <f>IFERROR(W51/W444, "NA")</f>
        <v>-1.4335879576514261</v>
      </c>
      <c r="Y51" s="9"/>
      <c r="Z51" s="7">
        <v>75358.39</v>
      </c>
      <c r="AA51" s="8">
        <f>IFERROR(Z51/Z444, "NA")</f>
        <v>3.7374010046166022E-2</v>
      </c>
      <c r="AB51" s="9"/>
      <c r="AC51" s="10">
        <f t="shared" si="15"/>
        <v>-40496.14</v>
      </c>
      <c r="AD51" s="8">
        <f>IFERROR(AC51/AC444, "NA")</f>
        <v>-0.22344030559836431</v>
      </c>
    </row>
    <row r="52" spans="1:30" ht="16.5" customHeight="1" x14ac:dyDescent="0.45">
      <c r="A52" s="17" t="s">
        <v>50</v>
      </c>
      <c r="B52" s="7">
        <v>476.07</v>
      </c>
      <c r="C52" s="8">
        <f>IFERROR(B52/B444, "NA")</f>
        <v>3.1216605684114599E-3</v>
      </c>
      <c r="D52" s="9"/>
      <c r="E52" s="7">
        <v>0</v>
      </c>
      <c r="F52" s="8">
        <f>IFERROR(E52/E444, "NA")</f>
        <v>0</v>
      </c>
      <c r="G52" s="9"/>
      <c r="H52" s="10">
        <f t="shared" si="12"/>
        <v>476.07</v>
      </c>
      <c r="I52" s="8">
        <f>IFERROR(H52/H444, "NA")</f>
        <v>-2.0605558527629037E-2</v>
      </c>
      <c r="J52" s="9"/>
      <c r="K52" s="7">
        <v>0</v>
      </c>
      <c r="L52" s="8">
        <f>IFERROR(K52/K444, "NA")</f>
        <v>0</v>
      </c>
      <c r="M52" s="9"/>
      <c r="N52" s="10">
        <f t="shared" si="13"/>
        <v>476.07</v>
      </c>
      <c r="O52" s="8">
        <f>IFERROR(N52/N444, "NA")</f>
        <v>-0.19003652475899691</v>
      </c>
      <c r="P52" s="9"/>
      <c r="Q52" s="7">
        <v>44736.07</v>
      </c>
      <c r="R52" s="8">
        <f>IFERROR(Q52/Q444, "NA")</f>
        <v>2.0357057108231505E-2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44736.07</v>
      </c>
      <c r="X52" s="8">
        <f>IFERROR(W52/W444, "NA")</f>
        <v>-1.8396142309991821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44736.07</v>
      </c>
      <c r="AD52" s="8">
        <f>IFERROR(AC52/AC444, "NA")</f>
        <v>0.24683441809688078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9074.7999999999993</v>
      </c>
      <c r="R53" s="8">
        <f>IFERROR(Q53/Q444, "NA")</f>
        <v>4.1294691698617976E-3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9074.7999999999993</v>
      </c>
      <c r="X53" s="8">
        <f>IFERROR(W53/W444, "NA")</f>
        <v>-0.37316937369490383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9074.7999999999993</v>
      </c>
      <c r="AD53" s="8">
        <f>IFERROR(AC53/AC444, "NA")</f>
        <v>5.0070848363425159E-2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5.301308660123633E-6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-4.7906545637872245E-4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6.4279695798684619E-5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41.15</v>
      </c>
      <c r="R55" s="8">
        <f>IFERROR(Q55/Q444, "NA")</f>
        <v>1.8725223293054719E-5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41.15</v>
      </c>
      <c r="X55" s="8">
        <f>IFERROR(W55/W444, "NA")</f>
        <v>-1.6921496592261309E-3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41.15</v>
      </c>
      <c r="AD55" s="8">
        <f>IFERROR(AC55/AC444, "NA")</f>
        <v>2.2704802421595469E-4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11.65</v>
      </c>
      <c r="R56" s="8">
        <f>IFERROR(Q56/Q444, "NA")</f>
        <v>5.301308660123633E-6</v>
      </c>
      <c r="S56" s="9"/>
      <c r="T56" s="7">
        <v>0</v>
      </c>
      <c r="U56" s="8">
        <f>IFERROR(T56/T444, "NA")</f>
        <v>0</v>
      </c>
      <c r="V56" s="9"/>
      <c r="W56" s="10">
        <f t="shared" si="14"/>
        <v>11.65</v>
      </c>
      <c r="X56" s="8">
        <f>IFERROR(W56/W444, "NA")</f>
        <v>-4.7906545637872245E-4</v>
      </c>
      <c r="Y56" s="9"/>
      <c r="Z56" s="7">
        <v>1363.07</v>
      </c>
      <c r="AA56" s="8">
        <f>IFERROR(Z56/Z444, "NA")</f>
        <v>6.7601486541349299E-4</v>
      </c>
      <c r="AB56" s="9"/>
      <c r="AC56" s="10">
        <f t="shared" si="15"/>
        <v>-1351.4199999999998</v>
      </c>
      <c r="AD56" s="8">
        <f>IFERROR(AC56/AC444, "NA")</f>
        <v>-7.4565550640565111E-3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2904.13</v>
      </c>
      <c r="R58" s="8">
        <f>IFERROR(Q58/Q444, "NA")</f>
        <v>1.321518413658785E-3</v>
      </c>
      <c r="S58" s="9"/>
      <c r="T58" s="7">
        <v>0</v>
      </c>
      <c r="U58" s="8">
        <f>IFERROR(T58/T444, "NA")</f>
        <v>0</v>
      </c>
      <c r="V58" s="9"/>
      <c r="W58" s="10">
        <f t="shared" si="14"/>
        <v>2904.13</v>
      </c>
      <c r="X58" s="8">
        <f>IFERROR(W58/W444, "NA")</f>
        <v>-0.11942217715305915</v>
      </c>
      <c r="Y58" s="9"/>
      <c r="Z58" s="7">
        <v>5464.25</v>
      </c>
      <c r="AA58" s="8">
        <f>IFERROR(Z58/Z444, "NA")</f>
        <v>2.7099959857789253E-3</v>
      </c>
      <c r="AB58" s="9"/>
      <c r="AC58" s="10">
        <f t="shared" si="15"/>
        <v>-2560.12</v>
      </c>
      <c r="AD58" s="8">
        <f>IFERROR(AC58/AC444, "NA")</f>
        <v>-1.4125642472800726E-2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35679.65</v>
      </c>
      <c r="C61" s="15">
        <f>IFERROR(B61/B444, "NA")</f>
        <v>0.2339566796893775</v>
      </c>
      <c r="D61" s="2"/>
      <c r="E61" s="14">
        <f>IFERROR(E46+E47+E48+E49+E50+E51+E52+E53+E54+E55+E56+E57+E58+E59+E60, "NA")</f>
        <v>77443.72</v>
      </c>
      <c r="F61" s="15">
        <f>IFERROR(E61/E444, "NA")</f>
        <v>0.44100003114868674</v>
      </c>
      <c r="G61" s="2"/>
      <c r="H61" s="14">
        <f t="shared" si="12"/>
        <v>-41764.07</v>
      </c>
      <c r="I61" s="15">
        <f>IFERROR(H61/H444, "NA")</f>
        <v>1.8076585139517214</v>
      </c>
      <c r="J61" s="2"/>
      <c r="K61" s="14">
        <f>IFERROR(K46+K47+K48+K49+K50+K51+K52+K53+K54+K55+K56+K57+K58+K59+K60, "NA")</f>
        <v>38508.339999999997</v>
      </c>
      <c r="L61" s="15">
        <f>IFERROR(K61/K444, "NA")</f>
        <v>0.24842404244563529</v>
      </c>
      <c r="M61" s="2"/>
      <c r="N61" s="14">
        <f t="shared" si="13"/>
        <v>-2828.6899999999951</v>
      </c>
      <c r="O61" s="15">
        <f>IFERROR(N61/N444, "NA")</f>
        <v>1.1291499511007332</v>
      </c>
      <c r="P61" s="2"/>
      <c r="Q61" s="14">
        <f>IFERROR(Q46+Q47+Q48+Q49+Q50+Q51+Q52+Q53+Q54+Q55+Q56+Q57+Q58+Q59+Q60, "NA")</f>
        <v>572710.85000000009</v>
      </c>
      <c r="R61" s="15">
        <f>IFERROR(Q61/Q444, "NA")</f>
        <v>0.26061090033062378</v>
      </c>
      <c r="S61" s="2"/>
      <c r="T61" s="14">
        <f>IFERROR(T46+T47+T48+T49+T50+T51+T52+T53+T54+T55+T56+T57+T58+T59+T60, "NA")</f>
        <v>979852.97</v>
      </c>
      <c r="U61" s="15">
        <f>IFERROR(T61/T444, "NA")</f>
        <v>0.44100001009501477</v>
      </c>
      <c r="V61" s="2"/>
      <c r="W61" s="14">
        <f t="shared" si="14"/>
        <v>-407142.11999999988</v>
      </c>
      <c r="X61" s="15">
        <f>IFERROR(W61/W444, "NA")</f>
        <v>16.742294036806911</v>
      </c>
      <c r="Y61" s="2"/>
      <c r="Z61" s="14">
        <f>IFERROR(Z46+Z47+Z48+Z49+Z50+Z51+Z52+Z53+Z54+Z55+Z56+Z57+Z58+Z59+Z60, "NA")</f>
        <v>645457.07999999996</v>
      </c>
      <c r="AA61" s="15">
        <f>IFERROR(Z61/Z444, "NA")</f>
        <v>0.32011458037106399</v>
      </c>
      <c r="AB61" s="2"/>
      <c r="AC61" s="14">
        <f t="shared" si="15"/>
        <v>-72746.229999999865</v>
      </c>
      <c r="AD61" s="15">
        <f>IFERROR(AC61/AC444, "NA")</f>
        <v>-0.40138244934773704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46993.87</v>
      </c>
      <c r="C62" s="15">
        <f>IFERROR(B62/B444, "NA")</f>
        <v>0.30814567382119074</v>
      </c>
      <c r="D62" s="2"/>
      <c r="E62" s="14">
        <f>IFERROR(E42+E43+E44+E46+E47+E48+E49+E50+E51+E52+E53+E54+E55+E56+E57+E58+E59+E60, "NA")</f>
        <v>77443.72</v>
      </c>
      <c r="F62" s="15">
        <f>IFERROR(E62/E444, "NA")</f>
        <v>0.44100003114868674</v>
      </c>
      <c r="G62" s="2"/>
      <c r="H62" s="14">
        <f t="shared" si="12"/>
        <v>-30449.85</v>
      </c>
      <c r="I62" s="15">
        <f>IFERROR(H62/H444, "NA")</f>
        <v>1.3179493904940975</v>
      </c>
      <c r="J62" s="2"/>
      <c r="K62" s="14">
        <f>IFERROR(K42+K43+K44+K46+K47+K48+K49+K50+K51+K52+K53+K54+K55+K56+K57+K58+K59+K60, "NA")</f>
        <v>48963.409999999996</v>
      </c>
      <c r="L62" s="15">
        <f>IFERROR(K62/K444, "NA")</f>
        <v>0.31587152923556416</v>
      </c>
      <c r="M62" s="2"/>
      <c r="N62" s="14">
        <f t="shared" si="13"/>
        <v>-1969.5399999999936</v>
      </c>
      <c r="O62" s="15">
        <f>IFERROR(N62/N444, "NA")</f>
        <v>0.78619643534319228</v>
      </c>
      <c r="P62" s="2"/>
      <c r="Q62" s="14">
        <f>IFERROR(Q42+Q43+Q44+Q46+Q47+Q48+Q49+Q50+Q51+Q52+Q53+Q54+Q55+Q56+Q57+Q58+Q59+Q60, "NA")</f>
        <v>730626.52</v>
      </c>
      <c r="R62" s="15">
        <f>IFERROR(Q62/Q444, "NA")</f>
        <v>0.3324701028147633</v>
      </c>
      <c r="S62" s="2"/>
      <c r="T62" s="14">
        <f>IFERROR(T42+T43+T44+T46+T47+T48+T49+T50+T51+T52+T53+T54+T55+T56+T57+T58+T59+T60, "NA")</f>
        <v>979852.97</v>
      </c>
      <c r="U62" s="15">
        <f>IFERROR(T62/T444, "NA")</f>
        <v>0.44100001009501477</v>
      </c>
      <c r="V62" s="2"/>
      <c r="W62" s="14">
        <f t="shared" si="14"/>
        <v>-249226.44999999995</v>
      </c>
      <c r="X62" s="15">
        <f>IFERROR(W62/W444, "NA")</f>
        <v>10.248565065313203</v>
      </c>
      <c r="Y62" s="2"/>
      <c r="Z62" s="14">
        <f>IFERROR(Z42+Z43+Z44+Z46+Z47+Z48+Z49+Z50+Z51+Z52+Z53+Z54+Z55+Z56+Z57+Z58+Z59+Z60, "NA")</f>
        <v>725021.04999999993</v>
      </c>
      <c r="AA62" s="15">
        <f>IFERROR(Z62/Z444, "NA")</f>
        <v>0.35957434874048977</v>
      </c>
      <c r="AB62" s="2"/>
      <c r="AC62" s="14">
        <f t="shared" si="15"/>
        <v>5605.4700000000885</v>
      </c>
      <c r="AD62" s="15">
        <f>IFERROR(AC62/AC444, "NA")</f>
        <v>3.0928575657395568E-2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966.08</v>
      </c>
      <c r="C65" s="8">
        <f>IFERROR(B65/B444, "NA")</f>
        <v>6.3347277541767879E-3</v>
      </c>
      <c r="D65" s="9"/>
      <c r="E65" s="7">
        <v>0</v>
      </c>
      <c r="F65" s="8">
        <f>IFERROR(E65/E444, "NA")</f>
        <v>0</v>
      </c>
      <c r="G65" s="9"/>
      <c r="H65" s="10">
        <f t="shared" si="16"/>
        <v>966.08</v>
      </c>
      <c r="I65" s="8">
        <f>IFERROR(H65/H444, "NA")</f>
        <v>-4.1814476825617793E-2</v>
      </c>
      <c r="J65" s="9"/>
      <c r="K65" s="7">
        <v>0</v>
      </c>
      <c r="L65" s="8">
        <f>IFERROR(K65/K444, "NA")</f>
        <v>0</v>
      </c>
      <c r="M65" s="9"/>
      <c r="N65" s="10">
        <f t="shared" si="17"/>
        <v>966.08</v>
      </c>
      <c r="O65" s="8">
        <f>IFERROR(N65/N444, "NA")</f>
        <v>-0.3856375865716633</v>
      </c>
      <c r="P65" s="9"/>
      <c r="Q65" s="7">
        <v>14231.83</v>
      </c>
      <c r="R65" s="8">
        <f>IFERROR(Q65/Q444, "NA")</f>
        <v>6.4761651183182249E-3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14231.83</v>
      </c>
      <c r="X65" s="8">
        <f>IFERROR(W65/W444, "NA")</f>
        <v>-0.5852341745969436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14231.83</v>
      </c>
      <c r="AD65" s="8">
        <f>IFERROR(AC65/AC444, "NA")</f>
        <v>7.8525124726059548E-2</v>
      </c>
    </row>
    <row r="66" spans="1:30" ht="16.5" customHeight="1" x14ac:dyDescent="0.45">
      <c r="A66" s="12" t="s">
        <v>63</v>
      </c>
      <c r="B66" s="7">
        <v>9242.6</v>
      </c>
      <c r="C66" s="8">
        <f>IFERROR(B66/B444, "NA")</f>
        <v>6.060507902115185E-2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9242.6</v>
      </c>
      <c r="I66" s="8">
        <f>IFERROR(H66/H444, "NA")</f>
        <v>-0.40004397514538648</v>
      </c>
      <c r="J66" s="9"/>
      <c r="K66" s="7">
        <v>0</v>
      </c>
      <c r="L66" s="8">
        <f>IFERROR(K66/K444, "NA")</f>
        <v>0</v>
      </c>
      <c r="M66" s="9"/>
      <c r="N66" s="10">
        <f t="shared" si="17"/>
        <v>9242.6</v>
      </c>
      <c r="O66" s="8">
        <f>IFERROR(N66/N444, "NA")</f>
        <v>-3.6894397541065493</v>
      </c>
      <c r="P66" s="9"/>
      <c r="Q66" s="7">
        <v>141074.43</v>
      </c>
      <c r="R66" s="8">
        <f>IFERROR(Q66/Q444, "NA")</f>
        <v>6.4195630685064814E-2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141074.43</v>
      </c>
      <c r="X66" s="8">
        <f>IFERROR(W66/W444, "NA")</f>
        <v>-5.8011919477526286</v>
      </c>
      <c r="Y66" s="9"/>
      <c r="Z66" s="7">
        <v>129325.84</v>
      </c>
      <c r="AA66" s="8">
        <f>IFERROR(Z66/Z444, "NA")</f>
        <v>6.4139178708420647E-2</v>
      </c>
      <c r="AB66" s="9"/>
      <c r="AC66" s="10">
        <f t="shared" si="19"/>
        <v>11748.589999999997</v>
      </c>
      <c r="AD66" s="8">
        <f>IFERROR(AC66/AC444, "NA")</f>
        <v>6.4823673069825574E-2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4.4971251640203288E-3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-0.40639348832848232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5.4528769412399175E-2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10208.68</v>
      </c>
      <c r="C73" s="15">
        <f>IFERROR(B73/B444, "NA")</f>
        <v>6.6939806775328639E-2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10208.68</v>
      </c>
      <c r="I73" s="15">
        <f>IFERROR(H73/H444, "NA")</f>
        <v>-0.44185845197100426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10208.68</v>
      </c>
      <c r="O73" s="15">
        <f>IFERROR(N73/N444, "NA")</f>
        <v>-4.0750773406782121</v>
      </c>
      <c r="P73" s="2"/>
      <c r="Q73" s="14">
        <f>IFERROR(Q64+Q65+Q66+Q67+Q68+Q69+Q70+Q71+Q72, "NA")</f>
        <v>165189.00999999998</v>
      </c>
      <c r="R73" s="15">
        <f>IFERROR(Q73/Q444, "NA")</f>
        <v>7.5168920967403366E-2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165189.00999999998</v>
      </c>
      <c r="X73" s="15">
        <f>IFERROR(W73/W444, "NA")</f>
        <v>-6.7928196106780545</v>
      </c>
      <c r="Y73" s="2"/>
      <c r="Z73" s="14">
        <f>IFERROR(Z64+Z65+Z66+Z67+Z68+Z69+Z70+Z71+Z72, "NA")</f>
        <v>129325.84</v>
      </c>
      <c r="AA73" s="15">
        <f>IFERROR(Z73/Z444, "NA")</f>
        <v>6.4139178708420647E-2</v>
      </c>
      <c r="AB73" s="2"/>
      <c r="AC73" s="14">
        <f t="shared" si="19"/>
        <v>35863.169999999984</v>
      </c>
      <c r="AD73" s="15">
        <f>IFERROR(AC73/AC444, "NA")</f>
        <v>0.19787756720828423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5092.67</v>
      </c>
      <c r="F75" s="8">
        <f>IFERROR(E75/E444, "NA")</f>
        <v>2.8999996754158795E-2</v>
      </c>
      <c r="G75" s="9"/>
      <c r="H75" s="10">
        <f t="shared" ref="H75:H92" si="20">IFERROR(B75-E75, "NA")</f>
        <v>-5092.67</v>
      </c>
      <c r="I75" s="8">
        <f>IFERROR(H75/H444, "NA")</f>
        <v>0.22042411777028709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64434.76</v>
      </c>
      <c r="U75" s="8">
        <f>IFERROR(T75/T444, "NA")</f>
        <v>2.8999993550532236E-2</v>
      </c>
      <c r="V75" s="9"/>
      <c r="W75" s="10">
        <f t="shared" ref="W75:W92" si="22">IFERROR(Q75-T75, "NA")</f>
        <v>-64434.76</v>
      </c>
      <c r="X75" s="8">
        <f>IFERROR(W75/W444, "NA")</f>
        <v>2.6496538803479357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1091.58</v>
      </c>
      <c r="C77" s="8">
        <f>IFERROR(B77/B444, "NA")</f>
        <v>7.1576495962076608E-3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1091.58</v>
      </c>
      <c r="I77" s="8">
        <f>IFERROR(H77/H444, "NA")</f>
        <v>-4.7246446063791678E-2</v>
      </c>
      <c r="J77" s="9"/>
      <c r="K77" s="7">
        <v>977.88</v>
      </c>
      <c r="L77" s="8">
        <f>IFERROR(K77/K444, "NA")</f>
        <v>6.3084750634989162E-3</v>
      </c>
      <c r="M77" s="9"/>
      <c r="N77" s="10">
        <f t="shared" si="21"/>
        <v>113.69999999999993</v>
      </c>
      <c r="O77" s="8">
        <f>IFERROR(N77/N444, "NA")</f>
        <v>-4.5386503802167612E-2</v>
      </c>
      <c r="P77" s="9"/>
      <c r="Q77" s="7">
        <v>14925.01</v>
      </c>
      <c r="R77" s="8">
        <f>IFERROR(Q77/Q444, "NA")</f>
        <v>6.7915952588353491E-3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14925.01</v>
      </c>
      <c r="X77" s="8">
        <f>IFERROR(W77/W444, "NA")</f>
        <v>-0.61373877485896955</v>
      </c>
      <c r="Y77" s="9"/>
      <c r="Z77" s="7">
        <v>5637.38</v>
      </c>
      <c r="AA77" s="8">
        <f>IFERROR(Z77/Z444, "NA")</f>
        <v>2.7958598472453489E-3</v>
      </c>
      <c r="AB77" s="9"/>
      <c r="AC77" s="10">
        <f t="shared" si="23"/>
        <v>9287.630000000001</v>
      </c>
      <c r="AD77" s="8">
        <f>IFERROR(AC77/AC444, "NA")</f>
        <v>5.1245152883325089E-2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38.869999999999997</v>
      </c>
      <c r="R79" s="8">
        <f>IFERROR(Q79/Q444, "NA")</f>
        <v>1.7687713958712926E-5</v>
      </c>
      <c r="S79" s="9"/>
      <c r="T79" s="7">
        <v>0</v>
      </c>
      <c r="U79" s="8">
        <f>IFERROR(T79/T444, "NA")</f>
        <v>0</v>
      </c>
      <c r="V79" s="9"/>
      <c r="W79" s="10">
        <f t="shared" si="22"/>
        <v>38.869999999999997</v>
      </c>
      <c r="X79" s="8">
        <f>IFERROR(W79/W444, "NA")</f>
        <v>-1.5983926428704668E-3</v>
      </c>
      <c r="Y79" s="9"/>
      <c r="Z79" s="7">
        <v>101.66</v>
      </c>
      <c r="AA79" s="8">
        <f>IFERROR(Z79/Z444, "NA")</f>
        <v>5.0418299293459398E-5</v>
      </c>
      <c r="AB79" s="9"/>
      <c r="AC79" s="10">
        <f t="shared" si="23"/>
        <v>-62.79</v>
      </c>
      <c r="AD79" s="8">
        <f>IFERROR(AC79/AC444, "NA")</f>
        <v>-3.4644824885831824E-4</v>
      </c>
    </row>
    <row r="80" spans="1:30" ht="16.5" customHeight="1" x14ac:dyDescent="0.45">
      <c r="A80" s="12" t="s">
        <v>76</v>
      </c>
      <c r="B80" s="7">
        <v>3280.71</v>
      </c>
      <c r="C80" s="8">
        <f>IFERROR(B80/B444, "NA")</f>
        <v>2.1512094951148277E-2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3280.71</v>
      </c>
      <c r="I80" s="8">
        <f>IFERROR(H80/H444, "NA")</f>
        <v>-0.14199773545314315</v>
      </c>
      <c r="J80" s="9"/>
      <c r="K80" s="7">
        <v>3469.14</v>
      </c>
      <c r="L80" s="8">
        <f>IFERROR(K80/K444, "NA")</f>
        <v>2.2380029432841075E-2</v>
      </c>
      <c r="M80" s="9"/>
      <c r="N80" s="10">
        <f t="shared" si="21"/>
        <v>-188.42999999999984</v>
      </c>
      <c r="O80" s="8">
        <f>IFERROR(N80/N444, "NA")</f>
        <v>7.5217052871085668E-2</v>
      </c>
      <c r="P80" s="9"/>
      <c r="Q80" s="7">
        <v>45156.89</v>
      </c>
      <c r="R80" s="8">
        <f>IFERROR(Q80/Q444, "NA")</f>
        <v>2.0548550388090153E-2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45156.89</v>
      </c>
      <c r="X80" s="8">
        <f>IFERROR(W80/W444, "NA")</f>
        <v>-1.8569189799565464</v>
      </c>
      <c r="Y80" s="9"/>
      <c r="Z80" s="7">
        <v>51806.6</v>
      </c>
      <c r="AA80" s="8">
        <f>IFERROR(Z80/Z444, "NA")</f>
        <v>2.5693494630892523E-2</v>
      </c>
      <c r="AB80" s="9"/>
      <c r="AC80" s="10">
        <f t="shared" si="23"/>
        <v>-6649.7099999999991</v>
      </c>
      <c r="AD80" s="8">
        <f>IFERROR(AC80/AC444, "NA")</f>
        <v>-3.6690243429139145E-2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180</v>
      </c>
      <c r="AA85" s="8">
        <f>IFERROR(Z85/Z444, "NA")</f>
        <v>8.9271039472975527E-5</v>
      </c>
      <c r="AB85" s="9"/>
      <c r="AC85" s="10">
        <f t="shared" si="23"/>
        <v>-180</v>
      </c>
      <c r="AD85" s="8">
        <f>IFERROR(AC85/AC444, "NA")</f>
        <v>-9.9316268186808859E-4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4.4971479164180114E-4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-4.0639554440340238E-2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5.4529045290921917E-3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4372.29</v>
      </c>
      <c r="C88" s="15">
        <f>IFERROR(B88/B444, "NA")</f>
        <v>2.8669744547355939E-2</v>
      </c>
      <c r="D88" s="2"/>
      <c r="E88" s="14">
        <f>IFERROR(E75+E76+E77+E78+E79+E80+E81+E82+E83+E84+E85+E86+E87, "NA")</f>
        <v>5092.67</v>
      </c>
      <c r="F88" s="15">
        <f>IFERROR(E88/E444, "NA")</f>
        <v>2.8999996754158795E-2</v>
      </c>
      <c r="G88" s="2"/>
      <c r="H88" s="14">
        <f t="shared" si="20"/>
        <v>-720.38000000000011</v>
      </c>
      <c r="I88" s="15">
        <f>IFERROR(H88/H444, "NA")</f>
        <v>3.1179936253352254E-2</v>
      </c>
      <c r="J88" s="2"/>
      <c r="K88" s="14">
        <f>IFERROR(K75+K76+K77+K78+K79+K80+K81+K82+K83+K84+K85+K86+K87, "NA")</f>
        <v>4447.0199999999995</v>
      </c>
      <c r="L88" s="15">
        <f>IFERROR(K88/K444, "NA")</f>
        <v>2.868850449633999E-2</v>
      </c>
      <c r="M88" s="2"/>
      <c r="N88" s="14">
        <f t="shared" si="21"/>
        <v>-74.729999999999563</v>
      </c>
      <c r="O88" s="15">
        <f>IFERROR(N88/N444, "NA")</f>
        <v>2.9830549068917925E-2</v>
      </c>
      <c r="P88" s="2"/>
      <c r="Q88" s="14">
        <f>IFERROR(Q75+Q76+Q77+Q78+Q79+Q80+Q81+Q82+Q83+Q84+Q85+Q86+Q87, "NA")</f>
        <v>61109.05</v>
      </c>
      <c r="R88" s="15">
        <f>IFERROR(Q88/Q444, "NA")</f>
        <v>2.7807548152526017E-2</v>
      </c>
      <c r="S88" s="2"/>
      <c r="T88" s="14">
        <f>IFERROR(T75+T76+T77+T78+T79+T80+T81+T82+T83+T84+T85+T86+T87, "NA")</f>
        <v>64434.76</v>
      </c>
      <c r="U88" s="15">
        <f>IFERROR(T88/T444, "NA")</f>
        <v>2.8999993550532236E-2</v>
      </c>
      <c r="V88" s="2"/>
      <c r="W88" s="14">
        <f t="shared" si="22"/>
        <v>-3325.7099999999991</v>
      </c>
      <c r="X88" s="15">
        <f>IFERROR(W88/W444, "NA")</f>
        <v>0.13675817844920862</v>
      </c>
      <c r="Y88" s="2"/>
      <c r="Z88" s="14">
        <f>IFERROR(Z75+Z76+Z77+Z78+Z79+Z80+Z81+Z82+Z83+Z84+Z85+Z86+Z87, "NA")</f>
        <v>57725.64</v>
      </c>
      <c r="AA88" s="15">
        <f>IFERROR(Z88/Z444, "NA")</f>
        <v>2.8629043816904304E-2</v>
      </c>
      <c r="AB88" s="2"/>
      <c r="AC88" s="14">
        <f t="shared" si="23"/>
        <v>3383.4100000000035</v>
      </c>
      <c r="AD88" s="15">
        <f>IFERROR(AC88/AC444, "NA")</f>
        <v>1.8668203052551739E-2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0</v>
      </c>
      <c r="L89" s="8">
        <f>IFERROR(K89/K444, "NA")</f>
        <v>0</v>
      </c>
      <c r="M89" s="9"/>
      <c r="N89" s="10">
        <f t="shared" si="21"/>
        <v>0</v>
      </c>
      <c r="O89" s="8">
        <f>IFERROR(N89/N444, "NA")</f>
        <v>0</v>
      </c>
      <c r="P89" s="9"/>
      <c r="Q89" s="7">
        <v>196.91</v>
      </c>
      <c r="R89" s="8">
        <f>IFERROR(Q89/Q444, "NA")</f>
        <v>8.9603492554930859E-5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196.91</v>
      </c>
      <c r="X89" s="8">
        <f>IFERROR(W89/W444, "NA")</f>
        <v>-8.0972342502604495E-3</v>
      </c>
      <c r="Y89" s="9"/>
      <c r="Z89" s="7">
        <v>-640.66</v>
      </c>
      <c r="AA89" s="8">
        <f>IFERROR(Z89/Z444, "NA")</f>
        <v>-3.1773546749309163E-4</v>
      </c>
      <c r="AB89" s="9"/>
      <c r="AC89" s="10">
        <f t="shared" si="23"/>
        <v>837.56999999999994</v>
      </c>
      <c r="AD89" s="8">
        <f>IFERROR(AC89/AC444, "NA")</f>
        <v>4.6213514858458602E-3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-6146.33</v>
      </c>
      <c r="F94" s="8">
        <f>IFERROR(E94/E444, "NA")</f>
        <v>-3.5000019645881002E-2</v>
      </c>
      <c r="G94" s="9"/>
      <c r="H94" s="10">
        <f t="shared" ref="H94:H124" si="24">IFERROR(B94-E94, "NA")</f>
        <v>6146.33</v>
      </c>
      <c r="I94" s="8">
        <f>IFERROR(H94/H444, "NA")</f>
        <v>-0.26602928675430543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-77766.12</v>
      </c>
      <c r="U94" s="8">
        <f>IFERROR(T94/T444, "NA")</f>
        <v>-3.5000005873381319E-2</v>
      </c>
      <c r="V94" s="9"/>
      <c r="W94" s="10">
        <f t="shared" ref="W94:W124" si="26">IFERROR(Q94-T94, "NA")</f>
        <v>77766.12</v>
      </c>
      <c r="X94" s="8">
        <f>IFERROR(W94/W444, "NA")</f>
        <v>-3.1978593792791838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-754.69</v>
      </c>
      <c r="C96" s="8">
        <f>IFERROR(B96/B444, "NA")</f>
        <v>-4.9486126291815175E-3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-754.69</v>
      </c>
      <c r="I96" s="8">
        <f>IFERROR(H96/H444, "NA")</f>
        <v>3.2664963062609194E-2</v>
      </c>
      <c r="J96" s="9"/>
      <c r="K96" s="7">
        <v>-2044.35</v>
      </c>
      <c r="L96" s="8">
        <f>IFERROR(K96/K444, "NA")</f>
        <v>-1.3188459725185104E-2</v>
      </c>
      <c r="M96" s="9"/>
      <c r="N96" s="10">
        <f t="shared" si="25"/>
        <v>1289.6599999999999</v>
      </c>
      <c r="O96" s="8">
        <f>IFERROR(N96/N444, "NA")</f>
        <v>-0.51480350478015402</v>
      </c>
      <c r="P96" s="9"/>
      <c r="Q96" s="7">
        <v>-21172.31</v>
      </c>
      <c r="R96" s="8">
        <f>IFERROR(Q96/Q444, "NA")</f>
        <v>-9.6344163397272271E-3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-21172.31</v>
      </c>
      <c r="X96" s="8">
        <f>IFERROR(W96/W444, "NA")</f>
        <v>0.87063711182332948</v>
      </c>
      <c r="Y96" s="9"/>
      <c r="Z96" s="7">
        <v>-3634.01</v>
      </c>
      <c r="AA96" s="8">
        <f>IFERROR(Z96/Z444, "NA")</f>
        <v>-1.8022880564177101E-3</v>
      </c>
      <c r="AB96" s="9"/>
      <c r="AC96" s="10">
        <f t="shared" si="27"/>
        <v>-17538.300000000003</v>
      </c>
      <c r="AD96" s="8">
        <f>IFERROR(AC96/AC444, "NA")</f>
        <v>-9.6768805907817224E-2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-3229.6</v>
      </c>
      <c r="C98" s="8">
        <f>IFERROR(B98/B444, "NA")</f>
        <v>-2.1176959211337935E-2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-3229.6</v>
      </c>
      <c r="I98" s="8">
        <f>IFERROR(H98/H444, "NA")</f>
        <v>0.1397855605705689</v>
      </c>
      <c r="J98" s="9"/>
      <c r="K98" s="7">
        <v>-3151.09</v>
      </c>
      <c r="L98" s="8">
        <f>IFERROR(K98/K444, "NA")</f>
        <v>-2.032823320636561E-2</v>
      </c>
      <c r="M98" s="9"/>
      <c r="N98" s="10">
        <f t="shared" si="25"/>
        <v>-78.509999999999764</v>
      </c>
      <c r="O98" s="8">
        <f>IFERROR(N98/N444, "NA")</f>
        <v>3.1339440752050751E-2</v>
      </c>
      <c r="P98" s="9"/>
      <c r="Q98" s="7">
        <v>-28255.01</v>
      </c>
      <c r="R98" s="8">
        <f>IFERROR(Q98/Q444, "NA")</f>
        <v>-1.2857384481105565E-2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-28255.01</v>
      </c>
      <c r="X98" s="8">
        <f>IFERROR(W98/W444, "NA")</f>
        <v>1.1618883485523919</v>
      </c>
      <c r="Y98" s="9"/>
      <c r="Z98" s="7">
        <v>-28923.4</v>
      </c>
      <c r="AA98" s="8">
        <f>IFERROR(Z98/Z444, "NA")</f>
        <v>-1.4344566572737003E-2</v>
      </c>
      <c r="AB98" s="9"/>
      <c r="AC98" s="10">
        <f t="shared" si="27"/>
        <v>668.39000000000306</v>
      </c>
      <c r="AD98" s="8">
        <f>IFERROR(AC98/AC444, "NA")</f>
        <v>3.6878889162989706E-3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-75.38</v>
      </c>
      <c r="C100" s="8">
        <f>IFERROR(B100/B444, "NA")</f>
        <v>-4.9427767691065567E-4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-75.38</v>
      </c>
      <c r="I100" s="8">
        <f>IFERROR(H100/H444, "NA")</f>
        <v>3.2626441527772738E-3</v>
      </c>
      <c r="J100" s="9"/>
      <c r="K100" s="7">
        <v>-7.94</v>
      </c>
      <c r="L100" s="8">
        <f>IFERROR(K100/K444, "NA")</f>
        <v>-5.1222329942509713E-5</v>
      </c>
      <c r="M100" s="9"/>
      <c r="N100" s="10">
        <f t="shared" si="25"/>
        <v>-67.44</v>
      </c>
      <c r="O100" s="8">
        <f>IFERROR(N100/N444, "NA")</f>
        <v>2.6920543680019223E-2</v>
      </c>
      <c r="P100" s="9"/>
      <c r="Q100" s="7">
        <v>-9159.39</v>
      </c>
      <c r="R100" s="8">
        <f>IFERROR(Q100/Q444, "NA")</f>
        <v>-4.1679616762617848E-3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-9159.39</v>
      </c>
      <c r="X100" s="8">
        <f>IFERROR(W100/W444, "NA")</f>
        <v>0.3766478412446958</v>
      </c>
      <c r="Y100" s="9"/>
      <c r="Z100" s="7">
        <v>-7298.02</v>
      </c>
      <c r="AA100" s="8">
        <f>IFERROR(Z100/Z444, "NA")</f>
        <v>-3.6194546194142493E-3</v>
      </c>
      <c r="AB100" s="9"/>
      <c r="AC100" s="10">
        <f t="shared" si="27"/>
        <v>-1861.369999999999</v>
      </c>
      <c r="AD100" s="8">
        <f>IFERROR(AC100/AC444, "NA")</f>
        <v>-1.027024011749335E-2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-1509.75</v>
      </c>
      <c r="C102" s="8">
        <f>IFERROR(B102/B444, "NA")</f>
        <v>-9.8996514024391399E-3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-1509.75</v>
      </c>
      <c r="I102" s="8">
        <f>IFERROR(H102/H444, "NA")</f>
        <v>6.5345940695880733E-2</v>
      </c>
      <c r="J102" s="9"/>
      <c r="K102" s="7">
        <v>-1940.61</v>
      </c>
      <c r="L102" s="8">
        <f>IFERROR(K102/K444, "NA")</f>
        <v>-1.2519214824903497E-2</v>
      </c>
      <c r="M102" s="9"/>
      <c r="N102" s="10">
        <f t="shared" si="25"/>
        <v>430.8599999999999</v>
      </c>
      <c r="O102" s="8">
        <f>IFERROR(N102/N444, "NA")</f>
        <v>-0.17198970121549645</v>
      </c>
      <c r="P102" s="9"/>
      <c r="Q102" s="7">
        <v>-19975.11</v>
      </c>
      <c r="R102" s="8">
        <f>IFERROR(Q102/Q444, "NA")</f>
        <v>-9.0896329296070531E-3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-19975.11</v>
      </c>
      <c r="X102" s="8">
        <f>IFERROR(W102/W444, "NA")</f>
        <v>0.82140645393692546</v>
      </c>
      <c r="Y102" s="9"/>
      <c r="Z102" s="7">
        <v>-9114.44</v>
      </c>
      <c r="AA102" s="8">
        <f>IFERROR(Z102/Z444, "NA")</f>
        <v>-4.5203085167448177E-3</v>
      </c>
      <c r="AB102" s="9"/>
      <c r="AC102" s="10">
        <f t="shared" si="27"/>
        <v>-10860.67</v>
      </c>
      <c r="AD102" s="8">
        <f>IFERROR(AC102/AC444, "NA")</f>
        <v>-5.9924511911579409E-2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-391.66</v>
      </c>
      <c r="C104" s="8">
        <f>IFERROR(B104/B444, "NA")</f>
        <v>-2.5681718617514915E-3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-391.66</v>
      </c>
      <c r="I104" s="8">
        <f>IFERROR(H104/H444, "NA")</f>
        <v>1.6952072285443716E-2</v>
      </c>
      <c r="J104" s="9"/>
      <c r="K104" s="7">
        <v>-704.34</v>
      </c>
      <c r="L104" s="8">
        <f>IFERROR(K104/K444, "NA")</f>
        <v>-4.5438206387540666E-3</v>
      </c>
      <c r="M104" s="9"/>
      <c r="N104" s="10">
        <f t="shared" si="25"/>
        <v>312.68</v>
      </c>
      <c r="O104" s="8">
        <f>IFERROR(N104/N444, "NA")</f>
        <v>-0.12481488134443076</v>
      </c>
      <c r="P104" s="9"/>
      <c r="Q104" s="7">
        <v>-7805.01</v>
      </c>
      <c r="R104" s="8">
        <f>IFERROR(Q104/Q444, "NA")</f>
        <v>-3.5516538287855412E-3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-7805.01</v>
      </c>
      <c r="X104" s="8">
        <f>IFERROR(W104/W444, "NA")</f>
        <v>0.32095370623952724</v>
      </c>
      <c r="Y104" s="9"/>
      <c r="Z104" s="7">
        <v>-5992.41</v>
      </c>
      <c r="AA104" s="8">
        <f>IFERROR(Z104/Z444, "NA")</f>
        <v>-2.9719370536014072E-3</v>
      </c>
      <c r="AB104" s="9"/>
      <c r="AC104" s="10">
        <f t="shared" si="27"/>
        <v>-1812.6000000000004</v>
      </c>
      <c r="AD104" s="8">
        <f>IFERROR(AC104/AC444, "NA")</f>
        <v>-1.0001148206411653E-2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-396.4</v>
      </c>
      <c r="C106" s="8">
        <f>IFERROR(B106/B444, "NA")</f>
        <v>-2.5992527345102667E-3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-396.4</v>
      </c>
      <c r="I106" s="8">
        <f>IFERROR(H106/H444, "NA")</f>
        <v>1.7157231920415381E-2</v>
      </c>
      <c r="J106" s="9"/>
      <c r="K106" s="7">
        <v>-303.35000000000002</v>
      </c>
      <c r="L106" s="8">
        <f>IFERROR(K106/K444, "NA")</f>
        <v>-1.9569639531562119E-3</v>
      </c>
      <c r="M106" s="9"/>
      <c r="N106" s="10">
        <f t="shared" si="25"/>
        <v>-93.049999999999955</v>
      </c>
      <c r="O106" s="8">
        <f>IFERROR(N106/N444, "NA")</f>
        <v>3.7143484422090561E-2</v>
      </c>
      <c r="P106" s="9"/>
      <c r="Q106" s="7">
        <v>-2496.7399999999998</v>
      </c>
      <c r="R106" s="8">
        <f>IFERROR(Q106/Q444, "NA")</f>
        <v>-1.136136427817775E-3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-2496.7399999999998</v>
      </c>
      <c r="X106" s="8">
        <f>IFERROR(W106/W444, "NA")</f>
        <v>0.10266968991922844</v>
      </c>
      <c r="Y106" s="9"/>
      <c r="Z106" s="7">
        <v>-16236.54</v>
      </c>
      <c r="AA106" s="8">
        <f>IFERROR(Z106/Z444, "NA")</f>
        <v>-8.0525155735808127E-3</v>
      </c>
      <c r="AB106" s="9"/>
      <c r="AC106" s="10">
        <f t="shared" si="27"/>
        <v>13739.800000000001</v>
      </c>
      <c r="AD106" s="8">
        <f>IFERROR(AC106/AC444, "NA")</f>
        <v>7.5810314535173132E-2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-55.58</v>
      </c>
      <c r="AA108" s="8">
        <f>IFERROR(Z108/Z444, "NA")</f>
        <v>-2.7564913188377664E-5</v>
      </c>
      <c r="AB108" s="9"/>
      <c r="AC108" s="10">
        <f t="shared" si="27"/>
        <v>55.58</v>
      </c>
      <c r="AD108" s="8">
        <f>IFERROR(AC108/AC444, "NA")</f>
        <v>3.0666656587904646E-4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-5.728225032849263E-6</v>
      </c>
      <c r="AB111" s="9"/>
      <c r="AC111" s="10">
        <f t="shared" si="27"/>
        <v>11.55</v>
      </c>
      <c r="AD111" s="8">
        <f>IFERROR(AC111/AC444, "NA")</f>
        <v>6.3727938753202352E-5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-6357.48</v>
      </c>
      <c r="C118" s="15">
        <f>IFERROR(B118/B444, "NA")</f>
        <v>-4.1686925516131006E-2</v>
      </c>
      <c r="D118" s="2"/>
      <c r="E118" s="14">
        <f>IFERROR(E94+E95+E96+E97+E98+E99+E100+E101+E102+E103+E104+E105+E106+E107+E108+E109+E110+E111+E112+E113+E114+E115+E116+E117, "NA")</f>
        <v>-6146.33</v>
      </c>
      <c r="F118" s="15">
        <f>IFERROR(E118/E444, "NA")</f>
        <v>-3.5000019645881002E-2</v>
      </c>
      <c r="G118" s="2"/>
      <c r="H118" s="14">
        <f t="shared" si="24"/>
        <v>-211.14999999999964</v>
      </c>
      <c r="I118" s="15">
        <f>IFERROR(H118/H444, "NA")</f>
        <v>9.139125933389761E-3</v>
      </c>
      <c r="J118" s="2"/>
      <c r="K118" s="14">
        <f>IFERROR(K94+K95+K96+K97+K98+K99+K100+K101+K102+K103+K104+K105+K106+K107+K108+K109+K110+K111+K112+K113+K114+K115+K116+K117, "NA")</f>
        <v>-8151.68</v>
      </c>
      <c r="L118" s="15">
        <f>IFERROR(K118/K444, "NA")</f>
        <v>-5.2587914678307E-2</v>
      </c>
      <c r="M118" s="2"/>
      <c r="N118" s="14">
        <f t="shared" si="25"/>
        <v>1794.2000000000007</v>
      </c>
      <c r="O118" s="15">
        <f>IFERROR(N118/N444, "NA")</f>
        <v>-0.71620461848592099</v>
      </c>
      <c r="P118" s="2"/>
      <c r="Q118" s="14">
        <f>IFERROR(Q94+Q95+Q96+Q97+Q98+Q99+Q100+Q101+Q102+Q103+Q104+Q105+Q106+Q107+Q108+Q109+Q110+Q111+Q112+Q113+Q114+Q115+Q116+Q117, "NA")</f>
        <v>-88863.57</v>
      </c>
      <c r="R118" s="15">
        <f>IFERROR(Q118/Q444, "NA")</f>
        <v>-4.0437185683304948E-2</v>
      </c>
      <c r="S118" s="2"/>
      <c r="T118" s="14">
        <f>IFERROR(T94+T95+T96+T97+T98+T99+T100+T101+T102+T103+T104+T105+T106+T107+T108+T109+T110+T111+T112+T113+T114+T115+T116+T117, "NA")</f>
        <v>-77766.12</v>
      </c>
      <c r="U118" s="15">
        <f>IFERROR(T118/T444, "NA")</f>
        <v>-3.5000005873381319E-2</v>
      </c>
      <c r="V118" s="2"/>
      <c r="W118" s="14">
        <f t="shared" si="26"/>
        <v>-11097.450000000012</v>
      </c>
      <c r="X118" s="15">
        <f>IFERROR(W118/W444, "NA")</f>
        <v>0.45634377243691487</v>
      </c>
      <c r="Y118" s="2"/>
      <c r="Z118" s="14">
        <f>IFERROR(Z94+Z95+Z96+Z97+Z98+Z99+Z100+Z101+Z102+Z103+Z104+Z105+Z106+Z107+Z108+Z109+Z110+Z111+Z112+Z113+Z114+Z115+Z116+Z117, "NA")</f>
        <v>-71265.950000000012</v>
      </c>
      <c r="AA118" s="15">
        <f>IFERROR(Z118/Z444, "NA")</f>
        <v>-3.5344363530717231E-2</v>
      </c>
      <c r="AB118" s="2"/>
      <c r="AC118" s="14">
        <f t="shared" si="27"/>
        <v>-17597.619999999995</v>
      </c>
      <c r="AD118" s="15">
        <f>IFERROR(AC118/AC444, "NA")</f>
        <v>-9.7096108187197272E-2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152505.36999999997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175609.33000000002</v>
      </c>
      <c r="F122" s="15">
        <f>IFERROR(E122/E444, "NA")</f>
        <v>1.0000000000000002</v>
      </c>
      <c r="G122" s="2"/>
      <c r="H122" s="14">
        <f t="shared" si="24"/>
        <v>-23103.96000000005</v>
      </c>
      <c r="I122" s="15">
        <f>IFERROR(H122/H444, "NA")</f>
        <v>1.0000000000000024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155010.52000000002</v>
      </c>
      <c r="L122" s="15">
        <f>IFERROR(K122/K444, "NA")</f>
        <v>1.0000000000000002</v>
      </c>
      <c r="M122" s="2"/>
      <c r="N122" s="14">
        <f t="shared" si="25"/>
        <v>-2505.1500000000524</v>
      </c>
      <c r="O122" s="15">
        <f>IFERROR(N122/N444, "NA")</f>
        <v>1.0000000000000233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2197570.59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2221888.7699999996</v>
      </c>
      <c r="U122" s="15">
        <f>IFERROR(T122/T444, "NA")</f>
        <v>0.99999999999999978</v>
      </c>
      <c r="V122" s="2"/>
      <c r="W122" s="14">
        <f t="shared" si="26"/>
        <v>-24318.179999999702</v>
      </c>
      <c r="X122" s="15">
        <f>IFERROR(W122/W444, "NA")</f>
        <v>0.9999999999999809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2016331.4</v>
      </c>
      <c r="AA122" s="15">
        <f>IFERROR(Z122/Z444, "NA")</f>
        <v>1</v>
      </c>
      <c r="AB122" s="2"/>
      <c r="AC122" s="14">
        <f t="shared" si="27"/>
        <v>181239.18999999994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152505.36999999997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175609.33000000002</v>
      </c>
      <c r="F124" s="15">
        <f>IFERROR(E124/E444, "NA")</f>
        <v>1.0000000000000002</v>
      </c>
      <c r="G124" s="2"/>
      <c r="H124" s="14">
        <f t="shared" si="24"/>
        <v>-23103.96000000005</v>
      </c>
      <c r="I124" s="15">
        <f>IFERROR(H124/H444, "NA")</f>
        <v>1.0000000000000024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155010.52000000002</v>
      </c>
      <c r="L124" s="15">
        <f>IFERROR(K124/K444, "NA")</f>
        <v>1.0000000000000002</v>
      </c>
      <c r="M124" s="2"/>
      <c r="N124" s="14">
        <f t="shared" si="25"/>
        <v>-2505.1500000000524</v>
      </c>
      <c r="O124" s="15">
        <f>IFERROR(N124/N444, "NA")</f>
        <v>1.0000000000000233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2197570.59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2221888.7699999996</v>
      </c>
      <c r="U124" s="15">
        <f>IFERROR(T124/T444, "NA")</f>
        <v>0.99999999999999978</v>
      </c>
      <c r="V124" s="2"/>
      <c r="W124" s="14">
        <f t="shared" si="26"/>
        <v>-24318.179999999702</v>
      </c>
      <c r="X124" s="15">
        <f>IFERROR(W124/W444, "NA")</f>
        <v>0.9999999999999809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2016331.4</v>
      </c>
      <c r="AA124" s="15">
        <f>IFERROR(Z124/Z444, "NA")</f>
        <v>1</v>
      </c>
      <c r="AB124" s="2"/>
      <c r="AC124" s="14">
        <f t="shared" si="27"/>
        <v>181239.18999999994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37404.79</v>
      </c>
      <c r="F129" s="8">
        <f>IFERROR(E129/E444, "NA")</f>
        <v>0.21300001543198191</v>
      </c>
      <c r="G129" s="9"/>
      <c r="H129" s="10">
        <f t="shared" ref="H129:H141" si="28">IFERROR(-(B129-E129), "NA")</f>
        <v>37404.79</v>
      </c>
      <c r="I129" s="8">
        <f>IFERROR(H129/H444, "NA")</f>
        <v>-1.6189774393653735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483891.17</v>
      </c>
      <c r="U129" s="8">
        <f>IFERROR(T129/T444, "NA")</f>
        <v>0.21778370570728434</v>
      </c>
      <c r="V129" s="9"/>
      <c r="W129" s="10">
        <f t="shared" ref="W129:W141" si="30">IFERROR(-(Q129-T129), "NA")</f>
        <v>483891.17</v>
      </c>
      <c r="X129" s="8">
        <f>IFERROR(W129/W444, "NA")</f>
        <v>-19.898329973706776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8032.9</v>
      </c>
      <c r="C130" s="8">
        <f>IFERROR(B130/B444, "NA")</f>
        <v>5.2672899321512416E-2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-8032.9</v>
      </c>
      <c r="I130" s="8">
        <f>IFERROR(H130/H444, "NA")</f>
        <v>0.34768498560419958</v>
      </c>
      <c r="J130" s="9"/>
      <c r="K130" s="7">
        <v>9611.36</v>
      </c>
      <c r="L130" s="8">
        <f>IFERROR(K130/K444, "NA")</f>
        <v>6.200456588365745E-2</v>
      </c>
      <c r="M130" s="9"/>
      <c r="N130" s="10">
        <f t="shared" si="29"/>
        <v>1578.4600000000009</v>
      </c>
      <c r="O130" s="8">
        <f>IFERROR(N130/N444, "NA")</f>
        <v>-0.63008602279304815</v>
      </c>
      <c r="P130" s="9"/>
      <c r="Q130" s="7">
        <v>112301.02</v>
      </c>
      <c r="R130" s="8">
        <f>IFERROR(Q130/Q444, "NA")</f>
        <v>5.1102349344782597E-2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-112301.02</v>
      </c>
      <c r="X130" s="8">
        <f>IFERROR(W130/W444, "NA")</f>
        <v>4.6179862144288446</v>
      </c>
      <c r="Y130" s="9"/>
      <c r="Z130" s="7">
        <v>122619.35</v>
      </c>
      <c r="AA130" s="8">
        <f>IFERROR(Z130/Z444, "NA")</f>
        <v>6.0813093522225567E-2</v>
      </c>
      <c r="AB130" s="9"/>
      <c r="AC130" s="10">
        <f t="shared" si="31"/>
        <v>10318.330000000002</v>
      </c>
      <c r="AD130" s="8">
        <f>IFERROR(AC130/AC444, "NA")</f>
        <v>5.6932112751110868E-2</v>
      </c>
    </row>
    <row r="131" spans="1:30" ht="16.5" customHeight="1" x14ac:dyDescent="0.45">
      <c r="A131" s="12" t="s">
        <v>123</v>
      </c>
      <c r="B131" s="7">
        <v>4408.1400000000003</v>
      </c>
      <c r="C131" s="8">
        <f>IFERROR(B131/B444, "NA")</f>
        <v>2.8904818236892251E-2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-4408.1400000000003</v>
      </c>
      <c r="I131" s="8">
        <f>IFERROR(H131/H444, "NA")</f>
        <v>0.19079586356624587</v>
      </c>
      <c r="J131" s="9"/>
      <c r="K131" s="7">
        <v>4005.81</v>
      </c>
      <c r="L131" s="8">
        <f>IFERROR(K131/K444, "NA")</f>
        <v>2.5842181550000606E-2</v>
      </c>
      <c r="M131" s="9"/>
      <c r="N131" s="10">
        <f t="shared" si="29"/>
        <v>-402.33000000000038</v>
      </c>
      <c r="O131" s="8">
        <f>IFERROR(N131/N444, "NA")</f>
        <v>0.16060116160708993</v>
      </c>
      <c r="P131" s="9"/>
      <c r="Q131" s="7">
        <v>57514.65</v>
      </c>
      <c r="R131" s="8">
        <f>IFERROR(Q131/Q444, "NA")</f>
        <v>2.6171923787895252E-2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-57514.65</v>
      </c>
      <c r="X131" s="8">
        <f>IFERROR(W131/W444, "NA")</f>
        <v>2.3650885880439905</v>
      </c>
      <c r="Y131" s="9"/>
      <c r="Z131" s="7">
        <v>56905.63</v>
      </c>
      <c r="AA131" s="8">
        <f>IFERROR(Z131/Z444, "NA")</f>
        <v>2.8222359677580779E-2</v>
      </c>
      <c r="AB131" s="9"/>
      <c r="AC131" s="10">
        <f t="shared" si="31"/>
        <v>-609.02000000000407</v>
      </c>
      <c r="AD131" s="8">
        <f>IFERROR(AC131/AC444, "NA")</f>
        <v>-3.3603107583961519E-3</v>
      </c>
    </row>
    <row r="132" spans="1:30" ht="16.5" customHeight="1" x14ac:dyDescent="0.45">
      <c r="A132" s="12" t="s">
        <v>124</v>
      </c>
      <c r="B132" s="7">
        <v>4006.99</v>
      </c>
      <c r="C132" s="8">
        <f>IFERROR(B132/B444, "NA")</f>
        <v>2.6274419058161688E-2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-4006.99</v>
      </c>
      <c r="I132" s="8">
        <f>IFERROR(H132/H444, "NA")</f>
        <v>0.17343303918462469</v>
      </c>
      <c r="J132" s="9"/>
      <c r="K132" s="7">
        <v>5741.66</v>
      </c>
      <c r="L132" s="8">
        <f>IFERROR(K132/K444, "NA")</f>
        <v>3.7040453770492483E-2</v>
      </c>
      <c r="M132" s="9"/>
      <c r="N132" s="10">
        <f t="shared" si="29"/>
        <v>1734.67</v>
      </c>
      <c r="O132" s="8">
        <f>IFERROR(N132/N444, "NA")</f>
        <v>-0.69244157036504961</v>
      </c>
      <c r="P132" s="9"/>
      <c r="Q132" s="7">
        <v>93685.31</v>
      </c>
      <c r="R132" s="8">
        <f>IFERROR(Q132/Q444, "NA")</f>
        <v>4.2631308603379152E-2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-93685.31</v>
      </c>
      <c r="X132" s="8">
        <f>IFERROR(W132/W444, "NA")</f>
        <v>3.8524803254190632</v>
      </c>
      <c r="Y132" s="9"/>
      <c r="Z132" s="7">
        <v>72996.31</v>
      </c>
      <c r="AA132" s="8">
        <f>IFERROR(Z132/Z444, "NA")</f>
        <v>3.6202535952175326E-2</v>
      </c>
      <c r="AB132" s="9"/>
      <c r="AC132" s="10">
        <f t="shared" si="31"/>
        <v>-20689</v>
      </c>
      <c r="AD132" s="8">
        <f>IFERROR(AC132/AC444, "NA")</f>
        <v>-0.11415301513982713</v>
      </c>
    </row>
    <row r="133" spans="1:30" ht="16.5" customHeight="1" x14ac:dyDescent="0.45">
      <c r="A133" s="12" t="s">
        <v>125</v>
      </c>
      <c r="B133" s="7">
        <v>3897.31</v>
      </c>
      <c r="C133" s="8">
        <f>IFERROR(B133/B444, "NA")</f>
        <v>2.5555231268249767E-2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-3897.31</v>
      </c>
      <c r="I133" s="8">
        <f>IFERROR(H133/H444, "NA")</f>
        <v>0.16868580104882458</v>
      </c>
      <c r="J133" s="9"/>
      <c r="K133" s="7">
        <v>3230.9</v>
      </c>
      <c r="L133" s="8">
        <f>IFERROR(K133/K444, "NA")</f>
        <v>2.0843101487563555E-2</v>
      </c>
      <c r="M133" s="9"/>
      <c r="N133" s="10">
        <f t="shared" si="29"/>
        <v>-666.40999999999985</v>
      </c>
      <c r="O133" s="8">
        <f>IFERROR(N133/N444, "NA")</f>
        <v>0.26601600702552797</v>
      </c>
      <c r="P133" s="9"/>
      <c r="Q133" s="7">
        <v>48434.71</v>
      </c>
      <c r="R133" s="8">
        <f>IFERROR(Q133/Q444, "NA")</f>
        <v>2.204011567155165E-2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-48434.71</v>
      </c>
      <c r="X133" s="8">
        <f>IFERROR(W133/W444, "NA")</f>
        <v>1.9917078498473022</v>
      </c>
      <c r="Y133" s="9"/>
      <c r="Z133" s="7">
        <v>39385.879999999997</v>
      </c>
      <c r="AA133" s="8">
        <f>IFERROR(Z133/Z444, "NA")</f>
        <v>1.9533435823099316E-2</v>
      </c>
      <c r="AB133" s="9"/>
      <c r="AC133" s="10">
        <f t="shared" si="31"/>
        <v>-9048.8300000000017</v>
      </c>
      <c r="AD133" s="8">
        <f>IFERROR(AC133/AC444, "NA")</f>
        <v>-4.9927557058713427E-2</v>
      </c>
    </row>
    <row r="134" spans="1:30" ht="16.5" customHeight="1" x14ac:dyDescent="0.45">
      <c r="A134" s="12" t="s">
        <v>126</v>
      </c>
      <c r="B134" s="7">
        <v>2622.71</v>
      </c>
      <c r="C134" s="8">
        <f>IFERROR(B134/B444, "NA")</f>
        <v>1.7197492783368875E-2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-2622.71</v>
      </c>
      <c r="I134" s="8">
        <f>IFERROR(H134/H444, "NA")</f>
        <v>0.11351776924821549</v>
      </c>
      <c r="J134" s="9"/>
      <c r="K134" s="7">
        <v>1463.22</v>
      </c>
      <c r="L134" s="8">
        <f>IFERROR(K134/K444, "NA")</f>
        <v>9.4394883650477414E-3</v>
      </c>
      <c r="M134" s="9"/>
      <c r="N134" s="10">
        <f t="shared" si="29"/>
        <v>-1159.49</v>
      </c>
      <c r="O134" s="8">
        <f>IFERROR(N134/N444, "NA")</f>
        <v>0.46284254435862232</v>
      </c>
      <c r="P134" s="9"/>
      <c r="Q134" s="7">
        <v>20189.38</v>
      </c>
      <c r="R134" s="8">
        <f>IFERROR(Q134/Q444, "NA")</f>
        <v>9.1871360546374996E-3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-20189.38</v>
      </c>
      <c r="X134" s="8">
        <f>IFERROR(W134/W444, "NA")</f>
        <v>0.83021755739943781</v>
      </c>
      <c r="Y134" s="9"/>
      <c r="Z134" s="7">
        <v>18342.38</v>
      </c>
      <c r="AA134" s="8">
        <f>IFERROR(Z134/Z444, "NA")</f>
        <v>9.0969073833795395E-3</v>
      </c>
      <c r="AB134" s="9"/>
      <c r="AC134" s="10">
        <f t="shared" si="31"/>
        <v>-1847</v>
      </c>
      <c r="AD134" s="8">
        <f>IFERROR(AC134/AC444, "NA")</f>
        <v>-1.0190952630057553E-2</v>
      </c>
    </row>
    <row r="135" spans="1:30" ht="16.5" customHeight="1" x14ac:dyDescent="0.45">
      <c r="A135" s="12" t="s">
        <v>127</v>
      </c>
      <c r="B135" s="7">
        <v>1698.53</v>
      </c>
      <c r="C135" s="8">
        <f>IFERROR(B135/B444, "NA")</f>
        <v>1.1137509452945822E-2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-1698.53</v>
      </c>
      <c r="I135" s="8">
        <f>IFERROR(H135/H444, "NA")</f>
        <v>7.3516834343549789E-2</v>
      </c>
      <c r="J135" s="9"/>
      <c r="K135" s="7">
        <v>1414.24</v>
      </c>
      <c r="L135" s="8">
        <f>IFERROR(K135/K444, "NA")</f>
        <v>9.1235098108180014E-3</v>
      </c>
      <c r="M135" s="9"/>
      <c r="N135" s="10">
        <f t="shared" si="29"/>
        <v>-284.28999999999996</v>
      </c>
      <c r="O135" s="8">
        <f>IFERROR(N135/N444, "NA")</f>
        <v>0.1134822266131771</v>
      </c>
      <c r="P135" s="9"/>
      <c r="Q135" s="7">
        <v>21777.17</v>
      </c>
      <c r="R135" s="8">
        <f>IFERROR(Q135/Q444, "NA")</f>
        <v>9.9096566449772151E-3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-21777.17</v>
      </c>
      <c r="X135" s="8">
        <f>IFERROR(W135/W444, "NA")</f>
        <v>0.89550986134652544</v>
      </c>
      <c r="Y135" s="9"/>
      <c r="Z135" s="7">
        <v>19727.09</v>
      </c>
      <c r="AA135" s="8">
        <f>IFERROR(Z135/Z444, "NA")</f>
        <v>9.7836546115385604E-3</v>
      </c>
      <c r="AB135" s="9"/>
      <c r="AC135" s="10">
        <f t="shared" si="31"/>
        <v>-2050.0799999999981</v>
      </c>
      <c r="AD135" s="8">
        <f>IFERROR(AC135/AC444, "NA")</f>
        <v>-1.131146083802294E-2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1216.49</v>
      </c>
      <c r="L136" s="8">
        <f>IFERROR(K136/K444, "NA")</f>
        <v>7.8477899435470573E-3</v>
      </c>
      <c r="M136" s="9"/>
      <c r="N136" s="10">
        <f t="shared" si="29"/>
        <v>1216.49</v>
      </c>
      <c r="O136" s="8">
        <f>IFERROR(N136/N444, "NA")</f>
        <v>-0.48559567291379868</v>
      </c>
      <c r="P136" s="9"/>
      <c r="Q136" s="7">
        <v>6328.65</v>
      </c>
      <c r="R136" s="8">
        <f>IFERROR(Q136/Q444, "NA")</f>
        <v>2.8798392319220106E-3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-6328.65</v>
      </c>
      <c r="X136" s="8">
        <f>IFERROR(W136/W444, "NA")</f>
        <v>0.26024357085933059</v>
      </c>
      <c r="Y136" s="9"/>
      <c r="Z136" s="7">
        <v>13473.15</v>
      </c>
      <c r="AA136" s="8">
        <f>IFERROR(Z136/Z444, "NA")</f>
        <v>6.6820116970851126E-3</v>
      </c>
      <c r="AB136" s="9"/>
      <c r="AC136" s="10">
        <f t="shared" si="31"/>
        <v>7144.5</v>
      </c>
      <c r="AD136" s="8">
        <f>IFERROR(AC136/AC444, "NA")</f>
        <v>3.9420282114480884E-2</v>
      </c>
    </row>
    <row r="137" spans="1:30" ht="16.5" customHeight="1" x14ac:dyDescent="0.45">
      <c r="A137" s="12" t="s">
        <v>129</v>
      </c>
      <c r="B137" s="7">
        <v>651.22</v>
      </c>
      <c r="C137" s="8">
        <f>IFERROR(B137/B444, "NA")</f>
        <v>4.270144716871282E-3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-651.22</v>
      </c>
      <c r="I137" s="8">
        <f>IFERROR(H137/H444, "NA")</f>
        <v>2.8186510018196026E-2</v>
      </c>
      <c r="J137" s="9"/>
      <c r="K137" s="7">
        <v>928.74</v>
      </c>
      <c r="L137" s="8">
        <f>IFERROR(K137/K444, "NA")</f>
        <v>5.9914643212602607E-3</v>
      </c>
      <c r="M137" s="9"/>
      <c r="N137" s="10">
        <f t="shared" si="29"/>
        <v>277.52</v>
      </c>
      <c r="O137" s="8">
        <f>IFERROR(N137/N444, "NA")</f>
        <v>-0.11077979362513247</v>
      </c>
      <c r="P137" s="9"/>
      <c r="Q137" s="7">
        <v>9975.23</v>
      </c>
      <c r="R137" s="8">
        <f>IFERROR(Q137/Q444, "NA")</f>
        <v>4.5392079987746836E-3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-9975.23</v>
      </c>
      <c r="X137" s="8">
        <f>IFERROR(W137/W444, "NA")</f>
        <v>0.41019640450066291</v>
      </c>
      <c r="Y137" s="9"/>
      <c r="Z137" s="7">
        <v>9175.26</v>
      </c>
      <c r="AA137" s="8">
        <f>IFERROR(Z137/Z444, "NA")</f>
        <v>4.5504722090822973E-3</v>
      </c>
      <c r="AB137" s="9"/>
      <c r="AC137" s="10">
        <f t="shared" si="31"/>
        <v>-799.96999999999935</v>
      </c>
      <c r="AD137" s="8">
        <f>IFERROR(AC137/AC444, "NA")</f>
        <v>-4.4138908367445228E-3</v>
      </c>
    </row>
    <row r="138" spans="1:30" ht="16.5" customHeight="1" x14ac:dyDescent="0.45">
      <c r="A138" s="12" t="s">
        <v>130</v>
      </c>
      <c r="B138" s="7">
        <v>10409.92</v>
      </c>
      <c r="C138" s="8">
        <f>IFERROR(B138/B444, "NA")</f>
        <v>6.825936686688476E-2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-10409.92</v>
      </c>
      <c r="I138" s="8">
        <f>IFERROR(H138/H444, "NA")</f>
        <v>0.45056864710638367</v>
      </c>
      <c r="J138" s="9"/>
      <c r="K138" s="7">
        <v>8003.12</v>
      </c>
      <c r="L138" s="8">
        <f>IFERROR(K138/K444, "NA")</f>
        <v>5.1629528112027499E-2</v>
      </c>
      <c r="M138" s="9"/>
      <c r="N138" s="10">
        <f t="shared" si="29"/>
        <v>-2406.8000000000002</v>
      </c>
      <c r="O138" s="8">
        <f>IFERROR(N138/N444, "NA")</f>
        <v>0.96074087379997442</v>
      </c>
      <c r="P138" s="9"/>
      <c r="Q138" s="7">
        <v>126264.96000000001</v>
      </c>
      <c r="R138" s="8">
        <f>IFERROR(Q138/Q444, "NA")</f>
        <v>5.74566116667952E-2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-126264.96000000001</v>
      </c>
      <c r="X138" s="8">
        <f>IFERROR(W138/W444, "NA")</f>
        <v>5.1922043508189812</v>
      </c>
      <c r="Y138" s="9"/>
      <c r="Z138" s="7">
        <v>97382.59</v>
      </c>
      <c r="AA138" s="8">
        <f>IFERROR(Z138/Z444, "NA")</f>
        <v>4.8296916865947732E-2</v>
      </c>
      <c r="AB138" s="9"/>
      <c r="AC138" s="10">
        <f t="shared" si="31"/>
        <v>-28882.37000000001</v>
      </c>
      <c r="AD138" s="8">
        <f>IFERROR(AC138/AC444, "NA")</f>
        <v>-0.15936051137725796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35727.72</v>
      </c>
      <c r="C141" s="15">
        <f>IFERROR(B141/B444, "NA")</f>
        <v>0.23427188170488686</v>
      </c>
      <c r="D141" s="2"/>
      <c r="E141" s="14">
        <f>IFERROR(E129+E130+E131+E132+E133+E134+E135+E136+E137+E138+E139+E140, "NA")</f>
        <v>37404.79</v>
      </c>
      <c r="F141" s="15">
        <f>IFERROR(E141/E444, "NA")</f>
        <v>0.21300001543198191</v>
      </c>
      <c r="G141" s="2"/>
      <c r="H141" s="14">
        <f t="shared" si="28"/>
        <v>1677.0699999999997</v>
      </c>
      <c r="I141" s="15">
        <f>IFERROR(H141/H444, "NA")</f>
        <v>-7.2587989245133752E-2</v>
      </c>
      <c r="J141" s="2"/>
      <c r="K141" s="14">
        <f>IFERROR(K129+K130+K131+K132+K133+K134+K135+K136+K137+K138+K139+K140, "NA")</f>
        <v>35615.540000000008</v>
      </c>
      <c r="L141" s="15">
        <f>IFERROR(K141/K444, "NA")</f>
        <v>0.22976208324441472</v>
      </c>
      <c r="M141" s="2"/>
      <c r="N141" s="14">
        <f t="shared" si="29"/>
        <v>-112.17999999999302</v>
      </c>
      <c r="O141" s="15">
        <f>IFERROR(N141/N444, "NA")</f>
        <v>4.4779753707360148E-2</v>
      </c>
      <c r="P141" s="2"/>
      <c r="Q141" s="14">
        <f>IFERROR(Q129+Q130+Q131+Q132+Q133+Q134+Q135+Q136+Q137+Q138+Q139+Q140, "NA")</f>
        <v>496471.08</v>
      </c>
      <c r="R141" s="15">
        <f>IFERROR(Q141/Q444, "NA")</f>
        <v>0.22591814900471527</v>
      </c>
      <c r="S141" s="2"/>
      <c r="T141" s="14">
        <f>IFERROR(T129+T130+T131+T132+T133+T134+T135+T136+T137+T138+T139+T140, "NA")</f>
        <v>483891.17</v>
      </c>
      <c r="U141" s="15">
        <f>IFERROR(T141/T444, "NA")</f>
        <v>0.21778370570728434</v>
      </c>
      <c r="V141" s="2"/>
      <c r="W141" s="14">
        <f t="shared" si="30"/>
        <v>-12579.910000000033</v>
      </c>
      <c r="X141" s="15">
        <f>IFERROR(W141/W444, "NA")</f>
        <v>0.51730474895736223</v>
      </c>
      <c r="Y141" s="2"/>
      <c r="Z141" s="14">
        <f>IFERROR(Z129+Z130+Z131+Z132+Z133+Z134+Z135+Z136+Z137+Z138+Z139+Z140, "NA")</f>
        <v>450007.64</v>
      </c>
      <c r="AA141" s="15">
        <f>IFERROR(Z141/Z444, "NA")</f>
        <v>0.22318138774211424</v>
      </c>
      <c r="AB141" s="2"/>
      <c r="AC141" s="14">
        <f t="shared" si="31"/>
        <v>-46463.44</v>
      </c>
      <c r="AD141" s="15">
        <f>IFERROR(AC141/AC444, "NA")</f>
        <v>-0.25636530377342792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1936.68</v>
      </c>
      <c r="C144" s="8">
        <f>IFERROR(B144/B444, "NA")</f>
        <v>1.269909380895899E-2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-1936.68</v>
      </c>
      <c r="I144" s="8">
        <f>IFERROR(H144/H444, "NA")</f>
        <v>8.3824591109056656E-2</v>
      </c>
      <c r="J144" s="9"/>
      <c r="K144" s="7">
        <v>1742.41</v>
      </c>
      <c r="L144" s="8">
        <f>IFERROR(K144/K444, "NA")</f>
        <v>1.1240591928857475E-2</v>
      </c>
      <c r="M144" s="9"/>
      <c r="N144" s="10">
        <f t="shared" si="33"/>
        <v>-194.26999999999998</v>
      </c>
      <c r="O144" s="8">
        <f>IFERROR(N144/N444, "NA")</f>
        <v>7.7548250603756433E-2</v>
      </c>
      <c r="P144" s="9"/>
      <c r="Q144" s="7">
        <v>22322.37</v>
      </c>
      <c r="R144" s="8">
        <f>IFERROR(Q144/Q444, "NA")</f>
        <v>1.0157748789311928E-2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-22322.37</v>
      </c>
      <c r="X144" s="8">
        <f>IFERROR(W144/W444, "NA")</f>
        <v>0.91792930227508163</v>
      </c>
      <c r="Y144" s="9"/>
      <c r="Z144" s="7">
        <v>16939.650000000001</v>
      </c>
      <c r="AA144" s="8">
        <f>IFERROR(Z144/Z444, "NA")</f>
        <v>8.4012231322688341E-3</v>
      </c>
      <c r="AB144" s="9"/>
      <c r="AC144" s="10">
        <f t="shared" si="35"/>
        <v>-5382.7199999999975</v>
      </c>
      <c r="AD144" s="8">
        <f>IFERROR(AC144/AC444, "NA")</f>
        <v>-2.9699536838583306E-2</v>
      </c>
    </row>
    <row r="145" spans="1:30" ht="16.5" customHeight="1" x14ac:dyDescent="0.45">
      <c r="A145" s="12" t="s">
        <v>136</v>
      </c>
      <c r="B145" s="7">
        <v>37.97</v>
      </c>
      <c r="C145" s="8">
        <f>IFERROR(B145/B444, "NA")</f>
        <v>2.4897483937778717E-4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-37.97</v>
      </c>
      <c r="I145" s="8">
        <f>IFERROR(H145/H444, "NA")</f>
        <v>1.6434412109439253E-3</v>
      </c>
      <c r="J145" s="9"/>
      <c r="K145" s="7">
        <v>89.86</v>
      </c>
      <c r="L145" s="8">
        <f>IFERROR(K145/K444, "NA")</f>
        <v>5.7970259050805074E-4</v>
      </c>
      <c r="M145" s="9"/>
      <c r="N145" s="10">
        <f t="shared" si="33"/>
        <v>51.89</v>
      </c>
      <c r="O145" s="8">
        <f>IFERROR(N145/N444, "NA")</f>
        <v>-2.0713330539089525E-2</v>
      </c>
      <c r="P145" s="9"/>
      <c r="Q145" s="7">
        <v>1198.6300000000001</v>
      </c>
      <c r="R145" s="8">
        <f>IFERROR(Q145/Q444, "NA")</f>
        <v>5.4543412869390473E-4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-1198.6300000000001</v>
      </c>
      <c r="X145" s="8">
        <f>IFERROR(W145/W444, "NA")</f>
        <v>4.9289461629118292E-2</v>
      </c>
      <c r="Y145" s="9"/>
      <c r="Z145" s="7">
        <v>1848.98</v>
      </c>
      <c r="AA145" s="8">
        <f>IFERROR(Z145/Z444, "NA")</f>
        <v>9.1700203647079057E-4</v>
      </c>
      <c r="AB145" s="9"/>
      <c r="AC145" s="10">
        <f t="shared" si="35"/>
        <v>650.34999999999991</v>
      </c>
      <c r="AD145" s="8">
        <f>IFERROR(AC145/AC444, "NA")</f>
        <v>3.5883519452939517E-3</v>
      </c>
    </row>
    <row r="146" spans="1:30" ht="16.5" customHeight="1" x14ac:dyDescent="0.45">
      <c r="A146" s="12" t="s">
        <v>137</v>
      </c>
      <c r="B146" s="7">
        <v>8</v>
      </c>
      <c r="C146" s="8">
        <f>IFERROR(B146/B444, "NA")</f>
        <v>5.2457169213123449E-5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-8</v>
      </c>
      <c r="I146" s="8">
        <f>IFERROR(H146/H444, "NA")</f>
        <v>3.4626098729395317E-4</v>
      </c>
      <c r="J146" s="9"/>
      <c r="K146" s="7">
        <v>102.95</v>
      </c>
      <c r="L146" s="8">
        <f>IFERROR(K146/K444, "NA")</f>
        <v>6.6414847198757873E-4</v>
      </c>
      <c r="M146" s="9"/>
      <c r="N146" s="10">
        <f t="shared" si="33"/>
        <v>94.95</v>
      </c>
      <c r="O146" s="8">
        <f>IFERROR(N146/N444, "NA")</f>
        <v>-3.7901922040596461E-2</v>
      </c>
      <c r="P146" s="9"/>
      <c r="Q146" s="7">
        <v>1953.24</v>
      </c>
      <c r="R146" s="8">
        <f>IFERROR(Q146/Q444, "NA")</f>
        <v>8.8881786500428193E-4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-1953.24</v>
      </c>
      <c r="X146" s="8">
        <f>IFERROR(W146/W444, "NA")</f>
        <v>8.0320155537955004E-2</v>
      </c>
      <c r="Y146" s="9"/>
      <c r="Z146" s="7">
        <v>4799.26</v>
      </c>
      <c r="AA146" s="8">
        <f>IFERROR(Z146/Z444, "NA")</f>
        <v>2.3801940494504029E-3</v>
      </c>
      <c r="AB146" s="9"/>
      <c r="AC146" s="10">
        <f t="shared" si="35"/>
        <v>2846.0200000000004</v>
      </c>
      <c r="AD146" s="8">
        <f>IFERROR(AC146/AC444, "NA")</f>
        <v>1.5703115865834543E-2</v>
      </c>
    </row>
    <row r="147" spans="1:30" ht="16.5" customHeight="1" x14ac:dyDescent="0.45">
      <c r="A147" s="12" t="s">
        <v>138</v>
      </c>
      <c r="B147" s="7">
        <v>20.05</v>
      </c>
      <c r="C147" s="8">
        <f>IFERROR(B147/B444, "NA")</f>
        <v>1.3147078034039065E-4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-20.05</v>
      </c>
      <c r="I147" s="8">
        <f>IFERROR(H147/H444, "NA")</f>
        <v>8.6781659940547023E-4</v>
      </c>
      <c r="J147" s="9"/>
      <c r="K147" s="7">
        <v>15.38</v>
      </c>
      <c r="L147" s="8">
        <f>IFERROR(K147/K444, "NA")</f>
        <v>9.921907235715358E-5</v>
      </c>
      <c r="M147" s="9"/>
      <c r="N147" s="10">
        <f t="shared" si="33"/>
        <v>-4.67</v>
      </c>
      <c r="O147" s="8">
        <f>IFERROR(N147/N444, "NA")</f>
        <v>1.8641598307486621E-3</v>
      </c>
      <c r="P147" s="9"/>
      <c r="Q147" s="7">
        <v>438.9</v>
      </c>
      <c r="R147" s="8">
        <f>IFERROR(Q147/Q444, "NA")</f>
        <v>1.9972054686079503E-4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-438.9</v>
      </c>
      <c r="X147" s="8">
        <f>IFERROR(W147/W444, "NA")</f>
        <v>1.8048225648465345E-2</v>
      </c>
      <c r="Y147" s="9"/>
      <c r="Z147" s="7">
        <v>360.59</v>
      </c>
      <c r="AA147" s="8">
        <f>IFERROR(Z147/Z444, "NA")</f>
        <v>1.7883468957533469E-4</v>
      </c>
      <c r="AB147" s="9"/>
      <c r="AC147" s="10">
        <f t="shared" si="35"/>
        <v>-78.31</v>
      </c>
      <c r="AD147" s="8">
        <f>IFERROR(AC147/AC444, "NA")</f>
        <v>-4.3208094231716678E-4</v>
      </c>
    </row>
    <row r="148" spans="1:30" ht="16.5" customHeight="1" x14ac:dyDescent="0.45">
      <c r="A148" s="13" t="s">
        <v>139</v>
      </c>
      <c r="B148" s="14">
        <f>IFERROR(B143+B144+B145+B146+B147, "NA")</f>
        <v>2002.7</v>
      </c>
      <c r="C148" s="15">
        <f>IFERROR(B148/B444, "NA")</f>
        <v>1.3131996597890291E-2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-2002.7</v>
      </c>
      <c r="I148" s="15">
        <f>IFERROR(H148/H444, "NA")</f>
        <v>8.6682109906700014E-2</v>
      </c>
      <c r="J148" s="2"/>
      <c r="K148" s="14">
        <f>IFERROR(K143+K144+K145+K146+K147, "NA")</f>
        <v>1950.6000000000001</v>
      </c>
      <c r="L148" s="15">
        <f>IFERROR(K148/K444, "NA")</f>
        <v>1.2583662063710258E-2</v>
      </c>
      <c r="M148" s="2"/>
      <c r="N148" s="14">
        <f t="shared" si="33"/>
        <v>-52.099999999999909</v>
      </c>
      <c r="O148" s="15">
        <f>IFERROR(N148/N444, "NA")</f>
        <v>2.0797157854819084E-2</v>
      </c>
      <c r="P148" s="2"/>
      <c r="Q148" s="14">
        <f>IFERROR(Q143+Q144+Q145+Q146+Q147, "NA")</f>
        <v>25913.140000000003</v>
      </c>
      <c r="R148" s="15">
        <f>IFERROR(Q148/Q444, "NA")</f>
        <v>1.1791721329870912E-2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-25913.140000000003</v>
      </c>
      <c r="X148" s="15">
        <f>IFERROR(W148/W444, "NA")</f>
        <v>1.0655871450906205</v>
      </c>
      <c r="Y148" s="2"/>
      <c r="Z148" s="14">
        <f>IFERROR(Z143+Z144+Z145+Z146+Z147, "NA")</f>
        <v>23948.48</v>
      </c>
      <c r="AA148" s="15">
        <f>IFERROR(Z148/Z444, "NA")</f>
        <v>1.187725390776536E-2</v>
      </c>
      <c r="AB148" s="2"/>
      <c r="AC148" s="14">
        <f t="shared" si="35"/>
        <v>-1964.6600000000035</v>
      </c>
      <c r="AD148" s="15">
        <f>IFERROR(AC148/AC444, "NA")</f>
        <v>-1.0840149969772013E-2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37730.420000000006</v>
      </c>
      <c r="C149" s="15">
        <f>IFERROR(B149/B444, "NA")</f>
        <v>0.24740387830277719</v>
      </c>
      <c r="D149" s="2"/>
      <c r="E149" s="14">
        <f>IFERROR(E127+E129+E130+E131+E132+E133+E134+E135+E136+E137+E138+E139+E140+E143+E144+E145+E146+E147, "NA")</f>
        <v>37404.79</v>
      </c>
      <c r="F149" s="15">
        <f>IFERROR(E149/E444, "NA")</f>
        <v>0.21300001543198191</v>
      </c>
      <c r="G149" s="2"/>
      <c r="H149" s="14">
        <f t="shared" si="32"/>
        <v>-325.63000000000466</v>
      </c>
      <c r="I149" s="15">
        <f>IFERROR(H149/H444, "NA")</f>
        <v>1.4094120661566449E-2</v>
      </c>
      <c r="J149" s="2"/>
      <c r="K149" s="14">
        <f>IFERROR(K127+K129+K130+K131+K132+K133+K134+K135+K136+K137+K138+K139+K140+K143+K144+K145+K146+K147, "NA")</f>
        <v>37566.140000000007</v>
      </c>
      <c r="L149" s="15">
        <f>IFERROR(K149/K444, "NA")</f>
        <v>0.24234574530812494</v>
      </c>
      <c r="M149" s="2"/>
      <c r="N149" s="14">
        <f t="shared" si="33"/>
        <v>-164.27999999999884</v>
      </c>
      <c r="O149" s="15">
        <f>IFERROR(N149/N444, "NA")</f>
        <v>6.5576911562181595E-2</v>
      </c>
      <c r="P149" s="2"/>
      <c r="Q149" s="14">
        <f>IFERROR(Q127+Q129+Q130+Q131+Q132+Q133+Q134+Q135+Q136+Q137+Q138+Q139+Q140+Q143+Q144+Q145+Q146+Q147, "NA")</f>
        <v>522384.22000000003</v>
      </c>
      <c r="R149" s="15">
        <f>IFERROR(Q149/Q444, "NA")</f>
        <v>0.23770987033458618</v>
      </c>
      <c r="S149" s="2"/>
      <c r="T149" s="14">
        <f>IFERROR(T127+T129+T130+T131+T132+T133+T134+T135+T136+T137+T138+T139+T140+T143+T144+T145+T146+T147, "NA")</f>
        <v>483891.17</v>
      </c>
      <c r="U149" s="15">
        <f>IFERROR(T149/T444, "NA")</f>
        <v>0.21778370570728434</v>
      </c>
      <c r="V149" s="2"/>
      <c r="W149" s="14">
        <f t="shared" si="34"/>
        <v>-38493.050000000047</v>
      </c>
      <c r="X149" s="15">
        <f>IFERROR(W149/W444, "NA")</f>
        <v>1.582891894047983</v>
      </c>
      <c r="Y149" s="2"/>
      <c r="Z149" s="14">
        <f>IFERROR(Z127+Z129+Z130+Z131+Z132+Z133+Z134+Z135+Z136+Z137+Z138+Z139+Z140+Z143+Z144+Z145+Z146+Z147, "NA")</f>
        <v>473956.12000000005</v>
      </c>
      <c r="AA149" s="15">
        <f>IFERROR(Z149/Z444, "NA")</f>
        <v>0.23505864164987961</v>
      </c>
      <c r="AB149" s="2"/>
      <c r="AC149" s="14">
        <f t="shared" si="35"/>
        <v>-48428.099999999977</v>
      </c>
      <c r="AD149" s="15">
        <f>IFERROR(AC149/AC444, "NA")</f>
        <v>-0.26720545374319976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2985.36</v>
      </c>
      <c r="F153" s="8">
        <f>IFERROR(E153/E444, "NA")</f>
        <v>1.7000007915296985E-2</v>
      </c>
      <c r="G153" s="9"/>
      <c r="H153" s="10">
        <f t="shared" ref="H153:H158" si="36">IFERROR(-(B153-E153), "NA")</f>
        <v>2985.36</v>
      </c>
      <c r="I153" s="8">
        <f>IFERROR(H153/H444, "NA")</f>
        <v>-0.12921421262848451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39510.199999999997</v>
      </c>
      <c r="U153" s="8">
        <f>IFERROR(T153/T444, "NA")</f>
        <v>1.7782258290094333E-2</v>
      </c>
      <c r="V153" s="9"/>
      <c r="W153" s="10">
        <f t="shared" ref="W153:W158" si="38">IFERROR(-(Q153-T153), "NA")</f>
        <v>39510.199999999997</v>
      </c>
      <c r="X153" s="8">
        <f>IFERROR(W153/W444, "NA")</f>
        <v>-1.6247186261471758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4585.24</v>
      </c>
      <c r="C154" s="8">
        <f>IFERROR(B154/B444, "NA")</f>
        <v>3.0066088820347767E-2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-4585.24</v>
      </c>
      <c r="I154" s="8">
        <f>IFERROR(H154/H444, "NA")</f>
        <v>0.19846121617246573</v>
      </c>
      <c r="J154" s="9"/>
      <c r="K154" s="7">
        <v>4139.13</v>
      </c>
      <c r="L154" s="8">
        <f>IFERROR(K154/K444, "NA")</f>
        <v>2.6702252208430758E-2</v>
      </c>
      <c r="M154" s="9"/>
      <c r="N154" s="10">
        <f t="shared" si="37"/>
        <v>-446.10999999999967</v>
      </c>
      <c r="O154" s="8">
        <f>IFERROR(N154/N444, "NA")</f>
        <v>0.1780771610482409</v>
      </c>
      <c r="P154" s="9"/>
      <c r="Q154" s="7">
        <v>59882.78</v>
      </c>
      <c r="R154" s="8">
        <f>IFERROR(Q154/Q444, "NA")</f>
        <v>2.7249536498392984E-2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-59882.78</v>
      </c>
      <c r="X154" s="8">
        <f>IFERROR(W154/W444, "NA")</f>
        <v>2.4624696420537879</v>
      </c>
      <c r="Y154" s="9"/>
      <c r="Z154" s="7">
        <v>55208.94</v>
      </c>
      <c r="AA154" s="8">
        <f>IFERROR(Z154/Z444, "NA")</f>
        <v>2.738088590000632E-2</v>
      </c>
      <c r="AB154" s="9"/>
      <c r="AC154" s="10">
        <f t="shared" si="39"/>
        <v>-4673.8399999999965</v>
      </c>
      <c r="AD154" s="8">
        <f>IFERROR(AC154/AC444, "NA")</f>
        <v>-2.5788241494568574E-2</v>
      </c>
    </row>
    <row r="155" spans="1:30" ht="16.5" customHeight="1" x14ac:dyDescent="0.45">
      <c r="A155" s="12" t="s">
        <v>144</v>
      </c>
      <c r="B155" s="7">
        <v>2517.41</v>
      </c>
      <c r="C155" s="8">
        <f>IFERROR(B155/B444, "NA")</f>
        <v>1.6507025293601138E-2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-2517.41</v>
      </c>
      <c r="I155" s="8">
        <f>IFERROR(H155/H444, "NA")</f>
        <v>0.10896010900295883</v>
      </c>
      <c r="J155" s="9"/>
      <c r="K155" s="7">
        <v>2307.09</v>
      </c>
      <c r="L155" s="8">
        <f>IFERROR(K155/K444, "NA")</f>
        <v>1.4883441459328052E-2</v>
      </c>
      <c r="M155" s="9"/>
      <c r="N155" s="10">
        <f t="shared" si="37"/>
        <v>-210.31999999999971</v>
      </c>
      <c r="O155" s="8">
        <f>IFERROR(N155/N444, "NA")</f>
        <v>8.395505259166125E-2</v>
      </c>
      <c r="P155" s="9"/>
      <c r="Q155" s="7">
        <v>34180.800000000003</v>
      </c>
      <c r="R155" s="8">
        <f>IFERROR(Q155/Q444, "NA")</f>
        <v>1.5553903094416642E-2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-34180.800000000003</v>
      </c>
      <c r="X155" s="8">
        <f>IFERROR(W155/W444, "NA")</f>
        <v>1.4055657125656511</v>
      </c>
      <c r="Y155" s="9"/>
      <c r="Z155" s="7">
        <v>34157.589999999997</v>
      </c>
      <c r="AA155" s="8">
        <f>IFERROR(Z155/Z444, "NA")</f>
        <v>1.6940464251065077E-2</v>
      </c>
      <c r="AB155" s="9"/>
      <c r="AC155" s="10">
        <f t="shared" si="39"/>
        <v>-23.210000000006403</v>
      </c>
      <c r="AD155" s="8">
        <f>IFERROR(AC155/AC444, "NA")</f>
        <v>-1.2806281025647053E-4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21.15</v>
      </c>
      <c r="R156" s="8">
        <f>IFERROR(Q156/Q444, "NA")</f>
        <v>9.6242642198811E-6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-21.15</v>
      </c>
      <c r="X156" s="8">
        <f>IFERROR(W156/W444, "NA")</f>
        <v>8.6971969119398955E-4</v>
      </c>
      <c r="Y156" s="9"/>
      <c r="Z156" s="7">
        <v>330.51</v>
      </c>
      <c r="AA156" s="8">
        <f>IFERROR(Z156/Z444, "NA")</f>
        <v>1.6391650697896188E-4</v>
      </c>
      <c r="AB156" s="9"/>
      <c r="AC156" s="10">
        <f t="shared" si="39"/>
        <v>309.36</v>
      </c>
      <c r="AD156" s="8">
        <f>IFERROR(AC156/AC444, "NA")</f>
        <v>1.7069155959039549E-3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7102.65</v>
      </c>
      <c r="C158" s="15">
        <f>IFERROR(B158/B444, "NA")</f>
        <v>4.6573114113948905E-2</v>
      </c>
      <c r="D158" s="2"/>
      <c r="E158" s="14">
        <f>IFERROR(E153+E154+E155+E156+E157, "NA")</f>
        <v>2985.36</v>
      </c>
      <c r="F158" s="15">
        <f>IFERROR(E158/E444, "NA")</f>
        <v>1.7000007915296985E-2</v>
      </c>
      <c r="G158" s="2"/>
      <c r="H158" s="14">
        <f t="shared" si="36"/>
        <v>-4117.2899999999991</v>
      </c>
      <c r="I158" s="15">
        <f>IFERROR(H158/H444, "NA")</f>
        <v>0.17820711254694002</v>
      </c>
      <c r="J158" s="2"/>
      <c r="K158" s="14">
        <f>IFERROR(K153+K154+K155+K156+K157, "NA")</f>
        <v>6446.22</v>
      </c>
      <c r="L158" s="15">
        <f>IFERROR(K158/K444, "NA")</f>
        <v>4.1585693667758813E-2</v>
      </c>
      <c r="M158" s="2"/>
      <c r="N158" s="14">
        <f t="shared" si="37"/>
        <v>-656.42999999999938</v>
      </c>
      <c r="O158" s="15">
        <f>IFERROR(N158/N444, "NA")</f>
        <v>0.26203221363990215</v>
      </c>
      <c r="P158" s="2"/>
      <c r="Q158" s="14">
        <f>IFERROR(Q153+Q154+Q155+Q156+Q157, "NA")</f>
        <v>94084.73</v>
      </c>
      <c r="R158" s="15">
        <f>IFERROR(Q158/Q444, "NA")</f>
        <v>4.2813063857029501E-2</v>
      </c>
      <c r="S158" s="2"/>
      <c r="T158" s="14">
        <f>IFERROR(T153+T154+T155+T156+T157, "NA")</f>
        <v>39510.199999999997</v>
      </c>
      <c r="U158" s="15">
        <f>IFERROR(T158/T444, "NA")</f>
        <v>1.7782258290094333E-2</v>
      </c>
      <c r="V158" s="2"/>
      <c r="W158" s="14">
        <f t="shared" si="38"/>
        <v>-54574.53</v>
      </c>
      <c r="X158" s="15">
        <f>IFERROR(W158/W444, "NA")</f>
        <v>2.244186448163457</v>
      </c>
      <c r="Y158" s="2"/>
      <c r="Z158" s="14">
        <f>IFERROR(Z153+Z154+Z155+Z156+Z157, "NA")</f>
        <v>89697.04</v>
      </c>
      <c r="AA158" s="15">
        <f>IFERROR(Z158/Z444, "NA")</f>
        <v>4.448526665805036E-2</v>
      </c>
      <c r="AB158" s="2"/>
      <c r="AC158" s="14">
        <f t="shared" si="39"/>
        <v>-4387.6900000000023</v>
      </c>
      <c r="AD158" s="15">
        <f>IFERROR(AC158/AC444, "NA")</f>
        <v>-2.4209388708921087E-2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252.51</v>
      </c>
      <c r="C161" s="8">
        <f>IFERROR(B161/B444, "NA")</f>
        <v>1.6557449747507252E-3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-252.51</v>
      </c>
      <c r="I161" s="8">
        <f>IFERROR(H161/H444, "NA")</f>
        <v>1.0929295237699515E-2</v>
      </c>
      <c r="J161" s="9"/>
      <c r="K161" s="7">
        <v>107.46</v>
      </c>
      <c r="L161" s="8">
        <f>IFERROR(K161/K444, "NA")</f>
        <v>6.9324327148892863E-4</v>
      </c>
      <c r="M161" s="9"/>
      <c r="N161" s="10">
        <f t="shared" si="41"/>
        <v>-145.05000000000001</v>
      </c>
      <c r="O161" s="8">
        <f>IFERROR(N161/N444, "NA")</f>
        <v>5.7900724507514656E-2</v>
      </c>
      <c r="P161" s="9"/>
      <c r="Q161" s="7">
        <v>2332.61</v>
      </c>
      <c r="R161" s="8">
        <f>IFERROR(Q161/Q444, "NA")</f>
        <v>1.0614494071837757E-3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-2332.61</v>
      </c>
      <c r="X161" s="8">
        <f>IFERROR(W161/W444, "NA")</f>
        <v>9.5920418386572684E-2</v>
      </c>
      <c r="Y161" s="9"/>
      <c r="Z161" s="7">
        <v>2675.57</v>
      </c>
      <c r="AA161" s="8">
        <f>IFERROR(Z161/Z444, "NA")</f>
        <v>1.3269495282372729E-3</v>
      </c>
      <c r="AB161" s="9"/>
      <c r="AC161" s="10">
        <f t="shared" si="43"/>
        <v>342.96000000000004</v>
      </c>
      <c r="AD161" s="8">
        <f>IFERROR(AC161/AC444, "NA")</f>
        <v>1.8923059631859983E-3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252.51</v>
      </c>
      <c r="C166" s="15">
        <f>IFERROR(B166/B444, "NA")</f>
        <v>1.6557449747507252E-3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-252.51</v>
      </c>
      <c r="I166" s="15">
        <f>IFERROR(H166/H444, "NA")</f>
        <v>1.0929295237699515E-2</v>
      </c>
      <c r="J166" s="2"/>
      <c r="K166" s="14">
        <f>IFERROR(K160+K161+K162+K163+K164+K165, "NA")</f>
        <v>107.46</v>
      </c>
      <c r="L166" s="15">
        <f>IFERROR(K166/K444, "NA")</f>
        <v>6.9324327148892863E-4</v>
      </c>
      <c r="M166" s="2"/>
      <c r="N166" s="14">
        <f t="shared" si="41"/>
        <v>-145.05000000000001</v>
      </c>
      <c r="O166" s="15">
        <f>IFERROR(N166/N444, "NA")</f>
        <v>5.7900724507514656E-2</v>
      </c>
      <c r="P166" s="2"/>
      <c r="Q166" s="14">
        <f>IFERROR(Q160+Q161+Q162+Q163+Q164+Q165, "NA")</f>
        <v>2332.61</v>
      </c>
      <c r="R166" s="15">
        <f>IFERROR(Q166/Q444, "NA")</f>
        <v>1.0614494071837757E-3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-2332.61</v>
      </c>
      <c r="X166" s="15">
        <f>IFERROR(W166/W444, "NA")</f>
        <v>9.5920418386572684E-2</v>
      </c>
      <c r="Y166" s="2"/>
      <c r="Z166" s="14">
        <f>IFERROR(Z160+Z161+Z162+Z163+Z164+Z165, "NA")</f>
        <v>2675.57</v>
      </c>
      <c r="AA166" s="15">
        <f>IFERROR(Z166/Z444, "NA")</f>
        <v>1.3269495282372729E-3</v>
      </c>
      <c r="AB166" s="2"/>
      <c r="AC166" s="14">
        <f t="shared" si="43"/>
        <v>342.96000000000004</v>
      </c>
      <c r="AD166" s="15">
        <f>IFERROR(AC166/AC444, "NA")</f>
        <v>1.8923059631859983E-3</v>
      </c>
    </row>
    <row r="167" spans="1:30" ht="16.5" customHeight="1" x14ac:dyDescent="0.45">
      <c r="A167" s="6" t="s">
        <v>155</v>
      </c>
      <c r="B167" s="7">
        <v>152.02000000000001</v>
      </c>
      <c r="C167" s="8">
        <f>IFERROR(B167/B444, "NA")</f>
        <v>9.968173579723784E-4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-152.02000000000001</v>
      </c>
      <c r="I167" s="8">
        <f>IFERROR(H167/H444, "NA")</f>
        <v>6.5798244110533456E-3</v>
      </c>
      <c r="J167" s="9"/>
      <c r="K167" s="7">
        <v>123.21</v>
      </c>
      <c r="L167" s="8">
        <f>IFERROR(K167/K444, "NA")</f>
        <v>7.9484927861670298E-4</v>
      </c>
      <c r="M167" s="9"/>
      <c r="N167" s="10">
        <f t="shared" si="41"/>
        <v>-28.810000000000016</v>
      </c>
      <c r="O167" s="8">
        <f>IFERROR(N167/N444, "NA")</f>
        <v>1.1500309362712844E-2</v>
      </c>
      <c r="P167" s="9"/>
      <c r="Q167" s="7">
        <v>1941.16</v>
      </c>
      <c r="R167" s="8">
        <f>IFERROR(Q167/Q444, "NA")</f>
        <v>8.8332088572408505E-4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-1941.16</v>
      </c>
      <c r="X167" s="8">
        <f>IFERROR(W167/W444, "NA")</f>
        <v>7.9823407837263591E-2</v>
      </c>
      <c r="Y167" s="9"/>
      <c r="Z167" s="7">
        <v>1849.2</v>
      </c>
      <c r="AA167" s="8">
        <f>IFERROR(Z167/Z444, "NA")</f>
        <v>9.1711114551903527E-4</v>
      </c>
      <c r="AB167" s="9"/>
      <c r="AC167" s="10">
        <f t="shared" si="43"/>
        <v>-91.960000000000036</v>
      </c>
      <c r="AD167" s="8">
        <f>IFERROR(AC167/AC444, "NA")</f>
        <v>-5.07395779025497E-4</v>
      </c>
    </row>
    <row r="168" spans="1:30" ht="16.5" customHeight="1" x14ac:dyDescent="0.45">
      <c r="A168" s="6" t="s">
        <v>156</v>
      </c>
      <c r="B168" s="7">
        <v>60.62</v>
      </c>
      <c r="C168" s="8">
        <f>IFERROR(B168/B444, "NA")</f>
        <v>3.974941997124429E-4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-60.62</v>
      </c>
      <c r="I168" s="8">
        <f>IFERROR(H168/H444, "NA")</f>
        <v>2.6237926312199303E-3</v>
      </c>
      <c r="J168" s="9"/>
      <c r="K168" s="7">
        <v>53.6</v>
      </c>
      <c r="L168" s="8">
        <f>IFERROR(K168/K444, "NA")</f>
        <v>3.4578298298721923E-4</v>
      </c>
      <c r="M168" s="9"/>
      <c r="N168" s="10">
        <f t="shared" si="41"/>
        <v>-7.019999999999996</v>
      </c>
      <c r="O168" s="8">
        <f>IFERROR(N168/N444, "NA")</f>
        <v>2.8022274115322484E-3</v>
      </c>
      <c r="P168" s="9"/>
      <c r="Q168" s="7">
        <v>812.08</v>
      </c>
      <c r="R168" s="8">
        <f>IFERROR(Q168/Q444, "NA")</f>
        <v>3.6953534220714163E-4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-812.08</v>
      </c>
      <c r="X168" s="8">
        <f>IFERROR(W168/W444, "NA")</f>
        <v>3.3393946421977072E-2</v>
      </c>
      <c r="Y168" s="9"/>
      <c r="Z168" s="7">
        <v>690.3</v>
      </c>
      <c r="AA168" s="8">
        <f>IFERROR(Z168/Z444, "NA")</f>
        <v>3.4235443637886112E-4</v>
      </c>
      <c r="AB168" s="9"/>
      <c r="AC168" s="10">
        <f t="shared" si="43"/>
        <v>-121.78000000000009</v>
      </c>
      <c r="AD168" s="8">
        <f>IFERROR(AC168/AC444, "NA")</f>
        <v>-6.7192972998831061E-4</v>
      </c>
    </row>
    <row r="169" spans="1:30" ht="16.5" customHeight="1" x14ac:dyDescent="0.45">
      <c r="A169" s="6" t="s">
        <v>157</v>
      </c>
      <c r="B169" s="7">
        <v>-1570.53</v>
      </c>
      <c r="C169" s="8">
        <f>IFERROR(B169/B444, "NA")</f>
        <v>-1.0298194745535847E-2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1570.53</v>
      </c>
      <c r="I169" s="8">
        <f>IFERROR(H169/H444, "NA")</f>
        <v>-6.7976658546846536E-2</v>
      </c>
      <c r="J169" s="9"/>
      <c r="K169" s="7">
        <v>-3904.33</v>
      </c>
      <c r="L169" s="8">
        <f>IFERROR(K169/K444, "NA")</f>
        <v>-2.5187516305344954E-2</v>
      </c>
      <c r="M169" s="9"/>
      <c r="N169" s="10">
        <f t="shared" si="41"/>
        <v>-2333.8000000000002</v>
      </c>
      <c r="O169" s="8">
        <f>IFERROR(N169/N444, "NA")</f>
        <v>0.93160090214159053</v>
      </c>
      <c r="P169" s="9"/>
      <c r="Q169" s="7">
        <v>-24359.9</v>
      </c>
      <c r="R169" s="8">
        <f>IFERROR(Q169/Q444, "NA")</f>
        <v>-1.1084922646330101E-2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24359.9</v>
      </c>
      <c r="X169" s="8">
        <f>IFERROR(W169/W444, "NA")</f>
        <v>-1.0017155889133083</v>
      </c>
      <c r="Y169" s="9"/>
      <c r="Z169" s="7">
        <v>-37144.14</v>
      </c>
      <c r="AA169" s="8">
        <f>IFERROR(Z169/Z444, "NA")</f>
        <v>-1.8421644378498494E-2</v>
      </c>
      <c r="AB169" s="9"/>
      <c r="AC169" s="10">
        <f t="shared" si="43"/>
        <v>-12784.239999999998</v>
      </c>
      <c r="AD169" s="8">
        <f>IFERROR(AC169/AC444, "NA")</f>
        <v>-7.0537944911362727E-2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5997.27</v>
      </c>
      <c r="C170" s="15">
        <f>IFERROR(B170/B444, "NA")</f>
        <v>3.9324975900848609E-2</v>
      </c>
      <c r="D170" s="2"/>
      <c r="E170" s="14">
        <f>IFERROR(E151+E153+E154+E155+E156+E157+E160+E161+E162+E163+E164+E165+E167+E168+E169, "NA")</f>
        <v>2985.36</v>
      </c>
      <c r="F170" s="15">
        <f>IFERROR(E170/E444, "NA")</f>
        <v>1.7000007915296985E-2</v>
      </c>
      <c r="G170" s="2"/>
      <c r="H170" s="14">
        <f t="shared" si="40"/>
        <v>-3011.9100000000003</v>
      </c>
      <c r="I170" s="15">
        <f>IFERROR(H170/H444, "NA")</f>
        <v>0.13036336628006634</v>
      </c>
      <c r="J170" s="2"/>
      <c r="K170" s="14">
        <f>IFERROR(K151+K153+K154+K155+K156+K157+K160+K161+K162+K163+K164+K165+K167+K168+K169, "NA")</f>
        <v>2826.1600000000008</v>
      </c>
      <c r="L170" s="15">
        <f>IFERROR(K170/K444, "NA")</f>
        <v>1.8232052895506713E-2</v>
      </c>
      <c r="M170" s="2"/>
      <c r="N170" s="14">
        <f t="shared" si="41"/>
        <v>-3171.1099999999997</v>
      </c>
      <c r="O170" s="15">
        <f>IFERROR(N170/N444, "NA")</f>
        <v>1.2658363770632526</v>
      </c>
      <c r="P170" s="2"/>
      <c r="Q170" s="14">
        <f>IFERROR(Q151+Q153+Q154+Q155+Q156+Q157+Q160+Q161+Q162+Q163+Q164+Q165+Q167+Q168+Q169, "NA")</f>
        <v>74810.679999999993</v>
      </c>
      <c r="R170" s="15">
        <f>IFERROR(Q170/Q444, "NA")</f>
        <v>3.4042446845814402E-2</v>
      </c>
      <c r="S170" s="2"/>
      <c r="T170" s="14">
        <f>IFERROR(T151+T153+T154+T155+T156+T157+T160+T161+T162+T163+T164+T165+T167+T168+T169, "NA")</f>
        <v>39510.199999999997</v>
      </c>
      <c r="U170" s="15">
        <f>IFERROR(T170/T444, "NA")</f>
        <v>1.7782258290094333E-2</v>
      </c>
      <c r="V170" s="2"/>
      <c r="W170" s="14">
        <f t="shared" si="42"/>
        <v>-35300.479999999996</v>
      </c>
      <c r="X170" s="15">
        <f>IFERROR(W170/W444, "NA")</f>
        <v>1.4516086318959622</v>
      </c>
      <c r="Y170" s="2"/>
      <c r="Z170" s="14">
        <f>IFERROR(Z151+Z153+Z154+Z155+Z156+Z157+Z160+Z161+Z162+Z163+Z164+Z165+Z167+Z168+Z169, "NA")</f>
        <v>57767.97</v>
      </c>
      <c r="AA170" s="15">
        <f>IFERROR(Z170/Z444, "NA")</f>
        <v>2.8650037389687036E-2</v>
      </c>
      <c r="AB170" s="2"/>
      <c r="AC170" s="14">
        <f t="shared" si="43"/>
        <v>-17042.709999999992</v>
      </c>
      <c r="AD170" s="15">
        <f>IFERROR(AC170/AC444, "NA")</f>
        <v>-9.403435316611157E-2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43727.69000000001</v>
      </c>
      <c r="C171" s="15">
        <f>IFERROR(B171/B444, "NA")</f>
        <v>0.28672885420362582</v>
      </c>
      <c r="D171" s="2"/>
      <c r="E171" s="14">
        <f>IFERROR(E127+E129+E130+E131+E132+E133+E134+E135+E136+E137+E138+E139+E140+E143+E144+E145+E146+E147+E151+E153+E154+E155+E156+E157+E160+E161+E162+E163+E164+E165+E167+E168+E169, "NA")</f>
        <v>40390.15</v>
      </c>
      <c r="F171" s="15">
        <f>IFERROR(E171/E444, "NA")</f>
        <v>0.2300000233472789</v>
      </c>
      <c r="G171" s="2"/>
      <c r="H171" s="14">
        <f t="shared" si="40"/>
        <v>-3337.5400000000081</v>
      </c>
      <c r="I171" s="15">
        <f>IFERROR(H171/H444, "NA")</f>
        <v>0.14445748694163291</v>
      </c>
      <c r="J171" s="2"/>
      <c r="K171" s="14">
        <f>IFERROR(K127+K129+K130+K131+K132+K133+K134+K135+K136+K137+K138+K139+K140+K143+K144+K145+K146+K147+K151+K153+K154+K155+K156+K157+K160+K161+K162+K163+K164+K165+K167+K168+K169, "NA")</f>
        <v>40392.299999999996</v>
      </c>
      <c r="L171" s="15">
        <f>IFERROR(K171/K444, "NA")</f>
        <v>0.26057779820363158</v>
      </c>
      <c r="M171" s="2"/>
      <c r="N171" s="14">
        <f t="shared" si="41"/>
        <v>-3335.390000000014</v>
      </c>
      <c r="O171" s="15">
        <f>IFERROR(N171/N444, "NA")</f>
        <v>1.3314132886254402</v>
      </c>
      <c r="P171" s="2"/>
      <c r="Q171" s="14">
        <f>IFERROR(Q127+Q129+Q130+Q131+Q132+Q133+Q134+Q135+Q136+Q137+Q138+Q139+Q140+Q143+Q144+Q145+Q146+Q147+Q151+Q153+Q154+Q155+Q156+Q157+Q160+Q161+Q162+Q163+Q164+Q165+Q167+Q168+Q169, "NA")</f>
        <v>597194.9</v>
      </c>
      <c r="R171" s="15">
        <f>IFERROR(Q171/Q444, "NA")</f>
        <v>0.2717523171804006</v>
      </c>
      <c r="S171" s="2"/>
      <c r="T171" s="14">
        <f>IFERROR(T127+T129+T130+T131+T132+T133+T134+T135+T136+T137+T138+T139+T140+T143+T144+T145+T146+T147+T151+T153+T154+T155+T156+T157+T160+T161+T162+T163+T164+T165+T167+T168+T169, "NA")</f>
        <v>523401.37</v>
      </c>
      <c r="U171" s="15">
        <f>IFERROR(T171/T444, "NA")</f>
        <v>0.23556596399737867</v>
      </c>
      <c r="V171" s="2"/>
      <c r="W171" s="14">
        <f t="shared" si="42"/>
        <v>-73793.530000000028</v>
      </c>
      <c r="X171" s="15">
        <f>IFERROR(W171/W444, "NA")</f>
        <v>3.0345005259439448</v>
      </c>
      <c r="Y171" s="2"/>
      <c r="Z171" s="14">
        <f>IFERROR(Z127+Z129+Z130+Z131+Z132+Z133+Z134+Z135+Z136+Z137+Z138+Z139+Z140+Z143+Z144+Z145+Z146+Z147+Z151+Z153+Z154+Z155+Z156+Z157+Z160+Z161+Z162+Z163+Z164+Z165+Z167+Z168+Z169, "NA")</f>
        <v>531724.09</v>
      </c>
      <c r="AA171" s="15">
        <f>IFERROR(Z171/Z444, "NA")</f>
        <v>0.26370867903956663</v>
      </c>
      <c r="AB171" s="2"/>
      <c r="AC171" s="14">
        <f t="shared" si="43"/>
        <v>-65470.810000000056</v>
      </c>
      <c r="AD171" s="15">
        <f>IFERROR(AC171/AC444, "NA")</f>
        <v>-0.36123980690931179</v>
      </c>
    </row>
    <row r="172" spans="1:30" ht="16.5" customHeight="1" x14ac:dyDescent="0.45">
      <c r="A172" s="22" t="s">
        <v>160</v>
      </c>
      <c r="B172" s="23">
        <f>IFERROR(B124-B171, "NA")</f>
        <v>108777.67999999996</v>
      </c>
      <c r="C172" s="24">
        <f>IFERROR(B172/B444, "NA")</f>
        <v>0.71327114579637407</v>
      </c>
      <c r="D172" s="25"/>
      <c r="E172" s="23">
        <f>IFERROR(E124-E171, "NA")</f>
        <v>135219.18000000002</v>
      </c>
      <c r="F172" s="24">
        <f>IFERROR(E172/E444, "NA")</f>
        <v>0.76999997665272135</v>
      </c>
      <c r="G172" s="25"/>
      <c r="H172" s="23">
        <f>IFERROR(B172-E172, "NA")</f>
        <v>-26441.500000000058</v>
      </c>
      <c r="I172" s="24">
        <f>IFERROR(H172/H444, "NA")</f>
        <v>1.1444574869416355</v>
      </c>
      <c r="J172" s="25"/>
      <c r="K172" s="23">
        <f>IFERROR(K124-K171, "NA")</f>
        <v>114618.22000000003</v>
      </c>
      <c r="L172" s="24">
        <f>IFERROR(K172/K444, "NA")</f>
        <v>0.73942220179636864</v>
      </c>
      <c r="M172" s="25"/>
      <c r="N172" s="23">
        <f>IFERROR(B172-K172, "NA")</f>
        <v>-5840.5400000000664</v>
      </c>
      <c r="O172" s="24">
        <f>IFERROR(N172/N444, "NA")</f>
        <v>2.3314132886254635</v>
      </c>
      <c r="P172" s="25"/>
      <c r="Q172" s="23">
        <f>IFERROR(Q124-Q171, "NA")</f>
        <v>1600375.69</v>
      </c>
      <c r="R172" s="24">
        <f>IFERROR(Q172/Q444, "NA")</f>
        <v>0.72824768281959951</v>
      </c>
      <c r="S172" s="25"/>
      <c r="T172" s="23">
        <f>IFERROR(T124-T171, "NA")</f>
        <v>1698487.3999999994</v>
      </c>
      <c r="U172" s="24">
        <f>IFERROR(T172/T444, "NA")</f>
        <v>0.76443403600262105</v>
      </c>
      <c r="V172" s="25"/>
      <c r="W172" s="23">
        <f>IFERROR(Q172-T172, "NA")</f>
        <v>-98111.709999999497</v>
      </c>
      <c r="X172" s="24">
        <f>IFERROR(W172/W444, "NA")</f>
        <v>4.0345005259439164</v>
      </c>
      <c r="Y172" s="25"/>
      <c r="Z172" s="23">
        <f>IFERROR(Z124-Z171, "NA")</f>
        <v>1484607.31</v>
      </c>
      <c r="AA172" s="24">
        <f>IFERROR(Z172/Z444, "NA")</f>
        <v>0.73629132096043348</v>
      </c>
      <c r="AB172" s="25"/>
      <c r="AC172" s="23">
        <f>IFERROR(Q172-Z172, "NA")</f>
        <v>115768.37999999989</v>
      </c>
      <c r="AD172" s="24">
        <f>IFERROR(AC172/AC444, "NA")</f>
        <v>0.63876019309068821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12596.15</v>
      </c>
      <c r="C178" s="8">
        <f>IFERROR(B178/B444, "NA")</f>
        <v>8.2594796497985609E-2</v>
      </c>
      <c r="D178" s="9"/>
      <c r="E178" s="7">
        <v>12884.62</v>
      </c>
      <c r="F178" s="8">
        <f>IFERROR(E178/E444, "NA")</f>
        <v>7.3370930804189063E-2</v>
      </c>
      <c r="G178" s="9"/>
      <c r="H178" s="10">
        <f t="shared" si="44"/>
        <v>288.47000000000116</v>
      </c>
      <c r="I178" s="8">
        <f>IFERROR(H178/H444, "NA")</f>
        <v>-1.2485738375585885E-2</v>
      </c>
      <c r="J178" s="9"/>
      <c r="K178" s="7">
        <v>5788.47</v>
      </c>
      <c r="L178" s="8">
        <f>IFERROR(K178/K444, "NA")</f>
        <v>3.7342433274851282E-2</v>
      </c>
      <c r="M178" s="9"/>
      <c r="N178" s="10">
        <f t="shared" si="45"/>
        <v>-6807.6799999999994</v>
      </c>
      <c r="O178" s="8">
        <f>IFERROR(N178/N444, "NA")</f>
        <v>2.7174740035526876</v>
      </c>
      <c r="P178" s="9"/>
      <c r="Q178" s="7">
        <v>130724.96</v>
      </c>
      <c r="R178" s="8">
        <f>IFERROR(Q178/Q444, "NA")</f>
        <v>5.948612554011292E-2</v>
      </c>
      <c r="S178" s="9"/>
      <c r="T178" s="7">
        <v>134000</v>
      </c>
      <c r="U178" s="8">
        <f>IFERROR(T178/T444, "NA")</f>
        <v>6.0309049583971749E-2</v>
      </c>
      <c r="V178" s="9"/>
      <c r="W178" s="10">
        <f t="shared" si="46"/>
        <v>3275.0399999999936</v>
      </c>
      <c r="X178" s="8">
        <f>IFERROR(W178/W444, "NA")</f>
        <v>-0.13467455212519897</v>
      </c>
      <c r="Y178" s="9"/>
      <c r="Z178" s="7">
        <v>57759.66</v>
      </c>
      <c r="AA178" s="8">
        <f>IFERROR(Z178/Z444, "NA")</f>
        <v>2.8645916043364701E-2</v>
      </c>
      <c r="AB178" s="9"/>
      <c r="AC178" s="10">
        <f t="shared" si="47"/>
        <v>-72965.3</v>
      </c>
      <c r="AD178" s="8">
        <f>IFERROR(AC178/AC444, "NA")</f>
        <v>-0.4025911835072758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25008.62</v>
      </c>
      <c r="C180" s="8">
        <f>IFERROR(B180/B444, "NA")</f>
        <v>0.1639851763908379</v>
      </c>
      <c r="D180" s="9"/>
      <c r="E180" s="7">
        <v>29677.98</v>
      </c>
      <c r="F180" s="8">
        <f>IFERROR(E180/E444, "NA")</f>
        <v>0.16900001839310019</v>
      </c>
      <c r="G180" s="9"/>
      <c r="H180" s="10">
        <f t="shared" si="44"/>
        <v>4669.3600000000006</v>
      </c>
      <c r="I180" s="8">
        <f>IFERROR(H180/H444, "NA")</f>
        <v>-0.20210215045386168</v>
      </c>
      <c r="J180" s="9"/>
      <c r="K180" s="7">
        <v>26685.75</v>
      </c>
      <c r="L180" s="8">
        <f>IFERROR(K180/K444, "NA")</f>
        <v>0.17215444474349226</v>
      </c>
      <c r="M180" s="9"/>
      <c r="N180" s="10">
        <f t="shared" si="45"/>
        <v>1677.130000000001</v>
      </c>
      <c r="O180" s="8">
        <f>IFERROR(N180/N444, "NA")</f>
        <v>-0.66947288585514042</v>
      </c>
      <c r="P180" s="9"/>
      <c r="Q180" s="7">
        <v>342807.63</v>
      </c>
      <c r="R180" s="8">
        <f>IFERROR(Q180/Q444, "NA")</f>
        <v>0.15599391053008224</v>
      </c>
      <c r="S180" s="9"/>
      <c r="T180" s="7">
        <v>357456.3</v>
      </c>
      <c r="U180" s="8">
        <f>IFERROR(T180/T444, "NA")</f>
        <v>0.16087947552838119</v>
      </c>
      <c r="V180" s="9"/>
      <c r="W180" s="10">
        <f t="shared" si="46"/>
        <v>14648.669999999984</v>
      </c>
      <c r="X180" s="8">
        <f>IFERROR(W180/W444, "NA")</f>
        <v>-0.60237525999066888</v>
      </c>
      <c r="Y180" s="9"/>
      <c r="Z180" s="7">
        <v>341807.42</v>
      </c>
      <c r="AA180" s="8">
        <f>IFERROR(Z180/Z444, "NA")</f>
        <v>0.1695194649054218</v>
      </c>
      <c r="AB180" s="9"/>
      <c r="AC180" s="10">
        <f t="shared" si="47"/>
        <v>-1000.210000000021</v>
      </c>
      <c r="AD180" s="8">
        <f>IFERROR(AC180/AC444, "NA")</f>
        <v>-5.5187291446183425E-3</v>
      </c>
    </row>
    <row r="181" spans="1:30" ht="16.5" customHeight="1" x14ac:dyDescent="0.45">
      <c r="A181" s="12" t="s">
        <v>166</v>
      </c>
      <c r="B181" s="7">
        <v>406.78</v>
      </c>
      <c r="C181" s="8">
        <f>IFERROR(B181/B444, "NA")</f>
        <v>2.6673159115642945E-3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-406.78</v>
      </c>
      <c r="I181" s="8">
        <f>IFERROR(H181/H444, "NA")</f>
        <v>1.7606505551429282E-2</v>
      </c>
      <c r="J181" s="9"/>
      <c r="K181" s="7">
        <v>510.79</v>
      </c>
      <c r="L181" s="8">
        <f>IFERROR(K181/K444, "NA")</f>
        <v>3.2951957067171959E-3</v>
      </c>
      <c r="M181" s="9"/>
      <c r="N181" s="10">
        <f t="shared" si="45"/>
        <v>104.01000000000005</v>
      </c>
      <c r="O181" s="8">
        <f>IFERROR(N181/N444, "NA")</f>
        <v>-4.1518471947787676E-2</v>
      </c>
      <c r="P181" s="9"/>
      <c r="Q181" s="7">
        <v>11453.85</v>
      </c>
      <c r="R181" s="8">
        <f>IFERROR(Q181/Q444, "NA")</f>
        <v>5.2120510040134828E-3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-11453.85</v>
      </c>
      <c r="X181" s="8">
        <f>IFERROR(W181/W444, "NA")</f>
        <v>0.47099947446724721</v>
      </c>
      <c r="Y181" s="9"/>
      <c r="Z181" s="7">
        <v>9774.92</v>
      </c>
      <c r="AA181" s="8">
        <f>IFERROR(Z181/Z444, "NA")</f>
        <v>4.8478737175843218E-3</v>
      </c>
      <c r="AB181" s="9"/>
      <c r="AC181" s="10">
        <f t="shared" si="47"/>
        <v>-1678.9300000000003</v>
      </c>
      <c r="AD181" s="8">
        <f>IFERROR(AC181/AC444, "NA")</f>
        <v>-9.2636145637155012E-3</v>
      </c>
    </row>
    <row r="182" spans="1:30" ht="16.5" customHeight="1" x14ac:dyDescent="0.45">
      <c r="A182" s="13" t="s">
        <v>167</v>
      </c>
      <c r="B182" s="14">
        <f>IFERROR(B177+B178+B179+B180+B181, "NA")</f>
        <v>38011.549999999996</v>
      </c>
      <c r="C182" s="15">
        <f>IFERROR(B182/B444, "NA")</f>
        <v>0.2492472888003878</v>
      </c>
      <c r="D182" s="2"/>
      <c r="E182" s="14">
        <f>IFERROR(E177+E178+E179+E180+E181, "NA")</f>
        <v>42562.6</v>
      </c>
      <c r="F182" s="15">
        <f>IFERROR(E182/E444, "NA")</f>
        <v>0.24237094919728924</v>
      </c>
      <c r="G182" s="2"/>
      <c r="H182" s="14">
        <f t="shared" si="44"/>
        <v>4551.0500000000029</v>
      </c>
      <c r="I182" s="15">
        <f>IFERROR(H182/H444, "NA")</f>
        <v>-0.19698138327801834</v>
      </c>
      <c r="J182" s="2"/>
      <c r="K182" s="14">
        <f>IFERROR(K177+K178+K179+K180+K181, "NA")</f>
        <v>32985.01</v>
      </c>
      <c r="L182" s="15">
        <f>IFERROR(K182/K444, "NA")</f>
        <v>0.21279207372506076</v>
      </c>
      <c r="M182" s="2"/>
      <c r="N182" s="14">
        <f t="shared" si="45"/>
        <v>-5026.5399999999936</v>
      </c>
      <c r="O182" s="15">
        <f>IFERROR(N182/N444, "NA")</f>
        <v>2.0064826457497578</v>
      </c>
      <c r="P182" s="2"/>
      <c r="Q182" s="14">
        <f>IFERROR(Q177+Q178+Q179+Q180+Q181, "NA")</f>
        <v>484986.44</v>
      </c>
      <c r="R182" s="15">
        <f>IFERROR(Q182/Q444, "NA")</f>
        <v>0.22069208707420862</v>
      </c>
      <c r="S182" s="2"/>
      <c r="T182" s="14">
        <f>IFERROR(T177+T178+T179+T180+T181, "NA")</f>
        <v>491456.3</v>
      </c>
      <c r="U182" s="15">
        <f>IFERROR(T182/T444, "NA")</f>
        <v>0.22118852511235293</v>
      </c>
      <c r="V182" s="2"/>
      <c r="W182" s="14">
        <f t="shared" si="46"/>
        <v>6469.859999999986</v>
      </c>
      <c r="X182" s="15">
        <f>IFERROR(W182/W444, "NA")</f>
        <v>-0.26605033764862096</v>
      </c>
      <c r="Y182" s="2"/>
      <c r="Z182" s="14">
        <f>IFERROR(Z177+Z178+Z179+Z180+Z181, "NA")</f>
        <v>409341.99999999994</v>
      </c>
      <c r="AA182" s="15">
        <f>IFERROR(Z182/Z444, "NA")</f>
        <v>0.2030132546663708</v>
      </c>
      <c r="AB182" s="2"/>
      <c r="AC182" s="14">
        <f t="shared" si="47"/>
        <v>-75644.440000000061</v>
      </c>
      <c r="AD182" s="15">
        <f>IFERROR(AC182/AC444, "NA")</f>
        <v>-0.41737352721560983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1150</v>
      </c>
      <c r="C184" s="8">
        <f>IFERROR(B184/B444, "NA")</f>
        <v>7.5407180743864953E-3</v>
      </c>
      <c r="D184" s="9"/>
      <c r="E184" s="7">
        <v>1150</v>
      </c>
      <c r="F184" s="8">
        <f>IFERROR(E184/E444, "NA")</f>
        <v>6.5486270006269035E-3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900</v>
      </c>
      <c r="L184" s="8">
        <f>IFERROR(K184/K444, "NA")</f>
        <v>5.8060575501585315E-3</v>
      </c>
      <c r="M184" s="9"/>
      <c r="N184" s="10">
        <f t="shared" si="45"/>
        <v>-250</v>
      </c>
      <c r="O184" s="8">
        <f>IFERROR(N184/N444, "NA")</f>
        <v>9.9794423487615747E-2</v>
      </c>
      <c r="P184" s="9"/>
      <c r="Q184" s="7">
        <v>6250</v>
      </c>
      <c r="R184" s="8">
        <f>IFERROR(Q184/Q444, "NA")</f>
        <v>2.8440497103667558E-3</v>
      </c>
      <c r="S184" s="9"/>
      <c r="T184" s="7">
        <v>13800</v>
      </c>
      <c r="U184" s="8">
        <f>IFERROR(T184/T444, "NA")</f>
        <v>6.2109319720806723E-3</v>
      </c>
      <c r="V184" s="9"/>
      <c r="W184" s="10">
        <f t="shared" si="46"/>
        <v>7550</v>
      </c>
      <c r="X184" s="8">
        <f>IFERROR(W184/W444, "NA")</f>
        <v>-0.31046731293213342</v>
      </c>
      <c r="Y184" s="9"/>
      <c r="Z184" s="7">
        <v>6450</v>
      </c>
      <c r="AA184" s="8">
        <f>IFERROR(Z184/Z444, "NA")</f>
        <v>3.1988789144482897E-3</v>
      </c>
      <c r="AB184" s="9"/>
      <c r="AC184" s="10">
        <f t="shared" si="47"/>
        <v>200</v>
      </c>
      <c r="AD184" s="8">
        <f>IFERROR(AC184/AC444, "NA")</f>
        <v>1.1035140909645429E-3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3668.02</v>
      </c>
      <c r="C186" s="8">
        <f>IFERROR(B186/B444, "NA")</f>
        <v>2.4051743227140134E-2</v>
      </c>
      <c r="D186" s="9"/>
      <c r="E186" s="7">
        <v>3937.05</v>
      </c>
      <c r="F186" s="8">
        <f>IFERROR(E186/E444, "NA")</f>
        <v>2.2419366898102741E-2</v>
      </c>
      <c r="G186" s="9"/>
      <c r="H186" s="10">
        <f t="shared" ref="H186:H197" si="48">IFERROR(-(B186-E186), "NA")</f>
        <v>269.0300000000002</v>
      </c>
      <c r="I186" s="8">
        <f>IFERROR(H186/H444, "NA")</f>
        <v>-1.1644324176461537E-2</v>
      </c>
      <c r="J186" s="9"/>
      <c r="K186" s="7">
        <v>3285.65</v>
      </c>
      <c r="L186" s="8">
        <f>IFERROR(K186/K444, "NA")</f>
        <v>2.1196303321864868E-2</v>
      </c>
      <c r="M186" s="9"/>
      <c r="N186" s="10">
        <f t="shared" ref="N186:N197" si="49">IFERROR(-(B186-K186), "NA")</f>
        <v>-382.36999999999989</v>
      </c>
      <c r="O186" s="8">
        <f>IFERROR(N186/N444, "NA")</f>
        <v>0.15263357483583848</v>
      </c>
      <c r="P186" s="9"/>
      <c r="Q186" s="7">
        <v>48193.63</v>
      </c>
      <c r="R186" s="8">
        <f>IFERROR(Q186/Q444, "NA")</f>
        <v>2.1930412710883612E-2</v>
      </c>
      <c r="S186" s="9"/>
      <c r="T186" s="7">
        <v>52060.77</v>
      </c>
      <c r="U186" s="8">
        <f>IFERROR(T186/T444, "NA")</f>
        <v>2.3430862382908573E-2</v>
      </c>
      <c r="V186" s="9"/>
      <c r="W186" s="10">
        <f t="shared" ref="W186:W197" si="50">IFERROR(-(Q186-T186), "NA")</f>
        <v>3867.1399999999994</v>
      </c>
      <c r="X186" s="8">
        <f>IFERROR(W186/W444, "NA")</f>
        <v>-0.15902259132879076</v>
      </c>
      <c r="Y186" s="9"/>
      <c r="Z186" s="7">
        <v>41164.629999999997</v>
      </c>
      <c r="AA186" s="8">
        <f>IFERROR(Z186/Z444, "NA")</f>
        <v>2.041560727566907E-2</v>
      </c>
      <c r="AB186" s="9"/>
      <c r="AC186" s="10">
        <f t="shared" ref="AC186:AC197" si="51">IFERROR(-(Q186-Z186), "NA")</f>
        <v>-7029</v>
      </c>
      <c r="AD186" s="8">
        <f>IFERROR(AC186/AC444, "NA")</f>
        <v>-3.8783002726948859E-2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0.04</v>
      </c>
      <c r="AA187" s="8">
        <f>IFERROR(Z187/Z444, "NA")</f>
        <v>1.9838008771772341E-8</v>
      </c>
      <c r="AB187" s="9"/>
      <c r="AC187" s="10">
        <f t="shared" si="51"/>
        <v>0.04</v>
      </c>
      <c r="AD187" s="8">
        <f>IFERROR(AC187/AC444, "NA")</f>
        <v>2.2070281819290857E-7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3668.02</v>
      </c>
      <c r="C193" s="15">
        <f>IFERROR(B193/B444, "NA")</f>
        <v>2.4051743227140134E-2</v>
      </c>
      <c r="D193" s="2"/>
      <c r="E193" s="14">
        <f>IFERROR(E186+E187+E188+E189+E190+E191+E192, "NA")</f>
        <v>3937.05</v>
      </c>
      <c r="F193" s="15">
        <f>IFERROR(E193/E444, "NA")</f>
        <v>2.2419366898102741E-2</v>
      </c>
      <c r="G193" s="2"/>
      <c r="H193" s="14">
        <f t="shared" si="48"/>
        <v>269.0300000000002</v>
      </c>
      <c r="I193" s="15">
        <f>IFERROR(H193/H444, "NA")</f>
        <v>-1.1644324176461537E-2</v>
      </c>
      <c r="J193" s="2"/>
      <c r="K193" s="14">
        <f>IFERROR(K186+K187+K188+K189+K190+K191+K192, "NA")</f>
        <v>3285.65</v>
      </c>
      <c r="L193" s="15">
        <f>IFERROR(K193/K444, "NA")</f>
        <v>2.1196303321864868E-2</v>
      </c>
      <c r="M193" s="2"/>
      <c r="N193" s="14">
        <f t="shared" si="49"/>
        <v>-382.36999999999989</v>
      </c>
      <c r="O193" s="15">
        <f>IFERROR(N193/N444, "NA")</f>
        <v>0.15263357483583848</v>
      </c>
      <c r="P193" s="2"/>
      <c r="Q193" s="14">
        <f>IFERROR(Q186+Q187+Q188+Q189+Q190+Q191+Q192, "NA")</f>
        <v>48193.63</v>
      </c>
      <c r="R193" s="15">
        <f>IFERROR(Q193/Q444, "NA")</f>
        <v>2.1930412710883612E-2</v>
      </c>
      <c r="S193" s="2"/>
      <c r="T193" s="14">
        <f>IFERROR(T186+T187+T188+T189+T190+T191+T192, "NA")</f>
        <v>52060.77</v>
      </c>
      <c r="U193" s="15">
        <f>IFERROR(T193/T444, "NA")</f>
        <v>2.3430862382908573E-2</v>
      </c>
      <c r="V193" s="2"/>
      <c r="W193" s="14">
        <f t="shared" si="50"/>
        <v>3867.1399999999994</v>
      </c>
      <c r="X193" s="15">
        <f>IFERROR(W193/W444, "NA")</f>
        <v>-0.15902259132879076</v>
      </c>
      <c r="Y193" s="2"/>
      <c r="Z193" s="14">
        <f>IFERROR(Z186+Z187+Z188+Z189+Z190+Z191+Z192, "NA")</f>
        <v>41164.67</v>
      </c>
      <c r="AA193" s="15">
        <f>IFERROR(Z193/Z444, "NA")</f>
        <v>2.041562711367784E-2</v>
      </c>
      <c r="AB193" s="2"/>
      <c r="AC193" s="14">
        <f t="shared" si="51"/>
        <v>-7028.9599999999991</v>
      </c>
      <c r="AD193" s="15">
        <f>IFERROR(AC193/AC444, "NA")</f>
        <v>-3.8782782024130658E-2</v>
      </c>
    </row>
    <row r="194" spans="1:30" ht="16.5" customHeight="1" x14ac:dyDescent="0.45">
      <c r="A194" s="6" t="s">
        <v>178</v>
      </c>
      <c r="B194" s="7">
        <v>250.16</v>
      </c>
      <c r="C194" s="8">
        <f>IFERROR(B194/B444, "NA")</f>
        <v>1.6403356812943702E-3</v>
      </c>
      <c r="D194" s="9"/>
      <c r="E194" s="7">
        <v>349.7</v>
      </c>
      <c r="F194" s="8">
        <f>IFERROR(E194/E444, "NA")</f>
        <v>1.99135205401672E-3</v>
      </c>
      <c r="G194" s="9"/>
      <c r="H194" s="10">
        <f t="shared" si="48"/>
        <v>99.539999999999992</v>
      </c>
      <c r="I194" s="8">
        <f>IFERROR(H194/H444, "NA")</f>
        <v>-4.308352334405012E-3</v>
      </c>
      <c r="J194" s="9"/>
      <c r="K194" s="7">
        <v>250.16</v>
      </c>
      <c r="L194" s="8">
        <f>IFERROR(K194/K444, "NA")</f>
        <v>1.6138259519418426E-3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3189.54</v>
      </c>
      <c r="R194" s="8">
        <f>IFERROR(Q194/Q444, "NA")</f>
        <v>1.451393650112509E-3</v>
      </c>
      <c r="S194" s="9"/>
      <c r="T194" s="7">
        <v>4042.05</v>
      </c>
      <c r="U194" s="8">
        <f>IFERROR(T194/T444, "NA")</f>
        <v>1.8191954766484553E-3</v>
      </c>
      <c r="V194" s="9"/>
      <c r="W194" s="10">
        <f t="shared" si="50"/>
        <v>852.51000000000022</v>
      </c>
      <c r="X194" s="8">
        <f>IFERROR(W194/W444, "NA")</f>
        <v>-3.5056488602354052E-2</v>
      </c>
      <c r="Y194" s="9"/>
      <c r="Z194" s="7">
        <v>3008.23</v>
      </c>
      <c r="AA194" s="8">
        <f>IFERROR(Z194/Z444, "NA")</f>
        <v>1.4919323281877177E-3</v>
      </c>
      <c r="AB194" s="9"/>
      <c r="AC194" s="10">
        <f t="shared" si="51"/>
        <v>-181.30999999999995</v>
      </c>
      <c r="AD194" s="8">
        <f>IFERROR(AC194/AC444, "NA")</f>
        <v>-1.0003906991639059E-3</v>
      </c>
    </row>
    <row r="195" spans="1:30" ht="16.5" customHeight="1" x14ac:dyDescent="0.45">
      <c r="A195" s="6" t="s">
        <v>179</v>
      </c>
      <c r="B195" s="7">
        <v>184.95</v>
      </c>
      <c r="C195" s="8">
        <f>IFERROR(B195/B444, "NA")</f>
        <v>1.2127441807458976E-3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-184.95</v>
      </c>
      <c r="I195" s="8">
        <f>IFERROR(H195/H444, "NA")</f>
        <v>8.0051212000020796E-3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-184.95</v>
      </c>
      <c r="O195" s="8">
        <f>IFERROR(N195/N444, "NA")</f>
        <v>7.3827914496138125E-2</v>
      </c>
      <c r="P195" s="9"/>
      <c r="Q195" s="7">
        <v>2321.46</v>
      </c>
      <c r="R195" s="8">
        <f>IFERROR(Q195/Q444, "NA")</f>
        <v>1.0563756225004813E-3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-2321.46</v>
      </c>
      <c r="X195" s="8">
        <f>IFERROR(W195/W444, "NA")</f>
        <v>9.5461913679394758E-2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-2321.46</v>
      </c>
      <c r="AD195" s="8">
        <f>IFERROR(AC195/AC444, "NA")</f>
        <v>-1.2808819108052738E-2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43264.679999999993</v>
      </c>
      <c r="C196" s="15">
        <f>IFERROR(B196/B444, "NA")</f>
        <v>0.28369282996395467</v>
      </c>
      <c r="D196" s="2"/>
      <c r="E196" s="14">
        <f>IFERROR(E175+E177+E178+E179+E180+E181+E183+E184+E186+E187+E188+E189+E190+E191+E192+E194+E195, "NA")</f>
        <v>47999.35</v>
      </c>
      <c r="F196" s="15">
        <f>IFERROR(E196/E444, "NA")</f>
        <v>0.2733302951500356</v>
      </c>
      <c r="G196" s="2"/>
      <c r="H196" s="14">
        <f t="shared" si="48"/>
        <v>4734.6700000000055</v>
      </c>
      <c r="I196" s="15">
        <f>IFERROR(H196/H444, "NA")</f>
        <v>-0.20492893858888292</v>
      </c>
      <c r="J196" s="2"/>
      <c r="K196" s="14">
        <f>IFERROR(K175+K177+K178+K179+K180+K181+K183+K184+K186+K187+K188+K189+K190+K191+K192+K194+K195, "NA")</f>
        <v>37420.820000000007</v>
      </c>
      <c r="L196" s="15">
        <f>IFERROR(K196/K444, "NA")</f>
        <v>0.24140826054902603</v>
      </c>
      <c r="M196" s="2"/>
      <c r="N196" s="14">
        <f t="shared" si="49"/>
        <v>-5843.859999999986</v>
      </c>
      <c r="O196" s="15">
        <f>IFERROR(N196/N444, "NA")</f>
        <v>2.3327385585693472</v>
      </c>
      <c r="P196" s="2"/>
      <c r="Q196" s="14">
        <f>IFERROR(Q175+Q177+Q178+Q179+Q180+Q181+Q183+Q184+Q186+Q187+Q188+Q189+Q190+Q191+Q192+Q194+Q195, "NA")</f>
        <v>544941.06999999995</v>
      </c>
      <c r="R196" s="15">
        <f>IFERROR(Q196/Q444, "NA")</f>
        <v>0.24797431876807197</v>
      </c>
      <c r="S196" s="2"/>
      <c r="T196" s="14">
        <f>IFERROR(T175+T177+T178+T179+T180+T181+T183+T184+T186+T187+T188+T189+T190+T191+T192+T194+T195, "NA")</f>
        <v>561359.12</v>
      </c>
      <c r="U196" s="15">
        <f>IFERROR(T196/T444, "NA")</f>
        <v>0.25264951494399063</v>
      </c>
      <c r="V196" s="2"/>
      <c r="W196" s="14">
        <f t="shared" si="50"/>
        <v>16418.050000000047</v>
      </c>
      <c r="X196" s="15">
        <f>IFERROR(W196/W444, "NA")</f>
        <v>-0.67513481683250698</v>
      </c>
      <c r="Y196" s="2"/>
      <c r="Z196" s="14">
        <f>IFERROR(Z175+Z177+Z178+Z179+Z180+Z181+Z183+Z184+Z186+Z187+Z188+Z189+Z190+Z191+Z192+Z194+Z195, "NA")</f>
        <v>459964.89999999991</v>
      </c>
      <c r="AA196" s="15">
        <f>IFERROR(Z196/Z444, "NA")</f>
        <v>0.22811969302268462</v>
      </c>
      <c r="AB196" s="2"/>
      <c r="AC196" s="14">
        <f t="shared" si="51"/>
        <v>-84976.170000000042</v>
      </c>
      <c r="AD196" s="15">
        <f>IFERROR(AC196/AC444, "NA")</f>
        <v>-0.46886200495599251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43264.679999999993</v>
      </c>
      <c r="C197" s="15">
        <f>IFERROR(B197/B444, "NA")</f>
        <v>0.28369282996395467</v>
      </c>
      <c r="D197" s="2"/>
      <c r="E197" s="14">
        <f>IFERROR(E175+E177+E178+E179+E180+E181+E183+E184+E186+E187+E188+E189+E190+E191+E192+E194+E195, "NA")</f>
        <v>47999.35</v>
      </c>
      <c r="F197" s="15">
        <f>IFERROR(E197/E444, "NA")</f>
        <v>0.2733302951500356</v>
      </c>
      <c r="G197" s="2"/>
      <c r="H197" s="14">
        <f t="shared" si="48"/>
        <v>4734.6700000000055</v>
      </c>
      <c r="I197" s="15">
        <f>IFERROR(H197/H444, "NA")</f>
        <v>-0.20492893858888292</v>
      </c>
      <c r="J197" s="2"/>
      <c r="K197" s="14">
        <f>IFERROR(K175+K177+K178+K179+K180+K181+K183+K184+K186+K187+K188+K189+K190+K191+K192+K194+K195, "NA")</f>
        <v>37420.820000000007</v>
      </c>
      <c r="L197" s="15">
        <f>IFERROR(K197/K444, "NA")</f>
        <v>0.24140826054902603</v>
      </c>
      <c r="M197" s="2"/>
      <c r="N197" s="14">
        <f t="shared" si="49"/>
        <v>-5843.859999999986</v>
      </c>
      <c r="O197" s="15">
        <f>IFERROR(N197/N444, "NA")</f>
        <v>2.3327385585693472</v>
      </c>
      <c r="P197" s="2"/>
      <c r="Q197" s="14">
        <f>IFERROR(Q175+Q177+Q178+Q179+Q180+Q181+Q183+Q184+Q186+Q187+Q188+Q189+Q190+Q191+Q192+Q194+Q195, "NA")</f>
        <v>544941.06999999995</v>
      </c>
      <c r="R197" s="15">
        <f>IFERROR(Q197/Q444, "NA")</f>
        <v>0.24797431876807197</v>
      </c>
      <c r="S197" s="2"/>
      <c r="T197" s="14">
        <f>IFERROR(T175+T177+T178+T179+T180+T181+T183+T184+T186+T187+T188+T189+T190+T191+T192+T194+T195, "NA")</f>
        <v>561359.12</v>
      </c>
      <c r="U197" s="15">
        <f>IFERROR(T197/T444, "NA")</f>
        <v>0.25264951494399063</v>
      </c>
      <c r="V197" s="2"/>
      <c r="W197" s="14">
        <f t="shared" si="50"/>
        <v>16418.050000000047</v>
      </c>
      <c r="X197" s="15">
        <f>IFERROR(W197/W444, "NA")</f>
        <v>-0.67513481683250698</v>
      </c>
      <c r="Y197" s="2"/>
      <c r="Z197" s="14">
        <f>IFERROR(Z175+Z177+Z178+Z179+Z180+Z181+Z183+Z184+Z186+Z187+Z188+Z189+Z190+Z191+Z192+Z194+Z195, "NA")</f>
        <v>459964.89999999991</v>
      </c>
      <c r="AA197" s="15">
        <f>IFERROR(Z197/Z444, "NA")</f>
        <v>0.22811969302268462</v>
      </c>
      <c r="AB197" s="2"/>
      <c r="AC197" s="14">
        <f t="shared" si="51"/>
        <v>-84976.170000000042</v>
      </c>
      <c r="AD197" s="15">
        <f>IFERROR(AC197/AC444, "NA")</f>
        <v>-0.46886200495599251</v>
      </c>
    </row>
    <row r="198" spans="1:30" ht="16.5" customHeight="1" x14ac:dyDescent="0.45">
      <c r="A198" s="22" t="s">
        <v>181</v>
      </c>
      <c r="B198" s="23">
        <f>IFERROR(B172-B197, "NA")</f>
        <v>65512.999999999971</v>
      </c>
      <c r="C198" s="24">
        <f>IFERROR(B198/B444, "NA")</f>
        <v>0.42957831583241934</v>
      </c>
      <c r="D198" s="25"/>
      <c r="E198" s="23">
        <f>IFERROR(E172-E197, "NA")</f>
        <v>87219.830000000016</v>
      </c>
      <c r="F198" s="24">
        <f>IFERROR(E198/E444, "NA")</f>
        <v>0.49666968150268564</v>
      </c>
      <c r="G198" s="25"/>
      <c r="H198" s="23">
        <f>IFERROR(B198-E198, "NA")</f>
        <v>-21706.830000000045</v>
      </c>
      <c r="I198" s="24">
        <f>IFERROR(H198/H444, "NA")</f>
        <v>0.93952854835275224</v>
      </c>
      <c r="J198" s="25"/>
      <c r="K198" s="23">
        <f>IFERROR(K172-K197, "NA")</f>
        <v>77197.400000000023</v>
      </c>
      <c r="L198" s="24">
        <f>IFERROR(K198/K444, "NA")</f>
        <v>0.49801394124734261</v>
      </c>
      <c r="M198" s="25"/>
      <c r="N198" s="23">
        <f>IFERROR(B198-K198, "NA")</f>
        <v>-11684.400000000052</v>
      </c>
      <c r="O198" s="24">
        <f>IFERROR(N198/N444, "NA")</f>
        <v>4.6641518471948107</v>
      </c>
      <c r="P198" s="25"/>
      <c r="Q198" s="23">
        <f>IFERROR(Q172-Q197, "NA")</f>
        <v>1055434.6200000001</v>
      </c>
      <c r="R198" s="24">
        <f>IFERROR(Q198/Q444, "NA")</f>
        <v>0.48027336405152754</v>
      </c>
      <c r="S198" s="25"/>
      <c r="T198" s="23">
        <f>IFERROR(T172-T197, "NA")</f>
        <v>1137128.2799999993</v>
      </c>
      <c r="U198" s="24">
        <f>IFERROR(T198/T444, "NA")</f>
        <v>0.51178452105863037</v>
      </c>
      <c r="V198" s="25"/>
      <c r="W198" s="23">
        <f>IFERROR(Q198-T198, "NA")</f>
        <v>-81693.659999999218</v>
      </c>
      <c r="X198" s="24">
        <f>IFERROR(W198/W444, "NA")</f>
        <v>3.3593657091113998</v>
      </c>
      <c r="Y198" s="25"/>
      <c r="Z198" s="23">
        <f>IFERROR(Z172-Z197, "NA")</f>
        <v>1024642.4100000001</v>
      </c>
      <c r="AA198" s="24">
        <f>IFERROR(Z198/Z444, "NA")</f>
        <v>0.50817162793774884</v>
      </c>
      <c r="AB198" s="25"/>
      <c r="AC198" s="23">
        <f>IFERROR(Q198-Z198, "NA")</f>
        <v>30792.209999999963</v>
      </c>
      <c r="AD198" s="24">
        <f>IFERROR(AC198/AC444, "NA")</f>
        <v>0.16989818813469632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2985.36</v>
      </c>
      <c r="F201" s="8">
        <f>IFERROR(E201/E444, "NA")</f>
        <v>1.7000007915296985E-2</v>
      </c>
      <c r="G201" s="9"/>
      <c r="H201" s="10">
        <f t="shared" ref="H201:H209" si="52">IFERROR(-(B201-E201), "NA")</f>
        <v>2985.36</v>
      </c>
      <c r="I201" s="8">
        <f>IFERROR(H201/H444, "NA")</f>
        <v>-0.12921421262848451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38020.42</v>
      </c>
      <c r="U201" s="8">
        <f>IFERROR(T201/T444, "NA")</f>
        <v>1.7111756678980829E-2</v>
      </c>
      <c r="V201" s="9"/>
      <c r="W201" s="10">
        <f t="shared" ref="W201:W209" si="54">IFERROR(-(Q201-T201), "NA")</f>
        <v>38020.42</v>
      </c>
      <c r="X201" s="8">
        <f>IFERROR(W201/W444, "NA")</f>
        <v>-1.5634566402584296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2207.48</v>
      </c>
      <c r="C202" s="8">
        <f>IFERROR(B202/B444, "NA")</f>
        <v>1.4474768986823219E-2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-2207.48</v>
      </c>
      <c r="I202" s="8">
        <f>IFERROR(H202/H444, "NA")</f>
        <v>9.5545525528956982E-2</v>
      </c>
      <c r="J202" s="9"/>
      <c r="K202" s="7">
        <v>1181.6600000000001</v>
      </c>
      <c r="L202" s="8">
        <f>IFERROR(K202/K444, "NA")</f>
        <v>7.6230955163559232E-3</v>
      </c>
      <c r="M202" s="9"/>
      <c r="N202" s="10">
        <f t="shared" si="53"/>
        <v>-1025.82</v>
      </c>
      <c r="O202" s="8">
        <f>IFERROR(N202/N444, "NA")</f>
        <v>0.40948446200826388</v>
      </c>
      <c r="P202" s="9"/>
      <c r="Q202" s="7">
        <v>20128.490000000002</v>
      </c>
      <c r="R202" s="8">
        <f>IFERROR(Q202/Q444, "NA")</f>
        <v>9.1594281847392229E-3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-20128.490000000002</v>
      </c>
      <c r="X202" s="8">
        <f>IFERROR(W202/W444, "NA")</f>
        <v>0.82771366936176405</v>
      </c>
      <c r="Y202" s="9"/>
      <c r="Z202" s="7">
        <v>15118.66</v>
      </c>
      <c r="AA202" s="8">
        <f>IFERROR(Z202/Z444, "NA")</f>
        <v>7.4981027424360896E-3</v>
      </c>
      <c r="AB202" s="9"/>
      <c r="AC202" s="10">
        <f t="shared" si="55"/>
        <v>-5009.8300000000017</v>
      </c>
      <c r="AD202" s="8">
        <f>IFERROR(AC202/AC444, "NA")</f>
        <v>-2.7642089991684486E-2</v>
      </c>
    </row>
    <row r="203" spans="1:30" ht="16.5" customHeight="1" x14ac:dyDescent="0.45">
      <c r="A203" s="6" t="s">
        <v>185</v>
      </c>
      <c r="B203" s="7">
        <v>1099.96</v>
      </c>
      <c r="C203" s="8">
        <f>IFERROR(B203/B444, "NA")</f>
        <v>7.2125984809584083E-3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-1099.96</v>
      </c>
      <c r="I203" s="8">
        <f>IFERROR(H203/H444, "NA")</f>
        <v>4.7609154447982097E-2</v>
      </c>
      <c r="J203" s="9"/>
      <c r="K203" s="7">
        <v>1046.6400000000001</v>
      </c>
      <c r="L203" s="8">
        <f>IFERROR(K203/K444, "NA")</f>
        <v>6.7520578603310292E-3</v>
      </c>
      <c r="M203" s="9"/>
      <c r="N203" s="10">
        <f t="shared" si="53"/>
        <v>-53.319999999999936</v>
      </c>
      <c r="O203" s="8">
        <f>IFERROR(N203/N444, "NA")</f>
        <v>2.1284154641438662E-2</v>
      </c>
      <c r="P203" s="9"/>
      <c r="Q203" s="7">
        <v>15942.22</v>
      </c>
      <c r="R203" s="8">
        <f>IFERROR(Q203/Q444, "NA")</f>
        <v>7.2544745877764953E-3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-15942.22</v>
      </c>
      <c r="X203" s="8">
        <f>IFERROR(W203/W444, "NA")</f>
        <v>0.65556797424806834</v>
      </c>
      <c r="Y203" s="9"/>
      <c r="Z203" s="7">
        <v>11846.37</v>
      </c>
      <c r="AA203" s="8">
        <f>IFERROR(Z203/Z444, "NA")</f>
        <v>5.8752097993415176E-3</v>
      </c>
      <c r="AB203" s="9"/>
      <c r="AC203" s="10">
        <f t="shared" si="55"/>
        <v>-4095.8499999999985</v>
      </c>
      <c r="AD203" s="8">
        <f>IFERROR(AC203/AC444, "NA")</f>
        <v>-2.2599140947385604E-2</v>
      </c>
    </row>
    <row r="204" spans="1:30" ht="16.5" customHeight="1" x14ac:dyDescent="0.45">
      <c r="A204" s="6" t="s">
        <v>186</v>
      </c>
      <c r="B204" s="7">
        <v>2088.64</v>
      </c>
      <c r="C204" s="8">
        <f>IFERROR(B204/B444, "NA")</f>
        <v>1.3695517738162268E-2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-2088.64</v>
      </c>
      <c r="I204" s="8">
        <f>IFERROR(H204/H444, "NA")</f>
        <v>9.0401818562705294E-2</v>
      </c>
      <c r="J204" s="9"/>
      <c r="K204" s="7">
        <v>234.07</v>
      </c>
      <c r="L204" s="8">
        <f>IFERROR(K204/K444, "NA")</f>
        <v>1.5100265452951194E-3</v>
      </c>
      <c r="M204" s="9"/>
      <c r="N204" s="10">
        <f t="shared" si="53"/>
        <v>-1854.57</v>
      </c>
      <c r="O204" s="8">
        <f>IFERROR(N204/N444, "NA")</f>
        <v>0.74030297586971006</v>
      </c>
      <c r="P204" s="9"/>
      <c r="Q204" s="7">
        <v>5063.91</v>
      </c>
      <c r="R204" s="8">
        <f>IFERROR(Q204/Q444, "NA")</f>
        <v>2.3043218830117308E-3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-5063.91</v>
      </c>
      <c r="X204" s="8">
        <f>IFERROR(W204/W444, "NA")</f>
        <v>0.20823556697088208</v>
      </c>
      <c r="Y204" s="9"/>
      <c r="Z204" s="7">
        <v>2381.54</v>
      </c>
      <c r="AA204" s="8">
        <f>IFERROR(Z204/Z444, "NA")</f>
        <v>1.1811252852581674E-3</v>
      </c>
      <c r="AB204" s="9"/>
      <c r="AC204" s="10">
        <f t="shared" si="55"/>
        <v>-2682.37</v>
      </c>
      <c r="AD204" s="8">
        <f>IFERROR(AC204/AC444, "NA")</f>
        <v>-1.4800165460902803E-2</v>
      </c>
    </row>
    <row r="205" spans="1:30" ht="16.5" customHeight="1" x14ac:dyDescent="0.45">
      <c r="A205" s="6" t="s">
        <v>187</v>
      </c>
      <c r="B205" s="7">
        <v>740.25</v>
      </c>
      <c r="C205" s="8">
        <f>IFERROR(B205/B444, "NA")</f>
        <v>4.8539274387518292E-3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-740.25</v>
      </c>
      <c r="I205" s="8">
        <f>IFERROR(H205/H444, "NA")</f>
        <v>3.2039961980543603E-2</v>
      </c>
      <c r="J205" s="9"/>
      <c r="K205" s="7">
        <v>930.44</v>
      </c>
      <c r="L205" s="8">
        <f>IFERROR(K205/K444, "NA")</f>
        <v>6.0024313188550048E-3</v>
      </c>
      <c r="M205" s="9"/>
      <c r="N205" s="10">
        <f t="shared" si="53"/>
        <v>190.19000000000005</v>
      </c>
      <c r="O205" s="8">
        <f>IFERROR(N205/N444, "NA")</f>
        <v>-7.5919605612438573E-2</v>
      </c>
      <c r="P205" s="9"/>
      <c r="Q205" s="7">
        <v>9077.07</v>
      </c>
      <c r="R205" s="8">
        <f>IFERROR(Q205/Q444, "NA")</f>
        <v>4.1305021287166028E-3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-9077.07</v>
      </c>
      <c r="X205" s="8">
        <f>IFERROR(W205/W444, "NA")</f>
        <v>0.37326271949627549</v>
      </c>
      <c r="Y205" s="9"/>
      <c r="Z205" s="7">
        <v>7356.12</v>
      </c>
      <c r="AA205" s="8">
        <f>IFERROR(Z205/Z444, "NA")</f>
        <v>3.6482693271552486E-3</v>
      </c>
      <c r="AB205" s="9"/>
      <c r="AC205" s="10">
        <f t="shared" si="55"/>
        <v>-1720.9499999999998</v>
      </c>
      <c r="AD205" s="8">
        <f>IFERROR(AC205/AC444, "NA")</f>
        <v>-9.4954628742271487E-3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52.12</v>
      </c>
      <c r="L206" s="8">
        <f>IFERROR(K206/K444, "NA")</f>
        <v>3.362352439047363E-4</v>
      </c>
      <c r="M206" s="9"/>
      <c r="N206" s="10">
        <f t="shared" si="53"/>
        <v>52.12</v>
      </c>
      <c r="O206" s="8">
        <f>IFERROR(N206/N444, "NA")</f>
        <v>-2.080514140869813E-2</v>
      </c>
      <c r="P206" s="9"/>
      <c r="Q206" s="7">
        <v>1869.04</v>
      </c>
      <c r="R206" s="8">
        <f>IFERROR(Q206/Q444, "NA")</f>
        <v>8.5050282730622098E-4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-1869.04</v>
      </c>
      <c r="X206" s="8">
        <f>IFERROR(W206/W444, "NA")</f>
        <v>7.6857725372539681E-2</v>
      </c>
      <c r="Y206" s="9"/>
      <c r="Z206" s="7">
        <v>1239</v>
      </c>
      <c r="AA206" s="8">
        <f>IFERROR(Z206/Z444, "NA")</f>
        <v>6.1448232170564819E-4</v>
      </c>
      <c r="AB206" s="9"/>
      <c r="AC206" s="10">
        <f t="shared" si="55"/>
        <v>-630.04</v>
      </c>
      <c r="AD206" s="8">
        <f>IFERROR(AC206/AC444, "NA")</f>
        <v>-3.4762900893565026E-3</v>
      </c>
    </row>
    <row r="207" spans="1:30" ht="16.5" customHeight="1" x14ac:dyDescent="0.45">
      <c r="A207" s="6" t="s">
        <v>189</v>
      </c>
      <c r="B207" s="7">
        <v>448.23</v>
      </c>
      <c r="C207" s="8">
        <f>IFERROR(B207/B444, "NA")</f>
        <v>2.9391096195497905E-3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-448.23</v>
      </c>
      <c r="I207" s="8">
        <f>IFERROR(H207/H444, "NA")</f>
        <v>1.9400570291846081E-2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-448.23</v>
      </c>
      <c r="O207" s="8">
        <f>IFERROR(N207/N444, "NA")</f>
        <v>0.17892341775941603</v>
      </c>
      <c r="P207" s="9"/>
      <c r="Q207" s="7">
        <v>1454.75</v>
      </c>
      <c r="R207" s="8">
        <f>IFERROR(Q207/Q444, "NA")</f>
        <v>6.6198101058496603E-4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-1454.75</v>
      </c>
      <c r="X207" s="8">
        <f>IFERROR(W207/W444, "NA")</f>
        <v>5.9821499799737887E-2</v>
      </c>
      <c r="Y207" s="9"/>
      <c r="Z207" s="7">
        <v>574.42999999999995</v>
      </c>
      <c r="AA207" s="8">
        <f>IFERROR(Z207/Z444, "NA")</f>
        <v>2.8488868446922963E-4</v>
      </c>
      <c r="AB207" s="9"/>
      <c r="AC207" s="10">
        <f t="shared" si="55"/>
        <v>-880.32</v>
      </c>
      <c r="AD207" s="8">
        <f>IFERROR(AC207/AC444, "NA")</f>
        <v>-4.8572276227895322E-3</v>
      </c>
    </row>
    <row r="208" spans="1:30" ht="16.5" customHeight="1" x14ac:dyDescent="0.45">
      <c r="A208" s="6" t="s">
        <v>190</v>
      </c>
      <c r="B208" s="7">
        <v>134.93</v>
      </c>
      <c r="C208" s="8">
        <f>IFERROR(B208/B444, "NA")</f>
        <v>8.8475573024084336E-4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-134.93</v>
      </c>
      <c r="I208" s="8">
        <f>IFERROR(H208/H444, "NA")</f>
        <v>5.8401243769466383E-3</v>
      </c>
      <c r="J208" s="9"/>
      <c r="K208" s="7">
        <v>182.48</v>
      </c>
      <c r="L208" s="8">
        <f>IFERROR(K208/K444, "NA")</f>
        <v>1.1772104241699209E-3</v>
      </c>
      <c r="M208" s="9"/>
      <c r="N208" s="10">
        <f t="shared" si="53"/>
        <v>47.549999999999983</v>
      </c>
      <c r="O208" s="8">
        <f>IFERROR(N208/N444, "NA")</f>
        <v>-1.8980899347344506E-2</v>
      </c>
      <c r="P208" s="9"/>
      <c r="Q208" s="7">
        <v>3076.17</v>
      </c>
      <c r="R208" s="8">
        <f>IFERROR(Q208/Q444, "NA")</f>
        <v>1.3998048636062244E-3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-3076.17</v>
      </c>
      <c r="X208" s="8">
        <f>IFERROR(W208/W444, "NA")</f>
        <v>0.12649671973807164</v>
      </c>
      <c r="Y208" s="9"/>
      <c r="Z208" s="7">
        <v>2851.96</v>
      </c>
      <c r="AA208" s="8">
        <f>IFERROR(Z208/Z444, "NA")</f>
        <v>1.414430187418596E-3</v>
      </c>
      <c r="AB208" s="9"/>
      <c r="AC208" s="10">
        <f t="shared" si="55"/>
        <v>-224.21000000000004</v>
      </c>
      <c r="AD208" s="8">
        <f>IFERROR(AC208/AC444, "NA")</f>
        <v>-1.2370944716758008E-3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6719.49</v>
      </c>
      <c r="C209" s="15">
        <f>IFERROR(B209/B444, "NA")</f>
        <v>4.4060677994486361E-2</v>
      </c>
      <c r="D209" s="2"/>
      <c r="E209" s="14">
        <f>IFERROR(E201+E202+E203+E204+E205+E206+E207+E208, "NA")</f>
        <v>2985.36</v>
      </c>
      <c r="F209" s="15">
        <f>IFERROR(E209/E444, "NA")</f>
        <v>1.7000007915296985E-2</v>
      </c>
      <c r="G209" s="2"/>
      <c r="H209" s="14">
        <f t="shared" si="52"/>
        <v>-3734.1299999999997</v>
      </c>
      <c r="I209" s="15">
        <f>IFERROR(H209/H444, "NA")</f>
        <v>0.16162294256049617</v>
      </c>
      <c r="J209" s="2"/>
      <c r="K209" s="14">
        <f>IFERROR(K201+K202+K203+K204+K205+K206+K207+K208, "NA")</f>
        <v>3627.4100000000003</v>
      </c>
      <c r="L209" s="15">
        <f>IFERROR(K209/K444, "NA")</f>
        <v>2.3401056908911734E-2</v>
      </c>
      <c r="M209" s="2"/>
      <c r="N209" s="14">
        <f t="shared" si="53"/>
        <v>-3092.0799999999995</v>
      </c>
      <c r="O209" s="15">
        <f>IFERROR(N209/N444, "NA")</f>
        <v>1.2342893639103474</v>
      </c>
      <c r="P209" s="2"/>
      <c r="Q209" s="14">
        <f>IFERROR(Q201+Q202+Q203+Q204+Q205+Q206+Q207+Q208, "NA")</f>
        <v>56611.649999999994</v>
      </c>
      <c r="R209" s="15">
        <f>IFERROR(Q209/Q444, "NA")</f>
        <v>2.5761015485741459E-2</v>
      </c>
      <c r="S209" s="2"/>
      <c r="T209" s="14">
        <f>IFERROR(T201+T202+T203+T204+T205+T206+T207+T208, "NA")</f>
        <v>38020.42</v>
      </c>
      <c r="U209" s="15">
        <f>IFERROR(T209/T444, "NA")</f>
        <v>1.7111756678980829E-2</v>
      </c>
      <c r="V209" s="2"/>
      <c r="W209" s="14">
        <f t="shared" si="54"/>
        <v>-18591.229999999996</v>
      </c>
      <c r="X209" s="15">
        <f>IFERROR(W209/W444, "NA")</f>
        <v>0.76449923472890935</v>
      </c>
      <c r="Y209" s="2"/>
      <c r="Z209" s="14">
        <f>IFERROR(Z201+Z202+Z203+Z204+Z205+Z206+Z207+Z208, "NA")</f>
        <v>41368.080000000002</v>
      </c>
      <c r="AA209" s="15">
        <f>IFERROR(Z209/Z444, "NA")</f>
        <v>2.0516508347784498E-2</v>
      </c>
      <c r="AB209" s="2"/>
      <c r="AC209" s="14">
        <f t="shared" si="55"/>
        <v>-15243.569999999992</v>
      </c>
      <c r="AD209" s="15">
        <f>IFERROR(AC209/AC444, "NA")</f>
        <v>-8.4107471458021846E-2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4847.1099999999997</v>
      </c>
      <c r="F213" s="8">
        <f>IFERROR(E213/E444, "NA")</f>
        <v>2.7601665583485799E-2</v>
      </c>
      <c r="G213" s="9"/>
      <c r="H213" s="10">
        <f t="shared" ref="H213:H227" si="56">IFERROR(-(B213-E213), "NA")</f>
        <v>4847.1099999999997</v>
      </c>
      <c r="I213" s="8">
        <f>IFERROR(H213/H444, "NA")</f>
        <v>-0.20979563676529916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96224.99</v>
      </c>
      <c r="U213" s="8">
        <f>IFERROR(T213/T444, "NA")</f>
        <v>4.3307743978561089E-2</v>
      </c>
      <c r="V213" s="9"/>
      <c r="W213" s="10">
        <f t="shared" ref="W213:W227" si="58">IFERROR(-(Q213-T213), "NA")</f>
        <v>96224.99</v>
      </c>
      <c r="X213" s="8">
        <f>IFERROR(W213/W444, "NA")</f>
        <v>-3.9569157724796566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3031.6</v>
      </c>
      <c r="C214" s="8">
        <f>IFERROR(B214/B444, "NA")</f>
        <v>1.987864427331313E-2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-3031.6</v>
      </c>
      <c r="I214" s="8">
        <f>IFERROR(H214/H444, "NA")</f>
        <v>0.13121560113504355</v>
      </c>
      <c r="J214" s="9"/>
      <c r="K214" s="7">
        <v>5230.24</v>
      </c>
      <c r="L214" s="8">
        <f>IFERROR(K214/K444, "NA")</f>
        <v>3.3741193823490175E-2</v>
      </c>
      <c r="M214" s="9"/>
      <c r="N214" s="10">
        <f t="shared" si="57"/>
        <v>2198.64</v>
      </c>
      <c r="O214" s="8">
        <f>IFERROR(N214/N444, "NA")</f>
        <v>-0.87764804502724592</v>
      </c>
      <c r="P214" s="9"/>
      <c r="Q214" s="7">
        <v>44520.480000000003</v>
      </c>
      <c r="R214" s="8">
        <f>IFERROR(Q214/Q444, "NA")</f>
        <v>2.0258953319902233E-2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-44520.480000000003</v>
      </c>
      <c r="X214" s="8">
        <f>IFERROR(W214/W444, "NA")</f>
        <v>1.8307488471587798</v>
      </c>
      <c r="Y214" s="9"/>
      <c r="Z214" s="7">
        <v>39332.720000000001</v>
      </c>
      <c r="AA214" s="8">
        <f>IFERROR(Z214/Z444, "NA")</f>
        <v>1.9507071109441634E-2</v>
      </c>
      <c r="AB214" s="9"/>
      <c r="AC214" s="10">
        <f t="shared" si="59"/>
        <v>-5187.760000000002</v>
      </c>
      <c r="AD214" s="8">
        <f>IFERROR(AC214/AC444, "NA")</f>
        <v>-2.8623831302711095E-2</v>
      </c>
    </row>
    <row r="215" spans="1:30" ht="16.5" customHeight="1" x14ac:dyDescent="0.45">
      <c r="A215" s="12" t="s">
        <v>195</v>
      </c>
      <c r="B215" s="7">
        <v>924.22</v>
      </c>
      <c r="C215" s="8">
        <f>IFERROR(B215/B444, "NA")</f>
        <v>6.0602456162691196E-3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-924.22</v>
      </c>
      <c r="I215" s="8">
        <f>IFERROR(H215/H444, "NA")</f>
        <v>4.0002666209602182E-2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-924.22</v>
      </c>
      <c r="O215" s="8">
        <f>IFERROR(N215/N444, "NA")</f>
        <v>0.3689280083028969</v>
      </c>
      <c r="P215" s="9"/>
      <c r="Q215" s="7">
        <v>6095.64</v>
      </c>
      <c r="R215" s="8">
        <f>IFERROR(Q215/Q444, "NA")</f>
        <v>2.7738085082400017E-3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-6095.64</v>
      </c>
      <c r="X215" s="8">
        <f>IFERROR(W215/W444, "NA")</f>
        <v>0.25066185051677214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-6095.64</v>
      </c>
      <c r="AD215" s="8">
        <f>IFERROR(AC215/AC444, "NA")</f>
        <v>-3.3633123167235532E-2</v>
      </c>
    </row>
    <row r="216" spans="1:30" ht="16.5" customHeight="1" x14ac:dyDescent="0.45">
      <c r="A216" s="12" t="s">
        <v>196</v>
      </c>
      <c r="B216" s="7">
        <v>27</v>
      </c>
      <c r="C216" s="8">
        <f>IFERROR(B216/B444, "NA")</f>
        <v>1.7704294609429164E-4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-27</v>
      </c>
      <c r="I216" s="8">
        <f>IFERROR(H216/H444, "NA")</f>
        <v>1.168630832117092E-3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-27</v>
      </c>
      <c r="O216" s="8">
        <f>IFERROR(N216/N444, "NA")</f>
        <v>1.0777797736662501E-2</v>
      </c>
      <c r="P216" s="9"/>
      <c r="Q216" s="7">
        <v>927.89</v>
      </c>
      <c r="R216" s="8">
        <f>IFERROR(Q216/Q444, "NA")</f>
        <v>4.2223444572035343E-4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-927.89</v>
      </c>
      <c r="X216" s="8">
        <f>IFERROR(W216/W444, "NA")</f>
        <v>3.8156227151867186E-2</v>
      </c>
      <c r="Y216" s="9"/>
      <c r="Z216" s="7">
        <v>787.74</v>
      </c>
      <c r="AA216" s="8">
        <f>IFERROR(Z216/Z444, "NA")</f>
        <v>3.906798257468986E-4</v>
      </c>
      <c r="AB216" s="9"/>
      <c r="AC216" s="10">
        <f t="shared" si="59"/>
        <v>-140.14999999999998</v>
      </c>
      <c r="AD216" s="8">
        <f>IFERROR(AC216/AC444, "NA")</f>
        <v>-7.7328749924340323E-4</v>
      </c>
    </row>
    <row r="217" spans="1:30" ht="16.5" customHeight="1" x14ac:dyDescent="0.45">
      <c r="A217" s="12" t="s">
        <v>197</v>
      </c>
      <c r="B217" s="7">
        <v>3234.08</v>
      </c>
      <c r="C217" s="8">
        <f>IFERROR(B217/B444, "NA")</f>
        <v>2.1206335226097283E-2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-3234.08</v>
      </c>
      <c r="I217" s="8">
        <f>IFERROR(H217/H444, "NA")</f>
        <v>0.13997946672345352</v>
      </c>
      <c r="J217" s="9"/>
      <c r="K217" s="7">
        <v>5062.18</v>
      </c>
      <c r="L217" s="8">
        <f>IFERROR(K217/K444, "NA")</f>
        <v>3.2657009343623908E-2</v>
      </c>
      <c r="M217" s="9"/>
      <c r="N217" s="10">
        <f t="shared" si="57"/>
        <v>1828.1000000000004</v>
      </c>
      <c r="O217" s="8">
        <f>IFERROR(N217/N444, "NA")</f>
        <v>-0.72973674231084151</v>
      </c>
      <c r="P217" s="9"/>
      <c r="Q217" s="7">
        <v>41333.46</v>
      </c>
      <c r="R217" s="8">
        <f>IFERROR(Q217/Q444, "NA")</f>
        <v>1.8808706390632941E-2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-41333.46</v>
      </c>
      <c r="X217" s="8">
        <f>IFERROR(W217/W444, "NA")</f>
        <v>1.6996938093228899</v>
      </c>
      <c r="Y217" s="9"/>
      <c r="Z217" s="7">
        <v>54589.32</v>
      </c>
      <c r="AA217" s="8">
        <f>IFERROR(Z217/Z444, "NA")</f>
        <v>2.7073585225127181E-2</v>
      </c>
      <c r="AB217" s="9"/>
      <c r="AC217" s="10">
        <f t="shared" si="59"/>
        <v>13255.86</v>
      </c>
      <c r="AD217" s="8">
        <f>IFERROR(AC217/AC444, "NA")</f>
        <v>7.314014148926623E-2</v>
      </c>
    </row>
    <row r="218" spans="1:30" ht="16.5" customHeight="1" x14ac:dyDescent="0.45">
      <c r="A218" s="13" t="s">
        <v>198</v>
      </c>
      <c r="B218" s="14">
        <f>IFERROR(B213+B214+B215+B216+B217, "NA")</f>
        <v>7216.9</v>
      </c>
      <c r="C218" s="15">
        <f>IFERROR(B218/B444, "NA")</f>
        <v>4.7322268061773823E-2</v>
      </c>
      <c r="D218" s="2"/>
      <c r="E218" s="14">
        <f>IFERROR(E213+E214+E215+E216+E217, "NA")</f>
        <v>4847.1099999999997</v>
      </c>
      <c r="F218" s="15">
        <f>IFERROR(E218/E444, "NA")</f>
        <v>2.7601665583485799E-2</v>
      </c>
      <c r="G218" s="2"/>
      <c r="H218" s="14">
        <f t="shared" si="56"/>
        <v>-2369.79</v>
      </c>
      <c r="I218" s="15">
        <f>IFERROR(H218/H444, "NA")</f>
        <v>0.10257072813491716</v>
      </c>
      <c r="J218" s="2"/>
      <c r="K218" s="14">
        <f>IFERROR(K213+K214+K215+K216+K217, "NA")</f>
        <v>10292.42</v>
      </c>
      <c r="L218" s="15">
        <f>IFERROR(K218/K444, "NA")</f>
        <v>6.6398203167114075E-2</v>
      </c>
      <c r="M218" s="2"/>
      <c r="N218" s="14">
        <f t="shared" si="57"/>
        <v>3075.5200000000004</v>
      </c>
      <c r="O218" s="15">
        <f>IFERROR(N218/N444, "NA")</f>
        <v>-1.227678981298528</v>
      </c>
      <c r="P218" s="2"/>
      <c r="Q218" s="14">
        <f>IFERROR(Q213+Q214+Q215+Q216+Q217, "NA")</f>
        <v>92877.47</v>
      </c>
      <c r="R218" s="15">
        <f>IFERROR(Q218/Q444, "NA")</f>
        <v>4.2263702664495528E-2</v>
      </c>
      <c r="S218" s="2"/>
      <c r="T218" s="14">
        <f>IFERROR(T213+T214+T215+T216+T217, "NA")</f>
        <v>96224.99</v>
      </c>
      <c r="U218" s="15">
        <f>IFERROR(T218/T444, "NA")</f>
        <v>4.3307743978561089E-2</v>
      </c>
      <c r="V218" s="2"/>
      <c r="W218" s="14">
        <f t="shared" si="58"/>
        <v>3347.5200000000041</v>
      </c>
      <c r="X218" s="15">
        <f>IFERROR(W218/W444, "NA")</f>
        <v>-0.13765503832934789</v>
      </c>
      <c r="Y218" s="2"/>
      <c r="Z218" s="14">
        <f>IFERROR(Z213+Z214+Z215+Z216+Z217, "NA")</f>
        <v>94709.78</v>
      </c>
      <c r="AA218" s="15">
        <f>IFERROR(Z218/Z444, "NA")</f>
        <v>4.6971336160315715E-2</v>
      </c>
      <c r="AB218" s="2"/>
      <c r="AC218" s="14">
        <f t="shared" si="59"/>
        <v>1832.3099999999977</v>
      </c>
      <c r="AD218" s="15">
        <f>IFERROR(AC218/AC444, "NA")</f>
        <v>1.0109899520076194E-2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481.81</v>
      </c>
      <c r="C222" s="8">
        <f>IFERROR(B222/B444, "NA")</f>
        <v>3.1592985873218761E-3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-481.81</v>
      </c>
      <c r="I222" s="8">
        <f>IFERROR(H222/H444, "NA")</f>
        <v>2.0854000786012447E-2</v>
      </c>
      <c r="J222" s="9"/>
      <c r="K222" s="7">
        <v>445.65</v>
      </c>
      <c r="L222" s="8">
        <f>IFERROR(K222/K444, "NA")</f>
        <v>2.8749661635868329E-3</v>
      </c>
      <c r="M222" s="9"/>
      <c r="N222" s="10">
        <f t="shared" si="57"/>
        <v>-36.160000000000025</v>
      </c>
      <c r="O222" s="8">
        <f>IFERROR(N222/N444, "NA")</f>
        <v>1.4434265413248751E-2</v>
      </c>
      <c r="P222" s="9"/>
      <c r="Q222" s="7">
        <v>3495.81</v>
      </c>
      <c r="R222" s="8">
        <f>IFERROR(Q222/Q444, "NA")</f>
        <v>1.5907611868795533E-3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-3495.81</v>
      </c>
      <c r="X222" s="8">
        <f>IFERROR(W222/W444, "NA")</f>
        <v>0.14375294532732202</v>
      </c>
      <c r="Y222" s="9"/>
      <c r="Z222" s="7">
        <v>1727.9</v>
      </c>
      <c r="AA222" s="8">
        <f>IFERROR(Z222/Z444, "NA")</f>
        <v>8.5695238391863572E-4</v>
      </c>
      <c r="AB222" s="9"/>
      <c r="AC222" s="10">
        <f t="shared" si="59"/>
        <v>-1767.9099999999999</v>
      </c>
      <c r="AD222" s="8">
        <f>IFERROR(AC222/AC444, "NA")</f>
        <v>-9.7545679827856242E-3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175.61</v>
      </c>
      <c r="F226" s="8">
        <f>IFERROR(E226/E444, "NA")</f>
        <v>1.0000038152870353E-3</v>
      </c>
      <c r="G226" s="9"/>
      <c r="H226" s="10">
        <f t="shared" si="56"/>
        <v>175.61</v>
      </c>
      <c r="I226" s="8">
        <f>IFERROR(H226/H444, "NA")</f>
        <v>-7.6008614973363904E-3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2221.9</v>
      </c>
      <c r="U226" s="8">
        <f>IFERROR(T226/T444, "NA")</f>
        <v>1.0000050542584092E-3</v>
      </c>
      <c r="V226" s="9"/>
      <c r="W226" s="10">
        <f t="shared" si="58"/>
        <v>2221.9</v>
      </c>
      <c r="X226" s="8">
        <f>IFERROR(W226/W444, "NA")</f>
        <v>-9.1367857298530766E-2</v>
      </c>
      <c r="Y226" s="9"/>
      <c r="Z226" s="7">
        <v>1067.28</v>
      </c>
      <c r="AA226" s="8">
        <f>IFERROR(Z226/Z444, "NA")</f>
        <v>5.2931775004842958E-4</v>
      </c>
      <c r="AB226" s="9"/>
      <c r="AC226" s="10">
        <f t="shared" si="59"/>
        <v>1067.28</v>
      </c>
      <c r="AD226" s="8">
        <f>IFERROR(AC226/AC444, "NA")</f>
        <v>5.8887925950231864E-3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7698.71</v>
      </c>
      <c r="C227" s="15">
        <f>IFERROR(B227/B444, "NA")</f>
        <v>5.0481566649095699E-2</v>
      </c>
      <c r="D227" s="2"/>
      <c r="E227" s="14">
        <f>IFERROR(E211+E213+E214+E215+E216+E217+E219+E220+E221+E222+E223+E224+E225+E226, "NA")</f>
        <v>5022.7199999999993</v>
      </c>
      <c r="F227" s="15">
        <f>IFERROR(E227/E444, "NA")</f>
        <v>2.860166939877283E-2</v>
      </c>
      <c r="G227" s="2"/>
      <c r="H227" s="14">
        <f t="shared" si="56"/>
        <v>-2675.9900000000007</v>
      </c>
      <c r="I227" s="15">
        <f>IFERROR(H227/H444, "NA")</f>
        <v>0.11582386742359325</v>
      </c>
      <c r="J227" s="2"/>
      <c r="K227" s="14">
        <f>IFERROR(K211+K213+K214+K215+K216+K217+K219+K220+K221+K222+K223+K224+K225+K226, "NA")</f>
        <v>10738.07</v>
      </c>
      <c r="L227" s="15">
        <f>IFERROR(K227/K444, "NA")</f>
        <v>6.9273169330700907E-2</v>
      </c>
      <c r="M227" s="2"/>
      <c r="N227" s="14">
        <f t="shared" si="57"/>
        <v>3039.3599999999997</v>
      </c>
      <c r="O227" s="15">
        <f>IFERROR(N227/N444, "NA")</f>
        <v>-1.213244715885279</v>
      </c>
      <c r="P227" s="2"/>
      <c r="Q227" s="14">
        <f>IFERROR(Q211+Q213+Q214+Q215+Q216+Q217+Q219+Q220+Q221+Q222+Q223+Q224+Q225+Q226, "NA")</f>
        <v>96373.28</v>
      </c>
      <c r="R227" s="15">
        <f>IFERROR(Q227/Q444, "NA")</f>
        <v>4.3854463851375078E-2</v>
      </c>
      <c r="S227" s="2"/>
      <c r="T227" s="14">
        <f>IFERROR(T211+T213+T214+T215+T216+T217+T219+T220+T221+T222+T223+T224+T225+T226, "NA")</f>
        <v>98446.89</v>
      </c>
      <c r="U227" s="15">
        <f>IFERROR(T227/T444, "NA")</f>
        <v>4.4307749032819498E-2</v>
      </c>
      <c r="V227" s="2"/>
      <c r="W227" s="14">
        <f t="shared" si="58"/>
        <v>2073.6100000000006</v>
      </c>
      <c r="X227" s="15">
        <f>IFERROR(W227/W444, "NA")</f>
        <v>-8.5269950300556466E-2</v>
      </c>
      <c r="Y227" s="2"/>
      <c r="Z227" s="14">
        <f>IFERROR(Z211+Z213+Z214+Z215+Z216+Z217+Z219+Z220+Z221+Z222+Z223+Z224+Z225+Z226, "NA")</f>
        <v>97504.959999999992</v>
      </c>
      <c r="AA227" s="15">
        <f>IFERROR(Z227/Z444, "NA")</f>
        <v>4.8357606294282776E-2</v>
      </c>
      <c r="AB227" s="2"/>
      <c r="AC227" s="14">
        <f t="shared" si="59"/>
        <v>1131.679999999993</v>
      </c>
      <c r="AD227" s="15">
        <f>IFERROR(AC227/AC444, "NA")</f>
        <v>6.2441241323137305E-3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5224.38</v>
      </c>
      <c r="F229" s="8">
        <f>IFERROR(E229/E444, "NA")</f>
        <v>2.9750013851769723E-2</v>
      </c>
      <c r="G229" s="9"/>
      <c r="H229" s="10">
        <f t="shared" ref="H229:H236" si="60">IFERROR(-(B229-E229), "NA")</f>
        <v>5224.38</v>
      </c>
      <c r="I229" s="8">
        <f>IFERROR(H229/H444, "NA")</f>
        <v>-0.22612487209984791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66101.179999999993</v>
      </c>
      <c r="U229" s="8">
        <f>IFERROR(T229/T444, "NA")</f>
        <v>2.9749995090888368E-2</v>
      </c>
      <c r="V229" s="9"/>
      <c r="W229" s="10">
        <f t="shared" ref="W229:W236" si="62">IFERROR(-(Q229-T229), "NA")</f>
        <v>66101.179999999993</v>
      </c>
      <c r="X229" s="8">
        <f>IFERROR(W229/W444, "NA")</f>
        <v>-2.718179567714341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1.4878506578829254E-5</v>
      </c>
      <c r="AB230" s="9"/>
      <c r="AC230" s="10">
        <f t="shared" si="63"/>
        <v>30</v>
      </c>
      <c r="AD230" s="8">
        <f>IFERROR(AC230/AC444, "NA")</f>
        <v>1.6552711364468142E-4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389.04</v>
      </c>
      <c r="L231" s="8">
        <f>IFERROR(K231/K444, "NA")</f>
        <v>2.5097651436818613E-3</v>
      </c>
      <c r="M231" s="9"/>
      <c r="N231" s="10">
        <f t="shared" si="61"/>
        <v>389.04</v>
      </c>
      <c r="O231" s="8">
        <f>IFERROR(N231/N444, "NA")</f>
        <v>-0.15529609005448813</v>
      </c>
      <c r="P231" s="9"/>
      <c r="Q231" s="7">
        <v>2465.81</v>
      </c>
      <c r="R231" s="8">
        <f>IFERROR(Q231/Q444, "NA")</f>
        <v>1.1220617946111119E-3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-2465.81</v>
      </c>
      <c r="X231" s="8">
        <f>IFERROR(W231/W444, "NA")</f>
        <v>0.10139780197366674</v>
      </c>
      <c r="Y231" s="9"/>
      <c r="Z231" s="7">
        <v>4820.8100000000004</v>
      </c>
      <c r="AA231" s="8">
        <f>IFERROR(Z231/Z444, "NA")</f>
        <v>2.3908817766761957E-3</v>
      </c>
      <c r="AB231" s="9"/>
      <c r="AC231" s="10">
        <f t="shared" si="63"/>
        <v>2355.0000000000005</v>
      </c>
      <c r="AD231" s="8">
        <f>IFERROR(AC231/AC444, "NA")</f>
        <v>1.2993878421107495E-2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472.96</v>
      </c>
      <c r="C233" s="8">
        <f>IFERROR(B233/B444, "NA")</f>
        <v>3.1012678438798579E-3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-472.96</v>
      </c>
      <c r="I233" s="8">
        <f>IFERROR(H233/H444, "NA")</f>
        <v>2.0470949568818512E-2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-472.96</v>
      </c>
      <c r="O233" s="8">
        <f>IFERROR(N233/N444, "NA")</f>
        <v>0.18879508213081095</v>
      </c>
      <c r="P233" s="9"/>
      <c r="Q233" s="7">
        <v>2059.52</v>
      </c>
      <c r="R233" s="8">
        <f>IFERROR(Q233/Q444, "NA")</f>
        <v>9.3718036151912651E-4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-2059.52</v>
      </c>
      <c r="X233" s="8">
        <f>IFERROR(W233/W444, "NA")</f>
        <v>8.4690548388077797E-2</v>
      </c>
      <c r="Y233" s="9"/>
      <c r="Z233" s="7">
        <v>17</v>
      </c>
      <c r="AA233" s="8">
        <f>IFERROR(Z233/Z444, "NA")</f>
        <v>8.4311537280032438E-6</v>
      </c>
      <c r="AB233" s="9"/>
      <c r="AC233" s="10">
        <f t="shared" si="63"/>
        <v>-2042.52</v>
      </c>
      <c r="AD233" s="8">
        <f>IFERROR(AC233/AC444, "NA")</f>
        <v>-1.1269748005384489E-2</v>
      </c>
    </row>
    <row r="234" spans="1:30" ht="16.5" customHeight="1" x14ac:dyDescent="0.45">
      <c r="A234" s="6" t="s">
        <v>213</v>
      </c>
      <c r="B234" s="7">
        <v>3289.19</v>
      </c>
      <c r="C234" s="8">
        <f>IFERROR(B234/B444, "NA")</f>
        <v>2.1567699550514189E-2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-3289.19</v>
      </c>
      <c r="I234" s="8">
        <f>IFERROR(H234/H444, "NA")</f>
        <v>0.14236477209967474</v>
      </c>
      <c r="J234" s="9"/>
      <c r="K234" s="7">
        <v>2977.15</v>
      </c>
      <c r="L234" s="8">
        <f>IFERROR(K234/K444, "NA")</f>
        <v>1.9206115817171635E-2</v>
      </c>
      <c r="M234" s="9"/>
      <c r="N234" s="10">
        <f t="shared" si="61"/>
        <v>-312.03999999999996</v>
      </c>
      <c r="O234" s="8">
        <f>IFERROR(N234/N444, "NA")</f>
        <v>0.12455940762030246</v>
      </c>
      <c r="P234" s="9"/>
      <c r="Q234" s="7">
        <v>44561.32</v>
      </c>
      <c r="R234" s="8">
        <f>IFERROR(Q234/Q444, "NA")</f>
        <v>2.0277537478329652E-2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-44561.32</v>
      </c>
      <c r="X234" s="8">
        <f>IFERROR(W234/W444, "NA")</f>
        <v>1.8324282491535013</v>
      </c>
      <c r="Y234" s="9"/>
      <c r="Z234" s="7">
        <v>47031.89</v>
      </c>
      <c r="AA234" s="8">
        <f>IFERROR(Z234/Z444, "NA")</f>
        <v>2.3325476159325793E-2</v>
      </c>
      <c r="AB234" s="9"/>
      <c r="AC234" s="10">
        <f t="shared" si="63"/>
        <v>2470.5699999999997</v>
      </c>
      <c r="AD234" s="8">
        <f>IFERROR(AC234/AC444, "NA")</f>
        <v>1.3631544038571352E-2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3762.15</v>
      </c>
      <c r="C236" s="15">
        <f>IFERROR(B236/B444, "NA")</f>
        <v>2.4668967394394049E-2</v>
      </c>
      <c r="D236" s="2"/>
      <c r="E236" s="14">
        <f>IFERROR(E229+E230+E231+E232+E233+E234+E235, "NA")</f>
        <v>5224.38</v>
      </c>
      <c r="F236" s="15">
        <f>IFERROR(E236/E444, "NA")</f>
        <v>2.9750013851769723E-2</v>
      </c>
      <c r="G236" s="2"/>
      <c r="H236" s="14">
        <f t="shared" si="60"/>
        <v>1462.23</v>
      </c>
      <c r="I236" s="15">
        <f>IFERROR(H236/H444, "NA")</f>
        <v>-6.3289150431354649E-2</v>
      </c>
      <c r="J236" s="2"/>
      <c r="K236" s="14">
        <f>IFERROR(K229+K230+K231+K232+K233+K234+K235, "NA")</f>
        <v>3366.19</v>
      </c>
      <c r="L236" s="15">
        <f>IFERROR(K236/K444, "NA")</f>
        <v>2.1715880960853497E-2</v>
      </c>
      <c r="M236" s="2"/>
      <c r="N236" s="14">
        <f t="shared" si="61"/>
        <v>-395.96000000000004</v>
      </c>
      <c r="O236" s="15">
        <f>IFERROR(N236/N444, "NA")</f>
        <v>0.15805839969662533</v>
      </c>
      <c r="P236" s="2"/>
      <c r="Q236" s="14">
        <f>IFERROR(Q229+Q230+Q231+Q232+Q233+Q234+Q235, "NA")</f>
        <v>49086.65</v>
      </c>
      <c r="R236" s="15">
        <f>IFERROR(Q236/Q444, "NA")</f>
        <v>2.2336779634459888E-2</v>
      </c>
      <c r="S236" s="2"/>
      <c r="T236" s="14">
        <f>IFERROR(T229+T230+T231+T232+T233+T234+T235, "NA")</f>
        <v>66101.179999999993</v>
      </c>
      <c r="U236" s="15">
        <f>IFERROR(T236/T444, "NA")</f>
        <v>2.9749995090888368E-2</v>
      </c>
      <c r="V236" s="2"/>
      <c r="W236" s="14">
        <f t="shared" si="62"/>
        <v>17014.529999999992</v>
      </c>
      <c r="X236" s="15">
        <f>IFERROR(W236/W444, "NA")</f>
        <v>-0.69966296819909524</v>
      </c>
      <c r="Y236" s="2"/>
      <c r="Z236" s="14">
        <f>IFERROR(Z229+Z230+Z231+Z232+Z233+Z234+Z235, "NA")</f>
        <v>51899.7</v>
      </c>
      <c r="AA236" s="15">
        <f>IFERROR(Z236/Z444, "NA")</f>
        <v>2.5739667596308819E-2</v>
      </c>
      <c r="AB236" s="2"/>
      <c r="AC236" s="14">
        <f t="shared" si="63"/>
        <v>2813.0499999999956</v>
      </c>
      <c r="AD236" s="15">
        <f>IFERROR(AC236/AC444, "NA")</f>
        <v>1.5521201567939012E-2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16027.86</v>
      </c>
      <c r="F240" s="8">
        <f>IFERROR(E240/E444, "NA")</f>
        <v>9.12699797897982E-2</v>
      </c>
      <c r="G240" s="9"/>
      <c r="H240" s="10">
        <f t="shared" ref="H240:H263" si="64">IFERROR(-(B240-E240), "NA")</f>
        <v>16027.86</v>
      </c>
      <c r="I240" s="8">
        <f>IFERROR(H240/H444, "NA")</f>
        <v>-0.69372782847615755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203644.23</v>
      </c>
      <c r="U240" s="8">
        <f>IFERROR(T240/T444, "NA")</f>
        <v>9.1653656451938417E-2</v>
      </c>
      <c r="V240" s="9"/>
      <c r="W240" s="10">
        <f t="shared" ref="W240:W263" si="66">IFERROR(-(Q240-T240), "NA")</f>
        <v>203644.23</v>
      </c>
      <c r="X240" s="8">
        <f>IFERROR(W240/W444, "NA")</f>
        <v>-8.3741558784415044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2909.44</v>
      </c>
      <c r="C242" s="8">
        <f>IFERROR(B242/B444, "NA")</f>
        <v>1.9077623299428737E-2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-2909.44</v>
      </c>
      <c r="I242" s="8">
        <f>IFERROR(H242/H444, "NA")</f>
        <v>0.1259281958590649</v>
      </c>
      <c r="J242" s="9"/>
      <c r="K242" s="7">
        <v>2645.31</v>
      </c>
      <c r="L242" s="8">
        <f>IFERROR(K242/K444, "NA")</f>
        <v>1.7065357886677627E-2</v>
      </c>
      <c r="M242" s="9"/>
      <c r="N242" s="10">
        <f t="shared" si="65"/>
        <v>-264.13000000000011</v>
      </c>
      <c r="O242" s="8">
        <f>IFERROR(N242/N444, "NA")</f>
        <v>0.10543480430313583</v>
      </c>
      <c r="P242" s="9"/>
      <c r="Q242" s="7">
        <v>32751.18</v>
      </c>
      <c r="R242" s="8">
        <f>IFERROR(Q242/Q444, "NA")</f>
        <v>1.4903357438907118E-2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-32751.18</v>
      </c>
      <c r="X242" s="8">
        <f>IFERROR(W242/W444, "NA")</f>
        <v>1.3467775960207455</v>
      </c>
      <c r="Y242" s="9"/>
      <c r="Z242" s="7">
        <v>28702.98</v>
      </c>
      <c r="AA242" s="8">
        <f>IFERROR(Z242/Z444, "NA")</f>
        <v>1.423524922540015E-2</v>
      </c>
      <c r="AB242" s="9"/>
      <c r="AC242" s="10">
        <f t="shared" si="67"/>
        <v>-4048.2000000000007</v>
      </c>
      <c r="AD242" s="8">
        <f>IFERROR(AC242/AC444, "NA")</f>
        <v>-2.2336228715213315E-2</v>
      </c>
    </row>
    <row r="243" spans="1:30" ht="16.5" customHeight="1" x14ac:dyDescent="0.45">
      <c r="A243" s="12" t="s">
        <v>220</v>
      </c>
      <c r="B243" s="7">
        <v>5457.03</v>
      </c>
      <c r="C243" s="8">
        <f>IFERROR(B243/B444, "NA")</f>
        <v>3.5782543263886378E-2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-5457.03</v>
      </c>
      <c r="I243" s="8">
        <f>IFERROR(H243/H444, "NA")</f>
        <v>0.23619457443659017</v>
      </c>
      <c r="J243" s="9"/>
      <c r="K243" s="7">
        <v>6011.56</v>
      </c>
      <c r="L243" s="8">
        <f>IFERROR(K243/K444, "NA")</f>
        <v>3.8781625918034475E-2</v>
      </c>
      <c r="M243" s="9"/>
      <c r="N243" s="10">
        <f t="shared" si="65"/>
        <v>554.53000000000065</v>
      </c>
      <c r="O243" s="8">
        <f>IFERROR(N243/N444, "NA")</f>
        <v>-0.22135600662635049</v>
      </c>
      <c r="P243" s="9"/>
      <c r="Q243" s="7">
        <v>79646.05</v>
      </c>
      <c r="R243" s="8">
        <f>IFERROR(Q243/Q444, "NA")</f>
        <v>3.6242772069496984E-2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-79646.05</v>
      </c>
      <c r="X243" s="8">
        <f>IFERROR(W243/W444, "NA")</f>
        <v>3.2751649177693172</v>
      </c>
      <c r="Y243" s="9"/>
      <c r="Z243" s="7">
        <v>87026.69</v>
      </c>
      <c r="AA243" s="8">
        <f>IFERROR(Z243/Z444, "NA")</f>
        <v>4.3160905989957803E-2</v>
      </c>
      <c r="AB243" s="9"/>
      <c r="AC243" s="10">
        <f t="shared" si="67"/>
        <v>7380.6399999999994</v>
      </c>
      <c r="AD243" s="8">
        <f>IFERROR(AC243/AC444, "NA")</f>
        <v>4.0723201201682713E-2</v>
      </c>
    </row>
    <row r="244" spans="1:30" ht="16.5" customHeight="1" x14ac:dyDescent="0.45">
      <c r="A244" s="12" t="s">
        <v>221</v>
      </c>
      <c r="B244" s="7">
        <v>203.22</v>
      </c>
      <c r="C244" s="8">
        <f>IFERROR(B244/B444, "NA")</f>
        <v>1.3325432409363683E-3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-203.22</v>
      </c>
      <c r="I244" s="8">
        <f>IFERROR(H244/H444, "NA")</f>
        <v>8.7958947297346463E-3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-203.22</v>
      </c>
      <c r="O244" s="8">
        <f>IFERROR(N244/N444, "NA")</f>
        <v>8.1120890964613085E-2</v>
      </c>
      <c r="P244" s="9"/>
      <c r="Q244" s="7">
        <v>2927.42</v>
      </c>
      <c r="R244" s="8">
        <f>IFERROR(Q244/Q444, "NA")</f>
        <v>1.3321164804994956E-3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-2927.42</v>
      </c>
      <c r="X244" s="8">
        <f>IFERROR(W244/W444, "NA")</f>
        <v>0.12037989685083259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-2927.42</v>
      </c>
      <c r="AD244" s="8">
        <f>IFERROR(AC244/AC444, "NA")</f>
        <v>-1.6152246100857109E-2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149.19</v>
      </c>
      <c r="C246" s="8">
        <f>IFERROR(B246/B444, "NA")</f>
        <v>9.7826063436323588E-4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-149.19</v>
      </c>
      <c r="I246" s="8">
        <f>IFERROR(H246/H444, "NA")</f>
        <v>6.4573345867981096E-3</v>
      </c>
      <c r="J246" s="9"/>
      <c r="K246" s="7">
        <v>548.35</v>
      </c>
      <c r="L246" s="8">
        <f>IFERROR(K246/K444, "NA")</f>
        <v>3.5375018418104787E-3</v>
      </c>
      <c r="M246" s="9"/>
      <c r="N246" s="10">
        <f t="shared" si="65"/>
        <v>399.16</v>
      </c>
      <c r="O246" s="8">
        <f>IFERROR(N246/N444, "NA")</f>
        <v>-0.15933576831726681</v>
      </c>
      <c r="P246" s="9"/>
      <c r="Q246" s="7">
        <v>5814.43</v>
      </c>
      <c r="R246" s="8">
        <f>IFERROR(Q246/Q444, "NA")</f>
        <v>2.6458444731916443E-3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-5814.43</v>
      </c>
      <c r="X246" s="8">
        <f>IFERROR(W246/W444, "NA")</f>
        <v>0.23909807395125623</v>
      </c>
      <c r="Y246" s="9"/>
      <c r="Z246" s="7">
        <v>3248.85</v>
      </c>
      <c r="AA246" s="8">
        <f>IFERROR(Z246/Z444, "NA")</f>
        <v>1.6112678699543141E-3</v>
      </c>
      <c r="AB246" s="9"/>
      <c r="AC246" s="10">
        <f t="shared" si="67"/>
        <v>-2565.5800000000004</v>
      </c>
      <c r="AD246" s="8">
        <f>IFERROR(AC246/AC444, "NA")</f>
        <v>-1.4155768407484061E-2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14.32</v>
      </c>
      <c r="AA247" s="8">
        <f>IFERROR(Z247/Z444, "NA")</f>
        <v>7.1020071402944981E-6</v>
      </c>
      <c r="AB247" s="9"/>
      <c r="AC247" s="10">
        <f t="shared" si="67"/>
        <v>14.32</v>
      </c>
      <c r="AD247" s="8">
        <f>IFERROR(AC247/AC444, "NA")</f>
        <v>7.9011608913061269E-5</v>
      </c>
    </row>
    <row r="248" spans="1:30" ht="16.5" customHeight="1" x14ac:dyDescent="0.45">
      <c r="A248" s="12" t="s">
        <v>225</v>
      </c>
      <c r="B248" s="7">
        <v>194.6</v>
      </c>
      <c r="C248" s="8">
        <f>IFERROR(B248/B444, "NA")</f>
        <v>1.2760206411092279E-3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-194.6</v>
      </c>
      <c r="I248" s="8">
        <f>IFERROR(H248/H444, "NA")</f>
        <v>8.4227985159254105E-3</v>
      </c>
      <c r="J248" s="9"/>
      <c r="K248" s="7">
        <v>161.24</v>
      </c>
      <c r="L248" s="8">
        <f>IFERROR(K248/K444, "NA")</f>
        <v>1.0401874659861797E-3</v>
      </c>
      <c r="M248" s="9"/>
      <c r="N248" s="10">
        <f t="shared" si="65"/>
        <v>-33.359999999999985</v>
      </c>
      <c r="O248" s="8">
        <f>IFERROR(N248/N444, "NA")</f>
        <v>1.3316567870187439E-2</v>
      </c>
      <c r="P248" s="9"/>
      <c r="Q248" s="7">
        <v>2388.64</v>
      </c>
      <c r="R248" s="8">
        <f>IFERROR(Q248/Q444, "NA")</f>
        <v>1.0869457440272716E-3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-2388.64</v>
      </c>
      <c r="X248" s="8">
        <f>IFERROR(W248/W444, "NA")</f>
        <v>9.8224455942014718E-2</v>
      </c>
      <c r="Y248" s="9"/>
      <c r="Z248" s="7">
        <v>2049.54</v>
      </c>
      <c r="AA248" s="8">
        <f>IFERROR(Z248/Z444, "NA")</f>
        <v>1.016469812452457E-3</v>
      </c>
      <c r="AB248" s="9"/>
      <c r="AC248" s="10">
        <f t="shared" si="67"/>
        <v>-339.09999999999991</v>
      </c>
      <c r="AD248" s="8">
        <f>IFERROR(AC248/AC444, "NA")</f>
        <v>-1.8710081412303819E-3</v>
      </c>
    </row>
    <row r="249" spans="1:30" ht="16.5" customHeight="1" x14ac:dyDescent="0.45">
      <c r="A249" s="12" t="s">
        <v>226</v>
      </c>
      <c r="B249" s="7">
        <v>4355.75</v>
      </c>
      <c r="C249" s="8">
        <f>IFERROR(B249/B444, "NA")</f>
        <v>2.8561289350007808E-2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-4355.75</v>
      </c>
      <c r="I249" s="8">
        <f>IFERROR(H249/H444, "NA")</f>
        <v>0.18852828692570459</v>
      </c>
      <c r="J249" s="9"/>
      <c r="K249" s="7">
        <v>3756.89</v>
      </c>
      <c r="L249" s="8">
        <f>IFERROR(K249/K444, "NA")</f>
        <v>2.4236355055127872E-2</v>
      </c>
      <c r="M249" s="9"/>
      <c r="N249" s="10">
        <f t="shared" si="65"/>
        <v>-598.86000000000013</v>
      </c>
      <c r="O249" s="8">
        <f>IFERROR(N249/N444, "NA")</f>
        <v>0.23905155379917431</v>
      </c>
      <c r="P249" s="9"/>
      <c r="Q249" s="7">
        <v>41972.69</v>
      </c>
      <c r="R249" s="8">
        <f>IFERROR(Q249/Q444, "NA")</f>
        <v>1.909958669405018E-2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-41972.69</v>
      </c>
      <c r="X249" s="8">
        <f>IFERROR(W249/W444, "NA")</f>
        <v>1.7259799047461493</v>
      </c>
      <c r="Y249" s="9"/>
      <c r="Z249" s="7">
        <v>39683.360000000001</v>
      </c>
      <c r="AA249" s="8">
        <f>IFERROR(Z249/Z444, "NA")</f>
        <v>1.968097109433499E-2</v>
      </c>
      <c r="AB249" s="9"/>
      <c r="AC249" s="10">
        <f t="shared" si="67"/>
        <v>-2289.3300000000017</v>
      </c>
      <c r="AD249" s="8">
        <f>IFERROR(AC249/AC444, "NA")</f>
        <v>-1.2631539569339293E-2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308.11</v>
      </c>
      <c r="AA252" s="8">
        <f>IFERROR(Z252/Z444, "NA")</f>
        <v>1.5280722206676941E-4</v>
      </c>
      <c r="AB252" s="9"/>
      <c r="AC252" s="10">
        <f t="shared" si="67"/>
        <v>308.11</v>
      </c>
      <c r="AD252" s="8">
        <f>IFERROR(AC252/AC444, "NA")</f>
        <v>1.7000186328354266E-3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1848.52</v>
      </c>
      <c r="C254" s="8">
        <f>IFERROR(B254/B444, "NA")</f>
        <v>1.2121015804230369E-2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-1848.52</v>
      </c>
      <c r="I254" s="8">
        <f>IFERROR(H254/H444, "NA")</f>
        <v>8.000879502907729E-2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-1848.52</v>
      </c>
      <c r="O254" s="8">
        <f>IFERROR(N254/N444, "NA")</f>
        <v>0.73788795082130976</v>
      </c>
      <c r="P254" s="9"/>
      <c r="Q254" s="7">
        <v>28128.84</v>
      </c>
      <c r="R254" s="8">
        <f>IFERROR(Q254/Q444, "NA")</f>
        <v>1.2799971080792449E-2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-28128.84</v>
      </c>
      <c r="X254" s="8">
        <f>IFERROR(W254/W444, "NA")</f>
        <v>1.1567000490990611</v>
      </c>
      <c r="Y254" s="9"/>
      <c r="Z254" s="7">
        <v>26087.200000000001</v>
      </c>
      <c r="AA254" s="8">
        <f>IFERROR(Z254/Z444, "NA")</f>
        <v>1.2937952560774485E-2</v>
      </c>
      <c r="AB254" s="9"/>
      <c r="AC254" s="10">
        <f t="shared" si="67"/>
        <v>-2041.6399999999994</v>
      </c>
      <c r="AD254" s="8">
        <f>IFERROR(AC254/AC444, "NA")</f>
        <v>-1.1264892543384242E-2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328.82</v>
      </c>
      <c r="R257" s="8">
        <f>IFERROR(Q257/Q444, "NA")</f>
        <v>1.4962886812204746E-4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1.3521571104416437E-2</v>
      </c>
      <c r="Y257" s="9"/>
      <c r="Z257" s="7">
        <v>943.12</v>
      </c>
      <c r="AA257" s="8">
        <f>IFERROR(Z257/Z444, "NA")</f>
        <v>4.6774057082084823E-4</v>
      </c>
      <c r="AB257" s="9"/>
      <c r="AC257" s="10">
        <f t="shared" si="67"/>
        <v>614.29999999999995</v>
      </c>
      <c r="AD257" s="8">
        <f>IFERROR(AC257/AC444, "NA")</f>
        <v>3.3894435303975933E-3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15117.75</v>
      </c>
      <c r="C262" s="15">
        <f>IFERROR(B262/B444, "NA")</f>
        <v>9.9129296233962119E-2</v>
      </c>
      <c r="D262" s="2"/>
      <c r="E262" s="14">
        <f>IFERROR(E240+E241+E242+E243+E244+E245+E246+E247+E248+E249+E250+E251+E252+E253+E254+E255+E256+E257+E258+E259+E260+E261, "NA")</f>
        <v>16027.86</v>
      </c>
      <c r="F262" s="15">
        <f>IFERROR(E262/E444, "NA")</f>
        <v>9.12699797897982E-2</v>
      </c>
      <c r="G262" s="2"/>
      <c r="H262" s="14">
        <f t="shared" si="64"/>
        <v>910.11000000000058</v>
      </c>
      <c r="I262" s="15">
        <f>IFERROR(H262/H444, "NA")</f>
        <v>-3.9391948393262495E-2</v>
      </c>
      <c r="J262" s="2"/>
      <c r="K262" s="14">
        <f>IFERROR(K240+K241+K242+K243+K244+K245+K246+K247+K248+K249+K250+K251+K252+K253+K254+K255+K256+K257+K258+K259+K260+K261, "NA")</f>
        <v>13123.35</v>
      </c>
      <c r="L262" s="15">
        <f>IFERROR(K262/K444, "NA")</f>
        <v>8.4661028167636626E-2</v>
      </c>
      <c r="M262" s="2"/>
      <c r="N262" s="14">
        <f t="shared" si="65"/>
        <v>-1994.3999999999996</v>
      </c>
      <c r="O262" s="15">
        <f>IFERROR(N262/N444, "NA")</f>
        <v>0.79611999281480317</v>
      </c>
      <c r="P262" s="2"/>
      <c r="Q262" s="14">
        <f>IFERROR(Q240+Q241+Q242+Q243+Q244+Q245+Q246+Q247+Q248+Q249+Q250+Q251+Q252+Q253+Q254+Q255+Q256+Q257+Q258+Q259+Q260+Q261, "NA")</f>
        <v>193958.07000000004</v>
      </c>
      <c r="R262" s="15">
        <f>IFERROR(Q262/Q444, "NA")</f>
        <v>8.8260222849087203E-2</v>
      </c>
      <c r="S262" s="2"/>
      <c r="T262" s="14">
        <f>IFERROR(T240+T241+T242+T243+T244+T245+T246+T247+T248+T249+T250+T251+T252+T253+T254+T255+T256+T257+T258+T259+T260+T261, "NA")</f>
        <v>203644.23</v>
      </c>
      <c r="U262" s="15">
        <f>IFERROR(T262/T444, "NA")</f>
        <v>9.1653656451938417E-2</v>
      </c>
      <c r="V262" s="2"/>
      <c r="W262" s="14">
        <f t="shared" si="66"/>
        <v>9686.1599999999744</v>
      </c>
      <c r="X262" s="15">
        <f>IFERROR(W262/W444, "NA")</f>
        <v>-0.39830941295770933</v>
      </c>
      <c r="Y262" s="2"/>
      <c r="Z262" s="14">
        <f>IFERROR(Z240+Z241+Z242+Z243+Z244+Z245+Z246+Z247+Z248+Z249+Z250+Z251+Z252+Z253+Z254+Z255+Z256+Z257+Z258+Z259+Z260+Z261, "NA")</f>
        <v>188064.16999999998</v>
      </c>
      <c r="AA262" s="15">
        <f>IFERROR(Z262/Z444, "NA")</f>
        <v>9.3270466352902107E-2</v>
      </c>
      <c r="AB262" s="2"/>
      <c r="AC262" s="14">
        <f t="shared" si="67"/>
        <v>-5893.9000000000524</v>
      </c>
      <c r="AD262" s="15">
        <f>IFERROR(AC262/AC444, "NA")</f>
        <v>-3.2520008503679886E-2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15117.75</v>
      </c>
      <c r="C263" s="15">
        <f>IFERROR(B263/B444, "NA")</f>
        <v>9.9129296233962119E-2</v>
      </c>
      <c r="D263" s="2"/>
      <c r="E263" s="14">
        <f>IFERROR(E238+E240+E241+E242+E243+E244+E245+E246+E247+E248+E249+E250+E251+E252+E253+E254+E255+E256+E257+E258+E259+E260+E261, "NA")</f>
        <v>16027.86</v>
      </c>
      <c r="F263" s="15">
        <f>IFERROR(E263/E444, "NA")</f>
        <v>9.12699797897982E-2</v>
      </c>
      <c r="G263" s="2"/>
      <c r="H263" s="14">
        <f t="shared" si="64"/>
        <v>910.11000000000058</v>
      </c>
      <c r="I263" s="15">
        <f>IFERROR(H263/H444, "NA")</f>
        <v>-3.9391948393262495E-2</v>
      </c>
      <c r="J263" s="2"/>
      <c r="K263" s="14">
        <f>IFERROR(K238+K240+K241+K242+K243+K244+K245+K246+K247+K248+K249+K250+K251+K252+K253+K254+K255+K256+K257+K258+K259+K260+K261, "NA")</f>
        <v>13123.35</v>
      </c>
      <c r="L263" s="15">
        <f>IFERROR(K263/K444, "NA")</f>
        <v>8.4661028167636626E-2</v>
      </c>
      <c r="M263" s="2"/>
      <c r="N263" s="14">
        <f t="shared" si="65"/>
        <v>-1994.3999999999996</v>
      </c>
      <c r="O263" s="15">
        <f>IFERROR(N263/N444, "NA")</f>
        <v>0.79611999281480317</v>
      </c>
      <c r="P263" s="2"/>
      <c r="Q263" s="14">
        <f>IFERROR(Q238+Q240+Q241+Q242+Q243+Q244+Q245+Q246+Q247+Q248+Q249+Q250+Q251+Q252+Q253+Q254+Q255+Q256+Q257+Q258+Q259+Q260+Q261, "NA")</f>
        <v>193958.07000000004</v>
      </c>
      <c r="R263" s="15">
        <f>IFERROR(Q263/Q444, "NA")</f>
        <v>8.8260222849087203E-2</v>
      </c>
      <c r="S263" s="2"/>
      <c r="T263" s="14">
        <f>IFERROR(T238+T240+T241+T242+T243+T244+T245+T246+T247+T248+T249+T250+T251+T252+T253+T254+T255+T256+T257+T258+T259+T260+T261, "NA")</f>
        <v>203644.23</v>
      </c>
      <c r="U263" s="15">
        <f>IFERROR(T263/T444, "NA")</f>
        <v>9.1653656451938417E-2</v>
      </c>
      <c r="V263" s="2"/>
      <c r="W263" s="14">
        <f t="shared" si="66"/>
        <v>9686.1599999999744</v>
      </c>
      <c r="X263" s="15">
        <f>IFERROR(W263/W444, "NA")</f>
        <v>-0.39830941295770933</v>
      </c>
      <c r="Y263" s="2"/>
      <c r="Z263" s="14">
        <f>IFERROR(Z238+Z240+Z241+Z242+Z243+Z244+Z245+Z246+Z247+Z248+Z249+Z250+Z251+Z252+Z253+Z254+Z255+Z256+Z257+Z258+Z259+Z260+Z261, "NA")</f>
        <v>188064.16999999998</v>
      </c>
      <c r="AA263" s="15">
        <f>IFERROR(Z263/Z444, "NA")</f>
        <v>9.3270466352902107E-2</v>
      </c>
      <c r="AB263" s="2"/>
      <c r="AC263" s="14">
        <f t="shared" si="67"/>
        <v>-5893.9000000000524</v>
      </c>
      <c r="AD263" s="15">
        <f>IFERROR(AC263/AC444, "NA")</f>
        <v>-3.2520008503679886E-2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3559.82</v>
      </c>
      <c r="C265" s="8">
        <f>IFERROR(B265/B444, "NA")</f>
        <v>2.334226001353264E-2</v>
      </c>
      <c r="D265" s="9"/>
      <c r="E265" s="7">
        <v>4390.2299999999996</v>
      </c>
      <c r="F265" s="8">
        <f>IFERROR(E265/E444, "NA")</f>
        <v>2.4999981493010651E-2</v>
      </c>
      <c r="G265" s="9"/>
      <c r="H265" s="10">
        <f>IFERROR(-(B265-E265), "NA")</f>
        <v>830.4099999999994</v>
      </c>
      <c r="I265" s="8">
        <f>IFERROR(H265/H444, "NA")</f>
        <v>-3.5942323307346431E-2</v>
      </c>
      <c r="J265" s="9"/>
      <c r="K265" s="7">
        <v>3637.78</v>
      </c>
      <c r="L265" s="8">
        <f>IFERROR(K265/K444, "NA")</f>
        <v>2.346795559423967E-2</v>
      </c>
      <c r="M265" s="9"/>
      <c r="N265" s="10">
        <f>IFERROR(-(B265-K265), "NA")</f>
        <v>77.960000000000036</v>
      </c>
      <c r="O265" s="8">
        <f>IFERROR(N265/N444, "NA")</f>
        <v>-3.1119893020378108E-2</v>
      </c>
      <c r="P265" s="9"/>
      <c r="Q265" s="7">
        <v>53162.82</v>
      </c>
      <c r="R265" s="8">
        <f>IFERROR(Q265/Q444, "NA")</f>
        <v>2.4191632451724794E-2</v>
      </c>
      <c r="S265" s="9"/>
      <c r="T265" s="7">
        <v>55795.53</v>
      </c>
      <c r="U265" s="8">
        <f>IFERROR(T265/T444, "NA")</f>
        <v>2.5111756606970022E-2</v>
      </c>
      <c r="V265" s="9"/>
      <c r="W265" s="10">
        <f>IFERROR(-(Q265-T265), "NA")</f>
        <v>2632.7099999999991</v>
      </c>
      <c r="X265" s="8">
        <f>IFERROR(W265/W444, "NA")</f>
        <v>-0.10826098005689493</v>
      </c>
      <c r="Y265" s="9"/>
      <c r="Z265" s="7">
        <v>48974.14</v>
      </c>
      <c r="AA265" s="8">
        <f>IFERROR(Z265/Z444, "NA")</f>
        <v>2.4288735472750164E-2</v>
      </c>
      <c r="AB265" s="9"/>
      <c r="AC265" s="10">
        <f>IFERROR(-(Q265-Z265), "NA")</f>
        <v>-4188.68</v>
      </c>
      <c r="AD265" s="8">
        <f>IFERROR(AC265/AC444, "NA")</f>
        <v>-2.3111337012706807E-2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98.02</v>
      </c>
      <c r="AA266" s="8">
        <f>IFERROR(Z266/Z444, "NA")</f>
        <v>4.8613040495228119E-5</v>
      </c>
      <c r="AB266" s="9"/>
      <c r="AC266" s="10">
        <f>IFERROR(-(Q266-Z266), "NA")</f>
        <v>98.02</v>
      </c>
      <c r="AD266" s="8">
        <f>IFERROR(AC266/AC444, "NA")</f>
        <v>5.4083225598172246E-4</v>
      </c>
    </row>
    <row r="267" spans="1:30" ht="16.5" customHeight="1" x14ac:dyDescent="0.45">
      <c r="A267" s="19" t="s">
        <v>243</v>
      </c>
      <c r="B267" s="14">
        <f>IFERROR(B265+B266, "NA")</f>
        <v>3559.82</v>
      </c>
      <c r="C267" s="15">
        <f>IFERROR(B267/B444, "NA")</f>
        <v>2.334226001353264E-2</v>
      </c>
      <c r="D267" s="2"/>
      <c r="E267" s="14">
        <f>IFERROR(E265+E266, "NA")</f>
        <v>4390.2299999999996</v>
      </c>
      <c r="F267" s="15">
        <f>IFERROR(E267/E444, "NA")</f>
        <v>2.4999981493010651E-2</v>
      </c>
      <c r="G267" s="2"/>
      <c r="H267" s="14">
        <f>IFERROR(-(B267-E267), "NA")</f>
        <v>830.4099999999994</v>
      </c>
      <c r="I267" s="15">
        <f>IFERROR(H267/H444, "NA")</f>
        <v>-3.5942323307346431E-2</v>
      </c>
      <c r="J267" s="2"/>
      <c r="K267" s="14">
        <f>IFERROR(K265+K266, "NA")</f>
        <v>3637.78</v>
      </c>
      <c r="L267" s="15">
        <f>IFERROR(K267/K444, "NA")</f>
        <v>2.346795559423967E-2</v>
      </c>
      <c r="M267" s="2"/>
      <c r="N267" s="14">
        <f>IFERROR(-(B267-K267), "NA")</f>
        <v>77.960000000000036</v>
      </c>
      <c r="O267" s="15">
        <f>IFERROR(N267/N444, "NA")</f>
        <v>-3.1119893020378108E-2</v>
      </c>
      <c r="P267" s="2"/>
      <c r="Q267" s="14">
        <f>IFERROR(Q265+Q266, "NA")</f>
        <v>53162.82</v>
      </c>
      <c r="R267" s="15">
        <f>IFERROR(Q267/Q444, "NA")</f>
        <v>2.4191632451724794E-2</v>
      </c>
      <c r="S267" s="2"/>
      <c r="T267" s="14">
        <f>IFERROR(T265+T266, "NA")</f>
        <v>55795.53</v>
      </c>
      <c r="U267" s="15">
        <f>IFERROR(T267/T444, "NA")</f>
        <v>2.5111756606970022E-2</v>
      </c>
      <c r="V267" s="2"/>
      <c r="W267" s="14">
        <f>IFERROR(-(Q267-T267), "NA")</f>
        <v>2632.7099999999991</v>
      </c>
      <c r="X267" s="15">
        <f>IFERROR(W267/W444, "NA")</f>
        <v>-0.10826098005689493</v>
      </c>
      <c r="Y267" s="2"/>
      <c r="Z267" s="14">
        <f>IFERROR(Z265+Z266, "NA")</f>
        <v>49072.159999999996</v>
      </c>
      <c r="AA267" s="15">
        <f>IFERROR(Z267/Z444, "NA")</f>
        <v>2.4337348513245392E-2</v>
      </c>
      <c r="AB267" s="2"/>
      <c r="AC267" s="14">
        <f>IFERROR(-(Q267-Z267), "NA")</f>
        <v>-4090.6600000000035</v>
      </c>
      <c r="AD267" s="15">
        <f>IFERROR(AC267/AC444, "NA")</f>
        <v>-2.2570504756725104E-2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1.583550795621164E-3</v>
      </c>
      <c r="D270" s="9"/>
      <c r="E270" s="7">
        <v>262.27999999999997</v>
      </c>
      <c r="F270" s="8">
        <f>IFERROR(E270/E444, "NA")</f>
        <v>1.493542512803847E-3</v>
      </c>
      <c r="G270" s="9"/>
      <c r="H270" s="10">
        <f>IFERROR(-(B270-E270), "NA")</f>
        <v>20.779999999999973</v>
      </c>
      <c r="I270" s="8">
        <f>IFERROR(H270/H444, "NA")</f>
        <v>-8.9941291449604219E-4</v>
      </c>
      <c r="J270" s="9"/>
      <c r="K270" s="7">
        <v>211.5</v>
      </c>
      <c r="L270" s="8">
        <f>IFERROR(K270/K444, "NA")</f>
        <v>1.3644235242872549E-3</v>
      </c>
      <c r="M270" s="9"/>
      <c r="N270" s="10">
        <f>IFERROR(-(B270-K270), "NA")</f>
        <v>-30</v>
      </c>
      <c r="O270" s="8">
        <f>IFERROR(N270/N444, "NA")</f>
        <v>1.197533081851389E-2</v>
      </c>
      <c r="P270" s="9"/>
      <c r="Q270" s="7">
        <v>2839</v>
      </c>
      <c r="R270" s="8">
        <f>IFERROR(Q270/Q444, "NA")</f>
        <v>1.2918811404369951E-3</v>
      </c>
      <c r="S270" s="9"/>
      <c r="T270" s="7">
        <v>3256.04</v>
      </c>
      <c r="U270" s="8">
        <f>IFERROR(T270/T444, "NA")</f>
        <v>1.4654378940850402E-3</v>
      </c>
      <c r="V270" s="9"/>
      <c r="W270" s="10">
        <f>IFERROR(-(Q270-T270), "NA")</f>
        <v>417.03999999999996</v>
      </c>
      <c r="X270" s="8">
        <f>IFERROR(W270/W444, "NA")</f>
        <v>-1.7149309693406212E-2</v>
      </c>
      <c r="Y270" s="9"/>
      <c r="Z270" s="7">
        <v>2297.11</v>
      </c>
      <c r="AA270" s="8">
        <f>IFERROR(Z270/Z444, "NA")</f>
        <v>1.139252208243149E-3</v>
      </c>
      <c r="AB270" s="9"/>
      <c r="AC270" s="10">
        <f>IFERROR(-(Q270-Z270), "NA")</f>
        <v>-541.88999999999987</v>
      </c>
      <c r="AD270" s="8">
        <f>IFERROR(AC270/AC444, "NA")</f>
        <v>-2.9899162537638797E-3</v>
      </c>
    </row>
    <row r="271" spans="1:30" ht="16.5" customHeight="1" x14ac:dyDescent="0.45">
      <c r="A271" s="6" t="s">
        <v>246</v>
      </c>
      <c r="B271" s="7">
        <v>1068.3</v>
      </c>
      <c r="C271" s="8">
        <f>IFERROR(B271/B444, "NA")</f>
        <v>7.0049992337974723E-3</v>
      </c>
      <c r="D271" s="9"/>
      <c r="E271" s="7">
        <v>702.44</v>
      </c>
      <c r="F271" s="8">
        <f>IFERROR(E271/E444, "NA")</f>
        <v>4.0000152611481413E-3</v>
      </c>
      <c r="G271" s="9"/>
      <c r="H271" s="10">
        <f>IFERROR(-(B271-E271), "NA")</f>
        <v>-365.8599999999999</v>
      </c>
      <c r="I271" s="8">
        <f>IFERROR(H271/H444, "NA")</f>
        <v>1.5835380601420711E-2</v>
      </c>
      <c r="J271" s="9"/>
      <c r="K271" s="7">
        <v>803.21</v>
      </c>
      <c r="L271" s="8">
        <f>IFERROR(K271/K444, "NA")</f>
        <v>5.1816483165142606E-3</v>
      </c>
      <c r="M271" s="9"/>
      <c r="N271" s="10">
        <f>IFERROR(-(B271-K271), "NA")</f>
        <v>-265.08999999999992</v>
      </c>
      <c r="O271" s="8">
        <f>IFERROR(N271/N444, "NA")</f>
        <v>0.1058180148893282</v>
      </c>
      <c r="P271" s="9"/>
      <c r="Q271" s="7">
        <v>11482.5</v>
      </c>
      <c r="R271" s="8">
        <f>IFERROR(Q271/Q444, "NA")</f>
        <v>5.2250881278858036E-3</v>
      </c>
      <c r="S271" s="9"/>
      <c r="T271" s="7">
        <v>8887.5499999999993</v>
      </c>
      <c r="U271" s="8">
        <f>IFERROR(T271/T444, "NA")</f>
        <v>3.999997713656926E-3</v>
      </c>
      <c r="V271" s="9"/>
      <c r="W271" s="10">
        <f>IFERROR(-(Q271-T271), "NA")</f>
        <v>-2594.9500000000007</v>
      </c>
      <c r="X271" s="8">
        <f>IFERROR(W271/W444, "NA")</f>
        <v>0.10670823227725031</v>
      </c>
      <c r="Y271" s="9"/>
      <c r="Z271" s="7">
        <v>8504.09</v>
      </c>
      <c r="AA271" s="8">
        <f>IFERROR(Z271/Z444, "NA")</f>
        <v>4.217605300398536E-3</v>
      </c>
      <c r="AB271" s="9"/>
      <c r="AC271" s="10">
        <f>IFERROR(-(Q271-Z271), "NA")</f>
        <v>-2978.41</v>
      </c>
      <c r="AD271" s="8">
        <f>IFERROR(AC271/AC444, "NA")</f>
        <v>-1.643358701834852E-2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1309.8</v>
      </c>
      <c r="C273" s="15">
        <f>IFERROR(B273/B444, "NA")</f>
        <v>8.5885500294186363E-3</v>
      </c>
      <c r="D273" s="2"/>
      <c r="E273" s="14">
        <f>IFERROR(E269+E270+E271+E272, "NA")</f>
        <v>964.72</v>
      </c>
      <c r="F273" s="15">
        <f>IFERROR(E273/E444, "NA")</f>
        <v>5.493557773951988E-3</v>
      </c>
      <c r="G273" s="2"/>
      <c r="H273" s="14">
        <f>IFERROR(-(B273-E273), "NA")</f>
        <v>-345.07999999999993</v>
      </c>
      <c r="I273" s="15">
        <f>IFERROR(H273/H444, "NA")</f>
        <v>1.4935967686924668E-2</v>
      </c>
      <c r="J273" s="2"/>
      <c r="K273" s="14">
        <f>IFERROR(K269+K270+K271+K272, "NA")</f>
        <v>1014.71</v>
      </c>
      <c r="L273" s="15">
        <f>IFERROR(K273/K444, "NA")</f>
        <v>6.5460718408015149E-3</v>
      </c>
      <c r="M273" s="2"/>
      <c r="N273" s="14">
        <f>IFERROR(-(B273-K273), "NA")</f>
        <v>-295.08999999999992</v>
      </c>
      <c r="O273" s="15">
        <f>IFERROR(N273/N444, "NA")</f>
        <v>0.11779334570784208</v>
      </c>
      <c r="P273" s="2"/>
      <c r="Q273" s="14">
        <f>IFERROR(Q269+Q270+Q271+Q272, "NA")</f>
        <v>14321.5</v>
      </c>
      <c r="R273" s="15">
        <f>IFERROR(Q273/Q444, "NA")</f>
        <v>6.5169692683227989E-3</v>
      </c>
      <c r="S273" s="2"/>
      <c r="T273" s="14">
        <f>IFERROR(T269+T270+T271+T272, "NA")</f>
        <v>12143.59</v>
      </c>
      <c r="U273" s="15">
        <f>IFERROR(T273/T444, "NA")</f>
        <v>5.4654356077419664E-3</v>
      </c>
      <c r="V273" s="2"/>
      <c r="W273" s="14">
        <f>IFERROR(-(Q273-T273), "NA")</f>
        <v>-2177.91</v>
      </c>
      <c r="X273" s="15">
        <f>IFERROR(W273/W444, "NA")</f>
        <v>8.9558922583844056E-2</v>
      </c>
      <c r="Y273" s="2"/>
      <c r="Z273" s="14">
        <f>IFERROR(Z269+Z270+Z271+Z272, "NA")</f>
        <v>10801.2</v>
      </c>
      <c r="AA273" s="15">
        <f>IFERROR(Z273/Z444, "NA")</f>
        <v>5.3568575086416848E-3</v>
      </c>
      <c r="AB273" s="2"/>
      <c r="AC273" s="14">
        <f>IFERROR(-(Q273-Z273), "NA")</f>
        <v>-3520.2999999999993</v>
      </c>
      <c r="AD273" s="15">
        <f>IFERROR(AC273/AC444, "NA")</f>
        <v>-1.9423503272112397E-2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2.0784772654163651E-3</v>
      </c>
      <c r="G287" s="9"/>
      <c r="H287" s="10">
        <f t="shared" si="72"/>
        <v>365</v>
      </c>
      <c r="I287" s="8">
        <f>IFERROR(H287/H444, "NA")</f>
        <v>-1.5798157545286615E-2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4380</v>
      </c>
      <c r="U287" s="8">
        <f>IFERROR(T287/T444, "NA")</f>
        <v>1.9712957998343004E-3</v>
      </c>
      <c r="V287" s="9"/>
      <c r="W287" s="10">
        <f t="shared" si="74"/>
        <v>4380</v>
      </c>
      <c r="X287" s="8">
        <f>IFERROR(W287/W444, "NA")</f>
        <v>-0.18011216299903898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146.85</v>
      </c>
      <c r="C288" s="8">
        <f>IFERROR(B288/B444, "NA")</f>
        <v>9.6291691236839727E-4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-146.85</v>
      </c>
      <c r="I288" s="8">
        <f>IFERROR(H288/H444, "NA")</f>
        <v>6.3560532480146283E-3</v>
      </c>
      <c r="J288" s="9"/>
      <c r="K288" s="7">
        <v>146.85</v>
      </c>
      <c r="L288" s="8">
        <f>IFERROR(K288/K444, "NA")</f>
        <v>9.473550569342004E-4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1749</v>
      </c>
      <c r="R288" s="8">
        <f>IFERROR(Q288/Q444, "NA")</f>
        <v>7.9587887094903292E-4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-1749</v>
      </c>
      <c r="X288" s="8">
        <f>IFERROR(W288/W444, "NA")</f>
        <v>7.1921500704410765E-2</v>
      </c>
      <c r="Y288" s="9"/>
      <c r="Z288" s="7">
        <v>1749</v>
      </c>
      <c r="AA288" s="8">
        <f>IFERROR(Z288/Z444, "NA")</f>
        <v>8.6741693354574557E-4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247.3</v>
      </c>
      <c r="C289" s="8">
        <f>IFERROR(B289/B444, "NA")</f>
        <v>1.6215822433006788E-3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-247.3</v>
      </c>
      <c r="I289" s="8">
        <f>IFERROR(H289/H444, "NA")</f>
        <v>1.0703792769724328E-2</v>
      </c>
      <c r="J289" s="9"/>
      <c r="K289" s="7">
        <v>218.07</v>
      </c>
      <c r="L289" s="8">
        <f>IFERROR(K289/K444, "NA")</f>
        <v>1.4068077444034121E-3</v>
      </c>
      <c r="M289" s="9"/>
      <c r="N289" s="10">
        <f t="shared" si="73"/>
        <v>-29.230000000000018</v>
      </c>
      <c r="O289" s="8">
        <f>IFERROR(N289/N444, "NA")</f>
        <v>1.166796399417204E-2</v>
      </c>
      <c r="P289" s="9"/>
      <c r="Q289" s="7">
        <v>2764.92</v>
      </c>
      <c r="R289" s="8">
        <f>IFERROR(Q289/Q444, "NA")</f>
        <v>1.2581711880299601E-3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-2764.92</v>
      </c>
      <c r="X289" s="8">
        <f>IFERROR(W289/W444, "NA")</f>
        <v>0.11369765336057143</v>
      </c>
      <c r="Y289" s="9"/>
      <c r="Z289" s="7">
        <v>2689.34</v>
      </c>
      <c r="AA289" s="8">
        <f>IFERROR(Z289/Z444, "NA")</f>
        <v>1.3337787627569556E-3</v>
      </c>
      <c r="AB289" s="9"/>
      <c r="AC289" s="10">
        <f t="shared" si="75"/>
        <v>-75.579999999999927</v>
      </c>
      <c r="AD289" s="8">
        <f>IFERROR(AC289/AC444, "NA")</f>
        <v>-4.1701797497550034E-4</v>
      </c>
    </row>
    <row r="290" spans="1:30" ht="16.5" customHeight="1" x14ac:dyDescent="0.45">
      <c r="A290" s="6" t="s">
        <v>263</v>
      </c>
      <c r="B290" s="7">
        <v>3725.24</v>
      </c>
      <c r="C290" s="8">
        <f>IFERROR(B290/B444, "NA")</f>
        <v>2.4426943129936998E-2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-3725.24</v>
      </c>
      <c r="I290" s="8">
        <f>IFERROR(H290/H444, "NA")</f>
        <v>0.16123816003836577</v>
      </c>
      <c r="J290" s="9"/>
      <c r="K290" s="7">
        <v>347.24</v>
      </c>
      <c r="L290" s="8">
        <f>IFERROR(K290/K444, "NA")</f>
        <v>2.2401060263522762E-3</v>
      </c>
      <c r="M290" s="9"/>
      <c r="N290" s="10">
        <f t="shared" si="73"/>
        <v>-3378</v>
      </c>
      <c r="O290" s="8">
        <f>IFERROR(N290/N444, "NA")</f>
        <v>1.3484222501646639</v>
      </c>
      <c r="P290" s="9"/>
      <c r="Q290" s="7">
        <v>16119.6</v>
      </c>
      <c r="R290" s="8">
        <f>IFERROR(Q290/Q444, "NA")</f>
        <v>7.3351909937964732E-3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-16119.6</v>
      </c>
      <c r="X290" s="8">
        <f>IFERROR(W290/W444, "NA")</f>
        <v>0.6628621056345454</v>
      </c>
      <c r="Y290" s="9"/>
      <c r="Z290" s="7">
        <v>3435.87</v>
      </c>
      <c r="AA290" s="8">
        <f>IFERROR(Z290/Z444, "NA")</f>
        <v>1.7040204799667357E-3</v>
      </c>
      <c r="AB290" s="9"/>
      <c r="AC290" s="10">
        <f t="shared" si="75"/>
        <v>-12683.73</v>
      </c>
      <c r="AD290" s="8">
        <f>IFERROR(AC290/AC444, "NA")</f>
        <v>-6.9983373904948507E-2</v>
      </c>
    </row>
    <row r="291" spans="1:30" ht="16.5" customHeight="1" x14ac:dyDescent="0.45">
      <c r="A291" s="6" t="s">
        <v>264</v>
      </c>
      <c r="B291" s="7">
        <v>528.80999999999995</v>
      </c>
      <c r="C291" s="8">
        <f>IFERROR(B291/B444, "NA")</f>
        <v>3.4674844564489761E-3</v>
      </c>
      <c r="D291" s="9"/>
      <c r="E291" s="7">
        <v>2282.92</v>
      </c>
      <c r="F291" s="8">
        <f>IFERROR(E291/E444, "NA")</f>
        <v>1.2999992654148845E-2</v>
      </c>
      <c r="G291" s="9"/>
      <c r="H291" s="10">
        <f t="shared" si="72"/>
        <v>1754.1100000000001</v>
      </c>
      <c r="I291" s="8">
        <f>IFERROR(H291/H444, "NA")</f>
        <v>-7.5922482552774534E-2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-528.80999999999995</v>
      </c>
      <c r="O291" s="8">
        <f>IFERROR(N291/N444, "NA")</f>
        <v>0.21108915633794431</v>
      </c>
      <c r="P291" s="9"/>
      <c r="Q291" s="7">
        <v>13073.05</v>
      </c>
      <c r="R291" s="8">
        <f>IFERROR(Q291/Q444, "NA")</f>
        <v>5.9488646505776186E-3</v>
      </c>
      <c r="S291" s="9"/>
      <c r="T291" s="7">
        <v>28884.55</v>
      </c>
      <c r="U291" s="8">
        <f>IFERROR(T291/T444, "NA")</f>
        <v>1.2999998195229187E-2</v>
      </c>
      <c r="V291" s="9"/>
      <c r="W291" s="10">
        <f t="shared" si="74"/>
        <v>15811.5</v>
      </c>
      <c r="X291" s="8">
        <f>IFERROR(W291/W444, "NA")</f>
        <v>-0.65019257197701019</v>
      </c>
      <c r="Y291" s="9"/>
      <c r="Z291" s="7">
        <v>8455.51</v>
      </c>
      <c r="AA291" s="8">
        <f>IFERROR(Z291/Z444, "NA")</f>
        <v>4.1935120387452188E-3</v>
      </c>
      <c r="AB291" s="9"/>
      <c r="AC291" s="10">
        <f t="shared" si="75"/>
        <v>-4617.5399999999991</v>
      </c>
      <c r="AD291" s="8">
        <f>IFERROR(AC291/AC444, "NA")</f>
        <v>-2.5477602277962072E-2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444.92</v>
      </c>
      <c r="L292" s="8">
        <f>IFERROR(K292/K444, "NA")</f>
        <v>2.8702568057961488E-3</v>
      </c>
      <c r="M292" s="9"/>
      <c r="N292" s="10">
        <f t="shared" si="73"/>
        <v>444.92</v>
      </c>
      <c r="O292" s="8">
        <f>IFERROR(N292/N444, "NA")</f>
        <v>-0.17760213959244001</v>
      </c>
      <c r="P292" s="9"/>
      <c r="Q292" s="7">
        <v>922.99</v>
      </c>
      <c r="R292" s="8">
        <f>IFERROR(Q292/Q444, "NA")</f>
        <v>4.2000471074742589E-4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-922.99</v>
      </c>
      <c r="X292" s="8">
        <f>IFERROR(W292/W444, "NA")</f>
        <v>3.7954731809699313E-2</v>
      </c>
      <c r="Y292" s="9"/>
      <c r="Z292" s="7">
        <v>2284.1</v>
      </c>
      <c r="AA292" s="8">
        <f>IFERROR(Z292/Z444, "NA")</f>
        <v>1.13279989589013E-3</v>
      </c>
      <c r="AB292" s="9"/>
      <c r="AC292" s="10">
        <f t="shared" si="75"/>
        <v>1361.11</v>
      </c>
      <c r="AD292" s="8">
        <f>IFERROR(AC292/AC444, "NA")</f>
        <v>7.5100203217637442E-3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401.35</v>
      </c>
      <c r="L293" s="8">
        <f>IFERROR(K293/K444, "NA")</f>
        <v>2.5891791086179185E-3</v>
      </c>
      <c r="M293" s="9"/>
      <c r="N293" s="10">
        <f t="shared" si="73"/>
        <v>401.35</v>
      </c>
      <c r="O293" s="8">
        <f>IFERROR(N293/N444, "NA")</f>
        <v>-0.16020996746701832</v>
      </c>
      <c r="P293" s="9"/>
      <c r="Q293" s="7">
        <v>3400.38</v>
      </c>
      <c r="R293" s="8">
        <f>IFERROR(Q293/Q444, "NA")</f>
        <v>1.5473359606619054E-3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-3400.38</v>
      </c>
      <c r="X293" s="8">
        <f>IFERROR(W293/W444, "NA")</f>
        <v>0.13982872073485667</v>
      </c>
      <c r="Y293" s="9"/>
      <c r="Z293" s="7">
        <v>8375.19</v>
      </c>
      <c r="AA293" s="8">
        <f>IFERROR(Z293/Z444, "NA")</f>
        <v>4.1536773171314996E-3</v>
      </c>
      <c r="AB293" s="9"/>
      <c r="AC293" s="10">
        <f t="shared" si="75"/>
        <v>4974.8100000000004</v>
      </c>
      <c r="AD293" s="8">
        <f>IFERROR(AC293/AC444, "NA")</f>
        <v>2.7448864674356588E-2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2.1310069278216237E-3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1.4066419782582731E-2</v>
      </c>
      <c r="J294" s="9"/>
      <c r="K294" s="7">
        <v>324.99</v>
      </c>
      <c r="L294" s="8">
        <f>IFERROR(K294/K444, "NA")</f>
        <v>2.0965673813622457E-3</v>
      </c>
      <c r="M294" s="9"/>
      <c r="N294" s="10">
        <f t="shared" si="73"/>
        <v>0</v>
      </c>
      <c r="O294" s="8">
        <f>IFERROR(N294/N444, "NA")</f>
        <v>0</v>
      </c>
      <c r="P294" s="9"/>
      <c r="Q294" s="7">
        <v>3877.93</v>
      </c>
      <c r="R294" s="8">
        <f>IFERROR(Q294/Q444, "NA")</f>
        <v>1.7646441109316084E-3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-3877.93</v>
      </c>
      <c r="X294" s="8">
        <f>IFERROR(W294/W444, "NA")</f>
        <v>0.1594662922965441</v>
      </c>
      <c r="Y294" s="9"/>
      <c r="Z294" s="7">
        <v>1041.96</v>
      </c>
      <c r="AA294" s="8">
        <f>IFERROR(Z294/Z444, "NA")</f>
        <v>5.1676029049589774E-4</v>
      </c>
      <c r="AB294" s="9"/>
      <c r="AC294" s="10">
        <f t="shared" si="75"/>
        <v>-2835.97</v>
      </c>
      <c r="AD294" s="8">
        <f>IFERROR(AC294/AC444, "NA")</f>
        <v>-1.5647664282763572E-2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4973.1899999999987</v>
      </c>
      <c r="C295" s="15">
        <f>IFERROR(B295/B444, "NA")</f>
        <v>3.2609933669876669E-2</v>
      </c>
      <c r="D295" s="2"/>
      <c r="E295" s="14">
        <f>IFERROR(E286+E287+E288+E289+E290+E291+E292+E293+E294, "NA")</f>
        <v>2647.92</v>
      </c>
      <c r="F295" s="15">
        <f>IFERROR(E295/E444, "NA")</f>
        <v>1.5078469919565209E-2</v>
      </c>
      <c r="G295" s="2"/>
      <c r="H295" s="14">
        <f t="shared" si="72"/>
        <v>-2325.2699999999986</v>
      </c>
      <c r="I295" s="15">
        <f>IFERROR(H295/H444, "NA")</f>
        <v>0.10064378574062625</v>
      </c>
      <c r="J295" s="2"/>
      <c r="K295" s="14">
        <f>IFERROR(K286+K287+K288+K289+K290+K291+K292+K293+K294, "NA")</f>
        <v>1883.4199999999998</v>
      </c>
      <c r="L295" s="15">
        <f>IFERROR(K295/K444, "NA")</f>
        <v>1.2150272123466201E-2</v>
      </c>
      <c r="M295" s="2"/>
      <c r="N295" s="14">
        <f t="shared" si="73"/>
        <v>-3089.7699999999986</v>
      </c>
      <c r="O295" s="15">
        <f>IFERROR(N295/N444, "NA")</f>
        <v>1.2333672634373214</v>
      </c>
      <c r="P295" s="2"/>
      <c r="Q295" s="14">
        <f>IFERROR(Q286+Q287+Q288+Q289+Q290+Q291+Q292+Q293+Q294, "NA")</f>
        <v>41907.869999999995</v>
      </c>
      <c r="R295" s="15">
        <f>IFERROR(Q295/Q444, "NA")</f>
        <v>1.9070090485694021E-2</v>
      </c>
      <c r="S295" s="2"/>
      <c r="T295" s="14">
        <f>IFERROR(T286+T287+T288+T289+T290+T291+T292+T293+T294, "NA")</f>
        <v>33264.550000000003</v>
      </c>
      <c r="U295" s="15">
        <f>IFERROR(T295/T444, "NA")</f>
        <v>1.497129399506349E-2</v>
      </c>
      <c r="V295" s="2"/>
      <c r="W295" s="14">
        <f t="shared" si="74"/>
        <v>-8643.3199999999924</v>
      </c>
      <c r="X295" s="15">
        <f>IFERROR(W295/W444, "NA")</f>
        <v>0.35542626956457812</v>
      </c>
      <c r="Y295" s="2"/>
      <c r="Z295" s="14">
        <f>IFERROR(Z286+Z287+Z288+Z289+Z290+Z291+Z292+Z293+Z294, "NA")</f>
        <v>28030.97</v>
      </c>
      <c r="AA295" s="15">
        <f>IFERROR(Z295/Z444, "NA")</f>
        <v>1.3901965718532182E-2</v>
      </c>
      <c r="AB295" s="2"/>
      <c r="AC295" s="14">
        <f t="shared" si="75"/>
        <v>-13876.899999999994</v>
      </c>
      <c r="AD295" s="15">
        <f>IFERROR(AC295/AC444, "NA")</f>
        <v>-7.6566773444529293E-2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2282.92</v>
      </c>
      <c r="F297" s="8">
        <f>IFERROR(E297/E444, "NA")</f>
        <v>1.2999992654148845E-2</v>
      </c>
      <c r="G297" s="9"/>
      <c r="H297" s="10">
        <f t="shared" ref="H297:H325" si="76">IFERROR(-(B297-E297), "NA")</f>
        <v>2282.92</v>
      </c>
      <c r="I297" s="8">
        <f>IFERROR(H297/H444, "NA")</f>
        <v>-9.8810766639138958E-2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28884.55</v>
      </c>
      <c r="U297" s="8">
        <f>IFERROR(T297/T444, "NA")</f>
        <v>1.2999998195229187E-2</v>
      </c>
      <c r="V297" s="9"/>
      <c r="W297" s="10">
        <f t="shared" ref="W297:W325" si="78">IFERROR(-(Q297-T297), "NA")</f>
        <v>28884.55</v>
      </c>
      <c r="X297" s="8">
        <f>IFERROR(W297/W444, "NA")</f>
        <v>-1.1877759766561395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516.94000000000005</v>
      </c>
      <c r="C299" s="8">
        <f>IFERROR(B299/B444, "NA")</f>
        <v>3.3896511316290046E-3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-516.94000000000005</v>
      </c>
      <c r="I299" s="8">
        <f>IFERROR(H299/H444, "NA")</f>
        <v>2.2374519346467024E-2</v>
      </c>
      <c r="J299" s="9"/>
      <c r="K299" s="7">
        <v>507.4</v>
      </c>
      <c r="L299" s="8">
        <f>IFERROR(K299/K444, "NA")</f>
        <v>3.2733262232782652E-3</v>
      </c>
      <c r="M299" s="9"/>
      <c r="N299" s="10">
        <f t="shared" si="77"/>
        <v>-9.5400000000000773</v>
      </c>
      <c r="O299" s="8">
        <f>IFERROR(N299/N444, "NA")</f>
        <v>3.8081552002874478E-3</v>
      </c>
      <c r="P299" s="9"/>
      <c r="Q299" s="7">
        <v>11191.13</v>
      </c>
      <c r="R299" s="8">
        <f>IFERROR(Q299/Q444, "NA")</f>
        <v>5.0925008056282731E-3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-11191.13</v>
      </c>
      <c r="X299" s="8">
        <f>IFERROR(W299/W444, "NA")</f>
        <v>0.46019603440717693</v>
      </c>
      <c r="Y299" s="9"/>
      <c r="Z299" s="7">
        <v>6562.86</v>
      </c>
      <c r="AA299" s="8">
        <f>IFERROR(Z299/Z444, "NA")</f>
        <v>3.2548518561978453E-3</v>
      </c>
      <c r="AB299" s="9"/>
      <c r="AC299" s="10">
        <f t="shared" si="79"/>
        <v>-4628.2699999999995</v>
      </c>
      <c r="AD299" s="8">
        <f>IFERROR(AC299/AC444, "NA")</f>
        <v>-2.5536805808942322E-2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76.3</v>
      </c>
      <c r="C304" s="8">
        <f>IFERROR(B304/B444, "NA")</f>
        <v>5.0031025137016482E-4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-76.3</v>
      </c>
      <c r="I304" s="8">
        <f>IFERROR(H304/H444, "NA")</f>
        <v>3.3024641663160783E-3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-76.3</v>
      </c>
      <c r="O304" s="8">
        <f>IFERROR(N304/N444, "NA")</f>
        <v>3.0457258048420324E-2</v>
      </c>
      <c r="P304" s="9"/>
      <c r="Q304" s="7">
        <v>76.3</v>
      </c>
      <c r="R304" s="8">
        <f>IFERROR(Q304/Q444, "NA")</f>
        <v>3.472015886415735E-5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-76.3</v>
      </c>
      <c r="X304" s="8">
        <f>IFERROR(W304/W444, "NA")</f>
        <v>3.1375703280426197E-3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-76.3</v>
      </c>
      <c r="AD304" s="8">
        <f>IFERROR(AC304/AC444, "NA")</f>
        <v>-4.209906257029731E-4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102.75</v>
      </c>
      <c r="C310" s="8">
        <f>IFERROR(B310/B444, "NA")</f>
        <v>6.737467670810543E-4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-102.75</v>
      </c>
      <c r="I310" s="8">
        <f>IFERROR(H310/H444, "NA")</f>
        <v>4.447289555556711E-3</v>
      </c>
      <c r="J310" s="9"/>
      <c r="K310" s="7">
        <v>69.23</v>
      </c>
      <c r="L310" s="8">
        <f>IFERROR(K310/K444, "NA")</f>
        <v>4.4661484910830571E-4</v>
      </c>
      <c r="M310" s="9"/>
      <c r="N310" s="10">
        <f t="shared" si="77"/>
        <v>-33.519999999999996</v>
      </c>
      <c r="O310" s="8">
        <f>IFERROR(N310/N444, "NA")</f>
        <v>1.3380436301219517E-2</v>
      </c>
      <c r="P310" s="9"/>
      <c r="Q310" s="7">
        <v>1374.57</v>
      </c>
      <c r="R310" s="8">
        <f>IFERROR(Q310/Q444, "NA")</f>
        <v>6.2549526566061297E-4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-1374.57</v>
      </c>
      <c r="X310" s="8">
        <f>IFERROR(W310/W444, "NA")</f>
        <v>5.6524378057897035E-2</v>
      </c>
      <c r="Y310" s="9"/>
      <c r="Z310" s="7">
        <v>619.80999999999995</v>
      </c>
      <c r="AA310" s="8">
        <f>IFERROR(Z310/Z444, "NA")</f>
        <v>3.0739490542080534E-4</v>
      </c>
      <c r="AB310" s="9"/>
      <c r="AC310" s="10">
        <f t="shared" si="79"/>
        <v>-754.76</v>
      </c>
      <c r="AD310" s="8">
        <f>IFERROR(AC310/AC444, "NA")</f>
        <v>-4.1644414764819915E-3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1.216343180129654E-5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1.0991776522749571E-3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-1.4748465825741114E-4</v>
      </c>
    </row>
    <row r="312" spans="1:30" ht="16.5" customHeight="1" x14ac:dyDescent="0.45">
      <c r="A312" s="6" t="s">
        <v>284</v>
      </c>
      <c r="B312" s="7">
        <v>76.12</v>
      </c>
      <c r="C312" s="8">
        <f>IFERROR(B312/B444, "NA")</f>
        <v>4.9912996506286964E-4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-76.12</v>
      </c>
      <c r="I312" s="8">
        <f>IFERROR(H312/H444, "NA")</f>
        <v>3.2946732941019647E-3</v>
      </c>
      <c r="J312" s="9"/>
      <c r="K312" s="7">
        <v>18.440000000000001</v>
      </c>
      <c r="L312" s="8">
        <f>IFERROR(K312/K444, "NA")</f>
        <v>1.1895966802769259E-4</v>
      </c>
      <c r="M312" s="9"/>
      <c r="N312" s="10">
        <f t="shared" si="77"/>
        <v>-57.680000000000007</v>
      </c>
      <c r="O312" s="8">
        <f>IFERROR(N312/N444, "NA")</f>
        <v>2.3024569387062706E-2</v>
      </c>
      <c r="P312" s="9"/>
      <c r="Q312" s="7">
        <v>7397.17</v>
      </c>
      <c r="R312" s="8">
        <f>IFERROR(Q312/Q444, "NA")</f>
        <v>3.3660670713653849E-3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-7397.17</v>
      </c>
      <c r="X312" s="8">
        <f>IFERROR(W312/W444, "NA")</f>
        <v>0.3041827143314158</v>
      </c>
      <c r="Y312" s="9"/>
      <c r="Z312" s="7">
        <v>3910.69</v>
      </c>
      <c r="AA312" s="8">
        <f>IFERROR(Z312/Z444, "NA")</f>
        <v>1.9395075630920593E-3</v>
      </c>
      <c r="AB312" s="9"/>
      <c r="AC312" s="10">
        <f t="shared" si="79"/>
        <v>-3486.48</v>
      </c>
      <c r="AD312" s="8">
        <f>IFERROR(AC312/AC444, "NA")</f>
        <v>-1.9236899039330298E-2</v>
      </c>
    </row>
    <row r="313" spans="1:30" ht="16.5" customHeight="1" x14ac:dyDescent="0.45">
      <c r="A313" s="6" t="s">
        <v>285</v>
      </c>
      <c r="B313" s="7">
        <v>244</v>
      </c>
      <c r="C313" s="8">
        <f>IFERROR(B313/B444, "NA")</f>
        <v>1.5999436610002651E-3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-244</v>
      </c>
      <c r="I313" s="8">
        <f>IFERROR(H313/H444, "NA")</f>
        <v>1.0560960112465573E-2</v>
      </c>
      <c r="J313" s="9"/>
      <c r="K313" s="7">
        <v>200</v>
      </c>
      <c r="L313" s="8">
        <f>IFERROR(K313/K444, "NA")</f>
        <v>1.2902350111463404E-3</v>
      </c>
      <c r="M313" s="9"/>
      <c r="N313" s="10">
        <f t="shared" si="77"/>
        <v>-44</v>
      </c>
      <c r="O313" s="8">
        <f>IFERROR(N313/N444, "NA")</f>
        <v>1.7563818533820372E-2</v>
      </c>
      <c r="P313" s="9"/>
      <c r="Q313" s="7">
        <v>3449.58</v>
      </c>
      <c r="R313" s="8">
        <f>IFERROR(Q313/Q444, "NA")</f>
        <v>1.5697243199819125E-3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-3449.58</v>
      </c>
      <c r="X313" s="8">
        <f>IFERROR(W313/W444, "NA")</f>
        <v>0.14185189845621574</v>
      </c>
      <c r="Y313" s="9"/>
      <c r="Z313" s="7">
        <v>688</v>
      </c>
      <c r="AA313" s="8">
        <f>IFERROR(Z313/Z444, "NA")</f>
        <v>3.4121375087448421E-4</v>
      </c>
      <c r="AB313" s="9"/>
      <c r="AC313" s="10">
        <f t="shared" si="79"/>
        <v>-2761.58</v>
      </c>
      <c r="AD313" s="8">
        <f>IFERROR(AC313/AC444, "NA")</f>
        <v>-1.523721221662931E-2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3.946259575160386E-3</v>
      </c>
      <c r="G318" s="9"/>
      <c r="H318" s="10">
        <f t="shared" si="76"/>
        <v>693</v>
      </c>
      <c r="I318" s="8">
        <f>IFERROR(H318/H444, "NA")</f>
        <v>-2.9994858024338697E-2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8316</v>
      </c>
      <c r="U318" s="8">
        <f>IFERROR(T318/T444, "NA")</f>
        <v>3.7427616144799182E-3</v>
      </c>
      <c r="V318" s="9"/>
      <c r="W318" s="10">
        <f t="shared" si="78"/>
        <v>8316</v>
      </c>
      <c r="X318" s="8">
        <f>IFERROR(W318/W444, "NA")</f>
        <v>-0.34196638070776442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323.95999999999998</v>
      </c>
      <c r="C319" s="8">
        <f>IFERROR(B319/B444, "NA")</f>
        <v>2.1242530672854337E-3</v>
      </c>
      <c r="D319" s="9"/>
      <c r="E319" s="7">
        <v>294</v>
      </c>
      <c r="F319" s="8">
        <f>IFERROR(E319/E444, "NA")</f>
        <v>1.6741707288559214E-3</v>
      </c>
      <c r="G319" s="9"/>
      <c r="H319" s="10">
        <f t="shared" si="76"/>
        <v>-29.95999999999998</v>
      </c>
      <c r="I319" s="8">
        <f>IFERROR(H319/H444, "NA")</f>
        <v>1.2967473974158539E-3</v>
      </c>
      <c r="J319" s="9"/>
      <c r="K319" s="7">
        <v>293.72000000000003</v>
      </c>
      <c r="L319" s="8">
        <f>IFERROR(K319/K444, "NA")</f>
        <v>1.8948391373695157E-3</v>
      </c>
      <c r="M319" s="9"/>
      <c r="N319" s="10">
        <f t="shared" si="77"/>
        <v>-30.239999999999952</v>
      </c>
      <c r="O319" s="8">
        <f>IFERROR(N319/N444, "NA")</f>
        <v>1.2071133465061981E-2</v>
      </c>
      <c r="P319" s="9"/>
      <c r="Q319" s="7">
        <v>3775.28</v>
      </c>
      <c r="R319" s="8">
        <f>IFERROR(Q319/Q444, "NA")</f>
        <v>1.717933438488545E-3</v>
      </c>
      <c r="S319" s="9"/>
      <c r="T319" s="7">
        <v>3528</v>
      </c>
      <c r="U319" s="8">
        <f>IFERROR(T319/T444, "NA")</f>
        <v>1.5878382606884503E-3</v>
      </c>
      <c r="V319" s="9"/>
      <c r="W319" s="10">
        <f t="shared" si="78"/>
        <v>-247.2800000000002</v>
      </c>
      <c r="X319" s="8">
        <f>IFERROR(W319/W444, "NA")</f>
        <v>1.0168524124749405E-2</v>
      </c>
      <c r="Y319" s="9"/>
      <c r="Z319" s="7">
        <v>3481.44</v>
      </c>
      <c r="AA319" s="8">
        <f>IFERROR(Z319/Z444, "NA")</f>
        <v>1.7266209314599774E-3</v>
      </c>
      <c r="AB319" s="9"/>
      <c r="AC319" s="10">
        <f t="shared" si="79"/>
        <v>-293.84000000000015</v>
      </c>
      <c r="AD319" s="8">
        <f>IFERROR(AC319/AC444, "NA")</f>
        <v>-1.6212829024451071E-3</v>
      </c>
    </row>
    <row r="320" spans="1:30" ht="16.5" customHeight="1" x14ac:dyDescent="0.45">
      <c r="A320" s="6" t="s">
        <v>292</v>
      </c>
      <c r="B320" s="7">
        <v>1114.08</v>
      </c>
      <c r="C320" s="8">
        <f>IFERROR(B320/B444, "NA")</f>
        <v>7.3051853846195711E-3</v>
      </c>
      <c r="D320" s="9"/>
      <c r="E320" s="7">
        <v>833</v>
      </c>
      <c r="F320" s="8">
        <f>IFERROR(E320/E444, "NA")</f>
        <v>4.7434837317584444E-3</v>
      </c>
      <c r="G320" s="9"/>
      <c r="H320" s="10">
        <f t="shared" si="76"/>
        <v>-281.07999999999993</v>
      </c>
      <c r="I320" s="8">
        <f>IFERROR(H320/H444, "NA")</f>
        <v>1.2165879788573043E-2</v>
      </c>
      <c r="J320" s="9"/>
      <c r="K320" s="7">
        <v>827.2</v>
      </c>
      <c r="L320" s="8">
        <f>IFERROR(K320/K444, "NA")</f>
        <v>5.336412006101264E-3</v>
      </c>
      <c r="M320" s="9"/>
      <c r="N320" s="10">
        <f t="shared" si="77"/>
        <v>-286.87999999999988</v>
      </c>
      <c r="O320" s="8">
        <f>IFERROR(N320/N444, "NA")</f>
        <v>0.11451609684050877</v>
      </c>
      <c r="P320" s="9"/>
      <c r="Q320" s="7">
        <v>13225.15</v>
      </c>
      <c r="R320" s="8">
        <f>IFERROR(Q320/Q444, "NA")</f>
        <v>6.018077444329104E-3</v>
      </c>
      <c r="S320" s="9"/>
      <c r="T320" s="7">
        <v>9996</v>
      </c>
      <c r="U320" s="8">
        <f>IFERROR(T320/T444, "NA")</f>
        <v>4.4988750719506089E-3</v>
      </c>
      <c r="V320" s="9"/>
      <c r="W320" s="10">
        <f t="shared" si="78"/>
        <v>-3229.1499999999996</v>
      </c>
      <c r="X320" s="8">
        <f>IFERROR(W320/W444, "NA")</f>
        <v>0.13278748656354947</v>
      </c>
      <c r="Y320" s="9"/>
      <c r="Z320" s="7">
        <v>9467.4599999999991</v>
      </c>
      <c r="AA320" s="8">
        <f>IFERROR(Z320/Z444, "NA")</f>
        <v>4.6953888631600937E-3</v>
      </c>
      <c r="AB320" s="9"/>
      <c r="AC320" s="10">
        <f t="shared" si="79"/>
        <v>-3757.6900000000005</v>
      </c>
      <c r="AD320" s="8">
        <f>IFERROR(AC320/AC444, "NA")</f>
        <v>-2.0733319322382766E-2</v>
      </c>
    </row>
    <row r="321" spans="1:30" ht="16.5" customHeight="1" x14ac:dyDescent="0.45">
      <c r="A321" s="6" t="s">
        <v>293</v>
      </c>
      <c r="B321" s="7">
        <v>1570.53</v>
      </c>
      <c r="C321" s="8">
        <f>IFERROR(B321/B444, "NA")</f>
        <v>1.0298194745535847E-2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-1570.53</v>
      </c>
      <c r="I321" s="8">
        <f>IFERROR(H321/H444, "NA")</f>
        <v>6.7976658546846536E-2</v>
      </c>
      <c r="J321" s="9"/>
      <c r="K321" s="7">
        <v>3904.33</v>
      </c>
      <c r="L321" s="8">
        <f>IFERROR(K321/K444, "NA")</f>
        <v>2.5187516305344954E-2</v>
      </c>
      <c r="M321" s="9"/>
      <c r="N321" s="10">
        <f t="shared" si="77"/>
        <v>2333.8000000000002</v>
      </c>
      <c r="O321" s="8">
        <f>IFERROR(N321/N444, "NA")</f>
        <v>-0.93160090214159053</v>
      </c>
      <c r="P321" s="9"/>
      <c r="Q321" s="7">
        <v>24359.9</v>
      </c>
      <c r="R321" s="8">
        <f>IFERROR(Q321/Q444, "NA")</f>
        <v>1.1084922646330101E-2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-24359.9</v>
      </c>
      <c r="X321" s="8">
        <f>IFERROR(W321/W444, "NA")</f>
        <v>1.0017155889133083</v>
      </c>
      <c r="Y321" s="9"/>
      <c r="Z321" s="7">
        <v>33502.11</v>
      </c>
      <c r="AA321" s="8">
        <f>IFERROR(Z321/Z444, "NA")</f>
        <v>1.6615378801322047E-2</v>
      </c>
      <c r="AB321" s="9"/>
      <c r="AC321" s="10">
        <f t="shared" si="79"/>
        <v>9142.2099999999991</v>
      </c>
      <c r="AD321" s="8">
        <f>IFERROR(AC321/AC444, "NA")</f>
        <v>5.0442787787784764E-2</v>
      </c>
    </row>
    <row r="322" spans="1:30" ht="16.5" customHeight="1" x14ac:dyDescent="0.45">
      <c r="A322" s="6" t="s">
        <v>294</v>
      </c>
      <c r="B322" s="7">
        <v>174.48</v>
      </c>
      <c r="C322" s="8">
        <f>IFERROR(B322/B444, "NA")</f>
        <v>1.1440908605382222E-3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-174.48</v>
      </c>
      <c r="I322" s="8">
        <f>IFERROR(H322/H444, "NA")</f>
        <v>7.5519521328811191E-3</v>
      </c>
      <c r="J322" s="9"/>
      <c r="K322" s="7">
        <v>185.85</v>
      </c>
      <c r="L322" s="8">
        <f>IFERROR(K322/K444, "NA")</f>
        <v>1.1989508841077367E-3</v>
      </c>
      <c r="M322" s="9"/>
      <c r="N322" s="10">
        <f t="shared" si="77"/>
        <v>11.370000000000005</v>
      </c>
      <c r="O322" s="8">
        <f>IFERROR(N322/N444, "NA")</f>
        <v>-4.538650380216766E-3</v>
      </c>
      <c r="P322" s="9"/>
      <c r="Q322" s="7">
        <v>2287.15</v>
      </c>
      <c r="R322" s="8">
        <f>IFERROR(Q322/Q444, "NA")</f>
        <v>1.0407629272104521E-3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-2287.15</v>
      </c>
      <c r="X322" s="8">
        <f>IFERROR(W322/W444, "NA")</f>
        <v>9.4051035069235622E-2</v>
      </c>
      <c r="Y322" s="9"/>
      <c r="Z322" s="7">
        <v>2486.86</v>
      </c>
      <c r="AA322" s="8">
        <f>IFERROR(Z322/Z444, "NA")</f>
        <v>1.2333587623542441E-3</v>
      </c>
      <c r="AB322" s="9"/>
      <c r="AC322" s="10">
        <f t="shared" si="79"/>
        <v>199.71000000000004</v>
      </c>
      <c r="AD322" s="8">
        <f>IFERROR(AC322/AC444, "NA")</f>
        <v>1.1019139955326445E-3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3.3</v>
      </c>
      <c r="L323" s="8">
        <f>IFERROR(K323/K444, "NA")</f>
        <v>2.1288877683914614E-5</v>
      </c>
      <c r="M323" s="9"/>
      <c r="N323" s="10">
        <f t="shared" si="77"/>
        <v>3.3</v>
      </c>
      <c r="O323" s="8">
        <f>IFERROR(N323/N444, "NA")</f>
        <v>-1.3172863900365278E-3</v>
      </c>
      <c r="P323" s="9"/>
      <c r="Q323" s="7">
        <v>80</v>
      </c>
      <c r="R323" s="8">
        <f>IFERROR(Q323/Q444, "NA")</f>
        <v>3.6403836292694475E-5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-80</v>
      </c>
      <c r="X323" s="8">
        <f>IFERROR(W323/W444, "NA")</f>
        <v>3.289719872128566E-3</v>
      </c>
      <c r="Y323" s="9"/>
      <c r="Z323" s="7">
        <v>-29.12</v>
      </c>
      <c r="AA323" s="8">
        <f>IFERROR(Z323/Z444, "NA")</f>
        <v>-1.4442070385850263E-5</v>
      </c>
      <c r="AB323" s="9"/>
      <c r="AC323" s="10">
        <f t="shared" si="79"/>
        <v>-109.12</v>
      </c>
      <c r="AD323" s="8">
        <f>IFERROR(AC323/AC444, "NA")</f>
        <v>-6.0207728803025461E-4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4199.1599999999989</v>
      </c>
      <c r="C324" s="15">
        <f>IFERROR(B324/B444, "NA")</f>
        <v>2.7534505834122425E-2</v>
      </c>
      <c r="D324" s="2"/>
      <c r="E324" s="14">
        <f>IFERROR(E297+E298+E299+E300+E301+E302+E303+E304+E305+E306+E307+E308+E309+E310+E311+E312+E313+E314+E315+E316+E317+E318+E319+E320+E321+E322+E323, "NA")</f>
        <v>4102.92</v>
      </c>
      <c r="F324" s="15">
        <f>IFERROR(E324/E444, "NA")</f>
        <v>2.3363906689923594E-2</v>
      </c>
      <c r="G324" s="2"/>
      <c r="H324" s="14">
        <f t="shared" si="76"/>
        <v>-96.239999999998872</v>
      </c>
      <c r="I324" s="15">
        <f>IFERROR(H324/H444, "NA")</f>
        <v>4.1655196771462084E-3</v>
      </c>
      <c r="J324" s="2"/>
      <c r="K324" s="14">
        <f>IFERROR(K297+K298+K299+K300+K301+K302+K303+K304+K305+K306+K307+K308+K309+K310+K311+K312+K313+K314+K315+K316+K317+K318+K319+K320+K321+K322+K323, "NA")</f>
        <v>6009.47</v>
      </c>
      <c r="L324" s="15">
        <f>IFERROR(K324/K444, "NA")</f>
        <v>3.876814296216799E-2</v>
      </c>
      <c r="M324" s="2"/>
      <c r="N324" s="14">
        <f t="shared" si="77"/>
        <v>1810.3100000000013</v>
      </c>
      <c r="O324" s="15">
        <f>IFERROR(N324/N444, "NA")</f>
        <v>-0.72263537113546317</v>
      </c>
      <c r="P324" s="2"/>
      <c r="Q324" s="14">
        <f>IFERROR(Q297+Q298+Q299+Q300+Q301+Q302+Q303+Q304+Q305+Q306+Q307+Q308+Q309+Q310+Q311+Q312+Q313+Q314+Q315+Q316+Q317+Q318+Q319+Q320+Q321+Q322+Q323, "NA")</f>
        <v>67242.959999999992</v>
      </c>
      <c r="R324" s="15">
        <f>IFERROR(Q324/Q444, "NA")</f>
        <v>3.0598771345952531E-2</v>
      </c>
      <c r="S324" s="2"/>
      <c r="T324" s="14">
        <f>IFERROR(T297+T298+T299+T300+T301+T302+T303+T304+T305+T306+T307+T308+T309+T310+T311+T312+T313+T314+T315+T316+T317+T318+T319+T320+T321+T322+T323, "NA")</f>
        <v>50724.55</v>
      </c>
      <c r="U324" s="15">
        <f>IFERROR(T324/T444, "NA")</f>
        <v>2.2829473142348167E-2</v>
      </c>
      <c r="V324" s="2"/>
      <c r="W324" s="14">
        <f t="shared" si="78"/>
        <v>-16518.409999999989</v>
      </c>
      <c r="X324" s="15">
        <f>IFERROR(W324/W444, "NA")</f>
        <v>0.67926177041208979</v>
      </c>
      <c r="Y324" s="2"/>
      <c r="Z324" s="14">
        <f>IFERROR(Z297+Z298+Z299+Z300+Z301+Z302+Z303+Z304+Z305+Z306+Z307+Z308+Z309+Z310+Z311+Z312+Z313+Z314+Z315+Z316+Z317+Z318+Z319+Z320+Z321+Z322+Z323, "NA")</f>
        <v>60690.11</v>
      </c>
      <c r="AA324" s="15">
        <f>IFERROR(Z324/Z444, "NA")</f>
        <v>3.0099273363495705E-2</v>
      </c>
      <c r="AB324" s="2"/>
      <c r="AC324" s="14">
        <f t="shared" si="79"/>
        <v>-6552.8499999999913</v>
      </c>
      <c r="AD324" s="15">
        <f>IFERROR(AC324/AC444, "NA")</f>
        <v>-3.6155811554884974E-2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47340.07</v>
      </c>
      <c r="C325" s="15">
        <f>IFERROR(B325/B444, "NA")</f>
        <v>0.31041575781888864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41366.11</v>
      </c>
      <c r="F325" s="15">
        <f>IFERROR(E325/E444, "NA")</f>
        <v>0.23555758683208919</v>
      </c>
      <c r="G325" s="2"/>
      <c r="H325" s="14">
        <f t="shared" si="76"/>
        <v>-5973.9599999999991</v>
      </c>
      <c r="I325" s="15">
        <f>IFERROR(H325/H444, "NA")</f>
        <v>0.25856866095682302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43400.4</v>
      </c>
      <c r="L325" s="15">
        <f>IFERROR(K325/K444, "NA")</f>
        <v>0.27998357788877815</v>
      </c>
      <c r="M325" s="2"/>
      <c r="N325" s="14">
        <f t="shared" si="77"/>
        <v>-3939.6699999999983</v>
      </c>
      <c r="O325" s="15">
        <f>IFERROR(N325/N444, "NA")</f>
        <v>1.5726283855258198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572664.80000000005</v>
      </c>
      <c r="R325" s="15">
        <f>IFERROR(Q325/Q444, "NA")</f>
        <v>0.2605899453723578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558140.93999999994</v>
      </c>
      <c r="U325" s="15">
        <f>IFERROR(T325/T444, "NA")</f>
        <v>0.25120111660675071</v>
      </c>
      <c r="V325" s="2"/>
      <c r="W325" s="14">
        <f t="shared" si="78"/>
        <v>-14523.860000000102</v>
      </c>
      <c r="X325" s="15">
        <f>IFERROR(W325/W444, "NA")</f>
        <v>0.59724288577516915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527431.35000000009</v>
      </c>
      <c r="AA325" s="15">
        <f>IFERROR(Z325/Z444, "NA")</f>
        <v>0.26157969369519324</v>
      </c>
      <c r="AB325" s="2"/>
      <c r="AC325" s="14">
        <f t="shared" si="79"/>
        <v>-45233.449999999953</v>
      </c>
      <c r="AD325" s="15">
        <f>IFERROR(AC325/AC444, "NA")</f>
        <v>-0.24957874728970025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6.6465856251488056E-2</v>
      </c>
      <c r="D329" s="9"/>
      <c r="E329" s="7">
        <v>11697</v>
      </c>
      <c r="F329" s="8">
        <f>IFERROR(E329/E444, "NA")</f>
        <v>6.6608078283767733E-2</v>
      </c>
      <c r="G329" s="9"/>
      <c r="H329" s="10">
        <f t="shared" si="80"/>
        <v>1560.6000000000004</v>
      </c>
      <c r="I329" s="8">
        <f>IFERROR(H329/H444, "NA")</f>
        <v>-6.7546862096367941E-2</v>
      </c>
      <c r="J329" s="9"/>
      <c r="K329" s="7">
        <v>9841.17</v>
      </c>
      <c r="L329" s="8">
        <f>IFERROR(K329/K444, "NA")</f>
        <v>6.3487110423215157E-2</v>
      </c>
      <c r="M329" s="9"/>
      <c r="N329" s="10">
        <f t="shared" si="81"/>
        <v>-295.22999999999956</v>
      </c>
      <c r="O329" s="8">
        <f>IFERROR(N329/N444, "NA")</f>
        <v>0.11784923058499501</v>
      </c>
      <c r="P329" s="9"/>
      <c r="Q329" s="7">
        <v>121636.8</v>
      </c>
      <c r="R329" s="8">
        <f>IFERROR(Q329/Q444, "NA")</f>
        <v>5.5350576929590237E-2</v>
      </c>
      <c r="S329" s="9"/>
      <c r="T329" s="7">
        <v>121628</v>
      </c>
      <c r="U329" s="8">
        <f>IFERROR(T329/T444, "NA")</f>
        <v>5.474081405074116E-2</v>
      </c>
      <c r="V329" s="9"/>
      <c r="W329" s="10">
        <f t="shared" si="82"/>
        <v>-8.8000000000029104</v>
      </c>
      <c r="X329" s="8">
        <f>IFERROR(W329/W444, "NA")</f>
        <v>3.6186918593426193E-4</v>
      </c>
      <c r="Y329" s="9"/>
      <c r="Z329" s="7">
        <v>118094.04</v>
      </c>
      <c r="AA329" s="8">
        <f>IFERROR(Z329/Z444, "NA")</f>
        <v>5.8568765035350835E-2</v>
      </c>
      <c r="AB329" s="9"/>
      <c r="AC329" s="10">
        <f t="shared" si="83"/>
        <v>-3542.7600000000093</v>
      </c>
      <c r="AD329" s="8">
        <f>IFERROR(AC329/AC444, "NA")</f>
        <v>-1.9547427904527771E-2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4.7778645433928001E-3</v>
      </c>
      <c r="D330" s="9"/>
      <c r="E330" s="7">
        <v>728</v>
      </c>
      <c r="F330" s="8">
        <f>IFERROR(E330/E444, "NA")</f>
        <v>4.1455656143099002E-3</v>
      </c>
      <c r="G330" s="9"/>
      <c r="H330" s="10">
        <f t="shared" si="80"/>
        <v>-0.64999999999997726</v>
      </c>
      <c r="I330" s="8">
        <f>IFERROR(H330/H444, "NA")</f>
        <v>2.8133705217632714E-5</v>
      </c>
      <c r="J330" s="9"/>
      <c r="K330" s="7">
        <v>844.15</v>
      </c>
      <c r="L330" s="8">
        <f>IFERROR(K330/K444, "NA")</f>
        <v>5.4457594232959162E-3</v>
      </c>
      <c r="M330" s="9"/>
      <c r="N330" s="10">
        <f t="shared" si="81"/>
        <v>115.5</v>
      </c>
      <c r="O330" s="8">
        <f>IFERROR(N330/N444, "NA")</f>
        <v>-4.6105023651278471E-2</v>
      </c>
      <c r="P330" s="9"/>
      <c r="Q330" s="7">
        <v>7830.07</v>
      </c>
      <c r="R330" s="8">
        <f>IFERROR(Q330/Q444, "NA")</f>
        <v>3.5630573305042274E-3</v>
      </c>
      <c r="S330" s="9"/>
      <c r="T330" s="7">
        <v>8736</v>
      </c>
      <c r="U330" s="8">
        <f>IFERROR(T330/T444, "NA")</f>
        <v>3.9317899788475913E-3</v>
      </c>
      <c r="V330" s="9"/>
      <c r="W330" s="10">
        <f t="shared" si="82"/>
        <v>905.93000000000029</v>
      </c>
      <c r="X330" s="8">
        <f>IFERROR(W330/W444, "NA")</f>
        <v>-3.7253199046967909E-2</v>
      </c>
      <c r="Y330" s="9"/>
      <c r="Z330" s="7">
        <v>9552.1200000000008</v>
      </c>
      <c r="AA330" s="8">
        <f>IFERROR(Z330/Z444, "NA")</f>
        <v>4.7373760087255504E-3</v>
      </c>
      <c r="AB330" s="9"/>
      <c r="AC330" s="10">
        <f t="shared" si="83"/>
        <v>1722.0500000000011</v>
      </c>
      <c r="AD330" s="8">
        <f>IFERROR(AC330/AC444, "NA")</f>
        <v>9.5015322017274612E-3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9.9406335658868935E-5</v>
      </c>
      <c r="D332" s="9"/>
      <c r="E332" s="7">
        <v>15</v>
      </c>
      <c r="F332" s="8">
        <f>IFERROR(E332/E444, "NA")</f>
        <v>8.5416873921220475E-5</v>
      </c>
      <c r="G332" s="9"/>
      <c r="H332" s="10">
        <f t="shared" si="80"/>
        <v>-0.16000000000000014</v>
      </c>
      <c r="I332" s="8">
        <f>IFERROR(H332/H444, "NA")</f>
        <v>6.9252197458790704E-6</v>
      </c>
      <c r="J332" s="9"/>
      <c r="K332" s="7">
        <v>15.16</v>
      </c>
      <c r="L332" s="8">
        <f>IFERROR(K332/K444, "NA")</f>
        <v>9.7799813844892604E-5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1477.16</v>
      </c>
      <c r="R332" s="8">
        <f>IFERROR(Q332/Q444, "NA")</f>
        <v>6.721786352264571E-4</v>
      </c>
      <c r="S332" s="9"/>
      <c r="T332" s="7">
        <v>180</v>
      </c>
      <c r="U332" s="8">
        <f>IFERROR(T332/T444, "NA")</f>
        <v>8.1012156157573989E-5</v>
      </c>
      <c r="V332" s="9"/>
      <c r="W332" s="10">
        <f t="shared" si="82"/>
        <v>-1297.1600000000001</v>
      </c>
      <c r="X332" s="8">
        <f>IFERROR(W332/W444, "NA")</f>
        <v>5.3341162866628634E-2</v>
      </c>
      <c r="Y332" s="9"/>
      <c r="Z332" s="7">
        <v>181.92</v>
      </c>
      <c r="AA332" s="8">
        <f>IFERROR(Z332/Z444, "NA")</f>
        <v>9.0223263894020588E-5</v>
      </c>
      <c r="AB332" s="9"/>
      <c r="AC332" s="10">
        <f t="shared" si="83"/>
        <v>-1295.24</v>
      </c>
      <c r="AD332" s="8">
        <f>IFERROR(AC332/AC444, "NA")</f>
        <v>-7.146577955904572E-3</v>
      </c>
    </row>
    <row r="333" spans="1:30" ht="16.5" customHeight="1" x14ac:dyDescent="0.45">
      <c r="A333" s="6" t="s">
        <v>304</v>
      </c>
      <c r="B333" s="7">
        <v>418.75</v>
      </c>
      <c r="C333" s="8">
        <f>IFERROR(B333/B444, "NA")</f>
        <v>2.7458049509994304E-3</v>
      </c>
      <c r="D333" s="9"/>
      <c r="E333" s="7">
        <v>728</v>
      </c>
      <c r="F333" s="8">
        <f>IFERROR(E333/E444, "NA")</f>
        <v>4.1455656143099002E-3</v>
      </c>
      <c r="G333" s="9"/>
      <c r="H333" s="10">
        <f t="shared" si="80"/>
        <v>309.25</v>
      </c>
      <c r="I333" s="8">
        <f>IFERROR(H333/H444, "NA")</f>
        <v>-1.3385151290081878E-2</v>
      </c>
      <c r="J333" s="9"/>
      <c r="K333" s="7">
        <v>964.14</v>
      </c>
      <c r="L333" s="8">
        <f>IFERROR(K333/K444, "NA")</f>
        <v>6.2198359182331631E-3</v>
      </c>
      <c r="M333" s="9"/>
      <c r="N333" s="10">
        <f t="shared" si="81"/>
        <v>545.39</v>
      </c>
      <c r="O333" s="8">
        <f>IFERROR(N333/N444, "NA")</f>
        <v>-0.217707522503643</v>
      </c>
      <c r="P333" s="9"/>
      <c r="Q333" s="7">
        <v>10478.9</v>
      </c>
      <c r="R333" s="8">
        <f>IFERROR(Q333/Q444, "NA")</f>
        <v>4.7684020015939512E-3</v>
      </c>
      <c r="S333" s="9"/>
      <c r="T333" s="7">
        <v>8736</v>
      </c>
      <c r="U333" s="8">
        <f>IFERROR(T333/T444, "NA")</f>
        <v>3.9317899788475913E-3</v>
      </c>
      <c r="V333" s="9"/>
      <c r="W333" s="10">
        <f t="shared" si="82"/>
        <v>-1742.8999999999996</v>
      </c>
      <c r="X333" s="8">
        <f>IFERROR(W333/W444, "NA")</f>
        <v>7.1670659564160952E-2</v>
      </c>
      <c r="Y333" s="9"/>
      <c r="Z333" s="7">
        <v>10478.07</v>
      </c>
      <c r="AA333" s="8">
        <f>IFERROR(Z333/Z444, "NA")</f>
        <v>5.1966011142811144E-3</v>
      </c>
      <c r="AB333" s="9"/>
      <c r="AC333" s="10">
        <f t="shared" si="83"/>
        <v>-0.82999999999992724</v>
      </c>
      <c r="AD333" s="8">
        <f>IFERROR(AC333/AC444, "NA")</f>
        <v>-4.5795834775024509E-6</v>
      </c>
    </row>
    <row r="334" spans="1:30" ht="16.5" customHeight="1" x14ac:dyDescent="0.45">
      <c r="A334" s="6" t="s">
        <v>305</v>
      </c>
      <c r="B334" s="7">
        <v>1561</v>
      </c>
      <c r="C334" s="8">
        <f>IFERROR(B334/B444, "NA")</f>
        <v>1.0235705142710712E-2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-1561</v>
      </c>
      <c r="I334" s="8">
        <f>IFERROR(H334/H444, "NA")</f>
        <v>6.7564175145732611E-2</v>
      </c>
      <c r="J334" s="9"/>
      <c r="K334" s="7">
        <v>1515.54</v>
      </c>
      <c r="L334" s="8">
        <f>IFERROR(K334/K444, "NA")</f>
        <v>9.7770138439636223E-3</v>
      </c>
      <c r="M334" s="9"/>
      <c r="N334" s="10">
        <f t="shared" si="81"/>
        <v>-45.460000000000036</v>
      </c>
      <c r="O334" s="8">
        <f>IFERROR(N334/N444, "NA")</f>
        <v>1.8146617966988063E-2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9367.2900000000009</v>
      </c>
      <c r="C335" s="8">
        <f>IFERROR(B335/B444, "NA")</f>
        <v>6.1422689574799898E-2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-9367.2900000000009</v>
      </c>
      <c r="I335" s="8">
        <f>IFERROR(H335/H444, "NA")</f>
        <v>0.40544088545859691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-9367.2900000000009</v>
      </c>
      <c r="O335" s="8">
        <f>IFERROR(N335/N444, "NA")</f>
        <v>3.7392132207652327</v>
      </c>
      <c r="P335" s="9"/>
      <c r="Q335" s="7">
        <v>13521.28</v>
      </c>
      <c r="R335" s="8">
        <f>IFERROR(Q335/Q444, "NA")</f>
        <v>6.152830794846049E-3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-13521.28</v>
      </c>
      <c r="X335" s="8">
        <f>IFERROR(W335/W444, "NA")</f>
        <v>0.55601529390768167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-13521.28</v>
      </c>
      <c r="AD335" s="8">
        <f>IFERROR(AC335/AC444, "NA")</f>
        <v>-7.4604615039385272E-2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4517.18</v>
      </c>
      <c r="F337" s="8">
        <f>IFERROR(E337/E444, "NA")</f>
        <v>2.5722892969297251E-2</v>
      </c>
      <c r="G337" s="9"/>
      <c r="H337" s="10">
        <f t="shared" ref="H337:H344" si="84">IFERROR(-(B337-E337), "NA")</f>
        <v>4517.18</v>
      </c>
      <c r="I337" s="8">
        <f>IFERROR(H337/H444, "NA")</f>
        <v>-0.19551540082306246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50091.68</v>
      </c>
      <c r="U337" s="8">
        <f>IFERROR(T337/T444, "NA")</f>
        <v>2.2544638901973477E-2</v>
      </c>
      <c r="V337" s="9"/>
      <c r="W337" s="10">
        <f t="shared" ref="W337:W344" si="86">IFERROR(-(Q337-T337), "NA")</f>
        <v>50091.68</v>
      </c>
      <c r="X337" s="8">
        <f>IFERROR(W337/W444, "NA")</f>
        <v>-2.0598449390538129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2955.28</v>
      </c>
      <c r="C338" s="8">
        <f>IFERROR(B338/B444, "NA")</f>
        <v>1.9378202879019934E-2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-2955.28</v>
      </c>
      <c r="I338" s="8">
        <f>IFERROR(H338/H444, "NA")</f>
        <v>0.12791227131625926</v>
      </c>
      <c r="J338" s="9"/>
      <c r="K338" s="7">
        <v>2269</v>
      </c>
      <c r="L338" s="8">
        <f>IFERROR(K338/K444, "NA")</f>
        <v>1.4637716201455231E-2</v>
      </c>
      <c r="M338" s="9"/>
      <c r="N338" s="10">
        <f t="shared" si="85"/>
        <v>-686.2800000000002</v>
      </c>
      <c r="O338" s="8">
        <f>IFERROR(N338/N444, "NA")</f>
        <v>0.27394766780432384</v>
      </c>
      <c r="P338" s="9"/>
      <c r="Q338" s="7">
        <v>43162.32</v>
      </c>
      <c r="R338" s="8">
        <f>IFERROR(Q338/Q444, "NA")</f>
        <v>1.9640925391161156E-2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-43162.32</v>
      </c>
      <c r="X338" s="8">
        <f>IFERROR(W338/W444, "NA")</f>
        <v>1.7748992728896531</v>
      </c>
      <c r="Y338" s="9"/>
      <c r="Z338" s="7">
        <v>31765.77</v>
      </c>
      <c r="AA338" s="8">
        <f>IFERROR(Z338/Z444, "NA")</f>
        <v>1.5754240597552566E-2</v>
      </c>
      <c r="AB338" s="9"/>
      <c r="AC338" s="10">
        <f t="shared" si="87"/>
        <v>-11396.55</v>
      </c>
      <c r="AD338" s="8">
        <f>IFERROR(AC338/AC444, "NA")</f>
        <v>-6.2881267566909801E-2</v>
      </c>
    </row>
    <row r="339" spans="1:30" ht="16.5" customHeight="1" x14ac:dyDescent="0.45">
      <c r="A339" s="12" t="s">
        <v>309</v>
      </c>
      <c r="B339" s="7">
        <v>347.78</v>
      </c>
      <c r="C339" s="8">
        <f>IFERROR(B339/B444, "NA")</f>
        <v>2.2804442886175088E-3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-347.78</v>
      </c>
      <c r="I339" s="8">
        <f>IFERROR(H339/H444, "NA")</f>
        <v>1.505283077013638E-2</v>
      </c>
      <c r="J339" s="9"/>
      <c r="K339" s="7">
        <v>351.78</v>
      </c>
      <c r="L339" s="8">
        <f>IFERROR(K339/K444, "NA")</f>
        <v>2.2693943611052977E-3</v>
      </c>
      <c r="M339" s="9"/>
      <c r="N339" s="10">
        <f t="shared" si="85"/>
        <v>4</v>
      </c>
      <c r="O339" s="8">
        <f>IFERROR(N339/N444, "NA")</f>
        <v>-1.5967107758018519E-3</v>
      </c>
      <c r="P339" s="9"/>
      <c r="Q339" s="7">
        <v>4319.96</v>
      </c>
      <c r="R339" s="8">
        <f>IFERROR(Q339/Q444, "NA")</f>
        <v>1.9657889578873554E-3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-4319.96</v>
      </c>
      <c r="X339" s="8">
        <f>IFERROR(W339/W444, "NA")</f>
        <v>0.1776432282350065</v>
      </c>
      <c r="Y339" s="9"/>
      <c r="Z339" s="7">
        <v>4800.58</v>
      </c>
      <c r="AA339" s="8">
        <f>IFERROR(Z339/Z444, "NA")</f>
        <v>2.3808487037398716E-3</v>
      </c>
      <c r="AB339" s="9"/>
      <c r="AC339" s="10">
        <f t="shared" si="87"/>
        <v>480.61999999999989</v>
      </c>
      <c r="AD339" s="8">
        <f>IFERROR(AC339/AC444, "NA")</f>
        <v>2.6518547119968924E-3</v>
      </c>
    </row>
    <row r="340" spans="1:30" ht="16.5" customHeight="1" x14ac:dyDescent="0.45">
      <c r="A340" s="12" t="s">
        <v>310</v>
      </c>
      <c r="B340" s="7">
        <v>870.25</v>
      </c>
      <c r="C340" s="8">
        <f>IFERROR(B340/B444, "NA")</f>
        <v>5.7063564384650847E-3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-870.25</v>
      </c>
      <c r="I340" s="8">
        <f>IFERROR(H340/H444, "NA")</f>
        <v>3.7666703024070346E-2</v>
      </c>
      <c r="J340" s="9"/>
      <c r="K340" s="7">
        <v>676.91</v>
      </c>
      <c r="L340" s="8">
        <f>IFERROR(K340/K444, "NA")</f>
        <v>4.3668649069753462E-3</v>
      </c>
      <c r="M340" s="9"/>
      <c r="N340" s="10">
        <f t="shared" si="85"/>
        <v>-193.34000000000003</v>
      </c>
      <c r="O340" s="8">
        <f>IFERROR(N340/N444, "NA")</f>
        <v>7.7177015348382519E-2</v>
      </c>
      <c r="P340" s="9"/>
      <c r="Q340" s="7">
        <v>13117.97</v>
      </c>
      <c r="R340" s="8">
        <f>IFERROR(Q340/Q444, "NA")</f>
        <v>5.9693054046559661E-3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-13117.97</v>
      </c>
      <c r="X340" s="8">
        <f>IFERROR(W340/W444, "NA")</f>
        <v>0.53943058238732955</v>
      </c>
      <c r="Y340" s="9"/>
      <c r="Z340" s="7">
        <v>5870.4</v>
      </c>
      <c r="AA340" s="8">
        <f>IFERROR(Z340/Z444, "NA")</f>
        <v>2.9114261673453086E-3</v>
      </c>
      <c r="AB340" s="9"/>
      <c r="AC340" s="10">
        <f t="shared" si="87"/>
        <v>-7247.57</v>
      </c>
      <c r="AD340" s="8">
        <f>IFERROR(AC340/AC444, "NA")</f>
        <v>-3.9988978101259454E-2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2.4928302524691429E-3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1.6454754942442775E-2</v>
      </c>
      <c r="J341" s="9"/>
      <c r="K341" s="7">
        <v>351.45</v>
      </c>
      <c r="L341" s="8">
        <f>IFERROR(K341/K444, "NA")</f>
        <v>2.2672654733369066E-3</v>
      </c>
      <c r="M341" s="9"/>
      <c r="N341" s="10">
        <f t="shared" si="85"/>
        <v>-28.720000000000027</v>
      </c>
      <c r="O341" s="8">
        <f>IFERROR(N341/N444, "NA")</f>
        <v>1.1464383370257307E-2</v>
      </c>
      <c r="P341" s="9"/>
      <c r="Q341" s="7">
        <v>4562.04</v>
      </c>
      <c r="R341" s="8">
        <f>IFERROR(Q341/Q444, "NA")</f>
        <v>2.0759469665090485E-3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-4562.04</v>
      </c>
      <c r="X341" s="8">
        <f>IFERROR(W341/W444, "NA")</f>
        <v>0.18759792056806754</v>
      </c>
      <c r="Y341" s="9"/>
      <c r="Z341" s="7">
        <v>4217.3999999999996</v>
      </c>
      <c r="AA341" s="8">
        <f>IFERROR(Z341/Z444, "NA")</f>
        <v>2.0916204548518166E-3</v>
      </c>
      <c r="AB341" s="9"/>
      <c r="AC341" s="10">
        <f t="shared" si="87"/>
        <v>-344.64000000000033</v>
      </c>
      <c r="AD341" s="8">
        <f>IFERROR(AC341/AC444, "NA")</f>
        <v>-1.9015754815501021E-3</v>
      </c>
    </row>
    <row r="342" spans="1:30" ht="16.5" customHeight="1" x14ac:dyDescent="0.45">
      <c r="A342" s="13" t="s">
        <v>312</v>
      </c>
      <c r="B342" s="14">
        <f>IFERROR(B337+B338+B339+B340+B341, "NA")</f>
        <v>4553.4800000000005</v>
      </c>
      <c r="C342" s="15">
        <f>IFERROR(B342/B444, "NA")</f>
        <v>2.9857833858571672E-2</v>
      </c>
      <c r="D342" s="2"/>
      <c r="E342" s="14">
        <f>IFERROR(E337+E338+E339+E340+E341, "NA")</f>
        <v>4517.18</v>
      </c>
      <c r="F342" s="15">
        <f>IFERROR(E342/E444, "NA")</f>
        <v>2.5722892969297251E-2</v>
      </c>
      <c r="G342" s="2"/>
      <c r="H342" s="14">
        <f t="shared" si="84"/>
        <v>-36.300000000000182</v>
      </c>
      <c r="I342" s="15">
        <f>IFERROR(H342/H444, "NA")</f>
        <v>1.5711592298463205E-3</v>
      </c>
      <c r="J342" s="2"/>
      <c r="K342" s="14">
        <f>IFERROR(K337+K338+K339+K340+K341, "NA")</f>
        <v>3649.1399999999994</v>
      </c>
      <c r="L342" s="15">
        <f>IFERROR(K342/K444, "NA")</f>
        <v>2.3541240942872778E-2</v>
      </c>
      <c r="M342" s="2"/>
      <c r="N342" s="14">
        <f t="shared" si="85"/>
        <v>-904.34000000000106</v>
      </c>
      <c r="O342" s="15">
        <f>IFERROR(N342/N444, "NA")</f>
        <v>0.3609923557471621</v>
      </c>
      <c r="P342" s="2"/>
      <c r="Q342" s="14">
        <f>IFERROR(Q337+Q338+Q339+Q340+Q341, "NA")</f>
        <v>65162.29</v>
      </c>
      <c r="R342" s="15">
        <f>IFERROR(Q342/Q444, "NA")</f>
        <v>2.9651966720213526E-2</v>
      </c>
      <c r="S342" s="2"/>
      <c r="T342" s="14">
        <f>IFERROR(T337+T338+T339+T340+T341, "NA")</f>
        <v>50091.68</v>
      </c>
      <c r="U342" s="15">
        <f>IFERROR(T342/T444, "NA")</f>
        <v>2.2544638901973477E-2</v>
      </c>
      <c r="V342" s="2"/>
      <c r="W342" s="14">
        <f t="shared" si="86"/>
        <v>-15070.61</v>
      </c>
      <c r="X342" s="15">
        <f>IFERROR(W342/W444, "NA")</f>
        <v>0.61972606502624361</v>
      </c>
      <c r="Y342" s="2"/>
      <c r="Z342" s="14">
        <f>IFERROR(Z337+Z338+Z339+Z340+Z341, "NA")</f>
        <v>46654.15</v>
      </c>
      <c r="AA342" s="15">
        <f>IFERROR(Z342/Z444, "NA")</f>
        <v>2.3138135923489563E-2</v>
      </c>
      <c r="AB342" s="2"/>
      <c r="AC342" s="14">
        <f t="shared" si="87"/>
        <v>-18508.14</v>
      </c>
      <c r="AD342" s="15">
        <f>IFERROR(AC342/AC444, "NA")</f>
        <v>-0.10211996643772246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26780.729999999996</v>
      </c>
      <c r="C343" s="15">
        <f>IFERROR(B343/B444, "NA")</f>
        <v>0.17560516065762141</v>
      </c>
      <c r="D343" s="2"/>
      <c r="E343" s="14">
        <f>IFERROR(E328+E329+E330+E331+E332+E333+E334+E335+E337+E338+E339+E340+E341, "NA")</f>
        <v>17685.18</v>
      </c>
      <c r="F343" s="15">
        <f>IFERROR(E343/E444, "NA")</f>
        <v>0.100707519355606</v>
      </c>
      <c r="G343" s="2"/>
      <c r="H343" s="14">
        <f t="shared" si="84"/>
        <v>-9095.5499999999956</v>
      </c>
      <c r="I343" s="15">
        <f>IFERROR(H343/H444, "NA")</f>
        <v>0.39367926537268932</v>
      </c>
      <c r="J343" s="2"/>
      <c r="K343" s="14">
        <f>IFERROR(K328+K329+K330+K331+K332+K333+K334+K335+K337+K338+K339+K340+K341, "NA")</f>
        <v>16829.300000000003</v>
      </c>
      <c r="L343" s="15">
        <f>IFERROR(K343/K444, "NA")</f>
        <v>0.10856876036542555</v>
      </c>
      <c r="M343" s="2"/>
      <c r="N343" s="14">
        <f t="shared" si="85"/>
        <v>-9951.429999999993</v>
      </c>
      <c r="O343" s="15">
        <f>IFERROR(N343/N444, "NA")</f>
        <v>3.9723888789094528</v>
      </c>
      <c r="P343" s="2"/>
      <c r="Q343" s="14">
        <f>IFERROR(Q328+Q329+Q330+Q331+Q332+Q333+Q334+Q335+Q337+Q338+Q339+Q340+Q341, "NA")</f>
        <v>220106.5</v>
      </c>
      <c r="R343" s="15">
        <f>IFERROR(Q343/Q444, "NA")</f>
        <v>0.10015901241197445</v>
      </c>
      <c r="S343" s="2"/>
      <c r="T343" s="14">
        <f>IFERROR(T328+T329+T330+T331+T332+T333+T334+T335+T337+T338+T339+T340+T341, "NA")</f>
        <v>189371.68</v>
      </c>
      <c r="U343" s="15">
        <f>IFERROR(T343/T444, "NA")</f>
        <v>8.5230045066567395E-2</v>
      </c>
      <c r="V343" s="2"/>
      <c r="W343" s="14">
        <f t="shared" si="86"/>
        <v>-30734.820000000007</v>
      </c>
      <c r="X343" s="15">
        <f>IFERROR(W343/W444, "NA")</f>
        <v>1.2638618515036815</v>
      </c>
      <c r="Y343" s="2"/>
      <c r="Z343" s="14">
        <f>IFERROR(Z328+Z329+Z330+Z331+Z332+Z333+Z334+Z335+Z337+Z338+Z339+Z340+Z341, "NA")</f>
        <v>184960.29999999996</v>
      </c>
      <c r="AA343" s="15">
        <f>IFERROR(Z343/Z444, "NA")</f>
        <v>9.173110134574107E-2</v>
      </c>
      <c r="AB343" s="2"/>
      <c r="AC343" s="14">
        <f t="shared" si="87"/>
        <v>-35146.200000000041</v>
      </c>
      <c r="AD343" s="15">
        <f>IFERROR(AC343/AC444, "NA")</f>
        <v>-0.1939216347192903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26780.729999999996</v>
      </c>
      <c r="C344" s="15">
        <f>IFERROR(B344/B444, "NA")</f>
        <v>0.17560516065762141</v>
      </c>
      <c r="D344" s="2"/>
      <c r="E344" s="14">
        <f>IFERROR(E328+E329+E330+E331+E332+E333+E334+E335+E337+E338+E339+E340+E341, "NA")</f>
        <v>17685.18</v>
      </c>
      <c r="F344" s="15">
        <f>IFERROR(E344/E444, "NA")</f>
        <v>0.100707519355606</v>
      </c>
      <c r="G344" s="2"/>
      <c r="H344" s="14">
        <f t="shared" si="84"/>
        <v>-9095.5499999999956</v>
      </c>
      <c r="I344" s="15">
        <f>IFERROR(H344/H444, "NA")</f>
        <v>0.39367926537268932</v>
      </c>
      <c r="J344" s="2"/>
      <c r="K344" s="14">
        <f>IFERROR(K328+K329+K330+K331+K332+K333+K334+K335+K337+K338+K339+K340+K341, "NA")</f>
        <v>16829.300000000003</v>
      </c>
      <c r="L344" s="15">
        <f>IFERROR(K344/K444, "NA")</f>
        <v>0.10856876036542555</v>
      </c>
      <c r="M344" s="2"/>
      <c r="N344" s="14">
        <f t="shared" si="85"/>
        <v>-9951.429999999993</v>
      </c>
      <c r="O344" s="15">
        <f>IFERROR(N344/N444, "NA")</f>
        <v>3.9723888789094528</v>
      </c>
      <c r="P344" s="2"/>
      <c r="Q344" s="14">
        <f>IFERROR(Q328+Q329+Q330+Q331+Q332+Q333+Q334+Q335+Q337+Q338+Q339+Q340+Q341, "NA")</f>
        <v>220106.5</v>
      </c>
      <c r="R344" s="15">
        <f>IFERROR(Q344/Q444, "NA")</f>
        <v>0.10015901241197445</v>
      </c>
      <c r="S344" s="2"/>
      <c r="T344" s="14">
        <f>IFERROR(T328+T329+T330+T331+T332+T333+T334+T335+T337+T338+T339+T340+T341, "NA")</f>
        <v>189371.68</v>
      </c>
      <c r="U344" s="15">
        <f>IFERROR(T344/T444, "NA")</f>
        <v>8.5230045066567395E-2</v>
      </c>
      <c r="V344" s="2"/>
      <c r="W344" s="14">
        <f t="shared" si="86"/>
        <v>-30734.820000000007</v>
      </c>
      <c r="X344" s="15">
        <f>IFERROR(W344/W444, "NA")</f>
        <v>1.2638618515036815</v>
      </c>
      <c r="Y344" s="2"/>
      <c r="Z344" s="14">
        <f>IFERROR(Z328+Z329+Z330+Z331+Z332+Z333+Z334+Z335+Z337+Z338+Z339+Z340+Z341, "NA")</f>
        <v>184960.29999999996</v>
      </c>
      <c r="AA344" s="15">
        <f>IFERROR(Z344/Z444, "NA")</f>
        <v>9.173110134574107E-2</v>
      </c>
      <c r="AB344" s="2"/>
      <c r="AC344" s="14">
        <f t="shared" si="87"/>
        <v>-35146.200000000041</v>
      </c>
      <c r="AD344" s="15">
        <f>IFERROR(AC344/AC444, "NA")</f>
        <v>-0.1939216347192903</v>
      </c>
    </row>
    <row r="345" spans="1:30" ht="16.5" customHeight="1" x14ac:dyDescent="0.45">
      <c r="A345" s="22" t="s">
        <v>315</v>
      </c>
      <c r="B345" s="23">
        <f>IFERROR(B198-B325-B344, "NA")</f>
        <v>-8607.8000000000247</v>
      </c>
      <c r="C345" s="24">
        <f>IFERROR(B345/B444, "NA")</f>
        <v>-5.6442602644090664E-2</v>
      </c>
      <c r="D345" s="25"/>
      <c r="E345" s="23">
        <f>IFERROR(E198-E325-E344, "NA")</f>
        <v>28168.540000000015</v>
      </c>
      <c r="F345" s="24">
        <f>IFERROR(E345/E444, "NA")</f>
        <v>0.16040457531499047</v>
      </c>
      <c r="G345" s="25"/>
      <c r="H345" s="23">
        <f>IFERROR(B345-E345, "NA")</f>
        <v>-36776.34000000004</v>
      </c>
      <c r="I345" s="24">
        <f>IFERROR(H345/H444, "NA")</f>
        <v>1.5917764746822645</v>
      </c>
      <c r="J345" s="25"/>
      <c r="K345" s="23">
        <f>IFERROR(K198-K325-K344, "NA")</f>
        <v>16967.700000000019</v>
      </c>
      <c r="L345" s="24">
        <f>IFERROR(K345/K444, "NA")</f>
        <v>0.10946160299313892</v>
      </c>
      <c r="M345" s="25"/>
      <c r="N345" s="23">
        <f>IFERROR(B345-K345, "NA")</f>
        <v>-25575.500000000044</v>
      </c>
      <c r="O345" s="24">
        <f>IFERROR(N345/N444, "NA")</f>
        <v>10.209169111630084</v>
      </c>
      <c r="P345" s="25"/>
      <c r="Q345" s="23">
        <f>IFERROR(Q198-Q325-Q344, "NA")</f>
        <v>262663.32000000007</v>
      </c>
      <c r="R345" s="24">
        <f>IFERROR(Q345/Q444, "NA")</f>
        <v>0.11952440626719531</v>
      </c>
      <c r="S345" s="25"/>
      <c r="T345" s="23">
        <f>IFERROR(T198-T325-T344, "NA")</f>
        <v>389615.65999999939</v>
      </c>
      <c r="U345" s="24">
        <f>IFERROR(T345/T444, "NA")</f>
        <v>0.17535335938531224</v>
      </c>
      <c r="V345" s="25"/>
      <c r="W345" s="23">
        <f>IFERROR(Q345-T345, "NA")</f>
        <v>-126952.33999999933</v>
      </c>
      <c r="X345" s="24">
        <f>IFERROR(W345/W444, "NA")</f>
        <v>5.2204704463902498</v>
      </c>
      <c r="Y345" s="25"/>
      <c r="Z345" s="23">
        <f>IFERROR(Z198-Z325-Z344, "NA")</f>
        <v>312250.76000000013</v>
      </c>
      <c r="AA345" s="24">
        <f>IFERROR(Z345/Z444, "NA")</f>
        <v>0.15486083289681454</v>
      </c>
      <c r="AB345" s="25"/>
      <c r="AC345" s="23">
        <f>IFERROR(Q345-Z345, "NA")</f>
        <v>-49587.440000000061</v>
      </c>
      <c r="AD345" s="24">
        <f>IFERROR(AC345/AC444, "NA")</f>
        <v>-0.27360219387429441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-8607.8000000000247</v>
      </c>
      <c r="C404" s="24">
        <f>IFERROR(B404/B444, "NA")</f>
        <v>-5.6442602644090664E-2</v>
      </c>
      <c r="D404" s="25"/>
      <c r="E404" s="23">
        <f>IFERROR(E345-E403, "NA")</f>
        <v>28168.540000000015</v>
      </c>
      <c r="F404" s="24">
        <f>IFERROR(E404/E444, "NA")</f>
        <v>0.16040457531499047</v>
      </c>
      <c r="G404" s="25"/>
      <c r="H404" s="23">
        <f>IFERROR(B404-E404, "NA")</f>
        <v>-36776.34000000004</v>
      </c>
      <c r="I404" s="24">
        <f>IFERROR(H404/H444, "NA")</f>
        <v>1.5917764746822645</v>
      </c>
      <c r="J404" s="25"/>
      <c r="K404" s="23">
        <f>IFERROR(K345-K403, "NA")</f>
        <v>16967.700000000019</v>
      </c>
      <c r="L404" s="24">
        <f>IFERROR(K404/K444, "NA")</f>
        <v>0.10946160299313892</v>
      </c>
      <c r="M404" s="25"/>
      <c r="N404" s="23">
        <f>IFERROR(B404-K404, "NA")</f>
        <v>-25575.500000000044</v>
      </c>
      <c r="O404" s="24">
        <f>IFERROR(N404/N444, "NA")</f>
        <v>10.209169111630084</v>
      </c>
      <c r="P404" s="25"/>
      <c r="Q404" s="23">
        <f>IFERROR(Q345-Q403, "NA")</f>
        <v>262663.32000000007</v>
      </c>
      <c r="R404" s="24">
        <f>IFERROR(Q404/Q444, "NA")</f>
        <v>0.11952440626719531</v>
      </c>
      <c r="S404" s="25"/>
      <c r="T404" s="23">
        <f>IFERROR(T345-T403, "NA")</f>
        <v>389615.65999999939</v>
      </c>
      <c r="U404" s="24">
        <f>IFERROR(T404/T444, "NA")</f>
        <v>0.17535335938531224</v>
      </c>
      <c r="V404" s="25"/>
      <c r="W404" s="23">
        <f>IFERROR(Q404-T404, "NA")</f>
        <v>-126952.33999999933</v>
      </c>
      <c r="X404" s="24">
        <f>IFERROR(W404/W444, "NA")</f>
        <v>5.2204704463902498</v>
      </c>
      <c r="Y404" s="25"/>
      <c r="Z404" s="23">
        <f>IFERROR(Z345-Z403, "NA")</f>
        <v>312250.76000000013</v>
      </c>
      <c r="AA404" s="24">
        <f>IFERROR(Z404/Z444, "NA")</f>
        <v>0.15486083289681454</v>
      </c>
      <c r="AB404" s="25"/>
      <c r="AC404" s="23">
        <f>IFERROR(Q404-Z404, "NA")</f>
        <v>-49587.440000000061</v>
      </c>
      <c r="AD404" s="24">
        <f>IFERROR(AC404/AC444, "NA")</f>
        <v>-0.27360219387429441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-110</v>
      </c>
      <c r="C407" s="8">
        <f>IFERROR(B407/B444, "NA")</f>
        <v>-7.2128607668044738E-4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110</v>
      </c>
      <c r="I407" s="8">
        <f>IFERROR(H407/H444, "NA")</f>
        <v>-4.7610885752918568E-3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110</v>
      </c>
      <c r="O407" s="8">
        <f>IFERROR(N407/N444, "NA")</f>
        <v>-4.3909546334550929E-2</v>
      </c>
      <c r="P407" s="9"/>
      <c r="Q407" s="7">
        <v>-135</v>
      </c>
      <c r="R407" s="8">
        <f>IFERROR(Q407/Q444, "NA")</f>
        <v>-6.1431473743921928E-5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135</v>
      </c>
      <c r="X407" s="8">
        <f>IFERROR(W407/W444, "NA")</f>
        <v>-5.5514022842169551E-3</v>
      </c>
      <c r="Y407" s="9"/>
      <c r="Z407" s="7">
        <v>-40</v>
      </c>
      <c r="AA407" s="8">
        <f>IFERROR(Z407/Z444, "NA")</f>
        <v>-1.9838008771772339E-5</v>
      </c>
      <c r="AB407" s="9"/>
      <c r="AC407" s="10">
        <f t="shared" ref="AC407:AC429" si="103">IFERROR(-(Q407-Z407), "NA")</f>
        <v>95</v>
      </c>
      <c r="AD407" s="8">
        <f>IFERROR(AC407/AC444, "NA")</f>
        <v>5.2416919320815781E-4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250</v>
      </c>
      <c r="R408" s="8">
        <f>IFERROR(Q408/Q444, "NA")</f>
        <v>1.1376198841467023E-4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-250</v>
      </c>
      <c r="X408" s="8">
        <f>IFERROR(W408/W444, "NA")</f>
        <v>1.0280374600401768E-2</v>
      </c>
      <c r="Y408" s="9"/>
      <c r="Z408" s="7">
        <v>5497.03</v>
      </c>
      <c r="AA408" s="8">
        <f>IFERROR(Z408/Z444, "NA")</f>
        <v>2.7262532339673924E-3</v>
      </c>
      <c r="AB408" s="9"/>
      <c r="AC408" s="10">
        <f t="shared" si="103"/>
        <v>5247.03</v>
      </c>
      <c r="AD408" s="8">
        <f>IFERROR(AC408/AC444, "NA")</f>
        <v>2.8950857703568426E-2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4119.5200000000004</v>
      </c>
      <c r="C410" s="8">
        <f>IFERROR(B410/B444, "NA")</f>
        <v>2.701229471460579E-2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-4119.5200000000004</v>
      </c>
      <c r="I410" s="8">
        <f>IFERROR(H410/H444, "NA")</f>
        <v>0.17830363279714828</v>
      </c>
      <c r="J410" s="9"/>
      <c r="K410" s="7">
        <v>2999.43</v>
      </c>
      <c r="L410" s="8">
        <f>IFERROR(K410/K444, "NA")</f>
        <v>1.9349847997413336E-2</v>
      </c>
      <c r="M410" s="9"/>
      <c r="N410" s="10">
        <f t="shared" si="101"/>
        <v>-1120.0900000000006</v>
      </c>
      <c r="O410" s="8">
        <f>IFERROR(N410/N444, "NA")</f>
        <v>0.44711494321697431</v>
      </c>
      <c r="P410" s="9"/>
      <c r="Q410" s="7">
        <v>43264.79</v>
      </c>
      <c r="R410" s="8">
        <f>IFERROR(Q410/Q444, "NA")</f>
        <v>1.9687554154972562E-2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-43264.79</v>
      </c>
      <c r="X410" s="8">
        <f>IFERROR(W410/W444, "NA")</f>
        <v>1.7791129928308658</v>
      </c>
      <c r="Y410" s="9"/>
      <c r="Z410" s="7">
        <v>53899.63</v>
      </c>
      <c r="AA410" s="8">
        <f>IFERROR(Z410/Z444, "NA")</f>
        <v>2.6731533318382086E-2</v>
      </c>
      <c r="AB410" s="9"/>
      <c r="AC410" s="10">
        <f t="shared" si="103"/>
        <v>10634.839999999997</v>
      </c>
      <c r="AD410" s="8">
        <f>IFERROR(AC410/AC444, "NA")</f>
        <v>5.8678478975766772E-2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-3.68</v>
      </c>
      <c r="C417" s="8">
        <f>IFERROR(B417/B444, "NA")</f>
        <v>-2.4130297838036787E-5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3.68</v>
      </c>
      <c r="I417" s="8">
        <f>IFERROR(H417/H444, "NA")</f>
        <v>-1.5928005415521848E-4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3.68</v>
      </c>
      <c r="O417" s="8">
        <f>IFERROR(N417/N444, "NA")</f>
        <v>-1.4689739137377037E-3</v>
      </c>
      <c r="P417" s="9"/>
      <c r="Q417" s="7">
        <v>138.26</v>
      </c>
      <c r="R417" s="8">
        <f>IFERROR(Q417/Q444, "NA")</f>
        <v>6.2914930072849223E-5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-138.26</v>
      </c>
      <c r="X417" s="8">
        <f>IFERROR(W417/W444, "NA")</f>
        <v>5.6854583690061937E-3</v>
      </c>
      <c r="Y417" s="9"/>
      <c r="Z417" s="7">
        <v>-205.18</v>
      </c>
      <c r="AA417" s="8">
        <f>IFERROR(Z417/Z444, "NA")</f>
        <v>-1.0175906599480622E-4</v>
      </c>
      <c r="AB417" s="9"/>
      <c r="AC417" s="10">
        <f t="shared" si="103"/>
        <v>-343.44</v>
      </c>
      <c r="AD417" s="8">
        <f>IFERROR(AC417/AC444, "NA")</f>
        <v>-1.894954397004313E-3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-160</v>
      </c>
      <c r="R421" s="8">
        <f>IFERROR(Q421/Q444, "NA")</f>
        <v>-7.280767258538895E-5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160</v>
      </c>
      <c r="X421" s="8">
        <f>IFERROR(W421/W444, "NA")</f>
        <v>-6.5794397442571319E-3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160</v>
      </c>
      <c r="AD421" s="8">
        <f>IFERROR(AC421/AC444, "NA")</f>
        <v>8.8281127277163422E-4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4005.8400000000006</v>
      </c>
      <c r="C428" s="15">
        <f>IFERROR(B428/B444, "NA")</f>
        <v>2.6266878340087309E-2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-4005.8400000000006</v>
      </c>
      <c r="I428" s="15">
        <f>IFERROR(H428/H444, "NA")</f>
        <v>0.1733832641677012</v>
      </c>
      <c r="J428" s="2"/>
      <c r="K428" s="14">
        <f>IFERROR(K407+K408+K409+K410+K411+K412+K413+K414+K415+K416+K417+K418+K419+K420+K421+K422+K423+K424+K425+K426+K427, "NA")</f>
        <v>2999.43</v>
      </c>
      <c r="L428" s="15">
        <f>IFERROR(K428/K444, "NA")</f>
        <v>1.9349847997413336E-2</v>
      </c>
      <c r="M428" s="2"/>
      <c r="N428" s="14">
        <f t="shared" si="101"/>
        <v>-1006.4100000000008</v>
      </c>
      <c r="O428" s="15">
        <f>IFERROR(N428/N444, "NA")</f>
        <v>0.40173642296868572</v>
      </c>
      <c r="P428" s="2"/>
      <c r="Q428" s="14">
        <f>IFERROR(Q407+Q408+Q409+Q410+Q411+Q412+Q413+Q414+Q415+Q416+Q417+Q418+Q419+Q420+Q421+Q422+Q423+Q424+Q425+Q426+Q427, "NA")</f>
        <v>43358.05</v>
      </c>
      <c r="R428" s="15">
        <f>IFERROR(Q428/Q444, "NA")</f>
        <v>1.972999192713077E-2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-43358.05</v>
      </c>
      <c r="X428" s="15">
        <f>IFERROR(W428/W444, "NA")</f>
        <v>1.7829479837717996</v>
      </c>
      <c r="Y428" s="2"/>
      <c r="Z428" s="14">
        <f>IFERROR(Z407+Z408+Z409+Z410+Z411+Z412+Z413+Z414+Z415+Z416+Z417+Z418+Z419+Z420+Z421+Z422+Z423+Z424+Z425+Z426+Z427, "NA")</f>
        <v>59151.479999999996</v>
      </c>
      <c r="AA428" s="15">
        <f>IFERROR(Z428/Z444, "NA")</f>
        <v>2.9336189477582899E-2</v>
      </c>
      <c r="AB428" s="2"/>
      <c r="AC428" s="14">
        <f t="shared" si="103"/>
        <v>15793.429999999993</v>
      </c>
      <c r="AD428" s="15">
        <f>IFERROR(AC428/AC444, "NA")</f>
        <v>8.7141362748310663E-2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4005.8400000000006</v>
      </c>
      <c r="C429" s="15">
        <f>IFERROR(B429/B444, "NA")</f>
        <v>2.6266878340087309E-2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-4005.8400000000006</v>
      </c>
      <c r="I429" s="15">
        <f>IFERROR(H429/H444, "NA")</f>
        <v>0.1733832641677012</v>
      </c>
      <c r="J429" s="2"/>
      <c r="K429" s="14">
        <f>IFERROR(K407+K408+K409+K410+K411+K412+K413+K414+K415+K416+K417+K418+K419+K420+K421+K422+K423+K424+K425+K426+K427, "NA")</f>
        <v>2999.43</v>
      </c>
      <c r="L429" s="15">
        <f>IFERROR(K429/K444, "NA")</f>
        <v>1.9349847997413336E-2</v>
      </c>
      <c r="M429" s="2"/>
      <c r="N429" s="14">
        <f t="shared" si="101"/>
        <v>-1006.4100000000008</v>
      </c>
      <c r="O429" s="15">
        <f>IFERROR(N429/N444, "NA")</f>
        <v>0.40173642296868572</v>
      </c>
      <c r="P429" s="2"/>
      <c r="Q429" s="14">
        <f>IFERROR(Q407+Q408+Q409+Q410+Q411+Q412+Q413+Q414+Q415+Q416+Q417+Q418+Q419+Q420+Q421+Q422+Q423+Q424+Q425+Q426+Q427, "NA")</f>
        <v>43358.05</v>
      </c>
      <c r="R429" s="15">
        <f>IFERROR(Q429/Q444, "NA")</f>
        <v>1.972999192713077E-2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-43358.05</v>
      </c>
      <c r="X429" s="15">
        <f>IFERROR(W429/W444, "NA")</f>
        <v>1.7829479837717996</v>
      </c>
      <c r="Y429" s="2"/>
      <c r="Z429" s="14">
        <f>IFERROR(Z407+Z408+Z409+Z410+Z411+Z412+Z413+Z414+Z415+Z416+Z417+Z418+Z419+Z420+Z421+Z422+Z423+Z424+Z425+Z426+Z427, "NA")</f>
        <v>59151.479999999996</v>
      </c>
      <c r="AA429" s="15">
        <f>IFERROR(Z429/Z444, "NA")</f>
        <v>2.9336189477582899E-2</v>
      </c>
      <c r="AB429" s="2"/>
      <c r="AC429" s="14">
        <f t="shared" si="103"/>
        <v>15793.429999999993</v>
      </c>
      <c r="AD429" s="15">
        <f>IFERROR(AC429/AC444, "NA")</f>
        <v>8.7141362748310663E-2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-12613.640000000025</v>
      </c>
      <c r="C443" s="24">
        <f>IFERROR(B443/B444, "NA")</f>
        <v>-8.2709480984177963E-2</v>
      </c>
      <c r="D443" s="25"/>
      <c r="E443" s="23">
        <f>IFERROR(E404-E429-E442, "NA")</f>
        <v>28168.540000000015</v>
      </c>
      <c r="F443" s="24">
        <f>IFERROR(E443/E444, "NA")</f>
        <v>0.16040457531499047</v>
      </c>
      <c r="G443" s="25"/>
      <c r="H443" s="23">
        <f>IFERROR(B443-E443, "NA")</f>
        <v>-40782.180000000037</v>
      </c>
      <c r="I443" s="24">
        <f>IFERROR(H443/H444, "NA")</f>
        <v>1.7651597388499656</v>
      </c>
      <c r="J443" s="25"/>
      <c r="K443" s="23">
        <f>IFERROR(K404-K429-K442, "NA")</f>
        <v>13968.270000000019</v>
      </c>
      <c r="L443" s="24">
        <f>IFERROR(K443/K444, "NA")</f>
        <v>9.0111754995725574E-2</v>
      </c>
      <c r="M443" s="25"/>
      <c r="N443" s="23">
        <f>IFERROR(B443-K443, "NA")</f>
        <v>-26581.910000000044</v>
      </c>
      <c r="O443" s="24">
        <f>IFERROR(N443/N444, "NA")</f>
        <v>10.61090553459877</v>
      </c>
      <c r="P443" s="25"/>
      <c r="Q443" s="23">
        <f>IFERROR(Q404-Q429-Q442, "NA")</f>
        <v>219305.27000000008</v>
      </c>
      <c r="R443" s="24">
        <f>IFERROR(Q443/Q444, "NA")</f>
        <v>9.9794414340064544E-2</v>
      </c>
      <c r="S443" s="25"/>
      <c r="T443" s="23">
        <f>IFERROR(T404-T429-T442, "NA")</f>
        <v>389615.65999999939</v>
      </c>
      <c r="U443" s="24">
        <f>IFERROR(T443/T444, "NA")</f>
        <v>0.17535335938531224</v>
      </c>
      <c r="V443" s="25"/>
      <c r="W443" s="23">
        <f>IFERROR(Q443-T443, "NA")</f>
        <v>-170310.38999999932</v>
      </c>
      <c r="X443" s="24">
        <f>IFERROR(W443/W444, "NA")</f>
        <v>7.003418430162049</v>
      </c>
      <c r="Y443" s="25"/>
      <c r="Z443" s="23">
        <f>IFERROR(Z404-Z429-Z442, "NA")</f>
        <v>253099.28000000014</v>
      </c>
      <c r="AA443" s="24">
        <f>IFERROR(Z443/Z444, "NA")</f>
        <v>0.12552464341923167</v>
      </c>
      <c r="AB443" s="25"/>
      <c r="AC443" s="23">
        <f>IFERROR(Q443-Z443, "NA")</f>
        <v>-33794.010000000068</v>
      </c>
      <c r="AD443" s="24">
        <f>IFERROR(AC443/AC444, "NA")</f>
        <v>-0.18646083112598372</v>
      </c>
    </row>
    <row r="444" spans="1:30" ht="15.75" hidden="1" x14ac:dyDescent="0.45">
      <c r="A444" s="26" t="s">
        <v>117</v>
      </c>
      <c r="B444" s="7">
        <v>152505.37</v>
      </c>
      <c r="C444" s="27"/>
      <c r="D444" s="9"/>
      <c r="E444" s="7">
        <v>175609.33</v>
      </c>
      <c r="F444" s="27"/>
      <c r="G444" s="9"/>
      <c r="H444" s="10">
        <f>IFERROR(B444-E444, "NA")</f>
        <v>-23103.959999999992</v>
      </c>
      <c r="I444" s="27"/>
      <c r="J444" s="9"/>
      <c r="K444" s="7">
        <v>155010.51999999999</v>
      </c>
      <c r="L444" s="27"/>
      <c r="M444" s="9"/>
      <c r="N444" s="10">
        <f>IFERROR(B444-K444, "NA")</f>
        <v>-2505.1499999999942</v>
      </c>
      <c r="O444" s="27"/>
      <c r="P444" s="9"/>
      <c r="Q444" s="7">
        <v>2197570.59</v>
      </c>
      <c r="R444" s="27"/>
      <c r="S444" s="9"/>
      <c r="T444" s="7">
        <v>2221888.77</v>
      </c>
      <c r="U444" s="27"/>
      <c r="V444" s="9"/>
      <c r="W444" s="10">
        <f>IFERROR(Q444-T444, "NA")</f>
        <v>-24318.180000000168</v>
      </c>
      <c r="X444" s="27"/>
      <c r="Y444" s="9"/>
      <c r="Z444" s="7">
        <v>2016331.4</v>
      </c>
      <c r="AA444" s="27"/>
      <c r="AB444" s="9"/>
      <c r="AC444" s="10">
        <f>IFERROR(Q444-Z444, "NA")</f>
        <v>181239.18999999994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46736.95</v>
      </c>
      <c r="F10" s="8">
        <f>IFERROR(E10/E444, "NA")</f>
        <v>0.49399995053336238</v>
      </c>
      <c r="G10" s="9"/>
      <c r="H10" s="10">
        <f t="shared" ref="H10:H19" si="0">IFERROR(B10-E10, "NA")</f>
        <v>-46736.95</v>
      </c>
      <c r="I10" s="8">
        <f>IFERROR(H10/H444, "NA")</f>
        <v>5.449508882556235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642531.21</v>
      </c>
      <c r="U10" s="8">
        <f>IFERROR(T10/T444, "NA")</f>
        <v>0.4940000059200238</v>
      </c>
      <c r="V10" s="9"/>
      <c r="W10" s="10">
        <f t="shared" ref="W10:W19" si="2">IFERROR(Q10-T10, "NA")</f>
        <v>-642531.21</v>
      </c>
      <c r="X10" s="8">
        <f>IFERROR(W10/W444, "NA")</f>
        <v>9.5916615264824454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30222.09</v>
      </c>
      <c r="C11" s="8">
        <f>IFERROR(B11/B444, "NA")</f>
        <v>0.35128542745178992</v>
      </c>
      <c r="D11" s="9"/>
      <c r="E11" s="7">
        <v>0</v>
      </c>
      <c r="F11" s="8">
        <f>IFERROR(E11/E444, "NA")</f>
        <v>0</v>
      </c>
      <c r="G11" s="9"/>
      <c r="H11" s="10">
        <f t="shared" si="0"/>
        <v>30222.09</v>
      </c>
      <c r="I11" s="8">
        <f>IFERROR(H11/H444, "NA")</f>
        <v>-3.5238830925940605</v>
      </c>
      <c r="J11" s="9"/>
      <c r="K11" s="7">
        <v>37099.15</v>
      </c>
      <c r="L11" s="8">
        <f>IFERROR(K11/K444, "NA")</f>
        <v>0.42311402864992398</v>
      </c>
      <c r="M11" s="9"/>
      <c r="N11" s="10">
        <f t="shared" si="1"/>
        <v>-6877.0600000000013</v>
      </c>
      <c r="O11" s="8">
        <f>IFERROR(N11/N444, "NA")</f>
        <v>4.1720872387538916</v>
      </c>
      <c r="P11" s="9"/>
      <c r="Q11" s="7">
        <v>494904.13</v>
      </c>
      <c r="R11" s="8">
        <f>IFERROR(Q11/Q444, "NA")</f>
        <v>0.40116023260549827</v>
      </c>
      <c r="S11" s="9"/>
      <c r="T11" s="7">
        <v>0</v>
      </c>
      <c r="U11" s="8">
        <f>IFERROR(T11/T444, "NA")</f>
        <v>0</v>
      </c>
      <c r="V11" s="9"/>
      <c r="W11" s="10">
        <f t="shared" si="2"/>
        <v>494904.13</v>
      </c>
      <c r="X11" s="8">
        <f>IFERROR(W11/W444, "NA")</f>
        <v>-7.387894672102024</v>
      </c>
      <c r="Y11" s="9"/>
      <c r="Z11" s="7">
        <v>507161.01</v>
      </c>
      <c r="AA11" s="8">
        <f>IFERROR(Z11/Z444, "NA")</f>
        <v>0.43798384819031272</v>
      </c>
      <c r="AB11" s="9"/>
      <c r="AC11" s="10">
        <f t="shared" si="3"/>
        <v>-12256.880000000005</v>
      </c>
      <c r="AD11" s="8">
        <f>IFERROR(AC11/AC444, "NA")</f>
        <v>-0.16183395834395145</v>
      </c>
    </row>
    <row r="12" spans="1:30" ht="16.5" customHeight="1" x14ac:dyDescent="0.45">
      <c r="A12" s="12" t="s">
        <v>14</v>
      </c>
      <c r="B12" s="7">
        <v>2342.8000000000002</v>
      </c>
      <c r="C12" s="8">
        <f>IFERROR(B12/B444, "NA")</f>
        <v>2.7231455515950534E-2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2342.8000000000002</v>
      </c>
      <c r="I12" s="8">
        <f>IFERROR(H12/H444, "NA")</f>
        <v>-0.27316950314585675</v>
      </c>
      <c r="J12" s="9"/>
      <c r="K12" s="7">
        <v>3277.1</v>
      </c>
      <c r="L12" s="8">
        <f>IFERROR(K12/K444, "NA")</f>
        <v>3.7375168522423445E-2</v>
      </c>
      <c r="M12" s="9"/>
      <c r="N12" s="10">
        <f t="shared" si="1"/>
        <v>-934.29999999999973</v>
      </c>
      <c r="O12" s="8">
        <f>IFERROR(N12/N444, "NA")</f>
        <v>0.56680923347589796</v>
      </c>
      <c r="P12" s="9"/>
      <c r="Q12" s="7">
        <v>47015.7</v>
      </c>
      <c r="R12" s="8">
        <f>IFERROR(Q12/Q444, "NA")</f>
        <v>3.8110066182131724E-2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47015.7</v>
      </c>
      <c r="X12" s="8">
        <f>IFERROR(W12/W444, "NA")</f>
        <v>-0.70184712246217684</v>
      </c>
      <c r="Y12" s="9"/>
      <c r="Z12" s="7">
        <v>51139.8</v>
      </c>
      <c r="AA12" s="8">
        <f>IFERROR(Z12/Z444, "NA")</f>
        <v>4.4164290941219944E-2</v>
      </c>
      <c r="AB12" s="9"/>
      <c r="AC12" s="10">
        <f t="shared" si="3"/>
        <v>-4124.1000000000058</v>
      </c>
      <c r="AD12" s="8">
        <f>IFERROR(AC12/AC444, "NA")</f>
        <v>-5.4452636201569315E-2</v>
      </c>
    </row>
    <row r="13" spans="1:30" ht="16.5" customHeight="1" x14ac:dyDescent="0.45">
      <c r="A13" s="12" t="s">
        <v>15</v>
      </c>
      <c r="B13" s="7">
        <v>70.5</v>
      </c>
      <c r="C13" s="8">
        <f>IFERROR(B13/B444, "NA")</f>
        <v>8.1945433407653776E-4</v>
      </c>
      <c r="D13" s="9"/>
      <c r="E13" s="7">
        <v>0</v>
      </c>
      <c r="F13" s="8">
        <f>IFERROR(E13/E444, "NA")</f>
        <v>0</v>
      </c>
      <c r="G13" s="9"/>
      <c r="H13" s="10">
        <f t="shared" si="0"/>
        <v>70.5</v>
      </c>
      <c r="I13" s="8">
        <f>IFERROR(H13/H444, "NA")</f>
        <v>-8.2202706043123189E-3</v>
      </c>
      <c r="J13" s="9"/>
      <c r="K13" s="7">
        <v>68</v>
      </c>
      <c r="L13" s="8">
        <f>IFERROR(K13/K444, "NA")</f>
        <v>7.7553674270690375E-4</v>
      </c>
      <c r="M13" s="9"/>
      <c r="N13" s="10">
        <f t="shared" si="1"/>
        <v>2.5</v>
      </c>
      <c r="O13" s="8">
        <f>IFERROR(N13/N444, "NA")</f>
        <v>-1.5166681833348446E-3</v>
      </c>
      <c r="P13" s="9"/>
      <c r="Q13" s="7">
        <v>1688</v>
      </c>
      <c r="R13" s="8">
        <f>IFERROR(Q13/Q444, "NA")</f>
        <v>1.3682619149653916E-3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1688</v>
      </c>
      <c r="X13" s="8">
        <f>IFERROR(W13/W444, "NA")</f>
        <v>-2.5198347418333763E-2</v>
      </c>
      <c r="Y13" s="9"/>
      <c r="Z13" s="7">
        <v>1233</v>
      </c>
      <c r="AA13" s="8">
        <f>IFERROR(Z13/Z444, "NA")</f>
        <v>1.0648178274166927E-3</v>
      </c>
      <c r="AB13" s="9"/>
      <c r="AC13" s="10">
        <f t="shared" si="3"/>
        <v>455</v>
      </c>
      <c r="AD13" s="8">
        <f>IFERROR(AC13/AC444, "NA")</f>
        <v>6.0076015304464016E-3</v>
      </c>
    </row>
    <row r="14" spans="1:30" ht="16.5" customHeight="1" x14ac:dyDescent="0.45">
      <c r="A14" s="12" t="s">
        <v>16</v>
      </c>
      <c r="B14" s="7">
        <v>30</v>
      </c>
      <c r="C14" s="8">
        <f>IFERROR(B14/B444, "NA")</f>
        <v>3.4870397194746285E-4</v>
      </c>
      <c r="D14" s="9"/>
      <c r="E14" s="7">
        <v>0</v>
      </c>
      <c r="F14" s="8">
        <f>IFERROR(E14/E444, "NA")</f>
        <v>0</v>
      </c>
      <c r="G14" s="9"/>
      <c r="H14" s="10">
        <f t="shared" si="0"/>
        <v>30</v>
      </c>
      <c r="I14" s="8">
        <f>IFERROR(H14/H444, "NA")</f>
        <v>-3.4979874911967314E-3</v>
      </c>
      <c r="J14" s="9"/>
      <c r="K14" s="7">
        <v>481</v>
      </c>
      <c r="L14" s="8">
        <f>IFERROR(K14/K444, "NA")</f>
        <v>5.4857819594414806E-3</v>
      </c>
      <c r="M14" s="9"/>
      <c r="N14" s="10">
        <f t="shared" si="1"/>
        <v>-451</v>
      </c>
      <c r="O14" s="8">
        <f>IFERROR(N14/N444, "NA")</f>
        <v>0.27360694027360599</v>
      </c>
      <c r="P14" s="9"/>
      <c r="Q14" s="7">
        <v>2820</v>
      </c>
      <c r="R14" s="8">
        <f>IFERROR(Q14/Q444, "NA")</f>
        <v>2.2858404029635097E-3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2820</v>
      </c>
      <c r="X14" s="8">
        <f>IFERROR(W14/W444, "NA")</f>
        <v>-4.2096765236789811E-2</v>
      </c>
      <c r="Y14" s="9"/>
      <c r="Z14" s="7">
        <v>6781</v>
      </c>
      <c r="AA14" s="8">
        <f>IFERROR(Z14/Z444, "NA")</f>
        <v>5.8560662511862073E-3</v>
      </c>
      <c r="AB14" s="9"/>
      <c r="AC14" s="10">
        <f t="shared" si="3"/>
        <v>-3961</v>
      </c>
      <c r="AD14" s="8">
        <f>IFERROR(AC14/AC444, "NA")</f>
        <v>-5.2299142114501526E-2</v>
      </c>
    </row>
    <row r="15" spans="1:30" ht="16.5" customHeight="1" x14ac:dyDescent="0.45">
      <c r="A15" s="12" t="s">
        <v>17</v>
      </c>
      <c r="B15" s="7">
        <v>21</v>
      </c>
      <c r="C15" s="8">
        <f>IFERROR(B15/B444, "NA")</f>
        <v>2.44092780363224E-4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21</v>
      </c>
      <c r="I15" s="8">
        <f>IFERROR(H15/H444, "NA")</f>
        <v>-2.4485912438377117E-3</v>
      </c>
      <c r="J15" s="9"/>
      <c r="K15" s="7">
        <v>7.5</v>
      </c>
      <c r="L15" s="8">
        <f>IFERROR(K15/K444, "NA")</f>
        <v>8.5537140739732034E-5</v>
      </c>
      <c r="M15" s="9"/>
      <c r="N15" s="10">
        <f t="shared" si="1"/>
        <v>13.5</v>
      </c>
      <c r="O15" s="8">
        <f>IFERROR(N15/N444, "NA")</f>
        <v>-8.1900081900081606E-3</v>
      </c>
      <c r="P15" s="9"/>
      <c r="Q15" s="7">
        <v>320</v>
      </c>
      <c r="R15" s="8">
        <f>IFERROR(Q15/Q444, "NA")</f>
        <v>2.5938614501713585E-4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320</v>
      </c>
      <c r="X15" s="8">
        <f>IFERROR(W15/W444, "NA")</f>
        <v>-4.7769378992101917E-3</v>
      </c>
      <c r="Y15" s="9"/>
      <c r="Z15" s="7">
        <v>433</v>
      </c>
      <c r="AA15" s="8">
        <f>IFERROR(Z15/Z444, "NA")</f>
        <v>3.7393845845209078E-4</v>
      </c>
      <c r="AB15" s="9"/>
      <c r="AC15" s="10">
        <f t="shared" si="3"/>
        <v>-113</v>
      </c>
      <c r="AD15" s="8">
        <f>IFERROR(AC15/AC444, "NA")</f>
        <v>-1.4919977427262491E-3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8.9163987349640448E-7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-1.6420724028535035E-5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1.4523871831848444E-5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32686.39</v>
      </c>
      <c r="C18" s="15">
        <f>IFERROR(B18/B444, "NA")</f>
        <v>0.3799291340541277</v>
      </c>
      <c r="D18" s="2"/>
      <c r="E18" s="14">
        <f>IFERROR(E10+E11+E12+E13+E14+E15+E16+E17, "NA")</f>
        <v>46736.95</v>
      </c>
      <c r="F18" s="15">
        <f>IFERROR(E18/E444, "NA")</f>
        <v>0.49399995053336238</v>
      </c>
      <c r="G18" s="2"/>
      <c r="H18" s="14">
        <f t="shared" si="0"/>
        <v>-14050.559999999998</v>
      </c>
      <c r="I18" s="15">
        <f>IFERROR(H18/H444, "NA")</f>
        <v>1.6382894374769712</v>
      </c>
      <c r="J18" s="2"/>
      <c r="K18" s="14">
        <f>IFERROR(K10+K11+K12+K13+K14+K15+K16+K17, "NA")</f>
        <v>40932.75</v>
      </c>
      <c r="L18" s="15">
        <f>IFERROR(K18/K444, "NA")</f>
        <v>0.46683605301523551</v>
      </c>
      <c r="M18" s="2"/>
      <c r="N18" s="14">
        <f t="shared" si="1"/>
        <v>-8246.36</v>
      </c>
      <c r="O18" s="15">
        <f>IFERROR(N18/N444, "NA")</f>
        <v>5.002796736130052</v>
      </c>
      <c r="P18" s="2"/>
      <c r="Q18" s="14">
        <f>IFERROR(Q10+Q11+Q12+Q13+Q14+Q15+Q16+Q17, "NA")</f>
        <v>546748.92999999993</v>
      </c>
      <c r="R18" s="15">
        <f>IFERROR(Q18/Q444, "NA")</f>
        <v>0.44318467889044949</v>
      </c>
      <c r="S18" s="2"/>
      <c r="T18" s="14">
        <f>IFERROR(T10+T11+T12+T13+T14+T15+T16+T17, "NA")</f>
        <v>642531.21</v>
      </c>
      <c r="U18" s="15">
        <f>IFERROR(T18/T444, "NA")</f>
        <v>0.4940000059200238</v>
      </c>
      <c r="V18" s="2"/>
      <c r="W18" s="14">
        <f t="shared" si="2"/>
        <v>-95782.280000000028</v>
      </c>
      <c r="X18" s="15">
        <f>IFERROR(W18/W444, "NA")</f>
        <v>1.4298312606398829</v>
      </c>
      <c r="Y18" s="2"/>
      <c r="Z18" s="14">
        <f>IFERROR(Z10+Z11+Z12+Z13+Z14+Z15+Z16+Z17, "NA")</f>
        <v>566747.81000000006</v>
      </c>
      <c r="AA18" s="15">
        <f>IFERROR(Z18/Z444, "NA")</f>
        <v>0.48944296166858769</v>
      </c>
      <c r="AB18" s="2"/>
      <c r="AC18" s="14">
        <f t="shared" si="3"/>
        <v>-19998.880000000121</v>
      </c>
      <c r="AD18" s="15">
        <f>IFERROR(AC18/AC444, "NA")</f>
        <v>-0.26405560900047176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7379.52</v>
      </c>
      <c r="F21" s="8">
        <f>IFERROR(E21/E444, "NA")</f>
        <v>7.8000008878627264E-2</v>
      </c>
      <c r="G21" s="9"/>
      <c r="H21" s="10">
        <f t="shared" ref="H21:H29" si="4">IFERROR(B21-E21, "NA")</f>
        <v>-7379.52</v>
      </c>
      <c r="I21" s="8">
        <f>IFERROR(H21/H444, "NA")</f>
        <v>0.86044895503453678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101452.3</v>
      </c>
      <c r="U21" s="8">
        <f>IFERROR(T21/T444, "NA")</f>
        <v>7.800000376728787E-2</v>
      </c>
      <c r="V21" s="9"/>
      <c r="W21" s="10">
        <f t="shared" ref="W21:W29" si="6">IFERROR(Q21-T21, "NA")</f>
        <v>-101452.3</v>
      </c>
      <c r="X21" s="8">
        <f>IFERROR(W21/W444, "NA")</f>
        <v>1.5144729276001316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6363.37</v>
      </c>
      <c r="C22" s="8">
        <f>IFERROR(B22/B444, "NA")</f>
        <v>7.396441313237756E-2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6363.37</v>
      </c>
      <c r="I22" s="8">
        <f>IFERROR(H22/H444, "NA")</f>
        <v>-0.74196628872855142</v>
      </c>
      <c r="J22" s="9"/>
      <c r="K22" s="7">
        <v>6072.55</v>
      </c>
      <c r="L22" s="8">
        <f>IFERROR(K22/K444, "NA")</f>
        <v>6.9257141866541305E-2</v>
      </c>
      <c r="M22" s="9"/>
      <c r="N22" s="10">
        <f t="shared" si="5"/>
        <v>290.81999999999971</v>
      </c>
      <c r="O22" s="8">
        <f>IFERROR(N22/N444, "NA")</f>
        <v>-0.17643097643097563</v>
      </c>
      <c r="P22" s="9"/>
      <c r="Q22" s="7">
        <v>74843.25</v>
      </c>
      <c r="R22" s="8">
        <f>IFERROR(Q22/Q444, "NA")</f>
        <v>6.0666569056417971E-2</v>
      </c>
      <c r="S22" s="9"/>
      <c r="T22" s="7">
        <v>0</v>
      </c>
      <c r="U22" s="8">
        <f>IFERROR(T22/T444, "NA")</f>
        <v>0</v>
      </c>
      <c r="V22" s="9"/>
      <c r="W22" s="10">
        <f t="shared" si="6"/>
        <v>74843.25</v>
      </c>
      <c r="X22" s="8">
        <f>IFERROR(W22/W444, "NA")</f>
        <v>-1.1172548669533224</v>
      </c>
      <c r="Y22" s="9"/>
      <c r="Z22" s="7">
        <v>70659.63</v>
      </c>
      <c r="AA22" s="8">
        <f>IFERROR(Z22/Z444, "NA")</f>
        <v>6.1021600732090328E-2</v>
      </c>
      <c r="AB22" s="9"/>
      <c r="AC22" s="10">
        <f t="shared" si="7"/>
        <v>4183.6199999999953</v>
      </c>
      <c r="AD22" s="8">
        <f>IFERROR(AC22/AC444, "NA")</f>
        <v>5.5238509702870649E-2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980.5</v>
      </c>
      <c r="C24" s="8">
        <f>IFERROR(B24/B444, "NA")</f>
        <v>1.1396808149816244E-2</v>
      </c>
      <c r="D24" s="9"/>
      <c r="E24" s="7">
        <v>0</v>
      </c>
      <c r="F24" s="8">
        <f>IFERROR(E24/E444, "NA")</f>
        <v>0</v>
      </c>
      <c r="G24" s="9"/>
      <c r="H24" s="10">
        <f t="shared" si="4"/>
        <v>980.5</v>
      </c>
      <c r="I24" s="8">
        <f>IFERROR(H24/H444, "NA")</f>
        <v>-0.11432589117061316</v>
      </c>
      <c r="J24" s="9"/>
      <c r="K24" s="7">
        <v>878.37</v>
      </c>
      <c r="L24" s="8">
        <f>IFERROR(K24/K444, "NA")</f>
        <v>1.0017767774874457E-2</v>
      </c>
      <c r="M24" s="9"/>
      <c r="N24" s="10">
        <f t="shared" si="5"/>
        <v>102.13</v>
      </c>
      <c r="O24" s="8">
        <f>IFERROR(N24/N444, "NA")</f>
        <v>-6.1958928625595072E-2</v>
      </c>
      <c r="P24" s="9"/>
      <c r="Q24" s="7">
        <v>11059.88</v>
      </c>
      <c r="R24" s="8">
        <f>IFERROR(Q24/Q444, "NA")</f>
        <v>8.9649363673503756E-3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11059.88</v>
      </c>
      <c r="X24" s="8">
        <f>IFERROR(W24/W444, "NA")</f>
        <v>-0.16510112478974004</v>
      </c>
      <c r="Y24" s="9"/>
      <c r="Z24" s="7">
        <v>7408.61</v>
      </c>
      <c r="AA24" s="8">
        <f>IFERROR(Z24/Z444, "NA")</f>
        <v>6.3980697521310494E-3</v>
      </c>
      <c r="AB24" s="9"/>
      <c r="AC24" s="10">
        <f t="shared" si="7"/>
        <v>3651.2699999999995</v>
      </c>
      <c r="AD24" s="8">
        <f>IFERROR(AC24/AC444, "NA")</f>
        <v>4.8209615912248413E-2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1442.63</v>
      </c>
      <c r="AA27" s="8">
        <f>IFERROR(Z27/Z444, "NA")</f>
        <v>1.2458541300617548E-3</v>
      </c>
      <c r="AB27" s="9"/>
      <c r="AC27" s="10">
        <f t="shared" si="7"/>
        <v>-1442.63</v>
      </c>
      <c r="AD27" s="8">
        <f>IFERROR(AC27/AC444, "NA")</f>
        <v>-1.904779383707229E-2</v>
      </c>
    </row>
    <row r="28" spans="1:30" ht="16.5" customHeight="1" x14ac:dyDescent="0.45">
      <c r="A28" s="12" t="s">
        <v>29</v>
      </c>
      <c r="B28" s="7">
        <v>736.77</v>
      </c>
      <c r="C28" s="8">
        <f>IFERROR(B28/B444, "NA")</f>
        <v>8.5638208470577397E-3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736.77</v>
      </c>
      <c r="I28" s="8">
        <f>IFERROR(H28/H444, "NA")</f>
        <v>-8.5907074796300525E-2</v>
      </c>
      <c r="J28" s="9"/>
      <c r="K28" s="7">
        <v>640.92999999999995</v>
      </c>
      <c r="L28" s="8">
        <f>IFERROR(K28/K444, "NA")</f>
        <v>7.3097759485755264E-3</v>
      </c>
      <c r="M28" s="9"/>
      <c r="N28" s="10">
        <f t="shared" si="5"/>
        <v>95.840000000000032</v>
      </c>
      <c r="O28" s="8">
        <f>IFERROR(N28/N444, "NA")</f>
        <v>-5.8142991476324624E-2</v>
      </c>
      <c r="P28" s="9"/>
      <c r="Q28" s="7">
        <v>10277.52</v>
      </c>
      <c r="R28" s="8">
        <f>IFERROR(Q28/Q444, "NA")</f>
        <v>8.3307696660516063E-3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10277.52</v>
      </c>
      <c r="X28" s="8">
        <f>IFERROR(W28/W444, "NA")</f>
        <v>-0.15342210874340853</v>
      </c>
      <c r="Y28" s="9"/>
      <c r="Z28" s="7">
        <v>10016.61</v>
      </c>
      <c r="AA28" s="8">
        <f>IFERROR(Z28/Z444, "NA")</f>
        <v>8.6503364949556526E-3</v>
      </c>
      <c r="AB28" s="9"/>
      <c r="AC28" s="10">
        <f t="shared" si="7"/>
        <v>260.90999999999985</v>
      </c>
      <c r="AD28" s="8">
        <f>IFERROR(AC28/AC444, "NA")</f>
        <v>3.4449303633159773E-3</v>
      </c>
    </row>
    <row r="29" spans="1:30" ht="16.5" customHeight="1" x14ac:dyDescent="0.45">
      <c r="A29" s="13" t="s">
        <v>30</v>
      </c>
      <c r="B29" s="14">
        <f>IFERROR(B21+B22+B23+B24+B25+B26+B27+B28, "NA")</f>
        <v>8080.6399999999994</v>
      </c>
      <c r="C29" s="15">
        <f>IFERROR(B29/B444, "NA")</f>
        <v>9.392504212925154E-2</v>
      </c>
      <c r="D29" s="2"/>
      <c r="E29" s="14">
        <f>IFERROR(E21+E22+E23+E24+E25+E26+E27+E28, "NA")</f>
        <v>7379.52</v>
      </c>
      <c r="F29" s="15">
        <f>IFERROR(E29/E444, "NA")</f>
        <v>7.8000008878627264E-2</v>
      </c>
      <c r="G29" s="2"/>
      <c r="H29" s="14">
        <f t="shared" si="4"/>
        <v>701.11999999999898</v>
      </c>
      <c r="I29" s="15">
        <f>IFERROR(H29/H444, "NA")</f>
        <v>-8.1750299660928283E-2</v>
      </c>
      <c r="J29" s="2"/>
      <c r="K29" s="14">
        <f>IFERROR(K21+K22+K23+K24+K25+K26+K27+K28, "NA")</f>
        <v>7591.85</v>
      </c>
      <c r="L29" s="15">
        <f>IFERROR(K29/K444, "NA")</f>
        <v>8.6584685589991287E-2</v>
      </c>
      <c r="M29" s="2"/>
      <c r="N29" s="14">
        <f t="shared" si="5"/>
        <v>488.78999999999905</v>
      </c>
      <c r="O29" s="15">
        <f>IFERROR(N29/N444, "NA")</f>
        <v>-0.29653289653289489</v>
      </c>
      <c r="P29" s="2"/>
      <c r="Q29" s="14">
        <f>IFERROR(Q21+Q22+Q23+Q24+Q25+Q26+Q27+Q28, "NA")</f>
        <v>96180.650000000009</v>
      </c>
      <c r="R29" s="15">
        <f>IFERROR(Q29/Q444, "NA")</f>
        <v>7.7962275089819968E-2</v>
      </c>
      <c r="S29" s="2"/>
      <c r="T29" s="14">
        <f>IFERROR(T21+T22+T23+T24+T25+T26+T27+T28, "NA")</f>
        <v>101452.3</v>
      </c>
      <c r="U29" s="15">
        <f>IFERROR(T29/T444, "NA")</f>
        <v>7.800000376728787E-2</v>
      </c>
      <c r="V29" s="2"/>
      <c r="W29" s="14">
        <f t="shared" si="6"/>
        <v>-5271.6499999999942</v>
      </c>
      <c r="X29" s="15">
        <f>IFERROR(W29/W444, "NA")</f>
        <v>7.8694827113660562E-2</v>
      </c>
      <c r="Y29" s="2"/>
      <c r="Z29" s="14">
        <f>IFERROR(Z21+Z22+Z23+Z24+Z25+Z26+Z27+Z28, "NA")</f>
        <v>89527.48000000001</v>
      </c>
      <c r="AA29" s="15">
        <f>IFERROR(Z29/Z444, "NA")</f>
        <v>7.7315861109238784E-2</v>
      </c>
      <c r="AB29" s="2"/>
      <c r="AC29" s="14">
        <f t="shared" si="7"/>
        <v>6653.1699999999983</v>
      </c>
      <c r="AD29" s="15">
        <f>IFERROR(AC29/AC444, "NA")</f>
        <v>8.7845262141362804E-2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22990.04</v>
      </c>
      <c r="F31" s="8">
        <f>IFERROR(E31/E444, "NA")</f>
        <v>0.24299999513789461</v>
      </c>
      <c r="G31" s="9"/>
      <c r="H31" s="10">
        <f t="shared" ref="H31:H40" si="8">IFERROR(B31-E31, "NA")</f>
        <v>-22990.04</v>
      </c>
      <c r="I31" s="8">
        <f>IFERROR(H31/H444, "NA")</f>
        <v>2.6806290780704169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316062.92</v>
      </c>
      <c r="U31" s="8">
        <f>IFERROR(T31/T444, "NA")</f>
        <v>0.24300000049974227</v>
      </c>
      <c r="V31" s="9"/>
      <c r="W31" s="10">
        <f t="shared" ref="W31:W40" si="10">IFERROR(Q31-T31, "NA")</f>
        <v>-316062.92</v>
      </c>
      <c r="X31" s="8">
        <f>IFERROR(W31/W444, "NA")</f>
        <v>4.718165440884496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12065.67</v>
      </c>
      <c r="C33" s="8">
        <f>IFERROR(B33/B444, "NA")</f>
        <v>0.14024490177357815</v>
      </c>
      <c r="D33" s="9"/>
      <c r="E33" s="7">
        <v>0</v>
      </c>
      <c r="F33" s="8">
        <f>IFERROR(E33/E444, "NA")</f>
        <v>0</v>
      </c>
      <c r="G33" s="9"/>
      <c r="H33" s="10">
        <f t="shared" si="8"/>
        <v>12065.67</v>
      </c>
      <c r="I33" s="8">
        <f>IFERROR(H33/H444, "NA")</f>
        <v>-1.4068520910969222</v>
      </c>
      <c r="J33" s="9"/>
      <c r="K33" s="7">
        <v>10986.59</v>
      </c>
      <c r="L33" s="8">
        <f>IFERROR(K33/K444, "NA")</f>
        <v>0.12530153267729768</v>
      </c>
      <c r="M33" s="9"/>
      <c r="N33" s="10">
        <f t="shared" si="9"/>
        <v>1079.08</v>
      </c>
      <c r="O33" s="8">
        <f>IFERROR(N33/N444, "NA")</f>
        <v>-0.65464252130918565</v>
      </c>
      <c r="P33" s="9"/>
      <c r="Q33" s="7">
        <v>127270.91</v>
      </c>
      <c r="R33" s="8">
        <f>IFERROR(Q33/Q444, "NA")</f>
        <v>0.10316347099288389</v>
      </c>
      <c r="S33" s="9"/>
      <c r="T33" s="7">
        <v>0</v>
      </c>
      <c r="U33" s="8">
        <f>IFERROR(T33/T444, "NA")</f>
        <v>0</v>
      </c>
      <c r="V33" s="9"/>
      <c r="W33" s="10">
        <f t="shared" si="10"/>
        <v>127270.91</v>
      </c>
      <c r="X33" s="8">
        <f>IFERROR(W33/W444, "NA")</f>
        <v>-1.8998913545186544</v>
      </c>
      <c r="Y33" s="9"/>
      <c r="Z33" s="7">
        <v>108682.76</v>
      </c>
      <c r="AA33" s="8">
        <f>IFERROR(Z33/Z444, "NA")</f>
        <v>9.3858345807664098E-2</v>
      </c>
      <c r="AB33" s="9"/>
      <c r="AC33" s="10">
        <f t="shared" si="11"/>
        <v>18588.150000000009</v>
      </c>
      <c r="AD33" s="8">
        <f>IFERROR(AC33/AC444, "NA")</f>
        <v>0.2454290074465216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725.46</v>
      </c>
      <c r="C35" s="8">
        <f>IFERROR(B35/B444, "NA")</f>
        <v>8.4323594496335478E-3</v>
      </c>
      <c r="D35" s="9"/>
      <c r="E35" s="7">
        <v>0</v>
      </c>
      <c r="F35" s="8">
        <f>IFERROR(E35/E444, "NA")</f>
        <v>0</v>
      </c>
      <c r="G35" s="9"/>
      <c r="H35" s="10">
        <f t="shared" si="8"/>
        <v>725.46</v>
      </c>
      <c r="I35" s="8">
        <f>IFERROR(H35/H444, "NA")</f>
        <v>-8.4588333512119362E-2</v>
      </c>
      <c r="J35" s="9"/>
      <c r="K35" s="7">
        <v>846.2</v>
      </c>
      <c r="L35" s="8">
        <f>IFERROR(K35/K444, "NA")</f>
        <v>9.6508704658614993E-3</v>
      </c>
      <c r="M35" s="9"/>
      <c r="N35" s="10">
        <f t="shared" si="9"/>
        <v>-120.74000000000001</v>
      </c>
      <c r="O35" s="8">
        <f>IFERROR(N35/N444, "NA")</f>
        <v>7.3249006582339668E-2</v>
      </c>
      <c r="P35" s="9"/>
      <c r="Q35" s="7">
        <v>14359.28</v>
      </c>
      <c r="R35" s="8">
        <f>IFERROR(Q35/Q444, "NA")</f>
        <v>1.1639369638817683E-2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14359.28</v>
      </c>
      <c r="X35" s="8">
        <f>IFERROR(W35/W444, "NA")</f>
        <v>-0.21435434011678414</v>
      </c>
      <c r="Y35" s="9"/>
      <c r="Z35" s="7">
        <v>5697.71</v>
      </c>
      <c r="AA35" s="8">
        <f>IFERROR(Z35/Z444, "NA")</f>
        <v>4.9205378616791274E-3</v>
      </c>
      <c r="AB35" s="9"/>
      <c r="AC35" s="10">
        <f t="shared" si="11"/>
        <v>8661.57</v>
      </c>
      <c r="AD35" s="8">
        <f>IFERROR(AC35/AC444, "NA")</f>
        <v>0.11436321140234865</v>
      </c>
    </row>
    <row r="36" spans="1:30" ht="16.5" customHeight="1" x14ac:dyDescent="0.45">
      <c r="A36" s="12" t="s">
        <v>36</v>
      </c>
      <c r="B36" s="7">
        <v>14790.4</v>
      </c>
      <c r="C36" s="8">
        <f>IFERROR(B36/B444, "NA")</f>
        <v>0.17191570755639182</v>
      </c>
      <c r="D36" s="9"/>
      <c r="E36" s="7">
        <v>0</v>
      </c>
      <c r="F36" s="8">
        <f>IFERROR(E36/E444, "NA")</f>
        <v>0</v>
      </c>
      <c r="G36" s="9"/>
      <c r="H36" s="10">
        <f t="shared" si="8"/>
        <v>14790.4</v>
      </c>
      <c r="I36" s="8">
        <f>IFERROR(H36/H444, "NA")</f>
        <v>-1.7245544729932045</v>
      </c>
      <c r="J36" s="9"/>
      <c r="K36" s="7">
        <v>16862.87</v>
      </c>
      <c r="L36" s="8">
        <f>IFERROR(K36/K444, "NA")</f>
        <v>0.19232022459544065</v>
      </c>
      <c r="M36" s="9"/>
      <c r="N36" s="10">
        <f t="shared" si="9"/>
        <v>-2072.4699999999993</v>
      </c>
      <c r="O36" s="8">
        <f>IFERROR(N36/N444, "NA")</f>
        <v>1.2572997239663859</v>
      </c>
      <c r="P36" s="9"/>
      <c r="Q36" s="7">
        <v>153872.45000000001</v>
      </c>
      <c r="R36" s="8">
        <f>IFERROR(Q36/Q444, "NA")</f>
        <v>0.12472619259325621</v>
      </c>
      <c r="S36" s="9"/>
      <c r="T36" s="7">
        <v>0</v>
      </c>
      <c r="U36" s="8">
        <f>IFERROR(T36/T444, "NA")</f>
        <v>0</v>
      </c>
      <c r="V36" s="9"/>
      <c r="W36" s="10">
        <f t="shared" si="10"/>
        <v>153872.45000000001</v>
      </c>
      <c r="X36" s="8">
        <f>IFERROR(W36/W444, "NA")</f>
        <v>-2.2969973064041418</v>
      </c>
      <c r="Y36" s="9"/>
      <c r="Z36" s="7">
        <v>159705.60999999999</v>
      </c>
      <c r="AA36" s="8">
        <f>IFERROR(Z36/Z444, "NA")</f>
        <v>0.13792163882113351</v>
      </c>
      <c r="AB36" s="9"/>
      <c r="AC36" s="10">
        <f t="shared" si="11"/>
        <v>-5833.1599999999744</v>
      </c>
      <c r="AD36" s="8">
        <f>IFERROR(AC36/AC444, "NA")</f>
        <v>-7.7018243831513358E-2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958.8</v>
      </c>
      <c r="C39" s="8">
        <f>IFERROR(B39/B444, "NA")</f>
        <v>1.1144578943440913E-2</v>
      </c>
      <c r="D39" s="9"/>
      <c r="E39" s="7">
        <v>0</v>
      </c>
      <c r="F39" s="8">
        <f>IFERROR(E39/E444, "NA")</f>
        <v>0</v>
      </c>
      <c r="G39" s="9"/>
      <c r="H39" s="10">
        <f t="shared" si="8"/>
        <v>958.8</v>
      </c>
      <c r="I39" s="8">
        <f>IFERROR(H39/H444, "NA")</f>
        <v>-0.11179568021864753</v>
      </c>
      <c r="J39" s="9"/>
      <c r="K39" s="7">
        <v>630.65</v>
      </c>
      <c r="L39" s="8">
        <f>IFERROR(K39/K444, "NA")</f>
        <v>7.1925330410016006E-3</v>
      </c>
      <c r="M39" s="9"/>
      <c r="N39" s="10">
        <f t="shared" si="9"/>
        <v>328.15</v>
      </c>
      <c r="O39" s="8">
        <f>IFERROR(N39/N444, "NA")</f>
        <v>-0.19907786574453171</v>
      </c>
      <c r="P39" s="9"/>
      <c r="Q39" s="7">
        <v>10071.4</v>
      </c>
      <c r="R39" s="8">
        <f>IFERROR(Q39/Q444, "NA")</f>
        <v>8.1636925653924431E-3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10071.4</v>
      </c>
      <c r="X39" s="8">
        <f>IFERROR(W39/W444, "NA")</f>
        <v>-0.15034516361907976</v>
      </c>
      <c r="Y39" s="9"/>
      <c r="Z39" s="7">
        <v>12075.89</v>
      </c>
      <c r="AA39" s="8">
        <f>IFERROR(Z39/Z444, "NA")</f>
        <v>1.0428729078607432E-2</v>
      </c>
      <c r="AB39" s="9"/>
      <c r="AC39" s="10">
        <f t="shared" si="11"/>
        <v>-2004.4899999999998</v>
      </c>
      <c r="AD39" s="8">
        <f>IFERROR(AC39/AC444, "NA")</f>
        <v>-2.6466323498383529E-2</v>
      </c>
    </row>
    <row r="40" spans="1:30" ht="16.5" customHeight="1" x14ac:dyDescent="0.45">
      <c r="A40" s="13" t="s">
        <v>40</v>
      </c>
      <c r="B40" s="14">
        <f>IFERROR(B31+B32+B33+B34+B35+B36+B37+B38+B39, "NA")</f>
        <v>28540.329999999998</v>
      </c>
      <c r="C40" s="15">
        <f>IFERROR(B40/B444, "NA")</f>
        <v>0.33173754772304442</v>
      </c>
      <c r="D40" s="2"/>
      <c r="E40" s="14">
        <f>IFERROR(E31+E32+E33+E34+E35+E36+E37+E38+E39, "NA")</f>
        <v>22990.04</v>
      </c>
      <c r="F40" s="15">
        <f>IFERROR(E40/E444, "NA")</f>
        <v>0.24299999513789461</v>
      </c>
      <c r="G40" s="2"/>
      <c r="H40" s="14">
        <f t="shared" si="8"/>
        <v>5550.2899999999972</v>
      </c>
      <c r="I40" s="15">
        <f>IFERROR(H40/H444, "NA")</f>
        <v>-0.64716149975047654</v>
      </c>
      <c r="J40" s="2"/>
      <c r="K40" s="14">
        <f>IFERROR(K31+K32+K33+K34+K35+K36+K37+K38+K39, "NA")</f>
        <v>29326.31</v>
      </c>
      <c r="L40" s="15">
        <f>IFERROR(K40/K444, "NA")</f>
        <v>0.33446516077960148</v>
      </c>
      <c r="M40" s="2"/>
      <c r="N40" s="14">
        <f t="shared" si="9"/>
        <v>-785.9800000000032</v>
      </c>
      <c r="O40" s="15">
        <f>IFERROR(N40/N444, "NA")</f>
        <v>0.47682834349501041</v>
      </c>
      <c r="P40" s="2"/>
      <c r="Q40" s="14">
        <f>IFERROR(Q31+Q32+Q33+Q34+Q35+Q36+Q37+Q38+Q39, "NA")</f>
        <v>305574.04000000004</v>
      </c>
      <c r="R40" s="15">
        <f>IFERROR(Q40/Q444, "NA")</f>
        <v>0.24769272579035023</v>
      </c>
      <c r="S40" s="2"/>
      <c r="T40" s="14">
        <f>IFERROR(T31+T32+T33+T34+T35+T36+T37+T38+T39, "NA")</f>
        <v>316062.92</v>
      </c>
      <c r="U40" s="15">
        <f>IFERROR(T40/T444, "NA")</f>
        <v>0.24300000049974227</v>
      </c>
      <c r="V40" s="2"/>
      <c r="W40" s="14">
        <f t="shared" si="10"/>
        <v>-10488.879999999946</v>
      </c>
      <c r="X40" s="15">
        <f>IFERROR(W40/W444, "NA")</f>
        <v>0.15657727622583606</v>
      </c>
      <c r="Y40" s="2"/>
      <c r="Z40" s="14">
        <f>IFERROR(Z31+Z32+Z33+Z34+Z35+Z36+Z37+Z38+Z39, "NA")</f>
        <v>286161.96999999997</v>
      </c>
      <c r="AA40" s="15">
        <f>IFERROR(Z40/Z444, "NA")</f>
        <v>0.24712925156908416</v>
      </c>
      <c r="AB40" s="2"/>
      <c r="AC40" s="14">
        <f t="shared" si="11"/>
        <v>19412.070000000065</v>
      </c>
      <c r="AD40" s="15">
        <f>IFERROR(AC40/AC444, "NA")</f>
        <v>0.25630765151897378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801.58</v>
      </c>
      <c r="C43" s="8">
        <f>IFERROR(B43/B444, "NA")</f>
        <v>9.3171376611215773E-3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801.58</v>
      </c>
      <c r="I43" s="8">
        <f>IFERROR(H43/H444, "NA")</f>
        <v>-9.3463893773115869E-2</v>
      </c>
      <c r="J43" s="9"/>
      <c r="K43" s="7">
        <v>6591.23</v>
      </c>
      <c r="L43" s="8">
        <f>IFERROR(K43/K444, "NA")</f>
        <v>7.5172662421059189E-2</v>
      </c>
      <c r="M43" s="9"/>
      <c r="N43" s="10">
        <f>IFERROR(B43-K43, "NA")</f>
        <v>-5789.65</v>
      </c>
      <c r="O43" s="8">
        <f>IFERROR(N43/N444, "NA")</f>
        <v>3.512391179057833</v>
      </c>
      <c r="P43" s="9"/>
      <c r="Q43" s="7">
        <v>61404.33</v>
      </c>
      <c r="R43" s="8">
        <f>IFERROR(Q43/Q444, "NA")</f>
        <v>4.9773226393937706E-2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61404.33</v>
      </c>
      <c r="X43" s="8">
        <f>IFERROR(W43/W444, "NA")</f>
        <v>-0.91663959735190426</v>
      </c>
      <c r="Y43" s="9"/>
      <c r="Z43" s="7">
        <v>53771.35</v>
      </c>
      <c r="AA43" s="8">
        <f>IFERROR(Z43/Z444, "NA")</f>
        <v>4.6436895445468432E-2</v>
      </c>
      <c r="AB43" s="9"/>
      <c r="AC43" s="10">
        <f>IFERROR(Q43-Z43, "NA")</f>
        <v>7632.9800000000032</v>
      </c>
      <c r="AD43" s="8">
        <f>IFERROR(AC43/AC444, "NA")</f>
        <v>0.10078220292278416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19205.669999999998</v>
      </c>
      <c r="F46" s="8">
        <f>IFERROR(E46/E444, "NA")</f>
        <v>0.20299998245414133</v>
      </c>
      <c r="G46" s="9"/>
      <c r="H46" s="10">
        <f t="shared" ref="H46:H62" si="12">IFERROR(B46-E46, "NA")</f>
        <v>-19205.669999999998</v>
      </c>
      <c r="I46" s="8">
        <f>IFERROR(H46/H444, "NA")</f>
        <v>2.2393731140017441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264036.08</v>
      </c>
      <c r="U46" s="8">
        <f>IFERROR(T46/T444, "NA")</f>
        <v>0.20299998358538862</v>
      </c>
      <c r="V46" s="9"/>
      <c r="W46" s="10">
        <f t="shared" ref="W46:W62" si="14">IFERROR(Q46-T46, "NA")</f>
        <v>-264036.08</v>
      </c>
      <c r="X46" s="8">
        <f>IFERROR(W46/W444, "NA")</f>
        <v>3.9415123665965441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13374.06</v>
      </c>
      <c r="C48" s="8">
        <f>IFERROR(B48/B444, "NA")</f>
        <v>0.15545292810212283</v>
      </c>
      <c r="D48" s="9"/>
      <c r="E48" s="7">
        <v>0</v>
      </c>
      <c r="F48" s="8">
        <f>IFERROR(E48/E444, "NA")</f>
        <v>0</v>
      </c>
      <c r="G48" s="9"/>
      <c r="H48" s="10">
        <f t="shared" si="12"/>
        <v>13374.06</v>
      </c>
      <c r="I48" s="8">
        <f>IFERROR(H48/H444, "NA")</f>
        <v>-1.5594098195504851</v>
      </c>
      <c r="J48" s="9"/>
      <c r="K48" s="7">
        <v>6312.28</v>
      </c>
      <c r="L48" s="8">
        <f>IFERROR(K48/K444, "NA")</f>
        <v>7.1991251033146089E-2</v>
      </c>
      <c r="M48" s="9"/>
      <c r="N48" s="10">
        <f t="shared" si="13"/>
        <v>7061.78</v>
      </c>
      <c r="O48" s="8">
        <f>IFERROR(N48/N444, "NA")</f>
        <v>-4.2841508174841358</v>
      </c>
      <c r="P48" s="9"/>
      <c r="Q48" s="7">
        <v>133704.01999999999</v>
      </c>
      <c r="R48" s="8">
        <f>IFERROR(Q48/Q444, "NA")</f>
        <v>0.10837803225341884</v>
      </c>
      <c r="S48" s="9"/>
      <c r="T48" s="7">
        <v>0</v>
      </c>
      <c r="U48" s="8">
        <f>IFERROR(T48/T444, "NA")</f>
        <v>0</v>
      </c>
      <c r="V48" s="9"/>
      <c r="W48" s="10">
        <f t="shared" si="14"/>
        <v>133704.01999999999</v>
      </c>
      <c r="X48" s="8">
        <f>IFERROR(W48/W444, "NA")</f>
        <v>-1.995924376296117</v>
      </c>
      <c r="Y48" s="9"/>
      <c r="Z48" s="7">
        <v>176140.3</v>
      </c>
      <c r="AA48" s="8">
        <f>IFERROR(Z48/Z444, "NA")</f>
        <v>0.15211462414154459</v>
      </c>
      <c r="AB48" s="9"/>
      <c r="AC48" s="10">
        <f t="shared" si="15"/>
        <v>-42436.28</v>
      </c>
      <c r="AD48" s="8">
        <f>IFERROR(AC48/AC444, "NA")</f>
        <v>-0.5603082652185758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1117.1600000000001</v>
      </c>
      <c r="R49" s="8">
        <f>IFERROR(Q49/Q444, "NA")</f>
        <v>9.0554945552294842E-4</v>
      </c>
      <c r="S49" s="9"/>
      <c r="T49" s="7">
        <v>0</v>
      </c>
      <c r="U49" s="8">
        <f>IFERROR(T49/T444, "NA")</f>
        <v>0</v>
      </c>
      <c r="V49" s="9"/>
      <c r="W49" s="10">
        <f t="shared" si="14"/>
        <v>1117.1600000000001</v>
      </c>
      <c r="X49" s="8">
        <f>IFERROR(W49/W444, "NA")</f>
        <v>-1.6676887323380182E-2</v>
      </c>
      <c r="Y49" s="9"/>
      <c r="Z49" s="7">
        <v>890.27</v>
      </c>
      <c r="AA49" s="8">
        <f>IFERROR(Z49/Z444, "NA")</f>
        <v>7.6883646976014523E-4</v>
      </c>
      <c r="AB49" s="9"/>
      <c r="AC49" s="10">
        <f t="shared" si="15"/>
        <v>226.8900000000001</v>
      </c>
      <c r="AD49" s="8">
        <f>IFERROR(AC49/AC444, "NA")</f>
        <v>2.9957466181164496E-3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49770</v>
      </c>
      <c r="R52" s="8">
        <f>IFERROR(Q52/Q444, "NA")</f>
        <v>4.0342651367196405E-2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49770</v>
      </c>
      <c r="X52" s="8">
        <f>IFERROR(W52/W444, "NA")</f>
        <v>-0.74296312263653508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49770</v>
      </c>
      <c r="AD52" s="8">
        <f>IFERROR(AC52/AC444, "NA")</f>
        <v>0.65713918279190642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31.15</v>
      </c>
      <c r="R54" s="8">
        <f>IFERROR(Q54/Q444, "NA")</f>
        <v>2.5249620054011816E-5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31.15</v>
      </c>
      <c r="X54" s="8">
        <f>IFERROR(W54/W444, "NA")</f>
        <v>-4.6500504862624208E-4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31.15</v>
      </c>
      <c r="AD54" s="8">
        <f>IFERROR(AC54/AC444, "NA")</f>
        <v>4.1128964323825364E-4</v>
      </c>
    </row>
    <row r="55" spans="1:30" ht="16.5" customHeight="1" x14ac:dyDescent="0.45">
      <c r="A55" s="17" t="s">
        <v>53</v>
      </c>
      <c r="B55" s="7">
        <v>648.71</v>
      </c>
      <c r="C55" s="8">
        <f>IFERROR(B55/B444, "NA")</f>
        <v>7.5402584547346217E-3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648.71</v>
      </c>
      <c r="I55" s="8">
        <f>IFERROR(H55/H444, "NA")</f>
        <v>-7.5639315513807717E-2</v>
      </c>
      <c r="J55" s="9"/>
      <c r="K55" s="7">
        <v>240.48</v>
      </c>
      <c r="L55" s="8">
        <f>IFERROR(K55/K444, "NA")</f>
        <v>2.7426628806787676E-3</v>
      </c>
      <c r="M55" s="9"/>
      <c r="N55" s="10">
        <f t="shared" si="13"/>
        <v>408.23</v>
      </c>
      <c r="O55" s="8">
        <f>IFERROR(N55/N444, "NA")</f>
        <v>-0.24765978099311348</v>
      </c>
      <c r="P55" s="9"/>
      <c r="Q55" s="7">
        <v>4471.3599999999997</v>
      </c>
      <c r="R55" s="8">
        <f>IFERROR(Q55/Q444, "NA")</f>
        <v>3.6244026043244387E-3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4471.3599999999997</v>
      </c>
      <c r="X55" s="8">
        <f>IFERROR(W55/W444, "NA")</f>
        <v>-6.6748153265664009E-2</v>
      </c>
      <c r="Y55" s="9"/>
      <c r="Z55" s="7">
        <v>5100.1400000000003</v>
      </c>
      <c r="AA55" s="8">
        <f>IFERROR(Z55/Z444, "NA")</f>
        <v>4.4044768810389068E-3</v>
      </c>
      <c r="AB55" s="9"/>
      <c r="AC55" s="10">
        <f t="shared" si="15"/>
        <v>-628.78000000000065</v>
      </c>
      <c r="AD55" s="8">
        <f>IFERROR(AC55/AC444, "NA")</f>
        <v>-8.3021092094815209E-3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4294.58</v>
      </c>
      <c r="AA59" s="8">
        <f>IFERROR(Z59/Z444, "NA")</f>
        <v>3.7087959004600004E-3</v>
      </c>
      <c r="AB59" s="9"/>
      <c r="AC59" s="10">
        <f t="shared" si="15"/>
        <v>-4294.58</v>
      </c>
      <c r="AD59" s="8">
        <f>IFERROR(AC59/AC444, "NA")</f>
        <v>-5.6703572265108804E-2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1.041597488584436E-5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-1.9182391251515926E-4</v>
      </c>
      <c r="Y60" s="9"/>
      <c r="Z60" s="7">
        <v>319.54000000000002</v>
      </c>
      <c r="AA60" s="8">
        <f>IFERROR(Z60/Z444, "NA")</f>
        <v>2.7595449194868613E-4</v>
      </c>
      <c r="AB60" s="9"/>
      <c r="AC60" s="10">
        <f t="shared" si="15"/>
        <v>-306.69</v>
      </c>
      <c r="AD60" s="8">
        <f>IFERROR(AC60/AC444, "NA")</f>
        <v>-4.049387501917817E-3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14022.77</v>
      </c>
      <c r="C61" s="15">
        <f>IFERROR(B61/B444, "NA")</f>
        <v>0.16299318655685746</v>
      </c>
      <c r="D61" s="2"/>
      <c r="E61" s="14">
        <f>IFERROR(E46+E47+E48+E49+E50+E51+E52+E53+E54+E55+E56+E57+E58+E59+E60, "NA")</f>
        <v>19205.669999999998</v>
      </c>
      <c r="F61" s="15">
        <f>IFERROR(E61/E444, "NA")</f>
        <v>0.20299998245414133</v>
      </c>
      <c r="G61" s="2"/>
      <c r="H61" s="14">
        <f t="shared" si="12"/>
        <v>-5182.8999999999978</v>
      </c>
      <c r="I61" s="15">
        <f>IFERROR(H61/H444, "NA")</f>
        <v>0.60432397893745105</v>
      </c>
      <c r="J61" s="2"/>
      <c r="K61" s="14">
        <f>IFERROR(K46+K47+K48+K49+K50+K51+K52+K53+K54+K55+K56+K57+K58+K59+K60, "NA")</f>
        <v>6552.7599999999993</v>
      </c>
      <c r="L61" s="15">
        <f>IFERROR(K61/K444, "NA")</f>
        <v>7.4733913913824848E-2</v>
      </c>
      <c r="M61" s="2"/>
      <c r="N61" s="14">
        <f t="shared" si="13"/>
        <v>7470.0100000000011</v>
      </c>
      <c r="O61" s="15">
        <f>IFERROR(N61/N444, "NA")</f>
        <v>-4.5318105984772501</v>
      </c>
      <c r="P61" s="2"/>
      <c r="Q61" s="14">
        <f>IFERROR(Q46+Q47+Q48+Q49+Q50+Q51+Q52+Q53+Q54+Q55+Q56+Q57+Q58+Q59+Q60, "NA")</f>
        <v>189106.53999999998</v>
      </c>
      <c r="R61" s="15">
        <f>IFERROR(Q61/Q444, "NA")</f>
        <v>0.15328630127540246</v>
      </c>
      <c r="S61" s="2"/>
      <c r="T61" s="14">
        <f>IFERROR(T46+T47+T48+T49+T50+T51+T52+T53+T54+T55+T56+T57+T58+T59+T60, "NA")</f>
        <v>264036.08</v>
      </c>
      <c r="U61" s="15">
        <f>IFERROR(T61/T444, "NA")</f>
        <v>0.20299998358538862</v>
      </c>
      <c r="V61" s="2"/>
      <c r="W61" s="14">
        <f t="shared" si="14"/>
        <v>-74929.540000000037</v>
      </c>
      <c r="X61" s="15">
        <f>IFERROR(W61/W444, "NA")</f>
        <v>1.1185429981137069</v>
      </c>
      <c r="Y61" s="2"/>
      <c r="Z61" s="14">
        <f>IFERROR(Z46+Z47+Z48+Z49+Z50+Z51+Z52+Z53+Z54+Z55+Z56+Z57+Z58+Z59+Z60, "NA")</f>
        <v>186744.83</v>
      </c>
      <c r="AA61" s="15">
        <f>IFERROR(Z61/Z444, "NA")</f>
        <v>0.16127268788475232</v>
      </c>
      <c r="AB61" s="2"/>
      <c r="AC61" s="14">
        <f t="shared" si="15"/>
        <v>2361.7099999999919</v>
      </c>
      <c r="AD61" s="15">
        <f>IFERROR(AC61/AC444, "NA")</f>
        <v>3.1182884858176971E-2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14824.349999999999</v>
      </c>
      <c r="C62" s="15">
        <f>IFERROR(B62/B444, "NA")</f>
        <v>0.17231032421797901</v>
      </c>
      <c r="D62" s="2"/>
      <c r="E62" s="14">
        <f>IFERROR(E42+E43+E44+E46+E47+E48+E49+E50+E51+E52+E53+E54+E55+E56+E57+E58+E59+E60, "NA")</f>
        <v>19205.669999999998</v>
      </c>
      <c r="F62" s="15">
        <f>IFERROR(E62/E444, "NA")</f>
        <v>0.20299998245414133</v>
      </c>
      <c r="G62" s="2"/>
      <c r="H62" s="14">
        <f t="shared" si="12"/>
        <v>-4381.32</v>
      </c>
      <c r="I62" s="15">
        <f>IFERROR(H62/H444, "NA")</f>
        <v>0.51086008516433534</v>
      </c>
      <c r="J62" s="2"/>
      <c r="K62" s="14">
        <f>IFERROR(K42+K43+K44+K46+K47+K48+K49+K50+K51+K52+K53+K54+K55+K56+K57+K58+K59+K60, "NA")</f>
        <v>13143.989999999998</v>
      </c>
      <c r="L62" s="15">
        <f>IFERROR(K62/K444, "NA")</f>
        <v>0.14990657633488402</v>
      </c>
      <c r="M62" s="2"/>
      <c r="N62" s="14">
        <f t="shared" si="13"/>
        <v>1680.3600000000006</v>
      </c>
      <c r="O62" s="15">
        <f>IFERROR(N62/N444, "NA")</f>
        <v>-1.0194194194194162</v>
      </c>
      <c r="P62" s="2"/>
      <c r="Q62" s="14">
        <f>IFERROR(Q42+Q43+Q44+Q46+Q47+Q48+Q49+Q50+Q51+Q52+Q53+Q54+Q55+Q56+Q57+Q58+Q59+Q60, "NA")</f>
        <v>250510.86999999997</v>
      </c>
      <c r="R62" s="15">
        <f>IFERROR(Q62/Q444, "NA")</f>
        <v>0.20305952766934016</v>
      </c>
      <c r="S62" s="2"/>
      <c r="T62" s="14">
        <f>IFERROR(T42+T43+T44+T46+T47+T48+T49+T50+T51+T52+T53+T54+T55+T56+T57+T58+T59+T60, "NA")</f>
        <v>264036.08</v>
      </c>
      <c r="U62" s="15">
        <f>IFERROR(T62/T444, "NA")</f>
        <v>0.20299998358538862</v>
      </c>
      <c r="V62" s="2"/>
      <c r="W62" s="14">
        <f t="shared" si="14"/>
        <v>-13525.21000000005</v>
      </c>
      <c r="X62" s="15">
        <f>IFERROR(W62/W444, "NA")</f>
        <v>0.20190340076180285</v>
      </c>
      <c r="Y62" s="2"/>
      <c r="Z62" s="14">
        <f>IFERROR(Z42+Z43+Z44+Z46+Z47+Z48+Z49+Z50+Z51+Z52+Z53+Z54+Z55+Z56+Z57+Z58+Z59+Z60, "NA")</f>
        <v>240516.18</v>
      </c>
      <c r="AA62" s="15">
        <f>IFERROR(Z62/Z444, "NA")</f>
        <v>0.20770958333022077</v>
      </c>
      <c r="AB62" s="2"/>
      <c r="AC62" s="14">
        <f t="shared" si="15"/>
        <v>9994.6899999999732</v>
      </c>
      <c r="AD62" s="15">
        <f>IFERROR(AC62/AC444, "NA")</f>
        <v>0.13196508778096083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2696.3</v>
      </c>
      <c r="C65" s="8">
        <f>IFERROR(B65/B444, "NA")</f>
        <v>3.1340350652064808E-2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2696.3</v>
      </c>
      <c r="I65" s="8">
        <f>IFERROR(H65/H444, "NA")</f>
        <v>-0.31438745575045823</v>
      </c>
      <c r="J65" s="9"/>
      <c r="K65" s="7">
        <v>866.93</v>
      </c>
      <c r="L65" s="8">
        <f>IFERROR(K65/K444, "NA")</f>
        <v>9.8872951228661174E-3</v>
      </c>
      <c r="M65" s="9"/>
      <c r="N65" s="10">
        <f t="shared" si="17"/>
        <v>1829.3700000000003</v>
      </c>
      <c r="O65" s="8">
        <f>IFERROR(N65/N444, "NA")</f>
        <v>-1.1098189098189062</v>
      </c>
      <c r="P65" s="9"/>
      <c r="Q65" s="7">
        <v>29574.67</v>
      </c>
      <c r="R65" s="8">
        <f>IFERROR(Q65/Q444, "NA")</f>
        <v>2.3972686379543549E-2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29574.67</v>
      </c>
      <c r="X65" s="8">
        <f>IFERROR(W65/W444, "NA")</f>
        <v>-0.44148863118635834</v>
      </c>
      <c r="Y65" s="9"/>
      <c r="Z65" s="7">
        <v>4621.95</v>
      </c>
      <c r="AA65" s="8">
        <f>IFERROR(Z65/Z444, "NA")</f>
        <v>3.9915123742324272E-3</v>
      </c>
      <c r="AB65" s="9"/>
      <c r="AC65" s="10">
        <f t="shared" si="19"/>
        <v>24952.719999999998</v>
      </c>
      <c r="AD65" s="8">
        <f>IFERROR(AC65/AC444, "NA")</f>
        <v>0.32946373376000115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15344</v>
      </c>
      <c r="R66" s="8">
        <f>IFERROR(Q66/Q444, "NA")</f>
        <v>1.2437565653571663E-2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15344</v>
      </c>
      <c r="X66" s="8">
        <f>IFERROR(W66/W444, "NA")</f>
        <v>-0.22905417226712868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15344</v>
      </c>
      <c r="AD66" s="8">
        <f>IFERROR(AC66/AC444, "NA")</f>
        <v>0.20259480853443865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16898.55</v>
      </c>
      <c r="R68" s="8">
        <f>IFERROR(Q68/Q444, "NA")</f>
        <v>1.3697655440247876E-2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16898.55</v>
      </c>
      <c r="X68" s="8">
        <f>IFERROR(W68/W444, "NA")</f>
        <v>-0.25226038730218242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16898.55</v>
      </c>
      <c r="AD68" s="8">
        <f>IFERROR(AC68/AC444, "NA")</f>
        <v>0.22312034031280226</v>
      </c>
    </row>
    <row r="69" spans="1:30" ht="16.5" customHeight="1" x14ac:dyDescent="0.45">
      <c r="A69" s="12" t="s">
        <v>66</v>
      </c>
      <c r="B69" s="7">
        <v>3375</v>
      </c>
      <c r="C69" s="8">
        <f>IFERROR(B69/B444, "NA")</f>
        <v>3.922919684408957E-2</v>
      </c>
      <c r="D69" s="9"/>
      <c r="E69" s="7">
        <v>0</v>
      </c>
      <c r="F69" s="8">
        <f>IFERROR(E69/E444, "NA")</f>
        <v>0</v>
      </c>
      <c r="G69" s="9"/>
      <c r="H69" s="10">
        <f t="shared" si="16"/>
        <v>3375</v>
      </c>
      <c r="I69" s="8">
        <f>IFERROR(H69/H444, "NA")</f>
        <v>-0.39352359275963228</v>
      </c>
      <c r="J69" s="9"/>
      <c r="K69" s="7">
        <v>0</v>
      </c>
      <c r="L69" s="8">
        <f>IFERROR(K69/K444, "NA")</f>
        <v>0</v>
      </c>
      <c r="M69" s="9"/>
      <c r="N69" s="10">
        <f t="shared" si="17"/>
        <v>3375</v>
      </c>
      <c r="O69" s="8">
        <f>IFERROR(N69/N444, "NA")</f>
        <v>-2.0475020475020402</v>
      </c>
      <c r="P69" s="9"/>
      <c r="Q69" s="7">
        <v>17568</v>
      </c>
      <c r="R69" s="8">
        <f>IFERROR(Q69/Q444, "NA")</f>
        <v>1.4240299361440757E-2</v>
      </c>
      <c r="S69" s="9"/>
      <c r="T69" s="7">
        <v>0</v>
      </c>
      <c r="U69" s="8">
        <f>IFERROR(T69/T444, "NA")</f>
        <v>0</v>
      </c>
      <c r="V69" s="9"/>
      <c r="W69" s="10">
        <f t="shared" si="18"/>
        <v>17568</v>
      </c>
      <c r="X69" s="8">
        <f>IFERROR(W69/W444, "NA")</f>
        <v>-0.26225389066663951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17568</v>
      </c>
      <c r="AD69" s="8">
        <f>IFERROR(AC69/AC444, "NA")</f>
        <v>0.23195943667446678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6071.3</v>
      </c>
      <c r="C73" s="15">
        <f>IFERROR(B73/B444, "NA")</f>
        <v>7.0569547496154378E-2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6071.3</v>
      </c>
      <c r="I73" s="15">
        <f>IFERROR(H73/H444, "NA")</f>
        <v>-0.70791104851009046</v>
      </c>
      <c r="J73" s="2"/>
      <c r="K73" s="14">
        <f>IFERROR(K64+K65+K66+K67+K68+K69+K70+K71+K72, "NA")</f>
        <v>866.93</v>
      </c>
      <c r="L73" s="15">
        <f>IFERROR(K73/K444, "NA")</f>
        <v>9.8872951228661174E-3</v>
      </c>
      <c r="M73" s="2"/>
      <c r="N73" s="14">
        <f t="shared" si="17"/>
        <v>5204.37</v>
      </c>
      <c r="O73" s="15">
        <f>IFERROR(N73/N444, "NA")</f>
        <v>-3.157320957320946</v>
      </c>
      <c r="P73" s="2"/>
      <c r="Q73" s="14">
        <f>IFERROR(Q64+Q65+Q66+Q67+Q68+Q69+Q70+Q71+Q72, "NA")</f>
        <v>79385.22</v>
      </c>
      <c r="R73" s="15">
        <f>IFERROR(Q73/Q444, "NA")</f>
        <v>6.4348206834803856E-2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79385.22</v>
      </c>
      <c r="X73" s="15">
        <f>IFERROR(W73/W444, "NA")</f>
        <v>-1.1850570814223091</v>
      </c>
      <c r="Y73" s="2"/>
      <c r="Z73" s="14">
        <f>IFERROR(Z64+Z65+Z66+Z67+Z68+Z69+Z70+Z71+Z72, "NA")</f>
        <v>4621.95</v>
      </c>
      <c r="AA73" s="15">
        <f>IFERROR(Z73/Z444, "NA")</f>
        <v>3.9915123742324272E-3</v>
      </c>
      <c r="AB73" s="2"/>
      <c r="AC73" s="14">
        <f t="shared" si="19"/>
        <v>74763.27</v>
      </c>
      <c r="AD73" s="15">
        <f>IFERROR(AC73/AC444, "NA")</f>
        <v>0.98713831928170892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1608.36</v>
      </c>
      <c r="F75" s="8">
        <f>IFERROR(E75/E444, "NA")</f>
        <v>1.7000034457529612E-2</v>
      </c>
      <c r="G75" s="9"/>
      <c r="H75" s="10">
        <f t="shared" ref="H75:H92" si="20">IFERROR(B75-E75, "NA")</f>
        <v>-1608.36</v>
      </c>
      <c r="I75" s="8">
        <f>IFERROR(H75/H444, "NA")</f>
        <v>0.18753410537803913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22111.4</v>
      </c>
      <c r="U75" s="8">
        <f>IFERROR(T75/T444, "NA")</f>
        <v>1.7000001806760506E-2</v>
      </c>
      <c r="V75" s="9"/>
      <c r="W75" s="10">
        <f t="shared" ref="W75:W92" si="22">IFERROR(Q75-T75, "NA")</f>
        <v>-22111.4</v>
      </c>
      <c r="X75" s="8">
        <f>IFERROR(W75/W444, "NA")</f>
        <v>0.33007745207686323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142.5</v>
      </c>
      <c r="C77" s="8">
        <f>IFERROR(B77/B444, "NA")</f>
        <v>1.6563438667504485E-3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142.5</v>
      </c>
      <c r="I77" s="8">
        <f>IFERROR(H77/H444, "NA")</f>
        <v>-1.6615440583184475E-2</v>
      </c>
      <c r="J77" s="9"/>
      <c r="K77" s="7">
        <v>666.65</v>
      </c>
      <c r="L77" s="8">
        <f>IFERROR(K77/K444, "NA")</f>
        <v>7.6031113165523139E-3</v>
      </c>
      <c r="M77" s="9"/>
      <c r="N77" s="10">
        <f t="shared" si="21"/>
        <v>-524.15</v>
      </c>
      <c r="O77" s="8">
        <f>IFERROR(N77/N444, "NA")</f>
        <v>0.31798465131798354</v>
      </c>
      <c r="P77" s="9"/>
      <c r="Q77" s="7">
        <v>4381.28</v>
      </c>
      <c r="R77" s="8">
        <f>IFERROR(Q77/Q444, "NA")</f>
        <v>3.5513854045021152E-3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4381.28</v>
      </c>
      <c r="X77" s="8">
        <f>IFERROR(W77/W444, "NA")</f>
        <v>-6.540344524703634E-2</v>
      </c>
      <c r="Y77" s="9"/>
      <c r="Z77" s="7">
        <v>3012.91</v>
      </c>
      <c r="AA77" s="8">
        <f>IFERROR(Z77/Z444, "NA")</f>
        <v>2.6019466994339235E-3</v>
      </c>
      <c r="AB77" s="9"/>
      <c r="AC77" s="10">
        <f t="shared" si="23"/>
        <v>1368.37</v>
      </c>
      <c r="AD77" s="8">
        <f>IFERROR(AC77/AC444, "NA")</f>
        <v>1.8067300453224047E-2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56.81</v>
      </c>
      <c r="AA79" s="8">
        <f>IFERROR(Z79/Z444, "NA")</f>
        <v>4.9061071188598795E-5</v>
      </c>
      <c r="AB79" s="9"/>
      <c r="AC79" s="10">
        <f t="shared" si="23"/>
        <v>-56.81</v>
      </c>
      <c r="AD79" s="8">
        <f>IFERROR(AC79/AC444, "NA")</f>
        <v>-7.5009196251573642E-4</v>
      </c>
    </row>
    <row r="80" spans="1:30" ht="16.5" customHeight="1" x14ac:dyDescent="0.45">
      <c r="A80" s="12" t="s">
        <v>76</v>
      </c>
      <c r="B80" s="7">
        <v>1351.84</v>
      </c>
      <c r="C80" s="8">
        <f>IFERROR(B80/B444, "NA")</f>
        <v>1.571306591458194E-2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1351.84</v>
      </c>
      <c r="I80" s="8">
        <f>IFERROR(H80/H444, "NA")</f>
        <v>-0.15762398033664629</v>
      </c>
      <c r="J80" s="9"/>
      <c r="K80" s="7">
        <v>488.73</v>
      </c>
      <c r="L80" s="8">
        <f>IFERROR(K80/K444, "NA")</f>
        <v>5.573942239163898E-3</v>
      </c>
      <c r="M80" s="9"/>
      <c r="N80" s="10">
        <f t="shared" si="21"/>
        <v>863.1099999999999</v>
      </c>
      <c r="O80" s="8">
        <f>IFERROR(N80/N444, "NA")</f>
        <v>-0.52362059028725505</v>
      </c>
      <c r="P80" s="9"/>
      <c r="Q80" s="7">
        <v>13803.35</v>
      </c>
      <c r="R80" s="8">
        <f>IFERROR(Q80/Q444, "NA")</f>
        <v>1.1188742952569631E-2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13803.35</v>
      </c>
      <c r="X80" s="8">
        <f>IFERROR(W80/W444, "NA")</f>
        <v>-0.20605545547207188</v>
      </c>
      <c r="Y80" s="9"/>
      <c r="Z80" s="7">
        <v>16697.98</v>
      </c>
      <c r="AA80" s="8">
        <f>IFERROR(Z80/Z444, "NA")</f>
        <v>1.442036235672943E-2</v>
      </c>
      <c r="AB80" s="9"/>
      <c r="AC80" s="10">
        <f t="shared" si="23"/>
        <v>-2894.6299999999992</v>
      </c>
      <c r="AD80" s="8">
        <f>IFERROR(AC80/AC444, "NA")</f>
        <v>-3.8219304655112224E-2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2.0264542579463737E-5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-3.7319827337579622E-4</v>
      </c>
      <c r="Y82" s="9"/>
      <c r="Z82" s="7">
        <v>25</v>
      </c>
      <c r="AA82" s="8">
        <f>IFERROR(Z82/Z444, "NA")</f>
        <v>2.1589980280143811E-5</v>
      </c>
      <c r="AB82" s="9"/>
      <c r="AC82" s="10">
        <f t="shared" si="23"/>
        <v>0</v>
      </c>
      <c r="AD82" s="8">
        <f>IFERROR(AC82/AC444, "NA")</f>
        <v>0</v>
      </c>
    </row>
    <row r="83" spans="1:30" ht="16.5" customHeight="1" x14ac:dyDescent="0.45">
      <c r="A83" s="12" t="s">
        <v>79</v>
      </c>
      <c r="B83" s="7">
        <v>152.4</v>
      </c>
      <c r="C83" s="8">
        <f>IFERROR(B83/B444, "NA")</f>
        <v>1.7714161774931114E-3</v>
      </c>
      <c r="D83" s="9"/>
      <c r="E83" s="7">
        <v>0</v>
      </c>
      <c r="F83" s="8">
        <f>IFERROR(E83/E444, "NA")</f>
        <v>0</v>
      </c>
      <c r="G83" s="9"/>
      <c r="H83" s="10">
        <f t="shared" si="20"/>
        <v>152.4</v>
      </c>
      <c r="I83" s="8">
        <f>IFERROR(H83/H444, "NA")</f>
        <v>-1.7769776455279395E-2</v>
      </c>
      <c r="J83" s="9"/>
      <c r="K83" s="7">
        <v>0</v>
      </c>
      <c r="L83" s="8">
        <f>IFERROR(K83/K444, "NA")</f>
        <v>0</v>
      </c>
      <c r="M83" s="9"/>
      <c r="N83" s="10">
        <f t="shared" si="21"/>
        <v>152.4</v>
      </c>
      <c r="O83" s="8">
        <f>IFERROR(N83/N444, "NA")</f>
        <v>-9.245609245609214E-2</v>
      </c>
      <c r="P83" s="9"/>
      <c r="Q83" s="7">
        <v>664.59</v>
      </c>
      <c r="R83" s="8">
        <f>IFERROR(Q83/Q444, "NA")</f>
        <v>5.3870449411543226E-4</v>
      </c>
      <c r="S83" s="9"/>
      <c r="T83" s="7">
        <v>0</v>
      </c>
      <c r="U83" s="8">
        <f>IFERROR(T83/T444, "NA")</f>
        <v>0</v>
      </c>
      <c r="V83" s="9"/>
      <c r="W83" s="10">
        <f t="shared" si="22"/>
        <v>664.59</v>
      </c>
      <c r="X83" s="8">
        <f>IFERROR(W83/W444, "NA")</f>
        <v>-9.9209536201128167E-3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664.59</v>
      </c>
      <c r="AD83" s="8">
        <f>IFERROR(AC83/AC444, "NA")</f>
        <v>8.774927255207416E-3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1646.74</v>
      </c>
      <c r="C88" s="15">
        <f>IFERROR(B88/B444, "NA")</f>
        <v>1.9140825958825498E-2</v>
      </c>
      <c r="D88" s="2"/>
      <c r="E88" s="14">
        <f>IFERROR(E75+E76+E77+E78+E79+E80+E81+E82+E83+E84+E85+E86+E87, "NA")</f>
        <v>1608.36</v>
      </c>
      <c r="F88" s="15">
        <f>IFERROR(E88/E444, "NA")</f>
        <v>1.7000034457529612E-2</v>
      </c>
      <c r="G88" s="2"/>
      <c r="H88" s="14">
        <f t="shared" si="20"/>
        <v>38.380000000000109</v>
      </c>
      <c r="I88" s="15">
        <f>IFERROR(H88/H444, "NA")</f>
        <v>-4.4750919970710313E-3</v>
      </c>
      <c r="J88" s="2"/>
      <c r="K88" s="14">
        <f>IFERROR(K75+K76+K77+K78+K79+K80+K81+K82+K83+K84+K85+K86+K87, "NA")</f>
        <v>1155.3800000000001</v>
      </c>
      <c r="L88" s="15">
        <f>IFERROR(K88/K444, "NA")</f>
        <v>1.3177053555716214E-2</v>
      </c>
      <c r="M88" s="2"/>
      <c r="N88" s="14">
        <f t="shared" si="21"/>
        <v>491.3599999999999</v>
      </c>
      <c r="O88" s="15">
        <f>IFERROR(N88/N444, "NA")</f>
        <v>-0.29809203142536367</v>
      </c>
      <c r="P88" s="2"/>
      <c r="Q88" s="14">
        <f>IFERROR(Q75+Q76+Q77+Q78+Q79+Q80+Q81+Q82+Q83+Q84+Q85+Q86+Q87, "NA")</f>
        <v>18874.22</v>
      </c>
      <c r="R88" s="15">
        <f>IFERROR(Q88/Q444, "NA")</f>
        <v>1.5299097393766644E-2</v>
      </c>
      <c r="S88" s="2"/>
      <c r="T88" s="14">
        <f>IFERROR(T75+T76+T77+T78+T79+T80+T81+T82+T83+T84+T85+T86+T87, "NA")</f>
        <v>22111.4</v>
      </c>
      <c r="U88" s="15">
        <f>IFERROR(T88/T444, "NA")</f>
        <v>1.7000001806760506E-2</v>
      </c>
      <c r="V88" s="2"/>
      <c r="W88" s="14">
        <f t="shared" si="22"/>
        <v>-3237.1800000000003</v>
      </c>
      <c r="X88" s="15">
        <f>IFERROR(W88/W444, "NA")</f>
        <v>4.8324399464266407E-2</v>
      </c>
      <c r="Y88" s="2"/>
      <c r="Z88" s="14">
        <f>IFERROR(Z75+Z76+Z77+Z78+Z79+Z80+Z81+Z82+Z83+Z84+Z85+Z86+Z87, "NA")</f>
        <v>19792.7</v>
      </c>
      <c r="AA88" s="15">
        <f>IFERROR(Z88/Z444, "NA")</f>
        <v>1.7092960107632098E-2</v>
      </c>
      <c r="AB88" s="2"/>
      <c r="AC88" s="14">
        <f t="shared" si="23"/>
        <v>-918.47999999999956</v>
      </c>
      <c r="AD88" s="15">
        <f>IFERROR(AC88/AC444, "NA")</f>
        <v>-1.2127168909196502E-2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-29.9</v>
      </c>
      <c r="L89" s="8">
        <f>IFERROR(K89/K444, "NA")</f>
        <v>-3.41008067749065E-4</v>
      </c>
      <c r="M89" s="9"/>
      <c r="N89" s="10">
        <f t="shared" si="21"/>
        <v>29.9</v>
      </c>
      <c r="O89" s="8">
        <f>IFERROR(N89/N444, "NA")</f>
        <v>-1.813935147268474E-2</v>
      </c>
      <c r="P89" s="9"/>
      <c r="Q89" s="7">
        <v>-168.23</v>
      </c>
      <c r="R89" s="8">
        <f>IFERROR(Q89/Q444, "NA")</f>
        <v>-1.3636415992572738E-4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-168.23</v>
      </c>
      <c r="X89" s="8">
        <f>IFERROR(W89/W444, "NA")</f>
        <v>2.5113258212004076E-3</v>
      </c>
      <c r="Y89" s="9"/>
      <c r="Z89" s="7">
        <v>1398.4</v>
      </c>
      <c r="AA89" s="8">
        <f>IFERROR(Z89/Z444, "NA")</f>
        <v>1.2076571369501242E-3</v>
      </c>
      <c r="AB89" s="9"/>
      <c r="AC89" s="10">
        <f t="shared" si="23"/>
        <v>-1566.63</v>
      </c>
      <c r="AD89" s="8">
        <f>IFERROR(AC89/AC444, "NA")</f>
        <v>-2.0685030298117024E-2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-3311.32</v>
      </c>
      <c r="F94" s="8">
        <f>IFERROR(E94/E444, "NA")</f>
        <v>-3.4999971461555229E-2</v>
      </c>
      <c r="G94" s="9"/>
      <c r="H94" s="10">
        <f t="shared" ref="H94:H124" si="24">IFERROR(B94-E94, "NA")</f>
        <v>3311.32</v>
      </c>
      <c r="I94" s="8">
        <f>IFERROR(H94/H444, "NA")</f>
        <v>-0.386098531311652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-45523.46</v>
      </c>
      <c r="U94" s="8">
        <f>IFERROR(T94/T444, "NA")</f>
        <v>-3.4999995579203018E-2</v>
      </c>
      <c r="V94" s="9"/>
      <c r="W94" s="10">
        <f t="shared" ref="W94:W124" si="26">IFERROR(Q94-T94, "NA")</f>
        <v>45523.46</v>
      </c>
      <c r="X94" s="8">
        <f>IFERROR(W94/W444, "NA")</f>
        <v>-0.67957106680368495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-1968.95</v>
      </c>
      <c r="C96" s="8">
        <f>IFERROR(B96/B444, "NA")</f>
        <v>-2.2886022852198568E-2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-1968.95</v>
      </c>
      <c r="I96" s="8">
        <f>IFERROR(H96/H444, "NA")</f>
        <v>0.22957874902639347</v>
      </c>
      <c r="J96" s="9"/>
      <c r="K96" s="7">
        <v>-1411.1</v>
      </c>
      <c r="L96" s="8">
        <f>IFERROR(K96/K444, "NA")</f>
        <v>-1.6093527906378115E-2</v>
      </c>
      <c r="M96" s="9"/>
      <c r="N96" s="10">
        <f t="shared" si="25"/>
        <v>-557.85000000000014</v>
      </c>
      <c r="O96" s="8">
        <f>IFERROR(N96/N444, "NA")</f>
        <v>0.33842933842933731</v>
      </c>
      <c r="P96" s="9"/>
      <c r="Q96" s="7">
        <v>-23532.6</v>
      </c>
      <c r="R96" s="8">
        <f>IFERROR(Q96/Q444, "NA")</f>
        <v>-1.9075094988219531E-2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-23532.6</v>
      </c>
      <c r="X96" s="8">
        <f>IFERROR(W96/W444, "NA")</f>
        <v>0.35129302752173047</v>
      </c>
      <c r="Y96" s="9"/>
      <c r="Z96" s="7">
        <v>-2330.66</v>
      </c>
      <c r="AA96" s="8">
        <f>IFERROR(Z96/Z444, "NA")</f>
        <v>-2.012756137588799E-3</v>
      </c>
      <c r="AB96" s="9"/>
      <c r="AC96" s="10">
        <f t="shared" si="27"/>
        <v>-21201.94</v>
      </c>
      <c r="AD96" s="8">
        <f>IFERROR(AC96/AC444, "NA")</f>
        <v>-0.27994023558776432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-2408.41</v>
      </c>
      <c r="C98" s="8">
        <f>IFERROR(B98/B444, "NA")</f>
        <v>-2.7994071102599632E-2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-2408.41</v>
      </c>
      <c r="I98" s="8">
        <f>IFERROR(H98/H444, "NA")</f>
        <v>0.28081960178910398</v>
      </c>
      <c r="J98" s="9"/>
      <c r="K98" s="7">
        <v>-2454.21</v>
      </c>
      <c r="L98" s="8">
        <f>IFERROR(K98/K444, "NA")</f>
        <v>-2.7990147489981031E-2</v>
      </c>
      <c r="M98" s="9"/>
      <c r="N98" s="10">
        <f t="shared" si="25"/>
        <v>45.800000000000182</v>
      </c>
      <c r="O98" s="8">
        <f>IFERROR(N98/N444, "NA")</f>
        <v>-2.7785361118694465E-2</v>
      </c>
      <c r="P98" s="9"/>
      <c r="Q98" s="7">
        <v>-22917.99</v>
      </c>
      <c r="R98" s="8">
        <f>IFERROR(Q98/Q444, "NA")</f>
        <v>-1.8576903367628968E-2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-22917.99</v>
      </c>
      <c r="X98" s="8">
        <f>IFERROR(W98/W444, "NA")</f>
        <v>0.34211817188975058</v>
      </c>
      <c r="Y98" s="9"/>
      <c r="Z98" s="7">
        <v>-25238.67</v>
      </c>
      <c r="AA98" s="8">
        <f>IFERROR(Z98/Z444, "NA")</f>
        <v>-2.1796095503882285E-2</v>
      </c>
      <c r="AB98" s="9"/>
      <c r="AC98" s="10">
        <f t="shared" si="27"/>
        <v>2320.6799999999967</v>
      </c>
      <c r="AD98" s="8">
        <f>IFERROR(AC98/AC444, "NA")</f>
        <v>3.0641144438849088E-2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-19.100000000000001</v>
      </c>
      <c r="C100" s="8">
        <f>IFERROR(B100/B444, "NA")</f>
        <v>-2.2200819547321804E-4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-19.100000000000001</v>
      </c>
      <c r="I100" s="8">
        <f>IFERROR(H100/H444, "NA")</f>
        <v>2.2270520360619193E-3</v>
      </c>
      <c r="J100" s="9"/>
      <c r="K100" s="7">
        <v>-49.15</v>
      </c>
      <c r="L100" s="8">
        <f>IFERROR(K100/K444, "NA")</f>
        <v>-5.6055339564771054E-4</v>
      </c>
      <c r="M100" s="9"/>
      <c r="N100" s="10">
        <f t="shared" si="25"/>
        <v>30.049999999999997</v>
      </c>
      <c r="O100" s="8">
        <f>IFERROR(N100/N444, "NA")</f>
        <v>-1.823035156368483E-2</v>
      </c>
      <c r="P100" s="9"/>
      <c r="Q100" s="7">
        <v>-2328.48</v>
      </c>
      <c r="R100" s="8">
        <f>IFERROR(Q100/Q444, "NA")</f>
        <v>-1.8874232842171889E-3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-2328.48</v>
      </c>
      <c r="X100" s="8">
        <f>IFERROR(W100/W444, "NA")</f>
        <v>3.4759388623602963E-2</v>
      </c>
      <c r="Y100" s="9"/>
      <c r="Z100" s="7">
        <v>-7469.19</v>
      </c>
      <c r="AA100" s="8">
        <f>IFERROR(Z100/Z444, "NA")</f>
        <v>-6.4503865923458935E-3</v>
      </c>
      <c r="AB100" s="9"/>
      <c r="AC100" s="10">
        <f t="shared" si="27"/>
        <v>5140.7099999999991</v>
      </c>
      <c r="AD100" s="8">
        <f>IFERROR(AC100/AC444, "NA")</f>
        <v>6.7875466513365082E-2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-1227.33</v>
      </c>
      <c r="C102" s="8">
        <f>IFERROR(B102/B444, "NA")</f>
        <v>-1.4265828196342652E-2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-1227.33</v>
      </c>
      <c r="I102" s="8">
        <f>IFERROR(H102/H444, "NA")</f>
        <v>0.14310616625234945</v>
      </c>
      <c r="J102" s="9"/>
      <c r="K102" s="7">
        <v>-635.75</v>
      </c>
      <c r="L102" s="8">
        <f>IFERROR(K102/K444, "NA")</f>
        <v>-7.2506982967046182E-3</v>
      </c>
      <c r="M102" s="9"/>
      <c r="N102" s="10">
        <f t="shared" si="25"/>
        <v>-591.57999999999993</v>
      </c>
      <c r="O102" s="8">
        <f>IFERROR(N102/N444, "NA")</f>
        <v>0.35889222555889089</v>
      </c>
      <c r="P102" s="9"/>
      <c r="Q102" s="7">
        <v>-9247.6</v>
      </c>
      <c r="R102" s="8">
        <f>IFERROR(Q102/Q444, "NA")</f>
        <v>-7.4959353583139545E-3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-9247.6</v>
      </c>
      <c r="X102" s="8">
        <f>IFERROR(W102/W444, "NA")</f>
        <v>0.13804753411480053</v>
      </c>
      <c r="Y102" s="9"/>
      <c r="Z102" s="7">
        <v>-6155.73</v>
      </c>
      <c r="AA102" s="8">
        <f>IFERROR(Z102/Z444, "NA")</f>
        <v>-5.3160835723955859E-3</v>
      </c>
      <c r="AB102" s="9"/>
      <c r="AC102" s="10">
        <f t="shared" si="27"/>
        <v>-3091.8700000000008</v>
      </c>
      <c r="AD102" s="8">
        <f>IFERROR(AC102/AC444, "NA")</f>
        <v>-4.082356690976114E-2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-193.1</v>
      </c>
      <c r="C104" s="8">
        <f>IFERROR(B104/B444, "NA")</f>
        <v>-2.2444912327685028E-3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-193.1</v>
      </c>
      <c r="I104" s="8">
        <f>IFERROR(H104/H444, "NA")</f>
        <v>2.251537948500296E-2</v>
      </c>
      <c r="J104" s="9"/>
      <c r="K104" s="7">
        <v>-755.89</v>
      </c>
      <c r="L104" s="8">
        <f>IFERROR(K104/K444, "NA")</f>
        <v>-8.6208892418341392E-3</v>
      </c>
      <c r="M104" s="9"/>
      <c r="N104" s="10">
        <f t="shared" si="25"/>
        <v>562.79</v>
      </c>
      <c r="O104" s="8">
        <f>IFERROR(N104/N444, "NA")</f>
        <v>-0.34142627475960685</v>
      </c>
      <c r="P104" s="9"/>
      <c r="Q104" s="7">
        <v>-5317.05</v>
      </c>
      <c r="R104" s="8">
        <f>IFERROR(Q104/Q444, "NA")</f>
        <v>-4.3099034448855064E-3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-5317.05</v>
      </c>
      <c r="X104" s="8">
        <f>IFERROR(W104/W444, "NA")</f>
        <v>7.9372555178111093E-2</v>
      </c>
      <c r="Y104" s="9"/>
      <c r="Z104" s="7">
        <v>-7111.75</v>
      </c>
      <c r="AA104" s="8">
        <f>IFERROR(Z104/Z444, "NA")</f>
        <v>-6.1417016902925101E-3</v>
      </c>
      <c r="AB104" s="9"/>
      <c r="AC104" s="10">
        <f t="shared" si="27"/>
        <v>1794.6999999999998</v>
      </c>
      <c r="AD104" s="8">
        <f>IFERROR(AC104/AC444, "NA")</f>
        <v>2.369635706965309E-2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-80.05</v>
      </c>
      <c r="R106" s="8">
        <f>IFERROR(Q106/Q444, "NA")</f>
        <v>-6.4887065339442885E-5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-80.05</v>
      </c>
      <c r="X106" s="8">
        <f>IFERROR(W106/W444, "NA")</f>
        <v>1.1949808713492996E-3</v>
      </c>
      <c r="Y106" s="9"/>
      <c r="Z106" s="7">
        <v>-2440.94</v>
      </c>
      <c r="AA106" s="8">
        <f>IFERROR(Z106/Z444, "NA")</f>
        <v>-2.1079938586005694E-3</v>
      </c>
      <c r="AB106" s="9"/>
      <c r="AC106" s="10">
        <f t="shared" si="27"/>
        <v>2360.89</v>
      </c>
      <c r="AD106" s="8">
        <f>IFERROR(AC106/AC444, "NA")</f>
        <v>3.1172057971902426E-2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-75</v>
      </c>
      <c r="AA108" s="8">
        <f>IFERROR(Z108/Z444, "NA")</f>
        <v>-6.4769940840431431E-5</v>
      </c>
      <c r="AB108" s="9"/>
      <c r="AC108" s="10">
        <f t="shared" si="27"/>
        <v>75</v>
      </c>
      <c r="AD108" s="8">
        <f>IFERROR(AC108/AC444, "NA")</f>
        <v>9.9026398853512107E-4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-5816.89</v>
      </c>
      <c r="C118" s="15">
        <f>IFERROR(B118/B444, "NA")</f>
        <v>-6.7612421579382576E-2</v>
      </c>
      <c r="D118" s="2"/>
      <c r="E118" s="14">
        <f>IFERROR(E94+E95+E96+E97+E98+E99+E100+E101+E102+E103+E104+E105+E106+E107+E108+E109+E110+E111+E112+E113+E114+E115+E116+E117, "NA")</f>
        <v>-3311.32</v>
      </c>
      <c r="F118" s="15">
        <f>IFERROR(E118/E444, "NA")</f>
        <v>-3.4999971461555229E-2</v>
      </c>
      <c r="G118" s="2"/>
      <c r="H118" s="14">
        <f t="shared" si="24"/>
        <v>-2505.5700000000002</v>
      </c>
      <c r="I118" s="15">
        <f>IFERROR(H118/H444, "NA")</f>
        <v>0.29214841727725982</v>
      </c>
      <c r="J118" s="2"/>
      <c r="K118" s="14">
        <f>IFERROR(K94+K95+K96+K97+K98+K99+K100+K101+K102+K103+K104+K105+K106+K107+K108+K109+K110+K111+K112+K113+K114+K115+K116+K117, "NA")</f>
        <v>-5306.1</v>
      </c>
      <c r="L118" s="15">
        <f>IFERROR(K118/K444, "NA")</f>
        <v>-6.0515816330545619E-2</v>
      </c>
      <c r="M118" s="2"/>
      <c r="N118" s="14">
        <f t="shared" si="25"/>
        <v>-510.78999999999996</v>
      </c>
      <c r="O118" s="15">
        <f>IFERROR(N118/N444, "NA")</f>
        <v>0.3098795765462421</v>
      </c>
      <c r="P118" s="2"/>
      <c r="Q118" s="14">
        <f>IFERROR(Q94+Q95+Q96+Q97+Q98+Q99+Q100+Q101+Q102+Q103+Q104+Q105+Q106+Q107+Q108+Q109+Q110+Q111+Q112+Q113+Q114+Q115+Q116+Q117, "NA")</f>
        <v>-63423.770000000004</v>
      </c>
      <c r="R118" s="15">
        <f>IFERROR(Q118/Q444, "NA")</f>
        <v>-5.1410147508604592E-2</v>
      </c>
      <c r="S118" s="2"/>
      <c r="T118" s="14">
        <f>IFERROR(T94+T95+T96+T97+T98+T99+T100+T101+T102+T103+T104+T105+T106+T107+T108+T109+T110+T111+T112+T113+T114+T115+T116+T117, "NA")</f>
        <v>-45523.46</v>
      </c>
      <c r="U118" s="15">
        <f>IFERROR(T118/T444, "NA")</f>
        <v>-3.4999995579203018E-2</v>
      </c>
      <c r="V118" s="2"/>
      <c r="W118" s="14">
        <f t="shared" si="26"/>
        <v>-17900.310000000005</v>
      </c>
      <c r="X118" s="15">
        <f>IFERROR(W118/W444, "NA")</f>
        <v>0.26721459139566001</v>
      </c>
      <c r="Y118" s="2"/>
      <c r="Z118" s="14">
        <f>IFERROR(Z94+Z95+Z96+Z97+Z98+Z99+Z100+Z101+Z102+Z103+Z104+Z105+Z106+Z107+Z108+Z109+Z110+Z111+Z112+Z113+Z114+Z115+Z116+Z117, "NA")</f>
        <v>-50821.94</v>
      </c>
      <c r="AA118" s="15">
        <f>IFERROR(Z118/Z444, "NA")</f>
        <v>-4.388978729594608E-2</v>
      </c>
      <c r="AB118" s="2"/>
      <c r="AC118" s="14">
        <f t="shared" si="27"/>
        <v>-12601.830000000002</v>
      </c>
      <c r="AD118" s="15">
        <f>IFERROR(AC118/AC444, "NA")</f>
        <v>-0.16638851251522063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86032.859999999986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94609.22</v>
      </c>
      <c r="F122" s="15">
        <f>IFERROR(E122/E444, "NA")</f>
        <v>1</v>
      </c>
      <c r="G122" s="2"/>
      <c r="H122" s="14">
        <f t="shared" si="24"/>
        <v>-8576.3600000000151</v>
      </c>
      <c r="I122" s="15">
        <f>IFERROR(H122/H444, "NA")</f>
        <v>1.0000000000000018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87681.209999999963</v>
      </c>
      <c r="L122" s="15">
        <f>IFERROR(K122/K444, "NA")</f>
        <v>0.99999999999999956</v>
      </c>
      <c r="M122" s="2"/>
      <c r="N122" s="14">
        <f t="shared" si="25"/>
        <v>-1648.3499999999767</v>
      </c>
      <c r="O122" s="15">
        <f>IFERROR(N122/N444, "NA")</f>
        <v>0.99999999999998235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1233681.93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1300670.45</v>
      </c>
      <c r="U122" s="15">
        <f>IFERROR(T122/T444, "NA")</f>
        <v>1</v>
      </c>
      <c r="V122" s="2"/>
      <c r="W122" s="14">
        <f t="shared" si="26"/>
        <v>-66988.520000000019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1157944.55</v>
      </c>
      <c r="AA122" s="15">
        <f>IFERROR(Z122/Z444, "NA")</f>
        <v>1</v>
      </c>
      <c r="AB122" s="2"/>
      <c r="AC122" s="14">
        <f t="shared" si="27"/>
        <v>75737.379999999888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86032.859999999986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94609.22</v>
      </c>
      <c r="F124" s="15">
        <f>IFERROR(E124/E444, "NA")</f>
        <v>1</v>
      </c>
      <c r="G124" s="2"/>
      <c r="H124" s="14">
        <f t="shared" si="24"/>
        <v>-8576.3600000000151</v>
      </c>
      <c r="I124" s="15">
        <f>IFERROR(H124/H444, "NA")</f>
        <v>1.0000000000000018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87681.209999999963</v>
      </c>
      <c r="L124" s="15">
        <f>IFERROR(K124/K444, "NA")</f>
        <v>0.99999999999999956</v>
      </c>
      <c r="M124" s="2"/>
      <c r="N124" s="14">
        <f t="shared" si="25"/>
        <v>-1648.3499999999767</v>
      </c>
      <c r="O124" s="15">
        <f>IFERROR(N124/N444, "NA")</f>
        <v>0.99999999999998235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1233681.93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1300670.45</v>
      </c>
      <c r="U124" s="15">
        <f>IFERROR(T124/T444, "NA")</f>
        <v>1</v>
      </c>
      <c r="V124" s="2"/>
      <c r="W124" s="14">
        <f t="shared" si="26"/>
        <v>-66988.520000000019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1157944.55</v>
      </c>
      <c r="AA124" s="15">
        <f>IFERROR(Z124/Z444, "NA")</f>
        <v>1</v>
      </c>
      <c r="AB124" s="2"/>
      <c r="AC124" s="14">
        <f t="shared" si="27"/>
        <v>75737.379999999888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20435.59</v>
      </c>
      <c r="F129" s="8">
        <f>IFERROR(E129/E444, "NA")</f>
        <v>0.21599998393391256</v>
      </c>
      <c r="G129" s="9"/>
      <c r="H129" s="10">
        <f t="shared" ref="H129:H141" si="28">IFERROR(-(B129-E129), "NA")</f>
        <v>20435.59</v>
      </c>
      <c r="I129" s="8">
        <f>IFERROR(H129/H444, "NA")</f>
        <v>-2.3827812731741669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289184.95</v>
      </c>
      <c r="U129" s="8">
        <f>IFERROR(T129/T444, "NA")</f>
        <v>0.22233529638502975</v>
      </c>
      <c r="V129" s="9"/>
      <c r="W129" s="10">
        <f t="shared" ref="W129:W141" si="30">IFERROR(-(Q129-T129), "NA")</f>
        <v>289184.95</v>
      </c>
      <c r="X129" s="8">
        <f>IFERROR(W129/W444, "NA")</f>
        <v>-4.3169329610506386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4403.54</v>
      </c>
      <c r="C130" s="8">
        <f>IFERROR(B130/B444, "NA")</f>
        <v>5.1184396287651021E-2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-4403.54</v>
      </c>
      <c r="I130" s="8">
        <f>IFERROR(H130/H444, "NA")</f>
        <v>0.51345092789948177</v>
      </c>
      <c r="J130" s="9"/>
      <c r="K130" s="7">
        <v>4695.3100000000004</v>
      </c>
      <c r="L130" s="8">
        <f>IFERROR(K130/K444, "NA")</f>
        <v>5.3549785638222831E-2</v>
      </c>
      <c r="M130" s="9"/>
      <c r="N130" s="10">
        <f t="shared" si="29"/>
        <v>291.77000000000044</v>
      </c>
      <c r="O130" s="8">
        <f>IFERROR(N130/N444, "NA")</f>
        <v>-0.17700731034064332</v>
      </c>
      <c r="P130" s="9"/>
      <c r="Q130" s="7">
        <v>58346.74</v>
      </c>
      <c r="R130" s="8">
        <f>IFERROR(Q130/Q444, "NA")</f>
        <v>4.7294799884116001E-2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-58346.74</v>
      </c>
      <c r="X130" s="8">
        <f>IFERROR(W130/W444, "NA")</f>
        <v>0.87099610500426017</v>
      </c>
      <c r="Y130" s="9"/>
      <c r="Z130" s="7">
        <v>66783.789999999994</v>
      </c>
      <c r="AA130" s="8">
        <f>IFERROR(Z130/Z444, "NA")</f>
        <v>5.7674428365330613E-2</v>
      </c>
      <c r="AB130" s="9"/>
      <c r="AC130" s="10">
        <f t="shared" si="31"/>
        <v>8437.0499999999956</v>
      </c>
      <c r="AD130" s="8">
        <f>IFERROR(AC130/AC444, "NA")</f>
        <v>0.11139875712626986</v>
      </c>
    </row>
    <row r="131" spans="1:30" ht="16.5" customHeight="1" x14ac:dyDescent="0.45">
      <c r="A131" s="12" t="s">
        <v>123</v>
      </c>
      <c r="B131" s="7">
        <v>2343.91</v>
      </c>
      <c r="C131" s="8">
        <f>IFERROR(B131/B444, "NA")</f>
        <v>2.7244357562912588E-2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-2343.91</v>
      </c>
      <c r="I131" s="8">
        <f>IFERROR(H131/H444, "NA")</f>
        <v>0.27329892868303102</v>
      </c>
      <c r="J131" s="9"/>
      <c r="K131" s="7">
        <v>2806.96</v>
      </c>
      <c r="L131" s="8">
        <f>IFERROR(K131/K444, "NA")</f>
        <v>3.2013244342773098E-2</v>
      </c>
      <c r="M131" s="9"/>
      <c r="N131" s="10">
        <f t="shared" si="29"/>
        <v>463.05000000000018</v>
      </c>
      <c r="O131" s="8">
        <f>IFERROR(N131/N444, "NA")</f>
        <v>-0.28091728091728002</v>
      </c>
      <c r="P131" s="9"/>
      <c r="Q131" s="7">
        <v>34016.699999999997</v>
      </c>
      <c r="R131" s="8">
        <f>IFERROR(Q131/Q444, "NA")</f>
        <v>2.7573314622513761E-2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-34016.699999999997</v>
      </c>
      <c r="X131" s="8">
        <f>IFERROR(W131/W444, "NA")</f>
        <v>0.50779894823769789</v>
      </c>
      <c r="Y131" s="9"/>
      <c r="Z131" s="7">
        <v>33229.65</v>
      </c>
      <c r="AA131" s="8">
        <f>IFERROR(Z131/Z444, "NA")</f>
        <v>2.8697099528643234E-2</v>
      </c>
      <c r="AB131" s="9"/>
      <c r="AC131" s="10">
        <f t="shared" si="31"/>
        <v>-787.04999999999563</v>
      </c>
      <c r="AD131" s="8">
        <f>IFERROR(AC131/AC444, "NA")</f>
        <v>-1.0391830295687503E-2</v>
      </c>
    </row>
    <row r="132" spans="1:30" ht="16.5" customHeight="1" x14ac:dyDescent="0.45">
      <c r="A132" s="12" t="s">
        <v>124</v>
      </c>
      <c r="B132" s="7">
        <v>2134.9499999999998</v>
      </c>
      <c r="C132" s="8">
        <f>IFERROR(B132/B444, "NA")</f>
        <v>2.4815518163641193E-2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-2134.9499999999998</v>
      </c>
      <c r="I132" s="8">
        <f>IFERROR(H132/H444, "NA")</f>
        <v>0.24893427981101535</v>
      </c>
      <c r="J132" s="9"/>
      <c r="K132" s="7">
        <v>3099.95</v>
      </c>
      <c r="L132" s="8">
        <f>IFERROR(K132/K444, "NA")</f>
        <v>3.5354781258150975E-2</v>
      </c>
      <c r="M132" s="9"/>
      <c r="N132" s="10">
        <f t="shared" si="29"/>
        <v>965</v>
      </c>
      <c r="O132" s="8">
        <f>IFERROR(N132/N444, "NA")</f>
        <v>-0.58543391876725004</v>
      </c>
      <c r="P132" s="9"/>
      <c r="Q132" s="7">
        <v>49863.94</v>
      </c>
      <c r="R132" s="8">
        <f>IFERROR(Q132/Q444, "NA")</f>
        <v>4.0418797412393001E-2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-49863.94</v>
      </c>
      <c r="X132" s="8">
        <f>IFERROR(W132/W444, "NA")</f>
        <v>0.74436545246857211</v>
      </c>
      <c r="Y132" s="9"/>
      <c r="Z132" s="7">
        <v>40248.26</v>
      </c>
      <c r="AA132" s="8">
        <f>IFERROR(Z132/Z444, "NA")</f>
        <v>3.475836558840404E-2</v>
      </c>
      <c r="AB132" s="9"/>
      <c r="AC132" s="10">
        <f t="shared" si="31"/>
        <v>-9615.68</v>
      </c>
      <c r="AD132" s="8">
        <f>IFERROR(AC132/AC444, "NA")</f>
        <v>-0.12696082172369857</v>
      </c>
    </row>
    <row r="133" spans="1:30" ht="16.5" customHeight="1" x14ac:dyDescent="0.45">
      <c r="A133" s="12" t="s">
        <v>125</v>
      </c>
      <c r="B133" s="7">
        <v>1954.48</v>
      </c>
      <c r="C133" s="8">
        <f>IFERROR(B133/B444, "NA")</f>
        <v>2.2717831303062572E-2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-1954.48</v>
      </c>
      <c r="I133" s="8">
        <f>IFERROR(H133/H444, "NA")</f>
        <v>0.22789155305980624</v>
      </c>
      <c r="J133" s="9"/>
      <c r="K133" s="7">
        <v>2086.06</v>
      </c>
      <c r="L133" s="8">
        <f>IFERROR(K133/K444, "NA")</f>
        <v>2.3791414374870052E-2</v>
      </c>
      <c r="M133" s="9"/>
      <c r="N133" s="10">
        <f t="shared" si="29"/>
        <v>131.57999999999993</v>
      </c>
      <c r="O133" s="8">
        <f>IFERROR(N133/N444, "NA")</f>
        <v>-7.9825279825279497E-2</v>
      </c>
      <c r="P133" s="9"/>
      <c r="Q133" s="7">
        <v>28015.33</v>
      </c>
      <c r="R133" s="8">
        <f>IFERROR(Q133/Q444, "NA")</f>
        <v>2.2708713906509113E-2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-28015.33</v>
      </c>
      <c r="X133" s="8">
        <f>IFERROR(W133/W444, "NA")</f>
        <v>0.41821091136212585</v>
      </c>
      <c r="Y133" s="9"/>
      <c r="Z133" s="7">
        <v>24860.45</v>
      </c>
      <c r="AA133" s="8">
        <f>IFERROR(Z133/Z444, "NA")</f>
        <v>2.1469465010220047E-2</v>
      </c>
      <c r="AB133" s="9"/>
      <c r="AC133" s="10">
        <f t="shared" si="31"/>
        <v>-3154.880000000001</v>
      </c>
      <c r="AD133" s="8">
        <f>IFERROR(AC133/AC444, "NA")</f>
        <v>-4.1655520695329115E-2</v>
      </c>
    </row>
    <row r="134" spans="1:30" ht="16.5" customHeight="1" x14ac:dyDescent="0.45">
      <c r="A134" s="12" t="s">
        <v>126</v>
      </c>
      <c r="B134" s="7">
        <v>934</v>
      </c>
      <c r="C134" s="8">
        <f>IFERROR(B134/B444, "NA")</f>
        <v>1.0856316993297676E-2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-934</v>
      </c>
      <c r="I134" s="8">
        <f>IFERROR(H134/H444, "NA")</f>
        <v>0.10890401055925823</v>
      </c>
      <c r="J134" s="9"/>
      <c r="K134" s="7">
        <v>840.9</v>
      </c>
      <c r="L134" s="8">
        <f>IFERROR(K134/K444, "NA")</f>
        <v>9.5904242197387551E-3</v>
      </c>
      <c r="M134" s="9"/>
      <c r="N134" s="10">
        <f t="shared" si="29"/>
        <v>-93.100000000000023</v>
      </c>
      <c r="O134" s="8">
        <f>IFERROR(N134/N444, "NA")</f>
        <v>5.6480723147389632E-2</v>
      </c>
      <c r="P134" s="9"/>
      <c r="Q134" s="7">
        <v>11851.43</v>
      </c>
      <c r="R134" s="8">
        <f>IFERROR(Q134/Q444, "NA")</f>
        <v>9.6065523145013564E-3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-11851.43</v>
      </c>
      <c r="X134" s="8">
        <f>IFERROR(W134/W444, "NA")</f>
        <v>0.17691732852136452</v>
      </c>
      <c r="Y134" s="9"/>
      <c r="Z134" s="7">
        <v>12410.53</v>
      </c>
      <c r="AA134" s="8">
        <f>IFERROR(Z134/Z444, "NA")</f>
        <v>1.0717723918645327E-2</v>
      </c>
      <c r="AB134" s="9"/>
      <c r="AC134" s="10">
        <f t="shared" si="31"/>
        <v>559.10000000000036</v>
      </c>
      <c r="AD134" s="8">
        <f>IFERROR(AC134/AC444, "NA")</f>
        <v>7.3820879465331547E-3</v>
      </c>
    </row>
    <row r="135" spans="1:30" ht="16.5" customHeight="1" x14ac:dyDescent="0.45">
      <c r="A135" s="12" t="s">
        <v>127</v>
      </c>
      <c r="B135" s="7">
        <v>552.83000000000004</v>
      </c>
      <c r="C135" s="8">
        <f>IFERROR(B135/B444, "NA")</f>
        <v>6.4258005603905306E-3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-552.83000000000004</v>
      </c>
      <c r="I135" s="8">
        <f>IFERROR(H135/H444, "NA")</f>
        <v>6.445974749194297E-2</v>
      </c>
      <c r="J135" s="9"/>
      <c r="K135" s="7">
        <v>788.6</v>
      </c>
      <c r="L135" s="8">
        <f>IFERROR(K135/K444, "NA")</f>
        <v>8.993945224980357E-3</v>
      </c>
      <c r="M135" s="9"/>
      <c r="N135" s="10">
        <f t="shared" si="29"/>
        <v>235.76999999999998</v>
      </c>
      <c r="O135" s="8">
        <f>IFERROR(N135/N444, "NA")</f>
        <v>-0.14303394303394251</v>
      </c>
      <c r="P135" s="9"/>
      <c r="Q135" s="7">
        <v>9516.76</v>
      </c>
      <c r="R135" s="8">
        <f>IFERROR(Q135/Q444, "NA")</f>
        <v>7.7141115295414923E-3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-9516.76</v>
      </c>
      <c r="X135" s="8">
        <f>IFERROR(W135/W444, "NA")</f>
        <v>0.14206553600527369</v>
      </c>
      <c r="Y135" s="9"/>
      <c r="Z135" s="7">
        <v>10956.57</v>
      </c>
      <c r="AA135" s="8">
        <f>IFERROR(Z135/Z444, "NA")</f>
        <v>9.4620852095206112E-3</v>
      </c>
      <c r="AB135" s="9"/>
      <c r="AC135" s="10">
        <f t="shared" si="31"/>
        <v>1439.8099999999995</v>
      </c>
      <c r="AD135" s="8">
        <f>IFERROR(AC135/AC444, "NA")</f>
        <v>1.9010559911103363E-2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588.82000000000005</v>
      </c>
      <c r="L136" s="8">
        <f>IFERROR(K136/K444, "NA")</f>
        <v>6.7154638947158687E-3</v>
      </c>
      <c r="M136" s="9"/>
      <c r="N136" s="10">
        <f t="shared" si="29"/>
        <v>588.82000000000005</v>
      </c>
      <c r="O136" s="8">
        <f>IFERROR(N136/N444, "NA")</f>
        <v>-0.35721782388448931</v>
      </c>
      <c r="P136" s="9"/>
      <c r="Q136" s="7">
        <v>4036.02</v>
      </c>
      <c r="R136" s="8">
        <f>IFERROR(Q136/Q444, "NA")</f>
        <v>3.2715239656626893E-3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-4036.02</v>
      </c>
      <c r="X136" s="8">
        <f>IFERROR(W136/W444, "NA")</f>
        <v>6.024942781240724E-2</v>
      </c>
      <c r="Y136" s="9"/>
      <c r="Z136" s="7">
        <v>8206.19</v>
      </c>
      <c r="AA136" s="8">
        <f>IFERROR(Z136/Z444, "NA")</f>
        <v>7.0868592110045342E-3</v>
      </c>
      <c r="AB136" s="9"/>
      <c r="AC136" s="10">
        <f t="shared" si="31"/>
        <v>4170.17</v>
      </c>
      <c r="AD136" s="8">
        <f>IFERROR(AC136/AC444, "NA")</f>
        <v>5.5060922360926745E-2</v>
      </c>
    </row>
    <row r="137" spans="1:30" ht="16.5" customHeight="1" x14ac:dyDescent="0.45">
      <c r="A137" s="12" t="s">
        <v>129</v>
      </c>
      <c r="B137" s="7">
        <v>407.98</v>
      </c>
      <c r="C137" s="8">
        <f>IFERROR(B137/B444, "NA")</f>
        <v>4.7421415491708634E-3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-407.98</v>
      </c>
      <c r="I137" s="8">
        <f>IFERROR(H137/H444, "NA")</f>
        <v>4.7570297888614749E-2</v>
      </c>
      <c r="J137" s="9"/>
      <c r="K137" s="7">
        <v>648.03</v>
      </c>
      <c r="L137" s="8">
        <f>IFERROR(K137/K444, "NA")</f>
        <v>7.3907511084758057E-3</v>
      </c>
      <c r="M137" s="9"/>
      <c r="N137" s="10">
        <f t="shared" si="29"/>
        <v>240.04999999999995</v>
      </c>
      <c r="O137" s="8">
        <f>IFERROR(N137/N444, "NA")</f>
        <v>-0.14563047896381176</v>
      </c>
      <c r="P137" s="9"/>
      <c r="Q137" s="7">
        <v>6332.89</v>
      </c>
      <c r="R137" s="8">
        <f>IFERROR(Q137/Q444, "NA")</f>
        <v>5.1333247622424045E-3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-6332.89</v>
      </c>
      <c r="X137" s="8">
        <f>IFERROR(W137/W444, "NA")</f>
        <v>9.4536944539153858E-2</v>
      </c>
      <c r="Y137" s="9"/>
      <c r="Z137" s="7">
        <v>5293.14</v>
      </c>
      <c r="AA137" s="8">
        <f>IFERROR(Z137/Z444, "NA")</f>
        <v>4.5711515288016169E-3</v>
      </c>
      <c r="AB137" s="9"/>
      <c r="AC137" s="10">
        <f t="shared" si="31"/>
        <v>-1039.75</v>
      </c>
      <c r="AD137" s="8">
        <f>IFERROR(AC137/AC444, "NA")</f>
        <v>-1.3728359761058562E-2</v>
      </c>
    </row>
    <row r="138" spans="1:30" ht="16.5" customHeight="1" x14ac:dyDescent="0.45">
      <c r="A138" s="12" t="s">
        <v>130</v>
      </c>
      <c r="B138" s="7">
        <v>6651.32</v>
      </c>
      <c r="C138" s="8">
        <f>IFERROR(B138/B444, "NA")</f>
        <v>7.7311390089786616E-2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-6651.32</v>
      </c>
      <c r="I138" s="8">
        <f>IFERROR(H138/H444, "NA")</f>
        <v>0.77554113866488805</v>
      </c>
      <c r="J138" s="9"/>
      <c r="K138" s="7">
        <v>4615.3999999999996</v>
      </c>
      <c r="L138" s="8">
        <f>IFERROR(K138/K444, "NA")</f>
        <v>5.2638415916021225E-2</v>
      </c>
      <c r="M138" s="9"/>
      <c r="N138" s="10">
        <f t="shared" si="29"/>
        <v>-2035.92</v>
      </c>
      <c r="O138" s="8">
        <f>IFERROR(N138/N444, "NA")</f>
        <v>1.2351260351260309</v>
      </c>
      <c r="P138" s="9"/>
      <c r="Q138" s="7">
        <v>77296.77</v>
      </c>
      <c r="R138" s="8">
        <f>IFERROR(Q138/Q444, "NA")</f>
        <v>6.2655347476800613E-2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-77296.77</v>
      </c>
      <c r="X138" s="8">
        <f>IFERROR(W138/W444, "NA")</f>
        <v>1.1538808440610417</v>
      </c>
      <c r="Y138" s="9"/>
      <c r="Z138" s="7">
        <v>53890.18</v>
      </c>
      <c r="AA138" s="8">
        <f>IFERROR(Z138/Z444, "NA")</f>
        <v>4.6539516939736014E-2</v>
      </c>
      <c r="AB138" s="9"/>
      <c r="AC138" s="10">
        <f t="shared" si="31"/>
        <v>-23406.590000000004</v>
      </c>
      <c r="AD138" s="8">
        <f>IFERROR(AC138/AC444, "NA")</f>
        <v>-0.30904937561875045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32.799999999999997</v>
      </c>
      <c r="L140" s="8">
        <f>IFERROR(K140/K444, "NA")</f>
        <v>3.7408242883509469E-4</v>
      </c>
      <c r="M140" s="9"/>
      <c r="N140" s="10">
        <f t="shared" si="29"/>
        <v>32.799999999999997</v>
      </c>
      <c r="O140" s="8">
        <f>IFERROR(N140/N444, "NA")</f>
        <v>-1.9898686565353159E-2</v>
      </c>
      <c r="P140" s="9"/>
      <c r="Q140" s="7">
        <v>107.2</v>
      </c>
      <c r="R140" s="8">
        <f>IFERROR(Q140/Q444, "NA")</f>
        <v>8.6894358580740511E-5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-107.2</v>
      </c>
      <c r="X140" s="8">
        <f>IFERROR(W140/W444, "NA")</f>
        <v>1.6002741962354143E-3</v>
      </c>
      <c r="Y140" s="9"/>
      <c r="Z140" s="7">
        <v>282.63</v>
      </c>
      <c r="AA140" s="8">
        <f>IFERROR(Z140/Z444, "NA")</f>
        <v>2.4407904506308181E-4</v>
      </c>
      <c r="AB140" s="9"/>
      <c r="AC140" s="10">
        <f t="shared" si="31"/>
        <v>175.43</v>
      </c>
      <c r="AD140" s="8">
        <f>IFERROR(AC140/AC444, "NA")</f>
        <v>2.3162934867828841E-3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19383.009999999998</v>
      </c>
      <c r="C141" s="15">
        <f>IFERROR(B141/B444, "NA")</f>
        <v>0.22529775250991305</v>
      </c>
      <c r="D141" s="2"/>
      <c r="E141" s="14">
        <f>IFERROR(E129+E130+E131+E132+E133+E134+E135+E136+E137+E138+E139+E140, "NA")</f>
        <v>20435.59</v>
      </c>
      <c r="F141" s="15">
        <f>IFERROR(E141/E444, "NA")</f>
        <v>0.21599998393391256</v>
      </c>
      <c r="G141" s="2"/>
      <c r="H141" s="14">
        <f t="shared" si="28"/>
        <v>1052.5800000000017</v>
      </c>
      <c r="I141" s="15">
        <f>IFERROR(H141/H444, "NA")</f>
        <v>-0.12273038911612871</v>
      </c>
      <c r="J141" s="2"/>
      <c r="K141" s="14">
        <f>IFERROR(K129+K130+K131+K132+K133+K134+K135+K136+K137+K138+K139+K140, "NA")</f>
        <v>20202.829999999998</v>
      </c>
      <c r="L141" s="15">
        <f>IFERROR(K141/K444, "NA")</f>
        <v>0.23041230840678403</v>
      </c>
      <c r="M141" s="2"/>
      <c r="N141" s="14">
        <f t="shared" si="29"/>
        <v>819.81999999999971</v>
      </c>
      <c r="O141" s="15">
        <f>IFERROR(N141/N444, "NA")</f>
        <v>-0.49735796402462878</v>
      </c>
      <c r="P141" s="2"/>
      <c r="Q141" s="14">
        <f>IFERROR(Q129+Q130+Q131+Q132+Q133+Q134+Q135+Q136+Q137+Q138+Q139+Q140, "NA")</f>
        <v>279383.78000000003</v>
      </c>
      <c r="R141" s="15">
        <f>IFERROR(Q141/Q444, "NA")</f>
        <v>0.22646338023286119</v>
      </c>
      <c r="S141" s="2"/>
      <c r="T141" s="14">
        <f>IFERROR(T129+T130+T131+T132+T133+T134+T135+T136+T137+T138+T139+T140, "NA")</f>
        <v>289184.95</v>
      </c>
      <c r="U141" s="15">
        <f>IFERROR(T141/T444, "NA")</f>
        <v>0.22233529638502975</v>
      </c>
      <c r="V141" s="2"/>
      <c r="W141" s="14">
        <f t="shared" si="30"/>
        <v>9801.1699999999837</v>
      </c>
      <c r="X141" s="15">
        <f>IFERROR(W141/W444, "NA")</f>
        <v>-0.14631118884250585</v>
      </c>
      <c r="Y141" s="2"/>
      <c r="Z141" s="14">
        <f>IFERROR(Z129+Z130+Z131+Z132+Z133+Z134+Z135+Z136+Z137+Z138+Z139+Z140, "NA")</f>
        <v>256161.39000000004</v>
      </c>
      <c r="AA141" s="15">
        <f>IFERROR(Z141/Z444, "NA")</f>
        <v>0.22122077434536916</v>
      </c>
      <c r="AB141" s="2"/>
      <c r="AC141" s="14">
        <f t="shared" si="31"/>
        <v>-23222.389999999985</v>
      </c>
      <c r="AD141" s="15">
        <f>IFERROR(AC141/AC444, "NA")</f>
        <v>-0.30661728726290793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1072.1199999999999</v>
      </c>
      <c r="C144" s="8">
        <f>IFERROR(B144/B444, "NA")</f>
        <v>1.2461750080143795E-2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-1072.1199999999999</v>
      </c>
      <c r="I144" s="8">
        <f>IFERROR(H144/H444, "NA")</f>
        <v>0.12500874496872796</v>
      </c>
      <c r="J144" s="9"/>
      <c r="K144" s="7">
        <v>1007.79</v>
      </c>
      <c r="L144" s="8">
        <f>IFERROR(K144/K444, "NA")</f>
        <v>1.1493796675479272E-2</v>
      </c>
      <c r="M144" s="9"/>
      <c r="N144" s="10">
        <f t="shared" si="33"/>
        <v>-64.329999999999927</v>
      </c>
      <c r="O144" s="8">
        <f>IFERROR(N144/N444, "NA")</f>
        <v>3.9026905693572179E-2</v>
      </c>
      <c r="P144" s="9"/>
      <c r="Q144" s="7">
        <v>17337.46</v>
      </c>
      <c r="R144" s="8">
        <f>IFERROR(Q144/Q444, "NA")</f>
        <v>1.4053427855589974E-2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-17337.46</v>
      </c>
      <c r="X144" s="8">
        <f>IFERROR(W144/W444, "NA")</f>
        <v>0.25881240546887729</v>
      </c>
      <c r="Y144" s="9"/>
      <c r="Z144" s="7">
        <v>13396.9</v>
      </c>
      <c r="AA144" s="8">
        <f>IFERROR(Z144/Z444, "NA")</f>
        <v>1.1569552272602344E-2</v>
      </c>
      <c r="AB144" s="9"/>
      <c r="AC144" s="10">
        <f t="shared" si="35"/>
        <v>-3940.5599999999995</v>
      </c>
      <c r="AD144" s="8">
        <f>IFERROR(AC144/AC444, "NA")</f>
        <v>-5.2029262168826085E-2</v>
      </c>
    </row>
    <row r="145" spans="1:30" ht="16.5" customHeight="1" x14ac:dyDescent="0.45">
      <c r="A145" s="12" t="s">
        <v>136</v>
      </c>
      <c r="B145" s="7">
        <v>25.04</v>
      </c>
      <c r="C145" s="8">
        <f>IFERROR(B145/B444, "NA")</f>
        <v>2.9105158191881567E-4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-25.04</v>
      </c>
      <c r="I145" s="8">
        <f>IFERROR(H145/H444, "NA")</f>
        <v>2.9196535593188715E-3</v>
      </c>
      <c r="J145" s="9"/>
      <c r="K145" s="7">
        <v>17.579999999999998</v>
      </c>
      <c r="L145" s="8">
        <f>IFERROR(K145/K444, "NA")</f>
        <v>2.0049905789393187E-4</v>
      </c>
      <c r="M145" s="9"/>
      <c r="N145" s="10">
        <f t="shared" si="33"/>
        <v>-7.4600000000000009</v>
      </c>
      <c r="O145" s="8">
        <f>IFERROR(N145/N444, "NA")</f>
        <v>4.5257378590711772E-3</v>
      </c>
      <c r="P145" s="9"/>
      <c r="Q145" s="7">
        <v>597.5</v>
      </c>
      <c r="R145" s="8">
        <f>IFERROR(Q145/Q444, "NA")</f>
        <v>4.8432256764918333E-4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-597.5</v>
      </c>
      <c r="X145" s="8">
        <f>IFERROR(W145/W444, "NA")</f>
        <v>8.9194387336815305E-3</v>
      </c>
      <c r="Y145" s="9"/>
      <c r="Z145" s="7">
        <v>407.67</v>
      </c>
      <c r="AA145" s="8">
        <f>IFERROR(Z145/Z444, "NA")</f>
        <v>3.5206349043224913E-4</v>
      </c>
      <c r="AB145" s="9"/>
      <c r="AC145" s="10">
        <f t="shared" si="35"/>
        <v>-189.82999999999998</v>
      </c>
      <c r="AD145" s="8">
        <f>IFERROR(AC145/AC444, "NA")</f>
        <v>-2.5064241725816271E-3</v>
      </c>
    </row>
    <row r="146" spans="1:30" ht="16.5" customHeight="1" x14ac:dyDescent="0.45">
      <c r="A146" s="12" t="s">
        <v>137</v>
      </c>
      <c r="B146" s="7">
        <v>170.51</v>
      </c>
      <c r="C146" s="8">
        <f>IFERROR(B146/B444, "NA")</f>
        <v>1.9819171418920629E-3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-170.51</v>
      </c>
      <c r="I146" s="8">
        <f>IFERROR(H146/H444, "NA")</f>
        <v>1.9881394904131822E-2</v>
      </c>
      <c r="J146" s="9"/>
      <c r="K146" s="7">
        <v>121.71</v>
      </c>
      <c r="L146" s="8">
        <f>IFERROR(K146/K444, "NA")</f>
        <v>1.3880967199243713E-3</v>
      </c>
      <c r="M146" s="9"/>
      <c r="N146" s="10">
        <f t="shared" si="33"/>
        <v>-48.8</v>
      </c>
      <c r="O146" s="8">
        <f>IFERROR(N146/N444, "NA")</f>
        <v>2.9605362938696166E-2</v>
      </c>
      <c r="P146" s="9"/>
      <c r="Q146" s="7">
        <v>613.49</v>
      </c>
      <c r="R146" s="8">
        <f>IFERROR(Q146/Q444, "NA")</f>
        <v>4.9728376908300827E-4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-613.49</v>
      </c>
      <c r="X146" s="8">
        <f>IFERROR(W146/W444, "NA")</f>
        <v>9.1581363493326885E-3</v>
      </c>
      <c r="Y146" s="9"/>
      <c r="Z146" s="7">
        <v>3594.03</v>
      </c>
      <c r="AA146" s="8">
        <f>IFERROR(Z146/Z444, "NA")</f>
        <v>3.1038014730498105E-3</v>
      </c>
      <c r="AB146" s="9"/>
      <c r="AC146" s="10">
        <f t="shared" si="35"/>
        <v>2980.54</v>
      </c>
      <c r="AD146" s="8">
        <f>IFERROR(AC146/AC444, "NA")</f>
        <v>3.9353619045179596E-2</v>
      </c>
    </row>
    <row r="147" spans="1:30" ht="16.5" customHeight="1" x14ac:dyDescent="0.45">
      <c r="A147" s="12" t="s">
        <v>138</v>
      </c>
      <c r="B147" s="7">
        <v>-6.99</v>
      </c>
      <c r="C147" s="8">
        <f>IFERROR(B147/B444, "NA")</f>
        <v>-8.1248025463758847E-5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6.99</v>
      </c>
      <c r="I147" s="8">
        <f>IFERROR(H147/H444, "NA")</f>
        <v>-8.1503108544883846E-4</v>
      </c>
      <c r="J147" s="9"/>
      <c r="K147" s="7">
        <v>13.13</v>
      </c>
      <c r="L147" s="8">
        <f>IFERROR(K147/K444, "NA")</f>
        <v>1.4974702105502422E-4</v>
      </c>
      <c r="M147" s="9"/>
      <c r="N147" s="10">
        <f t="shared" si="33"/>
        <v>20.12</v>
      </c>
      <c r="O147" s="8">
        <f>IFERROR(N147/N444, "NA")</f>
        <v>-1.220614553947883E-2</v>
      </c>
      <c r="P147" s="9"/>
      <c r="Q147" s="7">
        <v>141.07</v>
      </c>
      <c r="R147" s="8">
        <f>IFERROR(Q147/Q444, "NA")</f>
        <v>1.1434876086739797E-4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-141.07</v>
      </c>
      <c r="X147" s="8">
        <f>IFERROR(W147/W444, "NA")</f>
        <v>2.1058832170049429E-3</v>
      </c>
      <c r="Y147" s="9"/>
      <c r="Z147" s="7">
        <v>-127.9</v>
      </c>
      <c r="AA147" s="8">
        <f>IFERROR(Z147/Z444, "NA")</f>
        <v>-1.1045433911321574E-4</v>
      </c>
      <c r="AB147" s="9"/>
      <c r="AC147" s="10">
        <f t="shared" si="35"/>
        <v>-268.97000000000003</v>
      </c>
      <c r="AD147" s="8">
        <f>IFERROR(AC147/AC444, "NA")</f>
        <v>-3.5513507332838872E-3</v>
      </c>
    </row>
    <row r="148" spans="1:30" ht="16.5" customHeight="1" x14ac:dyDescent="0.45">
      <c r="A148" s="13" t="s">
        <v>139</v>
      </c>
      <c r="B148" s="14">
        <f>IFERROR(B143+B144+B145+B146+B147, "NA")</f>
        <v>1260.6799999999998</v>
      </c>
      <c r="C148" s="15">
        <f>IFERROR(B148/B444, "NA")</f>
        <v>1.4653470778490914E-2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-1260.6799999999998</v>
      </c>
      <c r="I148" s="15">
        <f>IFERROR(H148/H444, "NA")</f>
        <v>0.14699476234672981</v>
      </c>
      <c r="J148" s="2"/>
      <c r="K148" s="14">
        <f>IFERROR(K143+K144+K145+K146+K147, "NA")</f>
        <v>1160.21</v>
      </c>
      <c r="L148" s="15">
        <f>IFERROR(K148/K444, "NA")</f>
        <v>1.3232139474352601E-2</v>
      </c>
      <c r="M148" s="2"/>
      <c r="N148" s="14">
        <f t="shared" si="33"/>
        <v>-100.4699999999998</v>
      </c>
      <c r="O148" s="15">
        <f>IFERROR(N148/N444, "NA")</f>
        <v>6.0951860951860615E-2</v>
      </c>
      <c r="P148" s="2"/>
      <c r="Q148" s="14">
        <f>IFERROR(Q143+Q144+Q145+Q146+Q147, "NA")</f>
        <v>18689.52</v>
      </c>
      <c r="R148" s="15">
        <f>IFERROR(Q148/Q444, "NA")</f>
        <v>1.5149382953189565E-2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-18689.52</v>
      </c>
      <c r="X148" s="15">
        <f>IFERROR(W148/W444, "NA")</f>
        <v>0.27899586376889646</v>
      </c>
      <c r="Y148" s="2"/>
      <c r="Z148" s="14">
        <f>IFERROR(Z143+Z144+Z145+Z146+Z147, "NA")</f>
        <v>17270.699999999997</v>
      </c>
      <c r="AA148" s="15">
        <f>IFERROR(Z148/Z444, "NA")</f>
        <v>1.4914962896971185E-2</v>
      </c>
      <c r="AB148" s="2"/>
      <c r="AC148" s="14">
        <f t="shared" si="35"/>
        <v>-1418.8200000000033</v>
      </c>
      <c r="AD148" s="15">
        <f>IFERROR(AC148/AC444, "NA")</f>
        <v>-1.8733418029512051E-2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20643.689999999995</v>
      </c>
      <c r="C149" s="15">
        <f>IFERROR(B149/B444, "NA")</f>
        <v>0.23995122328840393</v>
      </c>
      <c r="D149" s="2"/>
      <c r="E149" s="14">
        <f>IFERROR(E127+E129+E130+E131+E132+E133+E134+E135+E136+E137+E138+E139+E140+E143+E144+E145+E146+E147, "NA")</f>
        <v>20435.59</v>
      </c>
      <c r="F149" s="15">
        <f>IFERROR(E149/E444, "NA")</f>
        <v>0.21599998393391256</v>
      </c>
      <c r="G149" s="2"/>
      <c r="H149" s="14">
        <f t="shared" si="32"/>
        <v>-208.09999999999491</v>
      </c>
      <c r="I149" s="15">
        <f>IFERROR(H149/H444, "NA")</f>
        <v>2.4264373230600732E-2</v>
      </c>
      <c r="J149" s="2"/>
      <c r="K149" s="14">
        <f>IFERROR(K127+K129+K130+K131+K132+K133+K134+K135+K136+K137+K138+K139+K140+K143+K144+K145+K146+K147, "NA")</f>
        <v>21363.040000000001</v>
      </c>
      <c r="L149" s="15">
        <f>IFERROR(K149/K444, "NA")</f>
        <v>0.24364444788113668</v>
      </c>
      <c r="M149" s="2"/>
      <c r="N149" s="14">
        <f t="shared" si="33"/>
        <v>719.35000000000582</v>
      </c>
      <c r="O149" s="15">
        <f>IFERROR(N149/N444, "NA")</f>
        <v>-0.43640610307277172</v>
      </c>
      <c r="P149" s="2"/>
      <c r="Q149" s="14">
        <f>IFERROR(Q127+Q129+Q130+Q131+Q132+Q133+Q134+Q135+Q136+Q137+Q138+Q139+Q140+Q143+Q144+Q145+Q146+Q147, "NA")</f>
        <v>298073.30000000005</v>
      </c>
      <c r="R149" s="15">
        <f>IFERROR(Q149/Q444, "NA")</f>
        <v>0.24161276318605077</v>
      </c>
      <c r="S149" s="2"/>
      <c r="T149" s="14">
        <f>IFERROR(T127+T129+T130+T131+T132+T133+T134+T135+T136+T137+T138+T139+T140+T143+T144+T145+T146+T147, "NA")</f>
        <v>289184.95</v>
      </c>
      <c r="U149" s="15">
        <f>IFERROR(T149/T444, "NA")</f>
        <v>0.22233529638502975</v>
      </c>
      <c r="V149" s="2"/>
      <c r="W149" s="14">
        <f t="shared" si="34"/>
        <v>-8888.3500000000349</v>
      </c>
      <c r="X149" s="15">
        <f>IFERROR(W149/W444, "NA")</f>
        <v>0.13268467492639086</v>
      </c>
      <c r="Y149" s="2"/>
      <c r="Z149" s="14">
        <f>IFERROR(Z127+Z129+Z130+Z131+Z132+Z133+Z134+Z135+Z136+Z137+Z138+Z139+Z140+Z143+Z144+Z145+Z146+Z147, "NA")</f>
        <v>273432.09000000003</v>
      </c>
      <c r="AA149" s="15">
        <f>IFERROR(Z149/Z444, "NA")</f>
        <v>0.23613573724234033</v>
      </c>
      <c r="AB149" s="2"/>
      <c r="AC149" s="14">
        <f t="shared" si="35"/>
        <v>-24641.210000000021</v>
      </c>
      <c r="AD149" s="15">
        <f>IFERROR(AC149/AC444, "NA")</f>
        <v>-0.32535070529242044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1702.97</v>
      </c>
      <c r="F153" s="8">
        <f>IFERROR(E153/E444, "NA")</f>
        <v>1.8000042701969216E-2</v>
      </c>
      <c r="G153" s="9"/>
      <c r="H153" s="10">
        <f t="shared" ref="H153:H158" si="36">IFERROR(-(B153-E153), "NA")</f>
        <v>1702.97</v>
      </c>
      <c r="I153" s="8">
        <f>IFERROR(H153/H444, "NA")</f>
        <v>-0.19856559192944326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24560.82</v>
      </c>
      <c r="U153" s="8">
        <f>IFERROR(T153/T444, "NA")</f>
        <v>1.8883199814372656E-2</v>
      </c>
      <c r="V153" s="9"/>
      <c r="W153" s="10">
        <f t="shared" ref="W153:W158" si="38">IFERROR(-(Q153-T153), "NA")</f>
        <v>24560.82</v>
      </c>
      <c r="X153" s="8">
        <f>IFERROR(W153/W444, "NA")</f>
        <v>-0.36664222466774893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2606.98</v>
      </c>
      <c r="C154" s="8">
        <f>IFERROR(B154/B444, "NA")</f>
        <v>3.0302142692919892E-2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-2606.98</v>
      </c>
      <c r="I154" s="8">
        <f>IFERROR(H154/H444, "NA")</f>
        <v>0.30397278099333513</v>
      </c>
      <c r="J154" s="9"/>
      <c r="K154" s="7">
        <v>3063.38</v>
      </c>
      <c r="L154" s="8">
        <f>IFERROR(K154/K444, "NA")</f>
        <v>3.4937702159904042E-2</v>
      </c>
      <c r="M154" s="9"/>
      <c r="N154" s="10">
        <f t="shared" si="37"/>
        <v>456.40000000000009</v>
      </c>
      <c r="O154" s="8">
        <f>IFERROR(N154/N444, "NA")</f>
        <v>-0.27688294354960929</v>
      </c>
      <c r="P154" s="9"/>
      <c r="Q154" s="7">
        <v>37920.47</v>
      </c>
      <c r="R154" s="8">
        <f>IFERROR(Q154/Q444, "NA")</f>
        <v>3.0737639157931092E-2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-37920.47</v>
      </c>
      <c r="X154" s="8">
        <f>IFERROR(W154/W444, "NA")</f>
        <v>0.56607415718394716</v>
      </c>
      <c r="Y154" s="9"/>
      <c r="Z154" s="7">
        <v>37992.769999999997</v>
      </c>
      <c r="AA154" s="8">
        <f>IFERROR(Z154/Z444, "NA")</f>
        <v>3.2810526203521574E-2</v>
      </c>
      <c r="AB154" s="9"/>
      <c r="AC154" s="10">
        <f t="shared" si="39"/>
        <v>72.299999999995634</v>
      </c>
      <c r="AD154" s="8">
        <f>IFERROR(AC154/AC444, "NA")</f>
        <v>9.5461448494779915E-4</v>
      </c>
    </row>
    <row r="155" spans="1:30" ht="16.5" customHeight="1" x14ac:dyDescent="0.45">
      <c r="A155" s="12" t="s">
        <v>144</v>
      </c>
      <c r="B155" s="7">
        <v>1082.19</v>
      </c>
      <c r="C155" s="8">
        <f>IFERROR(B155/B444, "NA")</f>
        <v>1.2578798380060829E-2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-1082.19</v>
      </c>
      <c r="I155" s="8">
        <f>IFERROR(H155/H444, "NA")</f>
        <v>0.12618290276993968</v>
      </c>
      <c r="J155" s="9"/>
      <c r="K155" s="7">
        <v>754.34</v>
      </c>
      <c r="L155" s="8">
        <f>IFERROR(K155/K444, "NA")</f>
        <v>8.6032115660812612E-3</v>
      </c>
      <c r="M155" s="9"/>
      <c r="N155" s="10">
        <f t="shared" si="37"/>
        <v>-327.85</v>
      </c>
      <c r="O155" s="8">
        <f>IFERROR(N155/N444, "NA")</f>
        <v>0.19889586556253155</v>
      </c>
      <c r="P155" s="9"/>
      <c r="Q155" s="7">
        <v>13453.41</v>
      </c>
      <c r="R155" s="8">
        <f>IFERROR(Q155/Q444, "NA")</f>
        <v>1.0905087991359329E-2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-13453.41</v>
      </c>
      <c r="X155" s="8">
        <f>IFERROR(W155/W444, "NA")</f>
        <v>0.20083157532066684</v>
      </c>
      <c r="Y155" s="9"/>
      <c r="Z155" s="7">
        <v>10112.07</v>
      </c>
      <c r="AA155" s="8">
        <f>IFERROR(Z155/Z444, "NA")</f>
        <v>8.7327756756573529E-3</v>
      </c>
      <c r="AB155" s="9"/>
      <c r="AC155" s="10">
        <f t="shared" si="39"/>
        <v>-3341.34</v>
      </c>
      <c r="AD155" s="8">
        <f>IFERROR(AC155/AC444, "NA")</f>
        <v>-4.4117449006025891E-2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155.97999999999999</v>
      </c>
      <c r="AA156" s="8">
        <f>IFERROR(Z156/Z444, "NA")</f>
        <v>1.3470420496387324E-4</v>
      </c>
      <c r="AB156" s="9"/>
      <c r="AC156" s="10">
        <f t="shared" si="39"/>
        <v>155.97999999999999</v>
      </c>
      <c r="AD156" s="8">
        <f>IFERROR(AC156/AC444, "NA")</f>
        <v>2.0594850257561093E-3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3689.17</v>
      </c>
      <c r="C158" s="15">
        <f>IFERROR(B158/B444, "NA")</f>
        <v>4.2880941072980717E-2</v>
      </c>
      <c r="D158" s="2"/>
      <c r="E158" s="14">
        <f>IFERROR(E153+E154+E155+E156+E157, "NA")</f>
        <v>1702.97</v>
      </c>
      <c r="F158" s="15">
        <f>IFERROR(E158/E444, "NA")</f>
        <v>1.8000042701969216E-2</v>
      </c>
      <c r="G158" s="2"/>
      <c r="H158" s="14">
        <f t="shared" si="36"/>
        <v>-1986.2</v>
      </c>
      <c r="I158" s="15">
        <f>IFERROR(H158/H444, "NA")</f>
        <v>0.23159009183383159</v>
      </c>
      <c r="J158" s="2"/>
      <c r="K158" s="14">
        <f>IFERROR(K153+K154+K155+K156+K157, "NA")</f>
        <v>3817.7200000000003</v>
      </c>
      <c r="L158" s="15">
        <f>IFERROR(K158/K444, "NA")</f>
        <v>4.3540913725985307E-2</v>
      </c>
      <c r="M158" s="2"/>
      <c r="N158" s="14">
        <f t="shared" si="37"/>
        <v>128.55000000000018</v>
      </c>
      <c r="O158" s="15">
        <f>IFERROR(N158/N444, "NA")</f>
        <v>-7.7987077987077824E-2</v>
      </c>
      <c r="P158" s="2"/>
      <c r="Q158" s="14">
        <f>IFERROR(Q153+Q154+Q155+Q156+Q157, "NA")</f>
        <v>51373.880000000005</v>
      </c>
      <c r="R158" s="15">
        <f>IFERROR(Q158/Q444, "NA")</f>
        <v>4.1642727149290425E-2</v>
      </c>
      <c r="S158" s="2"/>
      <c r="T158" s="14">
        <f>IFERROR(T153+T154+T155+T156+T157, "NA")</f>
        <v>24560.82</v>
      </c>
      <c r="U158" s="15">
        <f>IFERROR(T158/T444, "NA")</f>
        <v>1.8883199814372656E-2</v>
      </c>
      <c r="V158" s="2"/>
      <c r="W158" s="14">
        <f t="shared" si="38"/>
        <v>-26813.060000000005</v>
      </c>
      <c r="X158" s="15">
        <f>IFERROR(W158/W444, "NA")</f>
        <v>0.40026350783686515</v>
      </c>
      <c r="Y158" s="2"/>
      <c r="Z158" s="14">
        <f>IFERROR(Z153+Z154+Z155+Z156+Z157, "NA")</f>
        <v>48260.82</v>
      </c>
      <c r="AA158" s="15">
        <f>IFERROR(Z158/Z444, "NA")</f>
        <v>4.16780060841428E-2</v>
      </c>
      <c r="AB158" s="2"/>
      <c r="AC158" s="14">
        <f t="shared" si="39"/>
        <v>-3113.0600000000049</v>
      </c>
      <c r="AD158" s="15">
        <f>IFERROR(AC158/AC444, "NA")</f>
        <v>-4.1103349495321989E-2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366.68</v>
      </c>
      <c r="C161" s="8">
        <f>IFERROR(B161/B444, "NA")</f>
        <v>4.2620924144565232E-3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-366.68</v>
      </c>
      <c r="I161" s="8">
        <f>IFERROR(H161/H444, "NA")</f>
        <v>4.275473510906725E-2</v>
      </c>
      <c r="J161" s="9"/>
      <c r="K161" s="7">
        <v>362.5</v>
      </c>
      <c r="L161" s="8">
        <f>IFERROR(K161/K444, "NA")</f>
        <v>4.1342951357537152E-3</v>
      </c>
      <c r="M161" s="9"/>
      <c r="N161" s="10">
        <f t="shared" si="41"/>
        <v>-4.1800000000000068</v>
      </c>
      <c r="O161" s="8">
        <f>IFERROR(N161/N444, "NA")</f>
        <v>2.5358692025358644E-3</v>
      </c>
      <c r="P161" s="9"/>
      <c r="Q161" s="7">
        <v>3956.28</v>
      </c>
      <c r="R161" s="8">
        <f>IFERROR(Q161/Q444, "NA")</f>
        <v>3.206888180651232E-3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-3956.28</v>
      </c>
      <c r="X161" s="8">
        <f>IFERROR(W161/W444, "NA")</f>
        <v>5.9059074599647807E-2</v>
      </c>
      <c r="Y161" s="9"/>
      <c r="Z161" s="7">
        <v>4484.67</v>
      </c>
      <c r="AA161" s="8">
        <f>IFERROR(Z161/Z444, "NA")</f>
        <v>3.8729574745181017E-3</v>
      </c>
      <c r="AB161" s="9"/>
      <c r="AC161" s="10">
        <f t="shared" si="43"/>
        <v>528.38999999999987</v>
      </c>
      <c r="AD161" s="8">
        <f>IFERROR(AC161/AC444, "NA")</f>
        <v>6.9766078520276335E-3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2.3489898544796469E-6</v>
      </c>
      <c r="AB162" s="9"/>
      <c r="AC162" s="10">
        <f t="shared" si="43"/>
        <v>2.72</v>
      </c>
      <c r="AD162" s="8">
        <f>IFERROR(AC162/AC444, "NA")</f>
        <v>3.5913573984207061E-5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366.68</v>
      </c>
      <c r="C166" s="15">
        <f>IFERROR(B166/B444, "NA")</f>
        <v>4.2620924144565232E-3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-366.68</v>
      </c>
      <c r="I166" s="15">
        <f>IFERROR(H166/H444, "NA")</f>
        <v>4.275473510906725E-2</v>
      </c>
      <c r="J166" s="2"/>
      <c r="K166" s="14">
        <f>IFERROR(K160+K161+K162+K163+K164+K165, "NA")</f>
        <v>362.5</v>
      </c>
      <c r="L166" s="15">
        <f>IFERROR(K166/K444, "NA")</f>
        <v>4.1342951357537152E-3</v>
      </c>
      <c r="M166" s="2"/>
      <c r="N166" s="14">
        <f t="shared" si="41"/>
        <v>-4.1800000000000068</v>
      </c>
      <c r="O166" s="15">
        <f>IFERROR(N166/N444, "NA")</f>
        <v>2.5358692025358644E-3</v>
      </c>
      <c r="P166" s="2"/>
      <c r="Q166" s="14">
        <f>IFERROR(Q160+Q161+Q162+Q163+Q164+Q165, "NA")</f>
        <v>3956.28</v>
      </c>
      <c r="R166" s="15">
        <f>IFERROR(Q166/Q444, "NA")</f>
        <v>3.206888180651232E-3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-3956.28</v>
      </c>
      <c r="X166" s="15">
        <f>IFERROR(W166/W444, "NA")</f>
        <v>5.9059074599647807E-2</v>
      </c>
      <c r="Y166" s="2"/>
      <c r="Z166" s="14">
        <f>IFERROR(Z160+Z161+Z162+Z163+Z164+Z165, "NA")</f>
        <v>4487.3900000000003</v>
      </c>
      <c r="AA166" s="15">
        <f>IFERROR(Z166/Z444, "NA")</f>
        <v>3.8753064643725819E-3</v>
      </c>
      <c r="AB166" s="2"/>
      <c r="AC166" s="14">
        <f t="shared" si="43"/>
        <v>531.11000000000013</v>
      </c>
      <c r="AD166" s="15">
        <f>IFERROR(AC166/AC444, "NA")</f>
        <v>7.0125214260118437E-3</v>
      </c>
    </row>
    <row r="167" spans="1:30" ht="16.5" customHeight="1" x14ac:dyDescent="0.45">
      <c r="A167" s="6" t="s">
        <v>155</v>
      </c>
      <c r="B167" s="7">
        <v>315.99</v>
      </c>
      <c r="C167" s="8">
        <f>IFERROR(B167/B444, "NA")</f>
        <v>3.6728989365226263E-3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-315.99</v>
      </c>
      <c r="I167" s="8">
        <f>IFERROR(H167/H444, "NA")</f>
        <v>3.6844302244775168E-2</v>
      </c>
      <c r="J167" s="9"/>
      <c r="K167" s="7">
        <v>307.73</v>
      </c>
      <c r="L167" s="8">
        <f>IFERROR(K167/K444, "NA")</f>
        <v>3.5096459093116985E-3</v>
      </c>
      <c r="M167" s="9"/>
      <c r="N167" s="10">
        <f t="shared" si="41"/>
        <v>-8.2599999999999909</v>
      </c>
      <c r="O167" s="8">
        <f>IFERROR(N167/N444, "NA")</f>
        <v>5.0110716777383209E-3</v>
      </c>
      <c r="P167" s="9"/>
      <c r="Q167" s="7">
        <v>4159.8</v>
      </c>
      <c r="R167" s="8">
        <f>IFERROR(Q167/Q444, "NA")</f>
        <v>3.3718577688821301E-3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-4159.8</v>
      </c>
      <c r="X167" s="8">
        <f>IFERROR(W167/W444, "NA")</f>
        <v>6.2097207103545486E-2</v>
      </c>
      <c r="Y167" s="9"/>
      <c r="Z167" s="7">
        <v>4152.59</v>
      </c>
      <c r="AA167" s="8">
        <f>IFERROR(Z167/Z444, "NA")</f>
        <v>3.5861734484608958E-3</v>
      </c>
      <c r="AB167" s="9"/>
      <c r="AC167" s="10">
        <f t="shared" si="43"/>
        <v>-7.2100000000000364</v>
      </c>
      <c r="AD167" s="8">
        <f>IFERROR(AC167/AC444, "NA")</f>
        <v>-9.5197378097843457E-5</v>
      </c>
    </row>
    <row r="168" spans="1:30" ht="16.5" customHeight="1" x14ac:dyDescent="0.45">
      <c r="A168" s="6" t="s">
        <v>156</v>
      </c>
      <c r="B168" s="7">
        <v>30.31</v>
      </c>
      <c r="C168" s="8">
        <f>IFERROR(B168/B444, "NA")</f>
        <v>3.5230724632425331E-4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-30.31</v>
      </c>
      <c r="I168" s="8">
        <f>IFERROR(H168/H444, "NA")</f>
        <v>3.5341333619390972E-3</v>
      </c>
      <c r="J168" s="9"/>
      <c r="K168" s="7">
        <v>38.799999999999997</v>
      </c>
      <c r="L168" s="8">
        <f>IFERROR(K168/K444, "NA")</f>
        <v>4.4251214142688035E-4</v>
      </c>
      <c r="M168" s="9"/>
      <c r="N168" s="10">
        <f t="shared" si="41"/>
        <v>8.4899999999999984</v>
      </c>
      <c r="O168" s="8">
        <f>IFERROR(N168/N444, "NA")</f>
        <v>-5.1506051506051316E-3</v>
      </c>
      <c r="P168" s="9"/>
      <c r="Q168" s="7">
        <v>567.09</v>
      </c>
      <c r="R168" s="8">
        <f>IFERROR(Q168/Q444, "NA")</f>
        <v>4.5967277805552365E-4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-567.09</v>
      </c>
      <c r="X168" s="8">
        <f>IFERROR(W168/W444, "NA")</f>
        <v>8.465480353947211E-3</v>
      </c>
      <c r="Y168" s="9"/>
      <c r="Z168" s="7">
        <v>497.2</v>
      </c>
      <c r="AA168" s="8">
        <f>IFERROR(Z168/Z444, "NA")</f>
        <v>4.2938152781150007E-4</v>
      </c>
      <c r="AB168" s="9"/>
      <c r="AC168" s="10">
        <f t="shared" si="43"/>
        <v>-69.890000000000043</v>
      </c>
      <c r="AD168" s="8">
        <f>IFERROR(AC168/AC444, "NA")</f>
        <v>-9.2279400211626214E-4</v>
      </c>
    </row>
    <row r="169" spans="1:30" ht="16.5" customHeight="1" x14ac:dyDescent="0.45">
      <c r="A169" s="6" t="s">
        <v>157</v>
      </c>
      <c r="B169" s="7">
        <v>-1449.95</v>
      </c>
      <c r="C169" s="8">
        <f>IFERROR(B169/B444, "NA")</f>
        <v>-1.6853444137507459E-2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1449.95</v>
      </c>
      <c r="I169" s="8">
        <f>IFERROR(H169/H444, "NA")</f>
        <v>-0.16906356542869003</v>
      </c>
      <c r="J169" s="9"/>
      <c r="K169" s="7">
        <v>-2157.1999999999998</v>
      </c>
      <c r="L169" s="8">
        <f>IFERROR(K169/K444, "NA")</f>
        <v>-2.4602762667166655E-2</v>
      </c>
      <c r="M169" s="9"/>
      <c r="N169" s="10">
        <f t="shared" si="41"/>
        <v>-707.24999999999977</v>
      </c>
      <c r="O169" s="8">
        <f>IFERROR(N169/N444, "NA")</f>
        <v>0.42906542906542744</v>
      </c>
      <c r="P169" s="9"/>
      <c r="Q169" s="7">
        <v>-18219.54</v>
      </c>
      <c r="R169" s="8">
        <f>IFERROR(Q169/Q444, "NA")</f>
        <v>-1.4768425764329711E-2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18219.54</v>
      </c>
      <c r="X169" s="8">
        <f>IFERROR(W169/W444, "NA")</f>
        <v>-0.27198003478805016</v>
      </c>
      <c r="Y169" s="9"/>
      <c r="Z169" s="7">
        <v>-25552.42</v>
      </c>
      <c r="AA169" s="8">
        <f>IFERROR(Z169/Z444, "NA")</f>
        <v>-2.2067049756398092E-2</v>
      </c>
      <c r="AB169" s="9"/>
      <c r="AC169" s="10">
        <f t="shared" si="43"/>
        <v>-7332.8799999999974</v>
      </c>
      <c r="AD169" s="8">
        <f>IFERROR(AC169/AC444, "NA")</f>
        <v>-9.6819826616658888E-2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2952.2000000000007</v>
      </c>
      <c r="C170" s="15">
        <f>IFERROR(B170/B444, "NA")</f>
        <v>3.4314795532776672E-2</v>
      </c>
      <c r="D170" s="2"/>
      <c r="E170" s="14">
        <f>IFERROR(E151+E153+E154+E155+E156+E157+E160+E161+E162+E163+E164+E165+E167+E168+E169, "NA")</f>
        <v>1702.97</v>
      </c>
      <c r="F170" s="15">
        <f>IFERROR(E170/E444, "NA")</f>
        <v>1.8000042701969216E-2</v>
      </c>
      <c r="G170" s="2"/>
      <c r="H170" s="14">
        <f t="shared" si="40"/>
        <v>-1249.2300000000007</v>
      </c>
      <c r="I170" s="15">
        <f>IFERROR(H170/H444, "NA")</f>
        <v>0.14565969712092317</v>
      </c>
      <c r="J170" s="2"/>
      <c r="K170" s="14">
        <f>IFERROR(K151+K153+K154+K155+K156+K157+K160+K161+K162+K163+K164+K165+K167+K168+K169, "NA")</f>
        <v>2369.5500000000011</v>
      </c>
      <c r="L170" s="15">
        <f>IFERROR(K170/K444, "NA")</f>
        <v>2.7024604245310949E-2</v>
      </c>
      <c r="M170" s="2"/>
      <c r="N170" s="14">
        <f t="shared" si="41"/>
        <v>-582.64999999999964</v>
      </c>
      <c r="O170" s="15">
        <f>IFERROR(N170/N444, "NA")</f>
        <v>0.35347468680801869</v>
      </c>
      <c r="P170" s="2"/>
      <c r="Q170" s="14">
        <f>IFERROR(Q151+Q153+Q154+Q155+Q156+Q157+Q160+Q161+Q162+Q163+Q164+Q165+Q167+Q168+Q169, "NA")</f>
        <v>41837.51</v>
      </c>
      <c r="R170" s="15">
        <f>IFERROR(Q170/Q444, "NA")</f>
        <v>3.3912720112549595E-2</v>
      </c>
      <c r="S170" s="2"/>
      <c r="T170" s="14">
        <f>IFERROR(T151+T153+T154+T155+T156+T157+T160+T161+T162+T163+T164+T165+T167+T168+T169, "NA")</f>
        <v>24560.82</v>
      </c>
      <c r="U170" s="15">
        <f>IFERROR(T170/T444, "NA")</f>
        <v>1.8883199814372656E-2</v>
      </c>
      <c r="V170" s="2"/>
      <c r="W170" s="14">
        <f t="shared" si="42"/>
        <v>-17276.690000000002</v>
      </c>
      <c r="X170" s="15">
        <f>IFERROR(W170/W444, "NA")</f>
        <v>0.25790523510595542</v>
      </c>
      <c r="Y170" s="2"/>
      <c r="Z170" s="14">
        <f>IFERROR(Z151+Z153+Z154+Z155+Z156+Z157+Z160+Z161+Z162+Z163+Z164+Z165+Z167+Z168+Z169, "NA")</f>
        <v>31845.58</v>
      </c>
      <c r="AA170" s="15">
        <f>IFERROR(Z170/Z444, "NA")</f>
        <v>2.7501817768389687E-2</v>
      </c>
      <c r="AB170" s="2"/>
      <c r="AC170" s="14">
        <f t="shared" si="43"/>
        <v>-9991.93</v>
      </c>
      <c r="AD170" s="15">
        <f>IFERROR(AC170/AC444, "NA")</f>
        <v>-0.1319286460661831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23595.889999999996</v>
      </c>
      <c r="C171" s="15">
        <f>IFERROR(B171/B444, "NA")</f>
        <v>0.27426601882118062</v>
      </c>
      <c r="D171" s="2"/>
      <c r="E171" s="14">
        <f>IFERROR(E127+E129+E130+E131+E132+E133+E134+E135+E136+E137+E138+E139+E140+E143+E144+E145+E146+E147+E151+E153+E154+E155+E156+E157+E160+E161+E162+E163+E164+E165+E167+E168+E169, "NA")</f>
        <v>22138.560000000001</v>
      </c>
      <c r="F171" s="15">
        <f>IFERROR(E171/E444, "NA")</f>
        <v>0.23400002663588179</v>
      </c>
      <c r="G171" s="2"/>
      <c r="H171" s="14">
        <f t="shared" si="40"/>
        <v>-1457.3299999999945</v>
      </c>
      <c r="I171" s="15">
        <f>IFERROR(H171/H444, "NA")</f>
        <v>0.16992407035152376</v>
      </c>
      <c r="J171" s="2"/>
      <c r="K171" s="14">
        <f>IFERROR(K127+K129+K130+K131+K132+K133+K134+K135+K136+K137+K138+K139+K140+K143+K144+K145+K146+K147+K151+K153+K154+K155+K156+K157+K160+K161+K162+K163+K164+K165+K167+K168+K169, "NA")</f>
        <v>23732.59</v>
      </c>
      <c r="L171" s="15">
        <f>IFERROR(K171/K444, "NA")</f>
        <v>0.2706690521264476</v>
      </c>
      <c r="M171" s="2"/>
      <c r="N171" s="14">
        <f t="shared" si="41"/>
        <v>136.70000000000437</v>
      </c>
      <c r="O171" s="15">
        <f>IFERROR(N171/N444, "NA")</f>
        <v>-8.293141626475195E-2</v>
      </c>
      <c r="P171" s="2"/>
      <c r="Q171" s="14">
        <f>IFERROR(Q127+Q129+Q130+Q131+Q132+Q133+Q134+Q135+Q136+Q137+Q138+Q139+Q140+Q143+Q144+Q145+Q146+Q147+Q151+Q153+Q154+Q155+Q156+Q157+Q160+Q161+Q162+Q163+Q164+Q165+Q167+Q168+Q169, "NA")</f>
        <v>339910.81000000006</v>
      </c>
      <c r="R171" s="15">
        <f>IFERROR(Q171/Q444, "NA")</f>
        <v>0.27552548329860038</v>
      </c>
      <c r="S171" s="2"/>
      <c r="T171" s="14">
        <f>IFERROR(T127+T129+T130+T131+T132+T133+T134+T135+T136+T137+T138+T139+T140+T143+T144+T145+T146+T147+T151+T153+T154+T155+T156+T157+T160+T161+T162+T163+T164+T165+T167+T168+T169, "NA")</f>
        <v>313745.77</v>
      </c>
      <c r="U171" s="15">
        <f>IFERROR(T171/T444, "NA")</f>
        <v>0.24121849619940242</v>
      </c>
      <c r="V171" s="2"/>
      <c r="W171" s="14">
        <f t="shared" si="42"/>
        <v>-26165.040000000037</v>
      </c>
      <c r="X171" s="15">
        <f>IFERROR(W171/W444, "NA")</f>
        <v>0.39058991003234628</v>
      </c>
      <c r="Y171" s="2"/>
      <c r="Z171" s="14">
        <f>IFERROR(Z127+Z129+Z130+Z131+Z132+Z133+Z134+Z135+Z136+Z137+Z138+Z139+Z140+Z143+Z144+Z145+Z146+Z147+Z151+Z153+Z154+Z155+Z156+Z157+Z160+Z161+Z162+Z163+Z164+Z165+Z167+Z168+Z169, "NA")</f>
        <v>305277.67000000004</v>
      </c>
      <c r="AA171" s="15">
        <f>IFERROR(Z171/Z444, "NA")</f>
        <v>0.26363755501073005</v>
      </c>
      <c r="AB171" s="2"/>
      <c r="AC171" s="14">
        <f t="shared" si="43"/>
        <v>-34633.140000000014</v>
      </c>
      <c r="AD171" s="15">
        <f>IFERROR(AC171/AC444, "NA")</f>
        <v>-0.45727935135860343</v>
      </c>
    </row>
    <row r="172" spans="1:30" ht="16.5" customHeight="1" x14ac:dyDescent="0.45">
      <c r="A172" s="22" t="s">
        <v>160</v>
      </c>
      <c r="B172" s="23">
        <f>IFERROR(B124-B171, "NA")</f>
        <v>62436.969999999987</v>
      </c>
      <c r="C172" s="24">
        <f>IFERROR(B172/B444, "NA")</f>
        <v>0.72573398117881915</v>
      </c>
      <c r="D172" s="25"/>
      <c r="E172" s="23">
        <f>IFERROR(E124-E171, "NA")</f>
        <v>72470.66</v>
      </c>
      <c r="F172" s="24">
        <f>IFERROR(E172/E444, "NA")</f>
        <v>0.76599997336411829</v>
      </c>
      <c r="G172" s="25"/>
      <c r="H172" s="23">
        <f>IFERROR(B172-E172, "NA")</f>
        <v>-10033.690000000017</v>
      </c>
      <c r="I172" s="24">
        <f>IFERROR(H172/H444, "NA")</f>
        <v>1.1699240703515263</v>
      </c>
      <c r="J172" s="25"/>
      <c r="K172" s="23">
        <f>IFERROR(K124-K171, "NA")</f>
        <v>63948.619999999966</v>
      </c>
      <c r="L172" s="24">
        <f>IFERROR(K172/K444, "NA")</f>
        <v>0.7293309478735519</v>
      </c>
      <c r="M172" s="25"/>
      <c r="N172" s="23">
        <f>IFERROR(B172-K172, "NA")</f>
        <v>-1511.6499999999796</v>
      </c>
      <c r="O172" s="24">
        <f>IFERROR(N172/N444, "NA")</f>
        <v>0.91706858373523481</v>
      </c>
      <c r="P172" s="25"/>
      <c r="Q172" s="23">
        <f>IFERROR(Q124-Q171, "NA")</f>
        <v>893771.11999999988</v>
      </c>
      <c r="R172" s="24">
        <f>IFERROR(Q172/Q444, "NA")</f>
        <v>0.72447451670139962</v>
      </c>
      <c r="S172" s="25"/>
      <c r="T172" s="23">
        <f>IFERROR(T124-T171, "NA")</f>
        <v>986924.67999999993</v>
      </c>
      <c r="U172" s="24">
        <f>IFERROR(T172/T444, "NA")</f>
        <v>0.75878150380059761</v>
      </c>
      <c r="V172" s="25"/>
      <c r="W172" s="23">
        <f>IFERROR(Q172-T172, "NA")</f>
        <v>-93153.560000000056</v>
      </c>
      <c r="X172" s="24">
        <f>IFERROR(W172/W444, "NA")</f>
        <v>1.3905899100323462</v>
      </c>
      <c r="Y172" s="25"/>
      <c r="Z172" s="23">
        <f>IFERROR(Z124-Z171, "NA")</f>
        <v>852666.88</v>
      </c>
      <c r="AA172" s="24">
        <f>IFERROR(Z172/Z444, "NA")</f>
        <v>0.73636244498926995</v>
      </c>
      <c r="AB172" s="25"/>
      <c r="AC172" s="23">
        <f>IFERROR(Q172-Z172, "NA")</f>
        <v>41104.239999999874</v>
      </c>
      <c r="AD172" s="24">
        <f>IFERROR(AC172/AC444, "NA")</f>
        <v>0.54272064864139657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7050</v>
      </c>
      <c r="C178" s="8">
        <f>IFERROR(B178/B444, "NA")</f>
        <v>8.194543340765377E-2</v>
      </c>
      <c r="D178" s="9"/>
      <c r="E178" s="7">
        <v>6971.15</v>
      </c>
      <c r="F178" s="8">
        <f>IFERROR(E178/E444, "NA")</f>
        <v>7.3683621955661402E-2</v>
      </c>
      <c r="G178" s="9"/>
      <c r="H178" s="10">
        <f t="shared" si="44"/>
        <v>-78.850000000000364</v>
      </c>
      <c r="I178" s="8">
        <f>IFERROR(H178/H444, "NA")</f>
        <v>9.1938771226954506E-3</v>
      </c>
      <c r="J178" s="9"/>
      <c r="K178" s="7">
        <v>6887.31</v>
      </c>
      <c r="L178" s="8">
        <f>IFERROR(K178/K444, "NA")</f>
        <v>7.8549440638421841E-2</v>
      </c>
      <c r="M178" s="9"/>
      <c r="N178" s="10">
        <f t="shared" si="45"/>
        <v>-162.6899999999996</v>
      </c>
      <c r="O178" s="8">
        <f>IFERROR(N178/N444, "NA")</f>
        <v>9.8698698698698101E-2</v>
      </c>
      <c r="P178" s="9"/>
      <c r="Q178" s="7">
        <v>73045</v>
      </c>
      <c r="R178" s="8">
        <f>IFERROR(Q178/Q444, "NA")</f>
        <v>5.9208940508677144E-2</v>
      </c>
      <c r="S178" s="9"/>
      <c r="T178" s="7">
        <v>72499.960000000006</v>
      </c>
      <c r="U178" s="8">
        <f>IFERROR(T178/T444, "NA")</f>
        <v>5.5740452933331429E-2</v>
      </c>
      <c r="V178" s="9"/>
      <c r="W178" s="10">
        <f t="shared" si="46"/>
        <v>-545.0399999999936</v>
      </c>
      <c r="X178" s="8">
        <f>IFERROR(W178/W444, "NA")</f>
        <v>8.1363194768296638E-3</v>
      </c>
      <c r="Y178" s="9"/>
      <c r="Z178" s="7">
        <v>70608.5</v>
      </c>
      <c r="AA178" s="8">
        <f>IFERROR(Z178/Z444, "NA")</f>
        <v>6.097744490442137E-2</v>
      </c>
      <c r="AB178" s="9"/>
      <c r="AC178" s="10">
        <f t="shared" si="47"/>
        <v>-2436.5</v>
      </c>
      <c r="AD178" s="8">
        <f>IFERROR(AC178/AC444, "NA")</f>
        <v>-3.21703761075443E-2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18555.04</v>
      </c>
      <c r="C180" s="8">
        <f>IFERROR(B180/B444, "NA")</f>
        <v>0.21567387158813506</v>
      </c>
      <c r="D180" s="9"/>
      <c r="E180" s="7">
        <v>18448.8</v>
      </c>
      <c r="F180" s="8">
        <f>IFERROR(E180/E444, "NA")</f>
        <v>0.19500002219656815</v>
      </c>
      <c r="G180" s="9"/>
      <c r="H180" s="10">
        <f t="shared" si="44"/>
        <v>-106.2400000000016</v>
      </c>
      <c r="I180" s="8">
        <f>IFERROR(H180/H444, "NA")</f>
        <v>1.2387539702158211E-2</v>
      </c>
      <c r="J180" s="9"/>
      <c r="K180" s="7">
        <v>18920.25</v>
      </c>
      <c r="L180" s="8">
        <f>IFERROR(K180/K444, "NA")</f>
        <v>0.215784544944122</v>
      </c>
      <c r="M180" s="9"/>
      <c r="N180" s="10">
        <f t="shared" si="45"/>
        <v>365.20999999999913</v>
      </c>
      <c r="O180" s="8">
        <f>IFERROR(N180/N444, "NA")</f>
        <v>-0.22156095489428693</v>
      </c>
      <c r="P180" s="9"/>
      <c r="Q180" s="7">
        <v>238488.49</v>
      </c>
      <c r="R180" s="8">
        <f>IFERROR(Q180/Q444, "NA")</f>
        <v>0.19331440641268047</v>
      </c>
      <c r="S180" s="9"/>
      <c r="T180" s="7">
        <v>253564.07</v>
      </c>
      <c r="U180" s="8">
        <f>IFERROR(T180/T444, "NA")</f>
        <v>0.19494874354991307</v>
      </c>
      <c r="V180" s="9"/>
      <c r="W180" s="10">
        <f t="shared" si="46"/>
        <v>15075.580000000016</v>
      </c>
      <c r="X180" s="8">
        <f>IFERROR(W180/W444, "NA")</f>
        <v>-0.2250472170455477</v>
      </c>
      <c r="Y180" s="9"/>
      <c r="Z180" s="7">
        <v>233527.72</v>
      </c>
      <c r="AA180" s="8">
        <f>IFERROR(Z180/Z444, "NA")</f>
        <v>0.20167435478667781</v>
      </c>
      <c r="AB180" s="9"/>
      <c r="AC180" s="10">
        <f t="shared" si="47"/>
        <v>-4960.7699999999895</v>
      </c>
      <c r="AD180" s="8">
        <f>IFERROR(AC180/AC444, "NA")</f>
        <v>-6.54996251520715E-2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201.35</v>
      </c>
      <c r="L181" s="8">
        <f>IFERROR(K181/K444, "NA")</f>
        <v>2.2963871050593393E-3</v>
      </c>
      <c r="M181" s="9"/>
      <c r="N181" s="10">
        <f t="shared" si="45"/>
        <v>201.35</v>
      </c>
      <c r="O181" s="8">
        <f>IFERROR(N181/N444, "NA")</f>
        <v>-0.12215245548578839</v>
      </c>
      <c r="P181" s="9"/>
      <c r="Q181" s="7">
        <v>4229.95</v>
      </c>
      <c r="R181" s="8">
        <f>IFERROR(Q181/Q444, "NA")</f>
        <v>3.4287200753601054E-3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-4229.95</v>
      </c>
      <c r="X181" s="8">
        <f>IFERROR(W181/W444, "NA")</f>
        <v>6.3144401458637964E-2</v>
      </c>
      <c r="Y181" s="9"/>
      <c r="Z181" s="7">
        <v>1239.99</v>
      </c>
      <c r="AA181" s="8">
        <f>IFERROR(Z181/Z444, "NA")</f>
        <v>1.0708543859030209E-3</v>
      </c>
      <c r="AB181" s="9"/>
      <c r="AC181" s="10">
        <f t="shared" si="47"/>
        <v>-2989.96</v>
      </c>
      <c r="AD181" s="8">
        <f>IFERROR(AC181/AC444, "NA")</f>
        <v>-3.9477996202139612E-2</v>
      </c>
    </row>
    <row r="182" spans="1:30" ht="16.5" customHeight="1" x14ac:dyDescent="0.45">
      <c r="A182" s="13" t="s">
        <v>167</v>
      </c>
      <c r="B182" s="14">
        <f>IFERROR(B177+B178+B179+B180+B181, "NA")</f>
        <v>25605.040000000001</v>
      </c>
      <c r="C182" s="15">
        <f>IFERROR(B182/B444, "NA")</f>
        <v>0.29761930499578881</v>
      </c>
      <c r="D182" s="2"/>
      <c r="E182" s="14">
        <f>IFERROR(E177+E178+E179+E180+E181, "NA")</f>
        <v>25419.949999999997</v>
      </c>
      <c r="F182" s="15">
        <f>IFERROR(E182/E444, "NA")</f>
        <v>0.26868364415222951</v>
      </c>
      <c r="G182" s="2"/>
      <c r="H182" s="14">
        <f t="shared" si="44"/>
        <v>-185.09000000000378</v>
      </c>
      <c r="I182" s="15">
        <f>IFERROR(H182/H444, "NA")</f>
        <v>2.1581416824853875E-2</v>
      </c>
      <c r="J182" s="2"/>
      <c r="K182" s="14">
        <f>IFERROR(K177+K178+K179+K180+K181, "NA")</f>
        <v>26008.91</v>
      </c>
      <c r="L182" s="15">
        <f>IFERROR(K182/K444, "NA")</f>
        <v>0.29663037268760317</v>
      </c>
      <c r="M182" s="2"/>
      <c r="N182" s="14">
        <f t="shared" si="45"/>
        <v>403.86999999999898</v>
      </c>
      <c r="O182" s="15">
        <f>IFERROR(N182/N444, "NA")</f>
        <v>-0.24501471168137687</v>
      </c>
      <c r="P182" s="2"/>
      <c r="Q182" s="14">
        <f>IFERROR(Q177+Q178+Q179+Q180+Q181, "NA")</f>
        <v>315763.44</v>
      </c>
      <c r="R182" s="15">
        <f>IFERROR(Q182/Q444, "NA")</f>
        <v>0.25595206699671774</v>
      </c>
      <c r="S182" s="2"/>
      <c r="T182" s="14">
        <f>IFERROR(T177+T178+T179+T180+T181, "NA")</f>
        <v>326064.03000000003</v>
      </c>
      <c r="U182" s="15">
        <f>IFERROR(T182/T444, "NA")</f>
        <v>0.2506891964832445</v>
      </c>
      <c r="V182" s="2"/>
      <c r="W182" s="14">
        <f t="shared" si="46"/>
        <v>10300.590000000026</v>
      </c>
      <c r="X182" s="15">
        <f>IFERROR(W182/W444, "NA")</f>
        <v>-0.15376649611008009</v>
      </c>
      <c r="Y182" s="2"/>
      <c r="Z182" s="14">
        <f>IFERROR(Z177+Z178+Z179+Z180+Z181, "NA")</f>
        <v>305376.20999999996</v>
      </c>
      <c r="AA182" s="15">
        <f>IFERROR(Z182/Z444, "NA")</f>
        <v>0.26372265407700218</v>
      </c>
      <c r="AB182" s="2"/>
      <c r="AC182" s="14">
        <f t="shared" si="47"/>
        <v>-10387.23000000004</v>
      </c>
      <c r="AD182" s="15">
        <f>IFERROR(AC182/AC444, "NA")</f>
        <v>-0.13714799746175607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5.8117328657910474E-3</v>
      </c>
      <c r="D184" s="9"/>
      <c r="E184" s="7">
        <v>500</v>
      </c>
      <c r="F184" s="8">
        <f>IFERROR(E184/E444, "NA")</f>
        <v>5.2848971802113998E-3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-25</v>
      </c>
      <c r="L184" s="8">
        <f>IFERROR(K184/K444, "NA")</f>
        <v>-2.8512380246577344E-4</v>
      </c>
      <c r="M184" s="9"/>
      <c r="N184" s="10">
        <f t="shared" si="45"/>
        <v>-525</v>
      </c>
      <c r="O184" s="8">
        <f>IFERROR(N184/N444, "NA")</f>
        <v>0.3185003185003174</v>
      </c>
      <c r="P184" s="9"/>
      <c r="Q184" s="7">
        <v>2700</v>
      </c>
      <c r="R184" s="8">
        <f>IFERROR(Q184/Q444, "NA")</f>
        <v>2.1885705985820836E-3</v>
      </c>
      <c r="S184" s="9"/>
      <c r="T184" s="7">
        <v>6000</v>
      </c>
      <c r="U184" s="8">
        <f>IFERROR(T184/T444, "NA")</f>
        <v>4.6130055464856604E-3</v>
      </c>
      <c r="V184" s="9"/>
      <c r="W184" s="10">
        <f t="shared" si="46"/>
        <v>3300</v>
      </c>
      <c r="X184" s="8">
        <f>IFERROR(W184/W444, "NA")</f>
        <v>-4.9262172085605099E-2</v>
      </c>
      <c r="Y184" s="9"/>
      <c r="Z184" s="7">
        <v>2425</v>
      </c>
      <c r="AA184" s="8">
        <f>IFERROR(Z184/Z444, "NA")</f>
        <v>2.0942280871739495E-3</v>
      </c>
      <c r="AB184" s="9"/>
      <c r="AC184" s="10">
        <f t="shared" si="47"/>
        <v>-275</v>
      </c>
      <c r="AD184" s="8">
        <f>IFERROR(AC184/AC444, "NA")</f>
        <v>-3.6309679579621108E-3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2194.2800000000002</v>
      </c>
      <c r="C186" s="8">
        <f>IFERROR(B186/B444, "NA")</f>
        <v>2.5505138385495962E-2</v>
      </c>
      <c r="D186" s="9"/>
      <c r="E186" s="7">
        <v>2334.5300000000002</v>
      </c>
      <c r="F186" s="8">
        <f>IFERROR(E186/E444, "NA")</f>
        <v>2.4675502028237841E-2</v>
      </c>
      <c r="G186" s="9"/>
      <c r="H186" s="10">
        <f t="shared" ref="H186:H197" si="48">IFERROR(-(B186-E186), "NA")</f>
        <v>140.25</v>
      </c>
      <c r="I186" s="8">
        <f>IFERROR(H186/H444, "NA")</f>
        <v>-1.6353091521344718E-2</v>
      </c>
      <c r="J186" s="9"/>
      <c r="K186" s="7">
        <v>2306.0300000000002</v>
      </c>
      <c r="L186" s="8">
        <f>IFERROR(K186/K444, "NA")</f>
        <v>2.6300161688005901E-2</v>
      </c>
      <c r="M186" s="9"/>
      <c r="N186" s="10">
        <f t="shared" ref="N186:N197" si="49">IFERROR(-(B186-K186), "NA")</f>
        <v>111.75</v>
      </c>
      <c r="O186" s="8">
        <f>IFERROR(N186/N444, "NA")</f>
        <v>-6.7795067795067554E-2</v>
      </c>
      <c r="P186" s="9"/>
      <c r="Q186" s="7">
        <v>28204.09</v>
      </c>
      <c r="R186" s="8">
        <f>IFERROR(Q186/Q444, "NA")</f>
        <v>2.2861719308801095E-2</v>
      </c>
      <c r="S186" s="9"/>
      <c r="T186" s="7">
        <v>34226.49</v>
      </c>
      <c r="U186" s="8">
        <f>IFERROR(T186/T444, "NA")</f>
        <v>2.6314498034455999E-2</v>
      </c>
      <c r="V186" s="9"/>
      <c r="W186" s="10">
        <f t="shared" ref="W186:W197" si="50">IFERROR(-(Q186-T186), "NA")</f>
        <v>6022.3999999999978</v>
      </c>
      <c r="X186" s="8">
        <f>IFERROR(W186/W444, "NA")</f>
        <v>-8.9901971263135774E-2</v>
      </c>
      <c r="Y186" s="9"/>
      <c r="Z186" s="7">
        <v>27718.17</v>
      </c>
      <c r="AA186" s="8">
        <f>IFERROR(Z186/Z444, "NA")</f>
        <v>2.3937389748066949E-2</v>
      </c>
      <c r="AB186" s="9"/>
      <c r="AC186" s="10">
        <f t="shared" ref="AC186:AC197" si="51">IFERROR(-(Q186-Z186), "NA")</f>
        <v>-485.92000000000189</v>
      </c>
      <c r="AD186" s="8">
        <f>IFERROR(AC186/AC444, "NA")</f>
        <v>-6.4158543641198388E-3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1.727198422411505E-8</v>
      </c>
      <c r="AB187" s="9"/>
      <c r="AC187" s="10">
        <f t="shared" si="51"/>
        <v>0.02</v>
      </c>
      <c r="AD187" s="8">
        <f>IFERROR(AC187/AC444, "NA")</f>
        <v>2.6407039694269898E-7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2194.2800000000002</v>
      </c>
      <c r="C193" s="15">
        <f>IFERROR(B193/B444, "NA")</f>
        <v>2.5505138385495962E-2</v>
      </c>
      <c r="D193" s="2"/>
      <c r="E193" s="14">
        <f>IFERROR(E186+E187+E188+E189+E190+E191+E192, "NA")</f>
        <v>2334.5300000000002</v>
      </c>
      <c r="F193" s="15">
        <f>IFERROR(E193/E444, "NA")</f>
        <v>2.4675502028237841E-2</v>
      </c>
      <c r="G193" s="2"/>
      <c r="H193" s="14">
        <f t="shared" si="48"/>
        <v>140.25</v>
      </c>
      <c r="I193" s="15">
        <f>IFERROR(H193/H444, "NA")</f>
        <v>-1.6353091521344718E-2</v>
      </c>
      <c r="J193" s="2"/>
      <c r="K193" s="14">
        <f>IFERROR(K186+K187+K188+K189+K190+K191+K192, "NA")</f>
        <v>2306.0300000000002</v>
      </c>
      <c r="L193" s="15">
        <f>IFERROR(K193/K444, "NA")</f>
        <v>2.6300161688005901E-2</v>
      </c>
      <c r="M193" s="2"/>
      <c r="N193" s="14">
        <f t="shared" si="49"/>
        <v>111.75</v>
      </c>
      <c r="O193" s="15">
        <f>IFERROR(N193/N444, "NA")</f>
        <v>-6.7795067795067554E-2</v>
      </c>
      <c r="P193" s="2"/>
      <c r="Q193" s="14">
        <f>IFERROR(Q186+Q187+Q188+Q189+Q190+Q191+Q192, "NA")</f>
        <v>28204.09</v>
      </c>
      <c r="R193" s="15">
        <f>IFERROR(Q193/Q444, "NA")</f>
        <v>2.2861719308801095E-2</v>
      </c>
      <c r="S193" s="2"/>
      <c r="T193" s="14">
        <f>IFERROR(T186+T187+T188+T189+T190+T191+T192, "NA")</f>
        <v>34226.49</v>
      </c>
      <c r="U193" s="15">
        <f>IFERROR(T193/T444, "NA")</f>
        <v>2.6314498034455999E-2</v>
      </c>
      <c r="V193" s="2"/>
      <c r="W193" s="14">
        <f t="shared" si="50"/>
        <v>6022.3999999999978</v>
      </c>
      <c r="X193" s="15">
        <f>IFERROR(W193/W444, "NA")</f>
        <v>-8.9901971263135774E-2</v>
      </c>
      <c r="Y193" s="2"/>
      <c r="Z193" s="14">
        <f>IFERROR(Z186+Z187+Z188+Z189+Z190+Z191+Z192, "NA")</f>
        <v>27718.19</v>
      </c>
      <c r="AA193" s="15">
        <f>IFERROR(Z193/Z444, "NA")</f>
        <v>2.3937407020051173E-2</v>
      </c>
      <c r="AB193" s="2"/>
      <c r="AC193" s="14">
        <f t="shared" si="51"/>
        <v>-485.90000000000146</v>
      </c>
      <c r="AD193" s="15">
        <f>IFERROR(AC193/AC444, "NA")</f>
        <v>-6.4155902937228903E-3</v>
      </c>
    </row>
    <row r="194" spans="1:30" ht="16.5" customHeight="1" x14ac:dyDescent="0.45">
      <c r="A194" s="6" t="s">
        <v>178</v>
      </c>
      <c r="B194" s="7">
        <v>248</v>
      </c>
      <c r="C194" s="8">
        <f>IFERROR(B194/B444, "NA")</f>
        <v>2.8826195014323595E-3</v>
      </c>
      <c r="D194" s="9"/>
      <c r="E194" s="7">
        <v>207.36</v>
      </c>
      <c r="F194" s="8">
        <f>IFERROR(E194/E444, "NA")</f>
        <v>2.191752558577272E-3</v>
      </c>
      <c r="G194" s="9"/>
      <c r="H194" s="10">
        <f t="shared" si="48"/>
        <v>-40.639999999999986</v>
      </c>
      <c r="I194" s="8">
        <f>IFERROR(H194/H444, "NA")</f>
        <v>4.7386070547411705E-3</v>
      </c>
      <c r="J194" s="9"/>
      <c r="K194" s="7">
        <v>248</v>
      </c>
      <c r="L194" s="8">
        <f>IFERROR(K194/K444, "NA")</f>
        <v>2.8284281204604723E-3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3062</v>
      </c>
      <c r="R194" s="8">
        <f>IFERROR(Q194/Q444, "NA")</f>
        <v>2.4820011751327184E-3</v>
      </c>
      <c r="S194" s="9"/>
      <c r="T194" s="7">
        <v>2656.53</v>
      </c>
      <c r="U194" s="8">
        <f>IFERROR(T194/T444, "NA")</f>
        <v>2.0424312707342587E-3</v>
      </c>
      <c r="V194" s="9"/>
      <c r="W194" s="10">
        <f t="shared" si="50"/>
        <v>-405.4699999999998</v>
      </c>
      <c r="X194" s="8">
        <f>IFERROR(W194/W444, "NA")</f>
        <v>6.0528281562273606E-3</v>
      </c>
      <c r="Y194" s="9"/>
      <c r="Z194" s="7">
        <v>2533</v>
      </c>
      <c r="AA194" s="8">
        <f>IFERROR(Z194/Z444, "NA")</f>
        <v>2.1874968019841711E-3</v>
      </c>
      <c r="AB194" s="9"/>
      <c r="AC194" s="10">
        <f t="shared" si="51"/>
        <v>-529</v>
      </c>
      <c r="AD194" s="8">
        <f>IFERROR(AC194/AC444, "NA")</f>
        <v>-6.9846619991343877E-3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28547.32</v>
      </c>
      <c r="C196" s="15">
        <f>IFERROR(B196/B444, "NA")</f>
        <v>0.3318187957485082</v>
      </c>
      <c r="D196" s="2"/>
      <c r="E196" s="14">
        <f>IFERROR(E175+E177+E178+E179+E180+E181+E183+E184+E186+E187+E188+E189+E190+E191+E192+E194+E195, "NA")</f>
        <v>28461.839999999997</v>
      </c>
      <c r="F196" s="15">
        <f>IFERROR(E196/E444, "NA")</f>
        <v>0.30083579591925602</v>
      </c>
      <c r="G196" s="2"/>
      <c r="H196" s="14">
        <f t="shared" si="48"/>
        <v>-85.480000000003201</v>
      </c>
      <c r="I196" s="15">
        <f>IFERROR(H196/H444, "NA")</f>
        <v>9.9669323582502588E-3</v>
      </c>
      <c r="J196" s="2"/>
      <c r="K196" s="14">
        <f>IFERROR(K175+K177+K178+K179+K180+K181+K183+K184+K186+K187+K188+K189+K190+K191+K192+K194+K195, "NA")</f>
        <v>28537.94</v>
      </c>
      <c r="L196" s="15">
        <f>IFERROR(K196/K444, "NA")</f>
        <v>0.32547383869360375</v>
      </c>
      <c r="M196" s="2"/>
      <c r="N196" s="14">
        <f t="shared" si="49"/>
        <v>-9.3800000000010186</v>
      </c>
      <c r="O196" s="15">
        <f>IFERROR(N196/N444, "NA")</f>
        <v>5.6905390238729554E-3</v>
      </c>
      <c r="P196" s="2"/>
      <c r="Q196" s="14">
        <f>IFERROR(Q175+Q177+Q178+Q179+Q180+Q181+Q183+Q184+Q186+Q187+Q188+Q189+Q190+Q191+Q192+Q194+Q195, "NA")</f>
        <v>349729.53</v>
      </c>
      <c r="R196" s="15">
        <f>IFERROR(Q196/Q444, "NA")</f>
        <v>0.28348435807923361</v>
      </c>
      <c r="S196" s="2"/>
      <c r="T196" s="14">
        <f>IFERROR(T175+T177+T178+T179+T180+T181+T183+T184+T186+T187+T188+T189+T190+T191+T192+T194+T195, "NA")</f>
        <v>368947.05000000005</v>
      </c>
      <c r="U196" s="15">
        <f>IFERROR(T196/T444, "NA")</f>
        <v>0.28365913133492043</v>
      </c>
      <c r="V196" s="2"/>
      <c r="W196" s="14">
        <f t="shared" si="50"/>
        <v>19217.520000000019</v>
      </c>
      <c r="X196" s="15">
        <f>IFERROR(W196/W444, "NA")</f>
        <v>-0.28687781130259354</v>
      </c>
      <c r="Y196" s="2"/>
      <c r="Z196" s="14">
        <f>IFERROR(Z175+Z177+Z178+Z179+Z180+Z181+Z183+Z184+Z186+Z187+Z188+Z189+Z190+Z191+Z192+Z194+Z195, "NA")</f>
        <v>338052.39999999997</v>
      </c>
      <c r="AA196" s="15">
        <f>IFERROR(Z196/Z444, "NA")</f>
        <v>0.29194178598621146</v>
      </c>
      <c r="AB196" s="2"/>
      <c r="AC196" s="14">
        <f t="shared" si="51"/>
        <v>-11677.130000000063</v>
      </c>
      <c r="AD196" s="15">
        <f>IFERROR(AC196/AC444, "NA")</f>
        <v>-0.15417921771257576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28547.32</v>
      </c>
      <c r="C197" s="15">
        <f>IFERROR(B197/B444, "NA")</f>
        <v>0.3318187957485082</v>
      </c>
      <c r="D197" s="2"/>
      <c r="E197" s="14">
        <f>IFERROR(E175+E177+E178+E179+E180+E181+E183+E184+E186+E187+E188+E189+E190+E191+E192+E194+E195, "NA")</f>
        <v>28461.839999999997</v>
      </c>
      <c r="F197" s="15">
        <f>IFERROR(E197/E444, "NA")</f>
        <v>0.30083579591925602</v>
      </c>
      <c r="G197" s="2"/>
      <c r="H197" s="14">
        <f t="shared" si="48"/>
        <v>-85.480000000003201</v>
      </c>
      <c r="I197" s="15">
        <f>IFERROR(H197/H444, "NA")</f>
        <v>9.9669323582502588E-3</v>
      </c>
      <c r="J197" s="2"/>
      <c r="K197" s="14">
        <f>IFERROR(K175+K177+K178+K179+K180+K181+K183+K184+K186+K187+K188+K189+K190+K191+K192+K194+K195, "NA")</f>
        <v>28537.94</v>
      </c>
      <c r="L197" s="15">
        <f>IFERROR(K197/K444, "NA")</f>
        <v>0.32547383869360375</v>
      </c>
      <c r="M197" s="2"/>
      <c r="N197" s="14">
        <f t="shared" si="49"/>
        <v>-9.3800000000010186</v>
      </c>
      <c r="O197" s="15">
        <f>IFERROR(N197/N444, "NA")</f>
        <v>5.6905390238729554E-3</v>
      </c>
      <c r="P197" s="2"/>
      <c r="Q197" s="14">
        <f>IFERROR(Q175+Q177+Q178+Q179+Q180+Q181+Q183+Q184+Q186+Q187+Q188+Q189+Q190+Q191+Q192+Q194+Q195, "NA")</f>
        <v>349729.53</v>
      </c>
      <c r="R197" s="15">
        <f>IFERROR(Q197/Q444, "NA")</f>
        <v>0.28348435807923361</v>
      </c>
      <c r="S197" s="2"/>
      <c r="T197" s="14">
        <f>IFERROR(T175+T177+T178+T179+T180+T181+T183+T184+T186+T187+T188+T189+T190+T191+T192+T194+T195, "NA")</f>
        <v>368947.05000000005</v>
      </c>
      <c r="U197" s="15">
        <f>IFERROR(T197/T444, "NA")</f>
        <v>0.28365913133492043</v>
      </c>
      <c r="V197" s="2"/>
      <c r="W197" s="14">
        <f t="shared" si="50"/>
        <v>19217.520000000019</v>
      </c>
      <c r="X197" s="15">
        <f>IFERROR(W197/W444, "NA")</f>
        <v>-0.28687781130259354</v>
      </c>
      <c r="Y197" s="2"/>
      <c r="Z197" s="14">
        <f>IFERROR(Z175+Z177+Z178+Z179+Z180+Z181+Z183+Z184+Z186+Z187+Z188+Z189+Z190+Z191+Z192+Z194+Z195, "NA")</f>
        <v>338052.39999999997</v>
      </c>
      <c r="AA197" s="15">
        <f>IFERROR(Z197/Z444, "NA")</f>
        <v>0.29194178598621146</v>
      </c>
      <c r="AB197" s="2"/>
      <c r="AC197" s="14">
        <f t="shared" si="51"/>
        <v>-11677.130000000063</v>
      </c>
      <c r="AD197" s="15">
        <f>IFERROR(AC197/AC444, "NA")</f>
        <v>-0.15417921771257576</v>
      </c>
    </row>
    <row r="198" spans="1:30" ht="16.5" customHeight="1" x14ac:dyDescent="0.45">
      <c r="A198" s="22" t="s">
        <v>181</v>
      </c>
      <c r="B198" s="23">
        <f>IFERROR(B172-B197, "NA")</f>
        <v>33889.649999999987</v>
      </c>
      <c r="C198" s="24">
        <f>IFERROR(B198/B444, "NA")</f>
        <v>0.39391518543031101</v>
      </c>
      <c r="D198" s="25"/>
      <c r="E198" s="23">
        <f>IFERROR(E172-E197, "NA")</f>
        <v>44008.820000000007</v>
      </c>
      <c r="F198" s="24">
        <f>IFERROR(E198/E444, "NA")</f>
        <v>0.46516417744486221</v>
      </c>
      <c r="G198" s="25"/>
      <c r="H198" s="23">
        <f>IFERROR(B198-E198, "NA")</f>
        <v>-10119.17000000002</v>
      </c>
      <c r="I198" s="24">
        <f>IFERROR(H198/H444, "NA")</f>
        <v>1.1798910027097766</v>
      </c>
      <c r="J198" s="25"/>
      <c r="K198" s="23">
        <f>IFERROR(K172-K197, "NA")</f>
        <v>35410.679999999964</v>
      </c>
      <c r="L198" s="24">
        <f>IFERROR(K198/K444, "NA")</f>
        <v>0.40385710917994816</v>
      </c>
      <c r="M198" s="25"/>
      <c r="N198" s="23">
        <f>IFERROR(B198-K198, "NA")</f>
        <v>-1521.029999999977</v>
      </c>
      <c r="O198" s="24">
        <f>IFERROR(N198/N444, "NA")</f>
        <v>0.92275912275910554</v>
      </c>
      <c r="P198" s="25"/>
      <c r="Q198" s="23">
        <f>IFERROR(Q172-Q197, "NA")</f>
        <v>544041.58999999985</v>
      </c>
      <c r="R198" s="24">
        <f>IFERROR(Q198/Q444, "NA")</f>
        <v>0.44099015862216601</v>
      </c>
      <c r="S198" s="25"/>
      <c r="T198" s="23">
        <f>IFERROR(T172-T197, "NA")</f>
        <v>617977.62999999989</v>
      </c>
      <c r="U198" s="24">
        <f>IFERROR(T198/T444, "NA")</f>
        <v>0.47512237246567718</v>
      </c>
      <c r="V198" s="25"/>
      <c r="W198" s="23">
        <f>IFERROR(Q198-T198, "NA")</f>
        <v>-73936.040000000037</v>
      </c>
      <c r="X198" s="24">
        <f>IFERROR(W198/W444, "NA")</f>
        <v>1.1037120987297528</v>
      </c>
      <c r="Y198" s="25"/>
      <c r="Z198" s="23">
        <f>IFERROR(Z172-Z197, "NA")</f>
        <v>514614.48000000004</v>
      </c>
      <c r="AA198" s="24">
        <f>IFERROR(Z198/Z444, "NA")</f>
        <v>0.44442065900305849</v>
      </c>
      <c r="AB198" s="25"/>
      <c r="AC198" s="23">
        <f>IFERROR(Q198-Z198, "NA")</f>
        <v>29427.109999999811</v>
      </c>
      <c r="AD198" s="24">
        <f>IFERROR(AC198/AC444, "NA")</f>
        <v>0.38854143092882082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1702.97</v>
      </c>
      <c r="F201" s="8">
        <f>IFERROR(E201/E444, "NA")</f>
        <v>1.8000042701969216E-2</v>
      </c>
      <c r="G201" s="9"/>
      <c r="H201" s="10">
        <f t="shared" ref="H201:H209" si="52">IFERROR(-(B201-E201), "NA")</f>
        <v>1702.97</v>
      </c>
      <c r="I201" s="8">
        <f>IFERROR(H201/H444, "NA")</f>
        <v>-0.19856559192944326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23667.35</v>
      </c>
      <c r="U201" s="8">
        <f>IFERROR(T201/T444, "NA")</f>
        <v>1.8196269470102899E-2</v>
      </c>
      <c r="V201" s="9"/>
      <c r="W201" s="10">
        <f t="shared" ref="W201:W209" si="54">IFERROR(-(Q201-T201), "NA")</f>
        <v>23667.35</v>
      </c>
      <c r="X201" s="8">
        <f>IFERROR(W201/W444, "NA")</f>
        <v>-0.35330456621522599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971.29</v>
      </c>
      <c r="C202" s="8">
        <f>IFERROR(B202/B444, "NA")</f>
        <v>1.1289756030428373E-2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-971.29</v>
      </c>
      <c r="I202" s="8">
        <f>IFERROR(H202/H444, "NA")</f>
        <v>0.11325200901081577</v>
      </c>
      <c r="J202" s="9"/>
      <c r="K202" s="7">
        <v>1041.8</v>
      </c>
      <c r="L202" s="8">
        <f>IFERROR(K202/K444, "NA")</f>
        <v>1.1881679096353711E-2</v>
      </c>
      <c r="M202" s="9"/>
      <c r="N202" s="10">
        <f t="shared" si="53"/>
        <v>70.509999999999991</v>
      </c>
      <c r="O202" s="8">
        <f>IFERROR(N202/N444, "NA")</f>
        <v>-4.2776109442775954E-2</v>
      </c>
      <c r="P202" s="9"/>
      <c r="Q202" s="7">
        <v>11983.93</v>
      </c>
      <c r="R202" s="8">
        <f>IFERROR(Q202/Q444, "NA")</f>
        <v>9.7139543901725144E-3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-11983.93</v>
      </c>
      <c r="X202" s="8">
        <f>IFERROR(W202/W444, "NA")</f>
        <v>0.17889527937025623</v>
      </c>
      <c r="Y202" s="9"/>
      <c r="Z202" s="7">
        <v>11369.09</v>
      </c>
      <c r="AA202" s="8">
        <f>IFERROR(Z202/Z444, "NA")</f>
        <v>9.8183371561272083E-3</v>
      </c>
      <c r="AB202" s="9"/>
      <c r="AC202" s="10">
        <f t="shared" si="55"/>
        <v>-614.84000000000015</v>
      </c>
      <c r="AD202" s="8">
        <f>IFERROR(AC202/AC444, "NA")</f>
        <v>-8.1180521428124534E-3</v>
      </c>
    </row>
    <row r="203" spans="1:30" ht="16.5" customHeight="1" x14ac:dyDescent="0.45">
      <c r="A203" s="6" t="s">
        <v>185</v>
      </c>
      <c r="B203" s="7">
        <v>704.92</v>
      </c>
      <c r="C203" s="8">
        <f>IFERROR(B203/B444, "NA")</f>
        <v>8.1936134635068499E-3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-704.92</v>
      </c>
      <c r="I203" s="8">
        <f>IFERROR(H203/H444, "NA")</f>
        <v>8.2193378076479987E-2</v>
      </c>
      <c r="J203" s="9"/>
      <c r="K203" s="7">
        <v>657.92</v>
      </c>
      <c r="L203" s="8">
        <f>IFERROR(K203/K444, "NA")</f>
        <v>7.5035460847312661E-3</v>
      </c>
      <c r="M203" s="9"/>
      <c r="N203" s="10">
        <f t="shared" si="53"/>
        <v>-47</v>
      </c>
      <c r="O203" s="8">
        <f>IFERROR(N203/N444, "NA")</f>
        <v>2.851336184669508E-2</v>
      </c>
      <c r="P203" s="9"/>
      <c r="Q203" s="7">
        <v>9113.2199999999993</v>
      </c>
      <c r="R203" s="8">
        <f>IFERROR(Q203/Q444, "NA")</f>
        <v>7.3870093890408203E-3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-9113.2199999999993</v>
      </c>
      <c r="X203" s="8">
        <f>IFERROR(W203/W444, "NA")</f>
        <v>0.13604151875575093</v>
      </c>
      <c r="Y203" s="9"/>
      <c r="Z203" s="7">
        <v>8729.73</v>
      </c>
      <c r="AA203" s="8">
        <f>IFERROR(Z203/Z444, "NA")</f>
        <v>7.5389879420391928E-3</v>
      </c>
      <c r="AB203" s="9"/>
      <c r="AC203" s="10">
        <f t="shared" si="55"/>
        <v>-383.48999999999978</v>
      </c>
      <c r="AD203" s="8">
        <f>IFERROR(AC203/AC444, "NA")</f>
        <v>-5.0634178261777787E-3</v>
      </c>
    </row>
    <row r="204" spans="1:30" ht="16.5" customHeight="1" x14ac:dyDescent="0.45">
      <c r="A204" s="6" t="s">
        <v>186</v>
      </c>
      <c r="B204" s="7">
        <v>21.4</v>
      </c>
      <c r="C204" s="8">
        <f>IFERROR(B204/B444, "NA")</f>
        <v>2.4874216665585685E-4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-21.4</v>
      </c>
      <c r="I204" s="8">
        <f>IFERROR(H204/H444, "NA")</f>
        <v>2.4952310770536682E-3</v>
      </c>
      <c r="J204" s="9"/>
      <c r="K204" s="7">
        <v>12.64</v>
      </c>
      <c r="L204" s="8">
        <f>IFERROR(K204/K444, "NA")</f>
        <v>1.4415859452669504E-4</v>
      </c>
      <c r="M204" s="9"/>
      <c r="N204" s="10">
        <f t="shared" si="53"/>
        <v>-8.759999999999998</v>
      </c>
      <c r="O204" s="8">
        <f>IFERROR(N204/N444, "NA")</f>
        <v>5.3144053144052947E-3</v>
      </c>
      <c r="P204" s="9"/>
      <c r="Q204" s="7">
        <v>2957.39</v>
      </c>
      <c r="R204" s="8">
        <f>IFERROR(Q204/Q444, "NA")</f>
        <v>2.3972062231632104E-3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-2957.39</v>
      </c>
      <c r="X204" s="8">
        <f>IFERROR(W204/W444, "NA")</f>
        <v>4.4147713667953836E-2</v>
      </c>
      <c r="Y204" s="9"/>
      <c r="Z204" s="7">
        <v>1360.52</v>
      </c>
      <c r="AA204" s="8">
        <f>IFERROR(Z204/Z444, "NA")</f>
        <v>1.1749439988296502E-3</v>
      </c>
      <c r="AB204" s="9"/>
      <c r="AC204" s="10">
        <f t="shared" si="55"/>
        <v>-1596.87</v>
      </c>
      <c r="AD204" s="8">
        <f>IFERROR(AC204/AC444, "NA")</f>
        <v>-2.1084304738294382E-2</v>
      </c>
    </row>
    <row r="205" spans="1:30" ht="16.5" customHeight="1" x14ac:dyDescent="0.45">
      <c r="A205" s="6" t="s">
        <v>187</v>
      </c>
      <c r="B205" s="7">
        <v>372.76</v>
      </c>
      <c r="C205" s="8">
        <f>IFERROR(B205/B444, "NA")</f>
        <v>4.3327630861045418E-3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-372.76</v>
      </c>
      <c r="I205" s="8">
        <f>IFERROR(H205/H444, "NA")</f>
        <v>4.3463660573949785E-2</v>
      </c>
      <c r="J205" s="9"/>
      <c r="K205" s="7">
        <v>433.72</v>
      </c>
      <c r="L205" s="8">
        <f>IFERROR(K205/K444, "NA")</f>
        <v>4.9465558242182102E-3</v>
      </c>
      <c r="M205" s="9"/>
      <c r="N205" s="10">
        <f t="shared" si="53"/>
        <v>60.960000000000036</v>
      </c>
      <c r="O205" s="8">
        <f>IFERROR(N205/N444, "NA")</f>
        <v>-3.6982436982436875E-2</v>
      </c>
      <c r="P205" s="9"/>
      <c r="Q205" s="7">
        <v>4369.7299999999996</v>
      </c>
      <c r="R205" s="8">
        <f>IFERROR(Q205/Q444, "NA")</f>
        <v>3.5420231858304028E-3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-4369.7299999999996</v>
      </c>
      <c r="X205" s="8">
        <f>IFERROR(W205/W444, "NA")</f>
        <v>6.5231027644736719E-2</v>
      </c>
      <c r="Y205" s="9"/>
      <c r="Z205" s="7">
        <v>4309.8100000000004</v>
      </c>
      <c r="AA205" s="8">
        <f>IFERROR(Z205/Z444, "NA")</f>
        <v>3.7219485164466642E-3</v>
      </c>
      <c r="AB205" s="9"/>
      <c r="AC205" s="10">
        <f t="shared" si="55"/>
        <v>-59.919999999999163</v>
      </c>
      <c r="AD205" s="8">
        <f>IFERROR(AC205/AC444, "NA")</f>
        <v>-7.9115490924031506E-4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654.67999999999995</v>
      </c>
      <c r="R206" s="8">
        <f>IFERROR(Q206/Q444, "NA")</f>
        <v>5.3067162943693273E-4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-654.67999999999995</v>
      </c>
      <c r="X206" s="8">
        <f>IFERROR(W206/W444, "NA")</f>
        <v>9.7730178245466499E-3</v>
      </c>
      <c r="Y206" s="9"/>
      <c r="Z206" s="7">
        <v>435.18</v>
      </c>
      <c r="AA206" s="8">
        <f>IFERROR(Z206/Z444, "NA")</f>
        <v>3.7582110473251935E-4</v>
      </c>
      <c r="AB206" s="9"/>
      <c r="AC206" s="10">
        <f t="shared" si="55"/>
        <v>-219.49999999999994</v>
      </c>
      <c r="AD206" s="8">
        <f>IFERROR(AC206/AC444, "NA")</f>
        <v>-2.8981726064461204E-3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1142.07</v>
      </c>
      <c r="R207" s="8">
        <f>IFERROR(Q207/Q444, "NA")</f>
        <v>9.2574104574912595E-4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-1142.07</v>
      </c>
      <c r="X207" s="8">
        <f>IFERROR(W207/W444, "NA")</f>
        <v>1.7048742082971823E-2</v>
      </c>
      <c r="Y207" s="9"/>
      <c r="Z207" s="7">
        <v>574.41999999999996</v>
      </c>
      <c r="AA207" s="8">
        <f>IFERROR(Z207/Z444, "NA")</f>
        <v>4.9606865890080827E-4</v>
      </c>
      <c r="AB207" s="9"/>
      <c r="AC207" s="10">
        <f t="shared" si="55"/>
        <v>-567.65</v>
      </c>
      <c r="AD207" s="8">
        <f>IFERROR(AC207/AC444, "NA")</f>
        <v>-7.4949780412261529E-3</v>
      </c>
    </row>
    <row r="208" spans="1:30" ht="16.5" customHeight="1" x14ac:dyDescent="0.45">
      <c r="A208" s="6" t="s">
        <v>190</v>
      </c>
      <c r="B208" s="7">
        <v>306.39</v>
      </c>
      <c r="C208" s="8">
        <f>IFERROR(B208/B444, "NA")</f>
        <v>3.5613136654994381E-3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-306.39</v>
      </c>
      <c r="I208" s="8">
        <f>IFERROR(H208/H444, "NA")</f>
        <v>3.5724946247592218E-2</v>
      </c>
      <c r="J208" s="9"/>
      <c r="K208" s="7">
        <v>181.22</v>
      </c>
      <c r="L208" s="8">
        <f>IFERROR(K208/K444, "NA")</f>
        <v>2.0668054193138984E-3</v>
      </c>
      <c r="M208" s="9"/>
      <c r="N208" s="10">
        <f t="shared" si="53"/>
        <v>-125.16999999999999</v>
      </c>
      <c r="O208" s="8">
        <f>IFERROR(N208/N444, "NA")</f>
        <v>7.5936542603208992E-2</v>
      </c>
      <c r="P208" s="9"/>
      <c r="Q208" s="7">
        <v>1991.29</v>
      </c>
      <c r="R208" s="8">
        <f>IFERROR(Q208/Q444, "NA")</f>
        <v>1.6141032397224138E-3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-1991.29</v>
      </c>
      <c r="X208" s="8">
        <f>IFERROR(W208/W444, "NA")</f>
        <v>2.972583959161957E-2</v>
      </c>
      <c r="Y208" s="9"/>
      <c r="Z208" s="7">
        <v>1735.79</v>
      </c>
      <c r="AA208" s="8">
        <f>IFERROR(Z208/Z444, "NA")</f>
        <v>1.4990268748188329E-3</v>
      </c>
      <c r="AB208" s="9"/>
      <c r="AC208" s="10">
        <f t="shared" si="55"/>
        <v>-255.5</v>
      </c>
      <c r="AD208" s="8">
        <f>IFERROR(AC208/AC444, "NA")</f>
        <v>-3.3734993209429791E-3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2376.7599999999998</v>
      </c>
      <c r="C209" s="15">
        <f>IFERROR(B209/B444, "NA")</f>
        <v>2.7626188412195059E-2</v>
      </c>
      <c r="D209" s="2"/>
      <c r="E209" s="14">
        <f>IFERROR(E201+E202+E203+E204+E205+E206+E207+E208, "NA")</f>
        <v>1702.97</v>
      </c>
      <c r="F209" s="15">
        <f>IFERROR(E209/E444, "NA")</f>
        <v>1.8000042701969216E-2</v>
      </c>
      <c r="G209" s="2"/>
      <c r="H209" s="14">
        <f t="shared" si="52"/>
        <v>-673.78999999999974</v>
      </c>
      <c r="I209" s="15">
        <f>IFERROR(H209/H444, "NA")</f>
        <v>7.8563633056448159E-2</v>
      </c>
      <c r="J209" s="2"/>
      <c r="K209" s="14">
        <f>IFERROR(K201+K202+K203+K204+K205+K206+K207+K208, "NA")</f>
        <v>2327.2999999999997</v>
      </c>
      <c r="L209" s="15">
        <f>IFERROR(K209/K444, "NA")</f>
        <v>2.6542745019143776E-2</v>
      </c>
      <c r="M209" s="2"/>
      <c r="N209" s="14">
        <f t="shared" si="53"/>
        <v>-49.460000000000036</v>
      </c>
      <c r="O209" s="15">
        <f>IFERROR(N209/N444, "NA")</f>
        <v>3.0005763339096589E-2</v>
      </c>
      <c r="P209" s="2"/>
      <c r="Q209" s="14">
        <f>IFERROR(Q201+Q202+Q203+Q204+Q205+Q206+Q207+Q208, "NA")</f>
        <v>32212.31</v>
      </c>
      <c r="R209" s="15">
        <f>IFERROR(Q209/Q444, "NA")</f>
        <v>2.6110709103115422E-2</v>
      </c>
      <c r="S209" s="2"/>
      <c r="T209" s="14">
        <f>IFERROR(T201+T202+T203+T204+T205+T206+T207+T208, "NA")</f>
        <v>23667.35</v>
      </c>
      <c r="U209" s="15">
        <f>IFERROR(T209/T444, "NA")</f>
        <v>1.8196269470102899E-2</v>
      </c>
      <c r="V209" s="2"/>
      <c r="W209" s="14">
        <f t="shared" si="54"/>
        <v>-8544.9600000000028</v>
      </c>
      <c r="X209" s="15">
        <f>IFERROR(W209/W444, "NA")</f>
        <v>0.12755857272260979</v>
      </c>
      <c r="Y209" s="2"/>
      <c r="Z209" s="14">
        <f>IFERROR(Z201+Z202+Z203+Z204+Z205+Z206+Z207+Z208, "NA")</f>
        <v>28514.54</v>
      </c>
      <c r="AA209" s="15">
        <f>IFERROR(Z209/Z444, "NA")</f>
        <v>2.4625134251894876E-2</v>
      </c>
      <c r="AB209" s="2"/>
      <c r="AC209" s="14">
        <f t="shared" si="55"/>
        <v>-3697.7700000000004</v>
      </c>
      <c r="AD209" s="15">
        <f>IFERROR(AC209/AC444, "NA")</f>
        <v>-4.8823579585140206E-2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2931.28</v>
      </c>
      <c r="F213" s="8">
        <f>IFERROR(E213/E444, "NA")</f>
        <v>3.0983026812820148E-2</v>
      </c>
      <c r="G213" s="9"/>
      <c r="H213" s="10">
        <f t="shared" ref="H213:H227" si="56">IFERROR(-(B213-E213), "NA")</f>
        <v>2931.28</v>
      </c>
      <c r="I213" s="8">
        <f>IFERROR(H213/H444, "NA")</f>
        <v>-0.34178602577317185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49873</v>
      </c>
      <c r="U213" s="8">
        <f>IFERROR(T213/T444, "NA")</f>
        <v>3.834407093664656E-2</v>
      </c>
      <c r="V213" s="9"/>
      <c r="W213" s="10">
        <f t="shared" ref="W213:W227" si="58">IFERROR(-(Q213-T213), "NA")</f>
        <v>49873</v>
      </c>
      <c r="X213" s="8">
        <f>IFERROR(W213/W444, "NA")</f>
        <v>-0.74450069952284337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1607.47</v>
      </c>
      <c r="C214" s="8">
        <f>IFERROR(B214/B444, "NA")</f>
        <v>1.868437245954627E-2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-1607.47</v>
      </c>
      <c r="I214" s="8">
        <f>IFERROR(H214/H444, "NA")</f>
        <v>0.18743033174913365</v>
      </c>
      <c r="J214" s="9"/>
      <c r="K214" s="7">
        <v>2995.7</v>
      </c>
      <c r="L214" s="8">
        <f>IFERROR(K214/K444, "NA")</f>
        <v>3.4165815001868695E-2</v>
      </c>
      <c r="M214" s="9"/>
      <c r="N214" s="10">
        <f t="shared" si="57"/>
        <v>1388.2299999999998</v>
      </c>
      <c r="O214" s="8">
        <f>IFERROR(N214/N444, "NA")</f>
        <v>-0.84219370886037248</v>
      </c>
      <c r="P214" s="9"/>
      <c r="Q214" s="7">
        <v>25358.69</v>
      </c>
      <c r="R214" s="8">
        <f>IFERROR(Q214/Q444, "NA")</f>
        <v>2.0555290130576848E-2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-25358.69</v>
      </c>
      <c r="X214" s="8">
        <f>IFERROR(W214/W444, "NA")</f>
        <v>0.37855277292288281</v>
      </c>
      <c r="Y214" s="9"/>
      <c r="Z214" s="7">
        <v>18998.240000000002</v>
      </c>
      <c r="AA214" s="8">
        <f>IFERROR(Z214/Z444, "NA")</f>
        <v>1.6406865078297576E-2</v>
      </c>
      <c r="AB214" s="9"/>
      <c r="AC214" s="10">
        <f t="shared" si="59"/>
        <v>-6360.4499999999971</v>
      </c>
      <c r="AD214" s="8">
        <f>IFERROR(AC214/AC444, "NA")</f>
        <v>-8.3980327811709443E-2</v>
      </c>
    </row>
    <row r="215" spans="1:30" ht="16.5" customHeight="1" x14ac:dyDescent="0.45">
      <c r="A215" s="12" t="s">
        <v>195</v>
      </c>
      <c r="B215" s="7">
        <v>675.95</v>
      </c>
      <c r="C215" s="8">
        <f>IFERROR(B215/B444, "NA")</f>
        <v>7.8568816612629173E-3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-675.95</v>
      </c>
      <c r="I215" s="8">
        <f>IFERROR(H215/H444, "NA")</f>
        <v>7.8815488155814351E-2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-675.95</v>
      </c>
      <c r="O215" s="8">
        <f>IFERROR(N215/N444, "NA")</f>
        <v>0.41007674341007533</v>
      </c>
      <c r="P215" s="9"/>
      <c r="Q215" s="7">
        <v>4419.0200000000004</v>
      </c>
      <c r="R215" s="8">
        <f>IFERROR(Q215/Q444, "NA")</f>
        <v>3.5819767579800743E-3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-4419.0200000000004</v>
      </c>
      <c r="X215" s="8">
        <f>IFERROR(W215/W444, "NA")</f>
        <v>6.596682536052445E-2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-4419.0200000000004</v>
      </c>
      <c r="AD215" s="8">
        <f>IFERROR(AC215/AC444, "NA")</f>
        <v>-5.8346618274886283E-2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5.73</v>
      </c>
      <c r="R216" s="8">
        <f>IFERROR(Q216/Q444, "NA")</f>
        <v>4.644633159213089E-6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8.5537044257732507E-5</v>
      </c>
      <c r="Y216" s="9"/>
      <c r="Z216" s="7">
        <v>616.64</v>
      </c>
      <c r="AA216" s="8">
        <f>IFERROR(Z216/Z444, "NA")</f>
        <v>5.3252981759791516E-4</v>
      </c>
      <c r="AB216" s="9"/>
      <c r="AC216" s="10">
        <f t="shared" si="59"/>
        <v>610.91</v>
      </c>
      <c r="AD216" s="8">
        <f>IFERROR(AC216/AC444, "NA")</f>
        <v>8.0661623098132115E-3</v>
      </c>
    </row>
    <row r="217" spans="1:30" ht="16.5" customHeight="1" x14ac:dyDescent="0.45">
      <c r="A217" s="12" t="s">
        <v>197</v>
      </c>
      <c r="B217" s="7">
        <v>1797.33</v>
      </c>
      <c r="C217" s="8">
        <f>IFERROR(B217/B444, "NA")</f>
        <v>2.0891203663344446E-2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-1797.33</v>
      </c>
      <c r="I217" s="8">
        <f>IFERROR(H217/H444, "NA")</f>
        <v>0.20956792858508735</v>
      </c>
      <c r="J217" s="9"/>
      <c r="K217" s="7">
        <v>3725.39</v>
      </c>
      <c r="L217" s="8">
        <f>IFERROR(K217/K444, "NA")</f>
        <v>4.2487894498718703E-2</v>
      </c>
      <c r="M217" s="9"/>
      <c r="N217" s="10">
        <f t="shared" si="57"/>
        <v>1928.06</v>
      </c>
      <c r="O217" s="8">
        <f>IFERROR(N217/N444, "NA")</f>
        <v>-1.1696909030242322</v>
      </c>
      <c r="P217" s="9"/>
      <c r="Q217" s="7">
        <v>25126.32</v>
      </c>
      <c r="R217" s="8">
        <f>IFERROR(Q217/Q444, "NA")</f>
        <v>2.0366935260209253E-2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-25126.32</v>
      </c>
      <c r="X217" s="8">
        <f>IFERROR(W217/W444, "NA")</f>
        <v>0.37508396961150947</v>
      </c>
      <c r="Y217" s="9"/>
      <c r="Z217" s="7">
        <v>32618.02</v>
      </c>
      <c r="AA217" s="8">
        <f>IFERROR(Z217/Z444, "NA")</f>
        <v>2.8168896343093459E-2</v>
      </c>
      <c r="AB217" s="9"/>
      <c r="AC217" s="10">
        <f t="shared" si="59"/>
        <v>7491.7000000000007</v>
      </c>
      <c r="AD217" s="8">
        <f>IFERROR(AC217/AC444, "NA")</f>
        <v>9.8916809638780898E-2</v>
      </c>
    </row>
    <row r="218" spans="1:30" ht="16.5" customHeight="1" x14ac:dyDescent="0.45">
      <c r="A218" s="13" t="s">
        <v>198</v>
      </c>
      <c r="B218" s="14">
        <f>IFERROR(B213+B214+B215+B216+B217, "NA")</f>
        <v>4080.75</v>
      </c>
      <c r="C218" s="15">
        <f>IFERROR(B218/B444, "NA")</f>
        <v>4.7432457784153635E-2</v>
      </c>
      <c r="D218" s="2"/>
      <c r="E218" s="14">
        <f>IFERROR(E213+E214+E215+E216+E217, "NA")</f>
        <v>2931.28</v>
      </c>
      <c r="F218" s="15">
        <f>IFERROR(E218/E444, "NA")</f>
        <v>3.0983026812820148E-2</v>
      </c>
      <c r="G218" s="2"/>
      <c r="H218" s="14">
        <f t="shared" si="56"/>
        <v>-1149.4699999999998</v>
      </c>
      <c r="I218" s="15">
        <f>IFERROR(H218/H444, "NA")</f>
        <v>0.13402772271686353</v>
      </c>
      <c r="J218" s="2"/>
      <c r="K218" s="14">
        <f>IFERROR(K213+K214+K215+K216+K217, "NA")</f>
        <v>6721.09</v>
      </c>
      <c r="L218" s="15">
        <f>IFERROR(K218/K444, "NA")</f>
        <v>7.6653709500587405E-2</v>
      </c>
      <c r="M218" s="2"/>
      <c r="N218" s="14">
        <f t="shared" si="57"/>
        <v>2640.34</v>
      </c>
      <c r="O218" s="15">
        <f>IFERROR(N218/N444, "NA")</f>
        <v>-1.6018078684745296</v>
      </c>
      <c r="P218" s="2"/>
      <c r="Q218" s="14">
        <f>IFERROR(Q213+Q214+Q215+Q216+Q217, "NA")</f>
        <v>54909.759999999995</v>
      </c>
      <c r="R218" s="15">
        <f>IFERROR(Q218/Q444, "NA")</f>
        <v>4.4508846781925383E-2</v>
      </c>
      <c r="S218" s="2"/>
      <c r="T218" s="14">
        <f>IFERROR(T213+T214+T215+T216+T217, "NA")</f>
        <v>49873</v>
      </c>
      <c r="U218" s="15">
        <f>IFERROR(T218/T444, "NA")</f>
        <v>3.834407093664656E-2</v>
      </c>
      <c r="V218" s="2"/>
      <c r="W218" s="14">
        <f t="shared" si="58"/>
        <v>-5036.7599999999948</v>
      </c>
      <c r="X218" s="15">
        <f>IFERROR(W218/W444, "NA")</f>
        <v>7.5188405416330942E-2</v>
      </c>
      <c r="Y218" s="2"/>
      <c r="Z218" s="14">
        <f>IFERROR(Z213+Z214+Z215+Z216+Z217, "NA")</f>
        <v>52232.9</v>
      </c>
      <c r="AA218" s="15">
        <f>IFERROR(Z218/Z444, "NA")</f>
        <v>4.5108291238988948E-2</v>
      </c>
      <c r="AB218" s="2"/>
      <c r="AC218" s="14">
        <f t="shared" si="59"/>
        <v>-2676.8599999999933</v>
      </c>
      <c r="AD218" s="15">
        <f>IFERROR(AC218/AC444, "NA")</f>
        <v>-3.5343974138001569E-2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438.72</v>
      </c>
      <c r="C222" s="8">
        <f>IFERROR(B222/B444, "NA")</f>
        <v>5.099446885759697E-3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-438.72</v>
      </c>
      <c r="I222" s="8">
        <f>IFERROR(H222/H444, "NA")</f>
        <v>5.1154569071261001E-2</v>
      </c>
      <c r="J222" s="9"/>
      <c r="K222" s="7">
        <v>506.03</v>
      </c>
      <c r="L222" s="8">
        <f>IFERROR(K222/K444, "NA")</f>
        <v>5.7712479104702133E-3</v>
      </c>
      <c r="M222" s="9"/>
      <c r="N222" s="10">
        <f t="shared" si="57"/>
        <v>67.309999999999945</v>
      </c>
      <c r="O222" s="8">
        <f>IFERROR(N222/N444, "NA")</f>
        <v>-4.0834774168107324E-2</v>
      </c>
      <c r="P222" s="9"/>
      <c r="Q222" s="7">
        <v>2595.17</v>
      </c>
      <c r="R222" s="8">
        <f>IFERROR(Q222/Q444, "NA")</f>
        <v>2.1035973186378765E-3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-2595.17</v>
      </c>
      <c r="X222" s="8">
        <f>IFERROR(W222/W444, "NA")</f>
        <v>3.8740518524666603E-2</v>
      </c>
      <c r="Y222" s="9"/>
      <c r="Z222" s="7">
        <v>1119.6600000000001</v>
      </c>
      <c r="AA222" s="8">
        <f>IFERROR(Z222/Z444, "NA")</f>
        <v>9.6693749281863287E-4</v>
      </c>
      <c r="AB222" s="9"/>
      <c r="AC222" s="10">
        <f t="shared" si="59"/>
        <v>-1475.51</v>
      </c>
      <c r="AD222" s="8">
        <f>IFERROR(AC222/AC444, "NA")</f>
        <v>-1.9481925569646088E-2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94.61</v>
      </c>
      <c r="F226" s="8">
        <f>IFERROR(E226/E444, "NA")</f>
        <v>1.0000082444396011E-3</v>
      </c>
      <c r="G226" s="9"/>
      <c r="H226" s="10">
        <f t="shared" si="56"/>
        <v>94.61</v>
      </c>
      <c r="I226" s="8">
        <f>IFERROR(H226/H444, "NA")</f>
        <v>-1.1031486551404091E-2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1300.68</v>
      </c>
      <c r="U226" s="8">
        <f>IFERROR(T226/T444, "NA")</f>
        <v>1.0000073423671616E-3</v>
      </c>
      <c r="V226" s="9"/>
      <c r="W226" s="10">
        <f t="shared" si="58"/>
        <v>1300.68</v>
      </c>
      <c r="X226" s="8">
        <f>IFERROR(W226/W444, "NA")</f>
        <v>-1.9416461208577228E-2</v>
      </c>
      <c r="Y226" s="9"/>
      <c r="Z226" s="7">
        <v>1334.74</v>
      </c>
      <c r="AA226" s="8">
        <f>IFERROR(Z226/Z444, "NA")</f>
        <v>1.152680411164766E-3</v>
      </c>
      <c r="AB226" s="9"/>
      <c r="AC226" s="10">
        <f t="shared" si="59"/>
        <v>1334.74</v>
      </c>
      <c r="AD226" s="8">
        <f>IFERROR(AC226/AC444, "NA")</f>
        <v>1.76232660807649E-2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4519.47</v>
      </c>
      <c r="C227" s="15">
        <f>IFERROR(B227/B444, "NA")</f>
        <v>5.2531904669913337E-2</v>
      </c>
      <c r="D227" s="2"/>
      <c r="E227" s="14">
        <f>IFERROR(E211+E213+E214+E215+E216+E217+E219+E220+E221+E222+E223+E224+E225+E226, "NA")</f>
        <v>3025.8900000000003</v>
      </c>
      <c r="F227" s="15">
        <f>IFERROR(E227/E444, "NA")</f>
        <v>3.1983035057259752E-2</v>
      </c>
      <c r="G227" s="2"/>
      <c r="H227" s="14">
        <f t="shared" si="56"/>
        <v>-1493.58</v>
      </c>
      <c r="I227" s="15">
        <f>IFERROR(H227/H444, "NA")</f>
        <v>0.17415080523672044</v>
      </c>
      <c r="J227" s="2"/>
      <c r="K227" s="14">
        <f>IFERROR(K211+K213+K214+K215+K216+K217+K219+K220+K221+K222+K223+K224+K225+K226, "NA")</f>
        <v>7227.12</v>
      </c>
      <c r="L227" s="15">
        <f>IFERROR(K227/K444, "NA")</f>
        <v>8.2424957411057612E-2</v>
      </c>
      <c r="M227" s="2"/>
      <c r="N227" s="14">
        <f t="shared" si="57"/>
        <v>2707.6499999999996</v>
      </c>
      <c r="O227" s="15">
        <f>IFERROR(N227/N444, "NA")</f>
        <v>-1.6426426426426366</v>
      </c>
      <c r="P227" s="2"/>
      <c r="Q227" s="14">
        <f>IFERROR(Q211+Q213+Q214+Q215+Q216+Q217+Q219+Q220+Q221+Q222+Q223+Q224+Q225+Q226, "NA")</f>
        <v>57504.929999999993</v>
      </c>
      <c r="R227" s="15">
        <f>IFERROR(Q227/Q444, "NA")</f>
        <v>4.6612444100563262E-2</v>
      </c>
      <c r="S227" s="2"/>
      <c r="T227" s="14">
        <f>IFERROR(T211+T213+T214+T215+T216+T217+T219+T220+T221+T222+T223+T224+T225+T226, "NA")</f>
        <v>51173.68</v>
      </c>
      <c r="U227" s="15">
        <f>IFERROR(T227/T444, "NA")</f>
        <v>3.9344078279013719E-2</v>
      </c>
      <c r="V227" s="2"/>
      <c r="W227" s="14">
        <f t="shared" si="58"/>
        <v>-6331.2499999999927</v>
      </c>
      <c r="X227" s="15">
        <f>IFERROR(W227/W444, "NA")</f>
        <v>9.4512462732420283E-2</v>
      </c>
      <c r="Y227" s="2"/>
      <c r="Z227" s="14">
        <f>IFERROR(Z211+Z213+Z214+Z215+Z216+Z217+Z219+Z220+Z221+Z222+Z223+Z224+Z225+Z226, "NA")</f>
        <v>54687.3</v>
      </c>
      <c r="AA227" s="15">
        <f>IFERROR(Z227/Z444, "NA")</f>
        <v>4.7227909142972348E-2</v>
      </c>
      <c r="AB227" s="2"/>
      <c r="AC227" s="14">
        <f t="shared" si="59"/>
        <v>-2817.6299999999901</v>
      </c>
      <c r="AD227" s="15">
        <f>IFERROR(AC227/AC444, "NA")</f>
        <v>-3.7202633626882711E-2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1248.8399999999999</v>
      </c>
      <c r="F229" s="8">
        <f>IFERROR(E229/E444, "NA")</f>
        <v>1.3199981989070408E-2</v>
      </c>
      <c r="G229" s="9"/>
      <c r="H229" s="10">
        <f t="shared" ref="H229:H236" si="60">IFERROR(-(B229-E229), "NA")</f>
        <v>1248.8399999999999</v>
      </c>
      <c r="I229" s="8">
        <f>IFERROR(H229/H444, "NA")</f>
        <v>-0.14561422328353751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17168.86</v>
      </c>
      <c r="U229" s="8">
        <f>IFERROR(T229/T444, "NA")</f>
        <v>1.3200007734472633E-2</v>
      </c>
      <c r="V229" s="9"/>
      <c r="W229" s="10">
        <f t="shared" ref="W229:W236" si="62">IFERROR(-(Q229-T229), "NA")</f>
        <v>17168.86</v>
      </c>
      <c r="X229" s="8">
        <f>IFERROR(W229/W444, "NA")</f>
        <v>-0.25629555631323092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-3.8861964504258863E-5</v>
      </c>
      <c r="AB230" s="9"/>
      <c r="AC230" s="10">
        <f t="shared" si="63"/>
        <v>-45</v>
      </c>
      <c r="AD230" s="8">
        <f>IFERROR(AC230/AC444, "NA")</f>
        <v>-5.9415839312107271E-4</v>
      </c>
    </row>
    <row r="231" spans="1:30" ht="16.5" customHeight="1" x14ac:dyDescent="0.45">
      <c r="A231" s="6" t="s">
        <v>210</v>
      </c>
      <c r="B231" s="7">
        <v>168</v>
      </c>
      <c r="C231" s="8">
        <f>IFERROR(B231/B444, "NA")</f>
        <v>1.952742242905792E-3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-168</v>
      </c>
      <c r="I231" s="8">
        <f>IFERROR(H231/H444, "NA")</f>
        <v>1.9588729950701694E-2</v>
      </c>
      <c r="J231" s="9"/>
      <c r="K231" s="7">
        <v>207.68</v>
      </c>
      <c r="L231" s="8">
        <f>IFERROR(K231/K444, "NA")</f>
        <v>2.3685804518436731E-3</v>
      </c>
      <c r="M231" s="9"/>
      <c r="N231" s="10">
        <f t="shared" si="61"/>
        <v>39.680000000000007</v>
      </c>
      <c r="O231" s="8">
        <f>IFERROR(N231/N444, "NA")</f>
        <v>-2.4072557405890659E-2</v>
      </c>
      <c r="P231" s="9"/>
      <c r="Q231" s="7">
        <v>2439.13</v>
      </c>
      <c r="R231" s="8">
        <f>IFERROR(Q231/Q444, "NA")</f>
        <v>1.9771141496738955E-3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-2439.13</v>
      </c>
      <c r="X231" s="8">
        <f>IFERROR(W231/W444, "NA")</f>
        <v>3.6411164181564239E-2</v>
      </c>
      <c r="Y231" s="9"/>
      <c r="Z231" s="7">
        <v>3770.85</v>
      </c>
      <c r="AA231" s="8">
        <f>IFERROR(Z231/Z444, "NA")</f>
        <v>3.2565030855752114E-3</v>
      </c>
      <c r="AB231" s="9"/>
      <c r="AC231" s="10">
        <f t="shared" si="63"/>
        <v>1331.7199999999998</v>
      </c>
      <c r="AD231" s="8">
        <f>IFERROR(AC231/AC444, "NA")</f>
        <v>1.758339145082655E-2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1580.12</v>
      </c>
      <c r="C234" s="8">
        <f>IFERROR(B234/B444, "NA")</f>
        <v>1.83664706717875E-2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-1580.12</v>
      </c>
      <c r="I234" s="8">
        <f>IFERROR(H234/H444, "NA")</f>
        <v>0.18424133315299263</v>
      </c>
      <c r="J234" s="9"/>
      <c r="K234" s="7">
        <v>511.76</v>
      </c>
      <c r="L234" s="8">
        <f>IFERROR(K234/K444, "NA")</f>
        <v>5.8365982859953681E-3</v>
      </c>
      <c r="M234" s="9"/>
      <c r="N234" s="10">
        <f t="shared" si="61"/>
        <v>-1068.3599999999999</v>
      </c>
      <c r="O234" s="8">
        <f>IFERROR(N234/N444, "NA")</f>
        <v>0.64813904813904577</v>
      </c>
      <c r="P234" s="9"/>
      <c r="Q234" s="7">
        <v>16187.41</v>
      </c>
      <c r="R234" s="8">
        <f>IFERROR(Q234/Q444, "NA")</f>
        <v>1.3121218367849484E-2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-16187.41</v>
      </c>
      <c r="X234" s="8">
        <f>IFERROR(W234/W444, "NA")</f>
        <v>0.2416445384970439</v>
      </c>
      <c r="Y234" s="9"/>
      <c r="Z234" s="7">
        <v>16074.93</v>
      </c>
      <c r="AA234" s="8">
        <f>IFERROR(Z234/Z444, "NA")</f>
        <v>1.3882296868187686E-2</v>
      </c>
      <c r="AB234" s="9"/>
      <c r="AC234" s="10">
        <f t="shared" si="63"/>
        <v>-112.47999999999956</v>
      </c>
      <c r="AD234" s="8">
        <f>IFERROR(AC234/AC444, "NA")</f>
        <v>-1.4851319124057332E-3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1748.12</v>
      </c>
      <c r="C236" s="15">
        <f>IFERROR(B236/B444, "NA")</f>
        <v>2.0319212914693293E-2</v>
      </c>
      <c r="D236" s="2"/>
      <c r="E236" s="14">
        <f>IFERROR(E229+E230+E231+E232+E233+E234+E235, "NA")</f>
        <v>1248.8399999999999</v>
      </c>
      <c r="F236" s="15">
        <f>IFERROR(E236/E444, "NA")</f>
        <v>1.3199981989070408E-2</v>
      </c>
      <c r="G236" s="2"/>
      <c r="H236" s="14">
        <f t="shared" si="60"/>
        <v>-499.28</v>
      </c>
      <c r="I236" s="15">
        <f>IFERROR(H236/H444, "NA")</f>
        <v>5.8215839820156795E-2</v>
      </c>
      <c r="J236" s="2"/>
      <c r="K236" s="14">
        <f>IFERROR(K229+K230+K231+K232+K233+K234+K235, "NA")</f>
        <v>719.44</v>
      </c>
      <c r="L236" s="15">
        <f>IFERROR(K236/K444, "NA")</f>
        <v>8.2051787378390421E-3</v>
      </c>
      <c r="M236" s="2"/>
      <c r="N236" s="14">
        <f t="shared" si="61"/>
        <v>-1028.6799999999998</v>
      </c>
      <c r="O236" s="15">
        <f>IFERROR(N236/N444, "NA")</f>
        <v>0.62406649073315512</v>
      </c>
      <c r="P236" s="2"/>
      <c r="Q236" s="14">
        <f>IFERROR(Q229+Q230+Q231+Q232+Q233+Q234+Q235, "NA")</f>
        <v>18626.54</v>
      </c>
      <c r="R236" s="15">
        <f>IFERROR(Q236/Q444, "NA")</f>
        <v>1.5098332517523379E-2</v>
      </c>
      <c r="S236" s="2"/>
      <c r="T236" s="14">
        <f>IFERROR(T229+T230+T231+T232+T233+T234+T235, "NA")</f>
        <v>17168.86</v>
      </c>
      <c r="U236" s="15">
        <f>IFERROR(T236/T444, "NA")</f>
        <v>1.3200007734472633E-2</v>
      </c>
      <c r="V236" s="2"/>
      <c r="W236" s="14">
        <f t="shared" si="62"/>
        <v>-1457.6800000000003</v>
      </c>
      <c r="X236" s="15">
        <f>IFERROR(W236/W444, "NA")</f>
        <v>2.176014636537723E-2</v>
      </c>
      <c r="Y236" s="2"/>
      <c r="Z236" s="14">
        <f>IFERROR(Z229+Z230+Z231+Z232+Z233+Z234+Z235, "NA")</f>
        <v>19800.78</v>
      </c>
      <c r="AA236" s="15">
        <f>IFERROR(Z236/Z444, "NA")</f>
        <v>1.7099937989258639E-2</v>
      </c>
      <c r="AB236" s="2"/>
      <c r="AC236" s="14">
        <f t="shared" si="63"/>
        <v>1174.239999999998</v>
      </c>
      <c r="AD236" s="15">
        <f>IFERROR(AC236/AC444, "NA")</f>
        <v>1.5504101145299714E-2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5777.22</v>
      </c>
      <c r="F240" s="8">
        <f>IFERROR(E240/E444, "NA")</f>
        <v>6.1064027374921809E-2</v>
      </c>
      <c r="G240" s="9"/>
      <c r="H240" s="10">
        <f t="shared" ref="H240:H263" si="64">IFERROR(-(B240-E240), "NA")</f>
        <v>5777.22</v>
      </c>
      <c r="I240" s="8">
        <f>IFERROR(H240/H444, "NA")</f>
        <v>-0.67362144312971939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79749.13</v>
      </c>
      <c r="U240" s="8">
        <f>IFERROR(T240/T444, "NA")</f>
        <v>6.1313863169567669E-2</v>
      </c>
      <c r="V240" s="9"/>
      <c r="W240" s="10">
        <f t="shared" ref="W240:W263" si="66">IFERROR(-(Q240-T240), "NA")</f>
        <v>79749.13</v>
      </c>
      <c r="X240" s="8">
        <f>IFERROR(W240/W444, "NA")</f>
        <v>-1.1904895047688766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1819.35</v>
      </c>
      <c r="C242" s="8">
        <f>IFERROR(B242/B444, "NA")</f>
        <v>2.1147152378753885E-2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-1819.35</v>
      </c>
      <c r="I242" s="8">
        <f>IFERROR(H242/H444, "NA")</f>
        <v>0.21213545140362575</v>
      </c>
      <c r="J242" s="9"/>
      <c r="K242" s="7">
        <v>1417.16</v>
      </c>
      <c r="L242" s="8">
        <f>IFERROR(K242/K444, "NA")</f>
        <v>1.6162641916095819E-2</v>
      </c>
      <c r="M242" s="9"/>
      <c r="N242" s="10">
        <f t="shared" si="65"/>
        <v>-402.18999999999983</v>
      </c>
      <c r="O242" s="8">
        <f>IFERROR(N242/N444, "NA")</f>
        <v>0.24399551066217637</v>
      </c>
      <c r="P242" s="9"/>
      <c r="Q242" s="7">
        <v>17817</v>
      </c>
      <c r="R242" s="8">
        <f>IFERROR(Q242/Q444, "NA")</f>
        <v>1.4442134205532217E-2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-17817</v>
      </c>
      <c r="X242" s="8">
        <f>IFERROR(W242/W444, "NA")</f>
        <v>0.26597094546946243</v>
      </c>
      <c r="Y242" s="9"/>
      <c r="Z242" s="7">
        <v>15137.49</v>
      </c>
      <c r="AA242" s="8">
        <f>IFERROR(Z242/Z444, "NA")</f>
        <v>1.3072724423634965E-2</v>
      </c>
      <c r="AB242" s="9"/>
      <c r="AC242" s="10">
        <f t="shared" si="67"/>
        <v>-2679.51</v>
      </c>
      <c r="AD242" s="8">
        <f>IFERROR(AC242/AC444, "NA")</f>
        <v>-3.5378963465596568E-2</v>
      </c>
    </row>
    <row r="243" spans="1:30" ht="16.5" customHeight="1" x14ac:dyDescent="0.45">
      <c r="A243" s="12" t="s">
        <v>220</v>
      </c>
      <c r="B243" s="7">
        <v>2201.33</v>
      </c>
      <c r="C243" s="8">
        <f>IFERROR(B243/B444, "NA")</f>
        <v>2.5587083818903612E-2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-2201.33</v>
      </c>
      <c r="I243" s="8">
        <f>IFERROR(H243/H444, "NA")</f>
        <v>0.25667416013320332</v>
      </c>
      <c r="J243" s="9"/>
      <c r="K243" s="7">
        <v>1048.57</v>
      </c>
      <c r="L243" s="8">
        <f>IFERROR(K243/K444, "NA")</f>
        <v>1.195889062206144E-2</v>
      </c>
      <c r="M243" s="9"/>
      <c r="N243" s="10">
        <f t="shared" si="65"/>
        <v>-1152.76</v>
      </c>
      <c r="O243" s="8">
        <f>IFERROR(N243/N444, "NA")</f>
        <v>0.69934176600843023</v>
      </c>
      <c r="P243" s="9"/>
      <c r="Q243" s="7">
        <v>22963.82</v>
      </c>
      <c r="R243" s="8">
        <f>IFERROR(Q243/Q444, "NA")</f>
        <v>1.8614052327085639E-2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-22963.82</v>
      </c>
      <c r="X243" s="8">
        <f>IFERROR(W243/W444, "NA")</f>
        <v>0.34280231896450308</v>
      </c>
      <c r="Y243" s="9"/>
      <c r="Z243" s="7">
        <v>26422.51</v>
      </c>
      <c r="AA243" s="8">
        <f>IFERROR(Z243/Z444, "NA")</f>
        <v>2.2818458794076103E-2</v>
      </c>
      <c r="AB243" s="9"/>
      <c r="AC243" s="10">
        <f t="shared" si="67"/>
        <v>3458.6899999999987</v>
      </c>
      <c r="AD243" s="8">
        <f>IFERROR(AC243/AC444, "NA")</f>
        <v>4.5666882060087156E-2</v>
      </c>
    </row>
    <row r="244" spans="1:30" ht="16.5" customHeight="1" x14ac:dyDescent="0.45">
      <c r="A244" s="12" t="s">
        <v>221</v>
      </c>
      <c r="B244" s="7">
        <v>769.03</v>
      </c>
      <c r="C244" s="8">
        <f>IFERROR(B244/B444, "NA")</f>
        <v>8.9387938515585793E-3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-769.03</v>
      </c>
      <c r="I244" s="8">
        <f>IFERROR(H244/H444, "NA")</f>
        <v>8.9668577345167408E-2</v>
      </c>
      <c r="J244" s="9"/>
      <c r="K244" s="7">
        <v>214.51</v>
      </c>
      <c r="L244" s="8">
        <f>IFERROR(K244/K444, "NA")</f>
        <v>2.4464762746773221E-3</v>
      </c>
      <c r="M244" s="9"/>
      <c r="N244" s="10">
        <f t="shared" si="65"/>
        <v>-554.52</v>
      </c>
      <c r="O244" s="8">
        <f>IFERROR(N244/N444, "NA")</f>
        <v>0.33640913640913522</v>
      </c>
      <c r="P244" s="9"/>
      <c r="Q244" s="7">
        <v>7504.46</v>
      </c>
      <c r="R244" s="8">
        <f>IFERROR(Q244/Q444, "NA")</f>
        <v>6.0829779682352973E-3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-7504.46</v>
      </c>
      <c r="X244" s="8">
        <f>IFERROR(W244/W444, "NA")</f>
        <v>0.11202606058470911</v>
      </c>
      <c r="Y244" s="9"/>
      <c r="Z244" s="7">
        <v>1184.1199999999999</v>
      </c>
      <c r="AA244" s="8">
        <f>IFERROR(Z244/Z444, "NA")</f>
        <v>1.0226050979729555E-3</v>
      </c>
      <c r="AB244" s="9"/>
      <c r="AC244" s="10">
        <f t="shared" si="67"/>
        <v>-6320.34</v>
      </c>
      <c r="AD244" s="8">
        <f>IFERROR(AC244/AC444, "NA")</f>
        <v>-8.3450734630640899E-2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116.36</v>
      </c>
      <c r="C246" s="8">
        <f>IFERROR(B246/B444, "NA")</f>
        <v>1.3525064725268927E-3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-116.36</v>
      </c>
      <c r="I246" s="8">
        <f>IFERROR(H246/H444, "NA")</f>
        <v>1.3567527482521722E-2</v>
      </c>
      <c r="J246" s="9"/>
      <c r="K246" s="7">
        <v>238.05</v>
      </c>
      <c r="L246" s="8">
        <f>IFERROR(K246/K444, "NA")</f>
        <v>2.7149488470790948E-3</v>
      </c>
      <c r="M246" s="9"/>
      <c r="N246" s="10">
        <f t="shared" si="65"/>
        <v>121.69000000000001</v>
      </c>
      <c r="O246" s="8">
        <f>IFERROR(N246/N444, "NA")</f>
        <v>-7.3825340492006911E-2</v>
      </c>
      <c r="P246" s="9"/>
      <c r="Q246" s="7">
        <v>3755.28</v>
      </c>
      <c r="R246" s="8">
        <f>IFERROR(Q246/Q444, "NA")</f>
        <v>3.0439612583123433E-3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-3755.28</v>
      </c>
      <c r="X246" s="8">
        <f>IFERROR(W246/W444, "NA")</f>
        <v>5.6058560481706404E-2</v>
      </c>
      <c r="Y246" s="9"/>
      <c r="Z246" s="7">
        <v>1579.99</v>
      </c>
      <c r="AA246" s="8">
        <f>IFERROR(Z246/Z444, "NA")</f>
        <v>1.3644781177129769E-3</v>
      </c>
      <c r="AB246" s="9"/>
      <c r="AC246" s="10">
        <f t="shared" si="67"/>
        <v>-2175.29</v>
      </c>
      <c r="AD246" s="8">
        <f>IFERROR(AC246/AC444, "NA")</f>
        <v>-2.8721484688274179E-2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141.09</v>
      </c>
      <c r="AA247" s="8">
        <f>IFERROR(Z247/Z444, "NA")</f>
        <v>1.2184521270901961E-4</v>
      </c>
      <c r="AB247" s="9"/>
      <c r="AC247" s="10">
        <f t="shared" si="67"/>
        <v>141.09</v>
      </c>
      <c r="AD247" s="8">
        <f>IFERROR(AC247/AC444, "NA")</f>
        <v>1.8628846152322698E-3</v>
      </c>
    </row>
    <row r="248" spans="1:30" ht="16.5" customHeight="1" x14ac:dyDescent="0.45">
      <c r="A248" s="12" t="s">
        <v>225</v>
      </c>
      <c r="B248" s="7">
        <v>220.17</v>
      </c>
      <c r="C248" s="8">
        <f>IFERROR(B248/B444, "NA")</f>
        <v>2.5591384501224296E-3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-220.17</v>
      </c>
      <c r="I248" s="8">
        <f>IFERROR(H248/H444, "NA")</f>
        <v>2.567173019789281E-2</v>
      </c>
      <c r="J248" s="9"/>
      <c r="K248" s="7">
        <v>191.53</v>
      </c>
      <c r="L248" s="8">
        <f>IFERROR(K248/K444, "NA")</f>
        <v>2.1843904754507834E-3</v>
      </c>
      <c r="M248" s="9"/>
      <c r="N248" s="10">
        <f t="shared" si="65"/>
        <v>-28.639999999999986</v>
      </c>
      <c r="O248" s="8">
        <f>IFERROR(N248/N444, "NA")</f>
        <v>1.7374950708283973E-2</v>
      </c>
      <c r="P248" s="9"/>
      <c r="Q248" s="7">
        <v>3109.16</v>
      </c>
      <c r="R248" s="8">
        <f>IFERROR(Q248/Q444, "NA")</f>
        <v>2.5202282082546186E-3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-3109.16</v>
      </c>
      <c r="X248" s="8">
        <f>IFERROR(W248/W444, "NA")</f>
        <v>4.6413325745963623E-2</v>
      </c>
      <c r="Y248" s="9"/>
      <c r="Z248" s="7">
        <v>2956.48</v>
      </c>
      <c r="AA248" s="8">
        <f>IFERROR(Z248/Z444, "NA")</f>
        <v>2.5532137959455828E-3</v>
      </c>
      <c r="AB248" s="9"/>
      <c r="AC248" s="10">
        <f t="shared" si="67"/>
        <v>-152.67999999999984</v>
      </c>
      <c r="AD248" s="8">
        <f>IFERROR(AC248/AC444, "NA")</f>
        <v>-2.0159134102605619E-3</v>
      </c>
    </row>
    <row r="249" spans="1:30" ht="16.5" customHeight="1" x14ac:dyDescent="0.45">
      <c r="A249" s="12" t="s">
        <v>226</v>
      </c>
      <c r="B249" s="7">
        <v>2347.61</v>
      </c>
      <c r="C249" s="8">
        <f>IFERROR(B249/B444, "NA")</f>
        <v>2.7287364386119443E-2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-2347.61</v>
      </c>
      <c r="I249" s="8">
        <f>IFERROR(H249/H444, "NA")</f>
        <v>0.27373034714027861</v>
      </c>
      <c r="J249" s="9"/>
      <c r="K249" s="7">
        <v>1846.93</v>
      </c>
      <c r="L249" s="8">
        <f>IFERROR(K249/K444, "NA")</f>
        <v>2.1064148179524438E-2</v>
      </c>
      <c r="M249" s="9"/>
      <c r="N249" s="10">
        <f t="shared" si="65"/>
        <v>-500.68000000000006</v>
      </c>
      <c r="O249" s="8">
        <f>IFERROR(N249/N444, "NA")</f>
        <v>0.30374617041283603</v>
      </c>
      <c r="P249" s="9"/>
      <c r="Q249" s="7">
        <v>21809.06</v>
      </c>
      <c r="R249" s="8">
        <f>IFERROR(Q249/Q444, "NA")</f>
        <v>1.7678024999523177E-2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-21809.06</v>
      </c>
      <c r="X249" s="8">
        <f>IFERROR(W249/W444, "NA")</f>
        <v>0.32556414143796569</v>
      </c>
      <c r="Y249" s="9"/>
      <c r="Z249" s="7">
        <v>17892.240000000002</v>
      </c>
      <c r="AA249" s="8">
        <f>IFERROR(Z249/Z444, "NA")</f>
        <v>1.5451724350704013E-2</v>
      </c>
      <c r="AB249" s="9"/>
      <c r="AC249" s="10">
        <f t="shared" si="67"/>
        <v>-3916.8199999999997</v>
      </c>
      <c r="AD249" s="8">
        <f>IFERROR(AC249/AC444, "NA")</f>
        <v>-5.1715810607655101E-2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5.1815952672345148E-7</v>
      </c>
      <c r="AB250" s="9"/>
      <c r="AC250" s="10">
        <f t="shared" si="67"/>
        <v>0.6</v>
      </c>
      <c r="AD250" s="8">
        <f>IFERROR(AC250/AC444, "NA")</f>
        <v>7.922111908280968E-6</v>
      </c>
    </row>
    <row r="251" spans="1:30" ht="16.5" customHeight="1" x14ac:dyDescent="0.45">
      <c r="A251" s="12" t="s">
        <v>228</v>
      </c>
      <c r="B251" s="7">
        <v>50.63</v>
      </c>
      <c r="C251" s="8">
        <f>IFERROR(B251/B444, "NA")</f>
        <v>5.8849606999000152E-4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-50.63</v>
      </c>
      <c r="I251" s="8">
        <f>IFERROR(H251/H444, "NA")</f>
        <v>5.9034368893096838E-3</v>
      </c>
      <c r="J251" s="9"/>
      <c r="K251" s="7">
        <v>36.369999999999997</v>
      </c>
      <c r="L251" s="8">
        <f>IFERROR(K251/K444, "NA")</f>
        <v>4.1479810782720715E-4</v>
      </c>
      <c r="M251" s="9"/>
      <c r="N251" s="10">
        <f t="shared" si="65"/>
        <v>-14.260000000000005</v>
      </c>
      <c r="O251" s="8">
        <f>IFERROR(N251/N444, "NA")</f>
        <v>8.6510753177419571E-3</v>
      </c>
      <c r="P251" s="9"/>
      <c r="Q251" s="7">
        <v>639.79</v>
      </c>
      <c r="R251" s="8">
        <f>IFERROR(Q251/Q444, "NA")</f>
        <v>5.1860206787660414E-4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-639.79</v>
      </c>
      <c r="X251" s="8">
        <f>IFERROR(W251/W444, "NA")</f>
        <v>9.5507409329240265E-3</v>
      </c>
      <c r="Y251" s="9"/>
      <c r="Z251" s="7">
        <v>742.53</v>
      </c>
      <c r="AA251" s="8">
        <f>IFERROR(Z251/Z444, "NA")</f>
        <v>6.4124832229660734E-4</v>
      </c>
      <c r="AB251" s="9"/>
      <c r="AC251" s="10">
        <f t="shared" si="67"/>
        <v>102.74000000000001</v>
      </c>
      <c r="AD251" s="8">
        <f>IFERROR(AC251/AC444, "NA")</f>
        <v>1.3565296290946446E-3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224.54</v>
      </c>
      <c r="AA255" s="8">
        <f>IFERROR(Z255/Z444, "NA")</f>
        <v>1.9391256688413964E-4</v>
      </c>
      <c r="AB255" s="9"/>
      <c r="AC255" s="10">
        <f t="shared" si="67"/>
        <v>224.54</v>
      </c>
      <c r="AD255" s="8">
        <f>IFERROR(AC255/AC444, "NA")</f>
        <v>2.9647183464756813E-3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6.742119041883309E-5</v>
      </c>
      <c r="AB256" s="9"/>
      <c r="AC256" s="10">
        <f t="shared" si="67"/>
        <v>78.069999999999993</v>
      </c>
      <c r="AD256" s="8">
        <f>IFERROR(AC256/AC444, "NA")</f>
        <v>1.0307987944658252E-3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4475.75</v>
      </c>
      <c r="R258" s="8">
        <f>IFERROR(Q258/Q444, "NA")</f>
        <v>3.6279610580013926E-3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-4475.75</v>
      </c>
      <c r="X258" s="8">
        <f>IFERROR(W258/W444, "NA")</f>
        <v>6.6813686882468803E-2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-4475.75</v>
      </c>
      <c r="AD258" s="8">
        <f>IFERROR(AC258/AC444, "NA")</f>
        <v>-5.9095653955814245E-2</v>
      </c>
    </row>
    <row r="259" spans="1:30" ht="16.5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1350.6</v>
      </c>
      <c r="R259" s="8">
        <f>IFERROR(Q259/Q444, "NA")</f>
        <v>1.0947716483129489E-3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-1350.6</v>
      </c>
      <c r="X259" s="8">
        <f>IFERROR(W259/W444, "NA")</f>
        <v>2.0161663520854013E-2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-1350.6</v>
      </c>
      <c r="AD259" s="8">
        <f>IFERROR(AC259/AC444, "NA")</f>
        <v>-1.7832673905540459E-2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7524.4800000000005</v>
      </c>
      <c r="C262" s="15">
        <f>IFERROR(B262/B444, "NA")</f>
        <v>8.7460535427974856E-2</v>
      </c>
      <c r="D262" s="2"/>
      <c r="E262" s="14">
        <f>IFERROR(E240+E241+E242+E243+E244+E245+E246+E247+E248+E249+E250+E251+E252+E253+E254+E255+E256+E257+E258+E259+E260+E261, "NA")</f>
        <v>5777.22</v>
      </c>
      <c r="F262" s="15">
        <f>IFERROR(E262/E444, "NA")</f>
        <v>6.1064027374921809E-2</v>
      </c>
      <c r="G262" s="2"/>
      <c r="H262" s="14">
        <f t="shared" si="64"/>
        <v>-1747.2600000000002</v>
      </c>
      <c r="I262" s="15">
        <f>IFERROR(H262/H444, "NA")</f>
        <v>0.20372978746228004</v>
      </c>
      <c r="J262" s="2"/>
      <c r="K262" s="14">
        <f>IFERROR(K240+K241+K242+K243+K244+K245+K246+K247+K248+K249+K250+K251+K252+K253+K254+K255+K256+K257+K258+K259+K260+K261, "NA")</f>
        <v>4993.12</v>
      </c>
      <c r="L262" s="15">
        <f>IFERROR(K262/K444, "NA")</f>
        <v>5.6946294422716107E-2</v>
      </c>
      <c r="M262" s="2"/>
      <c r="N262" s="14">
        <f t="shared" si="65"/>
        <v>-2531.3600000000006</v>
      </c>
      <c r="O262" s="15">
        <f>IFERROR(N262/N444, "NA")</f>
        <v>1.5356932690265972</v>
      </c>
      <c r="P262" s="2"/>
      <c r="Q262" s="14">
        <f>IFERROR(Q240+Q241+Q242+Q243+Q244+Q245+Q246+Q247+Q248+Q249+Q250+Q251+Q252+Q253+Q254+Q255+Q256+Q257+Q258+Q259+Q260+Q261, "NA")</f>
        <v>83424.92</v>
      </c>
      <c r="R262" s="15">
        <f>IFERROR(Q262/Q444, "NA")</f>
        <v>6.7622713741134238E-2</v>
      </c>
      <c r="S262" s="2"/>
      <c r="T262" s="14">
        <f>IFERROR(T240+T241+T242+T243+T244+T245+T246+T247+T248+T249+T250+T251+T252+T253+T254+T255+T256+T257+T258+T259+T260+T261, "NA")</f>
        <v>79749.13</v>
      </c>
      <c r="U262" s="15">
        <f>IFERROR(T262/T444, "NA")</f>
        <v>6.1313863169567669E-2</v>
      </c>
      <c r="V262" s="2"/>
      <c r="W262" s="14">
        <f t="shared" si="66"/>
        <v>-3675.7899999999936</v>
      </c>
      <c r="X262" s="15">
        <f>IFERROR(W262/W444, "NA")</f>
        <v>5.4871939251680622E-2</v>
      </c>
      <c r="Y262" s="2"/>
      <c r="Z262" s="14">
        <f>IFERROR(Z240+Z241+Z242+Z243+Z244+Z245+Z246+Z247+Z248+Z249+Z250+Z251+Z252+Z253+Z254+Z255+Z256+Z257+Z258+Z259+Z260+Z261, "NA")</f>
        <v>66359.66</v>
      </c>
      <c r="AA262" s="15">
        <f>IFERROR(Z262/Z444, "NA")</f>
        <v>5.7308150031881923E-2</v>
      </c>
      <c r="AB262" s="2"/>
      <c r="AC262" s="14">
        <f t="shared" si="67"/>
        <v>-17065.259999999995</v>
      </c>
      <c r="AD262" s="15">
        <f>IFERROR(AC262/AC444, "NA")</f>
        <v>-0.22532149910651808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7524.4800000000005</v>
      </c>
      <c r="C263" s="15">
        <f>IFERROR(B263/B444, "NA")</f>
        <v>8.7460535427974856E-2</v>
      </c>
      <c r="D263" s="2"/>
      <c r="E263" s="14">
        <f>IFERROR(E238+E240+E241+E242+E243+E244+E245+E246+E247+E248+E249+E250+E251+E252+E253+E254+E255+E256+E257+E258+E259+E260+E261, "NA")</f>
        <v>5777.22</v>
      </c>
      <c r="F263" s="15">
        <f>IFERROR(E263/E444, "NA")</f>
        <v>6.1064027374921809E-2</v>
      </c>
      <c r="G263" s="2"/>
      <c r="H263" s="14">
        <f t="shared" si="64"/>
        <v>-1747.2600000000002</v>
      </c>
      <c r="I263" s="15">
        <f>IFERROR(H263/H444, "NA")</f>
        <v>0.20372978746228004</v>
      </c>
      <c r="J263" s="2"/>
      <c r="K263" s="14">
        <f>IFERROR(K238+K240+K241+K242+K243+K244+K245+K246+K247+K248+K249+K250+K251+K252+K253+K254+K255+K256+K257+K258+K259+K260+K261, "NA")</f>
        <v>4993.12</v>
      </c>
      <c r="L263" s="15">
        <f>IFERROR(K263/K444, "NA")</f>
        <v>5.6946294422716107E-2</v>
      </c>
      <c r="M263" s="2"/>
      <c r="N263" s="14">
        <f t="shared" si="65"/>
        <v>-2531.3600000000006</v>
      </c>
      <c r="O263" s="15">
        <f>IFERROR(N263/N444, "NA")</f>
        <v>1.5356932690265972</v>
      </c>
      <c r="P263" s="2"/>
      <c r="Q263" s="14">
        <f>IFERROR(Q238+Q240+Q241+Q242+Q243+Q244+Q245+Q246+Q247+Q248+Q249+Q250+Q251+Q252+Q253+Q254+Q255+Q256+Q257+Q258+Q259+Q260+Q261, "NA")</f>
        <v>83424.92</v>
      </c>
      <c r="R263" s="15">
        <f>IFERROR(Q263/Q444, "NA")</f>
        <v>6.7622713741134238E-2</v>
      </c>
      <c r="S263" s="2"/>
      <c r="T263" s="14">
        <f>IFERROR(T238+T240+T241+T242+T243+T244+T245+T246+T247+T248+T249+T250+T251+T252+T253+T254+T255+T256+T257+T258+T259+T260+T261, "NA")</f>
        <v>79749.13</v>
      </c>
      <c r="U263" s="15">
        <f>IFERROR(T263/T444, "NA")</f>
        <v>6.1313863169567669E-2</v>
      </c>
      <c r="V263" s="2"/>
      <c r="W263" s="14">
        <f t="shared" si="66"/>
        <v>-3675.7899999999936</v>
      </c>
      <c r="X263" s="15">
        <f>IFERROR(W263/W444, "NA")</f>
        <v>5.4871939251680622E-2</v>
      </c>
      <c r="Y263" s="2"/>
      <c r="Z263" s="14">
        <f>IFERROR(Z238+Z240+Z241+Z242+Z243+Z244+Z245+Z246+Z247+Z248+Z249+Z250+Z251+Z252+Z253+Z254+Z255+Z256+Z257+Z258+Z259+Z260+Z261, "NA")</f>
        <v>66359.66</v>
      </c>
      <c r="AA263" s="15">
        <f>IFERROR(Z263/Z444, "NA")</f>
        <v>5.7308150031881923E-2</v>
      </c>
      <c r="AB263" s="2"/>
      <c r="AC263" s="14">
        <f t="shared" si="67"/>
        <v>-17065.259999999995</v>
      </c>
      <c r="AD263" s="15">
        <f>IFERROR(AC263/AC444, "NA")</f>
        <v>-0.22532149910651808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1915.71</v>
      </c>
      <c r="C265" s="8">
        <f>IFERROR(B265/B444, "NA")</f>
        <v>2.2267189536649138E-2</v>
      </c>
      <c r="D265" s="9"/>
      <c r="E265" s="7">
        <v>2459.84</v>
      </c>
      <c r="F265" s="8">
        <f>IFERROR(E265/E444, "NA")</f>
        <v>2.6000002959542422E-2</v>
      </c>
      <c r="G265" s="9"/>
      <c r="H265" s="10">
        <f>IFERROR(-(B265-E265), "NA")</f>
        <v>544.13000000000011</v>
      </c>
      <c r="I265" s="8">
        <f>IFERROR(H265/H444, "NA")</f>
        <v>-6.3445331119495921E-2</v>
      </c>
      <c r="J265" s="9"/>
      <c r="K265" s="7">
        <v>1888.74</v>
      </c>
      <c r="L265" s="8">
        <f>IFERROR(K265/K444, "NA")</f>
        <v>2.1540989226768198E-2</v>
      </c>
      <c r="M265" s="9"/>
      <c r="N265" s="10">
        <f>IFERROR(-(B265-K265), "NA")</f>
        <v>-26.970000000000027</v>
      </c>
      <c r="O265" s="8">
        <f>IFERROR(N265/N444, "NA")</f>
        <v>1.6361816361816321E-2</v>
      </c>
      <c r="P265" s="9"/>
      <c r="Q265" s="7">
        <v>28514.15</v>
      </c>
      <c r="R265" s="8">
        <f>IFERROR(Q265/Q444, "NA")</f>
        <v>2.3113048271688637E-2</v>
      </c>
      <c r="S265" s="9"/>
      <c r="T265" s="7">
        <v>33945.06</v>
      </c>
      <c r="U265" s="8">
        <f>IFERROR(T265/T444, "NA")</f>
        <v>2.609812500929809E-2</v>
      </c>
      <c r="V265" s="9"/>
      <c r="W265" s="10">
        <f>IFERROR(-(Q265-T265), "NA")</f>
        <v>5430.9099999999962</v>
      </c>
      <c r="X265" s="8">
        <f>IFERROR(W265/W444, "NA")</f>
        <v>-8.1072249394373769E-2</v>
      </c>
      <c r="Y265" s="9"/>
      <c r="Z265" s="7">
        <v>29876.560000000001</v>
      </c>
      <c r="AA265" s="8">
        <f>IFERROR(Z265/Z444, "NA")</f>
        <v>2.5801373649541336E-2</v>
      </c>
      <c r="AB265" s="9"/>
      <c r="AC265" s="10">
        <f>IFERROR(-(Q265-Z265), "NA")</f>
        <v>1362.4099999999999</v>
      </c>
      <c r="AD265" s="8">
        <f>IFERROR(AC265/AC444, "NA")</f>
        <v>1.7988607474935123E-2</v>
      </c>
    </row>
    <row r="266" spans="1:30" ht="16.5" customHeight="1" x14ac:dyDescent="0.45">
      <c r="A266" s="6" t="s">
        <v>242</v>
      </c>
      <c r="B266" s="7">
        <v>-30.54</v>
      </c>
      <c r="C266" s="8">
        <f>IFERROR(B266/B444, "NA")</f>
        <v>-3.5498064344251717E-4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30.54</v>
      </c>
      <c r="I266" s="8">
        <f>IFERROR(H266/H444, "NA")</f>
        <v>-3.5609512660382723E-3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30.54</v>
      </c>
      <c r="O266" s="8">
        <f>IFERROR(N266/N444, "NA")</f>
        <v>-1.8527618527618462E-2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1885.17</v>
      </c>
      <c r="C267" s="15">
        <f>IFERROR(B267/B444, "NA")</f>
        <v>2.1912208893206619E-2</v>
      </c>
      <c r="D267" s="2"/>
      <c r="E267" s="14">
        <f>IFERROR(E265+E266, "NA")</f>
        <v>2459.84</v>
      </c>
      <c r="F267" s="15">
        <f>IFERROR(E267/E444, "NA")</f>
        <v>2.6000002959542422E-2</v>
      </c>
      <c r="G267" s="2"/>
      <c r="H267" s="14">
        <f>IFERROR(-(B267-E267), "NA")</f>
        <v>574.67000000000007</v>
      </c>
      <c r="I267" s="15">
        <f>IFERROR(H267/H444, "NA")</f>
        <v>-6.7006282385534188E-2</v>
      </c>
      <c r="J267" s="2"/>
      <c r="K267" s="14">
        <f>IFERROR(K265+K266, "NA")</f>
        <v>1888.74</v>
      </c>
      <c r="L267" s="15">
        <f>IFERROR(K267/K444, "NA")</f>
        <v>2.1540989226768198E-2</v>
      </c>
      <c r="M267" s="2"/>
      <c r="N267" s="14">
        <f>IFERROR(-(B267-K267), "NA")</f>
        <v>3.5699999999999363</v>
      </c>
      <c r="O267" s="15">
        <f>IFERROR(N267/N444, "NA")</f>
        <v>-2.1658021658021195E-3</v>
      </c>
      <c r="P267" s="2"/>
      <c r="Q267" s="14">
        <f>IFERROR(Q265+Q266, "NA")</f>
        <v>28514.15</v>
      </c>
      <c r="R267" s="15">
        <f>IFERROR(Q267/Q444, "NA")</f>
        <v>2.3113048271688637E-2</v>
      </c>
      <c r="S267" s="2"/>
      <c r="T267" s="14">
        <f>IFERROR(T265+T266, "NA")</f>
        <v>33945.06</v>
      </c>
      <c r="U267" s="15">
        <f>IFERROR(T267/T444, "NA")</f>
        <v>2.609812500929809E-2</v>
      </c>
      <c r="V267" s="2"/>
      <c r="W267" s="14">
        <f>IFERROR(-(Q267-T267), "NA")</f>
        <v>5430.9099999999962</v>
      </c>
      <c r="X267" s="15">
        <f>IFERROR(W267/W444, "NA")</f>
        <v>-8.1072249394373769E-2</v>
      </c>
      <c r="Y267" s="2"/>
      <c r="Z267" s="14">
        <f>IFERROR(Z265+Z266, "NA")</f>
        <v>29876.560000000001</v>
      </c>
      <c r="AA267" s="15">
        <f>IFERROR(Z267/Z444, "NA")</f>
        <v>2.5801373649541336E-2</v>
      </c>
      <c r="AB267" s="2"/>
      <c r="AC267" s="14">
        <f>IFERROR(-(Q267-Z267), "NA")</f>
        <v>1362.4099999999999</v>
      </c>
      <c r="AD267" s="15">
        <f>IFERROR(AC267/AC444, "NA")</f>
        <v>1.7988607474935123E-2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307.92</v>
      </c>
      <c r="C270" s="8">
        <f>IFERROR(B270/B444, "NA")</f>
        <v>3.579097568068759E-3</v>
      </c>
      <c r="D270" s="9"/>
      <c r="E270" s="7">
        <v>155.52000000000001</v>
      </c>
      <c r="F270" s="8">
        <f>IFERROR(E270/E444, "NA")</f>
        <v>1.643814418932954E-3</v>
      </c>
      <c r="G270" s="9"/>
      <c r="H270" s="10">
        <f>IFERROR(-(B270-E270), "NA")</f>
        <v>-152.4</v>
      </c>
      <c r="I270" s="8">
        <f>IFERROR(H270/H444, "NA")</f>
        <v>1.7769776455279395E-2</v>
      </c>
      <c r="J270" s="9"/>
      <c r="K270" s="7">
        <v>352</v>
      </c>
      <c r="L270" s="8">
        <f>IFERROR(K270/K444, "NA")</f>
        <v>4.0145431387180897E-3</v>
      </c>
      <c r="M270" s="9"/>
      <c r="N270" s="10">
        <f>IFERROR(-(B270-K270), "NA")</f>
        <v>44.079999999999984</v>
      </c>
      <c r="O270" s="8">
        <f>IFERROR(N270/N444, "NA")</f>
        <v>-2.674189340855997E-2</v>
      </c>
      <c r="P270" s="9"/>
      <c r="Q270" s="7">
        <v>4249.51</v>
      </c>
      <c r="R270" s="8">
        <f>IFERROR(Q270/Q444, "NA")</f>
        <v>3.444575053474278E-3</v>
      </c>
      <c r="S270" s="9"/>
      <c r="T270" s="7">
        <v>2131.04</v>
      </c>
      <c r="U270" s="8">
        <f>IFERROR(T270/T444, "NA")</f>
        <v>1.6384165566304669E-3</v>
      </c>
      <c r="V270" s="9"/>
      <c r="W270" s="10">
        <f>IFERROR(-(Q270-T270), "NA")</f>
        <v>-2118.4700000000003</v>
      </c>
      <c r="X270" s="8">
        <f>IFERROR(W270/W444, "NA")</f>
        <v>3.1624373847936926E-2</v>
      </c>
      <c r="Y270" s="9"/>
      <c r="Z270" s="7">
        <v>3835.5</v>
      </c>
      <c r="AA270" s="8">
        <f>IFERROR(Z270/Z444, "NA")</f>
        <v>3.3123347745796635E-3</v>
      </c>
      <c r="AB270" s="9"/>
      <c r="AC270" s="10">
        <f>IFERROR(-(Q270-Z270), "NA")</f>
        <v>-414.01000000000022</v>
      </c>
      <c r="AD270" s="8">
        <f>IFERROR(AC270/AC444, "NA")</f>
        <v>-5.4663892519123429E-3</v>
      </c>
    </row>
    <row r="271" spans="1:30" ht="16.5" customHeight="1" x14ac:dyDescent="0.45">
      <c r="A271" s="6" t="s">
        <v>246</v>
      </c>
      <c r="B271" s="7">
        <v>795.91</v>
      </c>
      <c r="C271" s="8">
        <f>IFERROR(B271/B444, "NA")</f>
        <v>9.251232610423505E-3</v>
      </c>
      <c r="D271" s="9"/>
      <c r="E271" s="7">
        <v>567.66</v>
      </c>
      <c r="F271" s="8">
        <f>IFERROR(E271/E444, "NA")</f>
        <v>6.0000494666376065E-3</v>
      </c>
      <c r="G271" s="9"/>
      <c r="H271" s="10">
        <f>IFERROR(-(B271-E271), "NA")</f>
        <v>-228.25</v>
      </c>
      <c r="I271" s="8">
        <f>IFERROR(H271/H444, "NA")</f>
        <v>2.661385482885513E-2</v>
      </c>
      <c r="J271" s="9"/>
      <c r="K271" s="7">
        <v>223</v>
      </c>
      <c r="L271" s="8">
        <f>IFERROR(K271/K444, "NA")</f>
        <v>2.5433043179946989E-3</v>
      </c>
      <c r="M271" s="9"/>
      <c r="N271" s="10">
        <f>IFERROR(-(B271-K271), "NA")</f>
        <v>-572.91</v>
      </c>
      <c r="O271" s="8">
        <f>IFERROR(N271/N444, "NA")</f>
        <v>0.34756574756574632</v>
      </c>
      <c r="P271" s="9"/>
      <c r="Q271" s="7">
        <v>11039.47</v>
      </c>
      <c r="R271" s="8">
        <f>IFERROR(Q271/Q444, "NA")</f>
        <v>8.9483923947885017E-3</v>
      </c>
      <c r="S271" s="9"/>
      <c r="T271" s="7">
        <v>7804.02</v>
      </c>
      <c r="U271" s="8">
        <f>IFERROR(T271/T444, "NA")</f>
        <v>5.999997924147505E-3</v>
      </c>
      <c r="V271" s="9"/>
      <c r="W271" s="10">
        <f>IFERROR(-(Q271-T271), "NA")</f>
        <v>-3235.4499999999989</v>
      </c>
      <c r="X271" s="8">
        <f>IFERROR(W271/W444, "NA")</f>
        <v>4.8298574143748781E-2</v>
      </c>
      <c r="Y271" s="9"/>
      <c r="Z271" s="7">
        <v>6449.1</v>
      </c>
      <c r="AA271" s="8">
        <f>IFERROR(Z271/Z444, "NA")</f>
        <v>5.5694376729870185E-3</v>
      </c>
      <c r="AB271" s="9"/>
      <c r="AC271" s="10">
        <f>IFERROR(-(Q271-Z271), "NA")</f>
        <v>-4590.369999999999</v>
      </c>
      <c r="AD271" s="8">
        <f>IFERROR(AC271/AC444, "NA")</f>
        <v>-6.0609041400692835E-2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1103.83</v>
      </c>
      <c r="C273" s="15">
        <f>IFERROR(B273/B444, "NA")</f>
        <v>1.2830330178492264E-2</v>
      </c>
      <c r="D273" s="2"/>
      <c r="E273" s="14">
        <f>IFERROR(E269+E270+E271+E272, "NA")</f>
        <v>723.18</v>
      </c>
      <c r="F273" s="15">
        <f>IFERROR(E273/E444, "NA")</f>
        <v>7.6438638855705603E-3</v>
      </c>
      <c r="G273" s="2"/>
      <c r="H273" s="14">
        <f>IFERROR(-(B273-E273), "NA")</f>
        <v>-380.65</v>
      </c>
      <c r="I273" s="15">
        <f>IFERROR(H273/H444, "NA")</f>
        <v>4.4383631284134521E-2</v>
      </c>
      <c r="J273" s="2"/>
      <c r="K273" s="14">
        <f>IFERROR(K269+K270+K271+K272, "NA")</f>
        <v>575</v>
      </c>
      <c r="L273" s="15">
        <f>IFERROR(K273/K444, "NA")</f>
        <v>6.5578474567127886E-3</v>
      </c>
      <c r="M273" s="2"/>
      <c r="N273" s="14">
        <f>IFERROR(-(B273-K273), "NA")</f>
        <v>-528.82999999999993</v>
      </c>
      <c r="O273" s="15">
        <f>IFERROR(N273/N444, "NA")</f>
        <v>0.32082385415718634</v>
      </c>
      <c r="P273" s="2"/>
      <c r="Q273" s="14">
        <f>IFERROR(Q269+Q270+Q271+Q272, "NA")</f>
        <v>15288.98</v>
      </c>
      <c r="R273" s="15">
        <f>IFERROR(Q273/Q444, "NA")</f>
        <v>1.2392967448262779E-2</v>
      </c>
      <c r="S273" s="2"/>
      <c r="T273" s="14">
        <f>IFERROR(T269+T270+T271+T272, "NA")</f>
        <v>9935.0600000000013</v>
      </c>
      <c r="U273" s="15">
        <f>IFERROR(T273/T444, "NA")</f>
        <v>7.6384144807779726E-3</v>
      </c>
      <c r="V273" s="2"/>
      <c r="W273" s="14">
        <f>IFERROR(-(Q273-T273), "NA")</f>
        <v>-5353.9199999999983</v>
      </c>
      <c r="X273" s="15">
        <f>IFERROR(W273/W444, "NA")</f>
        <v>7.9922947991685686E-2</v>
      </c>
      <c r="Y273" s="2"/>
      <c r="Z273" s="14">
        <f>IFERROR(Z269+Z270+Z271+Z272, "NA")</f>
        <v>10284.6</v>
      </c>
      <c r="AA273" s="15">
        <f>IFERROR(Z273/Z444, "NA")</f>
        <v>8.8817724475666812E-3</v>
      </c>
      <c r="AB273" s="2"/>
      <c r="AC273" s="14">
        <f>IFERROR(-(Q273-Z273), "NA")</f>
        <v>-5004.3799999999992</v>
      </c>
      <c r="AD273" s="15">
        <f>IFERROR(AC273/AC444, "NA")</f>
        <v>-6.6075430652605183E-2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3.4986019332999469E-3</v>
      </c>
      <c r="G287" s="9"/>
      <c r="H287" s="10">
        <f t="shared" si="72"/>
        <v>331</v>
      </c>
      <c r="I287" s="8">
        <f>IFERROR(H287/H444, "NA")</f>
        <v>-3.8594461986203935E-2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3972</v>
      </c>
      <c r="U287" s="8">
        <f>IFERROR(T287/T444, "NA")</f>
        <v>3.0538096717735073E-3</v>
      </c>
      <c r="V287" s="9"/>
      <c r="W287" s="10">
        <f t="shared" si="74"/>
        <v>3972</v>
      </c>
      <c r="X287" s="8">
        <f>IFERROR(W287/W444, "NA")</f>
        <v>-5.9293741673946507E-2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1.5982265380925381E-3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1.6032442667985019E-2</v>
      </c>
      <c r="J288" s="9"/>
      <c r="K288" s="7">
        <v>137.5</v>
      </c>
      <c r="L288" s="8">
        <f>IFERROR(K288/K444, "NA")</f>
        <v>1.568180913561754E-3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1650</v>
      </c>
      <c r="R288" s="8">
        <f>IFERROR(Q288/Q444, "NA")</f>
        <v>1.3374598102446067E-3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-1650</v>
      </c>
      <c r="X288" s="8">
        <f>IFERROR(W288/W444, "NA")</f>
        <v>2.463108604280255E-2</v>
      </c>
      <c r="Y288" s="9"/>
      <c r="Z288" s="7">
        <v>1626.5</v>
      </c>
      <c r="AA288" s="8">
        <f>IFERROR(Z288/Z444, "NA")</f>
        <v>1.4046441170261564E-3</v>
      </c>
      <c r="AB288" s="9"/>
      <c r="AC288" s="10">
        <f t="shared" si="75"/>
        <v>-23.5</v>
      </c>
      <c r="AD288" s="8">
        <f>IFERROR(AC288/AC444, "NA")</f>
        <v>-3.102827164076713E-4</v>
      </c>
    </row>
    <row r="289" spans="1:30" ht="16.5" customHeight="1" x14ac:dyDescent="0.45">
      <c r="A289" s="6" t="s">
        <v>262</v>
      </c>
      <c r="B289" s="7">
        <v>233.81</v>
      </c>
      <c r="C289" s="8">
        <f>IFERROR(B289/B444, "NA")</f>
        <v>2.7176825227012099E-3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-233.81</v>
      </c>
      <c r="I289" s="8">
        <f>IFERROR(H289/H444, "NA")</f>
        <v>2.7262148510556923E-2</v>
      </c>
      <c r="J289" s="9"/>
      <c r="K289" s="7">
        <v>205.63</v>
      </c>
      <c r="L289" s="8">
        <f>IFERROR(K289/K444, "NA")</f>
        <v>2.3452003000414795E-3</v>
      </c>
      <c r="M289" s="9"/>
      <c r="N289" s="10">
        <f t="shared" si="73"/>
        <v>-28.180000000000007</v>
      </c>
      <c r="O289" s="8">
        <f>IFERROR(N289/N444, "NA")</f>
        <v>1.7095883762550373E-2</v>
      </c>
      <c r="P289" s="9"/>
      <c r="Q289" s="7">
        <v>2723.43</v>
      </c>
      <c r="R289" s="8">
        <f>IFERROR(Q289/Q444, "NA")</f>
        <v>2.2075625278875567E-3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-2723.43</v>
      </c>
      <c r="X289" s="8">
        <f>IFERROR(W289/W444, "NA")</f>
        <v>4.0655174946393785E-2</v>
      </c>
      <c r="Y289" s="9"/>
      <c r="Z289" s="7">
        <v>2409.61</v>
      </c>
      <c r="AA289" s="8">
        <f>IFERROR(Z289/Z444, "NA")</f>
        <v>2.0809372953134934E-3</v>
      </c>
      <c r="AB289" s="9"/>
      <c r="AC289" s="10">
        <f t="shared" si="75"/>
        <v>-313.81999999999971</v>
      </c>
      <c r="AD289" s="8">
        <f>IFERROR(AC289/AC444, "NA")</f>
        <v>-4.1435285984278859E-3</v>
      </c>
    </row>
    <row r="290" spans="1:30" ht="16.5" customHeight="1" x14ac:dyDescent="0.45">
      <c r="A290" s="6" t="s">
        <v>263</v>
      </c>
      <c r="B290" s="7">
        <v>395</v>
      </c>
      <c r="C290" s="8">
        <f>IFERROR(B290/B444, "NA")</f>
        <v>4.5912689639749276E-3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-395</v>
      </c>
      <c r="I290" s="8">
        <f>IFERROR(H290/H444, "NA")</f>
        <v>4.6056835300756958E-2</v>
      </c>
      <c r="J290" s="9"/>
      <c r="K290" s="7">
        <v>2343.1799999999998</v>
      </c>
      <c r="L290" s="8">
        <f>IFERROR(K290/K444, "NA")</f>
        <v>2.6723855658470037E-2</v>
      </c>
      <c r="M290" s="9"/>
      <c r="N290" s="10">
        <f t="shared" si="73"/>
        <v>1948.1799999999998</v>
      </c>
      <c r="O290" s="8">
        <f>IFERROR(N290/N444, "NA")</f>
        <v>-1.181897048563711</v>
      </c>
      <c r="P290" s="9"/>
      <c r="Q290" s="7">
        <v>10714.28</v>
      </c>
      <c r="R290" s="8">
        <f>IFERROR(Q290/Q444, "NA")</f>
        <v>8.684799330731869E-3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-10714.28</v>
      </c>
      <c r="X290" s="8">
        <f>IFERROR(W290/W444, "NA")</f>
        <v>0.15994203185859304</v>
      </c>
      <c r="Y290" s="9"/>
      <c r="Z290" s="7">
        <v>9500.36</v>
      </c>
      <c r="AA290" s="8">
        <f>IFERROR(Z290/Z444, "NA")</f>
        <v>8.2045034021706823E-3</v>
      </c>
      <c r="AB290" s="9"/>
      <c r="AC290" s="10">
        <f t="shared" si="75"/>
        <v>-1213.92</v>
      </c>
      <c r="AD290" s="8">
        <f>IFERROR(AC290/AC444, "NA")</f>
        <v>-1.6028016812834056E-2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1135.31</v>
      </c>
      <c r="F291" s="8">
        <f>IFERROR(E291/E444, "NA")</f>
        <v>1.1999993235331609E-2</v>
      </c>
      <c r="G291" s="9"/>
      <c r="H291" s="10">
        <f t="shared" si="72"/>
        <v>1135.31</v>
      </c>
      <c r="I291" s="8">
        <f>IFERROR(H291/H444, "NA")</f>
        <v>-0.13237667262101868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19240.91</v>
      </c>
      <c r="R291" s="8">
        <f>IFERROR(Q291/Q444, "NA")</f>
        <v>1.5596329598505184E-2</v>
      </c>
      <c r="S291" s="9"/>
      <c r="T291" s="7">
        <v>15608.04</v>
      </c>
      <c r="U291" s="8">
        <f>IFERROR(T291/T444, "NA")</f>
        <v>1.199999584829501E-2</v>
      </c>
      <c r="V291" s="9"/>
      <c r="W291" s="10">
        <f t="shared" si="74"/>
        <v>-3632.869999999999</v>
      </c>
      <c r="X291" s="8">
        <f>IFERROR(W291/W444, "NA")</f>
        <v>5.4231232455949137E-2</v>
      </c>
      <c r="Y291" s="9"/>
      <c r="Z291" s="7">
        <v>4450.4399999999996</v>
      </c>
      <c r="AA291" s="8">
        <f>IFERROR(Z291/Z444, "NA")</f>
        <v>3.8433964735185284E-3</v>
      </c>
      <c r="AB291" s="9"/>
      <c r="AC291" s="10">
        <f t="shared" si="75"/>
        <v>-14790.470000000001</v>
      </c>
      <c r="AD291" s="8">
        <f>IFERROR(AC291/AC444, "NA")</f>
        <v>-0.19528626419345405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2647.1</v>
      </c>
      <c r="R292" s="8">
        <f>IFERROR(Q292/Q444, "NA")</f>
        <v>2.1456908264839382E-3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-2647.1</v>
      </c>
      <c r="X292" s="8">
        <f>IFERROR(W292/W444, "NA")</f>
        <v>3.9515725978122807E-2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-2647.1</v>
      </c>
      <c r="AD292" s="8">
        <f>IFERROR(AC292/AC444, "NA")</f>
        <v>-3.4951037387350919E-2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1398.84</v>
      </c>
      <c r="R293" s="8">
        <f>IFERROR(Q293/Q444, "NA")</f>
        <v>1.133874109674282E-3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-1398.84</v>
      </c>
      <c r="X293" s="8">
        <f>IFERROR(W293/W444, "NA")</f>
        <v>2.0881786909159952E-2</v>
      </c>
      <c r="Y293" s="9"/>
      <c r="Z293" s="7">
        <v>1091.2</v>
      </c>
      <c r="AA293" s="8">
        <f>IFERROR(Z293/Z444, "NA")</f>
        <v>9.423594592677171E-4</v>
      </c>
      <c r="AB293" s="9"/>
      <c r="AC293" s="10">
        <f t="shared" si="75"/>
        <v>-307.63999999999987</v>
      </c>
      <c r="AD293" s="8">
        <f>IFERROR(AC293/AC444, "NA")</f>
        <v>-4.0619308457725935E-3</v>
      </c>
    </row>
    <row r="294" spans="1:30" ht="16.5" customHeight="1" x14ac:dyDescent="0.45">
      <c r="A294" s="6" t="s">
        <v>267</v>
      </c>
      <c r="B294" s="7">
        <v>380.48</v>
      </c>
      <c r="C294" s="8">
        <f>IFERROR(B294/B444, "NA")</f>
        <v>4.422496241552356E-3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-380.48</v>
      </c>
      <c r="I294" s="8">
        <f>IFERROR(H294/H444, "NA")</f>
        <v>4.4363809355017748E-2</v>
      </c>
      <c r="J294" s="9"/>
      <c r="K294" s="7">
        <v>324.99</v>
      </c>
      <c r="L294" s="8">
        <f>IFERROR(K294/K444, "NA")</f>
        <v>3.7064953825340684E-3</v>
      </c>
      <c r="M294" s="9"/>
      <c r="N294" s="10">
        <f t="shared" si="73"/>
        <v>-55.490000000000009</v>
      </c>
      <c r="O294" s="8">
        <f>IFERROR(N294/N444, "NA")</f>
        <v>3.3663966997300218E-2</v>
      </c>
      <c r="P294" s="9"/>
      <c r="Q294" s="7">
        <v>4452.38</v>
      </c>
      <c r="R294" s="8">
        <f>IFERROR(Q294/Q444, "NA")</f>
        <v>3.60901776359811E-3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-4452.38</v>
      </c>
      <c r="X294" s="8">
        <f>IFERROR(W294/W444, "NA")</f>
        <v>6.646482113651711E-2</v>
      </c>
      <c r="Y294" s="9"/>
      <c r="Z294" s="7">
        <v>1458.96</v>
      </c>
      <c r="AA294" s="8">
        <f>IFERROR(Z294/Z444, "NA")</f>
        <v>1.2599567051807445E-3</v>
      </c>
      <c r="AB294" s="9"/>
      <c r="AC294" s="10">
        <f t="shared" si="75"/>
        <v>-2993.42</v>
      </c>
      <c r="AD294" s="8">
        <f>IFERROR(AC294/AC444, "NA")</f>
        <v>-3.9523680380810694E-2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1146.79</v>
      </c>
      <c r="C295" s="15">
        <f>IFERROR(B295/B444, "NA")</f>
        <v>1.3329674266321031E-2</v>
      </c>
      <c r="D295" s="2"/>
      <c r="E295" s="14">
        <f>IFERROR(E286+E287+E288+E289+E290+E291+E292+E293+E294, "NA")</f>
        <v>1466.31</v>
      </c>
      <c r="F295" s="15">
        <f>IFERROR(E295/E444, "NA")</f>
        <v>1.5498595168631555E-2</v>
      </c>
      <c r="G295" s="2"/>
      <c r="H295" s="14">
        <f t="shared" si="72"/>
        <v>319.52</v>
      </c>
      <c r="I295" s="15">
        <f>IFERROR(H295/H444, "NA")</f>
        <v>-3.7255898772905985E-2</v>
      </c>
      <c r="J295" s="2"/>
      <c r="K295" s="14">
        <f>IFERROR(K286+K287+K288+K289+K290+K291+K292+K293+K294, "NA")</f>
        <v>3011.3</v>
      </c>
      <c r="L295" s="15">
        <f>IFERROR(K295/K444, "NA")</f>
        <v>3.4343732254607344E-2</v>
      </c>
      <c r="M295" s="2"/>
      <c r="N295" s="14">
        <f t="shared" si="73"/>
        <v>1864.5100000000002</v>
      </c>
      <c r="O295" s="15">
        <f>IFERROR(N295/N444, "NA")</f>
        <v>-1.1311371978038607</v>
      </c>
      <c r="P295" s="2"/>
      <c r="Q295" s="14">
        <f>IFERROR(Q286+Q287+Q288+Q289+Q290+Q291+Q292+Q293+Q294, "NA")</f>
        <v>42826.939999999995</v>
      </c>
      <c r="R295" s="15">
        <f>IFERROR(Q295/Q444, "NA")</f>
        <v>3.4714733967125544E-2</v>
      </c>
      <c r="S295" s="2"/>
      <c r="T295" s="14">
        <f>IFERROR(T286+T287+T288+T289+T290+T291+T292+T293+T294, "NA")</f>
        <v>19580.04</v>
      </c>
      <c r="U295" s="15">
        <f>IFERROR(T295/T444, "NA")</f>
        <v>1.5053805520068516E-2</v>
      </c>
      <c r="V295" s="2"/>
      <c r="W295" s="14">
        <f t="shared" si="74"/>
        <v>-23246.899999999994</v>
      </c>
      <c r="X295" s="15">
        <f>IFERROR(W295/W444, "NA")</f>
        <v>0.34702811765359182</v>
      </c>
      <c r="Y295" s="2"/>
      <c r="Z295" s="14">
        <f>IFERROR(Z286+Z287+Z288+Z289+Z290+Z291+Z292+Z293+Z294, "NA")</f>
        <v>20537.07</v>
      </c>
      <c r="AA295" s="15">
        <f>IFERROR(Z295/Z444, "NA")</f>
        <v>1.7735797452477321E-2</v>
      </c>
      <c r="AB295" s="2"/>
      <c r="AC295" s="14">
        <f t="shared" si="75"/>
        <v>-22289.869999999995</v>
      </c>
      <c r="AD295" s="15">
        <f>IFERROR(AC295/AC444, "NA")</f>
        <v>-0.29430474093505782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1229.92</v>
      </c>
      <c r="F297" s="8">
        <f>IFERROR(E297/E444, "NA")</f>
        <v>1.3000001479771211E-2</v>
      </c>
      <c r="G297" s="9"/>
      <c r="H297" s="10">
        <f t="shared" ref="H297:H325" si="76">IFERROR(-(B297-E297), "NA")</f>
        <v>1229.92</v>
      </c>
      <c r="I297" s="8">
        <f>IFERROR(H297/H444, "NA")</f>
        <v>-0.14340815917242281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16908.71</v>
      </c>
      <c r="U297" s="8">
        <f>IFERROR(T297/T444, "NA")</f>
        <v>1.2999995502319592E-2</v>
      </c>
      <c r="V297" s="9"/>
      <c r="W297" s="10">
        <f t="shared" ref="W297:W325" si="78">IFERROR(-(Q297-T297), "NA")</f>
        <v>16908.71</v>
      </c>
      <c r="X297" s="8">
        <f>IFERROR(W297/W444, "NA")</f>
        <v>-0.25241205508048237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159</v>
      </c>
      <c r="C299" s="8">
        <f>IFERROR(B299/B444, "NA")</f>
        <v>1.8481310513215532E-3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-159</v>
      </c>
      <c r="I299" s="8">
        <f>IFERROR(H299/H444, "NA")</f>
        <v>1.8539333703342674E-2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-159</v>
      </c>
      <c r="O299" s="8">
        <f>IFERROR(N299/N444, "NA")</f>
        <v>9.6460096460096123E-2</v>
      </c>
      <c r="P299" s="9"/>
      <c r="Q299" s="7">
        <v>879.65</v>
      </c>
      <c r="R299" s="8">
        <f>IFERROR(Q299/Q444, "NA")</f>
        <v>7.1302819520101105E-4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-879.65</v>
      </c>
      <c r="X299" s="8">
        <f>IFERROR(W299/W444, "NA")</f>
        <v>1.3131354447000766E-2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-879.65</v>
      </c>
      <c r="AD299" s="8">
        <f>IFERROR(AC299/AC444, "NA")</f>
        <v>-1.1614476233532256E-2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268.25</v>
      </c>
      <c r="R304" s="8">
        <f>IFERROR(Q304/Q444, "NA")</f>
        <v>2.1743854187764589E-4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-268.25</v>
      </c>
      <c r="X304" s="8">
        <f>IFERROR(W304/W444, "NA")</f>
        <v>4.0044174733222934E-3</v>
      </c>
      <c r="Y304" s="9"/>
      <c r="Z304" s="7">
        <v>174.68</v>
      </c>
      <c r="AA304" s="8">
        <f>IFERROR(Z304/Z444, "NA")</f>
        <v>1.5085351021342083E-4</v>
      </c>
      <c r="AB304" s="9"/>
      <c r="AC304" s="10">
        <f t="shared" si="79"/>
        <v>-93.57</v>
      </c>
      <c r="AD304" s="8">
        <f>IFERROR(AC304/AC444, "NA")</f>
        <v>-1.235453352096417E-3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356.26</v>
      </c>
      <c r="R305" s="8">
        <f>IFERROR(Q305/Q444, "NA")</f>
        <v>2.8877783757439004E-4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-356.26</v>
      </c>
      <c r="X305" s="8">
        <f>IFERROR(W305/W444, "NA")</f>
        <v>5.3182246749144462E-3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-356.26</v>
      </c>
      <c r="AD305" s="8">
        <f>IFERROR(AC305/AC444, "NA")</f>
        <v>-4.7038859807402968E-3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70.36</v>
      </c>
      <c r="L310" s="8">
        <f>IFERROR(K310/K444, "NA")</f>
        <v>8.0245242965967269E-4</v>
      </c>
      <c r="M310" s="9"/>
      <c r="N310" s="10">
        <f t="shared" si="77"/>
        <v>70.36</v>
      </c>
      <c r="O310" s="8">
        <f>IFERROR(N310/N444, "NA")</f>
        <v>-4.2685109351775864E-2</v>
      </c>
      <c r="P310" s="9"/>
      <c r="Q310" s="7">
        <v>400.63</v>
      </c>
      <c r="R310" s="8">
        <f>IFERROR(Q310/Q444, "NA")</f>
        <v>3.2474334774442229E-4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-400.63</v>
      </c>
      <c r="X310" s="8">
        <f>IFERROR(W310/W444, "NA")</f>
        <v>5.9805769705018096E-3</v>
      </c>
      <c r="Y310" s="9"/>
      <c r="Z310" s="7">
        <v>896.71</v>
      </c>
      <c r="AA310" s="8">
        <f>IFERROR(Z310/Z444, "NA")</f>
        <v>7.7439804868031025E-4</v>
      </c>
      <c r="AB310" s="9"/>
      <c r="AC310" s="10">
        <f t="shared" si="79"/>
        <v>496.08000000000004</v>
      </c>
      <c r="AD310" s="8">
        <f>IFERROR(AC310/AC444, "NA")</f>
        <v>6.5500021257667053E-3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4.9137462846683669E-5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9.0493117328163068E-4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-8.0039737313332047E-4</v>
      </c>
    </row>
    <row r="312" spans="1:30" ht="16.5" customHeight="1" x14ac:dyDescent="0.45">
      <c r="A312" s="6" t="s">
        <v>284</v>
      </c>
      <c r="B312" s="7">
        <v>0</v>
      </c>
      <c r="C312" s="8">
        <f>IFERROR(B312/B444, "NA")</f>
        <v>0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0</v>
      </c>
      <c r="I312" s="8">
        <f>IFERROR(H312/H444, "NA")</f>
        <v>0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0</v>
      </c>
      <c r="O312" s="8">
        <f>IFERROR(N312/N444, "NA")</f>
        <v>0</v>
      </c>
      <c r="P312" s="9"/>
      <c r="Q312" s="7">
        <v>2559.09</v>
      </c>
      <c r="R312" s="8">
        <f>IFERROR(Q312/Q444, "NA")</f>
        <v>2.0743515307871945E-3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-2559.09</v>
      </c>
      <c r="X312" s="8">
        <f>IFERROR(W312/W444, "NA")</f>
        <v>3.8201918776530654E-2</v>
      </c>
      <c r="Y312" s="9"/>
      <c r="Z312" s="7">
        <v>464.99</v>
      </c>
      <c r="AA312" s="8">
        <f>IFERROR(Z312/Z444, "NA")</f>
        <v>4.0156499721856286E-4</v>
      </c>
      <c r="AB312" s="9"/>
      <c r="AC312" s="10">
        <f t="shared" si="79"/>
        <v>-2094.1000000000004</v>
      </c>
      <c r="AD312" s="8">
        <f>IFERROR(AC312/AC444, "NA")</f>
        <v>-2.7649490911885299E-2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87</v>
      </c>
      <c r="R313" s="8">
        <f>IFERROR(Q313/Q444, "NA")</f>
        <v>7.0520608176533801E-5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-87</v>
      </c>
      <c r="X313" s="8">
        <f>IFERROR(W313/W444, "NA")</f>
        <v>1.2987299913477708E-3</v>
      </c>
      <c r="Y313" s="9"/>
      <c r="Z313" s="7">
        <v>5.05</v>
      </c>
      <c r="AA313" s="8">
        <f>IFERROR(Z313/Z444, "NA")</f>
        <v>4.3611760165890497E-6</v>
      </c>
      <c r="AB313" s="9"/>
      <c r="AC313" s="10">
        <f t="shared" si="79"/>
        <v>-81.95</v>
      </c>
      <c r="AD313" s="8">
        <f>IFERROR(AC313/AC444, "NA")</f>
        <v>-1.0820284514727091E-3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408.07</v>
      </c>
      <c r="C315" s="8">
        <f>IFERROR(B315/B444, "NA")</f>
        <v>4.7431876610867056E-3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-408.07</v>
      </c>
      <c r="I315" s="8">
        <f>IFERROR(H315/H444, "NA")</f>
        <v>4.7580791851088336E-2</v>
      </c>
      <c r="J315" s="9"/>
      <c r="K315" s="7">
        <v>455.52</v>
      </c>
      <c r="L315" s="8">
        <f>IFERROR(K315/K444, "NA")</f>
        <v>5.1951837799683641E-3</v>
      </c>
      <c r="M315" s="9"/>
      <c r="N315" s="10">
        <f t="shared" si="77"/>
        <v>47.449999999999989</v>
      </c>
      <c r="O315" s="8">
        <f>IFERROR(N315/N444, "NA")</f>
        <v>-2.8786362119695343E-2</v>
      </c>
      <c r="P315" s="9"/>
      <c r="Q315" s="7">
        <v>5229.07</v>
      </c>
      <c r="R315" s="8">
        <f>IFERROR(Q315/Q444, "NA")</f>
        <v>4.2385884666398576E-3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-5229.07</v>
      </c>
      <c r="X315" s="8">
        <f>IFERROR(W315/W444, "NA")</f>
        <v>7.805919581444698E-2</v>
      </c>
      <c r="Y315" s="9"/>
      <c r="Z315" s="7">
        <v>6515.69</v>
      </c>
      <c r="AA315" s="8">
        <f>IFERROR(Z315/Z444, "NA")</f>
        <v>5.6269447444612089E-3</v>
      </c>
      <c r="AB315" s="9"/>
      <c r="AC315" s="10">
        <f t="shared" si="79"/>
        <v>1286.6199999999999</v>
      </c>
      <c r="AD315" s="8">
        <f>IFERROR(AC315/AC444, "NA")</f>
        <v>1.6987912705720764E-2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4.8188564229993047E-3</v>
      </c>
      <c r="D318" s="9"/>
      <c r="E318" s="7">
        <v>415</v>
      </c>
      <c r="F318" s="8">
        <f>IFERROR(E318/E444, "NA")</f>
        <v>4.3864646595754625E-3</v>
      </c>
      <c r="G318" s="9"/>
      <c r="H318" s="10">
        <f t="shared" si="76"/>
        <v>0.42000000000001592</v>
      </c>
      <c r="I318" s="8">
        <f>IFERROR(H318/H444, "NA")</f>
        <v>-4.8971824876756096E-5</v>
      </c>
      <c r="J318" s="9"/>
      <c r="K318" s="7">
        <v>414.58</v>
      </c>
      <c r="L318" s="8">
        <f>IFERROR(K318/K444, "NA")</f>
        <v>4.7282650410504137E-3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4974.96</v>
      </c>
      <c r="R318" s="8">
        <f>IFERROR(Q318/Q444, "NA")</f>
        <v>4.0326115500451563E-3</v>
      </c>
      <c r="S318" s="9"/>
      <c r="T318" s="7">
        <v>4980</v>
      </c>
      <c r="U318" s="8">
        <f>IFERROR(T318/T444, "NA")</f>
        <v>3.8287946035830984E-3</v>
      </c>
      <c r="V318" s="9"/>
      <c r="W318" s="10">
        <f t="shared" si="78"/>
        <v>5.0399999999999636</v>
      </c>
      <c r="X318" s="8">
        <f>IFERROR(W318/W444, "NA")</f>
        <v>-7.5236771912559977E-5</v>
      </c>
      <c r="Y318" s="9"/>
      <c r="Z318" s="7">
        <v>4974.96</v>
      </c>
      <c r="AA318" s="8">
        <f>IFERROR(Z318/Z444, "NA")</f>
        <v>4.2963715317801705E-3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308.79000000000002</v>
      </c>
      <c r="C319" s="8">
        <f>IFERROR(B319/B444, "NA")</f>
        <v>3.5892099832552354E-3</v>
      </c>
      <c r="D319" s="9"/>
      <c r="E319" s="7">
        <v>249</v>
      </c>
      <c r="F319" s="8">
        <f>IFERROR(E319/E444, "NA")</f>
        <v>2.6318787957452772E-3</v>
      </c>
      <c r="G319" s="9"/>
      <c r="H319" s="10">
        <f t="shared" si="76"/>
        <v>-59.79000000000002</v>
      </c>
      <c r="I319" s="8">
        <f>IFERROR(H319/H444, "NA")</f>
        <v>6.9714890699550877E-3</v>
      </c>
      <c r="J319" s="9"/>
      <c r="K319" s="7">
        <v>249.13</v>
      </c>
      <c r="L319" s="8">
        <f>IFERROR(K319/K444, "NA")</f>
        <v>2.8413157163319253E-3</v>
      </c>
      <c r="M319" s="9"/>
      <c r="N319" s="10">
        <f t="shared" si="77"/>
        <v>-59.660000000000025</v>
      </c>
      <c r="O319" s="8">
        <f>IFERROR(N319/N444, "NA")</f>
        <v>3.6193769527102751E-2</v>
      </c>
      <c r="P319" s="9"/>
      <c r="Q319" s="7">
        <v>3481.25</v>
      </c>
      <c r="R319" s="8">
        <f>IFERROR(Q319/Q444, "NA")</f>
        <v>2.8218375541903254E-3</v>
      </c>
      <c r="S319" s="9"/>
      <c r="T319" s="7">
        <v>2988</v>
      </c>
      <c r="U319" s="8">
        <f>IFERROR(T319/T444, "NA")</f>
        <v>2.2972767621498589E-3</v>
      </c>
      <c r="V319" s="9"/>
      <c r="W319" s="10">
        <f t="shared" si="78"/>
        <v>-493.25</v>
      </c>
      <c r="X319" s="8">
        <f>IFERROR(W319/W444, "NA")</f>
        <v>7.3632019337044599E-3</v>
      </c>
      <c r="Y319" s="9"/>
      <c r="Z319" s="7">
        <v>2842.96</v>
      </c>
      <c r="AA319" s="8">
        <f>IFERROR(Z319/Z444, "NA")</f>
        <v>2.4551780134895061E-3</v>
      </c>
      <c r="AB319" s="9"/>
      <c r="AC319" s="10">
        <f t="shared" si="79"/>
        <v>-638.29</v>
      </c>
      <c r="AD319" s="8">
        <f>IFERROR(AC319/AC444, "NA")</f>
        <v>-8.4276746832277656E-3</v>
      </c>
    </row>
    <row r="320" spans="1:30" ht="16.5" customHeight="1" x14ac:dyDescent="0.45">
      <c r="A320" s="6" t="s">
        <v>292</v>
      </c>
      <c r="B320" s="7">
        <v>1133.27</v>
      </c>
      <c r="C320" s="8">
        <f>IFERROR(B320/B444, "NA")</f>
        <v>1.3172525009630041E-2</v>
      </c>
      <c r="D320" s="9"/>
      <c r="E320" s="7">
        <v>878</v>
      </c>
      <c r="F320" s="8">
        <f>IFERROR(E320/E444, "NA")</f>
        <v>9.2802794484512178E-3</v>
      </c>
      <c r="G320" s="9"/>
      <c r="H320" s="10">
        <f t="shared" si="76"/>
        <v>-255.26999999999998</v>
      </c>
      <c r="I320" s="8">
        <f>IFERROR(H320/H444, "NA")</f>
        <v>2.9764375562592985E-2</v>
      </c>
      <c r="J320" s="9"/>
      <c r="K320" s="7">
        <v>889.51</v>
      </c>
      <c r="L320" s="8">
        <f>IFERROR(K320/K444, "NA")</f>
        <v>1.0144818941253205E-2</v>
      </c>
      <c r="M320" s="9"/>
      <c r="N320" s="10">
        <f t="shared" si="77"/>
        <v>-243.76</v>
      </c>
      <c r="O320" s="8">
        <f>IFERROR(N320/N444, "NA")</f>
        <v>0.1478812145478807</v>
      </c>
      <c r="P320" s="9"/>
      <c r="Q320" s="7">
        <v>14146.52</v>
      </c>
      <c r="R320" s="8">
        <f>IFERROR(Q320/Q444, "NA")</f>
        <v>1.1466910275649413E-2</v>
      </c>
      <c r="S320" s="9"/>
      <c r="T320" s="7">
        <v>10536</v>
      </c>
      <c r="U320" s="8">
        <f>IFERROR(T320/T444, "NA")</f>
        <v>8.1004377396288203E-3</v>
      </c>
      <c r="V320" s="9"/>
      <c r="W320" s="10">
        <f t="shared" si="78"/>
        <v>-3610.5200000000004</v>
      </c>
      <c r="X320" s="8">
        <f>IFERROR(W320/W444, "NA")</f>
        <v>5.3897593199551196E-2</v>
      </c>
      <c r="Y320" s="9"/>
      <c r="Z320" s="7">
        <v>10174.870000000001</v>
      </c>
      <c r="AA320" s="8">
        <f>IFERROR(Z320/Z444, "NA")</f>
        <v>8.7870097061210749E-3</v>
      </c>
      <c r="AB320" s="9"/>
      <c r="AC320" s="10">
        <f t="shared" si="79"/>
        <v>-3971.6499999999996</v>
      </c>
      <c r="AD320" s="8">
        <f>IFERROR(AC320/AC444, "NA")</f>
        <v>-5.2439759600873513E-2</v>
      </c>
    </row>
    <row r="321" spans="1:30" ht="16.5" customHeight="1" x14ac:dyDescent="0.45">
      <c r="A321" s="6" t="s">
        <v>293</v>
      </c>
      <c r="B321" s="7">
        <v>1449.95</v>
      </c>
      <c r="C321" s="8">
        <f>IFERROR(B321/B444, "NA")</f>
        <v>1.6853444137507459E-2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-1449.95</v>
      </c>
      <c r="I321" s="8">
        <f>IFERROR(H321/H444, "NA")</f>
        <v>0.16906356542869003</v>
      </c>
      <c r="J321" s="9"/>
      <c r="K321" s="7">
        <v>2157.1999999999998</v>
      </c>
      <c r="L321" s="8">
        <f>IFERROR(K321/K444, "NA")</f>
        <v>2.4602762667166655E-2</v>
      </c>
      <c r="M321" s="9"/>
      <c r="N321" s="10">
        <f t="shared" si="77"/>
        <v>707.24999999999977</v>
      </c>
      <c r="O321" s="8">
        <f>IFERROR(N321/N444, "NA")</f>
        <v>-0.42906542906542744</v>
      </c>
      <c r="P321" s="9"/>
      <c r="Q321" s="7">
        <v>18219.54</v>
      </c>
      <c r="R321" s="8">
        <f>IFERROR(Q321/Q444, "NA")</f>
        <v>1.4768425764329711E-2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-18219.54</v>
      </c>
      <c r="X321" s="8">
        <f>IFERROR(W321/W444, "NA")</f>
        <v>0.27198003478805016</v>
      </c>
      <c r="Y321" s="9"/>
      <c r="Z321" s="7">
        <v>25552.42</v>
      </c>
      <c r="AA321" s="8">
        <f>IFERROR(Z321/Z444, "NA")</f>
        <v>2.2067049756398092E-2</v>
      </c>
      <c r="AB321" s="9"/>
      <c r="AC321" s="10">
        <f t="shared" si="79"/>
        <v>7332.8799999999974</v>
      </c>
      <c r="AD321" s="8">
        <f>IFERROR(AC321/AC444, "NA")</f>
        <v>9.6819826616658888E-2</v>
      </c>
    </row>
    <row r="322" spans="1:30" ht="16.5" customHeight="1" x14ac:dyDescent="0.45">
      <c r="A322" s="6" t="s">
        <v>294</v>
      </c>
      <c r="B322" s="7">
        <v>342.18</v>
      </c>
      <c r="C322" s="8">
        <f>IFERROR(B322/B444, "NA")</f>
        <v>3.9773175040327619E-3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-342.18</v>
      </c>
      <c r="I322" s="8">
        <f>IFERROR(H322/H444, "NA")</f>
        <v>3.9898045324589917E-2</v>
      </c>
      <c r="J322" s="9"/>
      <c r="K322" s="7">
        <v>649.71</v>
      </c>
      <c r="L322" s="8">
        <f>IFERROR(K322/K444, "NA")</f>
        <v>7.4099114280015066E-3</v>
      </c>
      <c r="M322" s="9"/>
      <c r="N322" s="10">
        <f t="shared" si="77"/>
        <v>307.53000000000003</v>
      </c>
      <c r="O322" s="8">
        <f>IFERROR(N322/N444, "NA")</f>
        <v>-0.18656838656838592</v>
      </c>
      <c r="P322" s="9"/>
      <c r="Q322" s="7">
        <v>4292.2299999999996</v>
      </c>
      <c r="R322" s="8">
        <f>IFERROR(Q322/Q444, "NA")</f>
        <v>3.4792031038340652E-3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-4292.2299999999996</v>
      </c>
      <c r="X322" s="8">
        <f>IFERROR(W322/W444, "NA")</f>
        <v>6.4074112997271754E-2</v>
      </c>
      <c r="Y322" s="9"/>
      <c r="Z322" s="7">
        <v>4555.6000000000004</v>
      </c>
      <c r="AA322" s="8">
        <f>IFERROR(Z322/Z444, "NA")</f>
        <v>3.9342125665689258E-3</v>
      </c>
      <c r="AB322" s="9"/>
      <c r="AC322" s="10">
        <f t="shared" si="79"/>
        <v>263.3700000000008</v>
      </c>
      <c r="AD322" s="8">
        <f>IFERROR(AC322/AC444, "NA")</f>
        <v>3.4774110221399419E-3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4215.84</v>
      </c>
      <c r="C324" s="15">
        <f>IFERROR(B324/B444, "NA")</f>
        <v>4.9002671769833063E-2</v>
      </c>
      <c r="D324" s="2"/>
      <c r="E324" s="14">
        <f>IFERROR(E297+E298+E299+E300+E301+E302+E303+E304+E305+E306+E307+E308+E309+E310+E311+E312+E313+E314+E315+E316+E317+E318+E319+E320+E321+E322+E323, "NA")</f>
        <v>2771.92</v>
      </c>
      <c r="F324" s="15">
        <f>IFERROR(E324/E444, "NA")</f>
        <v>2.9298624383543168E-2</v>
      </c>
      <c r="G324" s="2"/>
      <c r="H324" s="14">
        <f t="shared" si="76"/>
        <v>-1443.92</v>
      </c>
      <c r="I324" s="15">
        <f>IFERROR(H324/H444, "NA")</f>
        <v>0.16836046994295947</v>
      </c>
      <c r="J324" s="2"/>
      <c r="K324" s="14">
        <f>IFERROR(K297+K298+K299+K300+K301+K302+K303+K304+K305+K306+K307+K308+K309+K310+K311+K312+K313+K314+K315+K316+K317+K318+K319+K320+K321+K322+K323, "NA")</f>
        <v>4886.01</v>
      </c>
      <c r="L324" s="15">
        <f>IFERROR(K324/K444, "NA")</f>
        <v>5.5724710003431752E-2</v>
      </c>
      <c r="M324" s="2"/>
      <c r="N324" s="14">
        <f t="shared" si="77"/>
        <v>670.17000000000007</v>
      </c>
      <c r="O324" s="15">
        <f>IFERROR(N324/N444, "NA")</f>
        <v>-0.40657020657020521</v>
      </c>
      <c r="P324" s="2"/>
      <c r="Q324" s="14">
        <f>IFERROR(Q297+Q298+Q299+Q300+Q301+Q302+Q303+Q304+Q305+Q306+Q307+Q308+Q309+Q310+Q311+Q312+Q313+Q314+Q315+Q316+Q317+Q318+Q319+Q320+Q321+Q322+Q323, "NA")</f>
        <v>54955.069999999992</v>
      </c>
      <c r="R324" s="15">
        <f>IFERROR(Q324/Q444, "NA")</f>
        <v>4.45455742388964E-2</v>
      </c>
      <c r="S324" s="2"/>
      <c r="T324" s="14">
        <f>IFERROR(T297+T298+T299+T300+T301+T302+T303+T304+T305+T306+T307+T308+T309+T310+T311+T312+T313+T314+T315+T316+T317+T318+T319+T320+T321+T322+T323, "NA")</f>
        <v>35412.71</v>
      </c>
      <c r="U324" s="15">
        <f>IFERROR(T324/T444, "NA")</f>
        <v>2.7226504607681369E-2</v>
      </c>
      <c r="V324" s="2"/>
      <c r="W324" s="14">
        <f t="shared" si="78"/>
        <v>-19542.359999999993</v>
      </c>
      <c r="X324" s="15">
        <f>IFERROR(W324/W444, "NA")</f>
        <v>0.29172700038752891</v>
      </c>
      <c r="Y324" s="2"/>
      <c r="Z324" s="14">
        <f>IFERROR(Z297+Z298+Z299+Z300+Z301+Z302+Z303+Z304+Z305+Z306+Z307+Z308+Z309+Z310+Z311+Z312+Z313+Z314+Z315+Z316+Z317+Z318+Z319+Z320+Z321+Z322+Z323, "NA")</f>
        <v>56157.93</v>
      </c>
      <c r="AA324" s="15">
        <f>IFERROR(Z324/Z444, "NA")</f>
        <v>4.8497944050947858E-2</v>
      </c>
      <c r="AB324" s="2"/>
      <c r="AC324" s="14">
        <f t="shared" si="79"/>
        <v>1202.8600000000079</v>
      </c>
      <c r="AD324" s="15">
        <f>IFERROR(AC324/AC444, "NA")</f>
        <v>1.5881985883324849E-2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24520.460000000003</v>
      </c>
      <c r="C325" s="15">
        <f>IFERROR(B325/B444, "NA")</f>
        <v>0.28501272653262955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19176.169999999998</v>
      </c>
      <c r="F325" s="15">
        <f>IFERROR(E325/E444, "NA")</f>
        <v>0.20268817352050886</v>
      </c>
      <c r="G325" s="2"/>
      <c r="H325" s="14">
        <f t="shared" si="76"/>
        <v>-5344.2900000000045</v>
      </c>
      <c r="I325" s="15">
        <f>IFERROR(H325/H444, "NA")</f>
        <v>0.62314198564425982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25628.030000000006</v>
      </c>
      <c r="L325" s="15">
        <f>IFERROR(K325/K444, "NA")</f>
        <v>0.2922864545322767</v>
      </c>
      <c r="M325" s="2"/>
      <c r="N325" s="14">
        <f t="shared" si="77"/>
        <v>1107.5700000000033</v>
      </c>
      <c r="O325" s="15">
        <f>IFERROR(N325/N444, "NA")</f>
        <v>-0.67192647192647159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333353.84000000008</v>
      </c>
      <c r="R325" s="15">
        <f>IFERROR(Q325/Q444, "NA")</f>
        <v>0.27021052338830975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270631.89</v>
      </c>
      <c r="U325" s="15">
        <f>IFERROR(T325/T444, "NA")</f>
        <v>0.20807106827098287</v>
      </c>
      <c r="V325" s="2"/>
      <c r="W325" s="14">
        <f t="shared" si="78"/>
        <v>-62721.95000000007</v>
      </c>
      <c r="X325" s="15">
        <f>IFERROR(W325/W444, "NA")</f>
        <v>0.93630893771052193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286218.43999999994</v>
      </c>
      <c r="AA325" s="15">
        <f>IFERROR(Z325/Z444, "NA")</f>
        <v>0.24717801901654093</v>
      </c>
      <c r="AB325" s="2"/>
      <c r="AC325" s="14">
        <f t="shared" si="79"/>
        <v>-47135.40000000014</v>
      </c>
      <c r="AD325" s="15">
        <f>IFERROR(AC325/AC444, "NA")</f>
        <v>-0.6223531894026465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11441.92</v>
      </c>
      <c r="C329" s="8">
        <f>IFERROR(B329/B444, "NA")</f>
        <v>0.1329947650235038</v>
      </c>
      <c r="D329" s="9"/>
      <c r="E329" s="7">
        <v>13203</v>
      </c>
      <c r="F329" s="8">
        <f>IFERROR(E329/E444, "NA")</f>
        <v>0.13955299494066223</v>
      </c>
      <c r="G329" s="9"/>
      <c r="H329" s="10">
        <f t="shared" si="80"/>
        <v>1761.08</v>
      </c>
      <c r="I329" s="8">
        <f>IFERROR(H329/H444, "NA")</f>
        <v>-0.20534119369989132</v>
      </c>
      <c r="J329" s="9"/>
      <c r="K329" s="7">
        <v>3159.87</v>
      </c>
      <c r="L329" s="8">
        <f>IFERROR(K329/K444, "NA")</f>
        <v>3.6038165987900939E-2</v>
      </c>
      <c r="M329" s="9"/>
      <c r="N329" s="10">
        <f t="shared" si="81"/>
        <v>-8282.0499999999993</v>
      </c>
      <c r="O329" s="8">
        <f>IFERROR(N329/N444, "NA")</f>
        <v>5.0244486911153396</v>
      </c>
      <c r="P329" s="9"/>
      <c r="Q329" s="7">
        <v>118156.89</v>
      </c>
      <c r="R329" s="8">
        <f>IFERROR(Q329/Q444, "NA")</f>
        <v>9.577581313848052E-2</v>
      </c>
      <c r="S329" s="9"/>
      <c r="T329" s="7">
        <v>118148</v>
      </c>
      <c r="U329" s="8">
        <f>IFERROR(T329/T444, "NA")</f>
        <v>9.0836229884364642E-2</v>
      </c>
      <c r="V329" s="9"/>
      <c r="W329" s="10">
        <f t="shared" si="82"/>
        <v>-8.8899999999994179</v>
      </c>
      <c r="X329" s="8">
        <f>IFERROR(W329/W444, "NA")</f>
        <v>1.3270930601242445E-4</v>
      </c>
      <c r="Y329" s="9"/>
      <c r="Z329" s="7">
        <v>48538.17</v>
      </c>
      <c r="AA329" s="8">
        <f>IFERROR(Z329/Z444, "NA")</f>
        <v>4.1917525325370714E-2</v>
      </c>
      <c r="AB329" s="9"/>
      <c r="AC329" s="10">
        <f t="shared" si="83"/>
        <v>-69618.720000000001</v>
      </c>
      <c r="AD329" s="8">
        <f>IFERROR(AC329/AC444, "NA")</f>
        <v>-0.91921215125213074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1.1930673930867811E-2</v>
      </c>
      <c r="D330" s="9"/>
      <c r="E330" s="7">
        <v>1117</v>
      </c>
      <c r="F330" s="8">
        <f>IFERROR(E330/E444, "NA")</f>
        <v>1.1806460300592268E-2</v>
      </c>
      <c r="G330" s="9"/>
      <c r="H330" s="10">
        <f t="shared" si="80"/>
        <v>90.569999999999936</v>
      </c>
      <c r="I330" s="8">
        <f>IFERROR(H330/H444, "NA")</f>
        <v>-1.0560424235922924E-2</v>
      </c>
      <c r="J330" s="9"/>
      <c r="K330" s="7">
        <v>1117.48</v>
      </c>
      <c r="L330" s="8">
        <f>IFERROR(K330/K444, "NA")</f>
        <v>1.27448058711781E-2</v>
      </c>
      <c r="M330" s="9"/>
      <c r="N330" s="10">
        <f t="shared" si="81"/>
        <v>91.049999999999955</v>
      </c>
      <c r="O330" s="8">
        <f>IFERROR(N330/N444, "NA")</f>
        <v>-5.5237055237055015E-2</v>
      </c>
      <c r="P330" s="9"/>
      <c r="Q330" s="7">
        <v>10107.459999999999</v>
      </c>
      <c r="R330" s="8">
        <f>IFERROR(Q330/Q444, "NA")</f>
        <v>8.1929221416090613E-3</v>
      </c>
      <c r="S330" s="9"/>
      <c r="T330" s="7">
        <v>13404</v>
      </c>
      <c r="U330" s="8">
        <f>IFERROR(T330/T444, "NA")</f>
        <v>1.0305454390848966E-2</v>
      </c>
      <c r="V330" s="9"/>
      <c r="W330" s="10">
        <f t="shared" si="82"/>
        <v>3296.5400000000009</v>
      </c>
      <c r="X330" s="8">
        <f>IFERROR(W330/W444, "NA")</f>
        <v>-4.9210521444569902E-2</v>
      </c>
      <c r="Y330" s="9"/>
      <c r="Z330" s="7">
        <v>12437.04</v>
      </c>
      <c r="AA330" s="8">
        <f>IFERROR(Z330/Z444, "NA")</f>
        <v>1.0740617933734393E-2</v>
      </c>
      <c r="AB330" s="9"/>
      <c r="AC330" s="10">
        <f t="shared" si="83"/>
        <v>2329.5800000000017</v>
      </c>
      <c r="AD330" s="8">
        <f>IFERROR(AC330/AC444, "NA")</f>
        <v>3.0758655765488654E-2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9.998040283677654E-3</v>
      </c>
      <c r="D333" s="9"/>
      <c r="E333" s="7">
        <v>726</v>
      </c>
      <c r="F333" s="8">
        <f>IFERROR(E333/E444, "NA")</f>
        <v>7.6736707056669524E-3</v>
      </c>
      <c r="G333" s="9"/>
      <c r="H333" s="10">
        <f t="shared" si="80"/>
        <v>-134.15999999999997</v>
      </c>
      <c r="I333" s="8">
        <f>IFERROR(H333/H444, "NA")</f>
        <v>1.5643000060631778E-2</v>
      </c>
      <c r="J333" s="9"/>
      <c r="K333" s="7">
        <v>726.35</v>
      </c>
      <c r="L333" s="8">
        <f>IFERROR(K333/K444, "NA")</f>
        <v>8.2839869568405809E-3</v>
      </c>
      <c r="M333" s="9"/>
      <c r="N333" s="10">
        <f t="shared" si="81"/>
        <v>-133.80999999999995</v>
      </c>
      <c r="O333" s="8">
        <f>IFERROR(N333/N444, "NA")</f>
        <v>8.1178147844814197E-2</v>
      </c>
      <c r="P333" s="9"/>
      <c r="Q333" s="7">
        <v>11610.95</v>
      </c>
      <c r="R333" s="8">
        <f>IFERROR(Q333/Q444, "NA")</f>
        <v>9.4116236265209801E-3</v>
      </c>
      <c r="S333" s="9"/>
      <c r="T333" s="7">
        <v>8712</v>
      </c>
      <c r="U333" s="8">
        <f>IFERROR(T333/T444, "NA")</f>
        <v>6.6980840534971798E-3</v>
      </c>
      <c r="V333" s="9"/>
      <c r="W333" s="10">
        <f t="shared" si="82"/>
        <v>-2898.9500000000007</v>
      </c>
      <c r="X333" s="8">
        <f>IFERROR(W333/W444, "NA")</f>
        <v>4.3275325384110587E-2</v>
      </c>
      <c r="Y333" s="9"/>
      <c r="Z333" s="7">
        <v>8506.8700000000008</v>
      </c>
      <c r="AA333" s="8">
        <f>IFERROR(Z333/Z444, "NA")</f>
        <v>7.3465262218298799E-3</v>
      </c>
      <c r="AB333" s="9"/>
      <c r="AC333" s="10">
        <f t="shared" si="83"/>
        <v>-3104.08</v>
      </c>
      <c r="AD333" s="8">
        <f>IFERROR(AC333/AC444, "NA")</f>
        <v>-4.0984781887094646E-2</v>
      </c>
    </row>
    <row r="334" spans="1:30" ht="16.5" customHeight="1" x14ac:dyDescent="0.45">
      <c r="A334" s="6" t="s">
        <v>305</v>
      </c>
      <c r="B334" s="7">
        <v>1762.06</v>
      </c>
      <c r="C334" s="8">
        <f>IFERROR(B334/B444, "NA")</f>
        <v>2.0481244026991547E-2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-1762.06</v>
      </c>
      <c r="I334" s="8">
        <f>IFERROR(H334/H444, "NA")</f>
        <v>0.2054554612912704</v>
      </c>
      <c r="J334" s="9"/>
      <c r="K334" s="7">
        <v>635.29999999999995</v>
      </c>
      <c r="L334" s="8">
        <f>IFERROR(K334/K444, "NA")</f>
        <v>7.2455660682602336E-3</v>
      </c>
      <c r="M334" s="9"/>
      <c r="N334" s="10">
        <f t="shared" si="81"/>
        <v>-1126.76</v>
      </c>
      <c r="O334" s="8">
        <f>IFERROR(N334/N444, "NA")</f>
        <v>0.68356841690174786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2095.67</v>
      </c>
      <c r="F337" s="8">
        <f>IFERROR(E337/E444, "NA")</f>
        <v>2.2150800947307252E-2</v>
      </c>
      <c r="G337" s="9"/>
      <c r="H337" s="10">
        <f t="shared" ref="H337:H344" si="84">IFERROR(-(B337-E337), "NA")</f>
        <v>2095.67</v>
      </c>
      <c r="I337" s="8">
        <f>IFERROR(H337/H444, "NA")</f>
        <v>-0.24435424818920848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25600.01</v>
      </c>
      <c r="U337" s="8">
        <f>IFERROR(T337/T444, "NA")</f>
        <v>1.9682164686681394E-2</v>
      </c>
      <c r="V337" s="9"/>
      <c r="W337" s="10">
        <f t="shared" ref="W337:W344" si="86">IFERROR(-(Q337-T337), "NA")</f>
        <v>25600.01</v>
      </c>
      <c r="X337" s="8">
        <f>IFERROR(W337/W444, "NA")</f>
        <v>-0.38215518121612468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1015.09</v>
      </c>
      <c r="C338" s="8">
        <f>IFERROR(B338/B444, "NA")</f>
        <v>1.179886382947167E-2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-1015.09</v>
      </c>
      <c r="I338" s="8">
        <f>IFERROR(H338/H444, "NA")</f>
        <v>0.11835907074796301</v>
      </c>
      <c r="J338" s="9"/>
      <c r="K338" s="7">
        <v>1028.55</v>
      </c>
      <c r="L338" s="8">
        <f>IFERROR(K338/K444, "NA")</f>
        <v>1.1730563481046849E-2</v>
      </c>
      <c r="M338" s="9"/>
      <c r="N338" s="10">
        <f t="shared" si="85"/>
        <v>13.459999999999923</v>
      </c>
      <c r="O338" s="8">
        <f>IFERROR(N338/N444, "NA")</f>
        <v>-8.1657414990747561E-3</v>
      </c>
      <c r="P338" s="9"/>
      <c r="Q338" s="7">
        <v>14223.75</v>
      </c>
      <c r="R338" s="8">
        <f>IFERROR(Q338/Q444, "NA")</f>
        <v>1.1529511500585893E-2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-14223.75</v>
      </c>
      <c r="X338" s="8">
        <f>IFERROR(W338/W444, "NA")</f>
        <v>0.21233115763715926</v>
      </c>
      <c r="Y338" s="9"/>
      <c r="Z338" s="7">
        <v>13987.82</v>
      </c>
      <c r="AA338" s="8">
        <f>IFERROR(Z338/Z444, "NA")</f>
        <v>1.2079870318488048E-2</v>
      </c>
      <c r="AB338" s="9"/>
      <c r="AC338" s="10">
        <f t="shared" si="87"/>
        <v>-235.93000000000029</v>
      </c>
      <c r="AD338" s="8">
        <f>IFERROR(AC338/AC444, "NA")</f>
        <v>-3.1151064375345523E-3</v>
      </c>
    </row>
    <row r="339" spans="1:30" ht="16.5" customHeight="1" x14ac:dyDescent="0.45">
      <c r="A339" s="12" t="s">
        <v>309</v>
      </c>
      <c r="B339" s="7">
        <v>524.55999999999995</v>
      </c>
      <c r="C339" s="8">
        <f>IFERROR(B339/B444, "NA")</f>
        <v>6.0972051841587036E-3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-524.55999999999995</v>
      </c>
      <c r="I339" s="8">
        <f>IFERROR(H339/H444, "NA")</f>
        <v>6.1163477279405236E-2</v>
      </c>
      <c r="J339" s="9"/>
      <c r="K339" s="7">
        <v>599.54999999999995</v>
      </c>
      <c r="L339" s="8">
        <f>IFERROR(K339/K444, "NA")</f>
        <v>6.8378390307341783E-3</v>
      </c>
      <c r="M339" s="9"/>
      <c r="N339" s="10">
        <f t="shared" si="85"/>
        <v>74.990000000000009</v>
      </c>
      <c r="O339" s="8">
        <f>IFERROR(N339/N444, "NA")</f>
        <v>-4.5493978827312008E-2</v>
      </c>
      <c r="P339" s="9"/>
      <c r="Q339" s="7">
        <v>5272.26</v>
      </c>
      <c r="R339" s="8">
        <f>IFERROR(Q339/Q444, "NA")</f>
        <v>4.2735974904001394E-3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-5272.26</v>
      </c>
      <c r="X339" s="8">
        <f>IFERROR(W339/W444, "NA")</f>
        <v>7.8703933151531014E-2</v>
      </c>
      <c r="Y339" s="9"/>
      <c r="Z339" s="7">
        <v>4843.93</v>
      </c>
      <c r="AA339" s="8">
        <f>IFERROR(Z339/Z444, "NA")</f>
        <v>4.183214127135881E-3</v>
      </c>
      <c r="AB339" s="9"/>
      <c r="AC339" s="10">
        <f t="shared" si="87"/>
        <v>-428.32999999999993</v>
      </c>
      <c r="AD339" s="8">
        <f>IFERROR(AC339/AC444, "NA")</f>
        <v>-5.6554636561233114E-3</v>
      </c>
    </row>
    <row r="340" spans="1:30" ht="16.5" customHeight="1" x14ac:dyDescent="0.45">
      <c r="A340" s="12" t="s">
        <v>310</v>
      </c>
      <c r="B340" s="7">
        <v>135.71</v>
      </c>
      <c r="C340" s="8">
        <f>IFERROR(B340/B444, "NA")</f>
        <v>1.5774205344330063E-3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-135.71</v>
      </c>
      <c r="I340" s="8">
        <f>IFERROR(H340/H444, "NA")</f>
        <v>1.5823729414343613E-2</v>
      </c>
      <c r="J340" s="9"/>
      <c r="K340" s="7">
        <v>367.72</v>
      </c>
      <c r="L340" s="8">
        <f>IFERROR(K340/K444, "NA")</f>
        <v>4.1938289857085687E-3</v>
      </c>
      <c r="M340" s="9"/>
      <c r="N340" s="10">
        <f t="shared" si="85"/>
        <v>232.01000000000002</v>
      </c>
      <c r="O340" s="8">
        <f>IFERROR(N340/N444, "NA")</f>
        <v>-0.14075287408620693</v>
      </c>
      <c r="P340" s="9"/>
      <c r="Q340" s="7">
        <v>4634.71</v>
      </c>
      <c r="R340" s="8">
        <f>IFERROR(Q340/Q444, "NA")</f>
        <v>3.7568111255386551E-3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-4634.71</v>
      </c>
      <c r="X340" s="8">
        <f>IFERROR(W340/W444, "NA")</f>
        <v>6.9186630783901457E-2</v>
      </c>
      <c r="Y340" s="9"/>
      <c r="Z340" s="7">
        <v>4152.54</v>
      </c>
      <c r="AA340" s="8">
        <f>IFERROR(Z340/Z444, "NA")</f>
        <v>3.5861302685003351E-3</v>
      </c>
      <c r="AB340" s="9"/>
      <c r="AC340" s="10">
        <f t="shared" si="87"/>
        <v>-482.17000000000007</v>
      </c>
      <c r="AD340" s="8">
        <f>IFERROR(AC340/AC444, "NA")</f>
        <v>-6.3663411646930589E-3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1675.3600000000001</v>
      </c>
      <c r="C342" s="15">
        <f>IFERROR(B342/B444, "NA")</f>
        <v>1.9473489548063379E-2</v>
      </c>
      <c r="D342" s="2"/>
      <c r="E342" s="14">
        <f>IFERROR(E337+E338+E339+E340+E341, "NA")</f>
        <v>2095.67</v>
      </c>
      <c r="F342" s="15">
        <f>IFERROR(E342/E444, "NA")</f>
        <v>2.2150800947307252E-2</v>
      </c>
      <c r="G342" s="2"/>
      <c r="H342" s="14">
        <f t="shared" si="84"/>
        <v>420.30999999999995</v>
      </c>
      <c r="I342" s="15">
        <f>IFERROR(H342/H444, "NA")</f>
        <v>-4.9007970747496597E-2</v>
      </c>
      <c r="J342" s="2"/>
      <c r="K342" s="14">
        <f>IFERROR(K337+K338+K339+K340+K341, "NA")</f>
        <v>1995.82</v>
      </c>
      <c r="L342" s="15">
        <f>IFERROR(K342/K444, "NA")</f>
        <v>2.2762231497489595E-2</v>
      </c>
      <c r="M342" s="2"/>
      <c r="N342" s="14">
        <f t="shared" si="85"/>
        <v>320.45999999999981</v>
      </c>
      <c r="O342" s="15">
        <f>IFERROR(N342/N444, "NA")</f>
        <v>-0.19441259441259362</v>
      </c>
      <c r="P342" s="2"/>
      <c r="Q342" s="14">
        <f>IFERROR(Q337+Q338+Q339+Q340+Q341, "NA")</f>
        <v>24130.720000000001</v>
      </c>
      <c r="R342" s="15">
        <f>IFERROR(Q342/Q444, "NA")</f>
        <v>1.9559920116524687E-2</v>
      </c>
      <c r="S342" s="2"/>
      <c r="T342" s="14">
        <f>IFERROR(T337+T338+T339+T340+T341, "NA")</f>
        <v>25600.01</v>
      </c>
      <c r="U342" s="15">
        <f>IFERROR(T342/T444, "NA")</f>
        <v>1.9682164686681394E-2</v>
      </c>
      <c r="V342" s="2"/>
      <c r="W342" s="14">
        <f t="shared" si="86"/>
        <v>1469.2899999999972</v>
      </c>
      <c r="X342" s="15">
        <f>IFERROR(W342/W444, "NA")</f>
        <v>-2.1933459643532903E-2</v>
      </c>
      <c r="Y342" s="2"/>
      <c r="Z342" s="14">
        <f>IFERROR(Z337+Z338+Z339+Z340+Z341, "NA")</f>
        <v>22984.29</v>
      </c>
      <c r="AA342" s="15">
        <f>IFERROR(Z342/Z444, "NA")</f>
        <v>1.9849214714124264E-2</v>
      </c>
      <c r="AB342" s="2"/>
      <c r="AC342" s="14">
        <f t="shared" si="87"/>
        <v>-1146.4300000000003</v>
      </c>
      <c r="AD342" s="15">
        <f>IFERROR(AC342/AC444, "NA")</f>
        <v>-1.5136911258350922E-2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16765.93</v>
      </c>
      <c r="C343" s="15">
        <f>IFERROR(B343/B444, "NA")</f>
        <v>0.19487821281310422</v>
      </c>
      <c r="D343" s="2"/>
      <c r="E343" s="14">
        <f>IFERROR(E328+E329+E330+E331+E332+E333+E334+E335+E337+E338+E339+E340+E341, "NA")</f>
        <v>17141.669999999998</v>
      </c>
      <c r="F343" s="15">
        <f>IFERROR(E343/E444, "NA")</f>
        <v>0.18118392689422869</v>
      </c>
      <c r="G343" s="2"/>
      <c r="H343" s="14">
        <f t="shared" si="84"/>
        <v>375.73999999999796</v>
      </c>
      <c r="I343" s="15">
        <f>IFERROR(H343/H444, "NA")</f>
        <v>-4.381112733140842E-2</v>
      </c>
      <c r="J343" s="2"/>
      <c r="K343" s="14">
        <f>IFERROR(K328+K329+K330+K331+K332+K333+K334+K335+K337+K338+K339+K340+K341, "NA")</f>
        <v>7634.8200000000015</v>
      </c>
      <c r="L343" s="15">
        <f>IFERROR(K343/K444, "NA")</f>
        <v>8.7074756381669477E-2</v>
      </c>
      <c r="M343" s="2"/>
      <c r="N343" s="14">
        <f t="shared" si="85"/>
        <v>-9131.1099999999988</v>
      </c>
      <c r="O343" s="15">
        <f>IFERROR(N343/N444, "NA")</f>
        <v>5.5395456062122523</v>
      </c>
      <c r="P343" s="2"/>
      <c r="Q343" s="14">
        <f>IFERROR(Q328+Q329+Q330+Q331+Q332+Q333+Q334+Q335+Q337+Q338+Q339+Q340+Q341, "NA")</f>
        <v>164006.02000000002</v>
      </c>
      <c r="R343" s="15">
        <f>IFERROR(Q343/Q444, "NA")</f>
        <v>0.13294027902313527</v>
      </c>
      <c r="S343" s="2"/>
      <c r="T343" s="14">
        <f>IFERROR(T328+T329+T330+T331+T332+T333+T334+T335+T337+T338+T339+T340+T341, "NA")</f>
        <v>165864.01</v>
      </c>
      <c r="U343" s="15">
        <f>IFERROR(T343/T444, "NA")</f>
        <v>0.12752193301539219</v>
      </c>
      <c r="V343" s="2"/>
      <c r="W343" s="14">
        <f t="shared" si="86"/>
        <v>1857.9899999999907</v>
      </c>
      <c r="X343" s="15">
        <f>IFERROR(W343/W444, "NA")</f>
        <v>-2.7735946397979685E-2</v>
      </c>
      <c r="Y343" s="2"/>
      <c r="Z343" s="14">
        <f>IFERROR(Z328+Z329+Z330+Z331+Z332+Z333+Z334+Z335+Z337+Z338+Z339+Z340+Z341, "NA")</f>
        <v>92466.369999999981</v>
      </c>
      <c r="AA343" s="15">
        <f>IFERROR(Z343/Z444, "NA")</f>
        <v>7.9853884195059233E-2</v>
      </c>
      <c r="AB343" s="2"/>
      <c r="AC343" s="14">
        <f t="shared" si="87"/>
        <v>-71539.650000000038</v>
      </c>
      <c r="AD343" s="15">
        <f>IFERROR(AC343/AC444, "NA")</f>
        <v>-0.94457518863208823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16765.93</v>
      </c>
      <c r="C344" s="15">
        <f>IFERROR(B344/B444, "NA")</f>
        <v>0.19487821281310422</v>
      </c>
      <c r="D344" s="2"/>
      <c r="E344" s="14">
        <f>IFERROR(E328+E329+E330+E331+E332+E333+E334+E335+E337+E338+E339+E340+E341, "NA")</f>
        <v>17141.669999999998</v>
      </c>
      <c r="F344" s="15">
        <f>IFERROR(E344/E444, "NA")</f>
        <v>0.18118392689422869</v>
      </c>
      <c r="G344" s="2"/>
      <c r="H344" s="14">
        <f t="shared" si="84"/>
        <v>375.73999999999796</v>
      </c>
      <c r="I344" s="15">
        <f>IFERROR(H344/H444, "NA")</f>
        <v>-4.381112733140842E-2</v>
      </c>
      <c r="J344" s="2"/>
      <c r="K344" s="14">
        <f>IFERROR(K328+K329+K330+K331+K332+K333+K334+K335+K337+K338+K339+K340+K341, "NA")</f>
        <v>7634.8200000000015</v>
      </c>
      <c r="L344" s="15">
        <f>IFERROR(K344/K444, "NA")</f>
        <v>8.7074756381669477E-2</v>
      </c>
      <c r="M344" s="2"/>
      <c r="N344" s="14">
        <f t="shared" si="85"/>
        <v>-9131.1099999999988</v>
      </c>
      <c r="O344" s="15">
        <f>IFERROR(N344/N444, "NA")</f>
        <v>5.5395456062122523</v>
      </c>
      <c r="P344" s="2"/>
      <c r="Q344" s="14">
        <f>IFERROR(Q328+Q329+Q330+Q331+Q332+Q333+Q334+Q335+Q337+Q338+Q339+Q340+Q341, "NA")</f>
        <v>164006.02000000002</v>
      </c>
      <c r="R344" s="15">
        <f>IFERROR(Q344/Q444, "NA")</f>
        <v>0.13294027902313527</v>
      </c>
      <c r="S344" s="2"/>
      <c r="T344" s="14">
        <f>IFERROR(T328+T329+T330+T331+T332+T333+T334+T335+T337+T338+T339+T340+T341, "NA")</f>
        <v>165864.01</v>
      </c>
      <c r="U344" s="15">
        <f>IFERROR(T344/T444, "NA")</f>
        <v>0.12752193301539219</v>
      </c>
      <c r="V344" s="2"/>
      <c r="W344" s="14">
        <f t="shared" si="86"/>
        <v>1857.9899999999907</v>
      </c>
      <c r="X344" s="15">
        <f>IFERROR(W344/W444, "NA")</f>
        <v>-2.7735946397979685E-2</v>
      </c>
      <c r="Y344" s="2"/>
      <c r="Z344" s="14">
        <f>IFERROR(Z328+Z329+Z330+Z331+Z332+Z333+Z334+Z335+Z337+Z338+Z339+Z340+Z341, "NA")</f>
        <v>92466.369999999981</v>
      </c>
      <c r="AA344" s="15">
        <f>IFERROR(Z344/Z444, "NA")</f>
        <v>7.9853884195059233E-2</v>
      </c>
      <c r="AB344" s="2"/>
      <c r="AC344" s="14">
        <f t="shared" si="87"/>
        <v>-71539.650000000038</v>
      </c>
      <c r="AD344" s="15">
        <f>IFERROR(AC344/AC444, "NA")</f>
        <v>-0.94457518863208823</v>
      </c>
    </row>
    <row r="345" spans="1:30" ht="16.5" customHeight="1" x14ac:dyDescent="0.45">
      <c r="A345" s="22" t="s">
        <v>315</v>
      </c>
      <c r="B345" s="23">
        <f>IFERROR(B198-B325-B344, "NA")</f>
        <v>-7396.7400000000162</v>
      </c>
      <c r="C345" s="24">
        <f>IFERROR(B345/B444, "NA")</f>
        <v>-8.597575391542274E-2</v>
      </c>
      <c r="D345" s="25"/>
      <c r="E345" s="23">
        <f>IFERROR(E198-E325-E344, "NA")</f>
        <v>7690.9800000000105</v>
      </c>
      <c r="F345" s="24">
        <f>IFERROR(E345/E444, "NA")</f>
        <v>8.1292077030124657E-2</v>
      </c>
      <c r="G345" s="25"/>
      <c r="H345" s="23">
        <f>IFERROR(B345-E345, "NA")</f>
        <v>-15087.720000000027</v>
      </c>
      <c r="I345" s="24">
        <f>IFERROR(H345/H444, "NA")</f>
        <v>1.759221861022628</v>
      </c>
      <c r="J345" s="25"/>
      <c r="K345" s="23">
        <f>IFERROR(K198-K325-K344, "NA")</f>
        <v>2147.8299999999563</v>
      </c>
      <c r="L345" s="24">
        <f>IFERROR(K345/K444, "NA")</f>
        <v>2.4495898266001986E-2</v>
      </c>
      <c r="M345" s="25"/>
      <c r="N345" s="23">
        <f>IFERROR(B345-K345, "NA")</f>
        <v>-9544.5699999999724</v>
      </c>
      <c r="O345" s="24">
        <f>IFERROR(N345/N444, "NA")</f>
        <v>5.7903782570448863</v>
      </c>
      <c r="P345" s="25"/>
      <c r="Q345" s="23">
        <f>IFERROR(Q198-Q325-Q344, "NA")</f>
        <v>46681.729999999749</v>
      </c>
      <c r="R345" s="24">
        <f>IFERROR(Q345/Q444, "NA")</f>
        <v>3.7839356210720987E-2</v>
      </c>
      <c r="S345" s="25"/>
      <c r="T345" s="23">
        <f>IFERROR(T198-T325-T344, "NA")</f>
        <v>181481.72999999986</v>
      </c>
      <c r="U345" s="24">
        <f>IFERROR(T345/T444, "NA")</f>
        <v>0.13952937117930209</v>
      </c>
      <c r="V345" s="25"/>
      <c r="W345" s="23">
        <f>IFERROR(Q345-T345, "NA")</f>
        <v>-134800.00000000012</v>
      </c>
      <c r="X345" s="24">
        <f>IFERROR(W345/W444, "NA")</f>
        <v>2.0122850900422948</v>
      </c>
      <c r="Y345" s="25"/>
      <c r="Z345" s="23">
        <f>IFERROR(Z198-Z325-Z344, "NA")</f>
        <v>135929.6700000001</v>
      </c>
      <c r="AA345" s="24">
        <f>IFERROR(Z345/Z444, "NA")</f>
        <v>0.11738875579145831</v>
      </c>
      <c r="AB345" s="25"/>
      <c r="AC345" s="23">
        <f>IFERROR(Q345-Z345, "NA")</f>
        <v>-89247.940000000352</v>
      </c>
      <c r="AD345" s="24">
        <f>IFERROR(AC345/AC444, "NA")</f>
        <v>-1.1783869471059136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-7396.7400000000162</v>
      </c>
      <c r="C404" s="24">
        <f>IFERROR(B404/B444, "NA")</f>
        <v>-8.597575391542274E-2</v>
      </c>
      <c r="D404" s="25"/>
      <c r="E404" s="23">
        <f>IFERROR(E345-E403, "NA")</f>
        <v>7690.9800000000105</v>
      </c>
      <c r="F404" s="24">
        <f>IFERROR(E404/E444, "NA")</f>
        <v>8.1292077030124657E-2</v>
      </c>
      <c r="G404" s="25"/>
      <c r="H404" s="23">
        <f>IFERROR(B404-E404, "NA")</f>
        <v>-15087.720000000027</v>
      </c>
      <c r="I404" s="24">
        <f>IFERROR(H404/H444, "NA")</f>
        <v>1.759221861022628</v>
      </c>
      <c r="J404" s="25"/>
      <c r="K404" s="23">
        <f>IFERROR(K345-K403, "NA")</f>
        <v>2147.8299999999563</v>
      </c>
      <c r="L404" s="24">
        <f>IFERROR(K404/K444, "NA")</f>
        <v>2.4495898266001986E-2</v>
      </c>
      <c r="M404" s="25"/>
      <c r="N404" s="23">
        <f>IFERROR(B404-K404, "NA")</f>
        <v>-9544.5699999999724</v>
      </c>
      <c r="O404" s="24">
        <f>IFERROR(N404/N444, "NA")</f>
        <v>5.7903782570448863</v>
      </c>
      <c r="P404" s="25"/>
      <c r="Q404" s="23">
        <f>IFERROR(Q345-Q403, "NA")</f>
        <v>46681.729999999749</v>
      </c>
      <c r="R404" s="24">
        <f>IFERROR(Q404/Q444, "NA")</f>
        <v>3.7839356210720987E-2</v>
      </c>
      <c r="S404" s="25"/>
      <c r="T404" s="23">
        <f>IFERROR(T345-T403, "NA")</f>
        <v>181481.72999999986</v>
      </c>
      <c r="U404" s="24">
        <f>IFERROR(T404/T444, "NA")</f>
        <v>0.13952937117930209</v>
      </c>
      <c r="V404" s="25"/>
      <c r="W404" s="23">
        <f>IFERROR(Q404-T404, "NA")</f>
        <v>-134800.00000000012</v>
      </c>
      <c r="X404" s="24">
        <f>IFERROR(W404/W444, "NA")</f>
        <v>2.0122850900422948</v>
      </c>
      <c r="Y404" s="25"/>
      <c r="Z404" s="23">
        <f>IFERROR(Z345-Z403, "NA")</f>
        <v>135929.6700000001</v>
      </c>
      <c r="AA404" s="24">
        <f>IFERROR(Z404/Z444, "NA")</f>
        <v>0.11738875579145831</v>
      </c>
      <c r="AB404" s="25"/>
      <c r="AC404" s="23">
        <f>IFERROR(Q404-Z404, "NA")</f>
        <v>-89247.940000000352</v>
      </c>
      <c r="AD404" s="24">
        <f>IFERROR(AC404/AC444, "NA")</f>
        <v>-1.1783869471059136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661.5</v>
      </c>
      <c r="AA408" s="8">
        <f>IFERROR(Z408/Z444, "NA")</f>
        <v>5.712708782126052E-4</v>
      </c>
      <c r="AB408" s="9"/>
      <c r="AC408" s="10">
        <f t="shared" si="103"/>
        <v>661.5</v>
      </c>
      <c r="AD408" s="8">
        <f>IFERROR(AC408/AC444, "NA")</f>
        <v>8.7341283788797686E-3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3333.25</v>
      </c>
      <c r="C410" s="8">
        <f>IFERROR(B410/B444, "NA")</f>
        <v>3.8743917149796019E-2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-3333.25</v>
      </c>
      <c r="I410" s="8">
        <f>IFERROR(H410/H444, "NA")</f>
        <v>0.3886555601677168</v>
      </c>
      <c r="J410" s="9"/>
      <c r="K410" s="7">
        <v>3009.38</v>
      </c>
      <c r="L410" s="8">
        <f>IFERROR(K410/K444, "NA")</f>
        <v>3.4321834746577969E-2</v>
      </c>
      <c r="M410" s="9"/>
      <c r="N410" s="10">
        <f t="shared" si="101"/>
        <v>-323.86999999999989</v>
      </c>
      <c r="O410" s="8">
        <f>IFERROR(N410/N444, "NA")</f>
        <v>0.19648132981466238</v>
      </c>
      <c r="P410" s="9"/>
      <c r="Q410" s="7">
        <v>37211.949999999997</v>
      </c>
      <c r="R410" s="8">
        <f>IFERROR(Q410/Q444, "NA")</f>
        <v>3.0163325809595021E-2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-37211.949999999997</v>
      </c>
      <c r="X410" s="8">
        <f>IFERROR(W410/W444, "NA")</f>
        <v>0.55549741955785836</v>
      </c>
      <c r="Y410" s="9"/>
      <c r="Z410" s="7">
        <v>60094.89</v>
      </c>
      <c r="AA410" s="8">
        <f>IFERROR(Z410/Z444, "NA")</f>
        <v>5.1897899601496461E-2</v>
      </c>
      <c r="AB410" s="9"/>
      <c r="AC410" s="10">
        <f t="shared" si="103"/>
        <v>22882.940000000002</v>
      </c>
      <c r="AD410" s="8">
        <f>IFERROR(AC410/AC444, "NA")</f>
        <v>0.3021353524507982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-24.97</v>
      </c>
      <c r="C416" s="8">
        <f>IFERROR(B416/B444, "NA")</f>
        <v>-2.9023793931760492E-4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24.97</v>
      </c>
      <c r="I416" s="8">
        <f>IFERROR(H416/H444, "NA")</f>
        <v>-2.9114915885060794E-3</v>
      </c>
      <c r="J416" s="9"/>
      <c r="K416" s="7">
        <v>-33.29</v>
      </c>
      <c r="L416" s="8">
        <f>IFERROR(K416/K444, "NA")</f>
        <v>-3.7967085536342389E-4</v>
      </c>
      <c r="M416" s="9"/>
      <c r="N416" s="10">
        <f t="shared" si="101"/>
        <v>-8.32</v>
      </c>
      <c r="O416" s="8">
        <f>IFERROR(N416/N444, "NA")</f>
        <v>5.0474717141383635E-3</v>
      </c>
      <c r="P416" s="9"/>
      <c r="Q416" s="7">
        <v>-317.60000000000002</v>
      </c>
      <c r="R416" s="8">
        <f>IFERROR(Q416/Q444, "NA")</f>
        <v>-2.5744074892950733E-4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317.60000000000002</v>
      </c>
      <c r="X416" s="8">
        <f>IFERROR(W416/W444, "NA")</f>
        <v>-4.7411108649661159E-3</v>
      </c>
      <c r="Y416" s="9"/>
      <c r="Z416" s="7">
        <v>-353.97</v>
      </c>
      <c r="AA416" s="8">
        <f>IFERROR(Z416/Z444, "NA")</f>
        <v>-3.056882127905002E-4</v>
      </c>
      <c r="AB416" s="9"/>
      <c r="AC416" s="10">
        <f t="shared" si="103"/>
        <v>-36.370000000000005</v>
      </c>
      <c r="AD416" s="8">
        <f>IFERROR(AC416/AC444, "NA")</f>
        <v>-4.8021201684029813E-4</v>
      </c>
    </row>
    <row r="417" spans="1:30" ht="16.5" customHeight="1" x14ac:dyDescent="0.45">
      <c r="A417" s="6" t="s">
        <v>382</v>
      </c>
      <c r="B417" s="7">
        <v>63.9</v>
      </c>
      <c r="C417" s="8">
        <f>IFERROR(B417/B444, "NA")</f>
        <v>7.4273946024809589E-4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-63.9</v>
      </c>
      <c r="I417" s="8">
        <f>IFERROR(H417/H444, "NA")</f>
        <v>7.4507133562490375E-3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-63.9</v>
      </c>
      <c r="O417" s="8">
        <f>IFERROR(N417/N444, "NA")</f>
        <v>3.8766038766038631E-2</v>
      </c>
      <c r="P417" s="9"/>
      <c r="Q417" s="7">
        <v>131.11000000000001</v>
      </c>
      <c r="R417" s="8">
        <f>IFERROR(Q417/Q444, "NA")</f>
        <v>1.0627536710373963E-4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-131.11000000000001</v>
      </c>
      <c r="X417" s="8">
        <f>IFERROR(W417/W444, "NA")</f>
        <v>1.9572010248920259E-3</v>
      </c>
      <c r="Y417" s="9"/>
      <c r="Z417" s="7">
        <v>14.34</v>
      </c>
      <c r="AA417" s="8">
        <f>IFERROR(Z417/Z444, "NA")</f>
        <v>1.238401268869049E-5</v>
      </c>
      <c r="AB417" s="9"/>
      <c r="AC417" s="10">
        <f t="shared" si="103"/>
        <v>-116.77000000000001</v>
      </c>
      <c r="AD417" s="8">
        <f>IFERROR(AC417/AC444, "NA")</f>
        <v>-1.5417750125499481E-3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3372.1800000000003</v>
      </c>
      <c r="C428" s="15">
        <f>IFERROR(B428/B444, "NA")</f>
        <v>3.9196418670726513E-2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-3372.1800000000003</v>
      </c>
      <c r="I428" s="15">
        <f>IFERROR(H428/H444, "NA")</f>
        <v>0.39319478193545981</v>
      </c>
      <c r="J428" s="2"/>
      <c r="K428" s="14">
        <f>IFERROR(K407+K408+K409+K410+K411+K412+K413+K414+K415+K416+K417+K418+K419+K420+K421+K422+K423+K424+K425+K426+K427, "NA")</f>
        <v>2976.09</v>
      </c>
      <c r="L428" s="15">
        <f>IFERROR(K428/K444, "NA")</f>
        <v>3.3942163891214551E-2</v>
      </c>
      <c r="M428" s="2"/>
      <c r="N428" s="14">
        <f t="shared" si="101"/>
        <v>-396.09000000000015</v>
      </c>
      <c r="O428" s="15">
        <f>IFERROR(N428/N444, "NA")</f>
        <v>0.24029484029483952</v>
      </c>
      <c r="P428" s="2"/>
      <c r="Q428" s="14">
        <f>IFERROR(Q407+Q408+Q409+Q410+Q411+Q412+Q413+Q414+Q415+Q416+Q417+Q418+Q419+Q420+Q421+Q422+Q423+Q424+Q425+Q426+Q427, "NA")</f>
        <v>37025.46</v>
      </c>
      <c r="R428" s="15">
        <f>IFERROR(Q428/Q444, "NA")</f>
        <v>3.0012160427769257E-2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-37025.46</v>
      </c>
      <c r="X428" s="15">
        <f>IFERROR(W428/W444, "NA")</f>
        <v>0.55271350971778432</v>
      </c>
      <c r="Y428" s="2"/>
      <c r="Z428" s="14">
        <f>IFERROR(Z407+Z408+Z409+Z410+Z411+Z412+Z413+Z414+Z415+Z416+Z417+Z418+Z419+Z420+Z421+Z422+Z423+Z424+Z425+Z426+Z427, "NA")</f>
        <v>60416.759999999995</v>
      </c>
      <c r="AA428" s="15">
        <f>IFERROR(Z428/Z444, "NA")</f>
        <v>5.2175866279607248E-2</v>
      </c>
      <c r="AB428" s="2"/>
      <c r="AC428" s="14">
        <f t="shared" si="103"/>
        <v>23391.299999999996</v>
      </c>
      <c r="AD428" s="15">
        <f>IFERROR(AC428/AC444, "NA")</f>
        <v>0.30884749380028764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3372.1800000000003</v>
      </c>
      <c r="C429" s="15">
        <f>IFERROR(B429/B444, "NA")</f>
        <v>3.9196418670726513E-2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-3372.1800000000003</v>
      </c>
      <c r="I429" s="15">
        <f>IFERROR(H429/H444, "NA")</f>
        <v>0.39319478193545981</v>
      </c>
      <c r="J429" s="2"/>
      <c r="K429" s="14">
        <f>IFERROR(K407+K408+K409+K410+K411+K412+K413+K414+K415+K416+K417+K418+K419+K420+K421+K422+K423+K424+K425+K426+K427, "NA")</f>
        <v>2976.09</v>
      </c>
      <c r="L429" s="15">
        <f>IFERROR(K429/K444, "NA")</f>
        <v>3.3942163891214551E-2</v>
      </c>
      <c r="M429" s="2"/>
      <c r="N429" s="14">
        <f t="shared" si="101"/>
        <v>-396.09000000000015</v>
      </c>
      <c r="O429" s="15">
        <f>IFERROR(N429/N444, "NA")</f>
        <v>0.24029484029483952</v>
      </c>
      <c r="P429" s="2"/>
      <c r="Q429" s="14">
        <f>IFERROR(Q407+Q408+Q409+Q410+Q411+Q412+Q413+Q414+Q415+Q416+Q417+Q418+Q419+Q420+Q421+Q422+Q423+Q424+Q425+Q426+Q427, "NA")</f>
        <v>37025.46</v>
      </c>
      <c r="R429" s="15">
        <f>IFERROR(Q429/Q444, "NA")</f>
        <v>3.0012160427769257E-2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-37025.46</v>
      </c>
      <c r="X429" s="15">
        <f>IFERROR(W429/W444, "NA")</f>
        <v>0.55271350971778432</v>
      </c>
      <c r="Y429" s="2"/>
      <c r="Z429" s="14">
        <f>IFERROR(Z407+Z408+Z409+Z410+Z411+Z412+Z413+Z414+Z415+Z416+Z417+Z418+Z419+Z420+Z421+Z422+Z423+Z424+Z425+Z426+Z427, "NA")</f>
        <v>60416.759999999995</v>
      </c>
      <c r="AA429" s="15">
        <f>IFERROR(Z429/Z444, "NA")</f>
        <v>5.2175866279607248E-2</v>
      </c>
      <c r="AB429" s="2"/>
      <c r="AC429" s="14">
        <f t="shared" si="103"/>
        <v>23391.299999999996</v>
      </c>
      <c r="AD429" s="15">
        <f>IFERROR(AC429/AC444, "NA")</f>
        <v>0.30884749380028764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-10768.920000000016</v>
      </c>
      <c r="C443" s="24">
        <f>IFERROR(B443/B444, "NA")</f>
        <v>-0.12517217258614924</v>
      </c>
      <c r="D443" s="25"/>
      <c r="E443" s="23">
        <f>IFERROR(E404-E429-E442, "NA")</f>
        <v>7690.9800000000105</v>
      </c>
      <c r="F443" s="24">
        <f>IFERROR(E443/E444, "NA")</f>
        <v>8.1292077030124657E-2</v>
      </c>
      <c r="G443" s="25"/>
      <c r="H443" s="23">
        <f>IFERROR(B443-E443, "NA")</f>
        <v>-18459.900000000027</v>
      </c>
      <c r="I443" s="24">
        <f>IFERROR(H443/H444, "NA")</f>
        <v>2.1524166429580878</v>
      </c>
      <c r="J443" s="25"/>
      <c r="K443" s="23">
        <f>IFERROR(K404-K429-K442, "NA")</f>
        <v>-828.26000000004387</v>
      </c>
      <c r="L443" s="24">
        <f>IFERROR(K443/K444, "NA")</f>
        <v>-9.4462656252125611E-3</v>
      </c>
      <c r="M443" s="25"/>
      <c r="N443" s="23">
        <f>IFERROR(B443-K443, "NA")</f>
        <v>-9940.6599999999726</v>
      </c>
      <c r="O443" s="24">
        <f>IFERROR(N443/N444, "NA")</f>
        <v>6.0306730973397258</v>
      </c>
      <c r="P443" s="25"/>
      <c r="Q443" s="23">
        <f>IFERROR(Q404-Q429-Q442, "NA")</f>
        <v>9656.2699999997494</v>
      </c>
      <c r="R443" s="24">
        <f>IFERROR(Q443/Q444, "NA")</f>
        <v>7.8271957829517281E-3</v>
      </c>
      <c r="S443" s="25"/>
      <c r="T443" s="23">
        <f>IFERROR(T404-T429-T442, "NA")</f>
        <v>181481.72999999986</v>
      </c>
      <c r="U443" s="24">
        <f>IFERROR(T443/T444, "NA")</f>
        <v>0.13952937117930209</v>
      </c>
      <c r="V443" s="25"/>
      <c r="W443" s="23">
        <f>IFERROR(Q443-T443, "NA")</f>
        <v>-171825.46000000011</v>
      </c>
      <c r="X443" s="24">
        <f>IFERROR(W443/W444, "NA")</f>
        <v>2.564998599760079</v>
      </c>
      <c r="Y443" s="25"/>
      <c r="Z443" s="23">
        <f>IFERROR(Z404-Z429-Z442, "NA")</f>
        <v>75512.910000000105</v>
      </c>
      <c r="AA443" s="24">
        <f>IFERROR(Z443/Z444, "NA")</f>
        <v>6.5212889511851072E-2</v>
      </c>
      <c r="AB443" s="25"/>
      <c r="AC443" s="23">
        <f>IFERROR(Q443-Z443, "NA")</f>
        <v>-65856.640000000363</v>
      </c>
      <c r="AD443" s="24">
        <f>IFERROR(AC443/AC444, "NA")</f>
        <v>-0.8695394533056261</v>
      </c>
    </row>
    <row r="444" spans="1:30" ht="15.75" hidden="1" x14ac:dyDescent="0.45">
      <c r="A444" s="26" t="s">
        <v>117</v>
      </c>
      <c r="B444" s="7">
        <v>86032.86</v>
      </c>
      <c r="C444" s="27"/>
      <c r="D444" s="9"/>
      <c r="E444" s="7">
        <v>94609.22</v>
      </c>
      <c r="F444" s="27"/>
      <c r="G444" s="9"/>
      <c r="H444" s="10">
        <f>IFERROR(B444-E444, "NA")</f>
        <v>-8576.36</v>
      </c>
      <c r="I444" s="27"/>
      <c r="J444" s="9"/>
      <c r="K444" s="7">
        <v>87681.21</v>
      </c>
      <c r="L444" s="27"/>
      <c r="M444" s="9"/>
      <c r="N444" s="10">
        <f>IFERROR(B444-K444, "NA")</f>
        <v>-1648.3500000000058</v>
      </c>
      <c r="O444" s="27"/>
      <c r="P444" s="9"/>
      <c r="Q444" s="7">
        <v>1233681.93</v>
      </c>
      <c r="R444" s="27"/>
      <c r="S444" s="9"/>
      <c r="T444" s="7">
        <v>1300670.45</v>
      </c>
      <c r="U444" s="27"/>
      <c r="V444" s="9"/>
      <c r="W444" s="10">
        <f>IFERROR(Q444-T444, "NA")</f>
        <v>-66988.520000000019</v>
      </c>
      <c r="X444" s="27"/>
      <c r="Y444" s="9"/>
      <c r="Z444" s="7">
        <v>1157944.55</v>
      </c>
      <c r="AA444" s="27"/>
      <c r="AB444" s="9"/>
      <c r="AC444" s="10">
        <f>IFERROR(Q444-Z444, "NA")</f>
        <v>75737.379999999888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61599.74</v>
      </c>
      <c r="F10" s="8">
        <f>IFERROR(E10/E444, "NA")</f>
        <v>0.58899999617530852</v>
      </c>
      <c r="G10" s="9"/>
      <c r="H10" s="10">
        <f t="shared" ref="H10:H19" si="0">IFERROR(B10-E10, "NA")</f>
        <v>-61599.74</v>
      </c>
      <c r="I10" s="8">
        <f>IFERROR(H10/H444, "NA")</f>
        <v>-55.157360315186821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837660.43</v>
      </c>
      <c r="U10" s="8">
        <f>IFERROR(T10/T444, "NA")</f>
        <v>0.58899998547294441</v>
      </c>
      <c r="V10" s="9"/>
      <c r="W10" s="10">
        <f t="shared" ref="W10:W19" si="2">IFERROR(Q10-T10, "NA")</f>
        <v>-837660.43</v>
      </c>
      <c r="X10" s="8">
        <f>IFERROR(W10/W444, "NA")</f>
        <v>8.9944115404492262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52317.64</v>
      </c>
      <c r="C11" s="8">
        <f>IFERROR(B11/B444, "NA")</f>
        <v>0.49496160847073428</v>
      </c>
      <c r="D11" s="9"/>
      <c r="E11" s="7">
        <v>0</v>
      </c>
      <c r="F11" s="8">
        <f>IFERROR(E11/E444, "NA")</f>
        <v>0</v>
      </c>
      <c r="G11" s="9"/>
      <c r="H11" s="10">
        <f t="shared" si="0"/>
        <v>52317.64</v>
      </c>
      <c r="I11" s="8">
        <f>IFERROR(H11/H444, "NA")</f>
        <v>46.846024355301346</v>
      </c>
      <c r="J11" s="9"/>
      <c r="K11" s="7">
        <v>56617.48</v>
      </c>
      <c r="L11" s="8">
        <f>IFERROR(K11/K444, "NA")</f>
        <v>0.59045674310338359</v>
      </c>
      <c r="M11" s="9"/>
      <c r="N11" s="10">
        <f t="shared" si="1"/>
        <v>-4299.8400000000038</v>
      </c>
      <c r="O11" s="8">
        <f>IFERROR(N11/N444, "NA")</f>
        <v>-0.43818685798141294</v>
      </c>
      <c r="P11" s="9"/>
      <c r="Q11" s="7">
        <v>707086.55</v>
      </c>
      <c r="R11" s="8">
        <f>IFERROR(Q11/Q444, "NA")</f>
        <v>0.53202694995367084</v>
      </c>
      <c r="S11" s="9"/>
      <c r="T11" s="7">
        <v>0</v>
      </c>
      <c r="U11" s="8">
        <f>IFERROR(T11/T444, "NA")</f>
        <v>0</v>
      </c>
      <c r="V11" s="9"/>
      <c r="W11" s="10">
        <f t="shared" si="2"/>
        <v>707086.55</v>
      </c>
      <c r="X11" s="8">
        <f>IFERROR(W11/W444, "NA")</f>
        <v>-7.5923694108559348</v>
      </c>
      <c r="Y11" s="9"/>
      <c r="Z11" s="7">
        <v>674010.52</v>
      </c>
      <c r="AA11" s="8">
        <f>IFERROR(Z11/Z444, "NA")</f>
        <v>0.53842019037809408</v>
      </c>
      <c r="AB11" s="9"/>
      <c r="AC11" s="10">
        <f t="shared" si="3"/>
        <v>33076.030000000028</v>
      </c>
      <c r="AD11" s="8">
        <f>IFERROR(AC11/AC444, "NA")</f>
        <v>0.42837506951569437</v>
      </c>
    </row>
    <row r="12" spans="1:30" ht="16.5" customHeight="1" x14ac:dyDescent="0.45">
      <c r="A12" s="12" t="s">
        <v>14</v>
      </c>
      <c r="B12" s="7">
        <v>5046.55</v>
      </c>
      <c r="C12" s="8">
        <f>IFERROR(B12/B444, "NA")</f>
        <v>4.7743906361754546E-2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5046.55</v>
      </c>
      <c r="I12" s="8">
        <f>IFERROR(H12/H444, "NA")</f>
        <v>4.5187589541547748</v>
      </c>
      <c r="J12" s="9"/>
      <c r="K12" s="7">
        <v>6278.35</v>
      </c>
      <c r="L12" s="8">
        <f>IFERROR(K12/K444, "NA")</f>
        <v>6.5476140814870742E-2</v>
      </c>
      <c r="M12" s="9"/>
      <c r="N12" s="10">
        <f t="shared" si="1"/>
        <v>-1231.8000000000002</v>
      </c>
      <c r="O12" s="8">
        <f>IFERROR(N12/N444, "NA")</f>
        <v>-0.12552992010435365</v>
      </c>
      <c r="P12" s="9"/>
      <c r="Q12" s="7">
        <v>76629.899999999994</v>
      </c>
      <c r="R12" s="8">
        <f>IFERROR(Q12/Q444, "NA")</f>
        <v>5.7657965594529827E-2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76629.899999999994</v>
      </c>
      <c r="X12" s="8">
        <f>IFERROR(W12/W444, "NA")</f>
        <v>-0.82281654023393469</v>
      </c>
      <c r="Y12" s="9"/>
      <c r="Z12" s="7">
        <v>75655.05</v>
      </c>
      <c r="AA12" s="8">
        <f>IFERROR(Z12/Z444, "NA")</f>
        <v>6.0435564750627675E-2</v>
      </c>
      <c r="AB12" s="9"/>
      <c r="AC12" s="10">
        <f t="shared" si="3"/>
        <v>974.84999999999127</v>
      </c>
      <c r="AD12" s="8">
        <f>IFERROR(AC12/AC444, "NA")</f>
        <v>1.2625500597180815E-2</v>
      </c>
    </row>
    <row r="13" spans="1:30" ht="16.5" customHeight="1" x14ac:dyDescent="0.45">
      <c r="A13" s="12" t="s">
        <v>15</v>
      </c>
      <c r="B13" s="7">
        <v>120</v>
      </c>
      <c r="C13" s="8">
        <f>IFERROR(B13/B444, "NA")</f>
        <v>1.1352842562563623E-3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120</v>
      </c>
      <c r="I13" s="8">
        <f>IFERROR(H13/H444, "NA")</f>
        <v>0.10744985673352547</v>
      </c>
      <c r="J13" s="9"/>
      <c r="K13" s="7">
        <v>150</v>
      </c>
      <c r="L13" s="8">
        <f>IFERROR(K13/K444, "NA")</f>
        <v>1.5643315715483544E-3</v>
      </c>
      <c r="M13" s="9"/>
      <c r="N13" s="10">
        <f t="shared" si="1"/>
        <v>-30</v>
      </c>
      <c r="O13" s="8">
        <f>IFERROR(N13/N444, "NA")</f>
        <v>-3.0572313712701814E-3</v>
      </c>
      <c r="P13" s="9"/>
      <c r="Q13" s="7">
        <v>3376</v>
      </c>
      <c r="R13" s="8">
        <f>IFERROR(Q13/Q444, "NA")</f>
        <v>2.5401741597879252E-3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3376</v>
      </c>
      <c r="X13" s="8">
        <f>IFERROR(W13/W444, "NA")</f>
        <v>-3.6249931682408094E-2</v>
      </c>
      <c r="Y13" s="9"/>
      <c r="Z13" s="7">
        <v>2289.9899999999998</v>
      </c>
      <c r="AA13" s="8">
        <f>IFERROR(Z13/Z444, "NA")</f>
        <v>1.8293139575387214E-3</v>
      </c>
      <c r="AB13" s="9"/>
      <c r="AC13" s="10">
        <f t="shared" si="3"/>
        <v>1086.0100000000002</v>
      </c>
      <c r="AD13" s="8">
        <f>IFERROR(AC13/AC444, "NA")</f>
        <v>1.4065158643426643E-2</v>
      </c>
    </row>
    <row r="14" spans="1:30" ht="16.5" customHeight="1" x14ac:dyDescent="0.45">
      <c r="A14" s="12" t="s">
        <v>16</v>
      </c>
      <c r="B14" s="7">
        <v>0</v>
      </c>
      <c r="C14" s="8">
        <f>IFERROR(B14/B444, "NA")</f>
        <v>0</v>
      </c>
      <c r="D14" s="9"/>
      <c r="E14" s="7">
        <v>0</v>
      </c>
      <c r="F14" s="8">
        <f>IFERROR(E14/E444, "NA")</f>
        <v>0</v>
      </c>
      <c r="G14" s="9"/>
      <c r="H14" s="10">
        <f t="shared" si="0"/>
        <v>0</v>
      </c>
      <c r="I14" s="8">
        <f>IFERROR(H14/H444, "NA")</f>
        <v>0</v>
      </c>
      <c r="J14" s="9"/>
      <c r="K14" s="7">
        <v>345</v>
      </c>
      <c r="L14" s="8">
        <f>IFERROR(K14/K444, "NA")</f>
        <v>3.5979626145612154E-3</v>
      </c>
      <c r="M14" s="9"/>
      <c r="N14" s="10">
        <f t="shared" si="1"/>
        <v>-345</v>
      </c>
      <c r="O14" s="8">
        <f>IFERROR(N14/N444, "NA")</f>
        <v>-3.5158160769607087E-2</v>
      </c>
      <c r="P14" s="9"/>
      <c r="Q14" s="7">
        <v>3265</v>
      </c>
      <c r="R14" s="8">
        <f>IFERROR(Q14/Q444, "NA")</f>
        <v>2.4566554003873147E-3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3265</v>
      </c>
      <c r="X14" s="8">
        <f>IFERROR(W14/W444, "NA")</f>
        <v>-3.5058064852802849E-2</v>
      </c>
      <c r="Y14" s="9"/>
      <c r="Z14" s="7">
        <v>6820</v>
      </c>
      <c r="AA14" s="8">
        <f>IFERROR(Z14/Z444, "NA")</f>
        <v>5.4480243103306484E-3</v>
      </c>
      <c r="AB14" s="9"/>
      <c r="AC14" s="10">
        <f t="shared" si="3"/>
        <v>-3555</v>
      </c>
      <c r="AD14" s="8">
        <f>IFERROR(AC14/AC444, "NA")</f>
        <v>-4.6041600885242034E-2</v>
      </c>
    </row>
    <row r="15" spans="1:30" ht="16.5" customHeight="1" x14ac:dyDescent="0.45">
      <c r="A15" s="12" t="s">
        <v>17</v>
      </c>
      <c r="B15" s="7">
        <v>8</v>
      </c>
      <c r="C15" s="8">
        <f>IFERROR(B15/B444, "NA")</f>
        <v>7.5685617083757497E-5</v>
      </c>
      <c r="D15" s="9"/>
      <c r="E15" s="7">
        <v>0</v>
      </c>
      <c r="F15" s="8">
        <f>IFERROR(E15/E444, "NA")</f>
        <v>0</v>
      </c>
      <c r="G15" s="9"/>
      <c r="H15" s="10">
        <f t="shared" si="0"/>
        <v>8</v>
      </c>
      <c r="I15" s="8">
        <f>IFERROR(H15/H444, "NA")</f>
        <v>7.163323782235032E-3</v>
      </c>
      <c r="J15" s="9"/>
      <c r="K15" s="7">
        <v>34</v>
      </c>
      <c r="L15" s="8">
        <f>IFERROR(K15/K444, "NA")</f>
        <v>3.5458182288429366E-4</v>
      </c>
      <c r="M15" s="9"/>
      <c r="N15" s="10">
        <f t="shared" si="1"/>
        <v>-26</v>
      </c>
      <c r="O15" s="8">
        <f>IFERROR(N15/N444, "NA")</f>
        <v>-2.6496005217674905E-3</v>
      </c>
      <c r="P15" s="9"/>
      <c r="Q15" s="7">
        <v>538</v>
      </c>
      <c r="R15" s="8">
        <f>IFERROR(Q15/Q444, "NA")</f>
        <v>4.0480263565340746E-4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538</v>
      </c>
      <c r="X15" s="8">
        <f>IFERROR(W15/W444, "NA")</f>
        <v>-5.7767959849335171E-3</v>
      </c>
      <c r="Y15" s="9"/>
      <c r="Z15" s="7">
        <v>641</v>
      </c>
      <c r="AA15" s="8">
        <f>IFERROR(Z15/Z444, "NA")</f>
        <v>5.12050378727558E-4</v>
      </c>
      <c r="AB15" s="9"/>
      <c r="AC15" s="10">
        <f t="shared" si="3"/>
        <v>-103</v>
      </c>
      <c r="AD15" s="8">
        <f>IFERROR(AC15/AC444, "NA")</f>
        <v>-1.3339760594036371E-3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57492.19</v>
      </c>
      <c r="C18" s="15">
        <f>IFERROR(B18/B444, "NA")</f>
        <v>0.54391648470582898</v>
      </c>
      <c r="D18" s="2"/>
      <c r="E18" s="14">
        <f>IFERROR(E10+E11+E12+E13+E14+E15+E16+E17, "NA")</f>
        <v>61599.74</v>
      </c>
      <c r="F18" s="15">
        <f>IFERROR(E18/E444, "NA")</f>
        <v>0.58899999617530852</v>
      </c>
      <c r="G18" s="2"/>
      <c r="H18" s="14">
        <f t="shared" si="0"/>
        <v>-4107.5499999999956</v>
      </c>
      <c r="I18" s="15">
        <f>IFERROR(H18/H444, "NA")</f>
        <v>-3.6779638252149343</v>
      </c>
      <c r="J18" s="2"/>
      <c r="K18" s="14">
        <f>IFERROR(K10+K11+K12+K13+K14+K15+K16+K17, "NA")</f>
        <v>63424.83</v>
      </c>
      <c r="L18" s="15">
        <f>IFERROR(K18/K444, "NA")</f>
        <v>0.66144975992724808</v>
      </c>
      <c r="M18" s="2"/>
      <c r="N18" s="14">
        <f t="shared" si="1"/>
        <v>-5932.6399999999994</v>
      </c>
      <c r="O18" s="15">
        <f>IFERROR(N18/N444, "NA")</f>
        <v>-0.60458177074841091</v>
      </c>
      <c r="P18" s="2"/>
      <c r="Q18" s="14">
        <f>IFERROR(Q10+Q11+Q12+Q13+Q14+Q15+Q16+Q17, "NA")</f>
        <v>790895.45000000007</v>
      </c>
      <c r="R18" s="15">
        <f>IFERROR(Q18/Q444, "NA")</f>
        <v>0.59508654774402936</v>
      </c>
      <c r="S18" s="2"/>
      <c r="T18" s="14">
        <f>IFERROR(T10+T11+T12+T13+T14+T15+T16+T17, "NA")</f>
        <v>837660.43</v>
      </c>
      <c r="U18" s="15">
        <f>IFERROR(T18/T444, "NA")</f>
        <v>0.58899998547294441</v>
      </c>
      <c r="V18" s="2"/>
      <c r="W18" s="14">
        <f t="shared" si="2"/>
        <v>-46764.979999999981</v>
      </c>
      <c r="X18" s="15">
        <f>IFERROR(W18/W444, "NA")</f>
        <v>0.50214079683921209</v>
      </c>
      <c r="Y18" s="2"/>
      <c r="Z18" s="14">
        <f>IFERROR(Z10+Z11+Z12+Z13+Z14+Z15+Z16+Z17, "NA")</f>
        <v>759416.56</v>
      </c>
      <c r="AA18" s="15">
        <f>IFERROR(Z18/Z444, "NA")</f>
        <v>0.60664514377531875</v>
      </c>
      <c r="AB18" s="2"/>
      <c r="AC18" s="14">
        <f t="shared" si="3"/>
        <v>31478.890000000014</v>
      </c>
      <c r="AD18" s="15">
        <f>IFERROR(AC18/AC444, "NA")</f>
        <v>0.40769015181165608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8680.44</v>
      </c>
      <c r="F21" s="8">
        <f>IFERROR(E21/E444, "NA")</f>
        <v>8.3000011474074334E-2</v>
      </c>
      <c r="G21" s="9"/>
      <c r="H21" s="10">
        <f t="shared" ref="H21:H29" si="4">IFERROR(B21-E21, "NA")</f>
        <v>-8680.44</v>
      </c>
      <c r="I21" s="8">
        <f>IFERROR(H21/H444, "NA")</f>
        <v>-7.7726002865330326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118040.44</v>
      </c>
      <c r="U21" s="8">
        <f>IFERROR(T21/T444, "NA")</f>
        <v>8.3000002095383635E-2</v>
      </c>
      <c r="V21" s="9"/>
      <c r="W21" s="10">
        <f t="shared" ref="W21:W29" si="6">IFERROR(Q21-T21, "NA")</f>
        <v>-118040.44</v>
      </c>
      <c r="X21" s="8">
        <f>IFERROR(W21/W444, "NA")</f>
        <v>1.2674638287207913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9177.2199999999993</v>
      </c>
      <c r="C22" s="8">
        <f>IFERROR(B22/B444, "NA")</f>
        <v>8.6822944851675105E-2</v>
      </c>
      <c r="D22" s="9"/>
      <c r="E22" s="7">
        <v>0</v>
      </c>
      <c r="F22" s="8">
        <f>IFERROR(E22/E444, "NA")</f>
        <v>0</v>
      </c>
      <c r="G22" s="9"/>
      <c r="H22" s="10">
        <f t="shared" si="4"/>
        <v>9177.2199999999993</v>
      </c>
      <c r="I22" s="8">
        <f>IFERROR(H22/H444, "NA")</f>
        <v>8.2174247851003717</v>
      </c>
      <c r="J22" s="9"/>
      <c r="K22" s="7">
        <v>9241.15</v>
      </c>
      <c r="L22" s="8">
        <f>IFERROR(K22/K444, "NA")</f>
        <v>9.6374818016093836E-2</v>
      </c>
      <c r="M22" s="9"/>
      <c r="N22" s="10">
        <f t="shared" si="5"/>
        <v>-63.930000000000291</v>
      </c>
      <c r="O22" s="8">
        <f>IFERROR(N22/N444, "NA")</f>
        <v>-6.5149600521767865E-3</v>
      </c>
      <c r="P22" s="9"/>
      <c r="Q22" s="7">
        <v>93834.42</v>
      </c>
      <c r="R22" s="8">
        <f>IFERROR(Q22/Q444, "NA")</f>
        <v>7.0603012139421578E-2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93834.42</v>
      </c>
      <c r="X22" s="8">
        <f>IFERROR(W22/W444, "NA")</f>
        <v>-1.0075507448040246</v>
      </c>
      <c r="Y22" s="9"/>
      <c r="Z22" s="7">
        <v>90915.58</v>
      </c>
      <c r="AA22" s="8">
        <f>IFERROR(Z22/Z444, "NA")</f>
        <v>7.2626142232816854E-2</v>
      </c>
      <c r="AB22" s="9"/>
      <c r="AC22" s="10">
        <f t="shared" si="7"/>
        <v>2918.8399999999965</v>
      </c>
      <c r="AD22" s="8">
        <f>IFERROR(AC22/AC444, "NA")</f>
        <v>3.7802550303201045E-2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569</v>
      </c>
      <c r="C24" s="8">
        <f>IFERROR(B24/B444, "NA")</f>
        <v>5.3831395150822515E-3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569</v>
      </c>
      <c r="I24" s="8">
        <f>IFERROR(H24/H444, "NA")</f>
        <v>0.50949140401146664</v>
      </c>
      <c r="J24" s="9"/>
      <c r="K24" s="7">
        <v>934.22</v>
      </c>
      <c r="L24" s="8">
        <f>IFERROR(K24/K444, "NA")</f>
        <v>9.7428656051460252E-3</v>
      </c>
      <c r="M24" s="9"/>
      <c r="N24" s="10">
        <f t="shared" si="5"/>
        <v>-365.22</v>
      </c>
      <c r="O24" s="8">
        <f>IFERROR(N24/N444, "NA")</f>
        <v>-3.7218734713843189E-2</v>
      </c>
      <c r="P24" s="9"/>
      <c r="Q24" s="7">
        <v>10626.21</v>
      </c>
      <c r="R24" s="8">
        <f>IFERROR(Q24/Q444, "NA")</f>
        <v>7.9953862732464586E-3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10626.21</v>
      </c>
      <c r="X24" s="8">
        <f>IFERROR(W24/W444, "NA")</f>
        <v>-0.11409934435513082</v>
      </c>
      <c r="Y24" s="9"/>
      <c r="Z24" s="7">
        <v>7416.85</v>
      </c>
      <c r="AA24" s="8">
        <f>IFERROR(Z24/Z444, "NA")</f>
        <v>5.9248063205389846E-3</v>
      </c>
      <c r="AB24" s="9"/>
      <c r="AC24" s="10">
        <f t="shared" si="7"/>
        <v>3209.3599999999988</v>
      </c>
      <c r="AD24" s="8">
        <f>IFERROR(AC24/AC444, "NA")</f>
        <v>4.1565139864151994E-2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826.62</v>
      </c>
      <c r="C28" s="8">
        <f>IFERROR(B28/B444, "NA")</f>
        <v>7.8204055992219523E-3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826.62</v>
      </c>
      <c r="I28" s="8">
        <f>IFERROR(H28/H444, "NA")</f>
        <v>0.74016833810889027</v>
      </c>
      <c r="J28" s="9"/>
      <c r="K28" s="7">
        <v>850.58</v>
      </c>
      <c r="L28" s="8">
        <f>IFERROR(K28/K444, "NA")</f>
        <v>8.8705943208506628E-3</v>
      </c>
      <c r="M28" s="9"/>
      <c r="N28" s="10">
        <f t="shared" si="5"/>
        <v>-23.960000000000036</v>
      </c>
      <c r="O28" s="8">
        <f>IFERROR(N28/N444, "NA")</f>
        <v>-2.441708788521122E-3</v>
      </c>
      <c r="P28" s="9"/>
      <c r="Q28" s="7">
        <v>10596.31</v>
      </c>
      <c r="R28" s="8">
        <f>IFERROR(Q28/Q444, "NA")</f>
        <v>7.9728888776962048E-3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10596.31</v>
      </c>
      <c r="X28" s="8">
        <f>IFERROR(W28/W444, "NA")</f>
        <v>-0.11377829193886779</v>
      </c>
      <c r="Y28" s="9"/>
      <c r="Z28" s="7">
        <v>10517.29</v>
      </c>
      <c r="AA28" s="8">
        <f>IFERROR(Z28/Z444, "NA")</f>
        <v>8.4015324924922915E-3</v>
      </c>
      <c r="AB28" s="9"/>
      <c r="AC28" s="10">
        <f t="shared" si="7"/>
        <v>79.019999999998618</v>
      </c>
      <c r="AD28" s="8">
        <f>IFERROR(AC28/AC444, "NA")</f>
        <v>1.0234057108162481E-3</v>
      </c>
    </row>
    <row r="29" spans="1:30" ht="16.5" customHeight="1" x14ac:dyDescent="0.45">
      <c r="A29" s="13" t="s">
        <v>30</v>
      </c>
      <c r="B29" s="14">
        <f>IFERROR(B21+B22+B23+B24+B25+B26+B27+B28, "NA")</f>
        <v>10572.84</v>
      </c>
      <c r="C29" s="15">
        <f>IFERROR(B29/B444, "NA")</f>
        <v>0.10002648996597932</v>
      </c>
      <c r="D29" s="2"/>
      <c r="E29" s="14">
        <f>IFERROR(E21+E22+E23+E24+E25+E26+E27+E28, "NA")</f>
        <v>8680.44</v>
      </c>
      <c r="F29" s="15">
        <f>IFERROR(E29/E444, "NA")</f>
        <v>8.3000011474074334E-2</v>
      </c>
      <c r="G29" s="2"/>
      <c r="H29" s="14">
        <f t="shared" si="4"/>
        <v>1892.3999999999996</v>
      </c>
      <c r="I29" s="15">
        <f>IFERROR(H29/H444, "NA")</f>
        <v>1.6944842406876963</v>
      </c>
      <c r="J29" s="2"/>
      <c r="K29" s="14">
        <f>IFERROR(K21+K22+K23+K24+K25+K26+K27+K28, "NA")</f>
        <v>11025.949999999999</v>
      </c>
      <c r="L29" s="15">
        <f>IFERROR(K29/K444, "NA")</f>
        <v>0.11498827794209052</v>
      </c>
      <c r="M29" s="2"/>
      <c r="N29" s="14">
        <f t="shared" si="5"/>
        <v>-453.10999999999876</v>
      </c>
      <c r="O29" s="15">
        <f>IFERROR(N29/N444, "NA")</f>
        <v>-4.6175403554540938E-2</v>
      </c>
      <c r="P29" s="2"/>
      <c r="Q29" s="14">
        <f>IFERROR(Q21+Q22+Q23+Q24+Q25+Q26+Q27+Q28, "NA")</f>
        <v>115056.94</v>
      </c>
      <c r="R29" s="15">
        <f>IFERROR(Q29/Q444, "NA")</f>
        <v>8.6571287290364243E-2</v>
      </c>
      <c r="S29" s="2"/>
      <c r="T29" s="14">
        <f>IFERROR(T21+T22+T23+T24+T25+T26+T27+T28, "NA")</f>
        <v>118040.44</v>
      </c>
      <c r="U29" s="15">
        <f>IFERROR(T29/T444, "NA")</f>
        <v>8.3000002095383635E-2</v>
      </c>
      <c r="V29" s="2"/>
      <c r="W29" s="14">
        <f t="shared" si="6"/>
        <v>-2983.5</v>
      </c>
      <c r="X29" s="15">
        <f>IFERROR(W29/W444, "NA")</f>
        <v>3.2035447622767936E-2</v>
      </c>
      <c r="Y29" s="2"/>
      <c r="Z29" s="14">
        <f>IFERROR(Z21+Z22+Z23+Z24+Z25+Z26+Z27+Z28, "NA")</f>
        <v>108849.72</v>
      </c>
      <c r="AA29" s="15">
        <f>IFERROR(Z29/Z444, "NA")</f>
        <v>8.6952481045848129E-2</v>
      </c>
      <c r="AB29" s="2"/>
      <c r="AC29" s="14">
        <f t="shared" si="7"/>
        <v>6207.2200000000012</v>
      </c>
      <c r="AD29" s="15">
        <f>IFERROR(AC29/AC444, "NA")</f>
        <v>8.039109587816938E-2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15792.12</v>
      </c>
      <c r="F31" s="8">
        <f>IFERROR(E31/E444, "NA")</f>
        <v>0.15099996557777701</v>
      </c>
      <c r="G31" s="9"/>
      <c r="H31" s="10">
        <f t="shared" ref="H31:H40" si="8">IFERROR(B31-E31, "NA")</f>
        <v>-15792.12</v>
      </c>
      <c r="I31" s="8">
        <f>IFERROR(H31/H444, "NA")</f>
        <v>-14.140508595988686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214748.27</v>
      </c>
      <c r="U31" s="8">
        <f>IFERROR(T31/T444, "NA")</f>
        <v>0.15100000355793328</v>
      </c>
      <c r="V31" s="9"/>
      <c r="W31" s="10">
        <f t="shared" ref="W31:W40" si="10">IFERROR(Q31-T31, "NA")</f>
        <v>-214748.27</v>
      </c>
      <c r="X31" s="8">
        <f>IFERROR(W31/W444, "NA")</f>
        <v>2.3058679254784735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8042.1</v>
      </c>
      <c r="C33" s="8">
        <f>IFERROR(B33/B444, "NA")</f>
        <v>7.6083912643660767E-2</v>
      </c>
      <c r="D33" s="9"/>
      <c r="E33" s="7">
        <v>0</v>
      </c>
      <c r="F33" s="8">
        <f>IFERROR(E33/E444, "NA")</f>
        <v>0</v>
      </c>
      <c r="G33" s="9"/>
      <c r="H33" s="10">
        <f t="shared" si="8"/>
        <v>8042.1</v>
      </c>
      <c r="I33" s="8">
        <f>IFERROR(H33/H444, "NA")</f>
        <v>7.2010207736390441</v>
      </c>
      <c r="J33" s="9"/>
      <c r="K33" s="7">
        <v>8787.24</v>
      </c>
      <c r="L33" s="8">
        <f>IFERROR(K33/K444, "NA")</f>
        <v>9.1641046391817083E-2</v>
      </c>
      <c r="M33" s="9"/>
      <c r="N33" s="10">
        <f t="shared" si="9"/>
        <v>-745.13999999999942</v>
      </c>
      <c r="O33" s="8">
        <f>IFERROR(N33/N444, "NA")</f>
        <v>-7.5935512799608709E-2</v>
      </c>
      <c r="P33" s="9"/>
      <c r="Q33" s="7">
        <v>103855.09</v>
      </c>
      <c r="R33" s="8">
        <f>IFERROR(Q33/Q444, "NA")</f>
        <v>7.8142777245393757E-2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103855.09</v>
      </c>
      <c r="X33" s="8">
        <f>IFERROR(W33/W444, "NA")</f>
        <v>-1.1151480797897937</v>
      </c>
      <c r="Y33" s="9"/>
      <c r="Z33" s="7">
        <v>86573.46</v>
      </c>
      <c r="AA33" s="8">
        <f>IFERROR(Z33/Z444, "NA")</f>
        <v>6.9157524150943991E-2</v>
      </c>
      <c r="AB33" s="9"/>
      <c r="AC33" s="10">
        <f t="shared" si="11"/>
        <v>17281.62999999999</v>
      </c>
      <c r="AD33" s="8">
        <f>IFERROR(AC33/AC444, "NA")</f>
        <v>0.22381825910166664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638.02</v>
      </c>
      <c r="C35" s="8">
        <f>IFERROR(B35/B444, "NA")</f>
        <v>6.0361171764723694E-3</v>
      </c>
      <c r="D35" s="9"/>
      <c r="E35" s="7">
        <v>0</v>
      </c>
      <c r="F35" s="8">
        <f>IFERROR(E35/E444, "NA")</f>
        <v>0</v>
      </c>
      <c r="G35" s="9"/>
      <c r="H35" s="10">
        <f t="shared" si="8"/>
        <v>638.02</v>
      </c>
      <c r="I35" s="8">
        <f>IFERROR(H35/H444, "NA")</f>
        <v>0.57129297994269934</v>
      </c>
      <c r="J35" s="9"/>
      <c r="K35" s="7">
        <v>972.27</v>
      </c>
      <c r="L35" s="8">
        <f>IFERROR(K35/K444, "NA")</f>
        <v>1.0139684380462123E-2</v>
      </c>
      <c r="M35" s="9"/>
      <c r="N35" s="10">
        <f t="shared" si="9"/>
        <v>-334.25</v>
      </c>
      <c r="O35" s="8">
        <f>IFERROR(N35/N444, "NA")</f>
        <v>-3.4062652861568607E-2</v>
      </c>
      <c r="P35" s="9"/>
      <c r="Q35" s="7">
        <v>11051.3</v>
      </c>
      <c r="R35" s="8">
        <f>IFERROR(Q35/Q444, "NA")</f>
        <v>8.3152330249005608E-3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11051.3</v>
      </c>
      <c r="X35" s="8">
        <f>IFERROR(W35/W444, "NA")</f>
        <v>-0.11866376481095868</v>
      </c>
      <c r="Y35" s="9"/>
      <c r="Z35" s="7">
        <v>7729.73</v>
      </c>
      <c r="AA35" s="8">
        <f>IFERROR(Z35/Z444, "NA")</f>
        <v>6.1747444211572022E-3</v>
      </c>
      <c r="AB35" s="9"/>
      <c r="AC35" s="10">
        <f t="shared" si="11"/>
        <v>3321.5699999999997</v>
      </c>
      <c r="AD35" s="8">
        <f>IFERROR(AC35/AC444, "NA")</f>
        <v>4.3018396695469308E-2</v>
      </c>
    </row>
    <row r="36" spans="1:30" ht="16.5" customHeight="1" x14ac:dyDescent="0.45">
      <c r="A36" s="12" t="s">
        <v>36</v>
      </c>
      <c r="B36" s="7">
        <v>9986.39</v>
      </c>
      <c r="C36" s="8">
        <f>IFERROR(B36/B444, "NA")</f>
        <v>9.4478261198633118E-2</v>
      </c>
      <c r="D36" s="9"/>
      <c r="E36" s="7">
        <v>0</v>
      </c>
      <c r="F36" s="8">
        <f>IFERROR(E36/E444, "NA")</f>
        <v>0</v>
      </c>
      <c r="G36" s="9"/>
      <c r="H36" s="10">
        <f t="shared" si="8"/>
        <v>9986.39</v>
      </c>
      <c r="I36" s="8">
        <f>IFERROR(H36/H444, "NA")</f>
        <v>8.9419681232092625</v>
      </c>
      <c r="J36" s="9"/>
      <c r="K36" s="7">
        <v>7526.77</v>
      </c>
      <c r="L36" s="8">
        <f>IFERROR(K36/K444, "NA")</f>
        <v>7.8495759618553387E-2</v>
      </c>
      <c r="M36" s="9"/>
      <c r="N36" s="10">
        <f t="shared" si="9"/>
        <v>2459.619999999999</v>
      </c>
      <c r="O36" s="8">
        <f>IFERROR(N36/N444, "NA")</f>
        <v>0.250654247513452</v>
      </c>
      <c r="P36" s="9"/>
      <c r="Q36" s="7">
        <v>94438.2</v>
      </c>
      <c r="R36" s="8">
        <f>IFERROR(Q36/Q444, "NA")</f>
        <v>7.1057309045285552E-2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94438.2</v>
      </c>
      <c r="X36" s="8">
        <f>IFERROR(W36/W444, "NA")</f>
        <v>-1.0140338561047368</v>
      </c>
      <c r="Y36" s="9"/>
      <c r="Z36" s="7">
        <v>85233.94</v>
      </c>
      <c r="AA36" s="8">
        <f>IFERROR(Z36/Z444, "NA")</f>
        <v>6.8087474660595879E-2</v>
      </c>
      <c r="AB36" s="9"/>
      <c r="AC36" s="10">
        <f t="shared" si="11"/>
        <v>9204.2599999999948</v>
      </c>
      <c r="AD36" s="8">
        <f>IFERROR(AC36/AC444, "NA")</f>
        <v>0.11920643188860693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890.3</v>
      </c>
      <c r="L39" s="8">
        <f>IFERROR(K39/K444, "NA")</f>
        <v>9.2848293209966664E-3</v>
      </c>
      <c r="M39" s="9"/>
      <c r="N39" s="10">
        <f t="shared" si="9"/>
        <v>-890.3</v>
      </c>
      <c r="O39" s="8">
        <f>IFERROR(N39/N444, "NA")</f>
        <v>-9.0728436328061407E-2</v>
      </c>
      <c r="P39" s="9"/>
      <c r="Q39" s="7">
        <v>6889.17</v>
      </c>
      <c r="R39" s="8">
        <f>IFERROR(Q39/Q444, "NA")</f>
        <v>5.1835579432423515E-3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6889.17</v>
      </c>
      <c r="X39" s="8">
        <f>IFERROR(W39/W444, "NA")</f>
        <v>-7.397273159019413E-2</v>
      </c>
      <c r="Y39" s="9"/>
      <c r="Z39" s="7">
        <v>11947.11</v>
      </c>
      <c r="AA39" s="8">
        <f>IFERROR(Z39/Z444, "NA")</f>
        <v>9.5437163809669202E-3</v>
      </c>
      <c r="AB39" s="9"/>
      <c r="AC39" s="10">
        <f t="shared" si="11"/>
        <v>-5057.9400000000005</v>
      </c>
      <c r="AD39" s="8">
        <f>IFERROR(AC39/AC444, "NA")</f>
        <v>-6.5506513300000319E-2</v>
      </c>
    </row>
    <row r="40" spans="1:30" ht="16.5" customHeight="1" x14ac:dyDescent="0.45">
      <c r="A40" s="13" t="s">
        <v>40</v>
      </c>
      <c r="B40" s="14">
        <f>IFERROR(B31+B32+B33+B34+B35+B36+B37+B38+B39, "NA")</f>
        <v>18666.510000000002</v>
      </c>
      <c r="C40" s="15">
        <f>IFERROR(B40/B444, "NA")</f>
        <v>0.17659829101876628</v>
      </c>
      <c r="D40" s="2"/>
      <c r="E40" s="14">
        <f>IFERROR(E31+E32+E33+E34+E35+E36+E37+E38+E39, "NA")</f>
        <v>15792.12</v>
      </c>
      <c r="F40" s="15">
        <f>IFERROR(E40/E444, "NA")</f>
        <v>0.15099996557777701</v>
      </c>
      <c r="G40" s="2"/>
      <c r="H40" s="14">
        <f t="shared" si="8"/>
        <v>2874.3900000000012</v>
      </c>
      <c r="I40" s="15">
        <f>IFERROR(H40/H444, "NA")</f>
        <v>2.5737732808023202</v>
      </c>
      <c r="J40" s="2"/>
      <c r="K40" s="14">
        <f>IFERROR(K31+K32+K33+K34+K35+K36+K37+K38+K39, "NA")</f>
        <v>18176.579999999998</v>
      </c>
      <c r="L40" s="15">
        <f>IFERROR(K40/K444, "NA")</f>
        <v>0.18956131971182924</v>
      </c>
      <c r="M40" s="2"/>
      <c r="N40" s="14">
        <f t="shared" si="9"/>
        <v>489.93000000000393</v>
      </c>
      <c r="O40" s="15">
        <f>IFERROR(N40/N444, "NA")</f>
        <v>4.9927645524213735E-2</v>
      </c>
      <c r="P40" s="2"/>
      <c r="Q40" s="14">
        <f>IFERROR(Q31+Q32+Q33+Q34+Q35+Q36+Q37+Q38+Q39, "NA")</f>
        <v>216233.76</v>
      </c>
      <c r="R40" s="15">
        <f>IFERROR(Q40/Q444, "NA")</f>
        <v>0.16269887725882223</v>
      </c>
      <c r="S40" s="2"/>
      <c r="T40" s="14">
        <f>IFERROR(T31+T32+T33+T34+T35+T36+T37+T38+T39, "NA")</f>
        <v>214748.27</v>
      </c>
      <c r="U40" s="15">
        <f>IFERROR(T40/T444, "NA")</f>
        <v>0.15100000355793328</v>
      </c>
      <c r="V40" s="2"/>
      <c r="W40" s="14">
        <f t="shared" si="10"/>
        <v>1485.4900000000198</v>
      </c>
      <c r="X40" s="15">
        <f>IFERROR(W40/W444, "NA")</f>
        <v>-1.5950506817210046E-2</v>
      </c>
      <c r="Y40" s="2"/>
      <c r="Z40" s="14">
        <f>IFERROR(Z31+Z32+Z33+Z34+Z35+Z36+Z37+Z38+Z39, "NA")</f>
        <v>191484.24</v>
      </c>
      <c r="AA40" s="15">
        <f>IFERROR(Z40/Z444, "NA")</f>
        <v>0.15296345961366398</v>
      </c>
      <c r="AB40" s="2"/>
      <c r="AC40" s="14">
        <f t="shared" si="11"/>
        <v>24749.520000000019</v>
      </c>
      <c r="AD40" s="15">
        <f>IFERROR(AC40/AC444, "NA")</f>
        <v>0.32053657438574301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3490.06</v>
      </c>
      <c r="C43" s="8">
        <f>IFERROR(B43/B444, "NA")</f>
        <v>3.3018418094917332E-2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3490.06</v>
      </c>
      <c r="I43" s="8">
        <f>IFERROR(H43/H444, "NA")</f>
        <v>3.1250537249283994</v>
      </c>
      <c r="J43" s="9"/>
      <c r="K43" s="7">
        <v>3021.31</v>
      </c>
      <c r="L43" s="8">
        <f>IFERROR(K43/K444, "NA")</f>
        <v>3.1508870802898388E-2</v>
      </c>
      <c r="M43" s="9"/>
      <c r="N43" s="10">
        <f>IFERROR(B43-K43, "NA")</f>
        <v>468.75</v>
      </c>
      <c r="O43" s="8">
        <f>IFERROR(N43/N444, "NA")</f>
        <v>4.7769240176096586E-2</v>
      </c>
      <c r="P43" s="9"/>
      <c r="Q43" s="7">
        <v>30591.8</v>
      </c>
      <c r="R43" s="8">
        <f>IFERROR(Q43/Q444, "NA")</f>
        <v>2.3017920575059313E-2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30591.8</v>
      </c>
      <c r="X43" s="8">
        <f>IFERROR(W43/W444, "NA")</f>
        <v>-0.32848064574700586</v>
      </c>
      <c r="Y43" s="9"/>
      <c r="Z43" s="7">
        <v>24778.58</v>
      </c>
      <c r="AA43" s="8">
        <f>IFERROR(Z43/Z444, "NA")</f>
        <v>1.9793886541858183E-2</v>
      </c>
      <c r="AB43" s="9"/>
      <c r="AC43" s="10">
        <f>IFERROR(Q43-Z43, "NA")</f>
        <v>5813.2199999999975</v>
      </c>
      <c r="AD43" s="8">
        <f>IFERROR(AC43/AC444, "NA")</f>
        <v>7.5288313670353477E-2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20812.14</v>
      </c>
      <c r="F46" s="8">
        <f>IFERROR(E46/E444, "NA")</f>
        <v>0.19900003442222297</v>
      </c>
      <c r="G46" s="9"/>
      <c r="H46" s="10">
        <f t="shared" ref="H46:H62" si="12">IFERROR(B46-E46, "NA")</f>
        <v>-20812.14</v>
      </c>
      <c r="I46" s="8">
        <f>IFERROR(H46/H444, "NA")</f>
        <v>-18.635512177650625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283012.61</v>
      </c>
      <c r="U46" s="8">
        <f>IFERROR(T46/T444, "NA")</f>
        <v>0.19899999714521557</v>
      </c>
      <c r="V46" s="9"/>
      <c r="W46" s="10">
        <f t="shared" ref="W46:W62" si="14">IFERROR(Q46-T46, "NA")</f>
        <v>-283012.61</v>
      </c>
      <c r="X46" s="8">
        <f>IFERROR(W46/W444, "NA")</f>
        <v>3.0388589389099541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15855.83</v>
      </c>
      <c r="C48" s="8">
        <f>IFERROR(B48/B444, "NA")</f>
        <v>0.15000728474064431</v>
      </c>
      <c r="D48" s="9"/>
      <c r="E48" s="7">
        <v>0</v>
      </c>
      <c r="F48" s="8">
        <f>IFERROR(E48/E444, "NA")</f>
        <v>0</v>
      </c>
      <c r="G48" s="9"/>
      <c r="H48" s="10">
        <f t="shared" si="12"/>
        <v>15855.83</v>
      </c>
      <c r="I48" s="8">
        <f>IFERROR(H48/H444, "NA")</f>
        <v>14.19755551575946</v>
      </c>
      <c r="J48" s="9"/>
      <c r="K48" s="7">
        <v>6739.99</v>
      </c>
      <c r="L48" s="8">
        <f>IFERROR(K48/K444, "NA")</f>
        <v>7.0290527659467958E-2</v>
      </c>
      <c r="M48" s="9"/>
      <c r="N48" s="10">
        <f t="shared" si="13"/>
        <v>9115.84</v>
      </c>
      <c r="O48" s="8">
        <f>IFERROR(N48/N444, "NA")</f>
        <v>0.92897440078265237</v>
      </c>
      <c r="P48" s="9"/>
      <c r="Q48" s="7">
        <v>174585.97</v>
      </c>
      <c r="R48" s="8">
        <f>IFERROR(Q48/Q444, "NA")</f>
        <v>0.13136219480317235</v>
      </c>
      <c r="S48" s="9"/>
      <c r="T48" s="7">
        <v>0</v>
      </c>
      <c r="U48" s="8">
        <f>IFERROR(T48/T444, "NA")</f>
        <v>0</v>
      </c>
      <c r="V48" s="9"/>
      <c r="W48" s="10">
        <f t="shared" si="14"/>
        <v>174585.97</v>
      </c>
      <c r="X48" s="8">
        <f>IFERROR(W48/W444, "NA")</f>
        <v>-1.8746236626797834</v>
      </c>
      <c r="Y48" s="9"/>
      <c r="Z48" s="7">
        <v>187296.26</v>
      </c>
      <c r="AA48" s="8">
        <f>IFERROR(Z48/Z444, "NA")</f>
        <v>0.14961797327184895</v>
      </c>
      <c r="AB48" s="9"/>
      <c r="AC48" s="10">
        <f t="shared" si="15"/>
        <v>-12710.290000000008</v>
      </c>
      <c r="AD48" s="8">
        <f>IFERROR(AC48/AC444, "NA")</f>
        <v>-0.16461381134055791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36153.550000000003</v>
      </c>
      <c r="R49" s="8">
        <f>IFERROR(Q49/Q444, "NA")</f>
        <v>2.7202699494846192E-2</v>
      </c>
      <c r="S49" s="9"/>
      <c r="T49" s="7">
        <v>0</v>
      </c>
      <c r="U49" s="8">
        <f>IFERROR(T49/T444, "NA")</f>
        <v>0</v>
      </c>
      <c r="V49" s="9"/>
      <c r="W49" s="10">
        <f t="shared" si="14"/>
        <v>36153.550000000003</v>
      </c>
      <c r="X49" s="8">
        <f>IFERROR(W49/W444, "NA")</f>
        <v>-0.38820015331058211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36153.550000000003</v>
      </c>
      <c r="AD49" s="8">
        <f>IFERROR(AC49/AC444, "NA")</f>
        <v>0.46823272002380939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8.7657076307847537E-6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-1.2509232941352319E-4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1.5088175817526574E-4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32.799999999999997</v>
      </c>
      <c r="R56" s="8">
        <f>IFERROR(Q56/Q444, "NA")</f>
        <v>2.4679417192252348E-5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32.799999999999997</v>
      </c>
      <c r="X56" s="8">
        <f>IFERROR(W56/W444, "NA")</f>
        <v>-3.5219127937884635E-4</v>
      </c>
      <c r="Y56" s="9"/>
      <c r="Z56" s="7">
        <v>887.25</v>
      </c>
      <c r="AA56" s="8">
        <f>IFERROR(Z56/Z444, "NA")</f>
        <v>7.0876240019660821E-4</v>
      </c>
      <c r="AB56" s="9"/>
      <c r="AC56" s="10">
        <f t="shared" si="15"/>
        <v>-854.45</v>
      </c>
      <c r="AD56" s="8">
        <f>IFERROR(AC56/AC444, "NA")</f>
        <v>-1.1066173242305221E-2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15855.83</v>
      </c>
      <c r="C61" s="15">
        <f>IFERROR(B61/B444, "NA")</f>
        <v>0.15000728474064431</v>
      </c>
      <c r="D61" s="2"/>
      <c r="E61" s="14">
        <f>IFERROR(E46+E47+E48+E49+E50+E51+E52+E53+E54+E55+E56+E57+E58+E59+E60, "NA")</f>
        <v>20812.14</v>
      </c>
      <c r="F61" s="15">
        <f>IFERROR(E61/E444, "NA")</f>
        <v>0.19900003442222297</v>
      </c>
      <c r="G61" s="2"/>
      <c r="H61" s="14">
        <f t="shared" si="12"/>
        <v>-4956.3099999999995</v>
      </c>
      <c r="I61" s="15">
        <f>IFERROR(H61/H444, "NA")</f>
        <v>-4.437956661891163</v>
      </c>
      <c r="J61" s="2"/>
      <c r="K61" s="14">
        <f>IFERROR(K46+K47+K48+K49+K50+K51+K52+K53+K54+K55+K56+K57+K58+K59+K60, "NA")</f>
        <v>6739.99</v>
      </c>
      <c r="L61" s="15">
        <f>IFERROR(K61/K444, "NA")</f>
        <v>7.0290527659467958E-2</v>
      </c>
      <c r="M61" s="2"/>
      <c r="N61" s="14">
        <f t="shared" si="13"/>
        <v>9115.84</v>
      </c>
      <c r="O61" s="15">
        <f>IFERROR(N61/N444, "NA")</f>
        <v>0.92897440078265237</v>
      </c>
      <c r="P61" s="2"/>
      <c r="Q61" s="14">
        <f>IFERROR(Q46+Q47+Q48+Q49+Q50+Q51+Q52+Q53+Q54+Q55+Q56+Q57+Q58+Q59+Q60, "NA")</f>
        <v>210783.97</v>
      </c>
      <c r="R61" s="15">
        <f>IFERROR(Q61/Q444, "NA")</f>
        <v>0.15859833942284157</v>
      </c>
      <c r="S61" s="2"/>
      <c r="T61" s="14">
        <f>IFERROR(T46+T47+T48+T49+T50+T51+T52+T53+T54+T55+T56+T57+T58+T59+T60, "NA")</f>
        <v>283012.61</v>
      </c>
      <c r="U61" s="15">
        <f>IFERROR(T61/T444, "NA")</f>
        <v>0.19899999714521557</v>
      </c>
      <c r="V61" s="2"/>
      <c r="W61" s="14">
        <f t="shared" si="14"/>
        <v>-72228.639999999985</v>
      </c>
      <c r="X61" s="15">
        <f>IFERROR(W61/W444, "NA")</f>
        <v>0.77555783931079614</v>
      </c>
      <c r="Y61" s="2"/>
      <c r="Z61" s="14">
        <f>IFERROR(Z46+Z47+Z48+Z49+Z50+Z51+Z52+Z53+Z54+Z55+Z56+Z57+Z58+Z59+Z60, "NA")</f>
        <v>188183.51</v>
      </c>
      <c r="AA61" s="15">
        <f>IFERROR(Z61/Z444, "NA")</f>
        <v>0.15032673567204557</v>
      </c>
      <c r="AB61" s="2"/>
      <c r="AC61" s="14">
        <f t="shared" si="15"/>
        <v>22600.459999999992</v>
      </c>
      <c r="AD61" s="15">
        <f>IFERROR(AC61/AC444, "NA")</f>
        <v>0.29270361719912147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19345.89</v>
      </c>
      <c r="C62" s="15">
        <f>IFERROR(B62/B444, "NA")</f>
        <v>0.18302570283556166</v>
      </c>
      <c r="D62" s="2"/>
      <c r="E62" s="14">
        <f>IFERROR(E42+E43+E44+E46+E47+E48+E49+E50+E51+E52+E53+E54+E55+E56+E57+E58+E59+E60, "NA")</f>
        <v>20812.14</v>
      </c>
      <c r="F62" s="15">
        <f>IFERROR(E62/E444, "NA")</f>
        <v>0.19900003442222297</v>
      </c>
      <c r="G62" s="2"/>
      <c r="H62" s="14">
        <f t="shared" si="12"/>
        <v>-1466.25</v>
      </c>
      <c r="I62" s="15">
        <f>IFERROR(H62/H444, "NA")</f>
        <v>-1.3129029369627645</v>
      </c>
      <c r="J62" s="2"/>
      <c r="K62" s="14">
        <f>IFERROR(K42+K43+K44+K46+K47+K48+K49+K50+K51+K52+K53+K54+K55+K56+K57+K58+K59+K60, "NA")</f>
        <v>9761.2999999999993</v>
      </c>
      <c r="L62" s="15">
        <f>IFERROR(K62/K444, "NA")</f>
        <v>0.10179939846236634</v>
      </c>
      <c r="M62" s="2"/>
      <c r="N62" s="14">
        <f t="shared" si="13"/>
        <v>9584.59</v>
      </c>
      <c r="O62" s="15">
        <f>IFERROR(N62/N444, "NA")</f>
        <v>0.97674364095874888</v>
      </c>
      <c r="P62" s="2"/>
      <c r="Q62" s="14">
        <f>IFERROR(Q42+Q43+Q44+Q46+Q47+Q48+Q49+Q50+Q51+Q52+Q53+Q54+Q55+Q56+Q57+Q58+Q59+Q60, "NA")</f>
        <v>241375.77</v>
      </c>
      <c r="R62" s="15">
        <f>IFERROR(Q62/Q444, "NA")</f>
        <v>0.1816162599979009</v>
      </c>
      <c r="S62" s="2"/>
      <c r="T62" s="14">
        <f>IFERROR(T42+T43+T44+T46+T47+T48+T49+T50+T51+T52+T53+T54+T55+T56+T57+T58+T59+T60, "NA")</f>
        <v>283012.61</v>
      </c>
      <c r="U62" s="15">
        <f>IFERROR(T62/T444, "NA")</f>
        <v>0.19899999714521557</v>
      </c>
      <c r="V62" s="2"/>
      <c r="W62" s="14">
        <f t="shared" si="14"/>
        <v>-41636.839999999997</v>
      </c>
      <c r="X62" s="15">
        <f>IFERROR(W62/W444, "NA")</f>
        <v>0.44707719356379039</v>
      </c>
      <c r="Y62" s="2"/>
      <c r="Z62" s="14">
        <f>IFERROR(Z42+Z43+Z44+Z46+Z47+Z48+Z49+Z50+Z51+Z52+Z53+Z54+Z55+Z56+Z57+Z58+Z59+Z60, "NA")</f>
        <v>212962.09000000003</v>
      </c>
      <c r="AA62" s="15">
        <f>IFERROR(Z62/Z444, "NA")</f>
        <v>0.17012062221390375</v>
      </c>
      <c r="AB62" s="2"/>
      <c r="AC62" s="14">
        <f t="shared" si="15"/>
        <v>28413.679999999964</v>
      </c>
      <c r="AD62" s="15">
        <f>IFERROR(AC62/AC444, "NA")</f>
        <v>0.36799193086947463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4839.97</v>
      </c>
      <c r="C65" s="8">
        <f>IFERROR(B65/B444, "NA")</f>
        <v>4.578951451460922E-2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4839.97</v>
      </c>
      <c r="I65" s="8">
        <f>IFERROR(H65/H444, "NA")</f>
        <v>4.3337840257880114</v>
      </c>
      <c r="J65" s="9"/>
      <c r="K65" s="7">
        <v>0</v>
      </c>
      <c r="L65" s="8">
        <f>IFERROR(K65/K444, "NA")</f>
        <v>0</v>
      </c>
      <c r="M65" s="9"/>
      <c r="N65" s="10">
        <f t="shared" si="17"/>
        <v>4839.97</v>
      </c>
      <c r="O65" s="8">
        <f>IFERROR(N65/N444, "NA")</f>
        <v>0.49323027066688468</v>
      </c>
      <c r="P65" s="9"/>
      <c r="Q65" s="7">
        <v>28261.06</v>
      </c>
      <c r="R65" s="8">
        <f>IFERROR(Q65/Q444, "NA")</f>
        <v>2.1264222257173025E-2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28261.06</v>
      </c>
      <c r="X65" s="8">
        <f>IFERROR(W65/W444, "NA")</f>
        <v>-0.30345423408543726</v>
      </c>
      <c r="Y65" s="9"/>
      <c r="Z65" s="7">
        <v>2104.2800000000002</v>
      </c>
      <c r="AA65" s="8">
        <f>IFERROR(Z65/Z444, "NA")</f>
        <v>1.6809631372056567E-3</v>
      </c>
      <c r="AB65" s="9"/>
      <c r="AC65" s="10">
        <f t="shared" si="19"/>
        <v>26156.780000000002</v>
      </c>
      <c r="AD65" s="8">
        <f>IFERROR(AC65/AC444, "NA")</f>
        <v>0.33876231369988224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11.85</v>
      </c>
      <c r="R66" s="8">
        <f>IFERROR(Q66/Q444, "NA")</f>
        <v>8.9161918819570235E-6</v>
      </c>
      <c r="S66" s="9"/>
      <c r="T66" s="7">
        <v>0</v>
      </c>
      <c r="U66" s="8">
        <f>IFERROR(T66/T444, "NA")</f>
        <v>0</v>
      </c>
      <c r="V66" s="9"/>
      <c r="W66" s="10">
        <f t="shared" si="18"/>
        <v>11.85</v>
      </c>
      <c r="X66" s="8">
        <f>IFERROR(W66/W444, "NA")</f>
        <v>-1.2723983721461371E-4</v>
      </c>
      <c r="Y66" s="9"/>
      <c r="Z66" s="7">
        <v>12322.44</v>
      </c>
      <c r="AA66" s="8">
        <f>IFERROR(Z66/Z444, "NA")</f>
        <v>9.8435414490602342E-3</v>
      </c>
      <c r="AB66" s="9"/>
      <c r="AC66" s="10">
        <f t="shared" si="19"/>
        <v>-12310.59</v>
      </c>
      <c r="AD66" s="8">
        <f>IFERROR(AC66/AC444, "NA")</f>
        <v>-0.15943720715663903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4839.97</v>
      </c>
      <c r="C73" s="15">
        <f>IFERROR(B73/B444, "NA")</f>
        <v>4.578951451460922E-2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4839.97</v>
      </c>
      <c r="I73" s="15">
        <f>IFERROR(H73/H444, "NA")</f>
        <v>4.3337840257880114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4839.97</v>
      </c>
      <c r="O73" s="15">
        <f>IFERROR(N73/N444, "NA")</f>
        <v>0.49323027066688468</v>
      </c>
      <c r="P73" s="2"/>
      <c r="Q73" s="14">
        <f>IFERROR(Q64+Q65+Q66+Q67+Q68+Q69+Q70+Q71+Q72, "NA")</f>
        <v>28272.91</v>
      </c>
      <c r="R73" s="15">
        <f>IFERROR(Q73/Q444, "NA")</f>
        <v>2.1273138449054981E-2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28272.91</v>
      </c>
      <c r="X73" s="15">
        <f>IFERROR(W73/W444, "NA")</f>
        <v>-0.30358147392265183</v>
      </c>
      <c r="Y73" s="2"/>
      <c r="Z73" s="14">
        <f>IFERROR(Z64+Z65+Z66+Z67+Z68+Z69+Z70+Z71+Z72, "NA")</f>
        <v>14426.720000000001</v>
      </c>
      <c r="AA73" s="15">
        <f>IFERROR(Z73/Z444, "NA")</f>
        <v>1.1524504586265891E-2</v>
      </c>
      <c r="AB73" s="2"/>
      <c r="AC73" s="14">
        <f t="shared" si="19"/>
        <v>13846.189999999999</v>
      </c>
      <c r="AD73" s="15">
        <f>IFERROR(AC73/AC444, "NA")</f>
        <v>0.17932510654324316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1359.59</v>
      </c>
      <c r="F75" s="8">
        <f>IFERROR(E75/E444, "NA")</f>
        <v>1.3000030597531543E-2</v>
      </c>
      <c r="G75" s="9"/>
      <c r="H75" s="10">
        <f t="shared" ref="H75:H92" si="20">IFERROR(B75-E75, "NA")</f>
        <v>-1359.59</v>
      </c>
      <c r="I75" s="8">
        <f>IFERROR(H75/H444, "NA")</f>
        <v>-1.2173979226361158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18488.27</v>
      </c>
      <c r="U75" s="8">
        <f>IFERROR(T75/T444, "NA")</f>
        <v>1.3000006173647086E-2</v>
      </c>
      <c r="V75" s="9"/>
      <c r="W75" s="10">
        <f t="shared" ref="W75:W92" si="22">IFERROR(Q75-T75, "NA")</f>
        <v>-18488.27</v>
      </c>
      <c r="X75" s="8">
        <f>IFERROR(W75/W444, "NA")</f>
        <v>0.19851852026833977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272.02</v>
      </c>
      <c r="C77" s="8">
        <f>IFERROR(B77/B444, "NA")</f>
        <v>2.5735001948904638E-3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272.02</v>
      </c>
      <c r="I77" s="8">
        <f>IFERROR(H77/H444, "NA")</f>
        <v>0.24357091690544666</v>
      </c>
      <c r="J77" s="9"/>
      <c r="K77" s="7">
        <v>333.83</v>
      </c>
      <c r="L77" s="8">
        <f>IFERROR(K77/K444, "NA")</f>
        <v>3.4814720568665811E-3</v>
      </c>
      <c r="M77" s="9"/>
      <c r="N77" s="10">
        <f t="shared" si="21"/>
        <v>-61.81</v>
      </c>
      <c r="O77" s="8">
        <f>IFERROR(N77/N444, "NA")</f>
        <v>-6.2989157019403309E-3</v>
      </c>
      <c r="P77" s="9"/>
      <c r="Q77" s="7">
        <v>3094.05</v>
      </c>
      <c r="R77" s="8">
        <f>IFERROR(Q77/Q444, "NA")</f>
        <v>2.328028986697817E-3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3094.05</v>
      </c>
      <c r="X77" s="8">
        <f>IFERROR(W77/W444, "NA")</f>
        <v>-3.3222482559820722E-2</v>
      </c>
      <c r="Y77" s="9"/>
      <c r="Z77" s="7">
        <v>1379.06</v>
      </c>
      <c r="AA77" s="8">
        <f>IFERROR(Z77/Z444, "NA")</f>
        <v>1.1016352500593232E-3</v>
      </c>
      <c r="AB77" s="9"/>
      <c r="AC77" s="10">
        <f t="shared" si="23"/>
        <v>1714.9900000000002</v>
      </c>
      <c r="AD77" s="8">
        <f>IFERROR(AC77/AC444, "NA")</f>
        <v>2.2211219438025669E-2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5.1100000000000003</v>
      </c>
      <c r="R79" s="8">
        <f>IFERROR(Q79/Q444, "NA")</f>
        <v>3.8448726174515095E-6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-5.4868824317862962E-5</v>
      </c>
      <c r="Y79" s="9"/>
      <c r="Z79" s="7">
        <v>17.940000000000001</v>
      </c>
      <c r="AA79" s="8">
        <f>IFERROR(Z79/Z444, "NA")</f>
        <v>1.4331019960019332E-5</v>
      </c>
      <c r="AB79" s="9"/>
      <c r="AC79" s="10">
        <f t="shared" si="23"/>
        <v>-12.830000000000002</v>
      </c>
      <c r="AD79" s="8">
        <f>IFERROR(AC79/AC444, "NA")</f>
        <v>-1.6616420235095793E-4</v>
      </c>
    </row>
    <row r="80" spans="1:30" ht="16.5" customHeight="1" x14ac:dyDescent="0.45">
      <c r="A80" s="12" t="s">
        <v>76</v>
      </c>
      <c r="B80" s="7">
        <v>1347.22</v>
      </c>
      <c r="C80" s="8">
        <f>IFERROR(B80/B444, "NA")</f>
        <v>1.2745647130947472E-2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1347.22</v>
      </c>
      <c r="I80" s="8">
        <f>IFERROR(H80/H444, "NA")</f>
        <v>1.206321633237835</v>
      </c>
      <c r="J80" s="9"/>
      <c r="K80" s="7">
        <v>638.19000000000005</v>
      </c>
      <c r="L80" s="8">
        <f>IFERROR(K80/K444, "NA")</f>
        <v>6.6556051043096297E-3</v>
      </c>
      <c r="M80" s="9"/>
      <c r="N80" s="10">
        <f t="shared" si="21"/>
        <v>709.03</v>
      </c>
      <c r="O80" s="8">
        <f>IFERROR(N80/N444, "NA")</f>
        <v>7.2255625305723215E-2</v>
      </c>
      <c r="P80" s="9"/>
      <c r="Q80" s="7">
        <v>15165.05</v>
      </c>
      <c r="R80" s="8">
        <f>IFERROR(Q80/Q444, "NA")</f>
        <v>1.1410505966200199E-2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15165.05</v>
      </c>
      <c r="X80" s="8">
        <f>IFERROR(W80/W444, "NA")</f>
        <v>-0.16283531589463945</v>
      </c>
      <c r="Y80" s="9"/>
      <c r="Z80" s="7">
        <v>16390.12</v>
      </c>
      <c r="AA80" s="8">
        <f>IFERROR(Z80/Z444, "NA")</f>
        <v>1.3092928476427649E-2</v>
      </c>
      <c r="AB80" s="9"/>
      <c r="AC80" s="10">
        <f t="shared" si="23"/>
        <v>-1225.0699999999997</v>
      </c>
      <c r="AD80" s="8">
        <f>IFERROR(AC80/AC444, "NA")</f>
        <v>-1.5866155835860322E-2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1619.24</v>
      </c>
      <c r="C88" s="15">
        <f>IFERROR(B88/B444, "NA")</f>
        <v>1.5319147325837935E-2</v>
      </c>
      <c r="D88" s="2"/>
      <c r="E88" s="14">
        <f>IFERROR(E75+E76+E77+E78+E79+E80+E81+E82+E83+E84+E85+E86+E87, "NA")</f>
        <v>1359.59</v>
      </c>
      <c r="F88" s="15">
        <f>IFERROR(E88/E444, "NA")</f>
        <v>1.3000030597531543E-2</v>
      </c>
      <c r="G88" s="2"/>
      <c r="H88" s="14">
        <f t="shared" si="20"/>
        <v>259.65000000000009</v>
      </c>
      <c r="I88" s="15">
        <f>IFERROR(H88/H444, "NA")</f>
        <v>0.23249462750716582</v>
      </c>
      <c r="J88" s="2"/>
      <c r="K88" s="14">
        <f>IFERROR(K75+K76+K77+K78+K79+K80+K81+K82+K83+K84+K85+K86+K87, "NA")</f>
        <v>972.02</v>
      </c>
      <c r="L88" s="15">
        <f>IFERROR(K88/K444, "NA")</f>
        <v>1.0137077161176209E-2</v>
      </c>
      <c r="M88" s="2"/>
      <c r="N88" s="14">
        <f t="shared" si="21"/>
        <v>647.22</v>
      </c>
      <c r="O88" s="15">
        <f>IFERROR(N88/N444, "NA")</f>
        <v>6.5956709603782901E-2</v>
      </c>
      <c r="P88" s="2"/>
      <c r="Q88" s="14">
        <f>IFERROR(Q75+Q76+Q77+Q78+Q79+Q80+Q81+Q82+Q83+Q84+Q85+Q86+Q87, "NA")</f>
        <v>18264.21</v>
      </c>
      <c r="R88" s="15">
        <f>IFERROR(Q88/Q444, "NA")</f>
        <v>1.3742379825515466E-2</v>
      </c>
      <c r="S88" s="2"/>
      <c r="T88" s="14">
        <f>IFERROR(T75+T76+T77+T78+T79+T80+T81+T82+T83+T84+T85+T86+T87, "NA")</f>
        <v>18488.27</v>
      </c>
      <c r="U88" s="15">
        <f>IFERROR(T88/T444, "NA")</f>
        <v>1.3000006173647086E-2</v>
      </c>
      <c r="V88" s="2"/>
      <c r="W88" s="14">
        <f t="shared" si="22"/>
        <v>-224.06000000000131</v>
      </c>
      <c r="X88" s="15">
        <f>IFERROR(W88/W444, "NA")</f>
        <v>2.4058529895617312E-3</v>
      </c>
      <c r="Y88" s="2"/>
      <c r="Z88" s="14">
        <f>IFERROR(Z75+Z76+Z77+Z78+Z79+Z80+Z81+Z82+Z83+Z84+Z85+Z86+Z87, "NA")</f>
        <v>17787.12</v>
      </c>
      <c r="AA88" s="15">
        <f>IFERROR(Z88/Z444, "NA")</f>
        <v>1.4208894746446991E-2</v>
      </c>
      <c r="AB88" s="2"/>
      <c r="AC88" s="14">
        <f t="shared" si="23"/>
        <v>477.09000000000015</v>
      </c>
      <c r="AD88" s="15">
        <f>IFERROR(AC88/AC444, "NA")</f>
        <v>6.1788993998143828E-3</v>
      </c>
    </row>
    <row r="89" spans="1:30" ht="16.5" customHeight="1" x14ac:dyDescent="0.45">
      <c r="A89" s="6" t="s">
        <v>85</v>
      </c>
      <c r="B89" s="7">
        <v>-12.25</v>
      </c>
      <c r="C89" s="8">
        <f>IFERROR(B89/B444, "NA")</f>
        <v>-1.1589360115950366E-4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-12.25</v>
      </c>
      <c r="I89" s="8">
        <f>IFERROR(H89/H444, "NA")</f>
        <v>-1.0968839541547393E-2</v>
      </c>
      <c r="J89" s="9"/>
      <c r="K89" s="7">
        <v>-75.88</v>
      </c>
      <c r="L89" s="8">
        <f>IFERROR(K89/K444, "NA")</f>
        <v>-7.9134319766059418E-4</v>
      </c>
      <c r="M89" s="9"/>
      <c r="N89" s="10">
        <f t="shared" si="21"/>
        <v>63.629999999999995</v>
      </c>
      <c r="O89" s="8">
        <f>IFERROR(N89/N444, "NA")</f>
        <v>6.4843877384640541E-3</v>
      </c>
      <c r="P89" s="9"/>
      <c r="Q89" s="7">
        <v>109.4</v>
      </c>
      <c r="R89" s="8">
        <f>IFERROR(Q89/Q444, "NA")</f>
        <v>8.2314885391231927E-5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109.4</v>
      </c>
      <c r="X89" s="8">
        <f>IFERROR(W89/W444, "NA")</f>
        <v>-1.1746867671965182E-3</v>
      </c>
      <c r="Y89" s="9"/>
      <c r="Z89" s="7">
        <v>1171.01</v>
      </c>
      <c r="AA89" s="8">
        <f>IFERROR(Z89/Z444, "NA")</f>
        <v>9.3543855537247698E-4</v>
      </c>
      <c r="AB89" s="9"/>
      <c r="AC89" s="10">
        <f t="shared" si="23"/>
        <v>-1061.6099999999999</v>
      </c>
      <c r="AD89" s="8">
        <f>IFERROR(AC89/AC444, "NA")</f>
        <v>-1.3749148780810632E-2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-3660.43</v>
      </c>
      <c r="F94" s="8">
        <f>IFERROR(E94/E444, "NA")</f>
        <v>-3.5000038246914424E-2</v>
      </c>
      <c r="G94" s="9"/>
      <c r="H94" s="10">
        <f t="shared" ref="H94:H124" si="24">IFERROR(B94-E94, "NA")</f>
        <v>3660.43</v>
      </c>
      <c r="I94" s="8">
        <f>IFERROR(H94/H444, "NA")</f>
        <v>3.2776056590258218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-49776.08</v>
      </c>
      <c r="U94" s="8">
        <f>IFERROR(T94/T444, "NA")</f>
        <v>-3.4999994445123923E-2</v>
      </c>
      <c r="V94" s="9"/>
      <c r="W94" s="10">
        <f t="shared" ref="W94:W124" si="26">IFERROR(Q94-T94, "NA")</f>
        <v>49776.08</v>
      </c>
      <c r="X94" s="8">
        <f>IFERROR(W94/W444, "NA")</f>
        <v>-0.53447260053853074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-1347.45</v>
      </c>
      <c r="C96" s="8">
        <f>IFERROR(B96/B444, "NA")</f>
        <v>-1.274782309243863E-2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-1347.45</v>
      </c>
      <c r="I96" s="8">
        <f>IFERROR(H96/H444, "NA")</f>
        <v>-1.2065275787965741</v>
      </c>
      <c r="J96" s="9"/>
      <c r="K96" s="7">
        <v>-1252.3499999999999</v>
      </c>
      <c r="L96" s="8">
        <f>IFERROR(K96/K444, "NA")</f>
        <v>-1.306060429085721E-2</v>
      </c>
      <c r="M96" s="9"/>
      <c r="N96" s="10">
        <f t="shared" si="25"/>
        <v>-95.100000000000136</v>
      </c>
      <c r="O96" s="8">
        <f>IFERROR(N96/N444, "NA")</f>
        <v>-9.6914234469264882E-3</v>
      </c>
      <c r="P96" s="9"/>
      <c r="Q96" s="7">
        <v>-19779.98</v>
      </c>
      <c r="R96" s="8">
        <f>IFERROR(Q96/Q444, "NA")</f>
        <v>-1.4882877392512428E-2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-19779.98</v>
      </c>
      <c r="X96" s="8">
        <f>IFERROR(W96/W444, "NA")</f>
        <v>0.21238830677707299</v>
      </c>
      <c r="Y96" s="9"/>
      <c r="Z96" s="7">
        <v>-2773.46</v>
      </c>
      <c r="AA96" s="8">
        <f>IFERROR(Z96/Z444, "NA")</f>
        <v>-2.21552456066417E-3</v>
      </c>
      <c r="AB96" s="9"/>
      <c r="AC96" s="10">
        <f t="shared" si="27"/>
        <v>-17006.52</v>
      </c>
      <c r="AD96" s="8">
        <f>IFERROR(AC96/AC444, "NA")</f>
        <v>-0.2202552479006713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-4010.22</v>
      </c>
      <c r="C98" s="8">
        <f>IFERROR(B98/B444, "NA")</f>
        <v>-3.7939496917703243E-2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-4010.22</v>
      </c>
      <c r="I98" s="8">
        <f>IFERROR(H98/H444, "NA")</f>
        <v>-3.5908130372493208</v>
      </c>
      <c r="J98" s="9"/>
      <c r="K98" s="7">
        <v>-3689.8</v>
      </c>
      <c r="L98" s="8">
        <f>IFERROR(K98/K444, "NA")</f>
        <v>-3.8480470884660792E-2</v>
      </c>
      <c r="M98" s="9"/>
      <c r="N98" s="10">
        <f t="shared" si="25"/>
        <v>-320.41999999999962</v>
      </c>
      <c r="O98" s="8">
        <f>IFERROR(N98/N444, "NA")</f>
        <v>-3.2653269199413013E-2</v>
      </c>
      <c r="P98" s="9"/>
      <c r="Q98" s="7">
        <v>-31179.67</v>
      </c>
      <c r="R98" s="8">
        <f>IFERROR(Q98/Q444, "NA")</f>
        <v>-2.3460246458742527E-2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-31179.67</v>
      </c>
      <c r="X98" s="8">
        <f>IFERROR(W98/W444, "NA")</f>
        <v>0.33479292280214129</v>
      </c>
      <c r="Y98" s="9"/>
      <c r="Z98" s="7">
        <v>-28445.34</v>
      </c>
      <c r="AA98" s="8">
        <f>IFERROR(Z98/Z444, "NA")</f>
        <v>-2.2723006427510382E-2</v>
      </c>
      <c r="AB98" s="9"/>
      <c r="AC98" s="10">
        <f t="shared" si="27"/>
        <v>-2734.3299999999981</v>
      </c>
      <c r="AD98" s="8">
        <f>IFERROR(AC98/AC444, "NA")</f>
        <v>-3.5412919985525676E-2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0</v>
      </c>
      <c r="C100" s="8">
        <f>IFERROR(B100/B444, "NA")</f>
        <v>0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0</v>
      </c>
      <c r="I100" s="8">
        <f>IFERROR(H100/H444, "NA")</f>
        <v>0</v>
      </c>
      <c r="J100" s="9"/>
      <c r="K100" s="7">
        <v>-71.08</v>
      </c>
      <c r="L100" s="8">
        <f>IFERROR(K100/K444, "NA")</f>
        <v>-7.4128458737104691E-4</v>
      </c>
      <c r="M100" s="9"/>
      <c r="N100" s="10">
        <f t="shared" si="25"/>
        <v>71.08</v>
      </c>
      <c r="O100" s="8">
        <f>IFERROR(N100/N444, "NA")</f>
        <v>7.243600195662816E-3</v>
      </c>
      <c r="P100" s="9"/>
      <c r="Q100" s="7">
        <v>-1605.39</v>
      </c>
      <c r="R100" s="8">
        <f>IFERROR(Q100/Q444, "NA")</f>
        <v>-1.2079295599472563E-3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-1605.39</v>
      </c>
      <c r="X100" s="8">
        <f>IFERROR(W100/W444, "NA")</f>
        <v>1.7237937743963604E-2</v>
      </c>
      <c r="Y100" s="9"/>
      <c r="Z100" s="7">
        <v>-4858.34</v>
      </c>
      <c r="AA100" s="8">
        <f>IFERROR(Z100/Z444, "NA")</f>
        <v>-3.8809903853155138E-3</v>
      </c>
      <c r="AB100" s="9"/>
      <c r="AC100" s="10">
        <f t="shared" si="27"/>
        <v>3252.95</v>
      </c>
      <c r="AD100" s="8">
        <f>IFERROR(AC100/AC444, "NA")</f>
        <v>4.2129683712981175E-2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-453.66</v>
      </c>
      <c r="C102" s="8">
        <f>IFERROR(B102/B444, "NA")</f>
        <v>-4.2919421307771781E-3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-453.66</v>
      </c>
      <c r="I102" s="8">
        <f>IFERROR(H102/H444, "NA")</f>
        <v>-0.40621418338109311</v>
      </c>
      <c r="J102" s="9"/>
      <c r="K102" s="7">
        <v>-995.95</v>
      </c>
      <c r="L102" s="8">
        <f>IFERROR(K102/K444, "NA")</f>
        <v>-1.0386640191223892E-2</v>
      </c>
      <c r="M102" s="9"/>
      <c r="N102" s="10">
        <f t="shared" si="25"/>
        <v>542.29</v>
      </c>
      <c r="O102" s="8">
        <f>IFERROR(N102/N444, "NA")</f>
        <v>5.5263533344203551E-2</v>
      </c>
      <c r="P102" s="9"/>
      <c r="Q102" s="7">
        <v>-14940.52</v>
      </c>
      <c r="R102" s="8">
        <f>IFERROR(Q102/Q444, "NA")</f>
        <v>-1.124156482162165E-2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-14940.52</v>
      </c>
      <c r="X102" s="8">
        <f>IFERROR(W102/W444, "NA")</f>
        <v>0.1604244162617452</v>
      </c>
      <c r="Y102" s="9"/>
      <c r="Z102" s="7">
        <v>-5652.88</v>
      </c>
      <c r="AA102" s="8">
        <f>IFERROR(Z102/Z444, "NA")</f>
        <v>-4.515693205774475E-3</v>
      </c>
      <c r="AB102" s="9"/>
      <c r="AC102" s="10">
        <f t="shared" si="27"/>
        <v>-9287.64</v>
      </c>
      <c r="AD102" s="8">
        <f>IFERROR(AC102/AC444, "NA")</f>
        <v>-0.12028630493553005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-798.76</v>
      </c>
      <c r="C104" s="8">
        <f>IFERROR(B104/B444, "NA")</f>
        <v>-7.5568304377277669E-3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-798.76</v>
      </c>
      <c r="I104" s="8">
        <f>IFERROR(H104/H444, "NA")</f>
        <v>-0.71522206303725677</v>
      </c>
      <c r="J104" s="9"/>
      <c r="K104" s="7">
        <v>-1172.21</v>
      </c>
      <c r="L104" s="8">
        <f>IFERROR(K104/K444, "NA")</f>
        <v>-1.2224834076564644E-2</v>
      </c>
      <c r="M104" s="9"/>
      <c r="N104" s="10">
        <f t="shared" si="25"/>
        <v>373.45000000000005</v>
      </c>
      <c r="O104" s="8">
        <f>IFERROR(N104/N444, "NA")</f>
        <v>3.8057435186694979E-2</v>
      </c>
      <c r="P104" s="9"/>
      <c r="Q104" s="7">
        <v>-12225.01</v>
      </c>
      <c r="R104" s="8">
        <f>IFERROR(Q104/Q444, "NA")</f>
        <v>-9.1983573771175896E-3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-12225.01</v>
      </c>
      <c r="X104" s="8">
        <f>IFERROR(W104/W444, "NA")</f>
        <v>0.1312665217170485</v>
      </c>
      <c r="Y104" s="9"/>
      <c r="Z104" s="7">
        <v>-10230.27</v>
      </c>
      <c r="AA104" s="8">
        <f>IFERROR(Z104/Z444, "NA")</f>
        <v>-8.1722521497428636E-3</v>
      </c>
      <c r="AB104" s="9"/>
      <c r="AC104" s="10">
        <f t="shared" si="27"/>
        <v>-1994.7399999999998</v>
      </c>
      <c r="AD104" s="8">
        <f>IFERROR(AC104/AC444, "NA")</f>
        <v>-2.5834324317813698E-2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-213.9</v>
      </c>
      <c r="C106" s="8">
        <f>IFERROR(B106/B444, "NA")</f>
        <v>-2.0236441867769661E-3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-213.9</v>
      </c>
      <c r="I106" s="8">
        <f>IFERROR(H106/H444, "NA")</f>
        <v>-0.19152936962750916</v>
      </c>
      <c r="J106" s="9"/>
      <c r="K106" s="7">
        <v>-215.81</v>
      </c>
      <c r="L106" s="8">
        <f>IFERROR(K106/K444, "NA")</f>
        <v>-2.2506559763723357E-3</v>
      </c>
      <c r="M106" s="9"/>
      <c r="N106" s="10">
        <f t="shared" si="25"/>
        <v>1.9099999999999966</v>
      </c>
      <c r="O106" s="8">
        <f>IFERROR(N106/N444, "NA")</f>
        <v>1.9464373063753454E-4</v>
      </c>
      <c r="P106" s="9"/>
      <c r="Q106" s="7">
        <v>-1435.14</v>
      </c>
      <c r="R106" s="8">
        <f>IFERROR(Q106/Q444, "NA")</f>
        <v>-1.0798298411368611E-3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-1435.14</v>
      </c>
      <c r="X106" s="8">
        <f>IFERROR(W106/W444, "NA")</f>
        <v>1.5409871728285294E-2</v>
      </c>
      <c r="Y106" s="9"/>
      <c r="Z106" s="7">
        <v>-2302.2199999999998</v>
      </c>
      <c r="AA106" s="8">
        <f>IFERROR(Z106/Z444, "NA")</f>
        <v>-1.839083655092291E-3</v>
      </c>
      <c r="AB106" s="9"/>
      <c r="AC106" s="10">
        <f t="shared" si="27"/>
        <v>867.0799999999997</v>
      </c>
      <c r="AD106" s="8">
        <f>IFERROR(AC106/AC444, "NA")</f>
        <v>1.1229747199880633E-2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-3.9941527201837598E-6</v>
      </c>
      <c r="AB108" s="9"/>
      <c r="AC108" s="10">
        <f t="shared" si="27"/>
        <v>5</v>
      </c>
      <c r="AD108" s="8">
        <f>IFERROR(AC108/AC444, "NA")</f>
        <v>6.4756119388526071E-5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-6823.99</v>
      </c>
      <c r="C118" s="15">
        <f>IFERROR(B118/B444, "NA")</f>
        <v>-6.4559736765423786E-2</v>
      </c>
      <c r="D118" s="2"/>
      <c r="E118" s="14">
        <f>IFERROR(E94+E95+E96+E97+E98+E99+E100+E101+E102+E103+E104+E105+E106+E107+E108+E109+E110+E111+E112+E113+E114+E115+E116+E117, "NA")</f>
        <v>-3660.43</v>
      </c>
      <c r="F118" s="15">
        <f>IFERROR(E118/E444, "NA")</f>
        <v>-3.5000038246914424E-2</v>
      </c>
      <c r="G118" s="2"/>
      <c r="H118" s="14">
        <f t="shared" si="24"/>
        <v>-3163.56</v>
      </c>
      <c r="I118" s="15">
        <f>IFERROR(H118/H444, "NA")</f>
        <v>-2.832700573065932</v>
      </c>
      <c r="J118" s="2"/>
      <c r="K118" s="14">
        <f>IFERROR(K94+K95+K96+K97+K98+K99+K100+K101+K102+K103+K104+K105+K106+K107+K108+K109+K110+K111+K112+K113+K114+K115+K116+K117, "NA")</f>
        <v>-7397.2</v>
      </c>
      <c r="L118" s="15">
        <f>IFERROR(K118/K444, "NA")</f>
        <v>-7.7144490007049912E-2</v>
      </c>
      <c r="M118" s="2"/>
      <c r="N118" s="14">
        <f t="shared" si="25"/>
        <v>573.21</v>
      </c>
      <c r="O118" s="15">
        <f>IFERROR(N118/N444, "NA")</f>
        <v>5.8414519810859357E-2</v>
      </c>
      <c r="P118" s="2"/>
      <c r="Q118" s="14">
        <f>IFERROR(Q94+Q95+Q96+Q97+Q98+Q99+Q100+Q101+Q102+Q103+Q104+Q105+Q106+Q107+Q108+Q109+Q110+Q111+Q112+Q113+Q114+Q115+Q116+Q117, "NA")</f>
        <v>-81165.709999999992</v>
      </c>
      <c r="R118" s="15">
        <f>IFERROR(Q118/Q444, "NA")</f>
        <v>-6.1070805451078305E-2</v>
      </c>
      <c r="S118" s="2"/>
      <c r="T118" s="14">
        <f>IFERROR(T94+T95+T96+T97+T98+T99+T100+T101+T102+T103+T104+T105+T106+T107+T108+T109+T110+T111+T112+T113+T114+T115+T116+T117, "NA")</f>
        <v>-49776.08</v>
      </c>
      <c r="U118" s="15">
        <f>IFERROR(T118/T444, "NA")</f>
        <v>-3.4999994445123923E-2</v>
      </c>
      <c r="V118" s="2"/>
      <c r="W118" s="14">
        <f t="shared" si="26"/>
        <v>-31389.62999999999</v>
      </c>
      <c r="X118" s="15">
        <f>IFERROR(W118/W444, "NA")</f>
        <v>0.33704737649172606</v>
      </c>
      <c r="Y118" s="2"/>
      <c r="Z118" s="14">
        <f>IFERROR(Z94+Z95+Z96+Z97+Z98+Z99+Z100+Z101+Z102+Z103+Z104+Z105+Z106+Z107+Z108+Z109+Z110+Z111+Z112+Z113+Z114+Z115+Z116+Z117, "NA")</f>
        <v>-54267.509999999995</v>
      </c>
      <c r="AA118" s="15">
        <f>IFERROR(Z118/Z444, "NA")</f>
        <v>-4.3350544536819878E-2</v>
      </c>
      <c r="AB118" s="2"/>
      <c r="AC118" s="14">
        <f t="shared" si="27"/>
        <v>-26898.199999999997</v>
      </c>
      <c r="AD118" s="15">
        <f>IFERROR(AC118/AC444, "NA")</f>
        <v>-0.34836461010729036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105700.40000000002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104583.59999999999</v>
      </c>
      <c r="F122" s="15">
        <f>IFERROR(E122/E444, "NA")</f>
        <v>0.99999999999999989</v>
      </c>
      <c r="G122" s="2"/>
      <c r="H122" s="14">
        <f t="shared" si="24"/>
        <v>1116.800000000032</v>
      </c>
      <c r="I122" s="15">
        <f>IFERROR(H122/H444, "NA")</f>
        <v>1.0000000000000391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95887.6</v>
      </c>
      <c r="L122" s="15">
        <f>IFERROR(K122/K444, "NA")</f>
        <v>1</v>
      </c>
      <c r="M122" s="2"/>
      <c r="N122" s="14">
        <f t="shared" si="25"/>
        <v>9812.8000000000175</v>
      </c>
      <c r="O122" s="15">
        <f>IFERROR(N122/N444, "NA")</f>
        <v>1.0000000000000029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1329042.7300000007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1422173.94</v>
      </c>
      <c r="U122" s="15">
        <f>IFERROR(T122/T444, "NA")</f>
        <v>1</v>
      </c>
      <c r="V122" s="2"/>
      <c r="W122" s="14">
        <f t="shared" si="26"/>
        <v>-93131.209999999264</v>
      </c>
      <c r="X122" s="15">
        <f>IFERROR(W122/W444, "NA")</f>
        <v>0.99999999999999245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1251829.9500000002</v>
      </c>
      <c r="AA122" s="15">
        <f>IFERROR(Z122/Z444, "NA")</f>
        <v>1.0000000000000002</v>
      </c>
      <c r="AB122" s="2"/>
      <c r="AC122" s="14">
        <f t="shared" si="27"/>
        <v>77212.780000000494</v>
      </c>
      <c r="AD122" s="15">
        <f>IFERROR(AC122/AC444, "NA")</f>
        <v>1.000000000000006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105700.40000000002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104583.59999999999</v>
      </c>
      <c r="F124" s="15">
        <f>IFERROR(E124/E444, "NA")</f>
        <v>0.99999999999999989</v>
      </c>
      <c r="G124" s="2"/>
      <c r="H124" s="14">
        <f t="shared" si="24"/>
        <v>1116.800000000032</v>
      </c>
      <c r="I124" s="15">
        <f>IFERROR(H124/H444, "NA")</f>
        <v>1.0000000000000391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95887.6</v>
      </c>
      <c r="L124" s="15">
        <f>IFERROR(K124/K444, "NA")</f>
        <v>1</v>
      </c>
      <c r="M124" s="2"/>
      <c r="N124" s="14">
        <f t="shared" si="25"/>
        <v>9812.8000000000175</v>
      </c>
      <c r="O124" s="15">
        <f>IFERROR(N124/N444, "NA")</f>
        <v>1.0000000000000029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1329042.7300000007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1422173.94</v>
      </c>
      <c r="U124" s="15">
        <f>IFERROR(T124/T444, "NA")</f>
        <v>1</v>
      </c>
      <c r="V124" s="2"/>
      <c r="W124" s="14">
        <f t="shared" si="26"/>
        <v>-93131.209999999264</v>
      </c>
      <c r="X124" s="15">
        <f>IFERROR(W124/W444, "NA")</f>
        <v>0.99999999999999245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1251829.9500000002</v>
      </c>
      <c r="AA124" s="15">
        <f>IFERROR(Z124/Z444, "NA")</f>
        <v>1.0000000000000002</v>
      </c>
      <c r="AB124" s="2"/>
      <c r="AC124" s="14">
        <f t="shared" si="27"/>
        <v>77212.780000000494</v>
      </c>
      <c r="AD124" s="15">
        <f>IFERROR(AC124/AC444, "NA")</f>
        <v>1.000000000000006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23217.56</v>
      </c>
      <c r="F129" s="8">
        <f>IFERROR(E129/E444, "NA")</f>
        <v>0.22200000764938288</v>
      </c>
      <c r="G129" s="9"/>
      <c r="H129" s="10">
        <f t="shared" ref="H129:H141" si="28">IFERROR(-(B129-E129), "NA")</f>
        <v>23217.56</v>
      </c>
      <c r="I129" s="8">
        <f>IFERROR(H129/H444, "NA")</f>
        <v>20.789362464183601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327338.02</v>
      </c>
      <c r="U129" s="8">
        <f>IFERROR(T129/T444, "NA")</f>
        <v>0.23016735913470615</v>
      </c>
      <c r="V129" s="9"/>
      <c r="W129" s="10">
        <f t="shared" ref="W129:W141" si="30">IFERROR(-(Q129-T129), "NA")</f>
        <v>327338.02</v>
      </c>
      <c r="X129" s="8">
        <f>IFERROR(W129/W444, "NA")</f>
        <v>-3.5148047577176347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5578.05</v>
      </c>
      <c r="C130" s="8">
        <f>IFERROR(B130/B444, "NA")</f>
        <v>5.2772269546756685E-2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-5578.05</v>
      </c>
      <c r="I130" s="8">
        <f>IFERROR(H130/H444, "NA")</f>
        <v>-4.9946722779370152</v>
      </c>
      <c r="J130" s="9"/>
      <c r="K130" s="7">
        <v>5626.05</v>
      </c>
      <c r="L130" s="8">
        <f>IFERROR(K130/K444, "NA")</f>
        <v>5.8673384254064133E-2</v>
      </c>
      <c r="M130" s="9"/>
      <c r="N130" s="10">
        <f t="shared" si="29"/>
        <v>48</v>
      </c>
      <c r="O130" s="8">
        <f>IFERROR(N130/N444, "NA")</f>
        <v>4.8915701940322898E-3</v>
      </c>
      <c r="P130" s="9"/>
      <c r="Q130" s="7">
        <v>71542.03</v>
      </c>
      <c r="R130" s="8">
        <f>IFERROR(Q130/Q444, "NA")</f>
        <v>5.3829744059470531E-2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-71542.03</v>
      </c>
      <c r="X130" s="8">
        <f>IFERROR(W130/W444, "NA")</f>
        <v>0.76818533765426245</v>
      </c>
      <c r="Y130" s="9"/>
      <c r="Z130" s="7">
        <v>79370.7</v>
      </c>
      <c r="AA130" s="8">
        <f>IFERROR(Z130/Z444, "NA")</f>
        <v>6.3403739461577832E-2</v>
      </c>
      <c r="AB130" s="9"/>
      <c r="AC130" s="10">
        <f t="shared" si="31"/>
        <v>7828.6699999999983</v>
      </c>
      <c r="AD130" s="8">
        <f>IFERROR(AC130/AC444, "NA")</f>
        <v>0.10139085783467446</v>
      </c>
    </row>
    <row r="131" spans="1:30" ht="16.5" customHeight="1" x14ac:dyDescent="0.45">
      <c r="A131" s="12" t="s">
        <v>123</v>
      </c>
      <c r="B131" s="7">
        <v>3499.23</v>
      </c>
      <c r="C131" s="8">
        <f>IFERROR(B131/B444, "NA")</f>
        <v>3.310517273349959E-2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-3499.23</v>
      </c>
      <c r="I131" s="8">
        <f>IFERROR(H131/H444, "NA")</f>
        <v>-3.1332646848137862</v>
      </c>
      <c r="J131" s="9"/>
      <c r="K131" s="7">
        <v>3353.91</v>
      </c>
      <c r="L131" s="8">
        <f>IFERROR(K131/K444, "NA")</f>
        <v>3.4977515340878278E-2</v>
      </c>
      <c r="M131" s="9"/>
      <c r="N131" s="10">
        <f t="shared" si="29"/>
        <v>-145.32000000000016</v>
      </c>
      <c r="O131" s="8">
        <f>IFERROR(N131/N444, "NA")</f>
        <v>-1.4809228762432776E-2</v>
      </c>
      <c r="P131" s="9"/>
      <c r="Q131" s="7">
        <v>41769.17</v>
      </c>
      <c r="R131" s="8">
        <f>IFERROR(Q131/Q444, "NA")</f>
        <v>3.1428011347686316E-2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-41769.17</v>
      </c>
      <c r="X131" s="8">
        <f>IFERROR(W131/W444, "NA")</f>
        <v>0.448498092100382</v>
      </c>
      <c r="Y131" s="9"/>
      <c r="Z131" s="7">
        <v>43194.66</v>
      </c>
      <c r="AA131" s="8">
        <f>IFERROR(Z131/Z444, "NA")</f>
        <v>3.4505213747282534E-2</v>
      </c>
      <c r="AB131" s="9"/>
      <c r="AC131" s="10">
        <f t="shared" si="31"/>
        <v>1425.4900000000052</v>
      </c>
      <c r="AD131" s="8">
        <f>IFERROR(AC131/AC444, "NA")</f>
        <v>1.8461840125430073E-2</v>
      </c>
    </row>
    <row r="132" spans="1:30" ht="16.5" customHeight="1" x14ac:dyDescent="0.45">
      <c r="A132" s="12" t="s">
        <v>124</v>
      </c>
      <c r="B132" s="7">
        <v>2895.56</v>
      </c>
      <c r="C132" s="8">
        <f>IFERROR(B132/B444, "NA")</f>
        <v>2.7394030675380605E-2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-2895.56</v>
      </c>
      <c r="I132" s="8">
        <f>IFERROR(H132/H444, "NA")</f>
        <v>-2.5927292263610586</v>
      </c>
      <c r="J132" s="9"/>
      <c r="K132" s="7">
        <v>3920.34</v>
      </c>
      <c r="L132" s="8">
        <f>IFERROR(K132/K444, "NA")</f>
        <v>4.0884744221359175E-2</v>
      </c>
      <c r="M132" s="9"/>
      <c r="N132" s="10">
        <f t="shared" si="29"/>
        <v>1024.7800000000002</v>
      </c>
      <c r="O132" s="8">
        <f>IFERROR(N132/N444, "NA")</f>
        <v>0.1044329854883419</v>
      </c>
      <c r="P132" s="9"/>
      <c r="Q132" s="7">
        <v>58857.919999999998</v>
      </c>
      <c r="R132" s="8">
        <f>IFERROR(Q132/Q444, "NA")</f>
        <v>4.4285950083786996E-2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-58857.919999999998</v>
      </c>
      <c r="X132" s="8">
        <f>IFERROR(W132/W444, "NA")</f>
        <v>0.63198921177981071</v>
      </c>
      <c r="Y132" s="9"/>
      <c r="Z132" s="7">
        <v>46383.49</v>
      </c>
      <c r="AA132" s="8">
        <f>IFERROR(Z132/Z444, "NA")</f>
        <v>3.7052548551023246E-2</v>
      </c>
      <c r="AB132" s="9"/>
      <c r="AC132" s="10">
        <f t="shared" si="31"/>
        <v>-12474.43</v>
      </c>
      <c r="AD132" s="8">
        <f>IFERROR(AC132/AC444, "NA")</f>
        <v>-0.16155913567676225</v>
      </c>
    </row>
    <row r="133" spans="1:30" ht="16.5" customHeight="1" x14ac:dyDescent="0.45">
      <c r="A133" s="12" t="s">
        <v>125</v>
      </c>
      <c r="B133" s="7">
        <v>3249.69</v>
      </c>
      <c r="C133" s="8">
        <f>IFERROR(B133/B444, "NA")</f>
        <v>3.0744349122614485E-2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-3249.69</v>
      </c>
      <c r="I133" s="8">
        <f>IFERROR(H133/H444, "NA")</f>
        <v>-2.9098227077364203</v>
      </c>
      <c r="J133" s="9"/>
      <c r="K133" s="7">
        <v>2684.51</v>
      </c>
      <c r="L133" s="8">
        <f>IFERROR(K133/K444, "NA")</f>
        <v>2.7996424980915157E-2</v>
      </c>
      <c r="M133" s="9"/>
      <c r="N133" s="10">
        <f t="shared" si="29"/>
        <v>-565.17999999999984</v>
      </c>
      <c r="O133" s="8">
        <f>IFERROR(N133/N444, "NA")</f>
        <v>-5.7596200880482687E-2</v>
      </c>
      <c r="P133" s="9"/>
      <c r="Q133" s="7">
        <v>34434.199999999997</v>
      </c>
      <c r="R133" s="8">
        <f>IFERROR(Q133/Q444, "NA")</f>
        <v>2.5909024008580972E-2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-34434.199999999997</v>
      </c>
      <c r="X133" s="8">
        <f>IFERROR(W133/W444, "NA")</f>
        <v>0.36973856562155705</v>
      </c>
      <c r="Y133" s="9"/>
      <c r="Z133" s="7">
        <v>29222.1</v>
      </c>
      <c r="AA133" s="8">
        <f>IFERROR(Z133/Z444, "NA")</f>
        <v>2.334350604089637E-2</v>
      </c>
      <c r="AB133" s="9"/>
      <c r="AC133" s="10">
        <f t="shared" si="31"/>
        <v>-5212.0999999999985</v>
      </c>
      <c r="AD133" s="8">
        <f>IFERROR(AC133/AC444, "NA")</f>
        <v>-6.7503073972987326E-2</v>
      </c>
    </row>
    <row r="134" spans="1:30" ht="16.5" customHeight="1" x14ac:dyDescent="0.45">
      <c r="A134" s="12" t="s">
        <v>126</v>
      </c>
      <c r="B134" s="7">
        <v>1628.65</v>
      </c>
      <c r="C134" s="8">
        <f>IFERROR(B134/B444, "NA")</f>
        <v>1.5408172532932706E-2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-1628.65</v>
      </c>
      <c r="I134" s="8">
        <f>IFERROR(H134/H444, "NA")</f>
        <v>-1.4583184097421356</v>
      </c>
      <c r="J134" s="9"/>
      <c r="K134" s="7">
        <v>951.62</v>
      </c>
      <c r="L134" s="8">
        <f>IFERROR(K134/K444, "NA")</f>
        <v>9.9243280674456338E-3</v>
      </c>
      <c r="M134" s="9"/>
      <c r="N134" s="10">
        <f t="shared" si="29"/>
        <v>-677.03000000000009</v>
      </c>
      <c r="O134" s="8">
        <f>IFERROR(N134/N444, "NA")</f>
        <v>-6.8994578509701698E-2</v>
      </c>
      <c r="P134" s="9"/>
      <c r="Q134" s="7">
        <v>12699.97</v>
      </c>
      <c r="R134" s="8">
        <f>IFERROR(Q134/Q444, "NA")</f>
        <v>9.5557273768014962E-3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-12699.97</v>
      </c>
      <c r="X134" s="8">
        <f>IFERROR(W134/W444, "NA")</f>
        <v>0.13636642324307829</v>
      </c>
      <c r="Y134" s="9"/>
      <c r="Z134" s="7">
        <v>12796.84</v>
      </c>
      <c r="AA134" s="8">
        <f>IFERROR(Z134/Z444, "NA")</f>
        <v>1.0222506659151269E-2</v>
      </c>
      <c r="AB134" s="9"/>
      <c r="AC134" s="10">
        <f t="shared" si="31"/>
        <v>96.8700000000008</v>
      </c>
      <c r="AD134" s="8">
        <f>IFERROR(AC134/AC444, "NA")</f>
        <v>1.2545850570333146E-3</v>
      </c>
    </row>
    <row r="135" spans="1:30" ht="16.5" customHeight="1" x14ac:dyDescent="0.45">
      <c r="A135" s="12" t="s">
        <v>127</v>
      </c>
      <c r="B135" s="7">
        <v>821.69</v>
      </c>
      <c r="C135" s="8">
        <f>IFERROR(B135/B444, "NA")</f>
        <v>7.773764337694087E-3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-821.69</v>
      </c>
      <c r="I135" s="8">
        <f>IFERROR(H135/H444, "NA")</f>
        <v>-0.7357539398280879</v>
      </c>
      <c r="J135" s="9"/>
      <c r="K135" s="7">
        <v>664.6</v>
      </c>
      <c r="L135" s="8">
        <f>IFERROR(K135/K444, "NA")</f>
        <v>6.9310317496735756E-3</v>
      </c>
      <c r="M135" s="9"/>
      <c r="N135" s="10">
        <f t="shared" si="29"/>
        <v>-157.09000000000003</v>
      </c>
      <c r="O135" s="8">
        <f>IFERROR(N135/N444, "NA")</f>
        <v>-1.6008682537094431E-2</v>
      </c>
      <c r="P135" s="9"/>
      <c r="Q135" s="7">
        <v>9453.82</v>
      </c>
      <c r="R135" s="8">
        <f>IFERROR(Q135/Q444, "NA")</f>
        <v>7.1132551170871687E-3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-9453.82</v>
      </c>
      <c r="X135" s="8">
        <f>IFERROR(W135/W444, "NA")</f>
        <v>0.10151076100052822</v>
      </c>
      <c r="Y135" s="9"/>
      <c r="Z135" s="7">
        <v>7983.52</v>
      </c>
      <c r="AA135" s="8">
        <f>IFERROR(Z135/Z444, "NA")</f>
        <v>6.3774796249282907E-3</v>
      </c>
      <c r="AB135" s="9"/>
      <c r="AC135" s="10">
        <f t="shared" si="31"/>
        <v>-1470.2999999999993</v>
      </c>
      <c r="AD135" s="8">
        <f>IFERROR(AC135/AC444, "NA")</f>
        <v>-1.9042184467389967E-2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803.86</v>
      </c>
      <c r="L136" s="8">
        <f>IFERROR(K136/K444, "NA")</f>
        <v>8.3833571806990678E-3</v>
      </c>
      <c r="M136" s="9"/>
      <c r="N136" s="10">
        <f t="shared" si="29"/>
        <v>803.86</v>
      </c>
      <c r="O136" s="8">
        <f>IFERROR(N136/N444, "NA")</f>
        <v>8.191953367030827E-2</v>
      </c>
      <c r="P136" s="9"/>
      <c r="Q136" s="7">
        <v>4617.18</v>
      </c>
      <c r="R136" s="8">
        <f>IFERROR(Q136/Q444, "NA")</f>
        <v>3.4740643741379184E-3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-4617.18</v>
      </c>
      <c r="X136" s="8">
        <f>IFERROR(W136/W444, "NA")</f>
        <v>4.9577150345195796E-2</v>
      </c>
      <c r="Y136" s="9"/>
      <c r="Z136" s="7">
        <v>11105.83</v>
      </c>
      <c r="AA136" s="8">
        <f>IFERROR(Z136/Z444, "NA")</f>
        <v>8.8716762208796811E-3</v>
      </c>
      <c r="AB136" s="9"/>
      <c r="AC136" s="10">
        <f t="shared" si="31"/>
        <v>6488.65</v>
      </c>
      <c r="AD136" s="8">
        <f>IFERROR(AC136/AC444, "NA")</f>
        <v>8.4035958814071943E-2</v>
      </c>
    </row>
    <row r="137" spans="1:30" ht="16.5" customHeight="1" x14ac:dyDescent="0.45">
      <c r="A137" s="12" t="s">
        <v>129</v>
      </c>
      <c r="B137" s="7">
        <v>667.27</v>
      </c>
      <c r="C137" s="8">
        <f>IFERROR(B137/B444, "NA")</f>
        <v>6.3128427139348573E-3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-667.27</v>
      </c>
      <c r="I137" s="8">
        <f>IFERROR(H137/H444, "NA")</f>
        <v>-0.5974838825214962</v>
      </c>
      <c r="J137" s="9"/>
      <c r="K137" s="7">
        <v>454.01</v>
      </c>
      <c r="L137" s="8">
        <f>IFERROR(K137/K444, "NA")</f>
        <v>4.7348145119911226E-3</v>
      </c>
      <c r="M137" s="9"/>
      <c r="N137" s="10">
        <f t="shared" si="29"/>
        <v>-213.26</v>
      </c>
      <c r="O137" s="8">
        <f>IFERROR(N137/N444, "NA")</f>
        <v>-2.1732838741235962E-2</v>
      </c>
      <c r="P137" s="9"/>
      <c r="Q137" s="7">
        <v>7472.62</v>
      </c>
      <c r="R137" s="8">
        <f>IFERROR(Q137/Q444, "NA")</f>
        <v>5.6225581249746571E-3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-7472.62</v>
      </c>
      <c r="X137" s="8">
        <f>IFERROR(W137/W444, "NA")</f>
        <v>8.0237548722925461E-2</v>
      </c>
      <c r="Y137" s="9"/>
      <c r="Z137" s="7">
        <v>7557.02</v>
      </c>
      <c r="AA137" s="8">
        <f>IFERROR(Z137/Z444, "NA")</f>
        <v>6.0367783978966154E-3</v>
      </c>
      <c r="AB137" s="9"/>
      <c r="AC137" s="10">
        <f t="shared" si="31"/>
        <v>84.400000000000546</v>
      </c>
      <c r="AD137" s="8">
        <f>IFERROR(AC137/AC444, "NA")</f>
        <v>1.0930832952783271E-3</v>
      </c>
    </row>
    <row r="138" spans="1:30" ht="16.5" customHeight="1" x14ac:dyDescent="0.45">
      <c r="A138" s="12" t="s">
        <v>130</v>
      </c>
      <c r="B138" s="7">
        <v>7718.26</v>
      </c>
      <c r="C138" s="8">
        <f>IFERROR(B138/B444, "NA")</f>
        <v>7.3020158864110271E-2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-7718.26</v>
      </c>
      <c r="I138" s="8">
        <f>IFERROR(H138/H444, "NA")</f>
        <v>-6.91104942693417</v>
      </c>
      <c r="J138" s="9"/>
      <c r="K138" s="7">
        <v>5853.92</v>
      </c>
      <c r="L138" s="8">
        <f>IFERROR(K138/K444, "NA")</f>
        <v>6.1049812488788956E-2</v>
      </c>
      <c r="M138" s="9"/>
      <c r="N138" s="10">
        <f t="shared" si="29"/>
        <v>-1864.3400000000001</v>
      </c>
      <c r="O138" s="8">
        <f>IFERROR(N138/N444, "NA")</f>
        <v>-0.18999062449046167</v>
      </c>
      <c r="P138" s="9"/>
      <c r="Q138" s="7">
        <v>82301.88</v>
      </c>
      <c r="R138" s="8">
        <f>IFERROR(Q138/Q444, "NA")</f>
        <v>6.1925683909350306E-2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-82301.88</v>
      </c>
      <c r="X138" s="8">
        <f>IFERROR(W138/W444, "NA")</f>
        <v>0.88371964672208203</v>
      </c>
      <c r="Y138" s="9"/>
      <c r="Z138" s="7">
        <v>62486.21</v>
      </c>
      <c r="AA138" s="8">
        <f>IFERROR(Z138/Z444, "NA")</f>
        <v>4.9915893129094731E-2</v>
      </c>
      <c r="AB138" s="9"/>
      <c r="AC138" s="10">
        <f t="shared" si="31"/>
        <v>-19815.670000000006</v>
      </c>
      <c r="AD138" s="8">
        <f>IFERROR(AC138/AC444, "NA")</f>
        <v>-0.25663717845672696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26058.400000000001</v>
      </c>
      <c r="C141" s="15">
        <f>IFERROR(B141/B444, "NA")</f>
        <v>0.2465307605269233</v>
      </c>
      <c r="D141" s="2"/>
      <c r="E141" s="14">
        <f>IFERROR(E129+E130+E131+E132+E133+E134+E135+E136+E137+E138+E139+E140, "NA")</f>
        <v>23217.56</v>
      </c>
      <c r="F141" s="15">
        <f>IFERROR(E141/E444, "NA")</f>
        <v>0.22200000764938288</v>
      </c>
      <c r="G141" s="2"/>
      <c r="H141" s="14">
        <f t="shared" si="28"/>
        <v>-2840.84</v>
      </c>
      <c r="I141" s="15">
        <f>IFERROR(H141/H444, "NA")</f>
        <v>-2.543732091690571</v>
      </c>
      <c r="J141" s="2"/>
      <c r="K141" s="14">
        <f>IFERROR(K129+K130+K131+K132+K133+K134+K135+K136+K137+K138+K139+K140, "NA")</f>
        <v>24312.82</v>
      </c>
      <c r="L141" s="15">
        <f>IFERROR(K141/K444, "NA")</f>
        <v>0.25355541279581506</v>
      </c>
      <c r="M141" s="2"/>
      <c r="N141" s="14">
        <f t="shared" si="29"/>
        <v>-1745.5800000000017</v>
      </c>
      <c r="O141" s="15">
        <f>IFERROR(N141/N444, "NA")</f>
        <v>-0.17788806456872694</v>
      </c>
      <c r="P141" s="2"/>
      <c r="Q141" s="14">
        <f>IFERROR(Q129+Q130+Q131+Q132+Q133+Q134+Q135+Q136+Q137+Q138+Q139+Q140, "NA")</f>
        <v>323148.79000000004</v>
      </c>
      <c r="R141" s="15">
        <f>IFERROR(Q141/Q444, "NA")</f>
        <v>0.24314401840187638</v>
      </c>
      <c r="S141" s="2"/>
      <c r="T141" s="14">
        <f>IFERROR(T129+T130+T131+T132+T133+T134+T135+T136+T137+T138+T139+T140, "NA")</f>
        <v>327338.02</v>
      </c>
      <c r="U141" s="15">
        <f>IFERROR(T141/T444, "NA")</f>
        <v>0.23016735913470615</v>
      </c>
      <c r="V141" s="2"/>
      <c r="W141" s="14">
        <f t="shared" si="30"/>
        <v>4189.2299999999814</v>
      </c>
      <c r="X141" s="15">
        <f>IFERROR(W141/W444, "NA")</f>
        <v>-4.4982020527812139E-2</v>
      </c>
      <c r="Y141" s="2"/>
      <c r="Z141" s="14">
        <f>IFERROR(Z129+Z130+Z131+Z132+Z133+Z134+Z135+Z136+Z137+Z138+Z139+Z140, "NA")</f>
        <v>300100.37</v>
      </c>
      <c r="AA141" s="15">
        <f>IFERROR(Z141/Z444, "NA")</f>
        <v>0.23972934183273056</v>
      </c>
      <c r="AB141" s="2"/>
      <c r="AC141" s="14">
        <f t="shared" si="31"/>
        <v>-23048.420000000042</v>
      </c>
      <c r="AD141" s="15">
        <f>IFERROR(AC141/AC444, "NA")</f>
        <v>-0.29850524744737894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1366.38</v>
      </c>
      <c r="C144" s="8">
        <f>IFERROR(B144/B444, "NA")</f>
        <v>1.2926914183863072E-2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-1366.38</v>
      </c>
      <c r="I144" s="8">
        <f>IFERROR(H144/H444, "NA")</f>
        <v>-1.223477793696288</v>
      </c>
      <c r="J144" s="9"/>
      <c r="K144" s="7">
        <v>1278.47</v>
      </c>
      <c r="L144" s="8">
        <f>IFERROR(K144/K444, "NA")</f>
        <v>1.3333006561849499E-2</v>
      </c>
      <c r="M144" s="9"/>
      <c r="N144" s="10">
        <f t="shared" si="33"/>
        <v>-87.910000000000082</v>
      </c>
      <c r="O144" s="8">
        <f>IFERROR(N144/N444, "NA")</f>
        <v>-8.9587069949453972E-3</v>
      </c>
      <c r="P144" s="9"/>
      <c r="Q144" s="7">
        <v>17545.189999999999</v>
      </c>
      <c r="R144" s="8">
        <f>IFERROR(Q144/Q444, "NA")</f>
        <v>1.3201373894126036E-2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-17545.189999999999</v>
      </c>
      <c r="X144" s="8">
        <f>IFERROR(W144/W444, "NA")</f>
        <v>0.18839216198307748</v>
      </c>
      <c r="Y144" s="9"/>
      <c r="Z144" s="7">
        <v>12826.53</v>
      </c>
      <c r="AA144" s="8">
        <f>IFERROR(Z144/Z444, "NA")</f>
        <v>1.024622393800372E-2</v>
      </c>
      <c r="AB144" s="9"/>
      <c r="AC144" s="10">
        <f t="shared" si="35"/>
        <v>-4718.659999999998</v>
      </c>
      <c r="AD144" s="8">
        <f>IFERROR(AC144/AC444, "NA")</f>
        <v>-6.111242206277246E-2</v>
      </c>
    </row>
    <row r="145" spans="1:30" ht="16.5" customHeight="1" x14ac:dyDescent="0.45">
      <c r="A145" s="12" t="s">
        <v>136</v>
      </c>
      <c r="B145" s="7">
        <v>48.7</v>
      </c>
      <c r="C145" s="8">
        <f>IFERROR(B145/B444, "NA")</f>
        <v>4.6073619399737378E-4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-48.7</v>
      </c>
      <c r="I145" s="8">
        <f>IFERROR(H145/H444, "NA")</f>
        <v>-4.3606733524355755E-2</v>
      </c>
      <c r="J145" s="9"/>
      <c r="K145" s="7">
        <v>51.23</v>
      </c>
      <c r="L145" s="8">
        <f>IFERROR(K145/K444, "NA")</f>
        <v>5.3427137606948134E-4</v>
      </c>
      <c r="M145" s="9"/>
      <c r="N145" s="10">
        <f t="shared" si="33"/>
        <v>2.529999999999994</v>
      </c>
      <c r="O145" s="8">
        <f>IFERROR(N145/N444, "NA")</f>
        <v>2.5782651231045134E-4</v>
      </c>
      <c r="P145" s="9"/>
      <c r="Q145" s="7">
        <v>829.62</v>
      </c>
      <c r="R145" s="8">
        <f>IFERROR(Q145/Q444, "NA")</f>
        <v>6.2422372228769496E-4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-829.62</v>
      </c>
      <c r="X145" s="8">
        <f>IFERROR(W145/W444, "NA")</f>
        <v>8.9080771097036146E-3</v>
      </c>
      <c r="Y145" s="9"/>
      <c r="Z145" s="7">
        <v>773.83</v>
      </c>
      <c r="AA145" s="8">
        <f>IFERROR(Z145/Z444, "NA")</f>
        <v>6.1815903989195981E-4</v>
      </c>
      <c r="AB145" s="9"/>
      <c r="AC145" s="10">
        <f t="shared" si="35"/>
        <v>-55.789999999999964</v>
      </c>
      <c r="AD145" s="8">
        <f>IFERROR(AC145/AC444, "NA")</f>
        <v>-7.2254878013717344E-4</v>
      </c>
    </row>
    <row r="146" spans="1:30" ht="16.5" customHeight="1" x14ac:dyDescent="0.45">
      <c r="A146" s="12" t="s">
        <v>137</v>
      </c>
      <c r="B146" s="7">
        <v>0</v>
      </c>
      <c r="C146" s="8">
        <f>IFERROR(B146/B444, "NA")</f>
        <v>0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0</v>
      </c>
      <c r="I146" s="8">
        <f>IFERROR(H146/H444, "NA")</f>
        <v>0</v>
      </c>
      <c r="J146" s="9"/>
      <c r="K146" s="7">
        <v>-724.24</v>
      </c>
      <c r="L146" s="8">
        <f>IFERROR(K146/K444, "NA")</f>
        <v>-7.5530099825212018E-3</v>
      </c>
      <c r="M146" s="9"/>
      <c r="N146" s="10">
        <f t="shared" si="33"/>
        <v>-724.24</v>
      </c>
      <c r="O146" s="8">
        <f>IFERROR(N146/N444, "NA")</f>
        <v>-7.3805641610957207E-2</v>
      </c>
      <c r="P146" s="9"/>
      <c r="Q146" s="7">
        <v>934.69</v>
      </c>
      <c r="R146" s="8">
        <f>IFERROR(Q146/Q444, "NA")</f>
        <v>7.0328062364104736E-4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-934.69</v>
      </c>
      <c r="X146" s="8">
        <f>IFERROR(W146/W444, "NA")</f>
        <v>1.0036270333006523E-2</v>
      </c>
      <c r="Y146" s="9"/>
      <c r="Z146" s="7">
        <v>3305.95</v>
      </c>
      <c r="AA146" s="8">
        <f>IFERROR(Z146/Z444, "NA")</f>
        <v>2.6408938370582999E-3</v>
      </c>
      <c r="AB146" s="9"/>
      <c r="AC146" s="10">
        <f t="shared" si="35"/>
        <v>2371.2599999999998</v>
      </c>
      <c r="AD146" s="8">
        <f>IFERROR(AC146/AC444, "NA")</f>
        <v>3.0710719132247263E-2</v>
      </c>
    </row>
    <row r="147" spans="1:30" ht="16.5" customHeight="1" x14ac:dyDescent="0.45">
      <c r="A147" s="12" t="s">
        <v>138</v>
      </c>
      <c r="B147" s="7">
        <v>0.34</v>
      </c>
      <c r="C147" s="8">
        <f>IFERROR(B147/B444, "NA")</f>
        <v>3.2166387260596937E-6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-0.34</v>
      </c>
      <c r="I147" s="8">
        <f>IFERROR(H147/H444, "NA")</f>
        <v>-3.0444126074498888E-4</v>
      </c>
      <c r="J147" s="9"/>
      <c r="K147" s="7">
        <v>-29.74</v>
      </c>
      <c r="L147" s="8">
        <f>IFERROR(K147/K444, "NA")</f>
        <v>-3.1015480625232037E-4</v>
      </c>
      <c r="M147" s="9"/>
      <c r="N147" s="10">
        <f t="shared" si="33"/>
        <v>-30.08</v>
      </c>
      <c r="O147" s="8">
        <f>IFERROR(N147/N444, "NA")</f>
        <v>-3.065383988260235E-3</v>
      </c>
      <c r="P147" s="9"/>
      <c r="Q147" s="7">
        <v>160.88999999999999</v>
      </c>
      <c r="R147" s="8">
        <f>IFERROR(Q147/Q444, "NA")</f>
        <v>1.2105705585553294E-4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-160.88999999999999</v>
      </c>
      <c r="X147" s="8">
        <f>IFERROR(W147/W444, "NA")</f>
        <v>1.7275626505872741E-3</v>
      </c>
      <c r="Y147" s="9"/>
      <c r="Z147" s="7">
        <v>183.42</v>
      </c>
      <c r="AA147" s="8">
        <f>IFERROR(Z147/Z444, "NA")</f>
        <v>1.4652149838722105E-4</v>
      </c>
      <c r="AB147" s="9"/>
      <c r="AC147" s="10">
        <f t="shared" si="35"/>
        <v>22.53</v>
      </c>
      <c r="AD147" s="8">
        <f>IFERROR(AC147/AC444, "NA")</f>
        <v>2.9179107396469847E-4</v>
      </c>
    </row>
    <row r="148" spans="1:30" ht="16.5" customHeight="1" x14ac:dyDescent="0.45">
      <c r="A148" s="13" t="s">
        <v>139</v>
      </c>
      <c r="B148" s="14">
        <f>IFERROR(B143+B144+B145+B146+B147, "NA")</f>
        <v>1415.42</v>
      </c>
      <c r="C148" s="15">
        <f>IFERROR(B148/B444, "NA")</f>
        <v>1.3390867016586504E-2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-1415.42</v>
      </c>
      <c r="I148" s="15">
        <f>IFERROR(H148/H444, "NA")</f>
        <v>-1.2673889684813886</v>
      </c>
      <c r="J148" s="2"/>
      <c r="K148" s="14">
        <f>IFERROR(K143+K144+K145+K146+K147, "NA")</f>
        <v>575.72</v>
      </c>
      <c r="L148" s="15">
        <f>IFERROR(K148/K444, "NA")</f>
        <v>6.0041131491454574E-3</v>
      </c>
      <c r="M148" s="2"/>
      <c r="N148" s="14">
        <f t="shared" si="33"/>
        <v>-839.7</v>
      </c>
      <c r="O148" s="15">
        <f>IFERROR(N148/N444, "NA")</f>
        <v>-8.5571906081852375E-2</v>
      </c>
      <c r="P148" s="2"/>
      <c r="Q148" s="14">
        <f>IFERROR(Q143+Q144+Q145+Q146+Q147, "NA")</f>
        <v>19470.389999999996</v>
      </c>
      <c r="R148" s="15">
        <f>IFERROR(Q148/Q444, "NA")</f>
        <v>1.4649935295910309E-2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-19470.389999999996</v>
      </c>
      <c r="X148" s="15">
        <f>IFERROR(W148/W444, "NA")</f>
        <v>0.20906407207637487</v>
      </c>
      <c r="Y148" s="2"/>
      <c r="Z148" s="14">
        <f>IFERROR(Z143+Z144+Z145+Z146+Z147, "NA")</f>
        <v>17089.73</v>
      </c>
      <c r="AA148" s="15">
        <f>IFERROR(Z148/Z444, "NA")</f>
        <v>1.3651798313341202E-2</v>
      </c>
      <c r="AB148" s="2"/>
      <c r="AC148" s="14">
        <f t="shared" si="35"/>
        <v>-2380.6599999999962</v>
      </c>
      <c r="AD148" s="15">
        <f>IFERROR(AC148/AC444, "NA")</f>
        <v>-3.0832460636697648E-2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27473.820000000003</v>
      </c>
      <c r="C149" s="15">
        <f>IFERROR(B149/B444, "NA")</f>
        <v>0.25992162754350984</v>
      </c>
      <c r="D149" s="2"/>
      <c r="E149" s="14">
        <f>IFERROR(E127+E129+E130+E131+E132+E133+E134+E135+E136+E137+E138+E139+E140+E143+E144+E145+E146+E147, "NA")</f>
        <v>23217.56</v>
      </c>
      <c r="F149" s="15">
        <f>IFERROR(E149/E444, "NA")</f>
        <v>0.22200000764938288</v>
      </c>
      <c r="G149" s="2"/>
      <c r="H149" s="14">
        <f t="shared" si="32"/>
        <v>-4256.260000000002</v>
      </c>
      <c r="I149" s="15">
        <f>IFERROR(H149/H444, "NA")</f>
        <v>-3.8111210601719612</v>
      </c>
      <c r="J149" s="2"/>
      <c r="K149" s="14">
        <f>IFERROR(K127+K129+K130+K131+K132+K133+K134+K135+K136+K137+K138+K139+K140+K143+K144+K145+K146+K147, "NA")</f>
        <v>24888.539999999997</v>
      </c>
      <c r="L149" s="15">
        <f>IFERROR(K149/K444, "NA")</f>
        <v>0.25955952594496051</v>
      </c>
      <c r="M149" s="2"/>
      <c r="N149" s="14">
        <f t="shared" si="33"/>
        <v>-2585.2800000000061</v>
      </c>
      <c r="O149" s="15">
        <f>IFERROR(N149/N444, "NA")</f>
        <v>-0.26345997065057974</v>
      </c>
      <c r="P149" s="2"/>
      <c r="Q149" s="14">
        <f>IFERROR(Q127+Q129+Q130+Q131+Q132+Q133+Q134+Q135+Q136+Q137+Q138+Q139+Q140+Q143+Q144+Q145+Q146+Q147, "NA")</f>
        <v>342619.18000000005</v>
      </c>
      <c r="R149" s="15">
        <f>IFERROR(Q149/Q444, "NA")</f>
        <v>0.25779395369778674</v>
      </c>
      <c r="S149" s="2"/>
      <c r="T149" s="14">
        <f>IFERROR(T127+T129+T130+T131+T132+T133+T134+T135+T136+T137+T138+T139+T140+T143+T144+T145+T146+T147, "NA")</f>
        <v>327338.02</v>
      </c>
      <c r="U149" s="15">
        <f>IFERROR(T149/T444, "NA")</f>
        <v>0.23016735913470615</v>
      </c>
      <c r="V149" s="2"/>
      <c r="W149" s="14">
        <f t="shared" si="34"/>
        <v>-15281.160000000033</v>
      </c>
      <c r="X149" s="15">
        <f>IFERROR(W149/W444, "NA")</f>
        <v>0.16408205154856292</v>
      </c>
      <c r="Y149" s="2"/>
      <c r="Z149" s="14">
        <f>IFERROR(Z127+Z129+Z130+Z131+Z132+Z133+Z134+Z135+Z136+Z137+Z138+Z139+Z140+Z143+Z144+Z145+Z146+Z147, "NA")</f>
        <v>317190.10000000003</v>
      </c>
      <c r="AA149" s="15">
        <f>IFERROR(Z149/Z444, "NA")</f>
        <v>0.25338114014607177</v>
      </c>
      <c r="AB149" s="2"/>
      <c r="AC149" s="14">
        <f t="shared" si="35"/>
        <v>-25429.080000000016</v>
      </c>
      <c r="AD149" s="15">
        <f>IFERROR(AC149/AC444, "NA")</f>
        <v>-0.32933770808407631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1568.75</v>
      </c>
      <c r="F153" s="8">
        <f>IFERROR(E153/E444, "NA")</f>
        <v>1.4999961753085569E-2</v>
      </c>
      <c r="G153" s="9"/>
      <c r="H153" s="10">
        <f t="shared" ref="H153:H158" si="36">IFERROR(-(B153-E153), "NA")</f>
        <v>1568.75</v>
      </c>
      <c r="I153" s="8">
        <f>IFERROR(H153/H444, "NA")</f>
        <v>1.4046830229226508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22354.77</v>
      </c>
      <c r="U153" s="8">
        <f>IFERROR(T153/T444, "NA")</f>
        <v>1.5718731282616527E-2</v>
      </c>
      <c r="V153" s="9"/>
      <c r="W153" s="10">
        <f t="shared" ref="W153:W158" si="38">IFERROR(-(Q153-T153), "NA")</f>
        <v>22354.77</v>
      </c>
      <c r="X153" s="8">
        <f>IFERROR(W153/W444, "NA")</f>
        <v>-0.24003521483292239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3568.36</v>
      </c>
      <c r="C154" s="8">
        <f>IFERROR(B154/B444, "NA")</f>
        <v>3.3759191072124613E-2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-3568.36</v>
      </c>
      <c r="I154" s="8">
        <f>IFERROR(H154/H444, "NA")</f>
        <v>-3.1951647564470247</v>
      </c>
      <c r="J154" s="9"/>
      <c r="K154" s="7">
        <v>3336.32</v>
      </c>
      <c r="L154" s="8">
        <f>IFERROR(K154/K444, "NA")</f>
        <v>3.4794071391921373E-2</v>
      </c>
      <c r="M154" s="9"/>
      <c r="N154" s="10">
        <f t="shared" si="37"/>
        <v>-232.03999999999996</v>
      </c>
      <c r="O154" s="8">
        <f>IFERROR(N154/N444, "NA")</f>
        <v>-2.3646665579651092E-2</v>
      </c>
      <c r="P154" s="9"/>
      <c r="Q154" s="7">
        <v>45638.64</v>
      </c>
      <c r="R154" s="8">
        <f>IFERROR(Q154/Q444, "NA")</f>
        <v>3.4339482824604139E-2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-45638.64</v>
      </c>
      <c r="X154" s="8">
        <f>IFERROR(W154/W444, "NA")</f>
        <v>0.49004667715581079</v>
      </c>
      <c r="Y154" s="9"/>
      <c r="Z154" s="7">
        <v>41640.300000000003</v>
      </c>
      <c r="AA154" s="8">
        <f>IFERROR(Z154/Z444, "NA")</f>
        <v>3.3263543502853564E-2</v>
      </c>
      <c r="AB154" s="9"/>
      <c r="AC154" s="10">
        <f t="shared" si="39"/>
        <v>-3998.3399999999965</v>
      </c>
      <c r="AD154" s="8">
        <f>IFERROR(AC154/AC444, "NA")</f>
        <v>-5.178339647918382E-2</v>
      </c>
    </row>
    <row r="155" spans="1:30" ht="16.5" customHeight="1" x14ac:dyDescent="0.45">
      <c r="A155" s="12" t="s">
        <v>144</v>
      </c>
      <c r="B155" s="7">
        <v>1417.2</v>
      </c>
      <c r="C155" s="8">
        <f>IFERROR(B155/B444, "NA")</f>
        <v>1.340770706638764E-2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-1417.2</v>
      </c>
      <c r="I155" s="8">
        <f>IFERROR(H155/H444, "NA")</f>
        <v>-1.2689828080229359</v>
      </c>
      <c r="J155" s="9"/>
      <c r="K155" s="7">
        <v>746.19</v>
      </c>
      <c r="L155" s="8">
        <f>IFERROR(K155/K444, "NA")</f>
        <v>7.7819238358244449E-3</v>
      </c>
      <c r="M155" s="9"/>
      <c r="N155" s="10">
        <f t="shared" si="37"/>
        <v>-671.01</v>
      </c>
      <c r="O155" s="8">
        <f>IFERROR(N155/N444, "NA")</f>
        <v>-6.8381094081200147E-2</v>
      </c>
      <c r="P155" s="9"/>
      <c r="Q155" s="7">
        <v>13915.79</v>
      </c>
      <c r="R155" s="8">
        <f>IFERROR(Q155/Q444, "NA")</f>
        <v>1.0470536188102847E-2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-13915.79</v>
      </c>
      <c r="X155" s="8">
        <f>IFERROR(W155/W444, "NA")</f>
        <v>0.14942133791668771</v>
      </c>
      <c r="Y155" s="9"/>
      <c r="Z155" s="7">
        <v>13506.21</v>
      </c>
      <c r="AA155" s="8">
        <f>IFERROR(Z155/Z444, "NA")</f>
        <v>1.0789173082174619E-2</v>
      </c>
      <c r="AB155" s="9"/>
      <c r="AC155" s="10">
        <f t="shared" si="39"/>
        <v>-409.58000000000175</v>
      </c>
      <c r="AD155" s="8">
        <f>IFERROR(AC155/AC444, "NA")</f>
        <v>-5.3045622758305247E-3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203.19</v>
      </c>
      <c r="R156" s="8">
        <f>IFERROR(Q156/Q444, "NA")</f>
        <v>1.5288447497846815E-4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-203.19</v>
      </c>
      <c r="X156" s="8">
        <f>IFERROR(W156/W444, "NA")</f>
        <v>2.1817605505179208E-3</v>
      </c>
      <c r="Y156" s="9"/>
      <c r="Z156" s="7">
        <v>195.37</v>
      </c>
      <c r="AA156" s="8">
        <f>IFERROR(Z156/Z444, "NA")</f>
        <v>1.5606752338846025E-4</v>
      </c>
      <c r="AB156" s="9"/>
      <c r="AC156" s="10">
        <f t="shared" si="39"/>
        <v>-7.8199999999999932</v>
      </c>
      <c r="AD156" s="8">
        <f>IFERROR(AC156/AC444, "NA")</f>
        <v>-1.0127857072365468E-4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4985.5600000000004</v>
      </c>
      <c r="C158" s="15">
        <f>IFERROR(B158/B444, "NA")</f>
        <v>4.7166898138512256E-2</v>
      </c>
      <c r="D158" s="2"/>
      <c r="E158" s="14">
        <f>IFERROR(E153+E154+E155+E156+E157, "NA")</f>
        <v>1568.75</v>
      </c>
      <c r="F158" s="15">
        <f>IFERROR(E158/E444, "NA")</f>
        <v>1.4999961753085569E-2</v>
      </c>
      <c r="G158" s="2"/>
      <c r="H158" s="14">
        <f t="shared" si="36"/>
        <v>-3416.8100000000004</v>
      </c>
      <c r="I158" s="15">
        <f>IFERROR(H158/H444, "NA")</f>
        <v>-3.0594645415473103</v>
      </c>
      <c r="J158" s="2"/>
      <c r="K158" s="14">
        <f>IFERROR(K153+K154+K155+K156+K157, "NA")</f>
        <v>4082.51</v>
      </c>
      <c r="L158" s="15">
        <f>IFERROR(K158/K444, "NA")</f>
        <v>4.2575995227745821E-2</v>
      </c>
      <c r="M158" s="2"/>
      <c r="N158" s="14">
        <f t="shared" si="37"/>
        <v>-903.05000000000018</v>
      </c>
      <c r="O158" s="15">
        <f>IFERROR(N158/N444, "NA")</f>
        <v>-9.2027759660851263E-2</v>
      </c>
      <c r="P158" s="2"/>
      <c r="Q158" s="14">
        <f>IFERROR(Q153+Q154+Q155+Q156+Q157, "NA")</f>
        <v>59757.62</v>
      </c>
      <c r="R158" s="15">
        <f>IFERROR(Q158/Q444, "NA")</f>
        <v>4.496290348768546E-2</v>
      </c>
      <c r="S158" s="2"/>
      <c r="T158" s="14">
        <f>IFERROR(T153+T154+T155+T156+T157, "NA")</f>
        <v>22354.77</v>
      </c>
      <c r="U158" s="15">
        <f>IFERROR(T158/T444, "NA")</f>
        <v>1.5718731282616527E-2</v>
      </c>
      <c r="V158" s="2"/>
      <c r="W158" s="14">
        <f t="shared" si="38"/>
        <v>-37402.850000000006</v>
      </c>
      <c r="X158" s="15">
        <f>IFERROR(W158/W444, "NA")</f>
        <v>0.40161456079009411</v>
      </c>
      <c r="Y158" s="2"/>
      <c r="Z158" s="14">
        <f>IFERROR(Z153+Z154+Z155+Z156+Z157, "NA")</f>
        <v>55341.880000000005</v>
      </c>
      <c r="AA158" s="15">
        <f>IFERROR(Z158/Z444, "NA")</f>
        <v>4.4208784108416645E-2</v>
      </c>
      <c r="AB158" s="2"/>
      <c r="AC158" s="14">
        <f t="shared" si="39"/>
        <v>-4415.739999999998</v>
      </c>
      <c r="AD158" s="15">
        <f>IFERROR(AC158/AC444, "NA")</f>
        <v>-5.7189237325737996E-2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412.15</v>
      </c>
      <c r="C161" s="8">
        <f>IFERROR(B161/B444, "NA")</f>
        <v>3.8992283851338309E-3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-412.15</v>
      </c>
      <c r="I161" s="8">
        <f>IFERROR(H161/H444, "NA")</f>
        <v>-0.36904548710602103</v>
      </c>
      <c r="J161" s="9"/>
      <c r="K161" s="7">
        <v>405.12</v>
      </c>
      <c r="L161" s="8">
        <f>IFERROR(K161/K444, "NA")</f>
        <v>4.2249467084377957E-3</v>
      </c>
      <c r="M161" s="9"/>
      <c r="N161" s="10">
        <f t="shared" si="41"/>
        <v>-7.0299999999999727</v>
      </c>
      <c r="O161" s="8">
        <f>IFERROR(N161/N444, "NA")</f>
        <v>-7.1641121800097634E-4</v>
      </c>
      <c r="P161" s="9"/>
      <c r="Q161" s="7">
        <v>3842.28</v>
      </c>
      <c r="R161" s="8">
        <f>IFERROR(Q161/Q444, "NA")</f>
        <v>2.8910131429709563E-3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-3842.28</v>
      </c>
      <c r="X161" s="8">
        <f>IFERROR(W161/W444, "NA")</f>
        <v>4.1256631369870546E-2</v>
      </c>
      <c r="Y161" s="9"/>
      <c r="Z161" s="7">
        <v>4975.7</v>
      </c>
      <c r="AA161" s="8">
        <f>IFERROR(Z161/Z444, "NA")</f>
        <v>3.9747411379636669E-3</v>
      </c>
      <c r="AB161" s="9"/>
      <c r="AC161" s="10">
        <f t="shared" si="43"/>
        <v>1133.4199999999996</v>
      </c>
      <c r="AD161" s="8">
        <f>IFERROR(AC161/AC444, "NA")</f>
        <v>1.467917616746864E-2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412.15</v>
      </c>
      <c r="C166" s="15">
        <f>IFERROR(B166/B444, "NA")</f>
        <v>3.8992283851338309E-3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-412.15</v>
      </c>
      <c r="I166" s="15">
        <f>IFERROR(H166/H444, "NA")</f>
        <v>-0.36904548710602103</v>
      </c>
      <c r="J166" s="2"/>
      <c r="K166" s="14">
        <f>IFERROR(K160+K161+K162+K163+K164+K165, "NA")</f>
        <v>405.12</v>
      </c>
      <c r="L166" s="15">
        <f>IFERROR(K166/K444, "NA")</f>
        <v>4.2249467084377957E-3</v>
      </c>
      <c r="M166" s="2"/>
      <c r="N166" s="14">
        <f t="shared" si="41"/>
        <v>-7.0299999999999727</v>
      </c>
      <c r="O166" s="15">
        <f>IFERROR(N166/N444, "NA")</f>
        <v>-7.1641121800097634E-4</v>
      </c>
      <c r="P166" s="2"/>
      <c r="Q166" s="14">
        <f>IFERROR(Q160+Q161+Q162+Q163+Q164+Q165, "NA")</f>
        <v>3842.28</v>
      </c>
      <c r="R166" s="15">
        <f>IFERROR(Q166/Q444, "NA")</f>
        <v>2.8910131429709563E-3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-3842.28</v>
      </c>
      <c r="X166" s="15">
        <f>IFERROR(W166/W444, "NA")</f>
        <v>4.1256631369870546E-2</v>
      </c>
      <c r="Y166" s="2"/>
      <c r="Z166" s="14">
        <f>IFERROR(Z160+Z161+Z162+Z163+Z164+Z165, "NA")</f>
        <v>4975.7</v>
      </c>
      <c r="AA166" s="15">
        <f>IFERROR(Z166/Z444, "NA")</f>
        <v>3.9747411379636669E-3</v>
      </c>
      <c r="AB166" s="2"/>
      <c r="AC166" s="14">
        <f t="shared" si="43"/>
        <v>1133.4199999999996</v>
      </c>
      <c r="AD166" s="15">
        <f>IFERROR(AC166/AC444, "NA")</f>
        <v>1.467917616746864E-2</v>
      </c>
    </row>
    <row r="167" spans="1:30" ht="16.5" customHeight="1" x14ac:dyDescent="0.45">
      <c r="A167" s="6" t="s">
        <v>155</v>
      </c>
      <c r="B167" s="7">
        <v>119.81</v>
      </c>
      <c r="C167" s="8">
        <f>IFERROR(B167/B444, "NA")</f>
        <v>1.1334867228506231E-3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-119.81</v>
      </c>
      <c r="I167" s="8">
        <f>IFERROR(H167/H444, "NA")</f>
        <v>-0.10727972779369739</v>
      </c>
      <c r="J167" s="9"/>
      <c r="K167" s="7">
        <v>126.46</v>
      </c>
      <c r="L167" s="8">
        <f>IFERROR(K167/K444, "NA")</f>
        <v>1.3188358035866993E-3</v>
      </c>
      <c r="M167" s="9"/>
      <c r="N167" s="10">
        <f t="shared" si="41"/>
        <v>6.6499999999999915</v>
      </c>
      <c r="O167" s="8">
        <f>IFERROR(N167/N444, "NA")</f>
        <v>6.7768628729822269E-4</v>
      </c>
      <c r="P167" s="9"/>
      <c r="Q167" s="7">
        <v>1527.18</v>
      </c>
      <c r="R167" s="8">
        <f>IFERROR(Q167/Q444, "NA")</f>
        <v>1.1490826935263399E-3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-1527.18</v>
      </c>
      <c r="X167" s="8">
        <f>IFERROR(W167/W444, "NA")</f>
        <v>1.6398154818347156E-2</v>
      </c>
      <c r="Y167" s="9"/>
      <c r="Z167" s="7">
        <v>1568.3</v>
      </c>
      <c r="AA167" s="8">
        <f>IFERROR(Z167/Z444, "NA")</f>
        <v>1.2528059422128382E-3</v>
      </c>
      <c r="AB167" s="9"/>
      <c r="AC167" s="10">
        <f t="shared" si="43"/>
        <v>41.119999999999891</v>
      </c>
      <c r="AD167" s="8">
        <f>IFERROR(AC167/AC444, "NA")</f>
        <v>5.3255432585123702E-4</v>
      </c>
    </row>
    <row r="168" spans="1:30" ht="16.5" customHeight="1" x14ac:dyDescent="0.45">
      <c r="A168" s="6" t="s">
        <v>156</v>
      </c>
      <c r="B168" s="7">
        <v>42</v>
      </c>
      <c r="C168" s="8">
        <f>IFERROR(B168/B444, "NA")</f>
        <v>3.9734948968972683E-4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-42</v>
      </c>
      <c r="I168" s="8">
        <f>IFERROR(H168/H444, "NA")</f>
        <v>-3.7607449856733914E-2</v>
      </c>
      <c r="J168" s="9"/>
      <c r="K168" s="7">
        <v>124.75</v>
      </c>
      <c r="L168" s="8">
        <f>IFERROR(K168/K444, "NA")</f>
        <v>1.301002423671048E-3</v>
      </c>
      <c r="M168" s="9"/>
      <c r="N168" s="10">
        <f t="shared" si="41"/>
        <v>82.75</v>
      </c>
      <c r="O168" s="8">
        <f>IFERROR(N168/N444, "NA")</f>
        <v>8.4328631990869176E-3</v>
      </c>
      <c r="P168" s="9"/>
      <c r="Q168" s="7">
        <v>648.29</v>
      </c>
      <c r="R168" s="8">
        <f>IFERROR(Q168/Q444, "NA")</f>
        <v>4.8778717596235596E-4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-648.29</v>
      </c>
      <c r="X168" s="8">
        <f>IFERROR(W168/W444, "NA")</f>
        <v>6.9610391618448878E-3</v>
      </c>
      <c r="Y168" s="9"/>
      <c r="Z168" s="7">
        <v>687.85</v>
      </c>
      <c r="AA168" s="8">
        <f>IFERROR(Z168/Z444, "NA")</f>
        <v>5.4947558971567983E-4</v>
      </c>
      <c r="AB168" s="9"/>
      <c r="AC168" s="10">
        <f t="shared" si="43"/>
        <v>39.560000000000059</v>
      </c>
      <c r="AD168" s="8">
        <f>IFERROR(AC168/AC444, "NA")</f>
        <v>5.1235041660201901E-4</v>
      </c>
    </row>
    <row r="169" spans="1:30" ht="16.5" customHeight="1" x14ac:dyDescent="0.45">
      <c r="A169" s="6" t="s">
        <v>157</v>
      </c>
      <c r="B169" s="7">
        <v>-1706</v>
      </c>
      <c r="C169" s="8">
        <f>IFERROR(B169/B444, "NA")</f>
        <v>-1.6139957843111286E-2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1706</v>
      </c>
      <c r="I169" s="8">
        <f>IFERROR(H169/H444, "NA")</f>
        <v>1.5275787965616205</v>
      </c>
      <c r="J169" s="9"/>
      <c r="K169" s="7">
        <v>-3775.85</v>
      </c>
      <c r="L169" s="8">
        <f>IFERROR(K169/K444, "NA")</f>
        <v>-3.9377875762872362E-2</v>
      </c>
      <c r="M169" s="9"/>
      <c r="N169" s="10">
        <f t="shared" si="41"/>
        <v>-2069.85</v>
      </c>
      <c r="O169" s="8">
        <f>IFERROR(N169/N444, "NA")</f>
        <v>-0.21093367846078614</v>
      </c>
      <c r="P169" s="9"/>
      <c r="Q169" s="7">
        <v>-23168.43</v>
      </c>
      <c r="R169" s="8">
        <f>IFERROR(Q169/Q444, "NA")</f>
        <v>-1.743241919693583E-2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23168.43</v>
      </c>
      <c r="X169" s="8">
        <f>IFERROR(W169/W444, "NA")</f>
        <v>-0.24877192082009897</v>
      </c>
      <c r="Y169" s="9"/>
      <c r="Z169" s="7">
        <v>-32076.99</v>
      </c>
      <c r="AA169" s="8">
        <f>IFERROR(Z169/Z444, "NA")</f>
        <v>-2.5624079372761455E-2</v>
      </c>
      <c r="AB169" s="9"/>
      <c r="AC169" s="10">
        <f t="shared" si="43"/>
        <v>-8908.5600000000013</v>
      </c>
      <c r="AD169" s="8">
        <f>IFERROR(AC169/AC444, "NA")</f>
        <v>-0.11537675498796958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3853.5200000000004</v>
      </c>
      <c r="C170" s="15">
        <f>IFERROR(B170/B444, "NA")</f>
        <v>3.645700489307515E-2</v>
      </c>
      <c r="D170" s="2"/>
      <c r="E170" s="14">
        <f>IFERROR(E151+E153+E154+E155+E156+E157+E160+E161+E162+E163+E164+E165+E167+E168+E169, "NA")</f>
        <v>1568.75</v>
      </c>
      <c r="F170" s="15">
        <f>IFERROR(E170/E444, "NA")</f>
        <v>1.4999961753085569E-2</v>
      </c>
      <c r="G170" s="2"/>
      <c r="H170" s="14">
        <f t="shared" si="40"/>
        <v>-2284.7700000000004</v>
      </c>
      <c r="I170" s="15">
        <f>IFERROR(H170/H444, "NA")</f>
        <v>-2.0458184097421421</v>
      </c>
      <c r="J170" s="2"/>
      <c r="K170" s="14">
        <f>IFERROR(K151+K153+K154+K155+K156+K157+K160+K161+K162+K163+K164+K165+K167+K168+K169, "NA")</f>
        <v>962.99000000000024</v>
      </c>
      <c r="L170" s="15">
        <f>IFERROR(K170/K444, "NA")</f>
        <v>1.0042904400569002E-2</v>
      </c>
      <c r="M170" s="2"/>
      <c r="N170" s="14">
        <f t="shared" si="41"/>
        <v>-2890.53</v>
      </c>
      <c r="O170" s="15">
        <f>IFERROR(N170/N444, "NA")</f>
        <v>-0.29456729985325325</v>
      </c>
      <c r="P170" s="2"/>
      <c r="Q170" s="14">
        <f>IFERROR(Q151+Q153+Q154+Q155+Q156+Q157+Q160+Q161+Q162+Q163+Q164+Q165+Q167+Q168+Q169, "NA")</f>
        <v>42606.939999999995</v>
      </c>
      <c r="R170" s="15">
        <f>IFERROR(Q170/Q444, "NA")</f>
        <v>3.2058367303209274E-2</v>
      </c>
      <c r="S170" s="2"/>
      <c r="T170" s="14">
        <f>IFERROR(T151+T153+T154+T155+T156+T157+T160+T161+T162+T163+T164+T165+T167+T168+T169, "NA")</f>
        <v>22354.77</v>
      </c>
      <c r="U170" s="15">
        <f>IFERROR(T170/T444, "NA")</f>
        <v>1.5718731282616527E-2</v>
      </c>
      <c r="V170" s="2"/>
      <c r="W170" s="14">
        <f t="shared" si="42"/>
        <v>-20252.169999999995</v>
      </c>
      <c r="X170" s="15">
        <f>IFERROR(W170/W444, "NA")</f>
        <v>0.21745846532005761</v>
      </c>
      <c r="Y170" s="2"/>
      <c r="Z170" s="14">
        <f>IFERROR(Z151+Z153+Z154+Z155+Z156+Z157+Z160+Z161+Z162+Z163+Z164+Z165+Z167+Z168+Z169, "NA")</f>
        <v>30496.74</v>
      </c>
      <c r="AA170" s="15">
        <f>IFERROR(Z170/Z444, "NA")</f>
        <v>2.4361727405547377E-2</v>
      </c>
      <c r="AB170" s="2"/>
      <c r="AC170" s="14">
        <f t="shared" si="43"/>
        <v>-12110.199999999993</v>
      </c>
      <c r="AD170" s="15">
        <f>IFERROR(AC170/AC444, "NA")</f>
        <v>-0.15684191140378562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31327.340000000004</v>
      </c>
      <c r="C171" s="15">
        <f>IFERROR(B171/B444, "NA")</f>
        <v>0.29637863243658497</v>
      </c>
      <c r="D171" s="2"/>
      <c r="E171" s="14">
        <f>IFERROR(E127+E129+E130+E131+E132+E133+E134+E135+E136+E137+E138+E139+E140+E143+E144+E145+E146+E147+E151+E153+E154+E155+E156+E157+E160+E161+E162+E163+E164+E165+E167+E168+E169, "NA")</f>
        <v>24786.31</v>
      </c>
      <c r="F171" s="15">
        <f>IFERROR(E171/E444, "NA")</f>
        <v>0.23699996940246845</v>
      </c>
      <c r="G171" s="2"/>
      <c r="H171" s="14">
        <f t="shared" si="40"/>
        <v>-6541.0300000000025</v>
      </c>
      <c r="I171" s="15">
        <f>IFERROR(H171/H444, "NA")</f>
        <v>-5.8569394699141037</v>
      </c>
      <c r="J171" s="2"/>
      <c r="K171" s="14">
        <f>IFERROR(K127+K129+K130+K131+K132+K133+K134+K135+K136+K137+K138+K139+K140+K143+K144+K145+K146+K147+K151+K153+K154+K155+K156+K157+K160+K161+K162+K163+K164+K165+K167+K168+K169, "NA")</f>
        <v>25851.529999999995</v>
      </c>
      <c r="L171" s="15">
        <f>IFERROR(K171/K444, "NA")</f>
        <v>0.2696024303455295</v>
      </c>
      <c r="M171" s="2"/>
      <c r="N171" s="14">
        <f t="shared" si="41"/>
        <v>-5475.8100000000086</v>
      </c>
      <c r="O171" s="15">
        <f>IFERROR(N171/N444, "NA")</f>
        <v>-0.55802727050383327</v>
      </c>
      <c r="P171" s="2"/>
      <c r="Q171" s="14">
        <f>IFERROR(Q127+Q129+Q130+Q131+Q132+Q133+Q134+Q135+Q136+Q137+Q138+Q139+Q140+Q143+Q144+Q145+Q146+Q147+Q151+Q153+Q154+Q155+Q156+Q157+Q160+Q161+Q162+Q163+Q164+Q165+Q167+Q168+Q169, "NA")</f>
        <v>385226.12000000005</v>
      </c>
      <c r="R171" s="15">
        <f>IFERROR(Q171/Q444, "NA")</f>
        <v>0.289852321000996</v>
      </c>
      <c r="S171" s="2"/>
      <c r="T171" s="14">
        <f>IFERROR(T127+T129+T130+T131+T132+T133+T134+T135+T136+T137+T138+T139+T140+T143+T144+T145+T146+T147+T151+T153+T154+T155+T156+T157+T160+T161+T162+T163+T164+T165+T167+T168+T169, "NA")</f>
        <v>349692.79000000004</v>
      </c>
      <c r="U171" s="15">
        <f>IFERROR(T171/T444, "NA")</f>
        <v>0.24588609041732268</v>
      </c>
      <c r="V171" s="2"/>
      <c r="W171" s="14">
        <f t="shared" si="42"/>
        <v>-35533.330000000016</v>
      </c>
      <c r="X171" s="15">
        <f>IFERROR(W171/W444, "NA")</f>
        <v>0.38154051686862039</v>
      </c>
      <c r="Y171" s="2"/>
      <c r="Z171" s="14">
        <f>IFERROR(Z127+Z129+Z130+Z131+Z132+Z133+Z134+Z135+Z136+Z137+Z138+Z139+Z140+Z143+Z144+Z145+Z146+Z147+Z151+Z153+Z154+Z155+Z156+Z157+Z160+Z161+Z162+Z163+Z164+Z165+Z167+Z168+Z169, "NA")</f>
        <v>347686.84</v>
      </c>
      <c r="AA171" s="15">
        <f>IFERROR(Z171/Z444, "NA")</f>
        <v>0.27774286755161914</v>
      </c>
      <c r="AB171" s="2"/>
      <c r="AC171" s="14">
        <f t="shared" si="43"/>
        <v>-37539.280000000028</v>
      </c>
      <c r="AD171" s="15">
        <f>IFERROR(AC171/AC444, "NA")</f>
        <v>-0.48617961948786215</v>
      </c>
    </row>
    <row r="172" spans="1:30" ht="16.5" customHeight="1" x14ac:dyDescent="0.45">
      <c r="A172" s="22" t="s">
        <v>160</v>
      </c>
      <c r="B172" s="23">
        <f>IFERROR(B124-B171, "NA")</f>
        <v>74373.060000000027</v>
      </c>
      <c r="C172" s="24">
        <f>IFERROR(B172/B444, "NA")</f>
        <v>0.70362136756341542</v>
      </c>
      <c r="D172" s="25"/>
      <c r="E172" s="23">
        <f>IFERROR(E124-E171, "NA")</f>
        <v>79797.289999999994</v>
      </c>
      <c r="F172" s="24">
        <f>IFERROR(E172/E444, "NA")</f>
        <v>0.76300003059753141</v>
      </c>
      <c r="G172" s="25"/>
      <c r="H172" s="23">
        <f>IFERROR(B172-E172, "NA")</f>
        <v>-5424.2299999999668</v>
      </c>
      <c r="I172" s="24">
        <f>IFERROR(H172/H444, "NA")</f>
        <v>-4.8569394699140611</v>
      </c>
      <c r="J172" s="25"/>
      <c r="K172" s="23">
        <f>IFERROR(K124-K171, "NA")</f>
        <v>70036.070000000007</v>
      </c>
      <c r="L172" s="24">
        <f>IFERROR(K172/K444, "NA")</f>
        <v>0.73039756965447045</v>
      </c>
      <c r="M172" s="25"/>
      <c r="N172" s="23">
        <f>IFERROR(B172-K172, "NA")</f>
        <v>4336.9900000000198</v>
      </c>
      <c r="O172" s="24">
        <f>IFERROR(N172/N444, "NA")</f>
        <v>0.44197272949617084</v>
      </c>
      <c r="P172" s="25"/>
      <c r="Q172" s="23">
        <f>IFERROR(Q124-Q171, "NA")</f>
        <v>943816.61000000057</v>
      </c>
      <c r="R172" s="24">
        <f>IFERROR(Q172/Q444, "NA")</f>
        <v>0.71014767899900444</v>
      </c>
      <c r="S172" s="25"/>
      <c r="T172" s="23">
        <f>IFERROR(T124-T171, "NA")</f>
        <v>1072481.1499999999</v>
      </c>
      <c r="U172" s="24">
        <f>IFERROR(T172/T444, "NA")</f>
        <v>0.75411390958267732</v>
      </c>
      <c r="V172" s="25"/>
      <c r="W172" s="23">
        <f>IFERROR(Q172-T172, "NA")</f>
        <v>-128664.53999999934</v>
      </c>
      <c r="X172" s="24">
        <f>IFERROR(W172/W444, "NA")</f>
        <v>1.3815405168686135</v>
      </c>
      <c r="Y172" s="25"/>
      <c r="Z172" s="23">
        <f>IFERROR(Z124-Z171, "NA")</f>
        <v>904143.1100000001</v>
      </c>
      <c r="AA172" s="24">
        <f>IFERROR(Z172/Z444, "NA")</f>
        <v>0.72225713244838097</v>
      </c>
      <c r="AB172" s="25"/>
      <c r="AC172" s="23">
        <f>IFERROR(Q172-Z172, "NA")</f>
        <v>39673.500000000466</v>
      </c>
      <c r="AD172" s="24">
        <f>IFERROR(AC172/AC444, "NA")</f>
        <v>0.51382038051214385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7307.7</v>
      </c>
      <c r="C178" s="8">
        <f>IFERROR(B178/B444, "NA")</f>
        <v>6.913597299537183E-2</v>
      </c>
      <c r="D178" s="9"/>
      <c r="E178" s="7">
        <v>7115.38</v>
      </c>
      <c r="F178" s="8">
        <f>IFERROR(E178/E444, "NA")</f>
        <v>6.8035332499550599E-2</v>
      </c>
      <c r="G178" s="9"/>
      <c r="H178" s="10">
        <f t="shared" si="44"/>
        <v>-192.31999999999971</v>
      </c>
      <c r="I178" s="8">
        <f>IFERROR(H178/H444, "NA")</f>
        <v>-0.1722063037249299</v>
      </c>
      <c r="J178" s="9"/>
      <c r="K178" s="7">
        <v>7307.7</v>
      </c>
      <c r="L178" s="8">
        <f>IFERROR(K178/K444, "NA")</f>
        <v>7.6211105502692736E-2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75725.08</v>
      </c>
      <c r="R178" s="8">
        <f>IFERROR(Q178/Q444, "NA")</f>
        <v>5.6977159793801364E-2</v>
      </c>
      <c r="S178" s="9"/>
      <c r="T178" s="7">
        <v>74000</v>
      </c>
      <c r="U178" s="8">
        <f>IFERROR(T178/T444, "NA")</f>
        <v>5.203301643960654E-2</v>
      </c>
      <c r="V178" s="9"/>
      <c r="W178" s="10">
        <f t="shared" si="46"/>
        <v>-1725.0800000000017</v>
      </c>
      <c r="X178" s="8">
        <f>IFERROR(W178/W444, "NA")</f>
        <v>1.852311378752625E-2</v>
      </c>
      <c r="Y178" s="9"/>
      <c r="Z178" s="7">
        <v>73461.72</v>
      </c>
      <c r="AA178" s="8">
        <f>IFERROR(Z178/Z444, "NA")</f>
        <v>5.8683465753475543E-2</v>
      </c>
      <c r="AB178" s="9"/>
      <c r="AC178" s="10">
        <f t="shared" si="47"/>
        <v>-2263.3600000000006</v>
      </c>
      <c r="AD178" s="8">
        <f>IFERROR(AC178/AC444, "NA")</f>
        <v>-2.9313282075842884E-2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21476.63</v>
      </c>
      <c r="C180" s="8">
        <f>IFERROR(B180/B444, "NA")</f>
        <v>0.20318399930369235</v>
      </c>
      <c r="D180" s="9"/>
      <c r="E180" s="7">
        <v>23426.73</v>
      </c>
      <c r="F180" s="8">
        <f>IFERROR(E180/E444, "NA")</f>
        <v>0.22400003442222297</v>
      </c>
      <c r="G180" s="9"/>
      <c r="H180" s="10">
        <f t="shared" si="44"/>
        <v>1950.0999999999985</v>
      </c>
      <c r="I180" s="8">
        <f>IFERROR(H180/H444, "NA")</f>
        <v>1.7461497134670656</v>
      </c>
      <c r="J180" s="9"/>
      <c r="K180" s="7">
        <v>18990.099999999999</v>
      </c>
      <c r="L180" s="8">
        <f>IFERROR(K180/K444, "NA")</f>
        <v>0.19804541984573601</v>
      </c>
      <c r="M180" s="9"/>
      <c r="N180" s="10">
        <f t="shared" si="45"/>
        <v>-2486.5300000000025</v>
      </c>
      <c r="O180" s="8">
        <f>IFERROR(N180/N444, "NA")</f>
        <v>-0.2533965840534817</v>
      </c>
      <c r="P180" s="9"/>
      <c r="Q180" s="7">
        <v>247617.79</v>
      </c>
      <c r="R180" s="8">
        <f>IFERROR(Q180/Q444, "NA")</f>
        <v>0.18631288852541258</v>
      </c>
      <c r="S180" s="9"/>
      <c r="T180" s="7">
        <v>279627.08</v>
      </c>
      <c r="U180" s="8">
        <f>IFERROR(T180/T444, "NA")</f>
        <v>0.19661946554863749</v>
      </c>
      <c r="V180" s="9"/>
      <c r="W180" s="10">
        <f t="shared" si="46"/>
        <v>32009.290000000008</v>
      </c>
      <c r="X180" s="8">
        <f>IFERROR(W180/W444, "NA")</f>
        <v>-0.34370099991184505</v>
      </c>
      <c r="Y180" s="9"/>
      <c r="Z180" s="7">
        <v>251652.09</v>
      </c>
      <c r="AA180" s="8">
        <f>IFERROR(Z180/Z444, "NA")</f>
        <v>0.20102737596268566</v>
      </c>
      <c r="AB180" s="9"/>
      <c r="AC180" s="10">
        <f t="shared" si="47"/>
        <v>4034.2999999999884</v>
      </c>
      <c r="AD180" s="8">
        <f>IFERROR(AC180/AC444, "NA")</f>
        <v>5.2249122489825994E-2</v>
      </c>
    </row>
    <row r="181" spans="1:30" ht="16.5" customHeight="1" x14ac:dyDescent="0.45">
      <c r="A181" s="12" t="s">
        <v>166</v>
      </c>
      <c r="B181" s="7">
        <v>630.38</v>
      </c>
      <c r="C181" s="8">
        <f>IFERROR(B181/B444, "NA")</f>
        <v>5.9638374121573808E-3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-630.38</v>
      </c>
      <c r="I181" s="8">
        <f>IFERROR(H181/H444, "NA")</f>
        <v>-0.5644520057306649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-630.38</v>
      </c>
      <c r="O181" s="8">
        <f>IFERROR(N181/N444, "NA")</f>
        <v>-6.4240583727376566E-2</v>
      </c>
      <c r="P181" s="9"/>
      <c r="Q181" s="7">
        <v>6770.19</v>
      </c>
      <c r="R181" s="8">
        <f>IFERROR(Q181/Q444, "NA")</f>
        <v>5.0940348622199681E-3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-6770.19</v>
      </c>
      <c r="X181" s="8">
        <f>IFERROR(W181/W444, "NA")</f>
        <v>7.269517919932536E-2</v>
      </c>
      <c r="Y181" s="9"/>
      <c r="Z181" s="7">
        <v>1606.82</v>
      </c>
      <c r="AA181" s="8">
        <f>IFERROR(Z181/Z444, "NA")</f>
        <v>1.2835768947691338E-3</v>
      </c>
      <c r="AB181" s="9"/>
      <c r="AC181" s="10">
        <f t="shared" si="47"/>
        <v>-5163.37</v>
      </c>
      <c r="AD181" s="8">
        <f>IFERROR(AC181/AC444, "NA")</f>
        <v>-6.6871960833426766E-2</v>
      </c>
    </row>
    <row r="182" spans="1:30" ht="16.5" customHeight="1" x14ac:dyDescent="0.45">
      <c r="A182" s="13" t="s">
        <v>167</v>
      </c>
      <c r="B182" s="14">
        <f>IFERROR(B177+B178+B179+B180+B181, "NA")</f>
        <v>29414.710000000003</v>
      </c>
      <c r="C182" s="15">
        <f>IFERROR(B182/B444, "NA")</f>
        <v>0.27828380971122157</v>
      </c>
      <c r="D182" s="2"/>
      <c r="E182" s="14">
        <f>IFERROR(E177+E178+E179+E180+E181, "NA")</f>
        <v>30542.11</v>
      </c>
      <c r="F182" s="15">
        <f>IFERROR(E182/E444, "NA")</f>
        <v>0.29203536692177356</v>
      </c>
      <c r="G182" s="2"/>
      <c r="H182" s="14">
        <f t="shared" si="44"/>
        <v>1127.3999999999978</v>
      </c>
      <c r="I182" s="15">
        <f>IFERROR(H182/H444, "NA")</f>
        <v>1.00949140401147</v>
      </c>
      <c r="J182" s="2"/>
      <c r="K182" s="14">
        <f>IFERROR(K177+K178+K179+K180+K181, "NA")</f>
        <v>26297.8</v>
      </c>
      <c r="L182" s="15">
        <f>IFERROR(K182/K444, "NA")</f>
        <v>0.27425652534842876</v>
      </c>
      <c r="M182" s="2"/>
      <c r="N182" s="14">
        <f t="shared" si="45"/>
        <v>-3116.9100000000035</v>
      </c>
      <c r="O182" s="15">
        <f>IFERROR(N182/N444, "NA")</f>
        <v>-0.31763716778085838</v>
      </c>
      <c r="P182" s="2"/>
      <c r="Q182" s="14">
        <f>IFERROR(Q177+Q178+Q179+Q180+Q181, "NA")</f>
        <v>330113.06</v>
      </c>
      <c r="R182" s="15">
        <f>IFERROR(Q182/Q444, "NA")</f>
        <v>0.2483840831814339</v>
      </c>
      <c r="S182" s="2"/>
      <c r="T182" s="14">
        <f>IFERROR(T177+T178+T179+T180+T181, "NA")</f>
        <v>353627.08</v>
      </c>
      <c r="U182" s="15">
        <f>IFERROR(T182/T444, "NA")</f>
        <v>0.24865248198824402</v>
      </c>
      <c r="V182" s="2"/>
      <c r="W182" s="14">
        <f t="shared" si="46"/>
        <v>23514.020000000019</v>
      </c>
      <c r="X182" s="15">
        <f>IFERROR(W182/W444, "NA")</f>
        <v>-0.25248270692499353</v>
      </c>
      <c r="Y182" s="2"/>
      <c r="Z182" s="14">
        <f>IFERROR(Z177+Z178+Z179+Z180+Z181, "NA")</f>
        <v>326720.63</v>
      </c>
      <c r="AA182" s="15">
        <f>IFERROR(Z182/Z444, "NA")</f>
        <v>0.26099441861093037</v>
      </c>
      <c r="AB182" s="2"/>
      <c r="AC182" s="14">
        <f t="shared" si="47"/>
        <v>-3392.429999999993</v>
      </c>
      <c r="AD182" s="15">
        <f>IFERROR(AC182/AC444, "NA")</f>
        <v>-4.3936120419443413E-2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4.7303510677348436E-3</v>
      </c>
      <c r="D184" s="9"/>
      <c r="E184" s="7">
        <v>500</v>
      </c>
      <c r="F184" s="8">
        <f>IFERROR(E184/E444, "NA")</f>
        <v>4.780864303772293E-3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-100</v>
      </c>
      <c r="L184" s="8">
        <f>IFERROR(K184/K444, "NA")</f>
        <v>-1.0428877143655697E-3</v>
      </c>
      <c r="M184" s="9"/>
      <c r="N184" s="10">
        <f t="shared" si="45"/>
        <v>-600</v>
      </c>
      <c r="O184" s="8">
        <f>IFERROR(N184/N444, "NA")</f>
        <v>-6.1144627425403629E-2</v>
      </c>
      <c r="P184" s="9"/>
      <c r="Q184" s="7">
        <v>3050</v>
      </c>
      <c r="R184" s="8">
        <f>IFERROR(Q184/Q444, "NA")</f>
        <v>2.2948848303771243E-3</v>
      </c>
      <c r="S184" s="9"/>
      <c r="T184" s="7">
        <v>6000</v>
      </c>
      <c r="U184" s="8">
        <f>IFERROR(T184/T444, "NA")</f>
        <v>4.2188932248329626E-3</v>
      </c>
      <c r="V184" s="9"/>
      <c r="W184" s="10">
        <f t="shared" si="46"/>
        <v>2950</v>
      </c>
      <c r="X184" s="8">
        <f>IFERROR(W184/W444, "NA")</f>
        <v>-3.167574006608527E-2</v>
      </c>
      <c r="Y184" s="9"/>
      <c r="Z184" s="7">
        <v>3250</v>
      </c>
      <c r="AA184" s="8">
        <f>IFERROR(Z184/Z444, "NA")</f>
        <v>2.5961992681194442E-3</v>
      </c>
      <c r="AB184" s="9"/>
      <c r="AC184" s="10">
        <f t="shared" si="47"/>
        <v>200</v>
      </c>
      <c r="AD184" s="8">
        <f>IFERROR(AC184/AC444, "NA")</f>
        <v>2.5902447755410431E-3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2544.81</v>
      </c>
      <c r="C186" s="8">
        <f>IFERROR(B186/B444, "NA")</f>
        <v>2.4075689401364612E-2</v>
      </c>
      <c r="D186" s="9"/>
      <c r="E186" s="7">
        <v>2795.86</v>
      </c>
      <c r="F186" s="8">
        <f>IFERROR(E186/E444, "NA")</f>
        <v>2.6733254544689607E-2</v>
      </c>
      <c r="G186" s="9"/>
      <c r="H186" s="10">
        <f t="shared" ref="H186:H197" si="48">IFERROR(-(B186-E186), "NA")</f>
        <v>251.05000000000018</v>
      </c>
      <c r="I186" s="8">
        <f>IFERROR(H186/H444, "NA")</f>
        <v>0.22479405444126324</v>
      </c>
      <c r="J186" s="9"/>
      <c r="K186" s="7">
        <v>2550.0100000000002</v>
      </c>
      <c r="L186" s="8">
        <f>IFERROR(K186/K444, "NA")</f>
        <v>2.6593741005093464E-2</v>
      </c>
      <c r="M186" s="9"/>
      <c r="N186" s="10">
        <f t="shared" ref="N186:N197" si="49">IFERROR(-(B186-K186), "NA")</f>
        <v>5.2000000000002728</v>
      </c>
      <c r="O186" s="8">
        <f>IFERROR(N186/N444, "NA")</f>
        <v>5.2992010435352595E-4</v>
      </c>
      <c r="P186" s="9"/>
      <c r="Q186" s="7">
        <v>32098.080000000002</v>
      </c>
      <c r="R186" s="8">
        <f>IFERROR(Q186/Q444, "NA")</f>
        <v>2.4151277664338153E-2</v>
      </c>
      <c r="S186" s="9"/>
      <c r="T186" s="7">
        <v>37213.82</v>
      </c>
      <c r="U186" s="8">
        <f>IFERROR(T186/T444, "NA")</f>
        <v>2.6166855511358899E-2</v>
      </c>
      <c r="V186" s="9"/>
      <c r="W186" s="10">
        <f t="shared" ref="W186:W197" si="50">IFERROR(-(Q186-T186), "NA")</f>
        <v>5115.739999999998</v>
      </c>
      <c r="X186" s="8">
        <f>IFERROR(W186/W444, "NA")</f>
        <v>-5.4930457791754234E-2</v>
      </c>
      <c r="Y186" s="9"/>
      <c r="Z186" s="7">
        <v>32777.31</v>
      </c>
      <c r="AA186" s="8">
        <f>IFERROR(Z186/Z444, "NA")</f>
        <v>2.6183516379361269E-2</v>
      </c>
      <c r="AB186" s="9"/>
      <c r="AC186" s="10">
        <f t="shared" ref="AC186:AC197" si="51">IFERROR(-(Q186-Z186), "NA")</f>
        <v>679.22999999999593</v>
      </c>
      <c r="AD186" s="8">
        <f>IFERROR(AC186/AC444, "NA")</f>
        <v>8.7968597944536597E-3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-0.06</v>
      </c>
      <c r="AA187" s="8">
        <f>IFERROR(Z187/Z444, "NA")</f>
        <v>-4.792983264220512E-8</v>
      </c>
      <c r="AB187" s="9"/>
      <c r="AC187" s="10">
        <f t="shared" si="51"/>
        <v>-0.06</v>
      </c>
      <c r="AD187" s="8">
        <f>IFERROR(AC187/AC444, "NA")</f>
        <v>-7.7707343266231287E-7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2544.81</v>
      </c>
      <c r="C193" s="15">
        <f>IFERROR(B193/B444, "NA")</f>
        <v>2.4075689401364612E-2</v>
      </c>
      <c r="D193" s="2"/>
      <c r="E193" s="14">
        <f>IFERROR(E186+E187+E188+E189+E190+E191+E192, "NA")</f>
        <v>2795.86</v>
      </c>
      <c r="F193" s="15">
        <f>IFERROR(E193/E444, "NA")</f>
        <v>2.6733254544689607E-2</v>
      </c>
      <c r="G193" s="2"/>
      <c r="H193" s="14">
        <f t="shared" si="48"/>
        <v>251.05000000000018</v>
      </c>
      <c r="I193" s="15">
        <f>IFERROR(H193/H444, "NA")</f>
        <v>0.22479405444126324</v>
      </c>
      <c r="J193" s="2"/>
      <c r="K193" s="14">
        <f>IFERROR(K186+K187+K188+K189+K190+K191+K192, "NA")</f>
        <v>2550.0100000000002</v>
      </c>
      <c r="L193" s="15">
        <f>IFERROR(K193/K444, "NA")</f>
        <v>2.6593741005093464E-2</v>
      </c>
      <c r="M193" s="2"/>
      <c r="N193" s="14">
        <f t="shared" si="49"/>
        <v>5.2000000000002728</v>
      </c>
      <c r="O193" s="15">
        <f>IFERROR(N193/N444, "NA")</f>
        <v>5.2992010435352595E-4</v>
      </c>
      <c r="P193" s="2"/>
      <c r="Q193" s="14">
        <f>IFERROR(Q186+Q187+Q188+Q189+Q190+Q191+Q192, "NA")</f>
        <v>32098.080000000002</v>
      </c>
      <c r="R193" s="15">
        <f>IFERROR(Q193/Q444, "NA")</f>
        <v>2.4151277664338153E-2</v>
      </c>
      <c r="S193" s="2"/>
      <c r="T193" s="14">
        <f>IFERROR(T186+T187+T188+T189+T190+T191+T192, "NA")</f>
        <v>37213.82</v>
      </c>
      <c r="U193" s="15">
        <f>IFERROR(T193/T444, "NA")</f>
        <v>2.6166855511358899E-2</v>
      </c>
      <c r="V193" s="2"/>
      <c r="W193" s="14">
        <f t="shared" si="50"/>
        <v>5115.739999999998</v>
      </c>
      <c r="X193" s="15">
        <f>IFERROR(W193/W444, "NA")</f>
        <v>-5.4930457791754234E-2</v>
      </c>
      <c r="Y193" s="2"/>
      <c r="Z193" s="14">
        <f>IFERROR(Z186+Z187+Z188+Z189+Z190+Z191+Z192, "NA")</f>
        <v>32777.25</v>
      </c>
      <c r="AA193" s="15">
        <f>IFERROR(Z193/Z444, "NA")</f>
        <v>2.6183468449528628E-2</v>
      </c>
      <c r="AB193" s="2"/>
      <c r="AC193" s="14">
        <f t="shared" si="51"/>
        <v>679.16999999999825</v>
      </c>
      <c r="AD193" s="15">
        <f>IFERROR(AC193/AC444, "NA")</f>
        <v>8.7960827210210278E-3</v>
      </c>
    </row>
    <row r="194" spans="1:30" ht="16.5" customHeight="1" x14ac:dyDescent="0.45">
      <c r="A194" s="6" t="s">
        <v>178</v>
      </c>
      <c r="B194" s="7">
        <v>224</v>
      </c>
      <c r="C194" s="8">
        <f>IFERROR(B194/B444, "NA")</f>
        <v>2.1191972783452099E-3</v>
      </c>
      <c r="D194" s="9"/>
      <c r="E194" s="7">
        <v>248.34</v>
      </c>
      <c r="F194" s="8">
        <f>IFERROR(E194/E444, "NA")</f>
        <v>2.3745596823976224E-3</v>
      </c>
      <c r="G194" s="9"/>
      <c r="H194" s="10">
        <f t="shared" si="48"/>
        <v>24.340000000000003</v>
      </c>
      <c r="I194" s="8">
        <f>IFERROR(H194/H444, "NA")</f>
        <v>2.1794412607450086E-2</v>
      </c>
      <c r="J194" s="9"/>
      <c r="K194" s="7">
        <v>212</v>
      </c>
      <c r="L194" s="8">
        <f>IFERROR(K194/K444, "NA")</f>
        <v>2.2109219544550075E-3</v>
      </c>
      <c r="M194" s="9"/>
      <c r="N194" s="10">
        <f t="shared" si="49"/>
        <v>-12</v>
      </c>
      <c r="O194" s="8">
        <f>IFERROR(N194/N444, "NA")</f>
        <v>-1.2228925485080725E-3</v>
      </c>
      <c r="P194" s="9"/>
      <c r="Q194" s="7">
        <v>2816</v>
      </c>
      <c r="R194" s="8">
        <f>IFERROR(Q194/Q444, "NA")</f>
        <v>2.1188182565055678E-3</v>
      </c>
      <c r="S194" s="9"/>
      <c r="T194" s="7">
        <v>2877.03</v>
      </c>
      <c r="U194" s="8">
        <f>IFERROR(T194/T444, "NA")</f>
        <v>2.02298039577353E-3</v>
      </c>
      <c r="V194" s="9"/>
      <c r="W194" s="10">
        <f t="shared" si="50"/>
        <v>61.0300000000002</v>
      </c>
      <c r="X194" s="8">
        <f>IFERROR(W194/W444, "NA")</f>
        <v>-6.5531200550277642E-4</v>
      </c>
      <c r="Y194" s="9"/>
      <c r="Z194" s="7">
        <v>2578</v>
      </c>
      <c r="AA194" s="8">
        <f>IFERROR(Z194/Z444, "NA")</f>
        <v>2.0593851425267464E-3</v>
      </c>
      <c r="AB194" s="9"/>
      <c r="AC194" s="10">
        <f t="shared" si="51"/>
        <v>-238</v>
      </c>
      <c r="AD194" s="8">
        <f>IFERROR(AC194/AC444, "NA")</f>
        <v>-3.082391282893841E-3</v>
      </c>
    </row>
    <row r="195" spans="1:30" ht="16.5" customHeight="1" x14ac:dyDescent="0.45">
      <c r="A195" s="6" t="s">
        <v>179</v>
      </c>
      <c r="B195" s="7">
        <v>2111.29</v>
      </c>
      <c r="C195" s="8">
        <f>IFERROR(B195/B444, "NA")</f>
        <v>1.9974285811595795E-2</v>
      </c>
      <c r="D195" s="9"/>
      <c r="E195" s="7">
        <v>217.29</v>
      </c>
      <c r="F195" s="8">
        <f>IFERROR(E195/E444, "NA")</f>
        <v>2.0776680091333629E-3</v>
      </c>
      <c r="G195" s="9"/>
      <c r="H195" s="10">
        <f t="shared" si="48"/>
        <v>-1894</v>
      </c>
      <c r="I195" s="8">
        <f>IFERROR(H195/H444, "NA")</f>
        <v>-1.6959169054441439</v>
      </c>
      <c r="J195" s="9"/>
      <c r="K195" s="7">
        <v>242.8</v>
      </c>
      <c r="L195" s="8">
        <f>IFERROR(K195/K444, "NA")</f>
        <v>2.5321313704796031E-3</v>
      </c>
      <c r="M195" s="9"/>
      <c r="N195" s="10">
        <f t="shared" si="49"/>
        <v>-1868.49</v>
      </c>
      <c r="O195" s="8">
        <f>IFERROR(N195/N444, "NA")</f>
        <v>-0.19041354149682072</v>
      </c>
      <c r="P195" s="9"/>
      <c r="Q195" s="7">
        <v>4666.4799999999996</v>
      </c>
      <c r="R195" s="8">
        <f>IFERROR(Q195/Q444, "NA")</f>
        <v>3.5111587420518825E-3</v>
      </c>
      <c r="S195" s="9"/>
      <c r="T195" s="7">
        <v>2517.4</v>
      </c>
      <c r="U195" s="8">
        <f>IFERROR(T195/T444, "NA")</f>
        <v>1.77010696736575E-3</v>
      </c>
      <c r="V195" s="9"/>
      <c r="W195" s="10">
        <f t="shared" si="50"/>
        <v>-2149.0799999999995</v>
      </c>
      <c r="X195" s="8">
        <f>IFERROR(W195/W444, "NA")</f>
        <v>2.307583032583814E-2</v>
      </c>
      <c r="Y195" s="9"/>
      <c r="Z195" s="7">
        <v>2714.35</v>
      </c>
      <c r="AA195" s="8">
        <f>IFERROR(Z195/Z444, "NA")</f>
        <v>2.1683056872061576E-3</v>
      </c>
      <c r="AB195" s="9"/>
      <c r="AC195" s="10">
        <f t="shared" si="51"/>
        <v>-1952.1299999999997</v>
      </c>
      <c r="AD195" s="8">
        <f>IFERROR(AC195/AC444, "NA")</f>
        <v>-2.5282472668384678E-2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34794.810000000005</v>
      </c>
      <c r="C196" s="15">
        <f>IFERROR(B196/B444, "NA")</f>
        <v>0.32918333327026206</v>
      </c>
      <c r="D196" s="2"/>
      <c r="E196" s="14">
        <f>IFERROR(E175+E177+E178+E179+E180+E181+E183+E184+E186+E187+E188+E189+E190+E191+E192+E194+E195, "NA")</f>
        <v>34303.599999999999</v>
      </c>
      <c r="F196" s="15">
        <f>IFERROR(E196/E444, "NA")</f>
        <v>0.32800171346176643</v>
      </c>
      <c r="G196" s="2"/>
      <c r="H196" s="14">
        <f t="shared" si="48"/>
        <v>-491.2100000000064</v>
      </c>
      <c r="I196" s="15">
        <f>IFERROR(H196/H444, "NA")</f>
        <v>-0.43983703438396449</v>
      </c>
      <c r="J196" s="2"/>
      <c r="K196" s="14">
        <f>IFERROR(K175+K177+K178+K179+K180+K181+K183+K184+K186+K187+K188+K189+K190+K191+K192+K194+K195, "NA")</f>
        <v>29202.609999999997</v>
      </c>
      <c r="L196" s="15">
        <f>IFERROR(K196/K444, "NA")</f>
        <v>0.30455043196409126</v>
      </c>
      <c r="M196" s="2"/>
      <c r="N196" s="14">
        <f t="shared" si="49"/>
        <v>-5592.200000000008</v>
      </c>
      <c r="O196" s="15">
        <f>IFERROR(N196/N444, "NA")</f>
        <v>-0.56988830914723776</v>
      </c>
      <c r="P196" s="2"/>
      <c r="Q196" s="14">
        <f>IFERROR(Q175+Q177+Q178+Q179+Q180+Q181+Q183+Q184+Q186+Q187+Q188+Q189+Q190+Q191+Q192+Q194+Q195, "NA")</f>
        <v>372743.62</v>
      </c>
      <c r="R196" s="15">
        <f>IFERROR(Q196/Q444, "NA")</f>
        <v>0.28046022267470661</v>
      </c>
      <c r="S196" s="2"/>
      <c r="T196" s="14">
        <f>IFERROR(T175+T177+T178+T179+T180+T181+T183+T184+T186+T187+T188+T189+T190+T191+T192+T194+T195, "NA")</f>
        <v>402235.33000000007</v>
      </c>
      <c r="U196" s="15">
        <f>IFERROR(T196/T444, "NA")</f>
        <v>0.28283131808757522</v>
      </c>
      <c r="V196" s="2"/>
      <c r="W196" s="14">
        <f t="shared" si="50"/>
        <v>29491.710000000079</v>
      </c>
      <c r="X196" s="15">
        <f>IFERROR(W196/W444, "NA")</f>
        <v>-0.31666838646249834</v>
      </c>
      <c r="Y196" s="2"/>
      <c r="Z196" s="14">
        <f>IFERROR(Z175+Z177+Z178+Z179+Z180+Z181+Z183+Z184+Z186+Z187+Z188+Z189+Z190+Z191+Z192+Z194+Z195, "NA")</f>
        <v>368040.23</v>
      </c>
      <c r="AA196" s="15">
        <f>IFERROR(Z196/Z444, "NA")</f>
        <v>0.29400177715831133</v>
      </c>
      <c r="AB196" s="2"/>
      <c r="AC196" s="14">
        <f t="shared" si="51"/>
        <v>-4703.390000000014</v>
      </c>
      <c r="AD196" s="15">
        <f>IFERROR(AC196/AC444, "NA")</f>
        <v>-6.091465687416011E-2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34794.810000000005</v>
      </c>
      <c r="C197" s="15">
        <f>IFERROR(B197/B444, "NA")</f>
        <v>0.32918333327026206</v>
      </c>
      <c r="D197" s="2"/>
      <c r="E197" s="14">
        <f>IFERROR(E175+E177+E178+E179+E180+E181+E183+E184+E186+E187+E188+E189+E190+E191+E192+E194+E195, "NA")</f>
        <v>34303.599999999999</v>
      </c>
      <c r="F197" s="15">
        <f>IFERROR(E197/E444, "NA")</f>
        <v>0.32800171346176643</v>
      </c>
      <c r="G197" s="2"/>
      <c r="H197" s="14">
        <f t="shared" si="48"/>
        <v>-491.2100000000064</v>
      </c>
      <c r="I197" s="15">
        <f>IFERROR(H197/H444, "NA")</f>
        <v>-0.43983703438396449</v>
      </c>
      <c r="J197" s="2"/>
      <c r="K197" s="14">
        <f>IFERROR(K175+K177+K178+K179+K180+K181+K183+K184+K186+K187+K188+K189+K190+K191+K192+K194+K195, "NA")</f>
        <v>29202.609999999997</v>
      </c>
      <c r="L197" s="15">
        <f>IFERROR(K197/K444, "NA")</f>
        <v>0.30455043196409126</v>
      </c>
      <c r="M197" s="2"/>
      <c r="N197" s="14">
        <f t="shared" si="49"/>
        <v>-5592.200000000008</v>
      </c>
      <c r="O197" s="15">
        <f>IFERROR(N197/N444, "NA")</f>
        <v>-0.56988830914723776</v>
      </c>
      <c r="P197" s="2"/>
      <c r="Q197" s="14">
        <f>IFERROR(Q175+Q177+Q178+Q179+Q180+Q181+Q183+Q184+Q186+Q187+Q188+Q189+Q190+Q191+Q192+Q194+Q195, "NA")</f>
        <v>372743.62</v>
      </c>
      <c r="R197" s="15">
        <f>IFERROR(Q197/Q444, "NA")</f>
        <v>0.28046022267470661</v>
      </c>
      <c r="S197" s="2"/>
      <c r="T197" s="14">
        <f>IFERROR(T175+T177+T178+T179+T180+T181+T183+T184+T186+T187+T188+T189+T190+T191+T192+T194+T195, "NA")</f>
        <v>402235.33000000007</v>
      </c>
      <c r="U197" s="15">
        <f>IFERROR(T197/T444, "NA")</f>
        <v>0.28283131808757522</v>
      </c>
      <c r="V197" s="2"/>
      <c r="W197" s="14">
        <f t="shared" si="50"/>
        <v>29491.710000000079</v>
      </c>
      <c r="X197" s="15">
        <f>IFERROR(W197/W444, "NA")</f>
        <v>-0.31666838646249834</v>
      </c>
      <c r="Y197" s="2"/>
      <c r="Z197" s="14">
        <f>IFERROR(Z175+Z177+Z178+Z179+Z180+Z181+Z183+Z184+Z186+Z187+Z188+Z189+Z190+Z191+Z192+Z194+Z195, "NA")</f>
        <v>368040.23</v>
      </c>
      <c r="AA197" s="15">
        <f>IFERROR(Z197/Z444, "NA")</f>
        <v>0.29400177715831133</v>
      </c>
      <c r="AB197" s="2"/>
      <c r="AC197" s="14">
        <f t="shared" si="51"/>
        <v>-4703.390000000014</v>
      </c>
      <c r="AD197" s="15">
        <f>IFERROR(AC197/AC444, "NA")</f>
        <v>-6.091465687416011E-2</v>
      </c>
    </row>
    <row r="198" spans="1:30" ht="16.5" customHeight="1" x14ac:dyDescent="0.45">
      <c r="A198" s="22" t="s">
        <v>181</v>
      </c>
      <c r="B198" s="23">
        <f>IFERROR(B172-B197, "NA")</f>
        <v>39578.250000000022</v>
      </c>
      <c r="C198" s="24">
        <f>IFERROR(B198/B444, "NA")</f>
        <v>0.37443803429315331</v>
      </c>
      <c r="D198" s="25"/>
      <c r="E198" s="23">
        <f>IFERROR(E172-E197, "NA")</f>
        <v>45493.689999999995</v>
      </c>
      <c r="F198" s="24">
        <f>IFERROR(E198/E444, "NA")</f>
        <v>0.43499831713576498</v>
      </c>
      <c r="G198" s="25"/>
      <c r="H198" s="23">
        <f>IFERROR(B198-E198, "NA")</f>
        <v>-5915.4399999999732</v>
      </c>
      <c r="I198" s="24">
        <f>IFERROR(H198/H444, "NA")</f>
        <v>-5.2967765042980259</v>
      </c>
      <c r="J198" s="25"/>
      <c r="K198" s="23">
        <f>IFERROR(K172-K197, "NA")</f>
        <v>40833.460000000006</v>
      </c>
      <c r="L198" s="24">
        <f>IFERROR(K198/K444, "NA")</f>
        <v>0.42584713769037918</v>
      </c>
      <c r="M198" s="25"/>
      <c r="N198" s="23">
        <f>IFERROR(B198-K198, "NA")</f>
        <v>-1255.2099999999846</v>
      </c>
      <c r="O198" s="24">
        <f>IFERROR(N198/N444, "NA")</f>
        <v>-0.12791557965106656</v>
      </c>
      <c r="P198" s="25"/>
      <c r="Q198" s="23">
        <f>IFERROR(Q172-Q197, "NA")</f>
        <v>571072.99000000057</v>
      </c>
      <c r="R198" s="24">
        <f>IFERROR(Q198/Q444, "NA")</f>
        <v>0.42968745632429783</v>
      </c>
      <c r="S198" s="25"/>
      <c r="T198" s="23">
        <f>IFERROR(T172-T197, "NA")</f>
        <v>670245.81999999983</v>
      </c>
      <c r="U198" s="24">
        <f>IFERROR(T198/T444, "NA")</f>
        <v>0.4712825914951021</v>
      </c>
      <c r="V198" s="25"/>
      <c r="W198" s="23">
        <f>IFERROR(Q198-T198, "NA")</f>
        <v>-99172.82999999926</v>
      </c>
      <c r="X198" s="24">
        <f>IFERROR(W198/W444, "NA")</f>
        <v>1.0648721304061153</v>
      </c>
      <c r="Y198" s="25"/>
      <c r="Z198" s="23">
        <f>IFERROR(Z172-Z197, "NA")</f>
        <v>536102.88000000012</v>
      </c>
      <c r="AA198" s="24">
        <f>IFERROR(Z198/Z444, "NA")</f>
        <v>0.42825535529006964</v>
      </c>
      <c r="AB198" s="25"/>
      <c r="AC198" s="23">
        <f>IFERROR(Q198-Z198, "NA")</f>
        <v>34970.110000000452</v>
      </c>
      <c r="AD198" s="24">
        <f>IFERROR(AC198/AC444, "NA")</f>
        <v>0.45290572363798376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2196.2600000000002</v>
      </c>
      <c r="F201" s="8">
        <f>IFERROR(E201/E444, "NA")</f>
        <v>2.1000042071605874E-2</v>
      </c>
      <c r="G201" s="9"/>
      <c r="H201" s="10">
        <f t="shared" ref="H201:H209" si="52">IFERROR(-(B201-E201), "NA")</f>
        <v>2196.2600000000002</v>
      </c>
      <c r="I201" s="8">
        <f>IFERROR(H201/H444, "NA")</f>
        <v>1.9665651862464391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30206.37</v>
      </c>
      <c r="U201" s="8">
        <f>IFERROR(T201/T444, "NA")</f>
        <v>2.1239574956632944E-2</v>
      </c>
      <c r="V201" s="9"/>
      <c r="W201" s="10">
        <f t="shared" ref="W201:W209" si="54">IFERROR(-(Q201-T201), "NA")</f>
        <v>30206.37</v>
      </c>
      <c r="X201" s="8">
        <f>IFERROR(W201/W444, "NA")</f>
        <v>-0.32434207608813426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1668.19</v>
      </c>
      <c r="C202" s="8">
        <f>IFERROR(B202/B444, "NA")</f>
        <v>1.5782248695369178E-2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-1668.19</v>
      </c>
      <c r="I202" s="8">
        <f>IFERROR(H202/H444, "NA")</f>
        <v>-1.4937231375358322</v>
      </c>
      <c r="J202" s="9"/>
      <c r="K202" s="7">
        <v>1418.85</v>
      </c>
      <c r="L202" s="8">
        <f>IFERROR(K202/K444, "NA")</f>
        <v>1.4797012335275883E-2</v>
      </c>
      <c r="M202" s="9"/>
      <c r="N202" s="10">
        <f t="shared" si="53"/>
        <v>-249.34000000000015</v>
      </c>
      <c r="O202" s="8">
        <f>IFERROR(N202/N444, "NA")</f>
        <v>-2.5409669003750249E-2</v>
      </c>
      <c r="P202" s="9"/>
      <c r="Q202" s="7">
        <v>19883.75</v>
      </c>
      <c r="R202" s="8">
        <f>IFERROR(Q202/Q444, "NA")</f>
        <v>1.4960956146233162E-2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-19883.75</v>
      </c>
      <c r="X202" s="8">
        <f>IFERROR(W202/W444, "NA")</f>
        <v>0.2135025411996688</v>
      </c>
      <c r="Y202" s="9"/>
      <c r="Z202" s="7">
        <v>15754.8</v>
      </c>
      <c r="AA202" s="8">
        <f>IFERROR(Z202/Z444, "NA")</f>
        <v>1.258541545519022E-2</v>
      </c>
      <c r="AB202" s="9"/>
      <c r="AC202" s="10">
        <f t="shared" si="55"/>
        <v>-4128.9500000000007</v>
      </c>
      <c r="AD202" s="8">
        <f>IFERROR(AC202/AC444, "NA")</f>
        <v>-5.3474955829850956E-2</v>
      </c>
    </row>
    <row r="203" spans="1:30" ht="16.5" customHeight="1" x14ac:dyDescent="0.45">
      <c r="A203" s="6" t="s">
        <v>185</v>
      </c>
      <c r="B203" s="7">
        <v>892.69</v>
      </c>
      <c r="C203" s="8">
        <f>IFERROR(B203/B444, "NA")</f>
        <v>8.4454741893124352E-3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-892.69</v>
      </c>
      <c r="I203" s="8">
        <f>IFERROR(H203/H444, "NA")</f>
        <v>-0.79932843839542389</v>
      </c>
      <c r="J203" s="9"/>
      <c r="K203" s="7">
        <v>698.71</v>
      </c>
      <c r="L203" s="8">
        <f>IFERROR(K203/K444, "NA")</f>
        <v>7.2867607490436715E-3</v>
      </c>
      <c r="M203" s="9"/>
      <c r="N203" s="10">
        <f t="shared" si="53"/>
        <v>-193.98000000000002</v>
      </c>
      <c r="O203" s="8">
        <f>IFERROR(N203/N444, "NA")</f>
        <v>-1.9768058046632994E-2</v>
      </c>
      <c r="P203" s="9"/>
      <c r="Q203" s="7">
        <v>10855.28</v>
      </c>
      <c r="R203" s="8">
        <f>IFERROR(Q203/Q444, "NA")</f>
        <v>8.1677434103266198E-3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-10855.28</v>
      </c>
      <c r="X203" s="8">
        <f>IFERROR(W203/W444, "NA")</f>
        <v>0.11655899241510988</v>
      </c>
      <c r="Y203" s="9"/>
      <c r="Z203" s="7">
        <v>6797.82</v>
      </c>
      <c r="AA203" s="8">
        <f>IFERROR(Z203/Z444, "NA")</f>
        <v>5.4303062488639132E-3</v>
      </c>
      <c r="AB203" s="9"/>
      <c r="AC203" s="10">
        <f t="shared" si="55"/>
        <v>-4057.4600000000009</v>
      </c>
      <c r="AD203" s="8">
        <f>IFERROR(AC203/AC444, "NA")</f>
        <v>-5.2549072834833815E-2</v>
      </c>
    </row>
    <row r="204" spans="1:30" ht="16.5" customHeight="1" x14ac:dyDescent="0.45">
      <c r="A204" s="6" t="s">
        <v>186</v>
      </c>
      <c r="B204" s="7">
        <v>187.42</v>
      </c>
      <c r="C204" s="8">
        <f>IFERROR(B204/B444, "NA")</f>
        <v>1.7731247942297285E-3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-187.42</v>
      </c>
      <c r="I204" s="8">
        <f>IFERROR(H204/H444, "NA")</f>
        <v>-0.16781876790831118</v>
      </c>
      <c r="J204" s="9"/>
      <c r="K204" s="7">
        <v>47.35</v>
      </c>
      <c r="L204" s="8">
        <f>IFERROR(K204/K444, "NA")</f>
        <v>4.9380733275209722E-4</v>
      </c>
      <c r="M204" s="9"/>
      <c r="N204" s="10">
        <f t="shared" si="53"/>
        <v>-140.07</v>
      </c>
      <c r="O204" s="8">
        <f>IFERROR(N204/N444, "NA")</f>
        <v>-1.4274213272460475E-2</v>
      </c>
      <c r="P204" s="9"/>
      <c r="Q204" s="7">
        <v>3353.53</v>
      </c>
      <c r="R204" s="8">
        <f>IFERROR(Q204/Q444, "NA")</f>
        <v>2.5232672541687204E-3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-3353.53</v>
      </c>
      <c r="X204" s="8">
        <f>IFERROR(W204/W444, "NA")</f>
        <v>3.6008659180955575E-2</v>
      </c>
      <c r="Y204" s="9"/>
      <c r="Z204" s="7">
        <v>1489.03</v>
      </c>
      <c r="AA204" s="8">
        <f>IFERROR(Z204/Z444, "NA")</f>
        <v>1.1894826449870448E-3</v>
      </c>
      <c r="AB204" s="9"/>
      <c r="AC204" s="10">
        <f t="shared" si="55"/>
        <v>-1864.5000000000002</v>
      </c>
      <c r="AD204" s="8">
        <f>IFERROR(AC204/AC444, "NA")</f>
        <v>-2.4147556919981376E-2</v>
      </c>
    </row>
    <row r="205" spans="1:30" ht="16.5" customHeight="1" x14ac:dyDescent="0.45">
      <c r="A205" s="6" t="s">
        <v>187</v>
      </c>
      <c r="B205" s="7">
        <v>293.14999999999998</v>
      </c>
      <c r="C205" s="8">
        <f>IFERROR(B205/B444, "NA")</f>
        <v>2.7734048310129383E-3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-293.14999999999998</v>
      </c>
      <c r="I205" s="8">
        <f>IFERROR(H205/H444, "NA")</f>
        <v>-0.26249104584527494</v>
      </c>
      <c r="J205" s="9"/>
      <c r="K205" s="7">
        <v>261.41000000000003</v>
      </c>
      <c r="L205" s="8">
        <f>IFERROR(K205/K444, "NA")</f>
        <v>2.7262127741230356E-3</v>
      </c>
      <c r="M205" s="9"/>
      <c r="N205" s="10">
        <f t="shared" si="53"/>
        <v>-31.739999999999952</v>
      </c>
      <c r="O205" s="8">
        <f>IFERROR(N205/N444, "NA")</f>
        <v>-3.234550790803847E-3</v>
      </c>
      <c r="P205" s="9"/>
      <c r="Q205" s="7">
        <v>2953.35</v>
      </c>
      <c r="R205" s="8">
        <f>IFERROR(Q205/Q444, "NA")</f>
        <v>2.2221633159981245E-3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-2953.35</v>
      </c>
      <c r="X205" s="8">
        <f>IFERROR(W205/W444, "NA")</f>
        <v>3.1711710821753537E-2</v>
      </c>
      <c r="Y205" s="9"/>
      <c r="Z205" s="7">
        <v>2813.8</v>
      </c>
      <c r="AA205" s="8">
        <f>IFERROR(Z205/Z444, "NA")</f>
        <v>2.2477493848106129E-3</v>
      </c>
      <c r="AB205" s="9"/>
      <c r="AC205" s="10">
        <f t="shared" si="55"/>
        <v>-139.54999999999973</v>
      </c>
      <c r="AD205" s="8">
        <f>IFERROR(AC205/AC444, "NA")</f>
        <v>-1.8073432921337591E-3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1215.46</v>
      </c>
      <c r="R206" s="8">
        <f>IFERROR(Q206/Q444, "NA")</f>
        <v>9.1453793964923916E-4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-1215.46</v>
      </c>
      <c r="X206" s="8">
        <f>IFERROR(W206/W444, "NA")</f>
        <v>1.3051049159567459E-2</v>
      </c>
      <c r="Y206" s="9"/>
      <c r="Z206" s="7">
        <v>239</v>
      </c>
      <c r="AA206" s="8">
        <f>IFERROR(Z206/Z444, "NA")</f>
        <v>1.9092050002478373E-4</v>
      </c>
      <c r="AB206" s="9"/>
      <c r="AC206" s="10">
        <f t="shared" si="55"/>
        <v>-976.46</v>
      </c>
      <c r="AD206" s="8">
        <f>IFERROR(AC206/AC444, "NA")</f>
        <v>-1.2646352067624034E-2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1014.57</v>
      </c>
      <c r="R207" s="8">
        <f>IFERROR(Q207/Q444, "NA")</f>
        <v>7.6338403355925215E-4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-1014.57</v>
      </c>
      <c r="X207" s="8">
        <f>IFERROR(W207/W444, "NA")</f>
        <v>1.089398494876208E-2</v>
      </c>
      <c r="Y207" s="9"/>
      <c r="Z207" s="7">
        <v>563.29</v>
      </c>
      <c r="AA207" s="8">
        <f>IFERROR(Z207/Z444, "NA")</f>
        <v>4.49973257150462E-4</v>
      </c>
      <c r="AB207" s="9"/>
      <c r="AC207" s="10">
        <f t="shared" si="55"/>
        <v>-451.28000000000009</v>
      </c>
      <c r="AD207" s="8">
        <f>IFERROR(AC207/AC444, "NA")</f>
        <v>-5.84462831153081E-3</v>
      </c>
    </row>
    <row r="208" spans="1:30" ht="16.5" customHeight="1" x14ac:dyDescent="0.45">
      <c r="A208" s="6" t="s">
        <v>190</v>
      </c>
      <c r="B208" s="7">
        <v>133.87</v>
      </c>
      <c r="C208" s="8">
        <f>IFERROR(B208/B444, "NA")</f>
        <v>1.2665041948753269E-3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-133.87</v>
      </c>
      <c r="I208" s="8">
        <f>IFERROR(H208/H444, "NA")</f>
        <v>-0.11986926934097547</v>
      </c>
      <c r="J208" s="9"/>
      <c r="K208" s="7">
        <v>227.37</v>
      </c>
      <c r="L208" s="8">
        <f>IFERROR(K208/K444, "NA")</f>
        <v>2.3712137961529956E-3</v>
      </c>
      <c r="M208" s="9"/>
      <c r="N208" s="10">
        <f t="shared" si="53"/>
        <v>93.5</v>
      </c>
      <c r="O208" s="8">
        <f>IFERROR(N208/N444, "NA")</f>
        <v>9.5283711071253979E-3</v>
      </c>
      <c r="P208" s="9"/>
      <c r="Q208" s="7">
        <v>1494.19</v>
      </c>
      <c r="R208" s="8">
        <f>IFERROR(Q208/Q444, "NA")</f>
        <v>1.1242603162954739E-3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-1494.19</v>
      </c>
      <c r="X208" s="8">
        <f>IFERROR(W208/W444, "NA")</f>
        <v>1.6043923406557272E-2</v>
      </c>
      <c r="Y208" s="9"/>
      <c r="Z208" s="7">
        <v>2389.29</v>
      </c>
      <c r="AA208" s="8">
        <f>IFERROR(Z208/Z444, "NA")</f>
        <v>1.908637830561571E-3</v>
      </c>
      <c r="AB208" s="9"/>
      <c r="AC208" s="10">
        <f t="shared" si="55"/>
        <v>895.09999999999991</v>
      </c>
      <c r="AD208" s="8">
        <f>IFERROR(AC208/AC444, "NA")</f>
        <v>1.1592640492933936E-2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3175.32</v>
      </c>
      <c r="C209" s="15">
        <f>IFERROR(B209/B444, "NA")</f>
        <v>3.0040756704799606E-2</v>
      </c>
      <c r="D209" s="2"/>
      <c r="E209" s="14">
        <f>IFERROR(E201+E202+E203+E204+E205+E206+E207+E208, "NA")</f>
        <v>2196.2600000000002</v>
      </c>
      <c r="F209" s="15">
        <f>IFERROR(E209/E444, "NA")</f>
        <v>2.1000042071605874E-2</v>
      </c>
      <c r="G209" s="2"/>
      <c r="H209" s="14">
        <f t="shared" si="52"/>
        <v>-979.06</v>
      </c>
      <c r="I209" s="15">
        <f>IFERROR(H209/H444, "NA")</f>
        <v>-0.87666547277937867</v>
      </c>
      <c r="J209" s="2"/>
      <c r="K209" s="14">
        <f>IFERROR(K201+K202+K203+K204+K205+K206+K207+K208, "NA")</f>
        <v>2653.6899999999996</v>
      </c>
      <c r="L209" s="15">
        <f>IFERROR(K209/K444, "NA")</f>
        <v>2.7675006987347681E-2</v>
      </c>
      <c r="M209" s="2"/>
      <c r="N209" s="14">
        <f t="shared" si="53"/>
        <v>-521.63000000000056</v>
      </c>
      <c r="O209" s="15">
        <f>IFERROR(N209/N444, "NA")</f>
        <v>-5.3158120006522216E-2</v>
      </c>
      <c r="P209" s="2"/>
      <c r="Q209" s="14">
        <f>IFERROR(Q201+Q202+Q203+Q204+Q205+Q206+Q207+Q208, "NA")</f>
        <v>40770.129999999997</v>
      </c>
      <c r="R209" s="15">
        <f>IFERROR(Q209/Q444, "NA")</f>
        <v>3.0676312416230589E-2</v>
      </c>
      <c r="S209" s="2"/>
      <c r="T209" s="14">
        <f>IFERROR(T201+T202+T203+T204+T205+T206+T207+T208, "NA")</f>
        <v>30206.37</v>
      </c>
      <c r="U209" s="15">
        <f>IFERROR(T209/T444, "NA")</f>
        <v>2.1239574956632944E-2</v>
      </c>
      <c r="V209" s="2"/>
      <c r="W209" s="14">
        <f t="shared" si="54"/>
        <v>-10563.759999999998</v>
      </c>
      <c r="X209" s="15">
        <f>IFERROR(W209/W444, "NA")</f>
        <v>0.1134287850442403</v>
      </c>
      <c r="Y209" s="2"/>
      <c r="Z209" s="14">
        <f>IFERROR(Z201+Z202+Z203+Z204+Z205+Z206+Z207+Z208, "NA")</f>
        <v>30047.03</v>
      </c>
      <c r="AA209" s="15">
        <f>IFERROR(Z209/Z444, "NA")</f>
        <v>2.4002485321588607E-2</v>
      </c>
      <c r="AB209" s="2"/>
      <c r="AC209" s="14">
        <f t="shared" si="55"/>
        <v>-10723.099999999999</v>
      </c>
      <c r="AD209" s="15">
        <f>IFERROR(AC209/AC444, "NA")</f>
        <v>-0.13887726876302076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2842</v>
      </c>
      <c r="F213" s="8">
        <f>IFERROR(E213/E444, "NA")</f>
        <v>2.7174432702641714E-2</v>
      </c>
      <c r="G213" s="9"/>
      <c r="H213" s="10">
        <f t="shared" ref="H213:H227" si="56">IFERROR(-(B213-E213), "NA")</f>
        <v>2842</v>
      </c>
      <c r="I213" s="8">
        <f>IFERROR(H213/H444, "NA")</f>
        <v>2.5447707736389948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34336.99</v>
      </c>
      <c r="U213" s="8">
        <f>IFERROR(T213/T444, "NA")</f>
        <v>2.4144015745359529E-2</v>
      </c>
      <c r="V213" s="9"/>
      <c r="W213" s="10">
        <f t="shared" ref="W213:W227" si="58">IFERROR(-(Q213-T213), "NA")</f>
        <v>34336.99</v>
      </c>
      <c r="X213" s="8">
        <f>IFERROR(W213/W444, "NA")</f>
        <v>-0.36869476945483703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1099.29</v>
      </c>
      <c r="C214" s="8">
        <f>IFERROR(B214/B444, "NA")</f>
        <v>1.0400055250500471E-2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-1099.29</v>
      </c>
      <c r="I214" s="8">
        <f>IFERROR(H214/H444, "NA")</f>
        <v>-0.98432127507164346</v>
      </c>
      <c r="J214" s="9"/>
      <c r="K214" s="7">
        <v>2319.3000000000002</v>
      </c>
      <c r="L214" s="8">
        <f>IFERROR(K214/K444, "NA")</f>
        <v>2.4187694759280658E-2</v>
      </c>
      <c r="M214" s="9"/>
      <c r="N214" s="10">
        <f t="shared" si="57"/>
        <v>1220.0100000000002</v>
      </c>
      <c r="O214" s="8">
        <f>IFERROR(N214/N444, "NA")</f>
        <v>0.12432842817544448</v>
      </c>
      <c r="P214" s="9"/>
      <c r="Q214" s="7">
        <v>20545.03</v>
      </c>
      <c r="R214" s="8">
        <f>IFERROR(Q214/Q444, "NA")</f>
        <v>1.5458517274309155E-2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-20545.03</v>
      </c>
      <c r="X214" s="8">
        <f>IFERROR(W214/W444, "NA")</f>
        <v>0.22060306099319452</v>
      </c>
      <c r="Y214" s="9"/>
      <c r="Z214" s="7">
        <v>16505.5</v>
      </c>
      <c r="AA214" s="8">
        <f>IFERROR(Z214/Z444, "NA")</f>
        <v>1.3185097544598609E-2</v>
      </c>
      <c r="AB214" s="9"/>
      <c r="AC214" s="10">
        <f t="shared" si="59"/>
        <v>-4039.5299999999988</v>
      </c>
      <c r="AD214" s="8">
        <f>IFERROR(AC214/AC444, "NA")</f>
        <v>-5.2316857390706531E-2</v>
      </c>
    </row>
    <row r="215" spans="1:30" ht="16.5" customHeight="1" x14ac:dyDescent="0.45">
      <c r="A215" s="12" t="s">
        <v>195</v>
      </c>
      <c r="B215" s="7">
        <v>269.48</v>
      </c>
      <c r="C215" s="8">
        <f>IFERROR(B215/B444, "NA")</f>
        <v>2.5494700114663711E-3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-269.48</v>
      </c>
      <c r="I215" s="8">
        <f>IFERROR(H215/H444, "NA")</f>
        <v>-0.24129656160458707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-269.48</v>
      </c>
      <c r="O215" s="8">
        <f>IFERROR(N215/N444, "NA")</f>
        <v>-2.7462090330996284E-2</v>
      </c>
      <c r="P215" s="9"/>
      <c r="Q215" s="7">
        <v>1523.26</v>
      </c>
      <c r="R215" s="8">
        <f>IFERROR(Q215/Q444, "NA")</f>
        <v>1.1461332022033633E-3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-1523.26</v>
      </c>
      <c r="X215" s="8">
        <f>IFERROR(W215/W444, "NA")</f>
        <v>1.6356063665445779E-2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-1523.26</v>
      </c>
      <c r="AD215" s="8">
        <f>IFERROR(AC215/AC444, "NA")</f>
        <v>-1.9728081283953244E-2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2.41</v>
      </c>
      <c r="R216" s="8">
        <f>IFERROR(Q216/Q444, "NA")</f>
        <v>1.8133352266258588E-6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2.5877469003140848E-5</v>
      </c>
      <c r="Y216" s="9"/>
      <c r="Z216" s="7">
        <v>1114.08</v>
      </c>
      <c r="AA216" s="8">
        <f>IFERROR(Z216/Z444, "NA")</f>
        <v>8.8996113250046458E-4</v>
      </c>
      <c r="AB216" s="9"/>
      <c r="AC216" s="10">
        <f t="shared" si="59"/>
        <v>1111.6699999999998</v>
      </c>
      <c r="AD216" s="8">
        <f>IFERROR(AC216/AC444, "NA")</f>
        <v>1.4397487048128554E-2</v>
      </c>
    </row>
    <row r="217" spans="1:30" ht="16.5" customHeight="1" x14ac:dyDescent="0.45">
      <c r="A217" s="12" t="s">
        <v>197</v>
      </c>
      <c r="B217" s="7">
        <v>1371.81</v>
      </c>
      <c r="C217" s="8">
        <f>IFERROR(B217/B444, "NA")</f>
        <v>1.2978285796458671E-2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-1371.81</v>
      </c>
      <c r="I217" s="8">
        <f>IFERROR(H217/H444, "NA")</f>
        <v>-1.2283398997134798</v>
      </c>
      <c r="J217" s="9"/>
      <c r="K217" s="7">
        <v>1570.49</v>
      </c>
      <c r="L217" s="8">
        <f>IFERROR(K217/K444, "NA")</f>
        <v>1.6378447265339834E-2</v>
      </c>
      <c r="M217" s="9"/>
      <c r="N217" s="10">
        <f t="shared" si="57"/>
        <v>198.68000000000006</v>
      </c>
      <c r="O217" s="8">
        <f>IFERROR(N217/N444, "NA")</f>
        <v>2.024702429479866E-2</v>
      </c>
      <c r="P217" s="9"/>
      <c r="Q217" s="7">
        <v>17631.240000000002</v>
      </c>
      <c r="R217" s="8">
        <f>IFERROR(Q217/Q444, "NA")</f>
        <v>1.3266119743192908E-2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-17631.240000000002</v>
      </c>
      <c r="X217" s="8">
        <f>IFERROR(W217/W444, "NA")</f>
        <v>0.18931612721449673</v>
      </c>
      <c r="Y217" s="9"/>
      <c r="Z217" s="7">
        <v>20133.330000000002</v>
      </c>
      <c r="AA217" s="8">
        <f>IFERROR(Z217/Z444, "NA")</f>
        <v>1.6083118957171461E-2</v>
      </c>
      <c r="AB217" s="9"/>
      <c r="AC217" s="10">
        <f t="shared" si="59"/>
        <v>2502.09</v>
      </c>
      <c r="AD217" s="8">
        <f>IFERROR(AC217/AC444, "NA")</f>
        <v>3.2405127752167445E-2</v>
      </c>
    </row>
    <row r="218" spans="1:30" ht="16.5" customHeight="1" x14ac:dyDescent="0.45">
      <c r="A218" s="13" t="s">
        <v>198</v>
      </c>
      <c r="B218" s="14">
        <f>IFERROR(B213+B214+B215+B216+B217, "NA")</f>
        <v>2740.58</v>
      </c>
      <c r="C218" s="15">
        <f>IFERROR(B218/B444, "NA")</f>
        <v>2.5927811058425513E-2</v>
      </c>
      <c r="D218" s="2"/>
      <c r="E218" s="14">
        <f>IFERROR(E213+E214+E215+E216+E217, "NA")</f>
        <v>2842</v>
      </c>
      <c r="F218" s="15">
        <f>IFERROR(E218/E444, "NA")</f>
        <v>2.7174432702641714E-2</v>
      </c>
      <c r="G218" s="2"/>
      <c r="H218" s="14">
        <f t="shared" si="56"/>
        <v>101.42000000000007</v>
      </c>
      <c r="I218" s="15">
        <f>IFERROR(H218/H444, "NA")</f>
        <v>9.0813037249284675E-2</v>
      </c>
      <c r="J218" s="2"/>
      <c r="K218" s="14">
        <f>IFERROR(K213+K214+K215+K216+K217, "NA")</f>
        <v>3889.79</v>
      </c>
      <c r="L218" s="15">
        <f>IFERROR(K218/K444, "NA")</f>
        <v>4.0566142024620493E-2</v>
      </c>
      <c r="M218" s="2"/>
      <c r="N218" s="14">
        <f t="shared" si="57"/>
        <v>1149.21</v>
      </c>
      <c r="O218" s="15">
        <f>IFERROR(N218/N444, "NA")</f>
        <v>0.11711336213924683</v>
      </c>
      <c r="P218" s="2"/>
      <c r="Q218" s="14">
        <f>IFERROR(Q213+Q214+Q215+Q216+Q217, "NA")</f>
        <v>39701.94</v>
      </c>
      <c r="R218" s="15">
        <f>IFERROR(Q218/Q444, "NA")</f>
        <v>2.9872583554932056E-2</v>
      </c>
      <c r="S218" s="2"/>
      <c r="T218" s="14">
        <f>IFERROR(T213+T214+T215+T216+T217, "NA")</f>
        <v>34336.99</v>
      </c>
      <c r="U218" s="15">
        <f>IFERROR(T218/T444, "NA")</f>
        <v>2.4144015745359529E-2</v>
      </c>
      <c r="V218" s="2"/>
      <c r="W218" s="14">
        <f t="shared" si="58"/>
        <v>-5364.9500000000044</v>
      </c>
      <c r="X218" s="15">
        <f>IFERROR(W218/W444, "NA")</f>
        <v>5.7606359887303157E-2</v>
      </c>
      <c r="Y218" s="2"/>
      <c r="Z218" s="14">
        <f>IFERROR(Z213+Z214+Z215+Z216+Z217, "NA")</f>
        <v>37752.910000000003</v>
      </c>
      <c r="AA218" s="15">
        <f>IFERROR(Z218/Z444, "NA")</f>
        <v>3.0158177634270537E-2</v>
      </c>
      <c r="AB218" s="2"/>
      <c r="AC218" s="14">
        <f t="shared" si="59"/>
        <v>-1949.0299999999988</v>
      </c>
      <c r="AD218" s="15">
        <f>IFERROR(AC218/AC444, "NA")</f>
        <v>-2.524232387436378E-2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349.92</v>
      </c>
      <c r="C222" s="8">
        <f>IFERROR(B222/B444, "NA")</f>
        <v>3.3104888912435528E-3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-349.92</v>
      </c>
      <c r="I222" s="8">
        <f>IFERROR(H222/H444, "NA")</f>
        <v>-0.31332378223496032</v>
      </c>
      <c r="J222" s="9"/>
      <c r="K222" s="7">
        <v>335.94</v>
      </c>
      <c r="L222" s="8">
        <f>IFERROR(K222/K444, "NA")</f>
        <v>3.5034769876396946E-3</v>
      </c>
      <c r="M222" s="9"/>
      <c r="N222" s="10">
        <f t="shared" si="57"/>
        <v>-13.980000000000018</v>
      </c>
      <c r="O222" s="8">
        <f>IFERROR(N222/N444, "NA")</f>
        <v>-1.4246698190119064E-3</v>
      </c>
      <c r="P222" s="9"/>
      <c r="Q222" s="7">
        <v>3290.01</v>
      </c>
      <c r="R222" s="8">
        <f>IFERROR(Q222/Q444, "NA")</f>
        <v>2.4754734559964075E-3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-3290.01</v>
      </c>
      <c r="X222" s="8">
        <f>IFERROR(W222/W444, "NA")</f>
        <v>3.5326610703329223E-2</v>
      </c>
      <c r="Y222" s="9"/>
      <c r="Z222" s="7">
        <v>2136.4</v>
      </c>
      <c r="AA222" s="8">
        <f>IFERROR(Z222/Z444, "NA")</f>
        <v>1.7066215742801169E-3</v>
      </c>
      <c r="AB222" s="9"/>
      <c r="AC222" s="10">
        <f t="shared" si="59"/>
        <v>-1153.6100000000001</v>
      </c>
      <c r="AD222" s="8">
        <f>IFERROR(AC222/AC444, "NA")</f>
        <v>-1.4940661377559514E-2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104.58</v>
      </c>
      <c r="F226" s="8">
        <f>IFERROR(E226/E444, "NA")</f>
        <v>9.9996557777701266E-4</v>
      </c>
      <c r="G226" s="9"/>
      <c r="H226" s="10">
        <f t="shared" si="56"/>
        <v>104.58</v>
      </c>
      <c r="I226" s="8">
        <f>IFERROR(H226/H444, "NA")</f>
        <v>9.3642550143267445E-2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1422.17</v>
      </c>
      <c r="U226" s="8">
        <f>IFERROR(T226/T444, "NA")</f>
        <v>9.9999722959344915E-4</v>
      </c>
      <c r="V226" s="9"/>
      <c r="W226" s="10">
        <f t="shared" si="58"/>
        <v>1422.17</v>
      </c>
      <c r="X226" s="8">
        <f>IFERROR(W226/W444, "NA")</f>
        <v>-1.5270605847384574E-2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3090.5</v>
      </c>
      <c r="C227" s="15">
        <f>IFERROR(B227/B444, "NA")</f>
        <v>2.9238299949669068E-2</v>
      </c>
      <c r="D227" s="2"/>
      <c r="E227" s="14">
        <f>IFERROR(E211+E213+E214+E215+E216+E217+E219+E220+E221+E222+E223+E224+E225+E226, "NA")</f>
        <v>2946.58</v>
      </c>
      <c r="F227" s="15">
        <f>IFERROR(E227/E444, "NA")</f>
        <v>2.8174398280418726E-2</v>
      </c>
      <c r="G227" s="2"/>
      <c r="H227" s="14">
        <f t="shared" si="56"/>
        <v>-143.92000000000007</v>
      </c>
      <c r="I227" s="15">
        <f>IFERROR(H227/H444, "NA")</f>
        <v>-0.12886819484240827</v>
      </c>
      <c r="J227" s="2"/>
      <c r="K227" s="14">
        <f>IFERROR(K211+K213+K214+K215+K216+K217+K219+K220+K221+K222+K223+K224+K225+K226, "NA")</f>
        <v>4225.7299999999996</v>
      </c>
      <c r="L227" s="15">
        <f>IFERROR(K227/K444, "NA")</f>
        <v>4.4069619012260183E-2</v>
      </c>
      <c r="M227" s="2"/>
      <c r="N227" s="14">
        <f t="shared" si="57"/>
        <v>1135.2299999999996</v>
      </c>
      <c r="O227" s="15">
        <f>IFERROR(N227/N444, "NA")</f>
        <v>0.11568869232023489</v>
      </c>
      <c r="P227" s="2"/>
      <c r="Q227" s="14">
        <f>IFERROR(Q211+Q213+Q214+Q215+Q216+Q217+Q219+Q220+Q221+Q222+Q223+Q224+Q225+Q226, "NA")</f>
        <v>42991.950000000004</v>
      </c>
      <c r="R227" s="15">
        <f>IFERROR(Q227/Q444, "NA")</f>
        <v>3.2348057010928466E-2</v>
      </c>
      <c r="S227" s="2"/>
      <c r="T227" s="14">
        <f>IFERROR(T211+T213+T214+T215+T216+T217+T219+T220+T221+T222+T223+T224+T225+T226, "NA")</f>
        <v>35759.159999999996</v>
      </c>
      <c r="U227" s="15">
        <f>IFERROR(T227/T444, "NA")</f>
        <v>2.5144012974952976E-2</v>
      </c>
      <c r="V227" s="2"/>
      <c r="W227" s="14">
        <f t="shared" si="58"/>
        <v>-7232.7900000000081</v>
      </c>
      <c r="X227" s="15">
        <f>IFERROR(W227/W444, "NA")</f>
        <v>7.766236474324785E-2</v>
      </c>
      <c r="Y227" s="2"/>
      <c r="Z227" s="14">
        <f>IFERROR(Z211+Z213+Z214+Z215+Z216+Z217+Z219+Z220+Z221+Z222+Z223+Z224+Z225+Z226, "NA")</f>
        <v>39889.310000000005</v>
      </c>
      <c r="AA227" s="15">
        <f>IFERROR(Z227/Z444, "NA")</f>
        <v>3.1864799208550655E-2</v>
      </c>
      <c r="AB227" s="2"/>
      <c r="AC227" s="14">
        <f t="shared" si="59"/>
        <v>-3102.6399999999994</v>
      </c>
      <c r="AD227" s="15">
        <f>IFERROR(AC227/AC444, "NA")</f>
        <v>-4.0182985251923299E-2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1255</v>
      </c>
      <c r="F229" s="8">
        <f>IFERROR(E229/E444, "NA")</f>
        <v>1.1999969402468455E-2</v>
      </c>
      <c r="G229" s="9"/>
      <c r="H229" s="10">
        <f t="shared" ref="H229:H236" si="60">IFERROR(-(B229-E229), "NA")</f>
        <v>1255</v>
      </c>
      <c r="I229" s="8">
        <f>IFERROR(H229/H444, "NA")</f>
        <v>1.1237464183381205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17066.07</v>
      </c>
      <c r="U229" s="8">
        <f>IFERROR(T229/T444, "NA")</f>
        <v>1.1999987849587513E-2</v>
      </c>
      <c r="V229" s="9"/>
      <c r="W229" s="10">
        <f t="shared" ref="W229:W236" si="62">IFERROR(-(Q229-T229), "NA")</f>
        <v>17066.07</v>
      </c>
      <c r="X229" s="8">
        <f>IFERROR(W229/W444, "NA")</f>
        <v>-0.18324759229478502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1.7973687240826919E-4</v>
      </c>
      <c r="AB230" s="9"/>
      <c r="AC230" s="10">
        <f t="shared" si="63"/>
        <v>225</v>
      </c>
      <c r="AD230" s="8">
        <f>IFERROR(AC230/AC444, "NA")</f>
        <v>2.9140253724836735E-3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144.63999999999999</v>
      </c>
      <c r="L231" s="8">
        <f>IFERROR(K231/K444, "NA")</f>
        <v>1.5084327900583598E-3</v>
      </c>
      <c r="M231" s="9"/>
      <c r="N231" s="10">
        <f t="shared" si="61"/>
        <v>144.63999999999999</v>
      </c>
      <c r="O231" s="8">
        <f>IFERROR(N231/N444, "NA")</f>
        <v>1.47399315180173E-2</v>
      </c>
      <c r="P231" s="9"/>
      <c r="Q231" s="7">
        <v>1137.26</v>
      </c>
      <c r="R231" s="8">
        <f>IFERROR(Q231/Q444, "NA")</f>
        <v>8.5569859744088139E-4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-1137.26</v>
      </c>
      <c r="X231" s="8">
        <f>IFERROR(W231/W444, "NA")</f>
        <v>1.2211373609341063E-2</v>
      </c>
      <c r="Y231" s="9"/>
      <c r="Z231" s="7">
        <v>2141.5500000000002</v>
      </c>
      <c r="AA231" s="8">
        <f>IFERROR(Z231/Z444, "NA")</f>
        <v>1.7107355515819064E-3</v>
      </c>
      <c r="AB231" s="9"/>
      <c r="AC231" s="10">
        <f t="shared" si="63"/>
        <v>1004.2900000000002</v>
      </c>
      <c r="AD231" s="8">
        <f>IFERROR(AC231/AC444, "NA")</f>
        <v>1.3006784628140573E-2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1644.26</v>
      </c>
      <c r="C234" s="8">
        <f>IFERROR(B234/B444, "NA")</f>
        <v>1.5555854093267386E-2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-1644.26</v>
      </c>
      <c r="I234" s="8">
        <f>IFERROR(H234/H444, "NA")</f>
        <v>-1.4722958452722217</v>
      </c>
      <c r="J234" s="9"/>
      <c r="K234" s="7">
        <v>757.21</v>
      </c>
      <c r="L234" s="8">
        <f>IFERROR(K234/K444, "NA")</f>
        <v>7.8968500619475308E-3</v>
      </c>
      <c r="M234" s="9"/>
      <c r="N234" s="10">
        <f t="shared" si="61"/>
        <v>-887.05</v>
      </c>
      <c r="O234" s="8">
        <f>IFERROR(N234/N444, "NA")</f>
        <v>-9.0397236262840477E-2</v>
      </c>
      <c r="P234" s="9"/>
      <c r="Q234" s="7">
        <v>16099.1</v>
      </c>
      <c r="R234" s="8">
        <f>IFERROR(Q234/Q444, "NA")</f>
        <v>1.2113305040237495E-2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-16099.1</v>
      </c>
      <c r="X234" s="8">
        <f>IFERROR(W234/W444, "NA")</f>
        <v>0.17286471420268251</v>
      </c>
      <c r="Y234" s="9"/>
      <c r="Z234" s="7">
        <v>15515.89</v>
      </c>
      <c r="AA234" s="8">
        <f>IFERROR(Z234/Z444, "NA")</f>
        <v>1.2394566849914398E-2</v>
      </c>
      <c r="AB234" s="9"/>
      <c r="AC234" s="10">
        <f t="shared" si="63"/>
        <v>-583.21000000000095</v>
      </c>
      <c r="AD234" s="8">
        <f>IFERROR(AC234/AC444, "NA")</f>
        <v>-7.5532832777164705E-3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1644.26</v>
      </c>
      <c r="C236" s="15">
        <f>IFERROR(B236/B444, "NA")</f>
        <v>1.5555854093267386E-2</v>
      </c>
      <c r="D236" s="2"/>
      <c r="E236" s="14">
        <f>IFERROR(E229+E230+E231+E232+E233+E234+E235, "NA")</f>
        <v>1255</v>
      </c>
      <c r="F236" s="15">
        <f>IFERROR(E236/E444, "NA")</f>
        <v>1.1999969402468455E-2</v>
      </c>
      <c r="G236" s="2"/>
      <c r="H236" s="14">
        <f t="shared" si="60"/>
        <v>-389.26</v>
      </c>
      <c r="I236" s="15">
        <f>IFERROR(H236/H444, "NA")</f>
        <v>-0.34854942693410107</v>
      </c>
      <c r="J236" s="2"/>
      <c r="K236" s="14">
        <f>IFERROR(K229+K230+K231+K232+K233+K234+K235, "NA")</f>
        <v>901.85</v>
      </c>
      <c r="L236" s="15">
        <f>IFERROR(K236/K444, "NA")</f>
        <v>9.4052828520058904E-3</v>
      </c>
      <c r="M236" s="2"/>
      <c r="N236" s="14">
        <f t="shared" si="61"/>
        <v>-742.41</v>
      </c>
      <c r="O236" s="15">
        <f>IFERROR(N236/N444, "NA")</f>
        <v>-7.565730474482317E-2</v>
      </c>
      <c r="P236" s="2"/>
      <c r="Q236" s="14">
        <f>IFERROR(Q229+Q230+Q231+Q232+Q233+Q234+Q235, "NA")</f>
        <v>17236.36</v>
      </c>
      <c r="R236" s="15">
        <f>IFERROR(Q236/Q444, "NA")</f>
        <v>1.2969003637678377E-2</v>
      </c>
      <c r="S236" s="2"/>
      <c r="T236" s="14">
        <f>IFERROR(T229+T230+T231+T232+T233+T234+T235, "NA")</f>
        <v>17066.07</v>
      </c>
      <c r="U236" s="15">
        <f>IFERROR(T236/T444, "NA")</f>
        <v>1.1999987849587513E-2</v>
      </c>
      <c r="V236" s="2"/>
      <c r="W236" s="14">
        <f t="shared" si="62"/>
        <v>-170.29000000000087</v>
      </c>
      <c r="X236" s="15">
        <f>IFERROR(W236/W444, "NA")</f>
        <v>1.8284955172385383E-3</v>
      </c>
      <c r="Y236" s="2"/>
      <c r="Z236" s="14">
        <f>IFERROR(Z229+Z230+Z231+Z232+Z233+Z234+Z235, "NA")</f>
        <v>17882.439999999999</v>
      </c>
      <c r="AA236" s="15">
        <f>IFERROR(Z236/Z444, "NA")</f>
        <v>1.4285039273904574E-2</v>
      </c>
      <c r="AB236" s="2"/>
      <c r="AC236" s="14">
        <f t="shared" si="63"/>
        <v>646.07999999999811</v>
      </c>
      <c r="AD236" s="15">
        <f>IFERROR(AC236/AC444, "NA")</f>
        <v>8.3675267229077598E-3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4930.07</v>
      </c>
      <c r="F240" s="8">
        <f>IFERROR(E240/E444, "NA")</f>
        <v>4.7139991356197335E-2</v>
      </c>
      <c r="G240" s="9"/>
      <c r="H240" s="10">
        <f t="shared" ref="H240:H263" si="64">IFERROR(-(B240-E240), "NA")</f>
        <v>4930.07</v>
      </c>
      <c r="I240" s="8">
        <f>IFERROR(H240/H444, "NA")</f>
        <v>4.4144609598854325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67405.649999999994</v>
      </c>
      <c r="U240" s="8">
        <f>IFERROR(T240/T444, "NA")</f>
        <v>4.7396206683410325E-2</v>
      </c>
      <c r="V240" s="9"/>
      <c r="W240" s="10">
        <f t="shared" ref="W240:W263" si="66">IFERROR(-(Q240-T240), "NA")</f>
        <v>67405.649999999994</v>
      </c>
      <c r="X240" s="8">
        <f>IFERROR(W240/W444, "NA")</f>
        <v>-0.7237707960628883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1169.07</v>
      </c>
      <c r="C242" s="8">
        <f>IFERROR(B242/B444, "NA")</f>
        <v>1.1060223045513545E-2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-1169.07</v>
      </c>
      <c r="I242" s="8">
        <f>IFERROR(H242/H444, "NA")</f>
        <v>-1.0468033667621885</v>
      </c>
      <c r="J242" s="9"/>
      <c r="K242" s="7">
        <v>1185.58</v>
      </c>
      <c r="L242" s="8">
        <f>IFERROR(K242/K444, "NA")</f>
        <v>1.2364268163975319E-2</v>
      </c>
      <c r="M242" s="9"/>
      <c r="N242" s="10">
        <f t="shared" si="65"/>
        <v>16.509999999999991</v>
      </c>
      <c r="O242" s="8">
        <f>IFERROR(N242/N444, "NA")</f>
        <v>1.6824963313223555E-3</v>
      </c>
      <c r="P242" s="9"/>
      <c r="Q242" s="7">
        <v>14613.98</v>
      </c>
      <c r="R242" s="8">
        <f>IFERROR(Q242/Q444, "NA")</f>
        <v>1.0995869184732684E-2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-14613.98</v>
      </c>
      <c r="X242" s="8">
        <f>IFERROR(W242/W444, "NA")</f>
        <v>0.15691818027490467</v>
      </c>
      <c r="Y242" s="9"/>
      <c r="Z242" s="7">
        <v>12099.78</v>
      </c>
      <c r="AA242" s="8">
        <f>IFERROR(Z242/Z444, "NA")</f>
        <v>9.6656738401250109E-3</v>
      </c>
      <c r="AB242" s="9"/>
      <c r="AC242" s="10">
        <f t="shared" si="67"/>
        <v>-2514.1999999999989</v>
      </c>
      <c r="AD242" s="8">
        <f>IFERROR(AC242/AC444, "NA")</f>
        <v>-3.2561967073326439E-2</v>
      </c>
    </row>
    <row r="243" spans="1:30" ht="16.5" customHeight="1" x14ac:dyDescent="0.45">
      <c r="A243" s="12" t="s">
        <v>220</v>
      </c>
      <c r="B243" s="7">
        <v>2920.75</v>
      </c>
      <c r="C243" s="8">
        <f>IFERROR(B243/B444, "NA")</f>
        <v>2.7632345762173088E-2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-2920.75</v>
      </c>
      <c r="I243" s="8">
        <f>IFERROR(H243/H444, "NA")</f>
        <v>-2.6152847421203713</v>
      </c>
      <c r="J243" s="9"/>
      <c r="K243" s="7">
        <v>1149.5999999999999</v>
      </c>
      <c r="L243" s="8">
        <f>IFERROR(K243/K444, "NA")</f>
        <v>1.1989037164346588E-2</v>
      </c>
      <c r="M243" s="9"/>
      <c r="N243" s="10">
        <f t="shared" si="65"/>
        <v>-1771.15</v>
      </c>
      <c r="O243" s="8">
        <f>IFERROR(N243/N444, "NA")</f>
        <v>-0.18049384477417274</v>
      </c>
      <c r="P243" s="9"/>
      <c r="Q243" s="7">
        <v>30323.58</v>
      </c>
      <c r="R243" s="8">
        <f>IFERROR(Q243/Q444, "NA")</f>
        <v>2.2816106145812184E-2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-30323.58</v>
      </c>
      <c r="X243" s="8">
        <f>IFERROR(W243/W444, "NA")</f>
        <v>0.3256006230349634</v>
      </c>
      <c r="Y243" s="9"/>
      <c r="Z243" s="7">
        <v>29523.89</v>
      </c>
      <c r="AA243" s="8">
        <f>IFERROR(Z243/Z444, "NA")</f>
        <v>2.3584585110781223E-2</v>
      </c>
      <c r="AB243" s="9"/>
      <c r="AC243" s="10">
        <f t="shared" si="67"/>
        <v>-799.69000000000233</v>
      </c>
      <c r="AD243" s="8">
        <f>IFERROR(AC243/AC444, "NA")</f>
        <v>-1.0356964222762114E-2</v>
      </c>
    </row>
    <row r="244" spans="1:30" ht="16.5" customHeight="1" x14ac:dyDescent="0.45">
      <c r="A244" s="12" t="s">
        <v>221</v>
      </c>
      <c r="B244" s="7">
        <v>987.99</v>
      </c>
      <c r="C244" s="8">
        <f>IFERROR(B244/B444, "NA")</f>
        <v>9.347079102822696E-3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-987.99</v>
      </c>
      <c r="I244" s="8">
        <f>IFERROR(H244/H444, "NA")</f>
        <v>-0.88466153295129868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-987.99</v>
      </c>
      <c r="O244" s="8">
        <f>IFERROR(N244/N444, "NA")</f>
        <v>-0.10068380075004088</v>
      </c>
      <c r="P244" s="9"/>
      <c r="Q244" s="7">
        <v>5425.55</v>
      </c>
      <c r="R244" s="8">
        <f>IFERROR(Q244/Q444, "NA")</f>
        <v>4.0822991447385598E-3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-5425.55</v>
      </c>
      <c r="X244" s="8">
        <f>IFERROR(W244/W444, "NA")</f>
        <v>5.8257054751033543E-2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-5425.55</v>
      </c>
      <c r="AD244" s="8">
        <f>IFERROR(AC244/AC444, "NA")</f>
        <v>-7.0267512709683524E-2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107.57</v>
      </c>
      <c r="C246" s="8">
        <f>IFERROR(B246/B444, "NA")</f>
        <v>1.017687728712474E-3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-107.57</v>
      </c>
      <c r="I246" s="8">
        <f>IFERROR(H246/H444, "NA")</f>
        <v>-9.6319842406877784E-2</v>
      </c>
      <c r="J246" s="9"/>
      <c r="K246" s="7">
        <v>283.91000000000003</v>
      </c>
      <c r="L246" s="8">
        <f>IFERROR(K246/K444, "NA")</f>
        <v>2.9608625098552889E-3</v>
      </c>
      <c r="M246" s="9"/>
      <c r="N246" s="10">
        <f t="shared" si="65"/>
        <v>176.34000000000003</v>
      </c>
      <c r="O246" s="8">
        <f>IFERROR(N246/N444, "NA")</f>
        <v>1.7970406000326129E-2</v>
      </c>
      <c r="P246" s="9"/>
      <c r="Q246" s="7">
        <v>2806.44</v>
      </c>
      <c r="R246" s="8">
        <f>IFERROR(Q246/Q444, "NA")</f>
        <v>2.1116251092995332E-3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-2806.44</v>
      </c>
      <c r="X246" s="8">
        <f>IFERROR(W246/W444, "NA")</f>
        <v>3.013425896646249E-2</v>
      </c>
      <c r="Y246" s="9"/>
      <c r="Z246" s="7">
        <v>2233.19</v>
      </c>
      <c r="AA246" s="8">
        <f>IFERROR(Z246/Z444, "NA")</f>
        <v>1.7839403826374342E-3</v>
      </c>
      <c r="AB246" s="9"/>
      <c r="AC246" s="10">
        <f t="shared" si="67"/>
        <v>-573.25</v>
      </c>
      <c r="AD246" s="8">
        <f>IFERROR(AC246/AC444, "NA")</f>
        <v>-7.4242890878945143E-3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247.02</v>
      </c>
      <c r="C248" s="8">
        <f>IFERROR(B248/B444, "NA")</f>
        <v>2.3369826415037221E-3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-247.02</v>
      </c>
      <c r="I248" s="8">
        <f>IFERROR(H248/H444, "NA")</f>
        <v>-0.2211855300859622</v>
      </c>
      <c r="J248" s="9"/>
      <c r="K248" s="7">
        <v>254.18</v>
      </c>
      <c r="L248" s="8">
        <f>IFERROR(K248/K444, "NA")</f>
        <v>2.6508119923744048E-3</v>
      </c>
      <c r="M248" s="9"/>
      <c r="N248" s="10">
        <f t="shared" si="65"/>
        <v>7.1599999999999966</v>
      </c>
      <c r="O248" s="8">
        <f>IFERROR(N248/N444, "NA")</f>
        <v>7.2965922060981624E-4</v>
      </c>
      <c r="P248" s="9"/>
      <c r="Q248" s="7">
        <v>3225.51</v>
      </c>
      <c r="R248" s="8">
        <f>IFERROR(Q248/Q444, "NA")</f>
        <v>2.4269422849933502E-3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-3225.51</v>
      </c>
      <c r="X248" s="8">
        <f>IFERROR(W248/W444, "NA")</f>
        <v>3.4634039437477525E-2</v>
      </c>
      <c r="Y248" s="9"/>
      <c r="Z248" s="7">
        <v>3119.5</v>
      </c>
      <c r="AA248" s="8">
        <f>IFERROR(Z248/Z444, "NA")</f>
        <v>2.491951882122648E-3</v>
      </c>
      <c r="AB248" s="9"/>
      <c r="AC248" s="10">
        <f t="shared" si="67"/>
        <v>-106.01000000000022</v>
      </c>
      <c r="AD248" s="8">
        <f>IFERROR(AC248/AC444, "NA")</f>
        <v>-1.3729592432755325E-3</v>
      </c>
    </row>
    <row r="249" spans="1:30" ht="16.5" customHeight="1" x14ac:dyDescent="0.45">
      <c r="A249" s="12" t="s">
        <v>226</v>
      </c>
      <c r="B249" s="7">
        <v>1509.35</v>
      </c>
      <c r="C249" s="8">
        <f>IFERROR(B249/B444, "NA")</f>
        <v>1.4279510768171171E-2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-1509.35</v>
      </c>
      <c r="I249" s="8">
        <f>IFERROR(H249/H444, "NA")</f>
        <v>-1.3514953438395556</v>
      </c>
      <c r="J249" s="9"/>
      <c r="K249" s="7">
        <v>996.47</v>
      </c>
      <c r="L249" s="8">
        <f>IFERROR(K249/K444, "NA")</f>
        <v>1.0392063207338592E-2</v>
      </c>
      <c r="M249" s="9"/>
      <c r="N249" s="10">
        <f t="shared" si="65"/>
        <v>-512.87999999999988</v>
      </c>
      <c r="O249" s="8">
        <f>IFERROR(N249/N444, "NA")</f>
        <v>-5.2266427523235008E-2</v>
      </c>
      <c r="P249" s="9"/>
      <c r="Q249" s="7">
        <v>12719.48</v>
      </c>
      <c r="R249" s="8">
        <f>IFERROR(Q249/Q444, "NA")</f>
        <v>9.5704071155033512E-3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-12719.48</v>
      </c>
      <c r="X249" s="8">
        <f>IFERROR(W249/W444, "NA")</f>
        <v>0.13657591262907467</v>
      </c>
      <c r="Y249" s="9"/>
      <c r="Z249" s="7">
        <v>10727.07</v>
      </c>
      <c r="AA249" s="8">
        <f>IFERROR(Z249/Z444, "NA")</f>
        <v>8.5691111640203207E-3</v>
      </c>
      <c r="AB249" s="9"/>
      <c r="AC249" s="10">
        <f t="shared" si="67"/>
        <v>-1992.4099999999999</v>
      </c>
      <c r="AD249" s="8">
        <f>IFERROR(AC249/AC444, "NA")</f>
        <v>-2.5804147966178644E-2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2464.48</v>
      </c>
      <c r="AA254" s="8">
        <f>IFERROR(Z254/Z444, "NA")</f>
        <v>1.9687018991676945E-3</v>
      </c>
      <c r="AB254" s="9"/>
      <c r="AC254" s="10">
        <f t="shared" si="67"/>
        <v>2464.48</v>
      </c>
      <c r="AD254" s="8">
        <f>IFERROR(AC254/AC444, "NA")</f>
        <v>3.1918032222126948E-2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4961.25</v>
      </c>
      <c r="R257" s="8">
        <f>IFERROR(Q257/Q444, "NA")</f>
        <v>3.7329499556421337E-3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-4961.25</v>
      </c>
      <c r="X257" s="8">
        <f>IFERROR(W257/W444, "NA")</f>
        <v>5.3271615390801878E-2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-4961.25</v>
      </c>
      <c r="AD257" s="8">
        <f>IFERROR(AC257/AC444, "NA")</f>
        <v>-6.425425946326499E-2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6941.75</v>
      </c>
      <c r="C262" s="15">
        <f>IFERROR(B262/B444, "NA")</f>
        <v>6.5673829048896695E-2</v>
      </c>
      <c r="D262" s="2"/>
      <c r="E262" s="14">
        <f>IFERROR(E240+E241+E242+E243+E244+E245+E246+E247+E248+E249+E250+E251+E252+E253+E254+E255+E256+E257+E258+E259+E260+E261, "NA")</f>
        <v>4930.07</v>
      </c>
      <c r="F262" s="15">
        <f>IFERROR(E262/E444, "NA")</f>
        <v>4.7139991356197335E-2</v>
      </c>
      <c r="G262" s="2"/>
      <c r="H262" s="14">
        <f t="shared" si="64"/>
        <v>-2011.6800000000003</v>
      </c>
      <c r="I262" s="15">
        <f>IFERROR(H262/H444, "NA")</f>
        <v>-1.8012893982808214</v>
      </c>
      <c r="J262" s="2"/>
      <c r="K262" s="14">
        <f>IFERROR(K240+K241+K242+K243+K244+K245+K246+K247+K248+K249+K250+K251+K252+K253+K254+K255+K256+K257+K258+K259+K260+K261, "NA")</f>
        <v>3869.74</v>
      </c>
      <c r="L262" s="15">
        <f>IFERROR(K262/K444, "NA")</f>
        <v>4.0357043037890193E-2</v>
      </c>
      <c r="M262" s="2"/>
      <c r="N262" s="14">
        <f t="shared" si="65"/>
        <v>-3072.01</v>
      </c>
      <c r="O262" s="15">
        <f>IFERROR(N262/N444, "NA")</f>
        <v>-0.31306151149519035</v>
      </c>
      <c r="P262" s="2"/>
      <c r="Q262" s="14">
        <f>IFERROR(Q240+Q241+Q242+Q243+Q244+Q245+Q246+Q247+Q248+Q249+Q250+Q251+Q252+Q253+Q254+Q255+Q256+Q257+Q258+Q259+Q260+Q261, "NA")</f>
        <v>74075.790000000008</v>
      </c>
      <c r="R262" s="15">
        <f>IFERROR(Q262/Q444, "NA")</f>
        <v>5.57361989407218E-2</v>
      </c>
      <c r="S262" s="2"/>
      <c r="T262" s="14">
        <f>IFERROR(T240+T241+T242+T243+T244+T245+T246+T247+T248+T249+T250+T251+T252+T253+T254+T255+T256+T257+T258+T259+T260+T261, "NA")</f>
        <v>67405.649999999994</v>
      </c>
      <c r="U262" s="15">
        <f>IFERROR(T262/T444, "NA")</f>
        <v>4.7396206683410325E-2</v>
      </c>
      <c r="V262" s="2"/>
      <c r="W262" s="14">
        <f t="shared" si="66"/>
        <v>-6670.140000000014</v>
      </c>
      <c r="X262" s="15">
        <f>IFERROR(W262/W444, "NA")</f>
        <v>7.1620888421829981E-2</v>
      </c>
      <c r="Y262" s="2"/>
      <c r="Z262" s="14">
        <f>IFERROR(Z240+Z241+Z242+Z243+Z244+Z245+Z246+Z247+Z248+Z249+Z250+Z251+Z252+Z253+Z254+Z255+Z256+Z257+Z258+Z259+Z260+Z261, "NA")</f>
        <v>60167.91</v>
      </c>
      <c r="AA262" s="15">
        <f>IFERROR(Z262/Z444, "NA")</f>
        <v>4.8063964278854336E-2</v>
      </c>
      <c r="AB262" s="2"/>
      <c r="AC262" s="14">
        <f t="shared" si="67"/>
        <v>-13907.880000000005</v>
      </c>
      <c r="AD262" s="15">
        <f>IFERROR(AC262/AC444, "NA")</f>
        <v>-0.18012406754425886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6941.75</v>
      </c>
      <c r="C263" s="15">
        <f>IFERROR(B263/B444, "NA")</f>
        <v>6.5673829048896695E-2</v>
      </c>
      <c r="D263" s="2"/>
      <c r="E263" s="14">
        <f>IFERROR(E238+E240+E241+E242+E243+E244+E245+E246+E247+E248+E249+E250+E251+E252+E253+E254+E255+E256+E257+E258+E259+E260+E261, "NA")</f>
        <v>4930.07</v>
      </c>
      <c r="F263" s="15">
        <f>IFERROR(E263/E444, "NA")</f>
        <v>4.7139991356197335E-2</v>
      </c>
      <c r="G263" s="2"/>
      <c r="H263" s="14">
        <f t="shared" si="64"/>
        <v>-2011.6800000000003</v>
      </c>
      <c r="I263" s="15">
        <f>IFERROR(H263/H444, "NA")</f>
        <v>-1.8012893982808214</v>
      </c>
      <c r="J263" s="2"/>
      <c r="K263" s="14">
        <f>IFERROR(K238+K240+K241+K242+K243+K244+K245+K246+K247+K248+K249+K250+K251+K252+K253+K254+K255+K256+K257+K258+K259+K260+K261, "NA")</f>
        <v>3869.74</v>
      </c>
      <c r="L263" s="15">
        <f>IFERROR(K263/K444, "NA")</f>
        <v>4.0357043037890193E-2</v>
      </c>
      <c r="M263" s="2"/>
      <c r="N263" s="14">
        <f t="shared" si="65"/>
        <v>-3072.01</v>
      </c>
      <c r="O263" s="15">
        <f>IFERROR(N263/N444, "NA")</f>
        <v>-0.31306151149519035</v>
      </c>
      <c r="P263" s="2"/>
      <c r="Q263" s="14">
        <f>IFERROR(Q238+Q240+Q241+Q242+Q243+Q244+Q245+Q246+Q247+Q248+Q249+Q250+Q251+Q252+Q253+Q254+Q255+Q256+Q257+Q258+Q259+Q260+Q261, "NA")</f>
        <v>74075.790000000008</v>
      </c>
      <c r="R263" s="15">
        <f>IFERROR(Q263/Q444, "NA")</f>
        <v>5.57361989407218E-2</v>
      </c>
      <c r="S263" s="2"/>
      <c r="T263" s="14">
        <f>IFERROR(T238+T240+T241+T242+T243+T244+T245+T246+T247+T248+T249+T250+T251+T252+T253+T254+T255+T256+T257+T258+T259+T260+T261, "NA")</f>
        <v>67405.649999999994</v>
      </c>
      <c r="U263" s="15">
        <f>IFERROR(T263/T444, "NA")</f>
        <v>4.7396206683410325E-2</v>
      </c>
      <c r="V263" s="2"/>
      <c r="W263" s="14">
        <f t="shared" si="66"/>
        <v>-6670.140000000014</v>
      </c>
      <c r="X263" s="15">
        <f>IFERROR(W263/W444, "NA")</f>
        <v>7.1620888421829981E-2</v>
      </c>
      <c r="Y263" s="2"/>
      <c r="Z263" s="14">
        <f>IFERROR(Z238+Z240+Z241+Z242+Z243+Z244+Z245+Z246+Z247+Z248+Z249+Z250+Z251+Z252+Z253+Z254+Z255+Z256+Z257+Z258+Z259+Z260+Z261, "NA")</f>
        <v>60167.91</v>
      </c>
      <c r="AA263" s="15">
        <f>IFERROR(Z263/Z444, "NA")</f>
        <v>4.8063964278854336E-2</v>
      </c>
      <c r="AB263" s="2"/>
      <c r="AC263" s="14">
        <f t="shared" si="67"/>
        <v>-13907.880000000005</v>
      </c>
      <c r="AD263" s="15">
        <f>IFERROR(AC263/AC444, "NA")</f>
        <v>-0.18012406754425886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3046.71</v>
      </c>
      <c r="C265" s="8">
        <f>IFERROR(B265/B444, "NA")</f>
        <v>2.8824015803156848E-2</v>
      </c>
      <c r="D265" s="9"/>
      <c r="E265" s="7">
        <v>2928.34</v>
      </c>
      <c r="F265" s="8">
        <f>IFERROR(E265/E444, "NA")</f>
        <v>2.7999992350617113E-2</v>
      </c>
      <c r="G265" s="9"/>
      <c r="H265" s="10">
        <f>IFERROR(-(B265-E265), "NA")</f>
        <v>-118.36999999999989</v>
      </c>
      <c r="I265" s="8">
        <f>IFERROR(H265/H444, "NA")</f>
        <v>-0.10599032951289498</v>
      </c>
      <c r="J265" s="9"/>
      <c r="K265" s="7">
        <v>2827.27</v>
      </c>
      <c r="L265" s="8">
        <f>IFERROR(K265/K444, "NA")</f>
        <v>2.9485251481943441E-2</v>
      </c>
      <c r="M265" s="9"/>
      <c r="N265" s="10">
        <f>IFERROR(-(B265-K265), "NA")</f>
        <v>-219.44000000000005</v>
      </c>
      <c r="O265" s="8">
        <f>IFERROR(N265/N444, "NA")</f>
        <v>-2.2362628403717624E-2</v>
      </c>
      <c r="P265" s="9"/>
      <c r="Q265" s="7">
        <v>37538.370000000003</v>
      </c>
      <c r="R265" s="8">
        <f>IFERROR(Q265/Q444, "NA")</f>
        <v>2.824466749838811E-2</v>
      </c>
      <c r="S265" s="9"/>
      <c r="T265" s="7">
        <v>39991.22</v>
      </c>
      <c r="U265" s="8">
        <f>IFERROR(T265/T444, "NA")</f>
        <v>2.8119781185134078E-2</v>
      </c>
      <c r="V265" s="9"/>
      <c r="W265" s="10">
        <f>IFERROR(-(Q265-T265), "NA")</f>
        <v>2452.8499999999985</v>
      </c>
      <c r="X265" s="8">
        <f>IFERROR(W265/W444, "NA")</f>
        <v>-2.6337572549524478E-2</v>
      </c>
      <c r="Y265" s="9"/>
      <c r="Z265" s="7">
        <v>36570.9</v>
      </c>
      <c r="AA265" s="8">
        <f>IFERROR(Z265/Z444, "NA")</f>
        <v>2.9213951942913655E-2</v>
      </c>
      <c r="AB265" s="9"/>
      <c r="AC265" s="10">
        <f>IFERROR(-(Q265-Z265), "NA")</f>
        <v>-967.47000000000116</v>
      </c>
      <c r="AD265" s="8">
        <f>IFERROR(AC265/AC444, "NA")</f>
        <v>-1.2529920564963479E-2</v>
      </c>
    </row>
    <row r="266" spans="1:30" ht="16.5" customHeight="1" x14ac:dyDescent="0.45">
      <c r="A266" s="6" t="s">
        <v>242</v>
      </c>
      <c r="B266" s="7">
        <v>-32.799999999999997</v>
      </c>
      <c r="C266" s="8">
        <f>IFERROR(B266/B444, "NA")</f>
        <v>-3.1031103004340572E-4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32.799999999999997</v>
      </c>
      <c r="I266" s="8">
        <f>IFERROR(H266/H444, "NA")</f>
        <v>2.9369627507163626E-2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32.799999999999997</v>
      </c>
      <c r="O266" s="8">
        <f>IFERROR(N266/N444, "NA")</f>
        <v>3.3425729659220648E-3</v>
      </c>
      <c r="P266" s="9"/>
      <c r="Q266" s="7">
        <v>1131.24</v>
      </c>
      <c r="R266" s="8">
        <f>IFERROR(Q266/Q444, "NA")</f>
        <v>8.5116902148059609E-4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-1131.24</v>
      </c>
      <c r="X266" s="8">
        <f>IFERROR(W266/W444, "NA")</f>
        <v>1.2146733624528238E-2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-1131.24</v>
      </c>
      <c r="AD266" s="8">
        <f>IFERROR(AC266/AC444, "NA")</f>
        <v>-1.4650942499415247E-2</v>
      </c>
    </row>
    <row r="267" spans="1:30" ht="16.5" customHeight="1" x14ac:dyDescent="0.45">
      <c r="A267" s="19" t="s">
        <v>243</v>
      </c>
      <c r="B267" s="14">
        <f>IFERROR(B265+B266, "NA")</f>
        <v>3013.91</v>
      </c>
      <c r="C267" s="15">
        <f>IFERROR(B267/B444, "NA")</f>
        <v>2.8513704773113442E-2</v>
      </c>
      <c r="D267" s="2"/>
      <c r="E267" s="14">
        <f>IFERROR(E265+E266, "NA")</f>
        <v>2928.34</v>
      </c>
      <c r="F267" s="15">
        <f>IFERROR(E267/E444, "NA")</f>
        <v>2.7999992350617113E-2</v>
      </c>
      <c r="G267" s="2"/>
      <c r="H267" s="14">
        <f>IFERROR(-(B267-E267), "NA")</f>
        <v>-85.569999999999709</v>
      </c>
      <c r="I267" s="15">
        <f>IFERROR(H267/H444, "NA")</f>
        <v>-7.6620702005731192E-2</v>
      </c>
      <c r="J267" s="2"/>
      <c r="K267" s="14">
        <f>IFERROR(K265+K266, "NA")</f>
        <v>2827.27</v>
      </c>
      <c r="L267" s="15">
        <f>IFERROR(K267/K444, "NA")</f>
        <v>2.9485251481943441E-2</v>
      </c>
      <c r="M267" s="2"/>
      <c r="N267" s="14">
        <f>IFERROR(-(B267-K267), "NA")</f>
        <v>-186.63999999999987</v>
      </c>
      <c r="O267" s="15">
        <f>IFERROR(N267/N444, "NA")</f>
        <v>-1.902005543779554E-2</v>
      </c>
      <c r="P267" s="2"/>
      <c r="Q267" s="14">
        <f>IFERROR(Q265+Q266, "NA")</f>
        <v>38669.61</v>
      </c>
      <c r="R267" s="15">
        <f>IFERROR(Q267/Q444, "NA")</f>
        <v>2.9095836519868704E-2</v>
      </c>
      <c r="S267" s="2"/>
      <c r="T267" s="14">
        <f>IFERROR(T265+T266, "NA")</f>
        <v>39991.22</v>
      </c>
      <c r="U267" s="15">
        <f>IFERROR(T267/T444, "NA")</f>
        <v>2.8119781185134078E-2</v>
      </c>
      <c r="V267" s="2"/>
      <c r="W267" s="14">
        <f>IFERROR(-(Q267-T267), "NA")</f>
        <v>1321.6100000000006</v>
      </c>
      <c r="X267" s="15">
        <f>IFERROR(W267/W444, "NA")</f>
        <v>-1.4190838924996263E-2</v>
      </c>
      <c r="Y267" s="2"/>
      <c r="Z267" s="14">
        <f>IFERROR(Z265+Z266, "NA")</f>
        <v>36570.9</v>
      </c>
      <c r="AA267" s="15">
        <f>IFERROR(Z267/Z444, "NA")</f>
        <v>2.9213951942913655E-2</v>
      </c>
      <c r="AB267" s="2"/>
      <c r="AC267" s="14">
        <f>IFERROR(-(Q267-Z267), "NA")</f>
        <v>-2098.7099999999991</v>
      </c>
      <c r="AD267" s="15">
        <f>IFERROR(AC267/AC444, "NA")</f>
        <v>-2.71808630643787E-2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197.88</v>
      </c>
      <c r="C270" s="8">
        <f>IFERROR(B270/B444, "NA")</f>
        <v>1.8720837385667415E-3</v>
      </c>
      <c r="D270" s="9"/>
      <c r="E270" s="7">
        <v>186.25</v>
      </c>
      <c r="F270" s="8">
        <f>IFERROR(E270/E444, "NA")</f>
        <v>1.7808719531551792E-3</v>
      </c>
      <c r="G270" s="9"/>
      <c r="H270" s="10">
        <f>IFERROR(-(B270-E270), "NA")</f>
        <v>-11.629999999999995</v>
      </c>
      <c r="I270" s="8">
        <f>IFERROR(H270/H444, "NA")</f>
        <v>-1.0413681948424174E-2</v>
      </c>
      <c r="J270" s="9"/>
      <c r="K270" s="7">
        <v>175.13</v>
      </c>
      <c r="L270" s="8">
        <f>IFERROR(K270/K444, "NA")</f>
        <v>1.826409254168422E-3</v>
      </c>
      <c r="M270" s="9"/>
      <c r="N270" s="10">
        <f>IFERROR(-(B270-K270), "NA")</f>
        <v>-22.75</v>
      </c>
      <c r="O270" s="8">
        <f>IFERROR(N270/N444, "NA")</f>
        <v>-2.318400456546554E-3</v>
      </c>
      <c r="P270" s="9"/>
      <c r="Q270" s="7">
        <v>2402.23</v>
      </c>
      <c r="R270" s="8">
        <f>IFERROR(Q270/Q444, "NA")</f>
        <v>1.807488913467816E-3</v>
      </c>
      <c r="S270" s="9"/>
      <c r="T270" s="7">
        <v>2318.34</v>
      </c>
      <c r="U270" s="8">
        <f>IFERROR(T270/T444, "NA")</f>
        <v>1.6301381531432086E-3</v>
      </c>
      <c r="V270" s="9"/>
      <c r="W270" s="10">
        <f>IFERROR(-(Q270-T270), "NA")</f>
        <v>-83.889999999999873</v>
      </c>
      <c r="X270" s="8">
        <f>IFERROR(W270/W444, "NA")</f>
        <v>9.0077214716742006E-4</v>
      </c>
      <c r="Y270" s="9"/>
      <c r="Z270" s="7">
        <v>1650.03</v>
      </c>
      <c r="AA270" s="8">
        <f>IFERROR(Z270/Z444, "NA")</f>
        <v>1.3180943625769619E-3</v>
      </c>
      <c r="AB270" s="9"/>
      <c r="AC270" s="10">
        <f>IFERROR(-(Q270-Z270), "NA")</f>
        <v>-752.2</v>
      </c>
      <c r="AD270" s="8">
        <f>IFERROR(AC270/AC444, "NA")</f>
        <v>-9.7419106008098631E-3</v>
      </c>
    </row>
    <row r="271" spans="1:30" ht="16.5" customHeight="1" x14ac:dyDescent="0.45">
      <c r="A271" s="6" t="s">
        <v>246</v>
      </c>
      <c r="B271" s="7">
        <v>894.43</v>
      </c>
      <c r="C271" s="8">
        <f>IFERROR(B271/B444, "NA")</f>
        <v>8.4619358110281512E-3</v>
      </c>
      <c r="D271" s="9"/>
      <c r="E271" s="7">
        <v>627.5</v>
      </c>
      <c r="F271" s="8">
        <f>IFERROR(E271/E444, "NA")</f>
        <v>5.9999847012342277E-3</v>
      </c>
      <c r="G271" s="9"/>
      <c r="H271" s="10">
        <f>IFERROR(-(B271-E271), "NA")</f>
        <v>-266.92999999999995</v>
      </c>
      <c r="I271" s="8">
        <f>IFERROR(H271/H444, "NA")</f>
        <v>-0.23901325214899957</v>
      </c>
      <c r="J271" s="9"/>
      <c r="K271" s="7">
        <v>778.58</v>
      </c>
      <c r="L271" s="8">
        <f>IFERROR(K271/K444, "NA")</f>
        <v>8.1197151665074532E-3</v>
      </c>
      <c r="M271" s="9"/>
      <c r="N271" s="10">
        <f>IFERROR(-(B271-K271), "NA")</f>
        <v>-115.84999999999991</v>
      </c>
      <c r="O271" s="8">
        <f>IFERROR(N271/N444, "NA")</f>
        <v>-1.1806008478721675E-2</v>
      </c>
      <c r="P271" s="9"/>
      <c r="Q271" s="7">
        <v>10088.77</v>
      </c>
      <c r="R271" s="8">
        <f>IFERROR(Q271/Q444, "NA")</f>
        <v>7.5910049934963348E-3</v>
      </c>
      <c r="S271" s="9"/>
      <c r="T271" s="7">
        <v>8533.06</v>
      </c>
      <c r="U271" s="8">
        <f>IFERROR(T271/T444, "NA")</f>
        <v>6.0000115035155266E-3</v>
      </c>
      <c r="V271" s="9"/>
      <c r="W271" s="10">
        <f>IFERROR(-(Q271-T271), "NA")</f>
        <v>-1555.7100000000009</v>
      </c>
      <c r="X271" s="8">
        <f>IFERROR(W271/W444, "NA")</f>
        <v>1.6704496806172729E-2</v>
      </c>
      <c r="Y271" s="9"/>
      <c r="Z271" s="7">
        <v>8120.09</v>
      </c>
      <c r="AA271" s="8">
        <f>IFERROR(Z271/Z444, "NA")</f>
        <v>6.4865759123273895E-3</v>
      </c>
      <c r="AB271" s="9"/>
      <c r="AC271" s="10">
        <f>IFERROR(-(Q271-Z271), "NA")</f>
        <v>-1968.6800000000003</v>
      </c>
      <c r="AD271" s="8">
        <f>IFERROR(AC271/AC444, "NA")</f>
        <v>-2.5496815423560706E-2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1092.31</v>
      </c>
      <c r="C273" s="15">
        <f>IFERROR(B273/B444, "NA")</f>
        <v>1.0334019549594892E-2</v>
      </c>
      <c r="D273" s="2"/>
      <c r="E273" s="14">
        <f>IFERROR(E269+E270+E271+E272, "NA")</f>
        <v>813.75</v>
      </c>
      <c r="F273" s="15">
        <f>IFERROR(E273/E444, "NA")</f>
        <v>7.7808566543894064E-3</v>
      </c>
      <c r="G273" s="2"/>
      <c r="H273" s="14">
        <f>IFERROR(-(B273-E273), "NA")</f>
        <v>-278.55999999999995</v>
      </c>
      <c r="I273" s="15">
        <f>IFERROR(H273/H444, "NA")</f>
        <v>-0.24942693409742375</v>
      </c>
      <c r="J273" s="2"/>
      <c r="K273" s="14">
        <f>IFERROR(K269+K270+K271+K272, "NA")</f>
        <v>953.71</v>
      </c>
      <c r="L273" s="15">
        <f>IFERROR(K273/K444, "NA")</f>
        <v>9.946124420675875E-3</v>
      </c>
      <c r="M273" s="2"/>
      <c r="N273" s="14">
        <f>IFERROR(-(B273-K273), "NA")</f>
        <v>-138.59999999999991</v>
      </c>
      <c r="O273" s="15">
        <f>IFERROR(N273/N444, "NA")</f>
        <v>-1.4124408935268229E-2</v>
      </c>
      <c r="P273" s="2"/>
      <c r="Q273" s="14">
        <f>IFERROR(Q269+Q270+Q271+Q272, "NA")</f>
        <v>12491</v>
      </c>
      <c r="R273" s="15">
        <f>IFERROR(Q273/Q444, "NA")</f>
        <v>9.3984939069641504E-3</v>
      </c>
      <c r="S273" s="2"/>
      <c r="T273" s="14">
        <f>IFERROR(T269+T270+T271+T272, "NA")</f>
        <v>10851.4</v>
      </c>
      <c r="U273" s="15">
        <f>IFERROR(T273/T444, "NA")</f>
        <v>7.6301496566587345E-3</v>
      </c>
      <c r="V273" s="2"/>
      <c r="W273" s="14">
        <f>IFERROR(-(Q273-T273), "NA")</f>
        <v>-1639.6000000000004</v>
      </c>
      <c r="X273" s="15">
        <f>IFERROR(W273/W444, "NA")</f>
        <v>1.7605268953340143E-2</v>
      </c>
      <c r="Y273" s="2"/>
      <c r="Z273" s="14">
        <f>IFERROR(Z269+Z270+Z271+Z272, "NA")</f>
        <v>9770.1200000000008</v>
      </c>
      <c r="AA273" s="15">
        <f>IFERROR(Z273/Z444, "NA")</f>
        <v>7.8046702749043515E-3</v>
      </c>
      <c r="AB273" s="2"/>
      <c r="AC273" s="14">
        <f>IFERROR(-(Q273-Z273), "NA")</f>
        <v>-2720.8799999999992</v>
      </c>
      <c r="AD273" s="15">
        <f>IFERROR(AC273/AC444, "NA")</f>
        <v>-3.5238726024370552E-2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2.8685185822633756E-3</v>
      </c>
      <c r="G287" s="9"/>
      <c r="H287" s="10">
        <f t="shared" si="72"/>
        <v>300</v>
      </c>
      <c r="I287" s="8">
        <f>IFERROR(H287/H444, "NA")</f>
        <v>0.26862464183381368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3600</v>
      </c>
      <c r="U287" s="8">
        <f>IFERROR(T287/T444, "NA")</f>
        <v>2.5313359348997774E-3</v>
      </c>
      <c r="V287" s="9"/>
      <c r="W287" s="10">
        <f t="shared" si="74"/>
        <v>3600</v>
      </c>
      <c r="X287" s="8">
        <f>IFERROR(W287/W444, "NA")</f>
        <v>-3.8655140419629481E-2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1.300846543627082E-3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-0.12311962750716461</v>
      </c>
      <c r="J288" s="9"/>
      <c r="K288" s="7">
        <v>127.5</v>
      </c>
      <c r="L288" s="8">
        <f>IFERROR(K288/K444, "NA")</f>
        <v>1.3296818358161013E-3</v>
      </c>
      <c r="M288" s="9"/>
      <c r="N288" s="10">
        <f t="shared" si="73"/>
        <v>-10</v>
      </c>
      <c r="O288" s="8">
        <f>IFERROR(N288/N444, "NA")</f>
        <v>-1.019077123756727E-3</v>
      </c>
      <c r="P288" s="9"/>
      <c r="Q288" s="7">
        <v>1650</v>
      </c>
      <c r="R288" s="8">
        <f>IFERROR(Q288/Q444, "NA")</f>
        <v>1.241495072171231E-3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-1650</v>
      </c>
      <c r="X288" s="8">
        <f>IFERROR(W288/W444, "NA")</f>
        <v>1.7716939358996847E-2</v>
      </c>
      <c r="Y288" s="9"/>
      <c r="Z288" s="7">
        <v>1640</v>
      </c>
      <c r="AA288" s="8">
        <f>IFERROR(Z288/Z444, "NA")</f>
        <v>1.3100820922202733E-3</v>
      </c>
      <c r="AB288" s="9"/>
      <c r="AC288" s="10">
        <f t="shared" si="75"/>
        <v>-10</v>
      </c>
      <c r="AD288" s="8">
        <f>IFERROR(AC288/AC444, "NA")</f>
        <v>-1.2951223877705214E-4</v>
      </c>
    </row>
    <row r="289" spans="1:30" ht="16.5" customHeight="1" x14ac:dyDescent="0.45">
      <c r="A289" s="6" t="s">
        <v>262</v>
      </c>
      <c r="B289" s="7">
        <v>147.93</v>
      </c>
      <c r="C289" s="8">
        <f>IFERROR(B289/B444, "NA")</f>
        <v>1.3995216669000308E-3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-147.93</v>
      </c>
      <c r="I289" s="8">
        <f>IFERROR(H289/H444, "NA")</f>
        <v>-0.13245881088825354</v>
      </c>
      <c r="J289" s="9"/>
      <c r="K289" s="7">
        <v>140.88999999999999</v>
      </c>
      <c r="L289" s="8">
        <f>IFERROR(K289/K444, "NA")</f>
        <v>1.4693245007696509E-3</v>
      </c>
      <c r="M289" s="9"/>
      <c r="N289" s="10">
        <f t="shared" si="73"/>
        <v>-7.0400000000000205</v>
      </c>
      <c r="O289" s="8">
        <f>IFERROR(N289/N444, "NA")</f>
        <v>-7.1743029512473793E-4</v>
      </c>
      <c r="P289" s="9"/>
      <c r="Q289" s="7">
        <v>2225.86</v>
      </c>
      <c r="R289" s="8">
        <f>IFERROR(Q289/Q444, "NA")</f>
        <v>1.6747843765715495E-3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-2225.86</v>
      </c>
      <c r="X289" s="8">
        <f>IFERROR(W289/W444, "NA")</f>
        <v>2.3900258570676802E-2</v>
      </c>
      <c r="Y289" s="9"/>
      <c r="Z289" s="7">
        <v>1899.35</v>
      </c>
      <c r="AA289" s="8">
        <f>IFERROR(Z289/Z444, "NA")</f>
        <v>1.5172587938162049E-3</v>
      </c>
      <c r="AB289" s="9"/>
      <c r="AC289" s="10">
        <f t="shared" si="75"/>
        <v>-326.51000000000022</v>
      </c>
      <c r="AD289" s="8">
        <f>IFERROR(AC289/AC444, "NA")</f>
        <v>-4.2287041083095321E-3</v>
      </c>
    </row>
    <row r="290" spans="1:30" ht="16.5" customHeight="1" x14ac:dyDescent="0.45">
      <c r="A290" s="6" t="s">
        <v>263</v>
      </c>
      <c r="B290" s="7">
        <v>1151.1099999999999</v>
      </c>
      <c r="C290" s="8">
        <f>IFERROR(B290/B444, "NA")</f>
        <v>1.089030883516051E-2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-1151.1099999999999</v>
      </c>
      <c r="I290" s="8">
        <f>IFERROR(H290/H444, "NA")</f>
        <v>-1.0307217048710708</v>
      </c>
      <c r="J290" s="9"/>
      <c r="K290" s="7">
        <v>607.19000000000005</v>
      </c>
      <c r="L290" s="8">
        <f>IFERROR(K290/K444, "NA")</f>
        <v>6.3323099128563031E-3</v>
      </c>
      <c r="M290" s="9"/>
      <c r="N290" s="10">
        <f t="shared" si="73"/>
        <v>-543.91999999999985</v>
      </c>
      <c r="O290" s="8">
        <f>IFERROR(N290/N444, "NA")</f>
        <v>-5.5429642915375887E-2</v>
      </c>
      <c r="P290" s="9"/>
      <c r="Q290" s="7">
        <v>7987.92</v>
      </c>
      <c r="R290" s="8">
        <f>IFERROR(Q290/Q444, "NA")</f>
        <v>6.0102807981200126E-3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-7987.92</v>
      </c>
      <c r="X290" s="8">
        <f>IFERROR(W290/W444, "NA")</f>
        <v>8.5770602572435212E-2</v>
      </c>
      <c r="Y290" s="9"/>
      <c r="Z290" s="7">
        <v>2446.5300000000002</v>
      </c>
      <c r="AA290" s="8">
        <f>IFERROR(Z290/Z444, "NA")</f>
        <v>1.9543628909022351E-3</v>
      </c>
      <c r="AB290" s="9"/>
      <c r="AC290" s="10">
        <f t="shared" si="75"/>
        <v>-5541.3899999999994</v>
      </c>
      <c r="AD290" s="8">
        <f>IFERROR(AC290/AC444, "NA")</f>
        <v>-7.1767782483676892E-2</v>
      </c>
    </row>
    <row r="291" spans="1:30" ht="16.5" customHeight="1" x14ac:dyDescent="0.45">
      <c r="A291" s="6" t="s">
        <v>264</v>
      </c>
      <c r="B291" s="7">
        <v>1530.67</v>
      </c>
      <c r="C291" s="8">
        <f>IFERROR(B291/B444, "NA")</f>
        <v>1.4481212937699385E-2</v>
      </c>
      <c r="D291" s="9"/>
      <c r="E291" s="7">
        <v>1255</v>
      </c>
      <c r="F291" s="8">
        <f>IFERROR(E291/E444, "NA")</f>
        <v>1.1999969402468455E-2</v>
      </c>
      <c r="G291" s="9"/>
      <c r="H291" s="10">
        <f t="shared" si="72"/>
        <v>-275.67000000000007</v>
      </c>
      <c r="I291" s="8">
        <f>IFERROR(H291/H444, "NA")</f>
        <v>-0.24683918338109145</v>
      </c>
      <c r="J291" s="9"/>
      <c r="K291" s="7">
        <v>617.29999999999995</v>
      </c>
      <c r="L291" s="8">
        <f>IFERROR(K291/K444, "NA")</f>
        <v>6.4377458607786609E-3</v>
      </c>
      <c r="M291" s="9"/>
      <c r="N291" s="10">
        <f t="shared" si="73"/>
        <v>-913.37000000000012</v>
      </c>
      <c r="O291" s="8">
        <f>IFERROR(N291/N444, "NA")</f>
        <v>-9.3079447252568198E-2</v>
      </c>
      <c r="P291" s="9"/>
      <c r="Q291" s="7">
        <v>5830.35</v>
      </c>
      <c r="R291" s="8">
        <f>IFERROR(Q291/Q444, "NA")</f>
        <v>4.3868792691112348E-3</v>
      </c>
      <c r="S291" s="9"/>
      <c r="T291" s="7">
        <v>17066.07</v>
      </c>
      <c r="U291" s="8">
        <f>IFERROR(T291/T444, "NA")</f>
        <v>1.1999987849587513E-2</v>
      </c>
      <c r="V291" s="9"/>
      <c r="W291" s="10">
        <f t="shared" si="74"/>
        <v>11235.72</v>
      </c>
      <c r="X291" s="8">
        <f>IFERROR(W291/W444, "NA")</f>
        <v>-0.12064398175434426</v>
      </c>
      <c r="Y291" s="9"/>
      <c r="Z291" s="7">
        <v>2412.77</v>
      </c>
      <c r="AA291" s="8">
        <f>IFERROR(Z291/Z444, "NA")</f>
        <v>1.927394371735554E-3</v>
      </c>
      <c r="AB291" s="9"/>
      <c r="AC291" s="10">
        <f t="shared" si="75"/>
        <v>-3417.5800000000004</v>
      </c>
      <c r="AD291" s="8">
        <f>IFERROR(AC291/AC444, "NA")</f>
        <v>-4.4261843699967794E-2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500.86</v>
      </c>
      <c r="R292" s="8">
        <f>IFERROR(Q292/Q444, "NA")</f>
        <v>3.7685771021071687E-4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-500.86</v>
      </c>
      <c r="X292" s="8">
        <f>IFERROR(W292/W444, "NA")</f>
        <v>5.3780037862710068E-3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-500.86</v>
      </c>
      <c r="AD292" s="8">
        <f>IFERROR(AC292/AC444, "NA")</f>
        <v>-6.4867499913874339E-3</v>
      </c>
    </row>
    <row r="293" spans="1:30" ht="16.5" customHeight="1" x14ac:dyDescent="0.45">
      <c r="A293" s="6" t="s">
        <v>266</v>
      </c>
      <c r="B293" s="7">
        <v>259.95</v>
      </c>
      <c r="C293" s="8">
        <f>IFERROR(B293/B444, "NA")</f>
        <v>2.4593095201153451E-3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-259.95</v>
      </c>
      <c r="I293" s="8">
        <f>IFERROR(H293/H444, "NA")</f>
        <v>-0.23276325214899954</v>
      </c>
      <c r="J293" s="9"/>
      <c r="K293" s="7">
        <v>568.54</v>
      </c>
      <c r="L293" s="8">
        <f>IFERROR(K293/K444, "NA")</f>
        <v>5.9292338112540092E-3</v>
      </c>
      <c r="M293" s="9"/>
      <c r="N293" s="10">
        <f t="shared" si="73"/>
        <v>308.58999999999997</v>
      </c>
      <c r="O293" s="8">
        <f>IFERROR(N293/N444, "NA")</f>
        <v>3.1447700962008843E-2</v>
      </c>
      <c r="P293" s="9"/>
      <c r="Q293" s="7">
        <v>629.88</v>
      </c>
      <c r="R293" s="8">
        <f>IFERROR(Q293/Q444, "NA")</f>
        <v>4.7393510064194853E-4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-629.88</v>
      </c>
      <c r="X293" s="8">
        <f>IFERROR(W293/W444, "NA")</f>
        <v>6.7633610687545054E-3</v>
      </c>
      <c r="Y293" s="9"/>
      <c r="Z293" s="7">
        <v>993.46</v>
      </c>
      <c r="AA293" s="8">
        <f>IFERROR(Z293/Z444, "NA")</f>
        <v>7.9360619227875171E-4</v>
      </c>
      <c r="AB293" s="9"/>
      <c r="AC293" s="10">
        <f t="shared" si="75"/>
        <v>363.58000000000004</v>
      </c>
      <c r="AD293" s="8">
        <f>IFERROR(AC293/AC444, "NA")</f>
        <v>4.7088059774560622E-3</v>
      </c>
    </row>
    <row r="294" spans="1:30" ht="16.5" customHeight="1" x14ac:dyDescent="0.45">
      <c r="A294" s="6" t="s">
        <v>267</v>
      </c>
      <c r="B294" s="7">
        <v>309.99</v>
      </c>
      <c r="C294" s="8">
        <f>IFERROR(B294/B444, "NA")</f>
        <v>2.9327230549742482E-3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-309.99</v>
      </c>
      <c r="I294" s="8">
        <f>IFERROR(H294/H444, "NA")</f>
        <v>-0.27756984240687971</v>
      </c>
      <c r="J294" s="9"/>
      <c r="K294" s="7">
        <v>319.99</v>
      </c>
      <c r="L294" s="8">
        <f>IFERROR(K294/K444, "NA")</f>
        <v>3.3371363971983863E-3</v>
      </c>
      <c r="M294" s="9"/>
      <c r="N294" s="10">
        <f t="shared" si="73"/>
        <v>10</v>
      </c>
      <c r="O294" s="8">
        <f>IFERROR(N294/N444, "NA")</f>
        <v>1.019077123756727E-3</v>
      </c>
      <c r="P294" s="9"/>
      <c r="Q294" s="7">
        <v>4147.8999999999996</v>
      </c>
      <c r="R294" s="8">
        <f>IFERROR(Q294/Q444, "NA")</f>
        <v>3.1209681271873024E-3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-4147.8999999999996</v>
      </c>
      <c r="X294" s="8">
        <f>IFERROR(W294/W444, "NA")</f>
        <v>4.4538238040716979E-2</v>
      </c>
      <c r="Y294" s="9"/>
      <c r="Z294" s="7">
        <v>2052.71</v>
      </c>
      <c r="AA294" s="8">
        <f>IFERROR(Z294/Z444, "NA")</f>
        <v>1.6397674460496812E-3</v>
      </c>
      <c r="AB294" s="9"/>
      <c r="AC294" s="10">
        <f t="shared" si="75"/>
        <v>-2095.1899999999996</v>
      </c>
      <c r="AD294" s="8">
        <f>IFERROR(AC294/AC444, "NA")</f>
        <v>-2.7135274756329184E-2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3537.1499999999996</v>
      </c>
      <c r="C295" s="15">
        <f>IFERROR(B295/B444, "NA")</f>
        <v>3.3463922558476598E-2</v>
      </c>
      <c r="D295" s="2"/>
      <c r="E295" s="14">
        <f>IFERROR(E286+E287+E288+E289+E290+E291+E292+E293+E294, "NA")</f>
        <v>1555</v>
      </c>
      <c r="F295" s="15">
        <f>IFERROR(E295/E444, "NA")</f>
        <v>1.486848798473183E-2</v>
      </c>
      <c r="G295" s="2"/>
      <c r="H295" s="14">
        <f t="shared" si="72"/>
        <v>-1982.1499999999996</v>
      </c>
      <c r="I295" s="15">
        <f>IFERROR(H295/H444, "NA")</f>
        <v>-1.7748477793696458</v>
      </c>
      <c r="J295" s="2"/>
      <c r="K295" s="14">
        <f>IFERROR(K286+K287+K288+K289+K290+K291+K292+K293+K294, "NA")</f>
        <v>2381.41</v>
      </c>
      <c r="L295" s="15">
        <f>IFERROR(K295/K444, "NA")</f>
        <v>2.483543231867311E-2</v>
      </c>
      <c r="M295" s="2"/>
      <c r="N295" s="14">
        <f t="shared" si="73"/>
        <v>-1155.7399999999998</v>
      </c>
      <c r="O295" s="15">
        <f>IFERROR(N295/N444, "NA")</f>
        <v>-0.11777881950105996</v>
      </c>
      <c r="P295" s="2"/>
      <c r="Q295" s="14">
        <f>IFERROR(Q286+Q287+Q288+Q289+Q290+Q291+Q292+Q293+Q294, "NA")</f>
        <v>22972.770000000004</v>
      </c>
      <c r="R295" s="15">
        <f>IFERROR(Q295/Q444, "NA")</f>
        <v>1.7285200454013997E-2</v>
      </c>
      <c r="S295" s="2"/>
      <c r="T295" s="14">
        <f>IFERROR(T286+T287+T288+T289+T290+T291+T292+T293+T294, "NA")</f>
        <v>20666.07</v>
      </c>
      <c r="U295" s="15">
        <f>IFERROR(T295/T444, "NA")</f>
        <v>1.453132378448729E-2</v>
      </c>
      <c r="V295" s="2"/>
      <c r="W295" s="14">
        <f t="shared" si="74"/>
        <v>-2306.7000000000044</v>
      </c>
      <c r="X295" s="15">
        <f>IFERROR(W295/W444, "NA")</f>
        <v>2.4768281223877638E-2</v>
      </c>
      <c r="Y295" s="2"/>
      <c r="Z295" s="14">
        <f>IFERROR(Z286+Z287+Z288+Z289+Z290+Z291+Z292+Z293+Z294, "NA")</f>
        <v>11444.82</v>
      </c>
      <c r="AA295" s="15">
        <f>IFERROR(Z295/Z444, "NA")</f>
        <v>9.1424717870027001E-3</v>
      </c>
      <c r="AB295" s="2"/>
      <c r="AC295" s="14">
        <f t="shared" si="75"/>
        <v>-11527.950000000004</v>
      </c>
      <c r="AD295" s="15">
        <f>IFERROR(AC295/AC444, "NA")</f>
        <v>-0.14930106130099188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1359.59</v>
      </c>
      <c r="F297" s="8">
        <f>IFERROR(E297/E444, "NA")</f>
        <v>1.3000030597531543E-2</v>
      </c>
      <c r="G297" s="9"/>
      <c r="H297" s="10">
        <f t="shared" ref="H297:H325" si="76">IFERROR(-(B297-E297), "NA")</f>
        <v>1359.59</v>
      </c>
      <c r="I297" s="8">
        <f>IFERROR(H297/H444, "NA")</f>
        <v>1.2173979226361158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18488.27</v>
      </c>
      <c r="U297" s="8">
        <f>IFERROR(T297/T444, "NA")</f>
        <v>1.3000006173647086E-2</v>
      </c>
      <c r="V297" s="9"/>
      <c r="W297" s="10">
        <f t="shared" ref="W297:W325" si="78">IFERROR(-(Q297-T297), "NA")</f>
        <v>18488.27</v>
      </c>
      <c r="X297" s="8">
        <f>IFERROR(W297/W444, "NA")</f>
        <v>-0.19851852026833977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739.72</v>
      </c>
      <c r="C299" s="8">
        <f>IFERROR(B299/B444, "NA")</f>
        <v>6.9982705836496364E-3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-739.72</v>
      </c>
      <c r="I299" s="8">
        <f>IFERROR(H299/H444, "NA")</f>
        <v>-0.6623567335243622</v>
      </c>
      <c r="J299" s="9"/>
      <c r="K299" s="7">
        <v>194.06</v>
      </c>
      <c r="L299" s="8">
        <f>IFERROR(K299/K444, "NA")</f>
        <v>2.0238278984978245E-3</v>
      </c>
      <c r="M299" s="9"/>
      <c r="N299" s="10">
        <f t="shared" si="77"/>
        <v>-545.66000000000008</v>
      </c>
      <c r="O299" s="8">
        <f>IFERROR(N299/N444, "NA")</f>
        <v>-5.5606962334909582E-2</v>
      </c>
      <c r="P299" s="9"/>
      <c r="Q299" s="7">
        <v>4594.04</v>
      </c>
      <c r="R299" s="8">
        <f>IFERROR(Q299/Q444, "NA")</f>
        <v>3.4566533462772864E-3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-4594.04</v>
      </c>
      <c r="X299" s="8">
        <f>IFERROR(W299/W444, "NA")</f>
        <v>4.9328683692609621E-2</v>
      </c>
      <c r="Y299" s="9"/>
      <c r="Z299" s="7">
        <v>2471</v>
      </c>
      <c r="AA299" s="8">
        <f>IFERROR(Z299/Z444, "NA")</f>
        <v>1.9739102743148141E-3</v>
      </c>
      <c r="AB299" s="9"/>
      <c r="AC299" s="10">
        <f t="shared" si="79"/>
        <v>-2123.04</v>
      </c>
      <c r="AD299" s="8">
        <f>IFERROR(AC299/AC444, "NA")</f>
        <v>-2.7495966341323279E-2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143.46</v>
      </c>
      <c r="C304" s="8">
        <f>IFERROR(B304/B444, "NA")</f>
        <v>1.3572323283544813E-3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-143.46</v>
      </c>
      <c r="I304" s="8">
        <f>IFERROR(H304/H444, "NA")</f>
        <v>-0.12845630372492972</v>
      </c>
      <c r="J304" s="9"/>
      <c r="K304" s="7">
        <v>94.69</v>
      </c>
      <c r="L304" s="8">
        <f>IFERROR(K304/K444, "NA")</f>
        <v>9.8751037673275787E-4</v>
      </c>
      <c r="M304" s="9"/>
      <c r="N304" s="10">
        <f t="shared" si="77"/>
        <v>-48.77000000000001</v>
      </c>
      <c r="O304" s="8">
        <f>IFERROR(N304/N444, "NA")</f>
        <v>-4.9700391325615588E-3</v>
      </c>
      <c r="P304" s="9"/>
      <c r="Q304" s="7">
        <v>491.9</v>
      </c>
      <c r="R304" s="8">
        <f>IFERROR(Q304/Q444, "NA")</f>
        <v>3.7011601575819914E-4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-491.9</v>
      </c>
      <c r="X304" s="8">
        <f>IFERROR(W304/W444, "NA")</f>
        <v>5.2817954367821501E-3</v>
      </c>
      <c r="Y304" s="9"/>
      <c r="Z304" s="7">
        <v>497.24</v>
      </c>
      <c r="AA304" s="8">
        <f>IFERROR(Z304/Z444, "NA")</f>
        <v>3.9721049971683459E-4</v>
      </c>
      <c r="AB304" s="9"/>
      <c r="AC304" s="10">
        <f t="shared" si="79"/>
        <v>5.3400000000000318</v>
      </c>
      <c r="AD304" s="8">
        <f>IFERROR(AC304/AC444, "NA")</f>
        <v>6.9159535506946261E-5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3.53</v>
      </c>
      <c r="L305" s="8">
        <f>IFERROR(K305/K444, "NA")</f>
        <v>3.6813936317104607E-5</v>
      </c>
      <c r="M305" s="9"/>
      <c r="N305" s="10">
        <f t="shared" si="77"/>
        <v>3.53</v>
      </c>
      <c r="O305" s="8">
        <f>IFERROR(N305/N444, "NA")</f>
        <v>3.5973422468612464E-4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3.53</v>
      </c>
      <c r="AA305" s="8">
        <f>IFERROR(Z305/Z444, "NA")</f>
        <v>2.8198718204497344E-6</v>
      </c>
      <c r="AB305" s="9"/>
      <c r="AC305" s="10">
        <f t="shared" si="79"/>
        <v>3.53</v>
      </c>
      <c r="AD305" s="8">
        <f>IFERROR(AC305/AC444, "NA")</f>
        <v>4.5717820288299406E-5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66.989999999999995</v>
      </c>
      <c r="C310" s="8">
        <f>IFERROR(B310/B444, "NA")</f>
        <v>6.3377243605511422E-4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-66.989999999999995</v>
      </c>
      <c r="I310" s="8">
        <f>IFERROR(H310/H444, "NA")</f>
        <v>-5.9983882521490589E-2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-66.989999999999995</v>
      </c>
      <c r="O310" s="8">
        <f>IFERROR(N310/N444, "NA")</f>
        <v>-6.8267976520463144E-3</v>
      </c>
      <c r="P310" s="9"/>
      <c r="Q310" s="7">
        <v>502.68</v>
      </c>
      <c r="R310" s="8">
        <f>IFERROR(Q310/Q444, "NA")</f>
        <v>3.7822711689638452E-4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-502.68</v>
      </c>
      <c r="X310" s="8">
        <f>IFERROR(W310/W444, "NA")</f>
        <v>5.3975461072609298E-3</v>
      </c>
      <c r="Y310" s="9"/>
      <c r="Z310" s="7">
        <v>437.21</v>
      </c>
      <c r="AA310" s="8">
        <f>IFERROR(Z310/Z444, "NA")</f>
        <v>3.4925670215830832E-4</v>
      </c>
      <c r="AB310" s="9"/>
      <c r="AC310" s="10">
        <f t="shared" si="79"/>
        <v>-65.470000000000027</v>
      </c>
      <c r="AD310" s="8">
        <f>IFERROR(AC310/AC444, "NA")</f>
        <v>-8.4791662727336074E-4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2.0089647531498104E-5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2.8669229144558534E-4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-3.4579767753472923E-4</v>
      </c>
    </row>
    <row r="312" spans="1:30" ht="16.5" customHeight="1" x14ac:dyDescent="0.45">
      <c r="A312" s="6" t="s">
        <v>284</v>
      </c>
      <c r="B312" s="7">
        <v>221.19</v>
      </c>
      <c r="C312" s="8">
        <f>IFERROR(B312/B444, "NA")</f>
        <v>2.0926127053445399E-3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-221.19</v>
      </c>
      <c r="I312" s="8">
        <f>IFERROR(H312/H444, "NA")</f>
        <v>-0.19805694842407082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-221.19</v>
      </c>
      <c r="O312" s="8">
        <f>IFERROR(N312/N444, "NA")</f>
        <v>-2.2540966900375048E-2</v>
      </c>
      <c r="P312" s="9"/>
      <c r="Q312" s="7">
        <v>2084.6799999999998</v>
      </c>
      <c r="R312" s="8">
        <f>IFERROR(Q312/Q444, "NA")</f>
        <v>1.5685575436690435E-3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-2084.6799999999998</v>
      </c>
      <c r="X312" s="8">
        <f>IFERROR(W312/W444, "NA")</f>
        <v>2.2384332813886996E-2</v>
      </c>
      <c r="Y312" s="9"/>
      <c r="Z312" s="7">
        <v>598.5</v>
      </c>
      <c r="AA312" s="8">
        <f>IFERROR(Z312/Z444, "NA")</f>
        <v>4.7810008060599607E-4</v>
      </c>
      <c r="AB312" s="9"/>
      <c r="AC312" s="10">
        <f t="shared" si="79"/>
        <v>-1486.1799999999998</v>
      </c>
      <c r="AD312" s="8">
        <f>IFERROR(AC312/AC444, "NA")</f>
        <v>-1.9247849902567934E-2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53.75</v>
      </c>
      <c r="R313" s="8">
        <f>IFERROR(Q313/Q444, "NA")</f>
        <v>4.0442642502547683E-5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-53.75</v>
      </c>
      <c r="X313" s="8">
        <f>IFERROR(W313/W444, "NA")</f>
        <v>5.7714272154307908E-4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-53.75</v>
      </c>
      <c r="AD313" s="8">
        <f>IFERROR(AC313/AC444, "NA")</f>
        <v>-6.9612828342665526E-4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748.97</v>
      </c>
      <c r="C315" s="8">
        <f>IFERROR(B315/B444, "NA")</f>
        <v>7.085782078402731E-3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-748.97</v>
      </c>
      <c r="I315" s="8">
        <f>IFERROR(H315/H444, "NA")</f>
        <v>-0.67063932664757153</v>
      </c>
      <c r="J315" s="9"/>
      <c r="K315" s="7">
        <v>794.11</v>
      </c>
      <c r="L315" s="8">
        <f>IFERROR(K315/K444, "NA")</f>
        <v>8.2816756285484256E-3</v>
      </c>
      <c r="M315" s="9"/>
      <c r="N315" s="10">
        <f t="shared" si="77"/>
        <v>45.139999999999986</v>
      </c>
      <c r="O315" s="8">
        <f>IFERROR(N315/N444, "NA")</f>
        <v>4.6001141366378649E-3</v>
      </c>
      <c r="P315" s="9"/>
      <c r="Q315" s="7">
        <v>9484.14</v>
      </c>
      <c r="R315" s="8">
        <f>IFERROR(Q315/Q444, "NA")</f>
        <v>7.1360685295648839E-3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-9484.14</v>
      </c>
      <c r="X315" s="8">
        <f>IFERROR(W315/W444, "NA")</f>
        <v>0.10183632318317354</v>
      </c>
      <c r="Y315" s="9"/>
      <c r="Z315" s="7">
        <v>2382.33</v>
      </c>
      <c r="AA315" s="8">
        <f>IFERROR(Z315/Z444, "NA")</f>
        <v>1.9030779699750753E-3</v>
      </c>
      <c r="AB315" s="9"/>
      <c r="AC315" s="10">
        <f t="shared" si="79"/>
        <v>-7101.8099999999995</v>
      </c>
      <c r="AD315" s="8">
        <f>IFERROR(AC315/AC444, "NA")</f>
        <v>-9.1977131246925664E-2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4.6414204676614281E-3</v>
      </c>
      <c r="D318" s="9"/>
      <c r="E318" s="7">
        <v>718</v>
      </c>
      <c r="F318" s="8">
        <f>IFERROR(E318/E444, "NA")</f>
        <v>6.8653211402170122E-3</v>
      </c>
      <c r="G318" s="9"/>
      <c r="H318" s="10">
        <f t="shared" si="76"/>
        <v>227.39999999999998</v>
      </c>
      <c r="I318" s="8">
        <f>IFERROR(H318/H444, "NA")</f>
        <v>0.20361747851003076</v>
      </c>
      <c r="J318" s="9"/>
      <c r="K318" s="7">
        <v>490.6</v>
      </c>
      <c r="L318" s="8">
        <f>IFERROR(K318/K444, "NA")</f>
        <v>5.1164071266774852E-3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6138.83</v>
      </c>
      <c r="R318" s="8">
        <f>IFERROR(Q318/Q444, "NA")</f>
        <v>4.6189861781193442E-3</v>
      </c>
      <c r="S318" s="9"/>
      <c r="T318" s="7">
        <v>8616</v>
      </c>
      <c r="U318" s="8">
        <f>IFERROR(T318/T444, "NA")</f>
        <v>6.0583306708601346E-3</v>
      </c>
      <c r="V318" s="9"/>
      <c r="W318" s="10">
        <f t="shared" si="78"/>
        <v>2477.17</v>
      </c>
      <c r="X318" s="8">
        <f>IFERROR(W318/W444, "NA")</f>
        <v>-2.6598709498137103E-2</v>
      </c>
      <c r="Y318" s="9"/>
      <c r="Z318" s="7">
        <v>6215.31</v>
      </c>
      <c r="AA318" s="8">
        <f>IFERROR(Z318/Z444, "NA")</f>
        <v>4.964979468657065E-3</v>
      </c>
      <c r="AB318" s="9"/>
      <c r="AC318" s="10">
        <f t="shared" si="79"/>
        <v>76.480000000000473</v>
      </c>
      <c r="AD318" s="8">
        <f>IFERROR(AC318/AC444, "NA")</f>
        <v>9.9050960216690086E-4</v>
      </c>
    </row>
    <row r="319" spans="1:30" ht="16.5" customHeight="1" x14ac:dyDescent="0.45">
      <c r="A319" s="6" t="s">
        <v>291</v>
      </c>
      <c r="B319" s="7">
        <v>160.47999999999999</v>
      </c>
      <c r="C319" s="8">
        <f>IFERROR(B319/B444, "NA")</f>
        <v>1.5182534787001752E-3</v>
      </c>
      <c r="D319" s="9"/>
      <c r="E319" s="7">
        <v>160</v>
      </c>
      <c r="F319" s="8">
        <f>IFERROR(E319/E444, "NA")</f>
        <v>1.5298765772071338E-3</v>
      </c>
      <c r="G319" s="9"/>
      <c r="H319" s="10">
        <f t="shared" si="76"/>
        <v>-0.47999999999998977</v>
      </c>
      <c r="I319" s="8">
        <f>IFERROR(H319/H444, "NA")</f>
        <v>-4.2979942693409276E-4</v>
      </c>
      <c r="J319" s="9"/>
      <c r="K319" s="7">
        <v>160.06</v>
      </c>
      <c r="L319" s="8">
        <f>IFERROR(K319/K444, "NA")</f>
        <v>1.6692460756135307E-3</v>
      </c>
      <c r="M319" s="9"/>
      <c r="N319" s="10">
        <f t="shared" si="77"/>
        <v>-0.41999999999998749</v>
      </c>
      <c r="O319" s="8">
        <f>IFERROR(N319/N444, "NA")</f>
        <v>-4.2801239197781264E-5</v>
      </c>
      <c r="P319" s="9"/>
      <c r="Q319" s="7">
        <v>2052.85</v>
      </c>
      <c r="R319" s="8">
        <f>IFERROR(Q319/Q444, "NA")</f>
        <v>1.5446079750949767E-3</v>
      </c>
      <c r="S319" s="9"/>
      <c r="T319" s="7">
        <v>1920</v>
      </c>
      <c r="U319" s="8">
        <f>IFERROR(T319/T444, "NA")</f>
        <v>1.3500458319465481E-3</v>
      </c>
      <c r="V319" s="9"/>
      <c r="W319" s="10">
        <f t="shared" si="78"/>
        <v>-132.84999999999991</v>
      </c>
      <c r="X319" s="8">
        <f>IFERROR(W319/W444, "NA")</f>
        <v>1.4264820568743815E-3</v>
      </c>
      <c r="Y319" s="9"/>
      <c r="Z319" s="7">
        <v>1917.75</v>
      </c>
      <c r="AA319" s="8">
        <f>IFERROR(Z319/Z444, "NA")</f>
        <v>1.531957275826481E-3</v>
      </c>
      <c r="AB319" s="9"/>
      <c r="AC319" s="10">
        <f t="shared" si="79"/>
        <v>-135.09999999999991</v>
      </c>
      <c r="AD319" s="8">
        <f>IFERROR(AC319/AC444, "NA")</f>
        <v>-1.7497103458779732E-3</v>
      </c>
    </row>
    <row r="320" spans="1:30" ht="16.5" customHeight="1" x14ac:dyDescent="0.45">
      <c r="A320" s="6" t="s">
        <v>292</v>
      </c>
      <c r="B320" s="7">
        <v>1121.3599999999999</v>
      </c>
      <c r="C320" s="8">
        <f>IFERROR(B320/B444, "NA")</f>
        <v>1.0608852946630287E-2</v>
      </c>
      <c r="D320" s="9"/>
      <c r="E320" s="7">
        <v>827</v>
      </c>
      <c r="F320" s="8">
        <f>IFERROR(E320/E444, "NA")</f>
        <v>7.9075495584393727E-3</v>
      </c>
      <c r="G320" s="9"/>
      <c r="H320" s="10">
        <f t="shared" si="76"/>
        <v>-294.3599999999999</v>
      </c>
      <c r="I320" s="8">
        <f>IFERROR(H320/H444, "NA")</f>
        <v>-0.26357449856733789</v>
      </c>
      <c r="J320" s="9"/>
      <c r="K320" s="7">
        <v>864.51</v>
      </c>
      <c r="L320" s="8">
        <f>IFERROR(K320/K444, "NA")</f>
        <v>9.0158685794617856E-3</v>
      </c>
      <c r="M320" s="9"/>
      <c r="N320" s="10">
        <f t="shared" si="77"/>
        <v>-256.84999999999991</v>
      </c>
      <c r="O320" s="8">
        <f>IFERROR(N320/N444, "NA")</f>
        <v>-2.6174995923691526E-2</v>
      </c>
      <c r="P320" s="9"/>
      <c r="Q320" s="7">
        <v>13900.57</v>
      </c>
      <c r="R320" s="8">
        <f>IFERROR(Q320/Q444, "NA")</f>
        <v>1.0459084336588636E-2</v>
      </c>
      <c r="S320" s="9"/>
      <c r="T320" s="7">
        <v>9924</v>
      </c>
      <c r="U320" s="8">
        <f>IFERROR(T320/T444, "NA")</f>
        <v>6.9780493938737202E-3</v>
      </c>
      <c r="V320" s="9"/>
      <c r="W320" s="10">
        <f t="shared" si="78"/>
        <v>-3976.5699999999997</v>
      </c>
      <c r="X320" s="8">
        <f>IFERROR(W320/W444, "NA")</f>
        <v>4.2698575482912775E-2</v>
      </c>
      <c r="Y320" s="9"/>
      <c r="Z320" s="7">
        <v>9783.2900000000009</v>
      </c>
      <c r="AA320" s="8">
        <f>IFERROR(Z320/Z444, "NA")</f>
        <v>7.815190873169316E-3</v>
      </c>
      <c r="AB320" s="9"/>
      <c r="AC320" s="10">
        <f t="shared" si="79"/>
        <v>-4117.2799999999988</v>
      </c>
      <c r="AD320" s="8">
        <f>IFERROR(AC320/AC444, "NA")</f>
        <v>-5.332381504719811E-2</v>
      </c>
    </row>
    <row r="321" spans="1:30" ht="16.5" customHeight="1" x14ac:dyDescent="0.45">
      <c r="A321" s="6" t="s">
        <v>293</v>
      </c>
      <c r="B321" s="7">
        <v>1706</v>
      </c>
      <c r="C321" s="8">
        <f>IFERROR(B321/B444, "NA")</f>
        <v>1.6139957843111286E-2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-1706</v>
      </c>
      <c r="I321" s="8">
        <f>IFERROR(H321/H444, "NA")</f>
        <v>-1.5275787965616205</v>
      </c>
      <c r="J321" s="9"/>
      <c r="K321" s="7">
        <v>3775.85</v>
      </c>
      <c r="L321" s="8">
        <f>IFERROR(K321/K444, "NA")</f>
        <v>3.9377875762872362E-2</v>
      </c>
      <c r="M321" s="9"/>
      <c r="N321" s="10">
        <f t="shared" si="77"/>
        <v>2069.85</v>
      </c>
      <c r="O321" s="8">
        <f>IFERROR(N321/N444, "NA")</f>
        <v>0.21093367846078614</v>
      </c>
      <c r="P321" s="9"/>
      <c r="Q321" s="7">
        <v>23168.43</v>
      </c>
      <c r="R321" s="8">
        <f>IFERROR(Q321/Q444, "NA")</f>
        <v>1.743241919693583E-2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-23168.43</v>
      </c>
      <c r="X321" s="8">
        <f>IFERROR(W321/W444, "NA")</f>
        <v>0.24877192082009897</v>
      </c>
      <c r="Y321" s="9"/>
      <c r="Z321" s="7">
        <v>32076.99</v>
      </c>
      <c r="AA321" s="8">
        <f>IFERROR(Z321/Z444, "NA")</f>
        <v>2.5624079372761455E-2</v>
      </c>
      <c r="AB321" s="9"/>
      <c r="AC321" s="10">
        <f t="shared" si="79"/>
        <v>8908.5600000000013</v>
      </c>
      <c r="AD321" s="8">
        <f>IFERROR(AC321/AC444, "NA")</f>
        <v>0.11537675498796958</v>
      </c>
    </row>
    <row r="322" spans="1:30" ht="16.5" customHeight="1" x14ac:dyDescent="0.45">
      <c r="A322" s="6" t="s">
        <v>294</v>
      </c>
      <c r="B322" s="7">
        <v>309.77</v>
      </c>
      <c r="C322" s="8">
        <f>IFERROR(B322/B444, "NA")</f>
        <v>2.9306417005044447E-3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-309.77</v>
      </c>
      <c r="I322" s="8">
        <f>IFERROR(H322/H444, "NA")</f>
        <v>-0.27737285100286818</v>
      </c>
      <c r="J322" s="9"/>
      <c r="K322" s="7">
        <v>226.06</v>
      </c>
      <c r="L322" s="8">
        <f>IFERROR(K322/K444, "NA")</f>
        <v>2.3575519670948068E-3</v>
      </c>
      <c r="M322" s="9"/>
      <c r="N322" s="10">
        <f t="shared" si="77"/>
        <v>-83.70999999999998</v>
      </c>
      <c r="O322" s="8">
        <f>IFERROR(N322/N444, "NA")</f>
        <v>-8.5306946029675614E-3</v>
      </c>
      <c r="P322" s="9"/>
      <c r="Q322" s="7">
        <v>4359.32</v>
      </c>
      <c r="R322" s="8">
        <f>IFERROR(Q322/Q444, "NA")</f>
        <v>3.2800450291015095E-3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-4359.32</v>
      </c>
      <c r="X322" s="8">
        <f>IFERROR(W322/W444, "NA")</f>
        <v>4.6808368537249775E-2</v>
      </c>
      <c r="Y322" s="9"/>
      <c r="Z322" s="7">
        <v>2817.77</v>
      </c>
      <c r="AA322" s="8">
        <f>IFERROR(Z322/Z444, "NA")</f>
        <v>2.2509207420704385E-3</v>
      </c>
      <c r="AB322" s="9"/>
      <c r="AC322" s="10">
        <f t="shared" si="79"/>
        <v>-1541.5499999999997</v>
      </c>
      <c r="AD322" s="8">
        <f>IFERROR(AC322/AC444, "NA")</f>
        <v>-1.9964959168676469E-2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5708.5400000000009</v>
      </c>
      <c r="C324" s="15">
        <f>IFERROR(B324/B444, "NA")</f>
        <v>5.4006796568414131E-2</v>
      </c>
      <c r="D324" s="2"/>
      <c r="E324" s="14">
        <f>IFERROR(E297+E298+E299+E300+E301+E302+E303+E304+E305+E306+E307+E308+E309+E310+E311+E312+E313+E314+E315+E316+E317+E318+E319+E320+E321+E322+E323, "NA")</f>
        <v>3064.59</v>
      </c>
      <c r="F324" s="15">
        <f>IFERROR(E324/E444, "NA")</f>
        <v>2.9302777873395063E-2</v>
      </c>
      <c r="G324" s="2"/>
      <c r="H324" s="14">
        <f t="shared" si="76"/>
        <v>-2643.9500000000007</v>
      </c>
      <c r="I324" s="15">
        <f>IFERROR(H324/H444, "NA")</f>
        <v>-2.3674337392550395</v>
      </c>
      <c r="J324" s="2"/>
      <c r="K324" s="14">
        <f>IFERROR(K297+K298+K299+K300+K301+K302+K303+K304+K305+K306+K307+K308+K309+K310+K311+K312+K313+K314+K315+K316+K317+K318+K319+K320+K321+K322+K323, "NA")</f>
        <v>6603.47</v>
      </c>
      <c r="L324" s="15">
        <f>IFERROR(K324/K444, "NA")</f>
        <v>6.886677735181608E-2</v>
      </c>
      <c r="M324" s="2"/>
      <c r="N324" s="14">
        <f t="shared" si="77"/>
        <v>894.92999999999938</v>
      </c>
      <c r="O324" s="15">
        <f>IFERROR(N324/N444, "NA")</f>
        <v>9.120026903636072E-2</v>
      </c>
      <c r="P324" s="2"/>
      <c r="Q324" s="14">
        <f>IFERROR(Q297+Q298+Q299+Q300+Q301+Q302+Q303+Q304+Q305+Q306+Q307+Q308+Q309+Q310+Q311+Q312+Q313+Q314+Q315+Q316+Q317+Q318+Q319+Q320+Q321+Q322+Q323, "NA")</f>
        <v>66857.89</v>
      </c>
      <c r="R324" s="15">
        <f>IFERROR(Q324/Q444, "NA")</f>
        <v>5.0305297558040141E-2</v>
      </c>
      <c r="S324" s="2"/>
      <c r="T324" s="14">
        <f>IFERROR(T297+T298+T299+T300+T301+T302+T303+T304+T305+T306+T307+T308+T309+T310+T311+T312+T313+T314+T315+T316+T317+T318+T319+T320+T321+T322+T323, "NA")</f>
        <v>38948.270000000004</v>
      </c>
      <c r="U324" s="15">
        <f>IFERROR(T324/T444, "NA")</f>
        <v>2.7386432070327493E-2</v>
      </c>
      <c r="V324" s="2"/>
      <c r="W324" s="14">
        <f t="shared" si="78"/>
        <v>-27909.619999999995</v>
      </c>
      <c r="X324" s="15">
        <f>IFERROR(W324/W444, "NA")</f>
        <v>0.29968063337736089</v>
      </c>
      <c r="Y324" s="2"/>
      <c r="Z324" s="14">
        <f>IFERROR(Z297+Z298+Z299+Z300+Z301+Z302+Z303+Z304+Z305+Z306+Z307+Z308+Z309+Z310+Z311+Z312+Z313+Z314+Z315+Z316+Z317+Z318+Z319+Z320+Z321+Z322+Z323, "NA")</f>
        <v>59200.92</v>
      </c>
      <c r="AA324" s="15">
        <f>IFERROR(Z324/Z444, "NA")</f>
        <v>4.7291503131076232E-2</v>
      </c>
      <c r="AB324" s="2"/>
      <c r="AC324" s="14">
        <f t="shared" si="79"/>
        <v>-7656.9700000000012</v>
      </c>
      <c r="AD324" s="15">
        <f>IFERROR(AC324/AC444, "NA")</f>
        <v>-9.9167132694872512E-2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28203.740000000005</v>
      </c>
      <c r="C325" s="15">
        <f>IFERROR(B325/B444, "NA")</f>
        <v>0.26682718324623189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19689.59</v>
      </c>
      <c r="F325" s="15">
        <f>IFERROR(E325/E444, "NA")</f>
        <v>0.18826651597382379</v>
      </c>
      <c r="G325" s="2"/>
      <c r="H325" s="14">
        <f t="shared" si="76"/>
        <v>-8514.1500000000051</v>
      </c>
      <c r="I325" s="15">
        <f>IFERROR(H325/H444, "NA")</f>
        <v>-7.6237016475645536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24416.87</v>
      </c>
      <c r="L325" s="15">
        <f>IFERROR(K325/K444, "NA")</f>
        <v>0.25464053746261245</v>
      </c>
      <c r="M325" s="2"/>
      <c r="N325" s="14">
        <f t="shared" si="77"/>
        <v>-3786.8700000000063</v>
      </c>
      <c r="O325" s="15">
        <f>IFERROR(N325/N444, "NA")</f>
        <v>-0.38591125876406435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316065.5</v>
      </c>
      <c r="R325" s="15">
        <f>IFERROR(Q325/Q444, "NA")</f>
        <v>0.23781440044444621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260894.21</v>
      </c>
      <c r="U325" s="15">
        <f>IFERROR(T325/T444, "NA")</f>
        <v>0.18344746916119134</v>
      </c>
      <c r="V325" s="2"/>
      <c r="W325" s="14">
        <f t="shared" si="78"/>
        <v>-55171.290000000008</v>
      </c>
      <c r="X325" s="15">
        <f>IFERROR(W325/W444, "NA")</f>
        <v>0.59240387835613895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264973.44999999995</v>
      </c>
      <c r="AA325" s="15">
        <f>IFERROR(Z325/Z444, "NA")</f>
        <v>0.21166888521879507</v>
      </c>
      <c r="AB325" s="2"/>
      <c r="AC325" s="14">
        <f t="shared" si="79"/>
        <v>-51092.050000000047</v>
      </c>
      <c r="AD325" s="15">
        <f>IFERROR(AC325/AC444, "NA")</f>
        <v>-0.66170457792090931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13526.48</v>
      </c>
      <c r="C329" s="8">
        <f>IFERROR(B329/B444, "NA")</f>
        <v>0.12796999822138799</v>
      </c>
      <c r="D329" s="9"/>
      <c r="E329" s="7">
        <v>15609</v>
      </c>
      <c r="F329" s="8">
        <f>IFERROR(E329/E444, "NA")</f>
        <v>0.14924902183516345</v>
      </c>
      <c r="G329" s="9"/>
      <c r="H329" s="10">
        <f t="shared" si="80"/>
        <v>2082.5200000000004</v>
      </c>
      <c r="I329" s="8">
        <f>IFERROR(H329/H444, "NA")</f>
        <v>1.8647206303725126</v>
      </c>
      <c r="J329" s="9"/>
      <c r="K329" s="7">
        <v>13132.5</v>
      </c>
      <c r="L329" s="8">
        <f>IFERROR(K329/K444, "NA")</f>
        <v>0.13695722908905844</v>
      </c>
      <c r="M329" s="9"/>
      <c r="N329" s="10">
        <f t="shared" si="81"/>
        <v>-393.97999999999956</v>
      </c>
      <c r="O329" s="8">
        <f>IFERROR(N329/N444, "NA")</f>
        <v>-4.0149600521767491E-2</v>
      </c>
      <c r="P329" s="9"/>
      <c r="Q329" s="7">
        <v>159953.88</v>
      </c>
      <c r="R329" s="8">
        <f>IFERROR(Q329/Q444, "NA")</f>
        <v>0.12035269926949603</v>
      </c>
      <c r="S329" s="9"/>
      <c r="T329" s="7">
        <v>159946</v>
      </c>
      <c r="U329" s="8">
        <f>IFERROR(T329/T444, "NA")</f>
        <v>0.11246584928985551</v>
      </c>
      <c r="V329" s="9"/>
      <c r="W329" s="10">
        <f t="shared" si="82"/>
        <v>-7.8800000000046566</v>
      </c>
      <c r="X329" s="8">
        <f>IFERROR(W329/W444, "NA")</f>
        <v>8.4611807363016753E-5</v>
      </c>
      <c r="Y329" s="9"/>
      <c r="Z329" s="7">
        <v>155295</v>
      </c>
      <c r="AA329" s="8">
        <f>IFERROR(Z329/Z444, "NA")</f>
        <v>0.1240543893361874</v>
      </c>
      <c r="AB329" s="9"/>
      <c r="AC329" s="10">
        <f t="shared" si="83"/>
        <v>-4658.8800000000047</v>
      </c>
      <c r="AD329" s="8">
        <f>IFERROR(AC329/AC444, "NA")</f>
        <v>-6.033819789936333E-2</v>
      </c>
    </row>
    <row r="330" spans="1:30" ht="16.5" customHeight="1" x14ac:dyDescent="0.45">
      <c r="A330" s="6" t="s">
        <v>301</v>
      </c>
      <c r="B330" s="7">
        <v>3809.57</v>
      </c>
      <c r="C330" s="8">
        <f>IFERROR(B330/B444, "NA")</f>
        <v>3.6041207034221256E-2</v>
      </c>
      <c r="D330" s="9"/>
      <c r="E330" s="7">
        <v>1875</v>
      </c>
      <c r="F330" s="8">
        <f>IFERROR(E330/E444, "NA")</f>
        <v>1.7928241139146098E-2</v>
      </c>
      <c r="G330" s="9"/>
      <c r="H330" s="10">
        <f t="shared" si="80"/>
        <v>-1934.5700000000002</v>
      </c>
      <c r="I330" s="8">
        <f>IFERROR(H330/H444, "NA")</f>
        <v>-1.7322439111748034</v>
      </c>
      <c r="J330" s="9"/>
      <c r="K330" s="7">
        <v>2239.63</v>
      </c>
      <c r="L330" s="8">
        <f>IFERROR(K330/K444, "NA")</f>
        <v>2.335682611724561E-2</v>
      </c>
      <c r="M330" s="9"/>
      <c r="N330" s="10">
        <f t="shared" si="81"/>
        <v>-1569.94</v>
      </c>
      <c r="O330" s="8">
        <f>IFERROR(N330/N444, "NA")</f>
        <v>-0.15998899396706362</v>
      </c>
      <c r="P330" s="9"/>
      <c r="Q330" s="7">
        <v>30654.51</v>
      </c>
      <c r="R330" s="8">
        <f>IFERROR(Q330/Q444, "NA")</f>
        <v>2.3065104912014377E-2</v>
      </c>
      <c r="S330" s="9"/>
      <c r="T330" s="7">
        <v>22500</v>
      </c>
      <c r="U330" s="8">
        <f>IFERROR(T330/T444, "NA")</f>
        <v>1.5820849593123611E-2</v>
      </c>
      <c r="V330" s="9"/>
      <c r="W330" s="10">
        <f t="shared" si="82"/>
        <v>-8154.5099999999984</v>
      </c>
      <c r="X330" s="8">
        <f>IFERROR(W330/W444, "NA")</f>
        <v>8.7559369195353537E-2</v>
      </c>
      <c r="Y330" s="9"/>
      <c r="Z330" s="7">
        <v>25416.97</v>
      </c>
      <c r="AA330" s="8">
        <f>IFERROR(Z330/Z444, "NA")</f>
        <v>2.0303851972865807E-2</v>
      </c>
      <c r="AB330" s="9"/>
      <c r="AC330" s="10">
        <f t="shared" si="83"/>
        <v>-5237.5399999999972</v>
      </c>
      <c r="AD330" s="8">
        <f>IFERROR(AC330/AC444, "NA")</f>
        <v>-6.7832553108436139E-2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1.7029263843845435E-3</v>
      </c>
      <c r="D332" s="9"/>
      <c r="E332" s="7">
        <v>180</v>
      </c>
      <c r="F332" s="8">
        <f>IFERROR(E332/E444, "NA")</f>
        <v>1.7211111493580255E-3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1.8771978858580253E-3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2160</v>
      </c>
      <c r="R332" s="8">
        <f>IFERROR(Q332/Q444, "NA")</f>
        <v>1.6252299126605207E-3</v>
      </c>
      <c r="S332" s="9"/>
      <c r="T332" s="7">
        <v>2160</v>
      </c>
      <c r="U332" s="8">
        <f>IFERROR(T332/T444, "NA")</f>
        <v>1.5188015609398666E-3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2160</v>
      </c>
      <c r="AA332" s="8">
        <f>IFERROR(Z332/Z444, "NA")</f>
        <v>1.7254739751193843E-3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-1848.5</v>
      </c>
      <c r="C333" s="8">
        <f>IFERROR(B333/B444, "NA")</f>
        <v>-1.7488107897415714E-2</v>
      </c>
      <c r="D333" s="9"/>
      <c r="E333" s="7">
        <v>1254</v>
      </c>
      <c r="F333" s="8">
        <f>IFERROR(E333/E444, "NA")</f>
        <v>1.1990407673860911E-2</v>
      </c>
      <c r="G333" s="9"/>
      <c r="H333" s="10">
        <f t="shared" si="80"/>
        <v>3102.5</v>
      </c>
      <c r="I333" s="8">
        <f>IFERROR(H333/H444, "NA")</f>
        <v>2.7780265042980234</v>
      </c>
      <c r="J333" s="9"/>
      <c r="K333" s="7">
        <v>1254</v>
      </c>
      <c r="L333" s="8">
        <f>IFERROR(K333/K444, "NA")</f>
        <v>1.3077811938144243E-2</v>
      </c>
      <c r="M333" s="9"/>
      <c r="N333" s="10">
        <f t="shared" si="81"/>
        <v>3102.5</v>
      </c>
      <c r="O333" s="8">
        <f>IFERROR(N333/N444, "NA")</f>
        <v>0.31616867764552459</v>
      </c>
      <c r="P333" s="9"/>
      <c r="Q333" s="7">
        <v>9423.14</v>
      </c>
      <c r="R333" s="8">
        <f>IFERROR(Q333/Q444, "NA")</f>
        <v>7.0901708329573418E-3</v>
      </c>
      <c r="S333" s="9"/>
      <c r="T333" s="7">
        <v>15048</v>
      </c>
      <c r="U333" s="8">
        <f>IFERROR(T333/T444, "NA")</f>
        <v>1.058098420788107E-2</v>
      </c>
      <c r="V333" s="9"/>
      <c r="W333" s="10">
        <f t="shared" si="82"/>
        <v>5624.8600000000006</v>
      </c>
      <c r="X333" s="8">
        <f>IFERROR(W333/W444, "NA")</f>
        <v>-6.0397153650210311E-2</v>
      </c>
      <c r="Y333" s="9"/>
      <c r="Z333" s="7">
        <v>11541.41</v>
      </c>
      <c r="AA333" s="8">
        <f>IFERROR(Z333/Z444, "NA")</f>
        <v>9.2196308292512089E-3</v>
      </c>
      <c r="AB333" s="9"/>
      <c r="AC333" s="10">
        <f t="shared" si="83"/>
        <v>2118.2700000000004</v>
      </c>
      <c r="AD333" s="8">
        <f>IFERROR(AC333/AC444, "NA")</f>
        <v>2.7434189003426632E-2</v>
      </c>
    </row>
    <row r="334" spans="1:30" ht="16.5" customHeight="1" x14ac:dyDescent="0.45">
      <c r="A334" s="6" t="s">
        <v>305</v>
      </c>
      <c r="B334" s="7">
        <v>2083.08</v>
      </c>
      <c r="C334" s="8">
        <f>IFERROR(B334/B444, "NA")</f>
        <v>1.9707399404354193E-2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-2083.08</v>
      </c>
      <c r="I334" s="8">
        <f>IFERROR(H334/H444, "NA")</f>
        <v>-1.8652220630372687</v>
      </c>
      <c r="J334" s="9"/>
      <c r="K334" s="7">
        <v>2022.4</v>
      </c>
      <c r="L334" s="8">
        <f>IFERROR(K334/K444, "NA")</f>
        <v>2.1091361135329282E-2</v>
      </c>
      <c r="M334" s="9"/>
      <c r="N334" s="10">
        <f t="shared" si="81"/>
        <v>-60.679999999999836</v>
      </c>
      <c r="O334" s="8">
        <f>IFERROR(N334/N444, "NA")</f>
        <v>-6.1837599869558032E-3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1405.12</v>
      </c>
      <c r="F337" s="8">
        <f>IFERROR(E337/E444, "NA")</f>
        <v>1.3435376101033047E-2</v>
      </c>
      <c r="G337" s="9"/>
      <c r="H337" s="10">
        <f t="shared" ref="H337:H344" si="84">IFERROR(-(B337-E337), "NA")</f>
        <v>1405.12</v>
      </c>
      <c r="I337" s="8">
        <f>IFERROR(H337/H444, "NA")</f>
        <v>1.2581661891117608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16694.11</v>
      </c>
      <c r="U337" s="8">
        <f>IFERROR(T337/T444, "NA")</f>
        <v>1.1738444595602701E-2</v>
      </c>
      <c r="V337" s="9"/>
      <c r="W337" s="10">
        <f t="shared" ref="W337:W344" si="86">IFERROR(-(Q337-T337), "NA")</f>
        <v>16694.11</v>
      </c>
      <c r="X337" s="8">
        <f>IFERROR(W337/W444, "NA")</f>
        <v>-0.17925365728631687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360</v>
      </c>
      <c r="C338" s="8">
        <f>IFERROR(B338/B444, "NA")</f>
        <v>3.405852768769087E-3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-360</v>
      </c>
      <c r="I338" s="8">
        <f>IFERROR(H338/H444, "NA")</f>
        <v>-0.32234957020057642</v>
      </c>
      <c r="J338" s="9"/>
      <c r="K338" s="7">
        <v>452.62</v>
      </c>
      <c r="L338" s="8">
        <f>IFERROR(K338/K444, "NA")</f>
        <v>4.7203183727614409E-3</v>
      </c>
      <c r="M338" s="9"/>
      <c r="N338" s="10">
        <f t="shared" si="85"/>
        <v>92.62</v>
      </c>
      <c r="O338" s="8">
        <f>IFERROR(N338/N444, "NA")</f>
        <v>9.4386923202348077E-3</v>
      </c>
      <c r="P338" s="9"/>
      <c r="Q338" s="7">
        <v>4051.91</v>
      </c>
      <c r="R338" s="8">
        <f>IFERROR(Q338/Q444, "NA")</f>
        <v>3.0487432108371715E-3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-4051.91</v>
      </c>
      <c r="X338" s="8">
        <f>IFERROR(W338/W444, "NA")</f>
        <v>4.3507541671583577E-2</v>
      </c>
      <c r="Y338" s="9"/>
      <c r="Z338" s="7">
        <v>4685.57</v>
      </c>
      <c r="AA338" s="8">
        <f>IFERROR(Z338/Z444, "NA")</f>
        <v>3.7429764322222839E-3</v>
      </c>
      <c r="AB338" s="9"/>
      <c r="AC338" s="10">
        <f t="shared" si="87"/>
        <v>633.65999999999985</v>
      </c>
      <c r="AD338" s="8">
        <f>IFERROR(AC338/AC444, "NA")</f>
        <v>8.2066725223466849E-3</v>
      </c>
    </row>
    <row r="339" spans="1:30" ht="16.5" customHeight="1" x14ac:dyDescent="0.45">
      <c r="A339" s="12" t="s">
        <v>309</v>
      </c>
      <c r="B339" s="7">
        <v>439.64</v>
      </c>
      <c r="C339" s="8">
        <f>IFERROR(B339/B444, "NA")</f>
        <v>4.1593030868378933E-3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-439.64</v>
      </c>
      <c r="I339" s="8">
        <f>IFERROR(H339/H444, "NA")</f>
        <v>-0.39366045845272618</v>
      </c>
      <c r="J339" s="9"/>
      <c r="K339" s="7">
        <v>306.61</v>
      </c>
      <c r="L339" s="8">
        <f>IFERROR(K339/K444, "NA")</f>
        <v>3.1975980210162732E-3</v>
      </c>
      <c r="M339" s="9"/>
      <c r="N339" s="10">
        <f t="shared" si="85"/>
        <v>-133.02999999999997</v>
      </c>
      <c r="O339" s="8">
        <f>IFERROR(N339/N444, "NA")</f>
        <v>-1.3556782977335738E-2</v>
      </c>
      <c r="P339" s="9"/>
      <c r="Q339" s="7">
        <v>4263.43</v>
      </c>
      <c r="R339" s="8">
        <f>IFERROR(Q339/Q444, "NA")</f>
        <v>3.2078953548769652E-3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-4263.43</v>
      </c>
      <c r="X339" s="8">
        <f>IFERROR(W339/W444, "NA")</f>
        <v>4.5778745922016924E-2</v>
      </c>
      <c r="Y339" s="9"/>
      <c r="Z339" s="7">
        <v>3925.27</v>
      </c>
      <c r="AA339" s="8">
        <f>IFERROR(Z339/Z444, "NA")</f>
        <v>3.1356255695911416E-3</v>
      </c>
      <c r="AB339" s="9"/>
      <c r="AC339" s="10">
        <f t="shared" si="87"/>
        <v>-338.16000000000031</v>
      </c>
      <c r="AD339" s="8">
        <f>IFERROR(AC339/AC444, "NA")</f>
        <v>-4.3795858664847998E-3</v>
      </c>
    </row>
    <row r="340" spans="1:30" ht="16.5" customHeight="1" x14ac:dyDescent="0.45">
      <c r="A340" s="12" t="s">
        <v>310</v>
      </c>
      <c r="B340" s="7">
        <v>1045.92</v>
      </c>
      <c r="C340" s="8">
        <f>IFERROR(B340/B444, "NA")</f>
        <v>9.8951375775304558E-3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-1045.92</v>
      </c>
      <c r="I340" s="8">
        <f>IFERROR(H340/H444, "NA")</f>
        <v>-0.93653295128940806</v>
      </c>
      <c r="J340" s="9"/>
      <c r="K340" s="7">
        <v>552.14</v>
      </c>
      <c r="L340" s="8">
        <f>IFERROR(K340/K444, "NA")</f>
        <v>5.7582002260980559E-3</v>
      </c>
      <c r="M340" s="9"/>
      <c r="N340" s="10">
        <f t="shared" si="85"/>
        <v>-493.78000000000009</v>
      </c>
      <c r="O340" s="8">
        <f>IFERROR(N340/N444, "NA")</f>
        <v>-5.0319990216859678E-2</v>
      </c>
      <c r="P340" s="9"/>
      <c r="Q340" s="7">
        <v>7064.96</v>
      </c>
      <c r="R340" s="8">
        <f>IFERROR(Q340/Q444, "NA")</f>
        <v>5.3158260758102184E-3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-7064.96</v>
      </c>
      <c r="X340" s="8">
        <f>IFERROR(W340/W444, "NA")</f>
        <v>7.5860283571962644E-2</v>
      </c>
      <c r="Y340" s="9"/>
      <c r="Z340" s="7">
        <v>4768.1899999999996</v>
      </c>
      <c r="AA340" s="8">
        <f>IFERROR(Z340/Z444, "NA")</f>
        <v>3.8089758117706E-3</v>
      </c>
      <c r="AB340" s="9"/>
      <c r="AC340" s="10">
        <f t="shared" si="87"/>
        <v>-2296.7700000000004</v>
      </c>
      <c r="AD340" s="8">
        <f>IFERROR(AC340/AC444, "NA")</f>
        <v>-2.9745982465597013E-2</v>
      </c>
    </row>
    <row r="341" spans="1:30" ht="16.5" customHeight="1" x14ac:dyDescent="0.45">
      <c r="A341" s="12" t="s">
        <v>311</v>
      </c>
      <c r="B341" s="7">
        <v>472.43</v>
      </c>
      <c r="C341" s="8">
        <f>IFERROR(B341/B444, "NA")</f>
        <v>4.4695195098599441E-3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-472.43</v>
      </c>
      <c r="I341" s="8">
        <f>IFERROR(H341/H444, "NA")</f>
        <v>-0.42302113180516199</v>
      </c>
      <c r="J341" s="9"/>
      <c r="K341" s="7">
        <v>440.18</v>
      </c>
      <c r="L341" s="8">
        <f>IFERROR(K341/K444, "NA")</f>
        <v>4.5905831410943641E-3</v>
      </c>
      <c r="M341" s="9"/>
      <c r="N341" s="10">
        <f t="shared" si="85"/>
        <v>-32.25</v>
      </c>
      <c r="O341" s="8">
        <f>IFERROR(N341/N444, "NA")</f>
        <v>-3.2865237241154451E-3</v>
      </c>
      <c r="P341" s="9"/>
      <c r="Q341" s="7">
        <v>5659.46</v>
      </c>
      <c r="R341" s="8">
        <f>IFERROR(Q341/Q444, "NA")</f>
        <v>4.258298000697088E-3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-5659.46</v>
      </c>
      <c r="X341" s="8">
        <f>IFERROR(W341/W444, "NA")</f>
        <v>6.0768672499798962E-2</v>
      </c>
      <c r="Y341" s="9"/>
      <c r="Z341" s="7">
        <v>5284.51</v>
      </c>
      <c r="AA341" s="8">
        <f>IFERROR(Z341/Z444, "NA")</f>
        <v>4.2214279982676567E-3</v>
      </c>
      <c r="AB341" s="9"/>
      <c r="AC341" s="10">
        <f t="shared" si="87"/>
        <v>-374.94999999999982</v>
      </c>
      <c r="AD341" s="8">
        <f>IFERROR(AC341/AC444, "NA")</f>
        <v>-4.8560613929455676E-3</v>
      </c>
    </row>
    <row r="342" spans="1:30" ht="16.5" customHeight="1" x14ac:dyDescent="0.45">
      <c r="A342" s="13" t="s">
        <v>312</v>
      </c>
      <c r="B342" s="14">
        <f>IFERROR(B337+B338+B339+B340+B341, "NA")</f>
        <v>2317.9899999999998</v>
      </c>
      <c r="C342" s="15">
        <f>IFERROR(B342/B444, "NA")</f>
        <v>2.1929812942997378E-2</v>
      </c>
      <c r="D342" s="2"/>
      <c r="E342" s="14">
        <f>IFERROR(E337+E338+E339+E340+E341, "NA")</f>
        <v>1405.12</v>
      </c>
      <c r="F342" s="15">
        <f>IFERROR(E342/E444, "NA")</f>
        <v>1.3435376101033047E-2</v>
      </c>
      <c r="G342" s="2"/>
      <c r="H342" s="14">
        <f t="shared" si="84"/>
        <v>-912.86999999999989</v>
      </c>
      <c r="I342" s="15">
        <f>IFERROR(H342/H444, "NA")</f>
        <v>-0.81739792263611155</v>
      </c>
      <c r="J342" s="2"/>
      <c r="K342" s="14">
        <f>IFERROR(K337+K338+K339+K340+K341, "NA")</f>
        <v>1751.55</v>
      </c>
      <c r="L342" s="15">
        <f>IFERROR(K342/K444, "NA")</f>
        <v>1.8266699760970135E-2</v>
      </c>
      <c r="M342" s="2"/>
      <c r="N342" s="14">
        <f t="shared" si="85"/>
        <v>-566.43999999999983</v>
      </c>
      <c r="O342" s="15">
        <f>IFERROR(N342/N444, "NA")</f>
        <v>-5.7724604598076032E-2</v>
      </c>
      <c r="P342" s="2"/>
      <c r="Q342" s="14">
        <f>IFERROR(Q337+Q338+Q339+Q340+Q341, "NA")</f>
        <v>21039.759999999998</v>
      </c>
      <c r="R342" s="15">
        <f>IFERROR(Q342/Q444, "NA")</f>
        <v>1.5830762642221441E-2</v>
      </c>
      <c r="S342" s="2"/>
      <c r="T342" s="14">
        <f>IFERROR(T337+T338+T339+T340+T341, "NA")</f>
        <v>16694.11</v>
      </c>
      <c r="U342" s="15">
        <f>IFERROR(T342/T444, "NA")</f>
        <v>1.1738444595602701E-2</v>
      </c>
      <c r="V342" s="2"/>
      <c r="W342" s="14">
        <f t="shared" si="86"/>
        <v>-4345.6499999999978</v>
      </c>
      <c r="X342" s="15">
        <f>IFERROR(W342/W444, "NA")</f>
        <v>4.6661586379045217E-2</v>
      </c>
      <c r="Y342" s="2"/>
      <c r="Z342" s="14">
        <f>IFERROR(Z337+Z338+Z339+Z340+Z341, "NA")</f>
        <v>18663.54</v>
      </c>
      <c r="AA342" s="15">
        <f>IFERROR(Z342/Z444, "NA")</f>
        <v>1.4909005811851683E-2</v>
      </c>
      <c r="AB342" s="2"/>
      <c r="AC342" s="14">
        <f t="shared" si="87"/>
        <v>-2376.2199999999975</v>
      </c>
      <c r="AD342" s="15">
        <f>IFERROR(AC342/AC444, "NA")</f>
        <v>-3.0774957202680652E-2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20068.619999999995</v>
      </c>
      <c r="C343" s="15">
        <f>IFERROR(B343/B444, "NA")</f>
        <v>0.18986323608992961</v>
      </c>
      <c r="D343" s="2"/>
      <c r="E343" s="14">
        <f>IFERROR(E328+E329+E330+E331+E332+E333+E334+E335+E337+E338+E339+E340+E341, "NA")</f>
        <v>20323.12</v>
      </c>
      <c r="F343" s="15">
        <f>IFERROR(E343/E444, "NA")</f>
        <v>0.1943241578985615</v>
      </c>
      <c r="G343" s="2"/>
      <c r="H343" s="14">
        <f t="shared" si="84"/>
        <v>254.50000000000364</v>
      </c>
      <c r="I343" s="15">
        <f>IFERROR(H343/H444, "NA")</f>
        <v>0.2278832378223552</v>
      </c>
      <c r="J343" s="2"/>
      <c r="K343" s="14">
        <f>IFERROR(K328+K329+K330+K331+K332+K333+K334+K335+K337+K338+K339+K340+K341, "NA")</f>
        <v>20580.080000000002</v>
      </c>
      <c r="L343" s="15">
        <f>IFERROR(K343/K444, "NA")</f>
        <v>0.21462712592660574</v>
      </c>
      <c r="M343" s="2"/>
      <c r="N343" s="14">
        <f t="shared" si="85"/>
        <v>511.4600000000064</v>
      </c>
      <c r="O343" s="15">
        <f>IFERROR(N343/N444, "NA")</f>
        <v>5.2121718571662215E-2</v>
      </c>
      <c r="P343" s="2"/>
      <c r="Q343" s="14">
        <f>IFERROR(Q328+Q329+Q330+Q331+Q332+Q333+Q334+Q335+Q337+Q338+Q339+Q340+Q341, "NA")</f>
        <v>223231.29</v>
      </c>
      <c r="R343" s="15">
        <f>IFERROR(Q343/Q444, "NA")</f>
        <v>0.16796396756934973</v>
      </c>
      <c r="S343" s="2"/>
      <c r="T343" s="14">
        <f>IFERROR(T328+T329+T330+T331+T332+T333+T334+T335+T337+T338+T339+T340+T341, "NA")</f>
        <v>216348.11</v>
      </c>
      <c r="U343" s="15">
        <f>IFERROR(T343/T444, "NA")</f>
        <v>0.15212492924740276</v>
      </c>
      <c r="V343" s="2"/>
      <c r="W343" s="14">
        <f t="shared" si="86"/>
        <v>-6883.1800000000221</v>
      </c>
      <c r="X343" s="15">
        <f>IFERROR(W343/W444, "NA")</f>
        <v>7.39084137315517E-2</v>
      </c>
      <c r="Y343" s="2"/>
      <c r="Z343" s="14">
        <f>IFERROR(Z328+Z329+Z330+Z331+Z332+Z333+Z334+Z335+Z337+Z338+Z339+Z340+Z341, "NA")</f>
        <v>213076.92</v>
      </c>
      <c r="AA343" s="15">
        <f>IFERROR(Z343/Z444, "NA")</f>
        <v>0.17021235192527548</v>
      </c>
      <c r="AB343" s="2"/>
      <c r="AC343" s="14">
        <f t="shared" si="87"/>
        <v>-10154.369999999995</v>
      </c>
      <c r="AD343" s="15">
        <f>IFERROR(AC343/AC444, "NA")</f>
        <v>-0.13151151920705345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20068.619999999995</v>
      </c>
      <c r="C344" s="15">
        <f>IFERROR(B344/B444, "NA")</f>
        <v>0.18986323608992961</v>
      </c>
      <c r="D344" s="2"/>
      <c r="E344" s="14">
        <f>IFERROR(E328+E329+E330+E331+E332+E333+E334+E335+E337+E338+E339+E340+E341, "NA")</f>
        <v>20323.12</v>
      </c>
      <c r="F344" s="15">
        <f>IFERROR(E344/E444, "NA")</f>
        <v>0.1943241578985615</v>
      </c>
      <c r="G344" s="2"/>
      <c r="H344" s="14">
        <f t="shared" si="84"/>
        <v>254.50000000000364</v>
      </c>
      <c r="I344" s="15">
        <f>IFERROR(H344/H444, "NA")</f>
        <v>0.2278832378223552</v>
      </c>
      <c r="J344" s="2"/>
      <c r="K344" s="14">
        <f>IFERROR(K328+K329+K330+K331+K332+K333+K334+K335+K337+K338+K339+K340+K341, "NA")</f>
        <v>20580.080000000002</v>
      </c>
      <c r="L344" s="15">
        <f>IFERROR(K344/K444, "NA")</f>
        <v>0.21462712592660574</v>
      </c>
      <c r="M344" s="2"/>
      <c r="N344" s="14">
        <f t="shared" si="85"/>
        <v>511.4600000000064</v>
      </c>
      <c r="O344" s="15">
        <f>IFERROR(N344/N444, "NA")</f>
        <v>5.2121718571662215E-2</v>
      </c>
      <c r="P344" s="2"/>
      <c r="Q344" s="14">
        <f>IFERROR(Q328+Q329+Q330+Q331+Q332+Q333+Q334+Q335+Q337+Q338+Q339+Q340+Q341, "NA")</f>
        <v>223231.29</v>
      </c>
      <c r="R344" s="15">
        <f>IFERROR(Q344/Q444, "NA")</f>
        <v>0.16796396756934973</v>
      </c>
      <c r="S344" s="2"/>
      <c r="T344" s="14">
        <f>IFERROR(T328+T329+T330+T331+T332+T333+T334+T335+T337+T338+T339+T340+T341, "NA")</f>
        <v>216348.11</v>
      </c>
      <c r="U344" s="15">
        <f>IFERROR(T344/T444, "NA")</f>
        <v>0.15212492924740276</v>
      </c>
      <c r="V344" s="2"/>
      <c r="W344" s="14">
        <f t="shared" si="86"/>
        <v>-6883.1800000000221</v>
      </c>
      <c r="X344" s="15">
        <f>IFERROR(W344/W444, "NA")</f>
        <v>7.39084137315517E-2</v>
      </c>
      <c r="Y344" s="2"/>
      <c r="Z344" s="14">
        <f>IFERROR(Z328+Z329+Z330+Z331+Z332+Z333+Z334+Z335+Z337+Z338+Z339+Z340+Z341, "NA")</f>
        <v>213076.92</v>
      </c>
      <c r="AA344" s="15">
        <f>IFERROR(Z344/Z444, "NA")</f>
        <v>0.17021235192527548</v>
      </c>
      <c r="AB344" s="2"/>
      <c r="AC344" s="14">
        <f t="shared" si="87"/>
        <v>-10154.369999999995</v>
      </c>
      <c r="AD344" s="15">
        <f>IFERROR(AC344/AC444, "NA")</f>
        <v>-0.13151151920705345</v>
      </c>
    </row>
    <row r="345" spans="1:30" ht="16.5" customHeight="1" x14ac:dyDescent="0.45">
      <c r="A345" s="22" t="s">
        <v>315</v>
      </c>
      <c r="B345" s="23">
        <f>IFERROR(B198-B325-B344, "NA")</f>
        <v>-8694.1099999999788</v>
      </c>
      <c r="C345" s="24">
        <f>IFERROR(B345/B444, "NA")</f>
        <v>-8.225238504300815E-2</v>
      </c>
      <c r="D345" s="25"/>
      <c r="E345" s="23">
        <f>IFERROR(E198-E325-E344, "NA")</f>
        <v>5480.9799999999959</v>
      </c>
      <c r="F345" s="24">
        <f>IFERROR(E345/E444, "NA")</f>
        <v>5.2407643263379683E-2</v>
      </c>
      <c r="G345" s="25"/>
      <c r="H345" s="23">
        <f>IFERROR(B345-E345, "NA")</f>
        <v>-14175.089999999975</v>
      </c>
      <c r="I345" s="24">
        <f>IFERROR(H345/H444, "NA")</f>
        <v>-12.692594914040225</v>
      </c>
      <c r="J345" s="25"/>
      <c r="K345" s="23">
        <f>IFERROR(K198-K325-K344, "NA")</f>
        <v>-4163.4899999999943</v>
      </c>
      <c r="L345" s="24">
        <f>IFERROR(K345/K444, "NA")</f>
        <v>-4.3420525698838995E-2</v>
      </c>
      <c r="M345" s="25"/>
      <c r="N345" s="23">
        <f>IFERROR(B345-K345, "NA")</f>
        <v>-4530.6199999999844</v>
      </c>
      <c r="O345" s="24">
        <f>IFERROR(N345/N444, "NA")</f>
        <v>-0.46170511984346874</v>
      </c>
      <c r="P345" s="25"/>
      <c r="Q345" s="23">
        <f>IFERROR(Q198-Q325-Q344, "NA")</f>
        <v>31776.200000000565</v>
      </c>
      <c r="R345" s="24">
        <f>IFERROR(Q345/Q444, "NA")</f>
        <v>2.3909088310501925E-2</v>
      </c>
      <c r="S345" s="25"/>
      <c r="T345" s="23">
        <f>IFERROR(T198-T325-T344, "NA")</f>
        <v>193003.49999999988</v>
      </c>
      <c r="U345" s="24">
        <f>IFERROR(T345/T444, "NA")</f>
        <v>0.13571019308650803</v>
      </c>
      <c r="V345" s="25"/>
      <c r="W345" s="23">
        <f>IFERROR(Q345-T345, "NA")</f>
        <v>-161227.29999999932</v>
      </c>
      <c r="X345" s="24">
        <f>IFERROR(W345/W444, "NA")</f>
        <v>1.7311844224938062</v>
      </c>
      <c r="Y345" s="25"/>
      <c r="Z345" s="23">
        <f>IFERROR(Z198-Z325-Z344, "NA")</f>
        <v>58052.510000000155</v>
      </c>
      <c r="AA345" s="24">
        <f>IFERROR(Z345/Z444, "NA")</f>
        <v>4.6374118145999108E-2</v>
      </c>
      <c r="AB345" s="25"/>
      <c r="AC345" s="23">
        <f>IFERROR(Q345-Z345, "NA")</f>
        <v>-26276.30999999959</v>
      </c>
      <c r="AD345" s="24">
        <f>IFERROR(AC345/AC444, "NA")</f>
        <v>-0.340310373489979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-8694.1099999999788</v>
      </c>
      <c r="C404" s="24">
        <f>IFERROR(B404/B444, "NA")</f>
        <v>-8.225238504300815E-2</v>
      </c>
      <c r="D404" s="25"/>
      <c r="E404" s="23">
        <f>IFERROR(E345-E403, "NA")</f>
        <v>5480.9799999999959</v>
      </c>
      <c r="F404" s="24">
        <f>IFERROR(E404/E444, "NA")</f>
        <v>5.2407643263379683E-2</v>
      </c>
      <c r="G404" s="25"/>
      <c r="H404" s="23">
        <f>IFERROR(B404-E404, "NA")</f>
        <v>-14175.089999999975</v>
      </c>
      <c r="I404" s="24">
        <f>IFERROR(H404/H444, "NA")</f>
        <v>-12.692594914040225</v>
      </c>
      <c r="J404" s="25"/>
      <c r="K404" s="23">
        <f>IFERROR(K345-K403, "NA")</f>
        <v>-4163.4899999999943</v>
      </c>
      <c r="L404" s="24">
        <f>IFERROR(K404/K444, "NA")</f>
        <v>-4.3420525698838995E-2</v>
      </c>
      <c r="M404" s="25"/>
      <c r="N404" s="23">
        <f>IFERROR(B404-K404, "NA")</f>
        <v>-4530.6199999999844</v>
      </c>
      <c r="O404" s="24">
        <f>IFERROR(N404/N444, "NA")</f>
        <v>-0.46170511984346874</v>
      </c>
      <c r="P404" s="25"/>
      <c r="Q404" s="23">
        <f>IFERROR(Q345-Q403, "NA")</f>
        <v>31776.200000000565</v>
      </c>
      <c r="R404" s="24">
        <f>IFERROR(Q404/Q444, "NA")</f>
        <v>2.3909088310501925E-2</v>
      </c>
      <c r="S404" s="25"/>
      <c r="T404" s="23">
        <f>IFERROR(T345-T403, "NA")</f>
        <v>193003.49999999988</v>
      </c>
      <c r="U404" s="24">
        <f>IFERROR(T404/T444, "NA")</f>
        <v>0.13571019308650803</v>
      </c>
      <c r="V404" s="25"/>
      <c r="W404" s="23">
        <f>IFERROR(Q404-T404, "NA")</f>
        <v>-161227.29999999932</v>
      </c>
      <c r="X404" s="24">
        <f>IFERROR(W404/W444, "NA")</f>
        <v>1.7311844224938062</v>
      </c>
      <c r="Y404" s="25"/>
      <c r="Z404" s="23">
        <f>IFERROR(Z345-Z403, "NA")</f>
        <v>58052.510000000155</v>
      </c>
      <c r="AA404" s="24">
        <f>IFERROR(Z404/Z444, "NA")</f>
        <v>4.6374118145999108E-2</v>
      </c>
      <c r="AB404" s="25"/>
      <c r="AC404" s="23">
        <f>IFERROR(Q404-Z404, "NA")</f>
        <v>-26276.30999999959</v>
      </c>
      <c r="AD404" s="24">
        <f>IFERROR(AC404/AC444, "NA")</f>
        <v>-0.340310373489979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-215.44</v>
      </c>
      <c r="R408" s="8">
        <f>IFERROR(Q408/Q444, "NA")</f>
        <v>-1.6210163536276972E-4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215.44</v>
      </c>
      <c r="X408" s="8">
        <f>IFERROR(W408/W444, "NA")</f>
        <v>-2.3132954033347154E-3</v>
      </c>
      <c r="Y408" s="9"/>
      <c r="Z408" s="7">
        <v>5201.4399999999996</v>
      </c>
      <c r="AA408" s="8">
        <f>IFERROR(Z408/Z444, "NA")</f>
        <v>4.1550691449745228E-3</v>
      </c>
      <c r="AB408" s="9"/>
      <c r="AC408" s="10">
        <f t="shared" si="103"/>
        <v>5416.8799999999992</v>
      </c>
      <c r="AD408" s="8">
        <f>IFERROR(AC408/AC444, "NA")</f>
        <v>7.0155225598663815E-2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8507.99</v>
      </c>
      <c r="C410" s="8">
        <f>IFERROR(B410/B444, "NA")</f>
        <v>8.0491559161554732E-2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-8507.99</v>
      </c>
      <c r="I410" s="8">
        <f>IFERROR(H410/H444, "NA")</f>
        <v>-7.6181858882522286</v>
      </c>
      <c r="J410" s="9"/>
      <c r="K410" s="7">
        <v>8002</v>
      </c>
      <c r="L410" s="8">
        <f>IFERROR(K410/K444, "NA")</f>
        <v>8.3451874903532883E-2</v>
      </c>
      <c r="M410" s="9"/>
      <c r="N410" s="10">
        <f t="shared" si="101"/>
        <v>-505.98999999999978</v>
      </c>
      <c r="O410" s="8">
        <f>IFERROR(N410/N444, "NA")</f>
        <v>-5.1564283384966617E-2</v>
      </c>
      <c r="P410" s="9"/>
      <c r="Q410" s="7">
        <v>99323.08</v>
      </c>
      <c r="R410" s="8">
        <f>IFERROR(Q410/Q444, "NA")</f>
        <v>7.4732796589617553E-2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-99323.08</v>
      </c>
      <c r="X410" s="8">
        <f>IFERROR(W410/W444, "NA")</f>
        <v>1.0664854456416923</v>
      </c>
      <c r="Y410" s="9"/>
      <c r="Z410" s="7">
        <v>97887.42</v>
      </c>
      <c r="AA410" s="8">
        <f>IFERROR(Z410/Z444, "NA")</f>
        <v>7.8195460972954031E-2</v>
      </c>
      <c r="AB410" s="9"/>
      <c r="AC410" s="10">
        <f t="shared" si="103"/>
        <v>-1435.6600000000035</v>
      </c>
      <c r="AD410" s="8">
        <f>IFERROR(AC410/AC444, "NA")</f>
        <v>-1.8593554072266313E-2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-31.1</v>
      </c>
      <c r="C416" s="8">
        <f>IFERROR(B416/B444, "NA")</f>
        <v>-2.9422783641310727E-4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31.1</v>
      </c>
      <c r="I416" s="8">
        <f>IFERROR(H416/H444, "NA")</f>
        <v>2.7847421203438687E-2</v>
      </c>
      <c r="J416" s="9"/>
      <c r="K416" s="7">
        <v>-30.39</v>
      </c>
      <c r="L416" s="8">
        <f>IFERROR(K416/K444, "NA")</f>
        <v>-3.1693357639569662E-4</v>
      </c>
      <c r="M416" s="9"/>
      <c r="N416" s="10">
        <f t="shared" si="101"/>
        <v>0.71000000000000085</v>
      </c>
      <c r="O416" s="8">
        <f>IFERROR(N416/N444, "NA")</f>
        <v>7.2354475786727716E-5</v>
      </c>
      <c r="P416" s="9"/>
      <c r="Q416" s="7">
        <v>-367.66</v>
      </c>
      <c r="R416" s="8">
        <f>IFERROR(Q416/Q444, "NA")</f>
        <v>-2.7663519892998475E-4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367.66</v>
      </c>
      <c r="X416" s="8">
        <f>IFERROR(W416/W444, "NA")</f>
        <v>-3.9477635907447153E-3</v>
      </c>
      <c r="Y416" s="9"/>
      <c r="Z416" s="7">
        <v>-472.51</v>
      </c>
      <c r="AA416" s="8">
        <f>IFERROR(Z416/Z444, "NA")</f>
        <v>-3.7745542036280566E-4</v>
      </c>
      <c r="AB416" s="9"/>
      <c r="AC416" s="10">
        <f t="shared" si="103"/>
        <v>-104.84999999999997</v>
      </c>
      <c r="AD416" s="8">
        <f>IFERROR(AC416/AC444, "NA")</f>
        <v>-1.3579358235773914E-3</v>
      </c>
    </row>
    <row r="417" spans="1:30" ht="16.5" customHeight="1" x14ac:dyDescent="0.45">
      <c r="A417" s="6" t="s">
        <v>382</v>
      </c>
      <c r="B417" s="7">
        <v>-24.01</v>
      </c>
      <c r="C417" s="8">
        <f>IFERROR(B417/B444, "NA")</f>
        <v>-2.2715145827262718E-4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24.01</v>
      </c>
      <c r="I417" s="8">
        <f>IFERROR(H417/H444, "NA")</f>
        <v>2.149892550143289E-2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24.01</v>
      </c>
      <c r="O417" s="8">
        <f>IFERROR(N417/N444, "NA")</f>
        <v>2.4468041741399021E-3</v>
      </c>
      <c r="P417" s="9"/>
      <c r="Q417" s="7">
        <v>-894.13</v>
      </c>
      <c r="R417" s="8">
        <f>IFERROR(Q417/Q444, "NA")</f>
        <v>-6.7276241750331082E-4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894.13</v>
      </c>
      <c r="X417" s="8">
        <f>IFERROR(W417/W444, "NA")</f>
        <v>-9.6007557509453639E-3</v>
      </c>
      <c r="Y417" s="9"/>
      <c r="Z417" s="7">
        <v>-3.84</v>
      </c>
      <c r="AA417" s="8">
        <f>IFERROR(Z417/Z444, "NA")</f>
        <v>-3.0675092891011277E-6</v>
      </c>
      <c r="AB417" s="9"/>
      <c r="AC417" s="10">
        <f t="shared" si="103"/>
        <v>890.29</v>
      </c>
      <c r="AD417" s="8">
        <f>IFERROR(AC417/AC444, "NA")</f>
        <v>1.1530345106082175E-2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8452.8799999999992</v>
      </c>
      <c r="C428" s="15">
        <f>IFERROR(B428/B444, "NA")</f>
        <v>7.9970179866868996E-2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-8452.8799999999992</v>
      </c>
      <c r="I428" s="15">
        <f>IFERROR(H428/H444, "NA")</f>
        <v>-7.5688395415473559</v>
      </c>
      <c r="J428" s="2"/>
      <c r="K428" s="14">
        <f>IFERROR(K407+K408+K409+K410+K411+K412+K413+K414+K415+K416+K417+K418+K419+K420+K421+K422+K423+K424+K425+K426+K427, "NA")</f>
        <v>7971.61</v>
      </c>
      <c r="L428" s="15">
        <f>IFERROR(K428/K444, "NA")</f>
        <v>8.3134941327137182E-2</v>
      </c>
      <c r="M428" s="2"/>
      <c r="N428" s="14">
        <f t="shared" si="101"/>
        <v>-481.26999999999953</v>
      </c>
      <c r="O428" s="15">
        <f>IFERROR(N428/N444, "NA")</f>
        <v>-4.9045124735039955E-2</v>
      </c>
      <c r="P428" s="2"/>
      <c r="Q428" s="14">
        <f>IFERROR(Q407+Q408+Q409+Q410+Q411+Q412+Q413+Q414+Q415+Q416+Q417+Q418+Q419+Q420+Q421+Q422+Q423+Q424+Q425+Q426+Q427, "NA")</f>
        <v>97845.849999999991</v>
      </c>
      <c r="R428" s="15">
        <f>IFERROR(Q428/Q444, "NA")</f>
        <v>7.3621297337821481E-2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-97845.849999999991</v>
      </c>
      <c r="X428" s="15">
        <f>IFERROR(W428/W444, "NA")</f>
        <v>1.0506236308966674</v>
      </c>
      <c r="Y428" s="2"/>
      <c r="Z428" s="14">
        <f>IFERROR(Z407+Z408+Z409+Z410+Z411+Z412+Z413+Z414+Z415+Z416+Z417+Z418+Z419+Z420+Z421+Z422+Z423+Z424+Z425+Z426+Z427, "NA")</f>
        <v>102612.51000000001</v>
      </c>
      <c r="AA428" s="15">
        <f>IFERROR(Z428/Z444, "NA")</f>
        <v>8.1970007188276656E-2</v>
      </c>
      <c r="AB428" s="2"/>
      <c r="AC428" s="14">
        <f t="shared" si="103"/>
        <v>4766.660000000018</v>
      </c>
      <c r="AD428" s="15">
        <f>IFERROR(AC428/AC444, "NA")</f>
        <v>6.1734080808902574E-2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8452.8799999999992</v>
      </c>
      <c r="C429" s="15">
        <f>IFERROR(B429/B444, "NA")</f>
        <v>7.9970179866868996E-2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-8452.8799999999992</v>
      </c>
      <c r="I429" s="15">
        <f>IFERROR(H429/H444, "NA")</f>
        <v>-7.5688395415473559</v>
      </c>
      <c r="J429" s="2"/>
      <c r="K429" s="14">
        <f>IFERROR(K407+K408+K409+K410+K411+K412+K413+K414+K415+K416+K417+K418+K419+K420+K421+K422+K423+K424+K425+K426+K427, "NA")</f>
        <v>7971.61</v>
      </c>
      <c r="L429" s="15">
        <f>IFERROR(K429/K444, "NA")</f>
        <v>8.3134941327137182E-2</v>
      </c>
      <c r="M429" s="2"/>
      <c r="N429" s="14">
        <f t="shared" si="101"/>
        <v>-481.26999999999953</v>
      </c>
      <c r="O429" s="15">
        <f>IFERROR(N429/N444, "NA")</f>
        <v>-4.9045124735039955E-2</v>
      </c>
      <c r="P429" s="2"/>
      <c r="Q429" s="14">
        <f>IFERROR(Q407+Q408+Q409+Q410+Q411+Q412+Q413+Q414+Q415+Q416+Q417+Q418+Q419+Q420+Q421+Q422+Q423+Q424+Q425+Q426+Q427, "NA")</f>
        <v>97845.849999999991</v>
      </c>
      <c r="R429" s="15">
        <f>IFERROR(Q429/Q444, "NA")</f>
        <v>7.3621297337821481E-2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-97845.849999999991</v>
      </c>
      <c r="X429" s="15">
        <f>IFERROR(W429/W444, "NA")</f>
        <v>1.0506236308966674</v>
      </c>
      <c r="Y429" s="2"/>
      <c r="Z429" s="14">
        <f>IFERROR(Z407+Z408+Z409+Z410+Z411+Z412+Z413+Z414+Z415+Z416+Z417+Z418+Z419+Z420+Z421+Z422+Z423+Z424+Z425+Z426+Z427, "NA")</f>
        <v>102612.51000000001</v>
      </c>
      <c r="AA429" s="15">
        <f>IFERROR(Z429/Z444, "NA")</f>
        <v>8.1970007188276656E-2</v>
      </c>
      <c r="AB429" s="2"/>
      <c r="AC429" s="14">
        <f t="shared" si="103"/>
        <v>4766.660000000018</v>
      </c>
      <c r="AD429" s="15">
        <f>IFERROR(AC429/AC444, "NA")</f>
        <v>6.1734080808902574E-2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-17146.989999999976</v>
      </c>
      <c r="C443" s="24">
        <f>IFERROR(B443/B444, "NA")</f>
        <v>-0.16222256490987713</v>
      </c>
      <c r="D443" s="25"/>
      <c r="E443" s="23">
        <f>IFERROR(E404-E429-E442, "NA")</f>
        <v>5480.9799999999959</v>
      </c>
      <c r="F443" s="24">
        <f>IFERROR(E443/E444, "NA")</f>
        <v>5.2407643263379683E-2</v>
      </c>
      <c r="G443" s="25"/>
      <c r="H443" s="23">
        <f>IFERROR(B443-E443, "NA")</f>
        <v>-22627.969999999972</v>
      </c>
      <c r="I443" s="24">
        <f>IFERROR(H443/H444, "NA")</f>
        <v>-20.26143445558758</v>
      </c>
      <c r="J443" s="25"/>
      <c r="K443" s="23">
        <f>IFERROR(K404-K429-K442, "NA")</f>
        <v>-12135.099999999995</v>
      </c>
      <c r="L443" s="24">
        <f>IFERROR(K443/K444, "NA")</f>
        <v>-0.1265554670259762</v>
      </c>
      <c r="M443" s="25"/>
      <c r="N443" s="23">
        <f>IFERROR(B443-K443, "NA")</f>
        <v>-5011.8899999999812</v>
      </c>
      <c r="O443" s="24">
        <f>IFERROR(N443/N444, "NA")</f>
        <v>-0.51075024457850837</v>
      </c>
      <c r="P443" s="25"/>
      <c r="Q443" s="23">
        <f>IFERROR(Q404-Q429-Q442, "NA")</f>
        <v>-66069.649999999427</v>
      </c>
      <c r="R443" s="24">
        <f>IFERROR(Q443/Q444, "NA")</f>
        <v>-4.9712209027319557E-2</v>
      </c>
      <c r="S443" s="25"/>
      <c r="T443" s="23">
        <f>IFERROR(T404-T429-T442, "NA")</f>
        <v>193003.49999999988</v>
      </c>
      <c r="U443" s="24">
        <f>IFERROR(T443/T444, "NA")</f>
        <v>0.13571019308650803</v>
      </c>
      <c r="V443" s="25"/>
      <c r="W443" s="23">
        <f>IFERROR(Q443-T443, "NA")</f>
        <v>-259073.14999999932</v>
      </c>
      <c r="X443" s="24">
        <f>IFERROR(W443/W444, "NA")</f>
        <v>2.7818080533904737</v>
      </c>
      <c r="Y443" s="25"/>
      <c r="Z443" s="23">
        <f>IFERROR(Z404-Z429-Z442, "NA")</f>
        <v>-44559.999999999854</v>
      </c>
      <c r="AA443" s="24">
        <f>IFERROR(Z443/Z444, "NA")</f>
        <v>-3.5595889042277555E-2</v>
      </c>
      <c r="AB443" s="25"/>
      <c r="AC443" s="23">
        <f>IFERROR(Q443-Z443, "NA")</f>
        <v>-21509.649999999572</v>
      </c>
      <c r="AD443" s="24">
        <f>IFERROR(AC443/AC444, "NA")</f>
        <v>-0.27857629268107642</v>
      </c>
    </row>
    <row r="444" spans="1:30" ht="15.75" hidden="1" x14ac:dyDescent="0.45">
      <c r="A444" s="26" t="s">
        <v>117</v>
      </c>
      <c r="B444" s="7">
        <v>105700.4</v>
      </c>
      <c r="C444" s="27"/>
      <c r="D444" s="9"/>
      <c r="E444" s="7">
        <v>104583.6</v>
      </c>
      <c r="F444" s="27"/>
      <c r="G444" s="9"/>
      <c r="H444" s="10">
        <f>IFERROR(B444-E444, "NA")</f>
        <v>1116.7999999999884</v>
      </c>
      <c r="I444" s="27"/>
      <c r="J444" s="9"/>
      <c r="K444" s="7">
        <v>95887.6</v>
      </c>
      <c r="L444" s="27"/>
      <c r="M444" s="9"/>
      <c r="N444" s="10">
        <f>IFERROR(B444-K444, "NA")</f>
        <v>9812.7999999999884</v>
      </c>
      <c r="O444" s="27"/>
      <c r="P444" s="9"/>
      <c r="Q444" s="7">
        <v>1329042.73</v>
      </c>
      <c r="R444" s="27"/>
      <c r="S444" s="9"/>
      <c r="T444" s="7">
        <v>1422173.94</v>
      </c>
      <c r="U444" s="27"/>
      <c r="V444" s="9"/>
      <c r="W444" s="10">
        <f>IFERROR(Q444-T444, "NA")</f>
        <v>-93131.209999999963</v>
      </c>
      <c r="X444" s="27"/>
      <c r="Y444" s="9"/>
      <c r="Z444" s="7">
        <v>1251829.95</v>
      </c>
      <c r="AA444" s="27"/>
      <c r="AB444" s="9"/>
      <c r="AC444" s="10">
        <f>IFERROR(Q444-Z444, "NA")</f>
        <v>77212.780000000028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67035.929999999993</v>
      </c>
      <c r="F10" s="8">
        <f>IFERROR(E10/E444, "NA")</f>
        <v>0.53399999761023675</v>
      </c>
      <c r="G10" s="9"/>
      <c r="H10" s="10">
        <f t="shared" ref="H10:H19" si="0">IFERROR(B10-E10, "NA")</f>
        <v>-67035.929999999993</v>
      </c>
      <c r="I10" s="8">
        <f>IFERROR(H10/H444, "NA")</f>
        <v>3.1053094565749091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798107.97</v>
      </c>
      <c r="U10" s="8">
        <f>IFERROR(T10/T444, "NA")</f>
        <v>0.53400001196319369</v>
      </c>
      <c r="V10" s="9"/>
      <c r="W10" s="10">
        <f t="shared" ref="W10:W19" si="2">IFERROR(Q10-T10, "NA")</f>
        <v>-798107.97</v>
      </c>
      <c r="X10" s="8">
        <f>IFERROR(W10/W444, "NA")</f>
        <v>5.3080201847739259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49837.58</v>
      </c>
      <c r="C11" s="8">
        <f>IFERROR(B11/B444, "NA")</f>
        <v>0.47944754647831855</v>
      </c>
      <c r="D11" s="9"/>
      <c r="E11" s="7">
        <v>0</v>
      </c>
      <c r="F11" s="8">
        <f>IFERROR(E11/E444, "NA")</f>
        <v>0</v>
      </c>
      <c r="G11" s="9"/>
      <c r="H11" s="10">
        <f t="shared" si="0"/>
        <v>49837.58</v>
      </c>
      <c r="I11" s="8">
        <f>IFERROR(H11/H444, "NA")</f>
        <v>-2.3086292450452852</v>
      </c>
      <c r="J11" s="9"/>
      <c r="K11" s="7">
        <v>55705.7</v>
      </c>
      <c r="L11" s="8">
        <f>IFERROR(K11/K444, "NA")</f>
        <v>0.48939487902860573</v>
      </c>
      <c r="M11" s="9"/>
      <c r="N11" s="10">
        <f t="shared" si="1"/>
        <v>-5868.1199999999953</v>
      </c>
      <c r="O11" s="8">
        <f>IFERROR(N11/N444, "NA")</f>
        <v>0.5940751629421297</v>
      </c>
      <c r="P11" s="9"/>
      <c r="Q11" s="7">
        <v>615609.76</v>
      </c>
      <c r="R11" s="8">
        <f>IFERROR(Q11/Q444, "NA")</f>
        <v>0.45796620551629252</v>
      </c>
      <c r="S11" s="9"/>
      <c r="T11" s="7">
        <v>0</v>
      </c>
      <c r="U11" s="8">
        <f>IFERROR(T11/T444, "NA")</f>
        <v>0</v>
      </c>
      <c r="V11" s="9"/>
      <c r="W11" s="10">
        <f t="shared" si="2"/>
        <v>615609.76</v>
      </c>
      <c r="X11" s="8">
        <f>IFERROR(W11/W444, "NA")</f>
        <v>-4.0942693906738361</v>
      </c>
      <c r="Y11" s="9"/>
      <c r="Z11" s="7">
        <v>670637.59</v>
      </c>
      <c r="AA11" s="8">
        <f>IFERROR(Z11/Z444, "NA")</f>
        <v>0.51300149137682194</v>
      </c>
      <c r="AB11" s="9"/>
      <c r="AC11" s="10">
        <f t="shared" si="3"/>
        <v>-55027.829999999958</v>
      </c>
      <c r="AD11" s="8">
        <f>IFERROR(AC11/AC444, "NA")</f>
        <v>-1.4895192233514236</v>
      </c>
    </row>
    <row r="12" spans="1:30" ht="16.5" customHeight="1" x14ac:dyDescent="0.45">
      <c r="A12" s="12" t="s">
        <v>14</v>
      </c>
      <c r="B12" s="7">
        <v>5402.45</v>
      </c>
      <c r="C12" s="8">
        <f>IFERROR(B12/B444, "NA")</f>
        <v>5.1972655924942421E-2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5402.45</v>
      </c>
      <c r="I12" s="8">
        <f>IFERROR(H12/H444, "NA")</f>
        <v>-0.25025801944827375</v>
      </c>
      <c r="J12" s="9"/>
      <c r="K12" s="7">
        <v>6010.35</v>
      </c>
      <c r="L12" s="8">
        <f>IFERROR(K12/K444, "NA")</f>
        <v>5.2803115501099188E-2</v>
      </c>
      <c r="M12" s="9"/>
      <c r="N12" s="10">
        <f t="shared" si="1"/>
        <v>-607.90000000000055</v>
      </c>
      <c r="O12" s="8">
        <f>IFERROR(N12/N444, "NA")</f>
        <v>6.1542417597547638E-2</v>
      </c>
      <c r="P12" s="9"/>
      <c r="Q12" s="7">
        <v>71315.45</v>
      </c>
      <c r="R12" s="8">
        <f>IFERROR(Q12/Q444, "NA")</f>
        <v>5.3053197257929896E-2</v>
      </c>
      <c r="S12" s="9"/>
      <c r="T12" s="7">
        <v>0</v>
      </c>
      <c r="U12" s="8">
        <f>IFERROR(T12/T444, "NA")</f>
        <v>0</v>
      </c>
      <c r="V12" s="9"/>
      <c r="W12" s="10">
        <f t="shared" si="2"/>
        <v>71315.45</v>
      </c>
      <c r="X12" s="8">
        <f>IFERROR(W12/W444, "NA")</f>
        <v>-0.47430155106236527</v>
      </c>
      <c r="Y12" s="9"/>
      <c r="Z12" s="7">
        <v>70505.649999999994</v>
      </c>
      <c r="AA12" s="8">
        <f>IFERROR(Z12/Z444, "NA")</f>
        <v>5.3933009631166401E-2</v>
      </c>
      <c r="AB12" s="9"/>
      <c r="AC12" s="10">
        <f t="shared" si="3"/>
        <v>809.80000000000291</v>
      </c>
      <c r="AD12" s="8">
        <f>IFERROR(AC12/AC444, "NA")</f>
        <v>2.192004785705684E-2</v>
      </c>
    </row>
    <row r="13" spans="1:30" ht="16.5" customHeight="1" x14ac:dyDescent="0.45">
      <c r="A13" s="12" t="s">
        <v>15</v>
      </c>
      <c r="B13" s="7">
        <v>150.5</v>
      </c>
      <c r="C13" s="8">
        <f>IFERROR(B13/B444, "NA")</f>
        <v>1.4478402792628964E-3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150.5</v>
      </c>
      <c r="I13" s="8">
        <f>IFERROR(H13/H444, "NA")</f>
        <v>-6.9716206400735224E-3</v>
      </c>
      <c r="J13" s="9"/>
      <c r="K13" s="7">
        <v>150.5</v>
      </c>
      <c r="L13" s="8">
        <f>IFERROR(K13/K444, "NA")</f>
        <v>1.3221973567122424E-3</v>
      </c>
      <c r="M13" s="9"/>
      <c r="N13" s="10">
        <f t="shared" si="1"/>
        <v>0</v>
      </c>
      <c r="O13" s="8">
        <f>IFERROR(N13/N444, "NA")</f>
        <v>0</v>
      </c>
      <c r="P13" s="9"/>
      <c r="Q13" s="7">
        <v>2269.5</v>
      </c>
      <c r="R13" s="8">
        <f>IFERROR(Q13/Q444, "NA")</f>
        <v>1.6883330495267423E-3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2269.5</v>
      </c>
      <c r="X13" s="8">
        <f>IFERROR(W13/W444, "NA")</f>
        <v>-1.5093887371334514E-2</v>
      </c>
      <c r="Y13" s="9"/>
      <c r="Z13" s="7">
        <v>3000.5</v>
      </c>
      <c r="AA13" s="8">
        <f>IFERROR(Z13/Z444, "NA")</f>
        <v>2.2952202468641139E-3</v>
      </c>
      <c r="AB13" s="9"/>
      <c r="AC13" s="10">
        <f t="shared" si="3"/>
        <v>-731</v>
      </c>
      <c r="AD13" s="8">
        <f>IFERROR(AC13/AC444, "NA")</f>
        <v>-1.9787052338242149E-2</v>
      </c>
    </row>
    <row r="14" spans="1:30" ht="16.5" customHeight="1" x14ac:dyDescent="0.45">
      <c r="A14" s="12" t="s">
        <v>16</v>
      </c>
      <c r="B14" s="7">
        <v>25</v>
      </c>
      <c r="C14" s="8">
        <f>IFERROR(B14/B444, "NA")</f>
        <v>2.4050502977788978E-4</v>
      </c>
      <c r="D14" s="9"/>
      <c r="E14" s="7">
        <v>0</v>
      </c>
      <c r="F14" s="8">
        <f>IFERROR(E14/E444, "NA")</f>
        <v>0</v>
      </c>
      <c r="G14" s="9"/>
      <c r="H14" s="10">
        <f t="shared" si="0"/>
        <v>25</v>
      </c>
      <c r="I14" s="8">
        <f>IFERROR(H14/H444, "NA")</f>
        <v>-1.1580765182846384E-3</v>
      </c>
      <c r="J14" s="9"/>
      <c r="K14" s="7">
        <v>441</v>
      </c>
      <c r="L14" s="8">
        <f>IFERROR(K14/K444, "NA")</f>
        <v>3.8743457429242455E-3</v>
      </c>
      <c r="M14" s="9"/>
      <c r="N14" s="10">
        <f t="shared" si="1"/>
        <v>-416</v>
      </c>
      <c r="O14" s="8">
        <f>IFERROR(N14/N444, "NA")</f>
        <v>4.2114896727389037E-2</v>
      </c>
      <c r="P14" s="9"/>
      <c r="Q14" s="7">
        <v>2590</v>
      </c>
      <c r="R14" s="8">
        <f>IFERROR(Q14/Q444, "NA")</f>
        <v>1.9267603429276327E-3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2590</v>
      </c>
      <c r="X14" s="8">
        <f>IFERROR(W14/W444, "NA")</f>
        <v>-1.7225454193327338E-2</v>
      </c>
      <c r="Y14" s="9"/>
      <c r="Z14" s="7">
        <v>7526</v>
      </c>
      <c r="AA14" s="8">
        <f>IFERROR(Z14/Z444, "NA")</f>
        <v>5.7569830287949745E-3</v>
      </c>
      <c r="AB14" s="9"/>
      <c r="AC14" s="10">
        <f t="shared" si="3"/>
        <v>-4936</v>
      </c>
      <c r="AD14" s="8">
        <f>IFERROR(AC14/AC444, "NA")</f>
        <v>-0.13360997310747366</v>
      </c>
    </row>
    <row r="15" spans="1:30" ht="16.5" customHeight="1" x14ac:dyDescent="0.45">
      <c r="A15" s="12" t="s">
        <v>17</v>
      </c>
      <c r="B15" s="7">
        <v>32</v>
      </c>
      <c r="C15" s="8">
        <f>IFERROR(B15/B444, "NA")</f>
        <v>3.078464381156989E-4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32</v>
      </c>
      <c r="I15" s="8">
        <f>IFERROR(H15/H444, "NA")</f>
        <v>-1.4823379434043371E-3</v>
      </c>
      <c r="J15" s="9"/>
      <c r="K15" s="7">
        <v>60</v>
      </c>
      <c r="L15" s="8">
        <f>IFERROR(K15/K444, "NA")</f>
        <v>5.2712186978561167E-4</v>
      </c>
      <c r="M15" s="9"/>
      <c r="N15" s="10">
        <f t="shared" si="1"/>
        <v>-28</v>
      </c>
      <c r="O15" s="8">
        <f>IFERROR(N15/N444, "NA")</f>
        <v>2.8346565104973389E-3</v>
      </c>
      <c r="P15" s="9"/>
      <c r="Q15" s="7">
        <v>650</v>
      </c>
      <c r="R15" s="8">
        <f>IFERROR(Q15/Q444, "NA")</f>
        <v>4.8354989301272632E-4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650</v>
      </c>
      <c r="X15" s="8">
        <f>IFERROR(W15/W444, "NA")</f>
        <v>-4.3229904346188302E-3</v>
      </c>
      <c r="Y15" s="9"/>
      <c r="Z15" s="7">
        <v>1109</v>
      </c>
      <c r="AA15" s="8">
        <f>IFERROR(Z15/Z444, "NA")</f>
        <v>8.4832503041903093E-4</v>
      </c>
      <c r="AB15" s="9"/>
      <c r="AC15" s="10">
        <f t="shared" si="3"/>
        <v>-459</v>
      </c>
      <c r="AD15" s="8">
        <f>IFERROR(AC15/AC444, "NA")</f>
        <v>-1.2424428212384606E-2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55447.53</v>
      </c>
      <c r="C18" s="15">
        <f>IFERROR(B18/B444, "NA")</f>
        <v>0.53341639415041742</v>
      </c>
      <c r="D18" s="2"/>
      <c r="E18" s="14">
        <f>IFERROR(E10+E11+E12+E13+E14+E15+E16+E17, "NA")</f>
        <v>67035.929999999993</v>
      </c>
      <c r="F18" s="15">
        <f>IFERROR(E18/E444, "NA")</f>
        <v>0.53399999761023675</v>
      </c>
      <c r="G18" s="2"/>
      <c r="H18" s="14">
        <f t="shared" si="0"/>
        <v>-11588.399999999994</v>
      </c>
      <c r="I18" s="15">
        <f>IFERROR(H18/H444, "NA")</f>
        <v>0.53681015697958778</v>
      </c>
      <c r="J18" s="2"/>
      <c r="K18" s="14">
        <f>IFERROR(K10+K11+K12+K13+K14+K15+K16+K17, "NA")</f>
        <v>62367.549999999996</v>
      </c>
      <c r="L18" s="15">
        <f>IFERROR(K18/K444, "NA")</f>
        <v>0.54792165949912697</v>
      </c>
      <c r="M18" s="2"/>
      <c r="N18" s="14">
        <f t="shared" si="1"/>
        <v>-6920.0199999999968</v>
      </c>
      <c r="O18" s="15">
        <f>IFERROR(N18/N444, "NA")</f>
        <v>0.70056713377756386</v>
      </c>
      <c r="P18" s="2"/>
      <c r="Q18" s="14">
        <f>IFERROR(Q10+Q11+Q12+Q13+Q14+Q15+Q16+Q17, "NA")</f>
        <v>692434.71</v>
      </c>
      <c r="R18" s="15">
        <f>IFERROR(Q18/Q444, "NA")</f>
        <v>0.51511804605968947</v>
      </c>
      <c r="S18" s="2"/>
      <c r="T18" s="14">
        <f>IFERROR(T10+T11+T12+T13+T14+T15+T16+T17, "NA")</f>
        <v>798107.97</v>
      </c>
      <c r="U18" s="15">
        <f>IFERROR(T18/T444, "NA")</f>
        <v>0.53400001196319369</v>
      </c>
      <c r="V18" s="2"/>
      <c r="W18" s="14">
        <f t="shared" si="2"/>
        <v>-105673.26000000001</v>
      </c>
      <c r="X18" s="15">
        <f>IFERROR(W18/W444, "NA")</f>
        <v>0.70280691103844406</v>
      </c>
      <c r="Y18" s="2"/>
      <c r="Z18" s="14">
        <f>IFERROR(Z10+Z11+Z12+Z13+Z14+Z15+Z16+Z17, "NA")</f>
        <v>752778.74</v>
      </c>
      <c r="AA18" s="15">
        <f>IFERROR(Z18/Z444, "NA")</f>
        <v>0.57583502931406649</v>
      </c>
      <c r="AB18" s="2"/>
      <c r="AC18" s="14">
        <f t="shared" si="3"/>
        <v>-60344.030000000028</v>
      </c>
      <c r="AD18" s="15">
        <f>IFERROR(AC18/AC444, "NA")</f>
        <v>-1.6334206291524693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13306.76</v>
      </c>
      <c r="F21" s="8">
        <f>IFERROR(E21/E444, "NA")</f>
        <v>0.10600001832151795</v>
      </c>
      <c r="G21" s="9"/>
      <c r="H21" s="10">
        <f t="shared" ref="H21:H29" si="4">IFERROR(B21-E21, "NA")</f>
        <v>-13306.76</v>
      </c>
      <c r="I21" s="8">
        <f>IFERROR(H21/H444, "NA")</f>
        <v>0.61640985161797179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158425.92000000001</v>
      </c>
      <c r="U21" s="8">
        <f>IFERROR(T21/T444, "NA")</f>
        <v>0.10599999793922615</v>
      </c>
      <c r="V21" s="9"/>
      <c r="W21" s="10">
        <f t="shared" ref="W21:W29" si="6">IFERROR(Q21-T21, "NA")</f>
        <v>-158425.92000000001</v>
      </c>
      <c r="X21" s="8">
        <f>IFERROR(W21/W444, "NA")</f>
        <v>1.0536519027010585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12391.44</v>
      </c>
      <c r="C22" s="8">
        <f>IFERROR(B22/B444, "NA")</f>
        <v>0.11920814584763738</v>
      </c>
      <c r="D22" s="9"/>
      <c r="E22" s="7">
        <v>0</v>
      </c>
      <c r="F22" s="8">
        <f>IFERROR(E22/E444, "NA")</f>
        <v>0</v>
      </c>
      <c r="G22" s="9"/>
      <c r="H22" s="10">
        <f t="shared" si="4"/>
        <v>12391.44</v>
      </c>
      <c r="I22" s="8">
        <f>IFERROR(H22/H444, "NA")</f>
        <v>-0.57400942766931995</v>
      </c>
      <c r="J22" s="9"/>
      <c r="K22" s="7">
        <v>11392.8</v>
      </c>
      <c r="L22" s="8">
        <f>IFERROR(K22/K444, "NA")</f>
        <v>0.10008990063489193</v>
      </c>
      <c r="M22" s="9"/>
      <c r="N22" s="10">
        <f t="shared" si="5"/>
        <v>998.64000000000124</v>
      </c>
      <c r="O22" s="8">
        <f>IFERROR(N22/N444, "NA")</f>
        <v>-0.10110004920153808</v>
      </c>
      <c r="P22" s="9"/>
      <c r="Q22" s="7">
        <v>115366.05</v>
      </c>
      <c r="R22" s="8">
        <f>IFERROR(Q22/Q444, "NA")</f>
        <v>8.5823447899693595E-2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115366.05</v>
      </c>
      <c r="X22" s="8">
        <f>IFERROR(W22/W444, "NA")</f>
        <v>-0.76727127789193483</v>
      </c>
      <c r="Y22" s="9"/>
      <c r="Z22" s="7">
        <v>121338.77</v>
      </c>
      <c r="AA22" s="8">
        <f>IFERROR(Z22/Z444, "NA")</f>
        <v>9.2817597611594041E-2</v>
      </c>
      <c r="AB22" s="9"/>
      <c r="AC22" s="10">
        <f t="shared" si="7"/>
        <v>-5972.7200000000012</v>
      </c>
      <c r="AD22" s="8">
        <f>IFERROR(AC22/AC444, "NA")</f>
        <v>-0.16167239841541134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613.65</v>
      </c>
      <c r="C24" s="8">
        <f>IFERROR(B24/B444, "NA")</f>
        <v>5.9034364609280819E-3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613.65</v>
      </c>
      <c r="I24" s="8">
        <f>IFERROR(H24/H444, "NA")</f>
        <v>-2.8426146217814731E-2</v>
      </c>
      <c r="J24" s="9"/>
      <c r="K24" s="7">
        <v>1051.1500000000001</v>
      </c>
      <c r="L24" s="8">
        <f>IFERROR(K24/K444, "NA")</f>
        <v>9.2347358904190952E-3</v>
      </c>
      <c r="M24" s="9"/>
      <c r="N24" s="10">
        <f t="shared" si="5"/>
        <v>-437.50000000000011</v>
      </c>
      <c r="O24" s="8">
        <f>IFERROR(N24/N444, "NA")</f>
        <v>4.4291507976520934E-2</v>
      </c>
      <c r="P24" s="9"/>
      <c r="Q24" s="7">
        <v>11091.17</v>
      </c>
      <c r="R24" s="8">
        <f>IFERROR(Q24/Q444, "NA")</f>
        <v>8.2509754875168609E-3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11091.17</v>
      </c>
      <c r="X24" s="8">
        <f>IFERROR(W24/W444, "NA")</f>
        <v>-7.3764648951894343E-2</v>
      </c>
      <c r="Y24" s="9"/>
      <c r="Z24" s="7">
        <v>7264.89</v>
      </c>
      <c r="AA24" s="8">
        <f>IFERROR(Z24/Z444, "NA")</f>
        <v>5.5572479984138086E-3</v>
      </c>
      <c r="AB24" s="9"/>
      <c r="AC24" s="10">
        <f t="shared" si="7"/>
        <v>3826.2799999999997</v>
      </c>
      <c r="AD24" s="8">
        <f>IFERROR(AC24/AC444, "NA")</f>
        <v>0.10357154941281692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844.59</v>
      </c>
      <c r="C28" s="8">
        <f>IFERROR(B28/B444, "NA")</f>
        <v>8.125125724004317E-3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844.59</v>
      </c>
      <c r="I28" s="8">
        <f>IFERROR(H28/H444, "NA")</f>
        <v>-3.9123993863120911E-2</v>
      </c>
      <c r="J28" s="9"/>
      <c r="K28" s="7">
        <v>742.76</v>
      </c>
      <c r="L28" s="8">
        <f>IFERROR(K28/K444, "NA")</f>
        <v>6.5254173333660149E-3</v>
      </c>
      <c r="M28" s="9"/>
      <c r="N28" s="10">
        <f t="shared" si="5"/>
        <v>101.83000000000004</v>
      </c>
      <c r="O28" s="8">
        <f>IFERROR(N28/N444, "NA")</f>
        <v>-1.030903830228372E-2</v>
      </c>
      <c r="P28" s="9"/>
      <c r="Q28" s="7">
        <v>10536.41</v>
      </c>
      <c r="R28" s="8">
        <f>IFERROR(Q28/Q444, "NA")</f>
        <v>7.8382768126741848E-3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10536.41</v>
      </c>
      <c r="X28" s="8">
        <f>IFERROR(W28/W444, "NA")</f>
        <v>-7.00750763772649E-2</v>
      </c>
      <c r="Y28" s="9"/>
      <c r="Z28" s="7">
        <v>9717.34</v>
      </c>
      <c r="AA28" s="8">
        <f>IFERROR(Z28/Z444, "NA")</f>
        <v>7.4332396312822959E-3</v>
      </c>
      <c r="AB28" s="9"/>
      <c r="AC28" s="10">
        <f t="shared" si="7"/>
        <v>819.06999999999971</v>
      </c>
      <c r="AD28" s="8">
        <f>IFERROR(AC28/AC444, "NA")</f>
        <v>2.2170972583699031E-2</v>
      </c>
    </row>
    <row r="29" spans="1:30" ht="16.5" customHeight="1" x14ac:dyDescent="0.45">
      <c r="A29" s="13" t="s">
        <v>30</v>
      </c>
      <c r="B29" s="14">
        <f>IFERROR(B21+B22+B23+B24+B25+B26+B27+B28, "NA")</f>
        <v>13849.68</v>
      </c>
      <c r="C29" s="15">
        <f>IFERROR(B29/B444, "NA")</f>
        <v>0.13323670803256979</v>
      </c>
      <c r="D29" s="2"/>
      <c r="E29" s="14">
        <f>IFERROR(E21+E22+E23+E24+E25+E26+E27+E28, "NA")</f>
        <v>13306.76</v>
      </c>
      <c r="F29" s="15">
        <f>IFERROR(E29/E444, "NA")</f>
        <v>0.10600001832151795</v>
      </c>
      <c r="G29" s="2"/>
      <c r="H29" s="14">
        <f t="shared" si="4"/>
        <v>542.92000000000007</v>
      </c>
      <c r="I29" s="15">
        <f>IFERROR(H29/H444, "NA")</f>
        <v>-2.5149716132283836E-2</v>
      </c>
      <c r="J29" s="2"/>
      <c r="K29" s="14">
        <f>IFERROR(K21+K22+K23+K24+K25+K26+K27+K28, "NA")</f>
        <v>13186.71</v>
      </c>
      <c r="L29" s="15">
        <f>IFERROR(K29/K444, "NA")</f>
        <v>0.11585005385867704</v>
      </c>
      <c r="M29" s="2"/>
      <c r="N29" s="14">
        <f t="shared" si="5"/>
        <v>662.97000000000116</v>
      </c>
      <c r="O29" s="15">
        <f>IFERROR(N29/N444, "NA")</f>
        <v>-6.7117579527300866E-2</v>
      </c>
      <c r="P29" s="2"/>
      <c r="Q29" s="14">
        <f>IFERROR(Q21+Q22+Q23+Q24+Q25+Q26+Q27+Q28, "NA")</f>
        <v>136993.63</v>
      </c>
      <c r="R29" s="15">
        <f>IFERROR(Q29/Q444, "NA")</f>
        <v>0.10191270019988465</v>
      </c>
      <c r="S29" s="2"/>
      <c r="T29" s="14">
        <f>IFERROR(T21+T22+T23+T24+T25+T26+T27+T28, "NA")</f>
        <v>158425.92000000001</v>
      </c>
      <c r="U29" s="15">
        <f>IFERROR(T29/T444, "NA")</f>
        <v>0.10599999793922615</v>
      </c>
      <c r="V29" s="2"/>
      <c r="W29" s="14">
        <f t="shared" si="6"/>
        <v>-21432.290000000008</v>
      </c>
      <c r="X29" s="15">
        <f>IFERROR(W29/W444, "NA")</f>
        <v>0.14254089947996437</v>
      </c>
      <c r="Y29" s="2"/>
      <c r="Z29" s="14">
        <f>IFERROR(Z21+Z22+Z23+Z24+Z25+Z26+Z27+Z28, "NA")</f>
        <v>138321</v>
      </c>
      <c r="AA29" s="15">
        <f>IFERROR(Z29/Z444, "NA")</f>
        <v>0.10580808524129015</v>
      </c>
      <c r="AB29" s="2"/>
      <c r="AC29" s="14">
        <f t="shared" si="7"/>
        <v>-1327.3699999999953</v>
      </c>
      <c r="AD29" s="15">
        <f>IFERROR(AC29/AC444, "NA")</f>
        <v>-3.5929876418895203E-2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23977.27</v>
      </c>
      <c r="F31" s="8">
        <f>IFERROR(E31/E444, "NA")</f>
        <v>0.1909999924324165</v>
      </c>
      <c r="G31" s="9"/>
      <c r="H31" s="10">
        <f t="shared" ref="H31:H40" si="8">IFERROR(B31-E31, "NA")</f>
        <v>-23977.27</v>
      </c>
      <c r="I31" s="8">
        <f>IFERROR(H31/H444, "NA")</f>
        <v>1.1107005343828285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285465.56</v>
      </c>
      <c r="U31" s="8">
        <f>IFERROR(T31/T444, "NA")</f>
        <v>0.19099998770226512</v>
      </c>
      <c r="V31" s="9"/>
      <c r="W31" s="10">
        <f t="shared" ref="W31:W40" si="10">IFERROR(Q31-T31, "NA")</f>
        <v>-285465.56</v>
      </c>
      <c r="X31" s="8">
        <f>IFERROR(W31/W444, "NA")</f>
        <v>1.8985613619893964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9295.7000000000007</v>
      </c>
      <c r="C33" s="8">
        <f>IFERROR(B33/B444, "NA")</f>
        <v>8.9426504212253205E-2</v>
      </c>
      <c r="D33" s="9"/>
      <c r="E33" s="7">
        <v>0</v>
      </c>
      <c r="F33" s="8">
        <f>IFERROR(E33/E444, "NA")</f>
        <v>0</v>
      </c>
      <c r="G33" s="9"/>
      <c r="H33" s="10">
        <f t="shared" si="8"/>
        <v>9295.7000000000007</v>
      </c>
      <c r="I33" s="8">
        <f>IFERROR(H33/H444, "NA")</f>
        <v>-0.43060527564074053</v>
      </c>
      <c r="J33" s="9"/>
      <c r="K33" s="7">
        <v>7555.6</v>
      </c>
      <c r="L33" s="8">
        <f>IFERROR(K33/K444, "NA")</f>
        <v>6.6378699989202788E-2</v>
      </c>
      <c r="M33" s="9"/>
      <c r="N33" s="10">
        <f t="shared" si="9"/>
        <v>1740.1000000000004</v>
      </c>
      <c r="O33" s="8">
        <f>IFERROR(N33/N444, "NA")</f>
        <v>-0.17616377835415789</v>
      </c>
      <c r="P33" s="9"/>
      <c r="Q33" s="7">
        <v>100956.5</v>
      </c>
      <c r="R33" s="8">
        <f>IFERROR(Q33/Q444, "NA")</f>
        <v>7.5103853498368164E-2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100956.5</v>
      </c>
      <c r="X33" s="8">
        <f>IFERROR(W33/W444, "NA")</f>
        <v>-0.67143689817322449</v>
      </c>
      <c r="Y33" s="9"/>
      <c r="Z33" s="7">
        <v>78353.09</v>
      </c>
      <c r="AA33" s="8">
        <f>IFERROR(Z33/Z444, "NA")</f>
        <v>5.9935876877975712E-2</v>
      </c>
      <c r="AB33" s="9"/>
      <c r="AC33" s="10">
        <f t="shared" si="11"/>
        <v>22603.410000000003</v>
      </c>
      <c r="AD33" s="8">
        <f>IFERROR(AC33/AC444, "NA")</f>
        <v>0.6118397492376827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394.27</v>
      </c>
      <c r="C35" s="8">
        <f>IFERROR(B35/B444, "NA")</f>
        <v>3.792956723621144E-3</v>
      </c>
      <c r="D35" s="9"/>
      <c r="E35" s="7">
        <v>0</v>
      </c>
      <c r="F35" s="8">
        <f>IFERROR(E35/E444, "NA")</f>
        <v>0</v>
      </c>
      <c r="G35" s="9"/>
      <c r="H35" s="10">
        <f t="shared" si="8"/>
        <v>394.27</v>
      </c>
      <c r="I35" s="8">
        <f>IFERROR(H35/H444, "NA")</f>
        <v>-1.8263793154563373E-2</v>
      </c>
      <c r="J35" s="9"/>
      <c r="K35" s="7">
        <v>2030.6</v>
      </c>
      <c r="L35" s="8">
        <f>IFERROR(K35/K444, "NA")</f>
        <v>1.7839561146444381E-2</v>
      </c>
      <c r="M35" s="9"/>
      <c r="N35" s="10">
        <f t="shared" si="9"/>
        <v>-1636.33</v>
      </c>
      <c r="O35" s="8">
        <f>IFERROR(N35/N444, "NA")</f>
        <v>0.16565833885078965</v>
      </c>
      <c r="P35" s="9"/>
      <c r="Q35" s="7">
        <v>12401.17</v>
      </c>
      <c r="R35" s="8">
        <f>IFERROR(Q35/Q444, "NA")</f>
        <v>9.2255145026655869E-3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12401.17</v>
      </c>
      <c r="X35" s="8">
        <f>IFERROR(W35/W444, "NA")</f>
        <v>-8.2477137366279998E-2</v>
      </c>
      <c r="Y35" s="9"/>
      <c r="Z35" s="7">
        <v>8862.14</v>
      </c>
      <c r="AA35" s="8">
        <f>IFERROR(Z35/Z444, "NA")</f>
        <v>6.7790578765353562E-3</v>
      </c>
      <c r="AB35" s="9"/>
      <c r="AC35" s="10">
        <f t="shared" si="11"/>
        <v>3539.0300000000007</v>
      </c>
      <c r="AD35" s="8">
        <f>IFERROR(AC35/AC444, "NA")</f>
        <v>9.5796131103432464E-2</v>
      </c>
    </row>
    <row r="36" spans="1:30" ht="16.5" customHeight="1" x14ac:dyDescent="0.45">
      <c r="A36" s="12" t="s">
        <v>36</v>
      </c>
      <c r="B36" s="7">
        <v>11593.44</v>
      </c>
      <c r="C36" s="8">
        <f>IFERROR(B36/B444, "NA")</f>
        <v>0.11153122529712714</v>
      </c>
      <c r="D36" s="9"/>
      <c r="E36" s="7">
        <v>0</v>
      </c>
      <c r="F36" s="8">
        <f>IFERROR(E36/E444, "NA")</f>
        <v>0</v>
      </c>
      <c r="G36" s="9"/>
      <c r="H36" s="10">
        <f t="shared" si="8"/>
        <v>11593.44</v>
      </c>
      <c r="I36" s="8">
        <f>IFERROR(H36/H444, "NA")</f>
        <v>-0.53704362520567428</v>
      </c>
      <c r="J36" s="9"/>
      <c r="K36" s="7">
        <v>13719.65</v>
      </c>
      <c r="L36" s="8">
        <f>IFERROR(K36/K444, "NA")</f>
        <v>0.12053212601340277</v>
      </c>
      <c r="M36" s="9"/>
      <c r="N36" s="10">
        <f t="shared" si="9"/>
        <v>-2126.2099999999991</v>
      </c>
      <c r="O36" s="8">
        <f>IFERROR(N36/N444, "NA")</f>
        <v>0.21525267925659089</v>
      </c>
      <c r="P36" s="9"/>
      <c r="Q36" s="7">
        <v>120794.69</v>
      </c>
      <c r="R36" s="8">
        <f>IFERROR(Q36/Q444, "NA")</f>
        <v>8.9861937578469914E-2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120794.69</v>
      </c>
      <c r="X36" s="8">
        <f>IFERROR(W36/W444, "NA")</f>
        <v>-0.80337582988114897</v>
      </c>
      <c r="Y36" s="9"/>
      <c r="Z36" s="7">
        <v>123357.63</v>
      </c>
      <c r="AA36" s="8">
        <f>IFERROR(Z36/Z444, "NA")</f>
        <v>9.436191634100051E-2</v>
      </c>
      <c r="AB36" s="9"/>
      <c r="AC36" s="10">
        <f t="shared" si="11"/>
        <v>-2562.9400000000023</v>
      </c>
      <c r="AD36" s="8">
        <f>IFERROR(AC36/AC444, "NA")</f>
        <v>-6.93748671953138E-2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823.48</v>
      </c>
      <c r="C39" s="8">
        <f>IFERROR(B39/B444, "NA")</f>
        <v>7.9220432768598668E-3</v>
      </c>
      <c r="D39" s="9"/>
      <c r="E39" s="7">
        <v>0</v>
      </c>
      <c r="F39" s="8">
        <f>IFERROR(E39/E444, "NA")</f>
        <v>0</v>
      </c>
      <c r="G39" s="9"/>
      <c r="H39" s="10">
        <f t="shared" si="8"/>
        <v>823.48</v>
      </c>
      <c r="I39" s="8">
        <f>IFERROR(H39/H444, "NA")</f>
        <v>-3.8146114051081356E-2</v>
      </c>
      <c r="J39" s="9"/>
      <c r="K39" s="7">
        <v>807.9</v>
      </c>
      <c r="L39" s="8">
        <f>IFERROR(K39/K444, "NA")</f>
        <v>7.0976959766632609E-3</v>
      </c>
      <c r="M39" s="9"/>
      <c r="N39" s="10">
        <f t="shared" si="9"/>
        <v>15.580000000000041</v>
      </c>
      <c r="O39" s="8">
        <f>IFERROR(N39/N444, "NA")</f>
        <v>-1.5772838726267379E-3</v>
      </c>
      <c r="P39" s="9"/>
      <c r="Q39" s="7">
        <v>11748.06</v>
      </c>
      <c r="R39" s="8">
        <f>IFERROR(Q39/Q444, "NA")</f>
        <v>8.7396510093955219E-3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11748.06</v>
      </c>
      <c r="X39" s="8">
        <f>IFERROR(W39/W444, "NA")</f>
        <v>-7.8133463085120133E-2</v>
      </c>
      <c r="Y39" s="9"/>
      <c r="Z39" s="7">
        <v>10555.79</v>
      </c>
      <c r="AA39" s="8">
        <f>IFERROR(Z39/Z444, "NA")</f>
        <v>8.0746085417916173E-3</v>
      </c>
      <c r="AB39" s="9"/>
      <c r="AC39" s="10">
        <f t="shared" si="11"/>
        <v>1192.2699999999986</v>
      </c>
      <c r="AD39" s="8">
        <f>IFERROR(AC39/AC444, "NA")</f>
        <v>3.2272925979912367E-2</v>
      </c>
    </row>
    <row r="40" spans="1:30" ht="16.5" customHeight="1" x14ac:dyDescent="0.45">
      <c r="A40" s="13" t="s">
        <v>40</v>
      </c>
      <c r="B40" s="14">
        <f>IFERROR(B31+B32+B33+B34+B35+B36+B37+B38+B39, "NA")</f>
        <v>22106.890000000003</v>
      </c>
      <c r="C40" s="15">
        <f>IFERROR(B40/B444, "NA")</f>
        <v>0.21267272950986138</v>
      </c>
      <c r="D40" s="2"/>
      <c r="E40" s="14">
        <f>IFERROR(E31+E32+E33+E34+E35+E36+E37+E38+E39, "NA")</f>
        <v>23977.27</v>
      </c>
      <c r="F40" s="15">
        <f>IFERROR(E40/E444, "NA")</f>
        <v>0.1909999924324165</v>
      </c>
      <c r="G40" s="2"/>
      <c r="H40" s="14">
        <f t="shared" si="8"/>
        <v>-1870.3799999999974</v>
      </c>
      <c r="I40" s="15">
        <f>IFERROR(H40/H444, "NA")</f>
        <v>8.6641726330768748E-2</v>
      </c>
      <c r="J40" s="2"/>
      <c r="K40" s="14">
        <f>IFERROR(K31+K32+K33+K34+K35+K36+K37+K38+K39, "NA")</f>
        <v>24113.75</v>
      </c>
      <c r="L40" s="15">
        <f>IFERROR(K40/K444, "NA")</f>
        <v>0.21184808312571321</v>
      </c>
      <c r="M40" s="2"/>
      <c r="N40" s="14">
        <f t="shared" si="9"/>
        <v>-2006.8599999999969</v>
      </c>
      <c r="O40" s="15">
        <f>IFERROR(N40/N444, "NA")</f>
        <v>0.20316995588059575</v>
      </c>
      <c r="P40" s="2"/>
      <c r="Q40" s="14">
        <f>IFERROR(Q31+Q32+Q33+Q34+Q35+Q36+Q37+Q38+Q39, "NA")</f>
        <v>245900.41999999998</v>
      </c>
      <c r="R40" s="15">
        <f>IFERROR(Q40/Q444, "NA")</f>
        <v>0.18293095658889919</v>
      </c>
      <c r="S40" s="2"/>
      <c r="T40" s="14">
        <f>IFERROR(T31+T32+T33+T34+T35+T36+T37+T38+T39, "NA")</f>
        <v>285465.56</v>
      </c>
      <c r="U40" s="15">
        <f>IFERROR(T40/T444, "NA")</f>
        <v>0.19099998770226512</v>
      </c>
      <c r="V40" s="2"/>
      <c r="W40" s="14">
        <f t="shared" si="10"/>
        <v>-39565.140000000014</v>
      </c>
      <c r="X40" s="15">
        <f>IFERROR(W40/W444, "NA")</f>
        <v>0.26313803348362291</v>
      </c>
      <c r="Y40" s="2"/>
      <c r="Z40" s="14">
        <f>IFERROR(Z31+Z32+Z33+Z34+Z35+Z36+Z37+Z38+Z39, "NA")</f>
        <v>221128.65</v>
      </c>
      <c r="AA40" s="15">
        <f>IFERROR(Z40/Z444, "NA")</f>
        <v>0.16915145963730319</v>
      </c>
      <c r="AB40" s="2"/>
      <c r="AC40" s="14">
        <f t="shared" si="11"/>
        <v>24771.76999999999</v>
      </c>
      <c r="AD40" s="15">
        <f>IFERROR(AC40/AC444, "NA")</f>
        <v>0.67053393912571346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4126.74</v>
      </c>
      <c r="C43" s="8">
        <f>IFERROR(B43/B444, "NA")</f>
        <v>3.9700069063424354E-2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4126.74</v>
      </c>
      <c r="I43" s="8">
        <f>IFERROR(H43/H444, "NA")</f>
        <v>-0.19116322764263793</v>
      </c>
      <c r="J43" s="9"/>
      <c r="K43" s="7">
        <v>5522.58</v>
      </c>
      <c r="L43" s="8">
        <f>IFERROR(K43/K444, "NA")</f>
        <v>4.851787826067705E-2</v>
      </c>
      <c r="M43" s="9"/>
      <c r="N43" s="10">
        <f>IFERROR(B43-K43, "NA")</f>
        <v>-1395.8400000000001</v>
      </c>
      <c r="O43" s="8">
        <f>IFERROR(N43/N444, "NA")</f>
        <v>0.14131167655759308</v>
      </c>
      <c r="P43" s="9"/>
      <c r="Q43" s="7">
        <v>66264.05</v>
      </c>
      <c r="R43" s="8">
        <f>IFERROR(Q43/Q444, "NA")</f>
        <v>4.9295345058599921E-2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66264.05</v>
      </c>
      <c r="X43" s="8">
        <f>IFERROR(W43/W444, "NA")</f>
        <v>-0.44070592970631367</v>
      </c>
      <c r="Y43" s="9"/>
      <c r="Z43" s="7">
        <v>15223.28</v>
      </c>
      <c r="AA43" s="8">
        <f>IFERROR(Z43/Z444, "NA")</f>
        <v>1.164498599556125E-2</v>
      </c>
      <c r="AB43" s="9"/>
      <c r="AC43" s="10">
        <f>IFERROR(Q43-Z43, "NA")</f>
        <v>51040.770000000004</v>
      </c>
      <c r="AD43" s="8">
        <f>IFERROR(AC43/AC444, "NA")</f>
        <v>1.3815956051630367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24730.48</v>
      </c>
      <c r="F46" s="8">
        <f>IFERROR(E46/E444, "NA")</f>
        <v>0.1969999709245476</v>
      </c>
      <c r="G46" s="9"/>
      <c r="H46" s="10">
        <f t="shared" ref="H46:H62" si="12">IFERROR(B46-E46, "NA")</f>
        <v>-24730.48</v>
      </c>
      <c r="I46" s="8">
        <f>IFERROR(H46/H444, "NA")</f>
        <v>1.1455915269563153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294433.08</v>
      </c>
      <c r="U46" s="8">
        <f>IFERROR(T46/T444, "NA")</f>
        <v>0.19699999768497484</v>
      </c>
      <c r="V46" s="9"/>
      <c r="W46" s="10">
        <f t="shared" ref="W46:W62" si="14">IFERROR(Q46-T46, "NA")</f>
        <v>-294433.08</v>
      </c>
      <c r="X46" s="8">
        <f>IFERROR(W46/W444, "NA")</f>
        <v>1.9582021361159396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9776.31</v>
      </c>
      <c r="C48" s="8">
        <f>IFERROR(B48/B444, "NA")</f>
        <v>9.4050069106715262E-2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9776.31</v>
      </c>
      <c r="I48" s="8">
        <f>IFERROR(H48/H444, "NA")</f>
        <v>-0.45286860185885169</v>
      </c>
      <c r="J48" s="9"/>
      <c r="K48" s="7">
        <v>14611.4</v>
      </c>
      <c r="L48" s="8">
        <f>IFERROR(K48/K444, "NA")</f>
        <v>0.12836647480309143</v>
      </c>
      <c r="M48" s="9"/>
      <c r="N48" s="10">
        <f t="shared" si="13"/>
        <v>-4835.09</v>
      </c>
      <c r="O48" s="8">
        <f>IFERROR(N48/N444, "NA")</f>
        <v>0.4894935481193064</v>
      </c>
      <c r="P48" s="9"/>
      <c r="Q48" s="7">
        <v>156559.95000000001</v>
      </c>
      <c r="R48" s="8">
        <f>IFERROR(Q48/Q444, "NA")</f>
        <v>0.11646853395781198</v>
      </c>
      <c r="S48" s="9"/>
      <c r="T48" s="7">
        <v>0</v>
      </c>
      <c r="U48" s="8">
        <f>IFERROR(T48/T444, "NA")</f>
        <v>0</v>
      </c>
      <c r="V48" s="9"/>
      <c r="W48" s="10">
        <f t="shared" si="14"/>
        <v>156559.95000000001</v>
      </c>
      <c r="X48" s="8">
        <f>IFERROR(W48/W444, "NA")</f>
        <v>-1.0412417942990806</v>
      </c>
      <c r="Y48" s="9"/>
      <c r="Z48" s="7">
        <v>231590.26</v>
      </c>
      <c r="AA48" s="8">
        <f>IFERROR(Z48/Z444, "NA")</f>
        <v>0.17715402557191279</v>
      </c>
      <c r="AB48" s="9"/>
      <c r="AC48" s="10">
        <f t="shared" si="15"/>
        <v>-75030.31</v>
      </c>
      <c r="AD48" s="8">
        <f>IFERROR(AC48/AC444, "NA")</f>
        <v>-2.0309557741785684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12.85</v>
      </c>
      <c r="R49" s="8">
        <f>IFERROR(Q49/Q444, "NA")</f>
        <v>9.559409423405436E-6</v>
      </c>
      <c r="S49" s="9"/>
      <c r="T49" s="7">
        <v>0</v>
      </c>
      <c r="U49" s="8">
        <f>IFERROR(T49/T444, "NA")</f>
        <v>0</v>
      </c>
      <c r="V49" s="9"/>
      <c r="W49" s="10">
        <f t="shared" si="14"/>
        <v>12.85</v>
      </c>
      <c r="X49" s="8">
        <f>IFERROR(W49/W444, "NA")</f>
        <v>-8.5462195515156869E-5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12.85</v>
      </c>
      <c r="AD49" s="8">
        <f>IFERROR(AC49/AC444, "NA")</f>
        <v>3.4782985300466708E-4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2000</v>
      </c>
      <c r="R53" s="8">
        <f>IFERROR(Q53/Q444, "NA")</f>
        <v>1.4878458246545426E-3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2000</v>
      </c>
      <c r="X53" s="8">
        <f>IFERROR(W53/W444, "NA")</f>
        <v>-1.33015090295964E-2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2000</v>
      </c>
      <c r="AD53" s="8">
        <f>IFERROR(AC53/AC444, "NA")</f>
        <v>5.4136942101893709E-2</v>
      </c>
    </row>
    <row r="54" spans="1:30" ht="16.5" customHeight="1" x14ac:dyDescent="0.45">
      <c r="A54" s="17" t="s">
        <v>52</v>
      </c>
      <c r="B54" s="7">
        <v>936.79</v>
      </c>
      <c r="C54" s="8">
        <f>IFERROR(B54/B444, "NA")</f>
        <v>9.0121082738251739E-3</v>
      </c>
      <c r="D54" s="9"/>
      <c r="E54" s="7">
        <v>0</v>
      </c>
      <c r="F54" s="8">
        <f>IFERROR(E54/E444, "NA")</f>
        <v>0</v>
      </c>
      <c r="G54" s="9"/>
      <c r="H54" s="10">
        <f t="shared" si="12"/>
        <v>936.79</v>
      </c>
      <c r="I54" s="8">
        <f>IFERROR(H54/H444, "NA")</f>
        <v>-4.3394980062554649E-2</v>
      </c>
      <c r="J54" s="9"/>
      <c r="K54" s="7">
        <v>0</v>
      </c>
      <c r="L54" s="8">
        <f>IFERROR(K54/K444, "NA")</f>
        <v>0</v>
      </c>
      <c r="M54" s="9"/>
      <c r="N54" s="10">
        <f t="shared" si="13"/>
        <v>936.79</v>
      </c>
      <c r="O54" s="8">
        <f>IFERROR(N54/N444, "NA")</f>
        <v>-9.4838495445314364E-2</v>
      </c>
      <c r="P54" s="9"/>
      <c r="Q54" s="7">
        <v>960.09</v>
      </c>
      <c r="R54" s="8">
        <f>IFERROR(Q54/Q444, "NA")</f>
        <v>7.1423294889628997E-4</v>
      </c>
      <c r="S54" s="9"/>
      <c r="T54" s="7">
        <v>0</v>
      </c>
      <c r="U54" s="8">
        <f>IFERROR(T54/T444, "NA")</f>
        <v>0</v>
      </c>
      <c r="V54" s="9"/>
      <c r="W54" s="10">
        <f t="shared" si="14"/>
        <v>960.09</v>
      </c>
      <c r="X54" s="8">
        <f>IFERROR(W54/W444, "NA")</f>
        <v>-6.3853229021126039E-3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960.09</v>
      </c>
      <c r="AD54" s="8">
        <f>IFERROR(AC54/AC444, "NA")</f>
        <v>2.5988168371303567E-2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35.75</v>
      </c>
      <c r="R55" s="8">
        <f>IFERROR(Q55/Q444, "NA")</f>
        <v>2.659524411569995E-5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35.75</v>
      </c>
      <c r="X55" s="8">
        <f>IFERROR(W55/W444, "NA")</f>
        <v>-2.3776447390403565E-4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35.75</v>
      </c>
      <c r="AD55" s="8">
        <f>IFERROR(AC55/AC444, "NA")</f>
        <v>9.6769784007135005E-4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56.2</v>
      </c>
      <c r="R56" s="8">
        <f>IFERROR(Q56/Q444, "NA")</f>
        <v>4.1808467672792647E-5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56.2</v>
      </c>
      <c r="X56" s="8">
        <f>IFERROR(W56/W444, "NA")</f>
        <v>-3.7377240373165886E-4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56.2</v>
      </c>
      <c r="AD56" s="8">
        <f>IFERROR(AC56/AC444, "NA")</f>
        <v>1.5212480730632132E-3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492.65</v>
      </c>
      <c r="AA59" s="8">
        <f>IFERROR(Z59/Z444, "NA")</f>
        <v>3.768506097709067E-4</v>
      </c>
      <c r="AB59" s="9"/>
      <c r="AC59" s="10">
        <f t="shared" si="15"/>
        <v>-492.65</v>
      </c>
      <c r="AD59" s="8">
        <f>IFERROR(AC59/AC444, "NA")</f>
        <v>-1.3335282263248966E-2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10713.099999999999</v>
      </c>
      <c r="C61" s="15">
        <f>IFERROR(B61/B444, "NA")</f>
        <v>0.10306217738054042</v>
      </c>
      <c r="D61" s="2"/>
      <c r="E61" s="14">
        <f>IFERROR(E46+E47+E48+E49+E50+E51+E52+E53+E54+E55+E56+E57+E58+E59+E60, "NA")</f>
        <v>24730.48</v>
      </c>
      <c r="F61" s="15">
        <f>IFERROR(E61/E444, "NA")</f>
        <v>0.1969999709245476</v>
      </c>
      <c r="G61" s="2"/>
      <c r="H61" s="14">
        <f t="shared" si="12"/>
        <v>-14017.380000000001</v>
      </c>
      <c r="I61" s="15">
        <f>IFERROR(H61/H444, "NA")</f>
        <v>0.64932794503490898</v>
      </c>
      <c r="J61" s="2"/>
      <c r="K61" s="14">
        <f>IFERROR(K46+K47+K48+K49+K50+K51+K52+K53+K54+K55+K56+K57+K58+K59+K60, "NA")</f>
        <v>14611.4</v>
      </c>
      <c r="L61" s="15">
        <f>IFERROR(K61/K444, "NA")</f>
        <v>0.12836647480309143</v>
      </c>
      <c r="M61" s="2"/>
      <c r="N61" s="14">
        <f t="shared" si="13"/>
        <v>-3898.3000000000011</v>
      </c>
      <c r="O61" s="15">
        <f>IFERROR(N61/N444, "NA")</f>
        <v>0.39465505267399215</v>
      </c>
      <c r="P61" s="2"/>
      <c r="Q61" s="14">
        <f>IFERROR(Q46+Q47+Q48+Q49+Q50+Q51+Q52+Q53+Q54+Q55+Q56+Q57+Q58+Q59+Q60, "NA")</f>
        <v>159624.84000000003</v>
      </c>
      <c r="R61" s="15">
        <f>IFERROR(Q61/Q444, "NA")</f>
        <v>0.11874857585257473</v>
      </c>
      <c r="S61" s="2"/>
      <c r="T61" s="14">
        <f>IFERROR(T46+T47+T48+T49+T50+T51+T52+T53+T54+T55+T56+T57+T58+T59+T60, "NA")</f>
        <v>294433.08</v>
      </c>
      <c r="U61" s="15">
        <f>IFERROR(T61/T444, "NA")</f>
        <v>0.19699999768497484</v>
      </c>
      <c r="V61" s="2"/>
      <c r="W61" s="14">
        <f t="shared" si="14"/>
        <v>-134808.24</v>
      </c>
      <c r="X61" s="15">
        <f>IFERROR(W61/W444, "NA")</f>
        <v>0.89657651081199918</v>
      </c>
      <c r="Y61" s="2"/>
      <c r="Z61" s="14">
        <f>IFERROR(Z46+Z47+Z48+Z49+Z50+Z51+Z52+Z53+Z54+Z55+Z56+Z57+Z58+Z59+Z60, "NA")</f>
        <v>232082.91</v>
      </c>
      <c r="AA61" s="15">
        <f>IFERROR(Z61/Z444, "NA")</f>
        <v>0.1775308761816837</v>
      </c>
      <c r="AB61" s="2"/>
      <c r="AC61" s="14">
        <f t="shared" si="15"/>
        <v>-72458.069999999978</v>
      </c>
      <c r="AD61" s="15">
        <f>IFERROR(AC61/AC444, "NA")</f>
        <v>-1.9613291702024802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14839.84</v>
      </c>
      <c r="C62" s="15">
        <f>IFERROR(B62/B444, "NA")</f>
        <v>0.14276224644396479</v>
      </c>
      <c r="D62" s="2"/>
      <c r="E62" s="14">
        <f>IFERROR(E42+E43+E44+E46+E47+E48+E49+E50+E51+E52+E53+E54+E55+E56+E57+E58+E59+E60, "NA")</f>
        <v>24730.48</v>
      </c>
      <c r="F62" s="15">
        <f>IFERROR(E62/E444, "NA")</f>
        <v>0.1969999709245476</v>
      </c>
      <c r="G62" s="2"/>
      <c r="H62" s="14">
        <f t="shared" si="12"/>
        <v>-9890.64</v>
      </c>
      <c r="I62" s="15">
        <f>IFERROR(H62/H444, "NA")</f>
        <v>0.45816471739227099</v>
      </c>
      <c r="J62" s="2"/>
      <c r="K62" s="14">
        <f>IFERROR(K42+K43+K44+K46+K47+K48+K49+K50+K51+K52+K53+K54+K55+K56+K57+K58+K59+K60, "NA")</f>
        <v>20133.98</v>
      </c>
      <c r="L62" s="15">
        <f>IFERROR(K62/K444, "NA")</f>
        <v>0.17688435306376848</v>
      </c>
      <c r="M62" s="2"/>
      <c r="N62" s="14">
        <f t="shared" si="13"/>
        <v>-5294.1399999999994</v>
      </c>
      <c r="O62" s="15">
        <f>IFERROR(N62/N444, "NA")</f>
        <v>0.53596672923158506</v>
      </c>
      <c r="P62" s="2"/>
      <c r="Q62" s="14">
        <f>IFERROR(Q42+Q43+Q44+Q46+Q47+Q48+Q49+Q50+Q51+Q52+Q53+Q54+Q55+Q56+Q57+Q58+Q59+Q60, "NA")</f>
        <v>225888.89</v>
      </c>
      <c r="R62" s="15">
        <f>IFERROR(Q62/Q444, "NA")</f>
        <v>0.16804392091117465</v>
      </c>
      <c r="S62" s="2"/>
      <c r="T62" s="14">
        <f>IFERROR(T42+T43+T44+T46+T47+T48+T49+T50+T51+T52+T53+T54+T55+T56+T57+T58+T59+T60, "NA")</f>
        <v>294433.08</v>
      </c>
      <c r="U62" s="15">
        <f>IFERROR(T62/T444, "NA")</f>
        <v>0.19699999768497484</v>
      </c>
      <c r="V62" s="2"/>
      <c r="W62" s="14">
        <f t="shared" si="14"/>
        <v>-68544.19</v>
      </c>
      <c r="X62" s="15">
        <f>IFERROR(W62/W444, "NA")</f>
        <v>0.45587058110568562</v>
      </c>
      <c r="Y62" s="2"/>
      <c r="Z62" s="14">
        <f>IFERROR(Z42+Z43+Z44+Z46+Z47+Z48+Z49+Z50+Z51+Z52+Z53+Z54+Z55+Z56+Z57+Z58+Z59+Z60, "NA")</f>
        <v>247306.19</v>
      </c>
      <c r="AA62" s="15">
        <f>IFERROR(Z62/Z444, "NA")</f>
        <v>0.18917586217724494</v>
      </c>
      <c r="AB62" s="2"/>
      <c r="AC62" s="14">
        <f t="shared" si="15"/>
        <v>-21417.299999999988</v>
      </c>
      <c r="AD62" s="15">
        <f>IFERROR(AC62/AC444, "NA")</f>
        <v>-0.57973356503944373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3558.41</v>
      </c>
      <c r="C65" s="8">
        <f>IFERROR(B65/B444, "NA")</f>
        <v>3.4232620120477626E-2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3558.41</v>
      </c>
      <c r="I65" s="8">
        <f>IFERROR(H65/H444, "NA")</f>
        <v>-0.16483644253716959</v>
      </c>
      <c r="J65" s="9"/>
      <c r="K65" s="7">
        <v>0</v>
      </c>
      <c r="L65" s="8">
        <f>IFERROR(K65/K444, "NA")</f>
        <v>0</v>
      </c>
      <c r="M65" s="9"/>
      <c r="N65" s="10">
        <f t="shared" si="17"/>
        <v>3558.41</v>
      </c>
      <c r="O65" s="8">
        <f>IFERROR(N65/N444, "NA")</f>
        <v>-0.36024535976852984</v>
      </c>
      <c r="P65" s="9"/>
      <c r="Q65" s="7">
        <v>28002.080000000002</v>
      </c>
      <c r="R65" s="8">
        <f>IFERROR(Q65/Q444, "NA")</f>
        <v>2.0831388904821238E-2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28002.080000000002</v>
      </c>
      <c r="X65" s="8">
        <f>IFERROR(W65/W444, "NA")</f>
        <v>-0.18623495998374037</v>
      </c>
      <c r="Y65" s="9"/>
      <c r="Z65" s="7">
        <v>1212.95</v>
      </c>
      <c r="AA65" s="8">
        <f>IFERROR(Z65/Z444, "NA")</f>
        <v>9.278411592847282E-4</v>
      </c>
      <c r="AB65" s="9"/>
      <c r="AC65" s="10">
        <f t="shared" si="19"/>
        <v>26789.13</v>
      </c>
      <c r="AD65" s="8">
        <f>IFERROR(AC65/AC444, "NA")</f>
        <v>0.72514078988505193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48453.01</v>
      </c>
      <c r="R66" s="8">
        <f>IFERROR(Q66/Q444, "NA")</f>
        <v>3.6045304310222404E-2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48453.01</v>
      </c>
      <c r="X66" s="8">
        <f>IFERROR(W66/W444, "NA")</f>
        <v>-0.32224907501306232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48453.01</v>
      </c>
      <c r="AD66" s="8">
        <f>IFERROR(AC66/AC444, "NA")</f>
        <v>1.3115488985162385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1236.55</v>
      </c>
      <c r="C68" s="8">
        <f>IFERROR(B68/B444, "NA")</f>
        <v>1.1895859782873984E-2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1236.55</v>
      </c>
      <c r="I68" s="8">
        <f>IFERROR(H68/H444, "NA")</f>
        <v>-5.7280780747394781E-2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1236.55</v>
      </c>
      <c r="O68" s="8">
        <f>IFERROR(N68/N444, "NA")</f>
        <v>-0.12518551814483872</v>
      </c>
      <c r="P68" s="9"/>
      <c r="Q68" s="7">
        <v>12629.47</v>
      </c>
      <c r="R68" s="8">
        <f>IFERROR(Q68/Q444, "NA")</f>
        <v>9.3953521035499022E-3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12629.47</v>
      </c>
      <c r="X68" s="8">
        <f>IFERROR(W68/W444, "NA")</f>
        <v>-8.3995504622008416E-2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12629.47</v>
      </c>
      <c r="AD68" s="8">
        <f>IFERROR(AC68/AC444, "NA")</f>
        <v>0.34186044308380176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4794.96</v>
      </c>
      <c r="C73" s="15">
        <f>IFERROR(B73/B444, "NA")</f>
        <v>4.6128479903351616E-2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4794.96</v>
      </c>
      <c r="I73" s="15">
        <f>IFERROR(H73/H444, "NA")</f>
        <v>-0.22211722328456437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4794.96</v>
      </c>
      <c r="O73" s="15">
        <f>IFERROR(N73/N444, "NA")</f>
        <v>-0.48543087791336859</v>
      </c>
      <c r="P73" s="2"/>
      <c r="Q73" s="14">
        <f>IFERROR(Q64+Q65+Q66+Q67+Q68+Q69+Q70+Q71+Q72, "NA")</f>
        <v>89084.56</v>
      </c>
      <c r="R73" s="15">
        <f>IFERROR(Q73/Q444, "NA")</f>
        <v>6.6272045318593542E-2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89084.56</v>
      </c>
      <c r="X73" s="15">
        <f>IFERROR(W73/W444, "NA")</f>
        <v>-0.59247953961881106</v>
      </c>
      <c r="Y73" s="2"/>
      <c r="Z73" s="14">
        <f>IFERROR(Z64+Z65+Z66+Z67+Z68+Z69+Z70+Z71+Z72, "NA")</f>
        <v>1212.95</v>
      </c>
      <c r="AA73" s="15">
        <f>IFERROR(Z73/Z444, "NA")</f>
        <v>9.278411592847282E-4</v>
      </c>
      <c r="AB73" s="2"/>
      <c r="AC73" s="14">
        <f t="shared" si="19"/>
        <v>87871.61</v>
      </c>
      <c r="AD73" s="15">
        <f>IFERROR(AC73/AC444, "NA")</f>
        <v>2.3785501314850923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1883.03</v>
      </c>
      <c r="F75" s="8">
        <f>IFERROR(E75/E444, "NA")</f>
        <v>1.4999986059714606E-2</v>
      </c>
      <c r="G75" s="9"/>
      <c r="H75" s="10">
        <f t="shared" ref="H75:H92" si="20">IFERROR(B75-E75, "NA")</f>
        <v>-1883.03</v>
      </c>
      <c r="I75" s="8">
        <f>IFERROR(H75/H444, "NA")</f>
        <v>8.7227713049020897E-2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22418.77</v>
      </c>
      <c r="U75" s="8">
        <f>IFERROR(T75/T444, "NA")</f>
        <v>1.5000004884301667E-2</v>
      </c>
      <c r="V75" s="9"/>
      <c r="W75" s="10">
        <f t="shared" ref="W75:W92" si="22">IFERROR(Q75-T75, "NA")</f>
        <v>-22418.77</v>
      </c>
      <c r="X75" s="8">
        <f>IFERROR(W75/W444, "NA")</f>
        <v>0.14910173579372243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364.45</v>
      </c>
      <c r="C77" s="8">
        <f>IFERROR(B77/B444, "NA")</f>
        <v>3.506082324102077E-3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364.45</v>
      </c>
      <c r="I77" s="8">
        <f>IFERROR(H77/H444, "NA")</f>
        <v>-1.6882439483553457E-2</v>
      </c>
      <c r="J77" s="9"/>
      <c r="K77" s="7">
        <v>466.89</v>
      </c>
      <c r="L77" s="8">
        <f>IFERROR(K77/K444, "NA")</f>
        <v>4.101798829736737E-3</v>
      </c>
      <c r="M77" s="9"/>
      <c r="N77" s="10">
        <f t="shared" si="21"/>
        <v>-102.44</v>
      </c>
      <c r="O77" s="8">
        <f>IFERROR(N77/N444, "NA")</f>
        <v>1.037079331911955E-2</v>
      </c>
      <c r="P77" s="9"/>
      <c r="Q77" s="7">
        <v>5894.09</v>
      </c>
      <c r="R77" s="8">
        <f>IFERROR(Q77/Q444, "NA")</f>
        <v>4.384748598319047E-3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5894.09</v>
      </c>
      <c r="X77" s="8">
        <f>IFERROR(W77/W444, "NA")</f>
        <v>-3.9200145678126921E-2</v>
      </c>
      <c r="Y77" s="9"/>
      <c r="Z77" s="7">
        <v>2080.42</v>
      </c>
      <c r="AA77" s="8">
        <f>IFERROR(Z77/Z444, "NA")</f>
        <v>1.5914088005269254E-3</v>
      </c>
      <c r="AB77" s="9"/>
      <c r="AC77" s="10">
        <f t="shared" si="23"/>
        <v>3813.67</v>
      </c>
      <c r="AD77" s="8">
        <f>IFERROR(AC77/AC444, "NA")</f>
        <v>0.1032302159928645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3.4307824719831864E-5</v>
      </c>
      <c r="AB79" s="9"/>
      <c r="AC79" s="10">
        <f t="shared" si="23"/>
        <v>-44.85</v>
      </c>
      <c r="AD79" s="8">
        <f>IFERROR(AC79/AC444, "NA")</f>
        <v>-1.2140209266349664E-3</v>
      </c>
    </row>
    <row r="80" spans="1:30" ht="16.5" customHeight="1" x14ac:dyDescent="0.45">
      <c r="A80" s="12" t="s">
        <v>76</v>
      </c>
      <c r="B80" s="7">
        <v>878.7</v>
      </c>
      <c r="C80" s="8">
        <f>IFERROR(B80/B444, "NA")</f>
        <v>8.4532707866332695E-3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878.7</v>
      </c>
      <c r="I80" s="8">
        <f>IFERROR(H80/H444, "NA")</f>
        <v>-4.0704073464668471E-2</v>
      </c>
      <c r="J80" s="9"/>
      <c r="K80" s="7">
        <v>1299.3</v>
      </c>
      <c r="L80" s="8">
        <f>IFERROR(K80/K444, "NA")</f>
        <v>1.141482409020742E-2</v>
      </c>
      <c r="M80" s="9"/>
      <c r="N80" s="10">
        <f t="shared" si="21"/>
        <v>-420.59999999999991</v>
      </c>
      <c r="O80" s="8">
        <f>IFERROR(N80/N444, "NA")</f>
        <v>4.2580590296970734E-2</v>
      </c>
      <c r="P80" s="9"/>
      <c r="Q80" s="7">
        <v>13699.63</v>
      </c>
      <c r="R80" s="8">
        <f>IFERROR(Q80/Q444, "NA")</f>
        <v>1.0191468647406055E-2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13699.63</v>
      </c>
      <c r="X80" s="8">
        <f>IFERROR(W80/W444, "NA")</f>
        <v>-9.1112876073564858E-2</v>
      </c>
      <c r="Y80" s="9"/>
      <c r="Z80" s="7">
        <v>16490.060000000001</v>
      </c>
      <c r="AA80" s="8">
        <f>IFERROR(Z80/Z444, "NA")</f>
        <v>1.2614004193969023E-2</v>
      </c>
      <c r="AB80" s="9"/>
      <c r="AC80" s="10">
        <f t="shared" si="23"/>
        <v>-2790.4300000000021</v>
      </c>
      <c r="AD80" s="8">
        <f>IFERROR(AC80/AC444, "NA")</f>
        <v>-7.5532673674693684E-2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1243.1500000000001</v>
      </c>
      <c r="C88" s="15">
        <f>IFERROR(B88/B444, "NA")</f>
        <v>1.1959353110735347E-2</v>
      </c>
      <c r="D88" s="2"/>
      <c r="E88" s="14">
        <f>IFERROR(E75+E76+E77+E78+E79+E80+E81+E82+E83+E84+E85+E86+E87, "NA")</f>
        <v>1883.03</v>
      </c>
      <c r="F88" s="15">
        <f>IFERROR(E88/E444, "NA")</f>
        <v>1.4999986059714606E-2</v>
      </c>
      <c r="G88" s="2"/>
      <c r="H88" s="14">
        <f t="shared" si="20"/>
        <v>-639.87999999999988</v>
      </c>
      <c r="I88" s="15">
        <f>IFERROR(H88/H444, "NA")</f>
        <v>2.9641200100798969E-2</v>
      </c>
      <c r="J88" s="2"/>
      <c r="K88" s="14">
        <f>IFERROR(K75+K76+K77+K78+K79+K80+K81+K82+K83+K84+K85+K86+K87, "NA")</f>
        <v>1766.19</v>
      </c>
      <c r="L88" s="15">
        <f>IFERROR(K88/K444, "NA")</f>
        <v>1.5516622919944158E-2</v>
      </c>
      <c r="M88" s="2"/>
      <c r="N88" s="14">
        <f t="shared" si="21"/>
        <v>-523.04</v>
      </c>
      <c r="O88" s="15">
        <f>IFERROR(N88/N444, "NA")</f>
        <v>5.2951383616090288E-2</v>
      </c>
      <c r="P88" s="2"/>
      <c r="Q88" s="14">
        <f>IFERROR(Q75+Q76+Q77+Q78+Q79+Q80+Q81+Q82+Q83+Q84+Q85+Q86+Q87, "NA")</f>
        <v>19593.72</v>
      </c>
      <c r="R88" s="15">
        <f>IFERROR(Q88/Q444, "NA")</f>
        <v>1.4576217245725102E-2</v>
      </c>
      <c r="S88" s="2"/>
      <c r="T88" s="14">
        <f>IFERROR(T75+T76+T77+T78+T79+T80+T81+T82+T83+T84+T85+T86+T87, "NA")</f>
        <v>22418.77</v>
      </c>
      <c r="U88" s="15">
        <f>IFERROR(T88/T444, "NA")</f>
        <v>1.5000004884301667E-2</v>
      </c>
      <c r="V88" s="2"/>
      <c r="W88" s="14">
        <f t="shared" si="22"/>
        <v>-2825.0499999999993</v>
      </c>
      <c r="X88" s="15">
        <f>IFERROR(W88/W444, "NA")</f>
        <v>1.8788714042030648E-2</v>
      </c>
      <c r="Y88" s="2"/>
      <c r="Z88" s="14">
        <f>IFERROR(Z75+Z76+Z77+Z78+Z79+Z80+Z81+Z82+Z83+Z84+Z85+Z86+Z87, "NA")</f>
        <v>18615.330000000002</v>
      </c>
      <c r="AA88" s="15">
        <f>IFERROR(Z88/Z444, "NA")</f>
        <v>1.4239720819215779E-2</v>
      </c>
      <c r="AB88" s="2"/>
      <c r="AC88" s="14">
        <f t="shared" si="23"/>
        <v>978.38999999999942</v>
      </c>
      <c r="AD88" s="15">
        <f>IFERROR(AC88/AC444, "NA")</f>
        <v>2.6483521391535876E-2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-17.25</v>
      </c>
      <c r="L89" s="8">
        <f>IFERROR(K89/K444, "NA")</f>
        <v>-1.5154753756336335E-4</v>
      </c>
      <c r="M89" s="9"/>
      <c r="N89" s="10">
        <f t="shared" si="21"/>
        <v>17.25</v>
      </c>
      <c r="O89" s="8">
        <f>IFERROR(N89/N444, "NA")</f>
        <v>-1.7463508859313964E-3</v>
      </c>
      <c r="P89" s="9"/>
      <c r="Q89" s="7">
        <v>37.69</v>
      </c>
      <c r="R89" s="8">
        <f>IFERROR(Q89/Q444, "NA")</f>
        <v>2.8038454565614853E-5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37.69</v>
      </c>
      <c r="X89" s="8">
        <f>IFERROR(W89/W444, "NA")</f>
        <v>-2.5066693766274414E-4</v>
      </c>
      <c r="Y89" s="9"/>
      <c r="Z89" s="7">
        <v>177.33</v>
      </c>
      <c r="AA89" s="8">
        <f>IFERROR(Z89/Z444, "NA")</f>
        <v>1.3564786081533522E-4</v>
      </c>
      <c r="AB89" s="9"/>
      <c r="AC89" s="10">
        <f t="shared" si="23"/>
        <v>-139.64000000000001</v>
      </c>
      <c r="AD89" s="8">
        <f>IFERROR(AC89/AC444, "NA")</f>
        <v>-3.779841297554219E-3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-5398.02</v>
      </c>
      <c r="F94" s="8">
        <f>IFERROR(E94/E444, "NA")</f>
        <v>-4.2999965348433457E-2</v>
      </c>
      <c r="G94" s="9"/>
      <c r="H94" s="10">
        <f t="shared" ref="H94:H124" si="24">IFERROR(B94-E94, "NA")</f>
        <v>5398.02</v>
      </c>
      <c r="I94" s="8">
        <f>IFERROR(H94/H444, "NA")</f>
        <v>-0.25005280828923376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-64267.12</v>
      </c>
      <c r="U94" s="8">
        <f>IFERROR(T94/T444, "NA")</f>
        <v>-4.3000000173961432E-2</v>
      </c>
      <c r="V94" s="9"/>
      <c r="W94" s="10">
        <f t="shared" ref="W94:W124" si="26">IFERROR(Q94-T94, "NA")</f>
        <v>64267.12</v>
      </c>
      <c r="X94" s="8">
        <f>IFERROR(W94/W444, "NA")</f>
        <v>-0.42742483849307772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-2005.28</v>
      </c>
      <c r="C96" s="8">
        <f>IFERROR(B96/B444, "NA")</f>
        <v>-1.9291197044520272E-2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-2005.28</v>
      </c>
      <c r="I96" s="8">
        <f>IFERROR(H96/H444, "NA")</f>
        <v>9.2890707223432775E-2</v>
      </c>
      <c r="J96" s="9"/>
      <c r="K96" s="7">
        <v>-1417.9</v>
      </c>
      <c r="L96" s="8">
        <f>IFERROR(K96/K444, "NA")</f>
        <v>-1.2456768319483646E-2</v>
      </c>
      <c r="M96" s="9"/>
      <c r="N96" s="10">
        <f t="shared" si="25"/>
        <v>-587.37999999999988</v>
      </c>
      <c r="O96" s="8">
        <f>IFERROR(N96/N444, "NA")</f>
        <v>5.9465019326283092E-2</v>
      </c>
      <c r="P96" s="9"/>
      <c r="Q96" s="7">
        <v>-14243.8</v>
      </c>
      <c r="R96" s="8">
        <f>IFERROR(Q96/Q444, "NA")</f>
        <v>-1.0596289178607186E-2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-14243.8</v>
      </c>
      <c r="X96" s="8">
        <f>IFERROR(W96/W444, "NA")</f>
        <v>9.4732017157882598E-2</v>
      </c>
      <c r="Y96" s="9"/>
      <c r="Z96" s="7">
        <v>-12801.9</v>
      </c>
      <c r="AA96" s="8">
        <f>IFERROR(Z96/Z444, "NA")</f>
        <v>-9.7927612325711382E-3</v>
      </c>
      <c r="AB96" s="9"/>
      <c r="AC96" s="10">
        <f t="shared" si="27"/>
        <v>-1441.8999999999996</v>
      </c>
      <c r="AD96" s="8">
        <f>IFERROR(AC96/AC444, "NA")</f>
        <v>-3.9030028408360257E-2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-4955.2</v>
      </c>
      <c r="C98" s="8">
        <f>IFERROR(B98/B444, "NA")</f>
        <v>-4.7670020942215972E-2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-4955.2</v>
      </c>
      <c r="I98" s="8">
        <f>IFERROR(H98/H444, "NA")</f>
        <v>0.22954003053616159</v>
      </c>
      <c r="J98" s="9"/>
      <c r="K98" s="7">
        <v>-4661.4399999999996</v>
      </c>
      <c r="L98" s="8">
        <f>IFERROR(K98/K444, "NA")</f>
        <v>-4.0952449478224025E-2</v>
      </c>
      <c r="M98" s="9"/>
      <c r="N98" s="10">
        <f t="shared" si="25"/>
        <v>-293.76000000000022</v>
      </c>
      <c r="O98" s="8">
        <f>IFERROR(N98/N444, "NA")</f>
        <v>2.9739596304417817E-2</v>
      </c>
      <c r="P98" s="9"/>
      <c r="Q98" s="7">
        <v>-34991.18</v>
      </c>
      <c r="R98" s="8">
        <f>IFERROR(Q98/Q444, "NA")</f>
        <v>-2.6030740531367769E-2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-34991.18</v>
      </c>
      <c r="X98" s="8">
        <f>IFERROR(W98/W444, "NA")</f>
        <v>0.23271774836311648</v>
      </c>
      <c r="Y98" s="9"/>
      <c r="Z98" s="7">
        <v>-36596.400000000001</v>
      </c>
      <c r="AA98" s="8">
        <f>IFERROR(Z98/Z444, "NA")</f>
        <v>-2.7994267036273241E-2</v>
      </c>
      <c r="AB98" s="9"/>
      <c r="AC98" s="10">
        <f t="shared" si="27"/>
        <v>1605.2200000000012</v>
      </c>
      <c r="AD98" s="8">
        <f>IFERROR(AC98/AC444, "NA")</f>
        <v>4.3450851100400943E-2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-142.84</v>
      </c>
      <c r="C100" s="8">
        <f>IFERROR(B100/B444, "NA")</f>
        <v>-1.374149538138951E-3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-142.84</v>
      </c>
      <c r="I100" s="8">
        <f>IFERROR(H100/H444, "NA")</f>
        <v>6.61678599487111E-3</v>
      </c>
      <c r="J100" s="9"/>
      <c r="K100" s="7">
        <v>-27</v>
      </c>
      <c r="L100" s="8">
        <f>IFERROR(K100/K444, "NA")</f>
        <v>-2.3720484140352522E-4</v>
      </c>
      <c r="M100" s="9"/>
      <c r="N100" s="10">
        <f t="shared" si="25"/>
        <v>-115.84</v>
      </c>
      <c r="O100" s="8">
        <f>IFERROR(N100/N444, "NA")</f>
        <v>1.1727378934857563E-2</v>
      </c>
      <c r="P100" s="9"/>
      <c r="Q100" s="7">
        <v>-3532.11</v>
      </c>
      <c r="R100" s="8">
        <f>IFERROR(Q100/Q444, "NA")</f>
        <v>-2.6276175578602784E-3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-3532.11</v>
      </c>
      <c r="X100" s="8">
        <f>IFERROR(W100/W444, "NA")</f>
        <v>2.3491196529263871E-2</v>
      </c>
      <c r="Y100" s="9"/>
      <c r="Z100" s="7">
        <v>-2922.4</v>
      </c>
      <c r="AA100" s="8">
        <f>IFERROR(Z100/Z444, "NA")</f>
        <v>-2.2354779701502037E-3</v>
      </c>
      <c r="AB100" s="9"/>
      <c r="AC100" s="10">
        <f t="shared" si="27"/>
        <v>-609.71</v>
      </c>
      <c r="AD100" s="8">
        <f>IFERROR(AC100/AC444, "NA")</f>
        <v>-1.6503917484472809E-2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-348.85</v>
      </c>
      <c r="C102" s="8">
        <f>IFERROR(B102/B444, "NA")</f>
        <v>-3.3560071855206742E-3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-348.85</v>
      </c>
      <c r="I102" s="8">
        <f>IFERROR(H102/H444, "NA")</f>
        <v>1.6159799736143843E-2</v>
      </c>
      <c r="J102" s="9"/>
      <c r="K102" s="7">
        <v>-299</v>
      </c>
      <c r="L102" s="8">
        <f>IFERROR(K102/K444, "NA")</f>
        <v>-2.6268239844316312E-3</v>
      </c>
      <c r="M102" s="9"/>
      <c r="N102" s="10">
        <f t="shared" si="25"/>
        <v>-49.850000000000023</v>
      </c>
      <c r="O102" s="8">
        <f>IFERROR(N102/N444, "NA")</f>
        <v>5.046700966010443E-3</v>
      </c>
      <c r="P102" s="9"/>
      <c r="Q102" s="7">
        <v>-3236.52</v>
      </c>
      <c r="R102" s="8">
        <f>IFERROR(Q102/Q444, "NA")</f>
        <v>-2.4077213842054602E-3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-3236.52</v>
      </c>
      <c r="X102" s="8">
        <f>IFERROR(W102/W444, "NA")</f>
        <v>2.1525300002234668E-2</v>
      </c>
      <c r="Y102" s="9"/>
      <c r="Z102" s="7">
        <v>-3278.08</v>
      </c>
      <c r="AA102" s="8">
        <f>IFERROR(Z102/Z444, "NA")</f>
        <v>-2.5075539366240006E-3</v>
      </c>
      <c r="AB102" s="9"/>
      <c r="AC102" s="10">
        <f t="shared" si="27"/>
        <v>41.559999999999945</v>
      </c>
      <c r="AD102" s="8">
        <f>IFERROR(AC102/AC444, "NA")</f>
        <v>1.1249656568773497E-3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-682.49</v>
      </c>
      <c r="C104" s="8">
        <f>IFERROR(B104/B444, "NA")</f>
        <v>-6.5656911109244799E-3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-682.49</v>
      </c>
      <c r="I104" s="8">
        <f>IFERROR(H104/H444, "NA")</f>
        <v>3.1615025718563311E-2</v>
      </c>
      <c r="J104" s="9"/>
      <c r="K104" s="7">
        <v>-1144.92</v>
      </c>
      <c r="L104" s="8">
        <f>IFERROR(K104/K444, "NA")</f>
        <v>-1.0058539519249041E-2</v>
      </c>
      <c r="M104" s="9"/>
      <c r="N104" s="10">
        <f t="shared" si="25"/>
        <v>462.43000000000006</v>
      </c>
      <c r="O104" s="8">
        <f>IFERROR(N104/N444, "NA")</f>
        <v>-4.6815364648188737E-2</v>
      </c>
      <c r="P104" s="9"/>
      <c r="Q104" s="7">
        <v>-8969.35</v>
      </c>
      <c r="R104" s="8">
        <f>IFERROR(Q104/Q444, "NA")</f>
        <v>-6.6725049736826112E-3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-8969.35</v>
      </c>
      <c r="X104" s="8">
        <f>IFERROR(W104/W444, "NA")</f>
        <v>5.9652945007305239E-2</v>
      </c>
      <c r="Y104" s="9"/>
      <c r="Z104" s="7">
        <v>-12871.39</v>
      </c>
      <c r="AA104" s="8">
        <f>IFERROR(Z104/Z444, "NA")</f>
        <v>-9.8459173248739498E-3</v>
      </c>
      <c r="AB104" s="9"/>
      <c r="AC104" s="10">
        <f t="shared" si="27"/>
        <v>3902.0399999999991</v>
      </c>
      <c r="AD104" s="8">
        <f>IFERROR(AC104/AC444, "NA")</f>
        <v>0.10562225677963664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-199.46</v>
      </c>
      <c r="C106" s="8">
        <f>IFERROR(B106/B444, "NA")</f>
        <v>-1.9188453295799158E-3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-199.46</v>
      </c>
      <c r="I106" s="8">
        <f>IFERROR(H106/H444, "NA")</f>
        <v>9.2395976934821593E-3</v>
      </c>
      <c r="J106" s="9"/>
      <c r="K106" s="7">
        <v>-175</v>
      </c>
      <c r="L106" s="8">
        <f>IFERROR(K106/K444, "NA")</f>
        <v>-1.5374387868747005E-3</v>
      </c>
      <c r="M106" s="9"/>
      <c r="N106" s="10">
        <f t="shared" si="25"/>
        <v>-24.460000000000008</v>
      </c>
      <c r="O106" s="8">
        <f>IFERROR(N106/N444, "NA")</f>
        <v>2.4762749373844618E-3</v>
      </c>
      <c r="P106" s="9"/>
      <c r="Q106" s="7">
        <v>-735.36</v>
      </c>
      <c r="R106" s="8">
        <f>IFERROR(Q106/Q444, "NA")</f>
        <v>-5.4705115280898227E-4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-735.36</v>
      </c>
      <c r="X106" s="8">
        <f>IFERROR(W106/W444, "NA")</f>
        <v>4.8906988400020043E-3</v>
      </c>
      <c r="Y106" s="9"/>
      <c r="Z106" s="7">
        <v>-3783.07</v>
      </c>
      <c r="AA106" s="8">
        <f>IFERROR(Z106/Z444, "NA")</f>
        <v>-2.8938439791048902E-3</v>
      </c>
      <c r="AB106" s="9"/>
      <c r="AC106" s="10">
        <f t="shared" si="27"/>
        <v>3047.71</v>
      </c>
      <c r="AD106" s="8">
        <f>IFERROR(AC106/AC444, "NA")</f>
        <v>8.2496849906681241E-2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-3.8247296231696611E-6</v>
      </c>
      <c r="AB108" s="9"/>
      <c r="AC108" s="10">
        <f t="shared" si="27"/>
        <v>5</v>
      </c>
      <c r="AD108" s="8">
        <f>IFERROR(AC108/AC444, "NA")</f>
        <v>1.3534235525473426E-4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-8334.119999999999</v>
      </c>
      <c r="C118" s="15">
        <f>IFERROR(B118/B444, "NA")</f>
        <v>-8.0175911150900253E-2</v>
      </c>
      <c r="D118" s="2"/>
      <c r="E118" s="14">
        <f>IFERROR(E94+E95+E96+E97+E98+E99+E100+E101+E102+E103+E104+E105+E106+E107+E108+E109+E110+E111+E112+E113+E114+E115+E116+E117, "NA")</f>
        <v>-5398.02</v>
      </c>
      <c r="F118" s="15">
        <f>IFERROR(E118/E444, "NA")</f>
        <v>-4.2999965348433457E-2</v>
      </c>
      <c r="G118" s="2"/>
      <c r="H118" s="14">
        <f t="shared" si="24"/>
        <v>-2936.0999999999985</v>
      </c>
      <c r="I118" s="15">
        <f>IFERROR(H118/H444, "NA")</f>
        <v>0.13600913861342098</v>
      </c>
      <c r="J118" s="2"/>
      <c r="K118" s="14">
        <f>IFERROR(K94+K95+K96+K97+K98+K99+K100+K101+K102+K103+K104+K105+K106+K107+K108+K109+K110+K111+K112+K113+K114+K115+K116+K117, "NA")</f>
        <v>-7725.26</v>
      </c>
      <c r="L118" s="15">
        <f>IFERROR(K118/K444, "NA")</f>
        <v>-6.7869224929666572E-2</v>
      </c>
      <c r="M118" s="2"/>
      <c r="N118" s="14">
        <f t="shared" si="25"/>
        <v>-608.85999999999876</v>
      </c>
      <c r="O118" s="15">
        <f>IFERROR(N118/N444, "NA")</f>
        <v>6.1639605820764512E-2</v>
      </c>
      <c r="P118" s="2"/>
      <c r="Q118" s="14">
        <f>IFERROR(Q94+Q95+Q96+Q97+Q98+Q99+Q100+Q101+Q102+Q103+Q104+Q105+Q106+Q107+Q108+Q109+Q110+Q111+Q112+Q113+Q114+Q115+Q116+Q117, "NA")</f>
        <v>-65708.319999999992</v>
      </c>
      <c r="R118" s="15">
        <f>IFERROR(Q118/Q444, "NA")</f>
        <v>-4.8881924778532281E-2</v>
      </c>
      <c r="S118" s="2"/>
      <c r="T118" s="14">
        <f>IFERROR(T94+T95+T96+T97+T98+T99+T100+T101+T102+T103+T104+T105+T106+T107+T108+T109+T110+T111+T112+T113+T114+T115+T116+T117, "NA")</f>
        <v>-64267.12</v>
      </c>
      <c r="U118" s="15">
        <f>IFERROR(T118/T444, "NA")</f>
        <v>-4.3000000173961432E-2</v>
      </c>
      <c r="V118" s="2"/>
      <c r="W118" s="14">
        <f t="shared" si="26"/>
        <v>-1441.1999999999898</v>
      </c>
      <c r="X118" s="15">
        <f>IFERROR(W118/W444, "NA")</f>
        <v>9.5850674067270974E-3</v>
      </c>
      <c r="Y118" s="2"/>
      <c r="Z118" s="14">
        <f>IFERROR(Z94+Z95+Z96+Z97+Z98+Z99+Z100+Z101+Z102+Z103+Z104+Z105+Z106+Z107+Z108+Z109+Z110+Z111+Z112+Z113+Z114+Z115+Z116+Z117, "NA")</f>
        <v>-72258.24000000002</v>
      </c>
      <c r="AA118" s="15">
        <f>IFERROR(Z118/Z444, "NA")</f>
        <v>-5.5273646209220609E-2</v>
      </c>
      <c r="AB118" s="2"/>
      <c r="AC118" s="14">
        <f t="shared" si="27"/>
        <v>6549.9200000000274</v>
      </c>
      <c r="AD118" s="15">
        <f>IFERROR(AC118/AC444, "NA")</f>
        <v>0.17729631990601857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103947.92999999998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125535.44999999998</v>
      </c>
      <c r="F122" s="15">
        <f>IFERROR(E122/E444, "NA")</f>
        <v>0.99999999999999989</v>
      </c>
      <c r="G122" s="2"/>
      <c r="H122" s="14">
        <f t="shared" si="24"/>
        <v>-21587.520000000004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113825.66999999998</v>
      </c>
      <c r="L122" s="15">
        <f>IFERROR(K122/K444, "NA")</f>
        <v>0.99999999999999989</v>
      </c>
      <c r="M122" s="2"/>
      <c r="N122" s="14">
        <f t="shared" si="25"/>
        <v>-9877.7400000000052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1344225.3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1494584.18</v>
      </c>
      <c r="U122" s="15">
        <f>IFERROR(T122/T444, "NA")</f>
        <v>1</v>
      </c>
      <c r="V122" s="2"/>
      <c r="W122" s="14">
        <f t="shared" si="26"/>
        <v>-150358.87999999989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1307281.9500000004</v>
      </c>
      <c r="AA122" s="15">
        <f>IFERROR(Z122/Z444, "NA")</f>
        <v>1.0000000000000004</v>
      </c>
      <c r="AB122" s="2"/>
      <c r="AC122" s="14">
        <f t="shared" si="27"/>
        <v>36943.349999999627</v>
      </c>
      <c r="AD122" s="15">
        <f>IFERROR(AC122/AC444, "NA")</f>
        <v>0.99999999999998734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103947.92999999998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125535.44999999998</v>
      </c>
      <c r="F124" s="15">
        <f>IFERROR(E124/E444, "NA")</f>
        <v>0.99999999999999989</v>
      </c>
      <c r="G124" s="2"/>
      <c r="H124" s="14">
        <f t="shared" si="24"/>
        <v>-21587.520000000004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113825.66999999998</v>
      </c>
      <c r="L124" s="15">
        <f>IFERROR(K124/K444, "NA")</f>
        <v>0.99999999999999989</v>
      </c>
      <c r="M124" s="2"/>
      <c r="N124" s="14">
        <f t="shared" si="25"/>
        <v>-9877.7400000000052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1344225.3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1494584.18</v>
      </c>
      <c r="U124" s="15">
        <f>IFERROR(T124/T444, "NA")</f>
        <v>1</v>
      </c>
      <c r="V124" s="2"/>
      <c r="W124" s="14">
        <f t="shared" si="26"/>
        <v>-150358.87999999989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1307281.9500000004</v>
      </c>
      <c r="AA124" s="15">
        <f>IFERROR(Z124/Z444, "NA")</f>
        <v>1.0000000000000004</v>
      </c>
      <c r="AB124" s="2"/>
      <c r="AC124" s="14">
        <f t="shared" si="27"/>
        <v>36943.349999999627</v>
      </c>
      <c r="AD124" s="15">
        <f>IFERROR(AC124/AC444, "NA")</f>
        <v>0.99999999999998734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27241.19</v>
      </c>
      <c r="F129" s="8">
        <f>IFERROR(E129/E444, "NA")</f>
        <v>0.21699997889042497</v>
      </c>
      <c r="G129" s="9"/>
      <c r="H129" s="10">
        <f t="shared" ref="H129:H141" si="28">IFERROR(-(B129-E129), "NA")</f>
        <v>27241.19</v>
      </c>
      <c r="I129" s="8">
        <f>IFERROR(H129/H444, "NA")</f>
        <v>-1.2618952987652121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339334.35</v>
      </c>
      <c r="U129" s="8">
        <f>IFERROR(T129/T444, "NA")</f>
        <v>0.2270426480762027</v>
      </c>
      <c r="V129" s="9"/>
      <c r="W129" s="10">
        <f t="shared" ref="W129:W141" si="30">IFERROR(-(Q129-T129), "NA")</f>
        <v>339334.35</v>
      </c>
      <c r="X129" s="8">
        <f>IFERROR(W129/W444, "NA")</f>
        <v>-2.2568294602886123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5482.5</v>
      </c>
      <c r="C130" s="8">
        <f>IFERROR(B130/B444, "NA")</f>
        <v>5.2742753030291224E-2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-5482.5</v>
      </c>
      <c r="I130" s="8">
        <f>IFERROR(H130/H444, "NA")</f>
        <v>0.25396618045982117</v>
      </c>
      <c r="J130" s="9"/>
      <c r="K130" s="7">
        <v>7893.64</v>
      </c>
      <c r="L130" s="8">
        <f>IFERROR(K130/K444, "NA")</f>
        <v>6.9348504603574931E-2</v>
      </c>
      <c r="M130" s="9"/>
      <c r="N130" s="10">
        <f t="shared" si="29"/>
        <v>2411.1400000000003</v>
      </c>
      <c r="O130" s="8">
        <f>IFERROR(N130/N444, "NA")</f>
        <v>-0.24409834638287695</v>
      </c>
      <c r="P130" s="9"/>
      <c r="Q130" s="7">
        <v>75819.33</v>
      </c>
      <c r="R130" s="8">
        <f>IFERROR(Q130/Q444, "NA")</f>
        <v>5.6403736784302452E-2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-75819.33</v>
      </c>
      <c r="X130" s="8">
        <f>IFERROR(W130/W444, "NA")</f>
        <v>0.5042557513064746</v>
      </c>
      <c r="Y130" s="9"/>
      <c r="Z130" s="7">
        <v>88265.94</v>
      </c>
      <c r="AA130" s="8">
        <f>IFERROR(Z130/Z444, "NA")</f>
        <v>6.7518671086983187E-2</v>
      </c>
      <c r="AB130" s="9"/>
      <c r="AC130" s="10">
        <f t="shared" si="31"/>
        <v>12446.61</v>
      </c>
      <c r="AD130" s="8">
        <f>IFERROR(AC130/AC444, "NA")</f>
        <v>0.33691070246742566</v>
      </c>
    </row>
    <row r="131" spans="1:30" ht="16.5" customHeight="1" x14ac:dyDescent="0.45">
      <c r="A131" s="12" t="s">
        <v>123</v>
      </c>
      <c r="B131" s="7">
        <v>3186.27</v>
      </c>
      <c r="C131" s="8">
        <f>IFERROR(B131/B444, "NA")</f>
        <v>3.0652558449215873E-2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-3186.27</v>
      </c>
      <c r="I131" s="8">
        <f>IFERROR(H131/H444, "NA")</f>
        <v>0.14759777871659177</v>
      </c>
      <c r="J131" s="9"/>
      <c r="K131" s="7">
        <v>4964.05</v>
      </c>
      <c r="L131" s="8">
        <f>IFERROR(K131/K444, "NA")</f>
        <v>4.3610988628487758E-2</v>
      </c>
      <c r="M131" s="9"/>
      <c r="N131" s="10">
        <f t="shared" si="29"/>
        <v>1777.7800000000002</v>
      </c>
      <c r="O131" s="8">
        <f>IFERROR(N131/N444, "NA")</f>
        <v>-0.17997841611542714</v>
      </c>
      <c r="P131" s="9"/>
      <c r="Q131" s="7">
        <v>42171.5</v>
      </c>
      <c r="R131" s="8">
        <f>IFERROR(Q131/Q444, "NA")</f>
        <v>3.1372345097209521E-2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-42171.5</v>
      </c>
      <c r="X131" s="8">
        <f>IFERROR(W131/W444, "NA")</f>
        <v>0.28047229402081231</v>
      </c>
      <c r="Y131" s="9"/>
      <c r="Z131" s="7">
        <v>43569.73</v>
      </c>
      <c r="AA131" s="8">
        <f>IFERROR(Z131/Z444, "NA")</f>
        <v>3.3328487400900782E-2</v>
      </c>
      <c r="AB131" s="9"/>
      <c r="AC131" s="10">
        <f t="shared" si="31"/>
        <v>1398.2300000000032</v>
      </c>
      <c r="AD131" s="8">
        <f>IFERROR(AC131/AC444, "NA")</f>
        <v>3.7847948277565505E-2</v>
      </c>
    </row>
    <row r="132" spans="1:30" ht="16.5" customHeight="1" x14ac:dyDescent="0.45">
      <c r="A132" s="12" t="s">
        <v>124</v>
      </c>
      <c r="B132" s="7">
        <v>2970.53</v>
      </c>
      <c r="C132" s="8">
        <f>IFERROR(B132/B444, "NA")</f>
        <v>2.8577096244244597E-2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-2970.53</v>
      </c>
      <c r="I132" s="8">
        <f>IFERROR(H132/H444, "NA")</f>
        <v>0.13760404159440268</v>
      </c>
      <c r="J132" s="9"/>
      <c r="K132" s="7">
        <v>4591.97</v>
      </c>
      <c r="L132" s="8">
        <f>IFERROR(K132/K444, "NA")</f>
        <v>4.0342130206657251E-2</v>
      </c>
      <c r="M132" s="9"/>
      <c r="N132" s="10">
        <f t="shared" si="29"/>
        <v>1621.44</v>
      </c>
      <c r="O132" s="8">
        <f>IFERROR(N132/N444, "NA")</f>
        <v>-0.16415090901360019</v>
      </c>
      <c r="P132" s="9"/>
      <c r="Q132" s="7">
        <v>59199.06</v>
      </c>
      <c r="R132" s="8">
        <f>IFERROR(Q132/Q444, "NA")</f>
        <v>4.403953712223687E-2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-59199.06</v>
      </c>
      <c r="X132" s="8">
        <f>IFERROR(W132/W444, "NA")</f>
        <v>0.39371841556680948</v>
      </c>
      <c r="Y132" s="9"/>
      <c r="Z132" s="7">
        <v>46833.5</v>
      </c>
      <c r="AA132" s="8">
        <f>IFERROR(Z132/Z444, "NA")</f>
        <v>3.5825094961343271E-2</v>
      </c>
      <c r="AB132" s="9"/>
      <c r="AC132" s="10">
        <f t="shared" si="31"/>
        <v>-12365.559999999998</v>
      </c>
      <c r="AD132" s="8">
        <f>IFERROR(AC132/AC444, "NA")</f>
        <v>-0.33471680288874633</v>
      </c>
    </row>
    <row r="133" spans="1:30" ht="16.5" customHeight="1" x14ac:dyDescent="0.45">
      <c r="A133" s="12" t="s">
        <v>125</v>
      </c>
      <c r="B133" s="7">
        <v>2895.68</v>
      </c>
      <c r="C133" s="8">
        <f>IFERROR(B133/B444, "NA")</f>
        <v>2.7857024185089594E-2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-2895.68</v>
      </c>
      <c r="I133" s="8">
        <f>IFERROR(H133/H444, "NA")</f>
        <v>0.13413676049865844</v>
      </c>
      <c r="J133" s="9"/>
      <c r="K133" s="7">
        <v>3453.86</v>
      </c>
      <c r="L133" s="8">
        <f>IFERROR(K133/K444, "NA")</f>
        <v>3.0343419019628878E-2</v>
      </c>
      <c r="M133" s="9"/>
      <c r="N133" s="10">
        <f t="shared" si="29"/>
        <v>558.18000000000029</v>
      </c>
      <c r="O133" s="8">
        <f>IFERROR(N133/N444, "NA")</f>
        <v>-5.6508877536764479E-2</v>
      </c>
      <c r="P133" s="9"/>
      <c r="Q133" s="7">
        <v>35381.660000000003</v>
      </c>
      <c r="R133" s="8">
        <f>IFERROR(Q133/Q444, "NA")</f>
        <v>2.6321227550173326E-2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-35381.660000000003</v>
      </c>
      <c r="X133" s="8">
        <f>IFERROR(W133/W444, "NA")</f>
        <v>0.2353147349860549</v>
      </c>
      <c r="Y133" s="9"/>
      <c r="Z133" s="7">
        <v>30557.13</v>
      </c>
      <c r="AA133" s="8">
        <f>IFERROR(Z133/Z444, "NA")</f>
        <v>2.3374552062009273E-2</v>
      </c>
      <c r="AB133" s="9"/>
      <c r="AC133" s="10">
        <f t="shared" si="31"/>
        <v>-4824.5300000000025</v>
      </c>
      <c r="AD133" s="8">
        <f>IFERROR(AC133/AC444, "NA")</f>
        <v>-0.13059265063942468</v>
      </c>
    </row>
    <row r="134" spans="1:30" ht="16.5" customHeight="1" x14ac:dyDescent="0.45">
      <c r="A134" s="12" t="s">
        <v>126</v>
      </c>
      <c r="B134" s="7">
        <v>1301.07</v>
      </c>
      <c r="C134" s="8">
        <f>IFERROR(B134/B444, "NA")</f>
        <v>1.2516555163724762E-2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-1301.07</v>
      </c>
      <c r="I134" s="8">
        <f>IFERROR(H134/H444, "NA")</f>
        <v>6.0269544625783773E-2</v>
      </c>
      <c r="J134" s="9"/>
      <c r="K134" s="7">
        <v>1802.07</v>
      </c>
      <c r="L134" s="8">
        <f>IFERROR(K134/K444, "NA")</f>
        <v>1.5831841798075952E-2</v>
      </c>
      <c r="M134" s="9"/>
      <c r="N134" s="10">
        <f t="shared" si="29"/>
        <v>501</v>
      </c>
      <c r="O134" s="8">
        <f>IFERROR(N134/N444, "NA")</f>
        <v>-5.0720103991398813E-2</v>
      </c>
      <c r="P134" s="9"/>
      <c r="Q134" s="7">
        <v>13976.64</v>
      </c>
      <c r="R134" s="8">
        <f>IFERROR(Q134/Q444, "NA")</f>
        <v>1.0397542733349833E-2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-13976.64</v>
      </c>
      <c r="X134" s="8">
        <f>IFERROR(W134/W444, "NA")</f>
        <v>9.2955201581709113E-2</v>
      </c>
      <c r="Y134" s="9"/>
      <c r="Z134" s="7">
        <v>16000.07</v>
      </c>
      <c r="AA134" s="8">
        <f>IFERROR(Z134/Z444, "NA")</f>
        <v>1.2239188340357641E-2</v>
      </c>
      <c r="AB134" s="9"/>
      <c r="AC134" s="10">
        <f t="shared" si="31"/>
        <v>2023.4300000000003</v>
      </c>
      <c r="AD134" s="8">
        <f>IFERROR(AC134/AC444, "NA")</f>
        <v>5.4771156378617403E-2</v>
      </c>
    </row>
    <row r="135" spans="1:30" ht="16.5" customHeight="1" x14ac:dyDescent="0.45">
      <c r="A135" s="12" t="s">
        <v>127</v>
      </c>
      <c r="B135" s="7">
        <v>743.69</v>
      </c>
      <c r="C135" s="8">
        <f>IFERROR(B135/B444, "NA")</f>
        <v>7.1544474238207541E-3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-743.69</v>
      </c>
      <c r="I135" s="8">
        <f>IFERROR(H135/H444, "NA")</f>
        <v>3.4449997035324108E-2</v>
      </c>
      <c r="J135" s="9"/>
      <c r="K135" s="7">
        <v>980.4</v>
      </c>
      <c r="L135" s="8">
        <f>IFERROR(K135/K444, "NA")</f>
        <v>8.6131713522968941E-3</v>
      </c>
      <c r="M135" s="9"/>
      <c r="N135" s="10">
        <f t="shared" si="29"/>
        <v>236.70999999999992</v>
      </c>
      <c r="O135" s="8">
        <f>IFERROR(N135/N444, "NA")</f>
        <v>-2.3963983664279459E-2</v>
      </c>
      <c r="P135" s="9"/>
      <c r="Q135" s="7">
        <v>10340.030000000001</v>
      </c>
      <c r="R135" s="8">
        <f>IFERROR(Q135/Q444, "NA")</f>
        <v>7.6921852311513557E-3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-10340.030000000001</v>
      </c>
      <c r="X135" s="8">
        <f>IFERROR(W135/W444, "NA")</f>
        <v>6.8769001205648828E-2</v>
      </c>
      <c r="Y135" s="9"/>
      <c r="Z135" s="7">
        <v>10547.21</v>
      </c>
      <c r="AA135" s="8">
        <f>IFERROR(Z135/Z444, "NA")</f>
        <v>8.0680453057582566E-3</v>
      </c>
      <c r="AB135" s="9"/>
      <c r="AC135" s="10">
        <f t="shared" si="31"/>
        <v>207.17999999999847</v>
      </c>
      <c r="AD135" s="8">
        <f>IFERROR(AC135/AC444, "NA")</f>
        <v>5.6080458323351278E-3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1087.03</v>
      </c>
      <c r="L136" s="8">
        <f>IFERROR(K136/K444, "NA")</f>
        <v>9.5499547685508907E-3</v>
      </c>
      <c r="M136" s="9"/>
      <c r="N136" s="10">
        <f t="shared" si="29"/>
        <v>1087.03</v>
      </c>
      <c r="O136" s="8">
        <f>IFERROR(N136/N444, "NA")</f>
        <v>-0.11004845237878294</v>
      </c>
      <c r="P136" s="9"/>
      <c r="Q136" s="7">
        <v>5225.92</v>
      </c>
      <c r="R136" s="8">
        <f>IFERROR(Q136/Q444, "NA")</f>
        <v>3.8876816259893338E-3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-5225.92</v>
      </c>
      <c r="X136" s="8">
        <f>IFERROR(W136/W444, "NA")</f>
        <v>3.475631103397421E-2</v>
      </c>
      <c r="Y136" s="9"/>
      <c r="Z136" s="7">
        <v>11411.45</v>
      </c>
      <c r="AA136" s="8">
        <f>IFERROR(Z136/Z444, "NA")</f>
        <v>8.7291421716638867E-3</v>
      </c>
      <c r="AB136" s="9"/>
      <c r="AC136" s="10">
        <f t="shared" si="31"/>
        <v>6185.5300000000007</v>
      </c>
      <c r="AD136" s="8">
        <f>IFERROR(AC136/AC444, "NA")</f>
        <v>0.16743283973976331</v>
      </c>
    </row>
    <row r="137" spans="1:30" ht="16.5" customHeight="1" x14ac:dyDescent="0.45">
      <c r="A137" s="12" t="s">
        <v>129</v>
      </c>
      <c r="B137" s="7">
        <v>499.54</v>
      </c>
      <c r="C137" s="8">
        <f>IFERROR(B137/B444, "NA")</f>
        <v>4.8056753030098825E-3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-499.54</v>
      </c>
      <c r="I137" s="8">
        <f>IFERROR(H137/H444, "NA")</f>
        <v>2.3140221757756329E-2</v>
      </c>
      <c r="J137" s="9"/>
      <c r="K137" s="7">
        <v>804.57</v>
      </c>
      <c r="L137" s="8">
        <f>IFERROR(K137/K444, "NA")</f>
        <v>7.0684407128901597E-3</v>
      </c>
      <c r="M137" s="9"/>
      <c r="N137" s="10">
        <f t="shared" si="29"/>
        <v>305.03000000000003</v>
      </c>
      <c r="O137" s="8">
        <f>IFERROR(N137/N444, "NA")</f>
        <v>-3.0880545549892977E-2</v>
      </c>
      <c r="P137" s="9"/>
      <c r="Q137" s="7">
        <v>7157.93</v>
      </c>
      <c r="R137" s="8">
        <f>IFERROR(Q137/Q444, "NA")</f>
        <v>5.3249481318347449E-3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-7157.93</v>
      </c>
      <c r="X137" s="8">
        <f>IFERROR(W137/W444, "NA")</f>
        <v>4.7605635264109478E-2</v>
      </c>
      <c r="Y137" s="9"/>
      <c r="Z137" s="7">
        <v>7203.56</v>
      </c>
      <c r="AA137" s="8">
        <f>IFERROR(Z137/Z444, "NA")</f>
        <v>5.5103338648560098E-3</v>
      </c>
      <c r="AB137" s="9"/>
      <c r="AC137" s="10">
        <f t="shared" si="31"/>
        <v>45.630000000000109</v>
      </c>
      <c r="AD137" s="8">
        <f>IFERROR(AC137/AC444, "NA")</f>
        <v>1.2351343340547079E-3</v>
      </c>
    </row>
    <row r="138" spans="1:30" ht="16.5" customHeight="1" x14ac:dyDescent="0.45">
      <c r="A138" s="12" t="s">
        <v>130</v>
      </c>
      <c r="B138" s="7">
        <v>8554.23</v>
      </c>
      <c r="C138" s="8">
        <f>IFERROR(B138/B444, "NA")</f>
        <v>8.2293413635076723E-2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-8554.23</v>
      </c>
      <c r="I138" s="8">
        <f>IFERROR(H138/H444, "NA")</f>
        <v>0.39625811580024006</v>
      </c>
      <c r="J138" s="9"/>
      <c r="K138" s="7">
        <v>6727.31</v>
      </c>
      <c r="L138" s="8">
        <f>IFERROR(K138/K444, "NA")</f>
        <v>5.9101870430457386E-2</v>
      </c>
      <c r="M138" s="9"/>
      <c r="N138" s="10">
        <f t="shared" si="29"/>
        <v>-1826.9199999999992</v>
      </c>
      <c r="O138" s="8">
        <f>IFERROR(N138/N444, "NA")</f>
        <v>0.18495323829134985</v>
      </c>
      <c r="P138" s="9"/>
      <c r="Q138" s="7">
        <v>87646.82</v>
      </c>
      <c r="R138" s="8">
        <f>IFERROR(Q138/Q444, "NA")</f>
        <v>6.5202477590624128E-2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-87646.82</v>
      </c>
      <c r="X138" s="8">
        <f>IFERROR(W138/W444, "NA")</f>
        <v>0.58291748382270525</v>
      </c>
      <c r="Y138" s="9"/>
      <c r="Z138" s="7">
        <v>67444.7</v>
      </c>
      <c r="AA138" s="8">
        <f>IFERROR(Z138/Z444, "NA")</f>
        <v>5.1591548403158168E-2</v>
      </c>
      <c r="AB138" s="9"/>
      <c r="AC138" s="10">
        <f t="shared" si="31"/>
        <v>-20202.12000000001</v>
      </c>
      <c r="AD138" s="8">
        <f>IFERROR(AC138/AC444, "NA")</f>
        <v>-0.54684050038775478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124.04</v>
      </c>
      <c r="AA140" s="8">
        <f>IFERROR(Z140/Z444, "NA")</f>
        <v>9.4883892491592965E-5</v>
      </c>
      <c r="AB140" s="9"/>
      <c r="AC140" s="10">
        <f t="shared" si="31"/>
        <v>124.04</v>
      </c>
      <c r="AD140" s="8">
        <f>IFERROR(AC140/AC444, "NA")</f>
        <v>3.3575731491594478E-3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25633.510000000002</v>
      </c>
      <c r="C141" s="15">
        <f>IFERROR(B141/B444, "NA")</f>
        <v>0.24659952343447344</v>
      </c>
      <c r="D141" s="2"/>
      <c r="E141" s="14">
        <f>IFERROR(E129+E130+E131+E132+E133+E134+E135+E136+E137+E138+E139+E140, "NA")</f>
        <v>27241.19</v>
      </c>
      <c r="F141" s="15">
        <f>IFERROR(E141/E444, "NA")</f>
        <v>0.21699997889042497</v>
      </c>
      <c r="G141" s="2"/>
      <c r="H141" s="14">
        <f t="shared" si="28"/>
        <v>1607.6799999999967</v>
      </c>
      <c r="I141" s="15">
        <f>IFERROR(H141/H444, "NA")</f>
        <v>-7.4472658276633741E-2</v>
      </c>
      <c r="J141" s="2"/>
      <c r="K141" s="14">
        <f>IFERROR(K129+K130+K131+K132+K133+K134+K135+K136+K137+K138+K139+K140, "NA")</f>
        <v>32304.9</v>
      </c>
      <c r="L141" s="15">
        <f>IFERROR(K141/K444, "NA")</f>
        <v>0.28381032152062008</v>
      </c>
      <c r="M141" s="2"/>
      <c r="N141" s="14">
        <f t="shared" si="29"/>
        <v>6671.3899999999994</v>
      </c>
      <c r="O141" s="15">
        <f>IFERROR(N141/N444, "NA")</f>
        <v>-0.67539639634167292</v>
      </c>
      <c r="P141" s="2"/>
      <c r="Q141" s="14">
        <f>IFERROR(Q129+Q130+Q131+Q132+Q133+Q134+Q135+Q136+Q137+Q138+Q139+Q140, "NA")</f>
        <v>336918.89</v>
      </c>
      <c r="R141" s="15">
        <f>IFERROR(Q141/Q444, "NA")</f>
        <v>0.25064168186687158</v>
      </c>
      <c r="S141" s="2"/>
      <c r="T141" s="14">
        <f>IFERROR(T129+T130+T131+T132+T133+T134+T135+T136+T137+T138+T139+T140, "NA")</f>
        <v>339334.35</v>
      </c>
      <c r="U141" s="15">
        <f>IFERROR(T141/T444, "NA")</f>
        <v>0.2270426480762027</v>
      </c>
      <c r="V141" s="2"/>
      <c r="W141" s="14">
        <f t="shared" si="30"/>
        <v>2415.4599999999627</v>
      </c>
      <c r="X141" s="15">
        <f>IFERROR(W141/W444, "NA")</f>
        <v>-1.6064631500314213E-2</v>
      </c>
      <c r="Y141" s="2"/>
      <c r="Z141" s="14">
        <f>IFERROR(Z129+Z130+Z131+Z132+Z133+Z134+Z135+Z136+Z137+Z138+Z139+Z140, "NA")</f>
        <v>321957.33</v>
      </c>
      <c r="AA141" s="15">
        <f>IFERROR(Z141/Z444, "NA")</f>
        <v>0.24627994748952209</v>
      </c>
      <c r="AB141" s="2"/>
      <c r="AC141" s="14">
        <f t="shared" si="31"/>
        <v>-14961.559999999998</v>
      </c>
      <c r="AD141" s="15">
        <f>IFERROR(AC141/AC444, "NA")</f>
        <v>-0.40498655373700437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1300.01</v>
      </c>
      <c r="C144" s="8">
        <f>IFERROR(B144/B444, "NA")</f>
        <v>1.2506357750462179E-2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-1300.01</v>
      </c>
      <c r="I144" s="8">
        <f>IFERROR(H144/H444, "NA")</f>
        <v>6.0220442181408505E-2</v>
      </c>
      <c r="J144" s="9"/>
      <c r="K144" s="7">
        <v>1465.36</v>
      </c>
      <c r="L144" s="8">
        <f>IFERROR(K144/K444, "NA")</f>
        <v>1.2873721718484063E-2</v>
      </c>
      <c r="M144" s="9"/>
      <c r="N144" s="10">
        <f t="shared" si="33"/>
        <v>165.34999999999991</v>
      </c>
      <c r="O144" s="8">
        <f>IFERROR(N144/N444, "NA")</f>
        <v>-1.6739659071811956E-2</v>
      </c>
      <c r="P144" s="9"/>
      <c r="Q144" s="7">
        <v>19536.580000000002</v>
      </c>
      <c r="R144" s="8">
        <f>IFERROR(Q144/Q444, "NA")</f>
        <v>1.4533709490514723E-2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-19536.580000000002</v>
      </c>
      <c r="X144" s="8">
        <f>IFERROR(W144/W444, "NA")</f>
        <v>0.12993299763871621</v>
      </c>
      <c r="Y144" s="9"/>
      <c r="Z144" s="7">
        <v>16130.45</v>
      </c>
      <c r="AA144" s="8">
        <f>IFERROR(Z144/Z444, "NA")</f>
        <v>1.2338921990011414E-2</v>
      </c>
      <c r="AB144" s="9"/>
      <c r="AC144" s="10">
        <f t="shared" si="35"/>
        <v>-3406.130000000001</v>
      </c>
      <c r="AD144" s="8">
        <f>IFERROR(AC144/AC444, "NA")</f>
        <v>-9.2198731300761644E-2</v>
      </c>
    </row>
    <row r="145" spans="1:30" ht="16.5" customHeight="1" x14ac:dyDescent="0.45">
      <c r="A145" s="12" t="s">
        <v>136</v>
      </c>
      <c r="B145" s="7">
        <v>128.38</v>
      </c>
      <c r="C145" s="8">
        <f>IFERROR(B145/B444, "NA")</f>
        <v>1.2350414289154195E-3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-128.38</v>
      </c>
      <c r="I145" s="8">
        <f>IFERROR(H145/H444, "NA")</f>
        <v>5.9469545366952741E-3</v>
      </c>
      <c r="J145" s="9"/>
      <c r="K145" s="7">
        <v>24.36</v>
      </c>
      <c r="L145" s="8">
        <f>IFERROR(K145/K444, "NA")</f>
        <v>2.1401147913295833E-4</v>
      </c>
      <c r="M145" s="9"/>
      <c r="N145" s="10">
        <f t="shared" si="33"/>
        <v>-104.02</v>
      </c>
      <c r="O145" s="8">
        <f>IFERROR(N145/N444, "NA")</f>
        <v>1.0530748936497613E-2</v>
      </c>
      <c r="P145" s="9"/>
      <c r="Q145" s="7">
        <v>692.48</v>
      </c>
      <c r="R145" s="8">
        <f>IFERROR(Q145/Q444, "NA")</f>
        <v>5.1515173832838881E-4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-692.48</v>
      </c>
      <c r="X145" s="8">
        <f>IFERROR(W145/W444, "NA")</f>
        <v>4.6055144864074575E-3</v>
      </c>
      <c r="Y145" s="9"/>
      <c r="Z145" s="7">
        <v>1083.72</v>
      </c>
      <c r="AA145" s="8">
        <f>IFERROR(Z145/Z444, "NA")</f>
        <v>8.2898719744428509E-4</v>
      </c>
      <c r="AB145" s="9"/>
      <c r="AC145" s="10">
        <f t="shared" si="35"/>
        <v>391.24</v>
      </c>
      <c r="AD145" s="8">
        <f>IFERROR(AC145/AC444, "NA")</f>
        <v>1.0590268613972447E-2</v>
      </c>
    </row>
    <row r="146" spans="1:30" ht="16.5" customHeight="1" x14ac:dyDescent="0.45">
      <c r="A146" s="12" t="s">
        <v>137</v>
      </c>
      <c r="B146" s="7">
        <v>0</v>
      </c>
      <c r="C146" s="8">
        <f>IFERROR(B146/B444, "NA")</f>
        <v>0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0</v>
      </c>
      <c r="I146" s="8">
        <f>IFERROR(H146/H444, "NA")</f>
        <v>0</v>
      </c>
      <c r="J146" s="9"/>
      <c r="K146" s="7">
        <v>172.36</v>
      </c>
      <c r="L146" s="8">
        <f>IFERROR(K146/K444, "NA")</f>
        <v>1.5142454246041338E-3</v>
      </c>
      <c r="M146" s="9"/>
      <c r="N146" s="10">
        <f t="shared" si="33"/>
        <v>172.36</v>
      </c>
      <c r="O146" s="8">
        <f>IFERROR(N146/N444, "NA")</f>
        <v>-1.7449335576761479E-2</v>
      </c>
      <c r="P146" s="9"/>
      <c r="Q146" s="7">
        <v>881.28</v>
      </c>
      <c r="R146" s="8">
        <f>IFERROR(Q146/Q444, "NA")</f>
        <v>6.5560438417577762E-4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-881.28</v>
      </c>
      <c r="X146" s="8">
        <f>IFERROR(W146/W444, "NA")</f>
        <v>5.861176938801357E-3</v>
      </c>
      <c r="Y146" s="9"/>
      <c r="Z146" s="7">
        <v>2410.3000000000002</v>
      </c>
      <c r="AA146" s="8">
        <f>IFERROR(Z146/Z444, "NA")</f>
        <v>1.8437491621451671E-3</v>
      </c>
      <c r="AB146" s="9"/>
      <c r="AC146" s="10">
        <f t="shared" si="35"/>
        <v>1529.0200000000002</v>
      </c>
      <c r="AD146" s="8">
        <f>IFERROR(AC146/AC444, "NA")</f>
        <v>4.1388233606318763E-2</v>
      </c>
    </row>
    <row r="147" spans="1:30" ht="16.5" customHeight="1" x14ac:dyDescent="0.45">
      <c r="A147" s="12" t="s">
        <v>138</v>
      </c>
      <c r="B147" s="7">
        <v>10.68</v>
      </c>
      <c r="C147" s="8">
        <f>IFERROR(B147/B444, "NA")</f>
        <v>1.0274374872111451E-4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-10.68</v>
      </c>
      <c r="I147" s="8">
        <f>IFERROR(H147/H444, "NA")</f>
        <v>4.9473028861119752E-4</v>
      </c>
      <c r="J147" s="9"/>
      <c r="K147" s="7">
        <v>19.940000000000001</v>
      </c>
      <c r="L147" s="8">
        <f>IFERROR(K147/K444, "NA")</f>
        <v>1.7518016805875161E-4</v>
      </c>
      <c r="M147" s="9"/>
      <c r="N147" s="10">
        <f t="shared" si="33"/>
        <v>9.2600000000000016</v>
      </c>
      <c r="O147" s="8">
        <f>IFERROR(N147/N444, "NA")</f>
        <v>-9.3746140311447724E-4</v>
      </c>
      <c r="P147" s="9"/>
      <c r="Q147" s="7">
        <v>219.32</v>
      </c>
      <c r="R147" s="8">
        <f>IFERROR(Q147/Q444, "NA")</f>
        <v>1.6315717313161713E-4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-219.32</v>
      </c>
      <c r="X147" s="8">
        <f>IFERROR(W147/W444, "NA")</f>
        <v>1.4586434801855412E-3</v>
      </c>
      <c r="Y147" s="9"/>
      <c r="Z147" s="7">
        <v>343.11</v>
      </c>
      <c r="AA147" s="8">
        <f>IFERROR(Z147/Z444, "NA")</f>
        <v>2.6246059620114851E-4</v>
      </c>
      <c r="AB147" s="9"/>
      <c r="AC147" s="10">
        <f t="shared" si="35"/>
        <v>123.79000000000002</v>
      </c>
      <c r="AD147" s="8">
        <f>IFERROR(AC147/AC444, "NA")</f>
        <v>3.3508060313967116E-3</v>
      </c>
    </row>
    <row r="148" spans="1:30" ht="16.5" customHeight="1" x14ac:dyDescent="0.45">
      <c r="A148" s="13" t="s">
        <v>139</v>
      </c>
      <c r="B148" s="14">
        <f>IFERROR(B143+B144+B145+B146+B147, "NA")</f>
        <v>1439.07</v>
      </c>
      <c r="C148" s="15">
        <f>IFERROR(B148/B444, "NA")</f>
        <v>1.3844142928098713E-2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-1439.07</v>
      </c>
      <c r="I148" s="15">
        <f>IFERROR(H148/H444, "NA")</f>
        <v>6.6662127006714977E-2</v>
      </c>
      <c r="J148" s="2"/>
      <c r="K148" s="14">
        <f>IFERROR(K143+K144+K145+K146+K147, "NA")</f>
        <v>1682.02</v>
      </c>
      <c r="L148" s="15">
        <f>IFERROR(K148/K444, "NA")</f>
        <v>1.4777158790279908E-2</v>
      </c>
      <c r="M148" s="2"/>
      <c r="N148" s="14">
        <f t="shared" si="33"/>
        <v>242.95000000000005</v>
      </c>
      <c r="O148" s="15">
        <f>IFERROR(N148/N444, "NA")</f>
        <v>-2.459570711519031E-2</v>
      </c>
      <c r="P148" s="2"/>
      <c r="Q148" s="14">
        <f>IFERROR(Q143+Q144+Q145+Q146+Q147, "NA")</f>
        <v>21329.66</v>
      </c>
      <c r="R148" s="15">
        <f>IFERROR(Q148/Q444, "NA")</f>
        <v>1.5867622786150507E-2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-21329.66</v>
      </c>
      <c r="X148" s="15">
        <f>IFERROR(W148/W444, "NA")</f>
        <v>0.14185833254411057</v>
      </c>
      <c r="Y148" s="2"/>
      <c r="Z148" s="14">
        <f>IFERROR(Z143+Z144+Z145+Z146+Z147, "NA")</f>
        <v>19967.580000000002</v>
      </c>
      <c r="AA148" s="15">
        <f>IFERROR(Z148/Z444, "NA")</f>
        <v>1.5274118945802015E-2</v>
      </c>
      <c r="AB148" s="2"/>
      <c r="AC148" s="14">
        <f t="shared" si="35"/>
        <v>-1362.0799999999981</v>
      </c>
      <c r="AD148" s="15">
        <f>IFERROR(AC148/AC444, "NA")</f>
        <v>-3.6869423049073639E-2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27072.58</v>
      </c>
      <c r="C149" s="15">
        <f>IFERROR(B149/B444, "NA")</f>
        <v>0.26044366636257216</v>
      </c>
      <c r="D149" s="2"/>
      <c r="E149" s="14">
        <f>IFERROR(E127+E129+E130+E131+E132+E133+E134+E135+E136+E137+E138+E139+E140+E143+E144+E145+E146+E147, "NA")</f>
        <v>27241.19</v>
      </c>
      <c r="F149" s="15">
        <f>IFERROR(E149/E444, "NA")</f>
        <v>0.21699997889042497</v>
      </c>
      <c r="G149" s="2"/>
      <c r="H149" s="14">
        <f t="shared" si="32"/>
        <v>168.60999999999694</v>
      </c>
      <c r="I149" s="15">
        <f>IFERROR(H149/H444, "NA")</f>
        <v>-7.810531269918773E-3</v>
      </c>
      <c r="J149" s="2"/>
      <c r="K149" s="14">
        <f>IFERROR(K127+K129+K130+K131+K132+K133+K134+K135+K136+K137+K138+K139+K140+K143+K144+K145+K146+K147, "NA")</f>
        <v>33986.920000000006</v>
      </c>
      <c r="L149" s="15">
        <f>IFERROR(K149/K444, "NA")</f>
        <v>0.29858748031090004</v>
      </c>
      <c r="M149" s="2"/>
      <c r="N149" s="14">
        <f t="shared" si="33"/>
        <v>6914.3400000000038</v>
      </c>
      <c r="O149" s="15">
        <f>IFERROR(N149/N444, "NA")</f>
        <v>-0.69999210345686358</v>
      </c>
      <c r="P149" s="2"/>
      <c r="Q149" s="14">
        <f>IFERROR(Q127+Q129+Q130+Q131+Q132+Q133+Q134+Q135+Q136+Q137+Q138+Q139+Q140+Q143+Q144+Q145+Q146+Q147, "NA")</f>
        <v>358248.55000000005</v>
      </c>
      <c r="R149" s="15">
        <f>IFERROR(Q149/Q444, "NA")</f>
        <v>0.26650930465302208</v>
      </c>
      <c r="S149" s="2"/>
      <c r="T149" s="14">
        <f>IFERROR(T127+T129+T130+T131+T132+T133+T134+T135+T136+T137+T138+T139+T140+T143+T144+T145+T146+T147, "NA")</f>
        <v>339334.35</v>
      </c>
      <c r="U149" s="15">
        <f>IFERROR(T149/T444, "NA")</f>
        <v>0.2270426480762027</v>
      </c>
      <c r="V149" s="2"/>
      <c r="W149" s="14">
        <f t="shared" si="34"/>
        <v>-18914.20000000007</v>
      </c>
      <c r="X149" s="15">
        <f>IFERROR(W149/W444, "NA")</f>
        <v>0.12579370104379659</v>
      </c>
      <c r="Y149" s="2"/>
      <c r="Z149" s="14">
        <f>IFERROR(Z127+Z129+Z130+Z131+Z132+Z133+Z134+Z135+Z136+Z137+Z138+Z139+Z140+Z143+Z144+Z145+Z146+Z147, "NA")</f>
        <v>341924.91</v>
      </c>
      <c r="AA149" s="15">
        <f>IFERROR(Z149/Z444, "NA")</f>
        <v>0.26155406643532408</v>
      </c>
      <c r="AB149" s="2"/>
      <c r="AC149" s="14">
        <f t="shared" si="35"/>
        <v>-16323.640000000072</v>
      </c>
      <c r="AD149" s="15">
        <f>IFERROR(AC149/AC444, "NA")</f>
        <v>-0.44185597678608007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2134.1</v>
      </c>
      <c r="F153" s="8">
        <f>IFERROR(E153/E444, "NA")</f>
        <v>1.6999978890424976E-2</v>
      </c>
      <c r="G153" s="9"/>
      <c r="H153" s="10">
        <f t="shared" ref="H153:H158" si="36">IFERROR(-(B153-E153), "NA")</f>
        <v>2134.1</v>
      </c>
      <c r="I153" s="8">
        <f>IFERROR(H153/H444, "NA")</f>
        <v>-9.8858043906849866E-2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25936.83</v>
      </c>
      <c r="U153" s="8">
        <f>IFERROR(T153/T444, "NA")</f>
        <v>1.7353876982693611E-2</v>
      </c>
      <c r="V153" s="9"/>
      <c r="W153" s="10">
        <f t="shared" ref="W153:W158" si="38">IFERROR(-(Q153-T153), "NA")</f>
        <v>25936.83</v>
      </c>
      <c r="X153" s="8">
        <f>IFERROR(W153/W444, "NA")</f>
        <v>-0.17249948922205341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3668.29</v>
      </c>
      <c r="C154" s="8">
        <f>IFERROR(B154/B444, "NA")</f>
        <v>3.5289687827357412E-2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-3668.29</v>
      </c>
      <c r="I154" s="8">
        <f>IFERROR(H154/H444, "NA")</f>
        <v>0.16992642045033424</v>
      </c>
      <c r="J154" s="9"/>
      <c r="K154" s="7">
        <v>4096.8999999999996</v>
      </c>
      <c r="L154" s="8">
        <f>IFERROR(K154/K444, "NA")</f>
        <v>3.5992759805411202E-2</v>
      </c>
      <c r="M154" s="9"/>
      <c r="N154" s="10">
        <f t="shared" si="37"/>
        <v>428.60999999999967</v>
      </c>
      <c r="O154" s="8">
        <f>IFERROR(N154/N444, "NA")</f>
        <v>-4.3391504534437984E-2</v>
      </c>
      <c r="P154" s="9"/>
      <c r="Q154" s="7">
        <v>44432.97</v>
      </c>
      <c r="R154" s="8">
        <f>IFERROR(Q154/Q444, "NA")</f>
        <v>3.3054704445750274E-2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-44432.97</v>
      </c>
      <c r="X154" s="8">
        <f>IFERROR(W154/W444, "NA")</f>
        <v>0.29551277583339297</v>
      </c>
      <c r="Y154" s="9"/>
      <c r="Z154" s="7">
        <v>44203.34</v>
      </c>
      <c r="AA154" s="8">
        <f>IFERROR(Z154/Z444, "NA")</f>
        <v>3.3813164788208082E-2</v>
      </c>
      <c r="AB154" s="9"/>
      <c r="AC154" s="10">
        <f t="shared" si="39"/>
        <v>-229.63000000000466</v>
      </c>
      <c r="AD154" s="8">
        <f>IFERROR(AC154/AC444, "NA")</f>
        <v>-6.2157330074290524E-3</v>
      </c>
    </row>
    <row r="155" spans="1:30" ht="16.5" customHeight="1" x14ac:dyDescent="0.45">
      <c r="A155" s="12" t="s">
        <v>144</v>
      </c>
      <c r="B155" s="7">
        <v>1068.92</v>
      </c>
      <c r="C155" s="8">
        <f>IFERROR(B155/B444, "NA")</f>
        <v>1.0283225457207279E-2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-1068.92</v>
      </c>
      <c r="I155" s="8">
        <f>IFERROR(H155/H444, "NA")</f>
        <v>4.9515646076992624E-2</v>
      </c>
      <c r="J155" s="9"/>
      <c r="K155" s="7">
        <v>1606</v>
      </c>
      <c r="L155" s="8">
        <f>IFERROR(K155/K444, "NA")</f>
        <v>1.4109295381261539E-2</v>
      </c>
      <c r="M155" s="9"/>
      <c r="N155" s="10">
        <f t="shared" si="37"/>
        <v>537.07999999999993</v>
      </c>
      <c r="O155" s="8">
        <f>IFERROR(N155/N444, "NA")</f>
        <v>-5.4372761380639664E-2</v>
      </c>
      <c r="P155" s="9"/>
      <c r="Q155" s="7">
        <v>13896.65</v>
      </c>
      <c r="R155" s="8">
        <f>IFERROR(Q155/Q444, "NA")</f>
        <v>1.0338036339592774E-2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-13896.65</v>
      </c>
      <c r="X155" s="8">
        <f>IFERROR(W155/W444, "NA")</f>
        <v>9.2423207728070403E-2</v>
      </c>
      <c r="Y155" s="9"/>
      <c r="Z155" s="7">
        <v>15761.99</v>
      </c>
      <c r="AA155" s="8">
        <f>IFERROR(Z155/Z444, "NA")</f>
        <v>1.2057070014620794E-2</v>
      </c>
      <c r="AB155" s="9"/>
      <c r="AC155" s="10">
        <f t="shared" si="39"/>
        <v>1865.3400000000001</v>
      </c>
      <c r="AD155" s="8">
        <f>IFERROR(AC155/AC444, "NA")</f>
        <v>5.049190179017321E-2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-39.67</v>
      </c>
      <c r="AA156" s="8">
        <f>IFERROR(Z156/Z444, "NA")</f>
        <v>-3.0345404830228095E-5</v>
      </c>
      <c r="AB156" s="9"/>
      <c r="AC156" s="10">
        <f t="shared" si="39"/>
        <v>-39.67</v>
      </c>
      <c r="AD156" s="8">
        <f>IFERROR(AC156/AC444, "NA")</f>
        <v>-1.0738062465910619E-3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4737.21</v>
      </c>
      <c r="C158" s="15">
        <f>IFERROR(B158/B444, "NA")</f>
        <v>4.5572913284564691E-2</v>
      </c>
      <c r="D158" s="2"/>
      <c r="E158" s="14">
        <f>IFERROR(E153+E154+E155+E156+E157, "NA")</f>
        <v>2134.1</v>
      </c>
      <c r="F158" s="15">
        <f>IFERROR(E158/E444, "NA")</f>
        <v>1.6999978890424976E-2</v>
      </c>
      <c r="G158" s="2"/>
      <c r="H158" s="14">
        <f t="shared" si="36"/>
        <v>-2603.11</v>
      </c>
      <c r="I158" s="15">
        <f>IFERROR(H158/H444, "NA")</f>
        <v>0.120584022620477</v>
      </c>
      <c r="J158" s="2"/>
      <c r="K158" s="14">
        <f>IFERROR(K153+K154+K155+K156+K157, "NA")</f>
        <v>5702.9</v>
      </c>
      <c r="L158" s="15">
        <f>IFERROR(K158/K444, "NA")</f>
        <v>5.0102055186672739E-2</v>
      </c>
      <c r="M158" s="2"/>
      <c r="N158" s="14">
        <f t="shared" si="37"/>
        <v>965.6899999999996</v>
      </c>
      <c r="O158" s="15">
        <f>IFERROR(N158/N444, "NA")</f>
        <v>-9.7764265915077642E-2</v>
      </c>
      <c r="P158" s="2"/>
      <c r="Q158" s="14">
        <f>IFERROR(Q153+Q154+Q155+Q156+Q157, "NA")</f>
        <v>58329.62</v>
      </c>
      <c r="R158" s="15">
        <f>IFERROR(Q158/Q444, "NA")</f>
        <v>4.3392740785343054E-2</v>
      </c>
      <c r="S158" s="2"/>
      <c r="T158" s="14">
        <f>IFERROR(T153+T154+T155+T156+T157, "NA")</f>
        <v>25936.83</v>
      </c>
      <c r="U158" s="15">
        <f>IFERROR(T158/T444, "NA")</f>
        <v>1.7353876982693611E-2</v>
      </c>
      <c r="V158" s="2"/>
      <c r="W158" s="14">
        <f t="shared" si="38"/>
        <v>-32392.79</v>
      </c>
      <c r="X158" s="15">
        <f>IFERROR(W158/W444, "NA")</f>
        <v>0.21543649433940998</v>
      </c>
      <c r="Y158" s="2"/>
      <c r="Z158" s="14">
        <f>IFERROR(Z153+Z154+Z155+Z156+Z157, "NA")</f>
        <v>59925.659999999996</v>
      </c>
      <c r="AA158" s="15">
        <f>IFERROR(Z158/Z444, "NA")</f>
        <v>4.583988939799865E-2</v>
      </c>
      <c r="AB158" s="2"/>
      <c r="AC158" s="14">
        <f t="shared" si="39"/>
        <v>1596.0399999999936</v>
      </c>
      <c r="AD158" s="15">
        <f>IFERROR(AC158/AC444, "NA")</f>
        <v>4.3202362536153047E-2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210.29</v>
      </c>
      <c r="C161" s="8">
        <f>IFERROR(B161/B444, "NA")</f>
        <v>2.0230321084796976E-3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-210.29</v>
      </c>
      <c r="I161" s="8">
        <f>IFERROR(H161/H444, "NA")</f>
        <v>9.7412764412030638E-3</v>
      </c>
      <c r="J161" s="9"/>
      <c r="K161" s="7">
        <v>293.27999999999997</v>
      </c>
      <c r="L161" s="8">
        <f>IFERROR(K161/K444, "NA")</f>
        <v>2.5765716995120695E-3</v>
      </c>
      <c r="M161" s="9"/>
      <c r="N161" s="10">
        <f t="shared" si="41"/>
        <v>82.989999999999981</v>
      </c>
      <c r="O161" s="8">
        <f>IFERROR(N161/N444, "NA")</f>
        <v>-8.4017194216490752E-3</v>
      </c>
      <c r="P161" s="9"/>
      <c r="Q161" s="7">
        <v>4790.72</v>
      </c>
      <c r="R161" s="8">
        <f>IFERROR(Q161/Q444, "NA")</f>
        <v>3.5639263745445055E-3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-4790.72</v>
      </c>
      <c r="X161" s="8">
        <f>IFERROR(W161/W444, "NA")</f>
        <v>3.186190266913403E-2</v>
      </c>
      <c r="Y161" s="9"/>
      <c r="Z161" s="7">
        <v>3964.44</v>
      </c>
      <c r="AA161" s="8">
        <f>IFERROR(Z161/Z444, "NA")</f>
        <v>3.0325822214557463E-3</v>
      </c>
      <c r="AB161" s="9"/>
      <c r="AC161" s="10">
        <f t="shared" si="43"/>
        <v>-826.2800000000002</v>
      </c>
      <c r="AD161" s="8">
        <f>IFERROR(AC161/AC444, "NA")</f>
        <v>-2.2366136259976372E-2</v>
      </c>
    </row>
    <row r="162" spans="1:30" ht="16.5" customHeight="1" x14ac:dyDescent="0.45">
      <c r="A162" s="12" t="s">
        <v>150</v>
      </c>
      <c r="B162" s="7">
        <v>5.83</v>
      </c>
      <c r="C162" s="8">
        <f>IFERROR(B162/B444, "NA")</f>
        <v>5.6085772944203897E-5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-5.83</v>
      </c>
      <c r="I162" s="8">
        <f>IFERROR(H162/H444, "NA")</f>
        <v>2.7006344406397767E-4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-5.83</v>
      </c>
      <c r="O162" s="8">
        <f>IFERROR(N162/N444, "NA")</f>
        <v>5.9021598057855309E-4</v>
      </c>
      <c r="P162" s="9"/>
      <c r="Q162" s="7">
        <v>5.83</v>
      </c>
      <c r="R162" s="8">
        <f>IFERROR(Q162/Q444, "NA")</f>
        <v>4.3370705788679921E-6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-5.83</v>
      </c>
      <c r="X162" s="8">
        <f>IFERROR(W162/W444, "NA")</f>
        <v>3.8773898821273502E-5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-5.83</v>
      </c>
      <c r="AD162" s="8">
        <f>IFERROR(AC162/AC444, "NA")</f>
        <v>-1.5780918622702015E-4</v>
      </c>
    </row>
    <row r="163" spans="1:30" ht="16.5" customHeight="1" x14ac:dyDescent="0.45">
      <c r="A163" s="12" t="s">
        <v>151</v>
      </c>
      <c r="B163" s="7">
        <v>1.4</v>
      </c>
      <c r="C163" s="8">
        <f>IFERROR(B163/B444, "NA")</f>
        <v>1.3468281667561827E-5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-1.4</v>
      </c>
      <c r="I163" s="8">
        <f>IFERROR(H163/H444, "NA")</f>
        <v>6.4852285023939748E-5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-1.4</v>
      </c>
      <c r="O163" s="8">
        <f>IFERROR(N163/N444, "NA")</f>
        <v>1.4173282552486693E-4</v>
      </c>
      <c r="P163" s="9"/>
      <c r="Q163" s="7">
        <v>1.4</v>
      </c>
      <c r="R163" s="8">
        <f>IFERROR(Q163/Q444, "NA")</f>
        <v>1.0414920772581797E-6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-1.4</v>
      </c>
      <c r="X163" s="8">
        <f>IFERROR(W163/W444, "NA")</f>
        <v>9.3110563207174797E-6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-1.4</v>
      </c>
      <c r="AD163" s="8">
        <f>IFERROR(AC163/AC444, "NA")</f>
        <v>-3.7895859471325594E-5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217.52</v>
      </c>
      <c r="C166" s="15">
        <f>IFERROR(B166/B444, "NA")</f>
        <v>2.0925861630914635E-3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-217.52</v>
      </c>
      <c r="I166" s="15">
        <f>IFERROR(H166/H444, "NA")</f>
        <v>1.0076192170290982E-2</v>
      </c>
      <c r="J166" s="2"/>
      <c r="K166" s="14">
        <f>IFERROR(K160+K161+K162+K163+K164+K165, "NA")</f>
        <v>293.27999999999997</v>
      </c>
      <c r="L166" s="15">
        <f>IFERROR(K166/K444, "NA")</f>
        <v>2.5765716995120695E-3</v>
      </c>
      <c r="M166" s="2"/>
      <c r="N166" s="14">
        <f t="shared" si="41"/>
        <v>75.759999999999962</v>
      </c>
      <c r="O166" s="15">
        <f>IFERROR(N166/N444, "NA")</f>
        <v>-7.6697706155456537E-3</v>
      </c>
      <c r="P166" s="2"/>
      <c r="Q166" s="14">
        <f>IFERROR(Q160+Q161+Q162+Q163+Q164+Q165, "NA")</f>
        <v>4797.95</v>
      </c>
      <c r="R166" s="15">
        <f>IFERROR(Q166/Q444, "NA")</f>
        <v>3.569304937200631E-3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-4797.95</v>
      </c>
      <c r="X166" s="15">
        <f>IFERROR(W166/W444, "NA")</f>
        <v>3.1909987624276021E-2</v>
      </c>
      <c r="Y166" s="2"/>
      <c r="Z166" s="14">
        <f>IFERROR(Z160+Z161+Z162+Z163+Z164+Z165, "NA")</f>
        <v>3964.44</v>
      </c>
      <c r="AA166" s="15">
        <f>IFERROR(Z166/Z444, "NA")</f>
        <v>3.0325822214557463E-3</v>
      </c>
      <c r="AB166" s="2"/>
      <c r="AC166" s="14">
        <f t="shared" si="43"/>
        <v>-833.50999999999976</v>
      </c>
      <c r="AD166" s="15">
        <f>IFERROR(AC166/AC444, "NA")</f>
        <v>-2.2561841305674707E-2</v>
      </c>
    </row>
    <row r="167" spans="1:30" ht="16.5" customHeight="1" x14ac:dyDescent="0.45">
      <c r="A167" s="6" t="s">
        <v>155</v>
      </c>
      <c r="B167" s="7">
        <v>101.24</v>
      </c>
      <c r="C167" s="8">
        <f>IFERROR(B167/B444, "NA")</f>
        <v>9.7394916858854243E-4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-101.24</v>
      </c>
      <c r="I167" s="8">
        <f>IFERROR(H167/H444, "NA")</f>
        <v>4.6897466684454707E-3</v>
      </c>
      <c r="J167" s="9"/>
      <c r="K167" s="7">
        <v>134.69999999999999</v>
      </c>
      <c r="L167" s="8">
        <f>IFERROR(K167/K444, "NA")</f>
        <v>1.183388597668698E-3</v>
      </c>
      <c r="M167" s="9"/>
      <c r="N167" s="10">
        <f t="shared" si="41"/>
        <v>33.459999999999994</v>
      </c>
      <c r="O167" s="8">
        <f>IFERROR(N167/N444, "NA")</f>
        <v>-3.3874145300443192E-3</v>
      </c>
      <c r="P167" s="9"/>
      <c r="Q167" s="7">
        <v>1433.34</v>
      </c>
      <c r="R167" s="8">
        <f>IFERROR(Q167/Q444, "NA")</f>
        <v>1.0662944671551711E-3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-1433.34</v>
      </c>
      <c r="X167" s="8">
        <f>IFERROR(W167/W444, "NA")</f>
        <v>9.5327924762408506E-3</v>
      </c>
      <c r="Y167" s="9"/>
      <c r="Z167" s="7">
        <v>1471.8</v>
      </c>
      <c r="AA167" s="8">
        <f>IFERROR(Z167/Z444, "NA")</f>
        <v>1.1258474118762214E-3</v>
      </c>
      <c r="AB167" s="9"/>
      <c r="AC167" s="10">
        <f t="shared" si="43"/>
        <v>38.460000000000036</v>
      </c>
      <c r="AD167" s="8">
        <f>IFERROR(AC167/AC444, "NA")</f>
        <v>1.0410533966194171E-3</v>
      </c>
    </row>
    <row r="168" spans="1:30" ht="16.5" customHeight="1" x14ac:dyDescent="0.45">
      <c r="A168" s="6" t="s">
        <v>156</v>
      </c>
      <c r="B168" s="7">
        <v>33.31</v>
      </c>
      <c r="C168" s="8">
        <f>IFERROR(B168/B444, "NA")</f>
        <v>3.2044890167606035E-4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-33.31</v>
      </c>
      <c r="I168" s="8">
        <f>IFERROR(H168/H444, "NA")</f>
        <v>1.5430211529624523E-3</v>
      </c>
      <c r="J168" s="9"/>
      <c r="K168" s="7">
        <v>47.8</v>
      </c>
      <c r="L168" s="8">
        <f>IFERROR(K168/K444, "NA")</f>
        <v>4.1994042292920391E-4</v>
      </c>
      <c r="M168" s="9"/>
      <c r="N168" s="10">
        <f t="shared" si="41"/>
        <v>14.489999999999995</v>
      </c>
      <c r="O168" s="8">
        <f>IFERROR(N168/N444, "NA")</f>
        <v>-1.4669347441823724E-3</v>
      </c>
      <c r="P168" s="9"/>
      <c r="Q168" s="7">
        <v>560.22</v>
      </c>
      <c r="R168" s="8">
        <f>IFERROR(Q168/Q444, "NA")</f>
        <v>4.1676049394398393E-4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-560.22</v>
      </c>
      <c r="X168" s="8">
        <f>IFERROR(W168/W444, "NA")</f>
        <v>3.7258856942802478E-3</v>
      </c>
      <c r="Y168" s="9"/>
      <c r="Z168" s="7">
        <v>578.29999999999995</v>
      </c>
      <c r="AA168" s="8">
        <f>IFERROR(Z168/Z444, "NA")</f>
        <v>4.4236822821580303E-4</v>
      </c>
      <c r="AB168" s="9"/>
      <c r="AC168" s="10">
        <f t="shared" si="43"/>
        <v>18.079999999999927</v>
      </c>
      <c r="AD168" s="8">
        <f>IFERROR(AC168/AC444, "NA")</f>
        <v>4.8939795660111714E-4</v>
      </c>
    </row>
    <row r="169" spans="1:30" ht="16.5" customHeight="1" x14ac:dyDescent="0.45">
      <c r="A169" s="6" t="s">
        <v>157</v>
      </c>
      <c r="B169" s="7">
        <v>-2049.08</v>
      </c>
      <c r="C169" s="8">
        <f>IFERROR(B169/B444, "NA")</f>
        <v>-1.9712561856691135E-2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2049.08</v>
      </c>
      <c r="I169" s="8">
        <f>IFERROR(H169/H444, "NA")</f>
        <v>-9.4919657283467462E-2</v>
      </c>
      <c r="J169" s="9"/>
      <c r="K169" s="7">
        <v>-3810.14</v>
      </c>
      <c r="L169" s="8">
        <f>IFERROR(K169/K444, "NA")</f>
        <v>-3.3473468682415838E-2</v>
      </c>
      <c r="M169" s="9"/>
      <c r="N169" s="10">
        <f t="shared" si="41"/>
        <v>-1761.06</v>
      </c>
      <c r="O169" s="8">
        <f>IFERROR(N169/N444, "NA")</f>
        <v>0.17828572122773012</v>
      </c>
      <c r="P169" s="9"/>
      <c r="Q169" s="7">
        <v>-22686.29</v>
      </c>
      <c r="R169" s="8">
        <f>IFERROR(Q169/Q444, "NA")</f>
        <v>-1.6876850926701051E-2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22686.29</v>
      </c>
      <c r="X169" s="8">
        <f>IFERROR(W169/W444, "NA")</f>
        <v>-0.15088094564152127</v>
      </c>
      <c r="Y169" s="9"/>
      <c r="Z169" s="7">
        <v>-37997.9</v>
      </c>
      <c r="AA169" s="8">
        <f>IFERROR(Z169/Z444, "NA")</f>
        <v>-2.9066338749647695E-2</v>
      </c>
      <c r="AB169" s="9"/>
      <c r="AC169" s="10">
        <f t="shared" si="43"/>
        <v>-15311.61</v>
      </c>
      <c r="AD169" s="8">
        <f>IFERROR(AC169/AC444, "NA")</f>
        <v>-0.41446187202838836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3040.2</v>
      </c>
      <c r="C170" s="15">
        <f>IFERROR(B170/B444, "NA")</f>
        <v>2.9247335661229619E-2</v>
      </c>
      <c r="D170" s="2"/>
      <c r="E170" s="14">
        <f>IFERROR(E151+E153+E154+E155+E156+E157+E160+E161+E162+E163+E164+E165+E167+E168+E169, "NA")</f>
        <v>2134.1</v>
      </c>
      <c r="F170" s="15">
        <f>IFERROR(E170/E444, "NA")</f>
        <v>1.6999978890424976E-2</v>
      </c>
      <c r="G170" s="2"/>
      <c r="H170" s="14">
        <f t="shared" si="40"/>
        <v>-906.09999999999991</v>
      </c>
      <c r="I170" s="15">
        <f>IFERROR(H170/H444, "NA")</f>
        <v>4.1973325328708427E-2</v>
      </c>
      <c r="J170" s="2"/>
      <c r="K170" s="14">
        <f>IFERROR(K151+K153+K154+K155+K156+K157+K160+K161+K162+K163+K164+K165+K167+K168+K169, "NA")</f>
        <v>2368.5399999999995</v>
      </c>
      <c r="L170" s="15">
        <f>IFERROR(K170/K444, "NA")</f>
        <v>2.0808487224366873E-2</v>
      </c>
      <c r="M170" s="2"/>
      <c r="N170" s="14">
        <f t="shared" si="41"/>
        <v>-671.66000000000031</v>
      </c>
      <c r="O170" s="15">
        <f>IFERROR(N170/N444, "NA")</f>
        <v>6.7997335422880126E-2</v>
      </c>
      <c r="P170" s="2"/>
      <c r="Q170" s="14">
        <f>IFERROR(Q151+Q153+Q154+Q155+Q156+Q157+Q160+Q161+Q162+Q163+Q164+Q165+Q167+Q168+Q169, "NA")</f>
        <v>42434.840000000004</v>
      </c>
      <c r="R170" s="15">
        <f>IFERROR(Q170/Q444, "NA")</f>
        <v>3.1568249756941787E-2</v>
      </c>
      <c r="S170" s="2"/>
      <c r="T170" s="14">
        <f>IFERROR(T151+T153+T154+T155+T156+T157+T160+T161+T162+T163+T164+T165+T167+T168+T169, "NA")</f>
        <v>25936.83</v>
      </c>
      <c r="U170" s="15">
        <f>IFERROR(T170/T444, "NA")</f>
        <v>1.7353876982693611E-2</v>
      </c>
      <c r="V170" s="2"/>
      <c r="W170" s="14">
        <f t="shared" si="42"/>
        <v>-16498.010000000002</v>
      </c>
      <c r="X170" s="15">
        <f>IFERROR(W170/W444, "NA")</f>
        <v>0.10972421449268586</v>
      </c>
      <c r="Y170" s="2"/>
      <c r="Z170" s="14">
        <f>IFERROR(Z151+Z153+Z154+Z155+Z156+Z157+Z160+Z161+Z162+Z163+Z164+Z165+Z167+Z168+Z169, "NA")</f>
        <v>27942.299999999996</v>
      </c>
      <c r="AA170" s="15">
        <f>IFERROR(Z170/Z444, "NA")</f>
        <v>2.1374348509898722E-2</v>
      </c>
      <c r="AB170" s="2"/>
      <c r="AC170" s="14">
        <f t="shared" si="43"/>
        <v>-14492.540000000008</v>
      </c>
      <c r="AD170" s="15">
        <f>IFERROR(AC170/AC444, "NA")</f>
        <v>-0.39229089944468953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30112.780000000006</v>
      </c>
      <c r="C171" s="15">
        <f>IFERROR(B171/B444, "NA")</f>
        <v>0.28969100202380182</v>
      </c>
      <c r="D171" s="2"/>
      <c r="E171" s="14">
        <f>IFERROR(E127+E129+E130+E131+E132+E133+E134+E135+E136+E137+E138+E139+E140+E143+E144+E145+E146+E147+E151+E153+E154+E155+E156+E157+E160+E161+E162+E163+E164+E165+E167+E168+E169, "NA")</f>
        <v>29375.289999999997</v>
      </c>
      <c r="F171" s="15">
        <f>IFERROR(E171/E444, "NA")</f>
        <v>0.23399995778084992</v>
      </c>
      <c r="G171" s="2"/>
      <c r="H171" s="14">
        <f t="shared" si="40"/>
        <v>-737.49000000000888</v>
      </c>
      <c r="I171" s="15">
        <f>IFERROR(H171/H444, "NA")</f>
        <v>3.4162794058789928E-2</v>
      </c>
      <c r="J171" s="2"/>
      <c r="K171" s="14">
        <f>IFERROR(K127+K129+K130+K131+K132+K133+K134+K135+K136+K137+K138+K139+K140+K143+K144+K145+K146+K147+K151+K153+K154+K155+K156+K157+K160+K161+K162+K163+K164+K165+K167+K168+K169, "NA")</f>
        <v>36355.460000000006</v>
      </c>
      <c r="L171" s="15">
        <f>IFERROR(K171/K444, "NA")</f>
        <v>0.31939596753526694</v>
      </c>
      <c r="M171" s="2"/>
      <c r="N171" s="14">
        <f t="shared" si="41"/>
        <v>6242.68</v>
      </c>
      <c r="O171" s="15">
        <f>IFERROR(N171/N444, "NA")</f>
        <v>-0.63199476803398313</v>
      </c>
      <c r="P171" s="2"/>
      <c r="Q171" s="14">
        <f>IFERROR(Q127+Q129+Q130+Q131+Q132+Q133+Q134+Q135+Q136+Q137+Q138+Q139+Q140+Q143+Q144+Q145+Q146+Q147+Q151+Q153+Q154+Q155+Q156+Q157+Q160+Q161+Q162+Q163+Q164+Q165+Q167+Q168+Q169, "NA")</f>
        <v>400683.39000000007</v>
      </c>
      <c r="R171" s="15">
        <f>IFERROR(Q171/Q444, "NA")</f>
        <v>0.29807755440996392</v>
      </c>
      <c r="S171" s="2"/>
      <c r="T171" s="14">
        <f>IFERROR(T127+T129+T130+T131+T132+T133+T134+T135+T136+T137+T138+T139+T140+T143+T144+T145+T146+T147+T151+T153+T154+T155+T156+T157+T160+T161+T162+T163+T164+T165+T167+T168+T169, "NA")</f>
        <v>365271.18</v>
      </c>
      <c r="U171" s="15">
        <f>IFERROR(T171/T444, "NA")</f>
        <v>0.24439652505889631</v>
      </c>
      <c r="V171" s="2"/>
      <c r="W171" s="14">
        <f t="shared" si="42"/>
        <v>-35412.210000000079</v>
      </c>
      <c r="X171" s="15">
        <f>IFERROR(W171/W444, "NA")</f>
        <v>0.23551791553648249</v>
      </c>
      <c r="Y171" s="2"/>
      <c r="Z171" s="14">
        <f>IFERROR(Z127+Z129+Z130+Z131+Z132+Z133+Z134+Z135+Z136+Z137+Z138+Z139+Z140+Z143+Z144+Z145+Z146+Z147+Z151+Z153+Z154+Z155+Z156+Z157+Z160+Z161+Z162+Z163+Z164+Z165+Z167+Z168+Z169, "NA")</f>
        <v>369867.20999999996</v>
      </c>
      <c r="AA171" s="15">
        <f>IFERROR(Z171/Z444, "NA")</f>
        <v>0.28292841494522275</v>
      </c>
      <c r="AB171" s="2"/>
      <c r="AC171" s="14">
        <f t="shared" si="43"/>
        <v>-30816.180000000109</v>
      </c>
      <c r="AD171" s="15">
        <f>IFERROR(AC171/AC444, "NA")</f>
        <v>-0.83414687623077044</v>
      </c>
    </row>
    <row r="172" spans="1:30" ht="16.5" customHeight="1" x14ac:dyDescent="0.45">
      <c r="A172" s="22" t="s">
        <v>160</v>
      </c>
      <c r="B172" s="23">
        <f>IFERROR(B124-B171, "NA")</f>
        <v>73835.149999999965</v>
      </c>
      <c r="C172" s="24">
        <f>IFERROR(B172/B444, "NA")</f>
        <v>0.71030899797619795</v>
      </c>
      <c r="D172" s="25"/>
      <c r="E172" s="23">
        <f>IFERROR(E124-E171, "NA")</f>
        <v>96160.159999999989</v>
      </c>
      <c r="F172" s="24">
        <f>IFERROR(E172/E444, "NA")</f>
        <v>0.76600004221914997</v>
      </c>
      <c r="G172" s="25"/>
      <c r="H172" s="23">
        <f>IFERROR(B172-E172, "NA")</f>
        <v>-22325.010000000024</v>
      </c>
      <c r="I172" s="24">
        <f>IFERROR(H172/H444, "NA")</f>
        <v>1.0341627940587905</v>
      </c>
      <c r="J172" s="25"/>
      <c r="K172" s="23">
        <f>IFERROR(K124-K171, "NA")</f>
        <v>77470.209999999977</v>
      </c>
      <c r="L172" s="24">
        <f>IFERROR(K172/K444, "NA")</f>
        <v>0.68060403246473289</v>
      </c>
      <c r="M172" s="25"/>
      <c r="N172" s="23">
        <f>IFERROR(B172-K172, "NA")</f>
        <v>-3635.0600000000122</v>
      </c>
      <c r="O172" s="24">
        <f>IFERROR(N172/N444, "NA")</f>
        <v>0.36800523196601759</v>
      </c>
      <c r="P172" s="25"/>
      <c r="Q172" s="23">
        <f>IFERROR(Q124-Q171, "NA")</f>
        <v>943541.90999999992</v>
      </c>
      <c r="R172" s="24">
        <f>IFERROR(Q172/Q444, "NA")</f>
        <v>0.70192244559003603</v>
      </c>
      <c r="S172" s="25"/>
      <c r="T172" s="23">
        <f>IFERROR(T124-T171, "NA")</f>
        <v>1129313</v>
      </c>
      <c r="U172" s="24">
        <f>IFERROR(T172/T444, "NA")</f>
        <v>0.75560347494110369</v>
      </c>
      <c r="V172" s="25"/>
      <c r="W172" s="23">
        <f>IFERROR(Q172-T172, "NA")</f>
        <v>-185771.09000000008</v>
      </c>
      <c r="X172" s="24">
        <f>IFERROR(W172/W444, "NA")</f>
        <v>1.2355179155364833</v>
      </c>
      <c r="Y172" s="25"/>
      <c r="Z172" s="23">
        <f>IFERROR(Z124-Z171, "NA")</f>
        <v>937414.74000000046</v>
      </c>
      <c r="AA172" s="24">
        <f>IFERROR(Z172/Z444, "NA")</f>
        <v>0.71707158505477753</v>
      </c>
      <c r="AB172" s="25"/>
      <c r="AC172" s="23">
        <f>IFERROR(Q172-Z172, "NA")</f>
        <v>6127.1699999994598</v>
      </c>
      <c r="AD172" s="24">
        <f>IFERROR(AC172/AC444, "NA")</f>
        <v>0.1658531237692154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6490.4</v>
      </c>
      <c r="C178" s="8">
        <f>IFERROR(B178/B444, "NA")</f>
        <v>6.2438953810816628E-2</v>
      </c>
      <c r="D178" s="9"/>
      <c r="E178" s="7">
        <v>6826.92</v>
      </c>
      <c r="F178" s="8">
        <f>IFERROR(E178/E444, "NA")</f>
        <v>5.4382407519150966E-2</v>
      </c>
      <c r="G178" s="9"/>
      <c r="H178" s="10">
        <f t="shared" si="44"/>
        <v>336.52000000000044</v>
      </c>
      <c r="I178" s="8">
        <f>IFERROR(H178/H444, "NA")</f>
        <v>-1.558863639732588E-2</v>
      </c>
      <c r="J178" s="9"/>
      <c r="K178" s="7">
        <v>6490.4</v>
      </c>
      <c r="L178" s="8">
        <f>IFERROR(K178/K444, "NA")</f>
        <v>5.702052972760889E-2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67225.16</v>
      </c>
      <c r="R178" s="8">
        <f>IFERROR(Q178/Q444, "NA")</f>
        <v>5.0010336808866789E-2</v>
      </c>
      <c r="S178" s="9"/>
      <c r="T178" s="7">
        <v>71000</v>
      </c>
      <c r="U178" s="8">
        <f>IFERROR(T178/T444, "NA")</f>
        <v>4.7504851817714279E-2</v>
      </c>
      <c r="V178" s="9"/>
      <c r="W178" s="10">
        <f t="shared" si="46"/>
        <v>3774.8399999999965</v>
      </c>
      <c r="X178" s="8">
        <f>IFERROR(W178/W444, "NA")</f>
        <v>-2.5105534172640814E-2</v>
      </c>
      <c r="Y178" s="9"/>
      <c r="Z178" s="7">
        <v>67500.160000000003</v>
      </c>
      <c r="AA178" s="8">
        <f>IFERROR(Z178/Z444, "NA")</f>
        <v>5.1633972304138374E-2</v>
      </c>
      <c r="AB178" s="9"/>
      <c r="AC178" s="10">
        <f t="shared" si="47"/>
        <v>275</v>
      </c>
      <c r="AD178" s="8">
        <f>IFERROR(AC178/AC444, "NA")</f>
        <v>7.4438295390103848E-3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23912.44</v>
      </c>
      <c r="C180" s="8">
        <f>IFERROR(B180/B444, "NA")</f>
        <v>0.23004248377048009</v>
      </c>
      <c r="D180" s="9"/>
      <c r="E180" s="7">
        <v>25609.23</v>
      </c>
      <c r="F180" s="8">
        <f>IFERROR(E180/E444, "NA")</f>
        <v>0.20399998566142075</v>
      </c>
      <c r="G180" s="9"/>
      <c r="H180" s="10">
        <f t="shared" si="44"/>
        <v>1696.7900000000009</v>
      </c>
      <c r="I180" s="8">
        <f>IFERROR(H180/H444, "NA")</f>
        <v>-7.8600506218407695E-2</v>
      </c>
      <c r="J180" s="9"/>
      <c r="K180" s="7">
        <v>26620.18</v>
      </c>
      <c r="L180" s="8">
        <f>IFERROR(K180/K444, "NA")</f>
        <v>0.23386798426049238</v>
      </c>
      <c r="M180" s="9"/>
      <c r="N180" s="10">
        <f t="shared" si="45"/>
        <v>2707.7400000000016</v>
      </c>
      <c r="O180" s="8">
        <f>IFERROR(N180/N444, "NA")</f>
        <v>-0.2741254578476453</v>
      </c>
      <c r="P180" s="9"/>
      <c r="Q180" s="7">
        <v>283176.82</v>
      </c>
      <c r="R180" s="8">
        <f>IFERROR(Q180/Q444, "NA")</f>
        <v>0.2106617246379755</v>
      </c>
      <c r="S180" s="9"/>
      <c r="T180" s="7">
        <v>302459.02</v>
      </c>
      <c r="U180" s="8">
        <f>IFERROR(T180/T444, "NA")</f>
        <v>0.20237001304269125</v>
      </c>
      <c r="V180" s="9"/>
      <c r="W180" s="10">
        <f t="shared" si="46"/>
        <v>19282.200000000012</v>
      </c>
      <c r="X180" s="8">
        <f>IFERROR(W180/W444, "NA")</f>
        <v>-0.12824117870524193</v>
      </c>
      <c r="Y180" s="9"/>
      <c r="Z180" s="7">
        <v>293071.01</v>
      </c>
      <c r="AA180" s="8">
        <f>IFERROR(Z180/Z444, "NA")</f>
        <v>0.22418347472785041</v>
      </c>
      <c r="AB180" s="9"/>
      <c r="AC180" s="10">
        <f t="shared" si="47"/>
        <v>9894.1900000000023</v>
      </c>
      <c r="AD180" s="8">
        <f>IFERROR(AC180/AC444, "NA")</f>
        <v>0.26782059558756793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2.8</v>
      </c>
      <c r="L181" s="8">
        <f>IFERROR(K181/K444, "NA")</f>
        <v>2.459902058999521E-5</v>
      </c>
      <c r="M181" s="9"/>
      <c r="N181" s="10">
        <f t="shared" si="45"/>
        <v>2.8</v>
      </c>
      <c r="O181" s="8">
        <f>IFERROR(N181/N444, "NA")</f>
        <v>-2.8346565104973387E-4</v>
      </c>
      <c r="P181" s="9"/>
      <c r="Q181" s="7">
        <v>3021.75</v>
      </c>
      <c r="R181" s="8">
        <f>IFERROR(Q181/Q444, "NA")</f>
        <v>2.2479490603249321E-3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-3021.75</v>
      </c>
      <c r="X181" s="8">
        <f>IFERROR(W181/W444, "NA")</f>
        <v>2.009691745509146E-2</v>
      </c>
      <c r="Y181" s="9"/>
      <c r="Z181" s="7">
        <v>1405.82</v>
      </c>
      <c r="AA181" s="8">
        <f>IFERROR(Z181/Z444, "NA")</f>
        <v>1.0753762797688746E-3</v>
      </c>
      <c r="AB181" s="9"/>
      <c r="AC181" s="10">
        <f t="shared" si="47"/>
        <v>-1615.93</v>
      </c>
      <c r="AD181" s="8">
        <f>IFERROR(AC181/AC444, "NA")</f>
        <v>-4.3740754425356555E-2</v>
      </c>
    </row>
    <row r="182" spans="1:30" ht="16.5" customHeight="1" x14ac:dyDescent="0.45">
      <c r="A182" s="13" t="s">
        <v>167</v>
      </c>
      <c r="B182" s="14">
        <f>IFERROR(B177+B178+B179+B180+B181, "NA")</f>
        <v>30402.839999999997</v>
      </c>
      <c r="C182" s="15">
        <f>IFERROR(B182/B444, "NA")</f>
        <v>0.29248143758129669</v>
      </c>
      <c r="D182" s="2"/>
      <c r="E182" s="14">
        <f>IFERROR(E177+E178+E179+E180+E181, "NA")</f>
        <v>32436.15</v>
      </c>
      <c r="F182" s="15">
        <f>IFERROR(E182/E444, "NA")</f>
        <v>0.25838239318057171</v>
      </c>
      <c r="G182" s="2"/>
      <c r="H182" s="14">
        <f t="shared" si="44"/>
        <v>2033.3100000000049</v>
      </c>
      <c r="I182" s="15">
        <f>IFERROR(H182/H444, "NA")</f>
        <v>-9.4189142615733745E-2</v>
      </c>
      <c r="J182" s="2"/>
      <c r="K182" s="14">
        <f>IFERROR(K177+K178+K179+K180+K181, "NA")</f>
        <v>33113.380000000005</v>
      </c>
      <c r="L182" s="15">
        <f>IFERROR(K182/K444, "NA")</f>
        <v>0.29091311300869133</v>
      </c>
      <c r="M182" s="2"/>
      <c r="N182" s="14">
        <f t="shared" si="45"/>
        <v>2710.5400000000081</v>
      </c>
      <c r="O182" s="15">
        <f>IFERROR(N182/N444, "NA")</f>
        <v>-0.27440892349869572</v>
      </c>
      <c r="P182" s="2"/>
      <c r="Q182" s="14">
        <f>IFERROR(Q177+Q178+Q179+Q180+Q181, "NA")</f>
        <v>353423.73</v>
      </c>
      <c r="R182" s="15">
        <f>IFERROR(Q182/Q444, "NA")</f>
        <v>0.26292001050716718</v>
      </c>
      <c r="S182" s="2"/>
      <c r="T182" s="14">
        <f>IFERROR(T177+T178+T179+T180+T181, "NA")</f>
        <v>373459.02</v>
      </c>
      <c r="U182" s="15">
        <f>IFERROR(T182/T444, "NA")</f>
        <v>0.24987486486040555</v>
      </c>
      <c r="V182" s="2"/>
      <c r="W182" s="14">
        <f t="shared" si="46"/>
        <v>20035.290000000037</v>
      </c>
      <c r="X182" s="15">
        <f>IFERROR(W182/W444, "NA")</f>
        <v>-0.13324979542279147</v>
      </c>
      <c r="Y182" s="2"/>
      <c r="Z182" s="14">
        <f>IFERROR(Z177+Z178+Z179+Z180+Z181, "NA")</f>
        <v>361976.99000000005</v>
      </c>
      <c r="AA182" s="15">
        <f>IFERROR(Z182/Z444, "NA")</f>
        <v>0.27689282331175769</v>
      </c>
      <c r="AB182" s="2"/>
      <c r="AC182" s="14">
        <f t="shared" si="47"/>
        <v>8553.2600000000675</v>
      </c>
      <c r="AD182" s="15">
        <f>IFERROR(AC182/AC444, "NA")</f>
        <v>0.23152367070122351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4.8101005955577952E-3</v>
      </c>
      <c r="D184" s="9"/>
      <c r="E184" s="7">
        <v>500</v>
      </c>
      <c r="F184" s="8">
        <f>IFERROR(E184/E444, "NA")</f>
        <v>3.9829386838538434E-3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100</v>
      </c>
      <c r="L184" s="8">
        <f>IFERROR(K184/K444, "NA")</f>
        <v>8.7853644964268611E-4</v>
      </c>
      <c r="M184" s="9"/>
      <c r="N184" s="10">
        <f t="shared" si="45"/>
        <v>-400</v>
      </c>
      <c r="O184" s="8">
        <f>IFERROR(N184/N444, "NA")</f>
        <v>4.049509300710484E-2</v>
      </c>
      <c r="P184" s="9"/>
      <c r="Q184" s="7">
        <v>2300</v>
      </c>
      <c r="R184" s="8">
        <f>IFERROR(Q184/Q444, "NA")</f>
        <v>1.7110226983527239E-3</v>
      </c>
      <c r="S184" s="9"/>
      <c r="T184" s="7">
        <v>6000</v>
      </c>
      <c r="U184" s="8">
        <f>IFERROR(T184/T444, "NA")</f>
        <v>4.0144945198068403E-3</v>
      </c>
      <c r="V184" s="9"/>
      <c r="W184" s="10">
        <f t="shared" si="46"/>
        <v>3700</v>
      </c>
      <c r="X184" s="8">
        <f>IFERROR(W184/W444, "NA")</f>
        <v>-2.4607791704753339E-2</v>
      </c>
      <c r="Y184" s="9"/>
      <c r="Z184" s="7">
        <v>2200</v>
      </c>
      <c r="AA184" s="8">
        <f>IFERROR(Z184/Z444, "NA")</f>
        <v>1.682881034194651E-3</v>
      </c>
      <c r="AB184" s="9"/>
      <c r="AC184" s="10">
        <f t="shared" si="47"/>
        <v>-100</v>
      </c>
      <c r="AD184" s="8">
        <f>IFERROR(AC184/AC444, "NA")</f>
        <v>-2.7068471050946856E-3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2749.63</v>
      </c>
      <c r="C186" s="8">
        <f>IFERROR(B186/B444, "NA")</f>
        <v>2.6451993801127165E-2</v>
      </c>
      <c r="D186" s="9"/>
      <c r="E186" s="7">
        <v>2966.46</v>
      </c>
      <c r="F186" s="8">
        <f>IFERROR(E186/E444, "NA")</f>
        <v>2.3630456576210147E-2</v>
      </c>
      <c r="G186" s="9"/>
      <c r="H186" s="10">
        <f t="shared" ref="H186:H197" si="48">IFERROR(-(B186-E186), "NA")</f>
        <v>216.82999999999993</v>
      </c>
      <c r="I186" s="8">
        <f>IFERROR(H186/H444, "NA")</f>
        <v>-1.0044229258386321E-2</v>
      </c>
      <c r="J186" s="9"/>
      <c r="K186" s="7">
        <v>3295.95</v>
      </c>
      <c r="L186" s="8">
        <f>IFERROR(K186/K444, "NA")</f>
        <v>2.895612211199811E-2</v>
      </c>
      <c r="M186" s="9"/>
      <c r="N186" s="10">
        <f t="shared" ref="N186:N197" si="49">IFERROR(-(B186-K186), "NA")</f>
        <v>546.31999999999971</v>
      </c>
      <c r="O186" s="8">
        <f>IFERROR(N186/N444, "NA")</f>
        <v>-5.5308198029103764E-2</v>
      </c>
      <c r="P186" s="9"/>
      <c r="Q186" s="7">
        <v>31898.18</v>
      </c>
      <c r="R186" s="8">
        <f>IFERROR(Q186/Q444, "NA")</f>
        <v>2.3729786963539518E-2</v>
      </c>
      <c r="S186" s="9"/>
      <c r="T186" s="7">
        <v>39365.9</v>
      </c>
      <c r="U186" s="8">
        <f>IFERROR(T186/T444, "NA")</f>
        <v>2.6339031636210684E-2</v>
      </c>
      <c r="V186" s="9"/>
      <c r="W186" s="10">
        <f t="shared" ref="W186:W197" si="50">IFERROR(-(Q186-T186), "NA")</f>
        <v>7467.7200000000012</v>
      </c>
      <c r="X186" s="8">
        <f>IFERROR(W186/W444, "NA")</f>
        <v>-4.9665972505248818E-2</v>
      </c>
      <c r="Y186" s="9"/>
      <c r="Z186" s="7">
        <v>36423.82</v>
      </c>
      <c r="AA186" s="8">
        <f>IFERROR(Z186/Z444, "NA")</f>
        <v>2.7862252668599916E-2</v>
      </c>
      <c r="AB186" s="9"/>
      <c r="AC186" s="10">
        <f t="shared" ref="AC186:AC197" si="51">IFERROR(-(Q186-Z186), "NA")</f>
        <v>4525.6399999999994</v>
      </c>
      <c r="AD186" s="8">
        <f>IFERROR(AC186/AC444, "NA")</f>
        <v>0.1225021553270071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1.5298918492678647E-8</v>
      </c>
      <c r="AB187" s="9"/>
      <c r="AC187" s="10">
        <f t="shared" si="51"/>
        <v>0.02</v>
      </c>
      <c r="AD187" s="8">
        <f>IFERROR(AC187/AC444, "NA")</f>
        <v>5.4136942101893706E-7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2749.63</v>
      </c>
      <c r="C193" s="15">
        <f>IFERROR(B193/B444, "NA")</f>
        <v>2.6451993801127165E-2</v>
      </c>
      <c r="D193" s="2"/>
      <c r="E193" s="14">
        <f>IFERROR(E186+E187+E188+E189+E190+E191+E192, "NA")</f>
        <v>2966.46</v>
      </c>
      <c r="F193" s="15">
        <f>IFERROR(E193/E444, "NA")</f>
        <v>2.3630456576210147E-2</v>
      </c>
      <c r="G193" s="2"/>
      <c r="H193" s="14">
        <f t="shared" si="48"/>
        <v>216.82999999999993</v>
      </c>
      <c r="I193" s="15">
        <f>IFERROR(H193/H444, "NA")</f>
        <v>-1.0044229258386321E-2</v>
      </c>
      <c r="J193" s="2"/>
      <c r="K193" s="14">
        <f>IFERROR(K186+K187+K188+K189+K190+K191+K192, "NA")</f>
        <v>3295.95</v>
      </c>
      <c r="L193" s="15">
        <f>IFERROR(K193/K444, "NA")</f>
        <v>2.895612211199811E-2</v>
      </c>
      <c r="M193" s="2"/>
      <c r="N193" s="14">
        <f t="shared" si="49"/>
        <v>546.31999999999971</v>
      </c>
      <c r="O193" s="15">
        <f>IFERROR(N193/N444, "NA")</f>
        <v>-5.5308198029103764E-2</v>
      </c>
      <c r="P193" s="2"/>
      <c r="Q193" s="14">
        <f>IFERROR(Q186+Q187+Q188+Q189+Q190+Q191+Q192, "NA")</f>
        <v>31898.18</v>
      </c>
      <c r="R193" s="15">
        <f>IFERROR(Q193/Q444, "NA")</f>
        <v>2.3729786963539518E-2</v>
      </c>
      <c r="S193" s="2"/>
      <c r="T193" s="14">
        <f>IFERROR(T186+T187+T188+T189+T190+T191+T192, "NA")</f>
        <v>39365.9</v>
      </c>
      <c r="U193" s="15">
        <f>IFERROR(T193/T444, "NA")</f>
        <v>2.6339031636210684E-2</v>
      </c>
      <c r="V193" s="2"/>
      <c r="W193" s="14">
        <f t="shared" si="50"/>
        <v>7467.7200000000012</v>
      </c>
      <c r="X193" s="15">
        <f>IFERROR(W193/W444, "NA")</f>
        <v>-4.9665972505248818E-2</v>
      </c>
      <c r="Y193" s="2"/>
      <c r="Z193" s="14">
        <f>IFERROR(Z186+Z187+Z188+Z189+Z190+Z191+Z192, "NA")</f>
        <v>36423.839999999997</v>
      </c>
      <c r="AA193" s="15">
        <f>IFERROR(Z193/Z444, "NA")</f>
        <v>2.7862267967518405E-2</v>
      </c>
      <c r="AB193" s="2"/>
      <c r="AC193" s="14">
        <f t="shared" si="51"/>
        <v>4525.6599999999962</v>
      </c>
      <c r="AD193" s="15">
        <f>IFERROR(AC193/AC444, "NA")</f>
        <v>0.12250269669642803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2.651327448271457E-3</v>
      </c>
      <c r="D194" s="9"/>
      <c r="E194" s="7">
        <v>263.49</v>
      </c>
      <c r="F194" s="8">
        <f>IFERROR(E194/E444, "NA")</f>
        <v>2.0989290276172985E-3</v>
      </c>
      <c r="G194" s="9"/>
      <c r="H194" s="10">
        <f t="shared" si="48"/>
        <v>-12.110000000000014</v>
      </c>
      <c r="I194" s="8">
        <f>IFERROR(H194/H444, "NA")</f>
        <v>5.6097226545707946E-4</v>
      </c>
      <c r="J194" s="9"/>
      <c r="K194" s="7">
        <v>288.32</v>
      </c>
      <c r="L194" s="8">
        <f>IFERROR(K194/K444, "NA")</f>
        <v>2.5329962916097923E-3</v>
      </c>
      <c r="M194" s="9"/>
      <c r="N194" s="10">
        <f t="shared" si="49"/>
        <v>12.71999999999997</v>
      </c>
      <c r="O194" s="8">
        <f>IFERROR(N194/N444, "NA")</f>
        <v>-1.2877439576259311E-3</v>
      </c>
      <c r="P194" s="9"/>
      <c r="Q194" s="7">
        <v>3453.08</v>
      </c>
      <c r="R194" s="8">
        <f>IFERROR(Q194/Q444, "NA")</f>
        <v>2.5688253300990538E-3</v>
      </c>
      <c r="S194" s="9"/>
      <c r="T194" s="7">
        <v>3035.68</v>
      </c>
      <c r="U194" s="8">
        <f>IFERROR(T194/T444, "NA")</f>
        <v>2.0311201206478714E-3</v>
      </c>
      <c r="V194" s="9"/>
      <c r="W194" s="10">
        <f t="shared" si="50"/>
        <v>-417.40000000000009</v>
      </c>
      <c r="X194" s="8">
        <f>IFERROR(W194/W444, "NA")</f>
        <v>2.7760249344767692E-3</v>
      </c>
      <c r="Y194" s="9"/>
      <c r="Z194" s="7">
        <v>3257.38</v>
      </c>
      <c r="AA194" s="8">
        <f>IFERROR(Z194/Z444, "NA")</f>
        <v>2.4917195559840785E-3</v>
      </c>
      <c r="AB194" s="9"/>
      <c r="AC194" s="10">
        <f t="shared" si="51"/>
        <v>-195.69999999999982</v>
      </c>
      <c r="AD194" s="8">
        <f>IFERROR(AC194/AC444, "NA")</f>
        <v>-5.2972997846702941E-3</v>
      </c>
    </row>
    <row r="195" spans="1:30" ht="16.5" customHeight="1" x14ac:dyDescent="0.45">
      <c r="A195" s="6" t="s">
        <v>179</v>
      </c>
      <c r="B195" s="7">
        <v>-110.42</v>
      </c>
      <c r="C195" s="8">
        <f>IFERROR(B195/B444, "NA")</f>
        <v>-1.0622626155229835E-3</v>
      </c>
      <c r="D195" s="9"/>
      <c r="E195" s="7">
        <v>230.55</v>
      </c>
      <c r="F195" s="8">
        <f>IFERROR(E195/E444, "NA")</f>
        <v>1.8365330271250075E-3</v>
      </c>
      <c r="G195" s="9"/>
      <c r="H195" s="10">
        <f t="shared" si="48"/>
        <v>340.97</v>
      </c>
      <c r="I195" s="8">
        <f>IFERROR(H195/H444, "NA")</f>
        <v>-1.5794774017580525E-2</v>
      </c>
      <c r="J195" s="9"/>
      <c r="K195" s="7">
        <v>793.37</v>
      </c>
      <c r="L195" s="8">
        <f>IFERROR(K195/K444, "NA")</f>
        <v>6.9700446305301783E-3</v>
      </c>
      <c r="M195" s="9"/>
      <c r="N195" s="10">
        <f t="shared" si="49"/>
        <v>903.79</v>
      </c>
      <c r="O195" s="8">
        <f>IFERROR(N195/N444, "NA")</f>
        <v>-9.1497650272228212E-2</v>
      </c>
      <c r="P195" s="9"/>
      <c r="Q195" s="7">
        <v>8173.1</v>
      </c>
      <c r="R195" s="8">
        <f>IFERROR(Q195/Q444, "NA")</f>
        <v>6.0801563547420211E-3</v>
      </c>
      <c r="S195" s="9"/>
      <c r="T195" s="7">
        <v>2656.21</v>
      </c>
      <c r="U195" s="8">
        <f>IFERROR(T195/T444, "NA")</f>
        <v>1.777223414742688E-3</v>
      </c>
      <c r="V195" s="9"/>
      <c r="W195" s="10">
        <f t="shared" si="50"/>
        <v>-5516.89</v>
      </c>
      <c r="X195" s="8">
        <f>IFERROR(W195/W444, "NA")</f>
        <v>3.6691481075145041E-2</v>
      </c>
      <c r="Y195" s="9"/>
      <c r="Z195" s="7">
        <v>8488.2099999999991</v>
      </c>
      <c r="AA195" s="8">
        <f>IFERROR(Z195/Z444, "NA")</f>
        <v>6.49302164693699E-3</v>
      </c>
      <c r="AB195" s="9"/>
      <c r="AC195" s="10">
        <f t="shared" si="51"/>
        <v>315.10999999999876</v>
      </c>
      <c r="AD195" s="8">
        <f>IFERROR(AC195/AC444, "NA")</f>
        <v>8.5295459128638292E-3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33817.649999999994</v>
      </c>
      <c r="C196" s="15">
        <f>IFERROR(B196/B444, "NA")</f>
        <v>0.32533259681073012</v>
      </c>
      <c r="D196" s="2"/>
      <c r="E196" s="14">
        <f>IFERROR(E175+E177+E178+E179+E180+E181+E183+E184+E186+E187+E188+E189+E190+E191+E192+E194+E195, "NA")</f>
        <v>36396.65</v>
      </c>
      <c r="F196" s="15">
        <f>IFERROR(E196/E444, "NA")</f>
        <v>0.28993125049537799</v>
      </c>
      <c r="G196" s="2"/>
      <c r="H196" s="14">
        <f t="shared" si="48"/>
        <v>2579.0000000000073</v>
      </c>
      <c r="I196" s="15">
        <f>IFERROR(H196/H444, "NA")</f>
        <v>-0.11946717362624362</v>
      </c>
      <c r="J196" s="2"/>
      <c r="K196" s="14">
        <f>IFERROR(K175+K177+K178+K179+K180+K181+K183+K184+K186+K187+K188+K189+K190+K191+K192+K194+K195, "NA")</f>
        <v>37591.020000000004</v>
      </c>
      <c r="L196" s="15">
        <f>IFERROR(K196/K444, "NA")</f>
        <v>0.33025081249247207</v>
      </c>
      <c r="M196" s="2"/>
      <c r="N196" s="14">
        <f t="shared" si="49"/>
        <v>3773.3700000000099</v>
      </c>
      <c r="O196" s="15">
        <f>IFERROR(N196/N444, "NA")</f>
        <v>-0.382007422750549</v>
      </c>
      <c r="P196" s="2"/>
      <c r="Q196" s="14">
        <f>IFERROR(Q175+Q177+Q178+Q179+Q180+Q181+Q183+Q184+Q186+Q187+Q188+Q189+Q190+Q191+Q192+Q194+Q195, "NA")</f>
        <v>399248.08999999997</v>
      </c>
      <c r="R196" s="15">
        <f>IFERROR(Q196/Q444, "NA")</f>
        <v>0.29700980185390052</v>
      </c>
      <c r="S196" s="2"/>
      <c r="T196" s="14">
        <f>IFERROR(T175+T177+T178+T179+T180+T181+T183+T184+T186+T187+T188+T189+T190+T191+T192+T194+T195, "NA")</f>
        <v>424516.81000000006</v>
      </c>
      <c r="U196" s="15">
        <f>IFERROR(T196/T444, "NA")</f>
        <v>0.28403673455181366</v>
      </c>
      <c r="V196" s="2"/>
      <c r="W196" s="14">
        <f t="shared" si="50"/>
        <v>25268.720000000088</v>
      </c>
      <c r="X196" s="15">
        <f>IFERROR(W196/W444, "NA")</f>
        <v>-0.16805605362317216</v>
      </c>
      <c r="Y196" s="2"/>
      <c r="Z196" s="14">
        <f>IFERROR(Z175+Z177+Z178+Z179+Z180+Z181+Z183+Z184+Z186+Z187+Z188+Z189+Z190+Z191+Z192+Z194+Z195, "NA")</f>
        <v>412346.4200000001</v>
      </c>
      <c r="AA196" s="15">
        <f>IFERROR(Z196/Z444, "NA")</f>
        <v>0.31542271351639184</v>
      </c>
      <c r="AB196" s="2"/>
      <c r="AC196" s="14">
        <f t="shared" si="51"/>
        <v>13098.330000000133</v>
      </c>
      <c r="AD196" s="15">
        <f>IFERROR(AC196/AC444, "NA")</f>
        <v>0.35455176642075231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33817.649999999994</v>
      </c>
      <c r="C197" s="15">
        <f>IFERROR(B197/B444, "NA")</f>
        <v>0.32533259681073012</v>
      </c>
      <c r="D197" s="2"/>
      <c r="E197" s="14">
        <f>IFERROR(E175+E177+E178+E179+E180+E181+E183+E184+E186+E187+E188+E189+E190+E191+E192+E194+E195, "NA")</f>
        <v>36396.65</v>
      </c>
      <c r="F197" s="15">
        <f>IFERROR(E197/E444, "NA")</f>
        <v>0.28993125049537799</v>
      </c>
      <c r="G197" s="2"/>
      <c r="H197" s="14">
        <f t="shared" si="48"/>
        <v>2579.0000000000073</v>
      </c>
      <c r="I197" s="15">
        <f>IFERROR(H197/H444, "NA")</f>
        <v>-0.11946717362624362</v>
      </c>
      <c r="J197" s="2"/>
      <c r="K197" s="14">
        <f>IFERROR(K175+K177+K178+K179+K180+K181+K183+K184+K186+K187+K188+K189+K190+K191+K192+K194+K195, "NA")</f>
        <v>37591.020000000004</v>
      </c>
      <c r="L197" s="15">
        <f>IFERROR(K197/K444, "NA")</f>
        <v>0.33025081249247207</v>
      </c>
      <c r="M197" s="2"/>
      <c r="N197" s="14">
        <f t="shared" si="49"/>
        <v>3773.3700000000099</v>
      </c>
      <c r="O197" s="15">
        <f>IFERROR(N197/N444, "NA")</f>
        <v>-0.382007422750549</v>
      </c>
      <c r="P197" s="2"/>
      <c r="Q197" s="14">
        <f>IFERROR(Q175+Q177+Q178+Q179+Q180+Q181+Q183+Q184+Q186+Q187+Q188+Q189+Q190+Q191+Q192+Q194+Q195, "NA")</f>
        <v>399248.08999999997</v>
      </c>
      <c r="R197" s="15">
        <f>IFERROR(Q197/Q444, "NA")</f>
        <v>0.29700980185390052</v>
      </c>
      <c r="S197" s="2"/>
      <c r="T197" s="14">
        <f>IFERROR(T175+T177+T178+T179+T180+T181+T183+T184+T186+T187+T188+T189+T190+T191+T192+T194+T195, "NA")</f>
        <v>424516.81000000006</v>
      </c>
      <c r="U197" s="15">
        <f>IFERROR(T197/T444, "NA")</f>
        <v>0.28403673455181366</v>
      </c>
      <c r="V197" s="2"/>
      <c r="W197" s="14">
        <f t="shared" si="50"/>
        <v>25268.720000000088</v>
      </c>
      <c r="X197" s="15">
        <f>IFERROR(W197/W444, "NA")</f>
        <v>-0.16805605362317216</v>
      </c>
      <c r="Y197" s="2"/>
      <c r="Z197" s="14">
        <f>IFERROR(Z175+Z177+Z178+Z179+Z180+Z181+Z183+Z184+Z186+Z187+Z188+Z189+Z190+Z191+Z192+Z194+Z195, "NA")</f>
        <v>412346.4200000001</v>
      </c>
      <c r="AA197" s="15">
        <f>IFERROR(Z197/Z444, "NA")</f>
        <v>0.31542271351639184</v>
      </c>
      <c r="AB197" s="2"/>
      <c r="AC197" s="14">
        <f t="shared" si="51"/>
        <v>13098.330000000133</v>
      </c>
      <c r="AD197" s="15">
        <f>IFERROR(AC197/AC444, "NA")</f>
        <v>0.35455176642075231</v>
      </c>
    </row>
    <row r="198" spans="1:30" ht="16.5" customHeight="1" x14ac:dyDescent="0.45">
      <c r="A198" s="22" t="s">
        <v>181</v>
      </c>
      <c r="B198" s="23">
        <f>IFERROR(B172-B197, "NA")</f>
        <v>40017.499999999971</v>
      </c>
      <c r="C198" s="24">
        <f>IFERROR(B198/B444, "NA")</f>
        <v>0.38497640116546789</v>
      </c>
      <c r="D198" s="25"/>
      <c r="E198" s="23">
        <f>IFERROR(E172-E197, "NA")</f>
        <v>59763.509999999987</v>
      </c>
      <c r="F198" s="24">
        <f>IFERROR(E198/E444, "NA")</f>
        <v>0.47606879172377198</v>
      </c>
      <c r="G198" s="25"/>
      <c r="H198" s="23">
        <f>IFERROR(B198-E198, "NA")</f>
        <v>-19746.010000000017</v>
      </c>
      <c r="I198" s="24">
        <f>IFERROR(H198/H444, "NA")</f>
        <v>0.91469562043254682</v>
      </c>
      <c r="J198" s="25"/>
      <c r="K198" s="23">
        <f>IFERROR(K172-K197, "NA")</f>
        <v>39879.189999999973</v>
      </c>
      <c r="L198" s="24">
        <f>IFERROR(K198/K444, "NA")</f>
        <v>0.35035321997226088</v>
      </c>
      <c r="M198" s="25"/>
      <c r="N198" s="23">
        <f>IFERROR(B198-K198, "NA")</f>
        <v>138.30999999999767</v>
      </c>
      <c r="O198" s="24">
        <f>IFERROR(N198/N444, "NA")</f>
        <v>-1.4002190784531441E-2</v>
      </c>
      <c r="P198" s="25"/>
      <c r="Q198" s="23">
        <f>IFERROR(Q172-Q197, "NA")</f>
        <v>544293.81999999995</v>
      </c>
      <c r="R198" s="24">
        <f>IFERROR(Q198/Q444, "NA")</f>
        <v>0.40491264373613556</v>
      </c>
      <c r="S198" s="25"/>
      <c r="T198" s="23">
        <f>IFERROR(T172-T197, "NA")</f>
        <v>704796.19</v>
      </c>
      <c r="U198" s="24">
        <f>IFERROR(T198/T444, "NA")</f>
        <v>0.47156674038929008</v>
      </c>
      <c r="V198" s="25"/>
      <c r="W198" s="23">
        <f>IFERROR(Q198-T198, "NA")</f>
        <v>-160502.37</v>
      </c>
      <c r="X198" s="24">
        <f>IFERROR(W198/W444, "NA")</f>
        <v>1.0674618619133112</v>
      </c>
      <c r="Y198" s="25"/>
      <c r="Z198" s="23">
        <f>IFERROR(Z172-Z197, "NA")</f>
        <v>525068.3200000003</v>
      </c>
      <c r="AA198" s="24">
        <f>IFERROR(Z198/Z444, "NA")</f>
        <v>0.40164887153838569</v>
      </c>
      <c r="AB198" s="25"/>
      <c r="AC198" s="23">
        <f>IFERROR(Q198-Z198, "NA")</f>
        <v>19225.499999999651</v>
      </c>
      <c r="AD198" s="24">
        <f>IFERROR(AC198/AC444, "NA")</f>
        <v>0.52040489018996927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2510.71</v>
      </c>
      <c r="F201" s="8">
        <f>IFERROR(E201/E444, "NA")</f>
        <v>2.0000007965877368E-2</v>
      </c>
      <c r="G201" s="9"/>
      <c r="H201" s="10">
        <f t="shared" ref="H201:H209" si="52">IFERROR(-(B201-E201), "NA")</f>
        <v>2510.71</v>
      </c>
      <c r="I201" s="8">
        <f>IFERROR(H201/H444, "NA")</f>
        <v>-0.11630377180889698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29891.7</v>
      </c>
      <c r="U201" s="8">
        <f>IFERROR(T201/T444, "NA")</f>
        <v>2.000001097295169E-2</v>
      </c>
      <c r="V201" s="9"/>
      <c r="W201" s="10">
        <f t="shared" ref="W201:W209" si="54">IFERROR(-(Q201-T201), "NA")</f>
        <v>29891.7</v>
      </c>
      <c r="X201" s="8">
        <f>IFERROR(W201/W444, "NA")</f>
        <v>-0.19880235872999336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1135.67</v>
      </c>
      <c r="C202" s="8">
        <f>IFERROR(B202/B444, "NA")</f>
        <v>1.0925373886714244E-2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-1135.67</v>
      </c>
      <c r="I202" s="8">
        <f>IFERROR(H202/H444, "NA")</f>
        <v>5.2607710380812613E-2</v>
      </c>
      <c r="J202" s="9"/>
      <c r="K202" s="7">
        <v>1134.04</v>
      </c>
      <c r="L202" s="8">
        <f>IFERROR(K202/K444, "NA")</f>
        <v>9.9629547535279167E-3</v>
      </c>
      <c r="M202" s="9"/>
      <c r="N202" s="10">
        <f t="shared" si="53"/>
        <v>-1.6300000000001091</v>
      </c>
      <c r="O202" s="8">
        <f>IFERROR(N202/N444, "NA")</f>
        <v>1.6501750400396329E-4</v>
      </c>
      <c r="P202" s="9"/>
      <c r="Q202" s="7">
        <v>12537.72</v>
      </c>
      <c r="R202" s="8">
        <f>IFERROR(Q202/Q444, "NA")</f>
        <v>9.3270971763438747E-3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-12537.72</v>
      </c>
      <c r="X202" s="8">
        <f>IFERROR(W202/W444, "NA")</f>
        <v>8.3385297895275684E-2</v>
      </c>
      <c r="Y202" s="9"/>
      <c r="Z202" s="7">
        <v>10045.61</v>
      </c>
      <c r="AA202" s="8">
        <f>IFERROR(Z202/Z444, "NA")</f>
        <v>7.6843484299618766E-3</v>
      </c>
      <c r="AB202" s="9"/>
      <c r="AC202" s="10">
        <f t="shared" si="55"/>
        <v>-2492.1099999999988</v>
      </c>
      <c r="AD202" s="8">
        <f>IFERROR(AC202/AC444, "NA")</f>
        <v>-6.7457607390775137E-2</v>
      </c>
    </row>
    <row r="203" spans="1:30" ht="16.5" customHeight="1" x14ac:dyDescent="0.45">
      <c r="A203" s="6" t="s">
        <v>185</v>
      </c>
      <c r="B203" s="7">
        <v>1028.93</v>
      </c>
      <c r="C203" s="8">
        <f>IFERROR(B203/B444, "NA")</f>
        <v>9.8985136115745664E-3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-1028.93</v>
      </c>
      <c r="I203" s="8">
        <f>IFERROR(H203/H444, "NA")</f>
        <v>4.7663186878344518E-2</v>
      </c>
      <c r="J203" s="9"/>
      <c r="K203" s="7">
        <v>925.43</v>
      </c>
      <c r="L203" s="8">
        <f>IFERROR(K203/K444, "NA")</f>
        <v>8.1302398659283091E-3</v>
      </c>
      <c r="M203" s="9"/>
      <c r="N203" s="10">
        <f t="shared" si="53"/>
        <v>-103.50000000000011</v>
      </c>
      <c r="O203" s="8">
        <f>IFERROR(N203/N444, "NA")</f>
        <v>1.047810531558839E-2</v>
      </c>
      <c r="P203" s="9"/>
      <c r="Q203" s="7">
        <v>10718.8</v>
      </c>
      <c r="R203" s="8">
        <f>IFERROR(Q203/Q444, "NA")</f>
        <v>7.9739609126535556E-3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-10718.8</v>
      </c>
      <c r="X203" s="8">
        <f>IFERROR(W203/W444, "NA")</f>
        <v>7.1288107493218941E-2</v>
      </c>
      <c r="Y203" s="9"/>
      <c r="Z203" s="7">
        <v>8368.92</v>
      </c>
      <c r="AA203" s="8">
        <f>IFERROR(Z203/Z444, "NA")</f>
        <v>6.4017712475874086E-3</v>
      </c>
      <c r="AB203" s="9"/>
      <c r="AC203" s="10">
        <f t="shared" si="55"/>
        <v>-2349.8799999999992</v>
      </c>
      <c r="AD203" s="8">
        <f>IFERROR(AC203/AC444, "NA")</f>
        <v>-6.3607658753198973E-2</v>
      </c>
    </row>
    <row r="204" spans="1:30" ht="16.5" customHeight="1" x14ac:dyDescent="0.45">
      <c r="A204" s="6" t="s">
        <v>186</v>
      </c>
      <c r="B204" s="7">
        <v>36.799999999999997</v>
      </c>
      <c r="C204" s="8">
        <f>IFERROR(B204/B444, "NA")</f>
        <v>3.5402340383305372E-4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-36.799999999999997</v>
      </c>
      <c r="I204" s="8">
        <f>IFERROR(H204/H444, "NA")</f>
        <v>1.7046886349149875E-3</v>
      </c>
      <c r="J204" s="9"/>
      <c r="K204" s="7">
        <v>36.729999999999997</v>
      </c>
      <c r="L204" s="8">
        <f>IFERROR(K204/K444, "NA")</f>
        <v>3.2268643795375858E-4</v>
      </c>
      <c r="M204" s="9"/>
      <c r="N204" s="10">
        <f t="shared" si="53"/>
        <v>-7.0000000000000284E-2</v>
      </c>
      <c r="O204" s="8">
        <f>IFERROR(N204/N444, "NA")</f>
        <v>7.0866412762433766E-6</v>
      </c>
      <c r="P204" s="9"/>
      <c r="Q204" s="7">
        <v>1993.85</v>
      </c>
      <c r="R204" s="8">
        <f>IFERROR(Q204/Q444, "NA")</f>
        <v>1.4832706987437298E-3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-1993.85</v>
      </c>
      <c r="X204" s="8">
        <f>IFERROR(W204/W444, "NA")</f>
        <v>1.326060688933039E-2</v>
      </c>
      <c r="Y204" s="9"/>
      <c r="Z204" s="7">
        <v>1410.38</v>
      </c>
      <c r="AA204" s="8">
        <f>IFERROR(Z204/Z444, "NA")</f>
        <v>1.0788644331852055E-3</v>
      </c>
      <c r="AB204" s="9"/>
      <c r="AC204" s="10">
        <f t="shared" si="55"/>
        <v>-583.4699999999998</v>
      </c>
      <c r="AD204" s="8">
        <f>IFERROR(AC204/AC444, "NA")</f>
        <v>-1.5793640804095954E-2</v>
      </c>
    </row>
    <row r="205" spans="1:30" ht="16.5" customHeight="1" x14ac:dyDescent="0.45">
      <c r="A205" s="6" t="s">
        <v>187</v>
      </c>
      <c r="B205" s="7">
        <v>364.24</v>
      </c>
      <c r="C205" s="8">
        <f>IFERROR(B205/B444, "NA")</f>
        <v>3.5040620818519428E-3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-364.24</v>
      </c>
      <c r="I205" s="8">
        <f>IFERROR(H205/H444, "NA")</f>
        <v>1.6872711640799867E-2</v>
      </c>
      <c r="J205" s="9"/>
      <c r="K205" s="7">
        <v>452.82</v>
      </c>
      <c r="L205" s="8">
        <f>IFERROR(K205/K444, "NA")</f>
        <v>3.9781887512720113E-3</v>
      </c>
      <c r="M205" s="9"/>
      <c r="N205" s="10">
        <f t="shared" si="53"/>
        <v>88.579999999999984</v>
      </c>
      <c r="O205" s="8">
        <f>IFERROR(N205/N444, "NA")</f>
        <v>-8.9676383464233657E-3</v>
      </c>
      <c r="P205" s="9"/>
      <c r="Q205" s="7">
        <v>4553</v>
      </c>
      <c r="R205" s="8">
        <f>IFERROR(Q205/Q444, "NA")</f>
        <v>3.3870810198260663E-3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-4553</v>
      </c>
      <c r="X205" s="8">
        <f>IFERROR(W205/W444, "NA")</f>
        <v>3.0280885305876203E-2</v>
      </c>
      <c r="Y205" s="9"/>
      <c r="Z205" s="7">
        <v>4777.08</v>
      </c>
      <c r="AA205" s="8">
        <f>IFERROR(Z205/Z444, "NA")</f>
        <v>3.654207877650265E-3</v>
      </c>
      <c r="AB205" s="9"/>
      <c r="AC205" s="10">
        <f t="shared" si="55"/>
        <v>224.07999999999993</v>
      </c>
      <c r="AD205" s="8">
        <f>IFERROR(AC205/AC444, "NA")</f>
        <v>6.0655029930961691E-3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1068.02</v>
      </c>
      <c r="R206" s="8">
        <f>IFERROR(Q206/Q444, "NA")</f>
        <v>7.9452454882377225E-4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-1068.02</v>
      </c>
      <c r="X206" s="8">
        <f>IFERROR(W206/W444, "NA")</f>
        <v>7.1031388368947733E-3</v>
      </c>
      <c r="Y206" s="9"/>
      <c r="Z206" s="7">
        <v>549.28</v>
      </c>
      <c r="AA206" s="8">
        <f>IFERROR(Z206/Z444, "NA")</f>
        <v>4.201694974829263E-4</v>
      </c>
      <c r="AB206" s="9"/>
      <c r="AC206" s="10">
        <f t="shared" si="55"/>
        <v>-518.74</v>
      </c>
      <c r="AD206" s="8">
        <f>IFERROR(AC206/AC444, "NA")</f>
        <v>-1.4041498672968172E-2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1044.6300000000001</v>
      </c>
      <c r="R207" s="8">
        <f>IFERROR(Q207/Q444, "NA")</f>
        <v>7.7712419190443746E-4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-1044.6300000000001</v>
      </c>
      <c r="X207" s="8">
        <f>IFERROR(W207/W444, "NA")</f>
        <v>6.9475776887936444E-3</v>
      </c>
      <c r="Y207" s="9"/>
      <c r="Z207" s="7">
        <v>574.5</v>
      </c>
      <c r="AA207" s="8">
        <f>IFERROR(Z207/Z444, "NA")</f>
        <v>4.394614337021941E-4</v>
      </c>
      <c r="AB207" s="9"/>
      <c r="AC207" s="10">
        <f t="shared" si="55"/>
        <v>-470.13000000000011</v>
      </c>
      <c r="AD207" s="8">
        <f>IFERROR(AC207/AC444, "NA")</f>
        <v>-1.2725700295181648E-2</v>
      </c>
    </row>
    <row r="208" spans="1:30" ht="16.5" customHeight="1" x14ac:dyDescent="0.45">
      <c r="A208" s="6" t="s">
        <v>190</v>
      </c>
      <c r="B208" s="7">
        <v>30.68</v>
      </c>
      <c r="C208" s="8">
        <f>IFERROR(B208/B444, "NA")</f>
        <v>2.9514777254342631E-4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-30.68</v>
      </c>
      <c r="I208" s="8">
        <f>IFERROR(H208/H444, "NA")</f>
        <v>1.421191503238908E-3</v>
      </c>
      <c r="J208" s="9"/>
      <c r="K208" s="7">
        <v>135.84</v>
      </c>
      <c r="L208" s="8">
        <f>IFERROR(K208/K444, "NA")</f>
        <v>1.1934039131946247E-3</v>
      </c>
      <c r="M208" s="9"/>
      <c r="N208" s="10">
        <f t="shared" si="53"/>
        <v>105.16</v>
      </c>
      <c r="O208" s="8">
        <f>IFERROR(N208/N444, "NA")</f>
        <v>-1.0646159951567863E-2</v>
      </c>
      <c r="P208" s="9"/>
      <c r="Q208" s="7">
        <v>1308.45</v>
      </c>
      <c r="R208" s="8">
        <f>IFERROR(Q208/Q444, "NA")</f>
        <v>9.7338593463461819E-4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-1308.45</v>
      </c>
      <c r="X208" s="8">
        <f>IFERROR(W208/W444, "NA")</f>
        <v>8.7021797448877045E-3</v>
      </c>
      <c r="Y208" s="9"/>
      <c r="Z208" s="7">
        <v>1407.84</v>
      </c>
      <c r="AA208" s="8">
        <f>IFERROR(Z208/Z444, "NA")</f>
        <v>1.0769214705366353E-3</v>
      </c>
      <c r="AB208" s="9"/>
      <c r="AC208" s="10">
        <f t="shared" si="55"/>
        <v>99.389999999999873</v>
      </c>
      <c r="AD208" s="8">
        <f>IFERROR(AC208/AC444, "NA")</f>
        <v>2.6903353377536045E-3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2596.3200000000002</v>
      </c>
      <c r="C209" s="15">
        <f>IFERROR(B209/B444, "NA")</f>
        <v>2.4977120756517233E-2</v>
      </c>
      <c r="D209" s="2"/>
      <c r="E209" s="14">
        <f>IFERROR(E201+E202+E203+E204+E205+E206+E207+E208, "NA")</f>
        <v>2510.71</v>
      </c>
      <c r="F209" s="15">
        <f>IFERROR(E209/E444, "NA")</f>
        <v>2.0000007965877368E-2</v>
      </c>
      <c r="G209" s="2"/>
      <c r="H209" s="14">
        <f t="shared" si="52"/>
        <v>-85.610000000000127</v>
      </c>
      <c r="I209" s="15">
        <f>IFERROR(H209/H444, "NA")</f>
        <v>3.965717229213921E-3</v>
      </c>
      <c r="J209" s="2"/>
      <c r="K209" s="14">
        <f>IFERROR(K201+K202+K203+K204+K205+K206+K207+K208, "NA")</f>
        <v>2684.86</v>
      </c>
      <c r="L209" s="15">
        <f>IFERROR(K209/K444, "NA")</f>
        <v>2.3587473721876622E-2</v>
      </c>
      <c r="M209" s="2"/>
      <c r="N209" s="14">
        <f t="shared" si="53"/>
        <v>88.539999999999964</v>
      </c>
      <c r="O209" s="15">
        <f>IFERROR(N209/N444, "NA")</f>
        <v>-8.9635888371226539E-3</v>
      </c>
      <c r="P209" s="2"/>
      <c r="Q209" s="14">
        <f>IFERROR(Q201+Q202+Q203+Q204+Q205+Q206+Q207+Q208, "NA")</f>
        <v>33224.469999999994</v>
      </c>
      <c r="R209" s="15">
        <f>IFERROR(Q209/Q444, "NA")</f>
        <v>2.4716444482930051E-2</v>
      </c>
      <c r="S209" s="2"/>
      <c r="T209" s="14">
        <f>IFERROR(T201+T202+T203+T204+T205+T206+T207+T208, "NA")</f>
        <v>29891.7</v>
      </c>
      <c r="U209" s="15">
        <f>IFERROR(T209/T444, "NA")</f>
        <v>2.000001097295169E-2</v>
      </c>
      <c r="V209" s="2"/>
      <c r="W209" s="14">
        <f t="shared" si="54"/>
        <v>-3332.7699999999932</v>
      </c>
      <c r="X209" s="15">
        <f>IFERROR(W209/W444, "NA")</f>
        <v>2.2165435124283952E-2</v>
      </c>
      <c r="Y209" s="2"/>
      <c r="Z209" s="14">
        <f>IFERROR(Z201+Z202+Z203+Z204+Z205+Z206+Z207+Z208, "NA")</f>
        <v>27133.609999999997</v>
      </c>
      <c r="AA209" s="15">
        <f>IFERROR(Z209/Z444, "NA")</f>
        <v>2.0755744390106509E-2</v>
      </c>
      <c r="AB209" s="2"/>
      <c r="AC209" s="14">
        <f t="shared" si="55"/>
        <v>-6090.8599999999969</v>
      </c>
      <c r="AD209" s="15">
        <f>IFERROR(AC209/AC444, "NA")</f>
        <v>-0.16487026758537007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3189.83</v>
      </c>
      <c r="F213" s="8">
        <f>IFERROR(E213/E444, "NA")</f>
        <v>2.5409794603835013E-2</v>
      </c>
      <c r="G213" s="9"/>
      <c r="H213" s="10">
        <f t="shared" ref="H213:H227" si="56">IFERROR(-(B213-E213), "NA")</f>
        <v>3189.83</v>
      </c>
      <c r="I213" s="8">
        <f>IFERROR(H213/H444, "NA")</f>
        <v>-0.1477626888127955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38994</v>
      </c>
      <c r="U213" s="8">
        <f>IFERROR(T213/T444, "NA")</f>
        <v>2.6090199884224657E-2</v>
      </c>
      <c r="V213" s="9"/>
      <c r="W213" s="10">
        <f t="shared" ref="W213:W227" si="58">IFERROR(-(Q213-T213), "NA")</f>
        <v>38994</v>
      </c>
      <c r="X213" s="8">
        <f>IFERROR(W213/W444, "NA")</f>
        <v>-0.25933952155004097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1500.16</v>
      </c>
      <c r="C214" s="8">
        <f>IFERROR(B214/B444, "NA")</f>
        <v>1.4431841018863965E-2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-1500.16</v>
      </c>
      <c r="I214" s="8">
        <f>IFERROR(H214/H444, "NA")</f>
        <v>6.9492002786795321E-2</v>
      </c>
      <c r="J214" s="9"/>
      <c r="K214" s="7">
        <v>2025.59</v>
      </c>
      <c r="L214" s="8">
        <f>IFERROR(K214/K444, "NA")</f>
        <v>1.7795546470317284E-2</v>
      </c>
      <c r="M214" s="9"/>
      <c r="N214" s="10">
        <f t="shared" si="57"/>
        <v>525.42999999999984</v>
      </c>
      <c r="O214" s="8">
        <f>IFERROR(N214/N444, "NA")</f>
        <v>-5.3193341796807729E-2</v>
      </c>
      <c r="P214" s="9"/>
      <c r="Q214" s="7">
        <v>20445.13</v>
      </c>
      <c r="R214" s="8">
        <f>IFERROR(Q214/Q444, "NA")</f>
        <v>1.5209600652509665E-2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-20445.13</v>
      </c>
      <c r="X214" s="8">
        <f>IFERROR(W214/W444, "NA")</f>
        <v>0.13597554065313613</v>
      </c>
      <c r="Y214" s="9"/>
      <c r="Z214" s="7">
        <v>14217.99</v>
      </c>
      <c r="AA214" s="8">
        <f>IFERROR(Z214/Z444, "NA")</f>
        <v>1.0875993506986002E-2</v>
      </c>
      <c r="AB214" s="9"/>
      <c r="AC214" s="10">
        <f t="shared" si="59"/>
        <v>-6227.1400000000012</v>
      </c>
      <c r="AD214" s="8">
        <f>IFERROR(AC214/AC444, "NA")</f>
        <v>-0.16855915882019323</v>
      </c>
    </row>
    <row r="215" spans="1:30" ht="16.5" customHeight="1" x14ac:dyDescent="0.45">
      <c r="A215" s="12" t="s">
        <v>195</v>
      </c>
      <c r="B215" s="7">
        <v>175.74</v>
      </c>
      <c r="C215" s="8">
        <f>IFERROR(B215/B444, "NA")</f>
        <v>1.6906541573266541E-3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-175.74</v>
      </c>
      <c r="I215" s="8">
        <f>IFERROR(H215/H444, "NA")</f>
        <v>8.1408146929336945E-3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-175.74</v>
      </c>
      <c r="O215" s="8">
        <f>IFERROR(N215/N444, "NA")</f>
        <v>1.7791519112671513E-2</v>
      </c>
      <c r="P215" s="9"/>
      <c r="Q215" s="7">
        <v>1345.46</v>
      </c>
      <c r="R215" s="8">
        <f>IFERROR(Q215/Q444, "NA")</f>
        <v>1.0009185216198506E-3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-1345.46</v>
      </c>
      <c r="X215" s="8">
        <f>IFERROR(W215/W444, "NA")</f>
        <v>8.9483241694803869E-3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-1345.46</v>
      </c>
      <c r="AD215" s="8">
        <f>IFERROR(AC215/AC444, "NA")</f>
        <v>-3.6419545060206955E-2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2.1</v>
      </c>
      <c r="R216" s="8">
        <f>IFERROR(Q216/Q444, "NA")</f>
        <v>1.5622381158872699E-6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1.396658448107622E-5</v>
      </c>
      <c r="Y216" s="9"/>
      <c r="Z216" s="7">
        <v>639.74</v>
      </c>
      <c r="AA216" s="8">
        <f>IFERROR(Z216/Z444, "NA")</f>
        <v>4.8936650582531184E-4</v>
      </c>
      <c r="AB216" s="9"/>
      <c r="AC216" s="10">
        <f t="shared" si="59"/>
        <v>637.64</v>
      </c>
      <c r="AD216" s="8">
        <f>IFERROR(AC216/AC444, "NA")</f>
        <v>1.7259939880925751E-2</v>
      </c>
    </row>
    <row r="217" spans="1:30" ht="16.5" customHeight="1" x14ac:dyDescent="0.45">
      <c r="A217" s="12" t="s">
        <v>197</v>
      </c>
      <c r="B217" s="7">
        <v>1376.63</v>
      </c>
      <c r="C217" s="8">
        <f>IFERROR(B217/B444, "NA")</f>
        <v>1.3243457565725456E-2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-1376.63</v>
      </c>
      <c r="I217" s="8">
        <f>IFERROR(H217/H444, "NA")</f>
        <v>6.3769715094647267E-2</v>
      </c>
      <c r="J217" s="9"/>
      <c r="K217" s="7">
        <v>2639</v>
      </c>
      <c r="L217" s="8">
        <f>IFERROR(K217/K444, "NA")</f>
        <v>2.3184576906070484E-2</v>
      </c>
      <c r="M217" s="9"/>
      <c r="N217" s="10">
        <f t="shared" si="57"/>
        <v>1262.3699999999999</v>
      </c>
      <c r="O217" s="8">
        <f>IFERROR(N217/N444, "NA")</f>
        <v>-0.12779947639844733</v>
      </c>
      <c r="P217" s="9"/>
      <c r="Q217" s="7">
        <v>19905.419999999998</v>
      </c>
      <c r="R217" s="8">
        <f>IFERROR(Q217/Q444, "NA")</f>
        <v>1.4808098017497511E-2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-19905.419999999998</v>
      </c>
      <c r="X217" s="8">
        <f>IFERROR(W217/W444, "NA")</f>
        <v>0.13238606193395436</v>
      </c>
      <c r="Y217" s="9"/>
      <c r="Z217" s="7">
        <v>27155.88</v>
      </c>
      <c r="AA217" s="8">
        <f>IFERROR(Z217/Z444, "NA")</f>
        <v>2.077277973584811E-2</v>
      </c>
      <c r="AB217" s="9"/>
      <c r="AC217" s="10">
        <f t="shared" si="59"/>
        <v>7250.4600000000028</v>
      </c>
      <c r="AD217" s="8">
        <f>IFERROR(AC217/AC444, "NA")</f>
        <v>0.19625886661604822</v>
      </c>
    </row>
    <row r="218" spans="1:30" ht="16.5" customHeight="1" x14ac:dyDescent="0.45">
      <c r="A218" s="13" t="s">
        <v>198</v>
      </c>
      <c r="B218" s="14">
        <f>IFERROR(B213+B214+B215+B216+B217, "NA")</f>
        <v>3052.53</v>
      </c>
      <c r="C218" s="15">
        <f>IFERROR(B218/B444, "NA")</f>
        <v>2.9365952741916078E-2</v>
      </c>
      <c r="D218" s="2"/>
      <c r="E218" s="14">
        <f>IFERROR(E213+E214+E215+E216+E217, "NA")</f>
        <v>3189.83</v>
      </c>
      <c r="F218" s="15">
        <f>IFERROR(E218/E444, "NA")</f>
        <v>2.5409794603835013E-2</v>
      </c>
      <c r="G218" s="2"/>
      <c r="H218" s="14">
        <f t="shared" si="56"/>
        <v>137.29999999999973</v>
      </c>
      <c r="I218" s="15">
        <f>IFERROR(H218/H444, "NA")</f>
        <v>-6.3601562384192206E-3</v>
      </c>
      <c r="J218" s="2"/>
      <c r="K218" s="14">
        <f>IFERROR(K213+K214+K215+K216+K217, "NA")</f>
        <v>4664.59</v>
      </c>
      <c r="L218" s="15">
        <f>IFERROR(K218/K444, "NA")</f>
        <v>4.0980123376387768E-2</v>
      </c>
      <c r="M218" s="2"/>
      <c r="N218" s="14">
        <f t="shared" si="57"/>
        <v>1612.06</v>
      </c>
      <c r="O218" s="15">
        <f>IFERROR(N218/N444, "NA")</f>
        <v>-0.16320129908258357</v>
      </c>
      <c r="P218" s="2"/>
      <c r="Q218" s="14">
        <f>IFERROR(Q213+Q214+Q215+Q216+Q217, "NA")</f>
        <v>41698.11</v>
      </c>
      <c r="R218" s="15">
        <f>IFERROR(Q218/Q444, "NA")</f>
        <v>3.1020179429742917E-2</v>
      </c>
      <c r="S218" s="2"/>
      <c r="T218" s="14">
        <f>IFERROR(T213+T214+T215+T216+T217, "NA")</f>
        <v>38994</v>
      </c>
      <c r="U218" s="15">
        <f>IFERROR(T218/T444, "NA")</f>
        <v>2.6090199884224657E-2</v>
      </c>
      <c r="V218" s="2"/>
      <c r="W218" s="14">
        <f t="shared" si="58"/>
        <v>-2704.1100000000006</v>
      </c>
      <c r="X218" s="15">
        <f>IFERROR(W218/W444, "NA")</f>
        <v>1.7984371791010964E-2</v>
      </c>
      <c r="Y218" s="2"/>
      <c r="Z218" s="14">
        <f>IFERROR(Z213+Z214+Z215+Z216+Z217, "NA")</f>
        <v>42013.61</v>
      </c>
      <c r="AA218" s="15">
        <f>IFERROR(Z218/Z444, "NA")</f>
        <v>3.2138139748659422E-2</v>
      </c>
      <c r="AB218" s="2"/>
      <c r="AC218" s="14">
        <f t="shared" si="59"/>
        <v>315.5</v>
      </c>
      <c r="AD218" s="15">
        <f>IFERROR(AC218/AC444, "NA")</f>
        <v>8.5401026165737321E-3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100.99</v>
      </c>
      <c r="C222" s="8">
        <f>IFERROR(B222/B444, "NA")</f>
        <v>9.7154411829076344E-4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-100.99</v>
      </c>
      <c r="I222" s="8">
        <f>IFERROR(H222/H444, "NA")</f>
        <v>4.678165903262625E-3</v>
      </c>
      <c r="J222" s="9"/>
      <c r="K222" s="7">
        <v>242.63</v>
      </c>
      <c r="L222" s="8">
        <f>IFERROR(K222/K444, "NA")</f>
        <v>2.1315929877680491E-3</v>
      </c>
      <c r="M222" s="9"/>
      <c r="N222" s="10">
        <f t="shared" si="57"/>
        <v>141.63999999999999</v>
      </c>
      <c r="O222" s="8">
        <f>IFERROR(N222/N444, "NA")</f>
        <v>-1.4339312433815823E-2</v>
      </c>
      <c r="P222" s="9"/>
      <c r="Q222" s="7">
        <v>1251.55</v>
      </c>
      <c r="R222" s="8">
        <f>IFERROR(Q222/Q444, "NA")</f>
        <v>9.3105672092319634E-4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-1251.55</v>
      </c>
      <c r="X222" s="8">
        <f>IFERROR(W222/W444, "NA")</f>
        <v>8.3237518129956872E-3</v>
      </c>
      <c r="Y222" s="9"/>
      <c r="Z222" s="7">
        <v>299.23</v>
      </c>
      <c r="AA222" s="8">
        <f>IFERROR(Z222/Z444, "NA")</f>
        <v>2.2889476902821158E-4</v>
      </c>
      <c r="AB222" s="9"/>
      <c r="AC222" s="10">
        <f t="shared" si="59"/>
        <v>-952.31999999999994</v>
      </c>
      <c r="AD222" s="8">
        <f>IFERROR(AC222/AC444, "NA")</f>
        <v>-2.5777846351237706E-2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125.54</v>
      </c>
      <c r="F226" s="8">
        <f>IFERROR(E226/E444, "NA")</f>
        <v>1.0000362447420232E-3</v>
      </c>
      <c r="G226" s="9"/>
      <c r="H226" s="10">
        <f t="shared" si="56"/>
        <v>125.54</v>
      </c>
      <c r="I226" s="8">
        <f>IFERROR(H226/H444, "NA")</f>
        <v>-5.8153970442181404E-3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1494.6</v>
      </c>
      <c r="U226" s="8">
        <f>IFERROR(T226/T444, "NA")</f>
        <v>1.0000105848838839E-3</v>
      </c>
      <c r="V226" s="9"/>
      <c r="W226" s="10">
        <f t="shared" si="58"/>
        <v>1494.6</v>
      </c>
      <c r="X226" s="8">
        <f>IFERROR(W226/W444, "NA")</f>
        <v>-9.9402176978173884E-3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3153.52</v>
      </c>
      <c r="C227" s="15">
        <f>IFERROR(B227/B444, "NA")</f>
        <v>3.0337496860206838E-2</v>
      </c>
      <c r="D227" s="2"/>
      <c r="E227" s="14">
        <f>IFERROR(E211+E213+E214+E215+E216+E217+E219+E220+E221+E222+E223+E224+E225+E226, "NA")</f>
        <v>3315.37</v>
      </c>
      <c r="F227" s="15">
        <f>IFERROR(E227/E444, "NA")</f>
        <v>2.6409830848577034E-2</v>
      </c>
      <c r="G227" s="2"/>
      <c r="H227" s="14">
        <f t="shared" si="56"/>
        <v>161.84999999999991</v>
      </c>
      <c r="I227" s="15">
        <f>IFERROR(H227/H444, "NA")</f>
        <v>-7.4973873793747446E-3</v>
      </c>
      <c r="J227" s="2"/>
      <c r="K227" s="14">
        <f>IFERROR(K211+K213+K214+K215+K216+K217+K219+K220+K221+K222+K223+K224+K225+K226, "NA")</f>
        <v>4907.22</v>
      </c>
      <c r="L227" s="15">
        <f>IFERROR(K227/K444, "NA")</f>
        <v>4.3111716364155818E-2</v>
      </c>
      <c r="M227" s="2"/>
      <c r="N227" s="14">
        <f t="shared" si="57"/>
        <v>1753.7000000000003</v>
      </c>
      <c r="O227" s="15">
        <f>IFERROR(N227/N444, "NA")</f>
        <v>-0.17754061151639944</v>
      </c>
      <c r="P227" s="2"/>
      <c r="Q227" s="14">
        <f>IFERROR(Q211+Q213+Q214+Q215+Q216+Q217+Q219+Q220+Q221+Q222+Q223+Q224+Q225+Q226, "NA")</f>
        <v>42949.66</v>
      </c>
      <c r="R227" s="15">
        <f>IFERROR(Q227/Q444, "NA")</f>
        <v>3.1951236150666112E-2</v>
      </c>
      <c r="S227" s="2"/>
      <c r="T227" s="14">
        <f>IFERROR(T211+T213+T214+T215+T216+T217+T219+T220+T221+T222+T223+T224+T225+T226, "NA")</f>
        <v>40488.6</v>
      </c>
      <c r="U227" s="15">
        <f>IFERROR(T227/T444, "NA")</f>
        <v>2.709021046910854E-2</v>
      </c>
      <c r="V227" s="2"/>
      <c r="W227" s="14">
        <f t="shared" si="58"/>
        <v>-2461.0600000000049</v>
      </c>
      <c r="X227" s="15">
        <f>IFERROR(W227/W444, "NA")</f>
        <v>1.6367905906189289E-2</v>
      </c>
      <c r="Y227" s="2"/>
      <c r="Z227" s="14">
        <f>IFERROR(Z211+Z213+Z214+Z215+Z216+Z217+Z219+Z220+Z221+Z222+Z223+Z224+Z225+Z226, "NA")</f>
        <v>42312.840000000004</v>
      </c>
      <c r="AA227" s="15">
        <f>IFERROR(Z227/Z444, "NA")</f>
        <v>3.2367034517687639E-2</v>
      </c>
      <c r="AB227" s="2"/>
      <c r="AC227" s="14">
        <f t="shared" si="59"/>
        <v>-636.81999999999971</v>
      </c>
      <c r="AD227" s="15">
        <f>IFERROR(AC227/AC444, "NA")</f>
        <v>-1.7237743734663968E-2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1847.88</v>
      </c>
      <c r="F229" s="8">
        <f>IFERROR(E229/E444, "NA")</f>
        <v>1.4719985470239682E-2</v>
      </c>
      <c r="G229" s="9"/>
      <c r="H229" s="10">
        <f t="shared" ref="H229:H236" si="60">IFERROR(-(B229-E229), "NA")</f>
        <v>1847.88</v>
      </c>
      <c r="I229" s="8">
        <f>IFERROR(H229/H444, "NA")</f>
        <v>-8.5599457464312703E-2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22000.28</v>
      </c>
      <c r="U229" s="8">
        <f>IFERROR(T229/T444, "NA")</f>
        <v>1.4720000582369339E-2</v>
      </c>
      <c r="V229" s="9"/>
      <c r="W229" s="10">
        <f t="shared" ref="W229:W236" si="62">IFERROR(-(Q229-T229), "NA")</f>
        <v>22000.28</v>
      </c>
      <c r="X229" s="8">
        <f>IFERROR(W229/W444, "NA")</f>
        <v>-0.14631846153682454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-1.97095966941179E-4</v>
      </c>
      <c r="AB230" s="9"/>
      <c r="AC230" s="10">
        <f t="shared" si="63"/>
        <v>-257.66000000000003</v>
      </c>
      <c r="AD230" s="8">
        <f>IFERROR(AC230/AC444, "NA")</f>
        <v>-6.9744622509869672E-3</v>
      </c>
    </row>
    <row r="231" spans="1:30" ht="16.5" customHeight="1" x14ac:dyDescent="0.45">
      <c r="A231" s="6" t="s">
        <v>210</v>
      </c>
      <c r="B231" s="7">
        <v>210</v>
      </c>
      <c r="C231" s="8">
        <f>IFERROR(B231/B444, "NA")</f>
        <v>2.0202422501342742E-3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-210</v>
      </c>
      <c r="I231" s="8">
        <f>IFERROR(H231/H444, "NA")</f>
        <v>9.7278427535909626E-3</v>
      </c>
      <c r="J231" s="9"/>
      <c r="K231" s="7">
        <v>189</v>
      </c>
      <c r="L231" s="8">
        <f>IFERROR(K231/K444, "NA")</f>
        <v>1.6604338898246766E-3</v>
      </c>
      <c r="M231" s="9"/>
      <c r="N231" s="10">
        <f t="shared" si="61"/>
        <v>-21</v>
      </c>
      <c r="O231" s="8">
        <f>IFERROR(N231/N444, "NA")</f>
        <v>2.1259923828730043E-3</v>
      </c>
      <c r="P231" s="9"/>
      <c r="Q231" s="7">
        <v>1988.05</v>
      </c>
      <c r="R231" s="8">
        <f>IFERROR(Q231/Q444, "NA")</f>
        <v>1.4789559458522317E-3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-1988.05</v>
      </c>
      <c r="X231" s="8">
        <f>IFERROR(W231/W444, "NA")</f>
        <v>1.3222032513144561E-2</v>
      </c>
      <c r="Y231" s="9"/>
      <c r="Z231" s="7">
        <v>2242.0100000000002</v>
      </c>
      <c r="AA231" s="8">
        <f>IFERROR(Z231/Z444, "NA")</f>
        <v>1.7150164124885227E-3</v>
      </c>
      <c r="AB231" s="9"/>
      <c r="AC231" s="10">
        <f t="shared" si="63"/>
        <v>253.96000000000026</v>
      </c>
      <c r="AD231" s="8">
        <f>IFERROR(AC231/AC444, "NA")</f>
        <v>6.8743089080984705E-3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1089.01</v>
      </c>
      <c r="C234" s="8">
        <f>IFERROR(B234/B444, "NA")</f>
        <v>1.0476495299136789E-2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-1089.01</v>
      </c>
      <c r="I234" s="8">
        <f>IFERROR(H234/H444, "NA")</f>
        <v>5.0446276367086158E-2</v>
      </c>
      <c r="J234" s="9"/>
      <c r="K234" s="7">
        <v>1770.77</v>
      </c>
      <c r="L234" s="8">
        <f>IFERROR(K234/K444, "NA")</f>
        <v>1.5556859889337792E-2</v>
      </c>
      <c r="M234" s="9"/>
      <c r="N234" s="10">
        <f t="shared" si="61"/>
        <v>681.76</v>
      </c>
      <c r="O234" s="8">
        <f>IFERROR(N234/N444, "NA")</f>
        <v>-6.9019836521309497E-2</v>
      </c>
      <c r="P234" s="9"/>
      <c r="Q234" s="7">
        <v>15917.85</v>
      </c>
      <c r="R234" s="8">
        <f>IFERROR(Q234/Q444, "NA")</f>
        <v>1.1841653329988655E-2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-15917.85</v>
      </c>
      <c r="X234" s="8">
        <f>IFERROR(W234/W444, "NA")</f>
        <v>0.10586571275338053</v>
      </c>
      <c r="Y234" s="9"/>
      <c r="Z234" s="7">
        <v>18322.95</v>
      </c>
      <c r="AA234" s="8">
        <f>IFERROR(Z234/Z444, "NA")</f>
        <v>1.401606592977131E-2</v>
      </c>
      <c r="AB234" s="9"/>
      <c r="AC234" s="10">
        <f t="shared" si="63"/>
        <v>2405.1000000000004</v>
      </c>
      <c r="AD234" s="8">
        <f>IFERROR(AC234/AC444, "NA")</f>
        <v>6.5102379724632287E-2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1299.01</v>
      </c>
      <c r="C236" s="15">
        <f>IFERROR(B236/B444, "NA")</f>
        <v>1.2496737549271063E-2</v>
      </c>
      <c r="D236" s="2"/>
      <c r="E236" s="14">
        <f>IFERROR(E229+E230+E231+E232+E233+E234+E235, "NA")</f>
        <v>1847.88</v>
      </c>
      <c r="F236" s="15">
        <f>IFERROR(E236/E444, "NA")</f>
        <v>1.4719985470239682E-2</v>
      </c>
      <c r="G236" s="2"/>
      <c r="H236" s="14">
        <f t="shared" si="60"/>
        <v>548.87000000000012</v>
      </c>
      <c r="I236" s="15">
        <f>IFERROR(H236/H444, "NA")</f>
        <v>-2.5425338343635584E-2</v>
      </c>
      <c r="J236" s="2"/>
      <c r="K236" s="14">
        <f>IFERROR(K229+K230+K231+K232+K233+K234+K235, "NA")</f>
        <v>1959.77</v>
      </c>
      <c r="L236" s="15">
        <f>IFERROR(K236/K444, "NA")</f>
        <v>1.7217293779162469E-2</v>
      </c>
      <c r="M236" s="2"/>
      <c r="N236" s="14">
        <f t="shared" si="61"/>
        <v>660.76</v>
      </c>
      <c r="O236" s="15">
        <f>IFERROR(N236/N444, "NA")</f>
        <v>-6.6893844138436492E-2</v>
      </c>
      <c r="P236" s="2"/>
      <c r="Q236" s="14">
        <f>IFERROR(Q229+Q230+Q231+Q232+Q233+Q234+Q235, "NA")</f>
        <v>17905.900000000001</v>
      </c>
      <c r="R236" s="15">
        <f>IFERROR(Q236/Q444, "NA")</f>
        <v>1.3320609275840889E-2</v>
      </c>
      <c r="S236" s="2"/>
      <c r="T236" s="14">
        <f>IFERROR(T229+T230+T231+T232+T233+T234+T235, "NA")</f>
        <v>22000.28</v>
      </c>
      <c r="U236" s="15">
        <f>IFERROR(T236/T444, "NA")</f>
        <v>1.4720000582369339E-2</v>
      </c>
      <c r="V236" s="2"/>
      <c r="W236" s="14">
        <f t="shared" si="62"/>
        <v>4094.3799999999974</v>
      </c>
      <c r="X236" s="15">
        <f>IFERROR(W236/W444, "NA")</f>
        <v>-2.7230716270299434E-2</v>
      </c>
      <c r="Y236" s="2"/>
      <c r="Z236" s="14">
        <f>IFERROR(Z229+Z230+Z231+Z232+Z233+Z234+Z235, "NA")</f>
        <v>20307.3</v>
      </c>
      <c r="AA236" s="15">
        <f>IFERROR(Z236/Z444, "NA")</f>
        <v>1.5533986375318653E-2</v>
      </c>
      <c r="AB236" s="2"/>
      <c r="AC236" s="14">
        <f t="shared" si="63"/>
        <v>2401.3999999999978</v>
      </c>
      <c r="AD236" s="15">
        <f>IFERROR(AC236/AC444, "NA")</f>
        <v>6.5002226381743716E-2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6453.53</v>
      </c>
      <c r="F240" s="8">
        <f>IFERROR(E240/E444, "NA")</f>
        <v>5.1408028568822588E-2</v>
      </c>
      <c r="G240" s="9"/>
      <c r="H240" s="10">
        <f t="shared" ref="H240:H263" si="64">IFERROR(-(B240-E240), "NA")</f>
        <v>6453.53</v>
      </c>
      <c r="I240" s="8">
        <f>IFERROR(H240/H444, "NA")</f>
        <v>-0.29894726212181849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77520.87</v>
      </c>
      <c r="U240" s="8">
        <f>IFERROR(T240/T444, "NA")</f>
        <v>5.1867851297609749E-2</v>
      </c>
      <c r="V240" s="9"/>
      <c r="W240" s="10">
        <f t="shared" ref="W240:W263" si="66">IFERROR(-(Q240-T240), "NA")</f>
        <v>77520.87</v>
      </c>
      <c r="X240" s="8">
        <f>IFERROR(W240/W444, "NA")</f>
        <v>-0.51557227614358425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1337.07</v>
      </c>
      <c r="C242" s="8">
        <f>IFERROR(B242/B444, "NA")</f>
        <v>1.2862882406604922E-2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-1337.07</v>
      </c>
      <c r="I242" s="8">
        <f>IFERROR(H242/H444, "NA")</f>
        <v>6.1937174812113652E-2</v>
      </c>
      <c r="J242" s="9"/>
      <c r="K242" s="7">
        <v>1015.68</v>
      </c>
      <c r="L242" s="8">
        <f>IFERROR(K242/K444, "NA")</f>
        <v>8.9231190117308335E-3</v>
      </c>
      <c r="M242" s="9"/>
      <c r="N242" s="10">
        <f t="shared" si="65"/>
        <v>-321.39</v>
      </c>
      <c r="O242" s="8">
        <f>IFERROR(N242/N444, "NA")</f>
        <v>3.2536794853883562E-2</v>
      </c>
      <c r="P242" s="9"/>
      <c r="Q242" s="7">
        <v>14303.84</v>
      </c>
      <c r="R242" s="8">
        <f>IFERROR(Q242/Q444, "NA")</f>
        <v>1.0640954310263316E-2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-14303.84</v>
      </c>
      <c r="X242" s="8">
        <f>IFERROR(W242/W444, "NA")</f>
        <v>9.5131328458951087E-2</v>
      </c>
      <c r="Y242" s="9"/>
      <c r="Z242" s="7">
        <v>11270.61</v>
      </c>
      <c r="AA242" s="8">
        <f>IFERROR(Z242/Z444, "NA")</f>
        <v>8.621407187638444E-3</v>
      </c>
      <c r="AB242" s="9"/>
      <c r="AC242" s="10">
        <f t="shared" si="67"/>
        <v>-3033.2299999999996</v>
      </c>
      <c r="AD242" s="8">
        <f>IFERROR(AC242/AC444, "NA")</f>
        <v>-8.2104898445863522E-2</v>
      </c>
    </row>
    <row r="243" spans="1:30" ht="16.5" customHeight="1" x14ac:dyDescent="0.45">
      <c r="A243" s="12" t="s">
        <v>220</v>
      </c>
      <c r="B243" s="7">
        <v>1863.87</v>
      </c>
      <c r="C243" s="8">
        <f>IFERROR(B243/B444, "NA")</f>
        <v>1.7930804394084614E-2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-1863.87</v>
      </c>
      <c r="I243" s="8">
        <f>IFERROR(H243/H444, "NA")</f>
        <v>8.634016320540755E-2</v>
      </c>
      <c r="J243" s="9"/>
      <c r="K243" s="7">
        <v>2845.63</v>
      </c>
      <c r="L243" s="8">
        <f>IFERROR(K243/K444, "NA")</f>
        <v>2.4999896771967168E-2</v>
      </c>
      <c r="M243" s="9"/>
      <c r="N243" s="10">
        <f t="shared" si="65"/>
        <v>981.76000000000022</v>
      </c>
      <c r="O243" s="8">
        <f>IFERROR(N243/N444, "NA")</f>
        <v>-9.9391156276638151E-2</v>
      </c>
      <c r="P243" s="9"/>
      <c r="Q243" s="7">
        <v>30779.4</v>
      </c>
      <c r="R243" s="8">
        <f>IFERROR(Q243/Q444, "NA")</f>
        <v>2.2897500887686016E-2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-30779.4</v>
      </c>
      <c r="X243" s="8">
        <f>IFERROR(W243/W444, "NA")</f>
        <v>0.20470623351277972</v>
      </c>
      <c r="Y243" s="9"/>
      <c r="Z243" s="7">
        <v>39434.74</v>
      </c>
      <c r="AA243" s="8">
        <f>IFERROR(Z243/Z444, "NA")</f>
        <v>3.0165443651998712E-2</v>
      </c>
      <c r="AB243" s="9"/>
      <c r="AC243" s="10">
        <f t="shared" si="67"/>
        <v>8655.3399999999965</v>
      </c>
      <c r="AD243" s="8">
        <f>IFERROR(AC243/AC444, "NA")</f>
        <v>0.23428682022610225</v>
      </c>
    </row>
    <row r="244" spans="1:30" ht="16.5" customHeight="1" x14ac:dyDescent="0.45">
      <c r="A244" s="12" t="s">
        <v>221</v>
      </c>
      <c r="B244" s="7">
        <v>924.05</v>
      </c>
      <c r="C244" s="8">
        <f>IFERROR(B244/B444, "NA")</f>
        <v>8.8895469106503606E-3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-924.05</v>
      </c>
      <c r="I244" s="8">
        <f>IFERROR(H244/H444, "NA")</f>
        <v>4.2804824268836798E-2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-924.05</v>
      </c>
      <c r="O244" s="8">
        <f>IFERROR(N244/N444, "NA")</f>
        <v>9.3548726733038073E-2</v>
      </c>
      <c r="P244" s="9"/>
      <c r="Q244" s="7">
        <v>5783.25</v>
      </c>
      <c r="R244" s="8">
        <f>IFERROR(Q244/Q444, "NA")</f>
        <v>4.3022921827166917E-3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-5783.25</v>
      </c>
      <c r="X244" s="8">
        <f>IFERROR(W244/W444, "NA")</f>
        <v>3.8462976047706689E-2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-5783.25</v>
      </c>
      <c r="AD244" s="8">
        <f>IFERROR(AC244/AC444, "NA")</f>
        <v>-0.15654373520538839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66.569999999999993</v>
      </c>
      <c r="C246" s="8">
        <f>IFERROR(B246/B444, "NA")</f>
        <v>6.4041679329256487E-4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-66.569999999999993</v>
      </c>
      <c r="I246" s="8">
        <f>IFERROR(H246/H444, "NA")</f>
        <v>3.0837261528883345E-3</v>
      </c>
      <c r="J246" s="9"/>
      <c r="K246" s="7">
        <v>581.41</v>
      </c>
      <c r="L246" s="8">
        <f>IFERROR(K246/K444, "NA")</f>
        <v>5.1078987718675408E-3</v>
      </c>
      <c r="M246" s="9"/>
      <c r="N246" s="10">
        <f t="shared" si="65"/>
        <v>514.83999999999992</v>
      </c>
      <c r="O246" s="8">
        <f>IFERROR(N246/N444, "NA")</f>
        <v>-5.2121234209444638E-2</v>
      </c>
      <c r="P246" s="9"/>
      <c r="Q246" s="7">
        <v>3298.16</v>
      </c>
      <c r="R246" s="8">
        <f>IFERROR(Q246/Q444, "NA")</f>
        <v>2.4535767925213132E-3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-3298.16</v>
      </c>
      <c r="X246" s="8">
        <f>IFERROR(W246/W444, "NA")</f>
        <v>2.1935252510526828E-2</v>
      </c>
      <c r="Y246" s="9"/>
      <c r="Z246" s="7">
        <v>2496.46</v>
      </c>
      <c r="AA246" s="8">
        <f>IFERROR(Z246/Z444, "NA")</f>
        <v>1.9096569030116267E-3</v>
      </c>
      <c r="AB246" s="9"/>
      <c r="AC246" s="10">
        <f t="shared" si="67"/>
        <v>-801.69999999999982</v>
      </c>
      <c r="AD246" s="8">
        <f>IFERROR(AC246/AC444, "NA")</f>
        <v>-2.170079324154409E-2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252.39</v>
      </c>
      <c r="C248" s="8">
        <f>IFERROR(B248/B444, "NA")</f>
        <v>2.4280425786256639E-3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-252.39</v>
      </c>
      <c r="I248" s="8">
        <f>IFERROR(H248/H444, "NA")</f>
        <v>1.1691477297994394E-2</v>
      </c>
      <c r="J248" s="9"/>
      <c r="K248" s="7">
        <v>221.96</v>
      </c>
      <c r="L248" s="8">
        <f>IFERROR(K248/K444, "NA")</f>
        <v>1.949999503626906E-3</v>
      </c>
      <c r="M248" s="9"/>
      <c r="N248" s="10">
        <f t="shared" si="65"/>
        <v>-30.429999999999978</v>
      </c>
      <c r="O248" s="8">
        <f>IFERROR(N248/N444, "NA")</f>
        <v>3.0806642005154986E-3</v>
      </c>
      <c r="P248" s="9"/>
      <c r="Q248" s="7">
        <v>3207.61</v>
      </c>
      <c r="R248" s="8">
        <f>IFERROR(Q248/Q444, "NA")</f>
        <v>2.3862145728100787E-3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-3207.61</v>
      </c>
      <c r="X248" s="8">
        <f>IFERROR(W248/W444, "NA")</f>
        <v>2.1333026689211856E-2</v>
      </c>
      <c r="Y248" s="9"/>
      <c r="Z248" s="7">
        <v>2925.82</v>
      </c>
      <c r="AA248" s="8">
        <f>IFERROR(Z248/Z444, "NA")</f>
        <v>2.238094085212452E-3</v>
      </c>
      <c r="AB248" s="9"/>
      <c r="AC248" s="10">
        <f t="shared" si="67"/>
        <v>-281.78999999999996</v>
      </c>
      <c r="AD248" s="8">
        <f>IFERROR(AC248/AC444, "NA")</f>
        <v>-7.627624457446313E-3</v>
      </c>
    </row>
    <row r="249" spans="1:30" ht="16.5" customHeight="1" x14ac:dyDescent="0.45">
      <c r="A249" s="12" t="s">
        <v>226</v>
      </c>
      <c r="B249" s="7">
        <v>1786.84</v>
      </c>
      <c r="C249" s="8">
        <f>IFERROR(B249/B444, "NA")</f>
        <v>1.7189760296332981E-2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-1786.84</v>
      </c>
      <c r="I249" s="8">
        <f>IFERROR(H249/H444, "NA")</f>
        <v>8.2771897837268918E-2</v>
      </c>
      <c r="J249" s="9"/>
      <c r="K249" s="7">
        <v>1879.02</v>
      </c>
      <c r="L249" s="8">
        <f>IFERROR(K249/K444, "NA")</f>
        <v>1.6507875596075999E-2</v>
      </c>
      <c r="M249" s="9"/>
      <c r="N249" s="10">
        <f t="shared" si="65"/>
        <v>92.180000000000064</v>
      </c>
      <c r="O249" s="8">
        <f>IFERROR(N249/N444, "NA")</f>
        <v>-9.3320941834873182E-3</v>
      </c>
      <c r="P249" s="9"/>
      <c r="Q249" s="7">
        <v>17259.009999999998</v>
      </c>
      <c r="R249" s="8">
        <f>IFERROR(Q249/Q444, "NA")</f>
        <v>1.2839372983085498E-2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-17259.009999999998</v>
      </c>
      <c r="X249" s="8">
        <f>IFERROR(W249/W444, "NA")</f>
        <v>0.11478543867844726</v>
      </c>
      <c r="Y249" s="9"/>
      <c r="Z249" s="7">
        <v>16021.26</v>
      </c>
      <c r="AA249" s="8">
        <f>IFERROR(Z249/Z444, "NA")</f>
        <v>1.2255397544500633E-2</v>
      </c>
      <c r="AB249" s="9"/>
      <c r="AC249" s="10">
        <f t="shared" si="67"/>
        <v>-1237.7499999999982</v>
      </c>
      <c r="AD249" s="8">
        <f>IFERROR(AC249/AC444, "NA")</f>
        <v>-3.3504000043309418E-2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7150.14</v>
      </c>
      <c r="R254" s="8">
        <f>IFERROR(Q254/Q444, "NA")</f>
        <v>5.319152972347716E-3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-7150.14</v>
      </c>
      <c r="X254" s="8">
        <f>IFERROR(W254/W444, "NA")</f>
        <v>4.7553825886439201E-2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-7150.14</v>
      </c>
      <c r="AD254" s="8">
        <f>IFERROR(AC254/AC444, "NA")</f>
        <v>-0.19354335760021715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26.85</v>
      </c>
      <c r="AA255" s="8">
        <f>IFERROR(Z255/Z444, "NA")</f>
        <v>2.0538798076421083E-5</v>
      </c>
      <c r="AB255" s="9"/>
      <c r="AC255" s="10">
        <f t="shared" si="67"/>
        <v>26.85</v>
      </c>
      <c r="AD255" s="8">
        <f>IFERROR(AC255/AC444, "NA")</f>
        <v>7.2678844771792309E-4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993.17</v>
      </c>
      <c r="R258" s="8">
        <f>IFERROR(Q258/Q444, "NA")</f>
        <v>7.3884191883607597E-4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-993.17</v>
      </c>
      <c r="X258" s="8">
        <f>IFERROR(W258/W444, "NA")</f>
        <v>6.6053298614621274E-3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-993.17</v>
      </c>
      <c r="AD258" s="8">
        <f>IFERROR(AC258/AC444, "NA")</f>
        <v>-2.6883593393668886E-2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6230.79</v>
      </c>
      <c r="C262" s="15">
        <f>IFERROR(B262/B444, "NA")</f>
        <v>5.9941453379591114E-2</v>
      </c>
      <c r="D262" s="2"/>
      <c r="E262" s="14">
        <f>IFERROR(E240+E241+E242+E243+E244+E245+E246+E247+E248+E249+E250+E251+E252+E253+E254+E255+E256+E257+E258+E259+E260+E261, "NA")</f>
        <v>6453.53</v>
      </c>
      <c r="F262" s="15">
        <f>IFERROR(E262/E444, "NA")</f>
        <v>5.1408028568822588E-2</v>
      </c>
      <c r="G262" s="2"/>
      <c r="H262" s="14">
        <f t="shared" si="64"/>
        <v>222.73999999999978</v>
      </c>
      <c r="I262" s="15">
        <f>IFERROR(H262/H444, "NA")</f>
        <v>-1.0317998547308803E-2</v>
      </c>
      <c r="J262" s="2"/>
      <c r="K262" s="14">
        <f>IFERROR(K240+K241+K242+K243+K244+K245+K246+K247+K248+K249+K250+K251+K252+K253+K254+K255+K256+K257+K258+K259+K260+K261, "NA")</f>
        <v>6543.7000000000007</v>
      </c>
      <c r="L262" s="15">
        <f>IFERROR(K262/K444, "NA")</f>
        <v>5.7488789655268456E-2</v>
      </c>
      <c r="M262" s="2"/>
      <c r="N262" s="14">
        <f t="shared" si="65"/>
        <v>312.91000000000076</v>
      </c>
      <c r="O262" s="15">
        <f>IFERROR(N262/N444, "NA")</f>
        <v>-3.167829888213302E-2</v>
      </c>
      <c r="P262" s="2"/>
      <c r="Q262" s="14">
        <f>IFERROR(Q240+Q241+Q242+Q243+Q244+Q245+Q246+Q247+Q248+Q249+Q250+Q251+Q252+Q253+Q254+Q255+Q256+Q257+Q258+Q259+Q260+Q261, "NA")</f>
        <v>82774.58</v>
      </c>
      <c r="R262" s="15">
        <f>IFERROR(Q262/Q444, "NA")</f>
        <v>6.1577906620266708E-2</v>
      </c>
      <c r="S262" s="2"/>
      <c r="T262" s="14">
        <f>IFERROR(T240+T241+T242+T243+T244+T245+T246+T247+T248+T249+T250+T251+T252+T253+T254+T255+T256+T257+T258+T259+T260+T261, "NA")</f>
        <v>77520.87</v>
      </c>
      <c r="U262" s="15">
        <f>IFERROR(T262/T444, "NA")</f>
        <v>5.1867851297609749E-2</v>
      </c>
      <c r="V262" s="2"/>
      <c r="W262" s="14">
        <f t="shared" si="66"/>
        <v>-5253.7100000000064</v>
      </c>
      <c r="X262" s="15">
        <f>IFERROR(W262/W444, "NA")</f>
        <v>3.4941135501940494E-2</v>
      </c>
      <c r="Y262" s="2"/>
      <c r="Z262" s="14">
        <f>IFERROR(Z240+Z241+Z242+Z243+Z244+Z245+Z246+Z247+Z248+Z249+Z250+Z251+Z252+Z253+Z254+Z255+Z256+Z257+Z258+Z259+Z260+Z261, "NA")</f>
        <v>72175.740000000005</v>
      </c>
      <c r="AA262" s="15">
        <f>IFERROR(Z262/Z444, "NA")</f>
        <v>5.5210538170438299E-2</v>
      </c>
      <c r="AB262" s="2"/>
      <c r="AC262" s="14">
        <f t="shared" si="67"/>
        <v>-10598.839999999997</v>
      </c>
      <c r="AD262" s="15">
        <f>IFERROR(AC262/AC444, "NA")</f>
        <v>-0.28689439371361747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6230.79</v>
      </c>
      <c r="C263" s="15">
        <f>IFERROR(B263/B444, "NA")</f>
        <v>5.9941453379591114E-2</v>
      </c>
      <c r="D263" s="2"/>
      <c r="E263" s="14">
        <f>IFERROR(E238+E240+E241+E242+E243+E244+E245+E246+E247+E248+E249+E250+E251+E252+E253+E254+E255+E256+E257+E258+E259+E260+E261, "NA")</f>
        <v>6453.53</v>
      </c>
      <c r="F263" s="15">
        <f>IFERROR(E263/E444, "NA")</f>
        <v>5.1408028568822588E-2</v>
      </c>
      <c r="G263" s="2"/>
      <c r="H263" s="14">
        <f t="shared" si="64"/>
        <v>222.73999999999978</v>
      </c>
      <c r="I263" s="15">
        <f>IFERROR(H263/H444, "NA")</f>
        <v>-1.0317998547308803E-2</v>
      </c>
      <c r="J263" s="2"/>
      <c r="K263" s="14">
        <f>IFERROR(K238+K240+K241+K242+K243+K244+K245+K246+K247+K248+K249+K250+K251+K252+K253+K254+K255+K256+K257+K258+K259+K260+K261, "NA")</f>
        <v>6543.7000000000007</v>
      </c>
      <c r="L263" s="15">
        <f>IFERROR(K263/K444, "NA")</f>
        <v>5.7488789655268456E-2</v>
      </c>
      <c r="M263" s="2"/>
      <c r="N263" s="14">
        <f t="shared" si="65"/>
        <v>312.91000000000076</v>
      </c>
      <c r="O263" s="15">
        <f>IFERROR(N263/N444, "NA")</f>
        <v>-3.167829888213302E-2</v>
      </c>
      <c r="P263" s="2"/>
      <c r="Q263" s="14">
        <f>IFERROR(Q238+Q240+Q241+Q242+Q243+Q244+Q245+Q246+Q247+Q248+Q249+Q250+Q251+Q252+Q253+Q254+Q255+Q256+Q257+Q258+Q259+Q260+Q261, "NA")</f>
        <v>82774.58</v>
      </c>
      <c r="R263" s="15">
        <f>IFERROR(Q263/Q444, "NA")</f>
        <v>6.1577906620266708E-2</v>
      </c>
      <c r="S263" s="2"/>
      <c r="T263" s="14">
        <f>IFERROR(T238+T240+T241+T242+T243+T244+T245+T246+T247+T248+T249+T250+T251+T252+T253+T254+T255+T256+T257+T258+T259+T260+T261, "NA")</f>
        <v>77520.87</v>
      </c>
      <c r="U263" s="15">
        <f>IFERROR(T263/T444, "NA")</f>
        <v>5.1867851297609749E-2</v>
      </c>
      <c r="V263" s="2"/>
      <c r="W263" s="14">
        <f t="shared" si="66"/>
        <v>-5253.7100000000064</v>
      </c>
      <c r="X263" s="15">
        <f>IFERROR(W263/W444, "NA")</f>
        <v>3.4941135501940494E-2</v>
      </c>
      <c r="Y263" s="2"/>
      <c r="Z263" s="14">
        <f>IFERROR(Z238+Z240+Z241+Z242+Z243+Z244+Z245+Z246+Z247+Z248+Z249+Z250+Z251+Z252+Z253+Z254+Z255+Z256+Z257+Z258+Z259+Z260+Z261, "NA")</f>
        <v>72175.740000000005</v>
      </c>
      <c r="AA263" s="15">
        <f>IFERROR(Z263/Z444, "NA")</f>
        <v>5.5210538170438299E-2</v>
      </c>
      <c r="AB263" s="2"/>
      <c r="AC263" s="14">
        <f t="shared" si="67"/>
        <v>-10598.839999999997</v>
      </c>
      <c r="AD263" s="15">
        <f>IFERROR(AC263/AC444, "NA")</f>
        <v>-0.28689439371361747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2907.49</v>
      </c>
      <c r="C265" s="8">
        <f>IFERROR(B265/B444, "NA")</f>
        <v>2.7970638761156668E-2</v>
      </c>
      <c r="D265" s="9"/>
      <c r="E265" s="7">
        <v>3514.99</v>
      </c>
      <c r="F265" s="8">
        <f>IFERROR(E265/E444, "NA")</f>
        <v>2.7999979288718842E-2</v>
      </c>
      <c r="G265" s="9"/>
      <c r="H265" s="10">
        <f>IFERROR(-(B265-E265), "NA")</f>
        <v>607.5</v>
      </c>
      <c r="I265" s="8">
        <f>IFERROR(H265/H444, "NA")</f>
        <v>-2.814125939431671E-2</v>
      </c>
      <c r="J265" s="9"/>
      <c r="K265" s="7">
        <v>3117.26</v>
      </c>
      <c r="L265" s="8">
        <f>IFERROR(K265/K444, "NA")</f>
        <v>2.7386265330131599E-2</v>
      </c>
      <c r="M265" s="9"/>
      <c r="N265" s="10">
        <f>IFERROR(-(B265-K265), "NA")</f>
        <v>209.77000000000044</v>
      </c>
      <c r="O265" s="8">
        <f>IFERROR(N265/N444, "NA")</f>
        <v>-2.1236639150251001E-2</v>
      </c>
      <c r="P265" s="9"/>
      <c r="Q265" s="7">
        <v>36118.47</v>
      </c>
      <c r="R265" s="8">
        <f>IFERROR(Q265/Q444, "NA")</f>
        <v>2.6869357391205179E-2</v>
      </c>
      <c r="S265" s="9"/>
      <c r="T265" s="7">
        <v>42024.65</v>
      </c>
      <c r="U265" s="8">
        <f>IFERROR(T265/T444, "NA")</f>
        <v>2.8117954520300088E-2</v>
      </c>
      <c r="V265" s="9"/>
      <c r="W265" s="10">
        <f>IFERROR(-(Q265-T265), "NA")</f>
        <v>5906.18</v>
      </c>
      <c r="X265" s="8">
        <f>IFERROR(W265/W444, "NA")</f>
        <v>-3.9280553300210831E-2</v>
      </c>
      <c r="Y265" s="9"/>
      <c r="Z265" s="7">
        <v>37528.379999999997</v>
      </c>
      <c r="AA265" s="8">
        <f>IFERROR(Z265/Z444, "NA")</f>
        <v>2.8707181339113569E-2</v>
      </c>
      <c r="AB265" s="9"/>
      <c r="AC265" s="10">
        <f>IFERROR(-(Q265-Z265), "NA")</f>
        <v>1409.9099999999962</v>
      </c>
      <c r="AD265" s="8">
        <f>IFERROR(AC265/AC444, "NA")</f>
        <v>3.8164108019440375E-2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74.099999999999994</v>
      </c>
      <c r="R266" s="8">
        <f>IFERROR(Q266/Q444, "NA")</f>
        <v>5.51246878034508E-5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-74.099999999999994</v>
      </c>
      <c r="X266" s="8">
        <f>IFERROR(W266/W444, "NA")</f>
        <v>4.9282090954654652E-4</v>
      </c>
      <c r="Y266" s="9"/>
      <c r="Z266" s="7">
        <v>-34.299999999999997</v>
      </c>
      <c r="AA266" s="8">
        <f>IFERROR(Z266/Z444, "NA")</f>
        <v>-2.6237645214943874E-5</v>
      </c>
      <c r="AB266" s="9"/>
      <c r="AC266" s="10">
        <f>IFERROR(-(Q266-Z266), "NA")</f>
        <v>-108.39999999999999</v>
      </c>
      <c r="AD266" s="8">
        <f>IFERROR(AC266/AC444, "NA")</f>
        <v>-2.9342222619226387E-3</v>
      </c>
    </row>
    <row r="267" spans="1:30" ht="16.5" customHeight="1" x14ac:dyDescent="0.45">
      <c r="A267" s="19" t="s">
        <v>243</v>
      </c>
      <c r="B267" s="14">
        <f>IFERROR(B265+B266, "NA")</f>
        <v>2907.49</v>
      </c>
      <c r="C267" s="15">
        <f>IFERROR(B267/B444, "NA")</f>
        <v>2.7970638761156668E-2</v>
      </c>
      <c r="D267" s="2"/>
      <c r="E267" s="14">
        <f>IFERROR(E265+E266, "NA")</f>
        <v>3514.99</v>
      </c>
      <c r="F267" s="15">
        <f>IFERROR(E267/E444, "NA")</f>
        <v>2.7999979288718842E-2</v>
      </c>
      <c r="G267" s="2"/>
      <c r="H267" s="14">
        <f>IFERROR(-(B267-E267), "NA")</f>
        <v>607.5</v>
      </c>
      <c r="I267" s="15">
        <f>IFERROR(H267/H444, "NA")</f>
        <v>-2.814125939431671E-2</v>
      </c>
      <c r="J267" s="2"/>
      <c r="K267" s="14">
        <f>IFERROR(K265+K266, "NA")</f>
        <v>3117.26</v>
      </c>
      <c r="L267" s="15">
        <f>IFERROR(K267/K444, "NA")</f>
        <v>2.7386265330131599E-2</v>
      </c>
      <c r="M267" s="2"/>
      <c r="N267" s="14">
        <f>IFERROR(-(B267-K267), "NA")</f>
        <v>209.77000000000044</v>
      </c>
      <c r="O267" s="15">
        <f>IFERROR(N267/N444, "NA")</f>
        <v>-2.1236639150251001E-2</v>
      </c>
      <c r="P267" s="2"/>
      <c r="Q267" s="14">
        <f>IFERROR(Q265+Q266, "NA")</f>
        <v>36192.57</v>
      </c>
      <c r="R267" s="15">
        <f>IFERROR(Q267/Q444, "NA")</f>
        <v>2.6924482079008629E-2</v>
      </c>
      <c r="S267" s="2"/>
      <c r="T267" s="14">
        <f>IFERROR(T265+T266, "NA")</f>
        <v>42024.65</v>
      </c>
      <c r="U267" s="15">
        <f>IFERROR(T267/T444, "NA")</f>
        <v>2.8117954520300088E-2</v>
      </c>
      <c r="V267" s="2"/>
      <c r="W267" s="14">
        <f>IFERROR(-(Q267-T267), "NA")</f>
        <v>5832.0800000000017</v>
      </c>
      <c r="X267" s="15">
        <f>IFERROR(W267/W444, "NA")</f>
        <v>-3.8787732390664298E-2</v>
      </c>
      <c r="Y267" s="2"/>
      <c r="Z267" s="14">
        <f>IFERROR(Z265+Z266, "NA")</f>
        <v>37494.079999999994</v>
      </c>
      <c r="AA267" s="15">
        <f>IFERROR(Z267/Z444, "NA")</f>
        <v>2.8680943693898623E-2</v>
      </c>
      <c r="AB267" s="2"/>
      <c r="AC267" s="14">
        <f>IFERROR(-(Q267-Z267), "NA")</f>
        <v>1301.5099999999948</v>
      </c>
      <c r="AD267" s="15">
        <f>IFERROR(AC267/AC444, "NA")</f>
        <v>3.5229885757517697E-2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8.6379786495026898E-4</v>
      </c>
      <c r="D270" s="9"/>
      <c r="E270" s="7">
        <v>197.62</v>
      </c>
      <c r="F270" s="8">
        <f>IFERROR(E270/E444, "NA")</f>
        <v>1.5742166854063933E-3</v>
      </c>
      <c r="G270" s="9"/>
      <c r="H270" s="10">
        <f>IFERROR(-(B270-E270), "NA")</f>
        <v>107.83</v>
      </c>
      <c r="I270" s="8">
        <f>IFERROR(H270/H444, "NA")</f>
        <v>-4.9950156386653023E-3</v>
      </c>
      <c r="J270" s="9"/>
      <c r="K270" s="7">
        <v>183.86</v>
      </c>
      <c r="L270" s="8">
        <f>IFERROR(K270/K444, "NA")</f>
        <v>1.6152771163130428E-3</v>
      </c>
      <c r="M270" s="9"/>
      <c r="N270" s="10">
        <f>IFERROR(-(B270-K270), "NA")</f>
        <v>94.070000000000007</v>
      </c>
      <c r="O270" s="8">
        <f>IFERROR(N270/N444, "NA")</f>
        <v>-9.523433497945882E-3</v>
      </c>
      <c r="P270" s="9"/>
      <c r="Q270" s="7">
        <v>1336.29</v>
      </c>
      <c r="R270" s="8">
        <f>IFERROR(Q270/Q444, "NA")</f>
        <v>9.940967485138094E-4</v>
      </c>
      <c r="S270" s="9"/>
      <c r="T270" s="7">
        <v>2451.11</v>
      </c>
      <c r="U270" s="8">
        <f>IFERROR(T270/T444, "NA")</f>
        <v>1.6399946104072908E-3</v>
      </c>
      <c r="V270" s="9"/>
      <c r="W270" s="10">
        <f>IFERROR(-(Q270-T270), "NA")</f>
        <v>1114.8200000000002</v>
      </c>
      <c r="X270" s="8">
        <f>IFERROR(W270/W444, "NA")</f>
        <v>-7.41439414818733E-3</v>
      </c>
      <c r="Y270" s="9"/>
      <c r="Z270" s="7">
        <v>2244.1999999999998</v>
      </c>
      <c r="AA270" s="8">
        <f>IFERROR(Z270/Z444, "NA")</f>
        <v>1.7166916440634707E-3</v>
      </c>
      <c r="AB270" s="9"/>
      <c r="AC270" s="10">
        <f>IFERROR(-(Q270-Z270), "NA")</f>
        <v>907.90999999999985</v>
      </c>
      <c r="AD270" s="8">
        <f>IFERROR(AC270/AC444, "NA")</f>
        <v>2.4575735551865156E-2</v>
      </c>
    </row>
    <row r="271" spans="1:30" ht="16.5" customHeight="1" x14ac:dyDescent="0.45">
      <c r="A271" s="6" t="s">
        <v>246</v>
      </c>
      <c r="B271" s="7">
        <v>1183.75</v>
      </c>
      <c r="C271" s="8">
        <f>IFERROR(B271/B444, "NA")</f>
        <v>1.138791315998308E-2</v>
      </c>
      <c r="D271" s="9"/>
      <c r="E271" s="7">
        <v>878.75</v>
      </c>
      <c r="F271" s="8">
        <f>IFERROR(E271/E444, "NA")</f>
        <v>7.0000147368731308E-3</v>
      </c>
      <c r="G271" s="9"/>
      <c r="H271" s="10">
        <f>IFERROR(-(B271-E271), "NA")</f>
        <v>-305</v>
      </c>
      <c r="I271" s="8">
        <f>IFERROR(H271/H444, "NA")</f>
        <v>1.4128533523072587E-2</v>
      </c>
      <c r="J271" s="9"/>
      <c r="K271" s="7">
        <v>806.58</v>
      </c>
      <c r="L271" s="8">
        <f>IFERROR(K271/K444, "NA")</f>
        <v>7.0860992955279773E-3</v>
      </c>
      <c r="M271" s="9"/>
      <c r="N271" s="10">
        <f>IFERROR(-(B271-K271), "NA")</f>
        <v>-377.16999999999996</v>
      </c>
      <c r="O271" s="8">
        <f>IFERROR(N271/N444, "NA")</f>
        <v>3.8183835573724331E-2</v>
      </c>
      <c r="P271" s="9"/>
      <c r="Q271" s="7">
        <v>13393.78</v>
      </c>
      <c r="R271" s="8">
        <f>IFERROR(Q271/Q444, "NA")</f>
        <v>9.9639398246707603E-3</v>
      </c>
      <c r="S271" s="9"/>
      <c r="T271" s="7">
        <v>10462.09</v>
      </c>
      <c r="U271" s="8">
        <f>IFERROR(T271/T444, "NA")</f>
        <v>7.0000004951209912E-3</v>
      </c>
      <c r="V271" s="9"/>
      <c r="W271" s="10">
        <f>IFERROR(-(Q271-T271), "NA")</f>
        <v>-2931.6900000000005</v>
      </c>
      <c r="X271" s="8">
        <f>IFERROR(W271/W444, "NA")</f>
        <v>1.9497950503488737E-2</v>
      </c>
      <c r="Y271" s="9"/>
      <c r="Z271" s="7">
        <v>10199.780000000001</v>
      </c>
      <c r="AA271" s="8">
        <f>IFERROR(Z271/Z444, "NA")</f>
        <v>7.80228014316269E-3</v>
      </c>
      <c r="AB271" s="9"/>
      <c r="AC271" s="10">
        <f>IFERROR(-(Q271-Z271), "NA")</f>
        <v>-3194</v>
      </c>
      <c r="AD271" s="8">
        <f>IFERROR(AC271/AC444, "NA")</f>
        <v>-8.6456696536724248E-2</v>
      </c>
    </row>
    <row r="272" spans="1:30" ht="16.5" customHeight="1" x14ac:dyDescent="0.45">
      <c r="A272" s="6" t="s">
        <v>247</v>
      </c>
      <c r="B272" s="7">
        <v>199.27</v>
      </c>
      <c r="C272" s="8">
        <f>IFERROR(B272/B444, "NA")</f>
        <v>1.9170174913536039E-3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-199.27</v>
      </c>
      <c r="I272" s="8">
        <f>IFERROR(H272/H444, "NA")</f>
        <v>9.2307963119431947E-3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-199.27</v>
      </c>
      <c r="O272" s="8">
        <f>IFERROR(N272/N444, "NA")</f>
        <v>2.0173642958814457E-2</v>
      </c>
      <c r="P272" s="9"/>
      <c r="Q272" s="7">
        <v>199.27</v>
      </c>
      <c r="R272" s="8">
        <f>IFERROR(Q272/Q444, "NA")</f>
        <v>1.4824151873945535E-4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-199.27</v>
      </c>
      <c r="X272" s="8">
        <f>IFERROR(W272/W444, "NA")</f>
        <v>1.3252958521638373E-3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-199.27</v>
      </c>
      <c r="AD272" s="8">
        <f>IFERROR(AC272/AC444, "NA")</f>
        <v>-5.3939342263221801E-3</v>
      </c>
    </row>
    <row r="273" spans="1:30" ht="16.5" customHeight="1" x14ac:dyDescent="0.45">
      <c r="A273" s="19" t="s">
        <v>248</v>
      </c>
      <c r="B273" s="14">
        <f>IFERROR(B269+B270+B271+B272, "NA")</f>
        <v>1472.81</v>
      </c>
      <c r="C273" s="15">
        <f>IFERROR(B273/B444, "NA")</f>
        <v>1.4168728516286953E-2</v>
      </c>
      <c r="D273" s="2"/>
      <c r="E273" s="14">
        <f>IFERROR(E269+E270+E271+E272, "NA")</f>
        <v>1076.3699999999999</v>
      </c>
      <c r="F273" s="15">
        <f>IFERROR(E273/E444, "NA")</f>
        <v>8.574231422279522E-3</v>
      </c>
      <c r="G273" s="2"/>
      <c r="H273" s="14">
        <f>IFERROR(-(B273-E273), "NA")</f>
        <v>-396.44000000000005</v>
      </c>
      <c r="I273" s="15">
        <f>IFERROR(H273/H444, "NA")</f>
        <v>1.8364314196350484E-2</v>
      </c>
      <c r="J273" s="2"/>
      <c r="K273" s="14">
        <f>IFERROR(K269+K270+K271+K272, "NA")</f>
        <v>990.44</v>
      </c>
      <c r="L273" s="15">
        <f>IFERROR(K273/K444, "NA")</f>
        <v>8.7013764118410199E-3</v>
      </c>
      <c r="M273" s="2"/>
      <c r="N273" s="14">
        <f>IFERROR(-(B273-K273), "NA")</f>
        <v>-482.36999999999989</v>
      </c>
      <c r="O273" s="15">
        <f>IFERROR(N273/N444, "NA")</f>
        <v>4.8834045034592898E-2</v>
      </c>
      <c r="P273" s="2"/>
      <c r="Q273" s="14">
        <f>IFERROR(Q269+Q270+Q271+Q272, "NA")</f>
        <v>14929.34</v>
      </c>
      <c r="R273" s="15">
        <f>IFERROR(Q273/Q444, "NA")</f>
        <v>1.1106278091924025E-2</v>
      </c>
      <c r="S273" s="2"/>
      <c r="T273" s="14">
        <f>IFERROR(T269+T270+T271+T272, "NA")</f>
        <v>12913.2</v>
      </c>
      <c r="U273" s="15">
        <f>IFERROR(T273/T444, "NA")</f>
        <v>8.6399951055282816E-3</v>
      </c>
      <c r="V273" s="2"/>
      <c r="W273" s="14">
        <f>IFERROR(-(Q273-T273), "NA")</f>
        <v>-2016.1399999999994</v>
      </c>
      <c r="X273" s="15">
        <f>IFERROR(W273/W444, "NA")</f>
        <v>1.3408852207465238E-2</v>
      </c>
      <c r="Y273" s="2"/>
      <c r="Z273" s="14">
        <f>IFERROR(Z269+Z270+Z271+Z272, "NA")</f>
        <v>12443.98</v>
      </c>
      <c r="AA273" s="15">
        <f>IFERROR(Z273/Z444, "NA")</f>
        <v>9.5189717872261603E-3</v>
      </c>
      <c r="AB273" s="2"/>
      <c r="AC273" s="14">
        <f>IFERROR(-(Q273-Z273), "NA")</f>
        <v>-2485.3600000000006</v>
      </c>
      <c r="AD273" s="15">
        <f>IFERROR(AC273/AC444, "NA")</f>
        <v>-6.7274895211181296E-2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2.8438182202716444E-3</v>
      </c>
      <c r="G287" s="9"/>
      <c r="H287" s="10">
        <f t="shared" si="72"/>
        <v>357</v>
      </c>
      <c r="I287" s="8">
        <f>IFERROR(H287/H444, "NA")</f>
        <v>-1.6537332681104636E-2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4284</v>
      </c>
      <c r="U287" s="8">
        <f>IFERROR(T287/T444, "NA")</f>
        <v>2.8663490871420842E-3</v>
      </c>
      <c r="V287" s="9"/>
      <c r="W287" s="10">
        <f t="shared" si="74"/>
        <v>4284</v>
      </c>
      <c r="X287" s="8">
        <f>IFERROR(W287/W444, "NA")</f>
        <v>-2.8491832341395486E-2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1.5231664545893317E-3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7.3343302056002721E-3</v>
      </c>
      <c r="J288" s="9"/>
      <c r="K288" s="7">
        <v>158.33000000000001</v>
      </c>
      <c r="L288" s="8">
        <f>IFERROR(K288/K444, "NA")</f>
        <v>1.390986760719265E-3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1899.98</v>
      </c>
      <c r="R288" s="8">
        <f>IFERROR(Q288/Q444, "NA")</f>
        <v>1.413438654963569E-3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-1899.98</v>
      </c>
      <c r="X288" s="8">
        <f>IFERROR(W288/W444, "NA")</f>
        <v>1.2636300563026283E-2</v>
      </c>
      <c r="Y288" s="9"/>
      <c r="Z288" s="7">
        <v>1900</v>
      </c>
      <c r="AA288" s="8">
        <f>IFERROR(Z288/Z444, "NA")</f>
        <v>1.4533972568044713E-3</v>
      </c>
      <c r="AB288" s="9"/>
      <c r="AC288" s="10">
        <f t="shared" si="75"/>
        <v>1.999999999998181E-2</v>
      </c>
      <c r="AD288" s="8">
        <f>IFERROR(AC288/AC444, "NA")</f>
        <v>5.4136942101844473E-7</v>
      </c>
    </row>
    <row r="289" spans="1:30" ht="16.5" customHeight="1" x14ac:dyDescent="0.45">
      <c r="A289" s="6" t="s">
        <v>262</v>
      </c>
      <c r="B289" s="7">
        <v>233.3</v>
      </c>
      <c r="C289" s="8">
        <f>IFERROR(B289/B444, "NA")</f>
        <v>2.2443929378872674E-3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-233.3</v>
      </c>
      <c r="I289" s="8">
        <f>IFERROR(H289/H444, "NA")</f>
        <v>1.0807170068632245E-2</v>
      </c>
      <c r="J289" s="9"/>
      <c r="K289" s="7">
        <v>205.73</v>
      </c>
      <c r="L289" s="8">
        <f>IFERROR(K289/K444, "NA")</f>
        <v>1.807413037849898E-3</v>
      </c>
      <c r="M289" s="9"/>
      <c r="N289" s="10">
        <f t="shared" si="73"/>
        <v>-27.570000000000022</v>
      </c>
      <c r="O289" s="8">
        <f>IFERROR(N289/N444, "NA")</f>
        <v>2.7911242855147033E-3</v>
      </c>
      <c r="P289" s="9"/>
      <c r="Q289" s="7">
        <v>2608.42</v>
      </c>
      <c r="R289" s="8">
        <f>IFERROR(Q289/Q444, "NA")</f>
        <v>1.9404634029727011E-3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-2608.42</v>
      </c>
      <c r="X289" s="8">
        <f>IFERROR(W289/W444, "NA")</f>
        <v>1.7347961091489922E-2</v>
      </c>
      <c r="Y289" s="9"/>
      <c r="Z289" s="7">
        <v>2410.81</v>
      </c>
      <c r="AA289" s="8">
        <f>IFERROR(Z289/Z444, "NA")</f>
        <v>1.8441392845667303E-3</v>
      </c>
      <c r="AB289" s="9"/>
      <c r="AC289" s="10">
        <f t="shared" si="75"/>
        <v>-197.61000000000013</v>
      </c>
      <c r="AD289" s="8">
        <f>IFERROR(AC289/AC444, "NA")</f>
        <v>-5.3490005643776111E-3</v>
      </c>
    </row>
    <row r="290" spans="1:30" ht="16.5" customHeight="1" x14ac:dyDescent="0.45">
      <c r="A290" s="6" t="s">
        <v>263</v>
      </c>
      <c r="B290" s="7">
        <v>850</v>
      </c>
      <c r="C290" s="8">
        <f>IFERROR(B290/B444, "NA")</f>
        <v>8.1771710124482529E-3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-850</v>
      </c>
      <c r="I290" s="8">
        <f>IFERROR(H290/H444, "NA")</f>
        <v>3.9374601621677704E-2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-850</v>
      </c>
      <c r="O290" s="8">
        <f>IFERROR(N290/N444, "NA")</f>
        <v>8.6052072640097788E-2</v>
      </c>
      <c r="P290" s="9"/>
      <c r="Q290" s="7">
        <v>1065.74</v>
      </c>
      <c r="R290" s="8">
        <f>IFERROR(Q290/Q444, "NA")</f>
        <v>7.9282840458366614E-4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-1065.74</v>
      </c>
      <c r="X290" s="8">
        <f>IFERROR(W290/W444, "NA")</f>
        <v>7.0879751166010333E-3</v>
      </c>
      <c r="Y290" s="9"/>
      <c r="Z290" s="7">
        <v>3818.63</v>
      </c>
      <c r="AA290" s="8">
        <f>IFERROR(Z290/Z444, "NA")</f>
        <v>2.921045456184873E-3</v>
      </c>
      <c r="AB290" s="9"/>
      <c r="AC290" s="10">
        <f t="shared" si="75"/>
        <v>2752.8900000000003</v>
      </c>
      <c r="AD290" s="8">
        <f>IFERROR(AC290/AC444, "NA")</f>
        <v>7.4516523271441093E-2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1255.3499999999999</v>
      </c>
      <c r="F291" s="8">
        <f>IFERROR(E291/E444, "NA")</f>
        <v>9.9999641535518449E-3</v>
      </c>
      <c r="G291" s="9"/>
      <c r="H291" s="10">
        <f t="shared" si="72"/>
        <v>1255.3499999999999</v>
      </c>
      <c r="I291" s="8">
        <f>IFERROR(H291/H444, "NA")</f>
        <v>-5.8151654289144823E-2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2499.58</v>
      </c>
      <c r="R291" s="8">
        <f>IFERROR(Q291/Q444, "NA")</f>
        <v>1.8594948331950008E-3</v>
      </c>
      <c r="S291" s="9"/>
      <c r="T291" s="7">
        <v>14945.83</v>
      </c>
      <c r="U291" s="8">
        <f>IFERROR(T291/T444, "NA")</f>
        <v>9.9999921048274446E-3</v>
      </c>
      <c r="V291" s="9"/>
      <c r="W291" s="10">
        <f t="shared" si="74"/>
        <v>12446.25</v>
      </c>
      <c r="X291" s="8">
        <f>IFERROR(W291/W444, "NA")</f>
        <v>-8.2776953379807089E-2</v>
      </c>
      <c r="Y291" s="9"/>
      <c r="Z291" s="7">
        <v>3570.43</v>
      </c>
      <c r="AA291" s="8">
        <f>IFERROR(Z291/Z444, "NA")</f>
        <v>2.7311858776907305E-3</v>
      </c>
      <c r="AB291" s="9"/>
      <c r="AC291" s="10">
        <f t="shared" si="75"/>
        <v>1070.8499999999999</v>
      </c>
      <c r="AD291" s="8">
        <f>IFERROR(AC291/AC444, "NA")</f>
        <v>2.8986272224906438E-2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764.2</v>
      </c>
      <c r="R292" s="8">
        <f>IFERROR(Q292/Q444, "NA")</f>
        <v>5.6850588960050076E-4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-764.2</v>
      </c>
      <c r="X292" s="8">
        <f>IFERROR(W292/W444, "NA")</f>
        <v>5.0825066002087842E-3</v>
      </c>
      <c r="Y292" s="9"/>
      <c r="Z292" s="7">
        <v>455.79</v>
      </c>
      <c r="AA292" s="8">
        <f>IFERROR(Z292/Z444, "NA")</f>
        <v>3.486547029889E-4</v>
      </c>
      <c r="AB292" s="9"/>
      <c r="AC292" s="10">
        <f t="shared" si="75"/>
        <v>-308.41000000000003</v>
      </c>
      <c r="AD292" s="8">
        <f>IFERROR(AC292/AC444, "NA")</f>
        <v>-8.3481871568225202E-3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630.96</v>
      </c>
      <c r="R293" s="8">
        <f>IFERROR(Q293/Q444, "NA")</f>
        <v>4.6938560076201512E-4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-630.96</v>
      </c>
      <c r="X293" s="8">
        <f>IFERROR(W293/W444, "NA")</f>
        <v>4.1963600686570728E-3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-630.96</v>
      </c>
      <c r="AD293" s="8">
        <f>IFERROR(AC293/AC444, "NA")</f>
        <v>-1.7079122494305429E-2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3.1264691851006559E-3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1.5054531507092985E-2</v>
      </c>
      <c r="J294" s="9"/>
      <c r="K294" s="7">
        <v>324.99</v>
      </c>
      <c r="L294" s="8">
        <f>IFERROR(K294/K444, "NA")</f>
        <v>2.8551556076937654E-3</v>
      </c>
      <c r="M294" s="9"/>
      <c r="N294" s="10">
        <f t="shared" si="73"/>
        <v>0</v>
      </c>
      <c r="O294" s="8">
        <f>IFERROR(N294/N444, "NA")</f>
        <v>0</v>
      </c>
      <c r="P294" s="9"/>
      <c r="Q294" s="7">
        <v>4947.3</v>
      </c>
      <c r="R294" s="8">
        <f>IFERROR(Q294/Q444, "NA")</f>
        <v>3.6804098241567094E-3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-4947.3</v>
      </c>
      <c r="X294" s="8">
        <f>IFERROR(W294/W444, "NA")</f>
        <v>3.2903277811061137E-2</v>
      </c>
      <c r="Y294" s="9"/>
      <c r="Z294" s="7">
        <v>2145.21</v>
      </c>
      <c r="AA294" s="8">
        <f>IFERROR(Z294/Z444, "NA")</f>
        <v>1.6409696469839579E-3</v>
      </c>
      <c r="AB294" s="9"/>
      <c r="AC294" s="10">
        <f t="shared" si="75"/>
        <v>-2802.09</v>
      </c>
      <c r="AD294" s="8">
        <f>IFERROR(AC294/AC444, "NA")</f>
        <v>-7.5848292047147672E-2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1566.6200000000001</v>
      </c>
      <c r="C295" s="15">
        <f>IFERROR(B295/B444, "NA")</f>
        <v>1.5071199590025508E-2</v>
      </c>
      <c r="D295" s="2"/>
      <c r="E295" s="14">
        <f>IFERROR(E286+E287+E288+E289+E290+E291+E292+E293+E294, "NA")</f>
        <v>1612.35</v>
      </c>
      <c r="F295" s="15">
        <f>IFERROR(E295/E444, "NA")</f>
        <v>1.2843782373823489E-2</v>
      </c>
      <c r="G295" s="2"/>
      <c r="H295" s="14">
        <f t="shared" si="72"/>
        <v>45.729999999999791</v>
      </c>
      <c r="I295" s="15">
        <f>IFERROR(H295/H444, "NA")</f>
        <v>-2.1183535672462507E-3</v>
      </c>
      <c r="J295" s="2"/>
      <c r="K295" s="14">
        <f>IFERROR(K286+K287+K288+K289+K290+K291+K292+K293+K294, "NA")</f>
        <v>689.05</v>
      </c>
      <c r="L295" s="15">
        <f>IFERROR(K295/K444, "NA")</f>
        <v>6.0535554062629282E-3</v>
      </c>
      <c r="M295" s="2"/>
      <c r="N295" s="14">
        <f t="shared" si="73"/>
        <v>-877.57000000000016</v>
      </c>
      <c r="O295" s="15">
        <f>IFERROR(N295/N444, "NA")</f>
        <v>8.8843196925612503E-2</v>
      </c>
      <c r="P295" s="2"/>
      <c r="Q295" s="14">
        <f>IFERROR(Q286+Q287+Q288+Q289+Q290+Q291+Q292+Q293+Q294, "NA")</f>
        <v>14416.18</v>
      </c>
      <c r="R295" s="15">
        <f>IFERROR(Q295/Q444, "NA")</f>
        <v>1.0724526610234162E-2</v>
      </c>
      <c r="S295" s="2"/>
      <c r="T295" s="14">
        <f>IFERROR(T286+T287+T288+T289+T290+T291+T292+T293+T294, "NA")</f>
        <v>19229.830000000002</v>
      </c>
      <c r="U295" s="15">
        <f>IFERROR(T295/T444, "NA")</f>
        <v>1.286634119196953E-2</v>
      </c>
      <c r="V295" s="2"/>
      <c r="W295" s="14">
        <f t="shared" si="74"/>
        <v>4813.6500000000015</v>
      </c>
      <c r="X295" s="15">
        <f>IFERROR(W295/W444, "NA")</f>
        <v>-3.2014404470158367E-2</v>
      </c>
      <c r="Y295" s="2"/>
      <c r="Z295" s="14">
        <f>IFERROR(Z286+Z287+Z288+Z289+Z290+Z291+Z292+Z293+Z294, "NA")</f>
        <v>14300.869999999999</v>
      </c>
      <c r="AA295" s="15">
        <f>IFERROR(Z295/Z444, "NA")</f>
        <v>1.0939392225219663E-2</v>
      </c>
      <c r="AB295" s="2"/>
      <c r="AC295" s="14">
        <f t="shared" si="75"/>
        <v>-115.31000000000131</v>
      </c>
      <c r="AD295" s="15">
        <f>IFERROR(AC295/AC444, "NA")</f>
        <v>-3.1212653968847172E-3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1631.96</v>
      </c>
      <c r="F297" s="8">
        <f>IFERROR(E297/E444, "NA")</f>
        <v>1.2999993229004239E-2</v>
      </c>
      <c r="G297" s="9"/>
      <c r="H297" s="10">
        <f t="shared" ref="H297:H325" si="76">IFERROR(-(B297-E297), "NA")</f>
        <v>1631.96</v>
      </c>
      <c r="I297" s="8">
        <f>IFERROR(H297/H444, "NA")</f>
        <v>-7.5597382191191942E-2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19429.61</v>
      </c>
      <c r="U297" s="8">
        <f>IFERROR(T297/T444, "NA")</f>
        <v>1.3000010477830698E-2</v>
      </c>
      <c r="V297" s="9"/>
      <c r="W297" s="10">
        <f t="shared" ref="W297:W325" si="78">IFERROR(-(Q297-T297), "NA")</f>
        <v>19429.61</v>
      </c>
      <c r="X297" s="8">
        <f>IFERROR(W297/W444, "NA")</f>
        <v>-0.12922156642826826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469.2</v>
      </c>
      <c r="C299" s="8">
        <f>IFERROR(B299/B444, "NA")</f>
        <v>4.5137983988714353E-3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-469.2</v>
      </c>
      <c r="I299" s="8">
        <f>IFERROR(H299/H444, "NA")</f>
        <v>2.1734780095166092E-2</v>
      </c>
      <c r="J299" s="9"/>
      <c r="K299" s="7">
        <v>332.7</v>
      </c>
      <c r="L299" s="8">
        <f>IFERROR(K299/K444, "NA")</f>
        <v>2.9228907679612164E-3</v>
      </c>
      <c r="M299" s="9"/>
      <c r="N299" s="10">
        <f t="shared" si="77"/>
        <v>-136.5</v>
      </c>
      <c r="O299" s="8">
        <f>IFERROR(N299/N444, "NA")</f>
        <v>1.3818950488674528E-2</v>
      </c>
      <c r="P299" s="9"/>
      <c r="Q299" s="7">
        <v>5409.95</v>
      </c>
      <c r="R299" s="8">
        <f>IFERROR(Q299/Q444, "NA")</f>
        <v>4.0245857595449215E-3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-5409.95</v>
      </c>
      <c r="X299" s="8">
        <f>IFERROR(W299/W444, "NA")</f>
        <v>3.5980249387332519E-2</v>
      </c>
      <c r="Y299" s="9"/>
      <c r="Z299" s="7">
        <v>3691.05</v>
      </c>
      <c r="AA299" s="8">
        <f>IFERROR(Z299/Z444, "NA")</f>
        <v>2.8234536551200759E-3</v>
      </c>
      <c r="AB299" s="9"/>
      <c r="AC299" s="10">
        <f t="shared" si="79"/>
        <v>-1718.8999999999996</v>
      </c>
      <c r="AD299" s="8">
        <f>IFERROR(AC299/AC444, "NA")</f>
        <v>-4.652799488947254E-2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217.93</v>
      </c>
      <c r="R304" s="8">
        <f>IFERROR(Q304/Q444, "NA")</f>
        <v>1.6212312028348225E-4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-217.93</v>
      </c>
      <c r="X304" s="8">
        <f>IFERROR(W304/W444, "NA")</f>
        <v>1.4493989314099717E-3</v>
      </c>
      <c r="Y304" s="9"/>
      <c r="Z304" s="7">
        <v>232.81</v>
      </c>
      <c r="AA304" s="8">
        <f>IFERROR(Z304/Z444, "NA")</f>
        <v>1.7808706071402577E-4</v>
      </c>
      <c r="AB304" s="9"/>
      <c r="AC304" s="10">
        <f t="shared" si="79"/>
        <v>14.879999999999995</v>
      </c>
      <c r="AD304" s="8">
        <f>IFERROR(AC304/AC444, "NA")</f>
        <v>4.027788492380891E-4</v>
      </c>
    </row>
    <row r="305" spans="1:30" ht="16.5" customHeight="1" x14ac:dyDescent="0.45">
      <c r="A305" s="6" t="s">
        <v>277</v>
      </c>
      <c r="B305" s="7">
        <v>41.55</v>
      </c>
      <c r="C305" s="8">
        <f>IFERROR(B305/B444, "NA")</f>
        <v>3.9971935949085276E-4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-41.55</v>
      </c>
      <c r="I305" s="8">
        <f>IFERROR(H305/H444, "NA")</f>
        <v>1.9247231733890687E-3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-41.55</v>
      </c>
      <c r="O305" s="8">
        <f>IFERROR(N305/N444, "NA")</f>
        <v>4.2064277861130154E-3</v>
      </c>
      <c r="P305" s="9"/>
      <c r="Q305" s="7">
        <v>365.9</v>
      </c>
      <c r="R305" s="8">
        <f>IFERROR(Q305/Q444, "NA")</f>
        <v>2.7220139362054855E-4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-365.9</v>
      </c>
      <c r="X305" s="8">
        <f>IFERROR(W305/W444, "NA")</f>
        <v>2.433511076964661E-3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-365.9</v>
      </c>
      <c r="AD305" s="8">
        <f>IFERROR(AC305/AC444, "NA")</f>
        <v>-9.9043535575414534E-3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162.16999999999999</v>
      </c>
      <c r="C310" s="8">
        <f>IFERROR(B310/B444, "NA")</f>
        <v>1.5601080271632152E-3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-162.16999999999999</v>
      </c>
      <c r="I310" s="8">
        <f>IFERROR(H310/H444, "NA")</f>
        <v>7.512210758808791E-3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-162.16999999999999</v>
      </c>
      <c r="O310" s="8">
        <f>IFERROR(N310/N444, "NA")</f>
        <v>1.641772308240548E-2</v>
      </c>
      <c r="P310" s="9"/>
      <c r="Q310" s="7">
        <v>332.58</v>
      </c>
      <c r="R310" s="8">
        <f>IFERROR(Q310/Q444, "NA")</f>
        <v>2.4741388218180388E-4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-332.58</v>
      </c>
      <c r="X310" s="8">
        <f>IFERROR(W310/W444, "NA")</f>
        <v>2.2119079365315853E-3</v>
      </c>
      <c r="Y310" s="9"/>
      <c r="Z310" s="7">
        <v>158.19999999999999</v>
      </c>
      <c r="AA310" s="8">
        <f>IFERROR(Z310/Z444, "NA")</f>
        <v>1.2101444527708807E-4</v>
      </c>
      <c r="AB310" s="9"/>
      <c r="AC310" s="10">
        <f t="shared" si="79"/>
        <v>-174.38</v>
      </c>
      <c r="AD310" s="8">
        <f>IFERROR(AC310/AC444, "NA")</f>
        <v>-4.7201999818641122E-3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1.9862741759138142E-5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1.7757514554511193E-4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-7.22728177060281E-4</v>
      </c>
    </row>
    <row r="312" spans="1:30" ht="16.5" customHeight="1" x14ac:dyDescent="0.45">
      <c r="A312" s="6" t="s">
        <v>284</v>
      </c>
      <c r="B312" s="7">
        <v>114.01</v>
      </c>
      <c r="C312" s="8">
        <f>IFERROR(B312/B444, "NA")</f>
        <v>1.0967991377990886E-3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-114.01</v>
      </c>
      <c r="I312" s="8">
        <f>IFERROR(H312/H444, "NA")</f>
        <v>5.2812921539852646E-3</v>
      </c>
      <c r="J312" s="9"/>
      <c r="K312" s="7">
        <v>34.950000000000003</v>
      </c>
      <c r="L312" s="8">
        <f>IFERROR(K312/K444, "NA")</f>
        <v>3.0704848915011883E-4</v>
      </c>
      <c r="M312" s="9"/>
      <c r="N312" s="10">
        <f t="shared" si="77"/>
        <v>-79.06</v>
      </c>
      <c r="O312" s="8">
        <f>IFERROR(N312/N444, "NA")</f>
        <v>8.0038551328542717E-3</v>
      </c>
      <c r="P312" s="9"/>
      <c r="Q312" s="7">
        <v>5258.57</v>
      </c>
      <c r="R312" s="8">
        <f>IFERROR(Q312/Q444, "NA")</f>
        <v>3.9119707090768188E-3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-5258.57</v>
      </c>
      <c r="X312" s="8">
        <f>IFERROR(W312/W444, "NA")</f>
        <v>3.4973458168882365E-2</v>
      </c>
      <c r="Y312" s="9"/>
      <c r="Z312" s="7">
        <v>96.98</v>
      </c>
      <c r="AA312" s="8">
        <f>IFERROR(Z312/Z444, "NA")</f>
        <v>7.4184455770998762E-5</v>
      </c>
      <c r="AB312" s="9"/>
      <c r="AC312" s="10">
        <f t="shared" si="79"/>
        <v>-5161.59</v>
      </c>
      <c r="AD312" s="8">
        <f>IFERROR(AC312/AC444, "NA")</f>
        <v>-0.13971634949185677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50.85</v>
      </c>
      <c r="R313" s="8">
        <f>IFERROR(Q313/Q444, "NA")</f>
        <v>3.7828480091841747E-5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-50.85</v>
      </c>
      <c r="X313" s="8">
        <f>IFERROR(W313/W444, "NA")</f>
        <v>3.3819086707748846E-4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-50.85</v>
      </c>
      <c r="AD313" s="8">
        <f>IFERROR(AC313/AC444, "NA")</f>
        <v>-1.3764317529406476E-3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533.34</v>
      </c>
      <c r="C315" s="8">
        <f>IFERROR(B315/B444, "NA")</f>
        <v>5.1308381032695895E-3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-533.34</v>
      </c>
      <c r="I315" s="8">
        <f>IFERROR(H315/H444, "NA")</f>
        <v>2.4705941210477162E-2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-533.34</v>
      </c>
      <c r="O315" s="8">
        <f>IFERROR(N315/N444, "NA")</f>
        <v>5.3994132261023245E-2</v>
      </c>
      <c r="P315" s="9"/>
      <c r="Q315" s="7">
        <v>5400.06</v>
      </c>
      <c r="R315" s="8">
        <f>IFERROR(Q315/Q444, "NA")</f>
        <v>4.0172283619420053E-3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-5400.06</v>
      </c>
      <c r="X315" s="8">
        <f>IFERROR(W315/W444, "NA")</f>
        <v>3.591447342518117E-2</v>
      </c>
      <c r="Y315" s="9"/>
      <c r="Z315" s="7">
        <v>300</v>
      </c>
      <c r="AA315" s="8">
        <f>IFERROR(Z315/Z444, "NA")</f>
        <v>2.2948377739017968E-4</v>
      </c>
      <c r="AB315" s="9"/>
      <c r="AC315" s="10">
        <f t="shared" si="79"/>
        <v>-5100.0600000000004</v>
      </c>
      <c r="AD315" s="8">
        <f>IFERROR(AC315/AC444, "NA")</f>
        <v>-0.13805082646809202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3.7359964854549055E-3</v>
      </c>
      <c r="G318" s="9"/>
      <c r="H318" s="10">
        <f t="shared" si="76"/>
        <v>469</v>
      </c>
      <c r="I318" s="8">
        <f>IFERROR(H318/H444, "NA")</f>
        <v>-2.1725515483019816E-2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5628</v>
      </c>
      <c r="U318" s="8">
        <f>IFERROR(T318/T444, "NA")</f>
        <v>3.7655958595788162E-3</v>
      </c>
      <c r="V318" s="9"/>
      <c r="W318" s="10">
        <f t="shared" si="78"/>
        <v>5628</v>
      </c>
      <c r="X318" s="8">
        <f>IFERROR(W318/W444, "NA")</f>
        <v>-3.7430446409284265E-2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317.33</v>
      </c>
      <c r="C319" s="8">
        <f>IFERROR(B319/B444, "NA")</f>
        <v>3.0527784439767103E-3</v>
      </c>
      <c r="D319" s="9"/>
      <c r="E319" s="7">
        <v>232</v>
      </c>
      <c r="F319" s="8">
        <f>IFERROR(E319/E444, "NA")</f>
        <v>1.8480835493081835E-3</v>
      </c>
      <c r="G319" s="9"/>
      <c r="H319" s="10">
        <f t="shared" si="76"/>
        <v>-85.329999999999984</v>
      </c>
      <c r="I319" s="8">
        <f>IFERROR(H319/H444, "NA")</f>
        <v>3.9527467722091265E-3</v>
      </c>
      <c r="J319" s="9"/>
      <c r="K319" s="7">
        <v>221.86</v>
      </c>
      <c r="L319" s="8">
        <f>IFERROR(K319/K444, "NA")</f>
        <v>1.9491209671772633E-3</v>
      </c>
      <c r="M319" s="9"/>
      <c r="N319" s="10">
        <f t="shared" si="77"/>
        <v>-95.46999999999997</v>
      </c>
      <c r="O319" s="8">
        <f>IFERROR(N319/N444, "NA")</f>
        <v>9.6651663234707461E-3</v>
      </c>
      <c r="P319" s="9"/>
      <c r="Q319" s="7">
        <v>3562.44</v>
      </c>
      <c r="R319" s="8">
        <f>IFERROR(Q319/Q444, "NA")</f>
        <v>2.6501807397911643E-3</v>
      </c>
      <c r="S319" s="9"/>
      <c r="T319" s="7">
        <v>2784</v>
      </c>
      <c r="U319" s="8">
        <f>IFERROR(T319/T444, "NA")</f>
        <v>1.8627254571903739E-3</v>
      </c>
      <c r="V319" s="9"/>
      <c r="W319" s="10">
        <f t="shared" si="78"/>
        <v>-778.44</v>
      </c>
      <c r="X319" s="8">
        <f>IFERROR(W319/W444, "NA")</f>
        <v>5.1772133444995113E-3</v>
      </c>
      <c r="Y319" s="9"/>
      <c r="Z319" s="7">
        <v>2762.84</v>
      </c>
      <c r="AA319" s="8">
        <f>IFERROR(Z319/Z444, "NA")</f>
        <v>2.1134231984156135E-3</v>
      </c>
      <c r="AB319" s="9"/>
      <c r="AC319" s="10">
        <f t="shared" si="79"/>
        <v>-799.59999999999991</v>
      </c>
      <c r="AD319" s="8">
        <f>IFERROR(AC319/AC444, "NA")</f>
        <v>-2.1643949452337101E-2</v>
      </c>
    </row>
    <row r="320" spans="1:30" ht="16.5" customHeight="1" x14ac:dyDescent="0.45">
      <c r="A320" s="6" t="s">
        <v>292</v>
      </c>
      <c r="B320" s="7">
        <v>1185.6400000000001</v>
      </c>
      <c r="C320" s="8">
        <f>IFERROR(B320/B444, "NA")</f>
        <v>1.140609534023429E-2</v>
      </c>
      <c r="D320" s="9"/>
      <c r="E320" s="7">
        <v>905</v>
      </c>
      <c r="F320" s="8">
        <f>IFERROR(E320/E444, "NA")</f>
        <v>7.2091190177754573E-3</v>
      </c>
      <c r="G320" s="9"/>
      <c r="H320" s="10">
        <f t="shared" si="76"/>
        <v>-280.6400000000001</v>
      </c>
      <c r="I320" s="8">
        <f>IFERROR(H320/H444, "NA")</f>
        <v>1.300010376365604E-2</v>
      </c>
      <c r="J320" s="9"/>
      <c r="K320" s="7">
        <v>914.51</v>
      </c>
      <c r="L320" s="8">
        <f>IFERROR(K320/K444, "NA")</f>
        <v>8.0343036856273288E-3</v>
      </c>
      <c r="M320" s="9"/>
      <c r="N320" s="10">
        <f t="shared" si="77"/>
        <v>-271.13000000000011</v>
      </c>
      <c r="O320" s="8">
        <f>IFERROR(N320/N444, "NA")</f>
        <v>2.744858641754085E-2</v>
      </c>
      <c r="P320" s="9"/>
      <c r="Q320" s="7">
        <v>14221.83</v>
      </c>
      <c r="R320" s="8">
        <f>IFERROR(Q320/Q444, "NA")</f>
        <v>1.0579945192223357E-2</v>
      </c>
      <c r="S320" s="9"/>
      <c r="T320" s="7">
        <v>10860</v>
      </c>
      <c r="U320" s="8">
        <f>IFERROR(T320/T444, "NA")</f>
        <v>7.2662350808503813E-3</v>
      </c>
      <c r="V320" s="9"/>
      <c r="W320" s="10">
        <f t="shared" si="78"/>
        <v>-3361.83</v>
      </c>
      <c r="X320" s="8">
        <f>IFERROR(W320/W444, "NA")</f>
        <v>2.2358706050484033E-2</v>
      </c>
      <c r="Y320" s="9"/>
      <c r="Z320" s="7">
        <v>10566.65</v>
      </c>
      <c r="AA320" s="8">
        <f>IFERROR(Z320/Z444, "NA")</f>
        <v>8.08291585453314E-3</v>
      </c>
      <c r="AB320" s="9"/>
      <c r="AC320" s="10">
        <f t="shared" si="79"/>
        <v>-3655.1800000000003</v>
      </c>
      <c r="AD320" s="8">
        <f>IFERROR(AC320/AC444, "NA")</f>
        <v>-9.8940134015999937E-2</v>
      </c>
    </row>
    <row r="321" spans="1:30" ht="16.5" customHeight="1" x14ac:dyDescent="0.45">
      <c r="A321" s="6" t="s">
        <v>293</v>
      </c>
      <c r="B321" s="7">
        <v>2049.08</v>
      </c>
      <c r="C321" s="8">
        <f>IFERROR(B321/B444, "NA")</f>
        <v>1.9712561856691135E-2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-2049.08</v>
      </c>
      <c r="I321" s="8">
        <f>IFERROR(H321/H444, "NA")</f>
        <v>9.4919657283467462E-2</v>
      </c>
      <c r="J321" s="9"/>
      <c r="K321" s="7">
        <v>3810.14</v>
      </c>
      <c r="L321" s="8">
        <f>IFERROR(K321/K444, "NA")</f>
        <v>3.3473468682415838E-2</v>
      </c>
      <c r="M321" s="9"/>
      <c r="N321" s="10">
        <f t="shared" si="77"/>
        <v>1761.06</v>
      </c>
      <c r="O321" s="8">
        <f>IFERROR(N321/N444, "NA")</f>
        <v>-0.17828572122773012</v>
      </c>
      <c r="P321" s="9"/>
      <c r="Q321" s="7">
        <v>22686.29</v>
      </c>
      <c r="R321" s="8">
        <f>IFERROR(Q321/Q444, "NA")</f>
        <v>1.6876850926701051E-2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-22686.29</v>
      </c>
      <c r="X321" s="8">
        <f>IFERROR(W321/W444, "NA")</f>
        <v>0.15088094564152127</v>
      </c>
      <c r="Y321" s="9"/>
      <c r="Z321" s="7">
        <v>37997.9</v>
      </c>
      <c r="AA321" s="8">
        <f>IFERROR(Z321/Z444, "NA")</f>
        <v>2.9066338749647695E-2</v>
      </c>
      <c r="AB321" s="9"/>
      <c r="AC321" s="10">
        <f t="shared" si="79"/>
        <v>15311.61</v>
      </c>
      <c r="AD321" s="8">
        <f>IFERROR(AC321/AC444, "NA")</f>
        <v>0.41446187202838836</v>
      </c>
    </row>
    <row r="322" spans="1:30" ht="16.5" customHeight="1" x14ac:dyDescent="0.45">
      <c r="A322" s="6" t="s">
        <v>294</v>
      </c>
      <c r="B322" s="7">
        <v>368</v>
      </c>
      <c r="C322" s="8">
        <f>IFERROR(B322/B444, "NA")</f>
        <v>3.5402340383305373E-3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-368</v>
      </c>
      <c r="I322" s="8">
        <f>IFERROR(H322/H444, "NA")</f>
        <v>1.7046886349149876E-2</v>
      </c>
      <c r="J322" s="9"/>
      <c r="K322" s="7">
        <v>1169.2</v>
      </c>
      <c r="L322" s="8">
        <f>IFERROR(K322/K444, "NA")</f>
        <v>1.0271848169222286E-2</v>
      </c>
      <c r="M322" s="9"/>
      <c r="N322" s="10">
        <f t="shared" si="77"/>
        <v>801.2</v>
      </c>
      <c r="O322" s="8">
        <f>IFERROR(N322/N444, "NA")</f>
        <v>-8.1111671293231005E-2</v>
      </c>
      <c r="P322" s="9"/>
      <c r="Q322" s="7">
        <v>5724.78</v>
      </c>
      <c r="R322" s="8">
        <f>IFERROR(Q322/Q444, "NA")</f>
        <v>4.2587950100329165E-3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-5724.78</v>
      </c>
      <c r="X322" s="8">
        <f>IFERROR(W322/W444, "NA")</f>
        <v>3.8074106431226433E-2</v>
      </c>
      <c r="Y322" s="9"/>
      <c r="Z322" s="7">
        <v>4896.6899999999996</v>
      </c>
      <c r="AA322" s="8">
        <f>IFERROR(Z322/Z444, "NA")</f>
        <v>3.7457030596957297E-3</v>
      </c>
      <c r="AB322" s="9"/>
      <c r="AC322" s="10">
        <f t="shared" si="79"/>
        <v>-828.09000000000015</v>
      </c>
      <c r="AD322" s="8">
        <f>IFERROR(AC322/AC444, "NA")</f>
        <v>-2.2415130192578583E-2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5240.32</v>
      </c>
      <c r="C324" s="15">
        <f>IFERROR(B324/B444, "NA")</f>
        <v>5.0412932705826849E-2</v>
      </c>
      <c r="D324" s="2"/>
      <c r="E324" s="14">
        <f>IFERROR(E297+E298+E299+E300+E301+E302+E303+E304+E305+E306+E307+E308+E309+E310+E311+E312+E313+E314+E315+E316+E317+E318+E319+E320+E321+E322+E323, "NA")</f>
        <v>3237.96</v>
      </c>
      <c r="F324" s="15">
        <f>IFERROR(E324/E444, "NA")</f>
        <v>2.5793192281542785E-2</v>
      </c>
      <c r="G324" s="2"/>
      <c r="H324" s="14">
        <f t="shared" si="76"/>
        <v>-2002.3599999999997</v>
      </c>
      <c r="I324" s="15">
        <f>IFERROR(H324/H444, "NA")</f>
        <v>9.2755443886097119E-2</v>
      </c>
      <c r="J324" s="2"/>
      <c r="K324" s="14">
        <f>IFERROR(K297+K298+K299+K300+K301+K302+K303+K304+K305+K306+K307+K308+K309+K310+K311+K312+K313+K314+K315+K316+K317+K318+K319+K320+K321+K322+K323, "NA")</f>
        <v>6483.36</v>
      </c>
      <c r="L324" s="15">
        <f>IFERROR(K324/K444, "NA")</f>
        <v>5.6958680761554047E-2</v>
      </c>
      <c r="M324" s="2"/>
      <c r="N324" s="14">
        <f t="shared" si="77"/>
        <v>1243.04</v>
      </c>
      <c r="O324" s="15">
        <f>IFERROR(N324/N444, "NA")</f>
        <v>-0.12584255102887901</v>
      </c>
      <c r="P324" s="2"/>
      <c r="Q324" s="14">
        <f>IFERROR(Q297+Q298+Q299+Q300+Q301+Q302+Q303+Q304+Q305+Q306+Q307+Q308+Q309+Q310+Q311+Q312+Q313+Q314+Q315+Q316+Q317+Q318+Q319+Q320+Q321+Q322+Q323, "NA")</f>
        <v>63257.88</v>
      </c>
      <c r="R324" s="15">
        <f>IFERROR(Q324/Q444, "NA")</f>
        <v>4.7058986317249044E-2</v>
      </c>
      <c r="S324" s="2"/>
      <c r="T324" s="14">
        <f>IFERROR(T297+T298+T299+T300+T301+T302+T303+T304+T305+T306+T307+T308+T309+T310+T311+T312+T313+T314+T315+T316+T317+T318+T319+T320+T321+T322+T323, "NA")</f>
        <v>38701.61</v>
      </c>
      <c r="U324" s="15">
        <f>IFERROR(T324/T444, "NA")</f>
        <v>2.5894566875450269E-2</v>
      </c>
      <c r="V324" s="2"/>
      <c r="W324" s="14">
        <f t="shared" si="78"/>
        <v>-24556.269999999997</v>
      </c>
      <c r="X324" s="15">
        <f>IFERROR(W324/W444, "NA")</f>
        <v>0.16331772356910357</v>
      </c>
      <c r="Y324" s="2"/>
      <c r="Z324" s="14">
        <f>IFERROR(Z297+Z298+Z299+Z300+Z301+Z302+Z303+Z304+Z305+Z306+Z307+Z308+Z309+Z310+Z311+Z312+Z313+Z314+Z315+Z316+Z317+Z318+Z319+Z320+Z321+Z322+Z323, "NA")</f>
        <v>60703.12</v>
      </c>
      <c r="AA324" s="15">
        <f>IFERROR(Z324/Z444, "NA")</f>
        <v>4.6434604256564552E-2</v>
      </c>
      <c r="AB324" s="2"/>
      <c r="AC324" s="14">
        <f t="shared" si="79"/>
        <v>-2554.7599999999948</v>
      </c>
      <c r="AD324" s="15">
        <f>IFERROR(AC324/AC444, "NA")</f>
        <v>-6.915344710211685E-2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24466.879999999997</v>
      </c>
      <c r="C325" s="15">
        <f>IFERROR(B325/B444, "NA")</f>
        <v>0.23537630811888222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23569.159999999996</v>
      </c>
      <c r="F325" s="15">
        <f>IFERROR(E325/E444, "NA")</f>
        <v>0.18774903821988129</v>
      </c>
      <c r="G325" s="2"/>
      <c r="H325" s="14">
        <f t="shared" si="76"/>
        <v>-897.72000000000116</v>
      </c>
      <c r="I325" s="15">
        <f>IFERROR(H325/H444, "NA")</f>
        <v>4.1585138079779475E-2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27375.660000000003</v>
      </c>
      <c r="L325" s="15">
        <f>IFERROR(K325/K444, "NA")</f>
        <v>0.24050515143025297</v>
      </c>
      <c r="M325" s="2"/>
      <c r="N325" s="14">
        <f t="shared" si="77"/>
        <v>2908.7800000000061</v>
      </c>
      <c r="O325" s="15">
        <f>IFERROR(N325/N444, "NA")</f>
        <v>-0.29447829159301669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305650.58</v>
      </c>
      <c r="R325" s="15">
        <f>IFERROR(Q325/Q444, "NA")</f>
        <v>0.22738046962811964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282770.74</v>
      </c>
      <c r="U325" s="15">
        <f>IFERROR(T325/T444, "NA")</f>
        <v>0.18919693101528748</v>
      </c>
      <c r="V325" s="2"/>
      <c r="W325" s="14">
        <f t="shared" si="78"/>
        <v>-22879.840000000026</v>
      </c>
      <c r="X325" s="15">
        <f>IFERROR(W325/W444, "NA")</f>
        <v>0.15216819917786062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286871.54000000004</v>
      </c>
      <c r="AA325" s="15">
        <f>IFERROR(Z325/Z444, "NA")</f>
        <v>0.21944121541646011</v>
      </c>
      <c r="AB325" s="2"/>
      <c r="AC325" s="14">
        <f t="shared" si="79"/>
        <v>-18779.039999999979</v>
      </c>
      <c r="AD325" s="15">
        <f>IFERROR(AC325/AC444, "NA")</f>
        <v>-0.50831990060457244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20059.04</v>
      </c>
      <c r="C329" s="8">
        <f>IFERROR(B329/B444, "NA")</f>
        <v>0.19297200050063529</v>
      </c>
      <c r="D329" s="9"/>
      <c r="E329" s="7">
        <v>23110</v>
      </c>
      <c r="F329" s="8">
        <f>IFERROR(E329/E444, "NA")</f>
        <v>0.18409142596772465</v>
      </c>
      <c r="G329" s="9"/>
      <c r="H329" s="10">
        <f t="shared" si="80"/>
        <v>3050.9599999999991</v>
      </c>
      <c r="I329" s="8">
        <f>IFERROR(H329/H444, "NA")</f>
        <v>-0.14132980536902798</v>
      </c>
      <c r="J329" s="9"/>
      <c r="K329" s="7">
        <v>19569.79</v>
      </c>
      <c r="L329" s="8">
        <f>IFERROR(K329/K444, "NA")</f>
        <v>0.17192773826852942</v>
      </c>
      <c r="M329" s="9"/>
      <c r="N329" s="10">
        <f t="shared" si="81"/>
        <v>-489.25</v>
      </c>
      <c r="O329" s="8">
        <f>IFERROR(N329/N444, "NA")</f>
        <v>4.9530560634315109E-2</v>
      </c>
      <c r="P329" s="9"/>
      <c r="Q329" s="7">
        <v>237283.73</v>
      </c>
      <c r="R329" s="8">
        <f>IFERROR(Q329/Q444, "NA")</f>
        <v>0.17652080346947793</v>
      </c>
      <c r="S329" s="9"/>
      <c r="T329" s="7">
        <v>237238</v>
      </c>
      <c r="U329" s="8">
        <f>IFERROR(T329/T444, "NA")</f>
        <v>0.15873177514832254</v>
      </c>
      <c r="V329" s="9"/>
      <c r="W329" s="10">
        <f t="shared" si="82"/>
        <v>-45.730000000010477</v>
      </c>
      <c r="X329" s="8">
        <f>IFERROR(W329/W444, "NA")</f>
        <v>3.0413900396179138E-4</v>
      </c>
      <c r="Y329" s="9"/>
      <c r="Z329" s="7">
        <v>231496.31</v>
      </c>
      <c r="AA329" s="8">
        <f>IFERROR(Z329/Z444, "NA")</f>
        <v>0.17708215890229342</v>
      </c>
      <c r="AB329" s="9"/>
      <c r="AC329" s="10">
        <f t="shared" si="83"/>
        <v>-5787.4200000000128</v>
      </c>
      <c r="AD329" s="8">
        <f>IFERROR(AC329/AC444, "NA")</f>
        <v>-0.15665661072967119</v>
      </c>
    </row>
    <row r="330" spans="1:30" ht="16.5" customHeight="1" x14ac:dyDescent="0.45">
      <c r="A330" s="6" t="s">
        <v>301</v>
      </c>
      <c r="B330" s="7">
        <v>788.51</v>
      </c>
      <c r="C330" s="8">
        <f>IFERROR(B330/B444, "NA")</f>
        <v>7.5856248412065541E-3</v>
      </c>
      <c r="D330" s="9"/>
      <c r="E330" s="7">
        <v>659</v>
      </c>
      <c r="F330" s="8">
        <f>IFERROR(E330/E444, "NA")</f>
        <v>5.2495131853193657E-3</v>
      </c>
      <c r="G330" s="9"/>
      <c r="H330" s="10">
        <f t="shared" si="80"/>
        <v>-129.51</v>
      </c>
      <c r="I330" s="8">
        <f>IFERROR(H330/H444, "NA")</f>
        <v>5.9992995953217403E-3</v>
      </c>
      <c r="J330" s="9"/>
      <c r="K330" s="7">
        <v>658.51</v>
      </c>
      <c r="L330" s="8">
        <f>IFERROR(K330/K444, "NA")</f>
        <v>5.7852503745420515E-3</v>
      </c>
      <c r="M330" s="9"/>
      <c r="N330" s="10">
        <f t="shared" si="81"/>
        <v>-130</v>
      </c>
      <c r="O330" s="8">
        <f>IFERROR(N330/N444, "NA")</f>
        <v>1.3160905227309073E-2</v>
      </c>
      <c r="P330" s="9"/>
      <c r="Q330" s="7">
        <v>8873.83</v>
      </c>
      <c r="R330" s="8">
        <f>IFERROR(Q330/Q444, "NA")</f>
        <v>6.6014454570971102E-3</v>
      </c>
      <c r="S330" s="9"/>
      <c r="T330" s="7">
        <v>7908</v>
      </c>
      <c r="U330" s="8">
        <f>IFERROR(T330/T444, "NA")</f>
        <v>5.2911037771054157E-3</v>
      </c>
      <c r="V330" s="9"/>
      <c r="W330" s="10">
        <f t="shared" si="82"/>
        <v>-965.82999999999993</v>
      </c>
      <c r="X330" s="8">
        <f>IFERROR(W330/W444, "NA")</f>
        <v>6.4234982330275449E-3</v>
      </c>
      <c r="Y330" s="9"/>
      <c r="Z330" s="7">
        <v>7986.44</v>
      </c>
      <c r="AA330" s="8">
        <f>IFERROR(Z330/Z444, "NA")</f>
        <v>6.1091947303334223E-3</v>
      </c>
      <c r="AB330" s="9"/>
      <c r="AC330" s="10">
        <f t="shared" si="83"/>
        <v>-887.39000000000033</v>
      </c>
      <c r="AD330" s="8">
        <f>IFERROR(AC330/AC444, "NA")</f>
        <v>-2.4020290525899737E-2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603.21</v>
      </c>
      <c r="C333" s="8">
        <f>IFERROR(B333/B444, "NA")</f>
        <v>5.8030015604928356E-3</v>
      </c>
      <c r="D333" s="9"/>
      <c r="E333" s="7">
        <v>761</v>
      </c>
      <c r="F333" s="8">
        <f>IFERROR(E333/E444, "NA")</f>
        <v>6.0620326768255498E-3</v>
      </c>
      <c r="G333" s="9"/>
      <c r="H333" s="10">
        <f t="shared" si="80"/>
        <v>157.78999999999996</v>
      </c>
      <c r="I333" s="8">
        <f>IFERROR(H333/H444, "NA")</f>
        <v>-7.3093157528053218E-3</v>
      </c>
      <c r="J333" s="9"/>
      <c r="K333" s="7">
        <v>760.64</v>
      </c>
      <c r="L333" s="8">
        <f>IFERROR(K333/K444, "NA")</f>
        <v>6.6824996505621273E-3</v>
      </c>
      <c r="M333" s="9"/>
      <c r="N333" s="10">
        <f t="shared" si="81"/>
        <v>157.42999999999995</v>
      </c>
      <c r="O333" s="8">
        <f>IFERROR(N333/N444, "NA")</f>
        <v>-1.5937856230271285E-2</v>
      </c>
      <c r="P333" s="9"/>
      <c r="Q333" s="7">
        <v>9923.15</v>
      </c>
      <c r="R333" s="8">
        <f>IFERROR(Q333/Q444, "NA")</f>
        <v>7.3820586474603617E-3</v>
      </c>
      <c r="S333" s="9"/>
      <c r="T333" s="7">
        <v>9132</v>
      </c>
      <c r="U333" s="8">
        <f>IFERROR(T333/T444, "NA")</f>
        <v>6.1100606591460108E-3</v>
      </c>
      <c r="V333" s="9"/>
      <c r="W333" s="10">
        <f t="shared" si="82"/>
        <v>-791.14999999999964</v>
      </c>
      <c r="X333" s="8">
        <f>IFERROR(W333/W444, "NA")</f>
        <v>5.2617444343825938E-3</v>
      </c>
      <c r="Y333" s="9"/>
      <c r="Z333" s="7">
        <v>10856.39</v>
      </c>
      <c r="AA333" s="8">
        <f>IFERROR(Z333/Z444, "NA")</f>
        <v>8.3045512867365757E-3</v>
      </c>
      <c r="AB333" s="9"/>
      <c r="AC333" s="10">
        <f t="shared" si="83"/>
        <v>933.23999999999978</v>
      </c>
      <c r="AD333" s="8">
        <f>IFERROR(AC333/AC444, "NA")</f>
        <v>2.5261379923585636E-2</v>
      </c>
    </row>
    <row r="334" spans="1:30" ht="16.5" customHeight="1" x14ac:dyDescent="0.45">
      <c r="A334" s="6" t="s">
        <v>305</v>
      </c>
      <c r="B334" s="7">
        <v>3089.1</v>
      </c>
      <c r="C334" s="8">
        <f>IFERROR(B334/B444, "NA")</f>
        <v>2.9717763499475171E-2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-3089.1</v>
      </c>
      <c r="I334" s="8">
        <f>IFERROR(H334/H444, "NA")</f>
        <v>0.14309656690532305</v>
      </c>
      <c r="J334" s="9"/>
      <c r="K334" s="7">
        <v>2940.24</v>
      </c>
      <c r="L334" s="8">
        <f>IFERROR(K334/K444, "NA")</f>
        <v>2.5831080106974109E-2</v>
      </c>
      <c r="M334" s="9"/>
      <c r="N334" s="10">
        <f t="shared" si="81"/>
        <v>-148.86000000000013</v>
      </c>
      <c r="O334" s="8">
        <f>IFERROR(N334/N444, "NA")</f>
        <v>1.5070248862594081E-2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4687.53</v>
      </c>
      <c r="F337" s="8">
        <f>IFERROR(E337/E444, "NA")</f>
        <v>3.7340289137450813E-2</v>
      </c>
      <c r="G337" s="9"/>
      <c r="H337" s="10">
        <f t="shared" ref="H337:H344" si="84">IFERROR(-(B337-E337), "NA")</f>
        <v>4687.53</v>
      </c>
      <c r="I337" s="8">
        <f>IFERROR(H337/H444, "NA")</f>
        <v>-0.21714073687019161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61140.46</v>
      </c>
      <c r="U337" s="8">
        <f>IFERROR(T337/T444, "NA")</f>
        <v>4.0908006934744889E-2</v>
      </c>
      <c r="V337" s="9"/>
      <c r="W337" s="10">
        <f t="shared" ref="W337:W344" si="86">IFERROR(-(Q337-T337), "NA")</f>
        <v>61140.46</v>
      </c>
      <c r="X337" s="8">
        <f>IFERROR(W337/W444, "NA")</f>
        <v>-0.40663019038183873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2066.54</v>
      </c>
      <c r="C338" s="8">
        <f>IFERROR(B338/B444, "NA")</f>
        <v>1.9880530569488013E-2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-2066.54</v>
      </c>
      <c r="I338" s="8">
        <f>IFERROR(H338/H444, "NA")</f>
        <v>9.5728457923837454E-2</v>
      </c>
      <c r="J338" s="9"/>
      <c r="K338" s="7">
        <v>1685.6</v>
      </c>
      <c r="L338" s="8">
        <f>IFERROR(K338/K444, "NA")</f>
        <v>1.4808610395177115E-2</v>
      </c>
      <c r="M338" s="9"/>
      <c r="N338" s="10">
        <f t="shared" si="85"/>
        <v>-380.94000000000005</v>
      </c>
      <c r="O338" s="8">
        <f>IFERROR(N338/N444, "NA")</f>
        <v>3.8565501825316303E-2</v>
      </c>
      <c r="P338" s="9"/>
      <c r="Q338" s="7">
        <v>26121.55</v>
      </c>
      <c r="R338" s="8">
        <f>IFERROR(Q338/Q444, "NA")</f>
        <v>1.9432419550502435E-2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-26121.55</v>
      </c>
      <c r="X338" s="8">
        <f>IFERROR(W338/W444, "NA")</f>
        <v>0.17372801659602691</v>
      </c>
      <c r="Y338" s="9"/>
      <c r="Z338" s="7">
        <v>24207.43</v>
      </c>
      <c r="AA338" s="8">
        <f>IFERROR(Z338/Z444, "NA")</f>
        <v>1.8517374924361191E-2</v>
      </c>
      <c r="AB338" s="9"/>
      <c r="AC338" s="10">
        <f t="shared" si="87"/>
        <v>-1914.119999999999</v>
      </c>
      <c r="AD338" s="8">
        <f>IFERROR(AC338/AC444, "NA")</f>
        <v>-5.1812301808038363E-2</v>
      </c>
    </row>
    <row r="339" spans="1:30" ht="16.5" customHeight="1" x14ac:dyDescent="0.45">
      <c r="A339" s="12" t="s">
        <v>309</v>
      </c>
      <c r="B339" s="7">
        <v>1151.3900000000001</v>
      </c>
      <c r="C339" s="8">
        <f>IFERROR(B339/B444, "NA")</f>
        <v>1.1076603449438581E-2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-1151.3900000000001</v>
      </c>
      <c r="I339" s="8">
        <f>IFERROR(H339/H444, "NA")</f>
        <v>5.3335908895509994E-2</v>
      </c>
      <c r="J339" s="9"/>
      <c r="K339" s="7">
        <v>928.21</v>
      </c>
      <c r="L339" s="8">
        <f>IFERROR(K339/K444, "NA")</f>
        <v>8.1546631792283764E-3</v>
      </c>
      <c r="M339" s="9"/>
      <c r="N339" s="10">
        <f t="shared" si="85"/>
        <v>-223.18000000000006</v>
      </c>
      <c r="O339" s="8">
        <f>IFERROR(N339/N444, "NA")</f>
        <v>2.2594237143314152E-2</v>
      </c>
      <c r="P339" s="9"/>
      <c r="Q339" s="7">
        <v>9496.99</v>
      </c>
      <c r="R339" s="8">
        <f>IFERROR(Q339/Q444, "NA")</f>
        <v>7.065028459142972E-3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-9496.99</v>
      </c>
      <c r="X339" s="8">
        <f>IFERROR(W339/W444, "NA")</f>
        <v>6.316214911949336E-2</v>
      </c>
      <c r="Y339" s="9"/>
      <c r="Z339" s="7">
        <v>9372.94</v>
      </c>
      <c r="AA339" s="8">
        <f>IFERROR(Z339/Z444, "NA")</f>
        <v>7.1697922548383695E-3</v>
      </c>
      <c r="AB339" s="9"/>
      <c r="AC339" s="10">
        <f t="shared" si="87"/>
        <v>-124.04999999999927</v>
      </c>
      <c r="AD339" s="8">
        <f>IFERROR(AC339/AC444, "NA")</f>
        <v>-3.3578438338699376E-3</v>
      </c>
    </row>
    <row r="340" spans="1:30" ht="16.5" customHeight="1" x14ac:dyDescent="0.45">
      <c r="A340" s="12" t="s">
        <v>310</v>
      </c>
      <c r="B340" s="7">
        <v>820.72</v>
      </c>
      <c r="C340" s="8">
        <f>IFERROR(B340/B444, "NA")</f>
        <v>7.8954915215723887E-3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-820.72</v>
      </c>
      <c r="I340" s="8">
        <f>IFERROR(H340/H444, "NA")</f>
        <v>3.8018262403462733E-2</v>
      </c>
      <c r="J340" s="9"/>
      <c r="K340" s="7">
        <v>769.21</v>
      </c>
      <c r="L340" s="8">
        <f>IFERROR(K340/K444, "NA")</f>
        <v>6.7577902242965055E-3</v>
      </c>
      <c r="M340" s="9"/>
      <c r="N340" s="10">
        <f t="shared" si="85"/>
        <v>-51.509999999999991</v>
      </c>
      <c r="O340" s="8">
        <f>IFERROR(N340/N444, "NA")</f>
        <v>5.2147556019899255E-3</v>
      </c>
      <c r="P340" s="9"/>
      <c r="Q340" s="7">
        <v>10683.48</v>
      </c>
      <c r="R340" s="8">
        <f>IFERROR(Q340/Q444, "NA")</f>
        <v>7.9476855553901569E-3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-10683.48</v>
      </c>
      <c r="X340" s="8">
        <f>IFERROR(W340/W444, "NA")</f>
        <v>7.1053202843756269E-2</v>
      </c>
      <c r="Y340" s="9"/>
      <c r="Z340" s="7">
        <v>10618.59</v>
      </c>
      <c r="AA340" s="8">
        <f>IFERROR(Z340/Z444, "NA")</f>
        <v>8.1226471458586275E-3</v>
      </c>
      <c r="AB340" s="9"/>
      <c r="AC340" s="10">
        <f t="shared" si="87"/>
        <v>-64.889999999999418</v>
      </c>
      <c r="AD340" s="8">
        <f>IFERROR(AC340/AC444, "NA")</f>
        <v>-1.7564730864959256E-3</v>
      </c>
    </row>
    <row r="341" spans="1:30" ht="16.5" customHeight="1" x14ac:dyDescent="0.45">
      <c r="A341" s="12" t="s">
        <v>311</v>
      </c>
      <c r="B341" s="7">
        <v>1031.99</v>
      </c>
      <c r="C341" s="8">
        <f>IFERROR(B341/B444, "NA")</f>
        <v>9.9279514272193788E-3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-1031.99</v>
      </c>
      <c r="I341" s="8">
        <f>IFERROR(H341/H444, "NA")</f>
        <v>4.7804935444182559E-2</v>
      </c>
      <c r="J341" s="9"/>
      <c r="K341" s="7">
        <v>996.35</v>
      </c>
      <c r="L341" s="8">
        <f>IFERROR(K341/K444, "NA")</f>
        <v>8.753297916014903E-3</v>
      </c>
      <c r="M341" s="9"/>
      <c r="N341" s="10">
        <f t="shared" si="85"/>
        <v>-35.639999999999986</v>
      </c>
      <c r="O341" s="8">
        <f>IFERROR(N341/N444, "NA")</f>
        <v>3.6081127869330401E-3</v>
      </c>
      <c r="P341" s="9"/>
      <c r="Q341" s="7">
        <v>12346.2</v>
      </c>
      <c r="R341" s="8">
        <f>IFERROR(Q341/Q444, "NA")</f>
        <v>9.1846210601749575E-3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-12346.2</v>
      </c>
      <c r="X341" s="8">
        <f>IFERROR(W341/W444, "NA")</f>
        <v>8.2111545390601545E-2</v>
      </c>
      <c r="Y341" s="9"/>
      <c r="Z341" s="7">
        <v>11684.81</v>
      </c>
      <c r="AA341" s="8">
        <f>IFERROR(Z341/Z444, "NA")</f>
        <v>8.9382477896218174E-3</v>
      </c>
      <c r="AB341" s="9"/>
      <c r="AC341" s="10">
        <f t="shared" si="87"/>
        <v>-661.39000000000124</v>
      </c>
      <c r="AD341" s="8">
        <f>IFERROR(AC341/AC444, "NA")</f>
        <v>-1.7902816068385775E-2</v>
      </c>
    </row>
    <row r="342" spans="1:30" ht="16.5" customHeight="1" x14ac:dyDescent="0.45">
      <c r="A342" s="13" t="s">
        <v>312</v>
      </c>
      <c r="B342" s="14">
        <f>IFERROR(B337+B338+B339+B340+B341, "NA")</f>
        <v>5070.6400000000003</v>
      </c>
      <c r="C342" s="15">
        <f>IFERROR(B342/B444, "NA")</f>
        <v>4.8780576967718363E-2</v>
      </c>
      <c r="D342" s="2"/>
      <c r="E342" s="14">
        <f>IFERROR(E337+E338+E339+E340+E341, "NA")</f>
        <v>4687.53</v>
      </c>
      <c r="F342" s="15">
        <f>IFERROR(E342/E444, "NA")</f>
        <v>3.7340289137450813E-2</v>
      </c>
      <c r="G342" s="2"/>
      <c r="H342" s="14">
        <f t="shared" si="84"/>
        <v>-383.11000000000058</v>
      </c>
      <c r="I342" s="15">
        <f>IFERROR(H342/H444, "NA")</f>
        <v>1.7746827796801139E-2</v>
      </c>
      <c r="J342" s="2"/>
      <c r="K342" s="14">
        <f>IFERROR(K337+K338+K339+K340+K341, "NA")</f>
        <v>4379.37</v>
      </c>
      <c r="L342" s="15">
        <f>IFERROR(K342/K444, "NA")</f>
        <v>3.8474361714716902E-2</v>
      </c>
      <c r="M342" s="2"/>
      <c r="N342" s="14">
        <f t="shared" si="85"/>
        <v>-691.27000000000044</v>
      </c>
      <c r="O342" s="15">
        <f>IFERROR(N342/N444, "NA")</f>
        <v>6.9982607357553461E-2</v>
      </c>
      <c r="P342" s="2"/>
      <c r="Q342" s="14">
        <f>IFERROR(Q337+Q338+Q339+Q340+Q341, "NA")</f>
        <v>58648.22</v>
      </c>
      <c r="R342" s="15">
        <f>IFERROR(Q342/Q444, "NA")</f>
        <v>4.3629754625210522E-2</v>
      </c>
      <c r="S342" s="2"/>
      <c r="T342" s="14">
        <f>IFERROR(T337+T338+T339+T340+T341, "NA")</f>
        <v>61140.46</v>
      </c>
      <c r="U342" s="15">
        <f>IFERROR(T342/T444, "NA")</f>
        <v>4.0908006934744889E-2</v>
      </c>
      <c r="V342" s="2"/>
      <c r="W342" s="14">
        <f t="shared" si="86"/>
        <v>2492.239999999998</v>
      </c>
      <c r="X342" s="15">
        <f>IFERROR(W342/W444, "NA")</f>
        <v>-1.6575276431960651E-2</v>
      </c>
      <c r="Y342" s="2"/>
      <c r="Z342" s="14">
        <f>IFERROR(Z337+Z338+Z339+Z340+Z341, "NA")</f>
        <v>55883.770000000004</v>
      </c>
      <c r="AA342" s="15">
        <f>IFERROR(Z342/Z444, "NA")</f>
        <v>4.2748062114680012E-2</v>
      </c>
      <c r="AB342" s="2"/>
      <c r="AC342" s="14">
        <f t="shared" si="87"/>
        <v>-2764.4499999999971</v>
      </c>
      <c r="AD342" s="15">
        <f>IFERROR(AC342/AC444, "NA")</f>
        <v>-7.4829434796789954E-2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29610.5</v>
      </c>
      <c r="C343" s="15">
        <f>IFERROR(B343/B444, "NA")</f>
        <v>0.2848589673695282</v>
      </c>
      <c r="D343" s="2"/>
      <c r="E343" s="14">
        <f>IFERROR(E328+E329+E330+E331+E332+E333+E334+E335+E337+E338+E339+E340+E341, "NA")</f>
        <v>29217.53</v>
      </c>
      <c r="F343" s="15">
        <f>IFERROR(E343/E444, "NA")</f>
        <v>0.23274326096732037</v>
      </c>
      <c r="G343" s="2"/>
      <c r="H343" s="14">
        <f t="shared" si="84"/>
        <v>-392.97000000000116</v>
      </c>
      <c r="I343" s="15">
        <f>IFERROR(H343/H444, "NA")</f>
        <v>1.8203573175612626E-2</v>
      </c>
      <c r="J343" s="2"/>
      <c r="K343" s="14">
        <f>IFERROR(K328+K329+K330+K331+K332+K333+K334+K335+K337+K338+K339+K340+K341, "NA")</f>
        <v>28308.549999999996</v>
      </c>
      <c r="L343" s="15">
        <f>IFERROR(K343/K444, "NA")</f>
        <v>0.24870093011532457</v>
      </c>
      <c r="M343" s="2"/>
      <c r="N343" s="14">
        <f t="shared" si="85"/>
        <v>-1301.9500000000044</v>
      </c>
      <c r="O343" s="15">
        <f>IFERROR(N343/N444, "NA")</f>
        <v>0.13180646585150083</v>
      </c>
      <c r="P343" s="2"/>
      <c r="Q343" s="14">
        <f>IFERROR(Q328+Q329+Q330+Q331+Q332+Q333+Q334+Q335+Q337+Q338+Q339+Q340+Q341, "NA")</f>
        <v>314728.93</v>
      </c>
      <c r="R343" s="15">
        <f>IFERROR(Q343/Q444, "NA")</f>
        <v>0.2341340621992459</v>
      </c>
      <c r="S343" s="2"/>
      <c r="T343" s="14">
        <f>IFERROR(T328+T329+T330+T331+T332+T333+T334+T335+T337+T338+T339+T340+T341, "NA")</f>
        <v>315418.46000000002</v>
      </c>
      <c r="U343" s="15">
        <f>IFERROR(T343/T444, "NA")</f>
        <v>0.21104094651931887</v>
      </c>
      <c r="V343" s="2"/>
      <c r="W343" s="14">
        <f t="shared" si="86"/>
        <v>689.53000000002794</v>
      </c>
      <c r="X343" s="15">
        <f>IFERROR(W343/W444, "NA")</f>
        <v>-4.5858947605889886E-3</v>
      </c>
      <c r="Y343" s="2"/>
      <c r="Z343" s="14">
        <f>IFERROR(Z328+Z329+Z330+Z331+Z332+Z333+Z334+Z335+Z337+Z338+Z339+Z340+Z341, "NA")</f>
        <v>306222.91000000003</v>
      </c>
      <c r="AA343" s="15">
        <f>IFERROR(Z343/Z444, "NA")</f>
        <v>0.23424396703404346</v>
      </c>
      <c r="AB343" s="2"/>
      <c r="AC343" s="14">
        <f t="shared" si="87"/>
        <v>-8506.0199999999604</v>
      </c>
      <c r="AD343" s="15">
        <f>IFERROR(AC343/AC444, "NA")</f>
        <v>-0.23024495612877388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29610.5</v>
      </c>
      <c r="C344" s="15">
        <f>IFERROR(B344/B444, "NA")</f>
        <v>0.2848589673695282</v>
      </c>
      <c r="D344" s="2"/>
      <c r="E344" s="14">
        <f>IFERROR(E328+E329+E330+E331+E332+E333+E334+E335+E337+E338+E339+E340+E341, "NA")</f>
        <v>29217.53</v>
      </c>
      <c r="F344" s="15">
        <f>IFERROR(E344/E444, "NA")</f>
        <v>0.23274326096732037</v>
      </c>
      <c r="G344" s="2"/>
      <c r="H344" s="14">
        <f t="shared" si="84"/>
        <v>-392.97000000000116</v>
      </c>
      <c r="I344" s="15">
        <f>IFERROR(H344/H444, "NA")</f>
        <v>1.8203573175612626E-2</v>
      </c>
      <c r="J344" s="2"/>
      <c r="K344" s="14">
        <f>IFERROR(K328+K329+K330+K331+K332+K333+K334+K335+K337+K338+K339+K340+K341, "NA")</f>
        <v>28308.549999999996</v>
      </c>
      <c r="L344" s="15">
        <f>IFERROR(K344/K444, "NA")</f>
        <v>0.24870093011532457</v>
      </c>
      <c r="M344" s="2"/>
      <c r="N344" s="14">
        <f t="shared" si="85"/>
        <v>-1301.9500000000044</v>
      </c>
      <c r="O344" s="15">
        <f>IFERROR(N344/N444, "NA")</f>
        <v>0.13180646585150083</v>
      </c>
      <c r="P344" s="2"/>
      <c r="Q344" s="14">
        <f>IFERROR(Q328+Q329+Q330+Q331+Q332+Q333+Q334+Q335+Q337+Q338+Q339+Q340+Q341, "NA")</f>
        <v>314728.93</v>
      </c>
      <c r="R344" s="15">
        <f>IFERROR(Q344/Q444, "NA")</f>
        <v>0.2341340621992459</v>
      </c>
      <c r="S344" s="2"/>
      <c r="T344" s="14">
        <f>IFERROR(T328+T329+T330+T331+T332+T333+T334+T335+T337+T338+T339+T340+T341, "NA")</f>
        <v>315418.46000000002</v>
      </c>
      <c r="U344" s="15">
        <f>IFERROR(T344/T444, "NA")</f>
        <v>0.21104094651931887</v>
      </c>
      <c r="V344" s="2"/>
      <c r="W344" s="14">
        <f t="shared" si="86"/>
        <v>689.53000000002794</v>
      </c>
      <c r="X344" s="15">
        <f>IFERROR(W344/W444, "NA")</f>
        <v>-4.5858947605889886E-3</v>
      </c>
      <c r="Y344" s="2"/>
      <c r="Z344" s="14">
        <f>IFERROR(Z328+Z329+Z330+Z331+Z332+Z333+Z334+Z335+Z337+Z338+Z339+Z340+Z341, "NA")</f>
        <v>306222.91000000003</v>
      </c>
      <c r="AA344" s="15">
        <f>IFERROR(Z344/Z444, "NA")</f>
        <v>0.23424396703404346</v>
      </c>
      <c r="AB344" s="2"/>
      <c r="AC344" s="14">
        <f t="shared" si="87"/>
        <v>-8506.0199999999604</v>
      </c>
      <c r="AD344" s="15">
        <f>IFERROR(AC344/AC444, "NA")</f>
        <v>-0.23024495612877388</v>
      </c>
    </row>
    <row r="345" spans="1:30" ht="16.5" customHeight="1" x14ac:dyDescent="0.45">
      <c r="A345" s="22" t="s">
        <v>315</v>
      </c>
      <c r="B345" s="23">
        <f>IFERROR(B198-B325-B344, "NA")</f>
        <v>-14059.880000000026</v>
      </c>
      <c r="C345" s="24">
        <f>IFERROR(B345/B444, "NA")</f>
        <v>-0.13525887432294253</v>
      </c>
      <c r="D345" s="25"/>
      <c r="E345" s="23">
        <f>IFERROR(E198-E325-E344, "NA")</f>
        <v>6976.8199999999924</v>
      </c>
      <c r="F345" s="24">
        <f>IFERROR(E345/E444, "NA")</f>
        <v>5.5576492536570286E-2</v>
      </c>
      <c r="G345" s="25"/>
      <c r="H345" s="23">
        <f>IFERROR(B345-E345, "NA")</f>
        <v>-21036.700000000019</v>
      </c>
      <c r="I345" s="24">
        <f>IFERROR(H345/H444, "NA")</f>
        <v>0.97448433168793891</v>
      </c>
      <c r="J345" s="25"/>
      <c r="K345" s="23">
        <f>IFERROR(K198-K325-K344, "NA")</f>
        <v>-15805.020000000026</v>
      </c>
      <c r="L345" s="24">
        <f>IFERROR(K345/K444, "NA")</f>
        <v>-0.13885286157331669</v>
      </c>
      <c r="M345" s="25"/>
      <c r="N345" s="23">
        <f>IFERROR(B345-K345, "NA")</f>
        <v>1745.1399999999994</v>
      </c>
      <c r="O345" s="24">
        <f>IFERROR(N345/N444, "NA")</f>
        <v>-0.17667401652604731</v>
      </c>
      <c r="P345" s="25"/>
      <c r="Q345" s="23">
        <f>IFERROR(Q198-Q325-Q344, "NA")</f>
        <v>-76085.690000000061</v>
      </c>
      <c r="R345" s="24">
        <f>IFERROR(Q345/Q444, "NA")</f>
        <v>-5.6601888091229985E-2</v>
      </c>
      <c r="S345" s="25"/>
      <c r="T345" s="23">
        <f>IFERROR(T198-T325-T344, "NA")</f>
        <v>106606.98999999993</v>
      </c>
      <c r="U345" s="24">
        <f>IFERROR(T345/T444, "NA")</f>
        <v>7.1328862854683733E-2</v>
      </c>
      <c r="V345" s="25"/>
      <c r="W345" s="23">
        <f>IFERROR(Q345-T345, "NA")</f>
        <v>-182692.68</v>
      </c>
      <c r="X345" s="24">
        <f>IFERROR(W345/W444, "NA")</f>
        <v>1.2150441663305827</v>
      </c>
      <c r="Y345" s="25"/>
      <c r="Z345" s="23">
        <f>IFERROR(Z198-Z325-Z344, "NA")</f>
        <v>-68026.129999999772</v>
      </c>
      <c r="AA345" s="24">
        <f>IFERROR(Z345/Z444, "NA")</f>
        <v>-5.2036310912117904E-2</v>
      </c>
      <c r="AB345" s="25"/>
      <c r="AC345" s="23">
        <f>IFERROR(Q345-Z345, "NA")</f>
        <v>-8059.5600000002887</v>
      </c>
      <c r="AD345" s="24">
        <f>IFERROR(AC345/AC444, "NA")</f>
        <v>-0.21815996654337705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-14059.880000000026</v>
      </c>
      <c r="C404" s="24">
        <f>IFERROR(B404/B444, "NA")</f>
        <v>-0.13525887432294253</v>
      </c>
      <c r="D404" s="25"/>
      <c r="E404" s="23">
        <f>IFERROR(E345-E403, "NA")</f>
        <v>6976.8199999999924</v>
      </c>
      <c r="F404" s="24">
        <f>IFERROR(E404/E444, "NA")</f>
        <v>5.5576492536570286E-2</v>
      </c>
      <c r="G404" s="25"/>
      <c r="H404" s="23">
        <f>IFERROR(B404-E404, "NA")</f>
        <v>-21036.700000000019</v>
      </c>
      <c r="I404" s="24">
        <f>IFERROR(H404/H444, "NA")</f>
        <v>0.97448433168793891</v>
      </c>
      <c r="J404" s="25"/>
      <c r="K404" s="23">
        <f>IFERROR(K345-K403, "NA")</f>
        <v>-15805.020000000026</v>
      </c>
      <c r="L404" s="24">
        <f>IFERROR(K404/K444, "NA")</f>
        <v>-0.13885286157331669</v>
      </c>
      <c r="M404" s="25"/>
      <c r="N404" s="23">
        <f>IFERROR(B404-K404, "NA")</f>
        <v>1745.1399999999994</v>
      </c>
      <c r="O404" s="24">
        <f>IFERROR(N404/N444, "NA")</f>
        <v>-0.17667401652604731</v>
      </c>
      <c r="P404" s="25"/>
      <c r="Q404" s="23">
        <f>IFERROR(Q345-Q403, "NA")</f>
        <v>-76085.690000000061</v>
      </c>
      <c r="R404" s="24">
        <f>IFERROR(Q404/Q444, "NA")</f>
        <v>-5.6601888091229985E-2</v>
      </c>
      <c r="S404" s="25"/>
      <c r="T404" s="23">
        <f>IFERROR(T345-T403, "NA")</f>
        <v>106606.98999999993</v>
      </c>
      <c r="U404" s="24">
        <f>IFERROR(T404/T444, "NA")</f>
        <v>7.1328862854683733E-2</v>
      </c>
      <c r="V404" s="25"/>
      <c r="W404" s="23">
        <f>IFERROR(Q404-T404, "NA")</f>
        <v>-182692.68</v>
      </c>
      <c r="X404" s="24">
        <f>IFERROR(W404/W444, "NA")</f>
        <v>1.2150441663305827</v>
      </c>
      <c r="Y404" s="25"/>
      <c r="Z404" s="23">
        <f>IFERROR(Z345-Z403, "NA")</f>
        <v>-68026.129999999772</v>
      </c>
      <c r="AA404" s="24">
        <f>IFERROR(Z404/Z444, "NA")</f>
        <v>-5.2036310912117904E-2</v>
      </c>
      <c r="AB404" s="25"/>
      <c r="AC404" s="23">
        <f>IFERROR(Q404-Z404, "NA")</f>
        <v>-8059.5600000002887</v>
      </c>
      <c r="AD404" s="24">
        <f>IFERROR(AC404/AC444, "NA")</f>
        <v>-0.21815996654337705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527.33000000000004</v>
      </c>
      <c r="L408" s="8">
        <f>IFERROR(K408/K444, "NA")</f>
        <v>4.632786259900777E-3</v>
      </c>
      <c r="M408" s="9"/>
      <c r="N408" s="10">
        <f t="shared" si="101"/>
        <v>527.33000000000004</v>
      </c>
      <c r="O408" s="8">
        <f>IFERROR(N408/N444, "NA")</f>
        <v>-5.3385693488591499E-2</v>
      </c>
      <c r="P408" s="9"/>
      <c r="Q408" s="7">
        <v>-142.4</v>
      </c>
      <c r="R408" s="8">
        <f>IFERROR(Q408/Q444, "NA")</f>
        <v>-1.0593462271540343E-4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142.4</v>
      </c>
      <c r="X408" s="8">
        <f>IFERROR(W408/W444, "NA")</f>
        <v>-9.4706744290726371E-4</v>
      </c>
      <c r="Y408" s="9"/>
      <c r="Z408" s="7">
        <v>6164.09</v>
      </c>
      <c r="AA408" s="8">
        <f>IFERROR(Z408/Z444, "NA")</f>
        <v>4.7151955245767754E-3</v>
      </c>
      <c r="AB408" s="9"/>
      <c r="AC408" s="10">
        <f t="shared" si="103"/>
        <v>6306.49</v>
      </c>
      <c r="AD408" s="8">
        <f>IFERROR(AC408/AC444, "NA")</f>
        <v>0.17070704199808581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10648.87</v>
      </c>
      <c r="C410" s="8">
        <f>IFERROR(B410/B444, "NA")</f>
        <v>0.10244427185803509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-10648.87</v>
      </c>
      <c r="I410" s="8">
        <f>IFERROR(H410/H444, "NA")</f>
        <v>0.49328825173062951</v>
      </c>
      <c r="J410" s="9"/>
      <c r="K410" s="7">
        <v>9542.9</v>
      </c>
      <c r="L410" s="8">
        <f>IFERROR(K410/K444, "NA")</f>
        <v>8.3837854852951879E-2</v>
      </c>
      <c r="M410" s="9"/>
      <c r="N410" s="10">
        <f t="shared" si="101"/>
        <v>-1105.9700000000012</v>
      </c>
      <c r="O410" s="8">
        <f>IFERROR(N410/N444, "NA")</f>
        <v>0.11196589503266947</v>
      </c>
      <c r="P410" s="9"/>
      <c r="Q410" s="7">
        <v>121334.53</v>
      </c>
      <c r="R410" s="8">
        <f>IFERROR(Q410/Q444, "NA")</f>
        <v>9.0263536923460674E-2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-121334.53</v>
      </c>
      <c r="X410" s="8">
        <f>IFERROR(W410/W444, "NA")</f>
        <v>0.80696617319841757</v>
      </c>
      <c r="Y410" s="9"/>
      <c r="Z410" s="7">
        <v>114514.8</v>
      </c>
      <c r="AA410" s="8">
        <f>IFERROR(Z410/Z444, "NA")</f>
        <v>8.7597629570269828E-2</v>
      </c>
      <c r="AB410" s="9"/>
      <c r="AC410" s="10">
        <f t="shared" si="103"/>
        <v>-6819.7299999999959</v>
      </c>
      <c r="AD410" s="8">
        <f>IFERROR(AC410/AC444, "NA")</f>
        <v>-0.18459966408027367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-51.17</v>
      </c>
      <c r="C416" s="8">
        <f>IFERROR(B416/B444, "NA")</f>
        <v>-4.922656949493848E-4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51.17</v>
      </c>
      <c r="I416" s="8">
        <f>IFERROR(H416/H444, "NA")</f>
        <v>-2.370351017624998E-3</v>
      </c>
      <c r="J416" s="9"/>
      <c r="K416" s="7">
        <v>-230.67</v>
      </c>
      <c r="L416" s="8">
        <f>IFERROR(K416/K444, "NA")</f>
        <v>-2.0265200283907836E-3</v>
      </c>
      <c r="M416" s="9"/>
      <c r="N416" s="10">
        <f t="shared" si="101"/>
        <v>-179.5</v>
      </c>
      <c r="O416" s="8">
        <f>IFERROR(N416/N444, "NA")</f>
        <v>1.8172172986938299E-2</v>
      </c>
      <c r="P416" s="9"/>
      <c r="Q416" s="7">
        <v>-239.43</v>
      </c>
      <c r="R416" s="8">
        <f>IFERROR(Q416/Q444, "NA")</f>
        <v>-1.7811746289851858E-4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239.43</v>
      </c>
      <c r="X416" s="8">
        <f>IFERROR(W416/W444, "NA")</f>
        <v>-1.5923901534781329E-3</v>
      </c>
      <c r="Y416" s="9"/>
      <c r="Z416" s="7">
        <v>-699.61</v>
      </c>
      <c r="AA416" s="8">
        <f>IFERROR(Z416/Z444, "NA")</f>
        <v>-5.3516381833314535E-4</v>
      </c>
      <c r="AB416" s="9"/>
      <c r="AC416" s="10">
        <f t="shared" si="103"/>
        <v>-460.18</v>
      </c>
      <c r="AD416" s="8">
        <f>IFERROR(AC416/AC444, "NA")</f>
        <v>-1.2456369008224723E-2</v>
      </c>
    </row>
    <row r="417" spans="1:30" ht="16.5" customHeight="1" x14ac:dyDescent="0.45">
      <c r="A417" s="6" t="s">
        <v>382</v>
      </c>
      <c r="B417" s="7">
        <v>-33.200000000000003</v>
      </c>
      <c r="C417" s="8">
        <f>IFERROR(B417/B444, "NA")</f>
        <v>-3.1939067954503766E-4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33.200000000000003</v>
      </c>
      <c r="I417" s="8">
        <f>IFERROR(H417/H444, "NA")</f>
        <v>-1.5379256162819997E-3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33.200000000000003</v>
      </c>
      <c r="O417" s="8">
        <f>IFERROR(N417/N444, "NA")</f>
        <v>-3.361092719589702E-3</v>
      </c>
      <c r="P417" s="9"/>
      <c r="Q417" s="7">
        <v>-433.58</v>
      </c>
      <c r="R417" s="8">
        <f>IFERROR(Q417/Q444, "NA")</f>
        <v>-3.2255009632685828E-4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433.58</v>
      </c>
      <c r="X417" s="8">
        <f>IFERROR(W417/W444, "NA")</f>
        <v>-2.8836341425262034E-3</v>
      </c>
      <c r="Y417" s="9"/>
      <c r="Z417" s="7">
        <v>-79.650000000000006</v>
      </c>
      <c r="AA417" s="8">
        <f>IFERROR(Z417/Z444, "NA")</f>
        <v>-6.0927942897092708E-5</v>
      </c>
      <c r="AB417" s="9"/>
      <c r="AC417" s="10">
        <f t="shared" si="103"/>
        <v>353.92999999999995</v>
      </c>
      <c r="AD417" s="8">
        <f>IFERROR(AC417/AC444, "NA")</f>
        <v>9.5803439590616182E-3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324.48</v>
      </c>
      <c r="AA424" s="8">
        <f>IFERROR(Z424/Z444, "NA")</f>
        <v>2.4820965362521834E-4</v>
      </c>
      <c r="AB424" s="9"/>
      <c r="AC424" s="10">
        <f t="shared" si="103"/>
        <v>324.48</v>
      </c>
      <c r="AD424" s="8">
        <f>IFERROR(AC424/AC444, "NA")</f>
        <v>8.7831774866112353E-3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10564.5</v>
      </c>
      <c r="C428" s="15">
        <f>IFERROR(B428/B444, "NA")</f>
        <v>0.10163261548354066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-10564.5</v>
      </c>
      <c r="I428" s="15">
        <f>IFERROR(H428/H444, "NA")</f>
        <v>0.48937997509672249</v>
      </c>
      <c r="J428" s="2"/>
      <c r="K428" s="14">
        <f>IFERROR(K407+K408+K409+K410+K411+K412+K413+K414+K415+K416+K417+K418+K419+K420+K421+K422+K423+K424+K425+K426+K427, "NA")</f>
        <v>9839.56</v>
      </c>
      <c r="L428" s="15">
        <f>IFERROR(K428/K444, "NA")</f>
        <v>8.6444121084461881E-2</v>
      </c>
      <c r="M428" s="2"/>
      <c r="N428" s="14">
        <f t="shared" si="101"/>
        <v>-724.94000000000051</v>
      </c>
      <c r="O428" s="15">
        <f>IFERROR(N428/N444, "NA")</f>
        <v>7.3391281811426512E-2</v>
      </c>
      <c r="P428" s="2"/>
      <c r="Q428" s="14">
        <f>IFERROR(Q407+Q408+Q409+Q410+Q411+Q412+Q413+Q414+Q415+Q416+Q417+Q418+Q419+Q420+Q421+Q422+Q423+Q424+Q425+Q426+Q427, "NA")</f>
        <v>120519.12000000001</v>
      </c>
      <c r="R428" s="15">
        <f>IFERROR(Q428/Q444, "NA")</f>
        <v>8.9656934741519895E-2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-120519.12000000001</v>
      </c>
      <c r="X428" s="15">
        <f>IFERROR(W428/W444, "NA")</f>
        <v>0.80154308145950603</v>
      </c>
      <c r="Y428" s="2"/>
      <c r="Z428" s="14">
        <f>IFERROR(Z407+Z408+Z409+Z410+Z411+Z412+Z413+Z414+Z415+Z416+Z417+Z418+Z419+Z420+Z421+Z422+Z423+Z424+Z425+Z426+Z427, "NA")</f>
        <v>120224.11</v>
      </c>
      <c r="AA428" s="15">
        <f>IFERROR(Z428/Z444, "NA")</f>
        <v>9.1964942987241588E-2</v>
      </c>
      <c r="AB428" s="2"/>
      <c r="AC428" s="14">
        <f t="shared" si="103"/>
        <v>-295.01000000000931</v>
      </c>
      <c r="AD428" s="15">
        <f>IFERROR(AC428/AC444, "NA")</f>
        <v>-7.9854696447400845E-3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10564.5</v>
      </c>
      <c r="C429" s="15">
        <f>IFERROR(B429/B444, "NA")</f>
        <v>0.10163261548354066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-10564.5</v>
      </c>
      <c r="I429" s="15">
        <f>IFERROR(H429/H444, "NA")</f>
        <v>0.48937997509672249</v>
      </c>
      <c r="J429" s="2"/>
      <c r="K429" s="14">
        <f>IFERROR(K407+K408+K409+K410+K411+K412+K413+K414+K415+K416+K417+K418+K419+K420+K421+K422+K423+K424+K425+K426+K427, "NA")</f>
        <v>9839.56</v>
      </c>
      <c r="L429" s="15">
        <f>IFERROR(K429/K444, "NA")</f>
        <v>8.6444121084461881E-2</v>
      </c>
      <c r="M429" s="2"/>
      <c r="N429" s="14">
        <f t="shared" si="101"/>
        <v>-724.94000000000051</v>
      </c>
      <c r="O429" s="15">
        <f>IFERROR(N429/N444, "NA")</f>
        <v>7.3391281811426512E-2</v>
      </c>
      <c r="P429" s="2"/>
      <c r="Q429" s="14">
        <f>IFERROR(Q407+Q408+Q409+Q410+Q411+Q412+Q413+Q414+Q415+Q416+Q417+Q418+Q419+Q420+Q421+Q422+Q423+Q424+Q425+Q426+Q427, "NA")</f>
        <v>120519.12000000001</v>
      </c>
      <c r="R429" s="15">
        <f>IFERROR(Q429/Q444, "NA")</f>
        <v>8.9656934741519895E-2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-120519.12000000001</v>
      </c>
      <c r="X429" s="15">
        <f>IFERROR(W429/W444, "NA")</f>
        <v>0.80154308145950603</v>
      </c>
      <c r="Y429" s="2"/>
      <c r="Z429" s="14">
        <f>IFERROR(Z407+Z408+Z409+Z410+Z411+Z412+Z413+Z414+Z415+Z416+Z417+Z418+Z419+Z420+Z421+Z422+Z423+Z424+Z425+Z426+Z427, "NA")</f>
        <v>120224.11</v>
      </c>
      <c r="AA429" s="15">
        <f>IFERROR(Z429/Z444, "NA")</f>
        <v>9.1964942987241588E-2</v>
      </c>
      <c r="AB429" s="2"/>
      <c r="AC429" s="14">
        <f t="shared" si="103"/>
        <v>-295.01000000000931</v>
      </c>
      <c r="AD429" s="15">
        <f>IFERROR(AC429/AC444, "NA")</f>
        <v>-7.9854696447400845E-3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-24624.380000000026</v>
      </c>
      <c r="C443" s="24">
        <f>IFERROR(B443/B444, "NA")</f>
        <v>-0.2368914898064832</v>
      </c>
      <c r="D443" s="25"/>
      <c r="E443" s="23">
        <f>IFERROR(E404-E429-E442, "NA")</f>
        <v>6976.8199999999924</v>
      </c>
      <c r="F443" s="24">
        <f>IFERROR(E443/E444, "NA")</f>
        <v>5.5576492536570286E-2</v>
      </c>
      <c r="G443" s="25"/>
      <c r="H443" s="23">
        <f>IFERROR(B443-E443, "NA")</f>
        <v>-31601.200000000019</v>
      </c>
      <c r="I443" s="24">
        <f>IFERROR(H443/H444, "NA")</f>
        <v>1.4638643067846613</v>
      </c>
      <c r="J443" s="25"/>
      <c r="K443" s="23">
        <f>IFERROR(K404-K429-K442, "NA")</f>
        <v>-25644.580000000024</v>
      </c>
      <c r="L443" s="24">
        <f>IFERROR(K443/K444, "NA")</f>
        <v>-0.22529698265777856</v>
      </c>
      <c r="M443" s="25"/>
      <c r="N443" s="23">
        <f>IFERROR(B443-K443, "NA")</f>
        <v>1020.1999999999971</v>
      </c>
      <c r="O443" s="24">
        <f>IFERROR(N443/N444, "NA")</f>
        <v>-0.1032827347146206</v>
      </c>
      <c r="P443" s="25"/>
      <c r="Q443" s="23">
        <f>IFERROR(Q404-Q429-Q442, "NA")</f>
        <v>-196604.81000000006</v>
      </c>
      <c r="R443" s="24">
        <f>IFERROR(Q443/Q444, "NA")</f>
        <v>-0.14625882283274988</v>
      </c>
      <c r="S443" s="25"/>
      <c r="T443" s="23">
        <f>IFERROR(T404-T429-T442, "NA")</f>
        <v>106606.98999999993</v>
      </c>
      <c r="U443" s="24">
        <f>IFERROR(T443/T444, "NA")</f>
        <v>7.1328862854683733E-2</v>
      </c>
      <c r="V443" s="25"/>
      <c r="W443" s="23">
        <f>IFERROR(Q443-T443, "NA")</f>
        <v>-303211.8</v>
      </c>
      <c r="X443" s="24">
        <f>IFERROR(W443/W444, "NA")</f>
        <v>2.0165872477900888</v>
      </c>
      <c r="Y443" s="25"/>
      <c r="Z443" s="23">
        <f>IFERROR(Z404-Z429-Z442, "NA")</f>
        <v>-188250.23999999976</v>
      </c>
      <c r="AA443" s="24">
        <f>IFERROR(Z443/Z444, "NA")</f>
        <v>-0.14400125389935947</v>
      </c>
      <c r="AB443" s="25"/>
      <c r="AC443" s="23">
        <f>IFERROR(Q443-Z443, "NA")</f>
        <v>-8354.570000000298</v>
      </c>
      <c r="AD443" s="24">
        <f>IFERROR(AC443/AC444, "NA")</f>
        <v>-0.22614543618811714</v>
      </c>
    </row>
    <row r="444" spans="1:30" ht="15.75" hidden="1" x14ac:dyDescent="0.45">
      <c r="A444" s="26" t="s">
        <v>117</v>
      </c>
      <c r="B444" s="7">
        <v>103947.93</v>
      </c>
      <c r="C444" s="27"/>
      <c r="D444" s="9"/>
      <c r="E444" s="7">
        <v>125535.45</v>
      </c>
      <c r="F444" s="27"/>
      <c r="G444" s="9"/>
      <c r="H444" s="10">
        <f>IFERROR(B444-E444, "NA")</f>
        <v>-21587.520000000004</v>
      </c>
      <c r="I444" s="27"/>
      <c r="J444" s="9"/>
      <c r="K444" s="7">
        <v>113825.67</v>
      </c>
      <c r="L444" s="27"/>
      <c r="M444" s="9"/>
      <c r="N444" s="10">
        <f>IFERROR(B444-K444, "NA")</f>
        <v>-9877.7400000000052</v>
      </c>
      <c r="O444" s="27"/>
      <c r="P444" s="9"/>
      <c r="Q444" s="7">
        <v>1344225.3</v>
      </c>
      <c r="R444" s="27"/>
      <c r="S444" s="9"/>
      <c r="T444" s="7">
        <v>1494584.18</v>
      </c>
      <c r="U444" s="27"/>
      <c r="V444" s="9"/>
      <c r="W444" s="10">
        <f>IFERROR(Q444-T444, "NA")</f>
        <v>-150358.87999999989</v>
      </c>
      <c r="X444" s="27"/>
      <c r="Y444" s="9"/>
      <c r="Z444" s="7">
        <v>1307281.95</v>
      </c>
      <c r="AA444" s="27"/>
      <c r="AB444" s="9"/>
      <c r="AC444" s="10">
        <f>IFERROR(Q444-Z444, "NA")</f>
        <v>36943.350000000093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2026-04-07T02:04:10Z</dcterms:created>
  <dcterms:modified xsi:type="dcterms:W3CDTF">2026-04-07T02:04:41Z</dcterms:modified>
</cp:coreProperties>
</file>