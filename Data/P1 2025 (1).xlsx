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C22D8612-8DEF-4885-8EBD-CEEFC74DC9D3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AA442" i="7"/>
  <c r="Z442" i="7"/>
  <c r="T442" i="7"/>
  <c r="U442" i="7" s="1"/>
  <c r="R442" i="7"/>
  <c r="Q442" i="7"/>
  <c r="AC442" i="7" s="1"/>
  <c r="AD442" i="7" s="1"/>
  <c r="L442" i="7"/>
  <c r="K442" i="7"/>
  <c r="H442" i="7"/>
  <c r="I442" i="7" s="1"/>
  <c r="F442" i="7"/>
  <c r="E442" i="7"/>
  <c r="C442" i="7"/>
  <c r="B442" i="7"/>
  <c r="N442" i="7" s="1"/>
  <c r="O442" i="7" s="1"/>
  <c r="Z441" i="7"/>
  <c r="AA441" i="7" s="1"/>
  <c r="U441" i="7"/>
  <c r="T441" i="7"/>
  <c r="W441" i="7" s="1"/>
  <c r="X441" i="7" s="1"/>
  <c r="R441" i="7"/>
  <c r="Q441" i="7"/>
  <c r="AC441" i="7" s="1"/>
  <c r="AD441" i="7" s="1"/>
  <c r="L441" i="7"/>
  <c r="K441" i="7"/>
  <c r="F441" i="7"/>
  <c r="E441" i="7"/>
  <c r="B441" i="7"/>
  <c r="H441" i="7" s="1"/>
  <c r="I441" i="7" s="1"/>
  <c r="AD440" i="7"/>
  <c r="AC440" i="7"/>
  <c r="AA440" i="7"/>
  <c r="W440" i="7"/>
  <c r="X440" i="7" s="1"/>
  <c r="U440" i="7"/>
  <c r="R440" i="7"/>
  <c r="N440" i="7"/>
  <c r="O440" i="7" s="1"/>
  <c r="L440" i="7"/>
  <c r="I440" i="7"/>
  <c r="H440" i="7"/>
  <c r="F440" i="7"/>
  <c r="C440" i="7"/>
  <c r="AC439" i="7"/>
  <c r="AD439" i="7" s="1"/>
  <c r="AA439" i="7"/>
  <c r="W439" i="7"/>
  <c r="X439" i="7" s="1"/>
  <c r="U439" i="7"/>
  <c r="R439" i="7"/>
  <c r="N439" i="7"/>
  <c r="O439" i="7" s="1"/>
  <c r="L439" i="7"/>
  <c r="I439" i="7"/>
  <c r="H439" i="7"/>
  <c r="F439" i="7"/>
  <c r="C439" i="7"/>
  <c r="AD438" i="7"/>
  <c r="AC438" i="7"/>
  <c r="AA438" i="7"/>
  <c r="W438" i="7"/>
  <c r="X438" i="7" s="1"/>
  <c r="U438" i="7"/>
  <c r="R438" i="7"/>
  <c r="N438" i="7"/>
  <c r="O438" i="7" s="1"/>
  <c r="L438" i="7"/>
  <c r="H438" i="7"/>
  <c r="I438" i="7" s="1"/>
  <c r="F438" i="7"/>
  <c r="C438" i="7"/>
  <c r="AD437" i="7"/>
  <c r="AC437" i="7"/>
  <c r="AA437" i="7"/>
  <c r="W437" i="7"/>
  <c r="X437" i="7" s="1"/>
  <c r="U437" i="7"/>
  <c r="R437" i="7"/>
  <c r="N437" i="7"/>
  <c r="O437" i="7" s="1"/>
  <c r="L437" i="7"/>
  <c r="I437" i="7"/>
  <c r="H437" i="7"/>
  <c r="F437" i="7"/>
  <c r="C437" i="7"/>
  <c r="AD436" i="7"/>
  <c r="AC436" i="7"/>
  <c r="AA436" i="7"/>
  <c r="W436" i="7"/>
  <c r="X436" i="7" s="1"/>
  <c r="U436" i="7"/>
  <c r="R436" i="7"/>
  <c r="N436" i="7"/>
  <c r="O436" i="7" s="1"/>
  <c r="L436" i="7"/>
  <c r="I436" i="7"/>
  <c r="H436" i="7"/>
  <c r="F436" i="7"/>
  <c r="C436" i="7"/>
  <c r="AC435" i="7"/>
  <c r="AD435" i="7" s="1"/>
  <c r="AA435" i="7"/>
  <c r="W435" i="7"/>
  <c r="X435" i="7" s="1"/>
  <c r="U435" i="7"/>
  <c r="R435" i="7"/>
  <c r="N435" i="7"/>
  <c r="O435" i="7" s="1"/>
  <c r="L435" i="7"/>
  <c r="I435" i="7"/>
  <c r="H435" i="7"/>
  <c r="F435" i="7"/>
  <c r="C435" i="7"/>
  <c r="AD434" i="7"/>
  <c r="AC434" i="7"/>
  <c r="AA434" i="7"/>
  <c r="W434" i="7"/>
  <c r="X434" i="7" s="1"/>
  <c r="U434" i="7"/>
  <c r="R434" i="7"/>
  <c r="N434" i="7"/>
  <c r="O434" i="7" s="1"/>
  <c r="L434" i="7"/>
  <c r="H434" i="7"/>
  <c r="I434" i="7" s="1"/>
  <c r="F434" i="7"/>
  <c r="C434" i="7"/>
  <c r="AD433" i="7"/>
  <c r="AC433" i="7"/>
  <c r="AA433" i="7"/>
  <c r="W433" i="7"/>
  <c r="X433" i="7" s="1"/>
  <c r="U433" i="7"/>
  <c r="R433" i="7"/>
  <c r="N433" i="7"/>
  <c r="O433" i="7" s="1"/>
  <c r="L433" i="7"/>
  <c r="I433" i="7"/>
  <c r="H433" i="7"/>
  <c r="F433" i="7"/>
  <c r="C433" i="7"/>
  <c r="AD432" i="7"/>
  <c r="AC432" i="7"/>
  <c r="AA432" i="7"/>
  <c r="W432" i="7"/>
  <c r="X432" i="7" s="1"/>
  <c r="U432" i="7"/>
  <c r="R432" i="7"/>
  <c r="N432" i="7"/>
  <c r="O432" i="7" s="1"/>
  <c r="L432" i="7"/>
  <c r="I432" i="7"/>
  <c r="H432" i="7"/>
  <c r="F432" i="7"/>
  <c r="C432" i="7"/>
  <c r="AA429" i="7"/>
  <c r="Z429" i="7"/>
  <c r="U429" i="7"/>
  <c r="T429" i="7"/>
  <c r="Q429" i="7"/>
  <c r="W429" i="7" s="1"/>
  <c r="X429" i="7" s="1"/>
  <c r="L429" i="7"/>
  <c r="K429" i="7"/>
  <c r="E429" i="7"/>
  <c r="F429" i="7" s="1"/>
  <c r="C429" i="7"/>
  <c r="B429" i="7"/>
  <c r="N429" i="7" s="1"/>
  <c r="O429" i="7" s="1"/>
  <c r="AA428" i="7"/>
  <c r="Z428" i="7"/>
  <c r="W428" i="7"/>
  <c r="X428" i="7" s="1"/>
  <c r="U428" i="7"/>
  <c r="T428" i="7"/>
  <c r="R428" i="7"/>
  <c r="Q428" i="7"/>
  <c r="AC428" i="7" s="1"/>
  <c r="AD428" i="7" s="1"/>
  <c r="K428" i="7"/>
  <c r="L428" i="7" s="1"/>
  <c r="F428" i="7"/>
  <c r="E428" i="7"/>
  <c r="C428" i="7"/>
  <c r="B428" i="7"/>
  <c r="H428" i="7" s="1"/>
  <c r="I428" i="7" s="1"/>
  <c r="AC427" i="7"/>
  <c r="AD427" i="7" s="1"/>
  <c r="AA427" i="7"/>
  <c r="W427" i="7"/>
  <c r="X427" i="7" s="1"/>
  <c r="U427" i="7"/>
  <c r="R427" i="7"/>
  <c r="N427" i="7"/>
  <c r="O427" i="7" s="1"/>
  <c r="L427" i="7"/>
  <c r="I427" i="7"/>
  <c r="H427" i="7"/>
  <c r="F427" i="7"/>
  <c r="C427" i="7"/>
  <c r="AD426" i="7"/>
  <c r="AC426" i="7"/>
  <c r="AA426" i="7"/>
  <c r="W426" i="7"/>
  <c r="X426" i="7" s="1"/>
  <c r="U426" i="7"/>
  <c r="R426" i="7"/>
  <c r="N426" i="7"/>
  <c r="O426" i="7" s="1"/>
  <c r="L426" i="7"/>
  <c r="H426" i="7"/>
  <c r="I426" i="7" s="1"/>
  <c r="F426" i="7"/>
  <c r="C426" i="7"/>
  <c r="AD425" i="7"/>
  <c r="AC425" i="7"/>
  <c r="AA425" i="7"/>
  <c r="W425" i="7"/>
  <c r="X425" i="7" s="1"/>
  <c r="U425" i="7"/>
  <c r="R425" i="7"/>
  <c r="N425" i="7"/>
  <c r="O425" i="7" s="1"/>
  <c r="L425" i="7"/>
  <c r="I425" i="7"/>
  <c r="H425" i="7"/>
  <c r="F425" i="7"/>
  <c r="C425" i="7"/>
  <c r="AD424" i="7"/>
  <c r="AC424" i="7"/>
  <c r="AA424" i="7"/>
  <c r="W424" i="7"/>
  <c r="X424" i="7" s="1"/>
  <c r="U424" i="7"/>
  <c r="R424" i="7"/>
  <c r="N424" i="7"/>
  <c r="O424" i="7" s="1"/>
  <c r="L424" i="7"/>
  <c r="I424" i="7"/>
  <c r="H424" i="7"/>
  <c r="F424" i="7"/>
  <c r="C424" i="7"/>
  <c r="AC423" i="7"/>
  <c r="AD423" i="7" s="1"/>
  <c r="AA423" i="7"/>
  <c r="W423" i="7"/>
  <c r="X423" i="7" s="1"/>
  <c r="U423" i="7"/>
  <c r="R423" i="7"/>
  <c r="N423" i="7"/>
  <c r="O423" i="7" s="1"/>
  <c r="L423" i="7"/>
  <c r="I423" i="7"/>
  <c r="H423" i="7"/>
  <c r="F423" i="7"/>
  <c r="C423" i="7"/>
  <c r="AD422" i="7"/>
  <c r="AC422" i="7"/>
  <c r="AA422" i="7"/>
  <c r="W422" i="7"/>
  <c r="X422" i="7" s="1"/>
  <c r="U422" i="7"/>
  <c r="R422" i="7"/>
  <c r="N422" i="7"/>
  <c r="O422" i="7" s="1"/>
  <c r="L422" i="7"/>
  <c r="H422" i="7"/>
  <c r="I422" i="7" s="1"/>
  <c r="F422" i="7"/>
  <c r="C422" i="7"/>
  <c r="AD421" i="7"/>
  <c r="AC421" i="7"/>
  <c r="AA421" i="7"/>
  <c r="W421" i="7"/>
  <c r="X421" i="7" s="1"/>
  <c r="U421" i="7"/>
  <c r="R421" i="7"/>
  <c r="N421" i="7"/>
  <c r="O421" i="7" s="1"/>
  <c r="L421" i="7"/>
  <c r="I421" i="7"/>
  <c r="H421" i="7"/>
  <c r="F421" i="7"/>
  <c r="C421" i="7"/>
  <c r="AD420" i="7"/>
  <c r="AC420" i="7"/>
  <c r="AA420" i="7"/>
  <c r="W420" i="7"/>
  <c r="X420" i="7" s="1"/>
  <c r="U420" i="7"/>
  <c r="R420" i="7"/>
  <c r="N420" i="7"/>
  <c r="O420" i="7" s="1"/>
  <c r="L420" i="7"/>
  <c r="I420" i="7"/>
  <c r="H420" i="7"/>
  <c r="F420" i="7"/>
  <c r="C420" i="7"/>
  <c r="AC419" i="7"/>
  <c r="AD419" i="7" s="1"/>
  <c r="AA419" i="7"/>
  <c r="W419" i="7"/>
  <c r="X419" i="7" s="1"/>
  <c r="U419" i="7"/>
  <c r="R419" i="7"/>
  <c r="N419" i="7"/>
  <c r="O419" i="7" s="1"/>
  <c r="L419" i="7"/>
  <c r="I419" i="7"/>
  <c r="H419" i="7"/>
  <c r="F419" i="7"/>
  <c r="C419" i="7"/>
  <c r="AD418" i="7"/>
  <c r="AC418" i="7"/>
  <c r="AA418" i="7"/>
  <c r="W418" i="7"/>
  <c r="X418" i="7" s="1"/>
  <c r="U418" i="7"/>
  <c r="R418" i="7"/>
  <c r="N418" i="7"/>
  <c r="O418" i="7" s="1"/>
  <c r="L418" i="7"/>
  <c r="H418" i="7"/>
  <c r="I418" i="7" s="1"/>
  <c r="F418" i="7"/>
  <c r="C418" i="7"/>
  <c r="AD417" i="7"/>
  <c r="AC417" i="7"/>
  <c r="AA417" i="7"/>
  <c r="W417" i="7"/>
  <c r="X417" i="7" s="1"/>
  <c r="U417" i="7"/>
  <c r="R417" i="7"/>
  <c r="N417" i="7"/>
  <c r="O417" i="7" s="1"/>
  <c r="L417" i="7"/>
  <c r="I417" i="7"/>
  <c r="H417" i="7"/>
  <c r="F417" i="7"/>
  <c r="C417" i="7"/>
  <c r="AD416" i="7"/>
  <c r="AC416" i="7"/>
  <c r="AA416" i="7"/>
  <c r="W416" i="7"/>
  <c r="X416" i="7" s="1"/>
  <c r="U416" i="7"/>
  <c r="R416" i="7"/>
  <c r="N416" i="7"/>
  <c r="O416" i="7" s="1"/>
  <c r="L416" i="7"/>
  <c r="I416" i="7"/>
  <c r="H416" i="7"/>
  <c r="F416" i="7"/>
  <c r="C416" i="7"/>
  <c r="AC415" i="7"/>
  <c r="AD415" i="7" s="1"/>
  <c r="AA415" i="7"/>
  <c r="W415" i="7"/>
  <c r="X415" i="7" s="1"/>
  <c r="U415" i="7"/>
  <c r="R415" i="7"/>
  <c r="N415" i="7"/>
  <c r="O415" i="7" s="1"/>
  <c r="L415" i="7"/>
  <c r="I415" i="7"/>
  <c r="H415" i="7"/>
  <c r="F415" i="7"/>
  <c r="C415" i="7"/>
  <c r="AD414" i="7"/>
  <c r="AC414" i="7"/>
  <c r="AA414" i="7"/>
  <c r="X414" i="7"/>
  <c r="W414" i="7"/>
  <c r="U414" i="7"/>
  <c r="R414" i="7"/>
  <c r="N414" i="7"/>
  <c r="O414" i="7" s="1"/>
  <c r="L414" i="7"/>
  <c r="H414" i="7"/>
  <c r="I414" i="7" s="1"/>
  <c r="F414" i="7"/>
  <c r="C414" i="7"/>
  <c r="AD413" i="7"/>
  <c r="AC413" i="7"/>
  <c r="AA413" i="7"/>
  <c r="W413" i="7"/>
  <c r="X413" i="7" s="1"/>
  <c r="U413" i="7"/>
  <c r="R413" i="7"/>
  <c r="N413" i="7"/>
  <c r="O413" i="7" s="1"/>
  <c r="L413" i="7"/>
  <c r="I413" i="7"/>
  <c r="H413" i="7"/>
  <c r="F413" i="7"/>
  <c r="C413" i="7"/>
  <c r="AD412" i="7"/>
  <c r="AC412" i="7"/>
  <c r="AA412" i="7"/>
  <c r="W412" i="7"/>
  <c r="X412" i="7" s="1"/>
  <c r="U412" i="7"/>
  <c r="R412" i="7"/>
  <c r="N412" i="7"/>
  <c r="O412" i="7" s="1"/>
  <c r="L412" i="7"/>
  <c r="I412" i="7"/>
  <c r="H412" i="7"/>
  <c r="F412" i="7"/>
  <c r="C412" i="7"/>
  <c r="AC411" i="7"/>
  <c r="AD411" i="7" s="1"/>
  <c r="AA411" i="7"/>
  <c r="W411" i="7"/>
  <c r="X411" i="7" s="1"/>
  <c r="U411" i="7"/>
  <c r="R411" i="7"/>
  <c r="N411" i="7"/>
  <c r="O411" i="7" s="1"/>
  <c r="L411" i="7"/>
  <c r="I411" i="7"/>
  <c r="H411" i="7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D409" i="7"/>
  <c r="AC409" i="7"/>
  <c r="AA409" i="7"/>
  <c r="W409" i="7"/>
  <c r="X409" i="7" s="1"/>
  <c r="U409" i="7"/>
  <c r="R409" i="7"/>
  <c r="N409" i="7"/>
  <c r="O409" i="7" s="1"/>
  <c r="L409" i="7"/>
  <c r="I409" i="7"/>
  <c r="H409" i="7"/>
  <c r="F409" i="7"/>
  <c r="C409" i="7"/>
  <c r="AD408" i="7"/>
  <c r="AC408" i="7"/>
  <c r="AA408" i="7"/>
  <c r="W408" i="7"/>
  <c r="X408" i="7" s="1"/>
  <c r="U408" i="7"/>
  <c r="R408" i="7"/>
  <c r="N408" i="7"/>
  <c r="O408" i="7" s="1"/>
  <c r="L408" i="7"/>
  <c r="I408" i="7"/>
  <c r="H408" i="7"/>
  <c r="F408" i="7"/>
  <c r="C408" i="7"/>
  <c r="AD407" i="7"/>
  <c r="AC407" i="7"/>
  <c r="AA407" i="7"/>
  <c r="W407" i="7"/>
  <c r="X407" i="7" s="1"/>
  <c r="U407" i="7"/>
  <c r="R407" i="7"/>
  <c r="N407" i="7"/>
  <c r="O407" i="7" s="1"/>
  <c r="L407" i="7"/>
  <c r="I407" i="7"/>
  <c r="H407" i="7"/>
  <c r="F407" i="7"/>
  <c r="C407" i="7"/>
  <c r="AA403" i="7"/>
  <c r="Z403" i="7"/>
  <c r="U403" i="7"/>
  <c r="T403" i="7"/>
  <c r="R403" i="7"/>
  <c r="Q403" i="7"/>
  <c r="AC403" i="7" s="1"/>
  <c r="AD403" i="7" s="1"/>
  <c r="L403" i="7"/>
  <c r="K403" i="7"/>
  <c r="H403" i="7"/>
  <c r="I403" i="7" s="1"/>
  <c r="F403" i="7"/>
  <c r="E403" i="7"/>
  <c r="C403" i="7"/>
  <c r="B403" i="7"/>
  <c r="N403" i="7" s="1"/>
  <c r="O403" i="7" s="1"/>
  <c r="AD402" i="7"/>
  <c r="AC402" i="7"/>
  <c r="AA402" i="7"/>
  <c r="X402" i="7"/>
  <c r="W402" i="7"/>
  <c r="U402" i="7"/>
  <c r="R402" i="7"/>
  <c r="N402" i="7"/>
  <c r="O402" i="7" s="1"/>
  <c r="L402" i="7"/>
  <c r="I402" i="7"/>
  <c r="H402" i="7"/>
  <c r="F402" i="7"/>
  <c r="C402" i="7"/>
  <c r="AD401" i="7"/>
  <c r="AC401" i="7"/>
  <c r="AA401" i="7"/>
  <c r="W401" i="7"/>
  <c r="X401" i="7" s="1"/>
  <c r="U401" i="7"/>
  <c r="R401" i="7"/>
  <c r="N401" i="7"/>
  <c r="O401" i="7" s="1"/>
  <c r="L401" i="7"/>
  <c r="I401" i="7"/>
  <c r="H401" i="7"/>
  <c r="F401" i="7"/>
  <c r="C401" i="7"/>
  <c r="AD400" i="7"/>
  <c r="AC400" i="7"/>
  <c r="AA400" i="7"/>
  <c r="W400" i="7"/>
  <c r="X400" i="7" s="1"/>
  <c r="U400" i="7"/>
  <c r="R400" i="7"/>
  <c r="N400" i="7"/>
  <c r="O400" i="7" s="1"/>
  <c r="L400" i="7"/>
  <c r="I400" i="7"/>
  <c r="H400" i="7"/>
  <c r="F400" i="7"/>
  <c r="C400" i="7"/>
  <c r="AC399" i="7"/>
  <c r="AD399" i="7" s="1"/>
  <c r="AA399" i="7"/>
  <c r="W399" i="7"/>
  <c r="X399" i="7" s="1"/>
  <c r="U399" i="7"/>
  <c r="R399" i="7"/>
  <c r="N399" i="7"/>
  <c r="O399" i="7" s="1"/>
  <c r="L399" i="7"/>
  <c r="I399" i="7"/>
  <c r="H399" i="7"/>
  <c r="F399" i="7"/>
  <c r="C399" i="7"/>
  <c r="AD398" i="7"/>
  <c r="AC398" i="7"/>
  <c r="AA398" i="7"/>
  <c r="X398" i="7"/>
  <c r="W398" i="7"/>
  <c r="U398" i="7"/>
  <c r="R398" i="7"/>
  <c r="N398" i="7"/>
  <c r="O398" i="7" s="1"/>
  <c r="L398" i="7"/>
  <c r="H398" i="7"/>
  <c r="I398" i="7" s="1"/>
  <c r="F398" i="7"/>
  <c r="C398" i="7"/>
  <c r="AD397" i="7"/>
  <c r="AC397" i="7"/>
  <c r="AA397" i="7"/>
  <c r="W397" i="7"/>
  <c r="X397" i="7" s="1"/>
  <c r="U397" i="7"/>
  <c r="R397" i="7"/>
  <c r="N397" i="7"/>
  <c r="O397" i="7" s="1"/>
  <c r="L397" i="7"/>
  <c r="I397" i="7"/>
  <c r="H397" i="7"/>
  <c r="F397" i="7"/>
  <c r="C397" i="7"/>
  <c r="AD396" i="7"/>
  <c r="AA396" i="7"/>
  <c r="Z396" i="7"/>
  <c r="U396" i="7"/>
  <c r="T396" i="7"/>
  <c r="R396" i="7"/>
  <c r="Q396" i="7"/>
  <c r="AC396" i="7" s="1"/>
  <c r="L396" i="7"/>
  <c r="K396" i="7"/>
  <c r="I396" i="7"/>
  <c r="H396" i="7"/>
  <c r="F396" i="7"/>
  <c r="E396" i="7"/>
  <c r="C396" i="7"/>
  <c r="B396" i="7"/>
  <c r="N396" i="7" s="1"/>
  <c r="O396" i="7" s="1"/>
  <c r="AD395" i="7"/>
  <c r="AC395" i="7"/>
  <c r="AA395" i="7"/>
  <c r="W395" i="7"/>
  <c r="X395" i="7" s="1"/>
  <c r="U395" i="7"/>
  <c r="R395" i="7"/>
  <c r="N395" i="7"/>
  <c r="O395" i="7" s="1"/>
  <c r="L395" i="7"/>
  <c r="I395" i="7"/>
  <c r="H395" i="7"/>
  <c r="F395" i="7"/>
  <c r="C395" i="7"/>
  <c r="AD394" i="7"/>
  <c r="AC394" i="7"/>
  <c r="AA394" i="7"/>
  <c r="W394" i="7"/>
  <c r="X394" i="7" s="1"/>
  <c r="U394" i="7"/>
  <c r="R394" i="7"/>
  <c r="N394" i="7"/>
  <c r="O394" i="7" s="1"/>
  <c r="L394" i="7"/>
  <c r="I394" i="7"/>
  <c r="H394" i="7"/>
  <c r="F394" i="7"/>
  <c r="C394" i="7"/>
  <c r="AA393" i="7"/>
  <c r="Z393" i="7"/>
  <c r="U393" i="7"/>
  <c r="T393" i="7"/>
  <c r="R393" i="7"/>
  <c r="Q393" i="7"/>
  <c r="AC393" i="7" s="1"/>
  <c r="AD393" i="7" s="1"/>
  <c r="L393" i="7"/>
  <c r="K393" i="7"/>
  <c r="H393" i="7"/>
  <c r="I393" i="7" s="1"/>
  <c r="F393" i="7"/>
  <c r="E393" i="7"/>
  <c r="C393" i="7"/>
  <c r="B393" i="7"/>
  <c r="N393" i="7" s="1"/>
  <c r="O393" i="7" s="1"/>
  <c r="AD392" i="7"/>
  <c r="AC392" i="7"/>
  <c r="AA392" i="7"/>
  <c r="W392" i="7"/>
  <c r="X392" i="7" s="1"/>
  <c r="U392" i="7"/>
  <c r="R392" i="7"/>
  <c r="N392" i="7"/>
  <c r="O392" i="7" s="1"/>
  <c r="L392" i="7"/>
  <c r="I392" i="7"/>
  <c r="H392" i="7"/>
  <c r="F392" i="7"/>
  <c r="C392" i="7"/>
  <c r="AD391" i="7"/>
  <c r="AC391" i="7"/>
  <c r="AA391" i="7"/>
  <c r="W391" i="7"/>
  <c r="X391" i="7" s="1"/>
  <c r="U391" i="7"/>
  <c r="R391" i="7"/>
  <c r="N391" i="7"/>
  <c r="O391" i="7" s="1"/>
  <c r="L391" i="7"/>
  <c r="I391" i="7"/>
  <c r="H391" i="7"/>
  <c r="F391" i="7"/>
  <c r="C391" i="7"/>
  <c r="AD390" i="7"/>
  <c r="AC390" i="7"/>
  <c r="AA390" i="7"/>
  <c r="W390" i="7"/>
  <c r="X390" i="7" s="1"/>
  <c r="U390" i="7"/>
  <c r="R390" i="7"/>
  <c r="O390" i="7"/>
  <c r="N390" i="7"/>
  <c r="L390" i="7"/>
  <c r="I390" i="7"/>
  <c r="H390" i="7"/>
  <c r="F390" i="7"/>
  <c r="C390" i="7"/>
  <c r="AC389" i="7"/>
  <c r="AD389" i="7" s="1"/>
  <c r="AA389" i="7"/>
  <c r="W389" i="7"/>
  <c r="X389" i="7" s="1"/>
  <c r="U389" i="7"/>
  <c r="R389" i="7"/>
  <c r="N389" i="7"/>
  <c r="O389" i="7" s="1"/>
  <c r="L389" i="7"/>
  <c r="I389" i="7"/>
  <c r="H389" i="7"/>
  <c r="F389" i="7"/>
  <c r="C389" i="7"/>
  <c r="AD388" i="7"/>
  <c r="AC388" i="7"/>
  <c r="AA388" i="7"/>
  <c r="X388" i="7"/>
  <c r="W388" i="7"/>
  <c r="U388" i="7"/>
  <c r="R388" i="7"/>
  <c r="N388" i="7"/>
  <c r="O388" i="7" s="1"/>
  <c r="L388" i="7"/>
  <c r="H388" i="7"/>
  <c r="I388" i="7" s="1"/>
  <c r="F388" i="7"/>
  <c r="C388" i="7"/>
  <c r="AD386" i="7"/>
  <c r="AC386" i="7"/>
  <c r="AA386" i="7"/>
  <c r="W386" i="7"/>
  <c r="X386" i="7" s="1"/>
  <c r="U386" i="7"/>
  <c r="R386" i="7"/>
  <c r="N386" i="7"/>
  <c r="O386" i="7" s="1"/>
  <c r="L386" i="7"/>
  <c r="I386" i="7"/>
  <c r="H386" i="7"/>
  <c r="F386" i="7"/>
  <c r="C386" i="7"/>
  <c r="AD385" i="7"/>
  <c r="AC385" i="7"/>
  <c r="AA385" i="7"/>
  <c r="W385" i="7"/>
  <c r="X385" i="7" s="1"/>
  <c r="U385" i="7"/>
  <c r="R385" i="7"/>
  <c r="O385" i="7"/>
  <c r="N385" i="7"/>
  <c r="L385" i="7"/>
  <c r="I385" i="7"/>
  <c r="H385" i="7"/>
  <c r="F385" i="7"/>
  <c r="C385" i="7"/>
  <c r="AD383" i="7"/>
  <c r="AC383" i="7"/>
  <c r="AA383" i="7"/>
  <c r="W383" i="7"/>
  <c r="X383" i="7" s="1"/>
  <c r="U383" i="7"/>
  <c r="R383" i="7"/>
  <c r="N383" i="7"/>
  <c r="O383" i="7" s="1"/>
  <c r="L383" i="7"/>
  <c r="I383" i="7"/>
  <c r="H383" i="7"/>
  <c r="F383" i="7"/>
  <c r="C383" i="7"/>
  <c r="AD382" i="7"/>
  <c r="AC382" i="7"/>
  <c r="AA382" i="7"/>
  <c r="X382" i="7"/>
  <c r="W382" i="7"/>
  <c r="U382" i="7"/>
  <c r="R382" i="7"/>
  <c r="N382" i="7"/>
  <c r="O382" i="7" s="1"/>
  <c r="L382" i="7"/>
  <c r="I382" i="7"/>
  <c r="H382" i="7"/>
  <c r="F382" i="7"/>
  <c r="C382" i="7"/>
  <c r="AD381" i="7"/>
  <c r="AC381" i="7"/>
  <c r="AA381" i="7"/>
  <c r="W381" i="7"/>
  <c r="X381" i="7" s="1"/>
  <c r="U381" i="7"/>
  <c r="R381" i="7"/>
  <c r="N381" i="7"/>
  <c r="O381" i="7" s="1"/>
  <c r="L381" i="7"/>
  <c r="I381" i="7"/>
  <c r="H381" i="7"/>
  <c r="F381" i="7"/>
  <c r="C381" i="7"/>
  <c r="AD380" i="7"/>
  <c r="AC380" i="7"/>
  <c r="AA380" i="7"/>
  <c r="W380" i="7"/>
  <c r="X380" i="7" s="1"/>
  <c r="U380" i="7"/>
  <c r="R380" i="7"/>
  <c r="N380" i="7"/>
  <c r="O380" i="7" s="1"/>
  <c r="L380" i="7"/>
  <c r="I380" i="7"/>
  <c r="H380" i="7"/>
  <c r="F380" i="7"/>
  <c r="C380" i="7"/>
  <c r="AC379" i="7"/>
  <c r="AD379" i="7" s="1"/>
  <c r="AA379" i="7"/>
  <c r="W379" i="7"/>
  <c r="X379" i="7" s="1"/>
  <c r="U379" i="7"/>
  <c r="R379" i="7"/>
  <c r="N379" i="7"/>
  <c r="O379" i="7" s="1"/>
  <c r="L379" i="7"/>
  <c r="I379" i="7"/>
  <c r="H379" i="7"/>
  <c r="F379" i="7"/>
  <c r="C379" i="7"/>
  <c r="AD378" i="7"/>
  <c r="AC378" i="7"/>
  <c r="AA378" i="7"/>
  <c r="X378" i="7"/>
  <c r="W378" i="7"/>
  <c r="U378" i="7"/>
  <c r="R378" i="7"/>
  <c r="N378" i="7"/>
  <c r="O378" i="7" s="1"/>
  <c r="L378" i="7"/>
  <c r="H378" i="7"/>
  <c r="I378" i="7" s="1"/>
  <c r="F378" i="7"/>
  <c r="C378" i="7"/>
  <c r="AD377" i="7"/>
  <c r="AC377" i="7"/>
  <c r="AA377" i="7"/>
  <c r="W377" i="7"/>
  <c r="X377" i="7" s="1"/>
  <c r="U377" i="7"/>
  <c r="R377" i="7"/>
  <c r="N377" i="7"/>
  <c r="O377" i="7" s="1"/>
  <c r="L377" i="7"/>
  <c r="I377" i="7"/>
  <c r="H377" i="7"/>
  <c r="F377" i="7"/>
  <c r="C377" i="7"/>
  <c r="AD376" i="7"/>
  <c r="AC376" i="7"/>
  <c r="AA376" i="7"/>
  <c r="W376" i="7"/>
  <c r="X376" i="7" s="1"/>
  <c r="U376" i="7"/>
  <c r="R376" i="7"/>
  <c r="N376" i="7"/>
  <c r="O376" i="7" s="1"/>
  <c r="L376" i="7"/>
  <c r="I376" i="7"/>
  <c r="H376" i="7"/>
  <c r="F376" i="7"/>
  <c r="C376" i="7"/>
  <c r="AC375" i="7"/>
  <c r="AD375" i="7" s="1"/>
  <c r="AA375" i="7"/>
  <c r="W375" i="7"/>
  <c r="X375" i="7" s="1"/>
  <c r="U375" i="7"/>
  <c r="R375" i="7"/>
  <c r="N375" i="7"/>
  <c r="O375" i="7" s="1"/>
  <c r="L375" i="7"/>
  <c r="I375" i="7"/>
  <c r="H375" i="7"/>
  <c r="F375" i="7"/>
  <c r="C375" i="7"/>
  <c r="AD374" i="7"/>
  <c r="AC374" i="7"/>
  <c r="AA374" i="7"/>
  <c r="W374" i="7"/>
  <c r="X374" i="7" s="1"/>
  <c r="U374" i="7"/>
  <c r="R374" i="7"/>
  <c r="N374" i="7"/>
  <c r="O374" i="7" s="1"/>
  <c r="L374" i="7"/>
  <c r="I374" i="7"/>
  <c r="H374" i="7"/>
  <c r="F374" i="7"/>
  <c r="C374" i="7"/>
  <c r="AD373" i="7"/>
  <c r="AC373" i="7"/>
  <c r="AA373" i="7"/>
  <c r="W373" i="7"/>
  <c r="X373" i="7" s="1"/>
  <c r="U373" i="7"/>
  <c r="R373" i="7"/>
  <c r="N373" i="7"/>
  <c r="O373" i="7" s="1"/>
  <c r="L373" i="7"/>
  <c r="I373" i="7"/>
  <c r="H373" i="7"/>
  <c r="F373" i="7"/>
  <c r="C373" i="7"/>
  <c r="AD372" i="7"/>
  <c r="AC372" i="7"/>
  <c r="AA372" i="7"/>
  <c r="W372" i="7"/>
  <c r="X372" i="7" s="1"/>
  <c r="U372" i="7"/>
  <c r="R372" i="7"/>
  <c r="N372" i="7"/>
  <c r="O372" i="7" s="1"/>
  <c r="L372" i="7"/>
  <c r="I372" i="7"/>
  <c r="H372" i="7"/>
  <c r="F372" i="7"/>
  <c r="C372" i="7"/>
  <c r="AD371" i="7"/>
  <c r="AC371" i="7"/>
  <c r="AA371" i="7"/>
  <c r="W371" i="7"/>
  <c r="X371" i="7" s="1"/>
  <c r="U371" i="7"/>
  <c r="R371" i="7"/>
  <c r="N371" i="7"/>
  <c r="O371" i="7" s="1"/>
  <c r="L371" i="7"/>
  <c r="I371" i="7"/>
  <c r="H371" i="7"/>
  <c r="F371" i="7"/>
  <c r="C371" i="7"/>
  <c r="AD370" i="7"/>
  <c r="AC370" i="7"/>
  <c r="AA370" i="7"/>
  <c r="W370" i="7"/>
  <c r="X370" i="7" s="1"/>
  <c r="U370" i="7"/>
  <c r="R370" i="7"/>
  <c r="N370" i="7"/>
  <c r="O370" i="7" s="1"/>
  <c r="L370" i="7"/>
  <c r="H370" i="7"/>
  <c r="I370" i="7" s="1"/>
  <c r="F370" i="7"/>
  <c r="C370" i="7"/>
  <c r="AD369" i="7"/>
  <c r="AC369" i="7"/>
  <c r="AA369" i="7"/>
  <c r="W369" i="7"/>
  <c r="X369" i="7" s="1"/>
  <c r="U369" i="7"/>
  <c r="R369" i="7"/>
  <c r="N369" i="7"/>
  <c r="O369" i="7" s="1"/>
  <c r="L369" i="7"/>
  <c r="I369" i="7"/>
  <c r="H369" i="7"/>
  <c r="F369" i="7"/>
  <c r="C369" i="7"/>
  <c r="AD368" i="7"/>
  <c r="AA368" i="7"/>
  <c r="Z368" i="7"/>
  <c r="T368" i="7"/>
  <c r="U368" i="7" s="1"/>
  <c r="R368" i="7"/>
  <c r="Q368" i="7"/>
  <c r="AC368" i="7" s="1"/>
  <c r="L368" i="7"/>
  <c r="K368" i="7"/>
  <c r="H368" i="7"/>
  <c r="I368" i="7" s="1"/>
  <c r="F368" i="7"/>
  <c r="E368" i="7"/>
  <c r="C368" i="7"/>
  <c r="B368" i="7"/>
  <c r="N368" i="7" s="1"/>
  <c r="O368" i="7" s="1"/>
  <c r="AD367" i="7"/>
  <c r="AC367" i="7"/>
  <c r="AA367" i="7"/>
  <c r="X367" i="7"/>
  <c r="W367" i="7"/>
  <c r="U367" i="7"/>
  <c r="R367" i="7"/>
  <c r="N367" i="7"/>
  <c r="O367" i="7" s="1"/>
  <c r="L367" i="7"/>
  <c r="H367" i="7"/>
  <c r="I367" i="7" s="1"/>
  <c r="F367" i="7"/>
  <c r="C367" i="7"/>
  <c r="AD366" i="7"/>
  <c r="AC366" i="7"/>
  <c r="AA366" i="7"/>
  <c r="W366" i="7"/>
  <c r="X366" i="7" s="1"/>
  <c r="U366" i="7"/>
  <c r="R366" i="7"/>
  <c r="N366" i="7"/>
  <c r="O366" i="7" s="1"/>
  <c r="L366" i="7"/>
  <c r="I366" i="7"/>
  <c r="H366" i="7"/>
  <c r="F366" i="7"/>
  <c r="C366" i="7"/>
  <c r="AD365" i="7"/>
  <c r="AC365" i="7"/>
  <c r="AA365" i="7"/>
  <c r="W365" i="7"/>
  <c r="X365" i="7" s="1"/>
  <c r="U365" i="7"/>
  <c r="R365" i="7"/>
  <c r="N365" i="7"/>
  <c r="O365" i="7" s="1"/>
  <c r="L365" i="7"/>
  <c r="I365" i="7"/>
  <c r="H365" i="7"/>
  <c r="F365" i="7"/>
  <c r="C365" i="7"/>
  <c r="AD364" i="7"/>
  <c r="AC364" i="7"/>
  <c r="AA364" i="7"/>
  <c r="W364" i="7"/>
  <c r="X364" i="7" s="1"/>
  <c r="U364" i="7"/>
  <c r="R364" i="7"/>
  <c r="N364" i="7"/>
  <c r="O364" i="7" s="1"/>
  <c r="L364" i="7"/>
  <c r="I364" i="7"/>
  <c r="H364" i="7"/>
  <c r="F364" i="7"/>
  <c r="C364" i="7"/>
  <c r="AD363" i="7"/>
  <c r="AC363" i="7"/>
  <c r="AA363" i="7"/>
  <c r="X363" i="7"/>
  <c r="W363" i="7"/>
  <c r="U363" i="7"/>
  <c r="R363" i="7"/>
  <c r="N363" i="7"/>
  <c r="O363" i="7" s="1"/>
  <c r="L363" i="7"/>
  <c r="H363" i="7"/>
  <c r="I363" i="7" s="1"/>
  <c r="F363" i="7"/>
  <c r="C363" i="7"/>
  <c r="AD362" i="7"/>
  <c r="AC362" i="7"/>
  <c r="AA362" i="7"/>
  <c r="W362" i="7"/>
  <c r="X362" i="7" s="1"/>
  <c r="U362" i="7"/>
  <c r="R362" i="7"/>
  <c r="N362" i="7"/>
  <c r="O362" i="7" s="1"/>
  <c r="L362" i="7"/>
  <c r="I362" i="7"/>
  <c r="H362" i="7"/>
  <c r="F362" i="7"/>
  <c r="C362" i="7"/>
  <c r="AD361" i="7"/>
  <c r="AC361" i="7"/>
  <c r="AA361" i="7"/>
  <c r="W361" i="7"/>
  <c r="X361" i="7" s="1"/>
  <c r="U361" i="7"/>
  <c r="R361" i="7"/>
  <c r="N361" i="7"/>
  <c r="O361" i="7" s="1"/>
  <c r="L361" i="7"/>
  <c r="I361" i="7"/>
  <c r="H361" i="7"/>
  <c r="F361" i="7"/>
  <c r="C361" i="7"/>
  <c r="AD360" i="7"/>
  <c r="AC360" i="7"/>
  <c r="AA360" i="7"/>
  <c r="W360" i="7"/>
  <c r="X360" i="7" s="1"/>
  <c r="U360" i="7"/>
  <c r="R360" i="7"/>
  <c r="N360" i="7"/>
  <c r="O360" i="7" s="1"/>
  <c r="L360" i="7"/>
  <c r="I360" i="7"/>
  <c r="H360" i="7"/>
  <c r="F360" i="7"/>
  <c r="C360" i="7"/>
  <c r="AA358" i="7"/>
  <c r="Z358" i="7"/>
  <c r="X358" i="7"/>
  <c r="W358" i="7"/>
  <c r="U358" i="7"/>
  <c r="T358" i="7"/>
  <c r="R358" i="7"/>
  <c r="Q358" i="7"/>
  <c r="AC358" i="7" s="1"/>
  <c r="AD358" i="7" s="1"/>
  <c r="L358" i="7"/>
  <c r="K358" i="7"/>
  <c r="F358" i="7"/>
  <c r="E358" i="7"/>
  <c r="B358" i="7"/>
  <c r="H358" i="7" s="1"/>
  <c r="I358" i="7" s="1"/>
  <c r="AD357" i="7"/>
  <c r="AC357" i="7"/>
  <c r="AA357" i="7"/>
  <c r="W357" i="7"/>
  <c r="X357" i="7" s="1"/>
  <c r="U357" i="7"/>
  <c r="R357" i="7"/>
  <c r="N357" i="7"/>
  <c r="O357" i="7" s="1"/>
  <c r="L357" i="7"/>
  <c r="I357" i="7"/>
  <c r="H357" i="7"/>
  <c r="F357" i="7"/>
  <c r="C357" i="7"/>
  <c r="AC356" i="7"/>
  <c r="AD356" i="7" s="1"/>
  <c r="AA356" i="7"/>
  <c r="W356" i="7"/>
  <c r="X356" i="7" s="1"/>
  <c r="U356" i="7"/>
  <c r="R356" i="7"/>
  <c r="N356" i="7"/>
  <c r="O356" i="7" s="1"/>
  <c r="L356" i="7"/>
  <c r="I356" i="7"/>
  <c r="H356" i="7"/>
  <c r="F356" i="7"/>
  <c r="C356" i="7"/>
  <c r="AD355" i="7"/>
  <c r="AC355" i="7"/>
  <c r="AA355" i="7"/>
  <c r="W355" i="7"/>
  <c r="X355" i="7" s="1"/>
  <c r="U355" i="7"/>
  <c r="R355" i="7"/>
  <c r="N355" i="7"/>
  <c r="O355" i="7" s="1"/>
  <c r="L355" i="7"/>
  <c r="H355" i="7"/>
  <c r="I355" i="7" s="1"/>
  <c r="F355" i="7"/>
  <c r="C355" i="7"/>
  <c r="AD354" i="7"/>
  <c r="AC354" i="7"/>
  <c r="AA354" i="7"/>
  <c r="W354" i="7"/>
  <c r="X354" i="7" s="1"/>
  <c r="U354" i="7"/>
  <c r="R354" i="7"/>
  <c r="N354" i="7"/>
  <c r="O354" i="7" s="1"/>
  <c r="L354" i="7"/>
  <c r="I354" i="7"/>
  <c r="H354" i="7"/>
  <c r="F354" i="7"/>
  <c r="C354" i="7"/>
  <c r="AD353" i="7"/>
  <c r="AC353" i="7"/>
  <c r="AA353" i="7"/>
  <c r="W353" i="7"/>
  <c r="X353" i="7" s="1"/>
  <c r="U353" i="7"/>
  <c r="R353" i="7"/>
  <c r="O353" i="7"/>
  <c r="N353" i="7"/>
  <c r="L353" i="7"/>
  <c r="I353" i="7"/>
  <c r="H353" i="7"/>
  <c r="F353" i="7"/>
  <c r="C353" i="7"/>
  <c r="AC352" i="7"/>
  <c r="AD352" i="7" s="1"/>
  <c r="AA352" i="7"/>
  <c r="W352" i="7"/>
  <c r="X352" i="7" s="1"/>
  <c r="U352" i="7"/>
  <c r="R352" i="7"/>
  <c r="N352" i="7"/>
  <c r="O352" i="7" s="1"/>
  <c r="L352" i="7"/>
  <c r="I352" i="7"/>
  <c r="H352" i="7"/>
  <c r="F352" i="7"/>
  <c r="C352" i="7"/>
  <c r="AD351" i="7"/>
  <c r="AC351" i="7"/>
  <c r="AA351" i="7"/>
  <c r="W351" i="7"/>
  <c r="X351" i="7" s="1"/>
  <c r="U351" i="7"/>
  <c r="R351" i="7"/>
  <c r="N351" i="7"/>
  <c r="O351" i="7" s="1"/>
  <c r="L351" i="7"/>
  <c r="I351" i="7"/>
  <c r="H351" i="7"/>
  <c r="F351" i="7"/>
  <c r="C351" i="7"/>
  <c r="AD350" i="7"/>
  <c r="AC350" i="7"/>
  <c r="AA350" i="7"/>
  <c r="W350" i="7"/>
  <c r="X350" i="7" s="1"/>
  <c r="U350" i="7"/>
  <c r="R350" i="7"/>
  <c r="N350" i="7"/>
  <c r="O350" i="7" s="1"/>
  <c r="L350" i="7"/>
  <c r="I350" i="7"/>
  <c r="H350" i="7"/>
  <c r="F350" i="7"/>
  <c r="C350" i="7"/>
  <c r="AD349" i="7"/>
  <c r="AC349" i="7"/>
  <c r="AA349" i="7"/>
  <c r="W349" i="7"/>
  <c r="X349" i="7" s="1"/>
  <c r="U349" i="7"/>
  <c r="R349" i="7"/>
  <c r="N349" i="7"/>
  <c r="O349" i="7" s="1"/>
  <c r="L349" i="7"/>
  <c r="I349" i="7"/>
  <c r="H349" i="7"/>
  <c r="F349" i="7"/>
  <c r="C349" i="7"/>
  <c r="AD347" i="7"/>
  <c r="AC347" i="7"/>
  <c r="AA347" i="7"/>
  <c r="W347" i="7"/>
  <c r="X347" i="7" s="1"/>
  <c r="U347" i="7"/>
  <c r="R347" i="7"/>
  <c r="N347" i="7"/>
  <c r="O347" i="7" s="1"/>
  <c r="L347" i="7"/>
  <c r="I347" i="7"/>
  <c r="H347" i="7"/>
  <c r="F347" i="7"/>
  <c r="C347" i="7"/>
  <c r="AD344" i="7"/>
  <c r="AA344" i="7"/>
  <c r="Z344" i="7"/>
  <c r="T344" i="7"/>
  <c r="U344" i="7" s="1"/>
  <c r="R344" i="7"/>
  <c r="Q344" i="7"/>
  <c r="AC344" i="7" s="1"/>
  <c r="L344" i="7"/>
  <c r="K344" i="7"/>
  <c r="H344" i="7"/>
  <c r="I344" i="7" s="1"/>
  <c r="F344" i="7"/>
  <c r="E344" i="7"/>
  <c r="C344" i="7"/>
  <c r="B344" i="7"/>
  <c r="N344" i="7" s="1"/>
  <c r="O344" i="7" s="1"/>
  <c r="AA343" i="7"/>
  <c r="Z343" i="7"/>
  <c r="X343" i="7"/>
  <c r="W343" i="7"/>
  <c r="U343" i="7"/>
  <c r="T343" i="7"/>
  <c r="R343" i="7"/>
  <c r="Q343" i="7"/>
  <c r="AC343" i="7" s="1"/>
  <c r="AD343" i="7" s="1"/>
  <c r="L343" i="7"/>
  <c r="K343" i="7"/>
  <c r="F343" i="7"/>
  <c r="E343" i="7"/>
  <c r="C343" i="7"/>
  <c r="B343" i="7"/>
  <c r="AA342" i="7"/>
  <c r="Z342" i="7"/>
  <c r="T342" i="7"/>
  <c r="U342" i="7" s="1"/>
  <c r="R342" i="7"/>
  <c r="Q342" i="7"/>
  <c r="AC342" i="7" s="1"/>
  <c r="AD342" i="7" s="1"/>
  <c r="L342" i="7"/>
  <c r="K342" i="7"/>
  <c r="H342" i="7"/>
  <c r="I342" i="7" s="1"/>
  <c r="F342" i="7"/>
  <c r="E342" i="7"/>
  <c r="C342" i="7"/>
  <c r="B342" i="7"/>
  <c r="N342" i="7" s="1"/>
  <c r="O342" i="7" s="1"/>
  <c r="AD341" i="7"/>
  <c r="AC341" i="7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D340" i="7"/>
  <c r="AC340" i="7"/>
  <c r="AA340" i="7"/>
  <c r="W340" i="7"/>
  <c r="X340" i="7" s="1"/>
  <c r="U340" i="7"/>
  <c r="R340" i="7"/>
  <c r="N340" i="7"/>
  <c r="O340" i="7" s="1"/>
  <c r="L340" i="7"/>
  <c r="I340" i="7"/>
  <c r="H340" i="7"/>
  <c r="F340" i="7"/>
  <c r="C340" i="7"/>
  <c r="AD339" i="7"/>
  <c r="AC339" i="7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N338" i="7"/>
  <c r="O338" i="7" s="1"/>
  <c r="L338" i="7"/>
  <c r="I338" i="7"/>
  <c r="H338" i="7"/>
  <c r="F338" i="7"/>
  <c r="C338" i="7"/>
  <c r="AD337" i="7"/>
  <c r="AC337" i="7"/>
  <c r="AA337" i="7"/>
  <c r="W337" i="7"/>
  <c r="X337" i="7" s="1"/>
  <c r="U337" i="7"/>
  <c r="R337" i="7"/>
  <c r="N337" i="7"/>
  <c r="O337" i="7" s="1"/>
  <c r="L337" i="7"/>
  <c r="H337" i="7"/>
  <c r="I337" i="7" s="1"/>
  <c r="F337" i="7"/>
  <c r="C337" i="7"/>
  <c r="AD335" i="7"/>
  <c r="AC335" i="7"/>
  <c r="AA335" i="7"/>
  <c r="W335" i="7"/>
  <c r="X335" i="7" s="1"/>
  <c r="U335" i="7"/>
  <c r="R335" i="7"/>
  <c r="N335" i="7"/>
  <c r="O335" i="7" s="1"/>
  <c r="L335" i="7"/>
  <c r="I335" i="7"/>
  <c r="H335" i="7"/>
  <c r="F335" i="7"/>
  <c r="C335" i="7"/>
  <c r="AD334" i="7"/>
  <c r="AC334" i="7"/>
  <c r="AA334" i="7"/>
  <c r="W334" i="7"/>
  <c r="X334" i="7" s="1"/>
  <c r="U334" i="7"/>
  <c r="R334" i="7"/>
  <c r="N334" i="7"/>
  <c r="O334" i="7" s="1"/>
  <c r="L334" i="7"/>
  <c r="I334" i="7"/>
  <c r="H334" i="7"/>
  <c r="F334" i="7"/>
  <c r="C334" i="7"/>
  <c r="AD333" i="7"/>
  <c r="AC333" i="7"/>
  <c r="AA333" i="7"/>
  <c r="W333" i="7"/>
  <c r="X333" i="7" s="1"/>
  <c r="U333" i="7"/>
  <c r="R333" i="7"/>
  <c r="N333" i="7"/>
  <c r="O333" i="7" s="1"/>
  <c r="L333" i="7"/>
  <c r="I333" i="7"/>
  <c r="H333" i="7"/>
  <c r="F333" i="7"/>
  <c r="C333" i="7"/>
  <c r="AD332" i="7"/>
  <c r="AC332" i="7"/>
  <c r="AA332" i="7"/>
  <c r="W332" i="7"/>
  <c r="X332" i="7" s="1"/>
  <c r="U332" i="7"/>
  <c r="R332" i="7"/>
  <c r="N332" i="7"/>
  <c r="O332" i="7" s="1"/>
  <c r="L332" i="7"/>
  <c r="I332" i="7"/>
  <c r="H332" i="7"/>
  <c r="F332" i="7"/>
  <c r="C332" i="7"/>
  <c r="AD331" i="7"/>
  <c r="AC331" i="7"/>
  <c r="AA331" i="7"/>
  <c r="W331" i="7"/>
  <c r="X331" i="7" s="1"/>
  <c r="U331" i="7"/>
  <c r="R331" i="7"/>
  <c r="N331" i="7"/>
  <c r="O331" i="7" s="1"/>
  <c r="L331" i="7"/>
  <c r="I331" i="7"/>
  <c r="H331" i="7"/>
  <c r="F331" i="7"/>
  <c r="C331" i="7"/>
  <c r="AD330" i="7"/>
  <c r="AC330" i="7"/>
  <c r="AA330" i="7"/>
  <c r="W330" i="7"/>
  <c r="X330" i="7" s="1"/>
  <c r="U330" i="7"/>
  <c r="R330" i="7"/>
  <c r="N330" i="7"/>
  <c r="O330" i="7" s="1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N329" i="7"/>
  <c r="O329" i="7" s="1"/>
  <c r="L329" i="7"/>
  <c r="I329" i="7"/>
  <c r="H329" i="7"/>
  <c r="F329" i="7"/>
  <c r="C329" i="7"/>
  <c r="AD328" i="7"/>
  <c r="AC328" i="7"/>
  <c r="AA328" i="7"/>
  <c r="W328" i="7"/>
  <c r="X328" i="7" s="1"/>
  <c r="U328" i="7"/>
  <c r="R328" i="7"/>
  <c r="N328" i="7"/>
  <c r="O328" i="7" s="1"/>
  <c r="L328" i="7"/>
  <c r="H328" i="7"/>
  <c r="I328" i="7" s="1"/>
  <c r="F328" i="7"/>
  <c r="C328" i="7"/>
  <c r="AA325" i="7"/>
  <c r="Z325" i="7"/>
  <c r="X325" i="7"/>
  <c r="W325" i="7"/>
  <c r="U325" i="7"/>
  <c r="T325" i="7"/>
  <c r="R325" i="7"/>
  <c r="Q325" i="7"/>
  <c r="AC325" i="7" s="1"/>
  <c r="AD325" i="7" s="1"/>
  <c r="K325" i="7"/>
  <c r="L325" i="7" s="1"/>
  <c r="I325" i="7"/>
  <c r="H325" i="7"/>
  <c r="F325" i="7"/>
  <c r="E325" i="7"/>
  <c r="C325" i="7"/>
  <c r="B325" i="7"/>
  <c r="AC324" i="7"/>
  <c r="AD324" i="7" s="1"/>
  <c r="AA324" i="7"/>
  <c r="Z324" i="7"/>
  <c r="U324" i="7"/>
  <c r="T324" i="7"/>
  <c r="Q324" i="7"/>
  <c r="W324" i="7" s="1"/>
  <c r="X324" i="7" s="1"/>
  <c r="O324" i="7"/>
  <c r="L324" i="7"/>
  <c r="K324" i="7"/>
  <c r="E324" i="7"/>
  <c r="F324" i="7" s="1"/>
  <c r="C324" i="7"/>
  <c r="B324" i="7"/>
  <c r="N324" i="7" s="1"/>
  <c r="AD323" i="7"/>
  <c r="AC323" i="7"/>
  <c r="AA323" i="7"/>
  <c r="W323" i="7"/>
  <c r="X323" i="7" s="1"/>
  <c r="U323" i="7"/>
  <c r="R323" i="7"/>
  <c r="N323" i="7"/>
  <c r="O323" i="7" s="1"/>
  <c r="L323" i="7"/>
  <c r="I323" i="7"/>
  <c r="H323" i="7"/>
  <c r="F323" i="7"/>
  <c r="C323" i="7"/>
  <c r="AD322" i="7"/>
  <c r="AC322" i="7"/>
  <c r="AA322" i="7"/>
  <c r="W322" i="7"/>
  <c r="X322" i="7" s="1"/>
  <c r="U322" i="7"/>
  <c r="R322" i="7"/>
  <c r="O322" i="7"/>
  <c r="N322" i="7"/>
  <c r="L322" i="7"/>
  <c r="I322" i="7"/>
  <c r="H322" i="7"/>
  <c r="F322" i="7"/>
  <c r="C322" i="7"/>
  <c r="AC321" i="7"/>
  <c r="AD321" i="7" s="1"/>
  <c r="AA321" i="7"/>
  <c r="W321" i="7"/>
  <c r="X321" i="7" s="1"/>
  <c r="U321" i="7"/>
  <c r="R321" i="7"/>
  <c r="N321" i="7"/>
  <c r="O321" i="7" s="1"/>
  <c r="L321" i="7"/>
  <c r="I321" i="7"/>
  <c r="H321" i="7"/>
  <c r="F321" i="7"/>
  <c r="C321" i="7"/>
  <c r="AD320" i="7"/>
  <c r="AC320" i="7"/>
  <c r="AA320" i="7"/>
  <c r="W320" i="7"/>
  <c r="X320" i="7" s="1"/>
  <c r="U320" i="7"/>
  <c r="R320" i="7"/>
  <c r="N320" i="7"/>
  <c r="O320" i="7" s="1"/>
  <c r="L320" i="7"/>
  <c r="I320" i="7"/>
  <c r="H320" i="7"/>
  <c r="F320" i="7"/>
  <c r="C320" i="7"/>
  <c r="AD319" i="7"/>
  <c r="AC319" i="7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D318" i="7"/>
  <c r="AC318" i="7"/>
  <c r="AA318" i="7"/>
  <c r="W318" i="7"/>
  <c r="X318" i="7" s="1"/>
  <c r="U318" i="7"/>
  <c r="R318" i="7"/>
  <c r="N318" i="7"/>
  <c r="O318" i="7" s="1"/>
  <c r="L318" i="7"/>
  <c r="I318" i="7"/>
  <c r="H318" i="7"/>
  <c r="F318" i="7"/>
  <c r="C318" i="7"/>
  <c r="AC317" i="7"/>
  <c r="AD317" i="7" s="1"/>
  <c r="AA317" i="7"/>
  <c r="W317" i="7"/>
  <c r="X317" i="7" s="1"/>
  <c r="U317" i="7"/>
  <c r="R317" i="7"/>
  <c r="N317" i="7"/>
  <c r="O317" i="7" s="1"/>
  <c r="L317" i="7"/>
  <c r="I317" i="7"/>
  <c r="H317" i="7"/>
  <c r="F317" i="7"/>
  <c r="C317" i="7"/>
  <c r="AD316" i="7"/>
  <c r="AC316" i="7"/>
  <c r="AA316" i="7"/>
  <c r="X316" i="7"/>
  <c r="W316" i="7"/>
  <c r="U316" i="7"/>
  <c r="R316" i="7"/>
  <c r="N316" i="7"/>
  <c r="O316" i="7" s="1"/>
  <c r="L316" i="7"/>
  <c r="H316" i="7"/>
  <c r="I316" i="7" s="1"/>
  <c r="F316" i="7"/>
  <c r="C316" i="7"/>
  <c r="AD315" i="7"/>
  <c r="AC315" i="7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W314" i="7"/>
  <c r="X314" i="7" s="1"/>
  <c r="U314" i="7"/>
  <c r="R314" i="7"/>
  <c r="O314" i="7"/>
  <c r="N314" i="7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I313" i="7"/>
  <c r="H313" i="7"/>
  <c r="F313" i="7"/>
  <c r="C313" i="7"/>
  <c r="AD312" i="7"/>
  <c r="AC312" i="7"/>
  <c r="AA312" i="7"/>
  <c r="W312" i="7"/>
  <c r="X312" i="7" s="1"/>
  <c r="U312" i="7"/>
  <c r="R312" i="7"/>
  <c r="N312" i="7"/>
  <c r="O312" i="7" s="1"/>
  <c r="L312" i="7"/>
  <c r="I312" i="7"/>
  <c r="H312" i="7"/>
  <c r="F312" i="7"/>
  <c r="C312" i="7"/>
  <c r="AD311" i="7"/>
  <c r="AC311" i="7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C310" i="7"/>
  <c r="AD310" i="7" s="1"/>
  <c r="AA310" i="7"/>
  <c r="W310" i="7"/>
  <c r="X310" i="7" s="1"/>
  <c r="U310" i="7"/>
  <c r="R310" i="7"/>
  <c r="N310" i="7"/>
  <c r="O310" i="7" s="1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I309" i="7"/>
  <c r="H309" i="7"/>
  <c r="F309" i="7"/>
  <c r="C309" i="7"/>
  <c r="AD308" i="7"/>
  <c r="AC308" i="7"/>
  <c r="AA308" i="7"/>
  <c r="X308" i="7"/>
  <c r="W308" i="7"/>
  <c r="U308" i="7"/>
  <c r="R308" i="7"/>
  <c r="N308" i="7"/>
  <c r="O308" i="7" s="1"/>
  <c r="L308" i="7"/>
  <c r="H308" i="7"/>
  <c r="I308" i="7" s="1"/>
  <c r="F308" i="7"/>
  <c r="C308" i="7"/>
  <c r="AD307" i="7"/>
  <c r="AC307" i="7"/>
  <c r="AA307" i="7"/>
  <c r="W307" i="7"/>
  <c r="X307" i="7" s="1"/>
  <c r="U307" i="7"/>
  <c r="R307" i="7"/>
  <c r="O307" i="7"/>
  <c r="N307" i="7"/>
  <c r="L307" i="7"/>
  <c r="I307" i="7"/>
  <c r="H307" i="7"/>
  <c r="F307" i="7"/>
  <c r="C307" i="7"/>
  <c r="AD306" i="7"/>
  <c r="AC306" i="7"/>
  <c r="AA306" i="7"/>
  <c r="W306" i="7"/>
  <c r="X306" i="7" s="1"/>
  <c r="U306" i="7"/>
  <c r="R306" i="7"/>
  <c r="O306" i="7"/>
  <c r="N306" i="7"/>
  <c r="L306" i="7"/>
  <c r="I306" i="7"/>
  <c r="H306" i="7"/>
  <c r="F306" i="7"/>
  <c r="C306" i="7"/>
  <c r="AC305" i="7"/>
  <c r="AD305" i="7" s="1"/>
  <c r="AA305" i="7"/>
  <c r="X305" i="7"/>
  <c r="W305" i="7"/>
  <c r="U305" i="7"/>
  <c r="R305" i="7"/>
  <c r="N305" i="7"/>
  <c r="O305" i="7" s="1"/>
  <c r="L305" i="7"/>
  <c r="I305" i="7"/>
  <c r="H305" i="7"/>
  <c r="F305" i="7"/>
  <c r="C305" i="7"/>
  <c r="AD304" i="7"/>
  <c r="AC304" i="7"/>
  <c r="AA304" i="7"/>
  <c r="W304" i="7"/>
  <c r="X304" i="7" s="1"/>
  <c r="U304" i="7"/>
  <c r="R304" i="7"/>
  <c r="N304" i="7"/>
  <c r="O304" i="7" s="1"/>
  <c r="L304" i="7"/>
  <c r="I304" i="7"/>
  <c r="H304" i="7"/>
  <c r="F304" i="7"/>
  <c r="C304" i="7"/>
  <c r="AD303" i="7"/>
  <c r="AC303" i="7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C302" i="7"/>
  <c r="AD302" i="7" s="1"/>
  <c r="AA302" i="7"/>
  <c r="W302" i="7"/>
  <c r="X302" i="7" s="1"/>
  <c r="U302" i="7"/>
  <c r="R302" i="7"/>
  <c r="O302" i="7"/>
  <c r="N302" i="7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I301" i="7"/>
  <c r="H301" i="7"/>
  <c r="F301" i="7"/>
  <c r="C301" i="7"/>
  <c r="AD300" i="7"/>
  <c r="AC300" i="7"/>
  <c r="AA300" i="7"/>
  <c r="W300" i="7"/>
  <c r="X300" i="7" s="1"/>
  <c r="U300" i="7"/>
  <c r="R300" i="7"/>
  <c r="N300" i="7"/>
  <c r="O300" i="7" s="1"/>
  <c r="L300" i="7"/>
  <c r="H300" i="7"/>
  <c r="I300" i="7" s="1"/>
  <c r="F300" i="7"/>
  <c r="C300" i="7"/>
  <c r="AD299" i="7"/>
  <c r="AC299" i="7"/>
  <c r="AA299" i="7"/>
  <c r="W299" i="7"/>
  <c r="X299" i="7" s="1"/>
  <c r="U299" i="7"/>
  <c r="R299" i="7"/>
  <c r="N299" i="7"/>
  <c r="O299" i="7" s="1"/>
  <c r="L299" i="7"/>
  <c r="I299" i="7"/>
  <c r="H299" i="7"/>
  <c r="F299" i="7"/>
  <c r="C299" i="7"/>
  <c r="AD298" i="7"/>
  <c r="AC298" i="7"/>
  <c r="AA298" i="7"/>
  <c r="W298" i="7"/>
  <c r="X298" i="7" s="1"/>
  <c r="U298" i="7"/>
  <c r="R298" i="7"/>
  <c r="N298" i="7"/>
  <c r="O298" i="7" s="1"/>
  <c r="L298" i="7"/>
  <c r="I298" i="7"/>
  <c r="H298" i="7"/>
  <c r="F298" i="7"/>
  <c r="C298" i="7"/>
  <c r="AC297" i="7"/>
  <c r="AD297" i="7" s="1"/>
  <c r="AA297" i="7"/>
  <c r="X297" i="7"/>
  <c r="W297" i="7"/>
  <c r="U297" i="7"/>
  <c r="R297" i="7"/>
  <c r="N297" i="7"/>
  <c r="O297" i="7" s="1"/>
  <c r="L297" i="7"/>
  <c r="H297" i="7"/>
  <c r="I297" i="7" s="1"/>
  <c r="F297" i="7"/>
  <c r="C297" i="7"/>
  <c r="AA295" i="7"/>
  <c r="Z295" i="7"/>
  <c r="W295" i="7"/>
  <c r="X295" i="7" s="1"/>
  <c r="U295" i="7"/>
  <c r="T295" i="7"/>
  <c r="R295" i="7"/>
  <c r="Q295" i="7"/>
  <c r="AC295" i="7" s="1"/>
  <c r="AD295" i="7" s="1"/>
  <c r="L295" i="7"/>
  <c r="K295" i="7"/>
  <c r="F295" i="7"/>
  <c r="E295" i="7"/>
  <c r="B295" i="7"/>
  <c r="AC294" i="7"/>
  <c r="AD294" i="7" s="1"/>
  <c r="AA294" i="7"/>
  <c r="W294" i="7"/>
  <c r="X294" i="7" s="1"/>
  <c r="U294" i="7"/>
  <c r="R294" i="7"/>
  <c r="O294" i="7"/>
  <c r="N294" i="7"/>
  <c r="L294" i="7"/>
  <c r="I294" i="7"/>
  <c r="H294" i="7"/>
  <c r="F294" i="7"/>
  <c r="C294" i="7"/>
  <c r="AC293" i="7"/>
  <c r="AD293" i="7" s="1"/>
  <c r="AA293" i="7"/>
  <c r="W293" i="7"/>
  <c r="X293" i="7" s="1"/>
  <c r="U293" i="7"/>
  <c r="R293" i="7"/>
  <c r="N293" i="7"/>
  <c r="O293" i="7" s="1"/>
  <c r="L293" i="7"/>
  <c r="H293" i="7"/>
  <c r="I293" i="7" s="1"/>
  <c r="F293" i="7"/>
  <c r="C293" i="7"/>
  <c r="AD292" i="7"/>
  <c r="AC292" i="7"/>
  <c r="AA292" i="7"/>
  <c r="W292" i="7"/>
  <c r="X292" i="7" s="1"/>
  <c r="U292" i="7"/>
  <c r="R292" i="7"/>
  <c r="N292" i="7"/>
  <c r="O292" i="7" s="1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N291" i="7"/>
  <c r="O291" i="7" s="1"/>
  <c r="L291" i="7"/>
  <c r="H291" i="7"/>
  <c r="I291" i="7" s="1"/>
  <c r="F291" i="7"/>
  <c r="C291" i="7"/>
  <c r="AD290" i="7"/>
  <c r="AC290" i="7"/>
  <c r="AA290" i="7"/>
  <c r="X290" i="7"/>
  <c r="W290" i="7"/>
  <c r="U290" i="7"/>
  <c r="R290" i="7"/>
  <c r="O290" i="7"/>
  <c r="N290" i="7"/>
  <c r="L290" i="7"/>
  <c r="H290" i="7"/>
  <c r="I290" i="7" s="1"/>
  <c r="F290" i="7"/>
  <c r="C290" i="7"/>
  <c r="AC289" i="7"/>
  <c r="AD289" i="7" s="1"/>
  <c r="AA289" i="7"/>
  <c r="W289" i="7"/>
  <c r="X289" i="7" s="1"/>
  <c r="U289" i="7"/>
  <c r="R289" i="7"/>
  <c r="N289" i="7"/>
  <c r="O289" i="7" s="1"/>
  <c r="L289" i="7"/>
  <c r="I289" i="7"/>
  <c r="H289" i="7"/>
  <c r="F289" i="7"/>
  <c r="C289" i="7"/>
  <c r="AC288" i="7"/>
  <c r="AD288" i="7" s="1"/>
  <c r="AA288" i="7"/>
  <c r="W288" i="7"/>
  <c r="X288" i="7" s="1"/>
  <c r="U288" i="7"/>
  <c r="R288" i="7"/>
  <c r="O288" i="7"/>
  <c r="N288" i="7"/>
  <c r="L288" i="7"/>
  <c r="H288" i="7"/>
  <c r="I288" i="7" s="1"/>
  <c r="F288" i="7"/>
  <c r="C288" i="7"/>
  <c r="AC287" i="7"/>
  <c r="AD287" i="7" s="1"/>
  <c r="AA287" i="7"/>
  <c r="X287" i="7"/>
  <c r="W287" i="7"/>
  <c r="U287" i="7"/>
  <c r="R287" i="7"/>
  <c r="O287" i="7"/>
  <c r="N287" i="7"/>
  <c r="L287" i="7"/>
  <c r="H287" i="7"/>
  <c r="I287" i="7" s="1"/>
  <c r="F287" i="7"/>
  <c r="C287" i="7"/>
  <c r="AD286" i="7"/>
  <c r="AC286" i="7"/>
  <c r="AA286" i="7"/>
  <c r="X286" i="7"/>
  <c r="W286" i="7"/>
  <c r="U286" i="7"/>
  <c r="R286" i="7"/>
  <c r="N286" i="7"/>
  <c r="O286" i="7" s="1"/>
  <c r="L286" i="7"/>
  <c r="I286" i="7"/>
  <c r="H286" i="7"/>
  <c r="F286" i="7"/>
  <c r="C286" i="7"/>
  <c r="AA284" i="7"/>
  <c r="Z284" i="7"/>
  <c r="T284" i="7"/>
  <c r="U284" i="7" s="1"/>
  <c r="R284" i="7"/>
  <c r="Q284" i="7"/>
  <c r="N284" i="7"/>
  <c r="O284" i="7" s="1"/>
  <c r="L284" i="7"/>
  <c r="K284" i="7"/>
  <c r="E284" i="7"/>
  <c r="F284" i="7" s="1"/>
  <c r="C284" i="7"/>
  <c r="B284" i="7"/>
  <c r="AD283" i="7"/>
  <c r="AC283" i="7"/>
  <c r="AA283" i="7"/>
  <c r="W283" i="7"/>
  <c r="X283" i="7" s="1"/>
  <c r="U283" i="7"/>
  <c r="R283" i="7"/>
  <c r="N283" i="7"/>
  <c r="O283" i="7" s="1"/>
  <c r="L283" i="7"/>
  <c r="H283" i="7"/>
  <c r="I283" i="7" s="1"/>
  <c r="F283" i="7"/>
  <c r="C283" i="7"/>
  <c r="AC282" i="7"/>
  <c r="AD282" i="7" s="1"/>
  <c r="AA282" i="7"/>
  <c r="X282" i="7"/>
  <c r="W282" i="7"/>
  <c r="U282" i="7"/>
  <c r="R282" i="7"/>
  <c r="N282" i="7"/>
  <c r="O282" i="7" s="1"/>
  <c r="L282" i="7"/>
  <c r="H282" i="7"/>
  <c r="I282" i="7" s="1"/>
  <c r="F282" i="7"/>
  <c r="C282" i="7"/>
  <c r="AC281" i="7"/>
  <c r="AD281" i="7" s="1"/>
  <c r="AA281" i="7"/>
  <c r="X281" i="7"/>
  <c r="W281" i="7"/>
  <c r="U281" i="7"/>
  <c r="R281" i="7"/>
  <c r="O281" i="7"/>
  <c r="N281" i="7"/>
  <c r="L281" i="7"/>
  <c r="I281" i="7"/>
  <c r="H281" i="7"/>
  <c r="F281" i="7"/>
  <c r="C281" i="7"/>
  <c r="AC280" i="7"/>
  <c r="AD280" i="7" s="1"/>
  <c r="AA280" i="7"/>
  <c r="W280" i="7"/>
  <c r="X280" i="7" s="1"/>
  <c r="U280" i="7"/>
  <c r="R280" i="7"/>
  <c r="O280" i="7"/>
  <c r="N280" i="7"/>
  <c r="L280" i="7"/>
  <c r="I280" i="7"/>
  <c r="H280" i="7"/>
  <c r="F280" i="7"/>
  <c r="C280" i="7"/>
  <c r="AD279" i="7"/>
  <c r="AC279" i="7"/>
  <c r="AA279" i="7"/>
  <c r="X279" i="7"/>
  <c r="W279" i="7"/>
  <c r="U279" i="7"/>
  <c r="R279" i="7"/>
  <c r="O279" i="7"/>
  <c r="N279" i="7"/>
  <c r="L279" i="7"/>
  <c r="H279" i="7"/>
  <c r="I279" i="7" s="1"/>
  <c r="F279" i="7"/>
  <c r="C279" i="7"/>
  <c r="AC278" i="7"/>
  <c r="AD278" i="7" s="1"/>
  <c r="AA278" i="7"/>
  <c r="X278" i="7"/>
  <c r="W278" i="7"/>
  <c r="U278" i="7"/>
  <c r="R278" i="7"/>
  <c r="O278" i="7"/>
  <c r="N278" i="7"/>
  <c r="L278" i="7"/>
  <c r="I278" i="7"/>
  <c r="H278" i="7"/>
  <c r="F278" i="7"/>
  <c r="C278" i="7"/>
  <c r="AD277" i="7"/>
  <c r="AC277" i="7"/>
  <c r="AA277" i="7"/>
  <c r="W277" i="7"/>
  <c r="X277" i="7" s="1"/>
  <c r="U277" i="7"/>
  <c r="R277" i="7"/>
  <c r="O277" i="7"/>
  <c r="N277" i="7"/>
  <c r="L277" i="7"/>
  <c r="H277" i="7"/>
  <c r="I277" i="7" s="1"/>
  <c r="F277" i="7"/>
  <c r="C277" i="7"/>
  <c r="AC276" i="7"/>
  <c r="AD276" i="7" s="1"/>
  <c r="AA276" i="7"/>
  <c r="X276" i="7"/>
  <c r="W276" i="7"/>
  <c r="U276" i="7"/>
  <c r="R276" i="7"/>
  <c r="O276" i="7"/>
  <c r="N276" i="7"/>
  <c r="L276" i="7"/>
  <c r="I276" i="7"/>
  <c r="H276" i="7"/>
  <c r="F276" i="7"/>
  <c r="C276" i="7"/>
  <c r="AC275" i="7"/>
  <c r="AD275" i="7" s="1"/>
  <c r="AA275" i="7"/>
  <c r="W275" i="7"/>
  <c r="X275" i="7" s="1"/>
  <c r="U275" i="7"/>
  <c r="R275" i="7"/>
  <c r="N275" i="7"/>
  <c r="O275" i="7" s="1"/>
  <c r="L275" i="7"/>
  <c r="H275" i="7"/>
  <c r="I275" i="7" s="1"/>
  <c r="F275" i="7"/>
  <c r="C275" i="7"/>
  <c r="AD273" i="7"/>
  <c r="Z273" i="7"/>
  <c r="AA273" i="7" s="1"/>
  <c r="U273" i="7"/>
  <c r="T273" i="7"/>
  <c r="Q273" i="7"/>
  <c r="AC273" i="7" s="1"/>
  <c r="K273" i="7"/>
  <c r="L273" i="7" s="1"/>
  <c r="I273" i="7"/>
  <c r="H273" i="7"/>
  <c r="E273" i="7"/>
  <c r="F273" i="7" s="1"/>
  <c r="C273" i="7"/>
  <c r="B273" i="7"/>
  <c r="N273" i="7" s="1"/>
  <c r="O273" i="7" s="1"/>
  <c r="AC272" i="7"/>
  <c r="AD272" i="7" s="1"/>
  <c r="AA272" i="7"/>
  <c r="W272" i="7"/>
  <c r="X272" i="7" s="1"/>
  <c r="U272" i="7"/>
  <c r="R272" i="7"/>
  <c r="O272" i="7"/>
  <c r="N272" i="7"/>
  <c r="L272" i="7"/>
  <c r="H272" i="7"/>
  <c r="I272" i="7" s="1"/>
  <c r="F272" i="7"/>
  <c r="C272" i="7"/>
  <c r="AD271" i="7"/>
  <c r="AC271" i="7"/>
  <c r="AA271" i="7"/>
  <c r="W271" i="7"/>
  <c r="X271" i="7" s="1"/>
  <c r="U271" i="7"/>
  <c r="R271" i="7"/>
  <c r="N271" i="7"/>
  <c r="O271" i="7" s="1"/>
  <c r="L271" i="7"/>
  <c r="H271" i="7"/>
  <c r="I271" i="7" s="1"/>
  <c r="F271" i="7"/>
  <c r="C271" i="7"/>
  <c r="AC270" i="7"/>
  <c r="AD270" i="7" s="1"/>
  <c r="AA270" i="7"/>
  <c r="X270" i="7"/>
  <c r="W270" i="7"/>
  <c r="U270" i="7"/>
  <c r="R270" i="7"/>
  <c r="N270" i="7"/>
  <c r="O270" i="7" s="1"/>
  <c r="L270" i="7"/>
  <c r="H270" i="7"/>
  <c r="I270" i="7" s="1"/>
  <c r="F270" i="7"/>
  <c r="C270" i="7"/>
  <c r="AC269" i="7"/>
  <c r="AD269" i="7" s="1"/>
  <c r="AA269" i="7"/>
  <c r="X269" i="7"/>
  <c r="W269" i="7"/>
  <c r="U269" i="7"/>
  <c r="R269" i="7"/>
  <c r="O269" i="7"/>
  <c r="N269" i="7"/>
  <c r="L269" i="7"/>
  <c r="I269" i="7"/>
  <c r="H269" i="7"/>
  <c r="F269" i="7"/>
  <c r="C269" i="7"/>
  <c r="AA267" i="7"/>
  <c r="Z267" i="7"/>
  <c r="W267" i="7"/>
  <c r="X267" i="7" s="1"/>
  <c r="U267" i="7"/>
  <c r="T267" i="7"/>
  <c r="Q267" i="7"/>
  <c r="R267" i="7" s="1"/>
  <c r="K267" i="7"/>
  <c r="L267" i="7" s="1"/>
  <c r="H267" i="7"/>
  <c r="I267" i="7" s="1"/>
  <c r="E267" i="7"/>
  <c r="F267" i="7" s="1"/>
  <c r="C267" i="7"/>
  <c r="B267" i="7"/>
  <c r="N267" i="7" s="1"/>
  <c r="O267" i="7" s="1"/>
  <c r="AD266" i="7"/>
  <c r="AC266" i="7"/>
  <c r="AA266" i="7"/>
  <c r="X266" i="7"/>
  <c r="W266" i="7"/>
  <c r="U266" i="7"/>
  <c r="R266" i="7"/>
  <c r="O266" i="7"/>
  <c r="N266" i="7"/>
  <c r="L266" i="7"/>
  <c r="H266" i="7"/>
  <c r="I266" i="7" s="1"/>
  <c r="F266" i="7"/>
  <c r="C266" i="7"/>
  <c r="AD265" i="7"/>
  <c r="AC265" i="7"/>
  <c r="AA265" i="7"/>
  <c r="W265" i="7"/>
  <c r="X265" i="7" s="1"/>
  <c r="U265" i="7"/>
  <c r="R265" i="7"/>
  <c r="N265" i="7"/>
  <c r="O265" i="7" s="1"/>
  <c r="L265" i="7"/>
  <c r="I265" i="7"/>
  <c r="H265" i="7"/>
  <c r="F265" i="7"/>
  <c r="C265" i="7"/>
  <c r="Z263" i="7"/>
  <c r="AA263" i="7" s="1"/>
  <c r="T263" i="7"/>
  <c r="U263" i="7" s="1"/>
  <c r="Q263" i="7"/>
  <c r="L263" i="7"/>
  <c r="K263" i="7"/>
  <c r="E263" i="7"/>
  <c r="F263" i="7" s="1"/>
  <c r="B263" i="7"/>
  <c r="AC262" i="7"/>
  <c r="AD262" i="7" s="1"/>
  <c r="AA262" i="7"/>
  <c r="Z262" i="7"/>
  <c r="T262" i="7"/>
  <c r="U262" i="7" s="1"/>
  <c r="R262" i="7"/>
  <c r="Q262" i="7"/>
  <c r="N262" i="7"/>
  <c r="O262" i="7" s="1"/>
  <c r="K262" i="7"/>
  <c r="L262" i="7" s="1"/>
  <c r="F262" i="7"/>
  <c r="E262" i="7"/>
  <c r="B262" i="7"/>
  <c r="AC261" i="7"/>
  <c r="AD261" i="7" s="1"/>
  <c r="AA261" i="7"/>
  <c r="W261" i="7"/>
  <c r="X261" i="7" s="1"/>
  <c r="U261" i="7"/>
  <c r="R261" i="7"/>
  <c r="O261" i="7"/>
  <c r="N261" i="7"/>
  <c r="L261" i="7"/>
  <c r="I261" i="7"/>
  <c r="H261" i="7"/>
  <c r="F261" i="7"/>
  <c r="C261" i="7"/>
  <c r="AD260" i="7"/>
  <c r="AC260" i="7"/>
  <c r="AA260" i="7"/>
  <c r="X260" i="7"/>
  <c r="W260" i="7"/>
  <c r="U260" i="7"/>
  <c r="R260" i="7"/>
  <c r="N260" i="7"/>
  <c r="O260" i="7" s="1"/>
  <c r="L260" i="7"/>
  <c r="H260" i="7"/>
  <c r="I260" i="7" s="1"/>
  <c r="F260" i="7"/>
  <c r="C260" i="7"/>
  <c r="AC259" i="7"/>
  <c r="AD259" i="7" s="1"/>
  <c r="AA259" i="7"/>
  <c r="X259" i="7"/>
  <c r="W259" i="7"/>
  <c r="U259" i="7"/>
  <c r="R259" i="7"/>
  <c r="O259" i="7"/>
  <c r="N259" i="7"/>
  <c r="L259" i="7"/>
  <c r="H259" i="7"/>
  <c r="I259" i="7" s="1"/>
  <c r="F259" i="7"/>
  <c r="C259" i="7"/>
  <c r="AD258" i="7"/>
  <c r="AC258" i="7"/>
  <c r="AA258" i="7"/>
  <c r="W258" i="7"/>
  <c r="X258" i="7" s="1"/>
  <c r="U258" i="7"/>
  <c r="R258" i="7"/>
  <c r="N258" i="7"/>
  <c r="O258" i="7" s="1"/>
  <c r="L258" i="7"/>
  <c r="H258" i="7"/>
  <c r="I258" i="7" s="1"/>
  <c r="F258" i="7"/>
  <c r="C258" i="7"/>
  <c r="AC257" i="7"/>
  <c r="AD257" i="7" s="1"/>
  <c r="AA257" i="7"/>
  <c r="X257" i="7"/>
  <c r="W257" i="7"/>
  <c r="U257" i="7"/>
  <c r="R257" i="7"/>
  <c r="O257" i="7"/>
  <c r="N257" i="7"/>
  <c r="L257" i="7"/>
  <c r="H257" i="7"/>
  <c r="I257" i="7" s="1"/>
  <c r="F257" i="7"/>
  <c r="C257" i="7"/>
  <c r="AC256" i="7"/>
  <c r="AD256" i="7" s="1"/>
  <c r="AA256" i="7"/>
  <c r="W256" i="7"/>
  <c r="X256" i="7" s="1"/>
  <c r="U256" i="7"/>
  <c r="R256" i="7"/>
  <c r="N256" i="7"/>
  <c r="O256" i="7" s="1"/>
  <c r="L256" i="7"/>
  <c r="H256" i="7"/>
  <c r="I256" i="7" s="1"/>
  <c r="F256" i="7"/>
  <c r="C256" i="7"/>
  <c r="AD255" i="7"/>
  <c r="AC255" i="7"/>
  <c r="AA255" i="7"/>
  <c r="X255" i="7"/>
  <c r="W255" i="7"/>
  <c r="U255" i="7"/>
  <c r="R255" i="7"/>
  <c r="O255" i="7"/>
  <c r="N255" i="7"/>
  <c r="L255" i="7"/>
  <c r="H255" i="7"/>
  <c r="I255" i="7" s="1"/>
  <c r="F255" i="7"/>
  <c r="C255" i="7"/>
  <c r="AC254" i="7"/>
  <c r="AD254" i="7" s="1"/>
  <c r="AA254" i="7"/>
  <c r="X254" i="7"/>
  <c r="W254" i="7"/>
  <c r="U254" i="7"/>
  <c r="R254" i="7"/>
  <c r="O254" i="7"/>
  <c r="N254" i="7"/>
  <c r="L254" i="7"/>
  <c r="I254" i="7"/>
  <c r="H254" i="7"/>
  <c r="F254" i="7"/>
  <c r="C254" i="7"/>
  <c r="AC253" i="7"/>
  <c r="AD253" i="7" s="1"/>
  <c r="AA253" i="7"/>
  <c r="W253" i="7"/>
  <c r="X253" i="7" s="1"/>
  <c r="U253" i="7"/>
  <c r="R253" i="7"/>
  <c r="O253" i="7"/>
  <c r="N253" i="7"/>
  <c r="L253" i="7"/>
  <c r="I253" i="7"/>
  <c r="H253" i="7"/>
  <c r="F253" i="7"/>
  <c r="C253" i="7"/>
  <c r="AD252" i="7"/>
  <c r="AC252" i="7"/>
  <c r="AA252" i="7"/>
  <c r="W252" i="7"/>
  <c r="X252" i="7" s="1"/>
  <c r="U252" i="7"/>
  <c r="R252" i="7"/>
  <c r="O252" i="7"/>
  <c r="N252" i="7"/>
  <c r="L252" i="7"/>
  <c r="H252" i="7"/>
  <c r="I252" i="7" s="1"/>
  <c r="F252" i="7"/>
  <c r="C252" i="7"/>
  <c r="AC251" i="7"/>
  <c r="AD251" i="7" s="1"/>
  <c r="AA251" i="7"/>
  <c r="X251" i="7"/>
  <c r="W251" i="7"/>
  <c r="U251" i="7"/>
  <c r="R251" i="7"/>
  <c r="O251" i="7"/>
  <c r="N251" i="7"/>
  <c r="L251" i="7"/>
  <c r="I251" i="7"/>
  <c r="H251" i="7"/>
  <c r="F251" i="7"/>
  <c r="C251" i="7"/>
  <c r="AC250" i="7"/>
  <c r="AD250" i="7" s="1"/>
  <c r="AA250" i="7"/>
  <c r="W250" i="7"/>
  <c r="X250" i="7" s="1"/>
  <c r="U250" i="7"/>
  <c r="R250" i="7"/>
  <c r="N250" i="7"/>
  <c r="O250" i="7" s="1"/>
  <c r="L250" i="7"/>
  <c r="H250" i="7"/>
  <c r="I250" i="7" s="1"/>
  <c r="F250" i="7"/>
  <c r="C250" i="7"/>
  <c r="AC249" i="7"/>
  <c r="AD249" i="7" s="1"/>
  <c r="AA249" i="7"/>
  <c r="X249" i="7"/>
  <c r="W249" i="7"/>
  <c r="U249" i="7"/>
  <c r="R249" i="7"/>
  <c r="O249" i="7"/>
  <c r="N249" i="7"/>
  <c r="L249" i="7"/>
  <c r="H249" i="7"/>
  <c r="I249" i="7" s="1"/>
  <c r="F249" i="7"/>
  <c r="C249" i="7"/>
  <c r="AC248" i="7"/>
  <c r="AD248" i="7" s="1"/>
  <c r="AA248" i="7"/>
  <c r="W248" i="7"/>
  <c r="X248" i="7" s="1"/>
  <c r="U248" i="7"/>
  <c r="R248" i="7"/>
  <c r="N248" i="7"/>
  <c r="O248" i="7" s="1"/>
  <c r="L248" i="7"/>
  <c r="H248" i="7"/>
  <c r="I248" i="7" s="1"/>
  <c r="F248" i="7"/>
  <c r="C248" i="7"/>
  <c r="AC247" i="7"/>
  <c r="AD247" i="7" s="1"/>
  <c r="AA247" i="7"/>
  <c r="X247" i="7"/>
  <c r="W247" i="7"/>
  <c r="U247" i="7"/>
  <c r="R247" i="7"/>
  <c r="N247" i="7"/>
  <c r="O247" i="7" s="1"/>
  <c r="L247" i="7"/>
  <c r="H247" i="7"/>
  <c r="I247" i="7" s="1"/>
  <c r="F247" i="7"/>
  <c r="C247" i="7"/>
  <c r="AC246" i="7"/>
  <c r="AD246" i="7" s="1"/>
  <c r="AA246" i="7"/>
  <c r="X246" i="7"/>
  <c r="W246" i="7"/>
  <c r="U246" i="7"/>
  <c r="R246" i="7"/>
  <c r="O246" i="7"/>
  <c r="N246" i="7"/>
  <c r="L246" i="7"/>
  <c r="H246" i="7"/>
  <c r="I246" i="7" s="1"/>
  <c r="F246" i="7"/>
  <c r="C246" i="7"/>
  <c r="AC245" i="7"/>
  <c r="AD245" i="7" s="1"/>
  <c r="AA245" i="7"/>
  <c r="W245" i="7"/>
  <c r="X245" i="7" s="1"/>
  <c r="U245" i="7"/>
  <c r="R245" i="7"/>
  <c r="O245" i="7"/>
  <c r="N245" i="7"/>
  <c r="L245" i="7"/>
  <c r="I245" i="7"/>
  <c r="H245" i="7"/>
  <c r="F245" i="7"/>
  <c r="C245" i="7"/>
  <c r="AD244" i="7"/>
  <c r="AC244" i="7"/>
  <c r="AA244" i="7"/>
  <c r="X244" i="7"/>
  <c r="W244" i="7"/>
  <c r="U244" i="7"/>
  <c r="R244" i="7"/>
  <c r="O244" i="7"/>
  <c r="N244" i="7"/>
  <c r="L244" i="7"/>
  <c r="H244" i="7"/>
  <c r="I244" i="7" s="1"/>
  <c r="F244" i="7"/>
  <c r="C244" i="7"/>
  <c r="AC243" i="7"/>
  <c r="AD243" i="7" s="1"/>
  <c r="AA243" i="7"/>
  <c r="X243" i="7"/>
  <c r="W243" i="7"/>
  <c r="U243" i="7"/>
  <c r="R243" i="7"/>
  <c r="O243" i="7"/>
  <c r="N243" i="7"/>
  <c r="L243" i="7"/>
  <c r="I243" i="7"/>
  <c r="H243" i="7"/>
  <c r="F243" i="7"/>
  <c r="C243" i="7"/>
  <c r="AD242" i="7"/>
  <c r="AC242" i="7"/>
  <c r="AA242" i="7"/>
  <c r="W242" i="7"/>
  <c r="X242" i="7" s="1"/>
  <c r="U242" i="7"/>
  <c r="R242" i="7"/>
  <c r="N242" i="7"/>
  <c r="O242" i="7" s="1"/>
  <c r="L242" i="7"/>
  <c r="H242" i="7"/>
  <c r="I242" i="7" s="1"/>
  <c r="F242" i="7"/>
  <c r="C242" i="7"/>
  <c r="AC241" i="7"/>
  <c r="AD241" i="7" s="1"/>
  <c r="AA241" i="7"/>
  <c r="X241" i="7"/>
  <c r="W241" i="7"/>
  <c r="U241" i="7"/>
  <c r="R241" i="7"/>
  <c r="O241" i="7"/>
  <c r="N241" i="7"/>
  <c r="L241" i="7"/>
  <c r="I241" i="7"/>
  <c r="H241" i="7"/>
  <c r="F241" i="7"/>
  <c r="C241" i="7"/>
  <c r="AC240" i="7"/>
  <c r="AD240" i="7" s="1"/>
  <c r="AA240" i="7"/>
  <c r="W240" i="7"/>
  <c r="X240" i="7" s="1"/>
  <c r="U240" i="7"/>
  <c r="R240" i="7"/>
  <c r="N240" i="7"/>
  <c r="O240" i="7" s="1"/>
  <c r="L240" i="7"/>
  <c r="H240" i="7"/>
  <c r="I240" i="7" s="1"/>
  <c r="F240" i="7"/>
  <c r="C240" i="7"/>
  <c r="AD238" i="7"/>
  <c r="AC238" i="7"/>
  <c r="AA238" i="7"/>
  <c r="X238" i="7"/>
  <c r="W238" i="7"/>
  <c r="U238" i="7"/>
  <c r="R238" i="7"/>
  <c r="O238" i="7"/>
  <c r="N238" i="7"/>
  <c r="L238" i="7"/>
  <c r="H238" i="7"/>
  <c r="I238" i="7" s="1"/>
  <c r="F238" i="7"/>
  <c r="C238" i="7"/>
  <c r="AC236" i="7"/>
  <c r="AD236" i="7" s="1"/>
  <c r="AA236" i="7"/>
  <c r="Z236" i="7"/>
  <c r="T236" i="7"/>
  <c r="R236" i="7"/>
  <c r="Q236" i="7"/>
  <c r="L236" i="7"/>
  <c r="K236" i="7"/>
  <c r="F236" i="7"/>
  <c r="E236" i="7"/>
  <c r="B236" i="7"/>
  <c r="AD235" i="7"/>
  <c r="AC235" i="7"/>
  <c r="AA235" i="7"/>
  <c r="W235" i="7"/>
  <c r="X235" i="7" s="1"/>
  <c r="U235" i="7"/>
  <c r="R235" i="7"/>
  <c r="O235" i="7"/>
  <c r="N235" i="7"/>
  <c r="L235" i="7"/>
  <c r="H235" i="7"/>
  <c r="I235" i="7" s="1"/>
  <c r="F235" i="7"/>
  <c r="C235" i="7"/>
  <c r="AD234" i="7"/>
  <c r="AC234" i="7"/>
  <c r="AA234" i="7"/>
  <c r="X234" i="7"/>
  <c r="W234" i="7"/>
  <c r="U234" i="7"/>
  <c r="R234" i="7"/>
  <c r="O234" i="7"/>
  <c r="N234" i="7"/>
  <c r="L234" i="7"/>
  <c r="I234" i="7"/>
  <c r="H234" i="7"/>
  <c r="F234" i="7"/>
  <c r="C234" i="7"/>
  <c r="AC233" i="7"/>
  <c r="AD233" i="7" s="1"/>
  <c r="AA233" i="7"/>
  <c r="W233" i="7"/>
  <c r="X233" i="7" s="1"/>
  <c r="U233" i="7"/>
  <c r="R233" i="7"/>
  <c r="N233" i="7"/>
  <c r="O233" i="7" s="1"/>
  <c r="L233" i="7"/>
  <c r="I233" i="7"/>
  <c r="H233" i="7"/>
  <c r="F233" i="7"/>
  <c r="C233" i="7"/>
  <c r="AC232" i="7"/>
  <c r="AD232" i="7" s="1"/>
  <c r="AA232" i="7"/>
  <c r="W232" i="7"/>
  <c r="X232" i="7" s="1"/>
  <c r="U232" i="7"/>
  <c r="R232" i="7"/>
  <c r="O232" i="7"/>
  <c r="N232" i="7"/>
  <c r="L232" i="7"/>
  <c r="H232" i="7"/>
  <c r="I232" i="7" s="1"/>
  <c r="F232" i="7"/>
  <c r="C232" i="7"/>
  <c r="AC231" i="7"/>
  <c r="AD231" i="7" s="1"/>
  <c r="AA231" i="7"/>
  <c r="X231" i="7"/>
  <c r="W231" i="7"/>
  <c r="U231" i="7"/>
  <c r="R231" i="7"/>
  <c r="O231" i="7"/>
  <c r="N231" i="7"/>
  <c r="L231" i="7"/>
  <c r="H231" i="7"/>
  <c r="I231" i="7" s="1"/>
  <c r="F231" i="7"/>
  <c r="C231" i="7"/>
  <c r="AC230" i="7"/>
  <c r="AD230" i="7" s="1"/>
  <c r="AA230" i="7"/>
  <c r="X230" i="7"/>
  <c r="W230" i="7"/>
  <c r="U230" i="7"/>
  <c r="R230" i="7"/>
  <c r="N230" i="7"/>
  <c r="O230" i="7" s="1"/>
  <c r="L230" i="7"/>
  <c r="I230" i="7"/>
  <c r="H230" i="7"/>
  <c r="F230" i="7"/>
  <c r="C230" i="7"/>
  <c r="AD229" i="7"/>
  <c r="AC229" i="7"/>
  <c r="AA229" i="7"/>
  <c r="X229" i="7"/>
  <c r="W229" i="7"/>
  <c r="U229" i="7"/>
  <c r="R229" i="7"/>
  <c r="O229" i="7"/>
  <c r="N229" i="7"/>
  <c r="L229" i="7"/>
  <c r="H229" i="7"/>
  <c r="I229" i="7" s="1"/>
  <c r="F229" i="7"/>
  <c r="C229" i="7"/>
  <c r="AC227" i="7"/>
  <c r="AD227" i="7" s="1"/>
  <c r="AA227" i="7"/>
  <c r="Z227" i="7"/>
  <c r="U227" i="7"/>
  <c r="T227" i="7"/>
  <c r="W227" i="7" s="1"/>
  <c r="X227" i="7" s="1"/>
  <c r="Q227" i="7"/>
  <c r="R227" i="7" s="1"/>
  <c r="O227" i="7"/>
  <c r="N227" i="7"/>
  <c r="L227" i="7"/>
  <c r="K227" i="7"/>
  <c r="H227" i="7"/>
  <c r="I227" i="7" s="1"/>
  <c r="E227" i="7"/>
  <c r="F227" i="7" s="1"/>
  <c r="B227" i="7"/>
  <c r="C227" i="7" s="1"/>
  <c r="AD226" i="7"/>
  <c r="AC226" i="7"/>
  <c r="AA226" i="7"/>
  <c r="X226" i="7"/>
  <c r="W226" i="7"/>
  <c r="U226" i="7"/>
  <c r="R226" i="7"/>
  <c r="N226" i="7"/>
  <c r="O226" i="7" s="1"/>
  <c r="L226" i="7"/>
  <c r="H226" i="7"/>
  <c r="I226" i="7" s="1"/>
  <c r="F226" i="7"/>
  <c r="C226" i="7"/>
  <c r="AC225" i="7"/>
  <c r="AD225" i="7" s="1"/>
  <c r="AA225" i="7"/>
  <c r="X225" i="7"/>
  <c r="W225" i="7"/>
  <c r="U225" i="7"/>
  <c r="R225" i="7"/>
  <c r="O225" i="7"/>
  <c r="N225" i="7"/>
  <c r="L225" i="7"/>
  <c r="I225" i="7"/>
  <c r="H225" i="7"/>
  <c r="F225" i="7"/>
  <c r="C225" i="7"/>
  <c r="AC224" i="7"/>
  <c r="AD224" i="7" s="1"/>
  <c r="AA224" i="7"/>
  <c r="W224" i="7"/>
  <c r="X224" i="7" s="1"/>
  <c r="U224" i="7"/>
  <c r="R224" i="7"/>
  <c r="O224" i="7"/>
  <c r="N224" i="7"/>
  <c r="L224" i="7"/>
  <c r="I224" i="7"/>
  <c r="H224" i="7"/>
  <c r="F224" i="7"/>
  <c r="C224" i="7"/>
  <c r="AD223" i="7"/>
  <c r="AC223" i="7"/>
  <c r="AA223" i="7"/>
  <c r="W223" i="7"/>
  <c r="X223" i="7" s="1"/>
  <c r="U223" i="7"/>
  <c r="R223" i="7"/>
  <c r="O223" i="7"/>
  <c r="N223" i="7"/>
  <c r="L223" i="7"/>
  <c r="H223" i="7"/>
  <c r="I223" i="7" s="1"/>
  <c r="F223" i="7"/>
  <c r="C223" i="7"/>
  <c r="AC222" i="7"/>
  <c r="AD222" i="7" s="1"/>
  <c r="AA222" i="7"/>
  <c r="X222" i="7"/>
  <c r="W222" i="7"/>
  <c r="U222" i="7"/>
  <c r="R222" i="7"/>
  <c r="O222" i="7"/>
  <c r="N222" i="7"/>
  <c r="L222" i="7"/>
  <c r="I222" i="7"/>
  <c r="H222" i="7"/>
  <c r="F222" i="7"/>
  <c r="C222" i="7"/>
  <c r="AC221" i="7"/>
  <c r="AD221" i="7" s="1"/>
  <c r="AA221" i="7"/>
  <c r="X221" i="7"/>
  <c r="W221" i="7"/>
  <c r="U221" i="7"/>
  <c r="R221" i="7"/>
  <c r="N221" i="7"/>
  <c r="O221" i="7" s="1"/>
  <c r="L221" i="7"/>
  <c r="H221" i="7"/>
  <c r="I221" i="7" s="1"/>
  <c r="F221" i="7"/>
  <c r="C221" i="7"/>
  <c r="AC220" i="7"/>
  <c r="AD220" i="7" s="1"/>
  <c r="AA220" i="7"/>
  <c r="X220" i="7"/>
  <c r="W220" i="7"/>
  <c r="U220" i="7"/>
  <c r="R220" i="7"/>
  <c r="O220" i="7"/>
  <c r="N220" i="7"/>
  <c r="L220" i="7"/>
  <c r="H220" i="7"/>
  <c r="I220" i="7" s="1"/>
  <c r="F220" i="7"/>
  <c r="C220" i="7"/>
  <c r="AC219" i="7"/>
  <c r="AD219" i="7" s="1"/>
  <c r="AA219" i="7"/>
  <c r="W219" i="7"/>
  <c r="X219" i="7" s="1"/>
  <c r="U219" i="7"/>
  <c r="R219" i="7"/>
  <c r="N219" i="7"/>
  <c r="O219" i="7" s="1"/>
  <c r="L219" i="7"/>
  <c r="H219" i="7"/>
  <c r="I219" i="7" s="1"/>
  <c r="F219" i="7"/>
  <c r="C219" i="7"/>
  <c r="AC218" i="7"/>
  <c r="AD218" i="7" s="1"/>
  <c r="Z218" i="7"/>
  <c r="AA218" i="7" s="1"/>
  <c r="U218" i="7"/>
  <c r="T218" i="7"/>
  <c r="Q218" i="7"/>
  <c r="K218" i="7"/>
  <c r="L218" i="7" s="1"/>
  <c r="E218" i="7"/>
  <c r="F218" i="7" s="1"/>
  <c r="C218" i="7"/>
  <c r="B218" i="7"/>
  <c r="AC217" i="7"/>
  <c r="AD217" i="7" s="1"/>
  <c r="AA217" i="7"/>
  <c r="X217" i="7"/>
  <c r="W217" i="7"/>
  <c r="U217" i="7"/>
  <c r="R217" i="7"/>
  <c r="O217" i="7"/>
  <c r="N217" i="7"/>
  <c r="L217" i="7"/>
  <c r="I217" i="7"/>
  <c r="H217" i="7"/>
  <c r="F217" i="7"/>
  <c r="C217" i="7"/>
  <c r="AC216" i="7"/>
  <c r="AD216" i="7" s="1"/>
  <c r="AA216" i="7"/>
  <c r="W216" i="7"/>
  <c r="X216" i="7" s="1"/>
  <c r="U216" i="7"/>
  <c r="R216" i="7"/>
  <c r="N216" i="7"/>
  <c r="O216" i="7" s="1"/>
  <c r="L216" i="7"/>
  <c r="H216" i="7"/>
  <c r="I216" i="7" s="1"/>
  <c r="F216" i="7"/>
  <c r="C216" i="7"/>
  <c r="AD215" i="7"/>
  <c r="AC215" i="7"/>
  <c r="AA215" i="7"/>
  <c r="X215" i="7"/>
  <c r="W215" i="7"/>
  <c r="U215" i="7"/>
  <c r="R215" i="7"/>
  <c r="O215" i="7"/>
  <c r="N215" i="7"/>
  <c r="L215" i="7"/>
  <c r="H215" i="7"/>
  <c r="I215" i="7" s="1"/>
  <c r="F215" i="7"/>
  <c r="C215" i="7"/>
  <c r="AC214" i="7"/>
  <c r="AD214" i="7" s="1"/>
  <c r="AA214" i="7"/>
  <c r="X214" i="7"/>
  <c r="W214" i="7"/>
  <c r="U214" i="7"/>
  <c r="R214" i="7"/>
  <c r="O214" i="7"/>
  <c r="N214" i="7"/>
  <c r="L214" i="7"/>
  <c r="I214" i="7"/>
  <c r="H214" i="7"/>
  <c r="F214" i="7"/>
  <c r="C214" i="7"/>
  <c r="AC213" i="7"/>
  <c r="AD213" i="7" s="1"/>
  <c r="AA213" i="7"/>
  <c r="W213" i="7"/>
  <c r="X213" i="7" s="1"/>
  <c r="U213" i="7"/>
  <c r="R213" i="7"/>
  <c r="O213" i="7"/>
  <c r="N213" i="7"/>
  <c r="L213" i="7"/>
  <c r="I213" i="7"/>
  <c r="H213" i="7"/>
  <c r="F213" i="7"/>
  <c r="C213" i="7"/>
  <c r="AD211" i="7"/>
  <c r="AC211" i="7"/>
  <c r="AA211" i="7"/>
  <c r="W211" i="7"/>
  <c r="X211" i="7" s="1"/>
  <c r="U211" i="7"/>
  <c r="R211" i="7"/>
  <c r="O211" i="7"/>
  <c r="N211" i="7"/>
  <c r="L211" i="7"/>
  <c r="H211" i="7"/>
  <c r="I211" i="7" s="1"/>
  <c r="F211" i="7"/>
  <c r="C211" i="7"/>
  <c r="AC209" i="7"/>
  <c r="AD209" i="7" s="1"/>
  <c r="AA209" i="7"/>
  <c r="Z209" i="7"/>
  <c r="T209" i="7"/>
  <c r="U209" i="7" s="1"/>
  <c r="R209" i="7"/>
  <c r="Q209" i="7"/>
  <c r="N209" i="7"/>
  <c r="O209" i="7" s="1"/>
  <c r="K209" i="7"/>
  <c r="L209" i="7" s="1"/>
  <c r="F209" i="7"/>
  <c r="E209" i="7"/>
  <c r="B209" i="7"/>
  <c r="AC208" i="7"/>
  <c r="AD208" i="7" s="1"/>
  <c r="AA208" i="7"/>
  <c r="W208" i="7"/>
  <c r="X208" i="7" s="1"/>
  <c r="U208" i="7"/>
  <c r="R208" i="7"/>
  <c r="O208" i="7"/>
  <c r="N208" i="7"/>
  <c r="L208" i="7"/>
  <c r="I208" i="7"/>
  <c r="H208" i="7"/>
  <c r="F208" i="7"/>
  <c r="C208" i="7"/>
  <c r="AD207" i="7"/>
  <c r="AC207" i="7"/>
  <c r="AA207" i="7"/>
  <c r="X207" i="7"/>
  <c r="W207" i="7"/>
  <c r="U207" i="7"/>
  <c r="R207" i="7"/>
  <c r="O207" i="7"/>
  <c r="N207" i="7"/>
  <c r="L207" i="7"/>
  <c r="H207" i="7"/>
  <c r="I207" i="7" s="1"/>
  <c r="F207" i="7"/>
  <c r="C207" i="7"/>
  <c r="AC206" i="7"/>
  <c r="AD206" i="7" s="1"/>
  <c r="AA206" i="7"/>
  <c r="X206" i="7"/>
  <c r="W206" i="7"/>
  <c r="U206" i="7"/>
  <c r="R206" i="7"/>
  <c r="O206" i="7"/>
  <c r="N206" i="7"/>
  <c r="L206" i="7"/>
  <c r="H206" i="7"/>
  <c r="I206" i="7" s="1"/>
  <c r="F206" i="7"/>
  <c r="C206" i="7"/>
  <c r="AD205" i="7"/>
  <c r="AC205" i="7"/>
  <c r="AA205" i="7"/>
  <c r="W205" i="7"/>
  <c r="X205" i="7" s="1"/>
  <c r="U205" i="7"/>
  <c r="R205" i="7"/>
  <c r="O205" i="7"/>
  <c r="N205" i="7"/>
  <c r="L205" i="7"/>
  <c r="H205" i="7"/>
  <c r="I205" i="7" s="1"/>
  <c r="F205" i="7"/>
  <c r="C205" i="7"/>
  <c r="AC204" i="7"/>
  <c r="AD204" i="7" s="1"/>
  <c r="AA204" i="7"/>
  <c r="X204" i="7"/>
  <c r="W204" i="7"/>
  <c r="U204" i="7"/>
  <c r="R204" i="7"/>
  <c r="O204" i="7"/>
  <c r="N204" i="7"/>
  <c r="L204" i="7"/>
  <c r="H204" i="7"/>
  <c r="I204" i="7" s="1"/>
  <c r="F204" i="7"/>
  <c r="C204" i="7"/>
  <c r="AC203" i="7"/>
  <c r="AD203" i="7" s="1"/>
  <c r="AA203" i="7"/>
  <c r="W203" i="7"/>
  <c r="X203" i="7" s="1"/>
  <c r="U203" i="7"/>
  <c r="R203" i="7"/>
  <c r="N203" i="7"/>
  <c r="O203" i="7" s="1"/>
  <c r="L203" i="7"/>
  <c r="H203" i="7"/>
  <c r="I203" i="7" s="1"/>
  <c r="F203" i="7"/>
  <c r="C203" i="7"/>
  <c r="AD202" i="7"/>
  <c r="AC202" i="7"/>
  <c r="AA202" i="7"/>
  <c r="X202" i="7"/>
  <c r="W202" i="7"/>
  <c r="U202" i="7"/>
  <c r="R202" i="7"/>
  <c r="O202" i="7"/>
  <c r="N202" i="7"/>
  <c r="L202" i="7"/>
  <c r="H202" i="7"/>
  <c r="I202" i="7" s="1"/>
  <c r="F202" i="7"/>
  <c r="C202" i="7"/>
  <c r="AC201" i="7"/>
  <c r="AD201" i="7" s="1"/>
  <c r="AA201" i="7"/>
  <c r="X201" i="7"/>
  <c r="W201" i="7"/>
  <c r="U201" i="7"/>
  <c r="R201" i="7"/>
  <c r="O201" i="7"/>
  <c r="N201" i="7"/>
  <c r="L201" i="7"/>
  <c r="I201" i="7"/>
  <c r="H201" i="7"/>
  <c r="F201" i="7"/>
  <c r="C201" i="7"/>
  <c r="AC197" i="7"/>
  <c r="AD197" i="7" s="1"/>
  <c r="AA197" i="7"/>
  <c r="Z197" i="7"/>
  <c r="U197" i="7"/>
  <c r="T197" i="7"/>
  <c r="R197" i="7"/>
  <c r="Q197" i="7"/>
  <c r="W197" i="7" s="1"/>
  <c r="X197" i="7" s="1"/>
  <c r="K197" i="7"/>
  <c r="L197" i="7" s="1"/>
  <c r="I197" i="7"/>
  <c r="F197" i="7"/>
  <c r="E197" i="7"/>
  <c r="H197" i="7" s="1"/>
  <c r="C197" i="7"/>
  <c r="B197" i="7"/>
  <c r="AA196" i="7"/>
  <c r="Z196" i="7"/>
  <c r="U196" i="7"/>
  <c r="T196" i="7"/>
  <c r="Q196" i="7"/>
  <c r="L196" i="7"/>
  <c r="K196" i="7"/>
  <c r="E196" i="7"/>
  <c r="F196" i="7" s="1"/>
  <c r="C196" i="7"/>
  <c r="B196" i="7"/>
  <c r="AC195" i="7"/>
  <c r="AD195" i="7" s="1"/>
  <c r="AA195" i="7"/>
  <c r="W195" i="7"/>
  <c r="X195" i="7" s="1"/>
  <c r="U195" i="7"/>
  <c r="R195" i="7"/>
  <c r="N195" i="7"/>
  <c r="O195" i="7" s="1"/>
  <c r="L195" i="7"/>
  <c r="I195" i="7"/>
  <c r="H195" i="7"/>
  <c r="F195" i="7"/>
  <c r="C195" i="7"/>
  <c r="AD194" i="7"/>
  <c r="AC194" i="7"/>
  <c r="AA194" i="7"/>
  <c r="X194" i="7"/>
  <c r="W194" i="7"/>
  <c r="U194" i="7"/>
  <c r="R194" i="7"/>
  <c r="N194" i="7"/>
  <c r="O194" i="7" s="1"/>
  <c r="L194" i="7"/>
  <c r="I194" i="7"/>
  <c r="H194" i="7"/>
  <c r="F194" i="7"/>
  <c r="C194" i="7"/>
  <c r="AA193" i="7"/>
  <c r="Z193" i="7"/>
  <c r="U193" i="7"/>
  <c r="T193" i="7"/>
  <c r="Q193" i="7"/>
  <c r="W193" i="7" s="1"/>
  <c r="X193" i="7" s="1"/>
  <c r="L193" i="7"/>
  <c r="K193" i="7"/>
  <c r="F193" i="7"/>
  <c r="E193" i="7"/>
  <c r="C193" i="7"/>
  <c r="B193" i="7"/>
  <c r="H193" i="7" s="1"/>
  <c r="I193" i="7" s="1"/>
  <c r="AC192" i="7"/>
  <c r="AD192" i="7" s="1"/>
  <c r="AA192" i="7"/>
  <c r="W192" i="7"/>
  <c r="X192" i="7" s="1"/>
  <c r="U192" i="7"/>
  <c r="R192" i="7"/>
  <c r="N192" i="7"/>
  <c r="O192" i="7" s="1"/>
  <c r="L192" i="7"/>
  <c r="I192" i="7"/>
  <c r="H192" i="7"/>
  <c r="F192" i="7"/>
  <c r="C192" i="7"/>
  <c r="AD191" i="7"/>
  <c r="AC191" i="7"/>
  <c r="AA191" i="7"/>
  <c r="X191" i="7"/>
  <c r="W191" i="7"/>
  <c r="U191" i="7"/>
  <c r="R191" i="7"/>
  <c r="O191" i="7"/>
  <c r="N191" i="7"/>
  <c r="L191" i="7"/>
  <c r="H191" i="7"/>
  <c r="I191" i="7" s="1"/>
  <c r="F191" i="7"/>
  <c r="C191" i="7"/>
  <c r="AD190" i="7"/>
  <c r="AC190" i="7"/>
  <c r="AA190" i="7"/>
  <c r="W190" i="7"/>
  <c r="X190" i="7" s="1"/>
  <c r="U190" i="7"/>
  <c r="R190" i="7"/>
  <c r="N190" i="7"/>
  <c r="O190" i="7" s="1"/>
  <c r="L190" i="7"/>
  <c r="I190" i="7"/>
  <c r="H190" i="7"/>
  <c r="F190" i="7"/>
  <c r="C190" i="7"/>
  <c r="AD189" i="7"/>
  <c r="AC189" i="7"/>
  <c r="AA189" i="7"/>
  <c r="X189" i="7"/>
  <c r="W189" i="7"/>
  <c r="U189" i="7"/>
  <c r="R189" i="7"/>
  <c r="O189" i="7"/>
  <c r="N189" i="7"/>
  <c r="L189" i="7"/>
  <c r="H189" i="7"/>
  <c r="I189" i="7" s="1"/>
  <c r="F189" i="7"/>
  <c r="C189" i="7"/>
  <c r="AD188" i="7"/>
  <c r="AC188" i="7"/>
  <c r="AA188" i="7"/>
  <c r="W188" i="7"/>
  <c r="X188" i="7" s="1"/>
  <c r="U188" i="7"/>
  <c r="R188" i="7"/>
  <c r="N188" i="7"/>
  <c r="O188" i="7" s="1"/>
  <c r="L188" i="7"/>
  <c r="I188" i="7"/>
  <c r="H188" i="7"/>
  <c r="F188" i="7"/>
  <c r="C188" i="7"/>
  <c r="AD187" i="7"/>
  <c r="AC187" i="7"/>
  <c r="AA187" i="7"/>
  <c r="X187" i="7"/>
  <c r="W187" i="7"/>
  <c r="U187" i="7"/>
  <c r="R187" i="7"/>
  <c r="N187" i="7"/>
  <c r="O187" i="7" s="1"/>
  <c r="L187" i="7"/>
  <c r="I187" i="7"/>
  <c r="H187" i="7"/>
  <c r="F187" i="7"/>
  <c r="C187" i="7"/>
  <c r="AC186" i="7"/>
  <c r="AD186" i="7" s="1"/>
  <c r="AA186" i="7"/>
  <c r="W186" i="7"/>
  <c r="X186" i="7" s="1"/>
  <c r="U186" i="7"/>
  <c r="R186" i="7"/>
  <c r="N186" i="7"/>
  <c r="O186" i="7" s="1"/>
  <c r="L186" i="7"/>
  <c r="I186" i="7"/>
  <c r="H186" i="7"/>
  <c r="F186" i="7"/>
  <c r="C186" i="7"/>
  <c r="AD184" i="7"/>
  <c r="AC184" i="7"/>
  <c r="AA184" i="7"/>
  <c r="W184" i="7"/>
  <c r="X184" i="7" s="1"/>
  <c r="U184" i="7"/>
  <c r="R184" i="7"/>
  <c r="O184" i="7"/>
  <c r="N184" i="7"/>
  <c r="L184" i="7"/>
  <c r="I184" i="7"/>
  <c r="H184" i="7"/>
  <c r="F184" i="7"/>
  <c r="C184" i="7"/>
  <c r="AC183" i="7"/>
  <c r="AD183" i="7" s="1"/>
  <c r="AA183" i="7"/>
  <c r="W183" i="7"/>
  <c r="X183" i="7" s="1"/>
  <c r="U183" i="7"/>
  <c r="R183" i="7"/>
  <c r="N183" i="7"/>
  <c r="O183" i="7" s="1"/>
  <c r="L183" i="7"/>
  <c r="I183" i="7"/>
  <c r="H183" i="7"/>
  <c r="F183" i="7"/>
  <c r="C183" i="7"/>
  <c r="Z182" i="7"/>
  <c r="AA182" i="7" s="1"/>
  <c r="T182" i="7"/>
  <c r="U182" i="7" s="1"/>
  <c r="R182" i="7"/>
  <c r="Q182" i="7"/>
  <c r="L182" i="7"/>
  <c r="K182" i="7"/>
  <c r="H182" i="7"/>
  <c r="I182" i="7" s="1"/>
  <c r="F182" i="7"/>
  <c r="E182" i="7"/>
  <c r="C182" i="7"/>
  <c r="B182" i="7"/>
  <c r="N182" i="7" s="1"/>
  <c r="O182" i="7" s="1"/>
  <c r="AD181" i="7"/>
  <c r="AC181" i="7"/>
  <c r="AA181" i="7"/>
  <c r="X181" i="7"/>
  <c r="W181" i="7"/>
  <c r="U181" i="7"/>
  <c r="R181" i="7"/>
  <c r="O181" i="7"/>
  <c r="N181" i="7"/>
  <c r="L181" i="7"/>
  <c r="H181" i="7"/>
  <c r="I181" i="7" s="1"/>
  <c r="F181" i="7"/>
  <c r="C181" i="7"/>
  <c r="AD180" i="7"/>
  <c r="AC180" i="7"/>
  <c r="AA180" i="7"/>
  <c r="W180" i="7"/>
  <c r="X180" i="7" s="1"/>
  <c r="U180" i="7"/>
  <c r="R180" i="7"/>
  <c r="N180" i="7"/>
  <c r="O180" i="7" s="1"/>
  <c r="L180" i="7"/>
  <c r="I180" i="7"/>
  <c r="H180" i="7"/>
  <c r="F180" i="7"/>
  <c r="C180" i="7"/>
  <c r="AD179" i="7"/>
  <c r="AC179" i="7"/>
  <c r="AA179" i="7"/>
  <c r="X179" i="7"/>
  <c r="W179" i="7"/>
  <c r="U179" i="7"/>
  <c r="R179" i="7"/>
  <c r="O179" i="7"/>
  <c r="N179" i="7"/>
  <c r="L179" i="7"/>
  <c r="I179" i="7"/>
  <c r="H179" i="7"/>
  <c r="F179" i="7"/>
  <c r="C179" i="7"/>
  <c r="AC178" i="7"/>
  <c r="AD178" i="7" s="1"/>
  <c r="AA178" i="7"/>
  <c r="W178" i="7"/>
  <c r="X178" i="7" s="1"/>
  <c r="U178" i="7"/>
  <c r="R178" i="7"/>
  <c r="N178" i="7"/>
  <c r="O178" i="7" s="1"/>
  <c r="L178" i="7"/>
  <c r="I178" i="7"/>
  <c r="H178" i="7"/>
  <c r="F178" i="7"/>
  <c r="C178" i="7"/>
  <c r="AD177" i="7"/>
  <c r="AC177" i="7"/>
  <c r="AA177" i="7"/>
  <c r="X177" i="7"/>
  <c r="W177" i="7"/>
  <c r="U177" i="7"/>
  <c r="R177" i="7"/>
  <c r="O177" i="7"/>
  <c r="N177" i="7"/>
  <c r="L177" i="7"/>
  <c r="I177" i="7"/>
  <c r="H177" i="7"/>
  <c r="F177" i="7"/>
  <c r="C177" i="7"/>
  <c r="AD175" i="7"/>
  <c r="AC175" i="7"/>
  <c r="AA175" i="7"/>
  <c r="W175" i="7"/>
  <c r="X175" i="7" s="1"/>
  <c r="U175" i="7"/>
  <c r="R175" i="7"/>
  <c r="N175" i="7"/>
  <c r="O175" i="7" s="1"/>
  <c r="L175" i="7"/>
  <c r="I175" i="7"/>
  <c r="H175" i="7"/>
  <c r="F175" i="7"/>
  <c r="C175" i="7"/>
  <c r="T172" i="7"/>
  <c r="T198" i="7" s="1"/>
  <c r="R172" i="7"/>
  <c r="AA171" i="7"/>
  <c r="Z171" i="7"/>
  <c r="X171" i="7"/>
  <c r="U171" i="7"/>
  <c r="T171" i="7"/>
  <c r="W171" i="7" s="1"/>
  <c r="R171" i="7"/>
  <c r="Q171" i="7"/>
  <c r="AC171" i="7" s="1"/>
  <c r="AD171" i="7" s="1"/>
  <c r="L171" i="7"/>
  <c r="K171" i="7"/>
  <c r="F171" i="7"/>
  <c r="E171" i="7"/>
  <c r="B171" i="7"/>
  <c r="H171" i="7" s="1"/>
  <c r="I171" i="7" s="1"/>
  <c r="AA170" i="7"/>
  <c r="Z170" i="7"/>
  <c r="U170" i="7"/>
  <c r="T170" i="7"/>
  <c r="R170" i="7"/>
  <c r="Q170" i="7"/>
  <c r="W170" i="7" s="1"/>
  <c r="X170" i="7" s="1"/>
  <c r="L170" i="7"/>
  <c r="K170" i="7"/>
  <c r="F170" i="7"/>
  <c r="E170" i="7"/>
  <c r="B170" i="7"/>
  <c r="H170" i="7" s="1"/>
  <c r="I170" i="7" s="1"/>
  <c r="AD169" i="7"/>
  <c r="AC169" i="7"/>
  <c r="AA169" i="7"/>
  <c r="W169" i="7"/>
  <c r="X169" i="7" s="1"/>
  <c r="U169" i="7"/>
  <c r="R169" i="7"/>
  <c r="O169" i="7"/>
  <c r="N169" i="7"/>
  <c r="L169" i="7"/>
  <c r="I169" i="7"/>
  <c r="H169" i="7"/>
  <c r="F169" i="7"/>
  <c r="C169" i="7"/>
  <c r="AC168" i="7"/>
  <c r="AD168" i="7" s="1"/>
  <c r="AA168" i="7"/>
  <c r="W168" i="7"/>
  <c r="X168" i="7" s="1"/>
  <c r="U168" i="7"/>
  <c r="R168" i="7"/>
  <c r="N168" i="7"/>
  <c r="O168" i="7" s="1"/>
  <c r="L168" i="7"/>
  <c r="I168" i="7"/>
  <c r="H168" i="7"/>
  <c r="F168" i="7"/>
  <c r="C168" i="7"/>
  <c r="AD167" i="7"/>
  <c r="AC167" i="7"/>
  <c r="AA167" i="7"/>
  <c r="X167" i="7"/>
  <c r="W167" i="7"/>
  <c r="U167" i="7"/>
  <c r="R167" i="7"/>
  <c r="O167" i="7"/>
  <c r="N167" i="7"/>
  <c r="L167" i="7"/>
  <c r="I167" i="7"/>
  <c r="H167" i="7"/>
  <c r="F167" i="7"/>
  <c r="C167" i="7"/>
  <c r="AA166" i="7"/>
  <c r="Z166" i="7"/>
  <c r="X166" i="7"/>
  <c r="W166" i="7"/>
  <c r="U166" i="7"/>
  <c r="T166" i="7"/>
  <c r="R166" i="7"/>
  <c r="Q166" i="7"/>
  <c r="AC166" i="7" s="1"/>
  <c r="AD166" i="7" s="1"/>
  <c r="L166" i="7"/>
  <c r="K166" i="7"/>
  <c r="F166" i="7"/>
  <c r="E166" i="7"/>
  <c r="C166" i="7"/>
  <c r="B166" i="7"/>
  <c r="N166" i="7" s="1"/>
  <c r="O166" i="7" s="1"/>
  <c r="AD165" i="7"/>
  <c r="AC165" i="7"/>
  <c r="AA165" i="7"/>
  <c r="W165" i="7"/>
  <c r="X165" i="7" s="1"/>
  <c r="U165" i="7"/>
  <c r="R165" i="7"/>
  <c r="O165" i="7"/>
  <c r="N165" i="7"/>
  <c r="L165" i="7"/>
  <c r="I165" i="7"/>
  <c r="H165" i="7"/>
  <c r="F165" i="7"/>
  <c r="C165" i="7"/>
  <c r="AD164" i="7"/>
  <c r="AC164" i="7"/>
  <c r="AA164" i="7"/>
  <c r="X164" i="7"/>
  <c r="W164" i="7"/>
  <c r="U164" i="7"/>
  <c r="R164" i="7"/>
  <c r="O164" i="7"/>
  <c r="N164" i="7"/>
  <c r="L164" i="7"/>
  <c r="I164" i="7"/>
  <c r="H164" i="7"/>
  <c r="F164" i="7"/>
  <c r="C164" i="7"/>
  <c r="AC163" i="7"/>
  <c r="AD163" i="7" s="1"/>
  <c r="AA163" i="7"/>
  <c r="X163" i="7"/>
  <c r="W163" i="7"/>
  <c r="U163" i="7"/>
  <c r="R163" i="7"/>
  <c r="N163" i="7"/>
  <c r="O163" i="7" s="1"/>
  <c r="L163" i="7"/>
  <c r="I163" i="7"/>
  <c r="H163" i="7"/>
  <c r="F163" i="7"/>
  <c r="C163" i="7"/>
  <c r="AD162" i="7"/>
  <c r="AC162" i="7"/>
  <c r="AA162" i="7"/>
  <c r="W162" i="7"/>
  <c r="X162" i="7" s="1"/>
  <c r="U162" i="7"/>
  <c r="R162" i="7"/>
  <c r="O162" i="7"/>
  <c r="N162" i="7"/>
  <c r="L162" i="7"/>
  <c r="I162" i="7"/>
  <c r="H162" i="7"/>
  <c r="F162" i="7"/>
  <c r="C162" i="7"/>
  <c r="AD161" i="7"/>
  <c r="AC161" i="7"/>
  <c r="AA161" i="7"/>
  <c r="W161" i="7"/>
  <c r="X161" i="7" s="1"/>
  <c r="U161" i="7"/>
  <c r="R161" i="7"/>
  <c r="O161" i="7"/>
  <c r="N161" i="7"/>
  <c r="L161" i="7"/>
  <c r="I161" i="7"/>
  <c r="H161" i="7"/>
  <c r="F161" i="7"/>
  <c r="C161" i="7"/>
  <c r="AC160" i="7"/>
  <c r="AD160" i="7" s="1"/>
  <c r="AA160" i="7"/>
  <c r="X160" i="7"/>
  <c r="W160" i="7"/>
  <c r="U160" i="7"/>
  <c r="R160" i="7"/>
  <c r="O160" i="7"/>
  <c r="N160" i="7"/>
  <c r="L160" i="7"/>
  <c r="I160" i="7"/>
  <c r="H160" i="7"/>
  <c r="F160" i="7"/>
  <c r="C160" i="7"/>
  <c r="AC158" i="7"/>
  <c r="AD158" i="7" s="1"/>
  <c r="AA158" i="7"/>
  <c r="Z158" i="7"/>
  <c r="U158" i="7"/>
  <c r="T158" i="7"/>
  <c r="Q158" i="7"/>
  <c r="R158" i="7" s="1"/>
  <c r="N158" i="7"/>
  <c r="O158" i="7" s="1"/>
  <c r="K158" i="7"/>
  <c r="L158" i="7" s="1"/>
  <c r="F158" i="7"/>
  <c r="E158" i="7"/>
  <c r="B158" i="7"/>
  <c r="AC157" i="7"/>
  <c r="AD157" i="7" s="1"/>
  <c r="AA157" i="7"/>
  <c r="W157" i="7"/>
  <c r="X157" i="7" s="1"/>
  <c r="U157" i="7"/>
  <c r="R157" i="7"/>
  <c r="N157" i="7"/>
  <c r="O157" i="7" s="1"/>
  <c r="L157" i="7"/>
  <c r="I157" i="7"/>
  <c r="H157" i="7"/>
  <c r="F157" i="7"/>
  <c r="C157" i="7"/>
  <c r="AD156" i="7"/>
  <c r="AC156" i="7"/>
  <c r="AA156" i="7"/>
  <c r="X156" i="7"/>
  <c r="W156" i="7"/>
  <c r="U156" i="7"/>
  <c r="R156" i="7"/>
  <c r="O156" i="7"/>
  <c r="N156" i="7"/>
  <c r="L156" i="7"/>
  <c r="H156" i="7"/>
  <c r="I156" i="7" s="1"/>
  <c r="F156" i="7"/>
  <c r="C156" i="7"/>
  <c r="AD155" i="7"/>
  <c r="AC155" i="7"/>
  <c r="AA155" i="7"/>
  <c r="W155" i="7"/>
  <c r="X155" i="7" s="1"/>
  <c r="U155" i="7"/>
  <c r="R155" i="7"/>
  <c r="N155" i="7"/>
  <c r="O155" i="7" s="1"/>
  <c r="L155" i="7"/>
  <c r="I155" i="7"/>
  <c r="H155" i="7"/>
  <c r="F155" i="7"/>
  <c r="C155" i="7"/>
  <c r="AD154" i="7"/>
  <c r="AC154" i="7"/>
  <c r="AA154" i="7"/>
  <c r="X154" i="7"/>
  <c r="W154" i="7"/>
  <c r="U154" i="7"/>
  <c r="R154" i="7"/>
  <c r="O154" i="7"/>
  <c r="N154" i="7"/>
  <c r="L154" i="7"/>
  <c r="H154" i="7"/>
  <c r="I154" i="7" s="1"/>
  <c r="F154" i="7"/>
  <c r="C154" i="7"/>
  <c r="AC153" i="7"/>
  <c r="AD153" i="7" s="1"/>
  <c r="AA153" i="7"/>
  <c r="W153" i="7"/>
  <c r="X153" i="7" s="1"/>
  <c r="U153" i="7"/>
  <c r="R153" i="7"/>
  <c r="O153" i="7"/>
  <c r="N153" i="7"/>
  <c r="L153" i="7"/>
  <c r="I153" i="7"/>
  <c r="H153" i="7"/>
  <c r="F153" i="7"/>
  <c r="C153" i="7"/>
  <c r="AD151" i="7"/>
  <c r="AC151" i="7"/>
  <c r="AA151" i="7"/>
  <c r="W151" i="7"/>
  <c r="X151" i="7" s="1"/>
  <c r="U151" i="7"/>
  <c r="R151" i="7"/>
  <c r="N151" i="7"/>
  <c r="O151" i="7" s="1"/>
  <c r="L151" i="7"/>
  <c r="I151" i="7"/>
  <c r="H151" i="7"/>
  <c r="F151" i="7"/>
  <c r="C151" i="7"/>
  <c r="AA149" i="7"/>
  <c r="Z149" i="7"/>
  <c r="U149" i="7"/>
  <c r="T149" i="7"/>
  <c r="Q149" i="7"/>
  <c r="W149" i="7" s="1"/>
  <c r="X149" i="7" s="1"/>
  <c r="L149" i="7"/>
  <c r="K149" i="7"/>
  <c r="E149" i="7"/>
  <c r="F149" i="7" s="1"/>
  <c r="B149" i="7"/>
  <c r="C149" i="7" s="1"/>
  <c r="AA148" i="7"/>
  <c r="Z148" i="7"/>
  <c r="T148" i="7"/>
  <c r="W148" i="7" s="1"/>
  <c r="X148" i="7" s="1"/>
  <c r="R148" i="7"/>
  <c r="Q148" i="7"/>
  <c r="AC148" i="7" s="1"/>
  <c r="AD148" i="7" s="1"/>
  <c r="L148" i="7"/>
  <c r="K148" i="7"/>
  <c r="H148" i="7"/>
  <c r="I148" i="7" s="1"/>
  <c r="F148" i="7"/>
  <c r="E148" i="7"/>
  <c r="C148" i="7"/>
  <c r="B148" i="7"/>
  <c r="AD147" i="7"/>
  <c r="AC147" i="7"/>
  <c r="AA147" i="7"/>
  <c r="W147" i="7"/>
  <c r="X147" i="7" s="1"/>
  <c r="U147" i="7"/>
  <c r="R147" i="7"/>
  <c r="N147" i="7"/>
  <c r="O147" i="7" s="1"/>
  <c r="L147" i="7"/>
  <c r="H147" i="7"/>
  <c r="I147" i="7" s="1"/>
  <c r="F147" i="7"/>
  <c r="C147" i="7"/>
  <c r="AD146" i="7"/>
  <c r="AC146" i="7"/>
  <c r="AA146" i="7"/>
  <c r="X146" i="7"/>
  <c r="W146" i="7"/>
  <c r="U146" i="7"/>
  <c r="R146" i="7"/>
  <c r="O146" i="7"/>
  <c r="N146" i="7"/>
  <c r="L146" i="7"/>
  <c r="H146" i="7"/>
  <c r="I146" i="7" s="1"/>
  <c r="F146" i="7"/>
  <c r="C146" i="7"/>
  <c r="AC145" i="7"/>
  <c r="AD145" i="7" s="1"/>
  <c r="AA145" i="7"/>
  <c r="W145" i="7"/>
  <c r="X145" i="7" s="1"/>
  <c r="U145" i="7"/>
  <c r="R145" i="7"/>
  <c r="O145" i="7"/>
  <c r="N145" i="7"/>
  <c r="L145" i="7"/>
  <c r="I145" i="7"/>
  <c r="H145" i="7"/>
  <c r="F145" i="7"/>
  <c r="C145" i="7"/>
  <c r="AD144" i="7"/>
  <c r="AC144" i="7"/>
  <c r="AA144" i="7"/>
  <c r="W144" i="7"/>
  <c r="X144" i="7" s="1"/>
  <c r="U144" i="7"/>
  <c r="R144" i="7"/>
  <c r="N144" i="7"/>
  <c r="O144" i="7" s="1"/>
  <c r="L144" i="7"/>
  <c r="I144" i="7"/>
  <c r="H144" i="7"/>
  <c r="F144" i="7"/>
  <c r="C144" i="7"/>
  <c r="AD143" i="7"/>
  <c r="AC143" i="7"/>
  <c r="AA143" i="7"/>
  <c r="X143" i="7"/>
  <c r="W143" i="7"/>
  <c r="U143" i="7"/>
  <c r="R143" i="7"/>
  <c r="N143" i="7"/>
  <c r="O143" i="7" s="1"/>
  <c r="L143" i="7"/>
  <c r="H143" i="7"/>
  <c r="I143" i="7" s="1"/>
  <c r="F143" i="7"/>
  <c r="C143" i="7"/>
  <c r="AD141" i="7"/>
  <c r="AA141" i="7"/>
  <c r="Z141" i="7"/>
  <c r="T141" i="7"/>
  <c r="W141" i="7" s="1"/>
  <c r="X141" i="7" s="1"/>
  <c r="R141" i="7"/>
  <c r="Q141" i="7"/>
  <c r="AC141" i="7" s="1"/>
  <c r="L141" i="7"/>
  <c r="K141" i="7"/>
  <c r="H141" i="7"/>
  <c r="I141" i="7" s="1"/>
  <c r="F141" i="7"/>
  <c r="E141" i="7"/>
  <c r="C141" i="7"/>
  <c r="B141" i="7"/>
  <c r="N141" i="7" s="1"/>
  <c r="O141" i="7" s="1"/>
  <c r="AD140" i="7"/>
  <c r="AC140" i="7"/>
  <c r="AA140" i="7"/>
  <c r="W140" i="7"/>
  <c r="X140" i="7" s="1"/>
  <c r="U140" i="7"/>
  <c r="R140" i="7"/>
  <c r="O140" i="7"/>
  <c r="N140" i="7"/>
  <c r="L140" i="7"/>
  <c r="H140" i="7"/>
  <c r="I140" i="7" s="1"/>
  <c r="F140" i="7"/>
  <c r="C140" i="7"/>
  <c r="AD139" i="7"/>
  <c r="AC139" i="7"/>
  <c r="AA139" i="7"/>
  <c r="W139" i="7"/>
  <c r="X139" i="7" s="1"/>
  <c r="U139" i="7"/>
  <c r="R139" i="7"/>
  <c r="N139" i="7"/>
  <c r="O139" i="7" s="1"/>
  <c r="L139" i="7"/>
  <c r="I139" i="7"/>
  <c r="H139" i="7"/>
  <c r="F139" i="7"/>
  <c r="C139" i="7"/>
  <c r="AD138" i="7"/>
  <c r="AC138" i="7"/>
  <c r="AA138" i="7"/>
  <c r="X138" i="7"/>
  <c r="W138" i="7"/>
  <c r="U138" i="7"/>
  <c r="R138" i="7"/>
  <c r="N138" i="7"/>
  <c r="O138" i="7" s="1"/>
  <c r="L138" i="7"/>
  <c r="I138" i="7"/>
  <c r="H138" i="7"/>
  <c r="F138" i="7"/>
  <c r="C138" i="7"/>
  <c r="AC137" i="7"/>
  <c r="AD137" i="7" s="1"/>
  <c r="AA137" i="7"/>
  <c r="W137" i="7"/>
  <c r="X137" i="7" s="1"/>
  <c r="U137" i="7"/>
  <c r="R137" i="7"/>
  <c r="O137" i="7"/>
  <c r="N137" i="7"/>
  <c r="L137" i="7"/>
  <c r="I137" i="7"/>
  <c r="H137" i="7"/>
  <c r="F137" i="7"/>
  <c r="C137" i="7"/>
  <c r="AD136" i="7"/>
  <c r="AC136" i="7"/>
  <c r="AA136" i="7"/>
  <c r="W136" i="7"/>
  <c r="X136" i="7" s="1"/>
  <c r="U136" i="7"/>
  <c r="R136" i="7"/>
  <c r="N136" i="7"/>
  <c r="O136" i="7" s="1"/>
  <c r="L136" i="7"/>
  <c r="I136" i="7"/>
  <c r="H136" i="7"/>
  <c r="F136" i="7"/>
  <c r="C136" i="7"/>
  <c r="AC135" i="7"/>
  <c r="AD135" i="7" s="1"/>
  <c r="AA135" i="7"/>
  <c r="X135" i="7"/>
  <c r="W135" i="7"/>
  <c r="U135" i="7"/>
  <c r="R135" i="7"/>
  <c r="N135" i="7"/>
  <c r="O135" i="7" s="1"/>
  <c r="L135" i="7"/>
  <c r="H135" i="7"/>
  <c r="I135" i="7" s="1"/>
  <c r="F135" i="7"/>
  <c r="C135" i="7"/>
  <c r="AD134" i="7"/>
  <c r="AC134" i="7"/>
  <c r="AA134" i="7"/>
  <c r="W134" i="7"/>
  <c r="X134" i="7" s="1"/>
  <c r="U134" i="7"/>
  <c r="R134" i="7"/>
  <c r="O134" i="7"/>
  <c r="N134" i="7"/>
  <c r="L134" i="7"/>
  <c r="I134" i="7"/>
  <c r="H134" i="7"/>
  <c r="F134" i="7"/>
  <c r="C134" i="7"/>
  <c r="AD133" i="7"/>
  <c r="AC133" i="7"/>
  <c r="AA133" i="7"/>
  <c r="W133" i="7"/>
  <c r="X133" i="7" s="1"/>
  <c r="U133" i="7"/>
  <c r="R133" i="7"/>
  <c r="N133" i="7"/>
  <c r="O133" i="7" s="1"/>
  <c r="L133" i="7"/>
  <c r="I133" i="7"/>
  <c r="H133" i="7"/>
  <c r="F133" i="7"/>
  <c r="C133" i="7"/>
  <c r="AC132" i="7"/>
  <c r="AD132" i="7" s="1"/>
  <c r="AA132" i="7"/>
  <c r="X132" i="7"/>
  <c r="W132" i="7"/>
  <c r="U132" i="7"/>
  <c r="R132" i="7"/>
  <c r="O132" i="7"/>
  <c r="N132" i="7"/>
  <c r="L132" i="7"/>
  <c r="H132" i="7"/>
  <c r="I132" i="7" s="1"/>
  <c r="F132" i="7"/>
  <c r="C132" i="7"/>
  <c r="AD131" i="7"/>
  <c r="AC131" i="7"/>
  <c r="AA131" i="7"/>
  <c r="W131" i="7"/>
  <c r="X131" i="7" s="1"/>
  <c r="U131" i="7"/>
  <c r="R131" i="7"/>
  <c r="N131" i="7"/>
  <c r="O131" i="7" s="1"/>
  <c r="L131" i="7"/>
  <c r="I131" i="7"/>
  <c r="H131" i="7"/>
  <c r="F131" i="7"/>
  <c r="C131" i="7"/>
  <c r="AD130" i="7"/>
  <c r="AC130" i="7"/>
  <c r="AA130" i="7"/>
  <c r="X130" i="7"/>
  <c r="W130" i="7"/>
  <c r="U130" i="7"/>
  <c r="R130" i="7"/>
  <c r="N130" i="7"/>
  <c r="O130" i="7" s="1"/>
  <c r="L130" i="7"/>
  <c r="H130" i="7"/>
  <c r="I130" i="7" s="1"/>
  <c r="F130" i="7"/>
  <c r="C130" i="7"/>
  <c r="AC129" i="7"/>
  <c r="AD129" i="7" s="1"/>
  <c r="AA129" i="7"/>
  <c r="W129" i="7"/>
  <c r="X129" i="7" s="1"/>
  <c r="U129" i="7"/>
  <c r="R129" i="7"/>
  <c r="O129" i="7"/>
  <c r="N129" i="7"/>
  <c r="L129" i="7"/>
  <c r="I129" i="7"/>
  <c r="H129" i="7"/>
  <c r="F129" i="7"/>
  <c r="C129" i="7"/>
  <c r="AC127" i="7"/>
  <c r="AD127" i="7" s="1"/>
  <c r="AA127" i="7"/>
  <c r="W127" i="7"/>
  <c r="X127" i="7" s="1"/>
  <c r="U127" i="7"/>
  <c r="R127" i="7"/>
  <c r="N127" i="7"/>
  <c r="O127" i="7" s="1"/>
  <c r="L127" i="7"/>
  <c r="I127" i="7"/>
  <c r="H127" i="7"/>
  <c r="F127" i="7"/>
  <c r="C127" i="7"/>
  <c r="Z124" i="7"/>
  <c r="X124" i="7"/>
  <c r="W124" i="7"/>
  <c r="U124" i="7"/>
  <c r="T124" i="7"/>
  <c r="R124" i="7"/>
  <c r="Q124" i="7"/>
  <c r="Q172" i="7" s="1"/>
  <c r="Q198" i="7" s="1"/>
  <c r="N124" i="7"/>
  <c r="O124" i="7" s="1"/>
  <c r="L124" i="7"/>
  <c r="K124" i="7"/>
  <c r="K172" i="7" s="1"/>
  <c r="F124" i="7"/>
  <c r="E124" i="7"/>
  <c r="E172" i="7" s="1"/>
  <c r="F172" i="7" s="1"/>
  <c r="B124" i="7"/>
  <c r="B172" i="7" s="1"/>
  <c r="AC123" i="7"/>
  <c r="AD123" i="7" s="1"/>
  <c r="AA123" i="7"/>
  <c r="W123" i="7"/>
  <c r="X123" i="7" s="1"/>
  <c r="U123" i="7"/>
  <c r="R123" i="7"/>
  <c r="N123" i="7"/>
  <c r="O123" i="7" s="1"/>
  <c r="L123" i="7"/>
  <c r="I123" i="7"/>
  <c r="H123" i="7"/>
  <c r="F123" i="7"/>
  <c r="C123" i="7"/>
  <c r="AA122" i="7"/>
  <c r="Z122" i="7"/>
  <c r="T122" i="7"/>
  <c r="U122" i="7" s="1"/>
  <c r="R122" i="7"/>
  <c r="Q122" i="7"/>
  <c r="N122" i="7"/>
  <c r="O122" i="7" s="1"/>
  <c r="L122" i="7"/>
  <c r="K122" i="7"/>
  <c r="I122" i="7"/>
  <c r="H122" i="7"/>
  <c r="F122" i="7"/>
  <c r="E122" i="7"/>
  <c r="B122" i="7"/>
  <c r="C122" i="7" s="1"/>
  <c r="AD121" i="7"/>
  <c r="AC121" i="7"/>
  <c r="AA121" i="7"/>
  <c r="X121" i="7"/>
  <c r="W121" i="7"/>
  <c r="U121" i="7"/>
  <c r="R121" i="7"/>
  <c r="N121" i="7"/>
  <c r="O121" i="7" s="1"/>
  <c r="L121" i="7"/>
  <c r="H121" i="7"/>
  <c r="I121" i="7" s="1"/>
  <c r="F121" i="7"/>
  <c r="C121" i="7"/>
  <c r="AC120" i="7"/>
  <c r="AD120" i="7" s="1"/>
  <c r="AA120" i="7"/>
  <c r="W120" i="7"/>
  <c r="X120" i="7" s="1"/>
  <c r="U120" i="7"/>
  <c r="R120" i="7"/>
  <c r="O120" i="7"/>
  <c r="N120" i="7"/>
  <c r="L120" i="7"/>
  <c r="I120" i="7"/>
  <c r="H120" i="7"/>
  <c r="F120" i="7"/>
  <c r="C120" i="7"/>
  <c r="AC119" i="7"/>
  <c r="AD119" i="7" s="1"/>
  <c r="AA119" i="7"/>
  <c r="W119" i="7"/>
  <c r="X119" i="7" s="1"/>
  <c r="U119" i="7"/>
  <c r="R119" i="7"/>
  <c r="O119" i="7"/>
  <c r="N119" i="7"/>
  <c r="L119" i="7"/>
  <c r="I119" i="7"/>
  <c r="H119" i="7"/>
  <c r="F119" i="7"/>
  <c r="C119" i="7"/>
  <c r="AC118" i="7"/>
  <c r="AD118" i="7" s="1"/>
  <c r="AA118" i="7"/>
  <c r="Z118" i="7"/>
  <c r="X118" i="7"/>
  <c r="U118" i="7"/>
  <c r="T118" i="7"/>
  <c r="R118" i="7"/>
  <c r="Q118" i="7"/>
  <c r="W118" i="7" s="1"/>
  <c r="L118" i="7"/>
  <c r="K118" i="7"/>
  <c r="F118" i="7"/>
  <c r="E118" i="7"/>
  <c r="B118" i="7"/>
  <c r="N118" i="7" s="1"/>
  <c r="O118" i="7" s="1"/>
  <c r="AD117" i="7"/>
  <c r="AC117" i="7"/>
  <c r="AA117" i="7"/>
  <c r="W117" i="7"/>
  <c r="X117" i="7" s="1"/>
  <c r="U117" i="7"/>
  <c r="R117" i="7"/>
  <c r="N117" i="7"/>
  <c r="O117" i="7" s="1"/>
  <c r="L117" i="7"/>
  <c r="I117" i="7"/>
  <c r="H117" i="7"/>
  <c r="F117" i="7"/>
  <c r="C117" i="7"/>
  <c r="AD116" i="7"/>
  <c r="AC116" i="7"/>
  <c r="AA116" i="7"/>
  <c r="X116" i="7"/>
  <c r="W116" i="7"/>
  <c r="U116" i="7"/>
  <c r="R116" i="7"/>
  <c r="O116" i="7"/>
  <c r="N116" i="7"/>
  <c r="L116" i="7"/>
  <c r="I116" i="7"/>
  <c r="H116" i="7"/>
  <c r="F116" i="7"/>
  <c r="C116" i="7"/>
  <c r="AC115" i="7"/>
  <c r="AD115" i="7" s="1"/>
  <c r="AA115" i="7"/>
  <c r="W115" i="7"/>
  <c r="X115" i="7" s="1"/>
  <c r="U115" i="7"/>
  <c r="R115" i="7"/>
  <c r="N115" i="7"/>
  <c r="O115" i="7" s="1"/>
  <c r="L115" i="7"/>
  <c r="I115" i="7"/>
  <c r="H115" i="7"/>
  <c r="F115" i="7"/>
  <c r="C115" i="7"/>
  <c r="AD114" i="7"/>
  <c r="AC114" i="7"/>
  <c r="AA114" i="7"/>
  <c r="W114" i="7"/>
  <c r="X114" i="7" s="1"/>
  <c r="U114" i="7"/>
  <c r="R114" i="7"/>
  <c r="O114" i="7"/>
  <c r="N114" i="7"/>
  <c r="L114" i="7"/>
  <c r="H114" i="7"/>
  <c r="I114" i="7" s="1"/>
  <c r="F114" i="7"/>
  <c r="C114" i="7"/>
  <c r="AD113" i="7"/>
  <c r="AC113" i="7"/>
  <c r="AA113" i="7"/>
  <c r="W113" i="7"/>
  <c r="X113" i="7" s="1"/>
  <c r="U113" i="7"/>
  <c r="R113" i="7"/>
  <c r="N113" i="7"/>
  <c r="O113" i="7" s="1"/>
  <c r="L113" i="7"/>
  <c r="I113" i="7"/>
  <c r="H113" i="7"/>
  <c r="F113" i="7"/>
  <c r="C113" i="7"/>
  <c r="AC112" i="7"/>
  <c r="AD112" i="7" s="1"/>
  <c r="AA112" i="7"/>
  <c r="X112" i="7"/>
  <c r="W112" i="7"/>
  <c r="U112" i="7"/>
  <c r="R112" i="7"/>
  <c r="N112" i="7"/>
  <c r="O112" i="7" s="1"/>
  <c r="L112" i="7"/>
  <c r="H112" i="7"/>
  <c r="I112" i="7" s="1"/>
  <c r="F112" i="7"/>
  <c r="C112" i="7"/>
  <c r="AD111" i="7"/>
  <c r="AC111" i="7"/>
  <c r="AA111" i="7"/>
  <c r="W111" i="7"/>
  <c r="X111" i="7" s="1"/>
  <c r="U111" i="7"/>
  <c r="R111" i="7"/>
  <c r="N111" i="7"/>
  <c r="O111" i="7" s="1"/>
  <c r="L111" i="7"/>
  <c r="H111" i="7"/>
  <c r="I111" i="7" s="1"/>
  <c r="F111" i="7"/>
  <c r="C111" i="7"/>
  <c r="AD110" i="7"/>
  <c r="AC110" i="7"/>
  <c r="AA110" i="7"/>
  <c r="X110" i="7"/>
  <c r="W110" i="7"/>
  <c r="U110" i="7"/>
  <c r="R110" i="7"/>
  <c r="N110" i="7"/>
  <c r="O110" i="7" s="1"/>
  <c r="L110" i="7"/>
  <c r="I110" i="7"/>
  <c r="H110" i="7"/>
  <c r="F110" i="7"/>
  <c r="C110" i="7"/>
  <c r="AC109" i="7"/>
  <c r="AD109" i="7" s="1"/>
  <c r="AA109" i="7"/>
  <c r="W109" i="7"/>
  <c r="X109" i="7" s="1"/>
  <c r="U109" i="7"/>
  <c r="R109" i="7"/>
  <c r="N109" i="7"/>
  <c r="O109" i="7" s="1"/>
  <c r="L109" i="7"/>
  <c r="I109" i="7"/>
  <c r="H109" i="7"/>
  <c r="F109" i="7"/>
  <c r="C109" i="7"/>
  <c r="AD108" i="7"/>
  <c r="AC108" i="7"/>
  <c r="AA108" i="7"/>
  <c r="X108" i="7"/>
  <c r="W108" i="7"/>
  <c r="U108" i="7"/>
  <c r="R108" i="7"/>
  <c r="N108" i="7"/>
  <c r="O108" i="7" s="1"/>
  <c r="L108" i="7"/>
  <c r="I108" i="7"/>
  <c r="H108" i="7"/>
  <c r="F108" i="7"/>
  <c r="C108" i="7"/>
  <c r="AC107" i="7"/>
  <c r="AD107" i="7" s="1"/>
  <c r="AA107" i="7"/>
  <c r="W107" i="7"/>
  <c r="X107" i="7" s="1"/>
  <c r="U107" i="7"/>
  <c r="R107" i="7"/>
  <c r="N107" i="7"/>
  <c r="O107" i="7" s="1"/>
  <c r="L107" i="7"/>
  <c r="H107" i="7"/>
  <c r="I107" i="7" s="1"/>
  <c r="F107" i="7"/>
  <c r="C107" i="7"/>
  <c r="AD106" i="7"/>
  <c r="AC106" i="7"/>
  <c r="AA106" i="7"/>
  <c r="W106" i="7"/>
  <c r="X106" i="7" s="1"/>
  <c r="U106" i="7"/>
  <c r="R106" i="7"/>
  <c r="N106" i="7"/>
  <c r="O106" i="7" s="1"/>
  <c r="L106" i="7"/>
  <c r="H106" i="7"/>
  <c r="I106" i="7" s="1"/>
  <c r="F106" i="7"/>
  <c r="C106" i="7"/>
  <c r="AC105" i="7"/>
  <c r="AD105" i="7" s="1"/>
  <c r="AA105" i="7"/>
  <c r="W105" i="7"/>
  <c r="X105" i="7" s="1"/>
  <c r="U105" i="7"/>
  <c r="R105" i="7"/>
  <c r="O105" i="7"/>
  <c r="N105" i="7"/>
  <c r="L105" i="7"/>
  <c r="I105" i="7"/>
  <c r="H105" i="7"/>
  <c r="F105" i="7"/>
  <c r="C105" i="7"/>
  <c r="AC104" i="7"/>
  <c r="AD104" i="7" s="1"/>
  <c r="AA104" i="7"/>
  <c r="W104" i="7"/>
  <c r="X104" i="7" s="1"/>
  <c r="U104" i="7"/>
  <c r="R104" i="7"/>
  <c r="O104" i="7"/>
  <c r="N104" i="7"/>
  <c r="L104" i="7"/>
  <c r="I104" i="7"/>
  <c r="H104" i="7"/>
  <c r="F104" i="7"/>
  <c r="C104" i="7"/>
  <c r="AC103" i="7"/>
  <c r="AD103" i="7" s="1"/>
  <c r="AA103" i="7"/>
  <c r="W103" i="7"/>
  <c r="X103" i="7" s="1"/>
  <c r="U103" i="7"/>
  <c r="R103" i="7"/>
  <c r="N103" i="7"/>
  <c r="O103" i="7" s="1"/>
  <c r="L103" i="7"/>
  <c r="I103" i="7"/>
  <c r="H103" i="7"/>
  <c r="F103" i="7"/>
  <c r="C103" i="7"/>
  <c r="AD102" i="7"/>
  <c r="AC102" i="7"/>
  <c r="AA102" i="7"/>
  <c r="W102" i="7"/>
  <c r="X102" i="7" s="1"/>
  <c r="U102" i="7"/>
  <c r="R102" i="7"/>
  <c r="O102" i="7"/>
  <c r="N102" i="7"/>
  <c r="L102" i="7"/>
  <c r="I102" i="7"/>
  <c r="H102" i="7"/>
  <c r="F102" i="7"/>
  <c r="C102" i="7"/>
  <c r="AC101" i="7"/>
  <c r="AD101" i="7" s="1"/>
  <c r="AA101" i="7"/>
  <c r="W101" i="7"/>
  <c r="X101" i="7" s="1"/>
  <c r="U101" i="7"/>
  <c r="R101" i="7"/>
  <c r="O101" i="7"/>
  <c r="N101" i="7"/>
  <c r="L101" i="7"/>
  <c r="I101" i="7"/>
  <c r="H101" i="7"/>
  <c r="F101" i="7"/>
  <c r="C101" i="7"/>
  <c r="AC100" i="7"/>
  <c r="AD100" i="7" s="1"/>
  <c r="AA100" i="7"/>
  <c r="W100" i="7"/>
  <c r="X100" i="7" s="1"/>
  <c r="U100" i="7"/>
  <c r="R100" i="7"/>
  <c r="O100" i="7"/>
  <c r="N100" i="7"/>
  <c r="L100" i="7"/>
  <c r="I100" i="7"/>
  <c r="H100" i="7"/>
  <c r="F100" i="7"/>
  <c r="C100" i="7"/>
  <c r="AC99" i="7"/>
  <c r="AD99" i="7" s="1"/>
  <c r="AA99" i="7"/>
  <c r="X99" i="7"/>
  <c r="W99" i="7"/>
  <c r="U99" i="7"/>
  <c r="R99" i="7"/>
  <c r="N99" i="7"/>
  <c r="O99" i="7" s="1"/>
  <c r="L99" i="7"/>
  <c r="I99" i="7"/>
  <c r="H99" i="7"/>
  <c r="F99" i="7"/>
  <c r="C99" i="7"/>
  <c r="AD98" i="7"/>
  <c r="AC98" i="7"/>
  <c r="AA98" i="7"/>
  <c r="W98" i="7"/>
  <c r="X98" i="7" s="1"/>
  <c r="U98" i="7"/>
  <c r="R98" i="7"/>
  <c r="O98" i="7"/>
  <c r="N98" i="7"/>
  <c r="L98" i="7"/>
  <c r="H98" i="7"/>
  <c r="I98" i="7" s="1"/>
  <c r="F98" i="7"/>
  <c r="C98" i="7"/>
  <c r="AC97" i="7"/>
  <c r="AD97" i="7" s="1"/>
  <c r="AA97" i="7"/>
  <c r="W97" i="7"/>
  <c r="X97" i="7" s="1"/>
  <c r="U97" i="7"/>
  <c r="R97" i="7"/>
  <c r="N97" i="7"/>
  <c r="O97" i="7" s="1"/>
  <c r="L97" i="7"/>
  <c r="I97" i="7"/>
  <c r="H97" i="7"/>
  <c r="F97" i="7"/>
  <c r="C97" i="7"/>
  <c r="AC96" i="7"/>
  <c r="AD96" i="7" s="1"/>
  <c r="AA96" i="7"/>
  <c r="W96" i="7"/>
  <c r="X96" i="7" s="1"/>
  <c r="U96" i="7"/>
  <c r="R96" i="7"/>
  <c r="N96" i="7"/>
  <c r="O96" i="7" s="1"/>
  <c r="L96" i="7"/>
  <c r="H96" i="7"/>
  <c r="I96" i="7" s="1"/>
  <c r="F96" i="7"/>
  <c r="C96" i="7"/>
  <c r="AD95" i="7"/>
  <c r="AC95" i="7"/>
  <c r="AA95" i="7"/>
  <c r="X95" i="7"/>
  <c r="W95" i="7"/>
  <c r="U95" i="7"/>
  <c r="R95" i="7"/>
  <c r="N95" i="7"/>
  <c r="O95" i="7" s="1"/>
  <c r="L95" i="7"/>
  <c r="H95" i="7"/>
  <c r="I95" i="7" s="1"/>
  <c r="F95" i="7"/>
  <c r="C95" i="7"/>
  <c r="AD94" i="7"/>
  <c r="AC94" i="7"/>
  <c r="AA94" i="7"/>
  <c r="X94" i="7"/>
  <c r="W94" i="7"/>
  <c r="U94" i="7"/>
  <c r="R94" i="7"/>
  <c r="O94" i="7"/>
  <c r="N94" i="7"/>
  <c r="L94" i="7"/>
  <c r="H94" i="7"/>
  <c r="I94" i="7" s="1"/>
  <c r="F94" i="7"/>
  <c r="C94" i="7"/>
  <c r="AC92" i="7"/>
  <c r="AD92" i="7" s="1"/>
  <c r="AA92" i="7"/>
  <c r="W92" i="7"/>
  <c r="X92" i="7" s="1"/>
  <c r="U92" i="7"/>
  <c r="R92" i="7"/>
  <c r="N92" i="7"/>
  <c r="O92" i="7" s="1"/>
  <c r="L92" i="7"/>
  <c r="I92" i="7"/>
  <c r="H92" i="7"/>
  <c r="F92" i="7"/>
  <c r="C92" i="7"/>
  <c r="AD91" i="7"/>
  <c r="AC91" i="7"/>
  <c r="AA91" i="7"/>
  <c r="W91" i="7"/>
  <c r="X91" i="7" s="1"/>
  <c r="U91" i="7"/>
  <c r="R91" i="7"/>
  <c r="O91" i="7"/>
  <c r="N91" i="7"/>
  <c r="L91" i="7"/>
  <c r="I91" i="7"/>
  <c r="H91" i="7"/>
  <c r="F91" i="7"/>
  <c r="C91" i="7"/>
  <c r="AD90" i="7"/>
  <c r="AC90" i="7"/>
  <c r="AA90" i="7"/>
  <c r="W90" i="7"/>
  <c r="X90" i="7" s="1"/>
  <c r="U90" i="7"/>
  <c r="R90" i="7"/>
  <c r="N90" i="7"/>
  <c r="O90" i="7" s="1"/>
  <c r="L90" i="7"/>
  <c r="I90" i="7"/>
  <c r="H90" i="7"/>
  <c r="F90" i="7"/>
  <c r="C90" i="7"/>
  <c r="AD89" i="7"/>
  <c r="AC89" i="7"/>
  <c r="AA89" i="7"/>
  <c r="W89" i="7"/>
  <c r="X89" i="7" s="1"/>
  <c r="U89" i="7"/>
  <c r="R89" i="7"/>
  <c r="O89" i="7"/>
  <c r="N89" i="7"/>
  <c r="L89" i="7"/>
  <c r="I89" i="7"/>
  <c r="H89" i="7"/>
  <c r="F89" i="7"/>
  <c r="C89" i="7"/>
  <c r="AA88" i="7"/>
  <c r="Z88" i="7"/>
  <c r="T88" i="7"/>
  <c r="U88" i="7" s="1"/>
  <c r="Q88" i="7"/>
  <c r="L88" i="7"/>
  <c r="K88" i="7"/>
  <c r="H88" i="7"/>
  <c r="I88" i="7" s="1"/>
  <c r="F88" i="7"/>
  <c r="E88" i="7"/>
  <c r="C88" i="7"/>
  <c r="B88" i="7"/>
  <c r="AD87" i="7"/>
  <c r="AC87" i="7"/>
  <c r="AA87" i="7"/>
  <c r="X87" i="7"/>
  <c r="W87" i="7"/>
  <c r="U87" i="7"/>
  <c r="R87" i="7"/>
  <c r="N87" i="7"/>
  <c r="O87" i="7" s="1"/>
  <c r="L87" i="7"/>
  <c r="I87" i="7"/>
  <c r="H87" i="7"/>
  <c r="F87" i="7"/>
  <c r="C87" i="7"/>
  <c r="AD86" i="7"/>
  <c r="AC86" i="7"/>
  <c r="AA86" i="7"/>
  <c r="X86" i="7"/>
  <c r="W86" i="7"/>
  <c r="U86" i="7"/>
  <c r="R86" i="7"/>
  <c r="O86" i="7"/>
  <c r="N86" i="7"/>
  <c r="L86" i="7"/>
  <c r="H86" i="7"/>
  <c r="I86" i="7" s="1"/>
  <c r="F86" i="7"/>
  <c r="C86" i="7"/>
  <c r="AD85" i="7"/>
  <c r="AC85" i="7"/>
  <c r="AA85" i="7"/>
  <c r="W85" i="7"/>
  <c r="X85" i="7" s="1"/>
  <c r="U85" i="7"/>
  <c r="R85" i="7"/>
  <c r="O85" i="7"/>
  <c r="N85" i="7"/>
  <c r="L85" i="7"/>
  <c r="I85" i="7"/>
  <c r="H85" i="7"/>
  <c r="F85" i="7"/>
  <c r="C85" i="7"/>
  <c r="AD84" i="7"/>
  <c r="AC84" i="7"/>
  <c r="AA84" i="7"/>
  <c r="X84" i="7"/>
  <c r="W84" i="7"/>
  <c r="U84" i="7"/>
  <c r="R84" i="7"/>
  <c r="N84" i="7"/>
  <c r="O84" i="7" s="1"/>
  <c r="L84" i="7"/>
  <c r="H84" i="7"/>
  <c r="I84" i="7" s="1"/>
  <c r="F84" i="7"/>
  <c r="C84" i="7"/>
  <c r="AD83" i="7"/>
  <c r="AC83" i="7"/>
  <c r="AA83" i="7"/>
  <c r="X83" i="7"/>
  <c r="W83" i="7"/>
  <c r="U83" i="7"/>
  <c r="R83" i="7"/>
  <c r="N83" i="7"/>
  <c r="O83" i="7" s="1"/>
  <c r="L83" i="7"/>
  <c r="H83" i="7"/>
  <c r="I83" i="7" s="1"/>
  <c r="F83" i="7"/>
  <c r="C83" i="7"/>
  <c r="AD82" i="7"/>
  <c r="AC82" i="7"/>
  <c r="AA82" i="7"/>
  <c r="X82" i="7"/>
  <c r="W82" i="7"/>
  <c r="U82" i="7"/>
  <c r="R82" i="7"/>
  <c r="N82" i="7"/>
  <c r="O82" i="7" s="1"/>
  <c r="L82" i="7"/>
  <c r="H82" i="7"/>
  <c r="I82" i="7" s="1"/>
  <c r="F82" i="7"/>
  <c r="C82" i="7"/>
  <c r="AD81" i="7"/>
  <c r="AC81" i="7"/>
  <c r="AA81" i="7"/>
  <c r="W81" i="7"/>
  <c r="X81" i="7" s="1"/>
  <c r="U81" i="7"/>
  <c r="R81" i="7"/>
  <c r="O81" i="7"/>
  <c r="N81" i="7"/>
  <c r="L81" i="7"/>
  <c r="I81" i="7"/>
  <c r="H81" i="7"/>
  <c r="F81" i="7"/>
  <c r="C81" i="7"/>
  <c r="AC80" i="7"/>
  <c r="AD80" i="7" s="1"/>
  <c r="AA80" i="7"/>
  <c r="X80" i="7"/>
  <c r="W80" i="7"/>
  <c r="U80" i="7"/>
  <c r="R80" i="7"/>
  <c r="N80" i="7"/>
  <c r="O80" i="7" s="1"/>
  <c r="L80" i="7"/>
  <c r="I80" i="7"/>
  <c r="H80" i="7"/>
  <c r="F80" i="7"/>
  <c r="C80" i="7"/>
  <c r="AD79" i="7"/>
  <c r="AC79" i="7"/>
  <c r="AA79" i="7"/>
  <c r="W79" i="7"/>
  <c r="X79" i="7" s="1"/>
  <c r="U79" i="7"/>
  <c r="R79" i="7"/>
  <c r="N79" i="7"/>
  <c r="O79" i="7" s="1"/>
  <c r="L79" i="7"/>
  <c r="H79" i="7"/>
  <c r="I79" i="7" s="1"/>
  <c r="F79" i="7"/>
  <c r="C79" i="7"/>
  <c r="AD78" i="7"/>
  <c r="AC78" i="7"/>
  <c r="AA78" i="7"/>
  <c r="X78" i="7"/>
  <c r="W78" i="7"/>
  <c r="U78" i="7"/>
  <c r="R78" i="7"/>
  <c r="N78" i="7"/>
  <c r="O78" i="7" s="1"/>
  <c r="L78" i="7"/>
  <c r="I78" i="7"/>
  <c r="H78" i="7"/>
  <c r="F78" i="7"/>
  <c r="C78" i="7"/>
  <c r="AD77" i="7"/>
  <c r="AC77" i="7"/>
  <c r="AA77" i="7"/>
  <c r="W77" i="7"/>
  <c r="X77" i="7" s="1"/>
  <c r="U77" i="7"/>
  <c r="R77" i="7"/>
  <c r="N77" i="7"/>
  <c r="O77" i="7" s="1"/>
  <c r="L77" i="7"/>
  <c r="I77" i="7"/>
  <c r="H77" i="7"/>
  <c r="F77" i="7"/>
  <c r="C77" i="7"/>
  <c r="AD76" i="7"/>
  <c r="AC76" i="7"/>
  <c r="AA76" i="7"/>
  <c r="X76" i="7"/>
  <c r="W76" i="7"/>
  <c r="U76" i="7"/>
  <c r="R76" i="7"/>
  <c r="N76" i="7"/>
  <c r="O76" i="7" s="1"/>
  <c r="L76" i="7"/>
  <c r="H76" i="7"/>
  <c r="I76" i="7" s="1"/>
  <c r="F76" i="7"/>
  <c r="C76" i="7"/>
  <c r="AD75" i="7"/>
  <c r="AC75" i="7"/>
  <c r="AA75" i="7"/>
  <c r="W75" i="7"/>
  <c r="X75" i="7" s="1"/>
  <c r="U75" i="7"/>
  <c r="R75" i="7"/>
  <c r="N75" i="7"/>
  <c r="O75" i="7" s="1"/>
  <c r="L75" i="7"/>
  <c r="I75" i="7"/>
  <c r="H75" i="7"/>
  <c r="F75" i="7"/>
  <c r="C75" i="7"/>
  <c r="AA73" i="7"/>
  <c r="Z73" i="7"/>
  <c r="W73" i="7"/>
  <c r="X73" i="7" s="1"/>
  <c r="U73" i="7"/>
  <c r="T73" i="7"/>
  <c r="R73" i="7"/>
  <c r="Q73" i="7"/>
  <c r="K73" i="7"/>
  <c r="L73" i="7" s="1"/>
  <c r="F73" i="7"/>
  <c r="E73" i="7"/>
  <c r="B73" i="7"/>
  <c r="AD72" i="7"/>
  <c r="AC72" i="7"/>
  <c r="AA72" i="7"/>
  <c r="W72" i="7"/>
  <c r="X72" i="7" s="1"/>
  <c r="U72" i="7"/>
  <c r="R72" i="7"/>
  <c r="N72" i="7"/>
  <c r="O72" i="7" s="1"/>
  <c r="L72" i="7"/>
  <c r="I72" i="7"/>
  <c r="H72" i="7"/>
  <c r="F72" i="7"/>
  <c r="C72" i="7"/>
  <c r="AD71" i="7"/>
  <c r="AC71" i="7"/>
  <c r="AA71" i="7"/>
  <c r="X71" i="7"/>
  <c r="W71" i="7"/>
  <c r="U71" i="7"/>
  <c r="R71" i="7"/>
  <c r="N71" i="7"/>
  <c r="O71" i="7" s="1"/>
  <c r="L71" i="7"/>
  <c r="H71" i="7"/>
  <c r="I71" i="7" s="1"/>
  <c r="F71" i="7"/>
  <c r="C71" i="7"/>
  <c r="AD70" i="7"/>
  <c r="AC70" i="7"/>
  <c r="AA70" i="7"/>
  <c r="X70" i="7"/>
  <c r="W70" i="7"/>
  <c r="U70" i="7"/>
  <c r="R70" i="7"/>
  <c r="O70" i="7"/>
  <c r="N70" i="7"/>
  <c r="L70" i="7"/>
  <c r="I70" i="7"/>
  <c r="H70" i="7"/>
  <c r="F70" i="7"/>
  <c r="C70" i="7"/>
  <c r="AC69" i="7"/>
  <c r="AD69" i="7" s="1"/>
  <c r="AA69" i="7"/>
  <c r="W69" i="7"/>
  <c r="X69" i="7" s="1"/>
  <c r="U69" i="7"/>
  <c r="R69" i="7"/>
  <c r="N69" i="7"/>
  <c r="O69" i="7" s="1"/>
  <c r="L69" i="7"/>
  <c r="I69" i="7"/>
  <c r="H69" i="7"/>
  <c r="F69" i="7"/>
  <c r="C69" i="7"/>
  <c r="AD68" i="7"/>
  <c r="AC68" i="7"/>
  <c r="AA68" i="7"/>
  <c r="W68" i="7"/>
  <c r="X68" i="7" s="1"/>
  <c r="U68" i="7"/>
  <c r="R68" i="7"/>
  <c r="O68" i="7"/>
  <c r="N68" i="7"/>
  <c r="L68" i="7"/>
  <c r="I68" i="7"/>
  <c r="H68" i="7"/>
  <c r="F68" i="7"/>
  <c r="C68" i="7"/>
  <c r="AC67" i="7"/>
  <c r="AD67" i="7" s="1"/>
  <c r="AA67" i="7"/>
  <c r="W67" i="7"/>
  <c r="X67" i="7" s="1"/>
  <c r="U67" i="7"/>
  <c r="R67" i="7"/>
  <c r="N67" i="7"/>
  <c r="O67" i="7" s="1"/>
  <c r="L67" i="7"/>
  <c r="I67" i="7"/>
  <c r="H67" i="7"/>
  <c r="F67" i="7"/>
  <c r="C67" i="7"/>
  <c r="AD66" i="7"/>
  <c r="AC66" i="7"/>
  <c r="AA66" i="7"/>
  <c r="W66" i="7"/>
  <c r="X66" i="7" s="1"/>
  <c r="U66" i="7"/>
  <c r="R66" i="7"/>
  <c r="O66" i="7"/>
  <c r="N66" i="7"/>
  <c r="L66" i="7"/>
  <c r="H66" i="7"/>
  <c r="I66" i="7" s="1"/>
  <c r="F66" i="7"/>
  <c r="C66" i="7"/>
  <c r="AD65" i="7"/>
  <c r="AC65" i="7"/>
  <c r="AA65" i="7"/>
  <c r="W65" i="7"/>
  <c r="X65" i="7" s="1"/>
  <c r="U65" i="7"/>
  <c r="R65" i="7"/>
  <c r="N65" i="7"/>
  <c r="O65" i="7" s="1"/>
  <c r="L65" i="7"/>
  <c r="I65" i="7"/>
  <c r="H65" i="7"/>
  <c r="F65" i="7"/>
  <c r="C65" i="7"/>
  <c r="AD64" i="7"/>
  <c r="AC64" i="7"/>
  <c r="AA64" i="7"/>
  <c r="X64" i="7"/>
  <c r="W64" i="7"/>
  <c r="U64" i="7"/>
  <c r="R64" i="7"/>
  <c r="N64" i="7"/>
  <c r="O64" i="7" s="1"/>
  <c r="L64" i="7"/>
  <c r="H64" i="7"/>
  <c r="I64" i="7" s="1"/>
  <c r="F64" i="7"/>
  <c r="C64" i="7"/>
  <c r="AA62" i="7"/>
  <c r="Z62" i="7"/>
  <c r="X62" i="7"/>
  <c r="W62" i="7"/>
  <c r="U62" i="7"/>
  <c r="T62" i="7"/>
  <c r="R62" i="7"/>
  <c r="Q62" i="7"/>
  <c r="AC62" i="7" s="1"/>
  <c r="AD62" i="7" s="1"/>
  <c r="L62" i="7"/>
  <c r="K62" i="7"/>
  <c r="F62" i="7"/>
  <c r="E62" i="7"/>
  <c r="B62" i="7"/>
  <c r="AA61" i="7"/>
  <c r="Z61" i="7"/>
  <c r="T61" i="7"/>
  <c r="U61" i="7" s="1"/>
  <c r="R61" i="7"/>
  <c r="Q61" i="7"/>
  <c r="O61" i="7"/>
  <c r="L61" i="7"/>
  <c r="K61" i="7"/>
  <c r="I61" i="7"/>
  <c r="F61" i="7"/>
  <c r="E61" i="7"/>
  <c r="H61" i="7" s="1"/>
  <c r="C61" i="7"/>
  <c r="B61" i="7"/>
  <c r="N61" i="7" s="1"/>
  <c r="AD60" i="7"/>
  <c r="AC60" i="7"/>
  <c r="AA60" i="7"/>
  <c r="W60" i="7"/>
  <c r="X60" i="7" s="1"/>
  <c r="U60" i="7"/>
  <c r="R60" i="7"/>
  <c r="N60" i="7"/>
  <c r="O60" i="7" s="1"/>
  <c r="L60" i="7"/>
  <c r="I60" i="7"/>
  <c r="H60" i="7"/>
  <c r="F60" i="7"/>
  <c r="C60" i="7"/>
  <c r="AD59" i="7"/>
  <c r="AC59" i="7"/>
  <c r="AA59" i="7"/>
  <c r="W59" i="7"/>
  <c r="X59" i="7" s="1"/>
  <c r="U59" i="7"/>
  <c r="R59" i="7"/>
  <c r="O59" i="7"/>
  <c r="N59" i="7"/>
  <c r="L59" i="7"/>
  <c r="I59" i="7"/>
  <c r="H59" i="7"/>
  <c r="F59" i="7"/>
  <c r="C59" i="7"/>
  <c r="AC58" i="7"/>
  <c r="AD58" i="7" s="1"/>
  <c r="AA58" i="7"/>
  <c r="W58" i="7"/>
  <c r="X58" i="7" s="1"/>
  <c r="U58" i="7"/>
  <c r="R58" i="7"/>
  <c r="N58" i="7"/>
  <c r="O58" i="7" s="1"/>
  <c r="L58" i="7"/>
  <c r="I58" i="7"/>
  <c r="H58" i="7"/>
  <c r="F58" i="7"/>
  <c r="C58" i="7"/>
  <c r="AD57" i="7"/>
  <c r="AC57" i="7"/>
  <c r="AA57" i="7"/>
  <c r="W57" i="7"/>
  <c r="X57" i="7" s="1"/>
  <c r="U57" i="7"/>
  <c r="R57" i="7"/>
  <c r="O57" i="7"/>
  <c r="N57" i="7"/>
  <c r="L57" i="7"/>
  <c r="I57" i="7"/>
  <c r="H57" i="7"/>
  <c r="F57" i="7"/>
  <c r="C57" i="7"/>
  <c r="AD56" i="7"/>
  <c r="AC56" i="7"/>
  <c r="AA56" i="7"/>
  <c r="X56" i="7"/>
  <c r="W56" i="7"/>
  <c r="U56" i="7"/>
  <c r="R56" i="7"/>
  <c r="N56" i="7"/>
  <c r="O56" i="7" s="1"/>
  <c r="L56" i="7"/>
  <c r="I56" i="7"/>
  <c r="H56" i="7"/>
  <c r="F56" i="7"/>
  <c r="C56" i="7"/>
  <c r="AD55" i="7"/>
  <c r="AC55" i="7"/>
  <c r="AA55" i="7"/>
  <c r="X55" i="7"/>
  <c r="W55" i="7"/>
  <c r="U55" i="7"/>
  <c r="R55" i="7"/>
  <c r="O55" i="7"/>
  <c r="N55" i="7"/>
  <c r="L55" i="7"/>
  <c r="H55" i="7"/>
  <c r="I55" i="7" s="1"/>
  <c r="F55" i="7"/>
  <c r="C55" i="7"/>
  <c r="AC54" i="7"/>
  <c r="AD54" i="7" s="1"/>
  <c r="AA54" i="7"/>
  <c r="W54" i="7"/>
  <c r="X54" i="7" s="1"/>
  <c r="U54" i="7"/>
  <c r="R54" i="7"/>
  <c r="O54" i="7"/>
  <c r="N54" i="7"/>
  <c r="L54" i="7"/>
  <c r="I54" i="7"/>
  <c r="H54" i="7"/>
  <c r="F54" i="7"/>
  <c r="C54" i="7"/>
  <c r="AD53" i="7"/>
  <c r="AC53" i="7"/>
  <c r="AA53" i="7"/>
  <c r="W53" i="7"/>
  <c r="X53" i="7" s="1"/>
  <c r="U53" i="7"/>
  <c r="R53" i="7"/>
  <c r="N53" i="7"/>
  <c r="O53" i="7" s="1"/>
  <c r="L53" i="7"/>
  <c r="H53" i="7"/>
  <c r="I53" i="7" s="1"/>
  <c r="F53" i="7"/>
  <c r="C53" i="7"/>
  <c r="AD52" i="7"/>
  <c r="AC52" i="7"/>
  <c r="AA52" i="7"/>
  <c r="X52" i="7"/>
  <c r="W52" i="7"/>
  <c r="U52" i="7"/>
  <c r="R52" i="7"/>
  <c r="N52" i="7"/>
  <c r="O52" i="7" s="1"/>
  <c r="L52" i="7"/>
  <c r="H52" i="7"/>
  <c r="I52" i="7" s="1"/>
  <c r="F52" i="7"/>
  <c r="C52" i="7"/>
  <c r="AD51" i="7"/>
  <c r="AC51" i="7"/>
  <c r="AA51" i="7"/>
  <c r="X51" i="7"/>
  <c r="W51" i="7"/>
  <c r="U51" i="7"/>
  <c r="R51" i="7"/>
  <c r="N51" i="7"/>
  <c r="O51" i="7" s="1"/>
  <c r="L51" i="7"/>
  <c r="H51" i="7"/>
  <c r="I51" i="7" s="1"/>
  <c r="F51" i="7"/>
  <c r="C51" i="7"/>
  <c r="AD50" i="7"/>
  <c r="AC50" i="7"/>
  <c r="AA50" i="7"/>
  <c r="W50" i="7"/>
  <c r="X50" i="7" s="1"/>
  <c r="U50" i="7"/>
  <c r="R50" i="7"/>
  <c r="O50" i="7"/>
  <c r="N50" i="7"/>
  <c r="L50" i="7"/>
  <c r="I50" i="7"/>
  <c r="H50" i="7"/>
  <c r="F50" i="7"/>
  <c r="C50" i="7"/>
  <c r="AD49" i="7"/>
  <c r="AC49" i="7"/>
  <c r="AA49" i="7"/>
  <c r="X49" i="7"/>
  <c r="W49" i="7"/>
  <c r="U49" i="7"/>
  <c r="R49" i="7"/>
  <c r="N49" i="7"/>
  <c r="O49" i="7" s="1"/>
  <c r="L49" i="7"/>
  <c r="I49" i="7"/>
  <c r="H49" i="7"/>
  <c r="F49" i="7"/>
  <c r="C49" i="7"/>
  <c r="AD48" i="7"/>
  <c r="AC48" i="7"/>
  <c r="AA48" i="7"/>
  <c r="X48" i="7"/>
  <c r="W48" i="7"/>
  <c r="U48" i="7"/>
  <c r="R48" i="7"/>
  <c r="N48" i="7"/>
  <c r="O48" i="7" s="1"/>
  <c r="L48" i="7"/>
  <c r="H48" i="7"/>
  <c r="I48" i="7" s="1"/>
  <c r="F48" i="7"/>
  <c r="C48" i="7"/>
  <c r="AD47" i="7"/>
  <c r="AC47" i="7"/>
  <c r="AA47" i="7"/>
  <c r="X47" i="7"/>
  <c r="W47" i="7"/>
  <c r="U47" i="7"/>
  <c r="R47" i="7"/>
  <c r="O47" i="7"/>
  <c r="N47" i="7"/>
  <c r="L47" i="7"/>
  <c r="I47" i="7"/>
  <c r="H47" i="7"/>
  <c r="F47" i="7"/>
  <c r="C47" i="7"/>
  <c r="AD46" i="7"/>
  <c r="AC46" i="7"/>
  <c r="AA46" i="7"/>
  <c r="W46" i="7"/>
  <c r="X46" i="7" s="1"/>
  <c r="U46" i="7"/>
  <c r="R46" i="7"/>
  <c r="N46" i="7"/>
  <c r="O46" i="7" s="1"/>
  <c r="L46" i="7"/>
  <c r="I46" i="7"/>
  <c r="H46" i="7"/>
  <c r="F46" i="7"/>
  <c r="C46" i="7"/>
  <c r="AD44" i="7"/>
  <c r="AC44" i="7"/>
  <c r="AA44" i="7"/>
  <c r="X44" i="7"/>
  <c r="W44" i="7"/>
  <c r="U44" i="7"/>
  <c r="R44" i="7"/>
  <c r="N44" i="7"/>
  <c r="O44" i="7" s="1"/>
  <c r="L44" i="7"/>
  <c r="H44" i="7"/>
  <c r="I44" i="7" s="1"/>
  <c r="F44" i="7"/>
  <c r="C44" i="7"/>
  <c r="AD43" i="7"/>
  <c r="AC43" i="7"/>
  <c r="AA43" i="7"/>
  <c r="W43" i="7"/>
  <c r="X43" i="7" s="1"/>
  <c r="U43" i="7"/>
  <c r="R43" i="7"/>
  <c r="N43" i="7"/>
  <c r="O43" i="7" s="1"/>
  <c r="L43" i="7"/>
  <c r="I43" i="7"/>
  <c r="H43" i="7"/>
  <c r="F43" i="7"/>
  <c r="C43" i="7"/>
  <c r="AD42" i="7"/>
  <c r="AC42" i="7"/>
  <c r="AA42" i="7"/>
  <c r="X42" i="7"/>
  <c r="W42" i="7"/>
  <c r="U42" i="7"/>
  <c r="R42" i="7"/>
  <c r="O42" i="7"/>
  <c r="N42" i="7"/>
  <c r="L42" i="7"/>
  <c r="I42" i="7"/>
  <c r="H42" i="7"/>
  <c r="F42" i="7"/>
  <c r="C42" i="7"/>
  <c r="AA40" i="7"/>
  <c r="Z40" i="7"/>
  <c r="X40" i="7"/>
  <c r="W40" i="7"/>
  <c r="U40" i="7"/>
  <c r="T40" i="7"/>
  <c r="R40" i="7"/>
  <c r="Q40" i="7"/>
  <c r="AC40" i="7" s="1"/>
  <c r="AD40" i="7" s="1"/>
  <c r="K40" i="7"/>
  <c r="L40" i="7" s="1"/>
  <c r="H40" i="7"/>
  <c r="I40" i="7" s="1"/>
  <c r="E40" i="7"/>
  <c r="F40" i="7" s="1"/>
  <c r="C40" i="7"/>
  <c r="B40" i="7"/>
  <c r="AD39" i="7"/>
  <c r="AC39" i="7"/>
  <c r="AA39" i="7"/>
  <c r="X39" i="7"/>
  <c r="W39" i="7"/>
  <c r="U39" i="7"/>
  <c r="R39" i="7"/>
  <c r="N39" i="7"/>
  <c r="O39" i="7" s="1"/>
  <c r="L39" i="7"/>
  <c r="H39" i="7"/>
  <c r="I39" i="7" s="1"/>
  <c r="F39" i="7"/>
  <c r="C39" i="7"/>
  <c r="AD38" i="7"/>
  <c r="AC38" i="7"/>
  <c r="AA38" i="7"/>
  <c r="X38" i="7"/>
  <c r="W38" i="7"/>
  <c r="U38" i="7"/>
  <c r="R38" i="7"/>
  <c r="N38" i="7"/>
  <c r="O38" i="7" s="1"/>
  <c r="L38" i="7"/>
  <c r="H38" i="7"/>
  <c r="I38" i="7" s="1"/>
  <c r="F38" i="7"/>
  <c r="C38" i="7"/>
  <c r="AD37" i="7"/>
  <c r="AC37" i="7"/>
  <c r="AA37" i="7"/>
  <c r="W37" i="7"/>
  <c r="X37" i="7" s="1"/>
  <c r="U37" i="7"/>
  <c r="R37" i="7"/>
  <c r="O37" i="7"/>
  <c r="N37" i="7"/>
  <c r="L37" i="7"/>
  <c r="I37" i="7"/>
  <c r="H37" i="7"/>
  <c r="F37" i="7"/>
  <c r="C37" i="7"/>
  <c r="AD36" i="7"/>
  <c r="AC36" i="7"/>
  <c r="AA36" i="7"/>
  <c r="X36" i="7"/>
  <c r="W36" i="7"/>
  <c r="U36" i="7"/>
  <c r="R36" i="7"/>
  <c r="N36" i="7"/>
  <c r="O36" i="7" s="1"/>
  <c r="L36" i="7"/>
  <c r="I36" i="7"/>
  <c r="H36" i="7"/>
  <c r="F36" i="7"/>
  <c r="C36" i="7"/>
  <c r="AD35" i="7"/>
  <c r="AC35" i="7"/>
  <c r="AA35" i="7"/>
  <c r="X35" i="7"/>
  <c r="W35" i="7"/>
  <c r="U35" i="7"/>
  <c r="R35" i="7"/>
  <c r="N35" i="7"/>
  <c r="O35" i="7" s="1"/>
  <c r="L35" i="7"/>
  <c r="H35" i="7"/>
  <c r="I35" i="7" s="1"/>
  <c r="F35" i="7"/>
  <c r="C35" i="7"/>
  <c r="AD34" i="7"/>
  <c r="AC34" i="7"/>
  <c r="AA34" i="7"/>
  <c r="X34" i="7"/>
  <c r="W34" i="7"/>
  <c r="U34" i="7"/>
  <c r="R34" i="7"/>
  <c r="O34" i="7"/>
  <c r="N34" i="7"/>
  <c r="L34" i="7"/>
  <c r="I34" i="7"/>
  <c r="H34" i="7"/>
  <c r="F34" i="7"/>
  <c r="C34" i="7"/>
  <c r="AC33" i="7"/>
  <c r="AD33" i="7" s="1"/>
  <c r="AA33" i="7"/>
  <c r="W33" i="7"/>
  <c r="X33" i="7" s="1"/>
  <c r="U33" i="7"/>
  <c r="R33" i="7"/>
  <c r="N33" i="7"/>
  <c r="O33" i="7" s="1"/>
  <c r="L33" i="7"/>
  <c r="I33" i="7"/>
  <c r="H33" i="7"/>
  <c r="F33" i="7"/>
  <c r="C33" i="7"/>
  <c r="AD32" i="7"/>
  <c r="AC32" i="7"/>
  <c r="AA32" i="7"/>
  <c r="W32" i="7"/>
  <c r="X32" i="7" s="1"/>
  <c r="U32" i="7"/>
  <c r="R32" i="7"/>
  <c r="O32" i="7"/>
  <c r="N32" i="7"/>
  <c r="L32" i="7"/>
  <c r="H32" i="7"/>
  <c r="I32" i="7" s="1"/>
  <c r="F32" i="7"/>
  <c r="C32" i="7"/>
  <c r="AC31" i="7"/>
  <c r="AD31" i="7" s="1"/>
  <c r="AA31" i="7"/>
  <c r="W31" i="7"/>
  <c r="X31" i="7" s="1"/>
  <c r="U31" i="7"/>
  <c r="R31" i="7"/>
  <c r="N31" i="7"/>
  <c r="O31" i="7" s="1"/>
  <c r="L31" i="7"/>
  <c r="I31" i="7"/>
  <c r="H31" i="7"/>
  <c r="F31" i="7"/>
  <c r="C31" i="7"/>
  <c r="AA29" i="7"/>
  <c r="Z29" i="7"/>
  <c r="W29" i="7"/>
  <c r="X29" i="7" s="1"/>
  <c r="U29" i="7"/>
  <c r="T29" i="7"/>
  <c r="R29" i="7"/>
  <c r="Q29" i="7"/>
  <c r="N29" i="7"/>
  <c r="O29" i="7" s="1"/>
  <c r="K29" i="7"/>
  <c r="L29" i="7" s="1"/>
  <c r="F29" i="7"/>
  <c r="E29" i="7"/>
  <c r="C29" i="7"/>
  <c r="B29" i="7"/>
  <c r="H29" i="7" s="1"/>
  <c r="I29" i="7" s="1"/>
  <c r="AC28" i="7"/>
  <c r="AD28" i="7" s="1"/>
  <c r="AA28" i="7"/>
  <c r="W28" i="7"/>
  <c r="X28" i="7" s="1"/>
  <c r="U28" i="7"/>
  <c r="R28" i="7"/>
  <c r="O28" i="7"/>
  <c r="N28" i="7"/>
  <c r="L28" i="7"/>
  <c r="I28" i="7"/>
  <c r="H28" i="7"/>
  <c r="F28" i="7"/>
  <c r="C28" i="7"/>
  <c r="AC27" i="7"/>
  <c r="AD27" i="7" s="1"/>
  <c r="AA27" i="7"/>
  <c r="X27" i="7"/>
  <c r="W27" i="7"/>
  <c r="U27" i="7"/>
  <c r="R27" i="7"/>
  <c r="N27" i="7"/>
  <c r="O27" i="7" s="1"/>
  <c r="L27" i="7"/>
  <c r="I27" i="7"/>
  <c r="H27" i="7"/>
  <c r="F27" i="7"/>
  <c r="C27" i="7"/>
  <c r="AD26" i="7"/>
  <c r="AC26" i="7"/>
  <c r="AA26" i="7"/>
  <c r="W26" i="7"/>
  <c r="X26" i="7" s="1"/>
  <c r="U26" i="7"/>
  <c r="R26" i="7"/>
  <c r="O26" i="7"/>
  <c r="N26" i="7"/>
  <c r="L26" i="7"/>
  <c r="I26" i="7"/>
  <c r="H26" i="7"/>
  <c r="F26" i="7"/>
  <c r="C26" i="7"/>
  <c r="AD25" i="7"/>
  <c r="AC25" i="7"/>
  <c r="AA25" i="7"/>
  <c r="W25" i="7"/>
  <c r="X25" i="7" s="1"/>
  <c r="U25" i="7"/>
  <c r="R25" i="7"/>
  <c r="O25" i="7"/>
  <c r="N25" i="7"/>
  <c r="L25" i="7"/>
  <c r="I25" i="7"/>
  <c r="H25" i="7"/>
  <c r="F25" i="7"/>
  <c r="C25" i="7"/>
  <c r="AC24" i="7"/>
  <c r="AD24" i="7" s="1"/>
  <c r="AA24" i="7"/>
  <c r="X24" i="7"/>
  <c r="W24" i="7"/>
  <c r="U24" i="7"/>
  <c r="R24" i="7"/>
  <c r="O24" i="7"/>
  <c r="N24" i="7"/>
  <c r="L24" i="7"/>
  <c r="H24" i="7"/>
  <c r="I24" i="7" s="1"/>
  <c r="F24" i="7"/>
  <c r="C24" i="7"/>
  <c r="AC23" i="7"/>
  <c r="AD23" i="7" s="1"/>
  <c r="AA23" i="7"/>
  <c r="X23" i="7"/>
  <c r="W23" i="7"/>
  <c r="U23" i="7"/>
  <c r="R23" i="7"/>
  <c r="N23" i="7"/>
  <c r="O23" i="7" s="1"/>
  <c r="L23" i="7"/>
  <c r="H23" i="7"/>
  <c r="I23" i="7" s="1"/>
  <c r="F23" i="7"/>
  <c r="C23" i="7"/>
  <c r="AD22" i="7"/>
  <c r="AC22" i="7"/>
  <c r="AA22" i="7"/>
  <c r="W22" i="7"/>
  <c r="X22" i="7" s="1"/>
  <c r="U22" i="7"/>
  <c r="R22" i="7"/>
  <c r="N22" i="7"/>
  <c r="O22" i="7" s="1"/>
  <c r="L22" i="7"/>
  <c r="H22" i="7"/>
  <c r="I22" i="7" s="1"/>
  <c r="F22" i="7"/>
  <c r="C22" i="7"/>
  <c r="AD21" i="7"/>
  <c r="AC21" i="7"/>
  <c r="AA21" i="7"/>
  <c r="W21" i="7"/>
  <c r="X21" i="7" s="1"/>
  <c r="U21" i="7"/>
  <c r="R21" i="7"/>
  <c r="N21" i="7"/>
  <c r="O21" i="7" s="1"/>
  <c r="L21" i="7"/>
  <c r="I21" i="7"/>
  <c r="H21" i="7"/>
  <c r="F21" i="7"/>
  <c r="C21" i="7"/>
  <c r="AD19" i="7"/>
  <c r="AC19" i="7"/>
  <c r="AA19" i="7"/>
  <c r="X19" i="7"/>
  <c r="W19" i="7"/>
  <c r="U19" i="7"/>
  <c r="R19" i="7"/>
  <c r="N19" i="7"/>
  <c r="O19" i="7" s="1"/>
  <c r="L19" i="7"/>
  <c r="H19" i="7"/>
  <c r="I19" i="7" s="1"/>
  <c r="F19" i="7"/>
  <c r="C19" i="7"/>
  <c r="AA18" i="7"/>
  <c r="Z18" i="7"/>
  <c r="X18" i="7"/>
  <c r="W18" i="7"/>
  <c r="U18" i="7"/>
  <c r="T18" i="7"/>
  <c r="R18" i="7"/>
  <c r="Q18" i="7"/>
  <c r="AC18" i="7" s="1"/>
  <c r="AD18" i="7" s="1"/>
  <c r="L18" i="7"/>
  <c r="K18" i="7"/>
  <c r="E18" i="7"/>
  <c r="F18" i="7" s="1"/>
  <c r="B18" i="7"/>
  <c r="AC17" i="7"/>
  <c r="AD17" i="7" s="1"/>
  <c r="AA17" i="7"/>
  <c r="W17" i="7"/>
  <c r="X17" i="7" s="1"/>
  <c r="U17" i="7"/>
  <c r="R17" i="7"/>
  <c r="N17" i="7"/>
  <c r="O17" i="7" s="1"/>
  <c r="L17" i="7"/>
  <c r="I17" i="7"/>
  <c r="H17" i="7"/>
  <c r="F17" i="7"/>
  <c r="C17" i="7"/>
  <c r="AD16" i="7"/>
  <c r="AC16" i="7"/>
  <c r="AA16" i="7"/>
  <c r="W16" i="7"/>
  <c r="X16" i="7" s="1"/>
  <c r="U16" i="7"/>
  <c r="R16" i="7"/>
  <c r="O16" i="7"/>
  <c r="N16" i="7"/>
  <c r="L16" i="7"/>
  <c r="H16" i="7"/>
  <c r="I16" i="7" s="1"/>
  <c r="F16" i="7"/>
  <c r="C16" i="7"/>
  <c r="AC15" i="7"/>
  <c r="AD15" i="7" s="1"/>
  <c r="AA15" i="7"/>
  <c r="W15" i="7"/>
  <c r="X15" i="7" s="1"/>
  <c r="U15" i="7"/>
  <c r="R15" i="7"/>
  <c r="N15" i="7"/>
  <c r="O15" i="7" s="1"/>
  <c r="L15" i="7"/>
  <c r="I15" i="7"/>
  <c r="H15" i="7"/>
  <c r="F15" i="7"/>
  <c r="C15" i="7"/>
  <c r="AD14" i="7"/>
  <c r="AC14" i="7"/>
  <c r="AA14" i="7"/>
  <c r="W14" i="7"/>
  <c r="X14" i="7" s="1"/>
  <c r="U14" i="7"/>
  <c r="R14" i="7"/>
  <c r="O14" i="7"/>
  <c r="N14" i="7"/>
  <c r="L14" i="7"/>
  <c r="I14" i="7"/>
  <c r="H14" i="7"/>
  <c r="F14" i="7"/>
  <c r="C14" i="7"/>
  <c r="AC13" i="7"/>
  <c r="AD13" i="7" s="1"/>
  <c r="AA13" i="7"/>
  <c r="W13" i="7"/>
  <c r="X13" i="7" s="1"/>
  <c r="U13" i="7"/>
  <c r="R13" i="7"/>
  <c r="N13" i="7"/>
  <c r="O13" i="7" s="1"/>
  <c r="L13" i="7"/>
  <c r="I13" i="7"/>
  <c r="H13" i="7"/>
  <c r="F13" i="7"/>
  <c r="C13" i="7"/>
  <c r="AC12" i="7"/>
  <c r="AD12" i="7" s="1"/>
  <c r="AA12" i="7"/>
  <c r="W12" i="7"/>
  <c r="X12" i="7" s="1"/>
  <c r="U12" i="7"/>
  <c r="R12" i="7"/>
  <c r="O12" i="7"/>
  <c r="N12" i="7"/>
  <c r="L12" i="7"/>
  <c r="I12" i="7"/>
  <c r="H12" i="7"/>
  <c r="F12" i="7"/>
  <c r="C12" i="7"/>
  <c r="AD11" i="7"/>
  <c r="AC11" i="7"/>
  <c r="AA11" i="7"/>
  <c r="W11" i="7"/>
  <c r="X11" i="7" s="1"/>
  <c r="U11" i="7"/>
  <c r="R11" i="7"/>
  <c r="N11" i="7"/>
  <c r="O11" i="7" s="1"/>
  <c r="L11" i="7"/>
  <c r="I11" i="7"/>
  <c r="H11" i="7"/>
  <c r="F11" i="7"/>
  <c r="C11" i="7"/>
  <c r="AD10" i="7"/>
  <c r="AC10" i="7"/>
  <c r="AA10" i="7"/>
  <c r="X10" i="7"/>
  <c r="W10" i="7"/>
  <c r="U10" i="7"/>
  <c r="R10" i="7"/>
  <c r="O10" i="7"/>
  <c r="N10" i="7"/>
  <c r="L10" i="7"/>
  <c r="I10" i="7"/>
  <c r="H10" i="7"/>
  <c r="F10" i="7"/>
  <c r="C10" i="7"/>
  <c r="AC8" i="7"/>
  <c r="AD8" i="7" s="1"/>
  <c r="AA8" i="7"/>
  <c r="W8" i="7"/>
  <c r="X8" i="7" s="1"/>
  <c r="U8" i="7"/>
  <c r="R8" i="7"/>
  <c r="O8" i="7"/>
  <c r="N8" i="7"/>
  <c r="L8" i="7"/>
  <c r="I8" i="7"/>
  <c r="H8" i="7"/>
  <c r="F8" i="7"/>
  <c r="C8" i="7"/>
  <c r="AC444" i="6"/>
  <c r="AD440" i="6" s="1"/>
  <c r="W444" i="6"/>
  <c r="X419" i="6" s="1"/>
  <c r="N444" i="6"/>
  <c r="H444" i="6"/>
  <c r="AC442" i="6"/>
  <c r="Z442" i="6"/>
  <c r="AA442" i="6" s="1"/>
  <c r="T442" i="6"/>
  <c r="U442" i="6" s="1"/>
  <c r="R442" i="6"/>
  <c r="Q442" i="6"/>
  <c r="L442" i="6"/>
  <c r="K442" i="6"/>
  <c r="H442" i="6"/>
  <c r="I442" i="6" s="1"/>
  <c r="F442" i="6"/>
  <c r="E442" i="6"/>
  <c r="C442" i="6"/>
  <c r="B442" i="6"/>
  <c r="N442" i="6" s="1"/>
  <c r="O442" i="6" s="1"/>
  <c r="AA441" i="6"/>
  <c r="Z441" i="6"/>
  <c r="W441" i="6"/>
  <c r="X441" i="6" s="1"/>
  <c r="T441" i="6"/>
  <c r="U441" i="6" s="1"/>
  <c r="R441" i="6"/>
  <c r="Q441" i="6"/>
  <c r="AC441" i="6" s="1"/>
  <c r="AD441" i="6" s="1"/>
  <c r="K441" i="6"/>
  <c r="L441" i="6" s="1"/>
  <c r="H441" i="6"/>
  <c r="I441" i="6" s="1"/>
  <c r="F441" i="6"/>
  <c r="E441" i="6"/>
  <c r="C441" i="6"/>
  <c r="B441" i="6"/>
  <c r="N441" i="6" s="1"/>
  <c r="O441" i="6" s="1"/>
  <c r="AC440" i="6"/>
  <c r="AA440" i="6"/>
  <c r="X440" i="6"/>
  <c r="W440" i="6"/>
  <c r="U440" i="6"/>
  <c r="R440" i="6"/>
  <c r="N440" i="6"/>
  <c r="O440" i="6" s="1"/>
  <c r="L440" i="6"/>
  <c r="H440" i="6"/>
  <c r="F440" i="6"/>
  <c r="C440" i="6"/>
  <c r="AD439" i="6"/>
  <c r="AC439" i="6"/>
  <c r="AA439" i="6"/>
  <c r="X439" i="6"/>
  <c r="W439" i="6"/>
  <c r="U439" i="6"/>
  <c r="R439" i="6"/>
  <c r="O439" i="6"/>
  <c r="N439" i="6"/>
  <c r="L439" i="6"/>
  <c r="I439" i="6"/>
  <c r="H439" i="6"/>
  <c r="F439" i="6"/>
  <c r="C439" i="6"/>
  <c r="AC438" i="6"/>
  <c r="AD438" i="6" s="1"/>
  <c r="AA438" i="6"/>
  <c r="W438" i="6"/>
  <c r="X438" i="6" s="1"/>
  <c r="U438" i="6"/>
  <c r="R438" i="6"/>
  <c r="O438" i="6"/>
  <c r="N438" i="6"/>
  <c r="L438" i="6"/>
  <c r="H438" i="6"/>
  <c r="I438" i="6" s="1"/>
  <c r="F438" i="6"/>
  <c r="C438" i="6"/>
  <c r="AC437" i="6"/>
  <c r="AD437" i="6" s="1"/>
  <c r="AA437" i="6"/>
  <c r="W437" i="6"/>
  <c r="X437" i="6" s="1"/>
  <c r="U437" i="6"/>
  <c r="R437" i="6"/>
  <c r="O437" i="6"/>
  <c r="N437" i="6"/>
  <c r="L437" i="6"/>
  <c r="I437" i="6"/>
  <c r="H437" i="6"/>
  <c r="F437" i="6"/>
  <c r="C437" i="6"/>
  <c r="AC436" i="6"/>
  <c r="AD436" i="6" s="1"/>
  <c r="AA436" i="6"/>
  <c r="X436" i="6"/>
  <c r="W436" i="6"/>
  <c r="U436" i="6"/>
  <c r="R436" i="6"/>
  <c r="N436" i="6"/>
  <c r="O436" i="6" s="1"/>
  <c r="L436" i="6"/>
  <c r="H436" i="6"/>
  <c r="I436" i="6" s="1"/>
  <c r="F436" i="6"/>
  <c r="C436" i="6"/>
  <c r="AC435" i="6"/>
  <c r="AD435" i="6" s="1"/>
  <c r="AA435" i="6"/>
  <c r="X435" i="6"/>
  <c r="W435" i="6"/>
  <c r="U435" i="6"/>
  <c r="R435" i="6"/>
  <c r="O435" i="6"/>
  <c r="N435" i="6"/>
  <c r="L435" i="6"/>
  <c r="I435" i="6"/>
  <c r="H435" i="6"/>
  <c r="F435" i="6"/>
  <c r="C435" i="6"/>
  <c r="AD434" i="6"/>
  <c r="AC434" i="6"/>
  <c r="AA434" i="6"/>
  <c r="W434" i="6"/>
  <c r="X434" i="6" s="1"/>
  <c r="U434" i="6"/>
  <c r="R434" i="6"/>
  <c r="O434" i="6"/>
  <c r="N434" i="6"/>
  <c r="L434" i="6"/>
  <c r="H434" i="6"/>
  <c r="I434" i="6" s="1"/>
  <c r="F434" i="6"/>
  <c r="C434" i="6"/>
  <c r="AC433" i="6"/>
  <c r="AD433" i="6" s="1"/>
  <c r="AA433" i="6"/>
  <c r="X433" i="6"/>
  <c r="W433" i="6"/>
  <c r="U433" i="6"/>
  <c r="R433" i="6"/>
  <c r="O433" i="6"/>
  <c r="N433" i="6"/>
  <c r="L433" i="6"/>
  <c r="I433" i="6"/>
  <c r="H433" i="6"/>
  <c r="F433" i="6"/>
  <c r="C433" i="6"/>
  <c r="AC432" i="6"/>
  <c r="AD432" i="6" s="1"/>
  <c r="AA432" i="6"/>
  <c r="X432" i="6"/>
  <c r="W432" i="6"/>
  <c r="U432" i="6"/>
  <c r="R432" i="6"/>
  <c r="N432" i="6"/>
  <c r="O432" i="6" s="1"/>
  <c r="L432" i="6"/>
  <c r="H432" i="6"/>
  <c r="I432" i="6" s="1"/>
  <c r="F432" i="6"/>
  <c r="C432" i="6"/>
  <c r="Z429" i="6"/>
  <c r="AA429" i="6" s="1"/>
  <c r="T429" i="6"/>
  <c r="W429" i="6" s="1"/>
  <c r="X429" i="6" s="1"/>
  <c r="R429" i="6"/>
  <c r="Q429" i="6"/>
  <c r="AC429" i="6" s="1"/>
  <c r="AD429" i="6" s="1"/>
  <c r="K429" i="6"/>
  <c r="L429" i="6" s="1"/>
  <c r="E429" i="6"/>
  <c r="H429" i="6" s="1"/>
  <c r="I429" i="6" s="1"/>
  <c r="C429" i="6"/>
  <c r="B429" i="6"/>
  <c r="N429" i="6" s="1"/>
  <c r="O429" i="6" s="1"/>
  <c r="Z428" i="6"/>
  <c r="AA428" i="6" s="1"/>
  <c r="W428" i="6"/>
  <c r="X428" i="6" s="1"/>
  <c r="U428" i="6"/>
  <c r="T428" i="6"/>
  <c r="Q428" i="6"/>
  <c r="R428" i="6" s="1"/>
  <c r="L428" i="6"/>
  <c r="K428" i="6"/>
  <c r="N428" i="6" s="1"/>
  <c r="O428" i="6" s="1"/>
  <c r="E428" i="6"/>
  <c r="F428" i="6" s="1"/>
  <c r="C428" i="6"/>
  <c r="B428" i="6"/>
  <c r="AC427" i="6"/>
  <c r="AD427" i="6" s="1"/>
  <c r="AA427" i="6"/>
  <c r="X427" i="6"/>
  <c r="W427" i="6"/>
  <c r="U427" i="6"/>
  <c r="R427" i="6"/>
  <c r="N427" i="6"/>
  <c r="O427" i="6" s="1"/>
  <c r="L427" i="6"/>
  <c r="H427" i="6"/>
  <c r="I427" i="6" s="1"/>
  <c r="F427" i="6"/>
  <c r="C427" i="6"/>
  <c r="AD426" i="6"/>
  <c r="AC426" i="6"/>
  <c r="AA426" i="6"/>
  <c r="W426" i="6"/>
  <c r="X426" i="6" s="1"/>
  <c r="U426" i="6"/>
  <c r="R426" i="6"/>
  <c r="O426" i="6"/>
  <c r="N426" i="6"/>
  <c r="L426" i="6"/>
  <c r="H426" i="6"/>
  <c r="I426" i="6" s="1"/>
  <c r="F426" i="6"/>
  <c r="C426" i="6"/>
  <c r="AC425" i="6"/>
  <c r="AD425" i="6" s="1"/>
  <c r="AA425" i="6"/>
  <c r="X425" i="6"/>
  <c r="W425" i="6"/>
  <c r="U425" i="6"/>
  <c r="R425" i="6"/>
  <c r="O425" i="6"/>
  <c r="N425" i="6"/>
  <c r="L425" i="6"/>
  <c r="I425" i="6"/>
  <c r="H425" i="6"/>
  <c r="F425" i="6"/>
  <c r="C425" i="6"/>
  <c r="AD424" i="6"/>
  <c r="AC424" i="6"/>
  <c r="AA424" i="6"/>
  <c r="X424" i="6"/>
  <c r="W424" i="6"/>
  <c r="U424" i="6"/>
  <c r="R424" i="6"/>
  <c r="N424" i="6"/>
  <c r="O424" i="6" s="1"/>
  <c r="L424" i="6"/>
  <c r="H424" i="6"/>
  <c r="I424" i="6" s="1"/>
  <c r="F424" i="6"/>
  <c r="C424" i="6"/>
  <c r="AD423" i="6"/>
  <c r="AC423" i="6"/>
  <c r="AA423" i="6"/>
  <c r="X423" i="6"/>
  <c r="W423" i="6"/>
  <c r="U423" i="6"/>
  <c r="R423" i="6"/>
  <c r="O423" i="6"/>
  <c r="N423" i="6"/>
  <c r="L423" i="6"/>
  <c r="H423" i="6"/>
  <c r="I423" i="6" s="1"/>
  <c r="F423" i="6"/>
  <c r="C423" i="6"/>
  <c r="AC422" i="6"/>
  <c r="AD422" i="6" s="1"/>
  <c r="AA422" i="6"/>
  <c r="W422" i="6"/>
  <c r="X422" i="6" s="1"/>
  <c r="U422" i="6"/>
  <c r="R422" i="6"/>
  <c r="O422" i="6"/>
  <c r="N422" i="6"/>
  <c r="L422" i="6"/>
  <c r="I422" i="6"/>
  <c r="H422" i="6"/>
  <c r="F422" i="6"/>
  <c r="C422" i="6"/>
  <c r="AC421" i="6"/>
  <c r="AD421" i="6" s="1"/>
  <c r="AA421" i="6"/>
  <c r="X421" i="6"/>
  <c r="W421" i="6"/>
  <c r="U421" i="6"/>
  <c r="R421" i="6"/>
  <c r="O421" i="6"/>
  <c r="N421" i="6"/>
  <c r="L421" i="6"/>
  <c r="I421" i="6"/>
  <c r="H421" i="6"/>
  <c r="F421" i="6"/>
  <c r="C421" i="6"/>
  <c r="AC420" i="6"/>
  <c r="AD420" i="6" s="1"/>
  <c r="AA420" i="6"/>
  <c r="X420" i="6"/>
  <c r="W420" i="6"/>
  <c r="U420" i="6"/>
  <c r="R420" i="6"/>
  <c r="O420" i="6"/>
  <c r="N420" i="6"/>
  <c r="L420" i="6"/>
  <c r="H420" i="6"/>
  <c r="I420" i="6" s="1"/>
  <c r="F420" i="6"/>
  <c r="C420" i="6"/>
  <c r="AD419" i="6"/>
  <c r="AC419" i="6"/>
  <c r="AA419" i="6"/>
  <c r="W419" i="6"/>
  <c r="U419" i="6"/>
  <c r="R419" i="6"/>
  <c r="O419" i="6"/>
  <c r="N419" i="6"/>
  <c r="L419" i="6"/>
  <c r="I419" i="6"/>
  <c r="H419" i="6"/>
  <c r="F419" i="6"/>
  <c r="C419" i="6"/>
  <c r="AD418" i="6"/>
  <c r="AC418" i="6"/>
  <c r="AA418" i="6"/>
  <c r="X418" i="6"/>
  <c r="W418" i="6"/>
  <c r="U418" i="6"/>
  <c r="R418" i="6"/>
  <c r="O418" i="6"/>
  <c r="N418" i="6"/>
  <c r="L418" i="6"/>
  <c r="H418" i="6"/>
  <c r="I418" i="6" s="1"/>
  <c r="F418" i="6"/>
  <c r="C418" i="6"/>
  <c r="AC417" i="6"/>
  <c r="AD417" i="6" s="1"/>
  <c r="AA417" i="6"/>
  <c r="X417" i="6"/>
  <c r="W417" i="6"/>
  <c r="U417" i="6"/>
  <c r="R417" i="6"/>
  <c r="O417" i="6"/>
  <c r="N417" i="6"/>
  <c r="L417" i="6"/>
  <c r="I417" i="6"/>
  <c r="H417" i="6"/>
  <c r="F417" i="6"/>
  <c r="C417" i="6"/>
  <c r="AD416" i="6"/>
  <c r="AC416" i="6"/>
  <c r="AA416" i="6"/>
  <c r="W416" i="6"/>
  <c r="X416" i="6" s="1"/>
  <c r="U416" i="6"/>
  <c r="R416" i="6"/>
  <c r="O416" i="6"/>
  <c r="N416" i="6"/>
  <c r="L416" i="6"/>
  <c r="H416" i="6"/>
  <c r="I416" i="6" s="1"/>
  <c r="F416" i="6"/>
  <c r="C416" i="6"/>
  <c r="AD415" i="6"/>
  <c r="AC415" i="6"/>
  <c r="AA415" i="6"/>
  <c r="X415" i="6"/>
  <c r="W415" i="6"/>
  <c r="U415" i="6"/>
  <c r="R415" i="6"/>
  <c r="N415" i="6"/>
  <c r="O415" i="6" s="1"/>
  <c r="L415" i="6"/>
  <c r="I415" i="6"/>
  <c r="H415" i="6"/>
  <c r="F415" i="6"/>
  <c r="C415" i="6"/>
  <c r="AC414" i="6"/>
  <c r="AD414" i="6" s="1"/>
  <c r="AA414" i="6"/>
  <c r="X414" i="6"/>
  <c r="W414" i="6"/>
  <c r="U414" i="6"/>
  <c r="R414" i="6"/>
  <c r="N414" i="6"/>
  <c r="O414" i="6" s="1"/>
  <c r="L414" i="6"/>
  <c r="H414" i="6"/>
  <c r="I414" i="6" s="1"/>
  <c r="F414" i="6"/>
  <c r="C414" i="6"/>
  <c r="AC413" i="6"/>
  <c r="AD413" i="6" s="1"/>
  <c r="AA413" i="6"/>
  <c r="W413" i="6"/>
  <c r="X413" i="6" s="1"/>
  <c r="U413" i="6"/>
  <c r="R413" i="6"/>
  <c r="O413" i="6"/>
  <c r="N413" i="6"/>
  <c r="L413" i="6"/>
  <c r="H413" i="6"/>
  <c r="I413" i="6" s="1"/>
  <c r="F413" i="6"/>
  <c r="C413" i="6"/>
  <c r="AD412" i="6"/>
  <c r="AC412" i="6"/>
  <c r="AA412" i="6"/>
  <c r="X412" i="6"/>
  <c r="W412" i="6"/>
  <c r="U412" i="6"/>
  <c r="R412" i="6"/>
  <c r="O412" i="6"/>
  <c r="N412" i="6"/>
  <c r="L412" i="6"/>
  <c r="H412" i="6"/>
  <c r="I412" i="6" s="1"/>
  <c r="F412" i="6"/>
  <c r="C412" i="6"/>
  <c r="AD411" i="6"/>
  <c r="AC411" i="6"/>
  <c r="AA411" i="6"/>
  <c r="X411" i="6"/>
  <c r="W411" i="6"/>
  <c r="U411" i="6"/>
  <c r="R411" i="6"/>
  <c r="N411" i="6"/>
  <c r="O411" i="6" s="1"/>
  <c r="L411" i="6"/>
  <c r="H411" i="6"/>
  <c r="I411" i="6" s="1"/>
  <c r="F411" i="6"/>
  <c r="C411" i="6"/>
  <c r="AD410" i="6"/>
  <c r="AC410" i="6"/>
  <c r="AA410" i="6"/>
  <c r="X410" i="6"/>
  <c r="W410" i="6"/>
  <c r="U410" i="6"/>
  <c r="R410" i="6"/>
  <c r="N410" i="6"/>
  <c r="O410" i="6" s="1"/>
  <c r="L410" i="6"/>
  <c r="I410" i="6"/>
  <c r="H410" i="6"/>
  <c r="F410" i="6"/>
  <c r="C410" i="6"/>
  <c r="AC409" i="6"/>
  <c r="AD409" i="6" s="1"/>
  <c r="AA409" i="6"/>
  <c r="X409" i="6"/>
  <c r="W409" i="6"/>
  <c r="U409" i="6"/>
  <c r="R409" i="6"/>
  <c r="O409" i="6"/>
  <c r="N409" i="6"/>
  <c r="L409" i="6"/>
  <c r="H409" i="6"/>
  <c r="I409" i="6" s="1"/>
  <c r="F409" i="6"/>
  <c r="C409" i="6"/>
  <c r="AD408" i="6"/>
  <c r="AC408" i="6"/>
  <c r="AA408" i="6"/>
  <c r="X408" i="6"/>
  <c r="W408" i="6"/>
  <c r="U408" i="6"/>
  <c r="R408" i="6"/>
  <c r="O408" i="6"/>
  <c r="N408" i="6"/>
  <c r="L408" i="6"/>
  <c r="H408" i="6"/>
  <c r="I408" i="6" s="1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I407" i="6"/>
  <c r="H407" i="6"/>
  <c r="F407" i="6"/>
  <c r="C407" i="6"/>
  <c r="Z403" i="6"/>
  <c r="AA403" i="6" s="1"/>
  <c r="U403" i="6"/>
  <c r="T403" i="6"/>
  <c r="Q403" i="6"/>
  <c r="AC403" i="6" s="1"/>
  <c r="AD403" i="6" s="1"/>
  <c r="L403" i="6"/>
  <c r="K403" i="6"/>
  <c r="I403" i="6"/>
  <c r="H403" i="6"/>
  <c r="F403" i="6"/>
  <c r="E403" i="6"/>
  <c r="B403" i="6"/>
  <c r="AC402" i="6"/>
  <c r="AD402" i="6" s="1"/>
  <c r="AA402" i="6"/>
  <c r="W402" i="6"/>
  <c r="X402" i="6" s="1"/>
  <c r="U402" i="6"/>
  <c r="R402" i="6"/>
  <c r="O402" i="6"/>
  <c r="N402" i="6"/>
  <c r="L402" i="6"/>
  <c r="I402" i="6"/>
  <c r="H402" i="6"/>
  <c r="F402" i="6"/>
  <c r="C402" i="6"/>
  <c r="AC401" i="6"/>
  <c r="AD401" i="6" s="1"/>
  <c r="AA401" i="6"/>
  <c r="W401" i="6"/>
  <c r="X401" i="6" s="1"/>
  <c r="U401" i="6"/>
  <c r="R401" i="6"/>
  <c r="O401" i="6"/>
  <c r="N401" i="6"/>
  <c r="L401" i="6"/>
  <c r="I401" i="6"/>
  <c r="H401" i="6"/>
  <c r="F401" i="6"/>
  <c r="C401" i="6"/>
  <c r="AD400" i="6"/>
  <c r="AC400" i="6"/>
  <c r="AA400" i="6"/>
  <c r="W400" i="6"/>
  <c r="X400" i="6" s="1"/>
  <c r="U400" i="6"/>
  <c r="R400" i="6"/>
  <c r="O400" i="6"/>
  <c r="N400" i="6"/>
  <c r="L400" i="6"/>
  <c r="H400" i="6"/>
  <c r="I400" i="6" s="1"/>
  <c r="F400" i="6"/>
  <c r="C400" i="6"/>
  <c r="AC399" i="6"/>
  <c r="AD399" i="6" s="1"/>
  <c r="AA399" i="6"/>
  <c r="X399" i="6"/>
  <c r="W399" i="6"/>
  <c r="U399" i="6"/>
  <c r="R399" i="6"/>
  <c r="O399" i="6"/>
  <c r="N399" i="6"/>
  <c r="L399" i="6"/>
  <c r="H399" i="6"/>
  <c r="I399" i="6" s="1"/>
  <c r="F399" i="6"/>
  <c r="C399" i="6"/>
  <c r="AC398" i="6"/>
  <c r="AD398" i="6" s="1"/>
  <c r="AA398" i="6"/>
  <c r="X398" i="6"/>
  <c r="W398" i="6"/>
  <c r="U398" i="6"/>
  <c r="R398" i="6"/>
  <c r="N398" i="6"/>
  <c r="O398" i="6" s="1"/>
  <c r="L398" i="6"/>
  <c r="H398" i="6"/>
  <c r="I398" i="6" s="1"/>
  <c r="F398" i="6"/>
  <c r="C398" i="6"/>
  <c r="AC397" i="6"/>
  <c r="AD397" i="6" s="1"/>
  <c r="AA397" i="6"/>
  <c r="W397" i="6"/>
  <c r="X397" i="6" s="1"/>
  <c r="U397" i="6"/>
  <c r="R397" i="6"/>
  <c r="O397" i="6"/>
  <c r="N397" i="6"/>
  <c r="L397" i="6"/>
  <c r="I397" i="6"/>
  <c r="H397" i="6"/>
  <c r="F397" i="6"/>
  <c r="C397" i="6"/>
  <c r="Z396" i="6"/>
  <c r="AA396" i="6" s="1"/>
  <c r="T396" i="6"/>
  <c r="U396" i="6" s="1"/>
  <c r="Q396" i="6"/>
  <c r="R396" i="6" s="1"/>
  <c r="N396" i="6"/>
  <c r="O396" i="6" s="1"/>
  <c r="L396" i="6"/>
  <c r="K396" i="6"/>
  <c r="F396" i="6"/>
  <c r="E396" i="6"/>
  <c r="B396" i="6"/>
  <c r="C396" i="6" s="1"/>
  <c r="AD395" i="6"/>
  <c r="AC395" i="6"/>
  <c r="AA395" i="6"/>
  <c r="X395" i="6"/>
  <c r="W395" i="6"/>
  <c r="U395" i="6"/>
  <c r="R395" i="6"/>
  <c r="N395" i="6"/>
  <c r="O395" i="6" s="1"/>
  <c r="L395" i="6"/>
  <c r="H395" i="6"/>
  <c r="I395" i="6" s="1"/>
  <c r="F395" i="6"/>
  <c r="C395" i="6"/>
  <c r="AC394" i="6"/>
  <c r="AD394" i="6" s="1"/>
  <c r="AA394" i="6"/>
  <c r="X394" i="6"/>
  <c r="W394" i="6"/>
  <c r="U394" i="6"/>
  <c r="R394" i="6"/>
  <c r="O394" i="6"/>
  <c r="N394" i="6"/>
  <c r="L394" i="6"/>
  <c r="H394" i="6"/>
  <c r="I394" i="6" s="1"/>
  <c r="F394" i="6"/>
  <c r="C394" i="6"/>
  <c r="AD393" i="6"/>
  <c r="AC393" i="6"/>
  <c r="Z393" i="6"/>
  <c r="AA393" i="6" s="1"/>
  <c r="T393" i="6"/>
  <c r="W393" i="6" s="1"/>
  <c r="X393" i="6" s="1"/>
  <c r="R393" i="6"/>
  <c r="Q393" i="6"/>
  <c r="N393" i="6"/>
  <c r="O393" i="6" s="1"/>
  <c r="L393" i="6"/>
  <c r="K393" i="6"/>
  <c r="I393" i="6"/>
  <c r="H393" i="6"/>
  <c r="F393" i="6"/>
  <c r="E393" i="6"/>
  <c r="B393" i="6"/>
  <c r="C393" i="6" s="1"/>
  <c r="AD392" i="6"/>
  <c r="AC392" i="6"/>
  <c r="AA392" i="6"/>
  <c r="X392" i="6"/>
  <c r="W392" i="6"/>
  <c r="U392" i="6"/>
  <c r="R392" i="6"/>
  <c r="N392" i="6"/>
  <c r="O392" i="6" s="1"/>
  <c r="L392" i="6"/>
  <c r="H392" i="6"/>
  <c r="I392" i="6" s="1"/>
  <c r="F392" i="6"/>
  <c r="C392" i="6"/>
  <c r="AC391" i="6"/>
  <c r="AD391" i="6" s="1"/>
  <c r="AA391" i="6"/>
  <c r="W391" i="6"/>
  <c r="X391" i="6" s="1"/>
  <c r="U391" i="6"/>
  <c r="R391" i="6"/>
  <c r="O391" i="6"/>
  <c r="N391" i="6"/>
  <c r="L391" i="6"/>
  <c r="I391" i="6"/>
  <c r="H391" i="6"/>
  <c r="F391" i="6"/>
  <c r="C391" i="6"/>
  <c r="AC390" i="6"/>
  <c r="AD390" i="6" s="1"/>
  <c r="AA390" i="6"/>
  <c r="X390" i="6"/>
  <c r="W390" i="6"/>
  <c r="U390" i="6"/>
  <c r="R390" i="6"/>
  <c r="N390" i="6"/>
  <c r="O390" i="6" s="1"/>
  <c r="L390" i="6"/>
  <c r="H390" i="6"/>
  <c r="I390" i="6" s="1"/>
  <c r="F390" i="6"/>
  <c r="C390" i="6"/>
  <c r="AD389" i="6"/>
  <c r="AC389" i="6"/>
  <c r="AA389" i="6"/>
  <c r="X389" i="6"/>
  <c r="W389" i="6"/>
  <c r="U389" i="6"/>
  <c r="R389" i="6"/>
  <c r="O389" i="6"/>
  <c r="N389" i="6"/>
  <c r="L389" i="6"/>
  <c r="H389" i="6"/>
  <c r="I389" i="6" s="1"/>
  <c r="F389" i="6"/>
  <c r="C389" i="6"/>
  <c r="AD388" i="6"/>
  <c r="AC388" i="6"/>
  <c r="AA388" i="6"/>
  <c r="X388" i="6"/>
  <c r="W388" i="6"/>
  <c r="U388" i="6"/>
  <c r="R388" i="6"/>
  <c r="N388" i="6"/>
  <c r="O388" i="6" s="1"/>
  <c r="L388" i="6"/>
  <c r="I388" i="6"/>
  <c r="H388" i="6"/>
  <c r="F388" i="6"/>
  <c r="C388" i="6"/>
  <c r="AC386" i="6"/>
  <c r="AD386" i="6" s="1"/>
  <c r="AA386" i="6"/>
  <c r="X386" i="6"/>
  <c r="W386" i="6"/>
  <c r="U386" i="6"/>
  <c r="R386" i="6"/>
  <c r="O386" i="6"/>
  <c r="N386" i="6"/>
  <c r="L386" i="6"/>
  <c r="H386" i="6"/>
  <c r="I386" i="6" s="1"/>
  <c r="F386" i="6"/>
  <c r="C386" i="6"/>
  <c r="AD385" i="6"/>
  <c r="AC385" i="6"/>
  <c r="AA385" i="6"/>
  <c r="X385" i="6"/>
  <c r="W385" i="6"/>
  <c r="U385" i="6"/>
  <c r="R385" i="6"/>
  <c r="O385" i="6"/>
  <c r="N385" i="6"/>
  <c r="L385" i="6"/>
  <c r="H385" i="6"/>
  <c r="I385" i="6" s="1"/>
  <c r="F385" i="6"/>
  <c r="C385" i="6"/>
  <c r="AD383" i="6"/>
  <c r="AC383" i="6"/>
  <c r="AA383" i="6"/>
  <c r="X383" i="6"/>
  <c r="W383" i="6"/>
  <c r="U383" i="6"/>
  <c r="R383" i="6"/>
  <c r="N383" i="6"/>
  <c r="O383" i="6" s="1"/>
  <c r="L383" i="6"/>
  <c r="I383" i="6"/>
  <c r="H383" i="6"/>
  <c r="F383" i="6"/>
  <c r="C383" i="6"/>
  <c r="AD382" i="6"/>
  <c r="AC382" i="6"/>
  <c r="AA382" i="6"/>
  <c r="W382" i="6"/>
  <c r="X382" i="6" s="1"/>
  <c r="U382" i="6"/>
  <c r="R382" i="6"/>
  <c r="O382" i="6"/>
  <c r="N382" i="6"/>
  <c r="L382" i="6"/>
  <c r="I382" i="6"/>
  <c r="H382" i="6"/>
  <c r="F382" i="6"/>
  <c r="C382" i="6"/>
  <c r="AC381" i="6"/>
  <c r="AD381" i="6" s="1"/>
  <c r="AA381" i="6"/>
  <c r="X381" i="6"/>
  <c r="W381" i="6"/>
  <c r="U381" i="6"/>
  <c r="R381" i="6"/>
  <c r="O381" i="6"/>
  <c r="N381" i="6"/>
  <c r="L381" i="6"/>
  <c r="I381" i="6"/>
  <c r="H381" i="6"/>
  <c r="F381" i="6"/>
  <c r="C381" i="6"/>
  <c r="AC380" i="6"/>
  <c r="AD380" i="6" s="1"/>
  <c r="AA380" i="6"/>
  <c r="W380" i="6"/>
  <c r="X380" i="6" s="1"/>
  <c r="U380" i="6"/>
  <c r="R380" i="6"/>
  <c r="N380" i="6"/>
  <c r="O380" i="6" s="1"/>
  <c r="L380" i="6"/>
  <c r="H380" i="6"/>
  <c r="I380" i="6" s="1"/>
  <c r="F380" i="6"/>
  <c r="C380" i="6"/>
  <c r="AD379" i="6"/>
  <c r="AC379" i="6"/>
  <c r="AA379" i="6"/>
  <c r="X379" i="6"/>
  <c r="W379" i="6"/>
  <c r="U379" i="6"/>
  <c r="R379" i="6"/>
  <c r="N379" i="6"/>
  <c r="O379" i="6" s="1"/>
  <c r="L379" i="6"/>
  <c r="H379" i="6"/>
  <c r="I379" i="6" s="1"/>
  <c r="F379" i="6"/>
  <c r="C379" i="6"/>
  <c r="AC378" i="6"/>
  <c r="AD378" i="6" s="1"/>
  <c r="AA378" i="6"/>
  <c r="X378" i="6"/>
  <c r="W378" i="6"/>
  <c r="U378" i="6"/>
  <c r="R378" i="6"/>
  <c r="O378" i="6"/>
  <c r="N378" i="6"/>
  <c r="L378" i="6"/>
  <c r="H378" i="6"/>
  <c r="I378" i="6" s="1"/>
  <c r="F378" i="6"/>
  <c r="C378" i="6"/>
  <c r="AC377" i="6"/>
  <c r="AD377" i="6" s="1"/>
  <c r="AA377" i="6"/>
  <c r="W377" i="6"/>
  <c r="X377" i="6" s="1"/>
  <c r="U377" i="6"/>
  <c r="R377" i="6"/>
  <c r="O377" i="6"/>
  <c r="N377" i="6"/>
  <c r="L377" i="6"/>
  <c r="I377" i="6"/>
  <c r="H377" i="6"/>
  <c r="F377" i="6"/>
  <c r="C377" i="6"/>
  <c r="AC376" i="6"/>
  <c r="AD376" i="6" s="1"/>
  <c r="AA376" i="6"/>
  <c r="W376" i="6"/>
  <c r="X376" i="6" s="1"/>
  <c r="U376" i="6"/>
  <c r="R376" i="6"/>
  <c r="O376" i="6"/>
  <c r="N376" i="6"/>
  <c r="L376" i="6"/>
  <c r="H376" i="6"/>
  <c r="I376" i="6" s="1"/>
  <c r="F376" i="6"/>
  <c r="C376" i="6"/>
  <c r="AC375" i="6"/>
  <c r="AD375" i="6" s="1"/>
  <c r="AA375" i="6"/>
  <c r="X375" i="6"/>
  <c r="W375" i="6"/>
  <c r="U375" i="6"/>
  <c r="R375" i="6"/>
  <c r="O375" i="6"/>
  <c r="N375" i="6"/>
  <c r="L375" i="6"/>
  <c r="I375" i="6"/>
  <c r="H375" i="6"/>
  <c r="F375" i="6"/>
  <c r="C375" i="6"/>
  <c r="AD374" i="6"/>
  <c r="AC374" i="6"/>
  <c r="AA374" i="6"/>
  <c r="W374" i="6"/>
  <c r="X374" i="6" s="1"/>
  <c r="U374" i="6"/>
  <c r="R374" i="6"/>
  <c r="O374" i="6"/>
  <c r="N374" i="6"/>
  <c r="L374" i="6"/>
  <c r="H374" i="6"/>
  <c r="I374" i="6" s="1"/>
  <c r="F374" i="6"/>
  <c r="C374" i="6"/>
  <c r="AC373" i="6"/>
  <c r="AD373" i="6" s="1"/>
  <c r="AA373" i="6"/>
  <c r="X373" i="6"/>
  <c r="W373" i="6"/>
  <c r="U373" i="6"/>
  <c r="R373" i="6"/>
  <c r="O373" i="6"/>
  <c r="N373" i="6"/>
  <c r="L373" i="6"/>
  <c r="H373" i="6"/>
  <c r="I373" i="6" s="1"/>
  <c r="F373" i="6"/>
  <c r="C373" i="6"/>
  <c r="AC372" i="6"/>
  <c r="AD372" i="6" s="1"/>
  <c r="AA372" i="6"/>
  <c r="X372" i="6"/>
  <c r="W372" i="6"/>
  <c r="U372" i="6"/>
  <c r="R372" i="6"/>
  <c r="N372" i="6"/>
  <c r="O372" i="6" s="1"/>
  <c r="L372" i="6"/>
  <c r="H372" i="6"/>
  <c r="I372" i="6" s="1"/>
  <c r="F372" i="6"/>
  <c r="C372" i="6"/>
  <c r="AC371" i="6"/>
  <c r="AD371" i="6" s="1"/>
  <c r="AA371" i="6"/>
  <c r="X371" i="6"/>
  <c r="W371" i="6"/>
  <c r="U371" i="6"/>
  <c r="R371" i="6"/>
  <c r="O371" i="6"/>
  <c r="N371" i="6"/>
  <c r="L371" i="6"/>
  <c r="H371" i="6"/>
  <c r="I371" i="6" s="1"/>
  <c r="F371" i="6"/>
  <c r="C371" i="6"/>
  <c r="AC370" i="6"/>
  <c r="AD370" i="6" s="1"/>
  <c r="AA370" i="6"/>
  <c r="X370" i="6"/>
  <c r="W370" i="6"/>
  <c r="U370" i="6"/>
  <c r="R370" i="6"/>
  <c r="O370" i="6"/>
  <c r="N370" i="6"/>
  <c r="L370" i="6"/>
  <c r="I370" i="6"/>
  <c r="H370" i="6"/>
  <c r="F370" i="6"/>
  <c r="C370" i="6"/>
  <c r="AC369" i="6"/>
  <c r="AD369" i="6" s="1"/>
  <c r="AA369" i="6"/>
  <c r="W369" i="6"/>
  <c r="X369" i="6" s="1"/>
  <c r="U369" i="6"/>
  <c r="R369" i="6"/>
  <c r="O369" i="6"/>
  <c r="N369" i="6"/>
  <c r="L369" i="6"/>
  <c r="I369" i="6"/>
  <c r="H369" i="6"/>
  <c r="F369" i="6"/>
  <c r="C369" i="6"/>
  <c r="Z368" i="6"/>
  <c r="AA368" i="6" s="1"/>
  <c r="U368" i="6"/>
  <c r="T368" i="6"/>
  <c r="R368" i="6"/>
  <c r="Q368" i="6"/>
  <c r="K368" i="6"/>
  <c r="L368" i="6" s="1"/>
  <c r="F368" i="6"/>
  <c r="E368" i="6"/>
  <c r="B368" i="6"/>
  <c r="AC367" i="6"/>
  <c r="AD367" i="6" s="1"/>
  <c r="AA367" i="6"/>
  <c r="X367" i="6"/>
  <c r="W367" i="6"/>
  <c r="U367" i="6"/>
  <c r="R367" i="6"/>
  <c r="O367" i="6"/>
  <c r="N367" i="6"/>
  <c r="L367" i="6"/>
  <c r="H367" i="6"/>
  <c r="I367" i="6" s="1"/>
  <c r="F367" i="6"/>
  <c r="C367" i="6"/>
  <c r="AC366" i="6"/>
  <c r="AD366" i="6" s="1"/>
  <c r="AA366" i="6"/>
  <c r="W366" i="6"/>
  <c r="X366" i="6" s="1"/>
  <c r="U366" i="6"/>
  <c r="R366" i="6"/>
  <c r="O366" i="6"/>
  <c r="N366" i="6"/>
  <c r="L366" i="6"/>
  <c r="I366" i="6"/>
  <c r="H366" i="6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H365" i="6"/>
  <c r="I365" i="6" s="1"/>
  <c r="F365" i="6"/>
  <c r="C365" i="6"/>
  <c r="AC364" i="6"/>
  <c r="AD364" i="6" s="1"/>
  <c r="AA364" i="6"/>
  <c r="X364" i="6"/>
  <c r="W364" i="6"/>
  <c r="U364" i="6"/>
  <c r="R364" i="6"/>
  <c r="O364" i="6"/>
  <c r="N364" i="6"/>
  <c r="L364" i="6"/>
  <c r="I364" i="6"/>
  <c r="H364" i="6"/>
  <c r="F364" i="6"/>
  <c r="C364" i="6"/>
  <c r="AD363" i="6"/>
  <c r="AC363" i="6"/>
  <c r="AA363" i="6"/>
  <c r="X363" i="6"/>
  <c r="W363" i="6"/>
  <c r="U363" i="6"/>
  <c r="R363" i="6"/>
  <c r="O363" i="6"/>
  <c r="N363" i="6"/>
  <c r="L363" i="6"/>
  <c r="H363" i="6"/>
  <c r="I363" i="6" s="1"/>
  <c r="F363" i="6"/>
  <c r="C363" i="6"/>
  <c r="AC362" i="6"/>
  <c r="AD362" i="6" s="1"/>
  <c r="AA362" i="6"/>
  <c r="X362" i="6"/>
  <c r="W362" i="6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X361" i="6"/>
  <c r="W361" i="6"/>
  <c r="U361" i="6"/>
  <c r="R361" i="6"/>
  <c r="N361" i="6"/>
  <c r="O361" i="6" s="1"/>
  <c r="L361" i="6"/>
  <c r="H361" i="6"/>
  <c r="I361" i="6" s="1"/>
  <c r="F361" i="6"/>
  <c r="C361" i="6"/>
  <c r="AC360" i="6"/>
  <c r="AD360" i="6" s="1"/>
  <c r="AA360" i="6"/>
  <c r="X360" i="6"/>
  <c r="W360" i="6"/>
  <c r="U360" i="6"/>
  <c r="R360" i="6"/>
  <c r="O360" i="6"/>
  <c r="N360" i="6"/>
  <c r="L360" i="6"/>
  <c r="H360" i="6"/>
  <c r="I360" i="6" s="1"/>
  <c r="F360" i="6"/>
  <c r="C360" i="6"/>
  <c r="AA358" i="6"/>
  <c r="Z358" i="6"/>
  <c r="T358" i="6"/>
  <c r="U358" i="6" s="1"/>
  <c r="Q358" i="6"/>
  <c r="R358" i="6" s="1"/>
  <c r="L358" i="6"/>
  <c r="K358" i="6"/>
  <c r="F358" i="6"/>
  <c r="E358" i="6"/>
  <c r="B358" i="6"/>
  <c r="AD357" i="6"/>
  <c r="AC357" i="6"/>
  <c r="AA357" i="6"/>
  <c r="X357" i="6"/>
  <c r="W357" i="6"/>
  <c r="U357" i="6"/>
  <c r="R357" i="6"/>
  <c r="O357" i="6"/>
  <c r="N357" i="6"/>
  <c r="L357" i="6"/>
  <c r="H357" i="6"/>
  <c r="I357" i="6" s="1"/>
  <c r="F357" i="6"/>
  <c r="C357" i="6"/>
  <c r="AC356" i="6"/>
  <c r="AD356" i="6" s="1"/>
  <c r="AA356" i="6"/>
  <c r="X356" i="6"/>
  <c r="W356" i="6"/>
  <c r="U356" i="6"/>
  <c r="R356" i="6"/>
  <c r="O356" i="6"/>
  <c r="N356" i="6"/>
  <c r="L356" i="6"/>
  <c r="H356" i="6"/>
  <c r="I356" i="6" s="1"/>
  <c r="F356" i="6"/>
  <c r="C356" i="6"/>
  <c r="AD355" i="6"/>
  <c r="AC355" i="6"/>
  <c r="AA355" i="6"/>
  <c r="W355" i="6"/>
  <c r="X355" i="6" s="1"/>
  <c r="U355" i="6"/>
  <c r="R355" i="6"/>
  <c r="N355" i="6"/>
  <c r="O355" i="6" s="1"/>
  <c r="L355" i="6"/>
  <c r="I355" i="6"/>
  <c r="H355" i="6"/>
  <c r="F355" i="6"/>
  <c r="C355" i="6"/>
  <c r="AC354" i="6"/>
  <c r="AD354" i="6" s="1"/>
  <c r="AA354" i="6"/>
  <c r="W354" i="6"/>
  <c r="X354" i="6" s="1"/>
  <c r="U354" i="6"/>
  <c r="R354" i="6"/>
  <c r="O354" i="6"/>
  <c r="N354" i="6"/>
  <c r="L354" i="6"/>
  <c r="H354" i="6"/>
  <c r="I354" i="6" s="1"/>
  <c r="F354" i="6"/>
  <c r="C354" i="6"/>
  <c r="AD353" i="6"/>
  <c r="AC353" i="6"/>
  <c r="AA353" i="6"/>
  <c r="X353" i="6"/>
  <c r="W353" i="6"/>
  <c r="U353" i="6"/>
  <c r="R353" i="6"/>
  <c r="O353" i="6"/>
  <c r="N353" i="6"/>
  <c r="L353" i="6"/>
  <c r="H353" i="6"/>
  <c r="I353" i="6" s="1"/>
  <c r="F353" i="6"/>
  <c r="C353" i="6"/>
  <c r="AD352" i="6"/>
  <c r="AC352" i="6"/>
  <c r="AA352" i="6"/>
  <c r="X352" i="6"/>
  <c r="W352" i="6"/>
  <c r="U352" i="6"/>
  <c r="R352" i="6"/>
  <c r="N352" i="6"/>
  <c r="O352" i="6" s="1"/>
  <c r="L352" i="6"/>
  <c r="H352" i="6"/>
  <c r="I352" i="6" s="1"/>
  <c r="F352" i="6"/>
  <c r="C352" i="6"/>
  <c r="AD351" i="6"/>
  <c r="AC351" i="6"/>
  <c r="AA351" i="6"/>
  <c r="X351" i="6"/>
  <c r="W351" i="6"/>
  <c r="U351" i="6"/>
  <c r="R351" i="6"/>
  <c r="N351" i="6"/>
  <c r="O351" i="6" s="1"/>
  <c r="L351" i="6"/>
  <c r="I351" i="6"/>
  <c r="H351" i="6"/>
  <c r="F351" i="6"/>
  <c r="C351" i="6"/>
  <c r="AC350" i="6"/>
  <c r="AD350" i="6" s="1"/>
  <c r="AA350" i="6"/>
  <c r="X350" i="6"/>
  <c r="W350" i="6"/>
  <c r="U350" i="6"/>
  <c r="R350" i="6"/>
  <c r="O350" i="6"/>
  <c r="N350" i="6"/>
  <c r="L350" i="6"/>
  <c r="H350" i="6"/>
  <c r="I350" i="6" s="1"/>
  <c r="F350" i="6"/>
  <c r="C350" i="6"/>
  <c r="AD349" i="6"/>
  <c r="AC349" i="6"/>
  <c r="AA349" i="6"/>
  <c r="X349" i="6"/>
  <c r="W349" i="6"/>
  <c r="U349" i="6"/>
  <c r="R349" i="6"/>
  <c r="O349" i="6"/>
  <c r="N349" i="6"/>
  <c r="L349" i="6"/>
  <c r="H349" i="6"/>
  <c r="I349" i="6" s="1"/>
  <c r="F349" i="6"/>
  <c r="C349" i="6"/>
  <c r="AD347" i="6"/>
  <c r="AC347" i="6"/>
  <c r="AA347" i="6"/>
  <c r="X347" i="6"/>
  <c r="W347" i="6"/>
  <c r="U347" i="6"/>
  <c r="R347" i="6"/>
  <c r="N347" i="6"/>
  <c r="O347" i="6" s="1"/>
  <c r="L347" i="6"/>
  <c r="I347" i="6"/>
  <c r="H347" i="6"/>
  <c r="F347" i="6"/>
  <c r="C347" i="6"/>
  <c r="Z344" i="6"/>
  <c r="AA344" i="6" s="1"/>
  <c r="U344" i="6"/>
  <c r="T344" i="6"/>
  <c r="Q344" i="6"/>
  <c r="L344" i="6"/>
  <c r="K344" i="6"/>
  <c r="H344" i="6"/>
  <c r="I344" i="6" s="1"/>
  <c r="F344" i="6"/>
  <c r="E344" i="6"/>
  <c r="B344" i="6"/>
  <c r="AC343" i="6"/>
  <c r="AD343" i="6" s="1"/>
  <c r="AA343" i="6"/>
  <c r="Z343" i="6"/>
  <c r="W343" i="6"/>
  <c r="X343" i="6" s="1"/>
  <c r="T343" i="6"/>
  <c r="U343" i="6" s="1"/>
  <c r="R343" i="6"/>
  <c r="Q343" i="6"/>
  <c r="K343" i="6"/>
  <c r="H343" i="6"/>
  <c r="I343" i="6" s="1"/>
  <c r="F343" i="6"/>
  <c r="E343" i="6"/>
  <c r="B343" i="6"/>
  <c r="C343" i="6" s="1"/>
  <c r="Z342" i="6"/>
  <c r="AA342" i="6" s="1"/>
  <c r="U342" i="6"/>
  <c r="T342" i="6"/>
  <c r="Q342" i="6"/>
  <c r="K342" i="6"/>
  <c r="I342" i="6"/>
  <c r="H342" i="6"/>
  <c r="E342" i="6"/>
  <c r="F342" i="6" s="1"/>
  <c r="B342" i="6"/>
  <c r="C342" i="6" s="1"/>
  <c r="AD341" i="6"/>
  <c r="AC341" i="6"/>
  <c r="AA341" i="6"/>
  <c r="W341" i="6"/>
  <c r="X341" i="6" s="1"/>
  <c r="U341" i="6"/>
  <c r="R341" i="6"/>
  <c r="N341" i="6"/>
  <c r="O341" i="6" s="1"/>
  <c r="L341" i="6"/>
  <c r="H341" i="6"/>
  <c r="I341" i="6" s="1"/>
  <c r="F341" i="6"/>
  <c r="C341" i="6"/>
  <c r="AC340" i="6"/>
  <c r="AD340" i="6" s="1"/>
  <c r="AA340" i="6"/>
  <c r="X340" i="6"/>
  <c r="W340" i="6"/>
  <c r="U340" i="6"/>
  <c r="R340" i="6"/>
  <c r="O340" i="6"/>
  <c r="N340" i="6"/>
  <c r="L340" i="6"/>
  <c r="H340" i="6"/>
  <c r="I340" i="6" s="1"/>
  <c r="F340" i="6"/>
  <c r="C340" i="6"/>
  <c r="AC339" i="6"/>
  <c r="AD339" i="6" s="1"/>
  <c r="AA339" i="6"/>
  <c r="X339" i="6"/>
  <c r="W339" i="6"/>
  <c r="U339" i="6"/>
  <c r="R339" i="6"/>
  <c r="N339" i="6"/>
  <c r="O339" i="6" s="1"/>
  <c r="L339" i="6"/>
  <c r="H339" i="6"/>
  <c r="I339" i="6" s="1"/>
  <c r="F339" i="6"/>
  <c r="C339" i="6"/>
  <c r="AD338" i="6"/>
  <c r="AC338" i="6"/>
  <c r="AA338" i="6"/>
  <c r="X338" i="6"/>
  <c r="W338" i="6"/>
  <c r="U338" i="6"/>
  <c r="R338" i="6"/>
  <c r="N338" i="6"/>
  <c r="O338" i="6" s="1"/>
  <c r="L338" i="6"/>
  <c r="H338" i="6"/>
  <c r="I338" i="6" s="1"/>
  <c r="F338" i="6"/>
  <c r="C338" i="6"/>
  <c r="AD337" i="6"/>
  <c r="AC337" i="6"/>
  <c r="AA337" i="6"/>
  <c r="X337" i="6"/>
  <c r="W337" i="6"/>
  <c r="U337" i="6"/>
  <c r="R337" i="6"/>
  <c r="N337" i="6"/>
  <c r="O337" i="6" s="1"/>
  <c r="L337" i="6"/>
  <c r="H337" i="6"/>
  <c r="I337" i="6" s="1"/>
  <c r="F337" i="6"/>
  <c r="C337" i="6"/>
  <c r="AC335" i="6"/>
  <c r="AD335" i="6" s="1"/>
  <c r="AA335" i="6"/>
  <c r="X335" i="6"/>
  <c r="W335" i="6"/>
  <c r="U335" i="6"/>
  <c r="R335" i="6"/>
  <c r="O335" i="6"/>
  <c r="N335" i="6"/>
  <c r="L335" i="6"/>
  <c r="H335" i="6"/>
  <c r="I335" i="6" s="1"/>
  <c r="F335" i="6"/>
  <c r="C335" i="6"/>
  <c r="AC334" i="6"/>
  <c r="AD334" i="6" s="1"/>
  <c r="AA334" i="6"/>
  <c r="X334" i="6"/>
  <c r="W334" i="6"/>
  <c r="U334" i="6"/>
  <c r="R334" i="6"/>
  <c r="O334" i="6"/>
  <c r="N334" i="6"/>
  <c r="L334" i="6"/>
  <c r="H334" i="6"/>
  <c r="I334" i="6" s="1"/>
  <c r="F334" i="6"/>
  <c r="C334" i="6"/>
  <c r="AC333" i="6"/>
  <c r="AD333" i="6" s="1"/>
  <c r="AA333" i="6"/>
  <c r="X333" i="6"/>
  <c r="W333" i="6"/>
  <c r="U333" i="6"/>
  <c r="R333" i="6"/>
  <c r="N333" i="6"/>
  <c r="O333" i="6" s="1"/>
  <c r="L333" i="6"/>
  <c r="I333" i="6"/>
  <c r="H333" i="6"/>
  <c r="F333" i="6"/>
  <c r="C333" i="6"/>
  <c r="AD332" i="6"/>
  <c r="AC332" i="6"/>
  <c r="AA332" i="6"/>
  <c r="W332" i="6"/>
  <c r="X332" i="6" s="1"/>
  <c r="U332" i="6"/>
  <c r="R332" i="6"/>
  <c r="O332" i="6"/>
  <c r="N332" i="6"/>
  <c r="L332" i="6"/>
  <c r="H332" i="6"/>
  <c r="I332" i="6" s="1"/>
  <c r="F332" i="6"/>
  <c r="C332" i="6"/>
  <c r="AC331" i="6"/>
  <c r="AD331" i="6" s="1"/>
  <c r="AA331" i="6"/>
  <c r="X331" i="6"/>
  <c r="W331" i="6"/>
  <c r="U331" i="6"/>
  <c r="R331" i="6"/>
  <c r="O331" i="6"/>
  <c r="N331" i="6"/>
  <c r="L331" i="6"/>
  <c r="I331" i="6"/>
  <c r="H331" i="6"/>
  <c r="F331" i="6"/>
  <c r="C331" i="6"/>
  <c r="AC330" i="6"/>
  <c r="AD330" i="6" s="1"/>
  <c r="AA330" i="6"/>
  <c r="W330" i="6"/>
  <c r="X330" i="6" s="1"/>
  <c r="U330" i="6"/>
  <c r="R330" i="6"/>
  <c r="O330" i="6"/>
  <c r="N330" i="6"/>
  <c r="L330" i="6"/>
  <c r="H330" i="6"/>
  <c r="I330" i="6" s="1"/>
  <c r="F330" i="6"/>
  <c r="C330" i="6"/>
  <c r="AD329" i="6"/>
  <c r="AC329" i="6"/>
  <c r="AA329" i="6"/>
  <c r="X329" i="6"/>
  <c r="W329" i="6"/>
  <c r="U329" i="6"/>
  <c r="R329" i="6"/>
  <c r="O329" i="6"/>
  <c r="N329" i="6"/>
  <c r="L329" i="6"/>
  <c r="I329" i="6"/>
  <c r="H329" i="6"/>
  <c r="F329" i="6"/>
  <c r="C329" i="6"/>
  <c r="AC328" i="6"/>
  <c r="AD328" i="6" s="1"/>
  <c r="AA328" i="6"/>
  <c r="W328" i="6"/>
  <c r="X328" i="6" s="1"/>
  <c r="U328" i="6"/>
  <c r="R328" i="6"/>
  <c r="O328" i="6"/>
  <c r="N328" i="6"/>
  <c r="L328" i="6"/>
  <c r="I328" i="6"/>
  <c r="H328" i="6"/>
  <c r="F328" i="6"/>
  <c r="C328" i="6"/>
  <c r="AC325" i="6"/>
  <c r="AD325" i="6" s="1"/>
  <c r="AA325" i="6"/>
  <c r="Z325" i="6"/>
  <c r="W325" i="6"/>
  <c r="X325" i="6" s="1"/>
  <c r="T325" i="6"/>
  <c r="U325" i="6" s="1"/>
  <c r="Q325" i="6"/>
  <c r="R325" i="6" s="1"/>
  <c r="N325" i="6"/>
  <c r="O325" i="6" s="1"/>
  <c r="L325" i="6"/>
  <c r="K325" i="6"/>
  <c r="E325" i="6"/>
  <c r="F325" i="6" s="1"/>
  <c r="C325" i="6"/>
  <c r="B325" i="6"/>
  <c r="AD324" i="6"/>
  <c r="AC324" i="6"/>
  <c r="AA324" i="6"/>
  <c r="Z324" i="6"/>
  <c r="T324" i="6"/>
  <c r="U324" i="6" s="1"/>
  <c r="R324" i="6"/>
  <c r="Q324" i="6"/>
  <c r="N324" i="6"/>
  <c r="O324" i="6" s="1"/>
  <c r="K324" i="6"/>
  <c r="L324" i="6" s="1"/>
  <c r="E324" i="6"/>
  <c r="C324" i="6"/>
  <c r="B324" i="6"/>
  <c r="AC323" i="6"/>
  <c r="AD323" i="6" s="1"/>
  <c r="AA323" i="6"/>
  <c r="W323" i="6"/>
  <c r="X323" i="6" s="1"/>
  <c r="U323" i="6"/>
  <c r="R323" i="6"/>
  <c r="O323" i="6"/>
  <c r="N323" i="6"/>
  <c r="L323" i="6"/>
  <c r="I323" i="6"/>
  <c r="H323" i="6"/>
  <c r="F323" i="6"/>
  <c r="C323" i="6"/>
  <c r="AC322" i="6"/>
  <c r="AD322" i="6" s="1"/>
  <c r="AA322" i="6"/>
  <c r="W322" i="6"/>
  <c r="X322" i="6" s="1"/>
  <c r="U322" i="6"/>
  <c r="R322" i="6"/>
  <c r="O322" i="6"/>
  <c r="N322" i="6"/>
  <c r="L322" i="6"/>
  <c r="H322" i="6"/>
  <c r="I322" i="6" s="1"/>
  <c r="F322" i="6"/>
  <c r="C322" i="6"/>
  <c r="AC321" i="6"/>
  <c r="AD321" i="6" s="1"/>
  <c r="AA321" i="6"/>
  <c r="X321" i="6"/>
  <c r="W321" i="6"/>
  <c r="U321" i="6"/>
  <c r="R321" i="6"/>
  <c r="O321" i="6"/>
  <c r="N321" i="6"/>
  <c r="L321" i="6"/>
  <c r="I321" i="6"/>
  <c r="H321" i="6"/>
  <c r="F321" i="6"/>
  <c r="C321" i="6"/>
  <c r="AD320" i="6"/>
  <c r="AC320" i="6"/>
  <c r="AA320" i="6"/>
  <c r="W320" i="6"/>
  <c r="X320" i="6" s="1"/>
  <c r="U320" i="6"/>
  <c r="R320" i="6"/>
  <c r="O320" i="6"/>
  <c r="N320" i="6"/>
  <c r="L320" i="6"/>
  <c r="H320" i="6"/>
  <c r="I320" i="6" s="1"/>
  <c r="F320" i="6"/>
  <c r="C320" i="6"/>
  <c r="AC319" i="6"/>
  <c r="AD319" i="6" s="1"/>
  <c r="AA319" i="6"/>
  <c r="X319" i="6"/>
  <c r="W319" i="6"/>
  <c r="U319" i="6"/>
  <c r="R319" i="6"/>
  <c r="O319" i="6"/>
  <c r="N319" i="6"/>
  <c r="L319" i="6"/>
  <c r="H319" i="6"/>
  <c r="I319" i="6" s="1"/>
  <c r="F319" i="6"/>
  <c r="C319" i="6"/>
  <c r="AD318" i="6"/>
  <c r="AC318" i="6"/>
  <c r="AA318" i="6"/>
  <c r="X318" i="6"/>
  <c r="W318" i="6"/>
  <c r="U318" i="6"/>
  <c r="R318" i="6"/>
  <c r="N318" i="6"/>
  <c r="O318" i="6" s="1"/>
  <c r="L318" i="6"/>
  <c r="H318" i="6"/>
  <c r="I318" i="6" s="1"/>
  <c r="F318" i="6"/>
  <c r="C318" i="6"/>
  <c r="AC317" i="6"/>
  <c r="AD317" i="6" s="1"/>
  <c r="AA317" i="6"/>
  <c r="X317" i="6"/>
  <c r="W317" i="6"/>
  <c r="U317" i="6"/>
  <c r="R317" i="6"/>
  <c r="O317" i="6"/>
  <c r="N317" i="6"/>
  <c r="L317" i="6"/>
  <c r="H317" i="6"/>
  <c r="I317" i="6" s="1"/>
  <c r="F317" i="6"/>
  <c r="C317" i="6"/>
  <c r="AD316" i="6"/>
  <c r="AC316" i="6"/>
  <c r="AA316" i="6"/>
  <c r="X316" i="6"/>
  <c r="W316" i="6"/>
  <c r="U316" i="6"/>
  <c r="R316" i="6"/>
  <c r="N316" i="6"/>
  <c r="O316" i="6" s="1"/>
  <c r="L316" i="6"/>
  <c r="I316" i="6"/>
  <c r="H316" i="6"/>
  <c r="F316" i="6"/>
  <c r="C316" i="6"/>
  <c r="AC315" i="6"/>
  <c r="AD315" i="6" s="1"/>
  <c r="AA315" i="6"/>
  <c r="X315" i="6"/>
  <c r="W315" i="6"/>
  <c r="U315" i="6"/>
  <c r="R315" i="6"/>
  <c r="O315" i="6"/>
  <c r="N315" i="6"/>
  <c r="L315" i="6"/>
  <c r="H315" i="6"/>
  <c r="I315" i="6" s="1"/>
  <c r="F315" i="6"/>
  <c r="C315" i="6"/>
  <c r="AD314" i="6"/>
  <c r="AC314" i="6"/>
  <c r="AA314" i="6"/>
  <c r="W314" i="6"/>
  <c r="X314" i="6" s="1"/>
  <c r="U314" i="6"/>
  <c r="R314" i="6"/>
  <c r="O314" i="6"/>
  <c r="N314" i="6"/>
  <c r="L314" i="6"/>
  <c r="H314" i="6"/>
  <c r="I314" i="6" s="1"/>
  <c r="F314" i="6"/>
  <c r="C314" i="6"/>
  <c r="AC313" i="6"/>
  <c r="AD313" i="6" s="1"/>
  <c r="AA313" i="6"/>
  <c r="X313" i="6"/>
  <c r="W313" i="6"/>
  <c r="U313" i="6"/>
  <c r="R313" i="6"/>
  <c r="O313" i="6"/>
  <c r="N313" i="6"/>
  <c r="L313" i="6"/>
  <c r="I313" i="6"/>
  <c r="H313" i="6"/>
  <c r="F313" i="6"/>
  <c r="C313" i="6"/>
  <c r="AC312" i="6"/>
  <c r="AD312" i="6" s="1"/>
  <c r="AA312" i="6"/>
  <c r="X312" i="6"/>
  <c r="W312" i="6"/>
  <c r="U312" i="6"/>
  <c r="R312" i="6"/>
  <c r="O312" i="6"/>
  <c r="N312" i="6"/>
  <c r="L312" i="6"/>
  <c r="I312" i="6"/>
  <c r="H312" i="6"/>
  <c r="F312" i="6"/>
  <c r="C312" i="6"/>
  <c r="AC311" i="6"/>
  <c r="AD311" i="6" s="1"/>
  <c r="AA311" i="6"/>
  <c r="W311" i="6"/>
  <c r="X311" i="6" s="1"/>
  <c r="U311" i="6"/>
  <c r="R311" i="6"/>
  <c r="O311" i="6"/>
  <c r="N311" i="6"/>
  <c r="L311" i="6"/>
  <c r="I311" i="6"/>
  <c r="H311" i="6"/>
  <c r="F311" i="6"/>
  <c r="C311" i="6"/>
  <c r="AD310" i="6"/>
  <c r="AC310" i="6"/>
  <c r="AA310" i="6"/>
  <c r="W310" i="6"/>
  <c r="X310" i="6" s="1"/>
  <c r="U310" i="6"/>
  <c r="R310" i="6"/>
  <c r="O310" i="6"/>
  <c r="N310" i="6"/>
  <c r="L310" i="6"/>
  <c r="H310" i="6"/>
  <c r="I310" i="6" s="1"/>
  <c r="F310" i="6"/>
  <c r="C310" i="6"/>
  <c r="AD309" i="6"/>
  <c r="AC309" i="6"/>
  <c r="AA309" i="6"/>
  <c r="X309" i="6"/>
  <c r="W309" i="6"/>
  <c r="U309" i="6"/>
  <c r="R309" i="6"/>
  <c r="O309" i="6"/>
  <c r="N309" i="6"/>
  <c r="L309" i="6"/>
  <c r="I309" i="6"/>
  <c r="H309" i="6"/>
  <c r="F309" i="6"/>
  <c r="C309" i="6"/>
  <c r="AC308" i="6"/>
  <c r="AD308" i="6" s="1"/>
  <c r="AA308" i="6"/>
  <c r="X308" i="6"/>
  <c r="W308" i="6"/>
  <c r="U308" i="6"/>
  <c r="R308" i="6"/>
  <c r="O308" i="6"/>
  <c r="N308" i="6"/>
  <c r="L308" i="6"/>
  <c r="I308" i="6"/>
  <c r="H308" i="6"/>
  <c r="F308" i="6"/>
  <c r="C308" i="6"/>
  <c r="AC307" i="6"/>
  <c r="AD307" i="6" s="1"/>
  <c r="AA307" i="6"/>
  <c r="W307" i="6"/>
  <c r="X307" i="6" s="1"/>
  <c r="U307" i="6"/>
  <c r="R307" i="6"/>
  <c r="O307" i="6"/>
  <c r="N307" i="6"/>
  <c r="L307" i="6"/>
  <c r="I307" i="6"/>
  <c r="H307" i="6"/>
  <c r="F307" i="6"/>
  <c r="C307" i="6"/>
  <c r="AD306" i="6"/>
  <c r="AC306" i="6"/>
  <c r="AA306" i="6"/>
  <c r="X306" i="6"/>
  <c r="W306" i="6"/>
  <c r="U306" i="6"/>
  <c r="R306" i="6"/>
  <c r="N306" i="6"/>
  <c r="O306" i="6" s="1"/>
  <c r="L306" i="6"/>
  <c r="H306" i="6"/>
  <c r="I306" i="6" s="1"/>
  <c r="F306" i="6"/>
  <c r="C306" i="6"/>
  <c r="AC305" i="6"/>
  <c r="AD305" i="6" s="1"/>
  <c r="AA305" i="6"/>
  <c r="X305" i="6"/>
  <c r="W305" i="6"/>
  <c r="U305" i="6"/>
  <c r="R305" i="6"/>
  <c r="O305" i="6"/>
  <c r="N305" i="6"/>
  <c r="L305" i="6"/>
  <c r="I305" i="6"/>
  <c r="H305" i="6"/>
  <c r="F305" i="6"/>
  <c r="C305" i="6"/>
  <c r="AC304" i="6"/>
  <c r="AD304" i="6" s="1"/>
  <c r="AA304" i="6"/>
  <c r="X304" i="6"/>
  <c r="W304" i="6"/>
  <c r="U304" i="6"/>
  <c r="R304" i="6"/>
  <c r="O304" i="6"/>
  <c r="N304" i="6"/>
  <c r="L304" i="6"/>
  <c r="H304" i="6"/>
  <c r="I304" i="6" s="1"/>
  <c r="F304" i="6"/>
  <c r="C304" i="6"/>
  <c r="AC303" i="6"/>
  <c r="AD303" i="6" s="1"/>
  <c r="AA303" i="6"/>
  <c r="X303" i="6"/>
  <c r="W303" i="6"/>
  <c r="U303" i="6"/>
  <c r="R303" i="6"/>
  <c r="O303" i="6"/>
  <c r="N303" i="6"/>
  <c r="L303" i="6"/>
  <c r="I303" i="6"/>
  <c r="H303" i="6"/>
  <c r="F303" i="6"/>
  <c r="C303" i="6"/>
  <c r="AC302" i="6"/>
  <c r="AD302" i="6" s="1"/>
  <c r="AA302" i="6"/>
  <c r="W302" i="6"/>
  <c r="X302" i="6" s="1"/>
  <c r="U302" i="6"/>
  <c r="R302" i="6"/>
  <c r="N302" i="6"/>
  <c r="O302" i="6" s="1"/>
  <c r="L302" i="6"/>
  <c r="H302" i="6"/>
  <c r="I302" i="6" s="1"/>
  <c r="F302" i="6"/>
  <c r="C302" i="6"/>
  <c r="AD301" i="6"/>
  <c r="AC301" i="6"/>
  <c r="AA301" i="6"/>
  <c r="X301" i="6"/>
  <c r="W301" i="6"/>
  <c r="U301" i="6"/>
  <c r="R301" i="6"/>
  <c r="N301" i="6"/>
  <c r="O301" i="6" s="1"/>
  <c r="L301" i="6"/>
  <c r="H301" i="6"/>
  <c r="I301" i="6" s="1"/>
  <c r="F301" i="6"/>
  <c r="C301" i="6"/>
  <c r="AD300" i="6"/>
  <c r="AC300" i="6"/>
  <c r="AA300" i="6"/>
  <c r="X300" i="6"/>
  <c r="W300" i="6"/>
  <c r="U300" i="6"/>
  <c r="R300" i="6"/>
  <c r="O300" i="6"/>
  <c r="N300" i="6"/>
  <c r="L300" i="6"/>
  <c r="I300" i="6"/>
  <c r="H300" i="6"/>
  <c r="F300" i="6"/>
  <c r="C300" i="6"/>
  <c r="AC299" i="6"/>
  <c r="AD299" i="6" s="1"/>
  <c r="AA299" i="6"/>
  <c r="X299" i="6"/>
  <c r="W299" i="6"/>
  <c r="U299" i="6"/>
  <c r="R299" i="6"/>
  <c r="O299" i="6"/>
  <c r="N299" i="6"/>
  <c r="L299" i="6"/>
  <c r="I299" i="6"/>
  <c r="H299" i="6"/>
  <c r="F299" i="6"/>
  <c r="C299" i="6"/>
  <c r="AD298" i="6"/>
  <c r="AC298" i="6"/>
  <c r="AA298" i="6"/>
  <c r="W298" i="6"/>
  <c r="X298" i="6" s="1"/>
  <c r="U298" i="6"/>
  <c r="R298" i="6"/>
  <c r="O298" i="6"/>
  <c r="N298" i="6"/>
  <c r="L298" i="6"/>
  <c r="H298" i="6"/>
  <c r="I298" i="6" s="1"/>
  <c r="F298" i="6"/>
  <c r="C298" i="6"/>
  <c r="AD297" i="6"/>
  <c r="AC297" i="6"/>
  <c r="AA297" i="6"/>
  <c r="X297" i="6"/>
  <c r="W297" i="6"/>
  <c r="U297" i="6"/>
  <c r="R297" i="6"/>
  <c r="O297" i="6"/>
  <c r="N297" i="6"/>
  <c r="L297" i="6"/>
  <c r="I297" i="6"/>
  <c r="H297" i="6"/>
  <c r="F297" i="6"/>
  <c r="C297" i="6"/>
  <c r="AC295" i="6"/>
  <c r="AD295" i="6" s="1"/>
  <c r="AA295" i="6"/>
  <c r="Z295" i="6"/>
  <c r="T295" i="6"/>
  <c r="U295" i="6" s="1"/>
  <c r="R295" i="6"/>
  <c r="Q295" i="6"/>
  <c r="W295" i="6" s="1"/>
  <c r="X295" i="6" s="1"/>
  <c r="K295" i="6"/>
  <c r="L295" i="6" s="1"/>
  <c r="E295" i="6"/>
  <c r="F295" i="6" s="1"/>
  <c r="B295" i="6"/>
  <c r="AD294" i="6"/>
  <c r="AC294" i="6"/>
  <c r="AA294" i="6"/>
  <c r="X294" i="6"/>
  <c r="W294" i="6"/>
  <c r="U294" i="6"/>
  <c r="R294" i="6"/>
  <c r="O294" i="6"/>
  <c r="N294" i="6"/>
  <c r="L294" i="6"/>
  <c r="H294" i="6"/>
  <c r="I294" i="6" s="1"/>
  <c r="F294" i="6"/>
  <c r="C294" i="6"/>
  <c r="AC293" i="6"/>
  <c r="AD293" i="6" s="1"/>
  <c r="AA293" i="6"/>
  <c r="X293" i="6"/>
  <c r="W293" i="6"/>
  <c r="U293" i="6"/>
  <c r="R293" i="6"/>
  <c r="N293" i="6"/>
  <c r="O293" i="6" s="1"/>
  <c r="L293" i="6"/>
  <c r="I293" i="6"/>
  <c r="H293" i="6"/>
  <c r="F293" i="6"/>
  <c r="C293" i="6"/>
  <c r="AD292" i="6"/>
  <c r="AC292" i="6"/>
  <c r="AA292" i="6"/>
  <c r="W292" i="6"/>
  <c r="X292" i="6" s="1"/>
  <c r="U292" i="6"/>
  <c r="R292" i="6"/>
  <c r="O292" i="6"/>
  <c r="N292" i="6"/>
  <c r="L292" i="6"/>
  <c r="I292" i="6"/>
  <c r="H292" i="6"/>
  <c r="F292" i="6"/>
  <c r="C292" i="6"/>
  <c r="AC291" i="6"/>
  <c r="AD291" i="6" s="1"/>
  <c r="AA291" i="6"/>
  <c r="X291" i="6"/>
  <c r="W291" i="6"/>
  <c r="U291" i="6"/>
  <c r="R291" i="6"/>
  <c r="O291" i="6"/>
  <c r="N291" i="6"/>
  <c r="L291" i="6"/>
  <c r="I291" i="6"/>
  <c r="H291" i="6"/>
  <c r="F291" i="6"/>
  <c r="C291" i="6"/>
  <c r="AC290" i="6"/>
  <c r="AD290" i="6" s="1"/>
  <c r="AA290" i="6"/>
  <c r="W290" i="6"/>
  <c r="X290" i="6" s="1"/>
  <c r="U290" i="6"/>
  <c r="R290" i="6"/>
  <c r="N290" i="6"/>
  <c r="O290" i="6" s="1"/>
  <c r="L290" i="6"/>
  <c r="H290" i="6"/>
  <c r="I290" i="6" s="1"/>
  <c r="F290" i="6"/>
  <c r="C290" i="6"/>
  <c r="AD289" i="6"/>
  <c r="AC289" i="6"/>
  <c r="AA289" i="6"/>
  <c r="X289" i="6"/>
  <c r="W289" i="6"/>
  <c r="U289" i="6"/>
  <c r="R289" i="6"/>
  <c r="O289" i="6"/>
  <c r="N289" i="6"/>
  <c r="L289" i="6"/>
  <c r="H289" i="6"/>
  <c r="I289" i="6" s="1"/>
  <c r="F289" i="6"/>
  <c r="C289" i="6"/>
  <c r="AC288" i="6"/>
  <c r="AD288" i="6" s="1"/>
  <c r="AA288" i="6"/>
  <c r="W288" i="6"/>
  <c r="X288" i="6" s="1"/>
  <c r="U288" i="6"/>
  <c r="R288" i="6"/>
  <c r="O288" i="6"/>
  <c r="N288" i="6"/>
  <c r="L288" i="6"/>
  <c r="I288" i="6"/>
  <c r="H288" i="6"/>
  <c r="F288" i="6"/>
  <c r="C288" i="6"/>
  <c r="AC287" i="6"/>
  <c r="AD287" i="6" s="1"/>
  <c r="AA287" i="6"/>
  <c r="W287" i="6"/>
  <c r="X287" i="6" s="1"/>
  <c r="U287" i="6"/>
  <c r="R287" i="6"/>
  <c r="O287" i="6"/>
  <c r="N287" i="6"/>
  <c r="L287" i="6"/>
  <c r="I287" i="6"/>
  <c r="H287" i="6"/>
  <c r="F287" i="6"/>
  <c r="C287" i="6"/>
  <c r="AC286" i="6"/>
  <c r="AD286" i="6" s="1"/>
  <c r="AA286" i="6"/>
  <c r="X286" i="6"/>
  <c r="W286" i="6"/>
  <c r="U286" i="6"/>
  <c r="R286" i="6"/>
  <c r="O286" i="6"/>
  <c r="N286" i="6"/>
  <c r="L286" i="6"/>
  <c r="H286" i="6"/>
  <c r="I286" i="6" s="1"/>
  <c r="F286" i="6"/>
  <c r="C286" i="6"/>
  <c r="AC284" i="6"/>
  <c r="AD284" i="6" s="1"/>
  <c r="AA284" i="6"/>
  <c r="Z284" i="6"/>
  <c r="W284" i="6"/>
  <c r="X284" i="6" s="1"/>
  <c r="U284" i="6"/>
  <c r="T284" i="6"/>
  <c r="R284" i="6"/>
  <c r="Q284" i="6"/>
  <c r="K284" i="6"/>
  <c r="L284" i="6" s="1"/>
  <c r="F284" i="6"/>
  <c r="E284" i="6"/>
  <c r="B284" i="6"/>
  <c r="AC283" i="6"/>
  <c r="AD283" i="6" s="1"/>
  <c r="AA283" i="6"/>
  <c r="X283" i="6"/>
  <c r="W283" i="6"/>
  <c r="U283" i="6"/>
  <c r="R283" i="6"/>
  <c r="O283" i="6"/>
  <c r="N283" i="6"/>
  <c r="L283" i="6"/>
  <c r="H283" i="6"/>
  <c r="I283" i="6" s="1"/>
  <c r="F283" i="6"/>
  <c r="C283" i="6"/>
  <c r="AD282" i="6"/>
  <c r="AC282" i="6"/>
  <c r="AA282" i="6"/>
  <c r="X282" i="6"/>
  <c r="W282" i="6"/>
  <c r="U282" i="6"/>
  <c r="R282" i="6"/>
  <c r="O282" i="6"/>
  <c r="N282" i="6"/>
  <c r="L282" i="6"/>
  <c r="H282" i="6"/>
  <c r="I282" i="6" s="1"/>
  <c r="F282" i="6"/>
  <c r="C282" i="6"/>
  <c r="AC281" i="6"/>
  <c r="AD281" i="6" s="1"/>
  <c r="AA281" i="6"/>
  <c r="X281" i="6"/>
  <c r="W281" i="6"/>
  <c r="U281" i="6"/>
  <c r="R281" i="6"/>
  <c r="N281" i="6"/>
  <c r="O281" i="6" s="1"/>
  <c r="L281" i="6"/>
  <c r="I281" i="6"/>
  <c r="H281" i="6"/>
  <c r="F281" i="6"/>
  <c r="C281" i="6"/>
  <c r="AD280" i="6"/>
  <c r="AC280" i="6"/>
  <c r="AA280" i="6"/>
  <c r="W280" i="6"/>
  <c r="X280" i="6" s="1"/>
  <c r="U280" i="6"/>
  <c r="R280" i="6"/>
  <c r="O280" i="6"/>
  <c r="N280" i="6"/>
  <c r="L280" i="6"/>
  <c r="H280" i="6"/>
  <c r="I280" i="6" s="1"/>
  <c r="F280" i="6"/>
  <c r="C280" i="6"/>
  <c r="AC279" i="6"/>
  <c r="AD279" i="6" s="1"/>
  <c r="AA279" i="6"/>
  <c r="X279" i="6"/>
  <c r="W279" i="6"/>
  <c r="U279" i="6"/>
  <c r="R279" i="6"/>
  <c r="O279" i="6"/>
  <c r="N279" i="6"/>
  <c r="L279" i="6"/>
  <c r="I279" i="6"/>
  <c r="H279" i="6"/>
  <c r="F279" i="6"/>
  <c r="C279" i="6"/>
  <c r="AC278" i="6"/>
  <c r="AD278" i="6" s="1"/>
  <c r="AA278" i="6"/>
  <c r="W278" i="6"/>
  <c r="X278" i="6" s="1"/>
  <c r="U278" i="6"/>
  <c r="R278" i="6"/>
  <c r="O278" i="6"/>
  <c r="N278" i="6"/>
  <c r="L278" i="6"/>
  <c r="H278" i="6"/>
  <c r="I278" i="6" s="1"/>
  <c r="F278" i="6"/>
  <c r="C278" i="6"/>
  <c r="AD277" i="6"/>
  <c r="AC277" i="6"/>
  <c r="AA277" i="6"/>
  <c r="X277" i="6"/>
  <c r="W277" i="6"/>
  <c r="U277" i="6"/>
  <c r="R277" i="6"/>
  <c r="O277" i="6"/>
  <c r="N277" i="6"/>
  <c r="L277" i="6"/>
  <c r="I277" i="6"/>
  <c r="H277" i="6"/>
  <c r="F277" i="6"/>
  <c r="C277" i="6"/>
  <c r="AC276" i="6"/>
  <c r="AD276" i="6" s="1"/>
  <c r="AA276" i="6"/>
  <c r="W276" i="6"/>
  <c r="X276" i="6" s="1"/>
  <c r="U276" i="6"/>
  <c r="R276" i="6"/>
  <c r="O276" i="6"/>
  <c r="N276" i="6"/>
  <c r="L276" i="6"/>
  <c r="I276" i="6"/>
  <c r="H276" i="6"/>
  <c r="F276" i="6"/>
  <c r="C276" i="6"/>
  <c r="AC275" i="6"/>
  <c r="AD275" i="6" s="1"/>
  <c r="AA275" i="6"/>
  <c r="W275" i="6"/>
  <c r="X275" i="6" s="1"/>
  <c r="U275" i="6"/>
  <c r="R275" i="6"/>
  <c r="O275" i="6"/>
  <c r="N275" i="6"/>
  <c r="L275" i="6"/>
  <c r="I275" i="6"/>
  <c r="H275" i="6"/>
  <c r="F275" i="6"/>
  <c r="C275" i="6"/>
  <c r="Z273" i="6"/>
  <c r="AA273" i="6" s="1"/>
  <c r="T273" i="6"/>
  <c r="R273" i="6"/>
  <c r="Q273" i="6"/>
  <c r="N273" i="6"/>
  <c r="O273" i="6" s="1"/>
  <c r="L273" i="6"/>
  <c r="K273" i="6"/>
  <c r="F273" i="6"/>
  <c r="E273" i="6"/>
  <c r="B273" i="6"/>
  <c r="AD272" i="6"/>
  <c r="AC272" i="6"/>
  <c r="AA272" i="6"/>
  <c r="X272" i="6"/>
  <c r="W272" i="6"/>
  <c r="U272" i="6"/>
  <c r="R272" i="6"/>
  <c r="O272" i="6"/>
  <c r="N272" i="6"/>
  <c r="L272" i="6"/>
  <c r="H272" i="6"/>
  <c r="I272" i="6" s="1"/>
  <c r="F272" i="6"/>
  <c r="C272" i="6"/>
  <c r="AD271" i="6"/>
  <c r="AC271" i="6"/>
  <c r="AA271" i="6"/>
  <c r="X271" i="6"/>
  <c r="W271" i="6"/>
  <c r="U271" i="6"/>
  <c r="R271" i="6"/>
  <c r="N271" i="6"/>
  <c r="O271" i="6" s="1"/>
  <c r="L271" i="6"/>
  <c r="I271" i="6"/>
  <c r="H271" i="6"/>
  <c r="F271" i="6"/>
  <c r="C271" i="6"/>
  <c r="AD270" i="6"/>
  <c r="AC270" i="6"/>
  <c r="AA270" i="6"/>
  <c r="X270" i="6"/>
  <c r="W270" i="6"/>
  <c r="U270" i="6"/>
  <c r="R270" i="6"/>
  <c r="O270" i="6"/>
  <c r="N270" i="6"/>
  <c r="L270" i="6"/>
  <c r="H270" i="6"/>
  <c r="I270" i="6" s="1"/>
  <c r="F270" i="6"/>
  <c r="C270" i="6"/>
  <c r="AC269" i="6"/>
  <c r="AD269" i="6" s="1"/>
  <c r="AA269" i="6"/>
  <c r="W269" i="6"/>
  <c r="X269" i="6" s="1"/>
  <c r="U269" i="6"/>
  <c r="R269" i="6"/>
  <c r="O269" i="6"/>
  <c r="N269" i="6"/>
  <c r="L269" i="6"/>
  <c r="I269" i="6"/>
  <c r="H269" i="6"/>
  <c r="F269" i="6"/>
  <c r="C269" i="6"/>
  <c r="Z267" i="6"/>
  <c r="AA267" i="6" s="1"/>
  <c r="T267" i="6"/>
  <c r="U267" i="6" s="1"/>
  <c r="R267" i="6"/>
  <c r="Q267" i="6"/>
  <c r="N267" i="6"/>
  <c r="O267" i="6" s="1"/>
  <c r="L267" i="6"/>
  <c r="K267" i="6"/>
  <c r="I267" i="6"/>
  <c r="H267" i="6"/>
  <c r="F267" i="6"/>
  <c r="E267" i="6"/>
  <c r="B267" i="6"/>
  <c r="C267" i="6" s="1"/>
  <c r="AD266" i="6"/>
  <c r="AC266" i="6"/>
  <c r="AA266" i="6"/>
  <c r="X266" i="6"/>
  <c r="W266" i="6"/>
  <c r="U266" i="6"/>
  <c r="R266" i="6"/>
  <c r="O266" i="6"/>
  <c r="N266" i="6"/>
  <c r="L266" i="6"/>
  <c r="H266" i="6"/>
  <c r="I266" i="6" s="1"/>
  <c r="F266" i="6"/>
  <c r="C266" i="6"/>
  <c r="AC265" i="6"/>
  <c r="AD265" i="6" s="1"/>
  <c r="AA265" i="6"/>
  <c r="W265" i="6"/>
  <c r="X265" i="6" s="1"/>
  <c r="U265" i="6"/>
  <c r="R265" i="6"/>
  <c r="O265" i="6"/>
  <c r="N265" i="6"/>
  <c r="L265" i="6"/>
  <c r="I265" i="6"/>
  <c r="H265" i="6"/>
  <c r="F265" i="6"/>
  <c r="C265" i="6"/>
  <c r="Z263" i="6"/>
  <c r="AA263" i="6" s="1"/>
  <c r="T263" i="6"/>
  <c r="U263" i="6" s="1"/>
  <c r="R263" i="6"/>
  <c r="Q263" i="6"/>
  <c r="N263" i="6"/>
  <c r="O263" i="6" s="1"/>
  <c r="L263" i="6"/>
  <c r="K263" i="6"/>
  <c r="I263" i="6"/>
  <c r="H263" i="6"/>
  <c r="F263" i="6"/>
  <c r="E263" i="6"/>
  <c r="B263" i="6"/>
  <c r="C263" i="6" s="1"/>
  <c r="AA262" i="6"/>
  <c r="Z262" i="6"/>
  <c r="T262" i="6"/>
  <c r="R262" i="6"/>
  <c r="Q262" i="6"/>
  <c r="AC262" i="6" s="1"/>
  <c r="AD262" i="6" s="1"/>
  <c r="L262" i="6"/>
  <c r="K262" i="6"/>
  <c r="F262" i="6"/>
  <c r="E262" i="6"/>
  <c r="B262" i="6"/>
  <c r="AD261" i="6"/>
  <c r="AC261" i="6"/>
  <c r="AA261" i="6"/>
  <c r="X261" i="6"/>
  <c r="W261" i="6"/>
  <c r="U261" i="6"/>
  <c r="R261" i="6"/>
  <c r="O261" i="6"/>
  <c r="N261" i="6"/>
  <c r="L261" i="6"/>
  <c r="H261" i="6"/>
  <c r="I261" i="6" s="1"/>
  <c r="F261" i="6"/>
  <c r="C261" i="6"/>
  <c r="AC260" i="6"/>
  <c r="AD260" i="6" s="1"/>
  <c r="AA260" i="6"/>
  <c r="X260" i="6"/>
  <c r="W260" i="6"/>
  <c r="U260" i="6"/>
  <c r="R260" i="6"/>
  <c r="N260" i="6"/>
  <c r="O260" i="6" s="1"/>
  <c r="L260" i="6"/>
  <c r="I260" i="6"/>
  <c r="H260" i="6"/>
  <c r="F260" i="6"/>
  <c r="C260" i="6"/>
  <c r="AD259" i="6"/>
  <c r="AC259" i="6"/>
  <c r="AA259" i="6"/>
  <c r="W259" i="6"/>
  <c r="X259" i="6" s="1"/>
  <c r="U259" i="6"/>
  <c r="R259" i="6"/>
  <c r="O259" i="6"/>
  <c r="N259" i="6"/>
  <c r="L259" i="6"/>
  <c r="I259" i="6"/>
  <c r="H259" i="6"/>
  <c r="F259" i="6"/>
  <c r="C259" i="6"/>
  <c r="AC258" i="6"/>
  <c r="AD258" i="6" s="1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D257" i="6"/>
  <c r="AC257" i="6"/>
  <c r="AA257" i="6"/>
  <c r="X257" i="6"/>
  <c r="W257" i="6"/>
  <c r="U257" i="6"/>
  <c r="R257" i="6"/>
  <c r="N257" i="6"/>
  <c r="O257" i="6" s="1"/>
  <c r="L257" i="6"/>
  <c r="H257" i="6"/>
  <c r="I257" i="6" s="1"/>
  <c r="F257" i="6"/>
  <c r="C257" i="6"/>
  <c r="AC256" i="6"/>
  <c r="AD256" i="6" s="1"/>
  <c r="AA256" i="6"/>
  <c r="X256" i="6"/>
  <c r="W256" i="6"/>
  <c r="U256" i="6"/>
  <c r="R256" i="6"/>
  <c r="N256" i="6"/>
  <c r="O256" i="6" s="1"/>
  <c r="L256" i="6"/>
  <c r="I256" i="6"/>
  <c r="H256" i="6"/>
  <c r="F256" i="6"/>
  <c r="C256" i="6"/>
  <c r="AD255" i="6"/>
  <c r="AC255" i="6"/>
  <c r="AA255" i="6"/>
  <c r="W255" i="6"/>
  <c r="X255" i="6" s="1"/>
  <c r="U255" i="6"/>
  <c r="R255" i="6"/>
  <c r="O255" i="6"/>
  <c r="N255" i="6"/>
  <c r="L255" i="6"/>
  <c r="H255" i="6"/>
  <c r="I255" i="6" s="1"/>
  <c r="F255" i="6"/>
  <c r="C255" i="6"/>
  <c r="AC254" i="6"/>
  <c r="AD254" i="6" s="1"/>
  <c r="AA254" i="6"/>
  <c r="W254" i="6"/>
  <c r="X254" i="6" s="1"/>
  <c r="U254" i="6"/>
  <c r="R254" i="6"/>
  <c r="O254" i="6"/>
  <c r="N254" i="6"/>
  <c r="L254" i="6"/>
  <c r="I254" i="6"/>
  <c r="H254" i="6"/>
  <c r="F254" i="6"/>
  <c r="C254" i="6"/>
  <c r="AD253" i="6"/>
  <c r="AC253" i="6"/>
  <c r="AA253" i="6"/>
  <c r="X253" i="6"/>
  <c r="W253" i="6"/>
  <c r="U253" i="6"/>
  <c r="R253" i="6"/>
  <c r="O253" i="6"/>
  <c r="N253" i="6"/>
  <c r="L253" i="6"/>
  <c r="H253" i="6"/>
  <c r="I253" i="6" s="1"/>
  <c r="F253" i="6"/>
  <c r="C253" i="6"/>
  <c r="AC252" i="6"/>
  <c r="AD252" i="6" s="1"/>
  <c r="AA252" i="6"/>
  <c r="X252" i="6"/>
  <c r="W252" i="6"/>
  <c r="U252" i="6"/>
  <c r="R252" i="6"/>
  <c r="N252" i="6"/>
  <c r="O252" i="6" s="1"/>
  <c r="L252" i="6"/>
  <c r="I252" i="6"/>
  <c r="H252" i="6"/>
  <c r="F252" i="6"/>
  <c r="C252" i="6"/>
  <c r="AD251" i="6"/>
  <c r="AC251" i="6"/>
  <c r="AA251" i="6"/>
  <c r="W251" i="6"/>
  <c r="X251" i="6" s="1"/>
  <c r="U251" i="6"/>
  <c r="R251" i="6"/>
  <c r="O251" i="6"/>
  <c r="N251" i="6"/>
  <c r="L251" i="6"/>
  <c r="I251" i="6"/>
  <c r="H251" i="6"/>
  <c r="F251" i="6"/>
  <c r="C251" i="6"/>
  <c r="AC250" i="6"/>
  <c r="AD250" i="6" s="1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D249" i="6"/>
  <c r="AC249" i="6"/>
  <c r="AA249" i="6"/>
  <c r="X249" i="6"/>
  <c r="W249" i="6"/>
  <c r="U249" i="6"/>
  <c r="R249" i="6"/>
  <c r="N249" i="6"/>
  <c r="O249" i="6" s="1"/>
  <c r="L249" i="6"/>
  <c r="H249" i="6"/>
  <c r="I249" i="6" s="1"/>
  <c r="F249" i="6"/>
  <c r="C249" i="6"/>
  <c r="AD248" i="6"/>
  <c r="AC248" i="6"/>
  <c r="AA248" i="6"/>
  <c r="X248" i="6"/>
  <c r="W248" i="6"/>
  <c r="U248" i="6"/>
  <c r="R248" i="6"/>
  <c r="N248" i="6"/>
  <c r="O248" i="6" s="1"/>
  <c r="L248" i="6"/>
  <c r="I248" i="6"/>
  <c r="H248" i="6"/>
  <c r="F248" i="6"/>
  <c r="C248" i="6"/>
  <c r="AD247" i="6"/>
  <c r="AC247" i="6"/>
  <c r="AA247" i="6"/>
  <c r="X247" i="6"/>
  <c r="W247" i="6"/>
  <c r="U247" i="6"/>
  <c r="R247" i="6"/>
  <c r="O247" i="6"/>
  <c r="N247" i="6"/>
  <c r="L247" i="6"/>
  <c r="H247" i="6"/>
  <c r="I247" i="6" s="1"/>
  <c r="F247" i="6"/>
  <c r="C247" i="6"/>
  <c r="AC246" i="6"/>
  <c r="AD246" i="6" s="1"/>
  <c r="AA246" i="6"/>
  <c r="W246" i="6"/>
  <c r="X246" i="6" s="1"/>
  <c r="U246" i="6"/>
  <c r="R246" i="6"/>
  <c r="O246" i="6"/>
  <c r="N246" i="6"/>
  <c r="L246" i="6"/>
  <c r="I246" i="6"/>
  <c r="H246" i="6"/>
  <c r="F246" i="6"/>
  <c r="C246" i="6"/>
  <c r="AD245" i="6"/>
  <c r="AC245" i="6"/>
  <c r="AA245" i="6"/>
  <c r="X245" i="6"/>
  <c r="W245" i="6"/>
  <c r="U245" i="6"/>
  <c r="R245" i="6"/>
  <c r="O245" i="6"/>
  <c r="N245" i="6"/>
  <c r="L245" i="6"/>
  <c r="H245" i="6"/>
  <c r="I245" i="6" s="1"/>
  <c r="F245" i="6"/>
  <c r="C245" i="6"/>
  <c r="AC244" i="6"/>
  <c r="AD244" i="6" s="1"/>
  <c r="AA244" i="6"/>
  <c r="X244" i="6"/>
  <c r="W244" i="6"/>
  <c r="U244" i="6"/>
  <c r="R244" i="6"/>
  <c r="N244" i="6"/>
  <c r="O244" i="6" s="1"/>
  <c r="L244" i="6"/>
  <c r="I244" i="6"/>
  <c r="H244" i="6"/>
  <c r="F244" i="6"/>
  <c r="C244" i="6"/>
  <c r="AD243" i="6"/>
  <c r="AC243" i="6"/>
  <c r="AA243" i="6"/>
  <c r="W243" i="6"/>
  <c r="X243" i="6" s="1"/>
  <c r="U243" i="6"/>
  <c r="R243" i="6"/>
  <c r="O243" i="6"/>
  <c r="N243" i="6"/>
  <c r="L243" i="6"/>
  <c r="I243" i="6"/>
  <c r="H243" i="6"/>
  <c r="F243" i="6"/>
  <c r="C243" i="6"/>
  <c r="AC242" i="6"/>
  <c r="AD242" i="6" s="1"/>
  <c r="AA242" i="6"/>
  <c r="X242" i="6"/>
  <c r="W242" i="6"/>
  <c r="U242" i="6"/>
  <c r="R242" i="6"/>
  <c r="O242" i="6"/>
  <c r="N242" i="6"/>
  <c r="L242" i="6"/>
  <c r="H242" i="6"/>
  <c r="I242" i="6" s="1"/>
  <c r="F242" i="6"/>
  <c r="C242" i="6"/>
  <c r="AD241" i="6"/>
  <c r="AC241" i="6"/>
  <c r="AA241" i="6"/>
  <c r="X241" i="6"/>
  <c r="W241" i="6"/>
  <c r="U241" i="6"/>
  <c r="R241" i="6"/>
  <c r="N241" i="6"/>
  <c r="O241" i="6" s="1"/>
  <c r="L241" i="6"/>
  <c r="H241" i="6"/>
  <c r="I241" i="6" s="1"/>
  <c r="F241" i="6"/>
  <c r="C241" i="6"/>
  <c r="AC240" i="6"/>
  <c r="AD240" i="6" s="1"/>
  <c r="AA240" i="6"/>
  <c r="X240" i="6"/>
  <c r="W240" i="6"/>
  <c r="U240" i="6"/>
  <c r="R240" i="6"/>
  <c r="N240" i="6"/>
  <c r="O240" i="6" s="1"/>
  <c r="L240" i="6"/>
  <c r="H240" i="6"/>
  <c r="I240" i="6" s="1"/>
  <c r="F240" i="6"/>
  <c r="C240" i="6"/>
  <c r="AD238" i="6"/>
  <c r="AC238" i="6"/>
  <c r="AA238" i="6"/>
  <c r="X238" i="6"/>
  <c r="W238" i="6"/>
  <c r="U238" i="6"/>
  <c r="R238" i="6"/>
  <c r="N238" i="6"/>
  <c r="O238" i="6" s="1"/>
  <c r="L238" i="6"/>
  <c r="H238" i="6"/>
  <c r="I238" i="6" s="1"/>
  <c r="F238" i="6"/>
  <c r="C238" i="6"/>
  <c r="Z236" i="6"/>
  <c r="AA236" i="6" s="1"/>
  <c r="W236" i="6"/>
  <c r="X236" i="6" s="1"/>
  <c r="U236" i="6"/>
  <c r="T236" i="6"/>
  <c r="Q236" i="6"/>
  <c r="N236" i="6"/>
  <c r="O236" i="6" s="1"/>
  <c r="L236" i="6"/>
  <c r="K236" i="6"/>
  <c r="H236" i="6"/>
  <c r="I236" i="6" s="1"/>
  <c r="E236" i="6"/>
  <c r="F236" i="6" s="1"/>
  <c r="C236" i="6"/>
  <c r="B236" i="6"/>
  <c r="AC235" i="6"/>
  <c r="AD235" i="6" s="1"/>
  <c r="AA235" i="6"/>
  <c r="X235" i="6"/>
  <c r="W235" i="6"/>
  <c r="U235" i="6"/>
  <c r="R235" i="6"/>
  <c r="N235" i="6"/>
  <c r="O235" i="6" s="1"/>
  <c r="L235" i="6"/>
  <c r="H235" i="6"/>
  <c r="I235" i="6" s="1"/>
  <c r="F235" i="6"/>
  <c r="C235" i="6"/>
  <c r="AC234" i="6"/>
  <c r="AD234" i="6" s="1"/>
  <c r="AA234" i="6"/>
  <c r="X234" i="6"/>
  <c r="W234" i="6"/>
  <c r="U234" i="6"/>
  <c r="R234" i="6"/>
  <c r="N234" i="6"/>
  <c r="O234" i="6" s="1"/>
  <c r="L234" i="6"/>
  <c r="H234" i="6"/>
  <c r="I234" i="6" s="1"/>
  <c r="F234" i="6"/>
  <c r="C234" i="6"/>
  <c r="AC233" i="6"/>
  <c r="AD233" i="6" s="1"/>
  <c r="AA233" i="6"/>
  <c r="X233" i="6"/>
  <c r="W233" i="6"/>
  <c r="U233" i="6"/>
  <c r="R233" i="6"/>
  <c r="O233" i="6"/>
  <c r="N233" i="6"/>
  <c r="L233" i="6"/>
  <c r="H233" i="6"/>
  <c r="I233" i="6" s="1"/>
  <c r="F233" i="6"/>
  <c r="C233" i="6"/>
  <c r="AD232" i="6"/>
  <c r="AC232" i="6"/>
  <c r="AA232" i="6"/>
  <c r="X232" i="6"/>
  <c r="W232" i="6"/>
  <c r="U232" i="6"/>
  <c r="R232" i="6"/>
  <c r="N232" i="6"/>
  <c r="O232" i="6" s="1"/>
  <c r="L232" i="6"/>
  <c r="H232" i="6"/>
  <c r="I232" i="6" s="1"/>
  <c r="F232" i="6"/>
  <c r="C232" i="6"/>
  <c r="AC231" i="6"/>
  <c r="AD231" i="6" s="1"/>
  <c r="AA231" i="6"/>
  <c r="X231" i="6"/>
  <c r="W231" i="6"/>
  <c r="U231" i="6"/>
  <c r="R231" i="6"/>
  <c r="N231" i="6"/>
  <c r="O231" i="6" s="1"/>
  <c r="L231" i="6"/>
  <c r="I231" i="6"/>
  <c r="H231" i="6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H230" i="6"/>
  <c r="I230" i="6" s="1"/>
  <c r="F230" i="6"/>
  <c r="C230" i="6"/>
  <c r="AC229" i="6"/>
  <c r="AD229" i="6" s="1"/>
  <c r="AA229" i="6"/>
  <c r="X229" i="6"/>
  <c r="W229" i="6"/>
  <c r="U229" i="6"/>
  <c r="R229" i="6"/>
  <c r="O229" i="6"/>
  <c r="N229" i="6"/>
  <c r="L229" i="6"/>
  <c r="H229" i="6"/>
  <c r="I229" i="6" s="1"/>
  <c r="F229" i="6"/>
  <c r="C229" i="6"/>
  <c r="AC227" i="6"/>
  <c r="AD227" i="6" s="1"/>
  <c r="Z227" i="6"/>
  <c r="AA227" i="6" s="1"/>
  <c r="W227" i="6"/>
  <c r="X227" i="6" s="1"/>
  <c r="U227" i="6"/>
  <c r="T227" i="6"/>
  <c r="R227" i="6"/>
  <c r="Q227" i="6"/>
  <c r="N227" i="6"/>
  <c r="O227" i="6" s="1"/>
  <c r="L227" i="6"/>
  <c r="K227" i="6"/>
  <c r="E227" i="6"/>
  <c r="F227" i="6" s="1"/>
  <c r="B227" i="6"/>
  <c r="C227" i="6" s="1"/>
  <c r="AC226" i="6"/>
  <c r="AD226" i="6" s="1"/>
  <c r="AA226" i="6"/>
  <c r="W226" i="6"/>
  <c r="X226" i="6" s="1"/>
  <c r="U226" i="6"/>
  <c r="R226" i="6"/>
  <c r="O226" i="6"/>
  <c r="N226" i="6"/>
  <c r="L226" i="6"/>
  <c r="H226" i="6"/>
  <c r="I226" i="6" s="1"/>
  <c r="F226" i="6"/>
  <c r="C226" i="6"/>
  <c r="AC225" i="6"/>
  <c r="AD225" i="6" s="1"/>
  <c r="AA225" i="6"/>
  <c r="X225" i="6"/>
  <c r="W225" i="6"/>
  <c r="U225" i="6"/>
  <c r="R225" i="6"/>
  <c r="O225" i="6"/>
  <c r="N225" i="6"/>
  <c r="L225" i="6"/>
  <c r="I225" i="6"/>
  <c r="H225" i="6"/>
  <c r="F225" i="6"/>
  <c r="C225" i="6"/>
  <c r="AD224" i="6"/>
  <c r="AC224" i="6"/>
  <c r="AA224" i="6"/>
  <c r="W224" i="6"/>
  <c r="X224" i="6" s="1"/>
  <c r="U224" i="6"/>
  <c r="R224" i="6"/>
  <c r="N224" i="6"/>
  <c r="O224" i="6" s="1"/>
  <c r="L224" i="6"/>
  <c r="H224" i="6"/>
  <c r="I224" i="6" s="1"/>
  <c r="F224" i="6"/>
  <c r="C224" i="6"/>
  <c r="AC223" i="6"/>
  <c r="AD223" i="6" s="1"/>
  <c r="AA223" i="6"/>
  <c r="X223" i="6"/>
  <c r="W223" i="6"/>
  <c r="U223" i="6"/>
  <c r="R223" i="6"/>
  <c r="N223" i="6"/>
  <c r="O223" i="6" s="1"/>
  <c r="L223" i="6"/>
  <c r="H223" i="6"/>
  <c r="I223" i="6" s="1"/>
  <c r="F223" i="6"/>
  <c r="C223" i="6"/>
  <c r="AC222" i="6"/>
  <c r="AD222" i="6" s="1"/>
  <c r="AA222" i="6"/>
  <c r="X222" i="6"/>
  <c r="W222" i="6"/>
  <c r="U222" i="6"/>
  <c r="R222" i="6"/>
  <c r="N222" i="6"/>
  <c r="O222" i="6" s="1"/>
  <c r="L222" i="6"/>
  <c r="H222" i="6"/>
  <c r="I222" i="6" s="1"/>
  <c r="F222" i="6"/>
  <c r="C222" i="6"/>
  <c r="AC221" i="6"/>
  <c r="AD221" i="6" s="1"/>
  <c r="AA221" i="6"/>
  <c r="X221" i="6"/>
  <c r="W221" i="6"/>
  <c r="U221" i="6"/>
  <c r="R221" i="6"/>
  <c r="O221" i="6"/>
  <c r="N221" i="6"/>
  <c r="L221" i="6"/>
  <c r="H221" i="6"/>
  <c r="I221" i="6" s="1"/>
  <c r="F221" i="6"/>
  <c r="C221" i="6"/>
  <c r="AD220" i="6"/>
  <c r="AC220" i="6"/>
  <c r="AA220" i="6"/>
  <c r="X220" i="6"/>
  <c r="W220" i="6"/>
  <c r="U220" i="6"/>
  <c r="R220" i="6"/>
  <c r="N220" i="6"/>
  <c r="O220" i="6" s="1"/>
  <c r="L220" i="6"/>
  <c r="H220" i="6"/>
  <c r="I220" i="6" s="1"/>
  <c r="F220" i="6"/>
  <c r="C220" i="6"/>
  <c r="AC219" i="6"/>
  <c r="AD219" i="6" s="1"/>
  <c r="AA219" i="6"/>
  <c r="X219" i="6"/>
  <c r="W219" i="6"/>
  <c r="U219" i="6"/>
  <c r="R219" i="6"/>
  <c r="N219" i="6"/>
  <c r="O219" i="6" s="1"/>
  <c r="L219" i="6"/>
  <c r="I219" i="6"/>
  <c r="H219" i="6"/>
  <c r="F219" i="6"/>
  <c r="C219" i="6"/>
  <c r="AA218" i="6"/>
  <c r="Z218" i="6"/>
  <c r="W218" i="6"/>
  <c r="X218" i="6" s="1"/>
  <c r="T218" i="6"/>
  <c r="U218" i="6" s="1"/>
  <c r="Q218" i="6"/>
  <c r="AC218" i="6" s="1"/>
  <c r="AD218" i="6" s="1"/>
  <c r="N218" i="6"/>
  <c r="O218" i="6" s="1"/>
  <c r="L218" i="6"/>
  <c r="K218" i="6"/>
  <c r="E218" i="6"/>
  <c r="C218" i="6"/>
  <c r="B218" i="6"/>
  <c r="AC217" i="6"/>
  <c r="AD217" i="6" s="1"/>
  <c r="AA217" i="6"/>
  <c r="X217" i="6"/>
  <c r="W217" i="6"/>
  <c r="U217" i="6"/>
  <c r="R217" i="6"/>
  <c r="N217" i="6"/>
  <c r="O217" i="6" s="1"/>
  <c r="L217" i="6"/>
  <c r="H217" i="6"/>
  <c r="I217" i="6" s="1"/>
  <c r="F217" i="6"/>
  <c r="C217" i="6"/>
  <c r="AC216" i="6"/>
  <c r="AD216" i="6" s="1"/>
  <c r="AA216" i="6"/>
  <c r="X216" i="6"/>
  <c r="W216" i="6"/>
  <c r="U216" i="6"/>
  <c r="R216" i="6"/>
  <c r="N216" i="6"/>
  <c r="O216" i="6" s="1"/>
  <c r="L216" i="6"/>
  <c r="H216" i="6"/>
  <c r="I216" i="6" s="1"/>
  <c r="F216" i="6"/>
  <c r="C216" i="6"/>
  <c r="AD215" i="6"/>
  <c r="AC215" i="6"/>
  <c r="AA215" i="6"/>
  <c r="X215" i="6"/>
  <c r="W215" i="6"/>
  <c r="U215" i="6"/>
  <c r="R215" i="6"/>
  <c r="N215" i="6"/>
  <c r="O215" i="6" s="1"/>
  <c r="L215" i="6"/>
  <c r="I215" i="6"/>
  <c r="H215" i="6"/>
  <c r="F215" i="6"/>
  <c r="C215" i="6"/>
  <c r="AC214" i="6"/>
  <c r="AD214" i="6" s="1"/>
  <c r="AA214" i="6"/>
  <c r="X214" i="6"/>
  <c r="W214" i="6"/>
  <c r="U214" i="6"/>
  <c r="R214" i="6"/>
  <c r="O214" i="6"/>
  <c r="N214" i="6"/>
  <c r="L214" i="6"/>
  <c r="H214" i="6"/>
  <c r="I214" i="6" s="1"/>
  <c r="F214" i="6"/>
  <c r="C214" i="6"/>
  <c r="AD213" i="6"/>
  <c r="AC213" i="6"/>
  <c r="AA213" i="6"/>
  <c r="W213" i="6"/>
  <c r="X213" i="6" s="1"/>
  <c r="U213" i="6"/>
  <c r="R213" i="6"/>
  <c r="O213" i="6"/>
  <c r="N213" i="6"/>
  <c r="L213" i="6"/>
  <c r="H213" i="6"/>
  <c r="I213" i="6" s="1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I211" i="6"/>
  <c r="H211" i="6"/>
  <c r="F211" i="6"/>
  <c r="C211" i="6"/>
  <c r="AC209" i="6"/>
  <c r="AD209" i="6" s="1"/>
  <c r="AA209" i="6"/>
  <c r="Z209" i="6"/>
  <c r="X209" i="6"/>
  <c r="W209" i="6"/>
  <c r="T209" i="6"/>
  <c r="U209" i="6" s="1"/>
  <c r="R209" i="6"/>
  <c r="Q209" i="6"/>
  <c r="K209" i="6"/>
  <c r="L209" i="6" s="1"/>
  <c r="E209" i="6"/>
  <c r="F209" i="6" s="1"/>
  <c r="B209" i="6"/>
  <c r="AD208" i="6"/>
  <c r="AC208" i="6"/>
  <c r="AA208" i="6"/>
  <c r="X208" i="6"/>
  <c r="W208" i="6"/>
  <c r="U208" i="6"/>
  <c r="R208" i="6"/>
  <c r="O208" i="6"/>
  <c r="N208" i="6"/>
  <c r="L208" i="6"/>
  <c r="H208" i="6"/>
  <c r="I208" i="6" s="1"/>
  <c r="F208" i="6"/>
  <c r="C208" i="6"/>
  <c r="AC207" i="6"/>
  <c r="AD207" i="6" s="1"/>
  <c r="AA207" i="6"/>
  <c r="X207" i="6"/>
  <c r="W207" i="6"/>
  <c r="U207" i="6"/>
  <c r="R207" i="6"/>
  <c r="N207" i="6"/>
  <c r="O207" i="6" s="1"/>
  <c r="L207" i="6"/>
  <c r="H207" i="6"/>
  <c r="I207" i="6" s="1"/>
  <c r="F207" i="6"/>
  <c r="C207" i="6"/>
  <c r="AD206" i="6"/>
  <c r="AC206" i="6"/>
  <c r="AA206" i="6"/>
  <c r="W206" i="6"/>
  <c r="X206" i="6" s="1"/>
  <c r="U206" i="6"/>
  <c r="R206" i="6"/>
  <c r="N206" i="6"/>
  <c r="O206" i="6" s="1"/>
  <c r="L206" i="6"/>
  <c r="I206" i="6"/>
  <c r="H206" i="6"/>
  <c r="F206" i="6"/>
  <c r="C206" i="6"/>
  <c r="AC205" i="6"/>
  <c r="AD205" i="6" s="1"/>
  <c r="AA205" i="6"/>
  <c r="X205" i="6"/>
  <c r="W205" i="6"/>
  <c r="U205" i="6"/>
  <c r="R205" i="6"/>
  <c r="O205" i="6"/>
  <c r="N205" i="6"/>
  <c r="L205" i="6"/>
  <c r="H205" i="6"/>
  <c r="I205" i="6" s="1"/>
  <c r="F205" i="6"/>
  <c r="C205" i="6"/>
  <c r="AC204" i="6"/>
  <c r="AD204" i="6" s="1"/>
  <c r="AA204" i="6"/>
  <c r="W204" i="6"/>
  <c r="X204" i="6" s="1"/>
  <c r="U204" i="6"/>
  <c r="R204" i="6"/>
  <c r="N204" i="6"/>
  <c r="O204" i="6" s="1"/>
  <c r="L204" i="6"/>
  <c r="H204" i="6"/>
  <c r="I204" i="6" s="1"/>
  <c r="F204" i="6"/>
  <c r="C204" i="6"/>
  <c r="AD203" i="6"/>
  <c r="AC203" i="6"/>
  <c r="AA203" i="6"/>
  <c r="X203" i="6"/>
  <c r="W203" i="6"/>
  <c r="U203" i="6"/>
  <c r="R203" i="6"/>
  <c r="N203" i="6"/>
  <c r="O203" i="6" s="1"/>
  <c r="L203" i="6"/>
  <c r="H203" i="6"/>
  <c r="I203" i="6" s="1"/>
  <c r="F203" i="6"/>
  <c r="C203" i="6"/>
  <c r="AC202" i="6"/>
  <c r="AD202" i="6" s="1"/>
  <c r="AA202" i="6"/>
  <c r="W202" i="6"/>
  <c r="X202" i="6" s="1"/>
  <c r="U202" i="6"/>
  <c r="R202" i="6"/>
  <c r="O202" i="6"/>
  <c r="N202" i="6"/>
  <c r="L202" i="6"/>
  <c r="I202" i="6"/>
  <c r="H202" i="6"/>
  <c r="F202" i="6"/>
  <c r="C202" i="6"/>
  <c r="AC201" i="6"/>
  <c r="AD201" i="6" s="1"/>
  <c r="AA201" i="6"/>
  <c r="W201" i="6"/>
  <c r="X201" i="6" s="1"/>
  <c r="U201" i="6"/>
  <c r="R201" i="6"/>
  <c r="O201" i="6"/>
  <c r="N201" i="6"/>
  <c r="L201" i="6"/>
  <c r="I201" i="6"/>
  <c r="H201" i="6"/>
  <c r="F201" i="6"/>
  <c r="C201" i="6"/>
  <c r="Z197" i="6"/>
  <c r="AC197" i="6" s="1"/>
  <c r="AD197" i="6" s="1"/>
  <c r="W197" i="6"/>
  <c r="X197" i="6" s="1"/>
  <c r="T197" i="6"/>
  <c r="U197" i="6" s="1"/>
  <c r="Q197" i="6"/>
  <c r="R197" i="6" s="1"/>
  <c r="L197" i="6"/>
  <c r="K197" i="6"/>
  <c r="H197" i="6"/>
  <c r="I197" i="6" s="1"/>
  <c r="F197" i="6"/>
  <c r="E197" i="6"/>
  <c r="B197" i="6"/>
  <c r="C197" i="6" s="1"/>
  <c r="Z196" i="6"/>
  <c r="AA196" i="6" s="1"/>
  <c r="W196" i="6"/>
  <c r="X196" i="6" s="1"/>
  <c r="T196" i="6"/>
  <c r="U196" i="6" s="1"/>
  <c r="Q196" i="6"/>
  <c r="R196" i="6" s="1"/>
  <c r="K196" i="6"/>
  <c r="L196" i="6" s="1"/>
  <c r="E196" i="6"/>
  <c r="F196" i="6" s="1"/>
  <c r="B196" i="6"/>
  <c r="AD195" i="6"/>
  <c r="AC195" i="6"/>
  <c r="AA195" i="6"/>
  <c r="X195" i="6"/>
  <c r="W195" i="6"/>
  <c r="U195" i="6"/>
  <c r="R195" i="6"/>
  <c r="N195" i="6"/>
  <c r="O195" i="6" s="1"/>
  <c r="L195" i="6"/>
  <c r="H195" i="6"/>
  <c r="I195" i="6" s="1"/>
  <c r="F195" i="6"/>
  <c r="C195" i="6"/>
  <c r="AC194" i="6"/>
  <c r="AD194" i="6" s="1"/>
  <c r="AA194" i="6"/>
  <c r="X194" i="6"/>
  <c r="W194" i="6"/>
  <c r="U194" i="6"/>
  <c r="R194" i="6"/>
  <c r="O194" i="6"/>
  <c r="N194" i="6"/>
  <c r="L194" i="6"/>
  <c r="H194" i="6"/>
  <c r="I194" i="6" s="1"/>
  <c r="F194" i="6"/>
  <c r="C194" i="6"/>
  <c r="AD193" i="6"/>
  <c r="Z193" i="6"/>
  <c r="AA193" i="6" s="1"/>
  <c r="W193" i="6"/>
  <c r="X193" i="6" s="1"/>
  <c r="U193" i="6"/>
  <c r="T193" i="6"/>
  <c r="R193" i="6"/>
  <c r="Q193" i="6"/>
  <c r="AC193" i="6" s="1"/>
  <c r="L193" i="6"/>
  <c r="K193" i="6"/>
  <c r="H193" i="6"/>
  <c r="I193" i="6" s="1"/>
  <c r="E193" i="6"/>
  <c r="F193" i="6" s="1"/>
  <c r="B193" i="6"/>
  <c r="AC192" i="6"/>
  <c r="AD192" i="6" s="1"/>
  <c r="AA192" i="6"/>
  <c r="X192" i="6"/>
  <c r="W192" i="6"/>
  <c r="U192" i="6"/>
  <c r="R192" i="6"/>
  <c r="O192" i="6"/>
  <c r="N192" i="6"/>
  <c r="L192" i="6"/>
  <c r="H192" i="6"/>
  <c r="I192" i="6" s="1"/>
  <c r="F192" i="6"/>
  <c r="C192" i="6"/>
  <c r="AC191" i="6"/>
  <c r="AD191" i="6" s="1"/>
  <c r="AA191" i="6"/>
  <c r="W191" i="6"/>
  <c r="X191" i="6" s="1"/>
  <c r="U191" i="6"/>
  <c r="R191" i="6"/>
  <c r="O191" i="6"/>
  <c r="N191" i="6"/>
  <c r="L191" i="6"/>
  <c r="I191" i="6"/>
  <c r="H191" i="6"/>
  <c r="F191" i="6"/>
  <c r="C191" i="6"/>
  <c r="AC190" i="6"/>
  <c r="AD190" i="6" s="1"/>
  <c r="AA190" i="6"/>
  <c r="W190" i="6"/>
  <c r="X190" i="6" s="1"/>
  <c r="U190" i="6"/>
  <c r="R190" i="6"/>
  <c r="O190" i="6"/>
  <c r="N190" i="6"/>
  <c r="L190" i="6"/>
  <c r="H190" i="6"/>
  <c r="I190" i="6" s="1"/>
  <c r="F190" i="6"/>
  <c r="C190" i="6"/>
  <c r="AC189" i="6"/>
  <c r="AD189" i="6" s="1"/>
  <c r="AA189" i="6"/>
  <c r="X189" i="6"/>
  <c r="W189" i="6"/>
  <c r="U189" i="6"/>
  <c r="R189" i="6"/>
  <c r="O189" i="6"/>
  <c r="N189" i="6"/>
  <c r="L189" i="6"/>
  <c r="H189" i="6"/>
  <c r="I189" i="6" s="1"/>
  <c r="F189" i="6"/>
  <c r="C189" i="6"/>
  <c r="AC188" i="6"/>
  <c r="AD188" i="6" s="1"/>
  <c r="AA188" i="6"/>
  <c r="W188" i="6"/>
  <c r="X188" i="6" s="1"/>
  <c r="U188" i="6"/>
  <c r="R188" i="6"/>
  <c r="N188" i="6"/>
  <c r="O188" i="6" s="1"/>
  <c r="L188" i="6"/>
  <c r="H188" i="6"/>
  <c r="I188" i="6" s="1"/>
  <c r="F188" i="6"/>
  <c r="C188" i="6"/>
  <c r="AC187" i="6"/>
  <c r="AD187" i="6" s="1"/>
  <c r="AA187" i="6"/>
  <c r="W187" i="6"/>
  <c r="X187" i="6" s="1"/>
  <c r="U187" i="6"/>
  <c r="R187" i="6"/>
  <c r="O187" i="6"/>
  <c r="N187" i="6"/>
  <c r="L187" i="6"/>
  <c r="H187" i="6"/>
  <c r="I187" i="6" s="1"/>
  <c r="F187" i="6"/>
  <c r="C187" i="6"/>
  <c r="AC186" i="6"/>
  <c r="AD186" i="6" s="1"/>
  <c r="AA186" i="6"/>
  <c r="X186" i="6"/>
  <c r="W186" i="6"/>
  <c r="U186" i="6"/>
  <c r="R186" i="6"/>
  <c r="N186" i="6"/>
  <c r="O186" i="6" s="1"/>
  <c r="L186" i="6"/>
  <c r="H186" i="6"/>
  <c r="I186" i="6" s="1"/>
  <c r="F186" i="6"/>
  <c r="C186" i="6"/>
  <c r="AC184" i="6"/>
  <c r="AD184" i="6" s="1"/>
  <c r="AA184" i="6"/>
  <c r="X184" i="6"/>
  <c r="W184" i="6"/>
  <c r="U184" i="6"/>
  <c r="R184" i="6"/>
  <c r="N184" i="6"/>
  <c r="O184" i="6" s="1"/>
  <c r="L184" i="6"/>
  <c r="H184" i="6"/>
  <c r="I184" i="6" s="1"/>
  <c r="F184" i="6"/>
  <c r="C184" i="6"/>
  <c r="AD183" i="6"/>
  <c r="AC183" i="6"/>
  <c r="AA183" i="6"/>
  <c r="X183" i="6"/>
  <c r="W183" i="6"/>
  <c r="U183" i="6"/>
  <c r="R183" i="6"/>
  <c r="O183" i="6"/>
  <c r="N183" i="6"/>
  <c r="L183" i="6"/>
  <c r="I183" i="6"/>
  <c r="H183" i="6"/>
  <c r="F183" i="6"/>
  <c r="C183" i="6"/>
  <c r="AC182" i="6"/>
  <c r="AD182" i="6" s="1"/>
  <c r="AA182" i="6"/>
  <c r="Z182" i="6"/>
  <c r="W182" i="6"/>
  <c r="X182" i="6" s="1"/>
  <c r="U182" i="6"/>
  <c r="T182" i="6"/>
  <c r="Q182" i="6"/>
  <c r="R182" i="6" s="1"/>
  <c r="L182" i="6"/>
  <c r="K182" i="6"/>
  <c r="H182" i="6"/>
  <c r="I182" i="6" s="1"/>
  <c r="E182" i="6"/>
  <c r="F182" i="6" s="1"/>
  <c r="B182" i="6"/>
  <c r="C182" i="6" s="1"/>
  <c r="AC181" i="6"/>
  <c r="AD181" i="6" s="1"/>
  <c r="AA181" i="6"/>
  <c r="X181" i="6"/>
  <c r="W181" i="6"/>
  <c r="U181" i="6"/>
  <c r="R181" i="6"/>
  <c r="O181" i="6"/>
  <c r="N181" i="6"/>
  <c r="L181" i="6"/>
  <c r="H181" i="6"/>
  <c r="I181" i="6" s="1"/>
  <c r="F181" i="6"/>
  <c r="C181" i="6"/>
  <c r="AC180" i="6"/>
  <c r="AD180" i="6" s="1"/>
  <c r="AA180" i="6"/>
  <c r="X180" i="6"/>
  <c r="W180" i="6"/>
  <c r="U180" i="6"/>
  <c r="R180" i="6"/>
  <c r="N180" i="6"/>
  <c r="O180" i="6" s="1"/>
  <c r="L180" i="6"/>
  <c r="H180" i="6"/>
  <c r="I180" i="6" s="1"/>
  <c r="F180" i="6"/>
  <c r="C180" i="6"/>
  <c r="AC179" i="6"/>
  <c r="AD179" i="6" s="1"/>
  <c r="AA179" i="6"/>
  <c r="X179" i="6"/>
  <c r="W179" i="6"/>
  <c r="U179" i="6"/>
  <c r="R179" i="6"/>
  <c r="O179" i="6"/>
  <c r="N179" i="6"/>
  <c r="L179" i="6"/>
  <c r="H179" i="6"/>
  <c r="I179" i="6" s="1"/>
  <c r="F179" i="6"/>
  <c r="C179" i="6"/>
  <c r="AD178" i="6"/>
  <c r="AC178" i="6"/>
  <c r="AA178" i="6"/>
  <c r="X178" i="6"/>
  <c r="W178" i="6"/>
  <c r="U178" i="6"/>
  <c r="R178" i="6"/>
  <c r="N178" i="6"/>
  <c r="O178" i="6" s="1"/>
  <c r="L178" i="6"/>
  <c r="H178" i="6"/>
  <c r="I178" i="6" s="1"/>
  <c r="F178" i="6"/>
  <c r="C178" i="6"/>
  <c r="AC177" i="6"/>
  <c r="AD177" i="6" s="1"/>
  <c r="AA177" i="6"/>
  <c r="X177" i="6"/>
  <c r="W177" i="6"/>
  <c r="U177" i="6"/>
  <c r="R177" i="6"/>
  <c r="N177" i="6"/>
  <c r="O177" i="6" s="1"/>
  <c r="L177" i="6"/>
  <c r="I177" i="6"/>
  <c r="H177" i="6"/>
  <c r="F177" i="6"/>
  <c r="C177" i="6"/>
  <c r="AD175" i="6"/>
  <c r="AC175" i="6"/>
  <c r="AA175" i="6"/>
  <c r="W175" i="6"/>
  <c r="X175" i="6" s="1"/>
  <c r="U175" i="6"/>
  <c r="R175" i="6"/>
  <c r="O175" i="6"/>
  <c r="N175" i="6"/>
  <c r="L175" i="6"/>
  <c r="H175" i="6"/>
  <c r="I175" i="6" s="1"/>
  <c r="F175" i="6"/>
  <c r="C175" i="6"/>
  <c r="Q172" i="6"/>
  <c r="Z171" i="6"/>
  <c r="T171" i="6"/>
  <c r="U171" i="6" s="1"/>
  <c r="Q171" i="6"/>
  <c r="R171" i="6" s="1"/>
  <c r="K171" i="6"/>
  <c r="L171" i="6" s="1"/>
  <c r="H171" i="6"/>
  <c r="I171" i="6" s="1"/>
  <c r="F171" i="6"/>
  <c r="E171" i="6"/>
  <c r="C171" i="6"/>
  <c r="B171" i="6"/>
  <c r="N171" i="6" s="1"/>
  <c r="O171" i="6" s="1"/>
  <c r="AA170" i="6"/>
  <c r="Z170" i="6"/>
  <c r="W170" i="6"/>
  <c r="X170" i="6" s="1"/>
  <c r="T170" i="6"/>
  <c r="U170" i="6" s="1"/>
  <c r="Q170" i="6"/>
  <c r="N170" i="6"/>
  <c r="O170" i="6" s="1"/>
  <c r="L170" i="6"/>
  <c r="K170" i="6"/>
  <c r="E170" i="6"/>
  <c r="F170" i="6" s="1"/>
  <c r="C170" i="6"/>
  <c r="B170" i="6"/>
  <c r="AC169" i="6"/>
  <c r="AD169" i="6" s="1"/>
  <c r="AA169" i="6"/>
  <c r="X169" i="6"/>
  <c r="W169" i="6"/>
  <c r="U169" i="6"/>
  <c r="R169" i="6"/>
  <c r="N169" i="6"/>
  <c r="O169" i="6" s="1"/>
  <c r="L169" i="6"/>
  <c r="I169" i="6"/>
  <c r="H169" i="6"/>
  <c r="F169" i="6"/>
  <c r="C169" i="6"/>
  <c r="AD168" i="6"/>
  <c r="AC168" i="6"/>
  <c r="AA168" i="6"/>
  <c r="W168" i="6"/>
  <c r="X168" i="6" s="1"/>
  <c r="U168" i="6"/>
  <c r="R168" i="6"/>
  <c r="N168" i="6"/>
  <c r="O168" i="6" s="1"/>
  <c r="L168" i="6"/>
  <c r="H168" i="6"/>
  <c r="I168" i="6" s="1"/>
  <c r="F168" i="6"/>
  <c r="C168" i="6"/>
  <c r="AC167" i="6"/>
  <c r="AD167" i="6" s="1"/>
  <c r="AA167" i="6"/>
  <c r="X167" i="6"/>
  <c r="W167" i="6"/>
  <c r="U167" i="6"/>
  <c r="R167" i="6"/>
  <c r="O167" i="6"/>
  <c r="N167" i="6"/>
  <c r="L167" i="6"/>
  <c r="H167" i="6"/>
  <c r="I167" i="6" s="1"/>
  <c r="F167" i="6"/>
  <c r="C167" i="6"/>
  <c r="AC166" i="6"/>
  <c r="AD166" i="6" s="1"/>
  <c r="Z166" i="6"/>
  <c r="AA166" i="6" s="1"/>
  <c r="W166" i="6"/>
  <c r="X166" i="6" s="1"/>
  <c r="U166" i="6"/>
  <c r="T166" i="6"/>
  <c r="R166" i="6"/>
  <c r="Q166" i="6"/>
  <c r="L166" i="6"/>
  <c r="K166" i="6"/>
  <c r="E166" i="6"/>
  <c r="F166" i="6" s="1"/>
  <c r="B166" i="6"/>
  <c r="AC165" i="6"/>
  <c r="AD165" i="6" s="1"/>
  <c r="AA165" i="6"/>
  <c r="X165" i="6"/>
  <c r="W165" i="6"/>
  <c r="U165" i="6"/>
  <c r="R165" i="6"/>
  <c r="O165" i="6"/>
  <c r="N165" i="6"/>
  <c r="L165" i="6"/>
  <c r="H165" i="6"/>
  <c r="I165" i="6" s="1"/>
  <c r="F165" i="6"/>
  <c r="C165" i="6"/>
  <c r="AC164" i="6"/>
  <c r="AD164" i="6" s="1"/>
  <c r="AA164" i="6"/>
  <c r="X164" i="6"/>
  <c r="W164" i="6"/>
  <c r="U164" i="6"/>
  <c r="R164" i="6"/>
  <c r="O164" i="6"/>
  <c r="N164" i="6"/>
  <c r="L164" i="6"/>
  <c r="H164" i="6"/>
  <c r="I164" i="6" s="1"/>
  <c r="F164" i="6"/>
  <c r="C164" i="6"/>
  <c r="AD163" i="6"/>
  <c r="AC163" i="6"/>
  <c r="AA163" i="6"/>
  <c r="W163" i="6"/>
  <c r="X163" i="6" s="1"/>
  <c r="U163" i="6"/>
  <c r="R163" i="6"/>
  <c r="N163" i="6"/>
  <c r="O163" i="6" s="1"/>
  <c r="L163" i="6"/>
  <c r="H163" i="6"/>
  <c r="I163" i="6" s="1"/>
  <c r="F163" i="6"/>
  <c r="C163" i="6"/>
  <c r="AC162" i="6"/>
  <c r="AD162" i="6" s="1"/>
  <c r="AA162" i="6"/>
  <c r="X162" i="6"/>
  <c r="W162" i="6"/>
  <c r="U162" i="6"/>
  <c r="R162" i="6"/>
  <c r="N162" i="6"/>
  <c r="O162" i="6" s="1"/>
  <c r="L162" i="6"/>
  <c r="H162" i="6"/>
  <c r="I162" i="6" s="1"/>
  <c r="F162" i="6"/>
  <c r="C162" i="6"/>
  <c r="AD161" i="6"/>
  <c r="AC161" i="6"/>
  <c r="AA161" i="6"/>
  <c r="X161" i="6"/>
  <c r="W161" i="6"/>
  <c r="U161" i="6"/>
  <c r="R161" i="6"/>
  <c r="N161" i="6"/>
  <c r="O161" i="6" s="1"/>
  <c r="L161" i="6"/>
  <c r="I161" i="6"/>
  <c r="H161" i="6"/>
  <c r="F161" i="6"/>
  <c r="C161" i="6"/>
  <c r="AC160" i="6"/>
  <c r="AD160" i="6" s="1"/>
  <c r="AA160" i="6"/>
  <c r="X160" i="6"/>
  <c r="W160" i="6"/>
  <c r="U160" i="6"/>
  <c r="R160" i="6"/>
  <c r="O160" i="6"/>
  <c r="N160" i="6"/>
  <c r="L160" i="6"/>
  <c r="H160" i="6"/>
  <c r="I160" i="6" s="1"/>
  <c r="F160" i="6"/>
  <c r="C160" i="6"/>
  <c r="Z158" i="6"/>
  <c r="AA158" i="6" s="1"/>
  <c r="U158" i="6"/>
  <c r="T158" i="6"/>
  <c r="Q158" i="6"/>
  <c r="L158" i="6"/>
  <c r="K158" i="6"/>
  <c r="E158" i="6"/>
  <c r="B158" i="6"/>
  <c r="AC157" i="6"/>
  <c r="AD157" i="6" s="1"/>
  <c r="AA157" i="6"/>
  <c r="W157" i="6"/>
  <c r="X157" i="6" s="1"/>
  <c r="U157" i="6"/>
  <c r="R157" i="6"/>
  <c r="O157" i="6"/>
  <c r="N157" i="6"/>
  <c r="L157" i="6"/>
  <c r="I157" i="6"/>
  <c r="H157" i="6"/>
  <c r="F157" i="6"/>
  <c r="C157" i="6"/>
  <c r="AC156" i="6"/>
  <c r="AD156" i="6" s="1"/>
  <c r="AA156" i="6"/>
  <c r="W156" i="6"/>
  <c r="X156" i="6" s="1"/>
  <c r="U156" i="6"/>
  <c r="R156" i="6"/>
  <c r="O156" i="6"/>
  <c r="N156" i="6"/>
  <c r="L156" i="6"/>
  <c r="I156" i="6"/>
  <c r="H156" i="6"/>
  <c r="F156" i="6"/>
  <c r="C156" i="6"/>
  <c r="AC155" i="6"/>
  <c r="AD155" i="6" s="1"/>
  <c r="AA155" i="6"/>
  <c r="X155" i="6"/>
  <c r="W155" i="6"/>
  <c r="U155" i="6"/>
  <c r="R155" i="6"/>
  <c r="O155" i="6"/>
  <c r="N155" i="6"/>
  <c r="L155" i="6"/>
  <c r="H155" i="6"/>
  <c r="I155" i="6" s="1"/>
  <c r="F155" i="6"/>
  <c r="C155" i="6"/>
  <c r="AC154" i="6"/>
  <c r="AD154" i="6" s="1"/>
  <c r="AA154" i="6"/>
  <c r="X154" i="6"/>
  <c r="W154" i="6"/>
  <c r="U154" i="6"/>
  <c r="R154" i="6"/>
  <c r="O154" i="6"/>
  <c r="N154" i="6"/>
  <c r="L154" i="6"/>
  <c r="I154" i="6"/>
  <c r="H154" i="6"/>
  <c r="F154" i="6"/>
  <c r="C154" i="6"/>
  <c r="AD153" i="6"/>
  <c r="AC153" i="6"/>
  <c r="AA153" i="6"/>
  <c r="W153" i="6"/>
  <c r="X153" i="6" s="1"/>
  <c r="U153" i="6"/>
  <c r="R153" i="6"/>
  <c r="N153" i="6"/>
  <c r="O153" i="6" s="1"/>
  <c r="L153" i="6"/>
  <c r="H153" i="6"/>
  <c r="I153" i="6" s="1"/>
  <c r="F153" i="6"/>
  <c r="C153" i="6"/>
  <c r="AC151" i="6"/>
  <c r="AD151" i="6" s="1"/>
  <c r="AA151" i="6"/>
  <c r="W151" i="6"/>
  <c r="X151" i="6" s="1"/>
  <c r="U151" i="6"/>
  <c r="R151" i="6"/>
  <c r="O151" i="6"/>
  <c r="N151" i="6"/>
  <c r="L151" i="6"/>
  <c r="H151" i="6"/>
  <c r="I151" i="6" s="1"/>
  <c r="F151" i="6"/>
  <c r="C151" i="6"/>
  <c r="Z149" i="6"/>
  <c r="AA149" i="6" s="1"/>
  <c r="T149" i="6"/>
  <c r="U149" i="6" s="1"/>
  <c r="Q149" i="6"/>
  <c r="R149" i="6" s="1"/>
  <c r="K149" i="6"/>
  <c r="L149" i="6" s="1"/>
  <c r="H149" i="6"/>
  <c r="I149" i="6" s="1"/>
  <c r="F149" i="6"/>
  <c r="E149" i="6"/>
  <c r="B149" i="6"/>
  <c r="C149" i="6" s="1"/>
  <c r="AA148" i="6"/>
  <c r="Z148" i="6"/>
  <c r="W148" i="6"/>
  <c r="X148" i="6" s="1"/>
  <c r="T148" i="6"/>
  <c r="U148" i="6" s="1"/>
  <c r="Q148" i="6"/>
  <c r="AC148" i="6" s="1"/>
  <c r="AD148" i="6" s="1"/>
  <c r="N148" i="6"/>
  <c r="O148" i="6" s="1"/>
  <c r="L148" i="6"/>
  <c r="K148" i="6"/>
  <c r="E148" i="6"/>
  <c r="C148" i="6"/>
  <c r="B148" i="6"/>
  <c r="AD147" i="6"/>
  <c r="AC147" i="6"/>
  <c r="AA147" i="6"/>
  <c r="X147" i="6"/>
  <c r="W147" i="6"/>
  <c r="U147" i="6"/>
  <c r="R147" i="6"/>
  <c r="N147" i="6"/>
  <c r="O147" i="6" s="1"/>
  <c r="L147" i="6"/>
  <c r="H147" i="6"/>
  <c r="I147" i="6" s="1"/>
  <c r="F147" i="6"/>
  <c r="C147" i="6"/>
  <c r="AC146" i="6"/>
  <c r="AD146" i="6" s="1"/>
  <c r="AA146" i="6"/>
  <c r="X146" i="6"/>
  <c r="W146" i="6"/>
  <c r="U146" i="6"/>
  <c r="R146" i="6"/>
  <c r="N146" i="6"/>
  <c r="O146" i="6" s="1"/>
  <c r="L146" i="6"/>
  <c r="H146" i="6"/>
  <c r="I146" i="6" s="1"/>
  <c r="F146" i="6"/>
  <c r="C146" i="6"/>
  <c r="AD145" i="6"/>
  <c r="AC145" i="6"/>
  <c r="AA145" i="6"/>
  <c r="X145" i="6"/>
  <c r="W145" i="6"/>
  <c r="U145" i="6"/>
  <c r="R145" i="6"/>
  <c r="N145" i="6"/>
  <c r="O145" i="6" s="1"/>
  <c r="L145" i="6"/>
  <c r="I145" i="6"/>
  <c r="H145" i="6"/>
  <c r="F145" i="6"/>
  <c r="C145" i="6"/>
  <c r="AC144" i="6"/>
  <c r="AD144" i="6" s="1"/>
  <c r="AA144" i="6"/>
  <c r="X144" i="6"/>
  <c r="W144" i="6"/>
  <c r="U144" i="6"/>
  <c r="R144" i="6"/>
  <c r="O144" i="6"/>
  <c r="N144" i="6"/>
  <c r="L144" i="6"/>
  <c r="H144" i="6"/>
  <c r="I144" i="6" s="1"/>
  <c r="F144" i="6"/>
  <c r="C144" i="6"/>
  <c r="AD143" i="6"/>
  <c r="AC143" i="6"/>
  <c r="AA143" i="6"/>
  <c r="W143" i="6"/>
  <c r="X143" i="6" s="1"/>
  <c r="U143" i="6"/>
  <c r="R143" i="6"/>
  <c r="O143" i="6"/>
  <c r="N143" i="6"/>
  <c r="L143" i="6"/>
  <c r="H143" i="6"/>
  <c r="I143" i="6" s="1"/>
  <c r="F143" i="6"/>
  <c r="C143" i="6"/>
  <c r="Z141" i="6"/>
  <c r="AA141" i="6" s="1"/>
  <c r="T141" i="6"/>
  <c r="U141" i="6" s="1"/>
  <c r="R141" i="6"/>
  <c r="Q141" i="6"/>
  <c r="K141" i="6"/>
  <c r="L141" i="6" s="1"/>
  <c r="H141" i="6"/>
  <c r="I141" i="6" s="1"/>
  <c r="F141" i="6"/>
  <c r="E141" i="6"/>
  <c r="C141" i="6"/>
  <c r="B141" i="6"/>
  <c r="AC140" i="6"/>
  <c r="AD140" i="6" s="1"/>
  <c r="AA140" i="6"/>
  <c r="W140" i="6"/>
  <c r="X140" i="6" s="1"/>
  <c r="U140" i="6"/>
  <c r="R140" i="6"/>
  <c r="O140" i="6"/>
  <c r="N140" i="6"/>
  <c r="L140" i="6"/>
  <c r="I140" i="6"/>
  <c r="H140" i="6"/>
  <c r="F140" i="6"/>
  <c r="C140" i="6"/>
  <c r="AD139" i="6"/>
  <c r="AC139" i="6"/>
  <c r="AA139" i="6"/>
  <c r="X139" i="6"/>
  <c r="W139" i="6"/>
  <c r="U139" i="6"/>
  <c r="R139" i="6"/>
  <c r="N139" i="6"/>
  <c r="O139" i="6" s="1"/>
  <c r="L139" i="6"/>
  <c r="H139" i="6"/>
  <c r="I139" i="6" s="1"/>
  <c r="F139" i="6"/>
  <c r="C139" i="6"/>
  <c r="AC138" i="6"/>
  <c r="AD138" i="6" s="1"/>
  <c r="AA138" i="6"/>
  <c r="X138" i="6"/>
  <c r="W138" i="6"/>
  <c r="U138" i="6"/>
  <c r="R138" i="6"/>
  <c r="O138" i="6"/>
  <c r="N138" i="6"/>
  <c r="L138" i="6"/>
  <c r="I138" i="6"/>
  <c r="H138" i="6"/>
  <c r="F138" i="6"/>
  <c r="C138" i="6"/>
  <c r="AC137" i="6"/>
  <c r="AD137" i="6" s="1"/>
  <c r="AA137" i="6"/>
  <c r="W137" i="6"/>
  <c r="X137" i="6" s="1"/>
  <c r="U137" i="6"/>
  <c r="R137" i="6"/>
  <c r="N137" i="6"/>
  <c r="O137" i="6" s="1"/>
  <c r="L137" i="6"/>
  <c r="H137" i="6"/>
  <c r="I137" i="6" s="1"/>
  <c r="F137" i="6"/>
  <c r="C137" i="6"/>
  <c r="AC136" i="6"/>
  <c r="AD136" i="6" s="1"/>
  <c r="AA136" i="6"/>
  <c r="X136" i="6"/>
  <c r="W136" i="6"/>
  <c r="U136" i="6"/>
  <c r="R136" i="6"/>
  <c r="O136" i="6"/>
  <c r="N136" i="6"/>
  <c r="L136" i="6"/>
  <c r="H136" i="6"/>
  <c r="I136" i="6" s="1"/>
  <c r="F136" i="6"/>
  <c r="C136" i="6"/>
  <c r="AC135" i="6"/>
  <c r="AD135" i="6" s="1"/>
  <c r="AA135" i="6"/>
  <c r="X135" i="6"/>
  <c r="W135" i="6"/>
  <c r="U135" i="6"/>
  <c r="R135" i="6"/>
  <c r="N135" i="6"/>
  <c r="O135" i="6" s="1"/>
  <c r="L135" i="6"/>
  <c r="H135" i="6"/>
  <c r="I135" i="6" s="1"/>
  <c r="F135" i="6"/>
  <c r="C135" i="6"/>
  <c r="AD134" i="6"/>
  <c r="AC134" i="6"/>
  <c r="AA134" i="6"/>
  <c r="X134" i="6"/>
  <c r="W134" i="6"/>
  <c r="U134" i="6"/>
  <c r="R134" i="6"/>
  <c r="N134" i="6"/>
  <c r="O134" i="6" s="1"/>
  <c r="L134" i="6"/>
  <c r="H134" i="6"/>
  <c r="I134" i="6" s="1"/>
  <c r="F134" i="6"/>
  <c r="C134" i="6"/>
  <c r="AD133" i="6"/>
  <c r="AC133" i="6"/>
  <c r="AA133" i="6"/>
  <c r="X133" i="6"/>
  <c r="W133" i="6"/>
  <c r="U133" i="6"/>
  <c r="R133" i="6"/>
  <c r="N133" i="6"/>
  <c r="O133" i="6" s="1"/>
  <c r="L133" i="6"/>
  <c r="H133" i="6"/>
  <c r="I133" i="6" s="1"/>
  <c r="F133" i="6"/>
  <c r="C133" i="6"/>
  <c r="AC132" i="6"/>
  <c r="AD132" i="6" s="1"/>
  <c r="AA132" i="6"/>
  <c r="X132" i="6"/>
  <c r="W132" i="6"/>
  <c r="U132" i="6"/>
  <c r="R132" i="6"/>
  <c r="O132" i="6"/>
  <c r="N132" i="6"/>
  <c r="L132" i="6"/>
  <c r="H132" i="6"/>
  <c r="I132" i="6" s="1"/>
  <c r="F132" i="6"/>
  <c r="C132" i="6"/>
  <c r="AD131" i="6"/>
  <c r="AC131" i="6"/>
  <c r="AA131" i="6"/>
  <c r="X131" i="6"/>
  <c r="W131" i="6"/>
  <c r="U131" i="6"/>
  <c r="R131" i="6"/>
  <c r="N131" i="6"/>
  <c r="O131" i="6" s="1"/>
  <c r="L131" i="6"/>
  <c r="H131" i="6"/>
  <c r="I131" i="6" s="1"/>
  <c r="F131" i="6"/>
  <c r="C131" i="6"/>
  <c r="AD130" i="6"/>
  <c r="AC130" i="6"/>
  <c r="AA130" i="6"/>
  <c r="X130" i="6"/>
  <c r="W130" i="6"/>
  <c r="U130" i="6"/>
  <c r="R130" i="6"/>
  <c r="N130" i="6"/>
  <c r="O130" i="6" s="1"/>
  <c r="L130" i="6"/>
  <c r="H130" i="6"/>
  <c r="I130" i="6" s="1"/>
  <c r="F130" i="6"/>
  <c r="C130" i="6"/>
  <c r="AD129" i="6"/>
  <c r="AC129" i="6"/>
  <c r="AA129" i="6"/>
  <c r="W129" i="6"/>
  <c r="X129" i="6" s="1"/>
  <c r="U129" i="6"/>
  <c r="R129" i="6"/>
  <c r="O129" i="6"/>
  <c r="N129" i="6"/>
  <c r="L129" i="6"/>
  <c r="I129" i="6"/>
  <c r="H129" i="6"/>
  <c r="F129" i="6"/>
  <c r="C129" i="6"/>
  <c r="AC127" i="6"/>
  <c r="AD127" i="6" s="1"/>
  <c r="AA127" i="6"/>
  <c r="W127" i="6"/>
  <c r="X127" i="6" s="1"/>
  <c r="U127" i="6"/>
  <c r="R127" i="6"/>
  <c r="O127" i="6"/>
  <c r="N127" i="6"/>
  <c r="L127" i="6"/>
  <c r="I127" i="6"/>
  <c r="H127" i="6"/>
  <c r="F127" i="6"/>
  <c r="C127" i="6"/>
  <c r="Z124" i="6"/>
  <c r="T124" i="6"/>
  <c r="W124" i="6" s="1"/>
  <c r="X124" i="6" s="1"/>
  <c r="R124" i="6"/>
  <c r="Q124" i="6"/>
  <c r="N124" i="6"/>
  <c r="O124" i="6" s="1"/>
  <c r="L124" i="6"/>
  <c r="K124" i="6"/>
  <c r="K172" i="6" s="1"/>
  <c r="L172" i="6" s="1"/>
  <c r="E124" i="6"/>
  <c r="H124" i="6" s="1"/>
  <c r="I124" i="6" s="1"/>
  <c r="B124" i="6"/>
  <c r="C124" i="6" s="1"/>
  <c r="AC123" i="6"/>
  <c r="AD123" i="6" s="1"/>
  <c r="AA123" i="6"/>
  <c r="W123" i="6"/>
  <c r="X123" i="6" s="1"/>
  <c r="U123" i="6"/>
  <c r="R123" i="6"/>
  <c r="N123" i="6"/>
  <c r="O123" i="6" s="1"/>
  <c r="L123" i="6"/>
  <c r="H123" i="6"/>
  <c r="I123" i="6" s="1"/>
  <c r="F123" i="6"/>
  <c r="C123" i="6"/>
  <c r="Z122" i="6"/>
  <c r="AA122" i="6" s="1"/>
  <c r="U122" i="6"/>
  <c r="T122" i="6"/>
  <c r="Q122" i="6"/>
  <c r="O122" i="6"/>
  <c r="K122" i="6"/>
  <c r="L122" i="6" s="1"/>
  <c r="H122" i="6"/>
  <c r="I122" i="6" s="1"/>
  <c r="E122" i="6"/>
  <c r="F122" i="6" s="1"/>
  <c r="C122" i="6"/>
  <c r="B122" i="6"/>
  <c r="N122" i="6" s="1"/>
  <c r="AC121" i="6"/>
  <c r="AD121" i="6" s="1"/>
  <c r="AA121" i="6"/>
  <c r="X121" i="6"/>
  <c r="W121" i="6"/>
  <c r="U121" i="6"/>
  <c r="R121" i="6"/>
  <c r="O121" i="6"/>
  <c r="N121" i="6"/>
  <c r="L121" i="6"/>
  <c r="I121" i="6"/>
  <c r="H121" i="6"/>
  <c r="F121" i="6"/>
  <c r="C121" i="6"/>
  <c r="AC120" i="6"/>
  <c r="AD120" i="6" s="1"/>
  <c r="AA120" i="6"/>
  <c r="X120" i="6"/>
  <c r="W120" i="6"/>
  <c r="U120" i="6"/>
  <c r="R120" i="6"/>
  <c r="O120" i="6"/>
  <c r="N120" i="6"/>
  <c r="L120" i="6"/>
  <c r="H120" i="6"/>
  <c r="I120" i="6" s="1"/>
  <c r="F120" i="6"/>
  <c r="C120" i="6"/>
  <c r="AC119" i="6"/>
  <c r="AD119" i="6" s="1"/>
  <c r="AA119" i="6"/>
  <c r="X119" i="6"/>
  <c r="W119" i="6"/>
  <c r="U119" i="6"/>
  <c r="R119" i="6"/>
  <c r="O119" i="6"/>
  <c r="N119" i="6"/>
  <c r="L119" i="6"/>
  <c r="H119" i="6"/>
  <c r="I119" i="6" s="1"/>
  <c r="F119" i="6"/>
  <c r="C119" i="6"/>
  <c r="AC118" i="6"/>
  <c r="AD118" i="6" s="1"/>
  <c r="Z118" i="6"/>
  <c r="AA118" i="6" s="1"/>
  <c r="U118" i="6"/>
  <c r="T118" i="6"/>
  <c r="Q118" i="6"/>
  <c r="R118" i="6" s="1"/>
  <c r="K118" i="6"/>
  <c r="L118" i="6" s="1"/>
  <c r="F118" i="6"/>
  <c r="E118" i="6"/>
  <c r="B118" i="6"/>
  <c r="C118" i="6" s="1"/>
  <c r="AD117" i="6"/>
  <c r="AC117" i="6"/>
  <c r="AA117" i="6"/>
  <c r="X117" i="6"/>
  <c r="W117" i="6"/>
  <c r="U117" i="6"/>
  <c r="R117" i="6"/>
  <c r="N117" i="6"/>
  <c r="O117" i="6" s="1"/>
  <c r="L117" i="6"/>
  <c r="H117" i="6"/>
  <c r="I117" i="6" s="1"/>
  <c r="F117" i="6"/>
  <c r="C117" i="6"/>
  <c r="AC116" i="6"/>
  <c r="AD116" i="6" s="1"/>
  <c r="AA116" i="6"/>
  <c r="X116" i="6"/>
  <c r="W116" i="6"/>
  <c r="U116" i="6"/>
  <c r="R116" i="6"/>
  <c r="O116" i="6"/>
  <c r="N116" i="6"/>
  <c r="L116" i="6"/>
  <c r="H116" i="6"/>
  <c r="I116" i="6" s="1"/>
  <c r="F116" i="6"/>
  <c r="C116" i="6"/>
  <c r="AD115" i="6"/>
  <c r="AC115" i="6"/>
  <c r="AA115" i="6"/>
  <c r="W115" i="6"/>
  <c r="X115" i="6" s="1"/>
  <c r="U115" i="6"/>
  <c r="R115" i="6"/>
  <c r="N115" i="6"/>
  <c r="O115" i="6" s="1"/>
  <c r="L115" i="6"/>
  <c r="H115" i="6"/>
  <c r="I115" i="6" s="1"/>
  <c r="F115" i="6"/>
  <c r="C115" i="6"/>
  <c r="AD114" i="6"/>
  <c r="AC114" i="6"/>
  <c r="AA114" i="6"/>
  <c r="X114" i="6"/>
  <c r="W114" i="6"/>
  <c r="U114" i="6"/>
  <c r="R114" i="6"/>
  <c r="N114" i="6"/>
  <c r="O114" i="6" s="1"/>
  <c r="L114" i="6"/>
  <c r="H114" i="6"/>
  <c r="I114" i="6" s="1"/>
  <c r="F114" i="6"/>
  <c r="C114" i="6"/>
  <c r="AC113" i="6"/>
  <c r="AD113" i="6" s="1"/>
  <c r="AA113" i="6"/>
  <c r="W113" i="6"/>
  <c r="X113" i="6" s="1"/>
  <c r="U113" i="6"/>
  <c r="R113" i="6"/>
  <c r="O113" i="6"/>
  <c r="N113" i="6"/>
  <c r="L113" i="6"/>
  <c r="I113" i="6"/>
  <c r="H113" i="6"/>
  <c r="F113" i="6"/>
  <c r="C113" i="6"/>
  <c r="AC112" i="6"/>
  <c r="AD112" i="6" s="1"/>
  <c r="AA112" i="6"/>
  <c r="W112" i="6"/>
  <c r="X112" i="6" s="1"/>
  <c r="U112" i="6"/>
  <c r="R112" i="6"/>
  <c r="O112" i="6"/>
  <c r="N112" i="6"/>
  <c r="L112" i="6"/>
  <c r="I112" i="6"/>
  <c r="H112" i="6"/>
  <c r="F112" i="6"/>
  <c r="C112" i="6"/>
  <c r="AC111" i="6"/>
  <c r="AD111" i="6" s="1"/>
  <c r="AA111" i="6"/>
  <c r="W111" i="6"/>
  <c r="X111" i="6" s="1"/>
  <c r="U111" i="6"/>
  <c r="R111" i="6"/>
  <c r="O111" i="6"/>
  <c r="N111" i="6"/>
  <c r="L111" i="6"/>
  <c r="H111" i="6"/>
  <c r="I111" i="6" s="1"/>
  <c r="F111" i="6"/>
  <c r="C111" i="6"/>
  <c r="AC110" i="6"/>
  <c r="AD110" i="6" s="1"/>
  <c r="AA110" i="6"/>
  <c r="X110" i="6"/>
  <c r="W110" i="6"/>
  <c r="U110" i="6"/>
  <c r="R110" i="6"/>
  <c r="O110" i="6"/>
  <c r="N110" i="6"/>
  <c r="L110" i="6"/>
  <c r="I110" i="6"/>
  <c r="H110" i="6"/>
  <c r="F110" i="6"/>
  <c r="C110" i="6"/>
  <c r="AC109" i="6"/>
  <c r="AD109" i="6" s="1"/>
  <c r="AA109" i="6"/>
  <c r="W109" i="6"/>
  <c r="X109" i="6" s="1"/>
  <c r="U109" i="6"/>
  <c r="R109" i="6"/>
  <c r="N109" i="6"/>
  <c r="O109" i="6" s="1"/>
  <c r="L109" i="6"/>
  <c r="H109" i="6"/>
  <c r="I109" i="6" s="1"/>
  <c r="F109" i="6"/>
  <c r="C109" i="6"/>
  <c r="AC108" i="6"/>
  <c r="AD108" i="6" s="1"/>
  <c r="AA108" i="6"/>
  <c r="W108" i="6"/>
  <c r="X108" i="6" s="1"/>
  <c r="U108" i="6"/>
  <c r="R108" i="6"/>
  <c r="O108" i="6"/>
  <c r="N108" i="6"/>
  <c r="L108" i="6"/>
  <c r="H108" i="6"/>
  <c r="I108" i="6" s="1"/>
  <c r="F108" i="6"/>
  <c r="C108" i="6"/>
  <c r="AD107" i="6"/>
  <c r="AC107" i="6"/>
  <c r="AA107" i="6"/>
  <c r="X107" i="6"/>
  <c r="W107" i="6"/>
  <c r="U107" i="6"/>
  <c r="R107" i="6"/>
  <c r="N107" i="6"/>
  <c r="O107" i="6" s="1"/>
  <c r="L107" i="6"/>
  <c r="H107" i="6"/>
  <c r="I107" i="6" s="1"/>
  <c r="F107" i="6"/>
  <c r="C107" i="6"/>
  <c r="AC106" i="6"/>
  <c r="AD106" i="6" s="1"/>
  <c r="AA106" i="6"/>
  <c r="X106" i="6"/>
  <c r="W106" i="6"/>
  <c r="U106" i="6"/>
  <c r="R106" i="6"/>
  <c r="O106" i="6"/>
  <c r="N106" i="6"/>
  <c r="L106" i="6"/>
  <c r="H106" i="6"/>
  <c r="I106" i="6" s="1"/>
  <c r="F106" i="6"/>
  <c r="C106" i="6"/>
  <c r="AC105" i="6"/>
  <c r="AD105" i="6" s="1"/>
  <c r="AA105" i="6"/>
  <c r="X105" i="6"/>
  <c r="W105" i="6"/>
  <c r="U105" i="6"/>
  <c r="R105" i="6"/>
  <c r="N105" i="6"/>
  <c r="O105" i="6" s="1"/>
  <c r="L105" i="6"/>
  <c r="I105" i="6"/>
  <c r="H105" i="6"/>
  <c r="F105" i="6"/>
  <c r="C105" i="6"/>
  <c r="AC104" i="6"/>
  <c r="AD104" i="6" s="1"/>
  <c r="AA104" i="6"/>
  <c r="X104" i="6"/>
  <c r="W104" i="6"/>
  <c r="U104" i="6"/>
  <c r="R104" i="6"/>
  <c r="O104" i="6"/>
  <c r="N104" i="6"/>
  <c r="L104" i="6"/>
  <c r="H104" i="6"/>
  <c r="I104" i="6" s="1"/>
  <c r="F104" i="6"/>
  <c r="C104" i="6"/>
  <c r="AD103" i="6"/>
  <c r="AC103" i="6"/>
  <c r="AA103" i="6"/>
  <c r="W103" i="6"/>
  <c r="X103" i="6" s="1"/>
  <c r="U103" i="6"/>
  <c r="R103" i="6"/>
  <c r="N103" i="6"/>
  <c r="O103" i="6" s="1"/>
  <c r="L103" i="6"/>
  <c r="H103" i="6"/>
  <c r="I103" i="6" s="1"/>
  <c r="F103" i="6"/>
  <c r="C103" i="6"/>
  <c r="AC102" i="6"/>
  <c r="AD102" i="6" s="1"/>
  <c r="AA102" i="6"/>
  <c r="X102" i="6"/>
  <c r="W102" i="6"/>
  <c r="U102" i="6"/>
  <c r="R102" i="6"/>
  <c r="O102" i="6"/>
  <c r="N102" i="6"/>
  <c r="L102" i="6"/>
  <c r="H102" i="6"/>
  <c r="I102" i="6" s="1"/>
  <c r="F102" i="6"/>
  <c r="C102" i="6"/>
  <c r="AC101" i="6"/>
  <c r="AD101" i="6" s="1"/>
  <c r="AA101" i="6"/>
  <c r="X101" i="6"/>
  <c r="W101" i="6"/>
  <c r="U101" i="6"/>
  <c r="R101" i="6"/>
  <c r="N101" i="6"/>
  <c r="O101" i="6" s="1"/>
  <c r="L101" i="6"/>
  <c r="H101" i="6"/>
  <c r="I101" i="6" s="1"/>
  <c r="F101" i="6"/>
  <c r="C101" i="6"/>
  <c r="AC100" i="6"/>
  <c r="AD100" i="6" s="1"/>
  <c r="AA100" i="6"/>
  <c r="W100" i="6"/>
  <c r="X100" i="6" s="1"/>
  <c r="U100" i="6"/>
  <c r="R100" i="6"/>
  <c r="O100" i="6"/>
  <c r="N100" i="6"/>
  <c r="L100" i="6"/>
  <c r="H100" i="6"/>
  <c r="I100" i="6" s="1"/>
  <c r="F100" i="6"/>
  <c r="C100" i="6"/>
  <c r="AD99" i="6"/>
  <c r="AC99" i="6"/>
  <c r="AA99" i="6"/>
  <c r="W99" i="6"/>
  <c r="X99" i="6" s="1"/>
  <c r="U99" i="6"/>
  <c r="R99" i="6"/>
  <c r="O99" i="6"/>
  <c r="N99" i="6"/>
  <c r="L99" i="6"/>
  <c r="H99" i="6"/>
  <c r="I99" i="6" s="1"/>
  <c r="F99" i="6"/>
  <c r="C99" i="6"/>
  <c r="AC98" i="6"/>
  <c r="AD98" i="6" s="1"/>
  <c r="AA98" i="6"/>
  <c r="X98" i="6"/>
  <c r="W98" i="6"/>
  <c r="U98" i="6"/>
  <c r="R98" i="6"/>
  <c r="O98" i="6"/>
  <c r="N98" i="6"/>
  <c r="L98" i="6"/>
  <c r="I98" i="6"/>
  <c r="H98" i="6"/>
  <c r="F98" i="6"/>
  <c r="C98" i="6"/>
  <c r="AC97" i="6"/>
  <c r="AD97" i="6" s="1"/>
  <c r="AA97" i="6"/>
  <c r="W97" i="6"/>
  <c r="X97" i="6" s="1"/>
  <c r="U97" i="6"/>
  <c r="R97" i="6"/>
  <c r="O97" i="6"/>
  <c r="N97" i="6"/>
  <c r="L97" i="6"/>
  <c r="I97" i="6"/>
  <c r="H97" i="6"/>
  <c r="F97" i="6"/>
  <c r="C97" i="6"/>
  <c r="AC96" i="6"/>
  <c r="AD96" i="6" s="1"/>
  <c r="AA96" i="6"/>
  <c r="W96" i="6"/>
  <c r="X96" i="6" s="1"/>
  <c r="U96" i="6"/>
  <c r="R96" i="6"/>
  <c r="O96" i="6"/>
  <c r="N96" i="6"/>
  <c r="L96" i="6"/>
  <c r="I96" i="6"/>
  <c r="H96" i="6"/>
  <c r="F96" i="6"/>
  <c r="C96" i="6"/>
  <c r="AD95" i="6"/>
  <c r="AC95" i="6"/>
  <c r="AA95" i="6"/>
  <c r="X95" i="6"/>
  <c r="W95" i="6"/>
  <c r="U95" i="6"/>
  <c r="R95" i="6"/>
  <c r="N95" i="6"/>
  <c r="O95" i="6" s="1"/>
  <c r="L95" i="6"/>
  <c r="H95" i="6"/>
  <c r="I95" i="6" s="1"/>
  <c r="F95" i="6"/>
  <c r="C95" i="6"/>
  <c r="AC94" i="6"/>
  <c r="AD94" i="6" s="1"/>
  <c r="AA94" i="6"/>
  <c r="X94" i="6"/>
  <c r="W94" i="6"/>
  <c r="U94" i="6"/>
  <c r="R94" i="6"/>
  <c r="O94" i="6"/>
  <c r="N94" i="6"/>
  <c r="L94" i="6"/>
  <c r="H94" i="6"/>
  <c r="I94" i="6" s="1"/>
  <c r="F94" i="6"/>
  <c r="C94" i="6"/>
  <c r="AC92" i="6"/>
  <c r="AD92" i="6" s="1"/>
  <c r="AA92" i="6"/>
  <c r="X92" i="6"/>
  <c r="W92" i="6"/>
  <c r="U92" i="6"/>
  <c r="R92" i="6"/>
  <c r="N92" i="6"/>
  <c r="O92" i="6" s="1"/>
  <c r="L92" i="6"/>
  <c r="H92" i="6"/>
  <c r="I92" i="6" s="1"/>
  <c r="F92" i="6"/>
  <c r="C92" i="6"/>
  <c r="AC91" i="6"/>
  <c r="AD91" i="6" s="1"/>
  <c r="AA91" i="6"/>
  <c r="W91" i="6"/>
  <c r="X91" i="6" s="1"/>
  <c r="U91" i="6"/>
  <c r="R91" i="6"/>
  <c r="O91" i="6"/>
  <c r="N91" i="6"/>
  <c r="L91" i="6"/>
  <c r="I91" i="6"/>
  <c r="H91" i="6"/>
  <c r="F91" i="6"/>
  <c r="C91" i="6"/>
  <c r="AD90" i="6"/>
  <c r="AC90" i="6"/>
  <c r="AA90" i="6"/>
  <c r="W90" i="6"/>
  <c r="X90" i="6" s="1"/>
  <c r="U90" i="6"/>
  <c r="R90" i="6"/>
  <c r="N90" i="6"/>
  <c r="O90" i="6" s="1"/>
  <c r="L90" i="6"/>
  <c r="H90" i="6"/>
  <c r="I90" i="6" s="1"/>
  <c r="F90" i="6"/>
  <c r="C90" i="6"/>
  <c r="AD89" i="6"/>
  <c r="AC89" i="6"/>
  <c r="AA89" i="6"/>
  <c r="X89" i="6"/>
  <c r="W89" i="6"/>
  <c r="U89" i="6"/>
  <c r="R89" i="6"/>
  <c r="N89" i="6"/>
  <c r="O89" i="6" s="1"/>
  <c r="L89" i="6"/>
  <c r="H89" i="6"/>
  <c r="I89" i="6" s="1"/>
  <c r="F89" i="6"/>
  <c r="C89" i="6"/>
  <c r="AA88" i="6"/>
  <c r="Z88" i="6"/>
  <c r="T88" i="6"/>
  <c r="U88" i="6" s="1"/>
  <c r="R88" i="6"/>
  <c r="Q88" i="6"/>
  <c r="W88" i="6" s="1"/>
  <c r="X88" i="6" s="1"/>
  <c r="L88" i="6"/>
  <c r="K88" i="6"/>
  <c r="E88" i="6"/>
  <c r="F88" i="6" s="1"/>
  <c r="C88" i="6"/>
  <c r="B88" i="6"/>
  <c r="H88" i="6" s="1"/>
  <c r="I88" i="6" s="1"/>
  <c r="AC87" i="6"/>
  <c r="AD87" i="6" s="1"/>
  <c r="AA87" i="6"/>
  <c r="W87" i="6"/>
  <c r="X87" i="6" s="1"/>
  <c r="U87" i="6"/>
  <c r="R87" i="6"/>
  <c r="O87" i="6"/>
  <c r="N87" i="6"/>
  <c r="L87" i="6"/>
  <c r="H87" i="6"/>
  <c r="I87" i="6" s="1"/>
  <c r="F87" i="6"/>
  <c r="C87" i="6"/>
  <c r="AD86" i="6"/>
  <c r="AC86" i="6"/>
  <c r="AA86" i="6"/>
  <c r="X86" i="6"/>
  <c r="W86" i="6"/>
  <c r="U86" i="6"/>
  <c r="R86" i="6"/>
  <c r="N86" i="6"/>
  <c r="O86" i="6" s="1"/>
  <c r="L86" i="6"/>
  <c r="I86" i="6"/>
  <c r="H86" i="6"/>
  <c r="F86" i="6"/>
  <c r="C86" i="6"/>
  <c r="AC85" i="6"/>
  <c r="AD85" i="6" s="1"/>
  <c r="AA85" i="6"/>
  <c r="X85" i="6"/>
  <c r="W85" i="6"/>
  <c r="U85" i="6"/>
  <c r="R85" i="6"/>
  <c r="N85" i="6"/>
  <c r="O85" i="6" s="1"/>
  <c r="L85" i="6"/>
  <c r="H85" i="6"/>
  <c r="I85" i="6" s="1"/>
  <c r="F85" i="6"/>
  <c r="C85" i="6"/>
  <c r="AC84" i="6"/>
  <c r="AD84" i="6" s="1"/>
  <c r="AA84" i="6"/>
  <c r="X84" i="6"/>
  <c r="W84" i="6"/>
  <c r="U84" i="6"/>
  <c r="R84" i="6"/>
  <c r="O84" i="6"/>
  <c r="N84" i="6"/>
  <c r="L84" i="6"/>
  <c r="H84" i="6"/>
  <c r="I84" i="6" s="1"/>
  <c r="F84" i="6"/>
  <c r="C84" i="6"/>
  <c r="AC83" i="6"/>
  <c r="AD83" i="6" s="1"/>
  <c r="AA83" i="6"/>
  <c r="X83" i="6"/>
  <c r="W83" i="6"/>
  <c r="U83" i="6"/>
  <c r="R83" i="6"/>
  <c r="N83" i="6"/>
  <c r="O83" i="6" s="1"/>
  <c r="L83" i="6"/>
  <c r="H83" i="6"/>
  <c r="I83" i="6" s="1"/>
  <c r="F83" i="6"/>
  <c r="C83" i="6"/>
  <c r="AD82" i="6"/>
  <c r="AC82" i="6"/>
  <c r="AA82" i="6"/>
  <c r="X82" i="6"/>
  <c r="W82" i="6"/>
  <c r="U82" i="6"/>
  <c r="R82" i="6"/>
  <c r="N82" i="6"/>
  <c r="O82" i="6" s="1"/>
  <c r="L82" i="6"/>
  <c r="I82" i="6"/>
  <c r="H82" i="6"/>
  <c r="F82" i="6"/>
  <c r="C82" i="6"/>
  <c r="AD81" i="6"/>
  <c r="AC81" i="6"/>
  <c r="AA81" i="6"/>
  <c r="X81" i="6"/>
  <c r="W81" i="6"/>
  <c r="U81" i="6"/>
  <c r="R81" i="6"/>
  <c r="O81" i="6"/>
  <c r="N81" i="6"/>
  <c r="L81" i="6"/>
  <c r="H81" i="6"/>
  <c r="I81" i="6" s="1"/>
  <c r="F81" i="6"/>
  <c r="C81" i="6"/>
  <c r="AC80" i="6"/>
  <c r="AD80" i="6" s="1"/>
  <c r="AA80" i="6"/>
  <c r="X80" i="6"/>
  <c r="W80" i="6"/>
  <c r="U80" i="6"/>
  <c r="R80" i="6"/>
  <c r="O80" i="6"/>
  <c r="N80" i="6"/>
  <c r="L80" i="6"/>
  <c r="I80" i="6"/>
  <c r="H80" i="6"/>
  <c r="F80" i="6"/>
  <c r="C80" i="6"/>
  <c r="AD79" i="6"/>
  <c r="AC79" i="6"/>
  <c r="AA79" i="6"/>
  <c r="W79" i="6"/>
  <c r="X79" i="6" s="1"/>
  <c r="U79" i="6"/>
  <c r="R79" i="6"/>
  <c r="N79" i="6"/>
  <c r="O79" i="6" s="1"/>
  <c r="L79" i="6"/>
  <c r="H79" i="6"/>
  <c r="I79" i="6" s="1"/>
  <c r="F79" i="6"/>
  <c r="C79" i="6"/>
  <c r="AD78" i="6"/>
  <c r="AC78" i="6"/>
  <c r="AA78" i="6"/>
  <c r="X78" i="6"/>
  <c r="W78" i="6"/>
  <c r="U78" i="6"/>
  <c r="R78" i="6"/>
  <c r="O78" i="6"/>
  <c r="N78" i="6"/>
  <c r="L78" i="6"/>
  <c r="H78" i="6"/>
  <c r="I78" i="6" s="1"/>
  <c r="F78" i="6"/>
  <c r="C78" i="6"/>
  <c r="AC77" i="6"/>
  <c r="AD77" i="6" s="1"/>
  <c r="AA77" i="6"/>
  <c r="W77" i="6"/>
  <c r="X77" i="6" s="1"/>
  <c r="U77" i="6"/>
  <c r="R77" i="6"/>
  <c r="O77" i="6"/>
  <c r="N77" i="6"/>
  <c r="L77" i="6"/>
  <c r="I77" i="6"/>
  <c r="H77" i="6"/>
  <c r="F77" i="6"/>
  <c r="C77" i="6"/>
  <c r="AC76" i="6"/>
  <c r="AD76" i="6" s="1"/>
  <c r="AA76" i="6"/>
  <c r="W76" i="6"/>
  <c r="X76" i="6" s="1"/>
  <c r="U76" i="6"/>
  <c r="R76" i="6"/>
  <c r="O76" i="6"/>
  <c r="N76" i="6"/>
  <c r="L76" i="6"/>
  <c r="I76" i="6"/>
  <c r="H76" i="6"/>
  <c r="F76" i="6"/>
  <c r="C76" i="6"/>
  <c r="AC75" i="6"/>
  <c r="AD75" i="6" s="1"/>
  <c r="AA75" i="6"/>
  <c r="W75" i="6"/>
  <c r="X75" i="6" s="1"/>
  <c r="U75" i="6"/>
  <c r="R75" i="6"/>
  <c r="O75" i="6"/>
  <c r="N75" i="6"/>
  <c r="L75" i="6"/>
  <c r="H75" i="6"/>
  <c r="I75" i="6" s="1"/>
  <c r="F75" i="6"/>
  <c r="C75" i="6"/>
  <c r="AA73" i="6"/>
  <c r="Z73" i="6"/>
  <c r="U73" i="6"/>
  <c r="T73" i="6"/>
  <c r="R73" i="6"/>
  <c r="Q73" i="6"/>
  <c r="N73" i="6"/>
  <c r="O73" i="6" s="1"/>
  <c r="K73" i="6"/>
  <c r="L73" i="6" s="1"/>
  <c r="E73" i="6"/>
  <c r="C73" i="6"/>
  <c r="B73" i="6"/>
  <c r="AC72" i="6"/>
  <c r="AD72" i="6" s="1"/>
  <c r="AA72" i="6"/>
  <c r="X72" i="6"/>
  <c r="W72" i="6"/>
  <c r="U72" i="6"/>
  <c r="R72" i="6"/>
  <c r="O72" i="6"/>
  <c r="N72" i="6"/>
  <c r="L72" i="6"/>
  <c r="H72" i="6"/>
  <c r="I72" i="6" s="1"/>
  <c r="F72" i="6"/>
  <c r="C72" i="6"/>
  <c r="AC71" i="6"/>
  <c r="AD71" i="6" s="1"/>
  <c r="AA71" i="6"/>
  <c r="X71" i="6"/>
  <c r="W71" i="6"/>
  <c r="U71" i="6"/>
  <c r="R71" i="6"/>
  <c r="O71" i="6"/>
  <c r="N71" i="6"/>
  <c r="L71" i="6"/>
  <c r="H71" i="6"/>
  <c r="I71" i="6" s="1"/>
  <c r="F71" i="6"/>
  <c r="C71" i="6"/>
  <c r="AD70" i="6"/>
  <c r="AC70" i="6"/>
  <c r="AA70" i="6"/>
  <c r="X70" i="6"/>
  <c r="W70" i="6"/>
  <c r="U70" i="6"/>
  <c r="R70" i="6"/>
  <c r="N70" i="6"/>
  <c r="O70" i="6" s="1"/>
  <c r="L70" i="6"/>
  <c r="I70" i="6"/>
  <c r="H70" i="6"/>
  <c r="F70" i="6"/>
  <c r="C70" i="6"/>
  <c r="AD69" i="6"/>
  <c r="AC69" i="6"/>
  <c r="AA69" i="6"/>
  <c r="X69" i="6"/>
  <c r="W69" i="6"/>
  <c r="U69" i="6"/>
  <c r="R69" i="6"/>
  <c r="N69" i="6"/>
  <c r="O69" i="6" s="1"/>
  <c r="L69" i="6"/>
  <c r="H69" i="6"/>
  <c r="I69" i="6" s="1"/>
  <c r="F69" i="6"/>
  <c r="C69" i="6"/>
  <c r="AC68" i="6"/>
  <c r="AD68" i="6" s="1"/>
  <c r="AA68" i="6"/>
  <c r="X68" i="6"/>
  <c r="W68" i="6"/>
  <c r="U68" i="6"/>
  <c r="R68" i="6"/>
  <c r="O68" i="6"/>
  <c r="N68" i="6"/>
  <c r="L68" i="6"/>
  <c r="H68" i="6"/>
  <c r="I68" i="6" s="1"/>
  <c r="F68" i="6"/>
  <c r="C68" i="6"/>
  <c r="AD67" i="6"/>
  <c r="AC67" i="6"/>
  <c r="AA67" i="6"/>
  <c r="W67" i="6"/>
  <c r="X67" i="6" s="1"/>
  <c r="U67" i="6"/>
  <c r="R67" i="6"/>
  <c r="N67" i="6"/>
  <c r="O67" i="6" s="1"/>
  <c r="L67" i="6"/>
  <c r="H67" i="6"/>
  <c r="I67" i="6" s="1"/>
  <c r="F67" i="6"/>
  <c r="C67" i="6"/>
  <c r="AD66" i="6"/>
  <c r="AC66" i="6"/>
  <c r="AA66" i="6"/>
  <c r="X66" i="6"/>
  <c r="W66" i="6"/>
  <c r="U66" i="6"/>
  <c r="R66" i="6"/>
  <c r="O66" i="6"/>
  <c r="N66" i="6"/>
  <c r="L66" i="6"/>
  <c r="H66" i="6"/>
  <c r="I66" i="6" s="1"/>
  <c r="F66" i="6"/>
  <c r="C66" i="6"/>
  <c r="AC65" i="6"/>
  <c r="AD65" i="6" s="1"/>
  <c r="AA65" i="6"/>
  <c r="W65" i="6"/>
  <c r="X65" i="6" s="1"/>
  <c r="U65" i="6"/>
  <c r="R65" i="6"/>
  <c r="N65" i="6"/>
  <c r="O65" i="6" s="1"/>
  <c r="L65" i="6"/>
  <c r="I65" i="6"/>
  <c r="H65" i="6"/>
  <c r="F65" i="6"/>
  <c r="C65" i="6"/>
  <c r="AC64" i="6"/>
  <c r="AD64" i="6" s="1"/>
  <c r="AA64" i="6"/>
  <c r="X64" i="6"/>
  <c r="W64" i="6"/>
  <c r="U64" i="6"/>
  <c r="R64" i="6"/>
  <c r="O64" i="6"/>
  <c r="N64" i="6"/>
  <c r="L64" i="6"/>
  <c r="H64" i="6"/>
  <c r="I64" i="6" s="1"/>
  <c r="F64" i="6"/>
  <c r="C64" i="6"/>
  <c r="AC62" i="6"/>
  <c r="AD62" i="6" s="1"/>
  <c r="Z62" i="6"/>
  <c r="AA62" i="6" s="1"/>
  <c r="W62" i="6"/>
  <c r="X62" i="6" s="1"/>
  <c r="T62" i="6"/>
  <c r="U62" i="6" s="1"/>
  <c r="R62" i="6"/>
  <c r="Q62" i="6"/>
  <c r="N62" i="6"/>
  <c r="O62" i="6" s="1"/>
  <c r="K62" i="6"/>
  <c r="L62" i="6" s="1"/>
  <c r="I62" i="6"/>
  <c r="H62" i="6"/>
  <c r="F62" i="6"/>
  <c r="E62" i="6"/>
  <c r="B62" i="6"/>
  <c r="C62" i="6" s="1"/>
  <c r="Z61" i="6"/>
  <c r="AA61" i="6" s="1"/>
  <c r="T61" i="6"/>
  <c r="U61" i="6" s="1"/>
  <c r="Q61" i="6"/>
  <c r="K61" i="6"/>
  <c r="L61" i="6" s="1"/>
  <c r="F61" i="6"/>
  <c r="E61" i="6"/>
  <c r="B61" i="6"/>
  <c r="AC60" i="6"/>
  <c r="AD60" i="6" s="1"/>
  <c r="AA60" i="6"/>
  <c r="W60" i="6"/>
  <c r="X60" i="6" s="1"/>
  <c r="U60" i="6"/>
  <c r="R60" i="6"/>
  <c r="O60" i="6"/>
  <c r="N60" i="6"/>
  <c r="L60" i="6"/>
  <c r="H60" i="6"/>
  <c r="I60" i="6" s="1"/>
  <c r="F60" i="6"/>
  <c r="C60" i="6"/>
  <c r="AC59" i="6"/>
  <c r="AD59" i="6" s="1"/>
  <c r="AA59" i="6"/>
  <c r="X59" i="6"/>
  <c r="W59" i="6"/>
  <c r="U59" i="6"/>
  <c r="R59" i="6"/>
  <c r="O59" i="6"/>
  <c r="N59" i="6"/>
  <c r="L59" i="6"/>
  <c r="I59" i="6"/>
  <c r="H59" i="6"/>
  <c r="F59" i="6"/>
  <c r="C59" i="6"/>
  <c r="AD58" i="6"/>
  <c r="AC58" i="6"/>
  <c r="AA58" i="6"/>
  <c r="W58" i="6"/>
  <c r="X58" i="6" s="1"/>
  <c r="U58" i="6"/>
  <c r="R58" i="6"/>
  <c r="N58" i="6"/>
  <c r="O58" i="6" s="1"/>
  <c r="L58" i="6"/>
  <c r="H58" i="6"/>
  <c r="I58" i="6" s="1"/>
  <c r="F58" i="6"/>
  <c r="C58" i="6"/>
  <c r="AC57" i="6"/>
  <c r="AD57" i="6" s="1"/>
  <c r="AA57" i="6"/>
  <c r="W57" i="6"/>
  <c r="X57" i="6" s="1"/>
  <c r="U57" i="6"/>
  <c r="R57" i="6"/>
  <c r="O57" i="6"/>
  <c r="N57" i="6"/>
  <c r="L57" i="6"/>
  <c r="H57" i="6"/>
  <c r="I57" i="6" s="1"/>
  <c r="F57" i="6"/>
  <c r="C57" i="6"/>
  <c r="AD56" i="6"/>
  <c r="AC56" i="6"/>
  <c r="AA56" i="6"/>
  <c r="X56" i="6"/>
  <c r="W56" i="6"/>
  <c r="U56" i="6"/>
  <c r="R56" i="6"/>
  <c r="N56" i="6"/>
  <c r="O56" i="6" s="1"/>
  <c r="L56" i="6"/>
  <c r="H56" i="6"/>
  <c r="I56" i="6" s="1"/>
  <c r="F56" i="6"/>
  <c r="C56" i="6"/>
  <c r="AC55" i="6"/>
  <c r="AD55" i="6" s="1"/>
  <c r="AA55" i="6"/>
  <c r="X55" i="6"/>
  <c r="W55" i="6"/>
  <c r="U55" i="6"/>
  <c r="R55" i="6"/>
  <c r="O55" i="6"/>
  <c r="N55" i="6"/>
  <c r="L55" i="6"/>
  <c r="H55" i="6"/>
  <c r="I55" i="6" s="1"/>
  <c r="F55" i="6"/>
  <c r="C55" i="6"/>
  <c r="AC54" i="6"/>
  <c r="AD54" i="6" s="1"/>
  <c r="AA54" i="6"/>
  <c r="X54" i="6"/>
  <c r="W54" i="6"/>
  <c r="U54" i="6"/>
  <c r="R54" i="6"/>
  <c r="O54" i="6"/>
  <c r="N54" i="6"/>
  <c r="L54" i="6"/>
  <c r="I54" i="6"/>
  <c r="H54" i="6"/>
  <c r="F54" i="6"/>
  <c r="C54" i="6"/>
  <c r="AC53" i="6"/>
  <c r="AD53" i="6" s="1"/>
  <c r="AA53" i="6"/>
  <c r="W53" i="6"/>
  <c r="X53" i="6" s="1"/>
  <c r="U53" i="6"/>
  <c r="R53" i="6"/>
  <c r="O53" i="6"/>
  <c r="N53" i="6"/>
  <c r="L53" i="6"/>
  <c r="I53" i="6"/>
  <c r="H53" i="6"/>
  <c r="F53" i="6"/>
  <c r="C53" i="6"/>
  <c r="AD52" i="6"/>
  <c r="AC52" i="6"/>
  <c r="AA52" i="6"/>
  <c r="W52" i="6"/>
  <c r="X52" i="6" s="1"/>
  <c r="U52" i="6"/>
  <c r="R52" i="6"/>
  <c r="O52" i="6"/>
  <c r="N52" i="6"/>
  <c r="L52" i="6"/>
  <c r="H52" i="6"/>
  <c r="I52" i="6" s="1"/>
  <c r="F52" i="6"/>
  <c r="C52" i="6"/>
  <c r="AC51" i="6"/>
  <c r="AD51" i="6" s="1"/>
  <c r="AA51" i="6"/>
  <c r="X51" i="6"/>
  <c r="W51" i="6"/>
  <c r="U51" i="6"/>
  <c r="R51" i="6"/>
  <c r="O51" i="6"/>
  <c r="N51" i="6"/>
  <c r="L51" i="6"/>
  <c r="I51" i="6"/>
  <c r="H51" i="6"/>
  <c r="F51" i="6"/>
  <c r="C51" i="6"/>
  <c r="AC50" i="6"/>
  <c r="AD50" i="6" s="1"/>
  <c r="AA50" i="6"/>
  <c r="X50" i="6"/>
  <c r="W50" i="6"/>
  <c r="U50" i="6"/>
  <c r="R50" i="6"/>
  <c r="O50" i="6"/>
  <c r="N50" i="6"/>
  <c r="L50" i="6"/>
  <c r="H50" i="6"/>
  <c r="I50" i="6" s="1"/>
  <c r="F50" i="6"/>
  <c r="C50" i="6"/>
  <c r="AC49" i="6"/>
  <c r="AD49" i="6" s="1"/>
  <c r="AA49" i="6"/>
  <c r="W49" i="6"/>
  <c r="X49" i="6" s="1"/>
  <c r="U49" i="6"/>
  <c r="R49" i="6"/>
  <c r="O49" i="6"/>
  <c r="N49" i="6"/>
  <c r="L49" i="6"/>
  <c r="I49" i="6"/>
  <c r="H49" i="6"/>
  <c r="F49" i="6"/>
  <c r="C49" i="6"/>
  <c r="AD48" i="6"/>
  <c r="AC48" i="6"/>
  <c r="AA48" i="6"/>
  <c r="W48" i="6"/>
  <c r="X48" i="6" s="1"/>
  <c r="U48" i="6"/>
  <c r="R48" i="6"/>
  <c r="O48" i="6"/>
  <c r="N48" i="6"/>
  <c r="L48" i="6"/>
  <c r="H48" i="6"/>
  <c r="I48" i="6" s="1"/>
  <c r="F48" i="6"/>
  <c r="C48" i="6"/>
  <c r="AD47" i="6"/>
  <c r="AC47" i="6"/>
  <c r="AA47" i="6"/>
  <c r="X47" i="6"/>
  <c r="W47" i="6"/>
  <c r="U47" i="6"/>
  <c r="R47" i="6"/>
  <c r="N47" i="6"/>
  <c r="O47" i="6" s="1"/>
  <c r="L47" i="6"/>
  <c r="I47" i="6"/>
  <c r="H47" i="6"/>
  <c r="F47" i="6"/>
  <c r="C47" i="6"/>
  <c r="AC46" i="6"/>
  <c r="AD46" i="6" s="1"/>
  <c r="AA46" i="6"/>
  <c r="X46" i="6"/>
  <c r="W46" i="6"/>
  <c r="U46" i="6"/>
  <c r="R46" i="6"/>
  <c r="O46" i="6"/>
  <c r="N46" i="6"/>
  <c r="L46" i="6"/>
  <c r="H46" i="6"/>
  <c r="I46" i="6" s="1"/>
  <c r="F46" i="6"/>
  <c r="C46" i="6"/>
  <c r="AC44" i="6"/>
  <c r="AD44" i="6" s="1"/>
  <c r="AA44" i="6"/>
  <c r="W44" i="6"/>
  <c r="X44" i="6" s="1"/>
  <c r="U44" i="6"/>
  <c r="R44" i="6"/>
  <c r="O44" i="6"/>
  <c r="N44" i="6"/>
  <c r="L44" i="6"/>
  <c r="I44" i="6"/>
  <c r="H44" i="6"/>
  <c r="F44" i="6"/>
  <c r="C44" i="6"/>
  <c r="AC43" i="6"/>
  <c r="AD43" i="6" s="1"/>
  <c r="AA43" i="6"/>
  <c r="X43" i="6"/>
  <c r="W43" i="6"/>
  <c r="U43" i="6"/>
  <c r="R43" i="6"/>
  <c r="N43" i="6"/>
  <c r="O43" i="6" s="1"/>
  <c r="L43" i="6"/>
  <c r="H43" i="6"/>
  <c r="I43" i="6" s="1"/>
  <c r="F43" i="6"/>
  <c r="C43" i="6"/>
  <c r="AC42" i="6"/>
  <c r="AD42" i="6" s="1"/>
  <c r="AA42" i="6"/>
  <c r="X42" i="6"/>
  <c r="W42" i="6"/>
  <c r="U42" i="6"/>
  <c r="R42" i="6"/>
  <c r="O42" i="6"/>
  <c r="N42" i="6"/>
  <c r="L42" i="6"/>
  <c r="I42" i="6"/>
  <c r="H42" i="6"/>
  <c r="F42" i="6"/>
  <c r="C42" i="6"/>
  <c r="Z40" i="6"/>
  <c r="AA40" i="6" s="1"/>
  <c r="T40" i="6"/>
  <c r="U40" i="6" s="1"/>
  <c r="Q40" i="6"/>
  <c r="W40" i="6" s="1"/>
  <c r="X40" i="6" s="1"/>
  <c r="L40" i="6"/>
  <c r="K40" i="6"/>
  <c r="H40" i="6"/>
  <c r="I40" i="6" s="1"/>
  <c r="F40" i="6"/>
  <c r="E40" i="6"/>
  <c r="B40" i="6"/>
  <c r="AC39" i="6"/>
  <c r="AD39" i="6" s="1"/>
  <c r="AA39" i="6"/>
  <c r="W39" i="6"/>
  <c r="X39" i="6" s="1"/>
  <c r="U39" i="6"/>
  <c r="R39" i="6"/>
  <c r="O39" i="6"/>
  <c r="N39" i="6"/>
  <c r="L39" i="6"/>
  <c r="H39" i="6"/>
  <c r="I39" i="6" s="1"/>
  <c r="F39" i="6"/>
  <c r="C39" i="6"/>
  <c r="AD38" i="6"/>
  <c r="AC38" i="6"/>
  <c r="AA38" i="6"/>
  <c r="X38" i="6"/>
  <c r="W38" i="6"/>
  <c r="U38" i="6"/>
  <c r="R38" i="6"/>
  <c r="N38" i="6"/>
  <c r="O38" i="6" s="1"/>
  <c r="L38" i="6"/>
  <c r="I38" i="6"/>
  <c r="H38" i="6"/>
  <c r="F38" i="6"/>
  <c r="C38" i="6"/>
  <c r="AC37" i="6"/>
  <c r="AD37" i="6" s="1"/>
  <c r="AA37" i="6"/>
  <c r="W37" i="6"/>
  <c r="X37" i="6" s="1"/>
  <c r="U37" i="6"/>
  <c r="R37" i="6"/>
  <c r="O37" i="6"/>
  <c r="N37" i="6"/>
  <c r="L37" i="6"/>
  <c r="I37" i="6"/>
  <c r="H37" i="6"/>
  <c r="F37" i="6"/>
  <c r="C37" i="6"/>
  <c r="AC36" i="6"/>
  <c r="AD36" i="6" s="1"/>
  <c r="AA36" i="6"/>
  <c r="W36" i="6"/>
  <c r="X36" i="6" s="1"/>
  <c r="U36" i="6"/>
  <c r="R36" i="6"/>
  <c r="O36" i="6"/>
  <c r="N36" i="6"/>
  <c r="L36" i="6"/>
  <c r="I36" i="6"/>
  <c r="H36" i="6"/>
  <c r="F36" i="6"/>
  <c r="C36" i="6"/>
  <c r="AC35" i="6"/>
  <c r="AD35" i="6" s="1"/>
  <c r="AA35" i="6"/>
  <c r="W35" i="6"/>
  <c r="X35" i="6" s="1"/>
  <c r="U35" i="6"/>
  <c r="R35" i="6"/>
  <c r="O35" i="6"/>
  <c r="N35" i="6"/>
  <c r="L35" i="6"/>
  <c r="H35" i="6"/>
  <c r="I35" i="6" s="1"/>
  <c r="F35" i="6"/>
  <c r="C35" i="6"/>
  <c r="AC34" i="6"/>
  <c r="AD34" i="6" s="1"/>
  <c r="AA34" i="6"/>
  <c r="X34" i="6"/>
  <c r="W34" i="6"/>
  <c r="U34" i="6"/>
  <c r="R34" i="6"/>
  <c r="O34" i="6"/>
  <c r="N34" i="6"/>
  <c r="L34" i="6"/>
  <c r="I34" i="6"/>
  <c r="H34" i="6"/>
  <c r="F34" i="6"/>
  <c r="C34" i="6"/>
  <c r="AC33" i="6"/>
  <c r="AD33" i="6" s="1"/>
  <c r="AA33" i="6"/>
  <c r="X33" i="6"/>
  <c r="W33" i="6"/>
  <c r="U33" i="6"/>
  <c r="R33" i="6"/>
  <c r="N33" i="6"/>
  <c r="O33" i="6" s="1"/>
  <c r="L33" i="6"/>
  <c r="I33" i="6"/>
  <c r="H33" i="6"/>
  <c r="F33" i="6"/>
  <c r="C33" i="6"/>
  <c r="AC32" i="6"/>
  <c r="AD32" i="6" s="1"/>
  <c r="AA32" i="6"/>
  <c r="X32" i="6"/>
  <c r="W32" i="6"/>
  <c r="U32" i="6"/>
  <c r="R32" i="6"/>
  <c r="O32" i="6"/>
  <c r="N32" i="6"/>
  <c r="L32" i="6"/>
  <c r="H32" i="6"/>
  <c r="I32" i="6" s="1"/>
  <c r="F32" i="6"/>
  <c r="C32" i="6"/>
  <c r="AD31" i="6"/>
  <c r="AC31" i="6"/>
  <c r="AA31" i="6"/>
  <c r="X31" i="6"/>
  <c r="W31" i="6"/>
  <c r="U31" i="6"/>
  <c r="R31" i="6"/>
  <c r="N31" i="6"/>
  <c r="O31" i="6" s="1"/>
  <c r="L31" i="6"/>
  <c r="H31" i="6"/>
  <c r="I31" i="6" s="1"/>
  <c r="F31" i="6"/>
  <c r="C31" i="6"/>
  <c r="AC29" i="6"/>
  <c r="AD29" i="6" s="1"/>
  <c r="AA29" i="6"/>
  <c r="Z29" i="6"/>
  <c r="T29" i="6"/>
  <c r="W29" i="6" s="1"/>
  <c r="X29" i="6" s="1"/>
  <c r="Q29" i="6"/>
  <c r="R29" i="6" s="1"/>
  <c r="N29" i="6"/>
  <c r="O29" i="6" s="1"/>
  <c r="K29" i="6"/>
  <c r="L29" i="6" s="1"/>
  <c r="I29" i="6"/>
  <c r="H29" i="6"/>
  <c r="F29" i="6"/>
  <c r="E29" i="6"/>
  <c r="B29" i="6"/>
  <c r="C29" i="6" s="1"/>
  <c r="AC28" i="6"/>
  <c r="AD28" i="6" s="1"/>
  <c r="AA28" i="6"/>
  <c r="X28" i="6"/>
  <c r="W28" i="6"/>
  <c r="U28" i="6"/>
  <c r="R28" i="6"/>
  <c r="O28" i="6"/>
  <c r="N28" i="6"/>
  <c r="L28" i="6"/>
  <c r="I28" i="6"/>
  <c r="H28" i="6"/>
  <c r="F28" i="6"/>
  <c r="C28" i="6"/>
  <c r="AC27" i="6"/>
  <c r="AD27" i="6" s="1"/>
  <c r="AA27" i="6"/>
  <c r="W27" i="6"/>
  <c r="X27" i="6" s="1"/>
  <c r="U27" i="6"/>
  <c r="R27" i="6"/>
  <c r="O27" i="6"/>
  <c r="N27" i="6"/>
  <c r="L27" i="6"/>
  <c r="H27" i="6"/>
  <c r="I27" i="6" s="1"/>
  <c r="F27" i="6"/>
  <c r="C27" i="6"/>
  <c r="AD26" i="6"/>
  <c r="AC26" i="6"/>
  <c r="AA26" i="6"/>
  <c r="X26" i="6"/>
  <c r="W26" i="6"/>
  <c r="U26" i="6"/>
  <c r="R26" i="6"/>
  <c r="O26" i="6"/>
  <c r="N26" i="6"/>
  <c r="L26" i="6"/>
  <c r="I26" i="6"/>
  <c r="H26" i="6"/>
  <c r="F26" i="6"/>
  <c r="C26" i="6"/>
  <c r="AC25" i="6"/>
  <c r="AD25" i="6" s="1"/>
  <c r="AA25" i="6"/>
  <c r="X25" i="6"/>
  <c r="W25" i="6"/>
  <c r="U25" i="6"/>
  <c r="R25" i="6"/>
  <c r="N25" i="6"/>
  <c r="O25" i="6" s="1"/>
  <c r="L25" i="6"/>
  <c r="H25" i="6"/>
  <c r="I25" i="6" s="1"/>
  <c r="F25" i="6"/>
  <c r="C25" i="6"/>
  <c r="AC24" i="6"/>
  <c r="AD24" i="6" s="1"/>
  <c r="AA24" i="6"/>
  <c r="W24" i="6"/>
  <c r="X24" i="6" s="1"/>
  <c r="U24" i="6"/>
  <c r="R24" i="6"/>
  <c r="O24" i="6"/>
  <c r="N24" i="6"/>
  <c r="L24" i="6"/>
  <c r="H24" i="6"/>
  <c r="I24" i="6" s="1"/>
  <c r="F24" i="6"/>
  <c r="C24" i="6"/>
  <c r="AD23" i="6"/>
  <c r="AC23" i="6"/>
  <c r="AA23" i="6"/>
  <c r="X23" i="6"/>
  <c r="W23" i="6"/>
  <c r="U23" i="6"/>
  <c r="R23" i="6"/>
  <c r="O23" i="6"/>
  <c r="N23" i="6"/>
  <c r="L23" i="6"/>
  <c r="H23" i="6"/>
  <c r="I23" i="6" s="1"/>
  <c r="F23" i="6"/>
  <c r="C23" i="6"/>
  <c r="AC22" i="6"/>
  <c r="AD22" i="6" s="1"/>
  <c r="AA22" i="6"/>
  <c r="X22" i="6"/>
  <c r="W22" i="6"/>
  <c r="U22" i="6"/>
  <c r="R22" i="6"/>
  <c r="N22" i="6"/>
  <c r="O22" i="6" s="1"/>
  <c r="L22" i="6"/>
  <c r="H22" i="6"/>
  <c r="I22" i="6" s="1"/>
  <c r="F22" i="6"/>
  <c r="C22" i="6"/>
  <c r="AD21" i="6"/>
  <c r="AC21" i="6"/>
  <c r="AA21" i="6"/>
  <c r="X21" i="6"/>
  <c r="W21" i="6"/>
  <c r="U21" i="6"/>
  <c r="R21" i="6"/>
  <c r="N21" i="6"/>
  <c r="O21" i="6" s="1"/>
  <c r="L21" i="6"/>
  <c r="H21" i="6"/>
  <c r="I21" i="6" s="1"/>
  <c r="F21" i="6"/>
  <c r="C21" i="6"/>
  <c r="AC19" i="6"/>
  <c r="AD19" i="6" s="1"/>
  <c r="AA19" i="6"/>
  <c r="X19" i="6"/>
  <c r="W19" i="6"/>
  <c r="U19" i="6"/>
  <c r="R19" i="6"/>
  <c r="O19" i="6"/>
  <c r="N19" i="6"/>
  <c r="L19" i="6"/>
  <c r="H19" i="6"/>
  <c r="I19" i="6" s="1"/>
  <c r="F19" i="6"/>
  <c r="C19" i="6"/>
  <c r="Z18" i="6"/>
  <c r="AA18" i="6" s="1"/>
  <c r="U18" i="6"/>
  <c r="T18" i="6"/>
  <c r="Q18" i="6"/>
  <c r="K18" i="6"/>
  <c r="L18" i="6" s="1"/>
  <c r="F18" i="6"/>
  <c r="E18" i="6"/>
  <c r="B18" i="6"/>
  <c r="AD17" i="6"/>
  <c r="AC17" i="6"/>
  <c r="AA17" i="6"/>
  <c r="W17" i="6"/>
  <c r="X17" i="6" s="1"/>
  <c r="U17" i="6"/>
  <c r="R17" i="6"/>
  <c r="N17" i="6"/>
  <c r="O17" i="6" s="1"/>
  <c r="L17" i="6"/>
  <c r="I17" i="6"/>
  <c r="H17" i="6"/>
  <c r="F17" i="6"/>
  <c r="C17" i="6"/>
  <c r="AC16" i="6"/>
  <c r="AD16" i="6" s="1"/>
  <c r="AA16" i="6"/>
  <c r="X16" i="6"/>
  <c r="W16" i="6"/>
  <c r="U16" i="6"/>
  <c r="R16" i="6"/>
  <c r="O16" i="6"/>
  <c r="N16" i="6"/>
  <c r="L16" i="6"/>
  <c r="H16" i="6"/>
  <c r="I16" i="6" s="1"/>
  <c r="F16" i="6"/>
  <c r="C16" i="6"/>
  <c r="AC15" i="6"/>
  <c r="AD15" i="6" s="1"/>
  <c r="AA15" i="6"/>
  <c r="X15" i="6"/>
  <c r="W15" i="6"/>
  <c r="U15" i="6"/>
  <c r="R15" i="6"/>
  <c r="O15" i="6"/>
  <c r="N15" i="6"/>
  <c r="L15" i="6"/>
  <c r="H15" i="6"/>
  <c r="I15" i="6" s="1"/>
  <c r="F15" i="6"/>
  <c r="C15" i="6"/>
  <c r="AC14" i="6"/>
  <c r="AD14" i="6" s="1"/>
  <c r="AA14" i="6"/>
  <c r="X14" i="6"/>
  <c r="W14" i="6"/>
  <c r="U14" i="6"/>
  <c r="R14" i="6"/>
  <c r="O14" i="6"/>
  <c r="N14" i="6"/>
  <c r="L14" i="6"/>
  <c r="I14" i="6"/>
  <c r="H14" i="6"/>
  <c r="F14" i="6"/>
  <c r="C14" i="6"/>
  <c r="AC13" i="6"/>
  <c r="AD13" i="6" s="1"/>
  <c r="AA13" i="6"/>
  <c r="W13" i="6"/>
  <c r="X13" i="6" s="1"/>
  <c r="U13" i="6"/>
  <c r="R13" i="6"/>
  <c r="O13" i="6"/>
  <c r="N13" i="6"/>
  <c r="L13" i="6"/>
  <c r="H13" i="6"/>
  <c r="I13" i="6" s="1"/>
  <c r="F13" i="6"/>
  <c r="C13" i="6"/>
  <c r="AC12" i="6"/>
  <c r="AD12" i="6" s="1"/>
  <c r="AA12" i="6"/>
  <c r="X12" i="6"/>
  <c r="W12" i="6"/>
  <c r="U12" i="6"/>
  <c r="R12" i="6"/>
  <c r="O12" i="6"/>
  <c r="N12" i="6"/>
  <c r="L12" i="6"/>
  <c r="I12" i="6"/>
  <c r="H12" i="6"/>
  <c r="F12" i="6"/>
  <c r="C12" i="6"/>
  <c r="AD11" i="6"/>
  <c r="AC11" i="6"/>
  <c r="AA11" i="6"/>
  <c r="W11" i="6"/>
  <c r="X11" i="6" s="1"/>
  <c r="U11" i="6"/>
  <c r="R11" i="6"/>
  <c r="N11" i="6"/>
  <c r="O11" i="6" s="1"/>
  <c r="L11" i="6"/>
  <c r="H11" i="6"/>
  <c r="I11" i="6" s="1"/>
  <c r="F11" i="6"/>
  <c r="C11" i="6"/>
  <c r="AD10" i="6"/>
  <c r="AC10" i="6"/>
  <c r="AA10" i="6"/>
  <c r="X10" i="6"/>
  <c r="W10" i="6"/>
  <c r="U10" i="6"/>
  <c r="R10" i="6"/>
  <c r="N10" i="6"/>
  <c r="O10" i="6" s="1"/>
  <c r="L10" i="6"/>
  <c r="H10" i="6"/>
  <c r="I10" i="6" s="1"/>
  <c r="F10" i="6"/>
  <c r="C10" i="6"/>
  <c r="AC8" i="6"/>
  <c r="AD8" i="6" s="1"/>
  <c r="AA8" i="6"/>
  <c r="X8" i="6"/>
  <c r="W8" i="6"/>
  <c r="U8" i="6"/>
  <c r="R8" i="6"/>
  <c r="N8" i="6"/>
  <c r="O8" i="6" s="1"/>
  <c r="L8" i="6"/>
  <c r="I8" i="6"/>
  <c r="H8" i="6"/>
  <c r="F8" i="6"/>
  <c r="C8" i="6"/>
  <c r="AC444" i="5"/>
  <c r="W444" i="5"/>
  <c r="N444" i="5"/>
  <c r="O380" i="5" s="1"/>
  <c r="H444" i="5"/>
  <c r="I421" i="5" s="1"/>
  <c r="AA442" i="5"/>
  <c r="Z442" i="5"/>
  <c r="AC442" i="5" s="1"/>
  <c r="AD442" i="5" s="1"/>
  <c r="U442" i="5"/>
  <c r="T442" i="5"/>
  <c r="W442" i="5" s="1"/>
  <c r="X442" i="5" s="1"/>
  <c r="Q442" i="5"/>
  <c r="R442" i="5" s="1"/>
  <c r="N442" i="5"/>
  <c r="O442" i="5" s="1"/>
  <c r="L442" i="5"/>
  <c r="K442" i="5"/>
  <c r="H442" i="5"/>
  <c r="I442" i="5" s="1"/>
  <c r="E442" i="5"/>
  <c r="F442" i="5" s="1"/>
  <c r="B442" i="5"/>
  <c r="C442" i="5" s="1"/>
  <c r="AC441" i="5"/>
  <c r="AD441" i="5" s="1"/>
  <c r="Z441" i="5"/>
  <c r="AA441" i="5" s="1"/>
  <c r="T441" i="5"/>
  <c r="W441" i="5" s="1"/>
  <c r="X441" i="5" s="1"/>
  <c r="Q441" i="5"/>
  <c r="R441" i="5" s="1"/>
  <c r="K441" i="5"/>
  <c r="L441" i="5" s="1"/>
  <c r="F441" i="5"/>
  <c r="E441" i="5"/>
  <c r="H441" i="5" s="1"/>
  <c r="I441" i="5" s="1"/>
  <c r="B441" i="5"/>
  <c r="AC440" i="5"/>
  <c r="AD440" i="5" s="1"/>
  <c r="AA440" i="5"/>
  <c r="X440" i="5"/>
  <c r="W440" i="5"/>
  <c r="U440" i="5"/>
  <c r="R440" i="5"/>
  <c r="O440" i="5"/>
  <c r="N440" i="5"/>
  <c r="L440" i="5"/>
  <c r="I440" i="5"/>
  <c r="H440" i="5"/>
  <c r="F440" i="5"/>
  <c r="C440" i="5"/>
  <c r="AD439" i="5"/>
  <c r="AC439" i="5"/>
  <c r="AA439" i="5"/>
  <c r="W439" i="5"/>
  <c r="X439" i="5" s="1"/>
  <c r="U439" i="5"/>
  <c r="R439" i="5"/>
  <c r="N439" i="5"/>
  <c r="O439" i="5" s="1"/>
  <c r="L439" i="5"/>
  <c r="H439" i="5"/>
  <c r="F439" i="5"/>
  <c r="C439" i="5"/>
  <c r="AC438" i="5"/>
  <c r="AD438" i="5" s="1"/>
  <c r="AA438" i="5"/>
  <c r="X438" i="5"/>
  <c r="W438" i="5"/>
  <c r="U438" i="5"/>
  <c r="R438" i="5"/>
  <c r="N438" i="5"/>
  <c r="O438" i="5" s="1"/>
  <c r="L438" i="5"/>
  <c r="H438" i="5"/>
  <c r="I438" i="5" s="1"/>
  <c r="F438" i="5"/>
  <c r="C438" i="5"/>
  <c r="AC437" i="5"/>
  <c r="AD437" i="5" s="1"/>
  <c r="AA437" i="5"/>
  <c r="W437" i="5"/>
  <c r="X437" i="5" s="1"/>
  <c r="U437" i="5"/>
  <c r="R437" i="5"/>
  <c r="O437" i="5"/>
  <c r="N437" i="5"/>
  <c r="L437" i="5"/>
  <c r="I437" i="5"/>
  <c r="H437" i="5"/>
  <c r="F437" i="5"/>
  <c r="C437" i="5"/>
  <c r="AC436" i="5"/>
  <c r="AD436" i="5" s="1"/>
  <c r="AA436" i="5"/>
  <c r="W436" i="5"/>
  <c r="X436" i="5" s="1"/>
  <c r="U436" i="5"/>
  <c r="R436" i="5"/>
  <c r="O436" i="5"/>
  <c r="N436" i="5"/>
  <c r="L436" i="5"/>
  <c r="I436" i="5"/>
  <c r="H436" i="5"/>
  <c r="F436" i="5"/>
  <c r="C436" i="5"/>
  <c r="AD435" i="5"/>
  <c r="AC435" i="5"/>
  <c r="AA435" i="5"/>
  <c r="W435" i="5"/>
  <c r="X435" i="5" s="1"/>
  <c r="U435" i="5"/>
  <c r="R435" i="5"/>
  <c r="N435" i="5"/>
  <c r="O435" i="5" s="1"/>
  <c r="L435" i="5"/>
  <c r="H435" i="5"/>
  <c r="I435" i="5" s="1"/>
  <c r="F435" i="5"/>
  <c r="C435" i="5"/>
  <c r="AC434" i="5"/>
  <c r="AD434" i="5" s="1"/>
  <c r="AA434" i="5"/>
  <c r="X434" i="5"/>
  <c r="W434" i="5"/>
  <c r="U434" i="5"/>
  <c r="R434" i="5"/>
  <c r="O434" i="5"/>
  <c r="N434" i="5"/>
  <c r="L434" i="5"/>
  <c r="H434" i="5"/>
  <c r="I434" i="5" s="1"/>
  <c r="F434" i="5"/>
  <c r="C434" i="5"/>
  <c r="AD433" i="5"/>
  <c r="AC433" i="5"/>
  <c r="AA433" i="5"/>
  <c r="X433" i="5"/>
  <c r="W433" i="5"/>
  <c r="U433" i="5"/>
  <c r="R433" i="5"/>
  <c r="N433" i="5"/>
  <c r="O433" i="5" s="1"/>
  <c r="L433" i="5"/>
  <c r="H433" i="5"/>
  <c r="I433" i="5" s="1"/>
  <c r="F433" i="5"/>
  <c r="C433" i="5"/>
  <c r="AC432" i="5"/>
  <c r="AD432" i="5" s="1"/>
  <c r="AA432" i="5"/>
  <c r="W432" i="5"/>
  <c r="X432" i="5" s="1"/>
  <c r="U432" i="5"/>
  <c r="R432" i="5"/>
  <c r="O432" i="5"/>
  <c r="N432" i="5"/>
  <c r="L432" i="5"/>
  <c r="I432" i="5"/>
  <c r="H432" i="5"/>
  <c r="F432" i="5"/>
  <c r="C432" i="5"/>
  <c r="AC429" i="5"/>
  <c r="AD429" i="5" s="1"/>
  <c r="Z429" i="5"/>
  <c r="AA429" i="5" s="1"/>
  <c r="W429" i="5"/>
  <c r="X429" i="5" s="1"/>
  <c r="U429" i="5"/>
  <c r="T429" i="5"/>
  <c r="Q429" i="5"/>
  <c r="R429" i="5" s="1"/>
  <c r="N429" i="5"/>
  <c r="O429" i="5" s="1"/>
  <c r="L429" i="5"/>
  <c r="K429" i="5"/>
  <c r="H429" i="5"/>
  <c r="I429" i="5" s="1"/>
  <c r="F429" i="5"/>
  <c r="E429" i="5"/>
  <c r="B429" i="5"/>
  <c r="C429" i="5" s="1"/>
  <c r="Z428" i="5"/>
  <c r="AA428" i="5" s="1"/>
  <c r="W428" i="5"/>
  <c r="X428" i="5" s="1"/>
  <c r="T428" i="5"/>
  <c r="U428" i="5" s="1"/>
  <c r="Q428" i="5"/>
  <c r="R428" i="5" s="1"/>
  <c r="K428" i="5"/>
  <c r="L428" i="5" s="1"/>
  <c r="E428" i="5"/>
  <c r="F428" i="5" s="1"/>
  <c r="B428" i="5"/>
  <c r="AD427" i="5"/>
  <c r="AC427" i="5"/>
  <c r="AA427" i="5"/>
  <c r="X427" i="5"/>
  <c r="W427" i="5"/>
  <c r="U427" i="5"/>
  <c r="R427" i="5"/>
  <c r="N427" i="5"/>
  <c r="O427" i="5" s="1"/>
  <c r="L427" i="5"/>
  <c r="H427" i="5"/>
  <c r="I427" i="5" s="1"/>
  <c r="F427" i="5"/>
  <c r="C427" i="5"/>
  <c r="AD426" i="5"/>
  <c r="AC426" i="5"/>
  <c r="AA426" i="5"/>
  <c r="X426" i="5"/>
  <c r="W426" i="5"/>
  <c r="U426" i="5"/>
  <c r="R426" i="5"/>
  <c r="N426" i="5"/>
  <c r="O426" i="5" s="1"/>
  <c r="L426" i="5"/>
  <c r="H426" i="5"/>
  <c r="I426" i="5" s="1"/>
  <c r="F426" i="5"/>
  <c r="C426" i="5"/>
  <c r="AD425" i="5"/>
  <c r="AC425" i="5"/>
  <c r="AA425" i="5"/>
  <c r="X425" i="5"/>
  <c r="W425" i="5"/>
  <c r="U425" i="5"/>
  <c r="R425" i="5"/>
  <c r="N425" i="5"/>
  <c r="O425" i="5" s="1"/>
  <c r="L425" i="5"/>
  <c r="I425" i="5"/>
  <c r="H425" i="5"/>
  <c r="F425" i="5"/>
  <c r="C425" i="5"/>
  <c r="AC424" i="5"/>
  <c r="AD424" i="5" s="1"/>
  <c r="AA424" i="5"/>
  <c r="X424" i="5"/>
  <c r="W424" i="5"/>
  <c r="U424" i="5"/>
  <c r="R424" i="5"/>
  <c r="O424" i="5"/>
  <c r="N424" i="5"/>
  <c r="L424" i="5"/>
  <c r="H424" i="5"/>
  <c r="I424" i="5" s="1"/>
  <c r="F424" i="5"/>
  <c r="C424" i="5"/>
  <c r="AD423" i="5"/>
  <c r="AC423" i="5"/>
  <c r="AA423" i="5"/>
  <c r="X423" i="5"/>
  <c r="W423" i="5"/>
  <c r="U423" i="5"/>
  <c r="R423" i="5"/>
  <c r="N423" i="5"/>
  <c r="O423" i="5" s="1"/>
  <c r="L423" i="5"/>
  <c r="H423" i="5"/>
  <c r="I423" i="5" s="1"/>
  <c r="F423" i="5"/>
  <c r="C423" i="5"/>
  <c r="AD422" i="5"/>
  <c r="AC422" i="5"/>
  <c r="AA422" i="5"/>
  <c r="X422" i="5"/>
  <c r="W422" i="5"/>
  <c r="U422" i="5"/>
  <c r="R422" i="5"/>
  <c r="N422" i="5"/>
  <c r="O422" i="5" s="1"/>
  <c r="L422" i="5"/>
  <c r="I422" i="5"/>
  <c r="H422" i="5"/>
  <c r="F422" i="5"/>
  <c r="C422" i="5"/>
  <c r="AD421" i="5"/>
  <c r="AC421" i="5"/>
  <c r="AA421" i="5"/>
  <c r="W421" i="5"/>
  <c r="X421" i="5" s="1"/>
  <c r="U421" i="5"/>
  <c r="R421" i="5"/>
  <c r="N421" i="5"/>
  <c r="O421" i="5" s="1"/>
  <c r="L421" i="5"/>
  <c r="H421" i="5"/>
  <c r="F421" i="5"/>
  <c r="C421" i="5"/>
  <c r="AC420" i="5"/>
  <c r="AD420" i="5" s="1"/>
  <c r="AA420" i="5"/>
  <c r="W420" i="5"/>
  <c r="X420" i="5" s="1"/>
  <c r="U420" i="5"/>
  <c r="R420" i="5"/>
  <c r="O420" i="5"/>
  <c r="N420" i="5"/>
  <c r="L420" i="5"/>
  <c r="H420" i="5"/>
  <c r="I420" i="5" s="1"/>
  <c r="F420" i="5"/>
  <c r="C420" i="5"/>
  <c r="AC419" i="5"/>
  <c r="AD419" i="5" s="1"/>
  <c r="AA419" i="5"/>
  <c r="X419" i="5"/>
  <c r="W419" i="5"/>
  <c r="U419" i="5"/>
  <c r="R419" i="5"/>
  <c r="O419" i="5"/>
  <c r="N419" i="5"/>
  <c r="L419" i="5"/>
  <c r="H419" i="5"/>
  <c r="I419" i="5" s="1"/>
  <c r="F419" i="5"/>
  <c r="C419" i="5"/>
  <c r="AC418" i="5"/>
  <c r="AD418" i="5" s="1"/>
  <c r="AA418" i="5"/>
  <c r="X418" i="5"/>
  <c r="W418" i="5"/>
  <c r="U418" i="5"/>
  <c r="R418" i="5"/>
  <c r="O418" i="5"/>
  <c r="N418" i="5"/>
  <c r="L418" i="5"/>
  <c r="I418" i="5"/>
  <c r="H418" i="5"/>
  <c r="F418" i="5"/>
  <c r="C418" i="5"/>
  <c r="AD417" i="5"/>
  <c r="AC417" i="5"/>
  <c r="AA417" i="5"/>
  <c r="W417" i="5"/>
  <c r="X417" i="5" s="1"/>
  <c r="U417" i="5"/>
  <c r="R417" i="5"/>
  <c r="N417" i="5"/>
  <c r="O417" i="5" s="1"/>
  <c r="L417" i="5"/>
  <c r="H417" i="5"/>
  <c r="I417" i="5" s="1"/>
  <c r="F417" i="5"/>
  <c r="C417" i="5"/>
  <c r="AC416" i="5"/>
  <c r="AD416" i="5" s="1"/>
  <c r="AA416" i="5"/>
  <c r="W416" i="5"/>
  <c r="X416" i="5" s="1"/>
  <c r="U416" i="5"/>
  <c r="R416" i="5"/>
  <c r="O416" i="5"/>
  <c r="N416" i="5"/>
  <c r="L416" i="5"/>
  <c r="I416" i="5"/>
  <c r="H416" i="5"/>
  <c r="F416" i="5"/>
  <c r="C416" i="5"/>
  <c r="AC415" i="5"/>
  <c r="AD415" i="5" s="1"/>
  <c r="AA415" i="5"/>
  <c r="W415" i="5"/>
  <c r="X415" i="5" s="1"/>
  <c r="U415" i="5"/>
  <c r="R415" i="5"/>
  <c r="N415" i="5"/>
  <c r="O415" i="5" s="1"/>
  <c r="L415" i="5"/>
  <c r="H415" i="5"/>
  <c r="F415" i="5"/>
  <c r="C415" i="5"/>
  <c r="AC414" i="5"/>
  <c r="AD414" i="5" s="1"/>
  <c r="AA414" i="5"/>
  <c r="X414" i="5"/>
  <c r="W414" i="5"/>
  <c r="U414" i="5"/>
  <c r="R414" i="5"/>
  <c r="O414" i="5"/>
  <c r="N414" i="5"/>
  <c r="L414" i="5"/>
  <c r="H414" i="5"/>
  <c r="I414" i="5" s="1"/>
  <c r="F414" i="5"/>
  <c r="C414" i="5"/>
  <c r="AC413" i="5"/>
  <c r="AD413" i="5" s="1"/>
  <c r="AA413" i="5"/>
  <c r="X413" i="5"/>
  <c r="W413" i="5"/>
  <c r="U413" i="5"/>
  <c r="R413" i="5"/>
  <c r="N413" i="5"/>
  <c r="O413" i="5" s="1"/>
  <c r="L413" i="5"/>
  <c r="H413" i="5"/>
  <c r="I413" i="5" s="1"/>
  <c r="F413" i="5"/>
  <c r="C413" i="5"/>
  <c r="AC412" i="5"/>
  <c r="AD412" i="5" s="1"/>
  <c r="AA412" i="5"/>
  <c r="W412" i="5"/>
  <c r="X412" i="5" s="1"/>
  <c r="U412" i="5"/>
  <c r="R412" i="5"/>
  <c r="O412" i="5"/>
  <c r="N412" i="5"/>
  <c r="L412" i="5"/>
  <c r="H412" i="5"/>
  <c r="I412" i="5" s="1"/>
  <c r="F412" i="5"/>
  <c r="C412" i="5"/>
  <c r="AD411" i="5"/>
  <c r="AC411" i="5"/>
  <c r="AA411" i="5"/>
  <c r="X411" i="5"/>
  <c r="W411" i="5"/>
  <c r="U411" i="5"/>
  <c r="R411" i="5"/>
  <c r="N411" i="5"/>
  <c r="O411" i="5" s="1"/>
  <c r="L411" i="5"/>
  <c r="H411" i="5"/>
  <c r="I411" i="5" s="1"/>
  <c r="F411" i="5"/>
  <c r="C411" i="5"/>
  <c r="AD410" i="5"/>
  <c r="AC410" i="5"/>
  <c r="AA410" i="5"/>
  <c r="X410" i="5"/>
  <c r="W410" i="5"/>
  <c r="U410" i="5"/>
  <c r="R410" i="5"/>
  <c r="N410" i="5"/>
  <c r="O410" i="5" s="1"/>
  <c r="L410" i="5"/>
  <c r="H410" i="5"/>
  <c r="I410" i="5" s="1"/>
  <c r="F410" i="5"/>
  <c r="C410" i="5"/>
  <c r="AD409" i="5"/>
  <c r="AC409" i="5"/>
  <c r="AA409" i="5"/>
  <c r="X409" i="5"/>
  <c r="W409" i="5"/>
  <c r="U409" i="5"/>
  <c r="R409" i="5"/>
  <c r="O409" i="5"/>
  <c r="N409" i="5"/>
  <c r="L409" i="5"/>
  <c r="H409" i="5"/>
  <c r="I409" i="5" s="1"/>
  <c r="F409" i="5"/>
  <c r="C409" i="5"/>
  <c r="AC408" i="5"/>
  <c r="AD408" i="5" s="1"/>
  <c r="AA408" i="5"/>
  <c r="X408" i="5"/>
  <c r="W408" i="5"/>
  <c r="U408" i="5"/>
  <c r="R408" i="5"/>
  <c r="O408" i="5"/>
  <c r="N408" i="5"/>
  <c r="L408" i="5"/>
  <c r="I408" i="5"/>
  <c r="H408" i="5"/>
  <c r="F408" i="5"/>
  <c r="C408" i="5"/>
  <c r="AD407" i="5"/>
  <c r="AC407" i="5"/>
  <c r="AA407" i="5"/>
  <c r="W407" i="5"/>
  <c r="X407" i="5" s="1"/>
  <c r="U407" i="5"/>
  <c r="R407" i="5"/>
  <c r="N407" i="5"/>
  <c r="O407" i="5" s="1"/>
  <c r="L407" i="5"/>
  <c r="H407" i="5"/>
  <c r="I407" i="5" s="1"/>
  <c r="F407" i="5"/>
  <c r="C407" i="5"/>
  <c r="AC403" i="5"/>
  <c r="AD403" i="5" s="1"/>
  <c r="AA403" i="5"/>
  <c r="Z403" i="5"/>
  <c r="W403" i="5"/>
  <c r="X403" i="5" s="1"/>
  <c r="T403" i="5"/>
  <c r="U403" i="5" s="1"/>
  <c r="Q403" i="5"/>
  <c r="R403" i="5" s="1"/>
  <c r="K403" i="5"/>
  <c r="L403" i="5" s="1"/>
  <c r="E403" i="5"/>
  <c r="F403" i="5" s="1"/>
  <c r="B403" i="5"/>
  <c r="AC402" i="5"/>
  <c r="AD402" i="5" s="1"/>
  <c r="AA402" i="5"/>
  <c r="X402" i="5"/>
  <c r="W402" i="5"/>
  <c r="U402" i="5"/>
  <c r="R402" i="5"/>
  <c r="O402" i="5"/>
  <c r="N402" i="5"/>
  <c r="L402" i="5"/>
  <c r="H402" i="5"/>
  <c r="I402" i="5" s="1"/>
  <c r="F402" i="5"/>
  <c r="C402" i="5"/>
  <c r="AC401" i="5"/>
  <c r="AD401" i="5" s="1"/>
  <c r="AA401" i="5"/>
  <c r="X401" i="5"/>
  <c r="W401" i="5"/>
  <c r="U401" i="5"/>
  <c r="R401" i="5"/>
  <c r="O401" i="5"/>
  <c r="N401" i="5"/>
  <c r="L401" i="5"/>
  <c r="H401" i="5"/>
  <c r="I401" i="5" s="1"/>
  <c r="F401" i="5"/>
  <c r="C401" i="5"/>
  <c r="AC400" i="5"/>
  <c r="AD400" i="5" s="1"/>
  <c r="AA400" i="5"/>
  <c r="W400" i="5"/>
  <c r="X400" i="5" s="1"/>
  <c r="U400" i="5"/>
  <c r="R400" i="5"/>
  <c r="O400" i="5"/>
  <c r="N400" i="5"/>
  <c r="L400" i="5"/>
  <c r="I400" i="5"/>
  <c r="H400" i="5"/>
  <c r="F400" i="5"/>
  <c r="C400" i="5"/>
  <c r="AC399" i="5"/>
  <c r="AD399" i="5" s="1"/>
  <c r="AA399" i="5"/>
  <c r="W399" i="5"/>
  <c r="X399" i="5" s="1"/>
  <c r="U399" i="5"/>
  <c r="R399" i="5"/>
  <c r="N399" i="5"/>
  <c r="O399" i="5" s="1"/>
  <c r="L399" i="5"/>
  <c r="H399" i="5"/>
  <c r="I399" i="5" s="1"/>
  <c r="F399" i="5"/>
  <c r="C399" i="5"/>
  <c r="AC398" i="5"/>
  <c r="AD398" i="5" s="1"/>
  <c r="AA398" i="5"/>
  <c r="X398" i="5"/>
  <c r="W398" i="5"/>
  <c r="U398" i="5"/>
  <c r="R398" i="5"/>
  <c r="O398" i="5"/>
  <c r="N398" i="5"/>
  <c r="L398" i="5"/>
  <c r="H398" i="5"/>
  <c r="I398" i="5" s="1"/>
  <c r="F398" i="5"/>
  <c r="C398" i="5"/>
  <c r="AD397" i="5"/>
  <c r="AC397" i="5"/>
  <c r="AA397" i="5"/>
  <c r="X397" i="5"/>
  <c r="W397" i="5"/>
  <c r="U397" i="5"/>
  <c r="R397" i="5"/>
  <c r="O397" i="5"/>
  <c r="N397" i="5"/>
  <c r="L397" i="5"/>
  <c r="H397" i="5"/>
  <c r="I397" i="5" s="1"/>
  <c r="F397" i="5"/>
  <c r="C397" i="5"/>
  <c r="AA396" i="5"/>
  <c r="Z396" i="5"/>
  <c r="T396" i="5"/>
  <c r="U396" i="5" s="1"/>
  <c r="Q396" i="5"/>
  <c r="L396" i="5"/>
  <c r="K396" i="5"/>
  <c r="H396" i="5"/>
  <c r="I396" i="5" s="1"/>
  <c r="E396" i="5"/>
  <c r="F396" i="5" s="1"/>
  <c r="B396" i="5"/>
  <c r="AC395" i="5"/>
  <c r="AD395" i="5" s="1"/>
  <c r="AA395" i="5"/>
  <c r="X395" i="5"/>
  <c r="W395" i="5"/>
  <c r="U395" i="5"/>
  <c r="R395" i="5"/>
  <c r="O395" i="5"/>
  <c r="N395" i="5"/>
  <c r="L395" i="5"/>
  <c r="I395" i="5"/>
  <c r="H395" i="5"/>
  <c r="F395" i="5"/>
  <c r="C395" i="5"/>
  <c r="AD394" i="5"/>
  <c r="AC394" i="5"/>
  <c r="AA394" i="5"/>
  <c r="W394" i="5"/>
  <c r="X394" i="5" s="1"/>
  <c r="U394" i="5"/>
  <c r="R394" i="5"/>
  <c r="N394" i="5"/>
  <c r="O394" i="5" s="1"/>
  <c r="L394" i="5"/>
  <c r="H394" i="5"/>
  <c r="I394" i="5" s="1"/>
  <c r="F394" i="5"/>
  <c r="C394" i="5"/>
  <c r="Z393" i="5"/>
  <c r="AA393" i="5" s="1"/>
  <c r="T393" i="5"/>
  <c r="Q393" i="5"/>
  <c r="R393" i="5" s="1"/>
  <c r="K393" i="5"/>
  <c r="L393" i="5" s="1"/>
  <c r="E393" i="5"/>
  <c r="F393" i="5" s="1"/>
  <c r="B393" i="5"/>
  <c r="AD392" i="5"/>
  <c r="AC392" i="5"/>
  <c r="AA392" i="5"/>
  <c r="X392" i="5"/>
  <c r="W392" i="5"/>
  <c r="U392" i="5"/>
  <c r="R392" i="5"/>
  <c r="N392" i="5"/>
  <c r="O392" i="5" s="1"/>
  <c r="L392" i="5"/>
  <c r="I392" i="5"/>
  <c r="H392" i="5"/>
  <c r="F392" i="5"/>
  <c r="C392" i="5"/>
  <c r="AC391" i="5"/>
  <c r="AD391" i="5" s="1"/>
  <c r="AA391" i="5"/>
  <c r="X391" i="5"/>
  <c r="W391" i="5"/>
  <c r="U391" i="5"/>
  <c r="R391" i="5"/>
  <c r="O391" i="5"/>
  <c r="N391" i="5"/>
  <c r="L391" i="5"/>
  <c r="H391" i="5"/>
  <c r="I391" i="5" s="1"/>
  <c r="F391" i="5"/>
  <c r="C391" i="5"/>
  <c r="AC390" i="5"/>
  <c r="AD390" i="5" s="1"/>
  <c r="AA390" i="5"/>
  <c r="W390" i="5"/>
  <c r="X390" i="5" s="1"/>
  <c r="U390" i="5"/>
  <c r="R390" i="5"/>
  <c r="O390" i="5"/>
  <c r="N390" i="5"/>
  <c r="L390" i="5"/>
  <c r="I390" i="5"/>
  <c r="H390" i="5"/>
  <c r="F390" i="5"/>
  <c r="C390" i="5"/>
  <c r="AC389" i="5"/>
  <c r="AD389" i="5" s="1"/>
  <c r="AA389" i="5"/>
  <c r="X389" i="5"/>
  <c r="W389" i="5"/>
  <c r="U389" i="5"/>
  <c r="R389" i="5"/>
  <c r="N389" i="5"/>
  <c r="O389" i="5" s="1"/>
  <c r="L389" i="5"/>
  <c r="H389" i="5"/>
  <c r="I389" i="5" s="1"/>
  <c r="F389" i="5"/>
  <c r="C389" i="5"/>
  <c r="AC388" i="5"/>
  <c r="AD388" i="5" s="1"/>
  <c r="AA388" i="5"/>
  <c r="X388" i="5"/>
  <c r="W388" i="5"/>
  <c r="U388" i="5"/>
  <c r="R388" i="5"/>
  <c r="O388" i="5"/>
  <c r="N388" i="5"/>
  <c r="L388" i="5"/>
  <c r="H388" i="5"/>
  <c r="I388" i="5" s="1"/>
  <c r="F388" i="5"/>
  <c r="C388" i="5"/>
  <c r="AC386" i="5"/>
  <c r="AD386" i="5" s="1"/>
  <c r="AA386" i="5"/>
  <c r="W386" i="5"/>
  <c r="X386" i="5" s="1"/>
  <c r="U386" i="5"/>
  <c r="R386" i="5"/>
  <c r="O386" i="5"/>
  <c r="N386" i="5"/>
  <c r="L386" i="5"/>
  <c r="H386" i="5"/>
  <c r="I386" i="5" s="1"/>
  <c r="F386" i="5"/>
  <c r="C386" i="5"/>
  <c r="AC385" i="5"/>
  <c r="AD385" i="5" s="1"/>
  <c r="AA385" i="5"/>
  <c r="X385" i="5"/>
  <c r="W385" i="5"/>
  <c r="U385" i="5"/>
  <c r="R385" i="5"/>
  <c r="O385" i="5"/>
  <c r="N385" i="5"/>
  <c r="L385" i="5"/>
  <c r="H385" i="5"/>
  <c r="I385" i="5" s="1"/>
  <c r="F385" i="5"/>
  <c r="C385" i="5"/>
  <c r="AD383" i="5"/>
  <c r="AC383" i="5"/>
  <c r="AA383" i="5"/>
  <c r="X383" i="5"/>
  <c r="W383" i="5"/>
  <c r="U383" i="5"/>
  <c r="R383" i="5"/>
  <c r="N383" i="5"/>
  <c r="O383" i="5" s="1"/>
  <c r="L383" i="5"/>
  <c r="H383" i="5"/>
  <c r="F383" i="5"/>
  <c r="C383" i="5"/>
  <c r="AC382" i="5"/>
  <c r="AD382" i="5" s="1"/>
  <c r="AA382" i="5"/>
  <c r="X382" i="5"/>
  <c r="W382" i="5"/>
  <c r="U382" i="5"/>
  <c r="R382" i="5"/>
  <c r="O382" i="5"/>
  <c r="N382" i="5"/>
  <c r="L382" i="5"/>
  <c r="H382" i="5"/>
  <c r="I382" i="5" s="1"/>
  <c r="F382" i="5"/>
  <c r="C382" i="5"/>
  <c r="AC381" i="5"/>
  <c r="AD381" i="5" s="1"/>
  <c r="AA381" i="5"/>
  <c r="X381" i="5"/>
  <c r="W381" i="5"/>
  <c r="U381" i="5"/>
  <c r="R381" i="5"/>
  <c r="O381" i="5"/>
  <c r="N381" i="5"/>
  <c r="L381" i="5"/>
  <c r="I381" i="5"/>
  <c r="H381" i="5"/>
  <c r="F381" i="5"/>
  <c r="C381" i="5"/>
  <c r="AC380" i="5"/>
  <c r="AD380" i="5" s="1"/>
  <c r="AA380" i="5"/>
  <c r="W380" i="5"/>
  <c r="X380" i="5" s="1"/>
  <c r="U380" i="5"/>
  <c r="R380" i="5"/>
  <c r="N380" i="5"/>
  <c r="L380" i="5"/>
  <c r="I380" i="5"/>
  <c r="H380" i="5"/>
  <c r="F380" i="5"/>
  <c r="C380" i="5"/>
  <c r="AD379" i="5"/>
  <c r="AC379" i="5"/>
  <c r="AA379" i="5"/>
  <c r="W379" i="5"/>
  <c r="X379" i="5" s="1"/>
  <c r="U379" i="5"/>
  <c r="R379" i="5"/>
  <c r="N379" i="5"/>
  <c r="O379" i="5" s="1"/>
  <c r="L379" i="5"/>
  <c r="H379" i="5"/>
  <c r="I379" i="5" s="1"/>
  <c r="F379" i="5"/>
  <c r="C379" i="5"/>
  <c r="AD378" i="5"/>
  <c r="AC378" i="5"/>
  <c r="AA378" i="5"/>
  <c r="X378" i="5"/>
  <c r="W378" i="5"/>
  <c r="U378" i="5"/>
  <c r="R378" i="5"/>
  <c r="O378" i="5"/>
  <c r="N378" i="5"/>
  <c r="L378" i="5"/>
  <c r="H378" i="5"/>
  <c r="I378" i="5" s="1"/>
  <c r="F378" i="5"/>
  <c r="C378" i="5"/>
  <c r="AC377" i="5"/>
  <c r="AD377" i="5" s="1"/>
  <c r="AA377" i="5"/>
  <c r="W377" i="5"/>
  <c r="X377" i="5" s="1"/>
  <c r="U377" i="5"/>
  <c r="R377" i="5"/>
  <c r="O377" i="5"/>
  <c r="N377" i="5"/>
  <c r="L377" i="5"/>
  <c r="I377" i="5"/>
  <c r="H377" i="5"/>
  <c r="F377" i="5"/>
  <c r="C377" i="5"/>
  <c r="AC376" i="5"/>
  <c r="AD376" i="5" s="1"/>
  <c r="AA376" i="5"/>
  <c r="W376" i="5"/>
  <c r="X376" i="5" s="1"/>
  <c r="U376" i="5"/>
  <c r="R376" i="5"/>
  <c r="O376" i="5"/>
  <c r="N376" i="5"/>
  <c r="L376" i="5"/>
  <c r="I376" i="5"/>
  <c r="H376" i="5"/>
  <c r="F376" i="5"/>
  <c r="C376" i="5"/>
  <c r="AC375" i="5"/>
  <c r="AD375" i="5" s="1"/>
  <c r="AA375" i="5"/>
  <c r="W375" i="5"/>
  <c r="X375" i="5" s="1"/>
  <c r="U375" i="5"/>
  <c r="R375" i="5"/>
  <c r="N375" i="5"/>
  <c r="O375" i="5" s="1"/>
  <c r="L375" i="5"/>
  <c r="H375" i="5"/>
  <c r="I375" i="5" s="1"/>
  <c r="F375" i="5"/>
  <c r="C375" i="5"/>
  <c r="AD374" i="5"/>
  <c r="AC374" i="5"/>
  <c r="AA374" i="5"/>
  <c r="X374" i="5"/>
  <c r="W374" i="5"/>
  <c r="U374" i="5"/>
  <c r="R374" i="5"/>
  <c r="O374" i="5"/>
  <c r="N374" i="5"/>
  <c r="L374" i="5"/>
  <c r="H374" i="5"/>
  <c r="I374" i="5" s="1"/>
  <c r="F374" i="5"/>
  <c r="C374" i="5"/>
  <c r="AC373" i="5"/>
  <c r="AD373" i="5" s="1"/>
  <c r="AA373" i="5"/>
  <c r="X373" i="5"/>
  <c r="W373" i="5"/>
  <c r="U373" i="5"/>
  <c r="R373" i="5"/>
  <c r="O373" i="5"/>
  <c r="N373" i="5"/>
  <c r="L373" i="5"/>
  <c r="I373" i="5"/>
  <c r="H373" i="5"/>
  <c r="F373" i="5"/>
  <c r="C373" i="5"/>
  <c r="AC372" i="5"/>
  <c r="AD372" i="5" s="1"/>
  <c r="AA372" i="5"/>
  <c r="W372" i="5"/>
  <c r="X372" i="5" s="1"/>
  <c r="U372" i="5"/>
  <c r="R372" i="5"/>
  <c r="O372" i="5"/>
  <c r="N372" i="5"/>
  <c r="L372" i="5"/>
  <c r="I372" i="5"/>
  <c r="H372" i="5"/>
  <c r="F372" i="5"/>
  <c r="C372" i="5"/>
  <c r="AD371" i="5"/>
  <c r="AC371" i="5"/>
  <c r="AA371" i="5"/>
  <c r="W371" i="5"/>
  <c r="X371" i="5" s="1"/>
  <c r="U371" i="5"/>
  <c r="R371" i="5"/>
  <c r="O371" i="5"/>
  <c r="N371" i="5"/>
  <c r="L371" i="5"/>
  <c r="H371" i="5"/>
  <c r="I371" i="5" s="1"/>
  <c r="F371" i="5"/>
  <c r="C371" i="5"/>
  <c r="AC370" i="5"/>
  <c r="AD370" i="5" s="1"/>
  <c r="AA370" i="5"/>
  <c r="X370" i="5"/>
  <c r="W370" i="5"/>
  <c r="U370" i="5"/>
  <c r="R370" i="5"/>
  <c r="O370" i="5"/>
  <c r="N370" i="5"/>
  <c r="L370" i="5"/>
  <c r="H370" i="5"/>
  <c r="I370" i="5" s="1"/>
  <c r="F370" i="5"/>
  <c r="C370" i="5"/>
  <c r="AC369" i="5"/>
  <c r="AD369" i="5" s="1"/>
  <c r="AA369" i="5"/>
  <c r="W369" i="5"/>
  <c r="X369" i="5" s="1"/>
  <c r="U369" i="5"/>
  <c r="R369" i="5"/>
  <c r="O369" i="5"/>
  <c r="N369" i="5"/>
  <c r="L369" i="5"/>
  <c r="H369" i="5"/>
  <c r="I369" i="5" s="1"/>
  <c r="F369" i="5"/>
  <c r="C369" i="5"/>
  <c r="AC368" i="5"/>
  <c r="AD368" i="5" s="1"/>
  <c r="AA368" i="5"/>
  <c r="Z368" i="5"/>
  <c r="U368" i="5"/>
  <c r="T368" i="5"/>
  <c r="Q368" i="5"/>
  <c r="K368" i="5"/>
  <c r="E368" i="5"/>
  <c r="C368" i="5"/>
  <c r="B368" i="5"/>
  <c r="AC367" i="5"/>
  <c r="AD367" i="5" s="1"/>
  <c r="AA367" i="5"/>
  <c r="X367" i="5"/>
  <c r="W367" i="5"/>
  <c r="U367" i="5"/>
  <c r="R367" i="5"/>
  <c r="N367" i="5"/>
  <c r="O367" i="5" s="1"/>
  <c r="L367" i="5"/>
  <c r="I367" i="5"/>
  <c r="H367" i="5"/>
  <c r="F367" i="5"/>
  <c r="C367" i="5"/>
  <c r="AD366" i="5"/>
  <c r="AC366" i="5"/>
  <c r="AA366" i="5"/>
  <c r="X366" i="5"/>
  <c r="W366" i="5"/>
  <c r="U366" i="5"/>
  <c r="R366" i="5"/>
  <c r="N366" i="5"/>
  <c r="O366" i="5" s="1"/>
  <c r="L366" i="5"/>
  <c r="H366" i="5"/>
  <c r="I366" i="5" s="1"/>
  <c r="F366" i="5"/>
  <c r="C366" i="5"/>
  <c r="AC365" i="5"/>
  <c r="AD365" i="5" s="1"/>
  <c r="AA365" i="5"/>
  <c r="X365" i="5"/>
  <c r="W365" i="5"/>
  <c r="U365" i="5"/>
  <c r="R365" i="5"/>
  <c r="O365" i="5"/>
  <c r="N365" i="5"/>
  <c r="L365" i="5"/>
  <c r="I365" i="5"/>
  <c r="H365" i="5"/>
  <c r="F365" i="5"/>
  <c r="C365" i="5"/>
  <c r="AC364" i="5"/>
  <c r="AD364" i="5" s="1"/>
  <c r="AA364" i="5"/>
  <c r="W364" i="5"/>
  <c r="X364" i="5" s="1"/>
  <c r="U364" i="5"/>
  <c r="R364" i="5"/>
  <c r="N364" i="5"/>
  <c r="O364" i="5" s="1"/>
  <c r="L364" i="5"/>
  <c r="H364" i="5"/>
  <c r="I364" i="5" s="1"/>
  <c r="F364" i="5"/>
  <c r="C364" i="5"/>
  <c r="AD363" i="5"/>
  <c r="AC363" i="5"/>
  <c r="AA363" i="5"/>
  <c r="X363" i="5"/>
  <c r="W363" i="5"/>
  <c r="U363" i="5"/>
  <c r="R363" i="5"/>
  <c r="O363" i="5"/>
  <c r="N363" i="5"/>
  <c r="L363" i="5"/>
  <c r="H363" i="5"/>
  <c r="I363" i="5" s="1"/>
  <c r="F363" i="5"/>
  <c r="C363" i="5"/>
  <c r="AC362" i="5"/>
  <c r="AD362" i="5" s="1"/>
  <c r="AA362" i="5"/>
  <c r="W362" i="5"/>
  <c r="X362" i="5" s="1"/>
  <c r="U362" i="5"/>
  <c r="R362" i="5"/>
  <c r="O362" i="5"/>
  <c r="N362" i="5"/>
  <c r="L362" i="5"/>
  <c r="I362" i="5"/>
  <c r="H362" i="5"/>
  <c r="F362" i="5"/>
  <c r="C362" i="5"/>
  <c r="AC361" i="5"/>
  <c r="AD361" i="5" s="1"/>
  <c r="AA361" i="5"/>
  <c r="W361" i="5"/>
  <c r="X361" i="5" s="1"/>
  <c r="U361" i="5"/>
  <c r="R361" i="5"/>
  <c r="O361" i="5"/>
  <c r="N361" i="5"/>
  <c r="L361" i="5"/>
  <c r="I361" i="5"/>
  <c r="H361" i="5"/>
  <c r="F361" i="5"/>
  <c r="C361" i="5"/>
  <c r="AC360" i="5"/>
  <c r="AD360" i="5" s="1"/>
  <c r="AA360" i="5"/>
  <c r="X360" i="5"/>
  <c r="W360" i="5"/>
  <c r="U360" i="5"/>
  <c r="R360" i="5"/>
  <c r="O360" i="5"/>
  <c r="N360" i="5"/>
  <c r="L360" i="5"/>
  <c r="H360" i="5"/>
  <c r="I360" i="5" s="1"/>
  <c r="F360" i="5"/>
  <c r="C360" i="5"/>
  <c r="AC358" i="5"/>
  <c r="AD358" i="5" s="1"/>
  <c r="AA358" i="5"/>
  <c r="Z358" i="5"/>
  <c r="U358" i="5"/>
  <c r="T358" i="5"/>
  <c r="R358" i="5"/>
  <c r="Q358" i="5"/>
  <c r="W358" i="5" s="1"/>
  <c r="X358" i="5" s="1"/>
  <c r="N358" i="5"/>
  <c r="O358" i="5" s="1"/>
  <c r="K358" i="5"/>
  <c r="L358" i="5" s="1"/>
  <c r="H358" i="5"/>
  <c r="I358" i="5" s="1"/>
  <c r="F358" i="5"/>
  <c r="E358" i="5"/>
  <c r="B358" i="5"/>
  <c r="C358" i="5" s="1"/>
  <c r="AC357" i="5"/>
  <c r="AD357" i="5" s="1"/>
  <c r="AA357" i="5"/>
  <c r="W357" i="5"/>
  <c r="X357" i="5" s="1"/>
  <c r="U357" i="5"/>
  <c r="R357" i="5"/>
  <c r="O357" i="5"/>
  <c r="N357" i="5"/>
  <c r="L357" i="5"/>
  <c r="H357" i="5"/>
  <c r="I357" i="5" s="1"/>
  <c r="F357" i="5"/>
  <c r="C357" i="5"/>
  <c r="AD356" i="5"/>
  <c r="AC356" i="5"/>
  <c r="AA356" i="5"/>
  <c r="X356" i="5"/>
  <c r="W356" i="5"/>
  <c r="U356" i="5"/>
  <c r="R356" i="5"/>
  <c r="N356" i="5"/>
  <c r="O356" i="5" s="1"/>
  <c r="L356" i="5"/>
  <c r="H356" i="5"/>
  <c r="I356" i="5" s="1"/>
  <c r="F356" i="5"/>
  <c r="C356" i="5"/>
  <c r="AC355" i="5"/>
  <c r="AD355" i="5" s="1"/>
  <c r="AA355" i="5"/>
  <c r="X355" i="5"/>
  <c r="W355" i="5"/>
  <c r="U355" i="5"/>
  <c r="R355" i="5"/>
  <c r="N355" i="5"/>
  <c r="O355" i="5" s="1"/>
  <c r="L355" i="5"/>
  <c r="I355" i="5"/>
  <c r="H355" i="5"/>
  <c r="F355" i="5"/>
  <c r="C355" i="5"/>
  <c r="AD354" i="5"/>
  <c r="AC354" i="5"/>
  <c r="AA354" i="5"/>
  <c r="X354" i="5"/>
  <c r="W354" i="5"/>
  <c r="U354" i="5"/>
  <c r="R354" i="5"/>
  <c r="N354" i="5"/>
  <c r="O354" i="5" s="1"/>
  <c r="L354" i="5"/>
  <c r="H354" i="5"/>
  <c r="I354" i="5" s="1"/>
  <c r="F354" i="5"/>
  <c r="C354" i="5"/>
  <c r="AC353" i="5"/>
  <c r="AD353" i="5" s="1"/>
  <c r="AA353" i="5"/>
  <c r="X353" i="5"/>
  <c r="W353" i="5"/>
  <c r="U353" i="5"/>
  <c r="R353" i="5"/>
  <c r="O353" i="5"/>
  <c r="N353" i="5"/>
  <c r="L353" i="5"/>
  <c r="H353" i="5"/>
  <c r="I353" i="5" s="1"/>
  <c r="F353" i="5"/>
  <c r="C353" i="5"/>
  <c r="AC352" i="5"/>
  <c r="AD352" i="5" s="1"/>
  <c r="AA352" i="5"/>
  <c r="W352" i="5"/>
  <c r="X352" i="5" s="1"/>
  <c r="U352" i="5"/>
  <c r="R352" i="5"/>
  <c r="N352" i="5"/>
  <c r="O352" i="5" s="1"/>
  <c r="L352" i="5"/>
  <c r="H352" i="5"/>
  <c r="I352" i="5" s="1"/>
  <c r="F352" i="5"/>
  <c r="C352" i="5"/>
  <c r="AD351" i="5"/>
  <c r="AC351" i="5"/>
  <c r="AA351" i="5"/>
  <c r="X351" i="5"/>
  <c r="W351" i="5"/>
  <c r="U351" i="5"/>
  <c r="R351" i="5"/>
  <c r="O351" i="5"/>
  <c r="N351" i="5"/>
  <c r="L351" i="5"/>
  <c r="H351" i="5"/>
  <c r="I351" i="5" s="1"/>
  <c r="F351" i="5"/>
  <c r="C351" i="5"/>
  <c r="AC350" i="5"/>
  <c r="AD350" i="5" s="1"/>
  <c r="AA350" i="5"/>
  <c r="W350" i="5"/>
  <c r="X350" i="5" s="1"/>
  <c r="U350" i="5"/>
  <c r="R350" i="5"/>
  <c r="O350" i="5"/>
  <c r="N350" i="5"/>
  <c r="L350" i="5"/>
  <c r="I350" i="5"/>
  <c r="H350" i="5"/>
  <c r="F350" i="5"/>
  <c r="C350" i="5"/>
  <c r="AC349" i="5"/>
  <c r="AD349" i="5" s="1"/>
  <c r="AA349" i="5"/>
  <c r="W349" i="5"/>
  <c r="X349" i="5" s="1"/>
  <c r="U349" i="5"/>
  <c r="R349" i="5"/>
  <c r="O349" i="5"/>
  <c r="N349" i="5"/>
  <c r="L349" i="5"/>
  <c r="I349" i="5"/>
  <c r="H349" i="5"/>
  <c r="F349" i="5"/>
  <c r="C349" i="5"/>
  <c r="AC347" i="5"/>
  <c r="AD347" i="5" s="1"/>
  <c r="AA347" i="5"/>
  <c r="X347" i="5"/>
  <c r="W347" i="5"/>
  <c r="U347" i="5"/>
  <c r="R347" i="5"/>
  <c r="O347" i="5"/>
  <c r="N347" i="5"/>
  <c r="L347" i="5"/>
  <c r="H347" i="5"/>
  <c r="I347" i="5" s="1"/>
  <c r="F347" i="5"/>
  <c r="C347" i="5"/>
  <c r="Z344" i="5"/>
  <c r="AA344" i="5" s="1"/>
  <c r="U344" i="5"/>
  <c r="T344" i="5"/>
  <c r="Q344" i="5"/>
  <c r="K344" i="5"/>
  <c r="L344" i="5" s="1"/>
  <c r="E344" i="5"/>
  <c r="F344" i="5" s="1"/>
  <c r="B344" i="5"/>
  <c r="AA343" i="5"/>
  <c r="Z343" i="5"/>
  <c r="AC343" i="5" s="1"/>
  <c r="AD343" i="5" s="1"/>
  <c r="W343" i="5"/>
  <c r="X343" i="5" s="1"/>
  <c r="T343" i="5"/>
  <c r="U343" i="5" s="1"/>
  <c r="R343" i="5"/>
  <c r="Q343" i="5"/>
  <c r="K343" i="5"/>
  <c r="I343" i="5"/>
  <c r="F343" i="5"/>
  <c r="E343" i="5"/>
  <c r="H343" i="5" s="1"/>
  <c r="B343" i="5"/>
  <c r="C343" i="5" s="1"/>
  <c r="AC342" i="5"/>
  <c r="AD342" i="5" s="1"/>
  <c r="AA342" i="5"/>
  <c r="Z342" i="5"/>
  <c r="W342" i="5"/>
  <c r="X342" i="5" s="1"/>
  <c r="U342" i="5"/>
  <c r="T342" i="5"/>
  <c r="Q342" i="5"/>
  <c r="R342" i="5" s="1"/>
  <c r="N342" i="5"/>
  <c r="O342" i="5" s="1"/>
  <c r="L342" i="5"/>
  <c r="K342" i="5"/>
  <c r="E342" i="5"/>
  <c r="F342" i="5" s="1"/>
  <c r="B342" i="5"/>
  <c r="C342" i="5" s="1"/>
  <c r="AC341" i="5"/>
  <c r="AD341" i="5" s="1"/>
  <c r="AA341" i="5"/>
  <c r="X341" i="5"/>
  <c r="W341" i="5"/>
  <c r="U341" i="5"/>
  <c r="R341" i="5"/>
  <c r="O341" i="5"/>
  <c r="N341" i="5"/>
  <c r="L341" i="5"/>
  <c r="H341" i="5"/>
  <c r="I341" i="5" s="1"/>
  <c r="F341" i="5"/>
  <c r="C341" i="5"/>
  <c r="AC340" i="5"/>
  <c r="AD340" i="5" s="1"/>
  <c r="AA340" i="5"/>
  <c r="X340" i="5"/>
  <c r="W340" i="5"/>
  <c r="U340" i="5"/>
  <c r="R340" i="5"/>
  <c r="N340" i="5"/>
  <c r="O340" i="5" s="1"/>
  <c r="L340" i="5"/>
  <c r="H340" i="5"/>
  <c r="I340" i="5" s="1"/>
  <c r="F340" i="5"/>
  <c r="C340" i="5"/>
  <c r="AC339" i="5"/>
  <c r="AD339" i="5" s="1"/>
  <c r="AA339" i="5"/>
  <c r="W339" i="5"/>
  <c r="X339" i="5" s="1"/>
  <c r="U339" i="5"/>
  <c r="R339" i="5"/>
  <c r="O339" i="5"/>
  <c r="N339" i="5"/>
  <c r="L339" i="5"/>
  <c r="H339" i="5"/>
  <c r="I339" i="5" s="1"/>
  <c r="F339" i="5"/>
  <c r="C339" i="5"/>
  <c r="AD338" i="5"/>
  <c r="AC338" i="5"/>
  <c r="AA338" i="5"/>
  <c r="X338" i="5"/>
  <c r="W338" i="5"/>
  <c r="U338" i="5"/>
  <c r="R338" i="5"/>
  <c r="N338" i="5"/>
  <c r="O338" i="5" s="1"/>
  <c r="L338" i="5"/>
  <c r="H338" i="5"/>
  <c r="I338" i="5" s="1"/>
  <c r="F338" i="5"/>
  <c r="C338" i="5"/>
  <c r="AC337" i="5"/>
  <c r="AD337" i="5" s="1"/>
  <c r="AA337" i="5"/>
  <c r="X337" i="5"/>
  <c r="W337" i="5"/>
  <c r="U337" i="5"/>
  <c r="R337" i="5"/>
  <c r="N337" i="5"/>
  <c r="O337" i="5" s="1"/>
  <c r="L337" i="5"/>
  <c r="I337" i="5"/>
  <c r="H337" i="5"/>
  <c r="F337" i="5"/>
  <c r="C337" i="5"/>
  <c r="AD335" i="5"/>
  <c r="AC335" i="5"/>
  <c r="AA335" i="5"/>
  <c r="W335" i="5"/>
  <c r="X335" i="5" s="1"/>
  <c r="U335" i="5"/>
  <c r="R335" i="5"/>
  <c r="O335" i="5"/>
  <c r="N335" i="5"/>
  <c r="L335" i="5"/>
  <c r="H335" i="5"/>
  <c r="I335" i="5" s="1"/>
  <c r="F335" i="5"/>
  <c r="C335" i="5"/>
  <c r="AC334" i="5"/>
  <c r="AD334" i="5" s="1"/>
  <c r="AA334" i="5"/>
  <c r="X334" i="5"/>
  <c r="W334" i="5"/>
  <c r="U334" i="5"/>
  <c r="R334" i="5"/>
  <c r="O334" i="5"/>
  <c r="N334" i="5"/>
  <c r="L334" i="5"/>
  <c r="H334" i="5"/>
  <c r="I334" i="5" s="1"/>
  <c r="F334" i="5"/>
  <c r="C334" i="5"/>
  <c r="AD333" i="5"/>
  <c r="AC333" i="5"/>
  <c r="AA333" i="5"/>
  <c r="W333" i="5"/>
  <c r="X333" i="5" s="1"/>
  <c r="U333" i="5"/>
  <c r="R333" i="5"/>
  <c r="N333" i="5"/>
  <c r="O333" i="5" s="1"/>
  <c r="L333" i="5"/>
  <c r="H333" i="5"/>
  <c r="I333" i="5" s="1"/>
  <c r="F333" i="5"/>
  <c r="C333" i="5"/>
  <c r="AD332" i="5"/>
  <c r="AC332" i="5"/>
  <c r="AA332" i="5"/>
  <c r="X332" i="5"/>
  <c r="W332" i="5"/>
  <c r="U332" i="5"/>
  <c r="R332" i="5"/>
  <c r="O332" i="5"/>
  <c r="N332" i="5"/>
  <c r="L332" i="5"/>
  <c r="H332" i="5"/>
  <c r="I332" i="5" s="1"/>
  <c r="F332" i="5"/>
  <c r="C332" i="5"/>
  <c r="AC331" i="5"/>
  <c r="AD331" i="5" s="1"/>
  <c r="AA331" i="5"/>
  <c r="W331" i="5"/>
  <c r="X331" i="5" s="1"/>
  <c r="U331" i="5"/>
  <c r="R331" i="5"/>
  <c r="O331" i="5"/>
  <c r="N331" i="5"/>
  <c r="L331" i="5"/>
  <c r="I331" i="5"/>
  <c r="H331" i="5"/>
  <c r="F331" i="5"/>
  <c r="C331" i="5"/>
  <c r="AC330" i="5"/>
  <c r="AD330" i="5" s="1"/>
  <c r="AA330" i="5"/>
  <c r="W330" i="5"/>
  <c r="X330" i="5" s="1"/>
  <c r="U330" i="5"/>
  <c r="R330" i="5"/>
  <c r="O330" i="5"/>
  <c r="N330" i="5"/>
  <c r="L330" i="5"/>
  <c r="I330" i="5"/>
  <c r="H330" i="5"/>
  <c r="F330" i="5"/>
  <c r="C330" i="5"/>
  <c r="AC329" i="5"/>
  <c r="AD329" i="5" s="1"/>
  <c r="AA329" i="5"/>
  <c r="X329" i="5"/>
  <c r="W329" i="5"/>
  <c r="U329" i="5"/>
  <c r="R329" i="5"/>
  <c r="O329" i="5"/>
  <c r="N329" i="5"/>
  <c r="L329" i="5"/>
  <c r="H329" i="5"/>
  <c r="I329" i="5" s="1"/>
  <c r="F329" i="5"/>
  <c r="C329" i="5"/>
  <c r="AC328" i="5"/>
  <c r="AD328" i="5" s="1"/>
  <c r="AA328" i="5"/>
  <c r="X328" i="5"/>
  <c r="W328" i="5"/>
  <c r="U328" i="5"/>
  <c r="R328" i="5"/>
  <c r="O328" i="5"/>
  <c r="N328" i="5"/>
  <c r="L328" i="5"/>
  <c r="I328" i="5"/>
  <c r="H328" i="5"/>
  <c r="F328" i="5"/>
  <c r="C328" i="5"/>
  <c r="AC325" i="5"/>
  <c r="AD325" i="5" s="1"/>
  <c r="Z325" i="5"/>
  <c r="AA325" i="5" s="1"/>
  <c r="T325" i="5"/>
  <c r="U325" i="5" s="1"/>
  <c r="R325" i="5"/>
  <c r="Q325" i="5"/>
  <c r="W325" i="5" s="1"/>
  <c r="X325" i="5" s="1"/>
  <c r="K325" i="5"/>
  <c r="L325" i="5" s="1"/>
  <c r="E325" i="5"/>
  <c r="F325" i="5" s="1"/>
  <c r="B325" i="5"/>
  <c r="AC324" i="5"/>
  <c r="AD324" i="5" s="1"/>
  <c r="Z324" i="5"/>
  <c r="AA324" i="5" s="1"/>
  <c r="U324" i="5"/>
  <c r="T324" i="5"/>
  <c r="R324" i="5"/>
  <c r="Q324" i="5"/>
  <c r="W324" i="5" s="1"/>
  <c r="X324" i="5" s="1"/>
  <c r="N324" i="5"/>
  <c r="O324" i="5" s="1"/>
  <c r="L324" i="5"/>
  <c r="K324" i="5"/>
  <c r="H324" i="5"/>
  <c r="I324" i="5" s="1"/>
  <c r="F324" i="5"/>
  <c r="E324" i="5"/>
  <c r="B324" i="5"/>
  <c r="C324" i="5" s="1"/>
  <c r="AD323" i="5"/>
  <c r="AC323" i="5"/>
  <c r="AA323" i="5"/>
  <c r="W323" i="5"/>
  <c r="X323" i="5" s="1"/>
  <c r="U323" i="5"/>
  <c r="R323" i="5"/>
  <c r="N323" i="5"/>
  <c r="O323" i="5" s="1"/>
  <c r="L323" i="5"/>
  <c r="H323" i="5"/>
  <c r="I323" i="5" s="1"/>
  <c r="F323" i="5"/>
  <c r="C323" i="5"/>
  <c r="AC322" i="5"/>
  <c r="AD322" i="5" s="1"/>
  <c r="AA322" i="5"/>
  <c r="X322" i="5"/>
  <c r="W322" i="5"/>
  <c r="U322" i="5"/>
  <c r="R322" i="5"/>
  <c r="O322" i="5"/>
  <c r="N322" i="5"/>
  <c r="L322" i="5"/>
  <c r="H322" i="5"/>
  <c r="I322" i="5" s="1"/>
  <c r="F322" i="5"/>
  <c r="C322" i="5"/>
  <c r="AC321" i="5"/>
  <c r="AD321" i="5" s="1"/>
  <c r="AA321" i="5"/>
  <c r="X321" i="5"/>
  <c r="W321" i="5"/>
  <c r="U321" i="5"/>
  <c r="R321" i="5"/>
  <c r="N321" i="5"/>
  <c r="O321" i="5" s="1"/>
  <c r="L321" i="5"/>
  <c r="H321" i="5"/>
  <c r="I321" i="5" s="1"/>
  <c r="F321" i="5"/>
  <c r="C321" i="5"/>
  <c r="AC320" i="5"/>
  <c r="AD320" i="5" s="1"/>
  <c r="AA320" i="5"/>
  <c r="X320" i="5"/>
  <c r="W320" i="5"/>
  <c r="U320" i="5"/>
  <c r="R320" i="5"/>
  <c r="N320" i="5"/>
  <c r="O320" i="5" s="1"/>
  <c r="L320" i="5"/>
  <c r="H320" i="5"/>
  <c r="I320" i="5" s="1"/>
  <c r="F320" i="5"/>
  <c r="C320" i="5"/>
  <c r="AD319" i="5"/>
  <c r="AC319" i="5"/>
  <c r="AA319" i="5"/>
  <c r="X319" i="5"/>
  <c r="W319" i="5"/>
  <c r="U319" i="5"/>
  <c r="R319" i="5"/>
  <c r="O319" i="5"/>
  <c r="N319" i="5"/>
  <c r="L319" i="5"/>
  <c r="I319" i="5"/>
  <c r="H319" i="5"/>
  <c r="F319" i="5"/>
  <c r="C319" i="5"/>
  <c r="AC318" i="5"/>
  <c r="AD318" i="5" s="1"/>
  <c r="AA318" i="5"/>
  <c r="X318" i="5"/>
  <c r="W318" i="5"/>
  <c r="U318" i="5"/>
  <c r="R318" i="5"/>
  <c r="O318" i="5"/>
  <c r="N318" i="5"/>
  <c r="L318" i="5"/>
  <c r="I318" i="5"/>
  <c r="H318" i="5"/>
  <c r="F318" i="5"/>
  <c r="C318" i="5"/>
  <c r="AD317" i="5"/>
  <c r="AC317" i="5"/>
  <c r="AA317" i="5"/>
  <c r="X317" i="5"/>
  <c r="W317" i="5"/>
  <c r="U317" i="5"/>
  <c r="R317" i="5"/>
  <c r="O317" i="5"/>
  <c r="N317" i="5"/>
  <c r="L317" i="5"/>
  <c r="H317" i="5"/>
  <c r="I317" i="5" s="1"/>
  <c r="F317" i="5"/>
  <c r="C317" i="5"/>
  <c r="AD316" i="5"/>
  <c r="AC316" i="5"/>
  <c r="AA316" i="5"/>
  <c r="X316" i="5"/>
  <c r="W316" i="5"/>
  <c r="U316" i="5"/>
  <c r="R316" i="5"/>
  <c r="O316" i="5"/>
  <c r="N316" i="5"/>
  <c r="L316" i="5"/>
  <c r="I316" i="5"/>
  <c r="H316" i="5"/>
  <c r="F316" i="5"/>
  <c r="C316" i="5"/>
  <c r="AD315" i="5"/>
  <c r="AC315" i="5"/>
  <c r="AA315" i="5"/>
  <c r="W315" i="5"/>
  <c r="X315" i="5" s="1"/>
  <c r="U315" i="5"/>
  <c r="R315" i="5"/>
  <c r="N315" i="5"/>
  <c r="O315" i="5" s="1"/>
  <c r="L315" i="5"/>
  <c r="I315" i="5"/>
  <c r="H315" i="5"/>
  <c r="F315" i="5"/>
  <c r="C315" i="5"/>
  <c r="AC314" i="5"/>
  <c r="AD314" i="5" s="1"/>
  <c r="AA314" i="5"/>
  <c r="W314" i="5"/>
  <c r="X314" i="5" s="1"/>
  <c r="U314" i="5"/>
  <c r="R314" i="5"/>
  <c r="O314" i="5"/>
  <c r="N314" i="5"/>
  <c r="L314" i="5"/>
  <c r="H314" i="5"/>
  <c r="I314" i="5" s="1"/>
  <c r="F314" i="5"/>
  <c r="C314" i="5"/>
  <c r="AC313" i="5"/>
  <c r="AD313" i="5" s="1"/>
  <c r="AA313" i="5"/>
  <c r="W313" i="5"/>
  <c r="X313" i="5" s="1"/>
  <c r="U313" i="5"/>
  <c r="R313" i="5"/>
  <c r="O313" i="5"/>
  <c r="N313" i="5"/>
  <c r="L313" i="5"/>
  <c r="H313" i="5"/>
  <c r="I313" i="5" s="1"/>
  <c r="F313" i="5"/>
  <c r="C313" i="5"/>
  <c r="AD312" i="5"/>
  <c r="AC312" i="5"/>
  <c r="AA312" i="5"/>
  <c r="X312" i="5"/>
  <c r="W312" i="5"/>
  <c r="U312" i="5"/>
  <c r="R312" i="5"/>
  <c r="N312" i="5"/>
  <c r="O312" i="5" s="1"/>
  <c r="L312" i="5"/>
  <c r="I312" i="5"/>
  <c r="H312" i="5"/>
  <c r="F312" i="5"/>
  <c r="C312" i="5"/>
  <c r="AC311" i="5"/>
  <c r="AD311" i="5" s="1"/>
  <c r="AA311" i="5"/>
  <c r="W311" i="5"/>
  <c r="X311" i="5" s="1"/>
  <c r="U311" i="5"/>
  <c r="R311" i="5"/>
  <c r="O311" i="5"/>
  <c r="N311" i="5"/>
  <c r="L311" i="5"/>
  <c r="I311" i="5"/>
  <c r="H311" i="5"/>
  <c r="F311" i="5"/>
  <c r="C311" i="5"/>
  <c r="AC310" i="5"/>
  <c r="AD310" i="5" s="1"/>
  <c r="AA310" i="5"/>
  <c r="W310" i="5"/>
  <c r="X310" i="5" s="1"/>
  <c r="U310" i="5"/>
  <c r="R310" i="5"/>
  <c r="O310" i="5"/>
  <c r="N310" i="5"/>
  <c r="L310" i="5"/>
  <c r="I310" i="5"/>
  <c r="H310" i="5"/>
  <c r="F310" i="5"/>
  <c r="C310" i="5"/>
  <c r="AD309" i="5"/>
  <c r="AC309" i="5"/>
  <c r="AA309" i="5"/>
  <c r="X309" i="5"/>
  <c r="W309" i="5"/>
  <c r="U309" i="5"/>
  <c r="R309" i="5"/>
  <c r="N309" i="5"/>
  <c r="O309" i="5" s="1"/>
  <c r="L309" i="5"/>
  <c r="H309" i="5"/>
  <c r="I309" i="5" s="1"/>
  <c r="F309" i="5"/>
  <c r="C309" i="5"/>
  <c r="AC308" i="5"/>
  <c r="AD308" i="5" s="1"/>
  <c r="AA308" i="5"/>
  <c r="X308" i="5"/>
  <c r="W308" i="5"/>
  <c r="U308" i="5"/>
  <c r="R308" i="5"/>
  <c r="O308" i="5"/>
  <c r="N308" i="5"/>
  <c r="L308" i="5"/>
  <c r="H308" i="5"/>
  <c r="I308" i="5" s="1"/>
  <c r="F308" i="5"/>
  <c r="C308" i="5"/>
  <c r="AD307" i="5"/>
  <c r="AC307" i="5"/>
  <c r="AA307" i="5"/>
  <c r="W307" i="5"/>
  <c r="X307" i="5" s="1"/>
  <c r="U307" i="5"/>
  <c r="R307" i="5"/>
  <c r="N307" i="5"/>
  <c r="O307" i="5" s="1"/>
  <c r="L307" i="5"/>
  <c r="H307" i="5"/>
  <c r="I307" i="5" s="1"/>
  <c r="F307" i="5"/>
  <c r="C307" i="5"/>
  <c r="AC306" i="5"/>
  <c r="AD306" i="5" s="1"/>
  <c r="AA306" i="5"/>
  <c r="W306" i="5"/>
  <c r="X306" i="5" s="1"/>
  <c r="U306" i="5"/>
  <c r="R306" i="5"/>
  <c r="O306" i="5"/>
  <c r="N306" i="5"/>
  <c r="L306" i="5"/>
  <c r="H306" i="5"/>
  <c r="I306" i="5" s="1"/>
  <c r="F306" i="5"/>
  <c r="C306" i="5"/>
  <c r="AC305" i="5"/>
  <c r="AD305" i="5" s="1"/>
  <c r="AA305" i="5"/>
  <c r="X305" i="5"/>
  <c r="W305" i="5"/>
  <c r="U305" i="5"/>
  <c r="R305" i="5"/>
  <c r="N305" i="5"/>
  <c r="O305" i="5" s="1"/>
  <c r="L305" i="5"/>
  <c r="H305" i="5"/>
  <c r="I305" i="5" s="1"/>
  <c r="F305" i="5"/>
  <c r="C305" i="5"/>
  <c r="AC304" i="5"/>
  <c r="AD304" i="5" s="1"/>
  <c r="AA304" i="5"/>
  <c r="W304" i="5"/>
  <c r="X304" i="5" s="1"/>
  <c r="U304" i="5"/>
  <c r="R304" i="5"/>
  <c r="N304" i="5"/>
  <c r="O304" i="5" s="1"/>
  <c r="L304" i="5"/>
  <c r="H304" i="5"/>
  <c r="I304" i="5" s="1"/>
  <c r="F304" i="5"/>
  <c r="C304" i="5"/>
  <c r="AD303" i="5"/>
  <c r="AC303" i="5"/>
  <c r="AA303" i="5"/>
  <c r="X303" i="5"/>
  <c r="W303" i="5"/>
  <c r="U303" i="5"/>
  <c r="R303" i="5"/>
  <c r="N303" i="5"/>
  <c r="O303" i="5" s="1"/>
  <c r="L303" i="5"/>
  <c r="H303" i="5"/>
  <c r="I303" i="5" s="1"/>
  <c r="F303" i="5"/>
  <c r="C303" i="5"/>
  <c r="AD302" i="5"/>
  <c r="AC302" i="5"/>
  <c r="AA302" i="5"/>
  <c r="W302" i="5"/>
  <c r="X302" i="5" s="1"/>
  <c r="U302" i="5"/>
  <c r="R302" i="5"/>
  <c r="N302" i="5"/>
  <c r="O302" i="5" s="1"/>
  <c r="L302" i="5"/>
  <c r="I302" i="5"/>
  <c r="H302" i="5"/>
  <c r="F302" i="5"/>
  <c r="C302" i="5"/>
  <c r="AC301" i="5"/>
  <c r="AD301" i="5" s="1"/>
  <c r="AA301" i="5"/>
  <c r="X301" i="5"/>
  <c r="W301" i="5"/>
  <c r="U301" i="5"/>
  <c r="R301" i="5"/>
  <c r="O301" i="5"/>
  <c r="N301" i="5"/>
  <c r="L301" i="5"/>
  <c r="I301" i="5"/>
  <c r="H301" i="5"/>
  <c r="F301" i="5"/>
  <c r="C301" i="5"/>
  <c r="AD300" i="5"/>
  <c r="AC300" i="5"/>
  <c r="AA300" i="5"/>
  <c r="W300" i="5"/>
  <c r="X300" i="5" s="1"/>
  <c r="U300" i="5"/>
  <c r="R300" i="5"/>
  <c r="N300" i="5"/>
  <c r="O300" i="5" s="1"/>
  <c r="L300" i="5"/>
  <c r="H300" i="5"/>
  <c r="I300" i="5" s="1"/>
  <c r="F300" i="5"/>
  <c r="C300" i="5"/>
  <c r="AD299" i="5"/>
  <c r="AC299" i="5"/>
  <c r="AA299" i="5"/>
  <c r="X299" i="5"/>
  <c r="W299" i="5"/>
  <c r="U299" i="5"/>
  <c r="R299" i="5"/>
  <c r="O299" i="5"/>
  <c r="N299" i="5"/>
  <c r="L299" i="5"/>
  <c r="I299" i="5"/>
  <c r="H299" i="5"/>
  <c r="F299" i="5"/>
  <c r="C299" i="5"/>
  <c r="AC298" i="5"/>
  <c r="AD298" i="5" s="1"/>
  <c r="AA298" i="5"/>
  <c r="W298" i="5"/>
  <c r="X298" i="5" s="1"/>
  <c r="U298" i="5"/>
  <c r="R298" i="5"/>
  <c r="N298" i="5"/>
  <c r="O298" i="5" s="1"/>
  <c r="L298" i="5"/>
  <c r="I298" i="5"/>
  <c r="H298" i="5"/>
  <c r="F298" i="5"/>
  <c r="C298" i="5"/>
  <c r="AC297" i="5"/>
  <c r="AD297" i="5" s="1"/>
  <c r="AA297" i="5"/>
  <c r="X297" i="5"/>
  <c r="W297" i="5"/>
  <c r="U297" i="5"/>
  <c r="R297" i="5"/>
  <c r="O297" i="5"/>
  <c r="N297" i="5"/>
  <c r="L297" i="5"/>
  <c r="H297" i="5"/>
  <c r="I297" i="5" s="1"/>
  <c r="F297" i="5"/>
  <c r="C297" i="5"/>
  <c r="Z295" i="5"/>
  <c r="AA295" i="5" s="1"/>
  <c r="U295" i="5"/>
  <c r="T295" i="5"/>
  <c r="R295" i="5"/>
  <c r="Q295" i="5"/>
  <c r="K295" i="5"/>
  <c r="L295" i="5" s="1"/>
  <c r="E295" i="5"/>
  <c r="B295" i="5"/>
  <c r="C295" i="5" s="1"/>
  <c r="AD294" i="5"/>
  <c r="AC294" i="5"/>
  <c r="AA294" i="5"/>
  <c r="W294" i="5"/>
  <c r="X294" i="5" s="1"/>
  <c r="U294" i="5"/>
  <c r="R294" i="5"/>
  <c r="N294" i="5"/>
  <c r="O294" i="5" s="1"/>
  <c r="L294" i="5"/>
  <c r="I294" i="5"/>
  <c r="H294" i="5"/>
  <c r="F294" i="5"/>
  <c r="C294" i="5"/>
  <c r="AC293" i="5"/>
  <c r="AD293" i="5" s="1"/>
  <c r="AA293" i="5"/>
  <c r="X293" i="5"/>
  <c r="W293" i="5"/>
  <c r="U293" i="5"/>
  <c r="R293" i="5"/>
  <c r="O293" i="5"/>
  <c r="N293" i="5"/>
  <c r="L293" i="5"/>
  <c r="H293" i="5"/>
  <c r="I293" i="5" s="1"/>
  <c r="F293" i="5"/>
  <c r="C293" i="5"/>
  <c r="AD292" i="5"/>
  <c r="AC292" i="5"/>
  <c r="AA292" i="5"/>
  <c r="W292" i="5"/>
  <c r="X292" i="5" s="1"/>
  <c r="U292" i="5"/>
  <c r="R292" i="5"/>
  <c r="N292" i="5"/>
  <c r="O292" i="5" s="1"/>
  <c r="L292" i="5"/>
  <c r="H292" i="5"/>
  <c r="I292" i="5" s="1"/>
  <c r="F292" i="5"/>
  <c r="C292" i="5"/>
  <c r="AD291" i="5"/>
  <c r="AC291" i="5"/>
  <c r="AA291" i="5"/>
  <c r="X291" i="5"/>
  <c r="W291" i="5"/>
  <c r="U291" i="5"/>
  <c r="R291" i="5"/>
  <c r="O291" i="5"/>
  <c r="N291" i="5"/>
  <c r="L291" i="5"/>
  <c r="I291" i="5"/>
  <c r="H291" i="5"/>
  <c r="F291" i="5"/>
  <c r="C291" i="5"/>
  <c r="AC290" i="5"/>
  <c r="AD290" i="5" s="1"/>
  <c r="AA290" i="5"/>
  <c r="W290" i="5"/>
  <c r="X290" i="5" s="1"/>
  <c r="U290" i="5"/>
  <c r="R290" i="5"/>
  <c r="N290" i="5"/>
  <c r="O290" i="5" s="1"/>
  <c r="L290" i="5"/>
  <c r="I290" i="5"/>
  <c r="H290" i="5"/>
  <c r="F290" i="5"/>
  <c r="C290" i="5"/>
  <c r="AC289" i="5"/>
  <c r="AD289" i="5" s="1"/>
  <c r="AA289" i="5"/>
  <c r="X289" i="5"/>
  <c r="W289" i="5"/>
  <c r="U289" i="5"/>
  <c r="R289" i="5"/>
  <c r="O289" i="5"/>
  <c r="N289" i="5"/>
  <c r="L289" i="5"/>
  <c r="I289" i="5"/>
  <c r="H289" i="5"/>
  <c r="F289" i="5"/>
  <c r="C289" i="5"/>
  <c r="AD288" i="5"/>
  <c r="AC288" i="5"/>
  <c r="AA288" i="5"/>
  <c r="W288" i="5"/>
  <c r="X288" i="5" s="1"/>
  <c r="U288" i="5"/>
  <c r="R288" i="5"/>
  <c r="N288" i="5"/>
  <c r="O288" i="5" s="1"/>
  <c r="L288" i="5"/>
  <c r="H288" i="5"/>
  <c r="I288" i="5" s="1"/>
  <c r="F288" i="5"/>
  <c r="C288" i="5"/>
  <c r="AD287" i="5"/>
  <c r="AC287" i="5"/>
  <c r="AA287" i="5"/>
  <c r="X287" i="5"/>
  <c r="W287" i="5"/>
  <c r="U287" i="5"/>
  <c r="R287" i="5"/>
  <c r="N287" i="5"/>
  <c r="O287" i="5" s="1"/>
  <c r="L287" i="5"/>
  <c r="I287" i="5"/>
  <c r="H287" i="5"/>
  <c r="F287" i="5"/>
  <c r="C287" i="5"/>
  <c r="AD286" i="5"/>
  <c r="AC286" i="5"/>
  <c r="AA286" i="5"/>
  <c r="W286" i="5"/>
  <c r="X286" i="5" s="1"/>
  <c r="U286" i="5"/>
  <c r="R286" i="5"/>
  <c r="N286" i="5"/>
  <c r="O286" i="5" s="1"/>
  <c r="L286" i="5"/>
  <c r="I286" i="5"/>
  <c r="H286" i="5"/>
  <c r="F286" i="5"/>
  <c r="C286" i="5"/>
  <c r="AA284" i="5"/>
  <c r="Z284" i="5"/>
  <c r="U284" i="5"/>
  <c r="T284" i="5"/>
  <c r="W284" i="5" s="1"/>
  <c r="X284" i="5" s="1"/>
  <c r="Q284" i="5"/>
  <c r="R284" i="5" s="1"/>
  <c r="L284" i="5"/>
  <c r="K284" i="5"/>
  <c r="E284" i="5"/>
  <c r="F284" i="5" s="1"/>
  <c r="B284" i="5"/>
  <c r="C284" i="5" s="1"/>
  <c r="AD283" i="5"/>
  <c r="AC283" i="5"/>
  <c r="AA283" i="5"/>
  <c r="X283" i="5"/>
  <c r="W283" i="5"/>
  <c r="U283" i="5"/>
  <c r="R283" i="5"/>
  <c r="O283" i="5"/>
  <c r="N283" i="5"/>
  <c r="L283" i="5"/>
  <c r="I283" i="5"/>
  <c r="H283" i="5"/>
  <c r="F283" i="5"/>
  <c r="C283" i="5"/>
  <c r="AC282" i="5"/>
  <c r="AD282" i="5" s="1"/>
  <c r="AA282" i="5"/>
  <c r="W282" i="5"/>
  <c r="X282" i="5" s="1"/>
  <c r="U282" i="5"/>
  <c r="R282" i="5"/>
  <c r="N282" i="5"/>
  <c r="O282" i="5" s="1"/>
  <c r="L282" i="5"/>
  <c r="I282" i="5"/>
  <c r="H282" i="5"/>
  <c r="F282" i="5"/>
  <c r="C282" i="5"/>
  <c r="AC281" i="5"/>
  <c r="AD281" i="5" s="1"/>
  <c r="AA281" i="5"/>
  <c r="X281" i="5"/>
  <c r="W281" i="5"/>
  <c r="U281" i="5"/>
  <c r="R281" i="5"/>
  <c r="O281" i="5"/>
  <c r="N281" i="5"/>
  <c r="L281" i="5"/>
  <c r="H281" i="5"/>
  <c r="I281" i="5" s="1"/>
  <c r="F281" i="5"/>
  <c r="C281" i="5"/>
  <c r="AD280" i="5"/>
  <c r="AC280" i="5"/>
  <c r="AA280" i="5"/>
  <c r="W280" i="5"/>
  <c r="X280" i="5" s="1"/>
  <c r="U280" i="5"/>
  <c r="R280" i="5"/>
  <c r="N280" i="5"/>
  <c r="O280" i="5" s="1"/>
  <c r="L280" i="5"/>
  <c r="H280" i="5"/>
  <c r="I280" i="5" s="1"/>
  <c r="F280" i="5"/>
  <c r="C280" i="5"/>
  <c r="AD279" i="5"/>
  <c r="AC279" i="5"/>
  <c r="AA279" i="5"/>
  <c r="X279" i="5"/>
  <c r="W279" i="5"/>
  <c r="U279" i="5"/>
  <c r="R279" i="5"/>
  <c r="N279" i="5"/>
  <c r="O279" i="5" s="1"/>
  <c r="L279" i="5"/>
  <c r="I279" i="5"/>
  <c r="H279" i="5"/>
  <c r="F279" i="5"/>
  <c r="C279" i="5"/>
  <c r="AC278" i="5"/>
  <c r="AD278" i="5" s="1"/>
  <c r="AA278" i="5"/>
  <c r="W278" i="5"/>
  <c r="X278" i="5" s="1"/>
  <c r="U278" i="5"/>
  <c r="R278" i="5"/>
  <c r="N278" i="5"/>
  <c r="O278" i="5" s="1"/>
  <c r="L278" i="5"/>
  <c r="I278" i="5"/>
  <c r="H278" i="5"/>
  <c r="F278" i="5"/>
  <c r="C278" i="5"/>
  <c r="AC277" i="5"/>
  <c r="AD277" i="5" s="1"/>
  <c r="AA277" i="5"/>
  <c r="W277" i="5"/>
  <c r="X277" i="5" s="1"/>
  <c r="U277" i="5"/>
  <c r="R277" i="5"/>
  <c r="O277" i="5"/>
  <c r="N277" i="5"/>
  <c r="L277" i="5"/>
  <c r="I277" i="5"/>
  <c r="H277" i="5"/>
  <c r="F277" i="5"/>
  <c r="C277" i="5"/>
  <c r="AC276" i="5"/>
  <c r="AD276" i="5" s="1"/>
  <c r="AA276" i="5"/>
  <c r="W276" i="5"/>
  <c r="X276" i="5" s="1"/>
  <c r="U276" i="5"/>
  <c r="R276" i="5"/>
  <c r="N276" i="5"/>
  <c r="O276" i="5" s="1"/>
  <c r="L276" i="5"/>
  <c r="H276" i="5"/>
  <c r="I276" i="5" s="1"/>
  <c r="F276" i="5"/>
  <c r="C276" i="5"/>
  <c r="AD275" i="5"/>
  <c r="AC275" i="5"/>
  <c r="AA275" i="5"/>
  <c r="X275" i="5"/>
  <c r="W275" i="5"/>
  <c r="U275" i="5"/>
  <c r="R275" i="5"/>
  <c r="N275" i="5"/>
  <c r="O275" i="5" s="1"/>
  <c r="L275" i="5"/>
  <c r="H275" i="5"/>
  <c r="I275" i="5" s="1"/>
  <c r="F275" i="5"/>
  <c r="C275" i="5"/>
  <c r="AA273" i="5"/>
  <c r="Z273" i="5"/>
  <c r="W273" i="5"/>
  <c r="X273" i="5" s="1"/>
  <c r="T273" i="5"/>
  <c r="U273" i="5" s="1"/>
  <c r="R273" i="5"/>
  <c r="Q273" i="5"/>
  <c r="AC273" i="5" s="1"/>
  <c r="AD273" i="5" s="1"/>
  <c r="L273" i="5"/>
  <c r="K273" i="5"/>
  <c r="E273" i="5"/>
  <c r="F273" i="5" s="1"/>
  <c r="C273" i="5"/>
  <c r="B273" i="5"/>
  <c r="H273" i="5" s="1"/>
  <c r="I273" i="5" s="1"/>
  <c r="AD272" i="5"/>
  <c r="AC272" i="5"/>
  <c r="AA272" i="5"/>
  <c r="W272" i="5"/>
  <c r="X272" i="5" s="1"/>
  <c r="U272" i="5"/>
  <c r="R272" i="5"/>
  <c r="N272" i="5"/>
  <c r="O272" i="5" s="1"/>
  <c r="L272" i="5"/>
  <c r="H272" i="5"/>
  <c r="I272" i="5" s="1"/>
  <c r="F272" i="5"/>
  <c r="C272" i="5"/>
  <c r="AD271" i="5"/>
  <c r="AC271" i="5"/>
  <c r="AA271" i="5"/>
  <c r="X271" i="5"/>
  <c r="W271" i="5"/>
  <c r="U271" i="5"/>
  <c r="R271" i="5"/>
  <c r="O271" i="5"/>
  <c r="N271" i="5"/>
  <c r="L271" i="5"/>
  <c r="H271" i="5"/>
  <c r="I271" i="5" s="1"/>
  <c r="F271" i="5"/>
  <c r="C271" i="5"/>
  <c r="AC270" i="5"/>
  <c r="AD270" i="5" s="1"/>
  <c r="AA270" i="5"/>
  <c r="W270" i="5"/>
  <c r="X270" i="5" s="1"/>
  <c r="U270" i="5"/>
  <c r="R270" i="5"/>
  <c r="N270" i="5"/>
  <c r="O270" i="5" s="1"/>
  <c r="L270" i="5"/>
  <c r="I270" i="5"/>
  <c r="H270" i="5"/>
  <c r="F270" i="5"/>
  <c r="C270" i="5"/>
  <c r="AC269" i="5"/>
  <c r="AD269" i="5" s="1"/>
  <c r="AA269" i="5"/>
  <c r="W269" i="5"/>
  <c r="X269" i="5" s="1"/>
  <c r="U269" i="5"/>
  <c r="R269" i="5"/>
  <c r="O269" i="5"/>
  <c r="N269" i="5"/>
  <c r="L269" i="5"/>
  <c r="H269" i="5"/>
  <c r="I269" i="5" s="1"/>
  <c r="F269" i="5"/>
  <c r="C269" i="5"/>
  <c r="Z267" i="5"/>
  <c r="AA267" i="5" s="1"/>
  <c r="U267" i="5"/>
  <c r="T267" i="5"/>
  <c r="Q267" i="5"/>
  <c r="L267" i="5"/>
  <c r="K267" i="5"/>
  <c r="I267" i="5"/>
  <c r="F267" i="5"/>
  <c r="E267" i="5"/>
  <c r="H267" i="5" s="1"/>
  <c r="B267" i="5"/>
  <c r="C267" i="5" s="1"/>
  <c r="AC266" i="5"/>
  <c r="AD266" i="5" s="1"/>
  <c r="AA266" i="5"/>
  <c r="W266" i="5"/>
  <c r="X266" i="5" s="1"/>
  <c r="U266" i="5"/>
  <c r="R266" i="5"/>
  <c r="N266" i="5"/>
  <c r="O266" i="5" s="1"/>
  <c r="L266" i="5"/>
  <c r="I266" i="5"/>
  <c r="H266" i="5"/>
  <c r="F266" i="5"/>
  <c r="C266" i="5"/>
  <c r="AC265" i="5"/>
  <c r="AD265" i="5" s="1"/>
  <c r="AA265" i="5"/>
  <c r="X265" i="5"/>
  <c r="W265" i="5"/>
  <c r="U265" i="5"/>
  <c r="R265" i="5"/>
  <c r="O265" i="5"/>
  <c r="N265" i="5"/>
  <c r="L265" i="5"/>
  <c r="H265" i="5"/>
  <c r="I265" i="5" s="1"/>
  <c r="F265" i="5"/>
  <c r="C265" i="5"/>
  <c r="Z263" i="5"/>
  <c r="AA263" i="5" s="1"/>
  <c r="W263" i="5"/>
  <c r="X263" i="5" s="1"/>
  <c r="U263" i="5"/>
  <c r="T263" i="5"/>
  <c r="Q263" i="5"/>
  <c r="L263" i="5"/>
  <c r="K263" i="5"/>
  <c r="I263" i="5"/>
  <c r="H263" i="5"/>
  <c r="F263" i="5"/>
  <c r="E263" i="5"/>
  <c r="B263" i="5"/>
  <c r="C263" i="5" s="1"/>
  <c r="Z262" i="5"/>
  <c r="AA262" i="5" s="1"/>
  <c r="T262" i="5"/>
  <c r="U262" i="5" s="1"/>
  <c r="Q262" i="5"/>
  <c r="K262" i="5"/>
  <c r="L262" i="5" s="1"/>
  <c r="F262" i="5"/>
  <c r="E262" i="5"/>
  <c r="B262" i="5"/>
  <c r="AD261" i="5"/>
  <c r="AC261" i="5"/>
  <c r="AA261" i="5"/>
  <c r="W261" i="5"/>
  <c r="X261" i="5" s="1"/>
  <c r="U261" i="5"/>
  <c r="R261" i="5"/>
  <c r="N261" i="5"/>
  <c r="O261" i="5" s="1"/>
  <c r="L261" i="5"/>
  <c r="H261" i="5"/>
  <c r="I261" i="5" s="1"/>
  <c r="F261" i="5"/>
  <c r="C261" i="5"/>
  <c r="AC260" i="5"/>
  <c r="AD260" i="5" s="1"/>
  <c r="AA260" i="5"/>
  <c r="X260" i="5"/>
  <c r="W260" i="5"/>
  <c r="U260" i="5"/>
  <c r="R260" i="5"/>
  <c r="O260" i="5"/>
  <c r="N260" i="5"/>
  <c r="L260" i="5"/>
  <c r="H260" i="5"/>
  <c r="I260" i="5" s="1"/>
  <c r="F260" i="5"/>
  <c r="C260" i="5"/>
  <c r="AD259" i="5"/>
  <c r="AC259" i="5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C258" i="5"/>
  <c r="AD258" i="5" s="1"/>
  <c r="AA258" i="5"/>
  <c r="W258" i="5"/>
  <c r="X258" i="5" s="1"/>
  <c r="U258" i="5"/>
  <c r="R258" i="5"/>
  <c r="O258" i="5"/>
  <c r="N258" i="5"/>
  <c r="L258" i="5"/>
  <c r="I258" i="5"/>
  <c r="H258" i="5"/>
  <c r="F258" i="5"/>
  <c r="C258" i="5"/>
  <c r="AC257" i="5"/>
  <c r="AD257" i="5" s="1"/>
  <c r="AA257" i="5"/>
  <c r="W257" i="5"/>
  <c r="X257" i="5" s="1"/>
  <c r="U257" i="5"/>
  <c r="R257" i="5"/>
  <c r="N257" i="5"/>
  <c r="O257" i="5" s="1"/>
  <c r="L257" i="5"/>
  <c r="H257" i="5"/>
  <c r="I257" i="5" s="1"/>
  <c r="F257" i="5"/>
  <c r="C257" i="5"/>
  <c r="AD256" i="5"/>
  <c r="AC256" i="5"/>
  <c r="AA256" i="5"/>
  <c r="X256" i="5"/>
  <c r="W256" i="5"/>
  <c r="U256" i="5"/>
  <c r="R256" i="5"/>
  <c r="O256" i="5"/>
  <c r="N256" i="5"/>
  <c r="L256" i="5"/>
  <c r="H256" i="5"/>
  <c r="I256" i="5" s="1"/>
  <c r="F256" i="5"/>
  <c r="C256" i="5"/>
  <c r="AC255" i="5"/>
  <c r="AD255" i="5" s="1"/>
  <c r="AA255" i="5"/>
  <c r="W255" i="5"/>
  <c r="X255" i="5" s="1"/>
  <c r="U255" i="5"/>
  <c r="R255" i="5"/>
  <c r="N255" i="5"/>
  <c r="O255" i="5" s="1"/>
  <c r="L255" i="5"/>
  <c r="I255" i="5"/>
  <c r="H255" i="5"/>
  <c r="F255" i="5"/>
  <c r="C255" i="5"/>
  <c r="AC254" i="5"/>
  <c r="AD254" i="5" s="1"/>
  <c r="AA254" i="5"/>
  <c r="X254" i="5"/>
  <c r="W254" i="5"/>
  <c r="U254" i="5"/>
  <c r="R254" i="5"/>
  <c r="O254" i="5"/>
  <c r="N254" i="5"/>
  <c r="L254" i="5"/>
  <c r="H254" i="5"/>
  <c r="I254" i="5" s="1"/>
  <c r="F254" i="5"/>
  <c r="C254" i="5"/>
  <c r="AD253" i="5"/>
  <c r="AC253" i="5"/>
  <c r="AA253" i="5"/>
  <c r="W253" i="5"/>
  <c r="X253" i="5" s="1"/>
  <c r="U253" i="5"/>
  <c r="R253" i="5"/>
  <c r="N253" i="5"/>
  <c r="O253" i="5" s="1"/>
  <c r="L253" i="5"/>
  <c r="H253" i="5"/>
  <c r="I253" i="5" s="1"/>
  <c r="F253" i="5"/>
  <c r="C253" i="5"/>
  <c r="AC252" i="5"/>
  <c r="AD252" i="5" s="1"/>
  <c r="AA252" i="5"/>
  <c r="X252" i="5"/>
  <c r="W252" i="5"/>
  <c r="U252" i="5"/>
  <c r="R252" i="5"/>
  <c r="O252" i="5"/>
  <c r="N252" i="5"/>
  <c r="L252" i="5"/>
  <c r="H252" i="5"/>
  <c r="I252" i="5" s="1"/>
  <c r="F252" i="5"/>
  <c r="C252" i="5"/>
  <c r="AC251" i="5"/>
  <c r="AD251" i="5" s="1"/>
  <c r="AA251" i="5"/>
  <c r="X251" i="5"/>
  <c r="W251" i="5"/>
  <c r="U251" i="5"/>
  <c r="R251" i="5"/>
  <c r="N251" i="5"/>
  <c r="O251" i="5" s="1"/>
  <c r="L251" i="5"/>
  <c r="I251" i="5"/>
  <c r="H251" i="5"/>
  <c r="F251" i="5"/>
  <c r="C251" i="5"/>
  <c r="AC250" i="5"/>
  <c r="AD250" i="5" s="1"/>
  <c r="AA250" i="5"/>
  <c r="W250" i="5"/>
  <c r="X250" i="5" s="1"/>
  <c r="U250" i="5"/>
  <c r="R250" i="5"/>
  <c r="O250" i="5"/>
  <c r="N250" i="5"/>
  <c r="L250" i="5"/>
  <c r="I250" i="5"/>
  <c r="H250" i="5"/>
  <c r="F250" i="5"/>
  <c r="C250" i="5"/>
  <c r="AD249" i="5"/>
  <c r="AC249" i="5"/>
  <c r="AA249" i="5"/>
  <c r="W249" i="5"/>
  <c r="X249" i="5" s="1"/>
  <c r="U249" i="5"/>
  <c r="R249" i="5"/>
  <c r="O249" i="5"/>
  <c r="N249" i="5"/>
  <c r="L249" i="5"/>
  <c r="H249" i="5"/>
  <c r="I249" i="5" s="1"/>
  <c r="F249" i="5"/>
  <c r="C249" i="5"/>
  <c r="AD248" i="5"/>
  <c r="AC248" i="5"/>
  <c r="AA248" i="5"/>
  <c r="X248" i="5"/>
  <c r="W248" i="5"/>
  <c r="U248" i="5"/>
  <c r="R248" i="5"/>
  <c r="O248" i="5"/>
  <c r="N248" i="5"/>
  <c r="L248" i="5"/>
  <c r="I248" i="5"/>
  <c r="H248" i="5"/>
  <c r="F248" i="5"/>
  <c r="C248" i="5"/>
  <c r="AC247" i="5"/>
  <c r="AD247" i="5" s="1"/>
  <c r="AA247" i="5"/>
  <c r="W247" i="5"/>
  <c r="X247" i="5" s="1"/>
  <c r="U247" i="5"/>
  <c r="R247" i="5"/>
  <c r="N247" i="5"/>
  <c r="O247" i="5" s="1"/>
  <c r="L247" i="5"/>
  <c r="I247" i="5"/>
  <c r="H247" i="5"/>
  <c r="F247" i="5"/>
  <c r="C247" i="5"/>
  <c r="AC246" i="5"/>
  <c r="AD246" i="5" s="1"/>
  <c r="AA246" i="5"/>
  <c r="X246" i="5"/>
  <c r="W246" i="5"/>
  <c r="U246" i="5"/>
  <c r="R246" i="5"/>
  <c r="O246" i="5"/>
  <c r="N246" i="5"/>
  <c r="L246" i="5"/>
  <c r="I246" i="5"/>
  <c r="H246" i="5"/>
  <c r="F246" i="5"/>
  <c r="C246" i="5"/>
  <c r="AD245" i="5"/>
  <c r="AC245" i="5"/>
  <c r="AA245" i="5"/>
  <c r="W245" i="5"/>
  <c r="X245" i="5" s="1"/>
  <c r="U245" i="5"/>
  <c r="R245" i="5"/>
  <c r="N245" i="5"/>
  <c r="O245" i="5" s="1"/>
  <c r="L245" i="5"/>
  <c r="H245" i="5"/>
  <c r="I245" i="5" s="1"/>
  <c r="F245" i="5"/>
  <c r="C245" i="5"/>
  <c r="AC244" i="5"/>
  <c r="AD244" i="5" s="1"/>
  <c r="AA244" i="5"/>
  <c r="X244" i="5"/>
  <c r="W244" i="5"/>
  <c r="U244" i="5"/>
  <c r="R244" i="5"/>
  <c r="O244" i="5"/>
  <c r="N244" i="5"/>
  <c r="L244" i="5"/>
  <c r="H244" i="5"/>
  <c r="I244" i="5" s="1"/>
  <c r="F244" i="5"/>
  <c r="C244" i="5"/>
  <c r="AC243" i="5"/>
  <c r="AD243" i="5" s="1"/>
  <c r="AA243" i="5"/>
  <c r="X243" i="5"/>
  <c r="W243" i="5"/>
  <c r="U243" i="5"/>
  <c r="R243" i="5"/>
  <c r="N243" i="5"/>
  <c r="O243" i="5" s="1"/>
  <c r="L243" i="5"/>
  <c r="H243" i="5"/>
  <c r="I243" i="5" s="1"/>
  <c r="F243" i="5"/>
  <c r="C243" i="5"/>
  <c r="AC242" i="5"/>
  <c r="AD242" i="5" s="1"/>
  <c r="AA242" i="5"/>
  <c r="W242" i="5"/>
  <c r="X242" i="5" s="1"/>
  <c r="U242" i="5"/>
  <c r="R242" i="5"/>
  <c r="O242" i="5"/>
  <c r="N242" i="5"/>
  <c r="L242" i="5"/>
  <c r="I242" i="5"/>
  <c r="H242" i="5"/>
  <c r="F242" i="5"/>
  <c r="C242" i="5"/>
  <c r="AC241" i="5"/>
  <c r="AD241" i="5" s="1"/>
  <c r="AA241" i="5"/>
  <c r="W241" i="5"/>
  <c r="X241" i="5" s="1"/>
  <c r="U241" i="5"/>
  <c r="R241" i="5"/>
  <c r="O241" i="5"/>
  <c r="N241" i="5"/>
  <c r="L241" i="5"/>
  <c r="H241" i="5"/>
  <c r="I241" i="5" s="1"/>
  <c r="F241" i="5"/>
  <c r="C241" i="5"/>
  <c r="AD240" i="5"/>
  <c r="AC240" i="5"/>
  <c r="AA240" i="5"/>
  <c r="X240" i="5"/>
  <c r="W240" i="5"/>
  <c r="U240" i="5"/>
  <c r="R240" i="5"/>
  <c r="O240" i="5"/>
  <c r="N240" i="5"/>
  <c r="L240" i="5"/>
  <c r="I240" i="5"/>
  <c r="H240" i="5"/>
  <c r="F240" i="5"/>
  <c r="C240" i="5"/>
  <c r="AC238" i="5"/>
  <c r="AD238" i="5" s="1"/>
  <c r="AA238" i="5"/>
  <c r="W238" i="5"/>
  <c r="X238" i="5" s="1"/>
  <c r="U238" i="5"/>
  <c r="R238" i="5"/>
  <c r="O238" i="5"/>
  <c r="N238" i="5"/>
  <c r="L238" i="5"/>
  <c r="I238" i="5"/>
  <c r="H238" i="5"/>
  <c r="F238" i="5"/>
  <c r="C238" i="5"/>
  <c r="AA236" i="5"/>
  <c r="Z236" i="5"/>
  <c r="T236" i="5"/>
  <c r="U236" i="5" s="1"/>
  <c r="Q236" i="5"/>
  <c r="N236" i="5"/>
  <c r="O236" i="5" s="1"/>
  <c r="K236" i="5"/>
  <c r="L236" i="5" s="1"/>
  <c r="E236" i="5"/>
  <c r="F236" i="5" s="1"/>
  <c r="B236" i="5"/>
  <c r="H236" i="5" s="1"/>
  <c r="I236" i="5" s="1"/>
  <c r="AD235" i="5"/>
  <c r="AC235" i="5"/>
  <c r="AA235" i="5"/>
  <c r="X235" i="5"/>
  <c r="W235" i="5"/>
  <c r="U235" i="5"/>
  <c r="R235" i="5"/>
  <c r="O235" i="5"/>
  <c r="N235" i="5"/>
  <c r="L235" i="5"/>
  <c r="I235" i="5"/>
  <c r="H235" i="5"/>
  <c r="F235" i="5"/>
  <c r="C235" i="5"/>
  <c r="AC234" i="5"/>
  <c r="AD234" i="5" s="1"/>
  <c r="AA234" i="5"/>
  <c r="W234" i="5"/>
  <c r="X234" i="5" s="1"/>
  <c r="U234" i="5"/>
  <c r="R234" i="5"/>
  <c r="O234" i="5"/>
  <c r="N234" i="5"/>
  <c r="L234" i="5"/>
  <c r="I234" i="5"/>
  <c r="H234" i="5"/>
  <c r="F234" i="5"/>
  <c r="C234" i="5"/>
  <c r="AC233" i="5"/>
  <c r="AD233" i="5" s="1"/>
  <c r="AA233" i="5"/>
  <c r="W233" i="5"/>
  <c r="X233" i="5" s="1"/>
  <c r="U233" i="5"/>
  <c r="R233" i="5"/>
  <c r="O233" i="5"/>
  <c r="N233" i="5"/>
  <c r="L233" i="5"/>
  <c r="I233" i="5"/>
  <c r="H233" i="5"/>
  <c r="F233" i="5"/>
  <c r="C233" i="5"/>
  <c r="AC232" i="5"/>
  <c r="AD232" i="5" s="1"/>
  <c r="AA232" i="5"/>
  <c r="W232" i="5"/>
  <c r="X232" i="5" s="1"/>
  <c r="U232" i="5"/>
  <c r="R232" i="5"/>
  <c r="O232" i="5"/>
  <c r="N232" i="5"/>
  <c r="L232" i="5"/>
  <c r="H232" i="5"/>
  <c r="I232" i="5" s="1"/>
  <c r="F232" i="5"/>
  <c r="C232" i="5"/>
  <c r="AD231" i="5"/>
  <c r="AC231" i="5"/>
  <c r="AA231" i="5"/>
  <c r="X231" i="5"/>
  <c r="W231" i="5"/>
  <c r="U231" i="5"/>
  <c r="R231" i="5"/>
  <c r="N231" i="5"/>
  <c r="O231" i="5" s="1"/>
  <c r="L231" i="5"/>
  <c r="I231" i="5"/>
  <c r="H231" i="5"/>
  <c r="F231" i="5"/>
  <c r="C231" i="5"/>
  <c r="AC230" i="5"/>
  <c r="AD230" i="5" s="1"/>
  <c r="AA230" i="5"/>
  <c r="X230" i="5"/>
  <c r="W230" i="5"/>
  <c r="U230" i="5"/>
  <c r="R230" i="5"/>
  <c r="O230" i="5"/>
  <c r="N230" i="5"/>
  <c r="L230" i="5"/>
  <c r="H230" i="5"/>
  <c r="I230" i="5" s="1"/>
  <c r="F230" i="5"/>
  <c r="C230" i="5"/>
  <c r="AC229" i="5"/>
  <c r="AD229" i="5" s="1"/>
  <c r="AA229" i="5"/>
  <c r="W229" i="5"/>
  <c r="X229" i="5" s="1"/>
  <c r="U229" i="5"/>
  <c r="R229" i="5"/>
  <c r="O229" i="5"/>
  <c r="N229" i="5"/>
  <c r="L229" i="5"/>
  <c r="I229" i="5"/>
  <c r="H229" i="5"/>
  <c r="F229" i="5"/>
  <c r="C229" i="5"/>
  <c r="AC227" i="5"/>
  <c r="AD227" i="5" s="1"/>
  <c r="Z227" i="5"/>
  <c r="AA227" i="5" s="1"/>
  <c r="T227" i="5"/>
  <c r="U227" i="5" s="1"/>
  <c r="R227" i="5"/>
  <c r="Q227" i="5"/>
  <c r="W227" i="5" s="1"/>
  <c r="X227" i="5" s="1"/>
  <c r="N227" i="5"/>
  <c r="O227" i="5" s="1"/>
  <c r="K227" i="5"/>
  <c r="L227" i="5" s="1"/>
  <c r="F227" i="5"/>
  <c r="E227" i="5"/>
  <c r="B227" i="5"/>
  <c r="AD226" i="5"/>
  <c r="AC226" i="5"/>
  <c r="AA226" i="5"/>
  <c r="X226" i="5"/>
  <c r="W226" i="5"/>
  <c r="U226" i="5"/>
  <c r="R226" i="5"/>
  <c r="N226" i="5"/>
  <c r="O226" i="5" s="1"/>
  <c r="L226" i="5"/>
  <c r="I226" i="5"/>
  <c r="H226" i="5"/>
  <c r="F226" i="5"/>
  <c r="C226" i="5"/>
  <c r="AC225" i="5"/>
  <c r="AD225" i="5" s="1"/>
  <c r="AA225" i="5"/>
  <c r="X225" i="5"/>
  <c r="W225" i="5"/>
  <c r="U225" i="5"/>
  <c r="R225" i="5"/>
  <c r="O225" i="5"/>
  <c r="N225" i="5"/>
  <c r="L225" i="5"/>
  <c r="H225" i="5"/>
  <c r="I225" i="5" s="1"/>
  <c r="F225" i="5"/>
  <c r="C225" i="5"/>
  <c r="AD224" i="5"/>
  <c r="AC224" i="5"/>
  <c r="AA224" i="5"/>
  <c r="X224" i="5"/>
  <c r="W224" i="5"/>
  <c r="U224" i="5"/>
  <c r="R224" i="5"/>
  <c r="O224" i="5"/>
  <c r="N224" i="5"/>
  <c r="L224" i="5"/>
  <c r="H224" i="5"/>
  <c r="I224" i="5" s="1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I223" i="5"/>
  <c r="H223" i="5"/>
  <c r="F223" i="5"/>
  <c r="C223" i="5"/>
  <c r="AD222" i="5"/>
  <c r="AC222" i="5"/>
  <c r="AA222" i="5"/>
  <c r="W222" i="5"/>
  <c r="X222" i="5" s="1"/>
  <c r="U222" i="5"/>
  <c r="R222" i="5"/>
  <c r="N222" i="5"/>
  <c r="O222" i="5" s="1"/>
  <c r="L222" i="5"/>
  <c r="I222" i="5"/>
  <c r="H222" i="5"/>
  <c r="F222" i="5"/>
  <c r="C222" i="5"/>
  <c r="AC221" i="5"/>
  <c r="AD221" i="5" s="1"/>
  <c r="AA221" i="5"/>
  <c r="X221" i="5"/>
  <c r="W221" i="5"/>
  <c r="U221" i="5"/>
  <c r="R221" i="5"/>
  <c r="O221" i="5"/>
  <c r="N221" i="5"/>
  <c r="L221" i="5"/>
  <c r="H221" i="5"/>
  <c r="I221" i="5" s="1"/>
  <c r="F221" i="5"/>
  <c r="C221" i="5"/>
  <c r="AC220" i="5"/>
  <c r="AD220" i="5" s="1"/>
  <c r="AA220" i="5"/>
  <c r="W220" i="5"/>
  <c r="X220" i="5" s="1"/>
  <c r="U220" i="5"/>
  <c r="R220" i="5"/>
  <c r="O220" i="5"/>
  <c r="N220" i="5"/>
  <c r="L220" i="5"/>
  <c r="H220" i="5"/>
  <c r="I220" i="5" s="1"/>
  <c r="F220" i="5"/>
  <c r="C220" i="5"/>
  <c r="AD219" i="5"/>
  <c r="AC219" i="5"/>
  <c r="AA219" i="5"/>
  <c r="X219" i="5"/>
  <c r="W219" i="5"/>
  <c r="U219" i="5"/>
  <c r="R219" i="5"/>
  <c r="N219" i="5"/>
  <c r="O219" i="5" s="1"/>
  <c r="L219" i="5"/>
  <c r="I219" i="5"/>
  <c r="H219" i="5"/>
  <c r="F219" i="5"/>
  <c r="C219" i="5"/>
  <c r="Z218" i="5"/>
  <c r="AC218" i="5" s="1"/>
  <c r="AD218" i="5" s="1"/>
  <c r="T218" i="5"/>
  <c r="R218" i="5"/>
  <c r="Q218" i="5"/>
  <c r="K218" i="5"/>
  <c r="N218" i="5" s="1"/>
  <c r="O218" i="5" s="1"/>
  <c r="F218" i="5"/>
  <c r="E218" i="5"/>
  <c r="B218" i="5"/>
  <c r="AC217" i="5"/>
  <c r="AD217" i="5" s="1"/>
  <c r="AA217" i="5"/>
  <c r="W217" i="5"/>
  <c r="X217" i="5" s="1"/>
  <c r="U217" i="5"/>
  <c r="R217" i="5"/>
  <c r="O217" i="5"/>
  <c r="N217" i="5"/>
  <c r="L217" i="5"/>
  <c r="H217" i="5"/>
  <c r="I217" i="5" s="1"/>
  <c r="F217" i="5"/>
  <c r="C217" i="5"/>
  <c r="AD216" i="5"/>
  <c r="AC216" i="5"/>
  <c r="AA216" i="5"/>
  <c r="X216" i="5"/>
  <c r="W216" i="5"/>
  <c r="U216" i="5"/>
  <c r="R216" i="5"/>
  <c r="O216" i="5"/>
  <c r="N216" i="5"/>
  <c r="L216" i="5"/>
  <c r="I216" i="5"/>
  <c r="H216" i="5"/>
  <c r="F216" i="5"/>
  <c r="C216" i="5"/>
  <c r="AC215" i="5"/>
  <c r="AD215" i="5" s="1"/>
  <c r="AA215" i="5"/>
  <c r="W215" i="5"/>
  <c r="X215" i="5" s="1"/>
  <c r="U215" i="5"/>
  <c r="R215" i="5"/>
  <c r="O215" i="5"/>
  <c r="N215" i="5"/>
  <c r="L215" i="5"/>
  <c r="I215" i="5"/>
  <c r="H215" i="5"/>
  <c r="F215" i="5"/>
  <c r="C215" i="5"/>
  <c r="AC214" i="5"/>
  <c r="AD214" i="5" s="1"/>
  <c r="AA214" i="5"/>
  <c r="W214" i="5"/>
  <c r="X214" i="5" s="1"/>
  <c r="U214" i="5"/>
  <c r="R214" i="5"/>
  <c r="O214" i="5"/>
  <c r="N214" i="5"/>
  <c r="L214" i="5"/>
  <c r="I214" i="5"/>
  <c r="H214" i="5"/>
  <c r="F214" i="5"/>
  <c r="C214" i="5"/>
  <c r="AC213" i="5"/>
  <c r="AD213" i="5" s="1"/>
  <c r="AA213" i="5"/>
  <c r="X213" i="5"/>
  <c r="W213" i="5"/>
  <c r="U213" i="5"/>
  <c r="R213" i="5"/>
  <c r="O213" i="5"/>
  <c r="N213" i="5"/>
  <c r="L213" i="5"/>
  <c r="H213" i="5"/>
  <c r="I213" i="5" s="1"/>
  <c r="F213" i="5"/>
  <c r="C213" i="5"/>
  <c r="AC211" i="5"/>
  <c r="AD211" i="5" s="1"/>
  <c r="AA211" i="5"/>
  <c r="X211" i="5"/>
  <c r="W211" i="5"/>
  <c r="U211" i="5"/>
  <c r="R211" i="5"/>
  <c r="O211" i="5"/>
  <c r="N211" i="5"/>
  <c r="L211" i="5"/>
  <c r="I211" i="5"/>
  <c r="H211" i="5"/>
  <c r="F211" i="5"/>
  <c r="C211" i="5"/>
  <c r="AC209" i="5"/>
  <c r="AD209" i="5" s="1"/>
  <c r="Z209" i="5"/>
  <c r="AA209" i="5" s="1"/>
  <c r="T209" i="5"/>
  <c r="U209" i="5" s="1"/>
  <c r="R209" i="5"/>
  <c r="Q209" i="5"/>
  <c r="L209" i="5"/>
  <c r="K209" i="5"/>
  <c r="F209" i="5"/>
  <c r="E209" i="5"/>
  <c r="C209" i="5"/>
  <c r="B209" i="5"/>
  <c r="AC208" i="5"/>
  <c r="AD208" i="5" s="1"/>
  <c r="AA208" i="5"/>
  <c r="W208" i="5"/>
  <c r="X208" i="5" s="1"/>
  <c r="U208" i="5"/>
  <c r="R208" i="5"/>
  <c r="O208" i="5"/>
  <c r="N208" i="5"/>
  <c r="L208" i="5"/>
  <c r="H208" i="5"/>
  <c r="I208" i="5" s="1"/>
  <c r="F208" i="5"/>
  <c r="C208" i="5"/>
  <c r="AC207" i="5"/>
  <c r="AD207" i="5" s="1"/>
  <c r="AA207" i="5"/>
  <c r="X207" i="5"/>
  <c r="W207" i="5"/>
  <c r="U207" i="5"/>
  <c r="R207" i="5"/>
  <c r="N207" i="5"/>
  <c r="O207" i="5" s="1"/>
  <c r="L207" i="5"/>
  <c r="I207" i="5"/>
  <c r="H207" i="5"/>
  <c r="F207" i="5"/>
  <c r="C207" i="5"/>
  <c r="AC206" i="5"/>
  <c r="AD206" i="5" s="1"/>
  <c r="AA206" i="5"/>
  <c r="W206" i="5"/>
  <c r="X206" i="5" s="1"/>
  <c r="U206" i="5"/>
  <c r="R206" i="5"/>
  <c r="O206" i="5"/>
  <c r="N206" i="5"/>
  <c r="L206" i="5"/>
  <c r="H206" i="5"/>
  <c r="I206" i="5" s="1"/>
  <c r="F206" i="5"/>
  <c r="C206" i="5"/>
  <c r="AC205" i="5"/>
  <c r="AD205" i="5" s="1"/>
  <c r="AA205" i="5"/>
  <c r="W205" i="5"/>
  <c r="X205" i="5" s="1"/>
  <c r="U205" i="5"/>
  <c r="R205" i="5"/>
  <c r="O205" i="5"/>
  <c r="N205" i="5"/>
  <c r="L205" i="5"/>
  <c r="I205" i="5"/>
  <c r="H205" i="5"/>
  <c r="F205" i="5"/>
  <c r="C205" i="5"/>
  <c r="AC204" i="5"/>
  <c r="AD204" i="5" s="1"/>
  <c r="AA204" i="5"/>
  <c r="X204" i="5"/>
  <c r="W204" i="5"/>
  <c r="U204" i="5"/>
  <c r="R204" i="5"/>
  <c r="N204" i="5"/>
  <c r="O204" i="5" s="1"/>
  <c r="L204" i="5"/>
  <c r="H204" i="5"/>
  <c r="I204" i="5" s="1"/>
  <c r="F204" i="5"/>
  <c r="C204" i="5"/>
  <c r="AC203" i="5"/>
  <c r="AD203" i="5" s="1"/>
  <c r="AA203" i="5"/>
  <c r="X203" i="5"/>
  <c r="W203" i="5"/>
  <c r="U203" i="5"/>
  <c r="R203" i="5"/>
  <c r="O203" i="5"/>
  <c r="N203" i="5"/>
  <c r="L203" i="5"/>
  <c r="H203" i="5"/>
  <c r="I203" i="5" s="1"/>
  <c r="F203" i="5"/>
  <c r="C203" i="5"/>
  <c r="AD202" i="5"/>
  <c r="AC202" i="5"/>
  <c r="AA202" i="5"/>
  <c r="X202" i="5"/>
  <c r="W202" i="5"/>
  <c r="U202" i="5"/>
  <c r="R202" i="5"/>
  <c r="N202" i="5"/>
  <c r="O202" i="5" s="1"/>
  <c r="L202" i="5"/>
  <c r="H202" i="5"/>
  <c r="I202" i="5" s="1"/>
  <c r="F202" i="5"/>
  <c r="C202" i="5"/>
  <c r="AC201" i="5"/>
  <c r="AD201" i="5" s="1"/>
  <c r="AA201" i="5"/>
  <c r="X201" i="5"/>
  <c r="W201" i="5"/>
  <c r="U201" i="5"/>
  <c r="R201" i="5"/>
  <c r="O201" i="5"/>
  <c r="N201" i="5"/>
  <c r="L201" i="5"/>
  <c r="H201" i="5"/>
  <c r="I201" i="5" s="1"/>
  <c r="F201" i="5"/>
  <c r="C201" i="5"/>
  <c r="Z198" i="5"/>
  <c r="B198" i="5"/>
  <c r="AA197" i="5"/>
  <c r="Z197" i="5"/>
  <c r="T197" i="5"/>
  <c r="U197" i="5" s="1"/>
  <c r="Q197" i="5"/>
  <c r="K197" i="5"/>
  <c r="L197" i="5" s="1"/>
  <c r="E197" i="5"/>
  <c r="F197" i="5" s="1"/>
  <c r="B197" i="5"/>
  <c r="H197" i="5" s="1"/>
  <c r="I197" i="5" s="1"/>
  <c r="Z196" i="5"/>
  <c r="AA196" i="5" s="1"/>
  <c r="U196" i="5"/>
  <c r="T196" i="5"/>
  <c r="Q196" i="5"/>
  <c r="L196" i="5"/>
  <c r="K196" i="5"/>
  <c r="H196" i="5"/>
  <c r="I196" i="5" s="1"/>
  <c r="F196" i="5"/>
  <c r="E196" i="5"/>
  <c r="B196" i="5"/>
  <c r="AC195" i="5"/>
  <c r="AD195" i="5" s="1"/>
  <c r="AA195" i="5"/>
  <c r="W195" i="5"/>
  <c r="X195" i="5" s="1"/>
  <c r="U195" i="5"/>
  <c r="R195" i="5"/>
  <c r="O195" i="5"/>
  <c r="N195" i="5"/>
  <c r="L195" i="5"/>
  <c r="I195" i="5"/>
  <c r="H195" i="5"/>
  <c r="F195" i="5"/>
  <c r="C195" i="5"/>
  <c r="AC194" i="5"/>
  <c r="AD194" i="5" s="1"/>
  <c r="AA194" i="5"/>
  <c r="W194" i="5"/>
  <c r="X194" i="5" s="1"/>
  <c r="U194" i="5"/>
  <c r="R194" i="5"/>
  <c r="O194" i="5"/>
  <c r="N194" i="5"/>
  <c r="L194" i="5"/>
  <c r="I194" i="5"/>
  <c r="H194" i="5"/>
  <c r="F194" i="5"/>
  <c r="C194" i="5"/>
  <c r="Z193" i="5"/>
  <c r="AA193" i="5" s="1"/>
  <c r="W193" i="5"/>
  <c r="X193" i="5" s="1"/>
  <c r="T193" i="5"/>
  <c r="U193" i="5" s="1"/>
  <c r="R193" i="5"/>
  <c r="Q193" i="5"/>
  <c r="K193" i="5"/>
  <c r="N193" i="5" s="1"/>
  <c r="O193" i="5" s="1"/>
  <c r="I193" i="5"/>
  <c r="F193" i="5"/>
  <c r="E193" i="5"/>
  <c r="H193" i="5" s="1"/>
  <c r="B193" i="5"/>
  <c r="C193" i="5" s="1"/>
  <c r="AD192" i="5"/>
  <c r="AC192" i="5"/>
  <c r="AA192" i="5"/>
  <c r="X192" i="5"/>
  <c r="W192" i="5"/>
  <c r="U192" i="5"/>
  <c r="R192" i="5"/>
  <c r="N192" i="5"/>
  <c r="O192" i="5" s="1"/>
  <c r="L192" i="5"/>
  <c r="H192" i="5"/>
  <c r="I192" i="5" s="1"/>
  <c r="F192" i="5"/>
  <c r="C192" i="5"/>
  <c r="AC191" i="5"/>
  <c r="AD191" i="5" s="1"/>
  <c r="AA191" i="5"/>
  <c r="X191" i="5"/>
  <c r="W191" i="5"/>
  <c r="U191" i="5"/>
  <c r="R191" i="5"/>
  <c r="O191" i="5"/>
  <c r="N191" i="5"/>
  <c r="L191" i="5"/>
  <c r="H191" i="5"/>
  <c r="I191" i="5" s="1"/>
  <c r="F191" i="5"/>
  <c r="C191" i="5"/>
  <c r="AD190" i="5"/>
  <c r="AC190" i="5"/>
  <c r="AA190" i="5"/>
  <c r="X190" i="5"/>
  <c r="W190" i="5"/>
  <c r="U190" i="5"/>
  <c r="R190" i="5"/>
  <c r="O190" i="5"/>
  <c r="N190" i="5"/>
  <c r="L190" i="5"/>
  <c r="H190" i="5"/>
  <c r="I190" i="5" s="1"/>
  <c r="F190" i="5"/>
  <c r="C190" i="5"/>
  <c r="AC189" i="5"/>
  <c r="AD189" i="5" s="1"/>
  <c r="AA189" i="5"/>
  <c r="X189" i="5"/>
  <c r="W189" i="5"/>
  <c r="U189" i="5"/>
  <c r="R189" i="5"/>
  <c r="N189" i="5"/>
  <c r="O189" i="5" s="1"/>
  <c r="L189" i="5"/>
  <c r="I189" i="5"/>
  <c r="H189" i="5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I188" i="5"/>
  <c r="H188" i="5"/>
  <c r="F188" i="5"/>
  <c r="C188" i="5"/>
  <c r="AC187" i="5"/>
  <c r="AD187" i="5" s="1"/>
  <c r="AA187" i="5"/>
  <c r="X187" i="5"/>
  <c r="W187" i="5"/>
  <c r="U187" i="5"/>
  <c r="R187" i="5"/>
  <c r="O187" i="5"/>
  <c r="N187" i="5"/>
  <c r="L187" i="5"/>
  <c r="H187" i="5"/>
  <c r="I187" i="5" s="1"/>
  <c r="F187" i="5"/>
  <c r="C187" i="5"/>
  <c r="AC186" i="5"/>
  <c r="AD186" i="5" s="1"/>
  <c r="AA186" i="5"/>
  <c r="W186" i="5"/>
  <c r="X186" i="5" s="1"/>
  <c r="U186" i="5"/>
  <c r="R186" i="5"/>
  <c r="N186" i="5"/>
  <c r="O186" i="5" s="1"/>
  <c r="L186" i="5"/>
  <c r="H186" i="5"/>
  <c r="I186" i="5" s="1"/>
  <c r="F186" i="5"/>
  <c r="C186" i="5"/>
  <c r="AD184" i="5"/>
  <c r="AC184" i="5"/>
  <c r="AA184" i="5"/>
  <c r="X184" i="5"/>
  <c r="W184" i="5"/>
  <c r="U184" i="5"/>
  <c r="R184" i="5"/>
  <c r="N184" i="5"/>
  <c r="O184" i="5" s="1"/>
  <c r="L184" i="5"/>
  <c r="H184" i="5"/>
  <c r="I184" i="5" s="1"/>
  <c r="F184" i="5"/>
  <c r="C184" i="5"/>
  <c r="AC183" i="5"/>
  <c r="AD183" i="5" s="1"/>
  <c r="AA183" i="5"/>
  <c r="W183" i="5"/>
  <c r="X183" i="5" s="1"/>
  <c r="U183" i="5"/>
  <c r="R183" i="5"/>
  <c r="O183" i="5"/>
  <c r="N183" i="5"/>
  <c r="L183" i="5"/>
  <c r="I183" i="5"/>
  <c r="H183" i="5"/>
  <c r="F183" i="5"/>
  <c r="C183" i="5"/>
  <c r="AA182" i="5"/>
  <c r="Z182" i="5"/>
  <c r="T182" i="5"/>
  <c r="U182" i="5" s="1"/>
  <c r="Q182" i="5"/>
  <c r="R182" i="5" s="1"/>
  <c r="K182" i="5"/>
  <c r="L182" i="5" s="1"/>
  <c r="E182" i="5"/>
  <c r="F182" i="5" s="1"/>
  <c r="C182" i="5"/>
  <c r="B182" i="5"/>
  <c r="AD181" i="5"/>
  <c r="AC181" i="5"/>
  <c r="AA181" i="5"/>
  <c r="X181" i="5"/>
  <c r="W181" i="5"/>
  <c r="U181" i="5"/>
  <c r="R181" i="5"/>
  <c r="N181" i="5"/>
  <c r="O181" i="5" s="1"/>
  <c r="L181" i="5"/>
  <c r="H181" i="5"/>
  <c r="I181" i="5" s="1"/>
  <c r="F181" i="5"/>
  <c r="C181" i="5"/>
  <c r="AD180" i="5"/>
  <c r="AC180" i="5"/>
  <c r="AA180" i="5"/>
  <c r="W180" i="5"/>
  <c r="X180" i="5" s="1"/>
  <c r="U180" i="5"/>
  <c r="R180" i="5"/>
  <c r="N180" i="5"/>
  <c r="O180" i="5" s="1"/>
  <c r="L180" i="5"/>
  <c r="I180" i="5"/>
  <c r="H180" i="5"/>
  <c r="F180" i="5"/>
  <c r="C180" i="5"/>
  <c r="AC179" i="5"/>
  <c r="AD179" i="5" s="1"/>
  <c r="AA179" i="5"/>
  <c r="X179" i="5"/>
  <c r="W179" i="5"/>
  <c r="U179" i="5"/>
  <c r="R179" i="5"/>
  <c r="O179" i="5"/>
  <c r="N179" i="5"/>
  <c r="L179" i="5"/>
  <c r="H179" i="5"/>
  <c r="I179" i="5" s="1"/>
  <c r="F179" i="5"/>
  <c r="C179" i="5"/>
  <c r="AC178" i="5"/>
  <c r="AD178" i="5" s="1"/>
  <c r="AA178" i="5"/>
  <c r="W178" i="5"/>
  <c r="X178" i="5" s="1"/>
  <c r="U178" i="5"/>
  <c r="R178" i="5"/>
  <c r="O178" i="5"/>
  <c r="N178" i="5"/>
  <c r="L178" i="5"/>
  <c r="H178" i="5"/>
  <c r="I178" i="5" s="1"/>
  <c r="F178" i="5"/>
  <c r="C178" i="5"/>
  <c r="AD177" i="5"/>
  <c r="AC177" i="5"/>
  <c r="AA177" i="5"/>
  <c r="X177" i="5"/>
  <c r="W177" i="5"/>
  <c r="U177" i="5"/>
  <c r="R177" i="5"/>
  <c r="N177" i="5"/>
  <c r="O177" i="5" s="1"/>
  <c r="L177" i="5"/>
  <c r="I177" i="5"/>
  <c r="H177" i="5"/>
  <c r="F177" i="5"/>
  <c r="C177" i="5"/>
  <c r="AC175" i="5"/>
  <c r="AD175" i="5" s="1"/>
  <c r="AA175" i="5"/>
  <c r="X175" i="5"/>
  <c r="W175" i="5"/>
  <c r="U175" i="5"/>
  <c r="R175" i="5"/>
  <c r="O175" i="5"/>
  <c r="N175" i="5"/>
  <c r="L175" i="5"/>
  <c r="H175" i="5"/>
  <c r="I175" i="5" s="1"/>
  <c r="F175" i="5"/>
  <c r="C175" i="5"/>
  <c r="AD171" i="5"/>
  <c r="AA171" i="5"/>
  <c r="Z171" i="5"/>
  <c r="T171" i="5"/>
  <c r="W171" i="5" s="1"/>
  <c r="X171" i="5" s="1"/>
  <c r="R171" i="5"/>
  <c r="Q171" i="5"/>
  <c r="AC171" i="5" s="1"/>
  <c r="N171" i="5"/>
  <c r="O171" i="5" s="1"/>
  <c r="K171" i="5"/>
  <c r="L171" i="5" s="1"/>
  <c r="E171" i="5"/>
  <c r="H171" i="5" s="1"/>
  <c r="I171" i="5" s="1"/>
  <c r="C171" i="5"/>
  <c r="B171" i="5"/>
  <c r="AC170" i="5"/>
  <c r="AD170" i="5" s="1"/>
  <c r="AA170" i="5"/>
  <c r="Z170" i="5"/>
  <c r="T170" i="5"/>
  <c r="W170" i="5" s="1"/>
  <c r="X170" i="5" s="1"/>
  <c r="Q170" i="5"/>
  <c r="R170" i="5" s="1"/>
  <c r="K170" i="5"/>
  <c r="L170" i="5" s="1"/>
  <c r="E170" i="5"/>
  <c r="F170" i="5" s="1"/>
  <c r="B170" i="5"/>
  <c r="C170" i="5" s="1"/>
  <c r="AD169" i="5"/>
  <c r="AC169" i="5"/>
  <c r="AA169" i="5"/>
  <c r="X169" i="5"/>
  <c r="W169" i="5"/>
  <c r="U169" i="5"/>
  <c r="R169" i="5"/>
  <c r="N169" i="5"/>
  <c r="O169" i="5" s="1"/>
  <c r="L169" i="5"/>
  <c r="H169" i="5"/>
  <c r="I169" i="5" s="1"/>
  <c r="F169" i="5"/>
  <c r="C169" i="5"/>
  <c r="AC168" i="5"/>
  <c r="AD168" i="5" s="1"/>
  <c r="AA168" i="5"/>
  <c r="X168" i="5"/>
  <c r="W168" i="5"/>
  <c r="U168" i="5"/>
  <c r="R168" i="5"/>
  <c r="O168" i="5"/>
  <c r="N168" i="5"/>
  <c r="L168" i="5"/>
  <c r="H168" i="5"/>
  <c r="I168" i="5" s="1"/>
  <c r="F168" i="5"/>
  <c r="C168" i="5"/>
  <c r="AC167" i="5"/>
  <c r="AD167" i="5" s="1"/>
  <c r="AA167" i="5"/>
  <c r="W167" i="5"/>
  <c r="X167" i="5" s="1"/>
  <c r="U167" i="5"/>
  <c r="R167" i="5"/>
  <c r="O167" i="5"/>
  <c r="N167" i="5"/>
  <c r="L167" i="5"/>
  <c r="I167" i="5"/>
  <c r="H167" i="5"/>
  <c r="F167" i="5"/>
  <c r="C167" i="5"/>
  <c r="AC166" i="5"/>
  <c r="AD166" i="5" s="1"/>
  <c r="Z166" i="5"/>
  <c r="AA166" i="5" s="1"/>
  <c r="T166" i="5"/>
  <c r="U166" i="5" s="1"/>
  <c r="Q166" i="5"/>
  <c r="W166" i="5" s="1"/>
  <c r="X166" i="5" s="1"/>
  <c r="L166" i="5"/>
  <c r="K166" i="5"/>
  <c r="F166" i="5"/>
  <c r="E166" i="5"/>
  <c r="B166" i="5"/>
  <c r="N166" i="5" s="1"/>
  <c r="O166" i="5" s="1"/>
  <c r="AD165" i="5"/>
  <c r="AC165" i="5"/>
  <c r="AA165" i="5"/>
  <c r="X165" i="5"/>
  <c r="W165" i="5"/>
  <c r="U165" i="5"/>
  <c r="R165" i="5"/>
  <c r="N165" i="5"/>
  <c r="O165" i="5" s="1"/>
  <c r="L165" i="5"/>
  <c r="I165" i="5"/>
  <c r="H165" i="5"/>
  <c r="F165" i="5"/>
  <c r="C165" i="5"/>
  <c r="AC164" i="5"/>
  <c r="AD164" i="5" s="1"/>
  <c r="AA164" i="5"/>
  <c r="X164" i="5"/>
  <c r="W164" i="5"/>
  <c r="U164" i="5"/>
  <c r="R164" i="5"/>
  <c r="O164" i="5"/>
  <c r="N164" i="5"/>
  <c r="L164" i="5"/>
  <c r="H164" i="5"/>
  <c r="I164" i="5" s="1"/>
  <c r="F164" i="5"/>
  <c r="C164" i="5"/>
  <c r="AD163" i="5"/>
  <c r="AC163" i="5"/>
  <c r="AA163" i="5"/>
  <c r="W163" i="5"/>
  <c r="X163" i="5" s="1"/>
  <c r="U163" i="5"/>
  <c r="R163" i="5"/>
  <c r="O163" i="5"/>
  <c r="N163" i="5"/>
  <c r="L163" i="5"/>
  <c r="H163" i="5"/>
  <c r="I163" i="5" s="1"/>
  <c r="F163" i="5"/>
  <c r="C163" i="5"/>
  <c r="AD162" i="5"/>
  <c r="AC162" i="5"/>
  <c r="AA162" i="5"/>
  <c r="X162" i="5"/>
  <c r="W162" i="5"/>
  <c r="U162" i="5"/>
  <c r="R162" i="5"/>
  <c r="N162" i="5"/>
  <c r="O162" i="5" s="1"/>
  <c r="L162" i="5"/>
  <c r="I162" i="5"/>
  <c r="H162" i="5"/>
  <c r="F162" i="5"/>
  <c r="C162" i="5"/>
  <c r="AC161" i="5"/>
  <c r="AD161" i="5" s="1"/>
  <c r="AA161" i="5"/>
  <c r="W161" i="5"/>
  <c r="X161" i="5" s="1"/>
  <c r="U161" i="5"/>
  <c r="R161" i="5"/>
  <c r="O161" i="5"/>
  <c r="N161" i="5"/>
  <c r="L161" i="5"/>
  <c r="I161" i="5"/>
  <c r="H161" i="5"/>
  <c r="F161" i="5"/>
  <c r="C161" i="5"/>
  <c r="AC160" i="5"/>
  <c r="AD160" i="5" s="1"/>
  <c r="AA160" i="5"/>
  <c r="W160" i="5"/>
  <c r="X160" i="5" s="1"/>
  <c r="U160" i="5"/>
  <c r="R160" i="5"/>
  <c r="O160" i="5"/>
  <c r="N160" i="5"/>
  <c r="L160" i="5"/>
  <c r="I160" i="5"/>
  <c r="H160" i="5"/>
  <c r="F160" i="5"/>
  <c r="C160" i="5"/>
  <c r="AC158" i="5"/>
  <c r="AD158" i="5" s="1"/>
  <c r="Z158" i="5"/>
  <c r="AA158" i="5" s="1"/>
  <c r="U158" i="5"/>
  <c r="T158" i="5"/>
  <c r="Q158" i="5"/>
  <c r="W158" i="5" s="1"/>
  <c r="X158" i="5" s="1"/>
  <c r="L158" i="5"/>
  <c r="K158" i="5"/>
  <c r="E158" i="5"/>
  <c r="F158" i="5" s="1"/>
  <c r="B158" i="5"/>
  <c r="C158" i="5" s="1"/>
  <c r="AC157" i="5"/>
  <c r="AD157" i="5" s="1"/>
  <c r="AA157" i="5"/>
  <c r="W157" i="5"/>
  <c r="X157" i="5" s="1"/>
  <c r="U157" i="5"/>
  <c r="R157" i="5"/>
  <c r="O157" i="5"/>
  <c r="N157" i="5"/>
  <c r="L157" i="5"/>
  <c r="H157" i="5"/>
  <c r="I157" i="5" s="1"/>
  <c r="F157" i="5"/>
  <c r="C157" i="5"/>
  <c r="AC156" i="5"/>
  <c r="AD156" i="5" s="1"/>
  <c r="AA156" i="5"/>
  <c r="X156" i="5"/>
  <c r="W156" i="5"/>
  <c r="U156" i="5"/>
  <c r="R156" i="5"/>
  <c r="O156" i="5"/>
  <c r="N156" i="5"/>
  <c r="L156" i="5"/>
  <c r="H156" i="5"/>
  <c r="I156" i="5" s="1"/>
  <c r="F156" i="5"/>
  <c r="C156" i="5"/>
  <c r="AD155" i="5"/>
  <c r="AC155" i="5"/>
  <c r="AA155" i="5"/>
  <c r="W155" i="5"/>
  <c r="X155" i="5" s="1"/>
  <c r="U155" i="5"/>
  <c r="R155" i="5"/>
  <c r="N155" i="5"/>
  <c r="O155" i="5" s="1"/>
  <c r="L155" i="5"/>
  <c r="H155" i="5"/>
  <c r="I155" i="5" s="1"/>
  <c r="F155" i="5"/>
  <c r="C155" i="5"/>
  <c r="AC154" i="5"/>
  <c r="AD154" i="5" s="1"/>
  <c r="AA154" i="5"/>
  <c r="X154" i="5"/>
  <c r="W154" i="5"/>
  <c r="U154" i="5"/>
  <c r="R154" i="5"/>
  <c r="N154" i="5"/>
  <c r="O154" i="5" s="1"/>
  <c r="L154" i="5"/>
  <c r="H154" i="5"/>
  <c r="I154" i="5" s="1"/>
  <c r="F154" i="5"/>
  <c r="C154" i="5"/>
  <c r="AC153" i="5"/>
  <c r="AD153" i="5" s="1"/>
  <c r="AA153" i="5"/>
  <c r="X153" i="5"/>
  <c r="W153" i="5"/>
  <c r="U153" i="5"/>
  <c r="R153" i="5"/>
  <c r="O153" i="5"/>
  <c r="N153" i="5"/>
  <c r="L153" i="5"/>
  <c r="H153" i="5"/>
  <c r="I153" i="5" s="1"/>
  <c r="F153" i="5"/>
  <c r="C153" i="5"/>
  <c r="AC151" i="5"/>
  <c r="AD151" i="5" s="1"/>
  <c r="AA151" i="5"/>
  <c r="W151" i="5"/>
  <c r="X151" i="5" s="1"/>
  <c r="U151" i="5"/>
  <c r="R151" i="5"/>
  <c r="O151" i="5"/>
  <c r="N151" i="5"/>
  <c r="L151" i="5"/>
  <c r="I151" i="5"/>
  <c r="H151" i="5"/>
  <c r="F151" i="5"/>
  <c r="C151" i="5"/>
  <c r="Z149" i="5"/>
  <c r="AA149" i="5" s="1"/>
  <c r="W149" i="5"/>
  <c r="X149" i="5" s="1"/>
  <c r="U149" i="5"/>
  <c r="T149" i="5"/>
  <c r="Q149" i="5"/>
  <c r="K149" i="5"/>
  <c r="L149" i="5" s="1"/>
  <c r="H149" i="5"/>
  <c r="I149" i="5" s="1"/>
  <c r="F149" i="5"/>
  <c r="E149" i="5"/>
  <c r="B149" i="5"/>
  <c r="Z148" i="5"/>
  <c r="AC148" i="5" s="1"/>
  <c r="AD148" i="5" s="1"/>
  <c r="W148" i="5"/>
  <c r="X148" i="5" s="1"/>
  <c r="T148" i="5"/>
  <c r="U148" i="5" s="1"/>
  <c r="R148" i="5"/>
  <c r="Q148" i="5"/>
  <c r="N148" i="5"/>
  <c r="O148" i="5" s="1"/>
  <c r="L148" i="5"/>
  <c r="K148" i="5"/>
  <c r="H148" i="5"/>
  <c r="I148" i="5" s="1"/>
  <c r="F148" i="5"/>
  <c r="E148" i="5"/>
  <c r="B148" i="5"/>
  <c r="C148" i="5" s="1"/>
  <c r="AC147" i="5"/>
  <c r="AD147" i="5" s="1"/>
  <c r="AA147" i="5"/>
  <c r="W147" i="5"/>
  <c r="X147" i="5" s="1"/>
  <c r="U147" i="5"/>
  <c r="R147" i="5"/>
  <c r="N147" i="5"/>
  <c r="O147" i="5" s="1"/>
  <c r="L147" i="5"/>
  <c r="H147" i="5"/>
  <c r="I147" i="5" s="1"/>
  <c r="F147" i="5"/>
  <c r="C147" i="5"/>
  <c r="AD146" i="5"/>
  <c r="AC146" i="5"/>
  <c r="AA146" i="5"/>
  <c r="X146" i="5"/>
  <c r="W146" i="5"/>
  <c r="U146" i="5"/>
  <c r="R146" i="5"/>
  <c r="O146" i="5"/>
  <c r="N146" i="5"/>
  <c r="L146" i="5"/>
  <c r="H146" i="5"/>
  <c r="I146" i="5" s="1"/>
  <c r="F146" i="5"/>
  <c r="C146" i="5"/>
  <c r="AC145" i="5"/>
  <c r="AD145" i="5" s="1"/>
  <c r="AA145" i="5"/>
  <c r="W145" i="5"/>
  <c r="X145" i="5" s="1"/>
  <c r="U145" i="5"/>
  <c r="R145" i="5"/>
  <c r="N145" i="5"/>
  <c r="O145" i="5" s="1"/>
  <c r="L145" i="5"/>
  <c r="I145" i="5"/>
  <c r="H145" i="5"/>
  <c r="F145" i="5"/>
  <c r="C145" i="5"/>
  <c r="AC144" i="5"/>
  <c r="AD144" i="5" s="1"/>
  <c r="AA144" i="5"/>
  <c r="X144" i="5"/>
  <c r="W144" i="5"/>
  <c r="U144" i="5"/>
  <c r="R144" i="5"/>
  <c r="O144" i="5"/>
  <c r="N144" i="5"/>
  <c r="L144" i="5"/>
  <c r="H144" i="5"/>
  <c r="I144" i="5" s="1"/>
  <c r="F144" i="5"/>
  <c r="C144" i="5"/>
  <c r="AC143" i="5"/>
  <c r="AD143" i="5" s="1"/>
  <c r="AA143" i="5"/>
  <c r="W143" i="5"/>
  <c r="X143" i="5" s="1"/>
  <c r="U143" i="5"/>
  <c r="R143" i="5"/>
  <c r="O143" i="5"/>
  <c r="N143" i="5"/>
  <c r="L143" i="5"/>
  <c r="H143" i="5"/>
  <c r="I143" i="5" s="1"/>
  <c r="F143" i="5"/>
  <c r="C143" i="5"/>
  <c r="AC141" i="5"/>
  <c r="AD141" i="5" s="1"/>
  <c r="AA141" i="5"/>
  <c r="Z141" i="5"/>
  <c r="T141" i="5"/>
  <c r="U141" i="5" s="1"/>
  <c r="Q141" i="5"/>
  <c r="W141" i="5" s="1"/>
  <c r="X141" i="5" s="1"/>
  <c r="K141" i="5"/>
  <c r="L141" i="5" s="1"/>
  <c r="E141" i="5"/>
  <c r="F141" i="5" s="1"/>
  <c r="B141" i="5"/>
  <c r="AC140" i="5"/>
  <c r="AD140" i="5" s="1"/>
  <c r="AA140" i="5"/>
  <c r="X140" i="5"/>
  <c r="W140" i="5"/>
  <c r="U140" i="5"/>
  <c r="R140" i="5"/>
  <c r="O140" i="5"/>
  <c r="N140" i="5"/>
  <c r="L140" i="5"/>
  <c r="H140" i="5"/>
  <c r="I140" i="5" s="1"/>
  <c r="F140" i="5"/>
  <c r="C140" i="5"/>
  <c r="AC139" i="5"/>
  <c r="AD139" i="5" s="1"/>
  <c r="AA139" i="5"/>
  <c r="X139" i="5"/>
  <c r="W139" i="5"/>
  <c r="U139" i="5"/>
  <c r="R139" i="5"/>
  <c r="N139" i="5"/>
  <c r="O139" i="5" s="1"/>
  <c r="L139" i="5"/>
  <c r="H139" i="5"/>
  <c r="I139" i="5" s="1"/>
  <c r="F139" i="5"/>
  <c r="C139" i="5"/>
  <c r="AD138" i="5"/>
  <c r="AC138" i="5"/>
  <c r="AA138" i="5"/>
  <c r="X138" i="5"/>
  <c r="W138" i="5"/>
  <c r="U138" i="5"/>
  <c r="R138" i="5"/>
  <c r="N138" i="5"/>
  <c r="O138" i="5" s="1"/>
  <c r="L138" i="5"/>
  <c r="I138" i="5"/>
  <c r="H138" i="5"/>
  <c r="F138" i="5"/>
  <c r="C138" i="5"/>
  <c r="AD137" i="5"/>
  <c r="AC137" i="5"/>
  <c r="AA137" i="5"/>
  <c r="X137" i="5"/>
  <c r="W137" i="5"/>
  <c r="U137" i="5"/>
  <c r="R137" i="5"/>
  <c r="N137" i="5"/>
  <c r="O137" i="5" s="1"/>
  <c r="L137" i="5"/>
  <c r="H137" i="5"/>
  <c r="I137" i="5" s="1"/>
  <c r="F137" i="5"/>
  <c r="C137" i="5"/>
  <c r="AC136" i="5"/>
  <c r="AD136" i="5" s="1"/>
  <c r="AA136" i="5"/>
  <c r="X136" i="5"/>
  <c r="W136" i="5"/>
  <c r="U136" i="5"/>
  <c r="R136" i="5"/>
  <c r="O136" i="5"/>
  <c r="N136" i="5"/>
  <c r="L136" i="5"/>
  <c r="I136" i="5"/>
  <c r="H136" i="5"/>
  <c r="F136" i="5"/>
  <c r="C136" i="5"/>
  <c r="AD135" i="5"/>
  <c r="AC135" i="5"/>
  <c r="AA135" i="5"/>
  <c r="W135" i="5"/>
  <c r="X135" i="5" s="1"/>
  <c r="U135" i="5"/>
  <c r="R135" i="5"/>
  <c r="N135" i="5"/>
  <c r="O135" i="5" s="1"/>
  <c r="L135" i="5"/>
  <c r="H135" i="5"/>
  <c r="I135" i="5" s="1"/>
  <c r="F135" i="5"/>
  <c r="C135" i="5"/>
  <c r="AD134" i="5"/>
  <c r="AC134" i="5"/>
  <c r="AA134" i="5"/>
  <c r="X134" i="5"/>
  <c r="W134" i="5"/>
  <c r="U134" i="5"/>
  <c r="R134" i="5"/>
  <c r="N134" i="5"/>
  <c r="O134" i="5" s="1"/>
  <c r="L134" i="5"/>
  <c r="H134" i="5"/>
  <c r="I134" i="5" s="1"/>
  <c r="F134" i="5"/>
  <c r="C134" i="5"/>
  <c r="AC133" i="5"/>
  <c r="AD133" i="5" s="1"/>
  <c r="AA133" i="5"/>
  <c r="W133" i="5"/>
  <c r="X133" i="5" s="1"/>
  <c r="U133" i="5"/>
  <c r="R133" i="5"/>
  <c r="O133" i="5"/>
  <c r="N133" i="5"/>
  <c r="L133" i="5"/>
  <c r="I133" i="5"/>
  <c r="H133" i="5"/>
  <c r="F133" i="5"/>
  <c r="C133" i="5"/>
  <c r="AC132" i="5"/>
  <c r="AD132" i="5" s="1"/>
  <c r="AA132" i="5"/>
  <c r="W132" i="5"/>
  <c r="X132" i="5" s="1"/>
  <c r="U132" i="5"/>
  <c r="R132" i="5"/>
  <c r="O132" i="5"/>
  <c r="N132" i="5"/>
  <c r="L132" i="5"/>
  <c r="I132" i="5"/>
  <c r="H132" i="5"/>
  <c r="F132" i="5"/>
  <c r="C132" i="5"/>
  <c r="AC131" i="5"/>
  <c r="AD131" i="5" s="1"/>
  <c r="AA131" i="5"/>
  <c r="W131" i="5"/>
  <c r="X131" i="5" s="1"/>
  <c r="U131" i="5"/>
  <c r="R131" i="5"/>
  <c r="O131" i="5"/>
  <c r="N131" i="5"/>
  <c r="L131" i="5"/>
  <c r="H131" i="5"/>
  <c r="I131" i="5" s="1"/>
  <c r="F131" i="5"/>
  <c r="C131" i="5"/>
  <c r="AD130" i="5"/>
  <c r="AC130" i="5"/>
  <c r="AA130" i="5"/>
  <c r="X130" i="5"/>
  <c r="W130" i="5"/>
  <c r="U130" i="5"/>
  <c r="R130" i="5"/>
  <c r="O130" i="5"/>
  <c r="N130" i="5"/>
  <c r="L130" i="5"/>
  <c r="I130" i="5"/>
  <c r="H130" i="5"/>
  <c r="F130" i="5"/>
  <c r="C130" i="5"/>
  <c r="AC129" i="5"/>
  <c r="AD129" i="5" s="1"/>
  <c r="AA129" i="5"/>
  <c r="W129" i="5"/>
  <c r="X129" i="5" s="1"/>
  <c r="U129" i="5"/>
  <c r="R129" i="5"/>
  <c r="O129" i="5"/>
  <c r="N129" i="5"/>
  <c r="L129" i="5"/>
  <c r="I129" i="5"/>
  <c r="H129" i="5"/>
  <c r="F129" i="5"/>
  <c r="C129" i="5"/>
  <c r="AC127" i="5"/>
  <c r="AD127" i="5" s="1"/>
  <c r="AA127" i="5"/>
  <c r="X127" i="5"/>
  <c r="W127" i="5"/>
  <c r="U127" i="5"/>
  <c r="R127" i="5"/>
  <c r="N127" i="5"/>
  <c r="O127" i="5" s="1"/>
  <c r="L127" i="5"/>
  <c r="I127" i="5"/>
  <c r="H127" i="5"/>
  <c r="F127" i="5"/>
  <c r="C127" i="5"/>
  <c r="AA124" i="5"/>
  <c r="Z124" i="5"/>
  <c r="Z172" i="5" s="1"/>
  <c r="AA172" i="5" s="1"/>
  <c r="T124" i="5"/>
  <c r="R124" i="5"/>
  <c r="Q124" i="5"/>
  <c r="N124" i="5"/>
  <c r="O124" i="5" s="1"/>
  <c r="L124" i="5"/>
  <c r="K124" i="5"/>
  <c r="K172" i="5" s="1"/>
  <c r="H124" i="5"/>
  <c r="I124" i="5" s="1"/>
  <c r="F124" i="5"/>
  <c r="E124" i="5"/>
  <c r="C124" i="5"/>
  <c r="B124" i="5"/>
  <c r="B172" i="5" s="1"/>
  <c r="AD123" i="5"/>
  <c r="AC123" i="5"/>
  <c r="AA123" i="5"/>
  <c r="X123" i="5"/>
  <c r="W123" i="5"/>
  <c r="U123" i="5"/>
  <c r="R123" i="5"/>
  <c r="N123" i="5"/>
  <c r="O123" i="5" s="1"/>
  <c r="L123" i="5"/>
  <c r="H123" i="5"/>
  <c r="I123" i="5" s="1"/>
  <c r="F123" i="5"/>
  <c r="C123" i="5"/>
  <c r="Z122" i="5"/>
  <c r="AA122" i="5" s="1"/>
  <c r="U122" i="5"/>
  <c r="T122" i="5"/>
  <c r="R122" i="5"/>
  <c r="Q122" i="5"/>
  <c r="W122" i="5" s="1"/>
  <c r="X122" i="5" s="1"/>
  <c r="K122" i="5"/>
  <c r="L122" i="5" s="1"/>
  <c r="F122" i="5"/>
  <c r="E122" i="5"/>
  <c r="B122" i="5"/>
  <c r="H122" i="5" s="1"/>
  <c r="I122" i="5" s="1"/>
  <c r="AC121" i="5"/>
  <c r="AD121" i="5" s="1"/>
  <c r="AA121" i="5"/>
  <c r="W121" i="5"/>
  <c r="X121" i="5" s="1"/>
  <c r="U121" i="5"/>
  <c r="R121" i="5"/>
  <c r="O121" i="5"/>
  <c r="N121" i="5"/>
  <c r="L121" i="5"/>
  <c r="I121" i="5"/>
  <c r="H121" i="5"/>
  <c r="F121" i="5"/>
  <c r="C121" i="5"/>
  <c r="AD120" i="5"/>
  <c r="AC120" i="5"/>
  <c r="AA120" i="5"/>
  <c r="X120" i="5"/>
  <c r="W120" i="5"/>
  <c r="U120" i="5"/>
  <c r="R120" i="5"/>
  <c r="O120" i="5"/>
  <c r="N120" i="5"/>
  <c r="L120" i="5"/>
  <c r="H120" i="5"/>
  <c r="I120" i="5" s="1"/>
  <c r="F120" i="5"/>
  <c r="C120" i="5"/>
  <c r="AD119" i="5"/>
  <c r="AC119" i="5"/>
  <c r="AA119" i="5"/>
  <c r="X119" i="5"/>
  <c r="W119" i="5"/>
  <c r="U119" i="5"/>
  <c r="R119" i="5"/>
  <c r="N119" i="5"/>
  <c r="O119" i="5" s="1"/>
  <c r="L119" i="5"/>
  <c r="H119" i="5"/>
  <c r="I119" i="5" s="1"/>
  <c r="F119" i="5"/>
  <c r="C119" i="5"/>
  <c r="Z118" i="5"/>
  <c r="AA118" i="5" s="1"/>
  <c r="X118" i="5"/>
  <c r="W118" i="5"/>
  <c r="T118" i="5"/>
  <c r="U118" i="5" s="1"/>
  <c r="R118" i="5"/>
  <c r="Q118" i="5"/>
  <c r="L118" i="5"/>
  <c r="K118" i="5"/>
  <c r="N118" i="5" s="1"/>
  <c r="O118" i="5" s="1"/>
  <c r="H118" i="5"/>
  <c r="I118" i="5" s="1"/>
  <c r="F118" i="5"/>
  <c r="E118" i="5"/>
  <c r="C118" i="5"/>
  <c r="B118" i="5"/>
  <c r="AC117" i="5"/>
  <c r="AD117" i="5" s="1"/>
  <c r="AA117" i="5"/>
  <c r="X117" i="5"/>
  <c r="W117" i="5"/>
  <c r="U117" i="5"/>
  <c r="R117" i="5"/>
  <c r="N117" i="5"/>
  <c r="O117" i="5" s="1"/>
  <c r="L117" i="5"/>
  <c r="H117" i="5"/>
  <c r="I117" i="5" s="1"/>
  <c r="F117" i="5"/>
  <c r="C117" i="5"/>
  <c r="AD116" i="5"/>
  <c r="AC116" i="5"/>
  <c r="AA116" i="5"/>
  <c r="X116" i="5"/>
  <c r="W116" i="5"/>
  <c r="U116" i="5"/>
  <c r="R116" i="5"/>
  <c r="N116" i="5"/>
  <c r="O116" i="5" s="1"/>
  <c r="L116" i="5"/>
  <c r="I116" i="5"/>
  <c r="H116" i="5"/>
  <c r="F116" i="5"/>
  <c r="C116" i="5"/>
  <c r="AD115" i="5"/>
  <c r="AC115" i="5"/>
  <c r="AA115" i="5"/>
  <c r="X115" i="5"/>
  <c r="W115" i="5"/>
  <c r="U115" i="5"/>
  <c r="R115" i="5"/>
  <c r="O115" i="5"/>
  <c r="N115" i="5"/>
  <c r="L115" i="5"/>
  <c r="H115" i="5"/>
  <c r="I115" i="5" s="1"/>
  <c r="F115" i="5"/>
  <c r="C115" i="5"/>
  <c r="AC114" i="5"/>
  <c r="AD114" i="5" s="1"/>
  <c r="AA114" i="5"/>
  <c r="W114" i="5"/>
  <c r="X114" i="5" s="1"/>
  <c r="U114" i="5"/>
  <c r="R114" i="5"/>
  <c r="O114" i="5"/>
  <c r="N114" i="5"/>
  <c r="L114" i="5"/>
  <c r="I114" i="5"/>
  <c r="H114" i="5"/>
  <c r="F114" i="5"/>
  <c r="C114" i="5"/>
  <c r="AC113" i="5"/>
  <c r="AD113" i="5" s="1"/>
  <c r="AA113" i="5"/>
  <c r="X113" i="5"/>
  <c r="W113" i="5"/>
  <c r="U113" i="5"/>
  <c r="R113" i="5"/>
  <c r="O113" i="5"/>
  <c r="N113" i="5"/>
  <c r="L113" i="5"/>
  <c r="H113" i="5"/>
  <c r="I113" i="5" s="1"/>
  <c r="F113" i="5"/>
  <c r="C113" i="5"/>
  <c r="AD112" i="5"/>
  <c r="AC112" i="5"/>
  <c r="AA112" i="5"/>
  <c r="X112" i="5"/>
  <c r="W112" i="5"/>
  <c r="U112" i="5"/>
  <c r="R112" i="5"/>
  <c r="N112" i="5"/>
  <c r="O112" i="5" s="1"/>
  <c r="L112" i="5"/>
  <c r="I112" i="5"/>
  <c r="H112" i="5"/>
  <c r="F112" i="5"/>
  <c r="C112" i="5"/>
  <c r="AD111" i="5"/>
  <c r="AC111" i="5"/>
  <c r="AA111" i="5"/>
  <c r="X111" i="5"/>
  <c r="W111" i="5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W110" i="5"/>
  <c r="X110" i="5" s="1"/>
  <c r="U110" i="5"/>
  <c r="R110" i="5"/>
  <c r="O110" i="5"/>
  <c r="N110" i="5"/>
  <c r="L110" i="5"/>
  <c r="I110" i="5"/>
  <c r="H110" i="5"/>
  <c r="F110" i="5"/>
  <c r="C110" i="5"/>
  <c r="AC109" i="5"/>
  <c r="AD109" i="5" s="1"/>
  <c r="AA109" i="5"/>
  <c r="X109" i="5"/>
  <c r="W109" i="5"/>
  <c r="U109" i="5"/>
  <c r="R109" i="5"/>
  <c r="N109" i="5"/>
  <c r="O109" i="5" s="1"/>
  <c r="L109" i="5"/>
  <c r="H109" i="5"/>
  <c r="I109" i="5" s="1"/>
  <c r="F109" i="5"/>
  <c r="C109" i="5"/>
  <c r="AD108" i="5"/>
  <c r="AC108" i="5"/>
  <c r="AA108" i="5"/>
  <c r="X108" i="5"/>
  <c r="W108" i="5"/>
  <c r="U108" i="5"/>
  <c r="R108" i="5"/>
  <c r="N108" i="5"/>
  <c r="O108" i="5" s="1"/>
  <c r="L108" i="5"/>
  <c r="I108" i="5"/>
  <c r="H108" i="5"/>
  <c r="F108" i="5"/>
  <c r="C108" i="5"/>
  <c r="AD107" i="5"/>
  <c r="AC107" i="5"/>
  <c r="AA107" i="5"/>
  <c r="X107" i="5"/>
  <c r="W107" i="5"/>
  <c r="U107" i="5"/>
  <c r="R107" i="5"/>
  <c r="O107" i="5"/>
  <c r="N107" i="5"/>
  <c r="L107" i="5"/>
  <c r="H107" i="5"/>
  <c r="I107" i="5" s="1"/>
  <c r="F107" i="5"/>
  <c r="C107" i="5"/>
  <c r="AC106" i="5"/>
  <c r="AD106" i="5" s="1"/>
  <c r="AA106" i="5"/>
  <c r="W106" i="5"/>
  <c r="X106" i="5" s="1"/>
  <c r="U106" i="5"/>
  <c r="R106" i="5"/>
  <c r="O106" i="5"/>
  <c r="N106" i="5"/>
  <c r="L106" i="5"/>
  <c r="I106" i="5"/>
  <c r="H106" i="5"/>
  <c r="F106" i="5"/>
  <c r="C106" i="5"/>
  <c r="AC105" i="5"/>
  <c r="AD105" i="5" s="1"/>
  <c r="AA105" i="5"/>
  <c r="X105" i="5"/>
  <c r="W105" i="5"/>
  <c r="U105" i="5"/>
  <c r="R105" i="5"/>
  <c r="O105" i="5"/>
  <c r="N105" i="5"/>
  <c r="L105" i="5"/>
  <c r="H105" i="5"/>
  <c r="I105" i="5" s="1"/>
  <c r="F105" i="5"/>
  <c r="C105" i="5"/>
  <c r="AD104" i="5"/>
  <c r="AC104" i="5"/>
  <c r="AA104" i="5"/>
  <c r="X104" i="5"/>
  <c r="W104" i="5"/>
  <c r="U104" i="5"/>
  <c r="R104" i="5"/>
  <c r="N104" i="5"/>
  <c r="O104" i="5" s="1"/>
  <c r="L104" i="5"/>
  <c r="I104" i="5"/>
  <c r="H104" i="5"/>
  <c r="F104" i="5"/>
  <c r="C104" i="5"/>
  <c r="AD103" i="5"/>
  <c r="AC103" i="5"/>
  <c r="AA103" i="5"/>
  <c r="X103" i="5"/>
  <c r="W103" i="5"/>
  <c r="U103" i="5"/>
  <c r="R103" i="5"/>
  <c r="O103" i="5"/>
  <c r="N103" i="5"/>
  <c r="L103" i="5"/>
  <c r="H103" i="5"/>
  <c r="I103" i="5" s="1"/>
  <c r="F103" i="5"/>
  <c r="C103" i="5"/>
  <c r="AC102" i="5"/>
  <c r="AD102" i="5" s="1"/>
  <c r="AA102" i="5"/>
  <c r="W102" i="5"/>
  <c r="X102" i="5" s="1"/>
  <c r="U102" i="5"/>
  <c r="R102" i="5"/>
  <c r="O102" i="5"/>
  <c r="N102" i="5"/>
  <c r="L102" i="5"/>
  <c r="I102" i="5"/>
  <c r="H102" i="5"/>
  <c r="F102" i="5"/>
  <c r="C102" i="5"/>
  <c r="AC101" i="5"/>
  <c r="AD101" i="5" s="1"/>
  <c r="AA101" i="5"/>
  <c r="X101" i="5"/>
  <c r="W101" i="5"/>
  <c r="U101" i="5"/>
  <c r="R101" i="5"/>
  <c r="N101" i="5"/>
  <c r="O101" i="5" s="1"/>
  <c r="L101" i="5"/>
  <c r="H101" i="5"/>
  <c r="I101" i="5" s="1"/>
  <c r="F101" i="5"/>
  <c r="C101" i="5"/>
  <c r="AD100" i="5"/>
  <c r="AC100" i="5"/>
  <c r="AA100" i="5"/>
  <c r="X100" i="5"/>
  <c r="W100" i="5"/>
  <c r="U100" i="5"/>
  <c r="R100" i="5"/>
  <c r="N100" i="5"/>
  <c r="O100" i="5" s="1"/>
  <c r="L100" i="5"/>
  <c r="I100" i="5"/>
  <c r="H100" i="5"/>
  <c r="F100" i="5"/>
  <c r="C100" i="5"/>
  <c r="AD99" i="5"/>
  <c r="AC99" i="5"/>
  <c r="AA99" i="5"/>
  <c r="X99" i="5"/>
  <c r="W99" i="5"/>
  <c r="U99" i="5"/>
  <c r="R99" i="5"/>
  <c r="O99" i="5"/>
  <c r="N99" i="5"/>
  <c r="L99" i="5"/>
  <c r="H99" i="5"/>
  <c r="I99" i="5" s="1"/>
  <c r="F99" i="5"/>
  <c r="C99" i="5"/>
  <c r="AC98" i="5"/>
  <c r="AD98" i="5" s="1"/>
  <c r="AA98" i="5"/>
  <c r="W98" i="5"/>
  <c r="X98" i="5" s="1"/>
  <c r="U98" i="5"/>
  <c r="R98" i="5"/>
  <c r="O98" i="5"/>
  <c r="N98" i="5"/>
  <c r="L98" i="5"/>
  <c r="I98" i="5"/>
  <c r="H98" i="5"/>
  <c r="F98" i="5"/>
  <c r="C98" i="5"/>
  <c r="AC97" i="5"/>
  <c r="AD97" i="5" s="1"/>
  <c r="AA97" i="5"/>
  <c r="X97" i="5"/>
  <c r="W97" i="5"/>
  <c r="U97" i="5"/>
  <c r="R97" i="5"/>
  <c r="O97" i="5"/>
  <c r="N97" i="5"/>
  <c r="L97" i="5"/>
  <c r="H97" i="5"/>
  <c r="I97" i="5" s="1"/>
  <c r="F97" i="5"/>
  <c r="C97" i="5"/>
  <c r="AD96" i="5"/>
  <c r="AC96" i="5"/>
  <c r="AA96" i="5"/>
  <c r="X96" i="5"/>
  <c r="W96" i="5"/>
  <c r="U96" i="5"/>
  <c r="R96" i="5"/>
  <c r="N96" i="5"/>
  <c r="O96" i="5" s="1"/>
  <c r="L96" i="5"/>
  <c r="I96" i="5"/>
  <c r="H96" i="5"/>
  <c r="F96" i="5"/>
  <c r="C96" i="5"/>
  <c r="AD95" i="5"/>
  <c r="AC95" i="5"/>
  <c r="AA95" i="5"/>
  <c r="X95" i="5"/>
  <c r="W95" i="5"/>
  <c r="U95" i="5"/>
  <c r="R95" i="5"/>
  <c r="O95" i="5"/>
  <c r="N95" i="5"/>
  <c r="L95" i="5"/>
  <c r="H95" i="5"/>
  <c r="I95" i="5" s="1"/>
  <c r="F95" i="5"/>
  <c r="C95" i="5"/>
  <c r="AC94" i="5"/>
  <c r="AD94" i="5" s="1"/>
  <c r="AA94" i="5"/>
  <c r="W94" i="5"/>
  <c r="X94" i="5" s="1"/>
  <c r="U94" i="5"/>
  <c r="R94" i="5"/>
  <c r="O94" i="5"/>
  <c r="N94" i="5"/>
  <c r="L94" i="5"/>
  <c r="I94" i="5"/>
  <c r="H94" i="5"/>
  <c r="F94" i="5"/>
  <c r="C94" i="5"/>
  <c r="AC92" i="5"/>
  <c r="AD92" i="5" s="1"/>
  <c r="AA92" i="5"/>
  <c r="X92" i="5"/>
  <c r="W92" i="5"/>
  <c r="U92" i="5"/>
  <c r="R92" i="5"/>
  <c r="N92" i="5"/>
  <c r="O92" i="5" s="1"/>
  <c r="L92" i="5"/>
  <c r="H92" i="5"/>
  <c r="I92" i="5" s="1"/>
  <c r="F92" i="5"/>
  <c r="C92" i="5"/>
  <c r="AD91" i="5"/>
  <c r="AC91" i="5"/>
  <c r="AA91" i="5"/>
  <c r="X91" i="5"/>
  <c r="W91" i="5"/>
  <c r="U91" i="5"/>
  <c r="R91" i="5"/>
  <c r="N91" i="5"/>
  <c r="O91" i="5" s="1"/>
  <c r="L91" i="5"/>
  <c r="I91" i="5"/>
  <c r="H91" i="5"/>
  <c r="F91" i="5"/>
  <c r="C91" i="5"/>
  <c r="AD90" i="5"/>
  <c r="AC90" i="5"/>
  <c r="AA90" i="5"/>
  <c r="X90" i="5"/>
  <c r="W90" i="5"/>
  <c r="U90" i="5"/>
  <c r="R90" i="5"/>
  <c r="O90" i="5"/>
  <c r="N90" i="5"/>
  <c r="L90" i="5"/>
  <c r="H90" i="5"/>
  <c r="I90" i="5" s="1"/>
  <c r="F90" i="5"/>
  <c r="C90" i="5"/>
  <c r="AC89" i="5"/>
  <c r="AD89" i="5" s="1"/>
  <c r="AA89" i="5"/>
  <c r="W89" i="5"/>
  <c r="X89" i="5" s="1"/>
  <c r="U89" i="5"/>
  <c r="R89" i="5"/>
  <c r="O89" i="5"/>
  <c r="N89" i="5"/>
  <c r="L89" i="5"/>
  <c r="I89" i="5"/>
  <c r="H89" i="5"/>
  <c r="F89" i="5"/>
  <c r="C89" i="5"/>
  <c r="AC88" i="5"/>
  <c r="AD88" i="5" s="1"/>
  <c r="Z88" i="5"/>
  <c r="AA88" i="5" s="1"/>
  <c r="T88" i="5"/>
  <c r="U88" i="5" s="1"/>
  <c r="R88" i="5"/>
  <c r="Q88" i="5"/>
  <c r="W88" i="5" s="1"/>
  <c r="X88" i="5" s="1"/>
  <c r="L88" i="5"/>
  <c r="K88" i="5"/>
  <c r="E88" i="5"/>
  <c r="F88" i="5" s="1"/>
  <c r="B88" i="5"/>
  <c r="C88" i="5" s="1"/>
  <c r="AD87" i="5"/>
  <c r="AC87" i="5"/>
  <c r="AA87" i="5"/>
  <c r="X87" i="5"/>
  <c r="W87" i="5"/>
  <c r="U87" i="5"/>
  <c r="R87" i="5"/>
  <c r="O87" i="5"/>
  <c r="N87" i="5"/>
  <c r="L87" i="5"/>
  <c r="I87" i="5"/>
  <c r="H87" i="5"/>
  <c r="F87" i="5"/>
  <c r="C87" i="5"/>
  <c r="AC86" i="5"/>
  <c r="AD86" i="5" s="1"/>
  <c r="AA86" i="5"/>
  <c r="W86" i="5"/>
  <c r="X86" i="5" s="1"/>
  <c r="U86" i="5"/>
  <c r="R86" i="5"/>
  <c r="O86" i="5"/>
  <c r="N86" i="5"/>
  <c r="L86" i="5"/>
  <c r="I86" i="5"/>
  <c r="H86" i="5"/>
  <c r="F86" i="5"/>
  <c r="C86" i="5"/>
  <c r="AD85" i="5"/>
  <c r="AC85" i="5"/>
  <c r="AA85" i="5"/>
  <c r="X85" i="5"/>
  <c r="W85" i="5"/>
  <c r="U85" i="5"/>
  <c r="R85" i="5"/>
  <c r="N85" i="5"/>
  <c r="O85" i="5" s="1"/>
  <c r="L85" i="5"/>
  <c r="H85" i="5"/>
  <c r="I85" i="5" s="1"/>
  <c r="F85" i="5"/>
  <c r="C85" i="5"/>
  <c r="AD84" i="5"/>
  <c r="AC84" i="5"/>
  <c r="AA84" i="5"/>
  <c r="X84" i="5"/>
  <c r="W84" i="5"/>
  <c r="U84" i="5"/>
  <c r="R84" i="5"/>
  <c r="N84" i="5"/>
  <c r="O84" i="5" s="1"/>
  <c r="L84" i="5"/>
  <c r="I84" i="5"/>
  <c r="H84" i="5"/>
  <c r="F84" i="5"/>
  <c r="C84" i="5"/>
  <c r="AD83" i="5"/>
  <c r="AC83" i="5"/>
  <c r="AA83" i="5"/>
  <c r="X83" i="5"/>
  <c r="W83" i="5"/>
  <c r="U83" i="5"/>
  <c r="R83" i="5"/>
  <c r="O83" i="5"/>
  <c r="N83" i="5"/>
  <c r="L83" i="5"/>
  <c r="I83" i="5"/>
  <c r="H83" i="5"/>
  <c r="F83" i="5"/>
  <c r="C83" i="5"/>
  <c r="AC82" i="5"/>
  <c r="AD82" i="5" s="1"/>
  <c r="AA82" i="5"/>
  <c r="W82" i="5"/>
  <c r="X82" i="5" s="1"/>
  <c r="U82" i="5"/>
  <c r="R82" i="5"/>
  <c r="O82" i="5"/>
  <c r="N82" i="5"/>
  <c r="L82" i="5"/>
  <c r="I82" i="5"/>
  <c r="H82" i="5"/>
  <c r="F82" i="5"/>
  <c r="C82" i="5"/>
  <c r="AD81" i="5"/>
  <c r="AC81" i="5"/>
  <c r="AA81" i="5"/>
  <c r="X81" i="5"/>
  <c r="W81" i="5"/>
  <c r="U81" i="5"/>
  <c r="R81" i="5"/>
  <c r="N81" i="5"/>
  <c r="O81" i="5" s="1"/>
  <c r="L81" i="5"/>
  <c r="H81" i="5"/>
  <c r="I81" i="5" s="1"/>
  <c r="F81" i="5"/>
  <c r="C81" i="5"/>
  <c r="AD80" i="5"/>
  <c r="AC80" i="5"/>
  <c r="AA80" i="5"/>
  <c r="X80" i="5"/>
  <c r="W80" i="5"/>
  <c r="U80" i="5"/>
  <c r="R80" i="5"/>
  <c r="N80" i="5"/>
  <c r="O80" i="5" s="1"/>
  <c r="L80" i="5"/>
  <c r="H80" i="5"/>
  <c r="I80" i="5" s="1"/>
  <c r="F80" i="5"/>
  <c r="C80" i="5"/>
  <c r="AD79" i="5"/>
  <c r="AC79" i="5"/>
  <c r="AA79" i="5"/>
  <c r="X79" i="5"/>
  <c r="W79" i="5"/>
  <c r="U79" i="5"/>
  <c r="R79" i="5"/>
  <c r="O79" i="5"/>
  <c r="N79" i="5"/>
  <c r="L79" i="5"/>
  <c r="I79" i="5"/>
  <c r="H79" i="5"/>
  <c r="F79" i="5"/>
  <c r="C79" i="5"/>
  <c r="AC78" i="5"/>
  <c r="AD78" i="5" s="1"/>
  <c r="AA78" i="5"/>
  <c r="W78" i="5"/>
  <c r="X78" i="5" s="1"/>
  <c r="U78" i="5"/>
  <c r="R78" i="5"/>
  <c r="O78" i="5"/>
  <c r="N78" i="5"/>
  <c r="L78" i="5"/>
  <c r="I78" i="5"/>
  <c r="H78" i="5"/>
  <c r="F78" i="5"/>
  <c r="C78" i="5"/>
  <c r="AD77" i="5"/>
  <c r="AC77" i="5"/>
  <c r="AA77" i="5"/>
  <c r="X77" i="5"/>
  <c r="W77" i="5"/>
  <c r="U77" i="5"/>
  <c r="R77" i="5"/>
  <c r="N77" i="5"/>
  <c r="O77" i="5" s="1"/>
  <c r="L77" i="5"/>
  <c r="H77" i="5"/>
  <c r="I77" i="5" s="1"/>
  <c r="F77" i="5"/>
  <c r="C77" i="5"/>
  <c r="AD76" i="5"/>
  <c r="AC76" i="5"/>
  <c r="AA76" i="5"/>
  <c r="X76" i="5"/>
  <c r="W76" i="5"/>
  <c r="U76" i="5"/>
  <c r="R76" i="5"/>
  <c r="N76" i="5"/>
  <c r="O76" i="5" s="1"/>
  <c r="L76" i="5"/>
  <c r="I76" i="5"/>
  <c r="H76" i="5"/>
  <c r="F76" i="5"/>
  <c r="C76" i="5"/>
  <c r="AD75" i="5"/>
  <c r="AC75" i="5"/>
  <c r="AA75" i="5"/>
  <c r="X75" i="5"/>
  <c r="W75" i="5"/>
  <c r="U75" i="5"/>
  <c r="R75" i="5"/>
  <c r="O75" i="5"/>
  <c r="N75" i="5"/>
  <c r="L75" i="5"/>
  <c r="I75" i="5"/>
  <c r="H75" i="5"/>
  <c r="F75" i="5"/>
  <c r="C75" i="5"/>
  <c r="AC73" i="5"/>
  <c r="AD73" i="5" s="1"/>
  <c r="AA73" i="5"/>
  <c r="Z73" i="5"/>
  <c r="W73" i="5"/>
  <c r="X73" i="5" s="1"/>
  <c r="U73" i="5"/>
  <c r="T73" i="5"/>
  <c r="Q73" i="5"/>
  <c r="R73" i="5" s="1"/>
  <c r="L73" i="5"/>
  <c r="K73" i="5"/>
  <c r="E73" i="5"/>
  <c r="F73" i="5" s="1"/>
  <c r="C73" i="5"/>
  <c r="B73" i="5"/>
  <c r="N73" i="5" s="1"/>
  <c r="O73" i="5" s="1"/>
  <c r="AC72" i="5"/>
  <c r="AD72" i="5" s="1"/>
  <c r="AA72" i="5"/>
  <c r="X72" i="5"/>
  <c r="W72" i="5"/>
  <c r="U72" i="5"/>
  <c r="R72" i="5"/>
  <c r="N72" i="5"/>
  <c r="O72" i="5" s="1"/>
  <c r="L72" i="5"/>
  <c r="I72" i="5"/>
  <c r="H72" i="5"/>
  <c r="F72" i="5"/>
  <c r="C72" i="5"/>
  <c r="AD71" i="5"/>
  <c r="AC71" i="5"/>
  <c r="AA71" i="5"/>
  <c r="W71" i="5"/>
  <c r="X71" i="5" s="1"/>
  <c r="U71" i="5"/>
  <c r="R71" i="5"/>
  <c r="O71" i="5"/>
  <c r="N71" i="5"/>
  <c r="L71" i="5"/>
  <c r="I71" i="5"/>
  <c r="H71" i="5"/>
  <c r="F71" i="5"/>
  <c r="C71" i="5"/>
  <c r="AC70" i="5"/>
  <c r="AD70" i="5" s="1"/>
  <c r="AA70" i="5"/>
  <c r="W70" i="5"/>
  <c r="X70" i="5" s="1"/>
  <c r="U70" i="5"/>
  <c r="R70" i="5"/>
  <c r="O70" i="5"/>
  <c r="N70" i="5"/>
  <c r="L70" i="5"/>
  <c r="I70" i="5"/>
  <c r="H70" i="5"/>
  <c r="F70" i="5"/>
  <c r="C70" i="5"/>
  <c r="AD69" i="5"/>
  <c r="AC69" i="5"/>
  <c r="AA69" i="5"/>
  <c r="X69" i="5"/>
  <c r="W69" i="5"/>
  <c r="U69" i="5"/>
  <c r="R69" i="5"/>
  <c r="O69" i="5"/>
  <c r="N69" i="5"/>
  <c r="L69" i="5"/>
  <c r="H69" i="5"/>
  <c r="I69" i="5" s="1"/>
  <c r="F69" i="5"/>
  <c r="C69" i="5"/>
  <c r="AC68" i="5"/>
  <c r="AD68" i="5" s="1"/>
  <c r="AA68" i="5"/>
  <c r="X68" i="5"/>
  <c r="W68" i="5"/>
  <c r="U68" i="5"/>
  <c r="R68" i="5"/>
  <c r="N68" i="5"/>
  <c r="O68" i="5" s="1"/>
  <c r="L68" i="5"/>
  <c r="I68" i="5"/>
  <c r="H68" i="5"/>
  <c r="F68" i="5"/>
  <c r="C68" i="5"/>
  <c r="AD67" i="5"/>
  <c r="AC67" i="5"/>
  <c r="AA67" i="5"/>
  <c r="W67" i="5"/>
  <c r="X67" i="5" s="1"/>
  <c r="U67" i="5"/>
  <c r="R67" i="5"/>
  <c r="O67" i="5"/>
  <c r="N67" i="5"/>
  <c r="L67" i="5"/>
  <c r="H67" i="5"/>
  <c r="I67" i="5" s="1"/>
  <c r="F67" i="5"/>
  <c r="C67" i="5"/>
  <c r="AC66" i="5"/>
  <c r="AD66" i="5" s="1"/>
  <c r="AA66" i="5"/>
  <c r="W66" i="5"/>
  <c r="X66" i="5" s="1"/>
  <c r="U66" i="5"/>
  <c r="R66" i="5"/>
  <c r="O66" i="5"/>
  <c r="N66" i="5"/>
  <c r="L66" i="5"/>
  <c r="I66" i="5"/>
  <c r="H66" i="5"/>
  <c r="F66" i="5"/>
  <c r="C66" i="5"/>
  <c r="AC65" i="5"/>
  <c r="AD65" i="5" s="1"/>
  <c r="AA65" i="5"/>
  <c r="X65" i="5"/>
  <c r="W65" i="5"/>
  <c r="U65" i="5"/>
  <c r="R65" i="5"/>
  <c r="O65" i="5"/>
  <c r="N65" i="5"/>
  <c r="L65" i="5"/>
  <c r="H65" i="5"/>
  <c r="I65" i="5" s="1"/>
  <c r="F65" i="5"/>
  <c r="C65" i="5"/>
  <c r="AC64" i="5"/>
  <c r="AD64" i="5" s="1"/>
  <c r="AA64" i="5"/>
  <c r="X64" i="5"/>
  <c r="W64" i="5"/>
  <c r="U64" i="5"/>
  <c r="R64" i="5"/>
  <c r="N64" i="5"/>
  <c r="O64" i="5" s="1"/>
  <c r="L64" i="5"/>
  <c r="I64" i="5"/>
  <c r="H64" i="5"/>
  <c r="F64" i="5"/>
  <c r="C64" i="5"/>
  <c r="AA62" i="5"/>
  <c r="Z62" i="5"/>
  <c r="T62" i="5"/>
  <c r="R62" i="5"/>
  <c r="Q62" i="5"/>
  <c r="N62" i="5"/>
  <c r="O62" i="5" s="1"/>
  <c r="L62" i="5"/>
  <c r="K62" i="5"/>
  <c r="F62" i="5"/>
  <c r="E62" i="5"/>
  <c r="B62" i="5"/>
  <c r="C62" i="5" s="1"/>
  <c r="AD61" i="5"/>
  <c r="AC61" i="5"/>
  <c r="Z61" i="5"/>
  <c r="AA61" i="5" s="1"/>
  <c r="T61" i="5"/>
  <c r="U61" i="5" s="1"/>
  <c r="R61" i="5"/>
  <c r="Q61" i="5"/>
  <c r="N61" i="5"/>
  <c r="O61" i="5" s="1"/>
  <c r="L61" i="5"/>
  <c r="K61" i="5"/>
  <c r="F61" i="5"/>
  <c r="E61" i="5"/>
  <c r="H61" i="5" s="1"/>
  <c r="I61" i="5" s="1"/>
  <c r="B61" i="5"/>
  <c r="C61" i="5" s="1"/>
  <c r="AD60" i="5"/>
  <c r="AC60" i="5"/>
  <c r="AA60" i="5"/>
  <c r="X60" i="5"/>
  <c r="W60" i="5"/>
  <c r="U60" i="5"/>
  <c r="R60" i="5"/>
  <c r="O60" i="5"/>
  <c r="N60" i="5"/>
  <c r="L60" i="5"/>
  <c r="I60" i="5"/>
  <c r="H60" i="5"/>
  <c r="F60" i="5"/>
  <c r="C60" i="5"/>
  <c r="AC59" i="5"/>
  <c r="AD59" i="5" s="1"/>
  <c r="AA59" i="5"/>
  <c r="W59" i="5"/>
  <c r="X59" i="5" s="1"/>
  <c r="U59" i="5"/>
  <c r="R59" i="5"/>
  <c r="O59" i="5"/>
  <c r="N59" i="5"/>
  <c r="L59" i="5"/>
  <c r="I59" i="5"/>
  <c r="H59" i="5"/>
  <c r="F59" i="5"/>
  <c r="C59" i="5"/>
  <c r="AD58" i="5"/>
  <c r="AC58" i="5"/>
  <c r="AA58" i="5"/>
  <c r="X58" i="5"/>
  <c r="W58" i="5"/>
  <c r="U58" i="5"/>
  <c r="R58" i="5"/>
  <c r="O58" i="5"/>
  <c r="N58" i="5"/>
  <c r="L58" i="5"/>
  <c r="H58" i="5"/>
  <c r="I58" i="5" s="1"/>
  <c r="F58" i="5"/>
  <c r="C58" i="5"/>
  <c r="AC57" i="5"/>
  <c r="AD57" i="5" s="1"/>
  <c r="AA57" i="5"/>
  <c r="X57" i="5"/>
  <c r="W57" i="5"/>
  <c r="U57" i="5"/>
  <c r="R57" i="5"/>
  <c r="N57" i="5"/>
  <c r="O57" i="5" s="1"/>
  <c r="L57" i="5"/>
  <c r="H57" i="5"/>
  <c r="I57" i="5" s="1"/>
  <c r="F57" i="5"/>
  <c r="C57" i="5"/>
  <c r="AD56" i="5"/>
  <c r="AC56" i="5"/>
  <c r="AA56" i="5"/>
  <c r="W56" i="5"/>
  <c r="X56" i="5" s="1"/>
  <c r="U56" i="5"/>
  <c r="R56" i="5"/>
  <c r="O56" i="5"/>
  <c r="N56" i="5"/>
  <c r="L56" i="5"/>
  <c r="I56" i="5"/>
  <c r="H56" i="5"/>
  <c r="F56" i="5"/>
  <c r="C56" i="5"/>
  <c r="AC55" i="5"/>
  <c r="AD55" i="5" s="1"/>
  <c r="AA55" i="5"/>
  <c r="W55" i="5"/>
  <c r="X55" i="5" s="1"/>
  <c r="U55" i="5"/>
  <c r="R55" i="5"/>
  <c r="O55" i="5"/>
  <c r="N55" i="5"/>
  <c r="L55" i="5"/>
  <c r="I55" i="5"/>
  <c r="H55" i="5"/>
  <c r="F55" i="5"/>
  <c r="C55" i="5"/>
  <c r="AD54" i="5"/>
  <c r="AC54" i="5"/>
  <c r="AA54" i="5"/>
  <c r="X54" i="5"/>
  <c r="W54" i="5"/>
  <c r="U54" i="5"/>
  <c r="R54" i="5"/>
  <c r="O54" i="5"/>
  <c r="N54" i="5"/>
  <c r="L54" i="5"/>
  <c r="H54" i="5"/>
  <c r="I54" i="5" s="1"/>
  <c r="F54" i="5"/>
  <c r="C54" i="5"/>
  <c r="AD53" i="5"/>
  <c r="AC53" i="5"/>
  <c r="AA53" i="5"/>
  <c r="X53" i="5"/>
  <c r="W53" i="5"/>
  <c r="U53" i="5"/>
  <c r="R53" i="5"/>
  <c r="N53" i="5"/>
  <c r="O53" i="5" s="1"/>
  <c r="L53" i="5"/>
  <c r="H53" i="5"/>
  <c r="I53" i="5" s="1"/>
  <c r="F53" i="5"/>
  <c r="C53" i="5"/>
  <c r="AD52" i="5"/>
  <c r="AC52" i="5"/>
  <c r="AA52" i="5"/>
  <c r="X52" i="5"/>
  <c r="W52" i="5"/>
  <c r="U52" i="5"/>
  <c r="R52" i="5"/>
  <c r="O52" i="5"/>
  <c r="N52" i="5"/>
  <c r="L52" i="5"/>
  <c r="I52" i="5"/>
  <c r="H52" i="5"/>
  <c r="F52" i="5"/>
  <c r="C52" i="5"/>
  <c r="AC51" i="5"/>
  <c r="AD51" i="5" s="1"/>
  <c r="AA51" i="5"/>
  <c r="W51" i="5"/>
  <c r="X51" i="5" s="1"/>
  <c r="U51" i="5"/>
  <c r="R51" i="5"/>
  <c r="O51" i="5"/>
  <c r="N51" i="5"/>
  <c r="L51" i="5"/>
  <c r="I51" i="5"/>
  <c r="H51" i="5"/>
  <c r="F51" i="5"/>
  <c r="C51" i="5"/>
  <c r="AD50" i="5"/>
  <c r="AC50" i="5"/>
  <c r="AA50" i="5"/>
  <c r="X50" i="5"/>
  <c r="W50" i="5"/>
  <c r="U50" i="5"/>
  <c r="R50" i="5"/>
  <c r="O50" i="5"/>
  <c r="N50" i="5"/>
  <c r="L50" i="5"/>
  <c r="H50" i="5"/>
  <c r="I50" i="5" s="1"/>
  <c r="F50" i="5"/>
  <c r="C50" i="5"/>
  <c r="AC49" i="5"/>
  <c r="AD49" i="5" s="1"/>
  <c r="AA49" i="5"/>
  <c r="X49" i="5"/>
  <c r="W49" i="5"/>
  <c r="U49" i="5"/>
  <c r="R49" i="5"/>
  <c r="N49" i="5"/>
  <c r="O49" i="5" s="1"/>
  <c r="L49" i="5"/>
  <c r="H49" i="5"/>
  <c r="I49" i="5" s="1"/>
  <c r="F49" i="5"/>
  <c r="C49" i="5"/>
  <c r="AD48" i="5"/>
  <c r="AC48" i="5"/>
  <c r="AA48" i="5"/>
  <c r="W48" i="5"/>
  <c r="X48" i="5" s="1"/>
  <c r="U48" i="5"/>
  <c r="R48" i="5"/>
  <c r="O48" i="5"/>
  <c r="N48" i="5"/>
  <c r="L48" i="5"/>
  <c r="I48" i="5"/>
  <c r="H48" i="5"/>
  <c r="F48" i="5"/>
  <c r="C48" i="5"/>
  <c r="AC47" i="5"/>
  <c r="AD47" i="5" s="1"/>
  <c r="AA47" i="5"/>
  <c r="W47" i="5"/>
  <c r="X47" i="5" s="1"/>
  <c r="U47" i="5"/>
  <c r="R47" i="5"/>
  <c r="O47" i="5"/>
  <c r="N47" i="5"/>
  <c r="L47" i="5"/>
  <c r="I47" i="5"/>
  <c r="H47" i="5"/>
  <c r="F47" i="5"/>
  <c r="C47" i="5"/>
  <c r="AD46" i="5"/>
  <c r="AC46" i="5"/>
  <c r="AA46" i="5"/>
  <c r="X46" i="5"/>
  <c r="W46" i="5"/>
  <c r="U46" i="5"/>
  <c r="R46" i="5"/>
  <c r="O46" i="5"/>
  <c r="N46" i="5"/>
  <c r="L46" i="5"/>
  <c r="H46" i="5"/>
  <c r="I46" i="5" s="1"/>
  <c r="F46" i="5"/>
  <c r="C46" i="5"/>
  <c r="AD44" i="5"/>
  <c r="AC44" i="5"/>
  <c r="AA44" i="5"/>
  <c r="X44" i="5"/>
  <c r="W44" i="5"/>
  <c r="U44" i="5"/>
  <c r="R44" i="5"/>
  <c r="N44" i="5"/>
  <c r="O44" i="5" s="1"/>
  <c r="L44" i="5"/>
  <c r="H44" i="5"/>
  <c r="I44" i="5" s="1"/>
  <c r="F44" i="5"/>
  <c r="C44" i="5"/>
  <c r="AD43" i="5"/>
  <c r="AC43" i="5"/>
  <c r="AA43" i="5"/>
  <c r="X43" i="5"/>
  <c r="W43" i="5"/>
  <c r="U43" i="5"/>
  <c r="R43" i="5"/>
  <c r="O43" i="5"/>
  <c r="N43" i="5"/>
  <c r="L43" i="5"/>
  <c r="I43" i="5"/>
  <c r="H43" i="5"/>
  <c r="F43" i="5"/>
  <c r="C43" i="5"/>
  <c r="AC42" i="5"/>
  <c r="AD42" i="5" s="1"/>
  <c r="AA42" i="5"/>
  <c r="W42" i="5"/>
  <c r="X42" i="5" s="1"/>
  <c r="U42" i="5"/>
  <c r="R42" i="5"/>
  <c r="O42" i="5"/>
  <c r="N42" i="5"/>
  <c r="L42" i="5"/>
  <c r="I42" i="5"/>
  <c r="H42" i="5"/>
  <c r="F42" i="5"/>
  <c r="C42" i="5"/>
  <c r="AD40" i="5"/>
  <c r="AC40" i="5"/>
  <c r="Z40" i="5"/>
  <c r="AA40" i="5" s="1"/>
  <c r="U40" i="5"/>
  <c r="T40" i="5"/>
  <c r="Q40" i="5"/>
  <c r="W40" i="5" s="1"/>
  <c r="X40" i="5" s="1"/>
  <c r="N40" i="5"/>
  <c r="O40" i="5" s="1"/>
  <c r="L40" i="5"/>
  <c r="K40" i="5"/>
  <c r="H40" i="5"/>
  <c r="I40" i="5" s="1"/>
  <c r="F40" i="5"/>
  <c r="E40" i="5"/>
  <c r="B40" i="5"/>
  <c r="C40" i="5" s="1"/>
  <c r="AD39" i="5"/>
  <c r="AC39" i="5"/>
  <c r="AA39" i="5"/>
  <c r="W39" i="5"/>
  <c r="X39" i="5" s="1"/>
  <c r="U39" i="5"/>
  <c r="R39" i="5"/>
  <c r="O39" i="5"/>
  <c r="N39" i="5"/>
  <c r="L39" i="5"/>
  <c r="I39" i="5"/>
  <c r="H39" i="5"/>
  <c r="F39" i="5"/>
  <c r="C39" i="5"/>
  <c r="AC38" i="5"/>
  <c r="AD38" i="5" s="1"/>
  <c r="AA38" i="5"/>
  <c r="W38" i="5"/>
  <c r="X38" i="5" s="1"/>
  <c r="U38" i="5"/>
  <c r="R38" i="5"/>
  <c r="O38" i="5"/>
  <c r="N38" i="5"/>
  <c r="L38" i="5"/>
  <c r="I38" i="5"/>
  <c r="H38" i="5"/>
  <c r="F38" i="5"/>
  <c r="C38" i="5"/>
  <c r="AD37" i="5"/>
  <c r="AC37" i="5"/>
  <c r="AA37" i="5"/>
  <c r="X37" i="5"/>
  <c r="W37" i="5"/>
  <c r="U37" i="5"/>
  <c r="R37" i="5"/>
  <c r="O37" i="5"/>
  <c r="N37" i="5"/>
  <c r="L37" i="5"/>
  <c r="H37" i="5"/>
  <c r="I37" i="5" s="1"/>
  <c r="F37" i="5"/>
  <c r="C37" i="5"/>
  <c r="AC36" i="5"/>
  <c r="AD36" i="5" s="1"/>
  <c r="AA36" i="5"/>
  <c r="X36" i="5"/>
  <c r="W36" i="5"/>
  <c r="U36" i="5"/>
  <c r="R36" i="5"/>
  <c r="N36" i="5"/>
  <c r="O36" i="5" s="1"/>
  <c r="L36" i="5"/>
  <c r="I36" i="5"/>
  <c r="H36" i="5"/>
  <c r="F36" i="5"/>
  <c r="C36" i="5"/>
  <c r="AD35" i="5"/>
  <c r="AC35" i="5"/>
  <c r="AA35" i="5"/>
  <c r="W35" i="5"/>
  <c r="X35" i="5" s="1"/>
  <c r="U35" i="5"/>
  <c r="R35" i="5"/>
  <c r="O35" i="5"/>
  <c r="N35" i="5"/>
  <c r="L35" i="5"/>
  <c r="H35" i="5"/>
  <c r="I35" i="5" s="1"/>
  <c r="F35" i="5"/>
  <c r="C35" i="5"/>
  <c r="AC34" i="5"/>
  <c r="AD34" i="5" s="1"/>
  <c r="AA34" i="5"/>
  <c r="W34" i="5"/>
  <c r="X34" i="5" s="1"/>
  <c r="U34" i="5"/>
  <c r="R34" i="5"/>
  <c r="O34" i="5"/>
  <c r="N34" i="5"/>
  <c r="L34" i="5"/>
  <c r="I34" i="5"/>
  <c r="H34" i="5"/>
  <c r="F34" i="5"/>
  <c r="C34" i="5"/>
  <c r="AC33" i="5"/>
  <c r="AD33" i="5" s="1"/>
  <c r="AA33" i="5"/>
  <c r="X33" i="5"/>
  <c r="W33" i="5"/>
  <c r="U33" i="5"/>
  <c r="R33" i="5"/>
  <c r="O33" i="5"/>
  <c r="N33" i="5"/>
  <c r="L33" i="5"/>
  <c r="H33" i="5"/>
  <c r="I33" i="5" s="1"/>
  <c r="F33" i="5"/>
  <c r="C33" i="5"/>
  <c r="AC32" i="5"/>
  <c r="AD32" i="5" s="1"/>
  <c r="AA32" i="5"/>
  <c r="X32" i="5"/>
  <c r="W32" i="5"/>
  <c r="U32" i="5"/>
  <c r="R32" i="5"/>
  <c r="N32" i="5"/>
  <c r="O32" i="5" s="1"/>
  <c r="L32" i="5"/>
  <c r="I32" i="5"/>
  <c r="H32" i="5"/>
  <c r="F32" i="5"/>
  <c r="C32" i="5"/>
  <c r="AD31" i="5"/>
  <c r="AC31" i="5"/>
  <c r="AA31" i="5"/>
  <c r="W31" i="5"/>
  <c r="X31" i="5" s="1"/>
  <c r="U31" i="5"/>
  <c r="R31" i="5"/>
  <c r="O31" i="5"/>
  <c r="N31" i="5"/>
  <c r="L31" i="5"/>
  <c r="I31" i="5"/>
  <c r="H31" i="5"/>
  <c r="F31" i="5"/>
  <c r="C31" i="5"/>
  <c r="AA29" i="5"/>
  <c r="Z29" i="5"/>
  <c r="T29" i="5"/>
  <c r="Q29" i="5"/>
  <c r="R29" i="5" s="1"/>
  <c r="K29" i="5"/>
  <c r="L29" i="5" s="1"/>
  <c r="I29" i="5"/>
  <c r="H29" i="5"/>
  <c r="E29" i="5"/>
  <c r="F29" i="5" s="1"/>
  <c r="C29" i="5"/>
  <c r="B29" i="5"/>
  <c r="N29" i="5" s="1"/>
  <c r="O29" i="5" s="1"/>
  <c r="AD28" i="5"/>
  <c r="AC28" i="5"/>
  <c r="AA28" i="5"/>
  <c r="X28" i="5"/>
  <c r="W28" i="5"/>
  <c r="U28" i="5"/>
  <c r="R28" i="5"/>
  <c r="N28" i="5"/>
  <c r="O28" i="5" s="1"/>
  <c r="L28" i="5"/>
  <c r="H28" i="5"/>
  <c r="I28" i="5" s="1"/>
  <c r="F28" i="5"/>
  <c r="C28" i="5"/>
  <c r="AD27" i="5"/>
  <c r="AC27" i="5"/>
  <c r="AA27" i="5"/>
  <c r="X27" i="5"/>
  <c r="W27" i="5"/>
  <c r="U27" i="5"/>
  <c r="R27" i="5"/>
  <c r="O27" i="5"/>
  <c r="N27" i="5"/>
  <c r="L27" i="5"/>
  <c r="I27" i="5"/>
  <c r="H27" i="5"/>
  <c r="F27" i="5"/>
  <c r="C27" i="5"/>
  <c r="AC26" i="5"/>
  <c r="AD26" i="5" s="1"/>
  <c r="AA26" i="5"/>
  <c r="W26" i="5"/>
  <c r="X26" i="5" s="1"/>
  <c r="U26" i="5"/>
  <c r="R26" i="5"/>
  <c r="O26" i="5"/>
  <c r="N26" i="5"/>
  <c r="L26" i="5"/>
  <c r="I26" i="5"/>
  <c r="H26" i="5"/>
  <c r="F26" i="5"/>
  <c r="C26" i="5"/>
  <c r="AD25" i="5"/>
  <c r="AC25" i="5"/>
  <c r="AA25" i="5"/>
  <c r="X25" i="5"/>
  <c r="W25" i="5"/>
  <c r="U25" i="5"/>
  <c r="R25" i="5"/>
  <c r="N25" i="5"/>
  <c r="O25" i="5" s="1"/>
  <c r="L25" i="5"/>
  <c r="H25" i="5"/>
  <c r="I25" i="5" s="1"/>
  <c r="F25" i="5"/>
  <c r="C25" i="5"/>
  <c r="AD24" i="5"/>
  <c r="AC24" i="5"/>
  <c r="AA24" i="5"/>
  <c r="X24" i="5"/>
  <c r="W24" i="5"/>
  <c r="U24" i="5"/>
  <c r="R24" i="5"/>
  <c r="N24" i="5"/>
  <c r="O24" i="5" s="1"/>
  <c r="L24" i="5"/>
  <c r="I24" i="5"/>
  <c r="H24" i="5"/>
  <c r="F24" i="5"/>
  <c r="C24" i="5"/>
  <c r="AD23" i="5"/>
  <c r="AC23" i="5"/>
  <c r="AA23" i="5"/>
  <c r="X23" i="5"/>
  <c r="W23" i="5"/>
  <c r="U23" i="5"/>
  <c r="R23" i="5"/>
  <c r="O23" i="5"/>
  <c r="N23" i="5"/>
  <c r="L23" i="5"/>
  <c r="I23" i="5"/>
  <c r="H23" i="5"/>
  <c r="F23" i="5"/>
  <c r="C23" i="5"/>
  <c r="AC22" i="5"/>
  <c r="AD22" i="5" s="1"/>
  <c r="AA22" i="5"/>
  <c r="W22" i="5"/>
  <c r="X22" i="5" s="1"/>
  <c r="U22" i="5"/>
  <c r="R22" i="5"/>
  <c r="O22" i="5"/>
  <c r="N22" i="5"/>
  <c r="L22" i="5"/>
  <c r="I22" i="5"/>
  <c r="H22" i="5"/>
  <c r="F22" i="5"/>
  <c r="C22" i="5"/>
  <c r="AD21" i="5"/>
  <c r="AC21" i="5"/>
  <c r="AA21" i="5"/>
  <c r="X21" i="5"/>
  <c r="W21" i="5"/>
  <c r="U21" i="5"/>
  <c r="R21" i="5"/>
  <c r="N21" i="5"/>
  <c r="O21" i="5" s="1"/>
  <c r="L21" i="5"/>
  <c r="H21" i="5"/>
  <c r="I21" i="5" s="1"/>
  <c r="F21" i="5"/>
  <c r="C21" i="5"/>
  <c r="AD19" i="5"/>
  <c r="AC19" i="5"/>
  <c r="AA19" i="5"/>
  <c r="X19" i="5"/>
  <c r="W19" i="5"/>
  <c r="U19" i="5"/>
  <c r="R19" i="5"/>
  <c r="N19" i="5"/>
  <c r="O19" i="5" s="1"/>
  <c r="L19" i="5"/>
  <c r="H19" i="5"/>
  <c r="I19" i="5" s="1"/>
  <c r="F19" i="5"/>
  <c r="C19" i="5"/>
  <c r="AA18" i="5"/>
  <c r="Z18" i="5"/>
  <c r="X18" i="5"/>
  <c r="W18" i="5"/>
  <c r="T18" i="5"/>
  <c r="U18" i="5" s="1"/>
  <c r="R18" i="5"/>
  <c r="Q18" i="5"/>
  <c r="AC18" i="5" s="1"/>
  <c r="AD18" i="5" s="1"/>
  <c r="K18" i="5"/>
  <c r="L18" i="5" s="1"/>
  <c r="F18" i="5"/>
  <c r="E18" i="5"/>
  <c r="C18" i="5"/>
  <c r="B18" i="5"/>
  <c r="H18" i="5" s="1"/>
  <c r="I18" i="5" s="1"/>
  <c r="AD17" i="5"/>
  <c r="AC17" i="5"/>
  <c r="AA17" i="5"/>
  <c r="X17" i="5"/>
  <c r="W17" i="5"/>
  <c r="U17" i="5"/>
  <c r="R17" i="5"/>
  <c r="O17" i="5"/>
  <c r="N17" i="5"/>
  <c r="L17" i="5"/>
  <c r="H17" i="5"/>
  <c r="I17" i="5" s="1"/>
  <c r="F17" i="5"/>
  <c r="C17" i="5"/>
  <c r="AC16" i="5"/>
  <c r="AD16" i="5" s="1"/>
  <c r="AA16" i="5"/>
  <c r="X16" i="5"/>
  <c r="W16" i="5"/>
  <c r="U16" i="5"/>
  <c r="R16" i="5"/>
  <c r="N16" i="5"/>
  <c r="O16" i="5" s="1"/>
  <c r="L16" i="5"/>
  <c r="I16" i="5"/>
  <c r="H16" i="5"/>
  <c r="F16" i="5"/>
  <c r="C16" i="5"/>
  <c r="AD15" i="5"/>
  <c r="AC15" i="5"/>
  <c r="AA15" i="5"/>
  <c r="W15" i="5"/>
  <c r="X15" i="5" s="1"/>
  <c r="U15" i="5"/>
  <c r="R15" i="5"/>
  <c r="O15" i="5"/>
  <c r="N15" i="5"/>
  <c r="L15" i="5"/>
  <c r="H15" i="5"/>
  <c r="I15" i="5" s="1"/>
  <c r="F15" i="5"/>
  <c r="C15" i="5"/>
  <c r="AC14" i="5"/>
  <c r="AD14" i="5" s="1"/>
  <c r="AA14" i="5"/>
  <c r="W14" i="5"/>
  <c r="X14" i="5" s="1"/>
  <c r="U14" i="5"/>
  <c r="R14" i="5"/>
  <c r="O14" i="5"/>
  <c r="N14" i="5"/>
  <c r="L14" i="5"/>
  <c r="I14" i="5"/>
  <c r="H14" i="5"/>
  <c r="F14" i="5"/>
  <c r="C14" i="5"/>
  <c r="AC13" i="5"/>
  <c r="AD13" i="5" s="1"/>
  <c r="AA13" i="5"/>
  <c r="X13" i="5"/>
  <c r="W13" i="5"/>
  <c r="U13" i="5"/>
  <c r="R13" i="5"/>
  <c r="O13" i="5"/>
  <c r="N13" i="5"/>
  <c r="L13" i="5"/>
  <c r="H13" i="5"/>
  <c r="I13" i="5" s="1"/>
  <c r="F13" i="5"/>
  <c r="C13" i="5"/>
  <c r="AC12" i="5"/>
  <c r="AD12" i="5" s="1"/>
  <c r="AA12" i="5"/>
  <c r="X12" i="5"/>
  <c r="W12" i="5"/>
  <c r="U12" i="5"/>
  <c r="R12" i="5"/>
  <c r="N12" i="5"/>
  <c r="O12" i="5" s="1"/>
  <c r="L12" i="5"/>
  <c r="I12" i="5"/>
  <c r="H12" i="5"/>
  <c r="F12" i="5"/>
  <c r="C12" i="5"/>
  <c r="AD11" i="5"/>
  <c r="AC11" i="5"/>
  <c r="AA11" i="5"/>
  <c r="W11" i="5"/>
  <c r="X11" i="5" s="1"/>
  <c r="U11" i="5"/>
  <c r="R11" i="5"/>
  <c r="O11" i="5"/>
  <c r="N11" i="5"/>
  <c r="L11" i="5"/>
  <c r="I11" i="5"/>
  <c r="H11" i="5"/>
  <c r="F11" i="5"/>
  <c r="C11" i="5"/>
  <c r="AC10" i="5"/>
  <c r="AD10" i="5" s="1"/>
  <c r="AA10" i="5"/>
  <c r="W10" i="5"/>
  <c r="X10" i="5" s="1"/>
  <c r="U10" i="5"/>
  <c r="R10" i="5"/>
  <c r="O10" i="5"/>
  <c r="N10" i="5"/>
  <c r="L10" i="5"/>
  <c r="I10" i="5"/>
  <c r="H10" i="5"/>
  <c r="F10" i="5"/>
  <c r="C10" i="5"/>
  <c r="AD8" i="5"/>
  <c r="AC8" i="5"/>
  <c r="AA8" i="5"/>
  <c r="X8" i="5"/>
  <c r="W8" i="5"/>
  <c r="U8" i="5"/>
  <c r="R8" i="5"/>
  <c r="O8" i="5"/>
  <c r="N8" i="5"/>
  <c r="L8" i="5"/>
  <c r="H8" i="5"/>
  <c r="I8" i="5" s="1"/>
  <c r="F8" i="5"/>
  <c r="C8" i="5"/>
  <c r="AC444" i="4"/>
  <c r="W444" i="4"/>
  <c r="X437" i="4" s="1"/>
  <c r="N444" i="4"/>
  <c r="O423" i="4" s="1"/>
  <c r="H444" i="4"/>
  <c r="I374" i="4" s="1"/>
  <c r="AA442" i="4"/>
  <c r="Z442" i="4"/>
  <c r="AC442" i="4" s="1"/>
  <c r="AD442" i="4" s="1"/>
  <c r="W442" i="4"/>
  <c r="U442" i="4"/>
  <c r="T442" i="4"/>
  <c r="R442" i="4"/>
  <c r="Q442" i="4"/>
  <c r="N442" i="4"/>
  <c r="O442" i="4" s="1"/>
  <c r="K442" i="4"/>
  <c r="L442" i="4" s="1"/>
  <c r="F442" i="4"/>
  <c r="E442" i="4"/>
  <c r="C442" i="4"/>
  <c r="B442" i="4"/>
  <c r="H442" i="4" s="1"/>
  <c r="AA441" i="4"/>
  <c r="Z441" i="4"/>
  <c r="T441" i="4"/>
  <c r="Q441" i="4"/>
  <c r="R441" i="4" s="1"/>
  <c r="K441" i="4"/>
  <c r="L441" i="4" s="1"/>
  <c r="I441" i="4"/>
  <c r="H441" i="4"/>
  <c r="E441" i="4"/>
  <c r="F441" i="4" s="1"/>
  <c r="C441" i="4"/>
  <c r="B441" i="4"/>
  <c r="N441" i="4" s="1"/>
  <c r="O441" i="4" s="1"/>
  <c r="AC440" i="4"/>
  <c r="AA440" i="4"/>
  <c r="X440" i="4"/>
  <c r="W440" i="4"/>
  <c r="U440" i="4"/>
  <c r="R440" i="4"/>
  <c r="N440" i="4"/>
  <c r="O440" i="4" s="1"/>
  <c r="L440" i="4"/>
  <c r="H440" i="4"/>
  <c r="I440" i="4" s="1"/>
  <c r="F440" i="4"/>
  <c r="C440" i="4"/>
  <c r="AC439" i="4"/>
  <c r="AA439" i="4"/>
  <c r="X439" i="4"/>
  <c r="W439" i="4"/>
  <c r="U439" i="4"/>
  <c r="R439" i="4"/>
  <c r="O439" i="4"/>
  <c r="N439" i="4"/>
  <c r="L439" i="4"/>
  <c r="H439" i="4"/>
  <c r="I439" i="4" s="1"/>
  <c r="F439" i="4"/>
  <c r="C439" i="4"/>
  <c r="AC438" i="4"/>
  <c r="AD438" i="4" s="1"/>
  <c r="AA438" i="4"/>
  <c r="W438" i="4"/>
  <c r="U438" i="4"/>
  <c r="R438" i="4"/>
  <c r="O438" i="4"/>
  <c r="N438" i="4"/>
  <c r="L438" i="4"/>
  <c r="H438" i="4"/>
  <c r="F438" i="4"/>
  <c r="C438" i="4"/>
  <c r="AD437" i="4"/>
  <c r="AC437" i="4"/>
  <c r="AA437" i="4"/>
  <c r="W437" i="4"/>
  <c r="U437" i="4"/>
  <c r="R437" i="4"/>
  <c r="O437" i="4"/>
  <c r="N437" i="4"/>
  <c r="L437" i="4"/>
  <c r="H437" i="4"/>
  <c r="I437" i="4" s="1"/>
  <c r="F437" i="4"/>
  <c r="C437" i="4"/>
  <c r="AC436" i="4"/>
  <c r="AD436" i="4" s="1"/>
  <c r="AA436" i="4"/>
  <c r="W436" i="4"/>
  <c r="U436" i="4"/>
  <c r="R436" i="4"/>
  <c r="N436" i="4"/>
  <c r="L436" i="4"/>
  <c r="I436" i="4"/>
  <c r="H436" i="4"/>
  <c r="F436" i="4"/>
  <c r="C436" i="4"/>
  <c r="AC435" i="4"/>
  <c r="AA435" i="4"/>
  <c r="W435" i="4"/>
  <c r="X435" i="4" s="1"/>
  <c r="U435" i="4"/>
  <c r="R435" i="4"/>
  <c r="O435" i="4"/>
  <c r="N435" i="4"/>
  <c r="L435" i="4"/>
  <c r="H435" i="4"/>
  <c r="F435" i="4"/>
  <c r="C435" i="4"/>
  <c r="AC434" i="4"/>
  <c r="AD434" i="4" s="1"/>
  <c r="AA434" i="4"/>
  <c r="W434" i="4"/>
  <c r="U434" i="4"/>
  <c r="R434" i="4"/>
  <c r="N434" i="4"/>
  <c r="L434" i="4"/>
  <c r="H434" i="4"/>
  <c r="F434" i="4"/>
  <c r="C434" i="4"/>
  <c r="AD433" i="4"/>
  <c r="AC433" i="4"/>
  <c r="AA433" i="4"/>
  <c r="W433" i="4"/>
  <c r="U433" i="4"/>
  <c r="R433" i="4"/>
  <c r="N433" i="4"/>
  <c r="O433" i="4" s="1"/>
  <c r="L433" i="4"/>
  <c r="H433" i="4"/>
  <c r="F433" i="4"/>
  <c r="C433" i="4"/>
  <c r="AD432" i="4"/>
  <c r="AC432" i="4"/>
  <c r="AA432" i="4"/>
  <c r="X432" i="4"/>
  <c r="W432" i="4"/>
  <c r="U432" i="4"/>
  <c r="R432" i="4"/>
  <c r="N432" i="4"/>
  <c r="O432" i="4" s="1"/>
  <c r="L432" i="4"/>
  <c r="I432" i="4"/>
  <c r="H432" i="4"/>
  <c r="F432" i="4"/>
  <c r="C432" i="4"/>
  <c r="Z429" i="4"/>
  <c r="AA429" i="4" s="1"/>
  <c r="X429" i="4"/>
  <c r="W429" i="4"/>
  <c r="T429" i="4"/>
  <c r="U429" i="4" s="1"/>
  <c r="R429" i="4"/>
  <c r="Q429" i="4"/>
  <c r="AC429" i="4" s="1"/>
  <c r="AD429" i="4" s="1"/>
  <c r="K429" i="4"/>
  <c r="L429" i="4" s="1"/>
  <c r="H429" i="4"/>
  <c r="I429" i="4" s="1"/>
  <c r="F429" i="4"/>
  <c r="E429" i="4"/>
  <c r="C429" i="4"/>
  <c r="B429" i="4"/>
  <c r="N429" i="4" s="1"/>
  <c r="O429" i="4" s="1"/>
  <c r="Z428" i="4"/>
  <c r="AA428" i="4" s="1"/>
  <c r="U428" i="4"/>
  <c r="T428" i="4"/>
  <c r="Q428" i="4"/>
  <c r="L428" i="4"/>
  <c r="K428" i="4"/>
  <c r="F428" i="4"/>
  <c r="E428" i="4"/>
  <c r="B428" i="4"/>
  <c r="AC427" i="4"/>
  <c r="AA427" i="4"/>
  <c r="W427" i="4"/>
  <c r="X427" i="4" s="1"/>
  <c r="U427" i="4"/>
  <c r="R427" i="4"/>
  <c r="N427" i="4"/>
  <c r="L427" i="4"/>
  <c r="H427" i="4"/>
  <c r="I427" i="4" s="1"/>
  <c r="F427" i="4"/>
  <c r="C427" i="4"/>
  <c r="AC426" i="4"/>
  <c r="AD426" i="4" s="1"/>
  <c r="AA426" i="4"/>
  <c r="W426" i="4"/>
  <c r="X426" i="4" s="1"/>
  <c r="U426" i="4"/>
  <c r="R426" i="4"/>
  <c r="O426" i="4"/>
  <c r="N426" i="4"/>
  <c r="L426" i="4"/>
  <c r="H426" i="4"/>
  <c r="F426" i="4"/>
  <c r="C426" i="4"/>
  <c r="AC425" i="4"/>
  <c r="AA425" i="4"/>
  <c r="X425" i="4"/>
  <c r="W425" i="4"/>
  <c r="U425" i="4"/>
  <c r="R425" i="4"/>
  <c r="O425" i="4"/>
  <c r="N425" i="4"/>
  <c r="L425" i="4"/>
  <c r="H425" i="4"/>
  <c r="I425" i="4" s="1"/>
  <c r="F425" i="4"/>
  <c r="C425" i="4"/>
  <c r="AD424" i="4"/>
  <c r="AC424" i="4"/>
  <c r="AA424" i="4"/>
  <c r="W424" i="4"/>
  <c r="U424" i="4"/>
  <c r="R424" i="4"/>
  <c r="N424" i="4"/>
  <c r="O424" i="4" s="1"/>
  <c r="L424" i="4"/>
  <c r="H424" i="4"/>
  <c r="I424" i="4" s="1"/>
  <c r="F424" i="4"/>
  <c r="C424" i="4"/>
  <c r="AC423" i="4"/>
  <c r="AA423" i="4"/>
  <c r="X423" i="4"/>
  <c r="W423" i="4"/>
  <c r="U423" i="4"/>
  <c r="R423" i="4"/>
  <c r="N423" i="4"/>
  <c r="L423" i="4"/>
  <c r="I423" i="4"/>
  <c r="H423" i="4"/>
  <c r="F423" i="4"/>
  <c r="C423" i="4"/>
  <c r="AC422" i="4"/>
  <c r="AD422" i="4" s="1"/>
  <c r="AA422" i="4"/>
  <c r="W422" i="4"/>
  <c r="U422" i="4"/>
  <c r="R422" i="4"/>
  <c r="O422" i="4"/>
  <c r="N422" i="4"/>
  <c r="L422" i="4"/>
  <c r="H422" i="4"/>
  <c r="F422" i="4"/>
  <c r="C422" i="4"/>
  <c r="AC421" i="4"/>
  <c r="AD421" i="4" s="1"/>
  <c r="AA421" i="4"/>
  <c r="X421" i="4"/>
  <c r="W421" i="4"/>
  <c r="U421" i="4"/>
  <c r="R421" i="4"/>
  <c r="N421" i="4"/>
  <c r="O421" i="4" s="1"/>
  <c r="L421" i="4"/>
  <c r="H421" i="4"/>
  <c r="I421" i="4" s="1"/>
  <c r="F421" i="4"/>
  <c r="C421" i="4"/>
  <c r="AD420" i="4"/>
  <c r="AC420" i="4"/>
  <c r="AA420" i="4"/>
  <c r="X420" i="4"/>
  <c r="W420" i="4"/>
  <c r="U420" i="4"/>
  <c r="R420" i="4"/>
  <c r="N420" i="4"/>
  <c r="L420" i="4"/>
  <c r="H420" i="4"/>
  <c r="F420" i="4"/>
  <c r="C420" i="4"/>
  <c r="AC419" i="4"/>
  <c r="AA419" i="4"/>
  <c r="W419" i="4"/>
  <c r="X419" i="4" s="1"/>
  <c r="U419" i="4"/>
  <c r="R419" i="4"/>
  <c r="O419" i="4"/>
  <c r="N419" i="4"/>
  <c r="L419" i="4"/>
  <c r="I419" i="4"/>
  <c r="H419" i="4"/>
  <c r="F419" i="4"/>
  <c r="C419" i="4"/>
  <c r="AC418" i="4"/>
  <c r="AA418" i="4"/>
  <c r="W418" i="4"/>
  <c r="X418" i="4" s="1"/>
  <c r="U418" i="4"/>
  <c r="R418" i="4"/>
  <c r="N418" i="4"/>
  <c r="L418" i="4"/>
  <c r="H418" i="4"/>
  <c r="F418" i="4"/>
  <c r="C418" i="4"/>
  <c r="AD417" i="4"/>
  <c r="AC417" i="4"/>
  <c r="AA417" i="4"/>
  <c r="X417" i="4"/>
  <c r="W417" i="4"/>
  <c r="U417" i="4"/>
  <c r="R417" i="4"/>
  <c r="O417" i="4"/>
  <c r="N417" i="4"/>
  <c r="L417" i="4"/>
  <c r="H417" i="4"/>
  <c r="F417" i="4"/>
  <c r="C417" i="4"/>
  <c r="AC416" i="4"/>
  <c r="AD416" i="4" s="1"/>
  <c r="AA416" i="4"/>
  <c r="X416" i="4"/>
  <c r="W416" i="4"/>
  <c r="U416" i="4"/>
  <c r="R416" i="4"/>
  <c r="N416" i="4"/>
  <c r="L416" i="4"/>
  <c r="H416" i="4"/>
  <c r="I416" i="4" s="1"/>
  <c r="F416" i="4"/>
  <c r="C416" i="4"/>
  <c r="AC415" i="4"/>
  <c r="AA415" i="4"/>
  <c r="W415" i="4"/>
  <c r="U415" i="4"/>
  <c r="R415" i="4"/>
  <c r="O415" i="4"/>
  <c r="N415" i="4"/>
  <c r="L415" i="4"/>
  <c r="I415" i="4"/>
  <c r="H415" i="4"/>
  <c r="F415" i="4"/>
  <c r="C415" i="4"/>
  <c r="AC414" i="4"/>
  <c r="AD414" i="4" s="1"/>
  <c r="AA414" i="4"/>
  <c r="W414" i="4"/>
  <c r="X414" i="4" s="1"/>
  <c r="U414" i="4"/>
  <c r="R414" i="4"/>
  <c r="N414" i="4"/>
  <c r="L414" i="4"/>
  <c r="H414" i="4"/>
  <c r="F414" i="4"/>
  <c r="C414" i="4"/>
  <c r="AC413" i="4"/>
  <c r="AD413" i="4" s="1"/>
  <c r="AA413" i="4"/>
  <c r="W413" i="4"/>
  <c r="U413" i="4"/>
  <c r="R413" i="4"/>
  <c r="O413" i="4"/>
  <c r="N413" i="4"/>
  <c r="L413" i="4"/>
  <c r="H413" i="4"/>
  <c r="F413" i="4"/>
  <c r="C413" i="4"/>
  <c r="AD412" i="4"/>
  <c r="AC412" i="4"/>
  <c r="AA412" i="4"/>
  <c r="W412" i="4"/>
  <c r="U412" i="4"/>
  <c r="R412" i="4"/>
  <c r="N412" i="4"/>
  <c r="O412" i="4" s="1"/>
  <c r="L412" i="4"/>
  <c r="I412" i="4"/>
  <c r="H412" i="4"/>
  <c r="F412" i="4"/>
  <c r="C412" i="4"/>
  <c r="AC411" i="4"/>
  <c r="AA411" i="4"/>
  <c r="W411" i="4"/>
  <c r="X411" i="4" s="1"/>
  <c r="U411" i="4"/>
  <c r="R411" i="4"/>
  <c r="N411" i="4"/>
  <c r="L411" i="4"/>
  <c r="H411" i="4"/>
  <c r="I411" i="4" s="1"/>
  <c r="F411" i="4"/>
  <c r="C411" i="4"/>
  <c r="AC410" i="4"/>
  <c r="AD410" i="4" s="1"/>
  <c r="AA410" i="4"/>
  <c r="W410" i="4"/>
  <c r="X410" i="4" s="1"/>
  <c r="U410" i="4"/>
  <c r="R410" i="4"/>
  <c r="O410" i="4"/>
  <c r="N410" i="4"/>
  <c r="L410" i="4"/>
  <c r="H410" i="4"/>
  <c r="F410" i="4"/>
  <c r="C410" i="4"/>
  <c r="AC409" i="4"/>
  <c r="AA409" i="4"/>
  <c r="X409" i="4"/>
  <c r="W409" i="4"/>
  <c r="U409" i="4"/>
  <c r="R409" i="4"/>
  <c r="O409" i="4"/>
  <c r="N409" i="4"/>
  <c r="L409" i="4"/>
  <c r="H409" i="4"/>
  <c r="I409" i="4" s="1"/>
  <c r="F409" i="4"/>
  <c r="C409" i="4"/>
  <c r="AD408" i="4"/>
  <c r="AC408" i="4"/>
  <c r="AA408" i="4"/>
  <c r="W408" i="4"/>
  <c r="U408" i="4"/>
  <c r="R408" i="4"/>
  <c r="N408" i="4"/>
  <c r="O408" i="4" s="1"/>
  <c r="L408" i="4"/>
  <c r="H408" i="4"/>
  <c r="I408" i="4" s="1"/>
  <c r="F408" i="4"/>
  <c r="C408" i="4"/>
  <c r="AC407" i="4"/>
  <c r="AA407" i="4"/>
  <c r="X407" i="4"/>
  <c r="W407" i="4"/>
  <c r="U407" i="4"/>
  <c r="R407" i="4"/>
  <c r="N407" i="4"/>
  <c r="L407" i="4"/>
  <c r="I407" i="4"/>
  <c r="H407" i="4"/>
  <c r="F407" i="4"/>
  <c r="C407" i="4"/>
  <c r="AC403" i="4"/>
  <c r="AD403" i="4" s="1"/>
  <c r="Z403" i="4"/>
  <c r="AA403" i="4" s="1"/>
  <c r="U403" i="4"/>
  <c r="T403" i="4"/>
  <c r="Q403" i="4"/>
  <c r="R403" i="4" s="1"/>
  <c r="K403" i="4"/>
  <c r="L403" i="4" s="1"/>
  <c r="E403" i="4"/>
  <c r="F403" i="4" s="1"/>
  <c r="C403" i="4"/>
  <c r="B403" i="4"/>
  <c r="AC402" i="4"/>
  <c r="AD402" i="4" s="1"/>
  <c r="AA402" i="4"/>
  <c r="W402" i="4"/>
  <c r="X402" i="4" s="1"/>
  <c r="U402" i="4"/>
  <c r="R402" i="4"/>
  <c r="O402" i="4"/>
  <c r="N402" i="4"/>
  <c r="L402" i="4"/>
  <c r="H402" i="4"/>
  <c r="F402" i="4"/>
  <c r="C402" i="4"/>
  <c r="AD401" i="4"/>
  <c r="AC401" i="4"/>
  <c r="AA401" i="4"/>
  <c r="W401" i="4"/>
  <c r="U401" i="4"/>
  <c r="R401" i="4"/>
  <c r="N401" i="4"/>
  <c r="O401" i="4" s="1"/>
  <c r="L401" i="4"/>
  <c r="H401" i="4"/>
  <c r="I401" i="4" s="1"/>
  <c r="F401" i="4"/>
  <c r="C401" i="4"/>
  <c r="AC400" i="4"/>
  <c r="AD400" i="4" s="1"/>
  <c r="AA400" i="4"/>
  <c r="X400" i="4"/>
  <c r="W400" i="4"/>
  <c r="U400" i="4"/>
  <c r="R400" i="4"/>
  <c r="N400" i="4"/>
  <c r="L400" i="4"/>
  <c r="I400" i="4"/>
  <c r="H400" i="4"/>
  <c r="F400" i="4"/>
  <c r="C400" i="4"/>
  <c r="AC399" i="4"/>
  <c r="AA399" i="4"/>
  <c r="W399" i="4"/>
  <c r="X399" i="4" s="1"/>
  <c r="U399" i="4"/>
  <c r="R399" i="4"/>
  <c r="O399" i="4"/>
  <c r="N399" i="4"/>
  <c r="L399" i="4"/>
  <c r="H399" i="4"/>
  <c r="F399" i="4"/>
  <c r="C399" i="4"/>
  <c r="AC398" i="4"/>
  <c r="AD398" i="4" s="1"/>
  <c r="AA398" i="4"/>
  <c r="W398" i="4"/>
  <c r="U398" i="4"/>
  <c r="R398" i="4"/>
  <c r="N398" i="4"/>
  <c r="L398" i="4"/>
  <c r="H398" i="4"/>
  <c r="F398" i="4"/>
  <c r="C398" i="4"/>
  <c r="AD397" i="4"/>
  <c r="AC397" i="4"/>
  <c r="AA397" i="4"/>
  <c r="X397" i="4"/>
  <c r="W397" i="4"/>
  <c r="U397" i="4"/>
  <c r="R397" i="4"/>
  <c r="N397" i="4"/>
  <c r="O397" i="4" s="1"/>
  <c r="L397" i="4"/>
  <c r="H397" i="4"/>
  <c r="F397" i="4"/>
  <c r="C397" i="4"/>
  <c r="Z396" i="4"/>
  <c r="U396" i="4"/>
  <c r="T396" i="4"/>
  <c r="R396" i="4"/>
  <c r="Q396" i="4"/>
  <c r="W396" i="4" s="1"/>
  <c r="X396" i="4" s="1"/>
  <c r="K396" i="4"/>
  <c r="L396" i="4" s="1"/>
  <c r="F396" i="4"/>
  <c r="E396" i="4"/>
  <c r="B396" i="4"/>
  <c r="H396" i="4" s="1"/>
  <c r="I396" i="4" s="1"/>
  <c r="AC395" i="4"/>
  <c r="AD395" i="4" s="1"/>
  <c r="AA395" i="4"/>
  <c r="W395" i="4"/>
  <c r="U395" i="4"/>
  <c r="R395" i="4"/>
  <c r="N395" i="4"/>
  <c r="L395" i="4"/>
  <c r="H395" i="4"/>
  <c r="F395" i="4"/>
  <c r="C395" i="4"/>
  <c r="AD394" i="4"/>
  <c r="AC394" i="4"/>
  <c r="AA394" i="4"/>
  <c r="X394" i="4"/>
  <c r="W394" i="4"/>
  <c r="U394" i="4"/>
  <c r="R394" i="4"/>
  <c r="N394" i="4"/>
  <c r="O394" i="4" s="1"/>
  <c r="L394" i="4"/>
  <c r="H394" i="4"/>
  <c r="F394" i="4"/>
  <c r="C394" i="4"/>
  <c r="Z393" i="4"/>
  <c r="AA393" i="4" s="1"/>
  <c r="U393" i="4"/>
  <c r="T393" i="4"/>
  <c r="R393" i="4"/>
  <c r="Q393" i="4"/>
  <c r="W393" i="4" s="1"/>
  <c r="X393" i="4" s="1"/>
  <c r="K393" i="4"/>
  <c r="L393" i="4" s="1"/>
  <c r="F393" i="4"/>
  <c r="E393" i="4"/>
  <c r="B393" i="4"/>
  <c r="H393" i="4" s="1"/>
  <c r="I393" i="4" s="1"/>
  <c r="AC392" i="4"/>
  <c r="AD392" i="4" s="1"/>
  <c r="AA392" i="4"/>
  <c r="W392" i="4"/>
  <c r="U392" i="4"/>
  <c r="R392" i="4"/>
  <c r="N392" i="4"/>
  <c r="L392" i="4"/>
  <c r="H392" i="4"/>
  <c r="F392" i="4"/>
  <c r="C392" i="4"/>
  <c r="AD391" i="4"/>
  <c r="AC391" i="4"/>
  <c r="AA391" i="4"/>
  <c r="X391" i="4"/>
  <c r="W391" i="4"/>
  <c r="U391" i="4"/>
  <c r="R391" i="4"/>
  <c r="N391" i="4"/>
  <c r="O391" i="4" s="1"/>
  <c r="L391" i="4"/>
  <c r="H391" i="4"/>
  <c r="F391" i="4"/>
  <c r="C391" i="4"/>
  <c r="AC390" i="4"/>
  <c r="AD390" i="4" s="1"/>
  <c r="AA390" i="4"/>
  <c r="X390" i="4"/>
  <c r="W390" i="4"/>
  <c r="U390" i="4"/>
  <c r="R390" i="4"/>
  <c r="N390" i="4"/>
  <c r="O390" i="4" s="1"/>
  <c r="L390" i="4"/>
  <c r="I390" i="4"/>
  <c r="H390" i="4"/>
  <c r="F390" i="4"/>
  <c r="C390" i="4"/>
  <c r="AC389" i="4"/>
  <c r="AA389" i="4"/>
  <c r="X389" i="4"/>
  <c r="W389" i="4"/>
  <c r="U389" i="4"/>
  <c r="R389" i="4"/>
  <c r="O389" i="4"/>
  <c r="N389" i="4"/>
  <c r="L389" i="4"/>
  <c r="H389" i="4"/>
  <c r="I389" i="4" s="1"/>
  <c r="F389" i="4"/>
  <c r="C389" i="4"/>
  <c r="AC388" i="4"/>
  <c r="AA388" i="4"/>
  <c r="W388" i="4"/>
  <c r="U388" i="4"/>
  <c r="R388" i="4"/>
  <c r="O388" i="4"/>
  <c r="N388" i="4"/>
  <c r="L388" i="4"/>
  <c r="H388" i="4"/>
  <c r="F388" i="4"/>
  <c r="C388" i="4"/>
  <c r="AC386" i="4"/>
  <c r="AD386" i="4" s="1"/>
  <c r="AA386" i="4"/>
  <c r="X386" i="4"/>
  <c r="W386" i="4"/>
  <c r="U386" i="4"/>
  <c r="R386" i="4"/>
  <c r="N386" i="4"/>
  <c r="L386" i="4"/>
  <c r="H386" i="4"/>
  <c r="I386" i="4" s="1"/>
  <c r="F386" i="4"/>
  <c r="C386" i="4"/>
  <c r="AC385" i="4"/>
  <c r="AD385" i="4" s="1"/>
  <c r="AA385" i="4"/>
  <c r="W385" i="4"/>
  <c r="X385" i="4" s="1"/>
  <c r="U385" i="4"/>
  <c r="R385" i="4"/>
  <c r="N385" i="4"/>
  <c r="O385" i="4" s="1"/>
  <c r="L385" i="4"/>
  <c r="I385" i="4"/>
  <c r="H385" i="4"/>
  <c r="F385" i="4"/>
  <c r="C385" i="4"/>
  <c r="AD383" i="4"/>
  <c r="AC383" i="4"/>
  <c r="AA383" i="4"/>
  <c r="W383" i="4"/>
  <c r="X383" i="4" s="1"/>
  <c r="U383" i="4"/>
  <c r="R383" i="4"/>
  <c r="N383" i="4"/>
  <c r="O383" i="4" s="1"/>
  <c r="L383" i="4"/>
  <c r="I383" i="4"/>
  <c r="H383" i="4"/>
  <c r="F383" i="4"/>
  <c r="C383" i="4"/>
  <c r="AC382" i="4"/>
  <c r="AD382" i="4" s="1"/>
  <c r="AA382" i="4"/>
  <c r="W382" i="4"/>
  <c r="X382" i="4" s="1"/>
  <c r="U382" i="4"/>
  <c r="R382" i="4"/>
  <c r="O382" i="4"/>
  <c r="N382" i="4"/>
  <c r="L382" i="4"/>
  <c r="I382" i="4"/>
  <c r="H382" i="4"/>
  <c r="F382" i="4"/>
  <c r="C382" i="4"/>
  <c r="AC381" i="4"/>
  <c r="AD381" i="4" s="1"/>
  <c r="AA381" i="4"/>
  <c r="W381" i="4"/>
  <c r="X381" i="4" s="1"/>
  <c r="U381" i="4"/>
  <c r="R381" i="4"/>
  <c r="O381" i="4"/>
  <c r="N381" i="4"/>
  <c r="L381" i="4"/>
  <c r="H381" i="4"/>
  <c r="F381" i="4"/>
  <c r="C381" i="4"/>
  <c r="AC380" i="4"/>
  <c r="AD380" i="4" s="1"/>
  <c r="AA380" i="4"/>
  <c r="X380" i="4"/>
  <c r="W380" i="4"/>
  <c r="U380" i="4"/>
  <c r="R380" i="4"/>
  <c r="N380" i="4"/>
  <c r="O380" i="4" s="1"/>
  <c r="L380" i="4"/>
  <c r="I380" i="4"/>
  <c r="H380" i="4"/>
  <c r="F380" i="4"/>
  <c r="C380" i="4"/>
  <c r="AC379" i="4"/>
  <c r="AA379" i="4"/>
  <c r="W379" i="4"/>
  <c r="X379" i="4" s="1"/>
  <c r="U379" i="4"/>
  <c r="R379" i="4"/>
  <c r="N379" i="4"/>
  <c r="L379" i="4"/>
  <c r="I379" i="4"/>
  <c r="H379" i="4"/>
  <c r="F379" i="4"/>
  <c r="C379" i="4"/>
  <c r="AD378" i="4"/>
  <c r="AC378" i="4"/>
  <c r="AA378" i="4"/>
  <c r="W378" i="4"/>
  <c r="X378" i="4" s="1"/>
  <c r="U378" i="4"/>
  <c r="R378" i="4"/>
  <c r="O378" i="4"/>
  <c r="N378" i="4"/>
  <c r="L378" i="4"/>
  <c r="H378" i="4"/>
  <c r="F378" i="4"/>
  <c r="C378" i="4"/>
  <c r="AC377" i="4"/>
  <c r="AD377" i="4" s="1"/>
  <c r="AA377" i="4"/>
  <c r="X377" i="4"/>
  <c r="W377" i="4"/>
  <c r="U377" i="4"/>
  <c r="R377" i="4"/>
  <c r="O377" i="4"/>
  <c r="N377" i="4"/>
  <c r="L377" i="4"/>
  <c r="H377" i="4"/>
  <c r="I377" i="4" s="1"/>
  <c r="F377" i="4"/>
  <c r="C377" i="4"/>
  <c r="AC376" i="4"/>
  <c r="AD376" i="4" s="1"/>
  <c r="AA376" i="4"/>
  <c r="X376" i="4"/>
  <c r="W376" i="4"/>
  <c r="U376" i="4"/>
  <c r="R376" i="4"/>
  <c r="N376" i="4"/>
  <c r="L376" i="4"/>
  <c r="I376" i="4"/>
  <c r="H376" i="4"/>
  <c r="F376" i="4"/>
  <c r="C376" i="4"/>
  <c r="AD375" i="4"/>
  <c r="AC375" i="4"/>
  <c r="AA375" i="4"/>
  <c r="W375" i="4"/>
  <c r="X375" i="4" s="1"/>
  <c r="U375" i="4"/>
  <c r="R375" i="4"/>
  <c r="N375" i="4"/>
  <c r="O375" i="4" s="1"/>
  <c r="L375" i="4"/>
  <c r="H375" i="4"/>
  <c r="I375" i="4" s="1"/>
  <c r="F375" i="4"/>
  <c r="C375" i="4"/>
  <c r="AD374" i="4"/>
  <c r="AC374" i="4"/>
  <c r="AA374" i="4"/>
  <c r="W374" i="4"/>
  <c r="U374" i="4"/>
  <c r="R374" i="4"/>
  <c r="O374" i="4"/>
  <c r="N374" i="4"/>
  <c r="L374" i="4"/>
  <c r="H374" i="4"/>
  <c r="F374" i="4"/>
  <c r="C374" i="4"/>
  <c r="AC373" i="4"/>
  <c r="AD373" i="4" s="1"/>
  <c r="AA373" i="4"/>
  <c r="X373" i="4"/>
  <c r="W373" i="4"/>
  <c r="U373" i="4"/>
  <c r="R373" i="4"/>
  <c r="N373" i="4"/>
  <c r="O373" i="4" s="1"/>
  <c r="L373" i="4"/>
  <c r="H373" i="4"/>
  <c r="I373" i="4" s="1"/>
  <c r="F373" i="4"/>
  <c r="C373" i="4"/>
  <c r="AC372" i="4"/>
  <c r="AA372" i="4"/>
  <c r="X372" i="4"/>
  <c r="W372" i="4"/>
  <c r="U372" i="4"/>
  <c r="R372" i="4"/>
  <c r="N372" i="4"/>
  <c r="O372" i="4" s="1"/>
  <c r="L372" i="4"/>
  <c r="H372" i="4"/>
  <c r="I372" i="4" s="1"/>
  <c r="F372" i="4"/>
  <c r="C372" i="4"/>
  <c r="AD371" i="4"/>
  <c r="AC371" i="4"/>
  <c r="AA371" i="4"/>
  <c r="W371" i="4"/>
  <c r="U371" i="4"/>
  <c r="R371" i="4"/>
  <c r="N371" i="4"/>
  <c r="O371" i="4" s="1"/>
  <c r="L371" i="4"/>
  <c r="I371" i="4"/>
  <c r="H371" i="4"/>
  <c r="F371" i="4"/>
  <c r="C371" i="4"/>
  <c r="AD370" i="4"/>
  <c r="AC370" i="4"/>
  <c r="AA370" i="4"/>
  <c r="W370" i="4"/>
  <c r="U370" i="4"/>
  <c r="R370" i="4"/>
  <c r="N370" i="4"/>
  <c r="O370" i="4" s="1"/>
  <c r="L370" i="4"/>
  <c r="I370" i="4"/>
  <c r="H370" i="4"/>
  <c r="F370" i="4"/>
  <c r="C370" i="4"/>
  <c r="AC369" i="4"/>
  <c r="AA369" i="4"/>
  <c r="X369" i="4"/>
  <c r="W369" i="4"/>
  <c r="U369" i="4"/>
  <c r="R369" i="4"/>
  <c r="O369" i="4"/>
  <c r="N369" i="4"/>
  <c r="L369" i="4"/>
  <c r="H369" i="4"/>
  <c r="I369" i="4" s="1"/>
  <c r="F369" i="4"/>
  <c r="C369" i="4"/>
  <c r="AC368" i="4"/>
  <c r="AD368" i="4" s="1"/>
  <c r="AA368" i="4"/>
  <c r="Z368" i="4"/>
  <c r="U368" i="4"/>
  <c r="T368" i="4"/>
  <c r="Q368" i="4"/>
  <c r="K368" i="4"/>
  <c r="L368" i="4" s="1"/>
  <c r="I368" i="4"/>
  <c r="F368" i="4"/>
  <c r="E368" i="4"/>
  <c r="C368" i="4"/>
  <c r="B368" i="4"/>
  <c r="H368" i="4" s="1"/>
  <c r="AC367" i="4"/>
  <c r="AD367" i="4" s="1"/>
  <c r="AA367" i="4"/>
  <c r="W367" i="4"/>
  <c r="X367" i="4" s="1"/>
  <c r="U367" i="4"/>
  <c r="R367" i="4"/>
  <c r="O367" i="4"/>
  <c r="N367" i="4"/>
  <c r="L367" i="4"/>
  <c r="I367" i="4"/>
  <c r="H367" i="4"/>
  <c r="F367" i="4"/>
  <c r="C367" i="4"/>
  <c r="AC366" i="4"/>
  <c r="AD366" i="4" s="1"/>
  <c r="AA366" i="4"/>
  <c r="W366" i="4"/>
  <c r="X366" i="4" s="1"/>
  <c r="U366" i="4"/>
  <c r="R366" i="4"/>
  <c r="O366" i="4"/>
  <c r="N366" i="4"/>
  <c r="L366" i="4"/>
  <c r="H366" i="4"/>
  <c r="F366" i="4"/>
  <c r="C366" i="4"/>
  <c r="AC365" i="4"/>
  <c r="AD365" i="4" s="1"/>
  <c r="AA365" i="4"/>
  <c r="X365" i="4"/>
  <c r="W365" i="4"/>
  <c r="U365" i="4"/>
  <c r="R365" i="4"/>
  <c r="N365" i="4"/>
  <c r="O365" i="4" s="1"/>
  <c r="L365" i="4"/>
  <c r="I365" i="4"/>
  <c r="H365" i="4"/>
  <c r="F365" i="4"/>
  <c r="C365" i="4"/>
  <c r="AC364" i="4"/>
  <c r="AA364" i="4"/>
  <c r="W364" i="4"/>
  <c r="X364" i="4" s="1"/>
  <c r="U364" i="4"/>
  <c r="R364" i="4"/>
  <c r="N364" i="4"/>
  <c r="L364" i="4"/>
  <c r="I364" i="4"/>
  <c r="H364" i="4"/>
  <c r="F364" i="4"/>
  <c r="C364" i="4"/>
  <c r="AD363" i="4"/>
  <c r="AC363" i="4"/>
  <c r="AA363" i="4"/>
  <c r="W363" i="4"/>
  <c r="X363" i="4" s="1"/>
  <c r="U363" i="4"/>
  <c r="R363" i="4"/>
  <c r="O363" i="4"/>
  <c r="N363" i="4"/>
  <c r="L363" i="4"/>
  <c r="H363" i="4"/>
  <c r="F363" i="4"/>
  <c r="C363" i="4"/>
  <c r="AD362" i="4"/>
  <c r="AC362" i="4"/>
  <c r="AA362" i="4"/>
  <c r="X362" i="4"/>
  <c r="W362" i="4"/>
  <c r="U362" i="4"/>
  <c r="R362" i="4"/>
  <c r="O362" i="4"/>
  <c r="N362" i="4"/>
  <c r="L362" i="4"/>
  <c r="H362" i="4"/>
  <c r="I362" i="4" s="1"/>
  <c r="F362" i="4"/>
  <c r="C362" i="4"/>
  <c r="AC361" i="4"/>
  <c r="AD361" i="4" s="1"/>
  <c r="AA361" i="4"/>
  <c r="X361" i="4"/>
  <c r="W361" i="4"/>
  <c r="U361" i="4"/>
  <c r="R361" i="4"/>
  <c r="N361" i="4"/>
  <c r="L361" i="4"/>
  <c r="I361" i="4"/>
  <c r="H361" i="4"/>
  <c r="F361" i="4"/>
  <c r="C361" i="4"/>
  <c r="AD360" i="4"/>
  <c r="AC360" i="4"/>
  <c r="AA360" i="4"/>
  <c r="W360" i="4"/>
  <c r="X360" i="4" s="1"/>
  <c r="U360" i="4"/>
  <c r="R360" i="4"/>
  <c r="N360" i="4"/>
  <c r="O360" i="4" s="1"/>
  <c r="L360" i="4"/>
  <c r="H360" i="4"/>
  <c r="I360" i="4" s="1"/>
  <c r="F360" i="4"/>
  <c r="C360" i="4"/>
  <c r="AA358" i="4"/>
  <c r="Z358" i="4"/>
  <c r="U358" i="4"/>
  <c r="T358" i="4"/>
  <c r="W358" i="4" s="1"/>
  <c r="X358" i="4" s="1"/>
  <c r="R358" i="4"/>
  <c r="Q358" i="4"/>
  <c r="AC358" i="4" s="1"/>
  <c r="AD358" i="4" s="1"/>
  <c r="O358" i="4"/>
  <c r="L358" i="4"/>
  <c r="K358" i="4"/>
  <c r="H358" i="4"/>
  <c r="I358" i="4" s="1"/>
  <c r="F358" i="4"/>
  <c r="E358" i="4"/>
  <c r="C358" i="4"/>
  <c r="B358" i="4"/>
  <c r="N358" i="4" s="1"/>
  <c r="AC357" i="4"/>
  <c r="AA357" i="4"/>
  <c r="X357" i="4"/>
  <c r="W357" i="4"/>
  <c r="U357" i="4"/>
  <c r="R357" i="4"/>
  <c r="N357" i="4"/>
  <c r="O357" i="4" s="1"/>
  <c r="L357" i="4"/>
  <c r="H357" i="4"/>
  <c r="I357" i="4" s="1"/>
  <c r="F357" i="4"/>
  <c r="C357" i="4"/>
  <c r="AD356" i="4"/>
  <c r="AC356" i="4"/>
  <c r="AA356" i="4"/>
  <c r="W356" i="4"/>
  <c r="U356" i="4"/>
  <c r="R356" i="4"/>
  <c r="O356" i="4"/>
  <c r="N356" i="4"/>
  <c r="L356" i="4"/>
  <c r="I356" i="4"/>
  <c r="H356" i="4"/>
  <c r="F356" i="4"/>
  <c r="C356" i="4"/>
  <c r="AD355" i="4"/>
  <c r="AC355" i="4"/>
  <c r="AA355" i="4"/>
  <c r="W355" i="4"/>
  <c r="U355" i="4"/>
  <c r="R355" i="4"/>
  <c r="N355" i="4"/>
  <c r="O355" i="4" s="1"/>
  <c r="L355" i="4"/>
  <c r="I355" i="4"/>
  <c r="H355" i="4"/>
  <c r="F355" i="4"/>
  <c r="C355" i="4"/>
  <c r="AC354" i="4"/>
  <c r="AA354" i="4"/>
  <c r="X354" i="4"/>
  <c r="W354" i="4"/>
  <c r="U354" i="4"/>
  <c r="R354" i="4"/>
  <c r="O354" i="4"/>
  <c r="N354" i="4"/>
  <c r="L354" i="4"/>
  <c r="H354" i="4"/>
  <c r="I354" i="4" s="1"/>
  <c r="F354" i="4"/>
  <c r="C354" i="4"/>
  <c r="AC353" i="4"/>
  <c r="AD353" i="4" s="1"/>
  <c r="AA353" i="4"/>
  <c r="W353" i="4"/>
  <c r="X353" i="4" s="1"/>
  <c r="U353" i="4"/>
  <c r="R353" i="4"/>
  <c r="N353" i="4"/>
  <c r="O353" i="4" s="1"/>
  <c r="L353" i="4"/>
  <c r="I353" i="4"/>
  <c r="H353" i="4"/>
  <c r="F353" i="4"/>
  <c r="C353" i="4"/>
  <c r="AD352" i="4"/>
  <c r="AC352" i="4"/>
  <c r="AA352" i="4"/>
  <c r="W352" i="4"/>
  <c r="X352" i="4" s="1"/>
  <c r="U352" i="4"/>
  <c r="R352" i="4"/>
  <c r="N352" i="4"/>
  <c r="O352" i="4" s="1"/>
  <c r="L352" i="4"/>
  <c r="I352" i="4"/>
  <c r="H352" i="4"/>
  <c r="F352" i="4"/>
  <c r="C352" i="4"/>
  <c r="AC351" i="4"/>
  <c r="AD351" i="4" s="1"/>
  <c r="AA351" i="4"/>
  <c r="W351" i="4"/>
  <c r="X351" i="4" s="1"/>
  <c r="U351" i="4"/>
  <c r="R351" i="4"/>
  <c r="O351" i="4"/>
  <c r="N351" i="4"/>
  <c r="L351" i="4"/>
  <c r="I351" i="4"/>
  <c r="H351" i="4"/>
  <c r="F351" i="4"/>
  <c r="C351" i="4"/>
  <c r="AC350" i="4"/>
  <c r="AD350" i="4" s="1"/>
  <c r="AA350" i="4"/>
  <c r="W350" i="4"/>
  <c r="X350" i="4" s="1"/>
  <c r="U350" i="4"/>
  <c r="R350" i="4"/>
  <c r="O350" i="4"/>
  <c r="N350" i="4"/>
  <c r="L350" i="4"/>
  <c r="H350" i="4"/>
  <c r="F350" i="4"/>
  <c r="C350" i="4"/>
  <c r="AD349" i="4"/>
  <c r="AC349" i="4"/>
  <c r="AA349" i="4"/>
  <c r="X349" i="4"/>
  <c r="W349" i="4"/>
  <c r="U349" i="4"/>
  <c r="R349" i="4"/>
  <c r="O349" i="4"/>
  <c r="N349" i="4"/>
  <c r="L349" i="4"/>
  <c r="H349" i="4"/>
  <c r="I349" i="4" s="1"/>
  <c r="F349" i="4"/>
  <c r="C349" i="4"/>
  <c r="AC347" i="4"/>
  <c r="AD347" i="4" s="1"/>
  <c r="AA347" i="4"/>
  <c r="X347" i="4"/>
  <c r="W347" i="4"/>
  <c r="U347" i="4"/>
  <c r="R347" i="4"/>
  <c r="N347" i="4"/>
  <c r="O347" i="4" s="1"/>
  <c r="L347" i="4"/>
  <c r="I347" i="4"/>
  <c r="H347" i="4"/>
  <c r="F347" i="4"/>
  <c r="C347" i="4"/>
  <c r="Z344" i="4"/>
  <c r="AA344" i="4" s="1"/>
  <c r="T344" i="4"/>
  <c r="U344" i="4" s="1"/>
  <c r="Q344" i="4"/>
  <c r="W344" i="4" s="1"/>
  <c r="X344" i="4" s="1"/>
  <c r="L344" i="4"/>
  <c r="K344" i="4"/>
  <c r="E344" i="4"/>
  <c r="F344" i="4" s="1"/>
  <c r="B344" i="4"/>
  <c r="Z343" i="4"/>
  <c r="AA343" i="4" s="1"/>
  <c r="T343" i="4"/>
  <c r="R343" i="4"/>
  <c r="Q343" i="4"/>
  <c r="AC343" i="4" s="1"/>
  <c r="AD343" i="4" s="1"/>
  <c r="K343" i="4"/>
  <c r="L343" i="4" s="1"/>
  <c r="H343" i="4"/>
  <c r="I343" i="4" s="1"/>
  <c r="F343" i="4"/>
  <c r="E343" i="4"/>
  <c r="B343" i="4"/>
  <c r="C343" i="4" s="1"/>
  <c r="Z342" i="4"/>
  <c r="AA342" i="4" s="1"/>
  <c r="T342" i="4"/>
  <c r="U342" i="4" s="1"/>
  <c r="Q342" i="4"/>
  <c r="W342" i="4" s="1"/>
  <c r="X342" i="4" s="1"/>
  <c r="N342" i="4"/>
  <c r="O342" i="4" s="1"/>
  <c r="L342" i="4"/>
  <c r="K342" i="4"/>
  <c r="E342" i="4"/>
  <c r="F342" i="4" s="1"/>
  <c r="B342" i="4"/>
  <c r="AC341" i="4"/>
  <c r="AA341" i="4"/>
  <c r="X341" i="4"/>
  <c r="W341" i="4"/>
  <c r="U341" i="4"/>
  <c r="R341" i="4"/>
  <c r="O341" i="4"/>
  <c r="N341" i="4"/>
  <c r="L341" i="4"/>
  <c r="H341" i="4"/>
  <c r="I341" i="4" s="1"/>
  <c r="F341" i="4"/>
  <c r="C341" i="4"/>
  <c r="AC340" i="4"/>
  <c r="AD340" i="4" s="1"/>
  <c r="AA340" i="4"/>
  <c r="W340" i="4"/>
  <c r="X340" i="4" s="1"/>
  <c r="U340" i="4"/>
  <c r="R340" i="4"/>
  <c r="O340" i="4"/>
  <c r="N340" i="4"/>
  <c r="L340" i="4"/>
  <c r="H340" i="4"/>
  <c r="F340" i="4"/>
  <c r="C340" i="4"/>
  <c r="AC339" i="4"/>
  <c r="AD339" i="4" s="1"/>
  <c r="AA339" i="4"/>
  <c r="X339" i="4"/>
  <c r="W339" i="4"/>
  <c r="U339" i="4"/>
  <c r="R339" i="4"/>
  <c r="O339" i="4"/>
  <c r="N339" i="4"/>
  <c r="L339" i="4"/>
  <c r="H339" i="4"/>
  <c r="I339" i="4" s="1"/>
  <c r="F339" i="4"/>
  <c r="C339" i="4"/>
  <c r="AC338" i="4"/>
  <c r="AD338" i="4" s="1"/>
  <c r="AA338" i="4"/>
  <c r="X338" i="4"/>
  <c r="W338" i="4"/>
  <c r="U338" i="4"/>
  <c r="R338" i="4"/>
  <c r="N338" i="4"/>
  <c r="O338" i="4" s="1"/>
  <c r="L338" i="4"/>
  <c r="H338" i="4"/>
  <c r="I338" i="4" s="1"/>
  <c r="F338" i="4"/>
  <c r="C338" i="4"/>
  <c r="AC337" i="4"/>
  <c r="AA337" i="4"/>
  <c r="X337" i="4"/>
  <c r="W337" i="4"/>
  <c r="U337" i="4"/>
  <c r="R337" i="4"/>
  <c r="O337" i="4"/>
  <c r="N337" i="4"/>
  <c r="L337" i="4"/>
  <c r="H337" i="4"/>
  <c r="I337" i="4" s="1"/>
  <c r="F337" i="4"/>
  <c r="C337" i="4"/>
  <c r="AC335" i="4"/>
  <c r="AD335" i="4" s="1"/>
  <c r="AA335" i="4"/>
  <c r="W335" i="4"/>
  <c r="X335" i="4" s="1"/>
  <c r="U335" i="4"/>
  <c r="R335" i="4"/>
  <c r="O335" i="4"/>
  <c r="N335" i="4"/>
  <c r="L335" i="4"/>
  <c r="H335" i="4"/>
  <c r="F335" i="4"/>
  <c r="C335" i="4"/>
  <c r="AC334" i="4"/>
  <c r="AD334" i="4" s="1"/>
  <c r="AA334" i="4"/>
  <c r="X334" i="4"/>
  <c r="W334" i="4"/>
  <c r="U334" i="4"/>
  <c r="R334" i="4"/>
  <c r="O334" i="4"/>
  <c r="N334" i="4"/>
  <c r="L334" i="4"/>
  <c r="H334" i="4"/>
  <c r="I334" i="4" s="1"/>
  <c r="F334" i="4"/>
  <c r="C334" i="4"/>
  <c r="AC333" i="4"/>
  <c r="AD333" i="4" s="1"/>
  <c r="AA333" i="4"/>
  <c r="X333" i="4"/>
  <c r="W333" i="4"/>
  <c r="U333" i="4"/>
  <c r="R333" i="4"/>
  <c r="N333" i="4"/>
  <c r="O333" i="4" s="1"/>
  <c r="L333" i="4"/>
  <c r="H333" i="4"/>
  <c r="I333" i="4" s="1"/>
  <c r="F333" i="4"/>
  <c r="C333" i="4"/>
  <c r="AC332" i="4"/>
  <c r="AA332" i="4"/>
  <c r="X332" i="4"/>
  <c r="W332" i="4"/>
  <c r="U332" i="4"/>
  <c r="R332" i="4"/>
  <c r="O332" i="4"/>
  <c r="N332" i="4"/>
  <c r="L332" i="4"/>
  <c r="H332" i="4"/>
  <c r="I332" i="4" s="1"/>
  <c r="F332" i="4"/>
  <c r="C332" i="4"/>
  <c r="AC331" i="4"/>
  <c r="AD331" i="4" s="1"/>
  <c r="AA331" i="4"/>
  <c r="W331" i="4"/>
  <c r="X331" i="4" s="1"/>
  <c r="U331" i="4"/>
  <c r="R331" i="4"/>
  <c r="O331" i="4"/>
  <c r="N331" i="4"/>
  <c r="L331" i="4"/>
  <c r="H331" i="4"/>
  <c r="F331" i="4"/>
  <c r="C331" i="4"/>
  <c r="AC330" i="4"/>
  <c r="AD330" i="4" s="1"/>
  <c r="AA330" i="4"/>
  <c r="X330" i="4"/>
  <c r="W330" i="4"/>
  <c r="U330" i="4"/>
  <c r="R330" i="4"/>
  <c r="O330" i="4"/>
  <c r="N330" i="4"/>
  <c r="L330" i="4"/>
  <c r="H330" i="4"/>
  <c r="I330" i="4" s="1"/>
  <c r="F330" i="4"/>
  <c r="C330" i="4"/>
  <c r="AC329" i="4"/>
  <c r="AD329" i="4" s="1"/>
  <c r="AA329" i="4"/>
  <c r="X329" i="4"/>
  <c r="W329" i="4"/>
  <c r="U329" i="4"/>
  <c r="R329" i="4"/>
  <c r="N329" i="4"/>
  <c r="O329" i="4" s="1"/>
  <c r="L329" i="4"/>
  <c r="H329" i="4"/>
  <c r="I329" i="4" s="1"/>
  <c r="F329" i="4"/>
  <c r="C329" i="4"/>
  <c r="AC328" i="4"/>
  <c r="AA328" i="4"/>
  <c r="X328" i="4"/>
  <c r="W328" i="4"/>
  <c r="U328" i="4"/>
  <c r="R328" i="4"/>
  <c r="O328" i="4"/>
  <c r="N328" i="4"/>
  <c r="L328" i="4"/>
  <c r="H328" i="4"/>
  <c r="I328" i="4" s="1"/>
  <c r="F328" i="4"/>
  <c r="C328" i="4"/>
  <c r="AC325" i="4"/>
  <c r="AD325" i="4" s="1"/>
  <c r="AA325" i="4"/>
  <c r="Z325" i="4"/>
  <c r="T325" i="4"/>
  <c r="U325" i="4" s="1"/>
  <c r="Q325" i="4"/>
  <c r="K325" i="4"/>
  <c r="L325" i="4" s="1"/>
  <c r="E325" i="4"/>
  <c r="C325" i="4"/>
  <c r="B325" i="4"/>
  <c r="N325" i="4" s="1"/>
  <c r="O325" i="4" s="1"/>
  <c r="Z324" i="4"/>
  <c r="AA324" i="4" s="1"/>
  <c r="W324" i="4"/>
  <c r="X324" i="4" s="1"/>
  <c r="U324" i="4"/>
  <c r="T324" i="4"/>
  <c r="Q324" i="4"/>
  <c r="R324" i="4" s="1"/>
  <c r="K324" i="4"/>
  <c r="L324" i="4" s="1"/>
  <c r="E324" i="4"/>
  <c r="F324" i="4" s="1"/>
  <c r="B324" i="4"/>
  <c r="H324" i="4" s="1"/>
  <c r="I324" i="4" s="1"/>
  <c r="AC323" i="4"/>
  <c r="AD323" i="4" s="1"/>
  <c r="AA323" i="4"/>
  <c r="W323" i="4"/>
  <c r="X323" i="4" s="1"/>
  <c r="U323" i="4"/>
  <c r="R323" i="4"/>
  <c r="O323" i="4"/>
  <c r="N323" i="4"/>
  <c r="L323" i="4"/>
  <c r="H323" i="4"/>
  <c r="F323" i="4"/>
  <c r="C323" i="4"/>
  <c r="AC322" i="4"/>
  <c r="AD322" i="4" s="1"/>
  <c r="AA322" i="4"/>
  <c r="X322" i="4"/>
  <c r="W322" i="4"/>
  <c r="U322" i="4"/>
  <c r="R322" i="4"/>
  <c r="O322" i="4"/>
  <c r="N322" i="4"/>
  <c r="L322" i="4"/>
  <c r="H322" i="4"/>
  <c r="I322" i="4" s="1"/>
  <c r="F322" i="4"/>
  <c r="C322" i="4"/>
  <c r="AC321" i="4"/>
  <c r="AD321" i="4" s="1"/>
  <c r="AA321" i="4"/>
  <c r="X321" i="4"/>
  <c r="W321" i="4"/>
  <c r="U321" i="4"/>
  <c r="R321" i="4"/>
  <c r="N321" i="4"/>
  <c r="O321" i="4" s="1"/>
  <c r="L321" i="4"/>
  <c r="H321" i="4"/>
  <c r="I321" i="4" s="1"/>
  <c r="F321" i="4"/>
  <c r="C321" i="4"/>
  <c r="AC320" i="4"/>
  <c r="AA320" i="4"/>
  <c r="X320" i="4"/>
  <c r="W320" i="4"/>
  <c r="U320" i="4"/>
  <c r="R320" i="4"/>
  <c r="O320" i="4"/>
  <c r="N320" i="4"/>
  <c r="L320" i="4"/>
  <c r="H320" i="4"/>
  <c r="I320" i="4" s="1"/>
  <c r="F320" i="4"/>
  <c r="C320" i="4"/>
  <c r="AC319" i="4"/>
  <c r="AD319" i="4" s="1"/>
  <c r="AA319" i="4"/>
  <c r="W319" i="4"/>
  <c r="X319" i="4" s="1"/>
  <c r="U319" i="4"/>
  <c r="R319" i="4"/>
  <c r="O319" i="4"/>
  <c r="N319" i="4"/>
  <c r="L319" i="4"/>
  <c r="H319" i="4"/>
  <c r="F319" i="4"/>
  <c r="C319" i="4"/>
  <c r="AC318" i="4"/>
  <c r="AD318" i="4" s="1"/>
  <c r="AA318" i="4"/>
  <c r="X318" i="4"/>
  <c r="W318" i="4"/>
  <c r="U318" i="4"/>
  <c r="R318" i="4"/>
  <c r="O318" i="4"/>
  <c r="N318" i="4"/>
  <c r="L318" i="4"/>
  <c r="H318" i="4"/>
  <c r="I318" i="4" s="1"/>
  <c r="F318" i="4"/>
  <c r="C318" i="4"/>
  <c r="AC317" i="4"/>
  <c r="AD317" i="4" s="1"/>
  <c r="AA317" i="4"/>
  <c r="X317" i="4"/>
  <c r="W317" i="4"/>
  <c r="U317" i="4"/>
  <c r="R317" i="4"/>
  <c r="N317" i="4"/>
  <c r="O317" i="4" s="1"/>
  <c r="L317" i="4"/>
  <c r="H317" i="4"/>
  <c r="I317" i="4" s="1"/>
  <c r="F317" i="4"/>
  <c r="C317" i="4"/>
  <c r="AC316" i="4"/>
  <c r="AA316" i="4"/>
  <c r="X316" i="4"/>
  <c r="W316" i="4"/>
  <c r="U316" i="4"/>
  <c r="R316" i="4"/>
  <c r="O316" i="4"/>
  <c r="N316" i="4"/>
  <c r="L316" i="4"/>
  <c r="H316" i="4"/>
  <c r="I316" i="4" s="1"/>
  <c r="F316" i="4"/>
  <c r="C316" i="4"/>
  <c r="AC315" i="4"/>
  <c r="AD315" i="4" s="1"/>
  <c r="AA315" i="4"/>
  <c r="W315" i="4"/>
  <c r="X315" i="4" s="1"/>
  <c r="U315" i="4"/>
  <c r="R315" i="4"/>
  <c r="O315" i="4"/>
  <c r="N315" i="4"/>
  <c r="L315" i="4"/>
  <c r="H315" i="4"/>
  <c r="F315" i="4"/>
  <c r="C315" i="4"/>
  <c r="AC314" i="4"/>
  <c r="AD314" i="4" s="1"/>
  <c r="AA314" i="4"/>
  <c r="X314" i="4"/>
  <c r="W314" i="4"/>
  <c r="U314" i="4"/>
  <c r="R314" i="4"/>
  <c r="O314" i="4"/>
  <c r="N314" i="4"/>
  <c r="L314" i="4"/>
  <c r="H314" i="4"/>
  <c r="I314" i="4" s="1"/>
  <c r="F314" i="4"/>
  <c r="C314" i="4"/>
  <c r="AC313" i="4"/>
  <c r="AD313" i="4" s="1"/>
  <c r="AA313" i="4"/>
  <c r="X313" i="4"/>
  <c r="W313" i="4"/>
  <c r="U313" i="4"/>
  <c r="R313" i="4"/>
  <c r="N313" i="4"/>
  <c r="O313" i="4" s="1"/>
  <c r="L313" i="4"/>
  <c r="H313" i="4"/>
  <c r="I313" i="4" s="1"/>
  <c r="F313" i="4"/>
  <c r="C313" i="4"/>
  <c r="AC312" i="4"/>
  <c r="AA312" i="4"/>
  <c r="X312" i="4"/>
  <c r="W312" i="4"/>
  <c r="U312" i="4"/>
  <c r="R312" i="4"/>
  <c r="O312" i="4"/>
  <c r="N312" i="4"/>
  <c r="L312" i="4"/>
  <c r="H312" i="4"/>
  <c r="I312" i="4" s="1"/>
  <c r="F312" i="4"/>
  <c r="C312" i="4"/>
  <c r="AC311" i="4"/>
  <c r="AD311" i="4" s="1"/>
  <c r="AA311" i="4"/>
  <c r="W311" i="4"/>
  <c r="X311" i="4" s="1"/>
  <c r="U311" i="4"/>
  <c r="R311" i="4"/>
  <c r="O311" i="4"/>
  <c r="N311" i="4"/>
  <c r="L311" i="4"/>
  <c r="H311" i="4"/>
  <c r="F311" i="4"/>
  <c r="C311" i="4"/>
  <c r="AC310" i="4"/>
  <c r="AD310" i="4" s="1"/>
  <c r="AA310" i="4"/>
  <c r="X310" i="4"/>
  <c r="W310" i="4"/>
  <c r="U310" i="4"/>
  <c r="R310" i="4"/>
  <c r="O310" i="4"/>
  <c r="N310" i="4"/>
  <c r="L310" i="4"/>
  <c r="H310" i="4"/>
  <c r="I310" i="4" s="1"/>
  <c r="F310" i="4"/>
  <c r="C310" i="4"/>
  <c r="AC309" i="4"/>
  <c r="AD309" i="4" s="1"/>
  <c r="AA309" i="4"/>
  <c r="X309" i="4"/>
  <c r="W309" i="4"/>
  <c r="U309" i="4"/>
  <c r="R309" i="4"/>
  <c r="N309" i="4"/>
  <c r="O309" i="4" s="1"/>
  <c r="L309" i="4"/>
  <c r="H309" i="4"/>
  <c r="I309" i="4" s="1"/>
  <c r="F309" i="4"/>
  <c r="C309" i="4"/>
  <c r="AC308" i="4"/>
  <c r="AA308" i="4"/>
  <c r="X308" i="4"/>
  <c r="W308" i="4"/>
  <c r="U308" i="4"/>
  <c r="R308" i="4"/>
  <c r="O308" i="4"/>
  <c r="N308" i="4"/>
  <c r="L308" i="4"/>
  <c r="H308" i="4"/>
  <c r="I308" i="4" s="1"/>
  <c r="F308" i="4"/>
  <c r="C308" i="4"/>
  <c r="AC307" i="4"/>
  <c r="AD307" i="4" s="1"/>
  <c r="AA307" i="4"/>
  <c r="W307" i="4"/>
  <c r="X307" i="4" s="1"/>
  <c r="U307" i="4"/>
  <c r="R307" i="4"/>
  <c r="O307" i="4"/>
  <c r="N307" i="4"/>
  <c r="L307" i="4"/>
  <c r="H307" i="4"/>
  <c r="F307" i="4"/>
  <c r="C307" i="4"/>
  <c r="AC306" i="4"/>
  <c r="AD306" i="4" s="1"/>
  <c r="AA306" i="4"/>
  <c r="X306" i="4"/>
  <c r="W306" i="4"/>
  <c r="U306" i="4"/>
  <c r="R306" i="4"/>
  <c r="O306" i="4"/>
  <c r="N306" i="4"/>
  <c r="L306" i="4"/>
  <c r="H306" i="4"/>
  <c r="I306" i="4" s="1"/>
  <c r="F306" i="4"/>
  <c r="C306" i="4"/>
  <c r="AC305" i="4"/>
  <c r="AD305" i="4" s="1"/>
  <c r="AA305" i="4"/>
  <c r="X305" i="4"/>
  <c r="W305" i="4"/>
  <c r="U305" i="4"/>
  <c r="R305" i="4"/>
  <c r="N305" i="4"/>
  <c r="O305" i="4" s="1"/>
  <c r="L305" i="4"/>
  <c r="H305" i="4"/>
  <c r="I305" i="4" s="1"/>
  <c r="F305" i="4"/>
  <c r="C305" i="4"/>
  <c r="AC304" i="4"/>
  <c r="AA304" i="4"/>
  <c r="X304" i="4"/>
  <c r="W304" i="4"/>
  <c r="U304" i="4"/>
  <c r="R304" i="4"/>
  <c r="O304" i="4"/>
  <c r="N304" i="4"/>
  <c r="L304" i="4"/>
  <c r="H304" i="4"/>
  <c r="I304" i="4" s="1"/>
  <c r="F304" i="4"/>
  <c r="C304" i="4"/>
  <c r="AC303" i="4"/>
  <c r="AD303" i="4" s="1"/>
  <c r="AA303" i="4"/>
  <c r="W303" i="4"/>
  <c r="X303" i="4" s="1"/>
  <c r="U303" i="4"/>
  <c r="R303" i="4"/>
  <c r="O303" i="4"/>
  <c r="N303" i="4"/>
  <c r="L303" i="4"/>
  <c r="H303" i="4"/>
  <c r="F303" i="4"/>
  <c r="C303" i="4"/>
  <c r="AC302" i="4"/>
  <c r="AD302" i="4" s="1"/>
  <c r="AA302" i="4"/>
  <c r="X302" i="4"/>
  <c r="W302" i="4"/>
  <c r="U302" i="4"/>
  <c r="R302" i="4"/>
  <c r="O302" i="4"/>
  <c r="N302" i="4"/>
  <c r="L302" i="4"/>
  <c r="H302" i="4"/>
  <c r="I302" i="4" s="1"/>
  <c r="F302" i="4"/>
  <c r="C302" i="4"/>
  <c r="AC301" i="4"/>
  <c r="AD301" i="4" s="1"/>
  <c r="AA301" i="4"/>
  <c r="X301" i="4"/>
  <c r="W301" i="4"/>
  <c r="U301" i="4"/>
  <c r="R301" i="4"/>
  <c r="N301" i="4"/>
  <c r="O301" i="4" s="1"/>
  <c r="L301" i="4"/>
  <c r="H301" i="4"/>
  <c r="I301" i="4" s="1"/>
  <c r="F301" i="4"/>
  <c r="C301" i="4"/>
  <c r="AC300" i="4"/>
  <c r="AA300" i="4"/>
  <c r="X300" i="4"/>
  <c r="W300" i="4"/>
  <c r="U300" i="4"/>
  <c r="R300" i="4"/>
  <c r="O300" i="4"/>
  <c r="N300" i="4"/>
  <c r="L300" i="4"/>
  <c r="H300" i="4"/>
  <c r="I300" i="4" s="1"/>
  <c r="F300" i="4"/>
  <c r="C300" i="4"/>
  <c r="AC299" i="4"/>
  <c r="AD299" i="4" s="1"/>
  <c r="AA299" i="4"/>
  <c r="W299" i="4"/>
  <c r="X299" i="4" s="1"/>
  <c r="U299" i="4"/>
  <c r="R299" i="4"/>
  <c r="O299" i="4"/>
  <c r="N299" i="4"/>
  <c r="L299" i="4"/>
  <c r="H299" i="4"/>
  <c r="F299" i="4"/>
  <c r="C299" i="4"/>
  <c r="AC298" i="4"/>
  <c r="AD298" i="4" s="1"/>
  <c r="AA298" i="4"/>
  <c r="X298" i="4"/>
  <c r="W298" i="4"/>
  <c r="U298" i="4"/>
  <c r="R298" i="4"/>
  <c r="O298" i="4"/>
  <c r="N298" i="4"/>
  <c r="L298" i="4"/>
  <c r="H298" i="4"/>
  <c r="I298" i="4" s="1"/>
  <c r="F298" i="4"/>
  <c r="C298" i="4"/>
  <c r="AC297" i="4"/>
  <c r="AD297" i="4" s="1"/>
  <c r="AA297" i="4"/>
  <c r="X297" i="4"/>
  <c r="W297" i="4"/>
  <c r="U297" i="4"/>
  <c r="R297" i="4"/>
  <c r="N297" i="4"/>
  <c r="O297" i="4" s="1"/>
  <c r="L297" i="4"/>
  <c r="I297" i="4"/>
  <c r="H297" i="4"/>
  <c r="F297" i="4"/>
  <c r="C297" i="4"/>
  <c r="AA295" i="4"/>
  <c r="Z295" i="4"/>
  <c r="T295" i="4"/>
  <c r="U295" i="4" s="1"/>
  <c r="R295" i="4"/>
  <c r="Q295" i="4"/>
  <c r="AC295" i="4" s="1"/>
  <c r="AD295" i="4" s="1"/>
  <c r="N295" i="4"/>
  <c r="O295" i="4" s="1"/>
  <c r="K295" i="4"/>
  <c r="L295" i="4" s="1"/>
  <c r="H295" i="4"/>
  <c r="I295" i="4" s="1"/>
  <c r="F295" i="4"/>
  <c r="E295" i="4"/>
  <c r="C295" i="4"/>
  <c r="B295" i="4"/>
  <c r="AD294" i="4"/>
  <c r="AC294" i="4"/>
  <c r="AA294" i="4"/>
  <c r="X294" i="4"/>
  <c r="W294" i="4"/>
  <c r="U294" i="4"/>
  <c r="R294" i="4"/>
  <c r="N294" i="4"/>
  <c r="O294" i="4" s="1"/>
  <c r="L294" i="4"/>
  <c r="H294" i="4"/>
  <c r="I294" i="4" s="1"/>
  <c r="F294" i="4"/>
  <c r="C294" i="4"/>
  <c r="AC293" i="4"/>
  <c r="AD293" i="4" s="1"/>
  <c r="AA293" i="4"/>
  <c r="X293" i="4"/>
  <c r="W293" i="4"/>
  <c r="U293" i="4"/>
  <c r="R293" i="4"/>
  <c r="N293" i="4"/>
  <c r="O293" i="4" s="1"/>
  <c r="L293" i="4"/>
  <c r="I293" i="4"/>
  <c r="H293" i="4"/>
  <c r="F293" i="4"/>
  <c r="C293" i="4"/>
  <c r="AC292" i="4"/>
  <c r="AA292" i="4"/>
  <c r="X292" i="4"/>
  <c r="W292" i="4"/>
  <c r="U292" i="4"/>
  <c r="R292" i="4"/>
  <c r="O292" i="4"/>
  <c r="N292" i="4"/>
  <c r="L292" i="4"/>
  <c r="H292" i="4"/>
  <c r="I292" i="4" s="1"/>
  <c r="F292" i="4"/>
  <c r="C292" i="4"/>
  <c r="AC291" i="4"/>
  <c r="AD291" i="4" s="1"/>
  <c r="AA291" i="4"/>
  <c r="W291" i="4"/>
  <c r="X291" i="4" s="1"/>
  <c r="U291" i="4"/>
  <c r="R291" i="4"/>
  <c r="O291" i="4"/>
  <c r="N291" i="4"/>
  <c r="L291" i="4"/>
  <c r="H291" i="4"/>
  <c r="F291" i="4"/>
  <c r="C291" i="4"/>
  <c r="AC290" i="4"/>
  <c r="AD290" i="4" s="1"/>
  <c r="AA290" i="4"/>
  <c r="X290" i="4"/>
  <c r="W290" i="4"/>
  <c r="U290" i="4"/>
  <c r="R290" i="4"/>
  <c r="N290" i="4"/>
  <c r="O290" i="4" s="1"/>
  <c r="L290" i="4"/>
  <c r="H290" i="4"/>
  <c r="I290" i="4" s="1"/>
  <c r="F290" i="4"/>
  <c r="C290" i="4"/>
  <c r="AC289" i="4"/>
  <c r="AD289" i="4" s="1"/>
  <c r="AA289" i="4"/>
  <c r="X289" i="4"/>
  <c r="W289" i="4"/>
  <c r="U289" i="4"/>
  <c r="R289" i="4"/>
  <c r="N289" i="4"/>
  <c r="O289" i="4" s="1"/>
  <c r="L289" i="4"/>
  <c r="I289" i="4"/>
  <c r="H289" i="4"/>
  <c r="F289" i="4"/>
  <c r="C289" i="4"/>
  <c r="AC288" i="4"/>
  <c r="AA288" i="4"/>
  <c r="X288" i="4"/>
  <c r="W288" i="4"/>
  <c r="U288" i="4"/>
  <c r="R288" i="4"/>
  <c r="O288" i="4"/>
  <c r="N288" i="4"/>
  <c r="L288" i="4"/>
  <c r="H288" i="4"/>
  <c r="I288" i="4" s="1"/>
  <c r="F288" i="4"/>
  <c r="C288" i="4"/>
  <c r="AC287" i="4"/>
  <c r="AD287" i="4" s="1"/>
  <c r="AA287" i="4"/>
  <c r="W287" i="4"/>
  <c r="X287" i="4" s="1"/>
  <c r="U287" i="4"/>
  <c r="R287" i="4"/>
  <c r="O287" i="4"/>
  <c r="N287" i="4"/>
  <c r="L287" i="4"/>
  <c r="H287" i="4"/>
  <c r="F287" i="4"/>
  <c r="C287" i="4"/>
  <c r="AD286" i="4"/>
  <c r="AC286" i="4"/>
  <c r="AA286" i="4"/>
  <c r="X286" i="4"/>
  <c r="W286" i="4"/>
  <c r="U286" i="4"/>
  <c r="R286" i="4"/>
  <c r="N286" i="4"/>
  <c r="O286" i="4" s="1"/>
  <c r="L286" i="4"/>
  <c r="H286" i="4"/>
  <c r="I286" i="4" s="1"/>
  <c r="F286" i="4"/>
  <c r="C286" i="4"/>
  <c r="Z284" i="4"/>
  <c r="AC284" i="4" s="1"/>
  <c r="AD284" i="4" s="1"/>
  <c r="W284" i="4"/>
  <c r="X284" i="4" s="1"/>
  <c r="U284" i="4"/>
  <c r="T284" i="4"/>
  <c r="R284" i="4"/>
  <c r="Q284" i="4"/>
  <c r="K284" i="4"/>
  <c r="L284" i="4" s="1"/>
  <c r="E284" i="4"/>
  <c r="F284" i="4" s="1"/>
  <c r="B284" i="4"/>
  <c r="AC283" i="4"/>
  <c r="AD283" i="4" s="1"/>
  <c r="AA283" i="4"/>
  <c r="W283" i="4"/>
  <c r="X283" i="4" s="1"/>
  <c r="U283" i="4"/>
  <c r="R283" i="4"/>
  <c r="O283" i="4"/>
  <c r="N283" i="4"/>
  <c r="L283" i="4"/>
  <c r="H283" i="4"/>
  <c r="F283" i="4"/>
  <c r="C283" i="4"/>
  <c r="AD282" i="4"/>
  <c r="AC282" i="4"/>
  <c r="AA282" i="4"/>
  <c r="X282" i="4"/>
  <c r="W282" i="4"/>
  <c r="U282" i="4"/>
  <c r="R282" i="4"/>
  <c r="N282" i="4"/>
  <c r="O282" i="4" s="1"/>
  <c r="L282" i="4"/>
  <c r="H282" i="4"/>
  <c r="I282" i="4" s="1"/>
  <c r="F282" i="4"/>
  <c r="C282" i="4"/>
  <c r="AC281" i="4"/>
  <c r="AD281" i="4" s="1"/>
  <c r="AA281" i="4"/>
  <c r="X281" i="4"/>
  <c r="W281" i="4"/>
  <c r="U281" i="4"/>
  <c r="R281" i="4"/>
  <c r="N281" i="4"/>
  <c r="O281" i="4" s="1"/>
  <c r="L281" i="4"/>
  <c r="H281" i="4"/>
  <c r="I281" i="4" s="1"/>
  <c r="F281" i="4"/>
  <c r="C281" i="4"/>
  <c r="AC280" i="4"/>
  <c r="AA280" i="4"/>
  <c r="X280" i="4"/>
  <c r="W280" i="4"/>
  <c r="U280" i="4"/>
  <c r="R280" i="4"/>
  <c r="O280" i="4"/>
  <c r="N280" i="4"/>
  <c r="L280" i="4"/>
  <c r="H280" i="4"/>
  <c r="I280" i="4" s="1"/>
  <c r="F280" i="4"/>
  <c r="C280" i="4"/>
  <c r="AC279" i="4"/>
  <c r="AD279" i="4" s="1"/>
  <c r="AA279" i="4"/>
  <c r="W279" i="4"/>
  <c r="X279" i="4" s="1"/>
  <c r="U279" i="4"/>
  <c r="R279" i="4"/>
  <c r="O279" i="4"/>
  <c r="N279" i="4"/>
  <c r="L279" i="4"/>
  <c r="H279" i="4"/>
  <c r="F279" i="4"/>
  <c r="C279" i="4"/>
  <c r="AD278" i="4"/>
  <c r="AC278" i="4"/>
  <c r="AA278" i="4"/>
  <c r="X278" i="4"/>
  <c r="W278" i="4"/>
  <c r="U278" i="4"/>
  <c r="R278" i="4"/>
  <c r="N278" i="4"/>
  <c r="O278" i="4" s="1"/>
  <c r="L278" i="4"/>
  <c r="H278" i="4"/>
  <c r="I278" i="4" s="1"/>
  <c r="F278" i="4"/>
  <c r="C278" i="4"/>
  <c r="AC277" i="4"/>
  <c r="AD277" i="4" s="1"/>
  <c r="AA277" i="4"/>
  <c r="X277" i="4"/>
  <c r="W277" i="4"/>
  <c r="U277" i="4"/>
  <c r="R277" i="4"/>
  <c r="N277" i="4"/>
  <c r="O277" i="4" s="1"/>
  <c r="L277" i="4"/>
  <c r="I277" i="4"/>
  <c r="H277" i="4"/>
  <c r="F277" i="4"/>
  <c r="C277" i="4"/>
  <c r="AC276" i="4"/>
  <c r="AA276" i="4"/>
  <c r="W276" i="4"/>
  <c r="X276" i="4" s="1"/>
  <c r="U276" i="4"/>
  <c r="R276" i="4"/>
  <c r="O276" i="4"/>
  <c r="N276" i="4"/>
  <c r="L276" i="4"/>
  <c r="H276" i="4"/>
  <c r="I276" i="4" s="1"/>
  <c r="F276" i="4"/>
  <c r="C276" i="4"/>
  <c r="AC275" i="4"/>
  <c r="AD275" i="4" s="1"/>
  <c r="AA275" i="4"/>
  <c r="W275" i="4"/>
  <c r="X275" i="4" s="1"/>
  <c r="U275" i="4"/>
  <c r="R275" i="4"/>
  <c r="O275" i="4"/>
  <c r="N275" i="4"/>
  <c r="L275" i="4"/>
  <c r="H275" i="4"/>
  <c r="F275" i="4"/>
  <c r="C275" i="4"/>
  <c r="Z273" i="4"/>
  <c r="AA273" i="4" s="1"/>
  <c r="T273" i="4"/>
  <c r="U273" i="4" s="1"/>
  <c r="Q273" i="4"/>
  <c r="W273" i="4" s="1"/>
  <c r="X273" i="4" s="1"/>
  <c r="L273" i="4"/>
  <c r="K273" i="4"/>
  <c r="F273" i="4"/>
  <c r="E273" i="4"/>
  <c r="B273" i="4"/>
  <c r="C273" i="4" s="1"/>
  <c r="AC272" i="4"/>
  <c r="AA272" i="4"/>
  <c r="W272" i="4"/>
  <c r="X272" i="4" s="1"/>
  <c r="U272" i="4"/>
  <c r="R272" i="4"/>
  <c r="O272" i="4"/>
  <c r="N272" i="4"/>
  <c r="L272" i="4"/>
  <c r="I272" i="4"/>
  <c r="H272" i="4"/>
  <c r="F272" i="4"/>
  <c r="C272" i="4"/>
  <c r="AC271" i="4"/>
  <c r="AD271" i="4" s="1"/>
  <c r="AA271" i="4"/>
  <c r="W271" i="4"/>
  <c r="X271" i="4" s="1"/>
  <c r="U271" i="4"/>
  <c r="R271" i="4"/>
  <c r="O271" i="4"/>
  <c r="N271" i="4"/>
  <c r="L271" i="4"/>
  <c r="H271" i="4"/>
  <c r="F271" i="4"/>
  <c r="C271" i="4"/>
  <c r="AC270" i="4"/>
  <c r="AD270" i="4" s="1"/>
  <c r="AA270" i="4"/>
  <c r="X270" i="4"/>
  <c r="W270" i="4"/>
  <c r="U270" i="4"/>
  <c r="R270" i="4"/>
  <c r="O270" i="4"/>
  <c r="N270" i="4"/>
  <c r="L270" i="4"/>
  <c r="H270" i="4"/>
  <c r="I270" i="4" s="1"/>
  <c r="F270" i="4"/>
  <c r="C270" i="4"/>
  <c r="AD269" i="4"/>
  <c r="AC269" i="4"/>
  <c r="AA269" i="4"/>
  <c r="X269" i="4"/>
  <c r="W269" i="4"/>
  <c r="U269" i="4"/>
  <c r="R269" i="4"/>
  <c r="N269" i="4"/>
  <c r="O269" i="4" s="1"/>
  <c r="L269" i="4"/>
  <c r="H269" i="4"/>
  <c r="I269" i="4" s="1"/>
  <c r="F269" i="4"/>
  <c r="C269" i="4"/>
  <c r="Z267" i="4"/>
  <c r="AA267" i="4" s="1"/>
  <c r="W267" i="4"/>
  <c r="X267" i="4" s="1"/>
  <c r="T267" i="4"/>
  <c r="U267" i="4" s="1"/>
  <c r="R267" i="4"/>
  <c r="Q267" i="4"/>
  <c r="K267" i="4"/>
  <c r="L267" i="4" s="1"/>
  <c r="F267" i="4"/>
  <c r="E267" i="4"/>
  <c r="B267" i="4"/>
  <c r="AC266" i="4"/>
  <c r="AD266" i="4" s="1"/>
  <c r="AA266" i="4"/>
  <c r="X266" i="4"/>
  <c r="W266" i="4"/>
  <c r="U266" i="4"/>
  <c r="R266" i="4"/>
  <c r="O266" i="4"/>
  <c r="N266" i="4"/>
  <c r="L266" i="4"/>
  <c r="H266" i="4"/>
  <c r="I266" i="4" s="1"/>
  <c r="F266" i="4"/>
  <c r="C266" i="4"/>
  <c r="AD265" i="4"/>
  <c r="AC265" i="4"/>
  <c r="AA265" i="4"/>
  <c r="X265" i="4"/>
  <c r="W265" i="4"/>
  <c r="U265" i="4"/>
  <c r="R265" i="4"/>
  <c r="N265" i="4"/>
  <c r="O265" i="4" s="1"/>
  <c r="L265" i="4"/>
  <c r="H265" i="4"/>
  <c r="I265" i="4" s="1"/>
  <c r="F265" i="4"/>
  <c r="C265" i="4"/>
  <c r="Z263" i="4"/>
  <c r="AA263" i="4" s="1"/>
  <c r="W263" i="4"/>
  <c r="X263" i="4" s="1"/>
  <c r="T263" i="4"/>
  <c r="U263" i="4" s="1"/>
  <c r="R263" i="4"/>
  <c r="Q263" i="4"/>
  <c r="L263" i="4"/>
  <c r="K263" i="4"/>
  <c r="N263" i="4" s="1"/>
  <c r="O263" i="4" s="1"/>
  <c r="H263" i="4"/>
  <c r="I263" i="4" s="1"/>
  <c r="F263" i="4"/>
  <c r="E263" i="4"/>
  <c r="B263" i="4"/>
  <c r="C263" i="4" s="1"/>
  <c r="AC262" i="4"/>
  <c r="AD262" i="4" s="1"/>
  <c r="Z262" i="4"/>
  <c r="AA262" i="4" s="1"/>
  <c r="U262" i="4"/>
  <c r="T262" i="4"/>
  <c r="R262" i="4"/>
  <c r="Q262" i="4"/>
  <c r="W262" i="4" s="1"/>
  <c r="X262" i="4" s="1"/>
  <c r="N262" i="4"/>
  <c r="O262" i="4" s="1"/>
  <c r="L262" i="4"/>
  <c r="K262" i="4"/>
  <c r="E262" i="4"/>
  <c r="B262" i="4"/>
  <c r="C262" i="4" s="1"/>
  <c r="AC261" i="4"/>
  <c r="AA261" i="4"/>
  <c r="X261" i="4"/>
  <c r="W261" i="4"/>
  <c r="U261" i="4"/>
  <c r="R261" i="4"/>
  <c r="O261" i="4"/>
  <c r="N261" i="4"/>
  <c r="L261" i="4"/>
  <c r="H261" i="4"/>
  <c r="I261" i="4" s="1"/>
  <c r="F261" i="4"/>
  <c r="C261" i="4"/>
  <c r="AC260" i="4"/>
  <c r="AD260" i="4" s="1"/>
  <c r="AA260" i="4"/>
  <c r="W260" i="4"/>
  <c r="X260" i="4" s="1"/>
  <c r="U260" i="4"/>
  <c r="R260" i="4"/>
  <c r="O260" i="4"/>
  <c r="N260" i="4"/>
  <c r="L260" i="4"/>
  <c r="H260" i="4"/>
  <c r="F260" i="4"/>
  <c r="C260" i="4"/>
  <c r="AC259" i="4"/>
  <c r="AD259" i="4" s="1"/>
  <c r="AA259" i="4"/>
  <c r="X259" i="4"/>
  <c r="W259" i="4"/>
  <c r="U259" i="4"/>
  <c r="R259" i="4"/>
  <c r="N259" i="4"/>
  <c r="O259" i="4" s="1"/>
  <c r="L259" i="4"/>
  <c r="H259" i="4"/>
  <c r="I259" i="4" s="1"/>
  <c r="F259" i="4"/>
  <c r="C259" i="4"/>
  <c r="AC258" i="4"/>
  <c r="AD258" i="4" s="1"/>
  <c r="AA258" i="4"/>
  <c r="X258" i="4"/>
  <c r="W258" i="4"/>
  <c r="U258" i="4"/>
  <c r="R258" i="4"/>
  <c r="N258" i="4"/>
  <c r="O258" i="4" s="1"/>
  <c r="L258" i="4"/>
  <c r="I258" i="4"/>
  <c r="H258" i="4"/>
  <c r="F258" i="4"/>
  <c r="C258" i="4"/>
  <c r="AC257" i="4"/>
  <c r="AA257" i="4"/>
  <c r="X257" i="4"/>
  <c r="W257" i="4"/>
  <c r="U257" i="4"/>
  <c r="R257" i="4"/>
  <c r="O257" i="4"/>
  <c r="N257" i="4"/>
  <c r="L257" i="4"/>
  <c r="H257" i="4"/>
  <c r="I257" i="4" s="1"/>
  <c r="F257" i="4"/>
  <c r="C257" i="4"/>
  <c r="AC256" i="4"/>
  <c r="AD256" i="4" s="1"/>
  <c r="AA256" i="4"/>
  <c r="W256" i="4"/>
  <c r="X256" i="4" s="1"/>
  <c r="U256" i="4"/>
  <c r="R256" i="4"/>
  <c r="O256" i="4"/>
  <c r="N256" i="4"/>
  <c r="L256" i="4"/>
  <c r="H256" i="4"/>
  <c r="F256" i="4"/>
  <c r="C256" i="4"/>
  <c r="AD255" i="4"/>
  <c r="AC255" i="4"/>
  <c r="AA255" i="4"/>
  <c r="X255" i="4"/>
  <c r="W255" i="4"/>
  <c r="U255" i="4"/>
  <c r="R255" i="4"/>
  <c r="N255" i="4"/>
  <c r="O255" i="4" s="1"/>
  <c r="L255" i="4"/>
  <c r="H255" i="4"/>
  <c r="I255" i="4" s="1"/>
  <c r="F255" i="4"/>
  <c r="C255" i="4"/>
  <c r="AC254" i="4"/>
  <c r="AD254" i="4" s="1"/>
  <c r="AA254" i="4"/>
  <c r="X254" i="4"/>
  <c r="W254" i="4"/>
  <c r="U254" i="4"/>
  <c r="R254" i="4"/>
  <c r="N254" i="4"/>
  <c r="O254" i="4" s="1"/>
  <c r="L254" i="4"/>
  <c r="H254" i="4"/>
  <c r="I254" i="4" s="1"/>
  <c r="F254" i="4"/>
  <c r="C254" i="4"/>
  <c r="AC253" i="4"/>
  <c r="AA253" i="4"/>
  <c r="X253" i="4"/>
  <c r="W253" i="4"/>
  <c r="U253" i="4"/>
  <c r="R253" i="4"/>
  <c r="O253" i="4"/>
  <c r="N253" i="4"/>
  <c r="L253" i="4"/>
  <c r="H253" i="4"/>
  <c r="I253" i="4" s="1"/>
  <c r="F253" i="4"/>
  <c r="C253" i="4"/>
  <c r="AC252" i="4"/>
  <c r="AD252" i="4" s="1"/>
  <c r="AA252" i="4"/>
  <c r="W252" i="4"/>
  <c r="X252" i="4" s="1"/>
  <c r="U252" i="4"/>
  <c r="R252" i="4"/>
  <c r="O252" i="4"/>
  <c r="N252" i="4"/>
  <c r="L252" i="4"/>
  <c r="H252" i="4"/>
  <c r="F252" i="4"/>
  <c r="C252" i="4"/>
  <c r="AD251" i="4"/>
  <c r="AC251" i="4"/>
  <c r="AA251" i="4"/>
  <c r="X251" i="4"/>
  <c r="W251" i="4"/>
  <c r="U251" i="4"/>
  <c r="R251" i="4"/>
  <c r="N251" i="4"/>
  <c r="O251" i="4" s="1"/>
  <c r="L251" i="4"/>
  <c r="H251" i="4"/>
  <c r="I251" i="4" s="1"/>
  <c r="F251" i="4"/>
  <c r="C251" i="4"/>
  <c r="AC250" i="4"/>
  <c r="AD250" i="4" s="1"/>
  <c r="AA250" i="4"/>
  <c r="X250" i="4"/>
  <c r="W250" i="4"/>
  <c r="U250" i="4"/>
  <c r="R250" i="4"/>
  <c r="N250" i="4"/>
  <c r="O250" i="4" s="1"/>
  <c r="L250" i="4"/>
  <c r="I250" i="4"/>
  <c r="H250" i="4"/>
  <c r="F250" i="4"/>
  <c r="C250" i="4"/>
  <c r="AC249" i="4"/>
  <c r="AA249" i="4"/>
  <c r="W249" i="4"/>
  <c r="X249" i="4" s="1"/>
  <c r="U249" i="4"/>
  <c r="R249" i="4"/>
  <c r="O249" i="4"/>
  <c r="N249" i="4"/>
  <c r="L249" i="4"/>
  <c r="H249" i="4"/>
  <c r="I249" i="4" s="1"/>
  <c r="F249" i="4"/>
  <c r="C249" i="4"/>
  <c r="AC248" i="4"/>
  <c r="AD248" i="4" s="1"/>
  <c r="AA248" i="4"/>
  <c r="W248" i="4"/>
  <c r="X248" i="4" s="1"/>
  <c r="U248" i="4"/>
  <c r="R248" i="4"/>
  <c r="O248" i="4"/>
  <c r="N248" i="4"/>
  <c r="L248" i="4"/>
  <c r="H248" i="4"/>
  <c r="F248" i="4"/>
  <c r="C248" i="4"/>
  <c r="AD247" i="4"/>
  <c r="AC247" i="4"/>
  <c r="AA247" i="4"/>
  <c r="X247" i="4"/>
  <c r="W247" i="4"/>
  <c r="U247" i="4"/>
  <c r="R247" i="4"/>
  <c r="N247" i="4"/>
  <c r="O247" i="4" s="1"/>
  <c r="L247" i="4"/>
  <c r="H247" i="4"/>
  <c r="I247" i="4" s="1"/>
  <c r="F247" i="4"/>
  <c r="C247" i="4"/>
  <c r="AC246" i="4"/>
  <c r="AD246" i="4" s="1"/>
  <c r="AA246" i="4"/>
  <c r="X246" i="4"/>
  <c r="W246" i="4"/>
  <c r="U246" i="4"/>
  <c r="R246" i="4"/>
  <c r="N246" i="4"/>
  <c r="O246" i="4" s="1"/>
  <c r="L246" i="4"/>
  <c r="I246" i="4"/>
  <c r="H246" i="4"/>
  <c r="F246" i="4"/>
  <c r="C246" i="4"/>
  <c r="AC245" i="4"/>
  <c r="AA245" i="4"/>
  <c r="X245" i="4"/>
  <c r="W245" i="4"/>
  <c r="U245" i="4"/>
  <c r="R245" i="4"/>
  <c r="O245" i="4"/>
  <c r="N245" i="4"/>
  <c r="L245" i="4"/>
  <c r="H245" i="4"/>
  <c r="I245" i="4" s="1"/>
  <c r="F245" i="4"/>
  <c r="C245" i="4"/>
  <c r="AC244" i="4"/>
  <c r="AD244" i="4" s="1"/>
  <c r="AA244" i="4"/>
  <c r="W244" i="4"/>
  <c r="X244" i="4" s="1"/>
  <c r="U244" i="4"/>
  <c r="R244" i="4"/>
  <c r="O244" i="4"/>
  <c r="N244" i="4"/>
  <c r="L244" i="4"/>
  <c r="H244" i="4"/>
  <c r="F244" i="4"/>
  <c r="C244" i="4"/>
  <c r="AC243" i="4"/>
  <c r="AD243" i="4" s="1"/>
  <c r="AA243" i="4"/>
  <c r="X243" i="4"/>
  <c r="W243" i="4"/>
  <c r="U243" i="4"/>
  <c r="R243" i="4"/>
  <c r="N243" i="4"/>
  <c r="O243" i="4" s="1"/>
  <c r="L243" i="4"/>
  <c r="H243" i="4"/>
  <c r="I243" i="4" s="1"/>
  <c r="F243" i="4"/>
  <c r="C243" i="4"/>
  <c r="AC242" i="4"/>
  <c r="AD242" i="4" s="1"/>
  <c r="AA242" i="4"/>
  <c r="X242" i="4"/>
  <c r="W242" i="4"/>
  <c r="U242" i="4"/>
  <c r="R242" i="4"/>
  <c r="N242" i="4"/>
  <c r="O242" i="4" s="1"/>
  <c r="L242" i="4"/>
  <c r="I242" i="4"/>
  <c r="H242" i="4"/>
  <c r="F242" i="4"/>
  <c r="C242" i="4"/>
  <c r="AC241" i="4"/>
  <c r="AA241" i="4"/>
  <c r="X241" i="4"/>
  <c r="W241" i="4"/>
  <c r="U241" i="4"/>
  <c r="R241" i="4"/>
  <c r="O241" i="4"/>
  <c r="N241" i="4"/>
  <c r="L241" i="4"/>
  <c r="H241" i="4"/>
  <c r="I241" i="4" s="1"/>
  <c r="F241" i="4"/>
  <c r="C241" i="4"/>
  <c r="AC240" i="4"/>
  <c r="AD240" i="4" s="1"/>
  <c r="AA240" i="4"/>
  <c r="W240" i="4"/>
  <c r="X240" i="4" s="1"/>
  <c r="U240" i="4"/>
  <c r="R240" i="4"/>
  <c r="O240" i="4"/>
  <c r="N240" i="4"/>
  <c r="L240" i="4"/>
  <c r="H240" i="4"/>
  <c r="F240" i="4"/>
  <c r="C240" i="4"/>
  <c r="AD238" i="4"/>
  <c r="AC238" i="4"/>
  <c r="AA238" i="4"/>
  <c r="X238" i="4"/>
  <c r="W238" i="4"/>
  <c r="U238" i="4"/>
  <c r="R238" i="4"/>
  <c r="N238" i="4"/>
  <c r="O238" i="4" s="1"/>
  <c r="L238" i="4"/>
  <c r="H238" i="4"/>
  <c r="I238" i="4" s="1"/>
  <c r="F238" i="4"/>
  <c r="C238" i="4"/>
  <c r="Z236" i="4"/>
  <c r="AC236" i="4" s="1"/>
  <c r="AD236" i="4" s="1"/>
  <c r="W236" i="4"/>
  <c r="X236" i="4" s="1"/>
  <c r="U236" i="4"/>
  <c r="T236" i="4"/>
  <c r="R236" i="4"/>
  <c r="Q236" i="4"/>
  <c r="K236" i="4"/>
  <c r="L236" i="4" s="1"/>
  <c r="E236" i="4"/>
  <c r="F236" i="4" s="1"/>
  <c r="B236" i="4"/>
  <c r="AC235" i="4"/>
  <c r="AD235" i="4" s="1"/>
  <c r="AA235" i="4"/>
  <c r="W235" i="4"/>
  <c r="X235" i="4" s="1"/>
  <c r="U235" i="4"/>
  <c r="R235" i="4"/>
  <c r="O235" i="4"/>
  <c r="N235" i="4"/>
  <c r="L235" i="4"/>
  <c r="H235" i="4"/>
  <c r="F235" i="4"/>
  <c r="C235" i="4"/>
  <c r="AD234" i="4"/>
  <c r="AC234" i="4"/>
  <c r="AA234" i="4"/>
  <c r="X234" i="4"/>
  <c r="W234" i="4"/>
  <c r="U234" i="4"/>
  <c r="R234" i="4"/>
  <c r="N234" i="4"/>
  <c r="O234" i="4" s="1"/>
  <c r="L234" i="4"/>
  <c r="H234" i="4"/>
  <c r="I234" i="4" s="1"/>
  <c r="F234" i="4"/>
  <c r="C234" i="4"/>
  <c r="AC233" i="4"/>
  <c r="AD233" i="4" s="1"/>
  <c r="AA233" i="4"/>
  <c r="X233" i="4"/>
  <c r="W233" i="4"/>
  <c r="U233" i="4"/>
  <c r="R233" i="4"/>
  <c r="N233" i="4"/>
  <c r="O233" i="4" s="1"/>
  <c r="L233" i="4"/>
  <c r="H233" i="4"/>
  <c r="I233" i="4" s="1"/>
  <c r="F233" i="4"/>
  <c r="C233" i="4"/>
  <c r="AC232" i="4"/>
  <c r="AA232" i="4"/>
  <c r="X232" i="4"/>
  <c r="W232" i="4"/>
  <c r="U232" i="4"/>
  <c r="R232" i="4"/>
  <c r="O232" i="4"/>
  <c r="N232" i="4"/>
  <c r="L232" i="4"/>
  <c r="H232" i="4"/>
  <c r="I232" i="4" s="1"/>
  <c r="F232" i="4"/>
  <c r="C232" i="4"/>
  <c r="AC231" i="4"/>
  <c r="AD231" i="4" s="1"/>
  <c r="AA231" i="4"/>
  <c r="W231" i="4"/>
  <c r="X231" i="4" s="1"/>
  <c r="U231" i="4"/>
  <c r="R231" i="4"/>
  <c r="O231" i="4"/>
  <c r="N231" i="4"/>
  <c r="L231" i="4"/>
  <c r="H231" i="4"/>
  <c r="F231" i="4"/>
  <c r="C231" i="4"/>
  <c r="AD230" i="4"/>
  <c r="AC230" i="4"/>
  <c r="AA230" i="4"/>
  <c r="X230" i="4"/>
  <c r="W230" i="4"/>
  <c r="U230" i="4"/>
  <c r="R230" i="4"/>
  <c r="N230" i="4"/>
  <c r="O230" i="4" s="1"/>
  <c r="L230" i="4"/>
  <c r="H230" i="4"/>
  <c r="I230" i="4" s="1"/>
  <c r="F230" i="4"/>
  <c r="C230" i="4"/>
  <c r="AC229" i="4"/>
  <c r="AD229" i="4" s="1"/>
  <c r="AA229" i="4"/>
  <c r="X229" i="4"/>
  <c r="W229" i="4"/>
  <c r="U229" i="4"/>
  <c r="R229" i="4"/>
  <c r="N229" i="4"/>
  <c r="O229" i="4" s="1"/>
  <c r="L229" i="4"/>
  <c r="I229" i="4"/>
  <c r="H229" i="4"/>
  <c r="F229" i="4"/>
  <c r="C229" i="4"/>
  <c r="AA227" i="4"/>
  <c r="Z227" i="4"/>
  <c r="T227" i="4"/>
  <c r="U227" i="4" s="1"/>
  <c r="R227" i="4"/>
  <c r="Q227" i="4"/>
  <c r="AC227" i="4" s="1"/>
  <c r="AD227" i="4" s="1"/>
  <c r="N227" i="4"/>
  <c r="O227" i="4" s="1"/>
  <c r="K227" i="4"/>
  <c r="L227" i="4" s="1"/>
  <c r="H227" i="4"/>
  <c r="I227" i="4" s="1"/>
  <c r="F227" i="4"/>
  <c r="E227" i="4"/>
  <c r="C227" i="4"/>
  <c r="B227" i="4"/>
  <c r="AD226" i="4"/>
  <c r="AC226" i="4"/>
  <c r="AA226" i="4"/>
  <c r="X226" i="4"/>
  <c r="W226" i="4"/>
  <c r="U226" i="4"/>
  <c r="R226" i="4"/>
  <c r="N226" i="4"/>
  <c r="O226" i="4" s="1"/>
  <c r="L226" i="4"/>
  <c r="H226" i="4"/>
  <c r="I226" i="4" s="1"/>
  <c r="F226" i="4"/>
  <c r="C226" i="4"/>
  <c r="AC225" i="4"/>
  <c r="AD225" i="4" s="1"/>
  <c r="AA225" i="4"/>
  <c r="X225" i="4"/>
  <c r="W225" i="4"/>
  <c r="U225" i="4"/>
  <c r="R225" i="4"/>
  <c r="N225" i="4"/>
  <c r="O225" i="4" s="1"/>
  <c r="L225" i="4"/>
  <c r="I225" i="4"/>
  <c r="H225" i="4"/>
  <c r="F225" i="4"/>
  <c r="C225" i="4"/>
  <c r="AC224" i="4"/>
  <c r="AA224" i="4"/>
  <c r="X224" i="4"/>
  <c r="W224" i="4"/>
  <c r="U224" i="4"/>
  <c r="R224" i="4"/>
  <c r="O224" i="4"/>
  <c r="N224" i="4"/>
  <c r="L224" i="4"/>
  <c r="H224" i="4"/>
  <c r="I224" i="4" s="1"/>
  <c r="F224" i="4"/>
  <c r="C224" i="4"/>
  <c r="AC223" i="4"/>
  <c r="AD223" i="4" s="1"/>
  <c r="AA223" i="4"/>
  <c r="W223" i="4"/>
  <c r="X223" i="4" s="1"/>
  <c r="U223" i="4"/>
  <c r="R223" i="4"/>
  <c r="O223" i="4"/>
  <c r="N223" i="4"/>
  <c r="L223" i="4"/>
  <c r="H223" i="4"/>
  <c r="F223" i="4"/>
  <c r="C223" i="4"/>
  <c r="AC222" i="4"/>
  <c r="AD222" i="4" s="1"/>
  <c r="AA222" i="4"/>
  <c r="X222" i="4"/>
  <c r="W222" i="4"/>
  <c r="U222" i="4"/>
  <c r="R222" i="4"/>
  <c r="N222" i="4"/>
  <c r="O222" i="4" s="1"/>
  <c r="L222" i="4"/>
  <c r="H222" i="4"/>
  <c r="I222" i="4" s="1"/>
  <c r="F222" i="4"/>
  <c r="C222" i="4"/>
  <c r="AC221" i="4"/>
  <c r="AD221" i="4" s="1"/>
  <c r="AA221" i="4"/>
  <c r="X221" i="4"/>
  <c r="W221" i="4"/>
  <c r="U221" i="4"/>
  <c r="R221" i="4"/>
  <c r="N221" i="4"/>
  <c r="O221" i="4" s="1"/>
  <c r="L221" i="4"/>
  <c r="I221" i="4"/>
  <c r="H221" i="4"/>
  <c r="F221" i="4"/>
  <c r="C221" i="4"/>
  <c r="AC220" i="4"/>
  <c r="AA220" i="4"/>
  <c r="X220" i="4"/>
  <c r="W220" i="4"/>
  <c r="U220" i="4"/>
  <c r="R220" i="4"/>
  <c r="O220" i="4"/>
  <c r="N220" i="4"/>
  <c r="L220" i="4"/>
  <c r="H220" i="4"/>
  <c r="I220" i="4" s="1"/>
  <c r="F220" i="4"/>
  <c r="C220" i="4"/>
  <c r="AC219" i="4"/>
  <c r="AD219" i="4" s="1"/>
  <c r="AA219" i="4"/>
  <c r="W219" i="4"/>
  <c r="X219" i="4" s="1"/>
  <c r="U219" i="4"/>
  <c r="R219" i="4"/>
  <c r="O219" i="4"/>
  <c r="N219" i="4"/>
  <c r="L219" i="4"/>
  <c r="H219" i="4"/>
  <c r="F219" i="4"/>
  <c r="C219" i="4"/>
  <c r="Z218" i="4"/>
  <c r="AA218" i="4" s="1"/>
  <c r="T218" i="4"/>
  <c r="U218" i="4" s="1"/>
  <c r="Q218" i="4"/>
  <c r="N218" i="4"/>
  <c r="O218" i="4" s="1"/>
  <c r="L218" i="4"/>
  <c r="K218" i="4"/>
  <c r="F218" i="4"/>
  <c r="E218" i="4"/>
  <c r="B218" i="4"/>
  <c r="C218" i="4" s="1"/>
  <c r="AC217" i="4"/>
  <c r="AA217" i="4"/>
  <c r="W217" i="4"/>
  <c r="X217" i="4" s="1"/>
  <c r="U217" i="4"/>
  <c r="R217" i="4"/>
  <c r="O217" i="4"/>
  <c r="N217" i="4"/>
  <c r="L217" i="4"/>
  <c r="I217" i="4"/>
  <c r="H217" i="4"/>
  <c r="F217" i="4"/>
  <c r="C217" i="4"/>
  <c r="AC216" i="4"/>
  <c r="AD216" i="4" s="1"/>
  <c r="AA216" i="4"/>
  <c r="W216" i="4"/>
  <c r="X216" i="4" s="1"/>
  <c r="U216" i="4"/>
  <c r="R216" i="4"/>
  <c r="O216" i="4"/>
  <c r="N216" i="4"/>
  <c r="L216" i="4"/>
  <c r="H216" i="4"/>
  <c r="F216" i="4"/>
  <c r="C216" i="4"/>
  <c r="AC215" i="4"/>
  <c r="AD215" i="4" s="1"/>
  <c r="AA215" i="4"/>
  <c r="X215" i="4"/>
  <c r="W215" i="4"/>
  <c r="U215" i="4"/>
  <c r="R215" i="4"/>
  <c r="N215" i="4"/>
  <c r="O215" i="4" s="1"/>
  <c r="L215" i="4"/>
  <c r="H215" i="4"/>
  <c r="I215" i="4" s="1"/>
  <c r="F215" i="4"/>
  <c r="C215" i="4"/>
  <c r="AD214" i="4"/>
  <c r="AC214" i="4"/>
  <c r="AA214" i="4"/>
  <c r="X214" i="4"/>
  <c r="W214" i="4"/>
  <c r="U214" i="4"/>
  <c r="R214" i="4"/>
  <c r="N214" i="4"/>
  <c r="O214" i="4" s="1"/>
  <c r="L214" i="4"/>
  <c r="H214" i="4"/>
  <c r="I214" i="4" s="1"/>
  <c r="F214" i="4"/>
  <c r="C214" i="4"/>
  <c r="AC213" i="4"/>
  <c r="AD213" i="4" s="1"/>
  <c r="AA213" i="4"/>
  <c r="W213" i="4"/>
  <c r="X213" i="4" s="1"/>
  <c r="U213" i="4"/>
  <c r="R213" i="4"/>
  <c r="O213" i="4"/>
  <c r="N213" i="4"/>
  <c r="L213" i="4"/>
  <c r="I213" i="4"/>
  <c r="H213" i="4"/>
  <c r="F213" i="4"/>
  <c r="C213" i="4"/>
  <c r="AC211" i="4"/>
  <c r="AD211" i="4" s="1"/>
  <c r="AA211" i="4"/>
  <c r="W211" i="4"/>
  <c r="X211" i="4" s="1"/>
  <c r="U211" i="4"/>
  <c r="R211" i="4"/>
  <c r="O211" i="4"/>
  <c r="N211" i="4"/>
  <c r="L211" i="4"/>
  <c r="I211" i="4"/>
  <c r="H211" i="4"/>
  <c r="F211" i="4"/>
  <c r="C211" i="4"/>
  <c r="Z209" i="4"/>
  <c r="AA209" i="4" s="1"/>
  <c r="T209" i="4"/>
  <c r="U209" i="4" s="1"/>
  <c r="Q209" i="4"/>
  <c r="W209" i="4" s="1"/>
  <c r="X209" i="4" s="1"/>
  <c r="K209" i="4"/>
  <c r="L209" i="4" s="1"/>
  <c r="H209" i="4"/>
  <c r="I209" i="4" s="1"/>
  <c r="E209" i="4"/>
  <c r="F209" i="4" s="1"/>
  <c r="B209" i="4"/>
  <c r="C209" i="4" s="1"/>
  <c r="AC208" i="4"/>
  <c r="AD208" i="4" s="1"/>
  <c r="AA208" i="4"/>
  <c r="X208" i="4"/>
  <c r="W208" i="4"/>
  <c r="U208" i="4"/>
  <c r="R208" i="4"/>
  <c r="O208" i="4"/>
  <c r="N208" i="4"/>
  <c r="L208" i="4"/>
  <c r="H208" i="4"/>
  <c r="I208" i="4" s="1"/>
  <c r="F208" i="4"/>
  <c r="C208" i="4"/>
  <c r="AC207" i="4"/>
  <c r="AD207" i="4" s="1"/>
  <c r="AA207" i="4"/>
  <c r="W207" i="4"/>
  <c r="X207" i="4" s="1"/>
  <c r="U207" i="4"/>
  <c r="R207" i="4"/>
  <c r="O207" i="4"/>
  <c r="N207" i="4"/>
  <c r="L207" i="4"/>
  <c r="H207" i="4"/>
  <c r="I207" i="4" s="1"/>
  <c r="F207" i="4"/>
  <c r="C207" i="4"/>
  <c r="AD206" i="4"/>
  <c r="AC206" i="4"/>
  <c r="AA206" i="4"/>
  <c r="X206" i="4"/>
  <c r="W206" i="4"/>
  <c r="U206" i="4"/>
  <c r="R206" i="4"/>
  <c r="N206" i="4"/>
  <c r="O206" i="4" s="1"/>
  <c r="L206" i="4"/>
  <c r="H206" i="4"/>
  <c r="I206" i="4" s="1"/>
  <c r="F206" i="4"/>
  <c r="C206" i="4"/>
  <c r="AC205" i="4"/>
  <c r="AD205" i="4" s="1"/>
  <c r="AA205" i="4"/>
  <c r="X205" i="4"/>
  <c r="W205" i="4"/>
  <c r="U205" i="4"/>
  <c r="R205" i="4"/>
  <c r="N205" i="4"/>
  <c r="O205" i="4" s="1"/>
  <c r="L205" i="4"/>
  <c r="H205" i="4"/>
  <c r="I205" i="4" s="1"/>
  <c r="F205" i="4"/>
  <c r="C205" i="4"/>
  <c r="AC204" i="4"/>
  <c r="AD204" i="4" s="1"/>
  <c r="AA204" i="4"/>
  <c r="X204" i="4"/>
  <c r="W204" i="4"/>
  <c r="U204" i="4"/>
  <c r="R204" i="4"/>
  <c r="O204" i="4"/>
  <c r="N204" i="4"/>
  <c r="L204" i="4"/>
  <c r="H204" i="4"/>
  <c r="I204" i="4" s="1"/>
  <c r="F204" i="4"/>
  <c r="C204" i="4"/>
  <c r="AC203" i="4"/>
  <c r="AD203" i="4" s="1"/>
  <c r="AA203" i="4"/>
  <c r="W203" i="4"/>
  <c r="X203" i="4" s="1"/>
  <c r="U203" i="4"/>
  <c r="R203" i="4"/>
  <c r="O203" i="4"/>
  <c r="N203" i="4"/>
  <c r="L203" i="4"/>
  <c r="H203" i="4"/>
  <c r="I203" i="4" s="1"/>
  <c r="F203" i="4"/>
  <c r="C203" i="4"/>
  <c r="AD202" i="4"/>
  <c r="AC202" i="4"/>
  <c r="AA202" i="4"/>
  <c r="X202" i="4"/>
  <c r="W202" i="4"/>
  <c r="U202" i="4"/>
  <c r="R202" i="4"/>
  <c r="N202" i="4"/>
  <c r="O202" i="4" s="1"/>
  <c r="L202" i="4"/>
  <c r="H202" i="4"/>
  <c r="I202" i="4" s="1"/>
  <c r="F202" i="4"/>
  <c r="C202" i="4"/>
  <c r="AC201" i="4"/>
  <c r="AD201" i="4" s="1"/>
  <c r="AA201" i="4"/>
  <c r="X201" i="4"/>
  <c r="W201" i="4"/>
  <c r="U201" i="4"/>
  <c r="R201" i="4"/>
  <c r="N201" i="4"/>
  <c r="O201" i="4" s="1"/>
  <c r="L201" i="4"/>
  <c r="I201" i="4"/>
  <c r="H201" i="4"/>
  <c r="F201" i="4"/>
  <c r="C201" i="4"/>
  <c r="K198" i="4"/>
  <c r="Z197" i="4"/>
  <c r="AA197" i="4" s="1"/>
  <c r="T197" i="4"/>
  <c r="U197" i="4" s="1"/>
  <c r="Q197" i="4"/>
  <c r="N197" i="4"/>
  <c r="O197" i="4" s="1"/>
  <c r="K197" i="4"/>
  <c r="L197" i="4" s="1"/>
  <c r="E197" i="4"/>
  <c r="B197" i="4"/>
  <c r="C197" i="4" s="1"/>
  <c r="Z196" i="4"/>
  <c r="AA196" i="4" s="1"/>
  <c r="T196" i="4"/>
  <c r="U196" i="4" s="1"/>
  <c r="Q196" i="4"/>
  <c r="R196" i="4" s="1"/>
  <c r="K196" i="4"/>
  <c r="N196" i="4" s="1"/>
  <c r="O196" i="4" s="1"/>
  <c r="H196" i="4"/>
  <c r="I196" i="4" s="1"/>
  <c r="E196" i="4"/>
  <c r="F196" i="4" s="1"/>
  <c r="C196" i="4"/>
  <c r="B196" i="4"/>
  <c r="AD195" i="4"/>
  <c r="AC195" i="4"/>
  <c r="AA195" i="4"/>
  <c r="X195" i="4"/>
  <c r="W195" i="4"/>
  <c r="U195" i="4"/>
  <c r="R195" i="4"/>
  <c r="N195" i="4"/>
  <c r="O195" i="4" s="1"/>
  <c r="L195" i="4"/>
  <c r="H195" i="4"/>
  <c r="I195" i="4" s="1"/>
  <c r="F195" i="4"/>
  <c r="C195" i="4"/>
  <c r="AC194" i="4"/>
  <c r="AD194" i="4" s="1"/>
  <c r="AA194" i="4"/>
  <c r="X194" i="4"/>
  <c r="W194" i="4"/>
  <c r="U194" i="4"/>
  <c r="R194" i="4"/>
  <c r="N194" i="4"/>
  <c r="O194" i="4" s="1"/>
  <c r="L194" i="4"/>
  <c r="I194" i="4"/>
  <c r="H194" i="4"/>
  <c r="F194" i="4"/>
  <c r="C194" i="4"/>
  <c r="Z193" i="4"/>
  <c r="AA193" i="4" s="1"/>
  <c r="T193" i="4"/>
  <c r="U193" i="4" s="1"/>
  <c r="Q193" i="4"/>
  <c r="R193" i="4" s="1"/>
  <c r="K193" i="4"/>
  <c r="N193" i="4" s="1"/>
  <c r="O193" i="4" s="1"/>
  <c r="H193" i="4"/>
  <c r="I193" i="4" s="1"/>
  <c r="E193" i="4"/>
  <c r="F193" i="4" s="1"/>
  <c r="C193" i="4"/>
  <c r="B193" i="4"/>
  <c r="AD192" i="4"/>
  <c r="AC192" i="4"/>
  <c r="AA192" i="4"/>
  <c r="X192" i="4"/>
  <c r="W192" i="4"/>
  <c r="U192" i="4"/>
  <c r="R192" i="4"/>
  <c r="N192" i="4"/>
  <c r="O192" i="4" s="1"/>
  <c r="L192" i="4"/>
  <c r="H192" i="4"/>
  <c r="I192" i="4" s="1"/>
  <c r="F192" i="4"/>
  <c r="C192" i="4"/>
  <c r="AC191" i="4"/>
  <c r="AD191" i="4" s="1"/>
  <c r="AA191" i="4"/>
  <c r="X191" i="4"/>
  <c r="W191" i="4"/>
  <c r="U191" i="4"/>
  <c r="R191" i="4"/>
  <c r="N191" i="4"/>
  <c r="O191" i="4" s="1"/>
  <c r="L191" i="4"/>
  <c r="I191" i="4"/>
  <c r="H191" i="4"/>
  <c r="F191" i="4"/>
  <c r="C191" i="4"/>
  <c r="AC190" i="4"/>
  <c r="AD190" i="4" s="1"/>
  <c r="AA190" i="4"/>
  <c r="X190" i="4"/>
  <c r="W190" i="4"/>
  <c r="U190" i="4"/>
  <c r="R190" i="4"/>
  <c r="O190" i="4"/>
  <c r="N190" i="4"/>
  <c r="L190" i="4"/>
  <c r="I190" i="4"/>
  <c r="H190" i="4"/>
  <c r="F190" i="4"/>
  <c r="C190" i="4"/>
  <c r="AC189" i="4"/>
  <c r="AD189" i="4" s="1"/>
  <c r="AA189" i="4"/>
  <c r="W189" i="4"/>
  <c r="X189" i="4" s="1"/>
  <c r="U189" i="4"/>
  <c r="R189" i="4"/>
  <c r="O189" i="4"/>
  <c r="N189" i="4"/>
  <c r="L189" i="4"/>
  <c r="H189" i="4"/>
  <c r="I189" i="4" s="1"/>
  <c r="F189" i="4"/>
  <c r="C189" i="4"/>
  <c r="AC188" i="4"/>
  <c r="AD188" i="4" s="1"/>
  <c r="AA188" i="4"/>
  <c r="X188" i="4"/>
  <c r="W188" i="4"/>
  <c r="U188" i="4"/>
  <c r="R188" i="4"/>
  <c r="N188" i="4"/>
  <c r="O188" i="4" s="1"/>
  <c r="L188" i="4"/>
  <c r="H188" i="4"/>
  <c r="I188" i="4" s="1"/>
  <c r="F188" i="4"/>
  <c r="C188" i="4"/>
  <c r="AC187" i="4"/>
  <c r="AD187" i="4" s="1"/>
  <c r="AA187" i="4"/>
  <c r="X187" i="4"/>
  <c r="W187" i="4"/>
  <c r="U187" i="4"/>
  <c r="R187" i="4"/>
  <c r="N187" i="4"/>
  <c r="O187" i="4" s="1"/>
  <c r="L187" i="4"/>
  <c r="I187" i="4"/>
  <c r="H187" i="4"/>
  <c r="F187" i="4"/>
  <c r="C187" i="4"/>
  <c r="AC186" i="4"/>
  <c r="AD186" i="4" s="1"/>
  <c r="AA186" i="4"/>
  <c r="X186" i="4"/>
  <c r="W186" i="4"/>
  <c r="U186" i="4"/>
  <c r="R186" i="4"/>
  <c r="O186" i="4"/>
  <c r="N186" i="4"/>
  <c r="L186" i="4"/>
  <c r="H186" i="4"/>
  <c r="I186" i="4" s="1"/>
  <c r="F186" i="4"/>
  <c r="C186" i="4"/>
  <c r="AC184" i="4"/>
  <c r="AD184" i="4" s="1"/>
  <c r="AA184" i="4"/>
  <c r="W184" i="4"/>
  <c r="X184" i="4" s="1"/>
  <c r="U184" i="4"/>
  <c r="R184" i="4"/>
  <c r="O184" i="4"/>
  <c r="N184" i="4"/>
  <c r="L184" i="4"/>
  <c r="H184" i="4"/>
  <c r="I184" i="4" s="1"/>
  <c r="F184" i="4"/>
  <c r="C184" i="4"/>
  <c r="AD183" i="4"/>
  <c r="AC183" i="4"/>
  <c r="AA183" i="4"/>
  <c r="X183" i="4"/>
  <c r="W183" i="4"/>
  <c r="U183" i="4"/>
  <c r="R183" i="4"/>
  <c r="N183" i="4"/>
  <c r="O183" i="4" s="1"/>
  <c r="L183" i="4"/>
  <c r="H183" i="4"/>
  <c r="I183" i="4" s="1"/>
  <c r="F183" i="4"/>
  <c r="C183" i="4"/>
  <c r="Z182" i="4"/>
  <c r="AA182" i="4" s="1"/>
  <c r="T182" i="4"/>
  <c r="U182" i="4" s="1"/>
  <c r="Q182" i="4"/>
  <c r="K182" i="4"/>
  <c r="L182" i="4" s="1"/>
  <c r="F182" i="4"/>
  <c r="E182" i="4"/>
  <c r="C182" i="4"/>
  <c r="B182" i="4"/>
  <c r="AC181" i="4"/>
  <c r="AD181" i="4" s="1"/>
  <c r="AA181" i="4"/>
  <c r="W181" i="4"/>
  <c r="X181" i="4" s="1"/>
  <c r="U181" i="4"/>
  <c r="R181" i="4"/>
  <c r="O181" i="4"/>
  <c r="N181" i="4"/>
  <c r="L181" i="4"/>
  <c r="H181" i="4"/>
  <c r="I181" i="4" s="1"/>
  <c r="F181" i="4"/>
  <c r="C181" i="4"/>
  <c r="AC180" i="4"/>
  <c r="AD180" i="4" s="1"/>
  <c r="AA180" i="4"/>
  <c r="X180" i="4"/>
  <c r="W180" i="4"/>
  <c r="U180" i="4"/>
  <c r="R180" i="4"/>
  <c r="N180" i="4"/>
  <c r="O180" i="4" s="1"/>
  <c r="L180" i="4"/>
  <c r="H180" i="4"/>
  <c r="I180" i="4" s="1"/>
  <c r="F180" i="4"/>
  <c r="C180" i="4"/>
  <c r="AD179" i="4"/>
  <c r="AC179" i="4"/>
  <c r="AA179" i="4"/>
  <c r="X179" i="4"/>
  <c r="W179" i="4"/>
  <c r="U179" i="4"/>
  <c r="R179" i="4"/>
  <c r="N179" i="4"/>
  <c r="O179" i="4" s="1"/>
  <c r="L179" i="4"/>
  <c r="H179" i="4"/>
  <c r="I179" i="4" s="1"/>
  <c r="F179" i="4"/>
  <c r="C179" i="4"/>
  <c r="AC178" i="4"/>
  <c r="AD178" i="4" s="1"/>
  <c r="AA178" i="4"/>
  <c r="W178" i="4"/>
  <c r="X178" i="4" s="1"/>
  <c r="U178" i="4"/>
  <c r="R178" i="4"/>
  <c r="O178" i="4"/>
  <c r="N178" i="4"/>
  <c r="L178" i="4"/>
  <c r="I178" i="4"/>
  <c r="H178" i="4"/>
  <c r="F178" i="4"/>
  <c r="C178" i="4"/>
  <c r="AC177" i="4"/>
  <c r="AD177" i="4" s="1"/>
  <c r="AA177" i="4"/>
  <c r="W177" i="4"/>
  <c r="X177" i="4" s="1"/>
  <c r="U177" i="4"/>
  <c r="R177" i="4"/>
  <c r="O177" i="4"/>
  <c r="N177" i="4"/>
  <c r="L177" i="4"/>
  <c r="H177" i="4"/>
  <c r="I177" i="4" s="1"/>
  <c r="F177" i="4"/>
  <c r="C177" i="4"/>
  <c r="AC175" i="4"/>
  <c r="AD175" i="4" s="1"/>
  <c r="AA175" i="4"/>
  <c r="X175" i="4"/>
  <c r="W175" i="4"/>
  <c r="U175" i="4"/>
  <c r="R175" i="4"/>
  <c r="O175" i="4"/>
  <c r="N175" i="4"/>
  <c r="L175" i="4"/>
  <c r="H175" i="4"/>
  <c r="I175" i="4" s="1"/>
  <c r="F175" i="4"/>
  <c r="C175" i="4"/>
  <c r="Q172" i="4"/>
  <c r="AC171" i="4"/>
  <c r="AD171" i="4" s="1"/>
  <c r="Z171" i="4"/>
  <c r="AA171" i="4" s="1"/>
  <c r="T171" i="4"/>
  <c r="U171" i="4" s="1"/>
  <c r="Q171" i="4"/>
  <c r="R171" i="4" s="1"/>
  <c r="K171" i="4"/>
  <c r="L171" i="4" s="1"/>
  <c r="E171" i="4"/>
  <c r="F171" i="4" s="1"/>
  <c r="B171" i="4"/>
  <c r="C171" i="4" s="1"/>
  <c r="Z170" i="4"/>
  <c r="T170" i="4"/>
  <c r="U170" i="4" s="1"/>
  <c r="R170" i="4"/>
  <c r="Q170" i="4"/>
  <c r="W170" i="4" s="1"/>
  <c r="X170" i="4" s="1"/>
  <c r="N170" i="4"/>
  <c r="O170" i="4" s="1"/>
  <c r="K170" i="4"/>
  <c r="L170" i="4" s="1"/>
  <c r="F170" i="4"/>
  <c r="E170" i="4"/>
  <c r="B170" i="4"/>
  <c r="H170" i="4" s="1"/>
  <c r="I170" i="4" s="1"/>
  <c r="AC169" i="4"/>
  <c r="AD169" i="4" s="1"/>
  <c r="AA169" i="4"/>
  <c r="W169" i="4"/>
  <c r="X169" i="4" s="1"/>
  <c r="U169" i="4"/>
  <c r="R169" i="4"/>
  <c r="O169" i="4"/>
  <c r="N169" i="4"/>
  <c r="L169" i="4"/>
  <c r="H169" i="4"/>
  <c r="I169" i="4" s="1"/>
  <c r="F169" i="4"/>
  <c r="C169" i="4"/>
  <c r="AC168" i="4"/>
  <c r="AD168" i="4" s="1"/>
  <c r="AA168" i="4"/>
  <c r="X168" i="4"/>
  <c r="W168" i="4"/>
  <c r="U168" i="4"/>
  <c r="R168" i="4"/>
  <c r="O168" i="4"/>
  <c r="N168" i="4"/>
  <c r="L168" i="4"/>
  <c r="H168" i="4"/>
  <c r="I168" i="4" s="1"/>
  <c r="F168" i="4"/>
  <c r="C168" i="4"/>
  <c r="AD167" i="4"/>
  <c r="AC167" i="4"/>
  <c r="AA167" i="4"/>
  <c r="X167" i="4"/>
  <c r="W167" i="4"/>
  <c r="U167" i="4"/>
  <c r="R167" i="4"/>
  <c r="N167" i="4"/>
  <c r="O167" i="4" s="1"/>
  <c r="L167" i="4"/>
  <c r="H167" i="4"/>
  <c r="I167" i="4" s="1"/>
  <c r="F167" i="4"/>
  <c r="C167" i="4"/>
  <c r="Z166" i="4"/>
  <c r="AA166" i="4" s="1"/>
  <c r="X166" i="4"/>
  <c r="W166" i="4"/>
  <c r="T166" i="4"/>
  <c r="U166" i="4" s="1"/>
  <c r="Q166" i="4"/>
  <c r="R166" i="4" s="1"/>
  <c r="N166" i="4"/>
  <c r="O166" i="4" s="1"/>
  <c r="K166" i="4"/>
  <c r="L166" i="4" s="1"/>
  <c r="E166" i="4"/>
  <c r="F166" i="4" s="1"/>
  <c r="B166" i="4"/>
  <c r="H166" i="4" s="1"/>
  <c r="I166" i="4" s="1"/>
  <c r="AC165" i="4"/>
  <c r="AD165" i="4" s="1"/>
  <c r="AA165" i="4"/>
  <c r="X165" i="4"/>
  <c r="W165" i="4"/>
  <c r="U165" i="4"/>
  <c r="R165" i="4"/>
  <c r="O165" i="4"/>
  <c r="N165" i="4"/>
  <c r="L165" i="4"/>
  <c r="H165" i="4"/>
  <c r="I165" i="4" s="1"/>
  <c r="F165" i="4"/>
  <c r="C165" i="4"/>
  <c r="AD164" i="4"/>
  <c r="AC164" i="4"/>
  <c r="AA164" i="4"/>
  <c r="X164" i="4"/>
  <c r="W164" i="4"/>
  <c r="U164" i="4"/>
  <c r="R164" i="4"/>
  <c r="N164" i="4"/>
  <c r="O164" i="4" s="1"/>
  <c r="L164" i="4"/>
  <c r="H164" i="4"/>
  <c r="I164" i="4" s="1"/>
  <c r="F164" i="4"/>
  <c r="C164" i="4"/>
  <c r="AC163" i="4"/>
  <c r="AD163" i="4" s="1"/>
  <c r="AA163" i="4"/>
  <c r="X163" i="4"/>
  <c r="W163" i="4"/>
  <c r="U163" i="4"/>
  <c r="R163" i="4"/>
  <c r="O163" i="4"/>
  <c r="N163" i="4"/>
  <c r="L163" i="4"/>
  <c r="H163" i="4"/>
  <c r="I163" i="4" s="1"/>
  <c r="F163" i="4"/>
  <c r="C163" i="4"/>
  <c r="AC162" i="4"/>
  <c r="AD162" i="4" s="1"/>
  <c r="AA162" i="4"/>
  <c r="W162" i="4"/>
  <c r="X162" i="4" s="1"/>
  <c r="U162" i="4"/>
  <c r="R162" i="4"/>
  <c r="O162" i="4"/>
  <c r="N162" i="4"/>
  <c r="L162" i="4"/>
  <c r="H162" i="4"/>
  <c r="I162" i="4" s="1"/>
  <c r="F162" i="4"/>
  <c r="C162" i="4"/>
  <c r="AC161" i="4"/>
  <c r="AD161" i="4" s="1"/>
  <c r="AA161" i="4"/>
  <c r="X161" i="4"/>
  <c r="W161" i="4"/>
  <c r="U161" i="4"/>
  <c r="R161" i="4"/>
  <c r="O161" i="4"/>
  <c r="N161" i="4"/>
  <c r="L161" i="4"/>
  <c r="H161" i="4"/>
  <c r="I161" i="4" s="1"/>
  <c r="F161" i="4"/>
  <c r="C161" i="4"/>
  <c r="AD160" i="4"/>
  <c r="AC160" i="4"/>
  <c r="AA160" i="4"/>
  <c r="X160" i="4"/>
  <c r="W160" i="4"/>
  <c r="U160" i="4"/>
  <c r="R160" i="4"/>
  <c r="N160" i="4"/>
  <c r="O160" i="4" s="1"/>
  <c r="L160" i="4"/>
  <c r="H160" i="4"/>
  <c r="I160" i="4" s="1"/>
  <c r="F160" i="4"/>
  <c r="C160" i="4"/>
  <c r="AA158" i="4"/>
  <c r="Z158" i="4"/>
  <c r="W158" i="4"/>
  <c r="X158" i="4" s="1"/>
  <c r="T158" i="4"/>
  <c r="U158" i="4" s="1"/>
  <c r="Q158" i="4"/>
  <c r="R158" i="4" s="1"/>
  <c r="L158" i="4"/>
  <c r="K158" i="4"/>
  <c r="E158" i="4"/>
  <c r="F158" i="4" s="1"/>
  <c r="B158" i="4"/>
  <c r="AC157" i="4"/>
  <c r="AD157" i="4" s="1"/>
  <c r="AA157" i="4"/>
  <c r="X157" i="4"/>
  <c r="W157" i="4"/>
  <c r="U157" i="4"/>
  <c r="R157" i="4"/>
  <c r="O157" i="4"/>
  <c r="N157" i="4"/>
  <c r="L157" i="4"/>
  <c r="H157" i="4"/>
  <c r="I157" i="4" s="1"/>
  <c r="F157" i="4"/>
  <c r="C157" i="4"/>
  <c r="AD156" i="4"/>
  <c r="AC156" i="4"/>
  <c r="AA156" i="4"/>
  <c r="X156" i="4"/>
  <c r="W156" i="4"/>
  <c r="U156" i="4"/>
  <c r="R156" i="4"/>
  <c r="N156" i="4"/>
  <c r="O156" i="4" s="1"/>
  <c r="L156" i="4"/>
  <c r="H156" i="4"/>
  <c r="I156" i="4" s="1"/>
  <c r="F156" i="4"/>
  <c r="C156" i="4"/>
  <c r="AC155" i="4"/>
  <c r="AD155" i="4" s="1"/>
  <c r="AA155" i="4"/>
  <c r="W155" i="4"/>
  <c r="X155" i="4" s="1"/>
  <c r="U155" i="4"/>
  <c r="R155" i="4"/>
  <c r="O155" i="4"/>
  <c r="N155" i="4"/>
  <c r="L155" i="4"/>
  <c r="H155" i="4"/>
  <c r="I155" i="4" s="1"/>
  <c r="F155" i="4"/>
  <c r="C155" i="4"/>
  <c r="AC154" i="4"/>
  <c r="AD154" i="4" s="1"/>
  <c r="AA154" i="4"/>
  <c r="W154" i="4"/>
  <c r="X154" i="4" s="1"/>
  <c r="U154" i="4"/>
  <c r="R154" i="4"/>
  <c r="O154" i="4"/>
  <c r="N154" i="4"/>
  <c r="L154" i="4"/>
  <c r="H154" i="4"/>
  <c r="I154" i="4" s="1"/>
  <c r="F154" i="4"/>
  <c r="C154" i="4"/>
  <c r="AD153" i="4"/>
  <c r="AC153" i="4"/>
  <c r="AA153" i="4"/>
  <c r="X153" i="4"/>
  <c r="W153" i="4"/>
  <c r="U153" i="4"/>
  <c r="R153" i="4"/>
  <c r="N153" i="4"/>
  <c r="O153" i="4" s="1"/>
  <c r="L153" i="4"/>
  <c r="H153" i="4"/>
  <c r="I153" i="4" s="1"/>
  <c r="F153" i="4"/>
  <c r="C153" i="4"/>
  <c r="AD151" i="4"/>
  <c r="AC151" i="4"/>
  <c r="AA151" i="4"/>
  <c r="X151" i="4"/>
  <c r="W151" i="4"/>
  <c r="U151" i="4"/>
  <c r="R151" i="4"/>
  <c r="N151" i="4"/>
  <c r="O151" i="4" s="1"/>
  <c r="L151" i="4"/>
  <c r="H151" i="4"/>
  <c r="I151" i="4" s="1"/>
  <c r="F151" i="4"/>
  <c r="C151" i="4"/>
  <c r="Z149" i="4"/>
  <c r="AA149" i="4" s="1"/>
  <c r="W149" i="4"/>
  <c r="X149" i="4" s="1"/>
  <c r="T149" i="4"/>
  <c r="U149" i="4" s="1"/>
  <c r="Q149" i="4"/>
  <c r="R149" i="4" s="1"/>
  <c r="K149" i="4"/>
  <c r="N149" i="4" s="1"/>
  <c r="O149" i="4" s="1"/>
  <c r="E149" i="4"/>
  <c r="F149" i="4" s="1"/>
  <c r="B149" i="4"/>
  <c r="C149" i="4" s="1"/>
  <c r="Z148" i="4"/>
  <c r="AA148" i="4" s="1"/>
  <c r="U148" i="4"/>
  <c r="T148" i="4"/>
  <c r="R148" i="4"/>
  <c r="Q148" i="4"/>
  <c r="W148" i="4" s="1"/>
  <c r="X148" i="4" s="1"/>
  <c r="K148" i="4"/>
  <c r="L148" i="4" s="1"/>
  <c r="F148" i="4"/>
  <c r="E148" i="4"/>
  <c r="B148" i="4"/>
  <c r="AC147" i="4"/>
  <c r="AD147" i="4" s="1"/>
  <c r="AA147" i="4"/>
  <c r="X147" i="4"/>
  <c r="W147" i="4"/>
  <c r="U147" i="4"/>
  <c r="R147" i="4"/>
  <c r="O147" i="4"/>
  <c r="N147" i="4"/>
  <c r="L147" i="4"/>
  <c r="H147" i="4"/>
  <c r="I147" i="4" s="1"/>
  <c r="F147" i="4"/>
  <c r="C147" i="4"/>
  <c r="AC146" i="4"/>
  <c r="AD146" i="4" s="1"/>
  <c r="AA146" i="4"/>
  <c r="W146" i="4"/>
  <c r="X146" i="4" s="1"/>
  <c r="U146" i="4"/>
  <c r="R146" i="4"/>
  <c r="O146" i="4"/>
  <c r="N146" i="4"/>
  <c r="L146" i="4"/>
  <c r="H146" i="4"/>
  <c r="I146" i="4" s="1"/>
  <c r="F146" i="4"/>
  <c r="C146" i="4"/>
  <c r="AC145" i="4"/>
  <c r="AD145" i="4" s="1"/>
  <c r="AA145" i="4"/>
  <c r="X145" i="4"/>
  <c r="W145" i="4"/>
  <c r="U145" i="4"/>
  <c r="R145" i="4"/>
  <c r="O145" i="4"/>
  <c r="N145" i="4"/>
  <c r="L145" i="4"/>
  <c r="H145" i="4"/>
  <c r="I145" i="4" s="1"/>
  <c r="F145" i="4"/>
  <c r="C145" i="4"/>
  <c r="AD144" i="4"/>
  <c r="AC144" i="4"/>
  <c r="AA144" i="4"/>
  <c r="X144" i="4"/>
  <c r="W144" i="4"/>
  <c r="U144" i="4"/>
  <c r="R144" i="4"/>
  <c r="N144" i="4"/>
  <c r="O144" i="4" s="1"/>
  <c r="L144" i="4"/>
  <c r="H144" i="4"/>
  <c r="I144" i="4" s="1"/>
  <c r="F144" i="4"/>
  <c r="C144" i="4"/>
  <c r="AC143" i="4"/>
  <c r="AD143" i="4" s="1"/>
  <c r="AA143" i="4"/>
  <c r="W143" i="4"/>
  <c r="X143" i="4" s="1"/>
  <c r="U143" i="4"/>
  <c r="R143" i="4"/>
  <c r="O143" i="4"/>
  <c r="N143" i="4"/>
  <c r="L143" i="4"/>
  <c r="H143" i="4"/>
  <c r="I143" i="4" s="1"/>
  <c r="F143" i="4"/>
  <c r="C143" i="4"/>
  <c r="AC141" i="4"/>
  <c r="AD141" i="4" s="1"/>
  <c r="Z141" i="4"/>
  <c r="AA141" i="4" s="1"/>
  <c r="T141" i="4"/>
  <c r="U141" i="4" s="1"/>
  <c r="Q141" i="4"/>
  <c r="R141" i="4" s="1"/>
  <c r="K141" i="4"/>
  <c r="L141" i="4" s="1"/>
  <c r="E141" i="4"/>
  <c r="F141" i="4" s="1"/>
  <c r="B141" i="4"/>
  <c r="C141" i="4" s="1"/>
  <c r="AC140" i="4"/>
  <c r="AD140" i="4" s="1"/>
  <c r="AA140" i="4"/>
  <c r="X140" i="4"/>
  <c r="W140" i="4"/>
  <c r="U140" i="4"/>
  <c r="R140" i="4"/>
  <c r="N140" i="4"/>
  <c r="O140" i="4" s="1"/>
  <c r="L140" i="4"/>
  <c r="I140" i="4"/>
  <c r="H140" i="4"/>
  <c r="F140" i="4"/>
  <c r="C140" i="4"/>
  <c r="AC139" i="4"/>
  <c r="AD139" i="4" s="1"/>
  <c r="AA139" i="4"/>
  <c r="W139" i="4"/>
  <c r="X139" i="4" s="1"/>
  <c r="U139" i="4"/>
  <c r="R139" i="4"/>
  <c r="O139" i="4"/>
  <c r="N139" i="4"/>
  <c r="L139" i="4"/>
  <c r="I139" i="4"/>
  <c r="H139" i="4"/>
  <c r="F139" i="4"/>
  <c r="C139" i="4"/>
  <c r="AC138" i="4"/>
  <c r="AD138" i="4" s="1"/>
  <c r="AA138" i="4"/>
  <c r="W138" i="4"/>
  <c r="X138" i="4" s="1"/>
  <c r="U138" i="4"/>
  <c r="R138" i="4"/>
  <c r="O138" i="4"/>
  <c r="N138" i="4"/>
  <c r="L138" i="4"/>
  <c r="H138" i="4"/>
  <c r="I138" i="4" s="1"/>
  <c r="F138" i="4"/>
  <c r="C138" i="4"/>
  <c r="AC137" i="4"/>
  <c r="AD137" i="4" s="1"/>
  <c r="AA137" i="4"/>
  <c r="X137" i="4"/>
  <c r="W137" i="4"/>
  <c r="U137" i="4"/>
  <c r="R137" i="4"/>
  <c r="N137" i="4"/>
  <c r="O137" i="4" s="1"/>
  <c r="L137" i="4"/>
  <c r="H137" i="4"/>
  <c r="I137" i="4" s="1"/>
  <c r="F137" i="4"/>
  <c r="C137" i="4"/>
  <c r="AC136" i="4"/>
  <c r="AD136" i="4" s="1"/>
  <c r="AA136" i="4"/>
  <c r="X136" i="4"/>
  <c r="W136" i="4"/>
  <c r="U136" i="4"/>
  <c r="R136" i="4"/>
  <c r="N136" i="4"/>
  <c r="O136" i="4" s="1"/>
  <c r="L136" i="4"/>
  <c r="I136" i="4"/>
  <c r="H136" i="4"/>
  <c r="F136" i="4"/>
  <c r="C136" i="4"/>
  <c r="AC135" i="4"/>
  <c r="AD135" i="4" s="1"/>
  <c r="AA135" i="4"/>
  <c r="X135" i="4"/>
  <c r="W135" i="4"/>
  <c r="U135" i="4"/>
  <c r="R135" i="4"/>
  <c r="O135" i="4"/>
  <c r="N135" i="4"/>
  <c r="L135" i="4"/>
  <c r="H135" i="4"/>
  <c r="I135" i="4" s="1"/>
  <c r="F135" i="4"/>
  <c r="C135" i="4"/>
  <c r="AC134" i="4"/>
  <c r="AD134" i="4" s="1"/>
  <c r="AA134" i="4"/>
  <c r="W134" i="4"/>
  <c r="X134" i="4" s="1"/>
  <c r="U134" i="4"/>
  <c r="R134" i="4"/>
  <c r="O134" i="4"/>
  <c r="N134" i="4"/>
  <c r="L134" i="4"/>
  <c r="I134" i="4"/>
  <c r="H134" i="4"/>
  <c r="F134" i="4"/>
  <c r="C134" i="4"/>
  <c r="AC133" i="4"/>
  <c r="AD133" i="4" s="1"/>
  <c r="AA133" i="4"/>
  <c r="X133" i="4"/>
  <c r="W133" i="4"/>
  <c r="U133" i="4"/>
  <c r="R133" i="4"/>
  <c r="O133" i="4"/>
  <c r="N133" i="4"/>
  <c r="L133" i="4"/>
  <c r="H133" i="4"/>
  <c r="I133" i="4" s="1"/>
  <c r="F133" i="4"/>
  <c r="C133" i="4"/>
  <c r="AC132" i="4"/>
  <c r="AD132" i="4" s="1"/>
  <c r="AA132" i="4"/>
  <c r="X132" i="4"/>
  <c r="W132" i="4"/>
  <c r="U132" i="4"/>
  <c r="R132" i="4"/>
  <c r="N132" i="4"/>
  <c r="O132" i="4" s="1"/>
  <c r="L132" i="4"/>
  <c r="I132" i="4"/>
  <c r="H132" i="4"/>
  <c r="F132" i="4"/>
  <c r="C132" i="4"/>
  <c r="AD131" i="4"/>
  <c r="AC131" i="4"/>
  <c r="AA131" i="4"/>
  <c r="W131" i="4"/>
  <c r="X131" i="4" s="1"/>
  <c r="U131" i="4"/>
  <c r="R131" i="4"/>
  <c r="O131" i="4"/>
  <c r="N131" i="4"/>
  <c r="L131" i="4"/>
  <c r="H131" i="4"/>
  <c r="I131" i="4" s="1"/>
  <c r="F131" i="4"/>
  <c r="C131" i="4"/>
  <c r="AC130" i="4"/>
  <c r="AD130" i="4" s="1"/>
  <c r="AA130" i="4"/>
  <c r="W130" i="4"/>
  <c r="X130" i="4" s="1"/>
  <c r="U130" i="4"/>
  <c r="R130" i="4"/>
  <c r="O130" i="4"/>
  <c r="N130" i="4"/>
  <c r="L130" i="4"/>
  <c r="I130" i="4"/>
  <c r="H130" i="4"/>
  <c r="F130" i="4"/>
  <c r="C130" i="4"/>
  <c r="AC129" i="4"/>
  <c r="AD129" i="4" s="1"/>
  <c r="AA129" i="4"/>
  <c r="X129" i="4"/>
  <c r="W129" i="4"/>
  <c r="U129" i="4"/>
  <c r="R129" i="4"/>
  <c r="O129" i="4"/>
  <c r="N129" i="4"/>
  <c r="L129" i="4"/>
  <c r="H129" i="4"/>
  <c r="I129" i="4" s="1"/>
  <c r="F129" i="4"/>
  <c r="C129" i="4"/>
  <c r="AD127" i="4"/>
  <c r="AC127" i="4"/>
  <c r="AA127" i="4"/>
  <c r="X127" i="4"/>
  <c r="W127" i="4"/>
  <c r="U127" i="4"/>
  <c r="R127" i="4"/>
  <c r="N127" i="4"/>
  <c r="O127" i="4" s="1"/>
  <c r="L127" i="4"/>
  <c r="H127" i="4"/>
  <c r="I127" i="4" s="1"/>
  <c r="F127" i="4"/>
  <c r="C127" i="4"/>
  <c r="Z124" i="4"/>
  <c r="AA124" i="4" s="1"/>
  <c r="W124" i="4"/>
  <c r="X124" i="4" s="1"/>
  <c r="T124" i="4"/>
  <c r="R124" i="4"/>
  <c r="Q124" i="4"/>
  <c r="L124" i="4"/>
  <c r="K124" i="4"/>
  <c r="K172" i="4" s="1"/>
  <c r="L172" i="4" s="1"/>
  <c r="H124" i="4"/>
  <c r="I124" i="4" s="1"/>
  <c r="F124" i="4"/>
  <c r="E124" i="4"/>
  <c r="B124" i="4"/>
  <c r="C124" i="4" s="1"/>
  <c r="AC123" i="4"/>
  <c r="AD123" i="4" s="1"/>
  <c r="AA123" i="4"/>
  <c r="X123" i="4"/>
  <c r="W123" i="4"/>
  <c r="U123" i="4"/>
  <c r="R123" i="4"/>
  <c r="N123" i="4"/>
  <c r="O123" i="4" s="1"/>
  <c r="L123" i="4"/>
  <c r="H123" i="4"/>
  <c r="I123" i="4" s="1"/>
  <c r="F123" i="4"/>
  <c r="C123" i="4"/>
  <c r="Z122" i="4"/>
  <c r="AA122" i="4" s="1"/>
  <c r="U122" i="4"/>
  <c r="T122" i="4"/>
  <c r="Q122" i="4"/>
  <c r="K122" i="4"/>
  <c r="L122" i="4" s="1"/>
  <c r="E122" i="4"/>
  <c r="F122" i="4" s="1"/>
  <c r="C122" i="4"/>
  <c r="B122" i="4"/>
  <c r="AC121" i="4"/>
  <c r="AD121" i="4" s="1"/>
  <c r="AA121" i="4"/>
  <c r="W121" i="4"/>
  <c r="X121" i="4" s="1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X120" i="4"/>
  <c r="W120" i="4"/>
  <c r="U120" i="4"/>
  <c r="R120" i="4"/>
  <c r="O120" i="4"/>
  <c r="N120" i="4"/>
  <c r="L120" i="4"/>
  <c r="H120" i="4"/>
  <c r="I120" i="4" s="1"/>
  <c r="F120" i="4"/>
  <c r="C120" i="4"/>
  <c r="AC119" i="4"/>
  <c r="AD119" i="4" s="1"/>
  <c r="AA119" i="4"/>
  <c r="X119" i="4"/>
  <c r="W119" i="4"/>
  <c r="U119" i="4"/>
  <c r="R119" i="4"/>
  <c r="N119" i="4"/>
  <c r="O119" i="4" s="1"/>
  <c r="L119" i="4"/>
  <c r="H119" i="4"/>
  <c r="I119" i="4" s="1"/>
  <c r="F119" i="4"/>
  <c r="C119" i="4"/>
  <c r="AA118" i="4"/>
  <c r="Z118" i="4"/>
  <c r="T118" i="4"/>
  <c r="U118" i="4" s="1"/>
  <c r="R118" i="4"/>
  <c r="Q118" i="4"/>
  <c r="AC118" i="4" s="1"/>
  <c r="AD118" i="4" s="1"/>
  <c r="K118" i="4"/>
  <c r="L118" i="4" s="1"/>
  <c r="F118" i="4"/>
  <c r="E118" i="4"/>
  <c r="B118" i="4"/>
  <c r="H118" i="4" s="1"/>
  <c r="I118" i="4" s="1"/>
  <c r="AD117" i="4"/>
  <c r="AC117" i="4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D116" i="4"/>
  <c r="AC116" i="4"/>
  <c r="AA116" i="4"/>
  <c r="X116" i="4"/>
  <c r="W116" i="4"/>
  <c r="U116" i="4"/>
  <c r="R116" i="4"/>
  <c r="N116" i="4"/>
  <c r="O116" i="4" s="1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O115" i="4"/>
  <c r="N115" i="4"/>
  <c r="L115" i="4"/>
  <c r="H115" i="4"/>
  <c r="I115" i="4" s="1"/>
  <c r="F115" i="4"/>
  <c r="C115" i="4"/>
  <c r="AC114" i="4"/>
  <c r="AD114" i="4" s="1"/>
  <c r="AA114" i="4"/>
  <c r="W114" i="4"/>
  <c r="X114" i="4" s="1"/>
  <c r="U114" i="4"/>
  <c r="R114" i="4"/>
  <c r="O114" i="4"/>
  <c r="N114" i="4"/>
  <c r="L114" i="4"/>
  <c r="I114" i="4"/>
  <c r="H114" i="4"/>
  <c r="F114" i="4"/>
  <c r="C114" i="4"/>
  <c r="AC113" i="4"/>
  <c r="AD113" i="4" s="1"/>
  <c r="AA113" i="4"/>
  <c r="X113" i="4"/>
  <c r="W113" i="4"/>
  <c r="U113" i="4"/>
  <c r="R113" i="4"/>
  <c r="N113" i="4"/>
  <c r="O113" i="4" s="1"/>
  <c r="L113" i="4"/>
  <c r="H113" i="4"/>
  <c r="I113" i="4" s="1"/>
  <c r="F113" i="4"/>
  <c r="C113" i="4"/>
  <c r="AC112" i="4"/>
  <c r="AD112" i="4" s="1"/>
  <c r="AA112" i="4"/>
  <c r="X112" i="4"/>
  <c r="W112" i="4"/>
  <c r="U112" i="4"/>
  <c r="R112" i="4"/>
  <c r="N112" i="4"/>
  <c r="O112" i="4" s="1"/>
  <c r="L112" i="4"/>
  <c r="I112" i="4"/>
  <c r="H112" i="4"/>
  <c r="F112" i="4"/>
  <c r="C112" i="4"/>
  <c r="AD111" i="4"/>
  <c r="AC111" i="4"/>
  <c r="AA111" i="4"/>
  <c r="W111" i="4"/>
  <c r="X111" i="4" s="1"/>
  <c r="U111" i="4"/>
  <c r="R111" i="4"/>
  <c r="O111" i="4"/>
  <c r="N111" i="4"/>
  <c r="L111" i="4"/>
  <c r="I111" i="4"/>
  <c r="H111" i="4"/>
  <c r="F111" i="4"/>
  <c r="C111" i="4"/>
  <c r="AC110" i="4"/>
  <c r="AD110" i="4" s="1"/>
  <c r="AA110" i="4"/>
  <c r="W110" i="4"/>
  <c r="X110" i="4" s="1"/>
  <c r="U110" i="4"/>
  <c r="R110" i="4"/>
  <c r="O110" i="4"/>
  <c r="N110" i="4"/>
  <c r="L110" i="4"/>
  <c r="I110" i="4"/>
  <c r="H110" i="4"/>
  <c r="F110" i="4"/>
  <c r="C110" i="4"/>
  <c r="AD109" i="4"/>
  <c r="AC109" i="4"/>
  <c r="AA109" i="4"/>
  <c r="X109" i="4"/>
  <c r="W109" i="4"/>
  <c r="U109" i="4"/>
  <c r="R109" i="4"/>
  <c r="N109" i="4"/>
  <c r="O109" i="4" s="1"/>
  <c r="L109" i="4"/>
  <c r="H109" i="4"/>
  <c r="I109" i="4" s="1"/>
  <c r="F109" i="4"/>
  <c r="C109" i="4"/>
  <c r="AD108" i="4"/>
  <c r="AC108" i="4"/>
  <c r="AA108" i="4"/>
  <c r="X108" i="4"/>
  <c r="W108" i="4"/>
  <c r="U108" i="4"/>
  <c r="R108" i="4"/>
  <c r="N108" i="4"/>
  <c r="O108" i="4" s="1"/>
  <c r="L108" i="4"/>
  <c r="H108" i="4"/>
  <c r="I108" i="4" s="1"/>
  <c r="F108" i="4"/>
  <c r="C108" i="4"/>
  <c r="AD107" i="4"/>
  <c r="AC107" i="4"/>
  <c r="AA107" i="4"/>
  <c r="X107" i="4"/>
  <c r="W107" i="4"/>
  <c r="U107" i="4"/>
  <c r="R107" i="4"/>
  <c r="O107" i="4"/>
  <c r="N107" i="4"/>
  <c r="L107" i="4"/>
  <c r="H107" i="4"/>
  <c r="I107" i="4" s="1"/>
  <c r="F107" i="4"/>
  <c r="C107" i="4"/>
  <c r="AC106" i="4"/>
  <c r="AD106" i="4" s="1"/>
  <c r="AA106" i="4"/>
  <c r="W106" i="4"/>
  <c r="X106" i="4" s="1"/>
  <c r="U106" i="4"/>
  <c r="R106" i="4"/>
  <c r="O106" i="4"/>
  <c r="N106" i="4"/>
  <c r="L106" i="4"/>
  <c r="I106" i="4"/>
  <c r="H106" i="4"/>
  <c r="F106" i="4"/>
  <c r="C106" i="4"/>
  <c r="AC105" i="4"/>
  <c r="AD105" i="4" s="1"/>
  <c r="AA105" i="4"/>
  <c r="X105" i="4"/>
  <c r="W105" i="4"/>
  <c r="U105" i="4"/>
  <c r="R105" i="4"/>
  <c r="N105" i="4"/>
  <c r="O105" i="4" s="1"/>
  <c r="L105" i="4"/>
  <c r="H105" i="4"/>
  <c r="I105" i="4" s="1"/>
  <c r="F105" i="4"/>
  <c r="C105" i="4"/>
  <c r="AC104" i="4"/>
  <c r="AD104" i="4" s="1"/>
  <c r="AA104" i="4"/>
  <c r="X104" i="4"/>
  <c r="W104" i="4"/>
  <c r="U104" i="4"/>
  <c r="R104" i="4"/>
  <c r="N104" i="4"/>
  <c r="O104" i="4" s="1"/>
  <c r="L104" i="4"/>
  <c r="I104" i="4"/>
  <c r="H104" i="4"/>
  <c r="F104" i="4"/>
  <c r="C104" i="4"/>
  <c r="AD103" i="4"/>
  <c r="AC103" i="4"/>
  <c r="AA103" i="4"/>
  <c r="W103" i="4"/>
  <c r="X103" i="4" s="1"/>
  <c r="U103" i="4"/>
  <c r="R103" i="4"/>
  <c r="O103" i="4"/>
  <c r="N103" i="4"/>
  <c r="L103" i="4"/>
  <c r="I103" i="4"/>
  <c r="H103" i="4"/>
  <c r="F103" i="4"/>
  <c r="C103" i="4"/>
  <c r="AC102" i="4"/>
  <c r="AD102" i="4" s="1"/>
  <c r="AA102" i="4"/>
  <c r="W102" i="4"/>
  <c r="X102" i="4" s="1"/>
  <c r="U102" i="4"/>
  <c r="R102" i="4"/>
  <c r="O102" i="4"/>
  <c r="N102" i="4"/>
  <c r="L102" i="4"/>
  <c r="I102" i="4"/>
  <c r="H102" i="4"/>
  <c r="F102" i="4"/>
  <c r="C102" i="4"/>
  <c r="AD101" i="4"/>
  <c r="AC101" i="4"/>
  <c r="AA101" i="4"/>
  <c r="X101" i="4"/>
  <c r="W101" i="4"/>
  <c r="U101" i="4"/>
  <c r="R101" i="4"/>
  <c r="N101" i="4"/>
  <c r="O101" i="4" s="1"/>
  <c r="L101" i="4"/>
  <c r="H101" i="4"/>
  <c r="I101" i="4" s="1"/>
  <c r="F101" i="4"/>
  <c r="C101" i="4"/>
  <c r="AC100" i="4"/>
  <c r="AD100" i="4" s="1"/>
  <c r="AA100" i="4"/>
  <c r="X100" i="4"/>
  <c r="W100" i="4"/>
  <c r="U100" i="4"/>
  <c r="R100" i="4"/>
  <c r="N100" i="4"/>
  <c r="O100" i="4" s="1"/>
  <c r="L100" i="4"/>
  <c r="H100" i="4"/>
  <c r="I100" i="4" s="1"/>
  <c r="F100" i="4"/>
  <c r="C100" i="4"/>
  <c r="AD99" i="4"/>
  <c r="AC99" i="4"/>
  <c r="AA99" i="4"/>
  <c r="W99" i="4"/>
  <c r="X99" i="4" s="1"/>
  <c r="U99" i="4"/>
  <c r="R99" i="4"/>
  <c r="O99" i="4"/>
  <c r="N99" i="4"/>
  <c r="L99" i="4"/>
  <c r="H99" i="4"/>
  <c r="I99" i="4" s="1"/>
  <c r="F99" i="4"/>
  <c r="C99" i="4"/>
  <c r="AC98" i="4"/>
  <c r="AD98" i="4" s="1"/>
  <c r="AA98" i="4"/>
  <c r="W98" i="4"/>
  <c r="X98" i="4" s="1"/>
  <c r="U98" i="4"/>
  <c r="R98" i="4"/>
  <c r="O98" i="4"/>
  <c r="N98" i="4"/>
  <c r="L98" i="4"/>
  <c r="I98" i="4"/>
  <c r="H98" i="4"/>
  <c r="F98" i="4"/>
  <c r="C98" i="4"/>
  <c r="AC97" i="4"/>
  <c r="AD97" i="4" s="1"/>
  <c r="AA97" i="4"/>
  <c r="X97" i="4"/>
  <c r="W97" i="4"/>
  <c r="U97" i="4"/>
  <c r="R97" i="4"/>
  <c r="N97" i="4"/>
  <c r="O97" i="4" s="1"/>
  <c r="L97" i="4"/>
  <c r="H97" i="4"/>
  <c r="I97" i="4" s="1"/>
  <c r="F97" i="4"/>
  <c r="C97" i="4"/>
  <c r="AC96" i="4"/>
  <c r="AD96" i="4" s="1"/>
  <c r="AA96" i="4"/>
  <c r="X96" i="4"/>
  <c r="W96" i="4"/>
  <c r="U96" i="4"/>
  <c r="R96" i="4"/>
  <c r="N96" i="4"/>
  <c r="O96" i="4" s="1"/>
  <c r="L96" i="4"/>
  <c r="I96" i="4"/>
  <c r="H96" i="4"/>
  <c r="F96" i="4"/>
  <c r="C96" i="4"/>
  <c r="AD95" i="4"/>
  <c r="AC95" i="4"/>
  <c r="AA95" i="4"/>
  <c r="W95" i="4"/>
  <c r="X95" i="4" s="1"/>
  <c r="U95" i="4"/>
  <c r="R95" i="4"/>
  <c r="O95" i="4"/>
  <c r="N95" i="4"/>
  <c r="L95" i="4"/>
  <c r="I95" i="4"/>
  <c r="H95" i="4"/>
  <c r="F95" i="4"/>
  <c r="C95" i="4"/>
  <c r="AC94" i="4"/>
  <c r="AD94" i="4" s="1"/>
  <c r="AA94" i="4"/>
  <c r="W94" i="4"/>
  <c r="X94" i="4" s="1"/>
  <c r="U94" i="4"/>
  <c r="R94" i="4"/>
  <c r="O94" i="4"/>
  <c r="N94" i="4"/>
  <c r="L94" i="4"/>
  <c r="I94" i="4"/>
  <c r="H94" i="4"/>
  <c r="F94" i="4"/>
  <c r="C94" i="4"/>
  <c r="AD92" i="4"/>
  <c r="AC92" i="4"/>
  <c r="AA92" i="4"/>
  <c r="X92" i="4"/>
  <c r="W92" i="4"/>
  <c r="U92" i="4"/>
  <c r="R92" i="4"/>
  <c r="N92" i="4"/>
  <c r="O92" i="4" s="1"/>
  <c r="L92" i="4"/>
  <c r="H92" i="4"/>
  <c r="I92" i="4" s="1"/>
  <c r="F92" i="4"/>
  <c r="C92" i="4"/>
  <c r="AC91" i="4"/>
  <c r="AD91" i="4" s="1"/>
  <c r="AA91" i="4"/>
  <c r="X91" i="4"/>
  <c r="W91" i="4"/>
  <c r="U91" i="4"/>
  <c r="R91" i="4"/>
  <c r="N91" i="4"/>
  <c r="O91" i="4" s="1"/>
  <c r="L91" i="4"/>
  <c r="I91" i="4"/>
  <c r="H91" i="4"/>
  <c r="F91" i="4"/>
  <c r="C91" i="4"/>
  <c r="AD90" i="4"/>
  <c r="AC90" i="4"/>
  <c r="AA90" i="4"/>
  <c r="W90" i="4"/>
  <c r="X90" i="4" s="1"/>
  <c r="U90" i="4"/>
  <c r="R90" i="4"/>
  <c r="O90" i="4"/>
  <c r="N90" i="4"/>
  <c r="L90" i="4"/>
  <c r="H90" i="4"/>
  <c r="I90" i="4" s="1"/>
  <c r="F90" i="4"/>
  <c r="C90" i="4"/>
  <c r="AC89" i="4"/>
  <c r="AD89" i="4" s="1"/>
  <c r="AA89" i="4"/>
  <c r="W89" i="4"/>
  <c r="X89" i="4" s="1"/>
  <c r="U89" i="4"/>
  <c r="R89" i="4"/>
  <c r="O89" i="4"/>
  <c r="N89" i="4"/>
  <c r="L89" i="4"/>
  <c r="I89" i="4"/>
  <c r="H89" i="4"/>
  <c r="F89" i="4"/>
  <c r="C89" i="4"/>
  <c r="Z88" i="4"/>
  <c r="AA88" i="4" s="1"/>
  <c r="T88" i="4"/>
  <c r="U88" i="4" s="1"/>
  <c r="Q88" i="4"/>
  <c r="L88" i="4"/>
  <c r="K88" i="4"/>
  <c r="F88" i="4"/>
  <c r="E88" i="4"/>
  <c r="B88" i="4"/>
  <c r="AD87" i="4"/>
  <c r="AC87" i="4"/>
  <c r="AA87" i="4"/>
  <c r="X87" i="4"/>
  <c r="W87" i="4"/>
  <c r="U87" i="4"/>
  <c r="R87" i="4"/>
  <c r="O87" i="4"/>
  <c r="N87" i="4"/>
  <c r="L87" i="4"/>
  <c r="H87" i="4"/>
  <c r="I87" i="4" s="1"/>
  <c r="F87" i="4"/>
  <c r="C87" i="4"/>
  <c r="AC86" i="4"/>
  <c r="AD86" i="4" s="1"/>
  <c r="AA86" i="4"/>
  <c r="W86" i="4"/>
  <c r="X86" i="4" s="1"/>
  <c r="U86" i="4"/>
  <c r="R86" i="4"/>
  <c r="O86" i="4"/>
  <c r="N86" i="4"/>
  <c r="L86" i="4"/>
  <c r="I86" i="4"/>
  <c r="H86" i="4"/>
  <c r="F86" i="4"/>
  <c r="C86" i="4"/>
  <c r="AC85" i="4"/>
  <c r="AD85" i="4" s="1"/>
  <c r="AA85" i="4"/>
  <c r="X85" i="4"/>
  <c r="W85" i="4"/>
  <c r="U85" i="4"/>
  <c r="R85" i="4"/>
  <c r="N85" i="4"/>
  <c r="O85" i="4" s="1"/>
  <c r="L85" i="4"/>
  <c r="H85" i="4"/>
  <c r="I85" i="4" s="1"/>
  <c r="F85" i="4"/>
  <c r="C85" i="4"/>
  <c r="AD84" i="4"/>
  <c r="AC84" i="4"/>
  <c r="AA84" i="4"/>
  <c r="X84" i="4"/>
  <c r="W84" i="4"/>
  <c r="U84" i="4"/>
  <c r="R84" i="4"/>
  <c r="N84" i="4"/>
  <c r="O84" i="4" s="1"/>
  <c r="L84" i="4"/>
  <c r="H84" i="4"/>
  <c r="I84" i="4" s="1"/>
  <c r="F84" i="4"/>
  <c r="C84" i="4"/>
  <c r="AD83" i="4"/>
  <c r="AC83" i="4"/>
  <c r="AA83" i="4"/>
  <c r="X83" i="4"/>
  <c r="W83" i="4"/>
  <c r="U83" i="4"/>
  <c r="R83" i="4"/>
  <c r="O83" i="4"/>
  <c r="N83" i="4"/>
  <c r="L83" i="4"/>
  <c r="H83" i="4"/>
  <c r="I83" i="4" s="1"/>
  <c r="F83" i="4"/>
  <c r="C83" i="4"/>
  <c r="AC82" i="4"/>
  <c r="AD82" i="4" s="1"/>
  <c r="AA82" i="4"/>
  <c r="W82" i="4"/>
  <c r="X82" i="4" s="1"/>
  <c r="U82" i="4"/>
  <c r="R82" i="4"/>
  <c r="O82" i="4"/>
  <c r="N82" i="4"/>
  <c r="L82" i="4"/>
  <c r="I82" i="4"/>
  <c r="H82" i="4"/>
  <c r="F82" i="4"/>
  <c r="C82" i="4"/>
  <c r="AC81" i="4"/>
  <c r="AD81" i="4" s="1"/>
  <c r="AA81" i="4"/>
  <c r="X81" i="4"/>
  <c r="W81" i="4"/>
  <c r="U81" i="4"/>
  <c r="R81" i="4"/>
  <c r="O81" i="4"/>
  <c r="N81" i="4"/>
  <c r="L81" i="4"/>
  <c r="H81" i="4"/>
  <c r="I81" i="4" s="1"/>
  <c r="F81" i="4"/>
  <c r="C81" i="4"/>
  <c r="AC80" i="4"/>
  <c r="AD80" i="4" s="1"/>
  <c r="AA80" i="4"/>
  <c r="X80" i="4"/>
  <c r="W80" i="4"/>
  <c r="U80" i="4"/>
  <c r="R80" i="4"/>
  <c r="N80" i="4"/>
  <c r="O80" i="4" s="1"/>
  <c r="L80" i="4"/>
  <c r="H80" i="4"/>
  <c r="I80" i="4" s="1"/>
  <c r="F80" i="4"/>
  <c r="C80" i="4"/>
  <c r="AD79" i="4"/>
  <c r="AC79" i="4"/>
  <c r="AA79" i="4"/>
  <c r="W79" i="4"/>
  <c r="X79" i="4" s="1"/>
  <c r="U79" i="4"/>
  <c r="R79" i="4"/>
  <c r="O79" i="4"/>
  <c r="N79" i="4"/>
  <c r="L79" i="4"/>
  <c r="H79" i="4"/>
  <c r="I79" i="4" s="1"/>
  <c r="F79" i="4"/>
  <c r="C79" i="4"/>
  <c r="AC78" i="4"/>
  <c r="AD78" i="4" s="1"/>
  <c r="AA78" i="4"/>
  <c r="W78" i="4"/>
  <c r="X78" i="4" s="1"/>
  <c r="U78" i="4"/>
  <c r="R78" i="4"/>
  <c r="O78" i="4"/>
  <c r="N78" i="4"/>
  <c r="L78" i="4"/>
  <c r="I78" i="4"/>
  <c r="H78" i="4"/>
  <c r="F78" i="4"/>
  <c r="C78" i="4"/>
  <c r="AC77" i="4"/>
  <c r="AD77" i="4" s="1"/>
  <c r="AA77" i="4"/>
  <c r="X77" i="4"/>
  <c r="W77" i="4"/>
  <c r="U77" i="4"/>
  <c r="R77" i="4"/>
  <c r="N77" i="4"/>
  <c r="O77" i="4" s="1"/>
  <c r="L77" i="4"/>
  <c r="H77" i="4"/>
  <c r="I77" i="4" s="1"/>
  <c r="F77" i="4"/>
  <c r="C77" i="4"/>
  <c r="AD76" i="4"/>
  <c r="AC76" i="4"/>
  <c r="AA76" i="4"/>
  <c r="X76" i="4"/>
  <c r="W76" i="4"/>
  <c r="U76" i="4"/>
  <c r="R76" i="4"/>
  <c r="N76" i="4"/>
  <c r="O76" i="4" s="1"/>
  <c r="L76" i="4"/>
  <c r="H76" i="4"/>
  <c r="I76" i="4" s="1"/>
  <c r="F76" i="4"/>
  <c r="C76" i="4"/>
  <c r="AD75" i="4"/>
  <c r="AC75" i="4"/>
  <c r="AA75" i="4"/>
  <c r="X75" i="4"/>
  <c r="W75" i="4"/>
  <c r="U75" i="4"/>
  <c r="R75" i="4"/>
  <c r="O75" i="4"/>
  <c r="N75" i="4"/>
  <c r="L75" i="4"/>
  <c r="H75" i="4"/>
  <c r="I75" i="4" s="1"/>
  <c r="F75" i="4"/>
  <c r="C75" i="4"/>
  <c r="AC73" i="4"/>
  <c r="AD73" i="4" s="1"/>
  <c r="AA73" i="4"/>
  <c r="Z73" i="4"/>
  <c r="U73" i="4"/>
  <c r="T73" i="4"/>
  <c r="Q73" i="4"/>
  <c r="R73" i="4" s="1"/>
  <c r="K73" i="4"/>
  <c r="L73" i="4" s="1"/>
  <c r="H73" i="4"/>
  <c r="I73" i="4" s="1"/>
  <c r="E73" i="4"/>
  <c r="F73" i="4" s="1"/>
  <c r="C73" i="4"/>
  <c r="B73" i="4"/>
  <c r="AC72" i="4"/>
  <c r="AD72" i="4" s="1"/>
  <c r="AA72" i="4"/>
  <c r="X72" i="4"/>
  <c r="W72" i="4"/>
  <c r="U72" i="4"/>
  <c r="R72" i="4"/>
  <c r="N72" i="4"/>
  <c r="O72" i="4" s="1"/>
  <c r="L72" i="4"/>
  <c r="H72" i="4"/>
  <c r="I72" i="4" s="1"/>
  <c r="F72" i="4"/>
  <c r="C72" i="4"/>
  <c r="AD71" i="4"/>
  <c r="AC71" i="4"/>
  <c r="AA71" i="4"/>
  <c r="W71" i="4"/>
  <c r="X71" i="4" s="1"/>
  <c r="U71" i="4"/>
  <c r="R71" i="4"/>
  <c r="O71" i="4"/>
  <c r="N71" i="4"/>
  <c r="L71" i="4"/>
  <c r="H71" i="4"/>
  <c r="I71" i="4" s="1"/>
  <c r="F71" i="4"/>
  <c r="C71" i="4"/>
  <c r="AC70" i="4"/>
  <c r="AD70" i="4" s="1"/>
  <c r="AA70" i="4"/>
  <c r="W70" i="4"/>
  <c r="X70" i="4" s="1"/>
  <c r="U70" i="4"/>
  <c r="R70" i="4"/>
  <c r="O70" i="4"/>
  <c r="N70" i="4"/>
  <c r="L70" i="4"/>
  <c r="I70" i="4"/>
  <c r="H70" i="4"/>
  <c r="F70" i="4"/>
  <c r="C70" i="4"/>
  <c r="AC69" i="4"/>
  <c r="AD69" i="4" s="1"/>
  <c r="AA69" i="4"/>
  <c r="X69" i="4"/>
  <c r="W69" i="4"/>
  <c r="U69" i="4"/>
  <c r="R69" i="4"/>
  <c r="O69" i="4"/>
  <c r="N69" i="4"/>
  <c r="L69" i="4"/>
  <c r="H69" i="4"/>
  <c r="I69" i="4" s="1"/>
  <c r="F69" i="4"/>
  <c r="C69" i="4"/>
  <c r="AD68" i="4"/>
  <c r="AC68" i="4"/>
  <c r="AA68" i="4"/>
  <c r="X68" i="4"/>
  <c r="W68" i="4"/>
  <c r="U68" i="4"/>
  <c r="R68" i="4"/>
  <c r="N68" i="4"/>
  <c r="O68" i="4" s="1"/>
  <c r="L68" i="4"/>
  <c r="H68" i="4"/>
  <c r="I68" i="4" s="1"/>
  <c r="F68" i="4"/>
  <c r="C68" i="4"/>
  <c r="AD67" i="4"/>
  <c r="AC67" i="4"/>
  <c r="AA67" i="4"/>
  <c r="X67" i="4"/>
  <c r="W67" i="4"/>
  <c r="U67" i="4"/>
  <c r="R67" i="4"/>
  <c r="O67" i="4"/>
  <c r="N67" i="4"/>
  <c r="L67" i="4"/>
  <c r="H67" i="4"/>
  <c r="I67" i="4" s="1"/>
  <c r="F67" i="4"/>
  <c r="C67" i="4"/>
  <c r="AC66" i="4"/>
  <c r="AD66" i="4" s="1"/>
  <c r="AA66" i="4"/>
  <c r="W66" i="4"/>
  <c r="X66" i="4" s="1"/>
  <c r="U66" i="4"/>
  <c r="R66" i="4"/>
  <c r="O66" i="4"/>
  <c r="N66" i="4"/>
  <c r="L66" i="4"/>
  <c r="I66" i="4"/>
  <c r="H66" i="4"/>
  <c r="F66" i="4"/>
  <c r="C66" i="4"/>
  <c r="AC65" i="4"/>
  <c r="AD65" i="4" s="1"/>
  <c r="AA65" i="4"/>
  <c r="X65" i="4"/>
  <c r="W65" i="4"/>
  <c r="U65" i="4"/>
  <c r="R65" i="4"/>
  <c r="N65" i="4"/>
  <c r="O65" i="4" s="1"/>
  <c r="L65" i="4"/>
  <c r="H65" i="4"/>
  <c r="I65" i="4" s="1"/>
  <c r="F65" i="4"/>
  <c r="C65" i="4"/>
  <c r="AC64" i="4"/>
  <c r="AD64" i="4" s="1"/>
  <c r="AA64" i="4"/>
  <c r="X64" i="4"/>
  <c r="W64" i="4"/>
  <c r="U64" i="4"/>
  <c r="R64" i="4"/>
  <c r="N64" i="4"/>
  <c r="O64" i="4" s="1"/>
  <c r="L64" i="4"/>
  <c r="I64" i="4"/>
  <c r="H64" i="4"/>
  <c r="F64" i="4"/>
  <c r="C64" i="4"/>
  <c r="Z62" i="4"/>
  <c r="AA62" i="4" s="1"/>
  <c r="T62" i="4"/>
  <c r="U62" i="4" s="1"/>
  <c r="R62" i="4"/>
  <c r="Q62" i="4"/>
  <c r="L62" i="4"/>
  <c r="K62" i="4"/>
  <c r="F62" i="4"/>
  <c r="E62" i="4"/>
  <c r="B62" i="4"/>
  <c r="H62" i="4" s="1"/>
  <c r="I62" i="4" s="1"/>
  <c r="AC61" i="4"/>
  <c r="AD61" i="4" s="1"/>
  <c r="Z61" i="4"/>
  <c r="AA61" i="4" s="1"/>
  <c r="U61" i="4"/>
  <c r="T61" i="4"/>
  <c r="Q61" i="4"/>
  <c r="W61" i="4" s="1"/>
  <c r="X61" i="4" s="1"/>
  <c r="L61" i="4"/>
  <c r="K61" i="4"/>
  <c r="E61" i="4"/>
  <c r="F61" i="4" s="1"/>
  <c r="B61" i="4"/>
  <c r="C61" i="4" s="1"/>
  <c r="AD60" i="4"/>
  <c r="AC60" i="4"/>
  <c r="AA60" i="4"/>
  <c r="W60" i="4"/>
  <c r="X60" i="4" s="1"/>
  <c r="U60" i="4"/>
  <c r="R60" i="4"/>
  <c r="O60" i="4"/>
  <c r="N60" i="4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O59" i="4"/>
  <c r="N59" i="4"/>
  <c r="L59" i="4"/>
  <c r="I59" i="4"/>
  <c r="H59" i="4"/>
  <c r="F59" i="4"/>
  <c r="C59" i="4"/>
  <c r="AC58" i="4"/>
  <c r="AD58" i="4" s="1"/>
  <c r="AA58" i="4"/>
  <c r="W58" i="4"/>
  <c r="X58" i="4" s="1"/>
  <c r="U58" i="4"/>
  <c r="R58" i="4"/>
  <c r="O58" i="4"/>
  <c r="N58" i="4"/>
  <c r="L58" i="4"/>
  <c r="H58" i="4"/>
  <c r="I58" i="4" s="1"/>
  <c r="F58" i="4"/>
  <c r="C58" i="4"/>
  <c r="AD57" i="4"/>
  <c r="AC57" i="4"/>
  <c r="AA57" i="4"/>
  <c r="X57" i="4"/>
  <c r="W57" i="4"/>
  <c r="U57" i="4"/>
  <c r="R57" i="4"/>
  <c r="N57" i="4"/>
  <c r="O57" i="4" s="1"/>
  <c r="L57" i="4"/>
  <c r="H57" i="4"/>
  <c r="I57" i="4" s="1"/>
  <c r="F57" i="4"/>
  <c r="C57" i="4"/>
  <c r="AD56" i="4"/>
  <c r="AC56" i="4"/>
  <c r="AA56" i="4"/>
  <c r="X56" i="4"/>
  <c r="W56" i="4"/>
  <c r="U56" i="4"/>
  <c r="R56" i="4"/>
  <c r="N56" i="4"/>
  <c r="O56" i="4" s="1"/>
  <c r="L56" i="4"/>
  <c r="H56" i="4"/>
  <c r="I56" i="4" s="1"/>
  <c r="F56" i="4"/>
  <c r="C56" i="4"/>
  <c r="AC55" i="4"/>
  <c r="AD55" i="4" s="1"/>
  <c r="AA55" i="4"/>
  <c r="W55" i="4"/>
  <c r="X55" i="4" s="1"/>
  <c r="U55" i="4"/>
  <c r="R55" i="4"/>
  <c r="O55" i="4"/>
  <c r="N55" i="4"/>
  <c r="L55" i="4"/>
  <c r="I55" i="4"/>
  <c r="H55" i="4"/>
  <c r="F55" i="4"/>
  <c r="C55" i="4"/>
  <c r="AC54" i="4"/>
  <c r="AD54" i="4" s="1"/>
  <c r="AA54" i="4"/>
  <c r="X54" i="4"/>
  <c r="W54" i="4"/>
  <c r="U54" i="4"/>
  <c r="R54" i="4"/>
  <c r="N54" i="4"/>
  <c r="O54" i="4" s="1"/>
  <c r="L54" i="4"/>
  <c r="H54" i="4"/>
  <c r="I54" i="4" s="1"/>
  <c r="F54" i="4"/>
  <c r="C54" i="4"/>
  <c r="AC53" i="4"/>
  <c r="AD53" i="4" s="1"/>
  <c r="AA53" i="4"/>
  <c r="X53" i="4"/>
  <c r="W53" i="4"/>
  <c r="U53" i="4"/>
  <c r="R53" i="4"/>
  <c r="N53" i="4"/>
  <c r="O53" i="4" s="1"/>
  <c r="L53" i="4"/>
  <c r="I53" i="4"/>
  <c r="H53" i="4"/>
  <c r="F53" i="4"/>
  <c r="C53" i="4"/>
  <c r="AD52" i="4"/>
  <c r="AC52" i="4"/>
  <c r="AA52" i="4"/>
  <c r="W52" i="4"/>
  <c r="X52" i="4" s="1"/>
  <c r="U52" i="4"/>
  <c r="R52" i="4"/>
  <c r="O52" i="4"/>
  <c r="N52" i="4"/>
  <c r="L52" i="4"/>
  <c r="H52" i="4"/>
  <c r="I52" i="4" s="1"/>
  <c r="F52" i="4"/>
  <c r="C52" i="4"/>
  <c r="AC51" i="4"/>
  <c r="AD51" i="4" s="1"/>
  <c r="AA51" i="4"/>
  <c r="W51" i="4"/>
  <c r="X51" i="4" s="1"/>
  <c r="U51" i="4"/>
  <c r="R51" i="4"/>
  <c r="O51" i="4"/>
  <c r="N51" i="4"/>
  <c r="L51" i="4"/>
  <c r="I51" i="4"/>
  <c r="H51" i="4"/>
  <c r="F51" i="4"/>
  <c r="C51" i="4"/>
  <c r="AC50" i="4"/>
  <c r="AD50" i="4" s="1"/>
  <c r="AA50" i="4"/>
  <c r="W50" i="4"/>
  <c r="X50" i="4" s="1"/>
  <c r="U50" i="4"/>
  <c r="R50" i="4"/>
  <c r="O50" i="4"/>
  <c r="N50" i="4"/>
  <c r="L50" i="4"/>
  <c r="H50" i="4"/>
  <c r="I50" i="4" s="1"/>
  <c r="F50" i="4"/>
  <c r="C50" i="4"/>
  <c r="AD49" i="4"/>
  <c r="AC49" i="4"/>
  <c r="AA49" i="4"/>
  <c r="X49" i="4"/>
  <c r="W49" i="4"/>
  <c r="U49" i="4"/>
  <c r="R49" i="4"/>
  <c r="N49" i="4"/>
  <c r="O49" i="4" s="1"/>
  <c r="L49" i="4"/>
  <c r="H49" i="4"/>
  <c r="I49" i="4" s="1"/>
  <c r="F49" i="4"/>
  <c r="C49" i="4"/>
  <c r="AD48" i="4"/>
  <c r="AC48" i="4"/>
  <c r="AA48" i="4"/>
  <c r="X48" i="4"/>
  <c r="W48" i="4"/>
  <c r="U48" i="4"/>
  <c r="R48" i="4"/>
  <c r="N48" i="4"/>
  <c r="O48" i="4" s="1"/>
  <c r="L48" i="4"/>
  <c r="H48" i="4"/>
  <c r="I48" i="4" s="1"/>
  <c r="F48" i="4"/>
  <c r="C48" i="4"/>
  <c r="AC47" i="4"/>
  <c r="AD47" i="4" s="1"/>
  <c r="AA47" i="4"/>
  <c r="W47" i="4"/>
  <c r="X47" i="4" s="1"/>
  <c r="U47" i="4"/>
  <c r="R47" i="4"/>
  <c r="O47" i="4"/>
  <c r="N47" i="4"/>
  <c r="L47" i="4"/>
  <c r="I47" i="4"/>
  <c r="H47" i="4"/>
  <c r="F47" i="4"/>
  <c r="C47" i="4"/>
  <c r="AD46" i="4"/>
  <c r="AC46" i="4"/>
  <c r="AA46" i="4"/>
  <c r="X46" i="4"/>
  <c r="W46" i="4"/>
  <c r="U46" i="4"/>
  <c r="R46" i="4"/>
  <c r="N46" i="4"/>
  <c r="O46" i="4" s="1"/>
  <c r="L46" i="4"/>
  <c r="H46" i="4"/>
  <c r="I46" i="4" s="1"/>
  <c r="F46" i="4"/>
  <c r="C46" i="4"/>
  <c r="AC44" i="4"/>
  <c r="AD44" i="4" s="1"/>
  <c r="AA44" i="4"/>
  <c r="X44" i="4"/>
  <c r="W44" i="4"/>
  <c r="U44" i="4"/>
  <c r="R44" i="4"/>
  <c r="N44" i="4"/>
  <c r="O44" i="4" s="1"/>
  <c r="L44" i="4"/>
  <c r="I44" i="4"/>
  <c r="H44" i="4"/>
  <c r="F44" i="4"/>
  <c r="C44" i="4"/>
  <c r="AD43" i="4"/>
  <c r="AC43" i="4"/>
  <c r="AA43" i="4"/>
  <c r="W43" i="4"/>
  <c r="X43" i="4" s="1"/>
  <c r="U43" i="4"/>
  <c r="R43" i="4"/>
  <c r="O43" i="4"/>
  <c r="N43" i="4"/>
  <c r="L43" i="4"/>
  <c r="H43" i="4"/>
  <c r="I43" i="4" s="1"/>
  <c r="F43" i="4"/>
  <c r="C43" i="4"/>
  <c r="AC42" i="4"/>
  <c r="AD42" i="4" s="1"/>
  <c r="AA42" i="4"/>
  <c r="W42" i="4"/>
  <c r="X42" i="4" s="1"/>
  <c r="U42" i="4"/>
  <c r="R42" i="4"/>
  <c r="O42" i="4"/>
  <c r="N42" i="4"/>
  <c r="L42" i="4"/>
  <c r="I42" i="4"/>
  <c r="H42" i="4"/>
  <c r="F42" i="4"/>
  <c r="C42" i="4"/>
  <c r="Z40" i="4"/>
  <c r="AA40" i="4" s="1"/>
  <c r="U40" i="4"/>
  <c r="T40" i="4"/>
  <c r="Q40" i="4"/>
  <c r="L40" i="4"/>
  <c r="K40" i="4"/>
  <c r="F40" i="4"/>
  <c r="E40" i="4"/>
  <c r="B40" i="4"/>
  <c r="AD39" i="4"/>
  <c r="AC39" i="4"/>
  <c r="AA39" i="4"/>
  <c r="W39" i="4"/>
  <c r="X39" i="4" s="1"/>
  <c r="U39" i="4"/>
  <c r="R39" i="4"/>
  <c r="O39" i="4"/>
  <c r="N39" i="4"/>
  <c r="L39" i="4"/>
  <c r="I39" i="4"/>
  <c r="H39" i="4"/>
  <c r="F39" i="4"/>
  <c r="C39" i="4"/>
  <c r="AC38" i="4"/>
  <c r="AD38" i="4" s="1"/>
  <c r="AA38" i="4"/>
  <c r="W38" i="4"/>
  <c r="X38" i="4" s="1"/>
  <c r="U38" i="4"/>
  <c r="R38" i="4"/>
  <c r="O38" i="4"/>
  <c r="N38" i="4"/>
  <c r="L38" i="4"/>
  <c r="I38" i="4"/>
  <c r="H38" i="4"/>
  <c r="F38" i="4"/>
  <c r="C38" i="4"/>
  <c r="AD37" i="4"/>
  <c r="AC37" i="4"/>
  <c r="AA37" i="4"/>
  <c r="X37" i="4"/>
  <c r="W37" i="4"/>
  <c r="U37" i="4"/>
  <c r="R37" i="4"/>
  <c r="N37" i="4"/>
  <c r="O37" i="4" s="1"/>
  <c r="L37" i="4"/>
  <c r="H37" i="4"/>
  <c r="I37" i="4" s="1"/>
  <c r="F37" i="4"/>
  <c r="C37" i="4"/>
  <c r="AD36" i="4"/>
  <c r="AC36" i="4"/>
  <c r="AA36" i="4"/>
  <c r="X36" i="4"/>
  <c r="W36" i="4"/>
  <c r="U36" i="4"/>
  <c r="R36" i="4"/>
  <c r="N36" i="4"/>
  <c r="O36" i="4" s="1"/>
  <c r="L36" i="4"/>
  <c r="H36" i="4"/>
  <c r="I36" i="4" s="1"/>
  <c r="F36" i="4"/>
  <c r="C36" i="4"/>
  <c r="AD35" i="4"/>
  <c r="AC35" i="4"/>
  <c r="AA35" i="4"/>
  <c r="X35" i="4"/>
  <c r="W35" i="4"/>
  <c r="U35" i="4"/>
  <c r="R35" i="4"/>
  <c r="N35" i="4"/>
  <c r="O35" i="4" s="1"/>
  <c r="L35" i="4"/>
  <c r="H35" i="4"/>
  <c r="I35" i="4" s="1"/>
  <c r="F35" i="4"/>
  <c r="C35" i="4"/>
  <c r="AC34" i="4"/>
  <c r="AD34" i="4" s="1"/>
  <c r="AA34" i="4"/>
  <c r="W34" i="4"/>
  <c r="X34" i="4" s="1"/>
  <c r="U34" i="4"/>
  <c r="R34" i="4"/>
  <c r="O34" i="4"/>
  <c r="N34" i="4"/>
  <c r="L34" i="4"/>
  <c r="I34" i="4"/>
  <c r="H34" i="4"/>
  <c r="F34" i="4"/>
  <c r="C34" i="4"/>
  <c r="AC33" i="4"/>
  <c r="AD33" i="4" s="1"/>
  <c r="AA33" i="4"/>
  <c r="W33" i="4"/>
  <c r="X33" i="4" s="1"/>
  <c r="U33" i="4"/>
  <c r="R33" i="4"/>
  <c r="O33" i="4"/>
  <c r="N33" i="4"/>
  <c r="L33" i="4"/>
  <c r="H33" i="4"/>
  <c r="I33" i="4" s="1"/>
  <c r="F33" i="4"/>
  <c r="C33" i="4"/>
  <c r="AC32" i="4"/>
  <c r="AD32" i="4" s="1"/>
  <c r="AA32" i="4"/>
  <c r="X32" i="4"/>
  <c r="W32" i="4"/>
  <c r="U32" i="4"/>
  <c r="R32" i="4"/>
  <c r="N32" i="4"/>
  <c r="O32" i="4" s="1"/>
  <c r="L32" i="4"/>
  <c r="I32" i="4"/>
  <c r="H32" i="4"/>
  <c r="F32" i="4"/>
  <c r="C32" i="4"/>
  <c r="AD31" i="4"/>
  <c r="AC31" i="4"/>
  <c r="AA31" i="4"/>
  <c r="W31" i="4"/>
  <c r="X31" i="4" s="1"/>
  <c r="U31" i="4"/>
  <c r="R31" i="4"/>
  <c r="O31" i="4"/>
  <c r="N31" i="4"/>
  <c r="L31" i="4"/>
  <c r="I31" i="4"/>
  <c r="H31" i="4"/>
  <c r="F31" i="4"/>
  <c r="C31" i="4"/>
  <c r="AA29" i="4"/>
  <c r="Z29" i="4"/>
  <c r="T29" i="4"/>
  <c r="W29" i="4" s="1"/>
  <c r="X29" i="4" s="1"/>
  <c r="Q29" i="4"/>
  <c r="R29" i="4" s="1"/>
  <c r="L29" i="4"/>
  <c r="K29" i="4"/>
  <c r="H29" i="4"/>
  <c r="I29" i="4" s="1"/>
  <c r="E29" i="4"/>
  <c r="F29" i="4" s="1"/>
  <c r="C29" i="4"/>
  <c r="B29" i="4"/>
  <c r="N29" i="4" s="1"/>
  <c r="O29" i="4" s="1"/>
  <c r="AC28" i="4"/>
  <c r="AD28" i="4" s="1"/>
  <c r="AA28" i="4"/>
  <c r="X28" i="4"/>
  <c r="W28" i="4"/>
  <c r="U28" i="4"/>
  <c r="R28" i="4"/>
  <c r="N28" i="4"/>
  <c r="O28" i="4" s="1"/>
  <c r="L28" i="4"/>
  <c r="I28" i="4"/>
  <c r="H28" i="4"/>
  <c r="F28" i="4"/>
  <c r="C28" i="4"/>
  <c r="AD27" i="4"/>
  <c r="AC27" i="4"/>
  <c r="AA27" i="4"/>
  <c r="W27" i="4"/>
  <c r="X27" i="4" s="1"/>
  <c r="U27" i="4"/>
  <c r="R27" i="4"/>
  <c r="O27" i="4"/>
  <c r="N27" i="4"/>
  <c r="L27" i="4"/>
  <c r="I27" i="4"/>
  <c r="H27" i="4"/>
  <c r="F27" i="4"/>
  <c r="C27" i="4"/>
  <c r="AC26" i="4"/>
  <c r="AD26" i="4" s="1"/>
  <c r="AA26" i="4"/>
  <c r="W26" i="4"/>
  <c r="X26" i="4" s="1"/>
  <c r="U26" i="4"/>
  <c r="R26" i="4"/>
  <c r="O26" i="4"/>
  <c r="N26" i="4"/>
  <c r="L26" i="4"/>
  <c r="I26" i="4"/>
  <c r="H26" i="4"/>
  <c r="F26" i="4"/>
  <c r="C26" i="4"/>
  <c r="AD25" i="4"/>
  <c r="AC25" i="4"/>
  <c r="AA25" i="4"/>
  <c r="W25" i="4"/>
  <c r="X25" i="4" s="1"/>
  <c r="U25" i="4"/>
  <c r="R25" i="4"/>
  <c r="N25" i="4"/>
  <c r="O25" i="4" s="1"/>
  <c r="L25" i="4"/>
  <c r="H25" i="4"/>
  <c r="I25" i="4" s="1"/>
  <c r="F25" i="4"/>
  <c r="C25" i="4"/>
  <c r="AD24" i="4"/>
  <c r="AC24" i="4"/>
  <c r="AA24" i="4"/>
  <c r="X24" i="4"/>
  <c r="W24" i="4"/>
  <c r="U24" i="4"/>
  <c r="R24" i="4"/>
  <c r="N24" i="4"/>
  <c r="O24" i="4" s="1"/>
  <c r="L24" i="4"/>
  <c r="H24" i="4"/>
  <c r="I24" i="4" s="1"/>
  <c r="F24" i="4"/>
  <c r="C24" i="4"/>
  <c r="AD23" i="4"/>
  <c r="AC23" i="4"/>
  <c r="AA23" i="4"/>
  <c r="X23" i="4"/>
  <c r="W23" i="4"/>
  <c r="U23" i="4"/>
  <c r="R23" i="4"/>
  <c r="N23" i="4"/>
  <c r="O23" i="4" s="1"/>
  <c r="L23" i="4"/>
  <c r="H23" i="4"/>
  <c r="I23" i="4" s="1"/>
  <c r="F23" i="4"/>
  <c r="C23" i="4"/>
  <c r="AC22" i="4"/>
  <c r="AD22" i="4" s="1"/>
  <c r="AA22" i="4"/>
  <c r="W22" i="4"/>
  <c r="X22" i="4" s="1"/>
  <c r="U22" i="4"/>
  <c r="R22" i="4"/>
  <c r="O22" i="4"/>
  <c r="N22" i="4"/>
  <c r="L22" i="4"/>
  <c r="I22" i="4"/>
  <c r="H22" i="4"/>
  <c r="F22" i="4"/>
  <c r="C22" i="4"/>
  <c r="AC21" i="4"/>
  <c r="AD21" i="4" s="1"/>
  <c r="AA21" i="4"/>
  <c r="W21" i="4"/>
  <c r="X21" i="4" s="1"/>
  <c r="U21" i="4"/>
  <c r="R21" i="4"/>
  <c r="N21" i="4"/>
  <c r="O21" i="4" s="1"/>
  <c r="L21" i="4"/>
  <c r="H21" i="4"/>
  <c r="I21" i="4" s="1"/>
  <c r="F21" i="4"/>
  <c r="C21" i="4"/>
  <c r="AC19" i="4"/>
  <c r="AD19" i="4" s="1"/>
  <c r="AA19" i="4"/>
  <c r="X19" i="4"/>
  <c r="W19" i="4"/>
  <c r="U19" i="4"/>
  <c r="R19" i="4"/>
  <c r="N19" i="4"/>
  <c r="O19" i="4" s="1"/>
  <c r="L19" i="4"/>
  <c r="I19" i="4"/>
  <c r="H19" i="4"/>
  <c r="F19" i="4"/>
  <c r="C19" i="4"/>
  <c r="Z18" i="4"/>
  <c r="AA18" i="4" s="1"/>
  <c r="W18" i="4"/>
  <c r="X18" i="4" s="1"/>
  <c r="T18" i="4"/>
  <c r="U18" i="4" s="1"/>
  <c r="R18" i="4"/>
  <c r="Q18" i="4"/>
  <c r="N18" i="4"/>
  <c r="O18" i="4" s="1"/>
  <c r="L18" i="4"/>
  <c r="K18" i="4"/>
  <c r="H18" i="4"/>
  <c r="I18" i="4" s="1"/>
  <c r="F18" i="4"/>
  <c r="E18" i="4"/>
  <c r="C18" i="4"/>
  <c r="B18" i="4"/>
  <c r="AC17" i="4"/>
  <c r="AD17" i="4" s="1"/>
  <c r="AA17" i="4"/>
  <c r="X17" i="4"/>
  <c r="W17" i="4"/>
  <c r="U17" i="4"/>
  <c r="R17" i="4"/>
  <c r="N17" i="4"/>
  <c r="O17" i="4" s="1"/>
  <c r="L17" i="4"/>
  <c r="H17" i="4"/>
  <c r="I17" i="4" s="1"/>
  <c r="F17" i="4"/>
  <c r="C17" i="4"/>
  <c r="AC16" i="4"/>
  <c r="AD16" i="4" s="1"/>
  <c r="AA16" i="4"/>
  <c r="X16" i="4"/>
  <c r="W16" i="4"/>
  <c r="U16" i="4"/>
  <c r="R16" i="4"/>
  <c r="N16" i="4"/>
  <c r="O16" i="4" s="1"/>
  <c r="L16" i="4"/>
  <c r="I16" i="4"/>
  <c r="H16" i="4"/>
  <c r="F16" i="4"/>
  <c r="C16" i="4"/>
  <c r="AD15" i="4"/>
  <c r="AC15" i="4"/>
  <c r="AA15" i="4"/>
  <c r="W15" i="4"/>
  <c r="X15" i="4" s="1"/>
  <c r="U15" i="4"/>
  <c r="R15" i="4"/>
  <c r="O15" i="4"/>
  <c r="N15" i="4"/>
  <c r="L15" i="4"/>
  <c r="H15" i="4"/>
  <c r="I15" i="4" s="1"/>
  <c r="F15" i="4"/>
  <c r="C15" i="4"/>
  <c r="AC14" i="4"/>
  <c r="AD14" i="4" s="1"/>
  <c r="AA14" i="4"/>
  <c r="W14" i="4"/>
  <c r="X14" i="4" s="1"/>
  <c r="U14" i="4"/>
  <c r="R14" i="4"/>
  <c r="O14" i="4"/>
  <c r="N14" i="4"/>
  <c r="L14" i="4"/>
  <c r="I14" i="4"/>
  <c r="H14" i="4"/>
  <c r="F14" i="4"/>
  <c r="C14" i="4"/>
  <c r="AC13" i="4"/>
  <c r="AD13" i="4" s="1"/>
  <c r="AA13" i="4"/>
  <c r="W13" i="4"/>
  <c r="X13" i="4" s="1"/>
  <c r="U13" i="4"/>
  <c r="R13" i="4"/>
  <c r="O13" i="4"/>
  <c r="N13" i="4"/>
  <c r="L13" i="4"/>
  <c r="H13" i="4"/>
  <c r="I13" i="4" s="1"/>
  <c r="F13" i="4"/>
  <c r="C13" i="4"/>
  <c r="AD12" i="4"/>
  <c r="AC12" i="4"/>
  <c r="AA12" i="4"/>
  <c r="X12" i="4"/>
  <c r="W12" i="4"/>
  <c r="U12" i="4"/>
  <c r="R12" i="4"/>
  <c r="N12" i="4"/>
  <c r="O12" i="4" s="1"/>
  <c r="L12" i="4"/>
  <c r="H12" i="4"/>
  <c r="I12" i="4" s="1"/>
  <c r="F12" i="4"/>
  <c r="C12" i="4"/>
  <c r="AD11" i="4"/>
  <c r="AC11" i="4"/>
  <c r="AA11" i="4"/>
  <c r="X11" i="4"/>
  <c r="W11" i="4"/>
  <c r="U11" i="4"/>
  <c r="R11" i="4"/>
  <c r="N11" i="4"/>
  <c r="O11" i="4" s="1"/>
  <c r="L11" i="4"/>
  <c r="H11" i="4"/>
  <c r="I11" i="4" s="1"/>
  <c r="F11" i="4"/>
  <c r="C11" i="4"/>
  <c r="AC10" i="4"/>
  <c r="AD10" i="4" s="1"/>
  <c r="AA10" i="4"/>
  <c r="W10" i="4"/>
  <c r="X10" i="4" s="1"/>
  <c r="U10" i="4"/>
  <c r="R10" i="4"/>
  <c r="O10" i="4"/>
  <c r="N10" i="4"/>
  <c r="L10" i="4"/>
  <c r="I10" i="4"/>
  <c r="H10" i="4"/>
  <c r="F10" i="4"/>
  <c r="C10" i="4"/>
  <c r="AC8" i="4"/>
  <c r="AD8" i="4" s="1"/>
  <c r="AA8" i="4"/>
  <c r="X8" i="4"/>
  <c r="W8" i="4"/>
  <c r="U8" i="4"/>
  <c r="R8" i="4"/>
  <c r="N8" i="4"/>
  <c r="O8" i="4" s="1"/>
  <c r="L8" i="4"/>
  <c r="H8" i="4"/>
  <c r="I8" i="4" s="1"/>
  <c r="F8" i="4"/>
  <c r="C8" i="4"/>
  <c r="AC444" i="3"/>
  <c r="AD423" i="3" s="1"/>
  <c r="W444" i="3"/>
  <c r="X420" i="3" s="1"/>
  <c r="N444" i="3"/>
  <c r="O434" i="3" s="1"/>
  <c r="H444" i="3"/>
  <c r="I426" i="3" s="1"/>
  <c r="AC442" i="3"/>
  <c r="AD442" i="3" s="1"/>
  <c r="AA442" i="3"/>
  <c r="Z442" i="3"/>
  <c r="W442" i="3"/>
  <c r="X442" i="3" s="1"/>
  <c r="U442" i="3"/>
  <c r="T442" i="3"/>
  <c r="Q442" i="3"/>
  <c r="R442" i="3" s="1"/>
  <c r="K442" i="3"/>
  <c r="L442" i="3" s="1"/>
  <c r="I442" i="3"/>
  <c r="E442" i="3"/>
  <c r="F442" i="3" s="1"/>
  <c r="B442" i="3"/>
  <c r="H442" i="3" s="1"/>
  <c r="AA441" i="3"/>
  <c r="Z441" i="3"/>
  <c r="T441" i="3"/>
  <c r="U441" i="3" s="1"/>
  <c r="Q441" i="3"/>
  <c r="R441" i="3" s="1"/>
  <c r="L441" i="3"/>
  <c r="K441" i="3"/>
  <c r="E441" i="3"/>
  <c r="F441" i="3" s="1"/>
  <c r="C441" i="3"/>
  <c r="B441" i="3"/>
  <c r="N441" i="3" s="1"/>
  <c r="O441" i="3" s="1"/>
  <c r="AC440" i="3"/>
  <c r="AD440" i="3" s="1"/>
  <c r="AA440" i="3"/>
  <c r="X440" i="3"/>
  <c r="W440" i="3"/>
  <c r="U440" i="3"/>
  <c r="R440" i="3"/>
  <c r="N440" i="3"/>
  <c r="O440" i="3" s="1"/>
  <c r="L440" i="3"/>
  <c r="I440" i="3"/>
  <c r="H440" i="3"/>
  <c r="F440" i="3"/>
  <c r="C440" i="3"/>
  <c r="AD439" i="3"/>
  <c r="AC439" i="3"/>
  <c r="AA439" i="3"/>
  <c r="W439" i="3"/>
  <c r="X439" i="3" s="1"/>
  <c r="U439" i="3"/>
  <c r="R439" i="3"/>
  <c r="N439" i="3"/>
  <c r="O439" i="3" s="1"/>
  <c r="L439" i="3"/>
  <c r="I439" i="3"/>
  <c r="H439" i="3"/>
  <c r="F439" i="3"/>
  <c r="C439" i="3"/>
  <c r="AC438" i="3"/>
  <c r="AD438" i="3" s="1"/>
  <c r="AA438" i="3"/>
  <c r="W438" i="3"/>
  <c r="U438" i="3"/>
  <c r="R438" i="3"/>
  <c r="O438" i="3"/>
  <c r="N438" i="3"/>
  <c r="L438" i="3"/>
  <c r="I438" i="3"/>
  <c r="H438" i="3"/>
  <c r="F438" i="3"/>
  <c r="C438" i="3"/>
  <c r="AD437" i="3"/>
  <c r="AC437" i="3"/>
  <c r="AA437" i="3"/>
  <c r="W437" i="3"/>
  <c r="X437" i="3" s="1"/>
  <c r="U437" i="3"/>
  <c r="R437" i="3"/>
  <c r="N437" i="3"/>
  <c r="O437" i="3" s="1"/>
  <c r="L437" i="3"/>
  <c r="H437" i="3"/>
  <c r="I437" i="3" s="1"/>
  <c r="F437" i="3"/>
  <c r="C437" i="3"/>
  <c r="AC436" i="3"/>
  <c r="AD436" i="3" s="1"/>
  <c r="AA436" i="3"/>
  <c r="X436" i="3"/>
  <c r="W436" i="3"/>
  <c r="U436" i="3"/>
  <c r="R436" i="3"/>
  <c r="N436" i="3"/>
  <c r="O436" i="3" s="1"/>
  <c r="L436" i="3"/>
  <c r="H436" i="3"/>
  <c r="I436" i="3" s="1"/>
  <c r="F436" i="3"/>
  <c r="C436" i="3"/>
  <c r="AD435" i="3"/>
  <c r="AC435" i="3"/>
  <c r="AA435" i="3"/>
  <c r="W435" i="3"/>
  <c r="X435" i="3" s="1"/>
  <c r="U435" i="3"/>
  <c r="R435" i="3"/>
  <c r="N435" i="3"/>
  <c r="O435" i="3" s="1"/>
  <c r="L435" i="3"/>
  <c r="I435" i="3"/>
  <c r="H435" i="3"/>
  <c r="F435" i="3"/>
  <c r="C435" i="3"/>
  <c r="AC434" i="3"/>
  <c r="AD434" i="3" s="1"/>
  <c r="AA434" i="3"/>
  <c r="W434" i="3"/>
  <c r="X434" i="3" s="1"/>
  <c r="U434" i="3"/>
  <c r="R434" i="3"/>
  <c r="N434" i="3"/>
  <c r="L434" i="3"/>
  <c r="I434" i="3"/>
  <c r="H434" i="3"/>
  <c r="F434" i="3"/>
  <c r="C434" i="3"/>
  <c r="AD433" i="3"/>
  <c r="AC433" i="3"/>
  <c r="AA433" i="3"/>
  <c r="W433" i="3"/>
  <c r="X433" i="3" s="1"/>
  <c r="U433" i="3"/>
  <c r="R433" i="3"/>
  <c r="N433" i="3"/>
  <c r="O433" i="3" s="1"/>
  <c r="L433" i="3"/>
  <c r="H433" i="3"/>
  <c r="F433" i="3"/>
  <c r="C433" i="3"/>
  <c r="AC432" i="3"/>
  <c r="AD432" i="3" s="1"/>
  <c r="AA432" i="3"/>
  <c r="X432" i="3"/>
  <c r="W432" i="3"/>
  <c r="U432" i="3"/>
  <c r="R432" i="3"/>
  <c r="N432" i="3"/>
  <c r="O432" i="3" s="1"/>
  <c r="L432" i="3"/>
  <c r="I432" i="3"/>
  <c r="H432" i="3"/>
  <c r="F432" i="3"/>
  <c r="C432" i="3"/>
  <c r="Z429" i="3"/>
  <c r="AA429" i="3" s="1"/>
  <c r="W429" i="3"/>
  <c r="X429" i="3" s="1"/>
  <c r="T429" i="3"/>
  <c r="U429" i="3" s="1"/>
  <c r="R429" i="3"/>
  <c r="Q429" i="3"/>
  <c r="L429" i="3"/>
  <c r="K429" i="3"/>
  <c r="N429" i="3" s="1"/>
  <c r="O429" i="3" s="1"/>
  <c r="H429" i="3"/>
  <c r="I429" i="3" s="1"/>
  <c r="F429" i="3"/>
  <c r="E429" i="3"/>
  <c r="B429" i="3"/>
  <c r="C429" i="3" s="1"/>
  <c r="AC428" i="3"/>
  <c r="AD428" i="3" s="1"/>
  <c r="Z428" i="3"/>
  <c r="AA428" i="3" s="1"/>
  <c r="T428" i="3"/>
  <c r="U428" i="3" s="1"/>
  <c r="Q428" i="3"/>
  <c r="N428" i="3"/>
  <c r="O428" i="3" s="1"/>
  <c r="L428" i="3"/>
  <c r="K428" i="3"/>
  <c r="F428" i="3"/>
  <c r="E428" i="3"/>
  <c r="B428" i="3"/>
  <c r="C428" i="3" s="1"/>
  <c r="AD427" i="3"/>
  <c r="AC427" i="3"/>
  <c r="AA427" i="3"/>
  <c r="X427" i="3"/>
  <c r="W427" i="3"/>
  <c r="U427" i="3"/>
  <c r="R427" i="3"/>
  <c r="N427" i="3"/>
  <c r="O427" i="3" s="1"/>
  <c r="L427" i="3"/>
  <c r="H427" i="3"/>
  <c r="I427" i="3" s="1"/>
  <c r="F427" i="3"/>
  <c r="C427" i="3"/>
  <c r="AC426" i="3"/>
  <c r="AD426" i="3" s="1"/>
  <c r="AA426" i="3"/>
  <c r="W426" i="3"/>
  <c r="X426" i="3" s="1"/>
  <c r="U426" i="3"/>
  <c r="R426" i="3"/>
  <c r="O426" i="3"/>
  <c r="N426" i="3"/>
  <c r="L426" i="3"/>
  <c r="H426" i="3"/>
  <c r="F426" i="3"/>
  <c r="C426" i="3"/>
  <c r="AC425" i="3"/>
  <c r="AD425" i="3" s="1"/>
  <c r="AA425" i="3"/>
  <c r="X425" i="3"/>
  <c r="W425" i="3"/>
  <c r="U425" i="3"/>
  <c r="R425" i="3"/>
  <c r="O425" i="3"/>
  <c r="N425" i="3"/>
  <c r="L425" i="3"/>
  <c r="H425" i="3"/>
  <c r="F425" i="3"/>
  <c r="C425" i="3"/>
  <c r="AC424" i="3"/>
  <c r="AD424" i="3" s="1"/>
  <c r="AA424" i="3"/>
  <c r="X424" i="3"/>
  <c r="W424" i="3"/>
  <c r="U424" i="3"/>
  <c r="R424" i="3"/>
  <c r="N424" i="3"/>
  <c r="L424" i="3"/>
  <c r="H424" i="3"/>
  <c r="I424" i="3" s="1"/>
  <c r="F424" i="3"/>
  <c r="C424" i="3"/>
  <c r="AC423" i="3"/>
  <c r="AA423" i="3"/>
  <c r="W423" i="3"/>
  <c r="X423" i="3" s="1"/>
  <c r="U423" i="3"/>
  <c r="R423" i="3"/>
  <c r="O423" i="3"/>
  <c r="N423" i="3"/>
  <c r="L423" i="3"/>
  <c r="H423" i="3"/>
  <c r="I423" i="3" s="1"/>
  <c r="F423" i="3"/>
  <c r="C423" i="3"/>
  <c r="AC422" i="3"/>
  <c r="AD422" i="3" s="1"/>
  <c r="AA422" i="3"/>
  <c r="W422" i="3"/>
  <c r="U422" i="3"/>
  <c r="R422" i="3"/>
  <c r="N422" i="3"/>
  <c r="L422" i="3"/>
  <c r="I422" i="3"/>
  <c r="H422" i="3"/>
  <c r="F422" i="3"/>
  <c r="C422" i="3"/>
  <c r="AC421" i="3"/>
  <c r="AD421" i="3" s="1"/>
  <c r="AA421" i="3"/>
  <c r="X421" i="3"/>
  <c r="W421" i="3"/>
  <c r="U421" i="3"/>
  <c r="R421" i="3"/>
  <c r="O421" i="3"/>
  <c r="N421" i="3"/>
  <c r="L421" i="3"/>
  <c r="H421" i="3"/>
  <c r="I421" i="3" s="1"/>
  <c r="F421" i="3"/>
  <c r="C421" i="3"/>
  <c r="AD420" i="3"/>
  <c r="AC420" i="3"/>
  <c r="AA420" i="3"/>
  <c r="W420" i="3"/>
  <c r="U420" i="3"/>
  <c r="R420" i="3"/>
  <c r="N420" i="3"/>
  <c r="O420" i="3" s="1"/>
  <c r="L420" i="3"/>
  <c r="H420" i="3"/>
  <c r="I420" i="3" s="1"/>
  <c r="F420" i="3"/>
  <c r="C420" i="3"/>
  <c r="AC419" i="3"/>
  <c r="AD419" i="3" s="1"/>
  <c r="AA419" i="3"/>
  <c r="X419" i="3"/>
  <c r="W419" i="3"/>
  <c r="U419" i="3"/>
  <c r="R419" i="3"/>
  <c r="N419" i="3"/>
  <c r="O419" i="3" s="1"/>
  <c r="L419" i="3"/>
  <c r="H419" i="3"/>
  <c r="I419" i="3" s="1"/>
  <c r="F419" i="3"/>
  <c r="C419" i="3"/>
  <c r="AC418" i="3"/>
  <c r="AD418" i="3" s="1"/>
  <c r="AA418" i="3"/>
  <c r="W418" i="3"/>
  <c r="X418" i="3" s="1"/>
  <c r="U418" i="3"/>
  <c r="R418" i="3"/>
  <c r="N418" i="3"/>
  <c r="L418" i="3"/>
  <c r="H418" i="3"/>
  <c r="I418" i="3" s="1"/>
  <c r="F418" i="3"/>
  <c r="C418" i="3"/>
  <c r="AD417" i="3"/>
  <c r="AC417" i="3"/>
  <c r="AA417" i="3"/>
  <c r="W417" i="3"/>
  <c r="X417" i="3" s="1"/>
  <c r="U417" i="3"/>
  <c r="R417" i="3"/>
  <c r="N417" i="3"/>
  <c r="O417" i="3" s="1"/>
  <c r="L417" i="3"/>
  <c r="H417" i="3"/>
  <c r="I417" i="3" s="1"/>
  <c r="F417" i="3"/>
  <c r="C417" i="3"/>
  <c r="AC416" i="3"/>
  <c r="AD416" i="3" s="1"/>
  <c r="AA416" i="3"/>
  <c r="X416" i="3"/>
  <c r="W416" i="3"/>
  <c r="U416" i="3"/>
  <c r="R416" i="3"/>
  <c r="N416" i="3"/>
  <c r="O416" i="3" s="1"/>
  <c r="L416" i="3"/>
  <c r="H416" i="3"/>
  <c r="I416" i="3" s="1"/>
  <c r="F416" i="3"/>
  <c r="C416" i="3"/>
  <c r="AC415" i="3"/>
  <c r="AD415" i="3" s="1"/>
  <c r="AA415" i="3"/>
  <c r="W415" i="3"/>
  <c r="X415" i="3" s="1"/>
  <c r="U415" i="3"/>
  <c r="R415" i="3"/>
  <c r="O415" i="3"/>
  <c r="N415" i="3"/>
  <c r="L415" i="3"/>
  <c r="I415" i="3"/>
  <c r="H415" i="3"/>
  <c r="F415" i="3"/>
  <c r="C415" i="3"/>
  <c r="AC414" i="3"/>
  <c r="AA414" i="3"/>
  <c r="W414" i="3"/>
  <c r="X414" i="3" s="1"/>
  <c r="U414" i="3"/>
  <c r="R414" i="3"/>
  <c r="O414" i="3"/>
  <c r="N414" i="3"/>
  <c r="L414" i="3"/>
  <c r="I414" i="3"/>
  <c r="H414" i="3"/>
  <c r="F414" i="3"/>
  <c r="C414" i="3"/>
  <c r="AD413" i="3"/>
  <c r="AC413" i="3"/>
  <c r="AA413" i="3"/>
  <c r="W413" i="3"/>
  <c r="X413" i="3" s="1"/>
  <c r="U413" i="3"/>
  <c r="R413" i="3"/>
  <c r="N413" i="3"/>
  <c r="O413" i="3" s="1"/>
  <c r="L413" i="3"/>
  <c r="H413" i="3"/>
  <c r="I413" i="3" s="1"/>
  <c r="F413" i="3"/>
  <c r="C413" i="3"/>
  <c r="AC412" i="3"/>
  <c r="AD412" i="3" s="1"/>
  <c r="AA412" i="3"/>
  <c r="X412" i="3"/>
  <c r="W412" i="3"/>
  <c r="U412" i="3"/>
  <c r="R412" i="3"/>
  <c r="O412" i="3"/>
  <c r="N412" i="3"/>
  <c r="L412" i="3"/>
  <c r="H412" i="3"/>
  <c r="I412" i="3" s="1"/>
  <c r="F412" i="3"/>
  <c r="C412" i="3"/>
  <c r="AC411" i="3"/>
  <c r="AD411" i="3" s="1"/>
  <c r="AA411" i="3"/>
  <c r="W411" i="3"/>
  <c r="X411" i="3" s="1"/>
  <c r="U411" i="3"/>
  <c r="R411" i="3"/>
  <c r="O411" i="3"/>
  <c r="N411" i="3"/>
  <c r="L411" i="3"/>
  <c r="H411" i="3"/>
  <c r="I411" i="3" s="1"/>
  <c r="F411" i="3"/>
  <c r="C411" i="3"/>
  <c r="AC410" i="3"/>
  <c r="AD410" i="3" s="1"/>
  <c r="AA410" i="3"/>
  <c r="W410" i="3"/>
  <c r="X410" i="3" s="1"/>
  <c r="U410" i="3"/>
  <c r="R410" i="3"/>
  <c r="O410" i="3"/>
  <c r="N410" i="3"/>
  <c r="L410" i="3"/>
  <c r="I410" i="3"/>
  <c r="H410" i="3"/>
  <c r="F410" i="3"/>
  <c r="C410" i="3"/>
  <c r="AC409" i="3"/>
  <c r="AD409" i="3" s="1"/>
  <c r="AA409" i="3"/>
  <c r="W409" i="3"/>
  <c r="X409" i="3" s="1"/>
  <c r="U409" i="3"/>
  <c r="R409" i="3"/>
  <c r="N409" i="3"/>
  <c r="O409" i="3" s="1"/>
  <c r="L409" i="3"/>
  <c r="H409" i="3"/>
  <c r="I409" i="3" s="1"/>
  <c r="F409" i="3"/>
  <c r="C409" i="3"/>
  <c r="AC408" i="3"/>
  <c r="AD408" i="3" s="1"/>
  <c r="AA408" i="3"/>
  <c r="W408" i="3"/>
  <c r="X408" i="3" s="1"/>
  <c r="U408" i="3"/>
  <c r="R408" i="3"/>
  <c r="O408" i="3"/>
  <c r="N408" i="3"/>
  <c r="L408" i="3"/>
  <c r="H408" i="3"/>
  <c r="I408" i="3" s="1"/>
  <c r="F408" i="3"/>
  <c r="C408" i="3"/>
  <c r="AC407" i="3"/>
  <c r="AD407" i="3" s="1"/>
  <c r="AA407" i="3"/>
  <c r="X407" i="3"/>
  <c r="W407" i="3"/>
  <c r="U407" i="3"/>
  <c r="R407" i="3"/>
  <c r="N407" i="3"/>
  <c r="O407" i="3" s="1"/>
  <c r="L407" i="3"/>
  <c r="H407" i="3"/>
  <c r="I407" i="3" s="1"/>
  <c r="F407" i="3"/>
  <c r="C407" i="3"/>
  <c r="Z403" i="3"/>
  <c r="AA403" i="3" s="1"/>
  <c r="T403" i="3"/>
  <c r="U403" i="3" s="1"/>
  <c r="Q403" i="3"/>
  <c r="R403" i="3" s="1"/>
  <c r="L403" i="3"/>
  <c r="K403" i="3"/>
  <c r="E403" i="3"/>
  <c r="F403" i="3" s="1"/>
  <c r="B403" i="3"/>
  <c r="C403" i="3" s="1"/>
  <c r="AC402" i="3"/>
  <c r="AD402" i="3" s="1"/>
  <c r="AA402" i="3"/>
  <c r="X402" i="3"/>
  <c r="W402" i="3"/>
  <c r="U402" i="3"/>
  <c r="R402" i="3"/>
  <c r="N402" i="3"/>
  <c r="O402" i="3" s="1"/>
  <c r="L402" i="3"/>
  <c r="H402" i="3"/>
  <c r="I402" i="3" s="1"/>
  <c r="F402" i="3"/>
  <c r="C402" i="3"/>
  <c r="AC401" i="3"/>
  <c r="AD401" i="3" s="1"/>
  <c r="AA401" i="3"/>
  <c r="W401" i="3"/>
  <c r="X401" i="3" s="1"/>
  <c r="U401" i="3"/>
  <c r="R401" i="3"/>
  <c r="O401" i="3"/>
  <c r="N401" i="3"/>
  <c r="L401" i="3"/>
  <c r="I401" i="3"/>
  <c r="H401" i="3"/>
  <c r="F401" i="3"/>
  <c r="C401" i="3"/>
  <c r="AC400" i="3"/>
  <c r="AD400" i="3" s="1"/>
  <c r="AA400" i="3"/>
  <c r="W400" i="3"/>
  <c r="X400" i="3" s="1"/>
  <c r="U400" i="3"/>
  <c r="R400" i="3"/>
  <c r="O400" i="3"/>
  <c r="N400" i="3"/>
  <c r="L400" i="3"/>
  <c r="H400" i="3"/>
  <c r="I400" i="3" s="1"/>
  <c r="F400" i="3"/>
  <c r="C400" i="3"/>
  <c r="AC399" i="3"/>
  <c r="AD399" i="3" s="1"/>
  <c r="AA399" i="3"/>
  <c r="X399" i="3"/>
  <c r="W399" i="3"/>
  <c r="U399" i="3"/>
  <c r="R399" i="3"/>
  <c r="N399" i="3"/>
  <c r="O399" i="3" s="1"/>
  <c r="L399" i="3"/>
  <c r="H399" i="3"/>
  <c r="I399" i="3" s="1"/>
  <c r="F399" i="3"/>
  <c r="C399" i="3"/>
  <c r="AD398" i="3"/>
  <c r="AC398" i="3"/>
  <c r="AA398" i="3"/>
  <c r="X398" i="3"/>
  <c r="W398" i="3"/>
  <c r="U398" i="3"/>
  <c r="R398" i="3"/>
  <c r="N398" i="3"/>
  <c r="O398" i="3" s="1"/>
  <c r="L398" i="3"/>
  <c r="I398" i="3"/>
  <c r="H398" i="3"/>
  <c r="F398" i="3"/>
  <c r="C398" i="3"/>
  <c r="AC397" i="3"/>
  <c r="AD397" i="3" s="1"/>
  <c r="AA397" i="3"/>
  <c r="W397" i="3"/>
  <c r="X397" i="3" s="1"/>
  <c r="U397" i="3"/>
  <c r="R397" i="3"/>
  <c r="O397" i="3"/>
  <c r="N397" i="3"/>
  <c r="L397" i="3"/>
  <c r="H397" i="3"/>
  <c r="I397" i="3" s="1"/>
  <c r="F397" i="3"/>
  <c r="C397" i="3"/>
  <c r="Z396" i="3"/>
  <c r="AA396" i="3" s="1"/>
  <c r="T396" i="3"/>
  <c r="U396" i="3" s="1"/>
  <c r="Q396" i="3"/>
  <c r="L396" i="3"/>
  <c r="K396" i="3"/>
  <c r="H396" i="3"/>
  <c r="I396" i="3" s="1"/>
  <c r="E396" i="3"/>
  <c r="F396" i="3" s="1"/>
  <c r="B396" i="3"/>
  <c r="C396" i="3" s="1"/>
  <c r="AC395" i="3"/>
  <c r="AD395" i="3" s="1"/>
  <c r="AA395" i="3"/>
  <c r="X395" i="3"/>
  <c r="W395" i="3"/>
  <c r="U395" i="3"/>
  <c r="R395" i="3"/>
  <c r="N395" i="3"/>
  <c r="O395" i="3" s="1"/>
  <c r="L395" i="3"/>
  <c r="I395" i="3"/>
  <c r="H395" i="3"/>
  <c r="F395" i="3"/>
  <c r="C395" i="3"/>
  <c r="AC394" i="3"/>
  <c r="AD394" i="3" s="1"/>
  <c r="AA394" i="3"/>
  <c r="W394" i="3"/>
  <c r="X394" i="3" s="1"/>
  <c r="U394" i="3"/>
  <c r="R394" i="3"/>
  <c r="O394" i="3"/>
  <c r="N394" i="3"/>
  <c r="L394" i="3"/>
  <c r="H394" i="3"/>
  <c r="I394" i="3" s="1"/>
  <c r="F394" i="3"/>
  <c r="C394" i="3"/>
  <c r="Z393" i="3"/>
  <c r="AA393" i="3" s="1"/>
  <c r="T393" i="3"/>
  <c r="U393" i="3" s="1"/>
  <c r="Q393" i="3"/>
  <c r="R393" i="3" s="1"/>
  <c r="L393" i="3"/>
  <c r="K393" i="3"/>
  <c r="E393" i="3"/>
  <c r="F393" i="3" s="1"/>
  <c r="B393" i="3"/>
  <c r="C393" i="3" s="1"/>
  <c r="AC392" i="3"/>
  <c r="AD392" i="3" s="1"/>
  <c r="AA392" i="3"/>
  <c r="X392" i="3"/>
  <c r="W392" i="3"/>
  <c r="U392" i="3"/>
  <c r="R392" i="3"/>
  <c r="N392" i="3"/>
  <c r="O392" i="3" s="1"/>
  <c r="L392" i="3"/>
  <c r="H392" i="3"/>
  <c r="I392" i="3" s="1"/>
  <c r="F392" i="3"/>
  <c r="C392" i="3"/>
  <c r="AC391" i="3"/>
  <c r="AD391" i="3" s="1"/>
  <c r="AA391" i="3"/>
  <c r="W391" i="3"/>
  <c r="X391" i="3" s="1"/>
  <c r="U391" i="3"/>
  <c r="R391" i="3"/>
  <c r="O391" i="3"/>
  <c r="N391" i="3"/>
  <c r="L391" i="3"/>
  <c r="H391" i="3"/>
  <c r="I391" i="3" s="1"/>
  <c r="F391" i="3"/>
  <c r="C391" i="3"/>
  <c r="AC390" i="3"/>
  <c r="AD390" i="3" s="1"/>
  <c r="AA390" i="3"/>
  <c r="W390" i="3"/>
  <c r="X390" i="3" s="1"/>
  <c r="U390" i="3"/>
  <c r="R390" i="3"/>
  <c r="O390" i="3"/>
  <c r="N390" i="3"/>
  <c r="L390" i="3"/>
  <c r="H390" i="3"/>
  <c r="I390" i="3" s="1"/>
  <c r="F390" i="3"/>
  <c r="C390" i="3"/>
  <c r="AC389" i="3"/>
  <c r="AD389" i="3" s="1"/>
  <c r="AA389" i="3"/>
  <c r="X389" i="3"/>
  <c r="W389" i="3"/>
  <c r="U389" i="3"/>
  <c r="R389" i="3"/>
  <c r="N389" i="3"/>
  <c r="O389" i="3" s="1"/>
  <c r="L389" i="3"/>
  <c r="H389" i="3"/>
  <c r="I389" i="3" s="1"/>
  <c r="F389" i="3"/>
  <c r="C389" i="3"/>
  <c r="AD388" i="3"/>
  <c r="AC388" i="3"/>
  <c r="AA388" i="3"/>
  <c r="X388" i="3"/>
  <c r="W388" i="3"/>
  <c r="U388" i="3"/>
  <c r="R388" i="3"/>
  <c r="N388" i="3"/>
  <c r="O388" i="3" s="1"/>
  <c r="L388" i="3"/>
  <c r="I388" i="3"/>
  <c r="H388" i="3"/>
  <c r="F388" i="3"/>
  <c r="C388" i="3"/>
  <c r="AC386" i="3"/>
  <c r="AD386" i="3" s="1"/>
  <c r="AA386" i="3"/>
  <c r="W386" i="3"/>
  <c r="X386" i="3" s="1"/>
  <c r="U386" i="3"/>
  <c r="R386" i="3"/>
  <c r="O386" i="3"/>
  <c r="N386" i="3"/>
  <c r="L386" i="3"/>
  <c r="H386" i="3"/>
  <c r="I386" i="3" s="1"/>
  <c r="F386" i="3"/>
  <c r="C386" i="3"/>
  <c r="AC385" i="3"/>
  <c r="AD385" i="3" s="1"/>
  <c r="AA385" i="3"/>
  <c r="W385" i="3"/>
  <c r="X385" i="3" s="1"/>
  <c r="U385" i="3"/>
  <c r="R385" i="3"/>
  <c r="O385" i="3"/>
  <c r="N385" i="3"/>
  <c r="L385" i="3"/>
  <c r="H385" i="3"/>
  <c r="I385" i="3" s="1"/>
  <c r="F385" i="3"/>
  <c r="C385" i="3"/>
  <c r="AD383" i="3"/>
  <c r="AC383" i="3"/>
  <c r="AA383" i="3"/>
  <c r="X383" i="3"/>
  <c r="W383" i="3"/>
  <c r="U383" i="3"/>
  <c r="R383" i="3"/>
  <c r="N383" i="3"/>
  <c r="O383" i="3" s="1"/>
  <c r="L383" i="3"/>
  <c r="H383" i="3"/>
  <c r="I383" i="3" s="1"/>
  <c r="F383" i="3"/>
  <c r="C383" i="3"/>
  <c r="AC382" i="3"/>
  <c r="AD382" i="3" s="1"/>
  <c r="AA382" i="3"/>
  <c r="X382" i="3"/>
  <c r="W382" i="3"/>
  <c r="U382" i="3"/>
  <c r="R382" i="3"/>
  <c r="N382" i="3"/>
  <c r="O382" i="3" s="1"/>
  <c r="L382" i="3"/>
  <c r="H382" i="3"/>
  <c r="I382" i="3" s="1"/>
  <c r="F382" i="3"/>
  <c r="C382" i="3"/>
  <c r="AC381" i="3"/>
  <c r="AD381" i="3" s="1"/>
  <c r="AA381" i="3"/>
  <c r="X381" i="3"/>
  <c r="W381" i="3"/>
  <c r="U381" i="3"/>
  <c r="R381" i="3"/>
  <c r="O381" i="3"/>
  <c r="N381" i="3"/>
  <c r="L381" i="3"/>
  <c r="I381" i="3"/>
  <c r="H381" i="3"/>
  <c r="F381" i="3"/>
  <c r="C381" i="3"/>
  <c r="AC380" i="3"/>
  <c r="AD380" i="3" s="1"/>
  <c r="AA380" i="3"/>
  <c r="W380" i="3"/>
  <c r="X380" i="3" s="1"/>
  <c r="U380" i="3"/>
  <c r="R380" i="3"/>
  <c r="O380" i="3"/>
  <c r="N380" i="3"/>
  <c r="L380" i="3"/>
  <c r="H380" i="3"/>
  <c r="I380" i="3" s="1"/>
  <c r="F380" i="3"/>
  <c r="C380" i="3"/>
  <c r="AC379" i="3"/>
  <c r="AD379" i="3" s="1"/>
  <c r="AA379" i="3"/>
  <c r="X379" i="3"/>
  <c r="W379" i="3"/>
  <c r="U379" i="3"/>
  <c r="R379" i="3"/>
  <c r="O379" i="3"/>
  <c r="N379" i="3"/>
  <c r="L379" i="3"/>
  <c r="H379" i="3"/>
  <c r="I379" i="3" s="1"/>
  <c r="F379" i="3"/>
  <c r="C379" i="3"/>
  <c r="AC378" i="3"/>
  <c r="AD378" i="3" s="1"/>
  <c r="AA378" i="3"/>
  <c r="X378" i="3"/>
  <c r="W378" i="3"/>
  <c r="U378" i="3"/>
  <c r="R378" i="3"/>
  <c r="N378" i="3"/>
  <c r="O378" i="3" s="1"/>
  <c r="L378" i="3"/>
  <c r="H378" i="3"/>
  <c r="I378" i="3" s="1"/>
  <c r="F378" i="3"/>
  <c r="C378" i="3"/>
  <c r="AC377" i="3"/>
  <c r="AD377" i="3" s="1"/>
  <c r="AA377" i="3"/>
  <c r="W377" i="3"/>
  <c r="X377" i="3" s="1"/>
  <c r="U377" i="3"/>
  <c r="R377" i="3"/>
  <c r="O377" i="3"/>
  <c r="N377" i="3"/>
  <c r="L377" i="3"/>
  <c r="H377" i="3"/>
  <c r="I377" i="3" s="1"/>
  <c r="F377" i="3"/>
  <c r="C377" i="3"/>
  <c r="AC376" i="3"/>
  <c r="AD376" i="3" s="1"/>
  <c r="AA376" i="3"/>
  <c r="W376" i="3"/>
  <c r="X376" i="3" s="1"/>
  <c r="U376" i="3"/>
  <c r="R376" i="3"/>
  <c r="O376" i="3"/>
  <c r="N376" i="3"/>
  <c r="L376" i="3"/>
  <c r="H376" i="3"/>
  <c r="I376" i="3" s="1"/>
  <c r="F376" i="3"/>
  <c r="C376" i="3"/>
  <c r="AD375" i="3"/>
  <c r="AC375" i="3"/>
  <c r="AA375" i="3"/>
  <c r="X375" i="3"/>
  <c r="W375" i="3"/>
  <c r="U375" i="3"/>
  <c r="R375" i="3"/>
  <c r="O375" i="3"/>
  <c r="N375" i="3"/>
  <c r="L375" i="3"/>
  <c r="H375" i="3"/>
  <c r="I375" i="3" s="1"/>
  <c r="F375" i="3"/>
  <c r="C375" i="3"/>
  <c r="AD374" i="3"/>
  <c r="AC374" i="3"/>
  <c r="AA374" i="3"/>
  <c r="X374" i="3"/>
  <c r="W374" i="3"/>
  <c r="U374" i="3"/>
  <c r="R374" i="3"/>
  <c r="N374" i="3"/>
  <c r="O374" i="3" s="1"/>
  <c r="L374" i="3"/>
  <c r="H374" i="3"/>
  <c r="I374" i="3" s="1"/>
  <c r="F374" i="3"/>
  <c r="C374" i="3"/>
  <c r="AC373" i="3"/>
  <c r="AD373" i="3" s="1"/>
  <c r="AA373" i="3"/>
  <c r="W373" i="3"/>
  <c r="X373" i="3" s="1"/>
  <c r="U373" i="3"/>
  <c r="R373" i="3"/>
  <c r="O373" i="3"/>
  <c r="N373" i="3"/>
  <c r="L373" i="3"/>
  <c r="H373" i="3"/>
  <c r="I373" i="3" s="1"/>
  <c r="F373" i="3"/>
  <c r="C373" i="3"/>
  <c r="AC372" i="3"/>
  <c r="AD372" i="3" s="1"/>
  <c r="AA372" i="3"/>
  <c r="W372" i="3"/>
  <c r="X372" i="3" s="1"/>
  <c r="U372" i="3"/>
  <c r="R372" i="3"/>
  <c r="O372" i="3"/>
  <c r="N372" i="3"/>
  <c r="L372" i="3"/>
  <c r="H372" i="3"/>
  <c r="I372" i="3" s="1"/>
  <c r="F372" i="3"/>
  <c r="C372" i="3"/>
  <c r="AC371" i="3"/>
  <c r="AD371" i="3" s="1"/>
  <c r="AA371" i="3"/>
  <c r="X371" i="3"/>
  <c r="W371" i="3"/>
  <c r="U371" i="3"/>
  <c r="R371" i="3"/>
  <c r="N371" i="3"/>
  <c r="O371" i="3" s="1"/>
  <c r="L371" i="3"/>
  <c r="H371" i="3"/>
  <c r="I371" i="3" s="1"/>
  <c r="F371" i="3"/>
  <c r="C371" i="3"/>
  <c r="AD370" i="3"/>
  <c r="AC370" i="3"/>
  <c r="AA370" i="3"/>
  <c r="X370" i="3"/>
  <c r="W370" i="3"/>
  <c r="U370" i="3"/>
  <c r="R370" i="3"/>
  <c r="N370" i="3"/>
  <c r="O370" i="3" s="1"/>
  <c r="L370" i="3"/>
  <c r="I370" i="3"/>
  <c r="H370" i="3"/>
  <c r="F370" i="3"/>
  <c r="C370" i="3"/>
  <c r="AC369" i="3"/>
  <c r="AD369" i="3" s="1"/>
  <c r="AA369" i="3"/>
  <c r="W369" i="3"/>
  <c r="X369" i="3" s="1"/>
  <c r="U369" i="3"/>
  <c r="R369" i="3"/>
  <c r="O369" i="3"/>
  <c r="N369" i="3"/>
  <c r="L369" i="3"/>
  <c r="H369" i="3"/>
  <c r="I369" i="3" s="1"/>
  <c r="F369" i="3"/>
  <c r="C369" i="3"/>
  <c r="Z368" i="3"/>
  <c r="AA368" i="3" s="1"/>
  <c r="T368" i="3"/>
  <c r="U368" i="3" s="1"/>
  <c r="Q368" i="3"/>
  <c r="L368" i="3"/>
  <c r="K368" i="3"/>
  <c r="E368" i="3"/>
  <c r="F368" i="3" s="1"/>
  <c r="B368" i="3"/>
  <c r="C368" i="3" s="1"/>
  <c r="AC367" i="3"/>
  <c r="AD367" i="3" s="1"/>
  <c r="AA367" i="3"/>
  <c r="X367" i="3"/>
  <c r="W367" i="3"/>
  <c r="U367" i="3"/>
  <c r="R367" i="3"/>
  <c r="N367" i="3"/>
  <c r="O367" i="3" s="1"/>
  <c r="L367" i="3"/>
  <c r="I367" i="3"/>
  <c r="H367" i="3"/>
  <c r="F367" i="3"/>
  <c r="C367" i="3"/>
  <c r="AC366" i="3"/>
  <c r="AD366" i="3" s="1"/>
  <c r="AA366" i="3"/>
  <c r="W366" i="3"/>
  <c r="X366" i="3" s="1"/>
  <c r="U366" i="3"/>
  <c r="R366" i="3"/>
  <c r="O366" i="3"/>
  <c r="N366" i="3"/>
  <c r="L366" i="3"/>
  <c r="H366" i="3"/>
  <c r="I366" i="3" s="1"/>
  <c r="F366" i="3"/>
  <c r="C366" i="3"/>
  <c r="AC365" i="3"/>
  <c r="AD365" i="3" s="1"/>
  <c r="AA365" i="3"/>
  <c r="W365" i="3"/>
  <c r="X365" i="3" s="1"/>
  <c r="U365" i="3"/>
  <c r="R365" i="3"/>
  <c r="O365" i="3"/>
  <c r="N365" i="3"/>
  <c r="L365" i="3"/>
  <c r="H365" i="3"/>
  <c r="I365" i="3" s="1"/>
  <c r="F365" i="3"/>
  <c r="C365" i="3"/>
  <c r="AC364" i="3"/>
  <c r="AD364" i="3" s="1"/>
  <c r="AA364" i="3"/>
  <c r="X364" i="3"/>
  <c r="W364" i="3"/>
  <c r="U364" i="3"/>
  <c r="R364" i="3"/>
  <c r="N364" i="3"/>
  <c r="O364" i="3" s="1"/>
  <c r="L364" i="3"/>
  <c r="H364" i="3"/>
  <c r="I364" i="3" s="1"/>
  <c r="F364" i="3"/>
  <c r="C364" i="3"/>
  <c r="AD363" i="3"/>
  <c r="AC363" i="3"/>
  <c r="AA363" i="3"/>
  <c r="X363" i="3"/>
  <c r="W363" i="3"/>
  <c r="U363" i="3"/>
  <c r="R363" i="3"/>
  <c r="N363" i="3"/>
  <c r="O363" i="3" s="1"/>
  <c r="L363" i="3"/>
  <c r="H363" i="3"/>
  <c r="I363" i="3" s="1"/>
  <c r="F363" i="3"/>
  <c r="C363" i="3"/>
  <c r="AC362" i="3"/>
  <c r="AD362" i="3" s="1"/>
  <c r="AA362" i="3"/>
  <c r="X362" i="3"/>
  <c r="W362" i="3"/>
  <c r="U362" i="3"/>
  <c r="R362" i="3"/>
  <c r="O362" i="3"/>
  <c r="N362" i="3"/>
  <c r="L362" i="3"/>
  <c r="H362" i="3"/>
  <c r="I362" i="3" s="1"/>
  <c r="F362" i="3"/>
  <c r="C362" i="3"/>
  <c r="AC361" i="3"/>
  <c r="AD361" i="3" s="1"/>
  <c r="AA361" i="3"/>
  <c r="W361" i="3"/>
  <c r="X361" i="3" s="1"/>
  <c r="U361" i="3"/>
  <c r="R361" i="3"/>
  <c r="O361" i="3"/>
  <c r="N361" i="3"/>
  <c r="L361" i="3"/>
  <c r="H361" i="3"/>
  <c r="I361" i="3" s="1"/>
  <c r="F361" i="3"/>
  <c r="C361" i="3"/>
  <c r="AC360" i="3"/>
  <c r="AD360" i="3" s="1"/>
  <c r="AA360" i="3"/>
  <c r="X360" i="3"/>
  <c r="W360" i="3"/>
  <c r="U360" i="3"/>
  <c r="R360" i="3"/>
  <c r="O360" i="3"/>
  <c r="N360" i="3"/>
  <c r="L360" i="3"/>
  <c r="H360" i="3"/>
  <c r="I360" i="3" s="1"/>
  <c r="F360" i="3"/>
  <c r="C360" i="3"/>
  <c r="Z358" i="3"/>
  <c r="AC358" i="3" s="1"/>
  <c r="AD358" i="3" s="1"/>
  <c r="W358" i="3"/>
  <c r="X358" i="3" s="1"/>
  <c r="T358" i="3"/>
  <c r="U358" i="3" s="1"/>
  <c r="R358" i="3"/>
  <c r="Q358" i="3"/>
  <c r="K358" i="3"/>
  <c r="L358" i="3" s="1"/>
  <c r="E358" i="3"/>
  <c r="F358" i="3" s="1"/>
  <c r="C358" i="3"/>
  <c r="B358" i="3"/>
  <c r="AC357" i="3"/>
  <c r="AD357" i="3" s="1"/>
  <c r="AA357" i="3"/>
  <c r="W357" i="3"/>
  <c r="X357" i="3" s="1"/>
  <c r="U357" i="3"/>
  <c r="R357" i="3"/>
  <c r="O357" i="3"/>
  <c r="N357" i="3"/>
  <c r="L357" i="3"/>
  <c r="H357" i="3"/>
  <c r="I357" i="3" s="1"/>
  <c r="F357" i="3"/>
  <c r="C357" i="3"/>
  <c r="AD356" i="3"/>
  <c r="AC356" i="3"/>
  <c r="AA356" i="3"/>
  <c r="X356" i="3"/>
  <c r="W356" i="3"/>
  <c r="U356" i="3"/>
  <c r="R356" i="3"/>
  <c r="N356" i="3"/>
  <c r="O356" i="3" s="1"/>
  <c r="L356" i="3"/>
  <c r="H356" i="3"/>
  <c r="I356" i="3" s="1"/>
  <c r="F356" i="3"/>
  <c r="C356" i="3"/>
  <c r="AC355" i="3"/>
  <c r="AD355" i="3" s="1"/>
  <c r="AA355" i="3"/>
  <c r="X355" i="3"/>
  <c r="W355" i="3"/>
  <c r="U355" i="3"/>
  <c r="R355" i="3"/>
  <c r="N355" i="3"/>
  <c r="O355" i="3" s="1"/>
  <c r="L355" i="3"/>
  <c r="H355" i="3"/>
  <c r="I355" i="3" s="1"/>
  <c r="F355" i="3"/>
  <c r="C355" i="3"/>
  <c r="AC354" i="3"/>
  <c r="AD354" i="3" s="1"/>
  <c r="AA354" i="3"/>
  <c r="X354" i="3"/>
  <c r="W354" i="3"/>
  <c r="U354" i="3"/>
  <c r="R354" i="3"/>
  <c r="O354" i="3"/>
  <c r="N354" i="3"/>
  <c r="L354" i="3"/>
  <c r="I354" i="3"/>
  <c r="H354" i="3"/>
  <c r="F354" i="3"/>
  <c r="C354" i="3"/>
  <c r="AC353" i="3"/>
  <c r="AD353" i="3" s="1"/>
  <c r="AA353" i="3"/>
  <c r="W353" i="3"/>
  <c r="X353" i="3" s="1"/>
  <c r="U353" i="3"/>
  <c r="R353" i="3"/>
  <c r="O353" i="3"/>
  <c r="N353" i="3"/>
  <c r="L353" i="3"/>
  <c r="H353" i="3"/>
  <c r="I353" i="3" s="1"/>
  <c r="F353" i="3"/>
  <c r="C353" i="3"/>
  <c r="AC352" i="3"/>
  <c r="AD352" i="3" s="1"/>
  <c r="AA352" i="3"/>
  <c r="X352" i="3"/>
  <c r="W352" i="3"/>
  <c r="U352" i="3"/>
  <c r="R352" i="3"/>
  <c r="N352" i="3"/>
  <c r="O352" i="3" s="1"/>
  <c r="L352" i="3"/>
  <c r="H352" i="3"/>
  <c r="I352" i="3" s="1"/>
  <c r="F352" i="3"/>
  <c r="C352" i="3"/>
  <c r="AC351" i="3"/>
  <c r="AD351" i="3" s="1"/>
  <c r="AA351" i="3"/>
  <c r="X351" i="3"/>
  <c r="W351" i="3"/>
  <c r="U351" i="3"/>
  <c r="R351" i="3"/>
  <c r="N351" i="3"/>
  <c r="O351" i="3" s="1"/>
  <c r="L351" i="3"/>
  <c r="I351" i="3"/>
  <c r="H351" i="3"/>
  <c r="F351" i="3"/>
  <c r="C351" i="3"/>
  <c r="AC350" i="3"/>
  <c r="AD350" i="3" s="1"/>
  <c r="AA350" i="3"/>
  <c r="W350" i="3"/>
  <c r="X350" i="3" s="1"/>
  <c r="U350" i="3"/>
  <c r="R350" i="3"/>
  <c r="O350" i="3"/>
  <c r="N350" i="3"/>
  <c r="L350" i="3"/>
  <c r="H350" i="3"/>
  <c r="I350" i="3" s="1"/>
  <c r="F350" i="3"/>
  <c r="C350" i="3"/>
  <c r="AC349" i="3"/>
  <c r="AD349" i="3" s="1"/>
  <c r="AA349" i="3"/>
  <c r="W349" i="3"/>
  <c r="X349" i="3" s="1"/>
  <c r="U349" i="3"/>
  <c r="R349" i="3"/>
  <c r="O349" i="3"/>
  <c r="N349" i="3"/>
  <c r="L349" i="3"/>
  <c r="H349" i="3"/>
  <c r="I349" i="3" s="1"/>
  <c r="F349" i="3"/>
  <c r="C349" i="3"/>
  <c r="AD347" i="3"/>
  <c r="AC347" i="3"/>
  <c r="AA347" i="3"/>
  <c r="X347" i="3"/>
  <c r="W347" i="3"/>
  <c r="U347" i="3"/>
  <c r="R347" i="3"/>
  <c r="O347" i="3"/>
  <c r="N347" i="3"/>
  <c r="L347" i="3"/>
  <c r="H347" i="3"/>
  <c r="I347" i="3" s="1"/>
  <c r="F347" i="3"/>
  <c r="C347" i="3"/>
  <c r="AC344" i="3"/>
  <c r="AD344" i="3" s="1"/>
  <c r="Z344" i="3"/>
  <c r="AA344" i="3" s="1"/>
  <c r="W344" i="3"/>
  <c r="X344" i="3" s="1"/>
  <c r="U344" i="3"/>
  <c r="T344" i="3"/>
  <c r="Q344" i="3"/>
  <c r="R344" i="3" s="1"/>
  <c r="K344" i="3"/>
  <c r="L344" i="3" s="1"/>
  <c r="E344" i="3"/>
  <c r="F344" i="3" s="1"/>
  <c r="B344" i="3"/>
  <c r="C344" i="3" s="1"/>
  <c r="Z343" i="3"/>
  <c r="AA343" i="3" s="1"/>
  <c r="T343" i="3"/>
  <c r="U343" i="3" s="1"/>
  <c r="Q343" i="3"/>
  <c r="K343" i="3"/>
  <c r="L343" i="3" s="1"/>
  <c r="F343" i="3"/>
  <c r="E343" i="3"/>
  <c r="B343" i="3"/>
  <c r="H343" i="3" s="1"/>
  <c r="I343" i="3" s="1"/>
  <c r="AC342" i="3"/>
  <c r="AD342" i="3" s="1"/>
  <c r="Z342" i="3"/>
  <c r="AA342" i="3" s="1"/>
  <c r="U342" i="3"/>
  <c r="T342" i="3"/>
  <c r="Q342" i="3"/>
  <c r="R342" i="3" s="1"/>
  <c r="K342" i="3"/>
  <c r="L342" i="3" s="1"/>
  <c r="E342" i="3"/>
  <c r="F342" i="3" s="1"/>
  <c r="B342" i="3"/>
  <c r="C342" i="3" s="1"/>
  <c r="AD341" i="3"/>
  <c r="AC341" i="3"/>
  <c r="AA341" i="3"/>
  <c r="X341" i="3"/>
  <c r="W341" i="3"/>
  <c r="U341" i="3"/>
  <c r="R341" i="3"/>
  <c r="N341" i="3"/>
  <c r="O341" i="3" s="1"/>
  <c r="L341" i="3"/>
  <c r="H341" i="3"/>
  <c r="I341" i="3" s="1"/>
  <c r="F341" i="3"/>
  <c r="C341" i="3"/>
  <c r="AC340" i="3"/>
  <c r="AD340" i="3" s="1"/>
  <c r="AA340" i="3"/>
  <c r="X340" i="3"/>
  <c r="W340" i="3"/>
  <c r="U340" i="3"/>
  <c r="R340" i="3"/>
  <c r="O340" i="3"/>
  <c r="N340" i="3"/>
  <c r="L340" i="3"/>
  <c r="H340" i="3"/>
  <c r="I340" i="3" s="1"/>
  <c r="F340" i="3"/>
  <c r="C340" i="3"/>
  <c r="AC339" i="3"/>
  <c r="AD339" i="3" s="1"/>
  <c r="AA339" i="3"/>
  <c r="W339" i="3"/>
  <c r="X339" i="3" s="1"/>
  <c r="U339" i="3"/>
  <c r="R339" i="3"/>
  <c r="O339" i="3"/>
  <c r="N339" i="3"/>
  <c r="L339" i="3"/>
  <c r="H339" i="3"/>
  <c r="I339" i="3" s="1"/>
  <c r="F339" i="3"/>
  <c r="C339" i="3"/>
  <c r="AC338" i="3"/>
  <c r="AD338" i="3" s="1"/>
  <c r="AA338" i="3"/>
  <c r="X338" i="3"/>
  <c r="W338" i="3"/>
  <c r="U338" i="3"/>
  <c r="R338" i="3"/>
  <c r="O338" i="3"/>
  <c r="N338" i="3"/>
  <c r="L338" i="3"/>
  <c r="H338" i="3"/>
  <c r="I338" i="3" s="1"/>
  <c r="F338" i="3"/>
  <c r="C338" i="3"/>
  <c r="AC337" i="3"/>
  <c r="AD337" i="3" s="1"/>
  <c r="AA337" i="3"/>
  <c r="X337" i="3"/>
  <c r="W337" i="3"/>
  <c r="U337" i="3"/>
  <c r="R337" i="3"/>
  <c r="N337" i="3"/>
  <c r="O337" i="3" s="1"/>
  <c r="L337" i="3"/>
  <c r="I337" i="3"/>
  <c r="H337" i="3"/>
  <c r="F337" i="3"/>
  <c r="C337" i="3"/>
  <c r="AC335" i="3"/>
  <c r="AD335" i="3" s="1"/>
  <c r="AA335" i="3"/>
  <c r="W335" i="3"/>
  <c r="X335" i="3" s="1"/>
  <c r="U335" i="3"/>
  <c r="R335" i="3"/>
  <c r="O335" i="3"/>
  <c r="N335" i="3"/>
  <c r="L335" i="3"/>
  <c r="I335" i="3"/>
  <c r="H335" i="3"/>
  <c r="F335" i="3"/>
  <c r="C335" i="3"/>
  <c r="AC334" i="3"/>
  <c r="AD334" i="3" s="1"/>
  <c r="AA334" i="3"/>
  <c r="W334" i="3"/>
  <c r="X334" i="3" s="1"/>
  <c r="U334" i="3"/>
  <c r="R334" i="3"/>
  <c r="O334" i="3"/>
  <c r="N334" i="3"/>
  <c r="L334" i="3"/>
  <c r="H334" i="3"/>
  <c r="I334" i="3" s="1"/>
  <c r="F334" i="3"/>
  <c r="C334" i="3"/>
  <c r="AD333" i="3"/>
  <c r="AC333" i="3"/>
  <c r="AA333" i="3"/>
  <c r="X333" i="3"/>
  <c r="W333" i="3"/>
  <c r="U333" i="3"/>
  <c r="R333" i="3"/>
  <c r="N333" i="3"/>
  <c r="O333" i="3" s="1"/>
  <c r="L333" i="3"/>
  <c r="H333" i="3"/>
  <c r="I333" i="3" s="1"/>
  <c r="F333" i="3"/>
  <c r="C333" i="3"/>
  <c r="AD332" i="3"/>
  <c r="AC332" i="3"/>
  <c r="AA332" i="3"/>
  <c r="X332" i="3"/>
  <c r="W332" i="3"/>
  <c r="U332" i="3"/>
  <c r="R332" i="3"/>
  <c r="N332" i="3"/>
  <c r="O332" i="3" s="1"/>
  <c r="L332" i="3"/>
  <c r="H332" i="3"/>
  <c r="I332" i="3" s="1"/>
  <c r="F332" i="3"/>
  <c r="C332" i="3"/>
  <c r="AC331" i="3"/>
  <c r="AD331" i="3" s="1"/>
  <c r="AA331" i="3"/>
  <c r="X331" i="3"/>
  <c r="W331" i="3"/>
  <c r="U331" i="3"/>
  <c r="R331" i="3"/>
  <c r="O331" i="3"/>
  <c r="N331" i="3"/>
  <c r="L331" i="3"/>
  <c r="H331" i="3"/>
  <c r="I331" i="3" s="1"/>
  <c r="F331" i="3"/>
  <c r="C331" i="3"/>
  <c r="AC330" i="3"/>
  <c r="AD330" i="3" s="1"/>
  <c r="AA330" i="3"/>
  <c r="W330" i="3"/>
  <c r="X330" i="3" s="1"/>
  <c r="U330" i="3"/>
  <c r="R330" i="3"/>
  <c r="O330" i="3"/>
  <c r="N330" i="3"/>
  <c r="L330" i="3"/>
  <c r="H330" i="3"/>
  <c r="I330" i="3" s="1"/>
  <c r="F330" i="3"/>
  <c r="C330" i="3"/>
  <c r="AC329" i="3"/>
  <c r="AD329" i="3" s="1"/>
  <c r="AA329" i="3"/>
  <c r="X329" i="3"/>
  <c r="W329" i="3"/>
  <c r="U329" i="3"/>
  <c r="R329" i="3"/>
  <c r="O329" i="3"/>
  <c r="N329" i="3"/>
  <c r="L329" i="3"/>
  <c r="H329" i="3"/>
  <c r="I329" i="3" s="1"/>
  <c r="F329" i="3"/>
  <c r="C329" i="3"/>
  <c r="AC328" i="3"/>
  <c r="AD328" i="3" s="1"/>
  <c r="AA328" i="3"/>
  <c r="X328" i="3"/>
  <c r="W328" i="3"/>
  <c r="U328" i="3"/>
  <c r="R328" i="3"/>
  <c r="N328" i="3"/>
  <c r="O328" i="3" s="1"/>
  <c r="L328" i="3"/>
  <c r="H328" i="3"/>
  <c r="I328" i="3" s="1"/>
  <c r="F328" i="3"/>
  <c r="C328" i="3"/>
  <c r="AA325" i="3"/>
  <c r="Z325" i="3"/>
  <c r="T325" i="3"/>
  <c r="U325" i="3" s="1"/>
  <c r="Q325" i="3"/>
  <c r="R325" i="3" s="1"/>
  <c r="L325" i="3"/>
  <c r="K325" i="3"/>
  <c r="E325" i="3"/>
  <c r="F325" i="3" s="1"/>
  <c r="C325" i="3"/>
  <c r="B325" i="3"/>
  <c r="H325" i="3" s="1"/>
  <c r="I325" i="3" s="1"/>
  <c r="Z324" i="3"/>
  <c r="AA324" i="3" s="1"/>
  <c r="U324" i="3"/>
  <c r="T324" i="3"/>
  <c r="Q324" i="3"/>
  <c r="W324" i="3" s="1"/>
  <c r="X324" i="3" s="1"/>
  <c r="N324" i="3"/>
  <c r="O324" i="3" s="1"/>
  <c r="K324" i="3"/>
  <c r="L324" i="3" s="1"/>
  <c r="H324" i="3"/>
  <c r="I324" i="3" s="1"/>
  <c r="F324" i="3"/>
  <c r="E324" i="3"/>
  <c r="B324" i="3"/>
  <c r="C324" i="3" s="1"/>
  <c r="AC323" i="3"/>
  <c r="AD323" i="3" s="1"/>
  <c r="AA323" i="3"/>
  <c r="W323" i="3"/>
  <c r="X323" i="3" s="1"/>
  <c r="U323" i="3"/>
  <c r="R323" i="3"/>
  <c r="O323" i="3"/>
  <c r="N323" i="3"/>
  <c r="L323" i="3"/>
  <c r="I323" i="3"/>
  <c r="H323" i="3"/>
  <c r="F323" i="3"/>
  <c r="C323" i="3"/>
  <c r="AC322" i="3"/>
  <c r="AD322" i="3" s="1"/>
  <c r="AA322" i="3"/>
  <c r="W322" i="3"/>
  <c r="X322" i="3" s="1"/>
  <c r="U322" i="3"/>
  <c r="R322" i="3"/>
  <c r="O322" i="3"/>
  <c r="N322" i="3"/>
  <c r="L322" i="3"/>
  <c r="H322" i="3"/>
  <c r="I322" i="3" s="1"/>
  <c r="F322" i="3"/>
  <c r="C322" i="3"/>
  <c r="AD321" i="3"/>
  <c r="AC321" i="3"/>
  <c r="AA321" i="3"/>
  <c r="X321" i="3"/>
  <c r="W321" i="3"/>
  <c r="U321" i="3"/>
  <c r="R321" i="3"/>
  <c r="N321" i="3"/>
  <c r="O321" i="3" s="1"/>
  <c r="L321" i="3"/>
  <c r="H321" i="3"/>
  <c r="I321" i="3" s="1"/>
  <c r="F321" i="3"/>
  <c r="C321" i="3"/>
  <c r="AD320" i="3"/>
  <c r="AC320" i="3"/>
  <c r="AA320" i="3"/>
  <c r="X320" i="3"/>
  <c r="W320" i="3"/>
  <c r="U320" i="3"/>
  <c r="R320" i="3"/>
  <c r="N320" i="3"/>
  <c r="O320" i="3" s="1"/>
  <c r="L320" i="3"/>
  <c r="H320" i="3"/>
  <c r="I320" i="3" s="1"/>
  <c r="F320" i="3"/>
  <c r="C320" i="3"/>
  <c r="AC319" i="3"/>
  <c r="AD319" i="3" s="1"/>
  <c r="AA319" i="3"/>
  <c r="X319" i="3"/>
  <c r="W319" i="3"/>
  <c r="U319" i="3"/>
  <c r="R319" i="3"/>
  <c r="O319" i="3"/>
  <c r="N319" i="3"/>
  <c r="L319" i="3"/>
  <c r="H319" i="3"/>
  <c r="I319" i="3" s="1"/>
  <c r="F319" i="3"/>
  <c r="C319" i="3"/>
  <c r="AC318" i="3"/>
  <c r="AD318" i="3" s="1"/>
  <c r="AA318" i="3"/>
  <c r="W318" i="3"/>
  <c r="X318" i="3" s="1"/>
  <c r="U318" i="3"/>
  <c r="R318" i="3"/>
  <c r="O318" i="3"/>
  <c r="N318" i="3"/>
  <c r="L318" i="3"/>
  <c r="H318" i="3"/>
  <c r="I318" i="3" s="1"/>
  <c r="F318" i="3"/>
  <c r="C318" i="3"/>
  <c r="AC317" i="3"/>
  <c r="AD317" i="3" s="1"/>
  <c r="AA317" i="3"/>
  <c r="X317" i="3"/>
  <c r="W317" i="3"/>
  <c r="U317" i="3"/>
  <c r="R317" i="3"/>
  <c r="O317" i="3"/>
  <c r="N317" i="3"/>
  <c r="L317" i="3"/>
  <c r="H317" i="3"/>
  <c r="I317" i="3" s="1"/>
  <c r="F317" i="3"/>
  <c r="C317" i="3"/>
  <c r="AC316" i="3"/>
  <c r="AD316" i="3" s="1"/>
  <c r="AA316" i="3"/>
  <c r="X316" i="3"/>
  <c r="W316" i="3"/>
  <c r="U316" i="3"/>
  <c r="R316" i="3"/>
  <c r="N316" i="3"/>
  <c r="O316" i="3" s="1"/>
  <c r="L316" i="3"/>
  <c r="I316" i="3"/>
  <c r="H316" i="3"/>
  <c r="F316" i="3"/>
  <c r="C316" i="3"/>
  <c r="AC315" i="3"/>
  <c r="AD315" i="3" s="1"/>
  <c r="AA315" i="3"/>
  <c r="W315" i="3"/>
  <c r="X315" i="3" s="1"/>
  <c r="U315" i="3"/>
  <c r="R315" i="3"/>
  <c r="O315" i="3"/>
  <c r="N315" i="3"/>
  <c r="L315" i="3"/>
  <c r="I315" i="3"/>
  <c r="H315" i="3"/>
  <c r="F315" i="3"/>
  <c r="C315" i="3"/>
  <c r="AC314" i="3"/>
  <c r="AD314" i="3" s="1"/>
  <c r="AA314" i="3"/>
  <c r="W314" i="3"/>
  <c r="X314" i="3" s="1"/>
  <c r="U314" i="3"/>
  <c r="R314" i="3"/>
  <c r="O314" i="3"/>
  <c r="N314" i="3"/>
  <c r="L314" i="3"/>
  <c r="H314" i="3"/>
  <c r="I314" i="3" s="1"/>
  <c r="F314" i="3"/>
  <c r="C314" i="3"/>
  <c r="AD313" i="3"/>
  <c r="AC313" i="3"/>
  <c r="AA313" i="3"/>
  <c r="X313" i="3"/>
  <c r="W313" i="3"/>
  <c r="U313" i="3"/>
  <c r="R313" i="3"/>
  <c r="N313" i="3"/>
  <c r="O313" i="3" s="1"/>
  <c r="L313" i="3"/>
  <c r="H313" i="3"/>
  <c r="I313" i="3" s="1"/>
  <c r="F313" i="3"/>
  <c r="C313" i="3"/>
  <c r="AD312" i="3"/>
  <c r="AC312" i="3"/>
  <c r="AA312" i="3"/>
  <c r="X312" i="3"/>
  <c r="W312" i="3"/>
  <c r="U312" i="3"/>
  <c r="R312" i="3"/>
  <c r="N312" i="3"/>
  <c r="O312" i="3" s="1"/>
  <c r="L312" i="3"/>
  <c r="H312" i="3"/>
  <c r="I312" i="3" s="1"/>
  <c r="F312" i="3"/>
  <c r="C312" i="3"/>
  <c r="AC311" i="3"/>
  <c r="AD311" i="3" s="1"/>
  <c r="AA311" i="3"/>
  <c r="X311" i="3"/>
  <c r="W311" i="3"/>
  <c r="U311" i="3"/>
  <c r="R311" i="3"/>
  <c r="O311" i="3"/>
  <c r="N311" i="3"/>
  <c r="L311" i="3"/>
  <c r="H311" i="3"/>
  <c r="I311" i="3" s="1"/>
  <c r="F311" i="3"/>
  <c r="C311" i="3"/>
  <c r="AC310" i="3"/>
  <c r="AD310" i="3" s="1"/>
  <c r="AA310" i="3"/>
  <c r="W310" i="3"/>
  <c r="X310" i="3" s="1"/>
  <c r="U310" i="3"/>
  <c r="R310" i="3"/>
  <c r="O310" i="3"/>
  <c r="N310" i="3"/>
  <c r="L310" i="3"/>
  <c r="H310" i="3"/>
  <c r="I310" i="3" s="1"/>
  <c r="F310" i="3"/>
  <c r="C310" i="3"/>
  <c r="AC309" i="3"/>
  <c r="AD309" i="3" s="1"/>
  <c r="AA309" i="3"/>
  <c r="X309" i="3"/>
  <c r="W309" i="3"/>
  <c r="U309" i="3"/>
  <c r="R309" i="3"/>
  <c r="O309" i="3"/>
  <c r="N309" i="3"/>
  <c r="L309" i="3"/>
  <c r="H309" i="3"/>
  <c r="I309" i="3" s="1"/>
  <c r="F309" i="3"/>
  <c r="C309" i="3"/>
  <c r="AC308" i="3"/>
  <c r="AD308" i="3" s="1"/>
  <c r="AA308" i="3"/>
  <c r="X308" i="3"/>
  <c r="W308" i="3"/>
  <c r="U308" i="3"/>
  <c r="R308" i="3"/>
  <c r="N308" i="3"/>
  <c r="O308" i="3" s="1"/>
  <c r="L308" i="3"/>
  <c r="I308" i="3"/>
  <c r="H308" i="3"/>
  <c r="F308" i="3"/>
  <c r="C308" i="3"/>
  <c r="AC307" i="3"/>
  <c r="AD307" i="3" s="1"/>
  <c r="AA307" i="3"/>
  <c r="W307" i="3"/>
  <c r="X307" i="3" s="1"/>
  <c r="U307" i="3"/>
  <c r="R307" i="3"/>
  <c r="O307" i="3"/>
  <c r="N307" i="3"/>
  <c r="L307" i="3"/>
  <c r="I307" i="3"/>
  <c r="H307" i="3"/>
  <c r="F307" i="3"/>
  <c r="C307" i="3"/>
  <c r="AC306" i="3"/>
  <c r="AD306" i="3" s="1"/>
  <c r="AA306" i="3"/>
  <c r="W306" i="3"/>
  <c r="X306" i="3" s="1"/>
  <c r="U306" i="3"/>
  <c r="R306" i="3"/>
  <c r="O306" i="3"/>
  <c r="N306" i="3"/>
  <c r="L306" i="3"/>
  <c r="H306" i="3"/>
  <c r="I306" i="3" s="1"/>
  <c r="F306" i="3"/>
  <c r="C306" i="3"/>
  <c r="AD305" i="3"/>
  <c r="AC305" i="3"/>
  <c r="AA305" i="3"/>
  <c r="X305" i="3"/>
  <c r="W305" i="3"/>
  <c r="U305" i="3"/>
  <c r="R305" i="3"/>
  <c r="N305" i="3"/>
  <c r="O305" i="3" s="1"/>
  <c r="L305" i="3"/>
  <c r="H305" i="3"/>
  <c r="I305" i="3" s="1"/>
  <c r="F305" i="3"/>
  <c r="C305" i="3"/>
  <c r="AD304" i="3"/>
  <c r="AC304" i="3"/>
  <c r="AA304" i="3"/>
  <c r="X304" i="3"/>
  <c r="W304" i="3"/>
  <c r="U304" i="3"/>
  <c r="R304" i="3"/>
  <c r="N304" i="3"/>
  <c r="O304" i="3" s="1"/>
  <c r="L304" i="3"/>
  <c r="H304" i="3"/>
  <c r="I304" i="3" s="1"/>
  <c r="F304" i="3"/>
  <c r="C304" i="3"/>
  <c r="AC303" i="3"/>
  <c r="AD303" i="3" s="1"/>
  <c r="AA303" i="3"/>
  <c r="X303" i="3"/>
  <c r="W303" i="3"/>
  <c r="U303" i="3"/>
  <c r="R303" i="3"/>
  <c r="O303" i="3"/>
  <c r="N303" i="3"/>
  <c r="L303" i="3"/>
  <c r="H303" i="3"/>
  <c r="I303" i="3" s="1"/>
  <c r="F303" i="3"/>
  <c r="C303" i="3"/>
  <c r="AC302" i="3"/>
  <c r="AD302" i="3" s="1"/>
  <c r="AA302" i="3"/>
  <c r="W302" i="3"/>
  <c r="X302" i="3" s="1"/>
  <c r="U302" i="3"/>
  <c r="R302" i="3"/>
  <c r="O302" i="3"/>
  <c r="N302" i="3"/>
  <c r="L302" i="3"/>
  <c r="H302" i="3"/>
  <c r="I302" i="3" s="1"/>
  <c r="F302" i="3"/>
  <c r="C302" i="3"/>
  <c r="AD301" i="3"/>
  <c r="AC301" i="3"/>
  <c r="AA301" i="3"/>
  <c r="X301" i="3"/>
  <c r="W301" i="3"/>
  <c r="U301" i="3"/>
  <c r="R301" i="3"/>
  <c r="O301" i="3"/>
  <c r="N301" i="3"/>
  <c r="L301" i="3"/>
  <c r="H301" i="3"/>
  <c r="I301" i="3" s="1"/>
  <c r="F301" i="3"/>
  <c r="C301" i="3"/>
  <c r="AC300" i="3"/>
  <c r="AD300" i="3" s="1"/>
  <c r="AA300" i="3"/>
  <c r="X300" i="3"/>
  <c r="W300" i="3"/>
  <c r="U300" i="3"/>
  <c r="R300" i="3"/>
  <c r="N300" i="3"/>
  <c r="O300" i="3" s="1"/>
  <c r="L300" i="3"/>
  <c r="H300" i="3"/>
  <c r="I300" i="3" s="1"/>
  <c r="F300" i="3"/>
  <c r="C300" i="3"/>
  <c r="AC299" i="3"/>
  <c r="AD299" i="3" s="1"/>
  <c r="AA299" i="3"/>
  <c r="W299" i="3"/>
  <c r="X299" i="3" s="1"/>
  <c r="U299" i="3"/>
  <c r="R299" i="3"/>
  <c r="O299" i="3"/>
  <c r="N299" i="3"/>
  <c r="L299" i="3"/>
  <c r="I299" i="3"/>
  <c r="H299" i="3"/>
  <c r="F299" i="3"/>
  <c r="C299" i="3"/>
  <c r="AC298" i="3"/>
  <c r="AD298" i="3" s="1"/>
  <c r="AA298" i="3"/>
  <c r="W298" i="3"/>
  <c r="X298" i="3" s="1"/>
  <c r="U298" i="3"/>
  <c r="R298" i="3"/>
  <c r="O298" i="3"/>
  <c r="N298" i="3"/>
  <c r="L298" i="3"/>
  <c r="H298" i="3"/>
  <c r="I298" i="3" s="1"/>
  <c r="F298" i="3"/>
  <c r="C298" i="3"/>
  <c r="AD297" i="3"/>
  <c r="AC297" i="3"/>
  <c r="AA297" i="3"/>
  <c r="X297" i="3"/>
  <c r="W297" i="3"/>
  <c r="U297" i="3"/>
  <c r="R297" i="3"/>
  <c r="N297" i="3"/>
  <c r="O297" i="3" s="1"/>
  <c r="L297" i="3"/>
  <c r="H297" i="3"/>
  <c r="I297" i="3" s="1"/>
  <c r="F297" i="3"/>
  <c r="C297" i="3"/>
  <c r="Z295" i="3"/>
  <c r="AA295" i="3" s="1"/>
  <c r="T295" i="3"/>
  <c r="U295" i="3" s="1"/>
  <c r="Q295" i="3"/>
  <c r="W295" i="3" s="1"/>
  <c r="X295" i="3" s="1"/>
  <c r="O295" i="3"/>
  <c r="N295" i="3"/>
  <c r="K295" i="3"/>
  <c r="L295" i="3" s="1"/>
  <c r="F295" i="3"/>
  <c r="E295" i="3"/>
  <c r="B295" i="3"/>
  <c r="H295" i="3" s="1"/>
  <c r="I295" i="3" s="1"/>
  <c r="AC294" i="3"/>
  <c r="AD294" i="3" s="1"/>
  <c r="AA294" i="3"/>
  <c r="W294" i="3"/>
  <c r="X294" i="3" s="1"/>
  <c r="U294" i="3"/>
  <c r="R294" i="3"/>
  <c r="O294" i="3"/>
  <c r="N294" i="3"/>
  <c r="L294" i="3"/>
  <c r="H294" i="3"/>
  <c r="I294" i="3" s="1"/>
  <c r="F294" i="3"/>
  <c r="C294" i="3"/>
  <c r="AC293" i="3"/>
  <c r="AD293" i="3" s="1"/>
  <c r="AA293" i="3"/>
  <c r="X293" i="3"/>
  <c r="W293" i="3"/>
  <c r="U293" i="3"/>
  <c r="R293" i="3"/>
  <c r="O293" i="3"/>
  <c r="N293" i="3"/>
  <c r="L293" i="3"/>
  <c r="H293" i="3"/>
  <c r="I293" i="3" s="1"/>
  <c r="F293" i="3"/>
  <c r="C293" i="3"/>
  <c r="AC292" i="3"/>
  <c r="AD292" i="3" s="1"/>
  <c r="AA292" i="3"/>
  <c r="X292" i="3"/>
  <c r="W292" i="3"/>
  <c r="U292" i="3"/>
  <c r="R292" i="3"/>
  <c r="N292" i="3"/>
  <c r="O292" i="3" s="1"/>
  <c r="L292" i="3"/>
  <c r="I292" i="3"/>
  <c r="H292" i="3"/>
  <c r="F292" i="3"/>
  <c r="C292" i="3"/>
  <c r="AC291" i="3"/>
  <c r="AD291" i="3" s="1"/>
  <c r="AA291" i="3"/>
  <c r="W291" i="3"/>
  <c r="X291" i="3" s="1"/>
  <c r="U291" i="3"/>
  <c r="R291" i="3"/>
  <c r="O291" i="3"/>
  <c r="N291" i="3"/>
  <c r="L291" i="3"/>
  <c r="H291" i="3"/>
  <c r="I291" i="3" s="1"/>
  <c r="F291" i="3"/>
  <c r="C291" i="3"/>
  <c r="AC290" i="3"/>
  <c r="AD290" i="3" s="1"/>
  <c r="AA290" i="3"/>
  <c r="W290" i="3"/>
  <c r="X290" i="3" s="1"/>
  <c r="U290" i="3"/>
  <c r="R290" i="3"/>
  <c r="O290" i="3"/>
  <c r="N290" i="3"/>
  <c r="L290" i="3"/>
  <c r="H290" i="3"/>
  <c r="I290" i="3" s="1"/>
  <c r="F290" i="3"/>
  <c r="C290" i="3"/>
  <c r="AD289" i="3"/>
  <c r="AC289" i="3"/>
  <c r="AA289" i="3"/>
  <c r="X289" i="3"/>
  <c r="W289" i="3"/>
  <c r="U289" i="3"/>
  <c r="R289" i="3"/>
  <c r="O289" i="3"/>
  <c r="N289" i="3"/>
  <c r="L289" i="3"/>
  <c r="H289" i="3"/>
  <c r="I289" i="3" s="1"/>
  <c r="F289" i="3"/>
  <c r="C289" i="3"/>
  <c r="AD288" i="3"/>
  <c r="AC288" i="3"/>
  <c r="AA288" i="3"/>
  <c r="X288" i="3"/>
  <c r="W288" i="3"/>
  <c r="U288" i="3"/>
  <c r="R288" i="3"/>
  <c r="N288" i="3"/>
  <c r="O288" i="3" s="1"/>
  <c r="L288" i="3"/>
  <c r="H288" i="3"/>
  <c r="I288" i="3" s="1"/>
  <c r="F288" i="3"/>
  <c r="C288" i="3"/>
  <c r="AC287" i="3"/>
  <c r="AD287" i="3" s="1"/>
  <c r="AA287" i="3"/>
  <c r="X287" i="3"/>
  <c r="W287" i="3"/>
  <c r="U287" i="3"/>
  <c r="R287" i="3"/>
  <c r="O287" i="3"/>
  <c r="N287" i="3"/>
  <c r="L287" i="3"/>
  <c r="H287" i="3"/>
  <c r="I287" i="3" s="1"/>
  <c r="F287" i="3"/>
  <c r="C287" i="3"/>
  <c r="AC286" i="3"/>
  <c r="AD286" i="3" s="1"/>
  <c r="AA286" i="3"/>
  <c r="W286" i="3"/>
  <c r="X286" i="3" s="1"/>
  <c r="U286" i="3"/>
  <c r="R286" i="3"/>
  <c r="O286" i="3"/>
  <c r="N286" i="3"/>
  <c r="L286" i="3"/>
  <c r="H286" i="3"/>
  <c r="I286" i="3" s="1"/>
  <c r="F286" i="3"/>
  <c r="C286" i="3"/>
  <c r="Z284" i="3"/>
  <c r="AA284" i="3" s="1"/>
  <c r="U284" i="3"/>
  <c r="T284" i="3"/>
  <c r="R284" i="3"/>
  <c r="Q284" i="3"/>
  <c r="K284" i="3"/>
  <c r="L284" i="3" s="1"/>
  <c r="E284" i="3"/>
  <c r="F284" i="3" s="1"/>
  <c r="B284" i="3"/>
  <c r="AC283" i="3"/>
  <c r="AD283" i="3" s="1"/>
  <c r="AA283" i="3"/>
  <c r="W283" i="3"/>
  <c r="X283" i="3" s="1"/>
  <c r="U283" i="3"/>
  <c r="R283" i="3"/>
  <c r="O283" i="3"/>
  <c r="N283" i="3"/>
  <c r="L283" i="3"/>
  <c r="H283" i="3"/>
  <c r="I283" i="3" s="1"/>
  <c r="F283" i="3"/>
  <c r="C283" i="3"/>
  <c r="AC282" i="3"/>
  <c r="AD282" i="3" s="1"/>
  <c r="AA282" i="3"/>
  <c r="W282" i="3"/>
  <c r="X282" i="3" s="1"/>
  <c r="U282" i="3"/>
  <c r="R282" i="3"/>
  <c r="O282" i="3"/>
  <c r="N282" i="3"/>
  <c r="L282" i="3"/>
  <c r="H282" i="3"/>
  <c r="I282" i="3" s="1"/>
  <c r="F282" i="3"/>
  <c r="C282" i="3"/>
  <c r="AD281" i="3"/>
  <c r="AC281" i="3"/>
  <c r="AA281" i="3"/>
  <c r="X281" i="3"/>
  <c r="W281" i="3"/>
  <c r="U281" i="3"/>
  <c r="R281" i="3"/>
  <c r="O281" i="3"/>
  <c r="N281" i="3"/>
  <c r="L281" i="3"/>
  <c r="H281" i="3"/>
  <c r="I281" i="3" s="1"/>
  <c r="F281" i="3"/>
  <c r="C281" i="3"/>
  <c r="AD280" i="3"/>
  <c r="AC280" i="3"/>
  <c r="AA280" i="3"/>
  <c r="X280" i="3"/>
  <c r="W280" i="3"/>
  <c r="U280" i="3"/>
  <c r="R280" i="3"/>
  <c r="N280" i="3"/>
  <c r="O280" i="3" s="1"/>
  <c r="L280" i="3"/>
  <c r="H280" i="3"/>
  <c r="I280" i="3" s="1"/>
  <c r="F280" i="3"/>
  <c r="C280" i="3"/>
  <c r="AC279" i="3"/>
  <c r="AD279" i="3" s="1"/>
  <c r="AA279" i="3"/>
  <c r="X279" i="3"/>
  <c r="W279" i="3"/>
  <c r="U279" i="3"/>
  <c r="R279" i="3"/>
  <c r="O279" i="3"/>
  <c r="N279" i="3"/>
  <c r="L279" i="3"/>
  <c r="H279" i="3"/>
  <c r="I279" i="3" s="1"/>
  <c r="F279" i="3"/>
  <c r="C279" i="3"/>
  <c r="AC278" i="3"/>
  <c r="AD278" i="3" s="1"/>
  <c r="AA278" i="3"/>
  <c r="W278" i="3"/>
  <c r="X278" i="3" s="1"/>
  <c r="U278" i="3"/>
  <c r="R278" i="3"/>
  <c r="O278" i="3"/>
  <c r="N278" i="3"/>
  <c r="L278" i="3"/>
  <c r="H278" i="3"/>
  <c r="I278" i="3" s="1"/>
  <c r="F278" i="3"/>
  <c r="C278" i="3"/>
  <c r="AC277" i="3"/>
  <c r="AD277" i="3" s="1"/>
  <c r="AA277" i="3"/>
  <c r="X277" i="3"/>
  <c r="W277" i="3"/>
  <c r="U277" i="3"/>
  <c r="R277" i="3"/>
  <c r="N277" i="3"/>
  <c r="O277" i="3" s="1"/>
  <c r="L277" i="3"/>
  <c r="H277" i="3"/>
  <c r="I277" i="3" s="1"/>
  <c r="F277" i="3"/>
  <c r="C277" i="3"/>
  <c r="AD276" i="3"/>
  <c r="AC276" i="3"/>
  <c r="AA276" i="3"/>
  <c r="X276" i="3"/>
  <c r="W276" i="3"/>
  <c r="U276" i="3"/>
  <c r="R276" i="3"/>
  <c r="N276" i="3"/>
  <c r="O276" i="3" s="1"/>
  <c r="L276" i="3"/>
  <c r="I276" i="3"/>
  <c r="H276" i="3"/>
  <c r="F276" i="3"/>
  <c r="C276" i="3"/>
  <c r="AC275" i="3"/>
  <c r="AD275" i="3" s="1"/>
  <c r="AA275" i="3"/>
  <c r="W275" i="3"/>
  <c r="X275" i="3" s="1"/>
  <c r="U275" i="3"/>
  <c r="R275" i="3"/>
  <c r="O275" i="3"/>
  <c r="N275" i="3"/>
  <c r="L275" i="3"/>
  <c r="H275" i="3"/>
  <c r="I275" i="3" s="1"/>
  <c r="F275" i="3"/>
  <c r="C275" i="3"/>
  <c r="Z273" i="3"/>
  <c r="AA273" i="3" s="1"/>
  <c r="T273" i="3"/>
  <c r="U273" i="3" s="1"/>
  <c r="Q273" i="3"/>
  <c r="L273" i="3"/>
  <c r="K273" i="3"/>
  <c r="E273" i="3"/>
  <c r="F273" i="3" s="1"/>
  <c r="B273" i="3"/>
  <c r="C273" i="3" s="1"/>
  <c r="AC272" i="3"/>
  <c r="AD272" i="3" s="1"/>
  <c r="AA272" i="3"/>
  <c r="X272" i="3"/>
  <c r="W272" i="3"/>
  <c r="U272" i="3"/>
  <c r="R272" i="3"/>
  <c r="N272" i="3"/>
  <c r="O272" i="3" s="1"/>
  <c r="L272" i="3"/>
  <c r="I272" i="3"/>
  <c r="H272" i="3"/>
  <c r="F272" i="3"/>
  <c r="C272" i="3"/>
  <c r="AC271" i="3"/>
  <c r="AD271" i="3" s="1"/>
  <c r="AA271" i="3"/>
  <c r="X271" i="3"/>
  <c r="W271" i="3"/>
  <c r="U271" i="3"/>
  <c r="R271" i="3"/>
  <c r="O271" i="3"/>
  <c r="N271" i="3"/>
  <c r="L271" i="3"/>
  <c r="I271" i="3"/>
  <c r="H271" i="3"/>
  <c r="F271" i="3"/>
  <c r="C271" i="3"/>
  <c r="AC270" i="3"/>
  <c r="AD270" i="3" s="1"/>
  <c r="AA270" i="3"/>
  <c r="W270" i="3"/>
  <c r="X270" i="3" s="1"/>
  <c r="U270" i="3"/>
  <c r="R270" i="3"/>
  <c r="O270" i="3"/>
  <c r="N270" i="3"/>
  <c r="L270" i="3"/>
  <c r="H270" i="3"/>
  <c r="I270" i="3" s="1"/>
  <c r="F270" i="3"/>
  <c r="C270" i="3"/>
  <c r="AC269" i="3"/>
  <c r="AD269" i="3" s="1"/>
  <c r="AA269" i="3"/>
  <c r="X269" i="3"/>
  <c r="W269" i="3"/>
  <c r="U269" i="3"/>
  <c r="R269" i="3"/>
  <c r="N269" i="3"/>
  <c r="O269" i="3" s="1"/>
  <c r="L269" i="3"/>
  <c r="H269" i="3"/>
  <c r="I269" i="3" s="1"/>
  <c r="F269" i="3"/>
  <c r="C269" i="3"/>
  <c r="Z267" i="3"/>
  <c r="AA267" i="3" s="1"/>
  <c r="T267" i="3"/>
  <c r="U267" i="3" s="1"/>
  <c r="Q267" i="3"/>
  <c r="K267" i="3"/>
  <c r="L267" i="3" s="1"/>
  <c r="E267" i="3"/>
  <c r="F267" i="3" s="1"/>
  <c r="C267" i="3"/>
  <c r="B267" i="3"/>
  <c r="AC266" i="3"/>
  <c r="AD266" i="3" s="1"/>
  <c r="AA266" i="3"/>
  <c r="W266" i="3"/>
  <c r="X266" i="3" s="1"/>
  <c r="U266" i="3"/>
  <c r="R266" i="3"/>
  <c r="O266" i="3"/>
  <c r="N266" i="3"/>
  <c r="L266" i="3"/>
  <c r="H266" i="3"/>
  <c r="I266" i="3" s="1"/>
  <c r="F266" i="3"/>
  <c r="C266" i="3"/>
  <c r="AC265" i="3"/>
  <c r="AD265" i="3" s="1"/>
  <c r="AA265" i="3"/>
  <c r="X265" i="3"/>
  <c r="W265" i="3"/>
  <c r="U265" i="3"/>
  <c r="R265" i="3"/>
  <c r="N265" i="3"/>
  <c r="O265" i="3" s="1"/>
  <c r="L265" i="3"/>
  <c r="H265" i="3"/>
  <c r="I265" i="3" s="1"/>
  <c r="F265" i="3"/>
  <c r="C265" i="3"/>
  <c r="AD263" i="3"/>
  <c r="Z263" i="3"/>
  <c r="AA263" i="3" s="1"/>
  <c r="W263" i="3"/>
  <c r="X263" i="3" s="1"/>
  <c r="T263" i="3"/>
  <c r="U263" i="3" s="1"/>
  <c r="Q263" i="3"/>
  <c r="AC263" i="3" s="1"/>
  <c r="K263" i="3"/>
  <c r="L263" i="3" s="1"/>
  <c r="E263" i="3"/>
  <c r="F263" i="3" s="1"/>
  <c r="C263" i="3"/>
  <c r="B263" i="3"/>
  <c r="Z262" i="3"/>
  <c r="AA262" i="3" s="1"/>
  <c r="T262" i="3"/>
  <c r="U262" i="3" s="1"/>
  <c r="Q262" i="3"/>
  <c r="R262" i="3" s="1"/>
  <c r="K262" i="3"/>
  <c r="L262" i="3" s="1"/>
  <c r="E262" i="3"/>
  <c r="F262" i="3" s="1"/>
  <c r="B262" i="3"/>
  <c r="C262" i="3" s="1"/>
  <c r="AC261" i="3"/>
  <c r="AD261" i="3" s="1"/>
  <c r="AA261" i="3"/>
  <c r="X261" i="3"/>
  <c r="W261" i="3"/>
  <c r="U261" i="3"/>
  <c r="R261" i="3"/>
  <c r="N261" i="3"/>
  <c r="O261" i="3" s="1"/>
  <c r="L261" i="3"/>
  <c r="I261" i="3"/>
  <c r="H261" i="3"/>
  <c r="F261" i="3"/>
  <c r="C261" i="3"/>
  <c r="AC260" i="3"/>
  <c r="AD260" i="3" s="1"/>
  <c r="AA260" i="3"/>
  <c r="W260" i="3"/>
  <c r="X260" i="3" s="1"/>
  <c r="U260" i="3"/>
  <c r="R260" i="3"/>
  <c r="O260" i="3"/>
  <c r="N260" i="3"/>
  <c r="L260" i="3"/>
  <c r="I260" i="3"/>
  <c r="H260" i="3"/>
  <c r="F260" i="3"/>
  <c r="C260" i="3"/>
  <c r="AC259" i="3"/>
  <c r="AD259" i="3" s="1"/>
  <c r="AA259" i="3"/>
  <c r="W259" i="3"/>
  <c r="X259" i="3" s="1"/>
  <c r="U259" i="3"/>
  <c r="R259" i="3"/>
  <c r="O259" i="3"/>
  <c r="N259" i="3"/>
  <c r="L259" i="3"/>
  <c r="H259" i="3"/>
  <c r="I259" i="3" s="1"/>
  <c r="F259" i="3"/>
  <c r="C259" i="3"/>
  <c r="AC258" i="3"/>
  <c r="AD258" i="3" s="1"/>
  <c r="AA258" i="3"/>
  <c r="X258" i="3"/>
  <c r="W258" i="3"/>
  <c r="U258" i="3"/>
  <c r="R258" i="3"/>
  <c r="O258" i="3"/>
  <c r="N258" i="3"/>
  <c r="L258" i="3"/>
  <c r="H258" i="3"/>
  <c r="I258" i="3" s="1"/>
  <c r="F258" i="3"/>
  <c r="C258" i="3"/>
  <c r="AC257" i="3"/>
  <c r="AD257" i="3" s="1"/>
  <c r="AA257" i="3"/>
  <c r="X257" i="3"/>
  <c r="W257" i="3"/>
  <c r="U257" i="3"/>
  <c r="R257" i="3"/>
  <c r="N257" i="3"/>
  <c r="O257" i="3" s="1"/>
  <c r="L257" i="3"/>
  <c r="H257" i="3"/>
  <c r="I257" i="3" s="1"/>
  <c r="F257" i="3"/>
  <c r="C257" i="3"/>
  <c r="AC256" i="3"/>
  <c r="AD256" i="3" s="1"/>
  <c r="AA256" i="3"/>
  <c r="X256" i="3"/>
  <c r="W256" i="3"/>
  <c r="U256" i="3"/>
  <c r="R256" i="3"/>
  <c r="O256" i="3"/>
  <c r="N256" i="3"/>
  <c r="L256" i="3"/>
  <c r="H256" i="3"/>
  <c r="I256" i="3" s="1"/>
  <c r="F256" i="3"/>
  <c r="C256" i="3"/>
  <c r="AC255" i="3"/>
  <c r="AD255" i="3" s="1"/>
  <c r="AA255" i="3"/>
  <c r="W255" i="3"/>
  <c r="X255" i="3" s="1"/>
  <c r="U255" i="3"/>
  <c r="R255" i="3"/>
  <c r="O255" i="3"/>
  <c r="N255" i="3"/>
  <c r="L255" i="3"/>
  <c r="H255" i="3"/>
  <c r="I255" i="3" s="1"/>
  <c r="F255" i="3"/>
  <c r="C255" i="3"/>
  <c r="AC254" i="3"/>
  <c r="AD254" i="3" s="1"/>
  <c r="AA254" i="3"/>
  <c r="X254" i="3"/>
  <c r="W254" i="3"/>
  <c r="U254" i="3"/>
  <c r="R254" i="3"/>
  <c r="O254" i="3"/>
  <c r="N254" i="3"/>
  <c r="L254" i="3"/>
  <c r="H254" i="3"/>
  <c r="I254" i="3" s="1"/>
  <c r="F254" i="3"/>
  <c r="C254" i="3"/>
  <c r="AD253" i="3"/>
  <c r="AC253" i="3"/>
  <c r="AA253" i="3"/>
  <c r="X253" i="3"/>
  <c r="W253" i="3"/>
  <c r="U253" i="3"/>
  <c r="R253" i="3"/>
  <c r="N253" i="3"/>
  <c r="O253" i="3" s="1"/>
  <c r="L253" i="3"/>
  <c r="H253" i="3"/>
  <c r="I253" i="3" s="1"/>
  <c r="F253" i="3"/>
  <c r="C253" i="3"/>
  <c r="AC252" i="3"/>
  <c r="AD252" i="3" s="1"/>
  <c r="AA252" i="3"/>
  <c r="W252" i="3"/>
  <c r="X252" i="3" s="1"/>
  <c r="U252" i="3"/>
  <c r="R252" i="3"/>
  <c r="O252" i="3"/>
  <c r="N252" i="3"/>
  <c r="L252" i="3"/>
  <c r="H252" i="3"/>
  <c r="I252" i="3" s="1"/>
  <c r="F252" i="3"/>
  <c r="C252" i="3"/>
  <c r="AC251" i="3"/>
  <c r="AD251" i="3" s="1"/>
  <c r="AA251" i="3"/>
  <c r="W251" i="3"/>
  <c r="X251" i="3" s="1"/>
  <c r="U251" i="3"/>
  <c r="R251" i="3"/>
  <c r="O251" i="3"/>
  <c r="N251" i="3"/>
  <c r="L251" i="3"/>
  <c r="H251" i="3"/>
  <c r="I251" i="3" s="1"/>
  <c r="F251" i="3"/>
  <c r="C251" i="3"/>
  <c r="AD250" i="3"/>
  <c r="AC250" i="3"/>
  <c r="AA250" i="3"/>
  <c r="X250" i="3"/>
  <c r="W250" i="3"/>
  <c r="U250" i="3"/>
  <c r="R250" i="3"/>
  <c r="N250" i="3"/>
  <c r="O250" i="3" s="1"/>
  <c r="L250" i="3"/>
  <c r="H250" i="3"/>
  <c r="I250" i="3" s="1"/>
  <c r="F250" i="3"/>
  <c r="C250" i="3"/>
  <c r="AD249" i="3"/>
  <c r="AC249" i="3"/>
  <c r="AA249" i="3"/>
  <c r="X249" i="3"/>
  <c r="W249" i="3"/>
  <c r="U249" i="3"/>
  <c r="R249" i="3"/>
  <c r="N249" i="3"/>
  <c r="O249" i="3" s="1"/>
  <c r="L249" i="3"/>
  <c r="H249" i="3"/>
  <c r="I249" i="3" s="1"/>
  <c r="F249" i="3"/>
  <c r="C249" i="3"/>
  <c r="AC248" i="3"/>
  <c r="AD248" i="3" s="1"/>
  <c r="AA248" i="3"/>
  <c r="W248" i="3"/>
  <c r="X248" i="3" s="1"/>
  <c r="U248" i="3"/>
  <c r="R248" i="3"/>
  <c r="O248" i="3"/>
  <c r="N248" i="3"/>
  <c r="L248" i="3"/>
  <c r="I248" i="3"/>
  <c r="H248" i="3"/>
  <c r="F248" i="3"/>
  <c r="C248" i="3"/>
  <c r="AC247" i="3"/>
  <c r="AD247" i="3" s="1"/>
  <c r="AA247" i="3"/>
  <c r="W247" i="3"/>
  <c r="X247" i="3" s="1"/>
  <c r="U247" i="3"/>
  <c r="R247" i="3"/>
  <c r="O247" i="3"/>
  <c r="N247" i="3"/>
  <c r="L247" i="3"/>
  <c r="H247" i="3"/>
  <c r="I247" i="3" s="1"/>
  <c r="F247" i="3"/>
  <c r="C247" i="3"/>
  <c r="AC246" i="3"/>
  <c r="AD246" i="3" s="1"/>
  <c r="AA246" i="3"/>
  <c r="X246" i="3"/>
  <c r="W246" i="3"/>
  <c r="U246" i="3"/>
  <c r="R246" i="3"/>
  <c r="N246" i="3"/>
  <c r="O246" i="3" s="1"/>
  <c r="L246" i="3"/>
  <c r="H246" i="3"/>
  <c r="I246" i="3" s="1"/>
  <c r="F246" i="3"/>
  <c r="C246" i="3"/>
  <c r="AC245" i="3"/>
  <c r="AD245" i="3" s="1"/>
  <c r="AA245" i="3"/>
  <c r="X245" i="3"/>
  <c r="W245" i="3"/>
  <c r="U245" i="3"/>
  <c r="R245" i="3"/>
  <c r="N245" i="3"/>
  <c r="O245" i="3" s="1"/>
  <c r="L245" i="3"/>
  <c r="I245" i="3"/>
  <c r="H245" i="3"/>
  <c r="F245" i="3"/>
  <c r="C245" i="3"/>
  <c r="AC244" i="3"/>
  <c r="AD244" i="3" s="1"/>
  <c r="AA244" i="3"/>
  <c r="W244" i="3"/>
  <c r="X244" i="3" s="1"/>
  <c r="U244" i="3"/>
  <c r="R244" i="3"/>
  <c r="O244" i="3"/>
  <c r="N244" i="3"/>
  <c r="L244" i="3"/>
  <c r="I244" i="3"/>
  <c r="H244" i="3"/>
  <c r="F244" i="3"/>
  <c r="C244" i="3"/>
  <c r="AC243" i="3"/>
  <c r="AD243" i="3" s="1"/>
  <c r="AA243" i="3"/>
  <c r="W243" i="3"/>
  <c r="X243" i="3" s="1"/>
  <c r="U243" i="3"/>
  <c r="R243" i="3"/>
  <c r="O243" i="3"/>
  <c r="N243" i="3"/>
  <c r="L243" i="3"/>
  <c r="H243" i="3"/>
  <c r="I243" i="3" s="1"/>
  <c r="F243" i="3"/>
  <c r="C243" i="3"/>
  <c r="AC242" i="3"/>
  <c r="AD242" i="3" s="1"/>
  <c r="AA242" i="3"/>
  <c r="X242" i="3"/>
  <c r="W242" i="3"/>
  <c r="U242" i="3"/>
  <c r="R242" i="3"/>
  <c r="O242" i="3"/>
  <c r="N242" i="3"/>
  <c r="L242" i="3"/>
  <c r="H242" i="3"/>
  <c r="I242" i="3" s="1"/>
  <c r="F242" i="3"/>
  <c r="C242" i="3"/>
  <c r="AC241" i="3"/>
  <c r="AD241" i="3" s="1"/>
  <c r="AA241" i="3"/>
  <c r="X241" i="3"/>
  <c r="W241" i="3"/>
  <c r="U241" i="3"/>
  <c r="R241" i="3"/>
  <c r="N241" i="3"/>
  <c r="O241" i="3" s="1"/>
  <c r="L241" i="3"/>
  <c r="H241" i="3"/>
  <c r="I241" i="3" s="1"/>
  <c r="F241" i="3"/>
  <c r="C241" i="3"/>
  <c r="AC240" i="3"/>
  <c r="AD240" i="3" s="1"/>
  <c r="AA240" i="3"/>
  <c r="X240" i="3"/>
  <c r="W240" i="3"/>
  <c r="U240" i="3"/>
  <c r="R240" i="3"/>
  <c r="O240" i="3"/>
  <c r="N240" i="3"/>
  <c r="L240" i="3"/>
  <c r="H240" i="3"/>
  <c r="I240" i="3" s="1"/>
  <c r="F240" i="3"/>
  <c r="C240" i="3"/>
  <c r="AC238" i="3"/>
  <c r="AD238" i="3" s="1"/>
  <c r="AA238" i="3"/>
  <c r="W238" i="3"/>
  <c r="X238" i="3" s="1"/>
  <c r="U238" i="3"/>
  <c r="R238" i="3"/>
  <c r="O238" i="3"/>
  <c r="N238" i="3"/>
  <c r="L238" i="3"/>
  <c r="H238" i="3"/>
  <c r="I238" i="3" s="1"/>
  <c r="F238" i="3"/>
  <c r="C238" i="3"/>
  <c r="Z236" i="3"/>
  <c r="AA236" i="3" s="1"/>
  <c r="T236" i="3"/>
  <c r="U236" i="3" s="1"/>
  <c r="R236" i="3"/>
  <c r="Q236" i="3"/>
  <c r="K236" i="3"/>
  <c r="L236" i="3" s="1"/>
  <c r="E236" i="3"/>
  <c r="F236" i="3" s="1"/>
  <c r="B236" i="3"/>
  <c r="AC235" i="3"/>
  <c r="AD235" i="3" s="1"/>
  <c r="AA235" i="3"/>
  <c r="W235" i="3"/>
  <c r="X235" i="3" s="1"/>
  <c r="U235" i="3"/>
  <c r="R235" i="3"/>
  <c r="O235" i="3"/>
  <c r="N235" i="3"/>
  <c r="L235" i="3"/>
  <c r="I235" i="3"/>
  <c r="H235" i="3"/>
  <c r="F235" i="3"/>
  <c r="C235" i="3"/>
  <c r="AC234" i="3"/>
  <c r="AD234" i="3" s="1"/>
  <c r="AA234" i="3"/>
  <c r="W234" i="3"/>
  <c r="X234" i="3" s="1"/>
  <c r="U234" i="3"/>
  <c r="R234" i="3"/>
  <c r="O234" i="3"/>
  <c r="N234" i="3"/>
  <c r="L234" i="3"/>
  <c r="H234" i="3"/>
  <c r="I234" i="3" s="1"/>
  <c r="F234" i="3"/>
  <c r="C234" i="3"/>
  <c r="AC233" i="3"/>
  <c r="AD233" i="3" s="1"/>
  <c r="AA233" i="3"/>
  <c r="X233" i="3"/>
  <c r="W233" i="3"/>
  <c r="U233" i="3"/>
  <c r="R233" i="3"/>
  <c r="O233" i="3"/>
  <c r="N233" i="3"/>
  <c r="L233" i="3"/>
  <c r="H233" i="3"/>
  <c r="I233" i="3" s="1"/>
  <c r="F233" i="3"/>
  <c r="C233" i="3"/>
  <c r="AC232" i="3"/>
  <c r="AD232" i="3" s="1"/>
  <c r="AA232" i="3"/>
  <c r="X232" i="3"/>
  <c r="W232" i="3"/>
  <c r="U232" i="3"/>
  <c r="R232" i="3"/>
  <c r="N232" i="3"/>
  <c r="O232" i="3" s="1"/>
  <c r="L232" i="3"/>
  <c r="H232" i="3"/>
  <c r="I232" i="3" s="1"/>
  <c r="F232" i="3"/>
  <c r="C232" i="3"/>
  <c r="AC231" i="3"/>
  <c r="AD231" i="3" s="1"/>
  <c r="AA231" i="3"/>
  <c r="X231" i="3"/>
  <c r="W231" i="3"/>
  <c r="U231" i="3"/>
  <c r="R231" i="3"/>
  <c r="O231" i="3"/>
  <c r="N231" i="3"/>
  <c r="L231" i="3"/>
  <c r="H231" i="3"/>
  <c r="I231" i="3" s="1"/>
  <c r="F231" i="3"/>
  <c r="C231" i="3"/>
  <c r="AC230" i="3"/>
  <c r="AD230" i="3" s="1"/>
  <c r="AA230" i="3"/>
  <c r="W230" i="3"/>
  <c r="X230" i="3" s="1"/>
  <c r="U230" i="3"/>
  <c r="R230" i="3"/>
  <c r="O230" i="3"/>
  <c r="N230" i="3"/>
  <c r="L230" i="3"/>
  <c r="H230" i="3"/>
  <c r="I230" i="3" s="1"/>
  <c r="F230" i="3"/>
  <c r="C230" i="3"/>
  <c r="AC229" i="3"/>
  <c r="AD229" i="3" s="1"/>
  <c r="AA229" i="3"/>
  <c r="X229" i="3"/>
  <c r="W229" i="3"/>
  <c r="U229" i="3"/>
  <c r="R229" i="3"/>
  <c r="O229" i="3"/>
  <c r="N229" i="3"/>
  <c r="L229" i="3"/>
  <c r="H229" i="3"/>
  <c r="I229" i="3" s="1"/>
  <c r="F229" i="3"/>
  <c r="C229" i="3"/>
  <c r="AD227" i="3"/>
  <c r="AA227" i="3"/>
  <c r="Z227" i="3"/>
  <c r="T227" i="3"/>
  <c r="U227" i="3" s="1"/>
  <c r="Q227" i="3"/>
  <c r="AC227" i="3" s="1"/>
  <c r="K227" i="3"/>
  <c r="L227" i="3" s="1"/>
  <c r="E227" i="3"/>
  <c r="F227" i="3" s="1"/>
  <c r="C227" i="3"/>
  <c r="B227" i="3"/>
  <c r="H227" i="3" s="1"/>
  <c r="I227" i="3" s="1"/>
  <c r="AC226" i="3"/>
  <c r="AD226" i="3" s="1"/>
  <c r="AA226" i="3"/>
  <c r="W226" i="3"/>
  <c r="X226" i="3" s="1"/>
  <c r="U226" i="3"/>
  <c r="R226" i="3"/>
  <c r="O226" i="3"/>
  <c r="N226" i="3"/>
  <c r="L226" i="3"/>
  <c r="H226" i="3"/>
  <c r="I226" i="3" s="1"/>
  <c r="F226" i="3"/>
  <c r="C226" i="3"/>
  <c r="AD225" i="3"/>
  <c r="AC225" i="3"/>
  <c r="AA225" i="3"/>
  <c r="X225" i="3"/>
  <c r="W225" i="3"/>
  <c r="U225" i="3"/>
  <c r="R225" i="3"/>
  <c r="N225" i="3"/>
  <c r="O225" i="3" s="1"/>
  <c r="L225" i="3"/>
  <c r="H225" i="3"/>
  <c r="I225" i="3" s="1"/>
  <c r="F225" i="3"/>
  <c r="C225" i="3"/>
  <c r="AC224" i="3"/>
  <c r="AD224" i="3" s="1"/>
  <c r="AA224" i="3"/>
  <c r="X224" i="3"/>
  <c r="W224" i="3"/>
  <c r="U224" i="3"/>
  <c r="R224" i="3"/>
  <c r="N224" i="3"/>
  <c r="O224" i="3" s="1"/>
  <c r="L224" i="3"/>
  <c r="I224" i="3"/>
  <c r="H224" i="3"/>
  <c r="F224" i="3"/>
  <c r="C224" i="3"/>
  <c r="AC223" i="3"/>
  <c r="AD223" i="3" s="1"/>
  <c r="AA223" i="3"/>
  <c r="X223" i="3"/>
  <c r="W223" i="3"/>
  <c r="U223" i="3"/>
  <c r="R223" i="3"/>
  <c r="O223" i="3"/>
  <c r="N223" i="3"/>
  <c r="L223" i="3"/>
  <c r="I223" i="3"/>
  <c r="H223" i="3"/>
  <c r="F223" i="3"/>
  <c r="C223" i="3"/>
  <c r="AC222" i="3"/>
  <c r="AD222" i="3" s="1"/>
  <c r="AA222" i="3"/>
  <c r="W222" i="3"/>
  <c r="X222" i="3" s="1"/>
  <c r="U222" i="3"/>
  <c r="R222" i="3"/>
  <c r="O222" i="3"/>
  <c r="N222" i="3"/>
  <c r="L222" i="3"/>
  <c r="H222" i="3"/>
  <c r="I222" i="3" s="1"/>
  <c r="F222" i="3"/>
  <c r="C222" i="3"/>
  <c r="AC221" i="3"/>
  <c r="AD221" i="3" s="1"/>
  <c r="AA221" i="3"/>
  <c r="X221" i="3"/>
  <c r="W221" i="3"/>
  <c r="U221" i="3"/>
  <c r="R221" i="3"/>
  <c r="N221" i="3"/>
  <c r="O221" i="3" s="1"/>
  <c r="L221" i="3"/>
  <c r="H221" i="3"/>
  <c r="I221" i="3" s="1"/>
  <c r="F221" i="3"/>
  <c r="C221" i="3"/>
  <c r="AC220" i="3"/>
  <c r="AD220" i="3" s="1"/>
  <c r="AA220" i="3"/>
  <c r="X220" i="3"/>
  <c r="W220" i="3"/>
  <c r="U220" i="3"/>
  <c r="R220" i="3"/>
  <c r="N220" i="3"/>
  <c r="O220" i="3" s="1"/>
  <c r="L220" i="3"/>
  <c r="I220" i="3"/>
  <c r="H220" i="3"/>
  <c r="F220" i="3"/>
  <c r="C220" i="3"/>
  <c r="AC219" i="3"/>
  <c r="AD219" i="3" s="1"/>
  <c r="AA219" i="3"/>
  <c r="X219" i="3"/>
  <c r="W219" i="3"/>
  <c r="U219" i="3"/>
  <c r="R219" i="3"/>
  <c r="O219" i="3"/>
  <c r="N219" i="3"/>
  <c r="L219" i="3"/>
  <c r="H219" i="3"/>
  <c r="I219" i="3" s="1"/>
  <c r="F219" i="3"/>
  <c r="C219" i="3"/>
  <c r="AC218" i="3"/>
  <c r="AD218" i="3" s="1"/>
  <c r="Z218" i="3"/>
  <c r="AA218" i="3" s="1"/>
  <c r="T218" i="3"/>
  <c r="Q218" i="3"/>
  <c r="R218" i="3" s="1"/>
  <c r="L218" i="3"/>
  <c r="K218" i="3"/>
  <c r="H218" i="3"/>
  <c r="I218" i="3" s="1"/>
  <c r="E218" i="3"/>
  <c r="F218" i="3" s="1"/>
  <c r="B218" i="3"/>
  <c r="C218" i="3" s="1"/>
  <c r="AD217" i="3"/>
  <c r="AC217" i="3"/>
  <c r="AA217" i="3"/>
  <c r="X217" i="3"/>
  <c r="W217" i="3"/>
  <c r="U217" i="3"/>
  <c r="R217" i="3"/>
  <c r="N217" i="3"/>
  <c r="O217" i="3" s="1"/>
  <c r="L217" i="3"/>
  <c r="H217" i="3"/>
  <c r="I217" i="3" s="1"/>
  <c r="F217" i="3"/>
  <c r="C217" i="3"/>
  <c r="AC216" i="3"/>
  <c r="AD216" i="3" s="1"/>
  <c r="AA216" i="3"/>
  <c r="W216" i="3"/>
  <c r="X216" i="3" s="1"/>
  <c r="U216" i="3"/>
  <c r="R216" i="3"/>
  <c r="O216" i="3"/>
  <c r="N216" i="3"/>
  <c r="L216" i="3"/>
  <c r="I216" i="3"/>
  <c r="H216" i="3"/>
  <c r="F216" i="3"/>
  <c r="C216" i="3"/>
  <c r="AC215" i="3"/>
  <c r="AD215" i="3" s="1"/>
  <c r="AA215" i="3"/>
  <c r="W215" i="3"/>
  <c r="X215" i="3" s="1"/>
  <c r="U215" i="3"/>
  <c r="R215" i="3"/>
  <c r="O215" i="3"/>
  <c r="N215" i="3"/>
  <c r="L215" i="3"/>
  <c r="H215" i="3"/>
  <c r="I215" i="3" s="1"/>
  <c r="F215" i="3"/>
  <c r="C215" i="3"/>
  <c r="AD214" i="3"/>
  <c r="AC214" i="3"/>
  <c r="AA214" i="3"/>
  <c r="X214" i="3"/>
  <c r="W214" i="3"/>
  <c r="U214" i="3"/>
  <c r="R214" i="3"/>
  <c r="N214" i="3"/>
  <c r="O214" i="3" s="1"/>
  <c r="L214" i="3"/>
  <c r="H214" i="3"/>
  <c r="I214" i="3" s="1"/>
  <c r="F214" i="3"/>
  <c r="C214" i="3"/>
  <c r="AD213" i="3"/>
  <c r="AC213" i="3"/>
  <c r="AA213" i="3"/>
  <c r="X213" i="3"/>
  <c r="W213" i="3"/>
  <c r="U213" i="3"/>
  <c r="R213" i="3"/>
  <c r="N213" i="3"/>
  <c r="O213" i="3" s="1"/>
  <c r="L213" i="3"/>
  <c r="H213" i="3"/>
  <c r="I213" i="3" s="1"/>
  <c r="F213" i="3"/>
  <c r="C213" i="3"/>
  <c r="AC211" i="3"/>
  <c r="AD211" i="3" s="1"/>
  <c r="AA211" i="3"/>
  <c r="W211" i="3"/>
  <c r="X211" i="3" s="1"/>
  <c r="U211" i="3"/>
  <c r="R211" i="3"/>
  <c r="O211" i="3"/>
  <c r="N211" i="3"/>
  <c r="L211" i="3"/>
  <c r="I211" i="3"/>
  <c r="H211" i="3"/>
  <c r="F211" i="3"/>
  <c r="C211" i="3"/>
  <c r="AC209" i="3"/>
  <c r="AD209" i="3" s="1"/>
  <c r="Z209" i="3"/>
  <c r="AA209" i="3" s="1"/>
  <c r="X209" i="3"/>
  <c r="W209" i="3"/>
  <c r="U209" i="3"/>
  <c r="T209" i="3"/>
  <c r="Q209" i="3"/>
  <c r="R209" i="3" s="1"/>
  <c r="K209" i="3"/>
  <c r="L209" i="3" s="1"/>
  <c r="I209" i="3"/>
  <c r="H209" i="3"/>
  <c r="E209" i="3"/>
  <c r="F209" i="3" s="1"/>
  <c r="B209" i="3"/>
  <c r="C209" i="3" s="1"/>
  <c r="AC208" i="3"/>
  <c r="AD208" i="3" s="1"/>
  <c r="AA208" i="3"/>
  <c r="X208" i="3"/>
  <c r="W208" i="3"/>
  <c r="U208" i="3"/>
  <c r="R208" i="3"/>
  <c r="N208" i="3"/>
  <c r="O208" i="3" s="1"/>
  <c r="L208" i="3"/>
  <c r="I208" i="3"/>
  <c r="H208" i="3"/>
  <c r="F208" i="3"/>
  <c r="C208" i="3"/>
  <c r="AC207" i="3"/>
  <c r="AD207" i="3" s="1"/>
  <c r="AA207" i="3"/>
  <c r="X207" i="3"/>
  <c r="W207" i="3"/>
  <c r="U207" i="3"/>
  <c r="R207" i="3"/>
  <c r="O207" i="3"/>
  <c r="N207" i="3"/>
  <c r="L207" i="3"/>
  <c r="H207" i="3"/>
  <c r="I207" i="3" s="1"/>
  <c r="F207" i="3"/>
  <c r="C207" i="3"/>
  <c r="AC206" i="3"/>
  <c r="AD206" i="3" s="1"/>
  <c r="AA206" i="3"/>
  <c r="W206" i="3"/>
  <c r="X206" i="3" s="1"/>
  <c r="U206" i="3"/>
  <c r="R206" i="3"/>
  <c r="O206" i="3"/>
  <c r="N206" i="3"/>
  <c r="L206" i="3"/>
  <c r="H206" i="3"/>
  <c r="I206" i="3" s="1"/>
  <c r="F206" i="3"/>
  <c r="C206" i="3"/>
  <c r="AC205" i="3"/>
  <c r="AD205" i="3" s="1"/>
  <c r="AA205" i="3"/>
  <c r="X205" i="3"/>
  <c r="W205" i="3"/>
  <c r="U205" i="3"/>
  <c r="R205" i="3"/>
  <c r="O205" i="3"/>
  <c r="N205" i="3"/>
  <c r="L205" i="3"/>
  <c r="H205" i="3"/>
  <c r="I205" i="3" s="1"/>
  <c r="F205" i="3"/>
  <c r="C205" i="3"/>
  <c r="AC204" i="3"/>
  <c r="AD204" i="3" s="1"/>
  <c r="AA204" i="3"/>
  <c r="X204" i="3"/>
  <c r="W204" i="3"/>
  <c r="U204" i="3"/>
  <c r="R204" i="3"/>
  <c r="N204" i="3"/>
  <c r="O204" i="3" s="1"/>
  <c r="L204" i="3"/>
  <c r="H204" i="3"/>
  <c r="I204" i="3" s="1"/>
  <c r="F204" i="3"/>
  <c r="C204" i="3"/>
  <c r="AC203" i="3"/>
  <c r="AD203" i="3" s="1"/>
  <c r="AA203" i="3"/>
  <c r="X203" i="3"/>
  <c r="W203" i="3"/>
  <c r="U203" i="3"/>
  <c r="R203" i="3"/>
  <c r="O203" i="3"/>
  <c r="N203" i="3"/>
  <c r="L203" i="3"/>
  <c r="H203" i="3"/>
  <c r="I203" i="3" s="1"/>
  <c r="F203" i="3"/>
  <c r="C203" i="3"/>
  <c r="AC202" i="3"/>
  <c r="AD202" i="3" s="1"/>
  <c r="AA202" i="3"/>
  <c r="W202" i="3"/>
  <c r="X202" i="3" s="1"/>
  <c r="U202" i="3"/>
  <c r="R202" i="3"/>
  <c r="O202" i="3"/>
  <c r="N202" i="3"/>
  <c r="L202" i="3"/>
  <c r="H202" i="3"/>
  <c r="I202" i="3" s="1"/>
  <c r="F202" i="3"/>
  <c r="C202" i="3"/>
  <c r="AD201" i="3"/>
  <c r="AC201" i="3"/>
  <c r="AA201" i="3"/>
  <c r="X201" i="3"/>
  <c r="W201" i="3"/>
  <c r="U201" i="3"/>
  <c r="R201" i="3"/>
  <c r="N201" i="3"/>
  <c r="O201" i="3" s="1"/>
  <c r="L201" i="3"/>
  <c r="H201" i="3"/>
  <c r="I201" i="3" s="1"/>
  <c r="F201" i="3"/>
  <c r="C201" i="3"/>
  <c r="Z197" i="3"/>
  <c r="AA197" i="3" s="1"/>
  <c r="T197" i="3"/>
  <c r="Q197" i="3"/>
  <c r="R197" i="3" s="1"/>
  <c r="L197" i="3"/>
  <c r="K197" i="3"/>
  <c r="E197" i="3"/>
  <c r="F197" i="3" s="1"/>
  <c r="B197" i="3"/>
  <c r="C197" i="3" s="1"/>
  <c r="AD196" i="3"/>
  <c r="AA196" i="3"/>
  <c r="Z196" i="3"/>
  <c r="T196" i="3"/>
  <c r="U196" i="3" s="1"/>
  <c r="R196" i="3"/>
  <c r="Q196" i="3"/>
  <c r="AC196" i="3" s="1"/>
  <c r="K196" i="3"/>
  <c r="L196" i="3" s="1"/>
  <c r="E196" i="3"/>
  <c r="F196" i="3" s="1"/>
  <c r="B196" i="3"/>
  <c r="H196" i="3" s="1"/>
  <c r="I196" i="3" s="1"/>
  <c r="AC195" i="3"/>
  <c r="AD195" i="3" s="1"/>
  <c r="AA195" i="3"/>
  <c r="W195" i="3"/>
  <c r="X195" i="3" s="1"/>
  <c r="U195" i="3"/>
  <c r="R195" i="3"/>
  <c r="O195" i="3"/>
  <c r="N195" i="3"/>
  <c r="L195" i="3"/>
  <c r="H195" i="3"/>
  <c r="I195" i="3" s="1"/>
  <c r="F195" i="3"/>
  <c r="C195" i="3"/>
  <c r="AD194" i="3"/>
  <c r="AC194" i="3"/>
  <c r="AA194" i="3"/>
  <c r="X194" i="3"/>
  <c r="W194" i="3"/>
  <c r="U194" i="3"/>
  <c r="R194" i="3"/>
  <c r="N194" i="3"/>
  <c r="O194" i="3" s="1"/>
  <c r="L194" i="3"/>
  <c r="H194" i="3"/>
  <c r="I194" i="3" s="1"/>
  <c r="F194" i="3"/>
  <c r="C194" i="3"/>
  <c r="AC193" i="3"/>
  <c r="AD193" i="3" s="1"/>
  <c r="Z193" i="3"/>
  <c r="AA193" i="3" s="1"/>
  <c r="T193" i="3"/>
  <c r="U193" i="3" s="1"/>
  <c r="Q193" i="3"/>
  <c r="W193" i="3" s="1"/>
  <c r="X193" i="3" s="1"/>
  <c r="N193" i="3"/>
  <c r="O193" i="3" s="1"/>
  <c r="K193" i="3"/>
  <c r="L193" i="3" s="1"/>
  <c r="F193" i="3"/>
  <c r="E193" i="3"/>
  <c r="B193" i="3"/>
  <c r="H193" i="3" s="1"/>
  <c r="I193" i="3" s="1"/>
  <c r="AC192" i="3"/>
  <c r="AD192" i="3" s="1"/>
  <c r="AA192" i="3"/>
  <c r="W192" i="3"/>
  <c r="X192" i="3" s="1"/>
  <c r="U192" i="3"/>
  <c r="R192" i="3"/>
  <c r="O192" i="3"/>
  <c r="N192" i="3"/>
  <c r="L192" i="3"/>
  <c r="H192" i="3"/>
  <c r="I192" i="3" s="1"/>
  <c r="F192" i="3"/>
  <c r="C192" i="3"/>
  <c r="AC191" i="3"/>
  <c r="AD191" i="3" s="1"/>
  <c r="AA191" i="3"/>
  <c r="X191" i="3"/>
  <c r="W191" i="3"/>
  <c r="U191" i="3"/>
  <c r="R191" i="3"/>
  <c r="O191" i="3"/>
  <c r="N191" i="3"/>
  <c r="L191" i="3"/>
  <c r="H191" i="3"/>
  <c r="I191" i="3" s="1"/>
  <c r="F191" i="3"/>
  <c r="C191" i="3"/>
  <c r="AD190" i="3"/>
  <c r="AC190" i="3"/>
  <c r="AA190" i="3"/>
  <c r="X190" i="3"/>
  <c r="W190" i="3"/>
  <c r="U190" i="3"/>
  <c r="R190" i="3"/>
  <c r="N190" i="3"/>
  <c r="O190" i="3" s="1"/>
  <c r="L190" i="3"/>
  <c r="H190" i="3"/>
  <c r="I190" i="3" s="1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H189" i="3"/>
  <c r="I189" i="3" s="1"/>
  <c r="F189" i="3"/>
  <c r="C189" i="3"/>
  <c r="AC188" i="3"/>
  <c r="AD188" i="3" s="1"/>
  <c r="AA188" i="3"/>
  <c r="W188" i="3"/>
  <c r="X188" i="3" s="1"/>
  <c r="U188" i="3"/>
  <c r="R188" i="3"/>
  <c r="O188" i="3"/>
  <c r="N188" i="3"/>
  <c r="L188" i="3"/>
  <c r="H188" i="3"/>
  <c r="I188" i="3" s="1"/>
  <c r="F188" i="3"/>
  <c r="C188" i="3"/>
  <c r="AC187" i="3"/>
  <c r="AD187" i="3" s="1"/>
  <c r="AA187" i="3"/>
  <c r="X187" i="3"/>
  <c r="W187" i="3"/>
  <c r="U187" i="3"/>
  <c r="R187" i="3"/>
  <c r="O187" i="3"/>
  <c r="N187" i="3"/>
  <c r="L187" i="3"/>
  <c r="H187" i="3"/>
  <c r="I187" i="3" s="1"/>
  <c r="F187" i="3"/>
  <c r="C187" i="3"/>
  <c r="AD186" i="3"/>
  <c r="AC186" i="3"/>
  <c r="AA186" i="3"/>
  <c r="X186" i="3"/>
  <c r="W186" i="3"/>
  <c r="U186" i="3"/>
  <c r="R186" i="3"/>
  <c r="N186" i="3"/>
  <c r="O186" i="3" s="1"/>
  <c r="L186" i="3"/>
  <c r="H186" i="3"/>
  <c r="I186" i="3" s="1"/>
  <c r="F186" i="3"/>
  <c r="C186" i="3"/>
  <c r="AC184" i="3"/>
  <c r="AD184" i="3" s="1"/>
  <c r="AA184" i="3"/>
  <c r="W184" i="3"/>
  <c r="X184" i="3" s="1"/>
  <c r="U184" i="3"/>
  <c r="R184" i="3"/>
  <c r="O184" i="3"/>
  <c r="N184" i="3"/>
  <c r="L184" i="3"/>
  <c r="I184" i="3"/>
  <c r="H184" i="3"/>
  <c r="F184" i="3"/>
  <c r="C184" i="3"/>
  <c r="AC183" i="3"/>
  <c r="AD183" i="3" s="1"/>
  <c r="AA183" i="3"/>
  <c r="W183" i="3"/>
  <c r="X183" i="3" s="1"/>
  <c r="U183" i="3"/>
  <c r="R183" i="3"/>
  <c r="O183" i="3"/>
  <c r="N183" i="3"/>
  <c r="L183" i="3"/>
  <c r="H183" i="3"/>
  <c r="I183" i="3" s="1"/>
  <c r="F183" i="3"/>
  <c r="C183" i="3"/>
  <c r="AC182" i="3"/>
  <c r="AD182" i="3" s="1"/>
  <c r="Z182" i="3"/>
  <c r="AA182" i="3" s="1"/>
  <c r="U182" i="3"/>
  <c r="T182" i="3"/>
  <c r="R182" i="3"/>
  <c r="Q182" i="3"/>
  <c r="N182" i="3"/>
  <c r="O182" i="3" s="1"/>
  <c r="K182" i="3"/>
  <c r="L182" i="3" s="1"/>
  <c r="I182" i="3"/>
  <c r="H182" i="3"/>
  <c r="F182" i="3"/>
  <c r="E182" i="3"/>
  <c r="B182" i="3"/>
  <c r="C182" i="3" s="1"/>
  <c r="AC181" i="3"/>
  <c r="AD181" i="3" s="1"/>
  <c r="AA181" i="3"/>
  <c r="W181" i="3"/>
  <c r="X181" i="3" s="1"/>
  <c r="U181" i="3"/>
  <c r="R181" i="3"/>
  <c r="O181" i="3"/>
  <c r="N181" i="3"/>
  <c r="L181" i="3"/>
  <c r="H181" i="3"/>
  <c r="I181" i="3" s="1"/>
  <c r="F181" i="3"/>
  <c r="C181" i="3"/>
  <c r="AC180" i="3"/>
  <c r="AD180" i="3" s="1"/>
  <c r="AA180" i="3"/>
  <c r="W180" i="3"/>
  <c r="X180" i="3" s="1"/>
  <c r="U180" i="3"/>
  <c r="R180" i="3"/>
  <c r="O180" i="3"/>
  <c r="N180" i="3"/>
  <c r="L180" i="3"/>
  <c r="H180" i="3"/>
  <c r="I180" i="3" s="1"/>
  <c r="F180" i="3"/>
  <c r="C180" i="3"/>
  <c r="AC179" i="3"/>
  <c r="AD179" i="3" s="1"/>
  <c r="AA179" i="3"/>
  <c r="X179" i="3"/>
  <c r="W179" i="3"/>
  <c r="U179" i="3"/>
  <c r="R179" i="3"/>
  <c r="O179" i="3"/>
  <c r="N179" i="3"/>
  <c r="L179" i="3"/>
  <c r="H179" i="3"/>
  <c r="I179" i="3" s="1"/>
  <c r="F179" i="3"/>
  <c r="C179" i="3"/>
  <c r="AD178" i="3"/>
  <c r="AC178" i="3"/>
  <c r="AA178" i="3"/>
  <c r="X178" i="3"/>
  <c r="W178" i="3"/>
  <c r="U178" i="3"/>
  <c r="R178" i="3"/>
  <c r="N178" i="3"/>
  <c r="O178" i="3" s="1"/>
  <c r="L178" i="3"/>
  <c r="H178" i="3"/>
  <c r="I178" i="3" s="1"/>
  <c r="F178" i="3"/>
  <c r="C178" i="3"/>
  <c r="AC177" i="3"/>
  <c r="AD177" i="3" s="1"/>
  <c r="AA177" i="3"/>
  <c r="W177" i="3"/>
  <c r="X177" i="3" s="1"/>
  <c r="U177" i="3"/>
  <c r="R177" i="3"/>
  <c r="O177" i="3"/>
  <c r="N177" i="3"/>
  <c r="L177" i="3"/>
  <c r="I177" i="3"/>
  <c r="H177" i="3"/>
  <c r="F177" i="3"/>
  <c r="C177" i="3"/>
  <c r="AC175" i="3"/>
  <c r="AD175" i="3" s="1"/>
  <c r="AA175" i="3"/>
  <c r="W175" i="3"/>
  <c r="X175" i="3" s="1"/>
  <c r="U175" i="3"/>
  <c r="R175" i="3"/>
  <c r="O175" i="3"/>
  <c r="N175" i="3"/>
  <c r="L175" i="3"/>
  <c r="H175" i="3"/>
  <c r="I175" i="3" s="1"/>
  <c r="F175" i="3"/>
  <c r="C175" i="3"/>
  <c r="AA171" i="3"/>
  <c r="Z171" i="3"/>
  <c r="T171" i="3"/>
  <c r="U171" i="3" s="1"/>
  <c r="Q171" i="3"/>
  <c r="R171" i="3" s="1"/>
  <c r="L171" i="3"/>
  <c r="K171" i="3"/>
  <c r="E171" i="3"/>
  <c r="F171" i="3" s="1"/>
  <c r="C171" i="3"/>
  <c r="B171" i="3"/>
  <c r="N171" i="3" s="1"/>
  <c r="O171" i="3" s="1"/>
  <c r="Z170" i="3"/>
  <c r="AA170" i="3" s="1"/>
  <c r="T170" i="3"/>
  <c r="U170" i="3" s="1"/>
  <c r="Q170" i="3"/>
  <c r="W170" i="3" s="1"/>
  <c r="X170" i="3" s="1"/>
  <c r="N170" i="3"/>
  <c r="O170" i="3" s="1"/>
  <c r="K170" i="3"/>
  <c r="L170" i="3" s="1"/>
  <c r="E170" i="3"/>
  <c r="F170" i="3" s="1"/>
  <c r="B170" i="3"/>
  <c r="C170" i="3" s="1"/>
  <c r="AC169" i="3"/>
  <c r="AD169" i="3" s="1"/>
  <c r="AA169" i="3"/>
  <c r="X169" i="3"/>
  <c r="W169" i="3"/>
  <c r="U169" i="3"/>
  <c r="R169" i="3"/>
  <c r="O169" i="3"/>
  <c r="N169" i="3"/>
  <c r="L169" i="3"/>
  <c r="H169" i="3"/>
  <c r="I169" i="3" s="1"/>
  <c r="F169" i="3"/>
  <c r="C169" i="3"/>
  <c r="AC168" i="3"/>
  <c r="AD168" i="3" s="1"/>
  <c r="AA168" i="3"/>
  <c r="W168" i="3"/>
  <c r="X168" i="3" s="1"/>
  <c r="U168" i="3"/>
  <c r="R168" i="3"/>
  <c r="O168" i="3"/>
  <c r="N168" i="3"/>
  <c r="L168" i="3"/>
  <c r="H168" i="3"/>
  <c r="I168" i="3" s="1"/>
  <c r="F168" i="3"/>
  <c r="C168" i="3"/>
  <c r="AD167" i="3"/>
  <c r="AC167" i="3"/>
  <c r="AA167" i="3"/>
  <c r="X167" i="3"/>
  <c r="W167" i="3"/>
  <c r="U167" i="3"/>
  <c r="R167" i="3"/>
  <c r="N167" i="3"/>
  <c r="O167" i="3" s="1"/>
  <c r="L167" i="3"/>
  <c r="H167" i="3"/>
  <c r="I167" i="3" s="1"/>
  <c r="F167" i="3"/>
  <c r="C167" i="3"/>
  <c r="Z166" i="3"/>
  <c r="W166" i="3"/>
  <c r="X166" i="3" s="1"/>
  <c r="T166" i="3"/>
  <c r="U166" i="3" s="1"/>
  <c r="Q166" i="3"/>
  <c r="R166" i="3" s="1"/>
  <c r="K166" i="3"/>
  <c r="L166" i="3" s="1"/>
  <c r="E166" i="3"/>
  <c r="F166" i="3" s="1"/>
  <c r="C166" i="3"/>
  <c r="B166" i="3"/>
  <c r="AC165" i="3"/>
  <c r="AD165" i="3" s="1"/>
  <c r="AA165" i="3"/>
  <c r="W165" i="3"/>
  <c r="X165" i="3" s="1"/>
  <c r="U165" i="3"/>
  <c r="R165" i="3"/>
  <c r="O165" i="3"/>
  <c r="N165" i="3"/>
  <c r="L165" i="3"/>
  <c r="H165" i="3"/>
  <c r="I165" i="3" s="1"/>
  <c r="F165" i="3"/>
  <c r="C165" i="3"/>
  <c r="AD164" i="3"/>
  <c r="AC164" i="3"/>
  <c r="AA164" i="3"/>
  <c r="X164" i="3"/>
  <c r="W164" i="3"/>
  <c r="U164" i="3"/>
  <c r="R164" i="3"/>
  <c r="N164" i="3"/>
  <c r="O164" i="3" s="1"/>
  <c r="L164" i="3"/>
  <c r="H164" i="3"/>
  <c r="I164" i="3" s="1"/>
  <c r="F164" i="3"/>
  <c r="C164" i="3"/>
  <c r="AD163" i="3"/>
  <c r="AC163" i="3"/>
  <c r="AA163" i="3"/>
  <c r="X163" i="3"/>
  <c r="W163" i="3"/>
  <c r="U163" i="3"/>
  <c r="R163" i="3"/>
  <c r="N163" i="3"/>
  <c r="O163" i="3" s="1"/>
  <c r="L163" i="3"/>
  <c r="H163" i="3"/>
  <c r="I163" i="3" s="1"/>
  <c r="F163" i="3"/>
  <c r="C163" i="3"/>
  <c r="AC162" i="3"/>
  <c r="AD162" i="3" s="1"/>
  <c r="AA162" i="3"/>
  <c r="W162" i="3"/>
  <c r="X162" i="3" s="1"/>
  <c r="U162" i="3"/>
  <c r="R162" i="3"/>
  <c r="O162" i="3"/>
  <c r="N162" i="3"/>
  <c r="L162" i="3"/>
  <c r="I162" i="3"/>
  <c r="H162" i="3"/>
  <c r="F162" i="3"/>
  <c r="C162" i="3"/>
  <c r="AC161" i="3"/>
  <c r="AD161" i="3" s="1"/>
  <c r="AA161" i="3"/>
  <c r="W161" i="3"/>
  <c r="X161" i="3" s="1"/>
  <c r="U161" i="3"/>
  <c r="R161" i="3"/>
  <c r="O161" i="3"/>
  <c r="N161" i="3"/>
  <c r="L161" i="3"/>
  <c r="H161" i="3"/>
  <c r="I161" i="3" s="1"/>
  <c r="F161" i="3"/>
  <c r="C161" i="3"/>
  <c r="AD160" i="3"/>
  <c r="AC160" i="3"/>
  <c r="AA160" i="3"/>
  <c r="X160" i="3"/>
  <c r="W160" i="3"/>
  <c r="U160" i="3"/>
  <c r="R160" i="3"/>
  <c r="N160" i="3"/>
  <c r="O160" i="3" s="1"/>
  <c r="L160" i="3"/>
  <c r="H160" i="3"/>
  <c r="I160" i="3" s="1"/>
  <c r="F160" i="3"/>
  <c r="C160" i="3"/>
  <c r="Z158" i="3"/>
  <c r="AC158" i="3" s="1"/>
  <c r="AD158" i="3" s="1"/>
  <c r="W158" i="3"/>
  <c r="X158" i="3" s="1"/>
  <c r="T158" i="3"/>
  <c r="U158" i="3" s="1"/>
  <c r="R158" i="3"/>
  <c r="Q158" i="3"/>
  <c r="K158" i="3"/>
  <c r="L158" i="3" s="1"/>
  <c r="E158" i="3"/>
  <c r="F158" i="3" s="1"/>
  <c r="B158" i="3"/>
  <c r="AC157" i="3"/>
  <c r="AD157" i="3" s="1"/>
  <c r="AA157" i="3"/>
  <c r="W157" i="3"/>
  <c r="X157" i="3" s="1"/>
  <c r="U157" i="3"/>
  <c r="R157" i="3"/>
  <c r="O157" i="3"/>
  <c r="N157" i="3"/>
  <c r="L157" i="3"/>
  <c r="H157" i="3"/>
  <c r="I157" i="3" s="1"/>
  <c r="F157" i="3"/>
  <c r="C157" i="3"/>
  <c r="AC156" i="3"/>
  <c r="AD156" i="3" s="1"/>
  <c r="AA156" i="3"/>
  <c r="X156" i="3"/>
  <c r="W156" i="3"/>
  <c r="U156" i="3"/>
  <c r="R156" i="3"/>
  <c r="N156" i="3"/>
  <c r="O156" i="3" s="1"/>
  <c r="L156" i="3"/>
  <c r="H156" i="3"/>
  <c r="I156" i="3" s="1"/>
  <c r="F156" i="3"/>
  <c r="C156" i="3"/>
  <c r="AC155" i="3"/>
  <c r="AD155" i="3" s="1"/>
  <c r="AA155" i="3"/>
  <c r="X155" i="3"/>
  <c r="W155" i="3"/>
  <c r="U155" i="3"/>
  <c r="R155" i="3"/>
  <c r="N155" i="3"/>
  <c r="O155" i="3" s="1"/>
  <c r="L155" i="3"/>
  <c r="H155" i="3"/>
  <c r="I155" i="3" s="1"/>
  <c r="F155" i="3"/>
  <c r="C155" i="3"/>
  <c r="AC154" i="3"/>
  <c r="AD154" i="3" s="1"/>
  <c r="AA154" i="3"/>
  <c r="X154" i="3"/>
  <c r="W154" i="3"/>
  <c r="U154" i="3"/>
  <c r="R154" i="3"/>
  <c r="O154" i="3"/>
  <c r="N154" i="3"/>
  <c r="L154" i="3"/>
  <c r="H154" i="3"/>
  <c r="I154" i="3" s="1"/>
  <c r="F154" i="3"/>
  <c r="C154" i="3"/>
  <c r="AC153" i="3"/>
  <c r="AD153" i="3" s="1"/>
  <c r="AA153" i="3"/>
  <c r="W153" i="3"/>
  <c r="X153" i="3" s="1"/>
  <c r="U153" i="3"/>
  <c r="R153" i="3"/>
  <c r="O153" i="3"/>
  <c r="N153" i="3"/>
  <c r="L153" i="3"/>
  <c r="H153" i="3"/>
  <c r="I153" i="3" s="1"/>
  <c r="F153" i="3"/>
  <c r="C153" i="3"/>
  <c r="AD151" i="3"/>
  <c r="AC151" i="3"/>
  <c r="AA151" i="3"/>
  <c r="X151" i="3"/>
  <c r="W151" i="3"/>
  <c r="U151" i="3"/>
  <c r="R151" i="3"/>
  <c r="N151" i="3"/>
  <c r="O151" i="3" s="1"/>
  <c r="L151" i="3"/>
  <c r="H151" i="3"/>
  <c r="I151" i="3" s="1"/>
  <c r="F151" i="3"/>
  <c r="C151" i="3"/>
  <c r="AC149" i="3"/>
  <c r="AD149" i="3" s="1"/>
  <c r="Z149" i="3"/>
  <c r="AA149" i="3" s="1"/>
  <c r="T149" i="3"/>
  <c r="U149" i="3" s="1"/>
  <c r="Q149" i="3"/>
  <c r="N149" i="3"/>
  <c r="O149" i="3" s="1"/>
  <c r="K149" i="3"/>
  <c r="L149" i="3" s="1"/>
  <c r="F149" i="3"/>
  <c r="E149" i="3"/>
  <c r="C149" i="3"/>
  <c r="B149" i="3"/>
  <c r="AC148" i="3"/>
  <c r="AD148" i="3" s="1"/>
  <c r="Z148" i="3"/>
  <c r="AA148" i="3" s="1"/>
  <c r="X148" i="3"/>
  <c r="W148" i="3"/>
  <c r="U148" i="3"/>
  <c r="T148" i="3"/>
  <c r="Q148" i="3"/>
  <c r="R148" i="3" s="1"/>
  <c r="K148" i="3"/>
  <c r="L148" i="3" s="1"/>
  <c r="E148" i="3"/>
  <c r="F148" i="3" s="1"/>
  <c r="B148" i="3"/>
  <c r="C148" i="3" s="1"/>
  <c r="AC147" i="3"/>
  <c r="AD147" i="3" s="1"/>
  <c r="AA147" i="3"/>
  <c r="X147" i="3"/>
  <c r="W147" i="3"/>
  <c r="U147" i="3"/>
  <c r="R147" i="3"/>
  <c r="N147" i="3"/>
  <c r="O147" i="3" s="1"/>
  <c r="L147" i="3"/>
  <c r="I147" i="3"/>
  <c r="H147" i="3"/>
  <c r="F147" i="3"/>
  <c r="C147" i="3"/>
  <c r="AC146" i="3"/>
  <c r="AD146" i="3" s="1"/>
  <c r="AA146" i="3"/>
  <c r="X146" i="3"/>
  <c r="W146" i="3"/>
  <c r="U146" i="3"/>
  <c r="R146" i="3"/>
  <c r="O146" i="3"/>
  <c r="N146" i="3"/>
  <c r="L146" i="3"/>
  <c r="H146" i="3"/>
  <c r="I146" i="3" s="1"/>
  <c r="F146" i="3"/>
  <c r="C146" i="3"/>
  <c r="AC145" i="3"/>
  <c r="AD145" i="3" s="1"/>
  <c r="AA145" i="3"/>
  <c r="W145" i="3"/>
  <c r="X145" i="3" s="1"/>
  <c r="U145" i="3"/>
  <c r="R145" i="3"/>
  <c r="O145" i="3"/>
  <c r="N145" i="3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N144" i="3"/>
  <c r="O144" i="3" s="1"/>
  <c r="L144" i="3"/>
  <c r="H144" i="3"/>
  <c r="I144" i="3" s="1"/>
  <c r="F144" i="3"/>
  <c r="C144" i="3"/>
  <c r="AC143" i="3"/>
  <c r="AD143" i="3" s="1"/>
  <c r="AA143" i="3"/>
  <c r="X143" i="3"/>
  <c r="W143" i="3"/>
  <c r="U143" i="3"/>
  <c r="R143" i="3"/>
  <c r="N143" i="3"/>
  <c r="O143" i="3" s="1"/>
  <c r="L143" i="3"/>
  <c r="H143" i="3"/>
  <c r="I143" i="3" s="1"/>
  <c r="F143" i="3"/>
  <c r="C143" i="3"/>
  <c r="AA141" i="3"/>
  <c r="Z141" i="3"/>
  <c r="T141" i="3"/>
  <c r="Q141" i="3"/>
  <c r="R141" i="3" s="1"/>
  <c r="N141" i="3"/>
  <c r="O141" i="3" s="1"/>
  <c r="L141" i="3"/>
  <c r="K141" i="3"/>
  <c r="E141" i="3"/>
  <c r="F141" i="3" s="1"/>
  <c r="C141" i="3"/>
  <c r="B141" i="3"/>
  <c r="H141" i="3" s="1"/>
  <c r="I141" i="3" s="1"/>
  <c r="AD140" i="3"/>
  <c r="AC140" i="3"/>
  <c r="AA140" i="3"/>
  <c r="X140" i="3"/>
  <c r="W140" i="3"/>
  <c r="U140" i="3"/>
  <c r="R140" i="3"/>
  <c r="N140" i="3"/>
  <c r="O140" i="3" s="1"/>
  <c r="L140" i="3"/>
  <c r="H140" i="3"/>
  <c r="I140" i="3" s="1"/>
  <c r="F140" i="3"/>
  <c r="C140" i="3"/>
  <c r="AC139" i="3"/>
  <c r="AD139" i="3" s="1"/>
  <c r="AA139" i="3"/>
  <c r="X139" i="3"/>
  <c r="W139" i="3"/>
  <c r="U139" i="3"/>
  <c r="R139" i="3"/>
  <c r="N139" i="3"/>
  <c r="O139" i="3" s="1"/>
  <c r="L139" i="3"/>
  <c r="H139" i="3"/>
  <c r="I139" i="3" s="1"/>
  <c r="F139" i="3"/>
  <c r="C139" i="3"/>
  <c r="AC138" i="3"/>
  <c r="AD138" i="3" s="1"/>
  <c r="AA138" i="3"/>
  <c r="X138" i="3"/>
  <c r="W138" i="3"/>
  <c r="U138" i="3"/>
  <c r="R138" i="3"/>
  <c r="O138" i="3"/>
  <c r="N138" i="3"/>
  <c r="L138" i="3"/>
  <c r="H138" i="3"/>
  <c r="I138" i="3" s="1"/>
  <c r="F138" i="3"/>
  <c r="C138" i="3"/>
  <c r="AC137" i="3"/>
  <c r="AD137" i="3" s="1"/>
  <c r="AA137" i="3"/>
  <c r="W137" i="3"/>
  <c r="X137" i="3" s="1"/>
  <c r="U137" i="3"/>
  <c r="R137" i="3"/>
  <c r="O137" i="3"/>
  <c r="N137" i="3"/>
  <c r="L137" i="3"/>
  <c r="H137" i="3"/>
  <c r="I137" i="3" s="1"/>
  <c r="F137" i="3"/>
  <c r="C137" i="3"/>
  <c r="AD136" i="3"/>
  <c r="AC136" i="3"/>
  <c r="AA136" i="3"/>
  <c r="X136" i="3"/>
  <c r="W136" i="3"/>
  <c r="U136" i="3"/>
  <c r="R136" i="3"/>
  <c r="N136" i="3"/>
  <c r="O136" i="3" s="1"/>
  <c r="L136" i="3"/>
  <c r="H136" i="3"/>
  <c r="I136" i="3" s="1"/>
  <c r="F136" i="3"/>
  <c r="C136" i="3"/>
  <c r="AC135" i="3"/>
  <c r="AD135" i="3" s="1"/>
  <c r="AA135" i="3"/>
  <c r="X135" i="3"/>
  <c r="W135" i="3"/>
  <c r="U135" i="3"/>
  <c r="R135" i="3"/>
  <c r="N135" i="3"/>
  <c r="O135" i="3" s="1"/>
  <c r="L135" i="3"/>
  <c r="I135" i="3"/>
  <c r="H135" i="3"/>
  <c r="F135" i="3"/>
  <c r="C135" i="3"/>
  <c r="AC134" i="3"/>
  <c r="AD134" i="3" s="1"/>
  <c r="AA134" i="3"/>
  <c r="W134" i="3"/>
  <c r="X134" i="3" s="1"/>
  <c r="U134" i="3"/>
  <c r="R134" i="3"/>
  <c r="O134" i="3"/>
  <c r="N134" i="3"/>
  <c r="L134" i="3"/>
  <c r="H134" i="3"/>
  <c r="I134" i="3" s="1"/>
  <c r="F134" i="3"/>
  <c r="C134" i="3"/>
  <c r="AC133" i="3"/>
  <c r="AD133" i="3" s="1"/>
  <c r="AA133" i="3"/>
  <c r="W133" i="3"/>
  <c r="X133" i="3" s="1"/>
  <c r="U133" i="3"/>
  <c r="R133" i="3"/>
  <c r="O133" i="3"/>
  <c r="N133" i="3"/>
  <c r="L133" i="3"/>
  <c r="H133" i="3"/>
  <c r="I133" i="3" s="1"/>
  <c r="F133" i="3"/>
  <c r="C133" i="3"/>
  <c r="AD132" i="3"/>
  <c r="AC132" i="3"/>
  <c r="AA132" i="3"/>
  <c r="X132" i="3"/>
  <c r="W132" i="3"/>
  <c r="U132" i="3"/>
  <c r="R132" i="3"/>
  <c r="N132" i="3"/>
  <c r="O132" i="3" s="1"/>
  <c r="L132" i="3"/>
  <c r="H132" i="3"/>
  <c r="I132" i="3" s="1"/>
  <c r="F132" i="3"/>
  <c r="C132" i="3"/>
  <c r="AC131" i="3"/>
  <c r="AD131" i="3" s="1"/>
  <c r="AA131" i="3"/>
  <c r="X131" i="3"/>
  <c r="W131" i="3"/>
  <c r="U131" i="3"/>
  <c r="R131" i="3"/>
  <c r="N131" i="3"/>
  <c r="O131" i="3" s="1"/>
  <c r="L131" i="3"/>
  <c r="I131" i="3"/>
  <c r="H131" i="3"/>
  <c r="F131" i="3"/>
  <c r="C131" i="3"/>
  <c r="AC130" i="3"/>
  <c r="AD130" i="3" s="1"/>
  <c r="AA130" i="3"/>
  <c r="X130" i="3"/>
  <c r="W130" i="3"/>
  <c r="U130" i="3"/>
  <c r="R130" i="3"/>
  <c r="O130" i="3"/>
  <c r="N130" i="3"/>
  <c r="L130" i="3"/>
  <c r="H130" i="3"/>
  <c r="I130" i="3" s="1"/>
  <c r="F130" i="3"/>
  <c r="C130" i="3"/>
  <c r="AC129" i="3"/>
  <c r="AD129" i="3" s="1"/>
  <c r="AA129" i="3"/>
  <c r="W129" i="3"/>
  <c r="X129" i="3" s="1"/>
  <c r="U129" i="3"/>
  <c r="R129" i="3"/>
  <c r="O129" i="3"/>
  <c r="N129" i="3"/>
  <c r="L129" i="3"/>
  <c r="H129" i="3"/>
  <c r="I129" i="3" s="1"/>
  <c r="F129" i="3"/>
  <c r="C129" i="3"/>
  <c r="AC127" i="3"/>
  <c r="AD127" i="3" s="1"/>
  <c r="AA127" i="3"/>
  <c r="X127" i="3"/>
  <c r="W127" i="3"/>
  <c r="U127" i="3"/>
  <c r="R127" i="3"/>
  <c r="N127" i="3"/>
  <c r="O127" i="3" s="1"/>
  <c r="L127" i="3"/>
  <c r="H127" i="3"/>
  <c r="I127" i="3" s="1"/>
  <c r="F127" i="3"/>
  <c r="C127" i="3"/>
  <c r="Z124" i="3"/>
  <c r="T124" i="3"/>
  <c r="U124" i="3" s="1"/>
  <c r="Q124" i="3"/>
  <c r="W124" i="3" s="1"/>
  <c r="X124" i="3" s="1"/>
  <c r="K124" i="3"/>
  <c r="E124" i="3"/>
  <c r="E172" i="3" s="1"/>
  <c r="C124" i="3"/>
  <c r="B124" i="3"/>
  <c r="AC123" i="3"/>
  <c r="AD123" i="3" s="1"/>
  <c r="AA123" i="3"/>
  <c r="W123" i="3"/>
  <c r="X123" i="3" s="1"/>
  <c r="U123" i="3"/>
  <c r="R123" i="3"/>
  <c r="O123" i="3"/>
  <c r="N123" i="3"/>
  <c r="L123" i="3"/>
  <c r="H123" i="3"/>
  <c r="I123" i="3" s="1"/>
  <c r="F123" i="3"/>
  <c r="C123" i="3"/>
  <c r="Z122" i="3"/>
  <c r="AA122" i="3" s="1"/>
  <c r="T122" i="3"/>
  <c r="U122" i="3" s="1"/>
  <c r="R122" i="3"/>
  <c r="Q122" i="3"/>
  <c r="K122" i="3"/>
  <c r="L122" i="3" s="1"/>
  <c r="E122" i="3"/>
  <c r="F122" i="3" s="1"/>
  <c r="B122" i="3"/>
  <c r="AC121" i="3"/>
  <c r="AD121" i="3" s="1"/>
  <c r="AA121" i="3"/>
  <c r="W121" i="3"/>
  <c r="X121" i="3" s="1"/>
  <c r="U121" i="3"/>
  <c r="R121" i="3"/>
  <c r="O121" i="3"/>
  <c r="N121" i="3"/>
  <c r="L121" i="3"/>
  <c r="I121" i="3"/>
  <c r="H121" i="3"/>
  <c r="F121" i="3"/>
  <c r="C121" i="3"/>
  <c r="AC120" i="3"/>
  <c r="AD120" i="3" s="1"/>
  <c r="AA120" i="3"/>
  <c r="W120" i="3"/>
  <c r="X120" i="3" s="1"/>
  <c r="U120" i="3"/>
  <c r="R120" i="3"/>
  <c r="O120" i="3"/>
  <c r="N120" i="3"/>
  <c r="L120" i="3"/>
  <c r="H120" i="3"/>
  <c r="I120" i="3" s="1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H119" i="3"/>
  <c r="I119" i="3" s="1"/>
  <c r="F119" i="3"/>
  <c r="C119" i="3"/>
  <c r="AA118" i="3"/>
  <c r="Z118" i="3"/>
  <c r="T118" i="3"/>
  <c r="U118" i="3" s="1"/>
  <c r="Q118" i="3"/>
  <c r="K118" i="3"/>
  <c r="L118" i="3" s="1"/>
  <c r="E118" i="3"/>
  <c r="F118" i="3" s="1"/>
  <c r="B118" i="3"/>
  <c r="AC117" i="3"/>
  <c r="AD117" i="3" s="1"/>
  <c r="AA117" i="3"/>
  <c r="W117" i="3"/>
  <c r="X117" i="3" s="1"/>
  <c r="U117" i="3"/>
  <c r="R117" i="3"/>
  <c r="O117" i="3"/>
  <c r="N117" i="3"/>
  <c r="L117" i="3"/>
  <c r="H117" i="3"/>
  <c r="I117" i="3" s="1"/>
  <c r="F117" i="3"/>
  <c r="C117" i="3"/>
  <c r="AD116" i="3"/>
  <c r="AC116" i="3"/>
  <c r="AA116" i="3"/>
  <c r="X116" i="3"/>
  <c r="W116" i="3"/>
  <c r="U116" i="3"/>
  <c r="R116" i="3"/>
  <c r="O116" i="3"/>
  <c r="N116" i="3"/>
  <c r="L116" i="3"/>
  <c r="H116" i="3"/>
  <c r="I116" i="3" s="1"/>
  <c r="F116" i="3"/>
  <c r="C116" i="3"/>
  <c r="AD115" i="3"/>
  <c r="AC115" i="3"/>
  <c r="AA115" i="3"/>
  <c r="X115" i="3"/>
  <c r="W115" i="3"/>
  <c r="U115" i="3"/>
  <c r="R115" i="3"/>
  <c r="N115" i="3"/>
  <c r="O115" i="3" s="1"/>
  <c r="L115" i="3"/>
  <c r="H115" i="3"/>
  <c r="I115" i="3" s="1"/>
  <c r="F115" i="3"/>
  <c r="C115" i="3"/>
  <c r="AC114" i="3"/>
  <c r="AD114" i="3" s="1"/>
  <c r="AA114" i="3"/>
  <c r="W114" i="3"/>
  <c r="X114" i="3" s="1"/>
  <c r="U114" i="3"/>
  <c r="R114" i="3"/>
  <c r="O114" i="3"/>
  <c r="N114" i="3"/>
  <c r="L114" i="3"/>
  <c r="H114" i="3"/>
  <c r="I114" i="3" s="1"/>
  <c r="F114" i="3"/>
  <c r="C114" i="3"/>
  <c r="AC113" i="3"/>
  <c r="AD113" i="3" s="1"/>
  <c r="AA113" i="3"/>
  <c r="W113" i="3"/>
  <c r="X113" i="3" s="1"/>
  <c r="U113" i="3"/>
  <c r="R113" i="3"/>
  <c r="O113" i="3"/>
  <c r="N113" i="3"/>
  <c r="L113" i="3"/>
  <c r="H113" i="3"/>
  <c r="I113" i="3" s="1"/>
  <c r="F113" i="3"/>
  <c r="C113" i="3"/>
  <c r="AD112" i="3"/>
  <c r="AC112" i="3"/>
  <c r="AA112" i="3"/>
  <c r="X112" i="3"/>
  <c r="W112" i="3"/>
  <c r="U112" i="3"/>
  <c r="R112" i="3"/>
  <c r="N112" i="3"/>
  <c r="O112" i="3" s="1"/>
  <c r="L112" i="3"/>
  <c r="H112" i="3"/>
  <c r="I112" i="3" s="1"/>
  <c r="F112" i="3"/>
  <c r="C112" i="3"/>
  <c r="AD111" i="3"/>
  <c r="AC111" i="3"/>
  <c r="AA111" i="3"/>
  <c r="X111" i="3"/>
  <c r="W111" i="3"/>
  <c r="U111" i="3"/>
  <c r="R111" i="3"/>
  <c r="N111" i="3"/>
  <c r="O111" i="3" s="1"/>
  <c r="L111" i="3"/>
  <c r="I111" i="3"/>
  <c r="H111" i="3"/>
  <c r="F111" i="3"/>
  <c r="C111" i="3"/>
  <c r="AC110" i="3"/>
  <c r="AD110" i="3" s="1"/>
  <c r="AA110" i="3"/>
  <c r="W110" i="3"/>
  <c r="X110" i="3" s="1"/>
  <c r="U110" i="3"/>
  <c r="R110" i="3"/>
  <c r="O110" i="3"/>
  <c r="N110" i="3"/>
  <c r="L110" i="3"/>
  <c r="H110" i="3"/>
  <c r="I110" i="3" s="1"/>
  <c r="F110" i="3"/>
  <c r="C110" i="3"/>
  <c r="AC109" i="3"/>
  <c r="AD109" i="3" s="1"/>
  <c r="AA109" i="3"/>
  <c r="W109" i="3"/>
  <c r="X109" i="3" s="1"/>
  <c r="U109" i="3"/>
  <c r="R109" i="3"/>
  <c r="O109" i="3"/>
  <c r="N109" i="3"/>
  <c r="L109" i="3"/>
  <c r="H109" i="3"/>
  <c r="I109" i="3" s="1"/>
  <c r="F109" i="3"/>
  <c r="C109" i="3"/>
  <c r="AC108" i="3"/>
  <c r="AD108" i="3" s="1"/>
  <c r="AA108" i="3"/>
  <c r="X108" i="3"/>
  <c r="W108" i="3"/>
  <c r="U108" i="3"/>
  <c r="R108" i="3"/>
  <c r="N108" i="3"/>
  <c r="O108" i="3" s="1"/>
  <c r="L108" i="3"/>
  <c r="H108" i="3"/>
  <c r="I108" i="3" s="1"/>
  <c r="F108" i="3"/>
  <c r="C108" i="3"/>
  <c r="AC107" i="3"/>
  <c r="AD107" i="3" s="1"/>
  <c r="AA107" i="3"/>
  <c r="X107" i="3"/>
  <c r="W107" i="3"/>
  <c r="U107" i="3"/>
  <c r="R107" i="3"/>
  <c r="N107" i="3"/>
  <c r="O107" i="3" s="1"/>
  <c r="L107" i="3"/>
  <c r="I107" i="3"/>
  <c r="H107" i="3"/>
  <c r="F107" i="3"/>
  <c r="C107" i="3"/>
  <c r="AC106" i="3"/>
  <c r="AD106" i="3" s="1"/>
  <c r="AA106" i="3"/>
  <c r="X106" i="3"/>
  <c r="W106" i="3"/>
  <c r="U106" i="3"/>
  <c r="R106" i="3"/>
  <c r="O106" i="3"/>
  <c r="N106" i="3"/>
  <c r="L106" i="3"/>
  <c r="H106" i="3"/>
  <c r="I106" i="3" s="1"/>
  <c r="F106" i="3"/>
  <c r="C106" i="3"/>
  <c r="AC105" i="3"/>
  <c r="AD105" i="3" s="1"/>
  <c r="AA105" i="3"/>
  <c r="W105" i="3"/>
  <c r="X105" i="3" s="1"/>
  <c r="U105" i="3"/>
  <c r="R105" i="3"/>
  <c r="O105" i="3"/>
  <c r="N105" i="3"/>
  <c r="L105" i="3"/>
  <c r="H105" i="3"/>
  <c r="I105" i="3" s="1"/>
  <c r="F105" i="3"/>
  <c r="C105" i="3"/>
  <c r="AC104" i="3"/>
  <c r="AD104" i="3" s="1"/>
  <c r="AA104" i="3"/>
  <c r="X104" i="3"/>
  <c r="W104" i="3"/>
  <c r="U104" i="3"/>
  <c r="R104" i="3"/>
  <c r="N104" i="3"/>
  <c r="O104" i="3" s="1"/>
  <c r="L104" i="3"/>
  <c r="H104" i="3"/>
  <c r="I104" i="3" s="1"/>
  <c r="F104" i="3"/>
  <c r="C104" i="3"/>
  <c r="AC103" i="3"/>
  <c r="AD103" i="3" s="1"/>
  <c r="AA103" i="3"/>
  <c r="X103" i="3"/>
  <c r="W103" i="3"/>
  <c r="U103" i="3"/>
  <c r="R103" i="3"/>
  <c r="N103" i="3"/>
  <c r="O103" i="3" s="1"/>
  <c r="L103" i="3"/>
  <c r="I103" i="3"/>
  <c r="H103" i="3"/>
  <c r="F103" i="3"/>
  <c r="C103" i="3"/>
  <c r="AC102" i="3"/>
  <c r="AD102" i="3" s="1"/>
  <c r="AA102" i="3"/>
  <c r="X102" i="3"/>
  <c r="W102" i="3"/>
  <c r="U102" i="3"/>
  <c r="R102" i="3"/>
  <c r="O102" i="3"/>
  <c r="N102" i="3"/>
  <c r="L102" i="3"/>
  <c r="H102" i="3"/>
  <c r="I102" i="3" s="1"/>
  <c r="F102" i="3"/>
  <c r="C102" i="3"/>
  <c r="AC101" i="3"/>
  <c r="AD101" i="3" s="1"/>
  <c r="AA101" i="3"/>
  <c r="W101" i="3"/>
  <c r="X101" i="3" s="1"/>
  <c r="U101" i="3"/>
  <c r="R101" i="3"/>
  <c r="O101" i="3"/>
  <c r="N101" i="3"/>
  <c r="L101" i="3"/>
  <c r="H101" i="3"/>
  <c r="I101" i="3" s="1"/>
  <c r="F101" i="3"/>
  <c r="C101" i="3"/>
  <c r="AD100" i="3"/>
  <c r="AC100" i="3"/>
  <c r="AA100" i="3"/>
  <c r="X100" i="3"/>
  <c r="W100" i="3"/>
  <c r="U100" i="3"/>
  <c r="R100" i="3"/>
  <c r="N100" i="3"/>
  <c r="O100" i="3" s="1"/>
  <c r="L100" i="3"/>
  <c r="H100" i="3"/>
  <c r="I100" i="3" s="1"/>
  <c r="F100" i="3"/>
  <c r="C100" i="3"/>
  <c r="AD99" i="3"/>
  <c r="AC99" i="3"/>
  <c r="AA99" i="3"/>
  <c r="X99" i="3"/>
  <c r="W99" i="3"/>
  <c r="U99" i="3"/>
  <c r="R99" i="3"/>
  <c r="N99" i="3"/>
  <c r="O99" i="3" s="1"/>
  <c r="L99" i="3"/>
  <c r="H99" i="3"/>
  <c r="I99" i="3" s="1"/>
  <c r="F99" i="3"/>
  <c r="C99" i="3"/>
  <c r="AC98" i="3"/>
  <c r="AD98" i="3" s="1"/>
  <c r="AA98" i="3"/>
  <c r="W98" i="3"/>
  <c r="X98" i="3" s="1"/>
  <c r="U98" i="3"/>
  <c r="R98" i="3"/>
  <c r="O98" i="3"/>
  <c r="N98" i="3"/>
  <c r="L98" i="3"/>
  <c r="H98" i="3"/>
  <c r="I98" i="3" s="1"/>
  <c r="F98" i="3"/>
  <c r="C98" i="3"/>
  <c r="AC97" i="3"/>
  <c r="AD97" i="3" s="1"/>
  <c r="AA97" i="3"/>
  <c r="W97" i="3"/>
  <c r="X97" i="3" s="1"/>
  <c r="U97" i="3"/>
  <c r="R97" i="3"/>
  <c r="O97" i="3"/>
  <c r="N97" i="3"/>
  <c r="L97" i="3"/>
  <c r="H97" i="3"/>
  <c r="I97" i="3" s="1"/>
  <c r="F97" i="3"/>
  <c r="C97" i="3"/>
  <c r="AD96" i="3"/>
  <c r="AC96" i="3"/>
  <c r="AA96" i="3"/>
  <c r="X96" i="3"/>
  <c r="W96" i="3"/>
  <c r="U96" i="3"/>
  <c r="R96" i="3"/>
  <c r="N96" i="3"/>
  <c r="O96" i="3" s="1"/>
  <c r="L96" i="3"/>
  <c r="H96" i="3"/>
  <c r="I96" i="3" s="1"/>
  <c r="F96" i="3"/>
  <c r="C96" i="3"/>
  <c r="AD95" i="3"/>
  <c r="AC95" i="3"/>
  <c r="AA95" i="3"/>
  <c r="X95" i="3"/>
  <c r="W95" i="3"/>
  <c r="U95" i="3"/>
  <c r="R95" i="3"/>
  <c r="N95" i="3"/>
  <c r="O95" i="3" s="1"/>
  <c r="L95" i="3"/>
  <c r="I95" i="3"/>
  <c r="H95" i="3"/>
  <c r="F95" i="3"/>
  <c r="C95" i="3"/>
  <c r="AC94" i="3"/>
  <c r="AD94" i="3" s="1"/>
  <c r="AA94" i="3"/>
  <c r="W94" i="3"/>
  <c r="X94" i="3" s="1"/>
  <c r="U94" i="3"/>
  <c r="R94" i="3"/>
  <c r="O94" i="3"/>
  <c r="N94" i="3"/>
  <c r="L94" i="3"/>
  <c r="I94" i="3"/>
  <c r="H94" i="3"/>
  <c r="F94" i="3"/>
  <c r="C94" i="3"/>
  <c r="AC92" i="3"/>
  <c r="AD92" i="3" s="1"/>
  <c r="AA92" i="3"/>
  <c r="W92" i="3"/>
  <c r="X92" i="3" s="1"/>
  <c r="U92" i="3"/>
  <c r="R92" i="3"/>
  <c r="O92" i="3"/>
  <c r="N92" i="3"/>
  <c r="L92" i="3"/>
  <c r="H92" i="3"/>
  <c r="I92" i="3" s="1"/>
  <c r="F92" i="3"/>
  <c r="C92" i="3"/>
  <c r="AD91" i="3"/>
  <c r="AC91" i="3"/>
  <c r="AA91" i="3"/>
  <c r="X91" i="3"/>
  <c r="W91" i="3"/>
  <c r="U91" i="3"/>
  <c r="R91" i="3"/>
  <c r="N91" i="3"/>
  <c r="O91" i="3" s="1"/>
  <c r="L91" i="3"/>
  <c r="H91" i="3"/>
  <c r="I91" i="3" s="1"/>
  <c r="F91" i="3"/>
  <c r="C91" i="3"/>
  <c r="AC90" i="3"/>
  <c r="AD90" i="3" s="1"/>
  <c r="AA90" i="3"/>
  <c r="X90" i="3"/>
  <c r="W90" i="3"/>
  <c r="U90" i="3"/>
  <c r="R90" i="3"/>
  <c r="N90" i="3"/>
  <c r="O90" i="3" s="1"/>
  <c r="L90" i="3"/>
  <c r="I90" i="3"/>
  <c r="H90" i="3"/>
  <c r="F90" i="3"/>
  <c r="C90" i="3"/>
  <c r="AC89" i="3"/>
  <c r="AD89" i="3" s="1"/>
  <c r="AA89" i="3"/>
  <c r="X89" i="3"/>
  <c r="W89" i="3"/>
  <c r="U89" i="3"/>
  <c r="R89" i="3"/>
  <c r="O89" i="3"/>
  <c r="N89" i="3"/>
  <c r="L89" i="3"/>
  <c r="I89" i="3"/>
  <c r="H89" i="3"/>
  <c r="F89" i="3"/>
  <c r="C89" i="3"/>
  <c r="Z88" i="3"/>
  <c r="AA88" i="3" s="1"/>
  <c r="T88" i="3"/>
  <c r="W88" i="3" s="1"/>
  <c r="X88" i="3" s="1"/>
  <c r="Q88" i="3"/>
  <c r="R88" i="3" s="1"/>
  <c r="L88" i="3"/>
  <c r="K88" i="3"/>
  <c r="E88" i="3"/>
  <c r="F88" i="3" s="1"/>
  <c r="B88" i="3"/>
  <c r="C88" i="3" s="1"/>
  <c r="AD87" i="3"/>
  <c r="AC87" i="3"/>
  <c r="AA87" i="3"/>
  <c r="X87" i="3"/>
  <c r="W87" i="3"/>
  <c r="U87" i="3"/>
  <c r="R87" i="3"/>
  <c r="N87" i="3"/>
  <c r="O87" i="3" s="1"/>
  <c r="L87" i="3"/>
  <c r="H87" i="3"/>
  <c r="I87" i="3" s="1"/>
  <c r="F87" i="3"/>
  <c r="C87" i="3"/>
  <c r="AC86" i="3"/>
  <c r="AD86" i="3" s="1"/>
  <c r="AA86" i="3"/>
  <c r="W86" i="3"/>
  <c r="X86" i="3" s="1"/>
  <c r="U86" i="3"/>
  <c r="R86" i="3"/>
  <c r="O86" i="3"/>
  <c r="N86" i="3"/>
  <c r="L86" i="3"/>
  <c r="H86" i="3"/>
  <c r="I86" i="3" s="1"/>
  <c r="F86" i="3"/>
  <c r="C86" i="3"/>
  <c r="AC85" i="3"/>
  <c r="AD85" i="3" s="1"/>
  <c r="AA85" i="3"/>
  <c r="W85" i="3"/>
  <c r="X85" i="3" s="1"/>
  <c r="U85" i="3"/>
  <c r="R85" i="3"/>
  <c r="O85" i="3"/>
  <c r="N85" i="3"/>
  <c r="L85" i="3"/>
  <c r="H85" i="3"/>
  <c r="I85" i="3" s="1"/>
  <c r="F85" i="3"/>
  <c r="C85" i="3"/>
  <c r="AC84" i="3"/>
  <c r="AD84" i="3" s="1"/>
  <c r="AA84" i="3"/>
  <c r="X84" i="3"/>
  <c r="W84" i="3"/>
  <c r="U84" i="3"/>
  <c r="R84" i="3"/>
  <c r="N84" i="3"/>
  <c r="O84" i="3" s="1"/>
  <c r="L84" i="3"/>
  <c r="H84" i="3"/>
  <c r="I84" i="3" s="1"/>
  <c r="F84" i="3"/>
  <c r="C84" i="3"/>
  <c r="AD83" i="3"/>
  <c r="AC83" i="3"/>
  <c r="AA83" i="3"/>
  <c r="X83" i="3"/>
  <c r="W83" i="3"/>
  <c r="U83" i="3"/>
  <c r="R83" i="3"/>
  <c r="N83" i="3"/>
  <c r="O83" i="3" s="1"/>
  <c r="L83" i="3"/>
  <c r="H83" i="3"/>
  <c r="I83" i="3" s="1"/>
  <c r="F83" i="3"/>
  <c r="C83" i="3"/>
  <c r="AC82" i="3"/>
  <c r="AD82" i="3" s="1"/>
  <c r="AA82" i="3"/>
  <c r="W82" i="3"/>
  <c r="X82" i="3" s="1"/>
  <c r="U82" i="3"/>
  <c r="R82" i="3"/>
  <c r="O82" i="3"/>
  <c r="N82" i="3"/>
  <c r="L82" i="3"/>
  <c r="I82" i="3"/>
  <c r="H82" i="3"/>
  <c r="F82" i="3"/>
  <c r="C82" i="3"/>
  <c r="AC81" i="3"/>
  <c r="AD81" i="3" s="1"/>
  <c r="AA81" i="3"/>
  <c r="W81" i="3"/>
  <c r="X81" i="3" s="1"/>
  <c r="U81" i="3"/>
  <c r="R81" i="3"/>
  <c r="O81" i="3"/>
  <c r="N81" i="3"/>
  <c r="L81" i="3"/>
  <c r="H81" i="3"/>
  <c r="I81" i="3" s="1"/>
  <c r="F81" i="3"/>
  <c r="C81" i="3"/>
  <c r="AC80" i="3"/>
  <c r="AD80" i="3" s="1"/>
  <c r="AA80" i="3"/>
  <c r="X80" i="3"/>
  <c r="W80" i="3"/>
  <c r="U80" i="3"/>
  <c r="R80" i="3"/>
  <c r="N80" i="3"/>
  <c r="O80" i="3" s="1"/>
  <c r="L80" i="3"/>
  <c r="H80" i="3"/>
  <c r="I80" i="3" s="1"/>
  <c r="F80" i="3"/>
  <c r="C80" i="3"/>
  <c r="AC79" i="3"/>
  <c r="AD79" i="3" s="1"/>
  <c r="AA79" i="3"/>
  <c r="X79" i="3"/>
  <c r="W79" i="3"/>
  <c r="U79" i="3"/>
  <c r="R79" i="3"/>
  <c r="N79" i="3"/>
  <c r="O79" i="3" s="1"/>
  <c r="L79" i="3"/>
  <c r="I79" i="3"/>
  <c r="H79" i="3"/>
  <c r="F79" i="3"/>
  <c r="C79" i="3"/>
  <c r="AC78" i="3"/>
  <c r="AD78" i="3" s="1"/>
  <c r="AA78" i="3"/>
  <c r="W78" i="3"/>
  <c r="X78" i="3" s="1"/>
  <c r="U78" i="3"/>
  <c r="R78" i="3"/>
  <c r="O78" i="3"/>
  <c r="N78" i="3"/>
  <c r="L78" i="3"/>
  <c r="I78" i="3"/>
  <c r="H78" i="3"/>
  <c r="F78" i="3"/>
  <c r="C78" i="3"/>
  <c r="AC77" i="3"/>
  <c r="AD77" i="3" s="1"/>
  <c r="AA77" i="3"/>
  <c r="W77" i="3"/>
  <c r="X77" i="3" s="1"/>
  <c r="U77" i="3"/>
  <c r="R77" i="3"/>
  <c r="O77" i="3"/>
  <c r="N77" i="3"/>
  <c r="L77" i="3"/>
  <c r="H77" i="3"/>
  <c r="I77" i="3" s="1"/>
  <c r="F77" i="3"/>
  <c r="C77" i="3"/>
  <c r="AC76" i="3"/>
  <c r="AD76" i="3" s="1"/>
  <c r="AA76" i="3"/>
  <c r="X76" i="3"/>
  <c r="W76" i="3"/>
  <c r="U76" i="3"/>
  <c r="R76" i="3"/>
  <c r="O76" i="3"/>
  <c r="N76" i="3"/>
  <c r="L76" i="3"/>
  <c r="H76" i="3"/>
  <c r="I76" i="3" s="1"/>
  <c r="F76" i="3"/>
  <c r="C76" i="3"/>
  <c r="AC75" i="3"/>
  <c r="AD75" i="3" s="1"/>
  <c r="AA75" i="3"/>
  <c r="X75" i="3"/>
  <c r="W75" i="3"/>
  <c r="U75" i="3"/>
  <c r="R75" i="3"/>
  <c r="N75" i="3"/>
  <c r="O75" i="3" s="1"/>
  <c r="L75" i="3"/>
  <c r="I75" i="3"/>
  <c r="H75" i="3"/>
  <c r="F75" i="3"/>
  <c r="C75" i="3"/>
  <c r="Z73" i="3"/>
  <c r="AA73" i="3" s="1"/>
  <c r="W73" i="3"/>
  <c r="X73" i="3" s="1"/>
  <c r="T73" i="3"/>
  <c r="U73" i="3" s="1"/>
  <c r="Q73" i="3"/>
  <c r="R73" i="3" s="1"/>
  <c r="K73" i="3"/>
  <c r="L73" i="3" s="1"/>
  <c r="E73" i="3"/>
  <c r="F73" i="3" s="1"/>
  <c r="B73" i="3"/>
  <c r="N73" i="3" s="1"/>
  <c r="O73" i="3" s="1"/>
  <c r="AC72" i="3"/>
  <c r="AD72" i="3" s="1"/>
  <c r="AA72" i="3"/>
  <c r="X72" i="3"/>
  <c r="W72" i="3"/>
  <c r="U72" i="3"/>
  <c r="R72" i="3"/>
  <c r="O72" i="3"/>
  <c r="N72" i="3"/>
  <c r="L72" i="3"/>
  <c r="H72" i="3"/>
  <c r="I72" i="3" s="1"/>
  <c r="F72" i="3"/>
  <c r="C72" i="3"/>
  <c r="AC71" i="3"/>
  <c r="AD71" i="3" s="1"/>
  <c r="AA71" i="3"/>
  <c r="X71" i="3"/>
  <c r="W71" i="3"/>
  <c r="U71" i="3"/>
  <c r="R71" i="3"/>
  <c r="N71" i="3"/>
  <c r="O71" i="3" s="1"/>
  <c r="L71" i="3"/>
  <c r="H71" i="3"/>
  <c r="I71" i="3" s="1"/>
  <c r="F71" i="3"/>
  <c r="C71" i="3"/>
  <c r="AC70" i="3"/>
  <c r="AD70" i="3" s="1"/>
  <c r="AA70" i="3"/>
  <c r="W70" i="3"/>
  <c r="X70" i="3" s="1"/>
  <c r="U70" i="3"/>
  <c r="R70" i="3"/>
  <c r="O70" i="3"/>
  <c r="N70" i="3"/>
  <c r="L70" i="3"/>
  <c r="I70" i="3"/>
  <c r="H70" i="3"/>
  <c r="F70" i="3"/>
  <c r="C70" i="3"/>
  <c r="AC69" i="3"/>
  <c r="AD69" i="3" s="1"/>
  <c r="AA69" i="3"/>
  <c r="W69" i="3"/>
  <c r="X69" i="3" s="1"/>
  <c r="U69" i="3"/>
  <c r="R69" i="3"/>
  <c r="O69" i="3"/>
  <c r="N69" i="3"/>
  <c r="L69" i="3"/>
  <c r="H69" i="3"/>
  <c r="I69" i="3" s="1"/>
  <c r="F69" i="3"/>
  <c r="C69" i="3"/>
  <c r="AC68" i="3"/>
  <c r="AD68" i="3" s="1"/>
  <c r="AA68" i="3"/>
  <c r="W68" i="3"/>
  <c r="X68" i="3" s="1"/>
  <c r="U68" i="3"/>
  <c r="R68" i="3"/>
  <c r="O68" i="3"/>
  <c r="N68" i="3"/>
  <c r="L68" i="3"/>
  <c r="H68" i="3"/>
  <c r="I68" i="3" s="1"/>
  <c r="F68" i="3"/>
  <c r="C68" i="3"/>
  <c r="AD67" i="3"/>
  <c r="AC67" i="3"/>
  <c r="AA67" i="3"/>
  <c r="X67" i="3"/>
  <c r="W67" i="3"/>
  <c r="U67" i="3"/>
  <c r="R67" i="3"/>
  <c r="N67" i="3"/>
  <c r="O67" i="3" s="1"/>
  <c r="L67" i="3"/>
  <c r="H67" i="3"/>
  <c r="I67" i="3" s="1"/>
  <c r="F67" i="3"/>
  <c r="C67" i="3"/>
  <c r="AD66" i="3"/>
  <c r="AC66" i="3"/>
  <c r="AA66" i="3"/>
  <c r="X66" i="3"/>
  <c r="W66" i="3"/>
  <c r="U66" i="3"/>
  <c r="R66" i="3"/>
  <c r="O66" i="3"/>
  <c r="N66" i="3"/>
  <c r="L66" i="3"/>
  <c r="H66" i="3"/>
  <c r="I66" i="3" s="1"/>
  <c r="F66" i="3"/>
  <c r="C66" i="3"/>
  <c r="AC65" i="3"/>
  <c r="AD65" i="3" s="1"/>
  <c r="AA65" i="3"/>
  <c r="W65" i="3"/>
  <c r="X65" i="3" s="1"/>
  <c r="U65" i="3"/>
  <c r="R65" i="3"/>
  <c r="O65" i="3"/>
  <c r="N65" i="3"/>
  <c r="L65" i="3"/>
  <c r="I65" i="3"/>
  <c r="H65" i="3"/>
  <c r="F65" i="3"/>
  <c r="C65" i="3"/>
  <c r="AC64" i="3"/>
  <c r="AD64" i="3" s="1"/>
  <c r="AA64" i="3"/>
  <c r="X64" i="3"/>
  <c r="W64" i="3"/>
  <c r="U64" i="3"/>
  <c r="R64" i="3"/>
  <c r="O64" i="3"/>
  <c r="N64" i="3"/>
  <c r="L64" i="3"/>
  <c r="H64" i="3"/>
  <c r="I64" i="3" s="1"/>
  <c r="F64" i="3"/>
  <c r="C64" i="3"/>
  <c r="AA62" i="3"/>
  <c r="Z62" i="3"/>
  <c r="U62" i="3"/>
  <c r="T62" i="3"/>
  <c r="Q62" i="3"/>
  <c r="R62" i="3" s="1"/>
  <c r="K62" i="3"/>
  <c r="L62" i="3" s="1"/>
  <c r="E62" i="3"/>
  <c r="F62" i="3" s="1"/>
  <c r="B62" i="3"/>
  <c r="AC61" i="3"/>
  <c r="AD61" i="3" s="1"/>
  <c r="AA61" i="3"/>
  <c r="Z61" i="3"/>
  <c r="U61" i="3"/>
  <c r="T61" i="3"/>
  <c r="Q61" i="3"/>
  <c r="K61" i="3"/>
  <c r="L61" i="3" s="1"/>
  <c r="E61" i="3"/>
  <c r="F61" i="3" s="1"/>
  <c r="C61" i="3"/>
  <c r="B61" i="3"/>
  <c r="AC60" i="3"/>
  <c r="AD60" i="3" s="1"/>
  <c r="AA60" i="3"/>
  <c r="X60" i="3"/>
  <c r="W60" i="3"/>
  <c r="U60" i="3"/>
  <c r="R60" i="3"/>
  <c r="N60" i="3"/>
  <c r="O60" i="3" s="1"/>
  <c r="L60" i="3"/>
  <c r="I60" i="3"/>
  <c r="H60" i="3"/>
  <c r="F60" i="3"/>
  <c r="C60" i="3"/>
  <c r="AD59" i="3"/>
  <c r="AC59" i="3"/>
  <c r="AA59" i="3"/>
  <c r="W59" i="3"/>
  <c r="X59" i="3" s="1"/>
  <c r="U59" i="3"/>
  <c r="R59" i="3"/>
  <c r="N59" i="3"/>
  <c r="O59" i="3" s="1"/>
  <c r="L59" i="3"/>
  <c r="I59" i="3"/>
  <c r="H59" i="3"/>
  <c r="F59" i="3"/>
  <c r="C59" i="3"/>
  <c r="AC58" i="3"/>
  <c r="AD58" i="3" s="1"/>
  <c r="AA58" i="3"/>
  <c r="W58" i="3"/>
  <c r="X58" i="3" s="1"/>
  <c r="U58" i="3"/>
  <c r="R58" i="3"/>
  <c r="O58" i="3"/>
  <c r="N58" i="3"/>
  <c r="L58" i="3"/>
  <c r="I58" i="3"/>
  <c r="H58" i="3"/>
  <c r="F58" i="3"/>
  <c r="C58" i="3"/>
  <c r="AD57" i="3"/>
  <c r="AC57" i="3"/>
  <c r="AA57" i="3"/>
  <c r="X57" i="3"/>
  <c r="W57" i="3"/>
  <c r="U57" i="3"/>
  <c r="R57" i="3"/>
  <c r="N57" i="3"/>
  <c r="O57" i="3" s="1"/>
  <c r="L57" i="3"/>
  <c r="H57" i="3"/>
  <c r="I57" i="3" s="1"/>
  <c r="F57" i="3"/>
  <c r="C57" i="3"/>
  <c r="AC56" i="3"/>
  <c r="AD56" i="3" s="1"/>
  <c r="AA56" i="3"/>
  <c r="X56" i="3"/>
  <c r="W56" i="3"/>
  <c r="U56" i="3"/>
  <c r="R56" i="3"/>
  <c r="N56" i="3"/>
  <c r="O56" i="3" s="1"/>
  <c r="L56" i="3"/>
  <c r="I56" i="3"/>
  <c r="H56" i="3"/>
  <c r="F56" i="3"/>
  <c r="C56" i="3"/>
  <c r="AD55" i="3"/>
  <c r="AC55" i="3"/>
  <c r="AA55" i="3"/>
  <c r="W55" i="3"/>
  <c r="X55" i="3" s="1"/>
  <c r="U55" i="3"/>
  <c r="R55" i="3"/>
  <c r="O55" i="3"/>
  <c r="N55" i="3"/>
  <c r="L55" i="3"/>
  <c r="I55" i="3"/>
  <c r="H55" i="3"/>
  <c r="F55" i="3"/>
  <c r="C55" i="3"/>
  <c r="AC54" i="3"/>
  <c r="AD54" i="3" s="1"/>
  <c r="AA54" i="3"/>
  <c r="W54" i="3"/>
  <c r="X54" i="3" s="1"/>
  <c r="U54" i="3"/>
  <c r="R54" i="3"/>
  <c r="O54" i="3"/>
  <c r="N54" i="3"/>
  <c r="L54" i="3"/>
  <c r="I54" i="3"/>
  <c r="H54" i="3"/>
  <c r="F54" i="3"/>
  <c r="C54" i="3"/>
  <c r="AD53" i="3"/>
  <c r="AC53" i="3"/>
  <c r="AA53" i="3"/>
  <c r="W53" i="3"/>
  <c r="X53" i="3" s="1"/>
  <c r="U53" i="3"/>
  <c r="R53" i="3"/>
  <c r="N53" i="3"/>
  <c r="O53" i="3" s="1"/>
  <c r="L53" i="3"/>
  <c r="H53" i="3"/>
  <c r="I53" i="3" s="1"/>
  <c r="F53" i="3"/>
  <c r="C53" i="3"/>
  <c r="AD52" i="3"/>
  <c r="AC52" i="3"/>
  <c r="AA52" i="3"/>
  <c r="X52" i="3"/>
  <c r="W52" i="3"/>
  <c r="U52" i="3"/>
  <c r="R52" i="3"/>
  <c r="N52" i="3"/>
  <c r="O52" i="3" s="1"/>
  <c r="L52" i="3"/>
  <c r="I52" i="3"/>
  <c r="H52" i="3"/>
  <c r="F52" i="3"/>
  <c r="C52" i="3"/>
  <c r="AD51" i="3"/>
  <c r="AC51" i="3"/>
  <c r="AA51" i="3"/>
  <c r="W51" i="3"/>
  <c r="X51" i="3" s="1"/>
  <c r="U51" i="3"/>
  <c r="R51" i="3"/>
  <c r="N51" i="3"/>
  <c r="O51" i="3" s="1"/>
  <c r="L51" i="3"/>
  <c r="H51" i="3"/>
  <c r="I51" i="3" s="1"/>
  <c r="F51" i="3"/>
  <c r="C51" i="3"/>
  <c r="AC50" i="3"/>
  <c r="AD50" i="3" s="1"/>
  <c r="AA50" i="3"/>
  <c r="W50" i="3"/>
  <c r="X50" i="3" s="1"/>
  <c r="U50" i="3"/>
  <c r="R50" i="3"/>
  <c r="O50" i="3"/>
  <c r="N50" i="3"/>
  <c r="L50" i="3"/>
  <c r="I50" i="3"/>
  <c r="H50" i="3"/>
  <c r="F50" i="3"/>
  <c r="C50" i="3"/>
  <c r="AC49" i="3"/>
  <c r="AD49" i="3" s="1"/>
  <c r="AA49" i="3"/>
  <c r="X49" i="3"/>
  <c r="W49" i="3"/>
  <c r="U49" i="3"/>
  <c r="R49" i="3"/>
  <c r="N49" i="3"/>
  <c r="O49" i="3" s="1"/>
  <c r="L49" i="3"/>
  <c r="H49" i="3"/>
  <c r="I49" i="3" s="1"/>
  <c r="F49" i="3"/>
  <c r="C49" i="3"/>
  <c r="AC48" i="3"/>
  <c r="AD48" i="3" s="1"/>
  <c r="AA48" i="3"/>
  <c r="X48" i="3"/>
  <c r="W48" i="3"/>
  <c r="U48" i="3"/>
  <c r="R48" i="3"/>
  <c r="N48" i="3"/>
  <c r="O48" i="3" s="1"/>
  <c r="L48" i="3"/>
  <c r="I48" i="3"/>
  <c r="H48" i="3"/>
  <c r="F48" i="3"/>
  <c r="C48" i="3"/>
  <c r="AD47" i="3"/>
  <c r="AC47" i="3"/>
  <c r="AA47" i="3"/>
  <c r="W47" i="3"/>
  <c r="X47" i="3" s="1"/>
  <c r="U47" i="3"/>
  <c r="R47" i="3"/>
  <c r="N47" i="3"/>
  <c r="O47" i="3" s="1"/>
  <c r="L47" i="3"/>
  <c r="I47" i="3"/>
  <c r="H47" i="3"/>
  <c r="F47" i="3"/>
  <c r="C47" i="3"/>
  <c r="AC46" i="3"/>
  <c r="AD46" i="3" s="1"/>
  <c r="AA46" i="3"/>
  <c r="W46" i="3"/>
  <c r="X46" i="3" s="1"/>
  <c r="U46" i="3"/>
  <c r="R46" i="3"/>
  <c r="O46" i="3"/>
  <c r="N46" i="3"/>
  <c r="L46" i="3"/>
  <c r="I46" i="3"/>
  <c r="H46" i="3"/>
  <c r="F46" i="3"/>
  <c r="C46" i="3"/>
  <c r="AD44" i="3"/>
  <c r="AC44" i="3"/>
  <c r="AA44" i="3"/>
  <c r="W44" i="3"/>
  <c r="X44" i="3" s="1"/>
  <c r="U44" i="3"/>
  <c r="R44" i="3"/>
  <c r="N44" i="3"/>
  <c r="O44" i="3" s="1"/>
  <c r="L44" i="3"/>
  <c r="H44" i="3"/>
  <c r="I44" i="3" s="1"/>
  <c r="F44" i="3"/>
  <c r="C44" i="3"/>
  <c r="AD43" i="3"/>
  <c r="AC43" i="3"/>
  <c r="AA43" i="3"/>
  <c r="X43" i="3"/>
  <c r="W43" i="3"/>
  <c r="U43" i="3"/>
  <c r="R43" i="3"/>
  <c r="N43" i="3"/>
  <c r="O43" i="3" s="1"/>
  <c r="L43" i="3"/>
  <c r="H43" i="3"/>
  <c r="I43" i="3" s="1"/>
  <c r="F43" i="3"/>
  <c r="C43" i="3"/>
  <c r="AD42" i="3"/>
  <c r="AC42" i="3"/>
  <c r="AA42" i="3"/>
  <c r="X42" i="3"/>
  <c r="W42" i="3"/>
  <c r="U42" i="3"/>
  <c r="R42" i="3"/>
  <c r="N42" i="3"/>
  <c r="O42" i="3" s="1"/>
  <c r="L42" i="3"/>
  <c r="I42" i="3"/>
  <c r="H42" i="3"/>
  <c r="F42" i="3"/>
  <c r="C42" i="3"/>
  <c r="AA40" i="3"/>
  <c r="Z40" i="3"/>
  <c r="U40" i="3"/>
  <c r="T40" i="3"/>
  <c r="Q40" i="3"/>
  <c r="K40" i="3"/>
  <c r="L40" i="3" s="1"/>
  <c r="E40" i="3"/>
  <c r="F40" i="3" s="1"/>
  <c r="C40" i="3"/>
  <c r="B40" i="3"/>
  <c r="N40" i="3" s="1"/>
  <c r="O40" i="3" s="1"/>
  <c r="AD39" i="3"/>
  <c r="AC39" i="3"/>
  <c r="AA39" i="3"/>
  <c r="X39" i="3"/>
  <c r="W39" i="3"/>
  <c r="U39" i="3"/>
  <c r="R39" i="3"/>
  <c r="N39" i="3"/>
  <c r="O39" i="3" s="1"/>
  <c r="L39" i="3"/>
  <c r="H39" i="3"/>
  <c r="I39" i="3" s="1"/>
  <c r="F39" i="3"/>
  <c r="C39" i="3"/>
  <c r="AD38" i="3"/>
  <c r="AC38" i="3"/>
  <c r="AA38" i="3"/>
  <c r="X38" i="3"/>
  <c r="W38" i="3"/>
  <c r="U38" i="3"/>
  <c r="R38" i="3"/>
  <c r="N38" i="3"/>
  <c r="O38" i="3" s="1"/>
  <c r="L38" i="3"/>
  <c r="H38" i="3"/>
  <c r="I38" i="3" s="1"/>
  <c r="F38" i="3"/>
  <c r="C38" i="3"/>
  <c r="AC37" i="3"/>
  <c r="AD37" i="3" s="1"/>
  <c r="AA37" i="3"/>
  <c r="W37" i="3"/>
  <c r="X37" i="3" s="1"/>
  <c r="U37" i="3"/>
  <c r="R37" i="3"/>
  <c r="O37" i="3"/>
  <c r="N37" i="3"/>
  <c r="L37" i="3"/>
  <c r="I37" i="3"/>
  <c r="H37" i="3"/>
  <c r="F37" i="3"/>
  <c r="C37" i="3"/>
  <c r="AC36" i="3"/>
  <c r="AD36" i="3" s="1"/>
  <c r="AA36" i="3"/>
  <c r="X36" i="3"/>
  <c r="W36" i="3"/>
  <c r="U36" i="3"/>
  <c r="R36" i="3"/>
  <c r="O36" i="3"/>
  <c r="N36" i="3"/>
  <c r="L36" i="3"/>
  <c r="H36" i="3"/>
  <c r="I36" i="3" s="1"/>
  <c r="F36" i="3"/>
  <c r="C36" i="3"/>
  <c r="AC35" i="3"/>
  <c r="AD35" i="3" s="1"/>
  <c r="AA35" i="3"/>
  <c r="X35" i="3"/>
  <c r="W35" i="3"/>
  <c r="U35" i="3"/>
  <c r="R35" i="3"/>
  <c r="N35" i="3"/>
  <c r="O35" i="3" s="1"/>
  <c r="L35" i="3"/>
  <c r="H35" i="3"/>
  <c r="I35" i="3" s="1"/>
  <c r="F35" i="3"/>
  <c r="C35" i="3"/>
  <c r="AD34" i="3"/>
  <c r="AC34" i="3"/>
  <c r="AA34" i="3"/>
  <c r="W34" i="3"/>
  <c r="X34" i="3" s="1"/>
  <c r="U34" i="3"/>
  <c r="R34" i="3"/>
  <c r="O34" i="3"/>
  <c r="N34" i="3"/>
  <c r="L34" i="3"/>
  <c r="H34" i="3"/>
  <c r="I34" i="3" s="1"/>
  <c r="F34" i="3"/>
  <c r="C34" i="3"/>
  <c r="AC33" i="3"/>
  <c r="AD33" i="3" s="1"/>
  <c r="AA33" i="3"/>
  <c r="W33" i="3"/>
  <c r="X33" i="3" s="1"/>
  <c r="U33" i="3"/>
  <c r="R33" i="3"/>
  <c r="O33" i="3"/>
  <c r="N33" i="3"/>
  <c r="L33" i="3"/>
  <c r="I33" i="3"/>
  <c r="H33" i="3"/>
  <c r="F33" i="3"/>
  <c r="C33" i="3"/>
  <c r="AC32" i="3"/>
  <c r="AD32" i="3" s="1"/>
  <c r="AA32" i="3"/>
  <c r="W32" i="3"/>
  <c r="X32" i="3" s="1"/>
  <c r="U32" i="3"/>
  <c r="R32" i="3"/>
  <c r="O32" i="3"/>
  <c r="N32" i="3"/>
  <c r="L32" i="3"/>
  <c r="H32" i="3"/>
  <c r="I32" i="3" s="1"/>
  <c r="F32" i="3"/>
  <c r="C32" i="3"/>
  <c r="AD31" i="3"/>
  <c r="AC31" i="3"/>
  <c r="AA31" i="3"/>
  <c r="X31" i="3"/>
  <c r="W31" i="3"/>
  <c r="U31" i="3"/>
  <c r="R31" i="3"/>
  <c r="N31" i="3"/>
  <c r="O31" i="3" s="1"/>
  <c r="L31" i="3"/>
  <c r="H31" i="3"/>
  <c r="I31" i="3" s="1"/>
  <c r="F31" i="3"/>
  <c r="C31" i="3"/>
  <c r="Z29" i="3"/>
  <c r="AA29" i="3" s="1"/>
  <c r="T29" i="3"/>
  <c r="U29" i="3" s="1"/>
  <c r="Q29" i="3"/>
  <c r="W29" i="3" s="1"/>
  <c r="X29" i="3" s="1"/>
  <c r="N29" i="3"/>
  <c r="O29" i="3" s="1"/>
  <c r="L29" i="3"/>
  <c r="K29" i="3"/>
  <c r="E29" i="3"/>
  <c r="F29" i="3" s="1"/>
  <c r="C29" i="3"/>
  <c r="B29" i="3"/>
  <c r="AD28" i="3"/>
  <c r="AC28" i="3"/>
  <c r="AA28" i="3"/>
  <c r="X28" i="3"/>
  <c r="W28" i="3"/>
  <c r="U28" i="3"/>
  <c r="R28" i="3"/>
  <c r="N28" i="3"/>
  <c r="O28" i="3" s="1"/>
  <c r="L28" i="3"/>
  <c r="H28" i="3"/>
  <c r="I28" i="3" s="1"/>
  <c r="F28" i="3"/>
  <c r="C28" i="3"/>
  <c r="AD27" i="3"/>
  <c r="AC27" i="3"/>
  <c r="AA27" i="3"/>
  <c r="X27" i="3"/>
  <c r="W27" i="3"/>
  <c r="U27" i="3"/>
  <c r="R27" i="3"/>
  <c r="N27" i="3"/>
  <c r="O27" i="3" s="1"/>
  <c r="L27" i="3"/>
  <c r="I27" i="3"/>
  <c r="H27" i="3"/>
  <c r="F27" i="3"/>
  <c r="C27" i="3"/>
  <c r="AD26" i="3"/>
  <c r="AC26" i="3"/>
  <c r="AA26" i="3"/>
  <c r="X26" i="3"/>
  <c r="W26" i="3"/>
  <c r="U26" i="3"/>
  <c r="R26" i="3"/>
  <c r="N26" i="3"/>
  <c r="O26" i="3" s="1"/>
  <c r="L26" i="3"/>
  <c r="H26" i="3"/>
  <c r="I26" i="3" s="1"/>
  <c r="F26" i="3"/>
  <c r="C26" i="3"/>
  <c r="AC25" i="3"/>
  <c r="AD25" i="3" s="1"/>
  <c r="AA25" i="3"/>
  <c r="X25" i="3"/>
  <c r="W25" i="3"/>
  <c r="U25" i="3"/>
  <c r="R25" i="3"/>
  <c r="O25" i="3"/>
  <c r="N25" i="3"/>
  <c r="L25" i="3"/>
  <c r="H25" i="3"/>
  <c r="I25" i="3" s="1"/>
  <c r="F25" i="3"/>
  <c r="C25" i="3"/>
  <c r="AC24" i="3"/>
  <c r="AD24" i="3" s="1"/>
  <c r="AA24" i="3"/>
  <c r="X24" i="3"/>
  <c r="W24" i="3"/>
  <c r="U24" i="3"/>
  <c r="R24" i="3"/>
  <c r="O24" i="3"/>
  <c r="N24" i="3"/>
  <c r="L24" i="3"/>
  <c r="I24" i="3"/>
  <c r="H24" i="3"/>
  <c r="F24" i="3"/>
  <c r="C24" i="3"/>
  <c r="AC23" i="3"/>
  <c r="AD23" i="3" s="1"/>
  <c r="AA23" i="3"/>
  <c r="W23" i="3"/>
  <c r="X23" i="3" s="1"/>
  <c r="U23" i="3"/>
  <c r="R23" i="3"/>
  <c r="O23" i="3"/>
  <c r="N23" i="3"/>
  <c r="L23" i="3"/>
  <c r="I23" i="3"/>
  <c r="H23" i="3"/>
  <c r="F23" i="3"/>
  <c r="C23" i="3"/>
  <c r="AC22" i="3"/>
  <c r="AD22" i="3" s="1"/>
  <c r="AA22" i="3"/>
  <c r="X22" i="3"/>
  <c r="W22" i="3"/>
  <c r="U22" i="3"/>
  <c r="R22" i="3"/>
  <c r="O22" i="3"/>
  <c r="N22" i="3"/>
  <c r="L22" i="3"/>
  <c r="H22" i="3"/>
  <c r="I22" i="3" s="1"/>
  <c r="F22" i="3"/>
  <c r="C22" i="3"/>
  <c r="AD21" i="3"/>
  <c r="AC21" i="3"/>
  <c r="AA21" i="3"/>
  <c r="X21" i="3"/>
  <c r="W21" i="3"/>
  <c r="U21" i="3"/>
  <c r="R21" i="3"/>
  <c r="N21" i="3"/>
  <c r="O21" i="3" s="1"/>
  <c r="L21" i="3"/>
  <c r="H21" i="3"/>
  <c r="I21" i="3" s="1"/>
  <c r="F21" i="3"/>
  <c r="C21" i="3"/>
  <c r="AC19" i="3"/>
  <c r="AD19" i="3" s="1"/>
  <c r="AA19" i="3"/>
  <c r="X19" i="3"/>
  <c r="W19" i="3"/>
  <c r="U19" i="3"/>
  <c r="R19" i="3"/>
  <c r="O19" i="3"/>
  <c r="N19" i="3"/>
  <c r="L19" i="3"/>
  <c r="H19" i="3"/>
  <c r="I19" i="3" s="1"/>
  <c r="F19" i="3"/>
  <c r="C19" i="3"/>
  <c r="Z18" i="3"/>
  <c r="AC18" i="3" s="1"/>
  <c r="AD18" i="3" s="1"/>
  <c r="X18" i="3"/>
  <c r="W18" i="3"/>
  <c r="T18" i="3"/>
  <c r="U18" i="3" s="1"/>
  <c r="Q18" i="3"/>
  <c r="R18" i="3" s="1"/>
  <c r="K18" i="3"/>
  <c r="L18" i="3" s="1"/>
  <c r="E18" i="3"/>
  <c r="F18" i="3" s="1"/>
  <c r="B18" i="3"/>
  <c r="AC17" i="3"/>
  <c r="AD17" i="3" s="1"/>
  <c r="AA17" i="3"/>
  <c r="X17" i="3"/>
  <c r="W17" i="3"/>
  <c r="U17" i="3"/>
  <c r="R17" i="3"/>
  <c r="O17" i="3"/>
  <c r="N17" i="3"/>
  <c r="L17" i="3"/>
  <c r="H17" i="3"/>
  <c r="I17" i="3" s="1"/>
  <c r="F17" i="3"/>
  <c r="C17" i="3"/>
  <c r="AD16" i="3"/>
  <c r="AC16" i="3"/>
  <c r="AA16" i="3"/>
  <c r="X16" i="3"/>
  <c r="W16" i="3"/>
  <c r="U16" i="3"/>
  <c r="R16" i="3"/>
  <c r="N16" i="3"/>
  <c r="O16" i="3" s="1"/>
  <c r="L16" i="3"/>
  <c r="I16" i="3"/>
  <c r="H16" i="3"/>
  <c r="F16" i="3"/>
  <c r="C16" i="3"/>
  <c r="AC15" i="3"/>
  <c r="AD15" i="3" s="1"/>
  <c r="AA15" i="3"/>
  <c r="X15" i="3"/>
  <c r="W15" i="3"/>
  <c r="U15" i="3"/>
  <c r="R15" i="3"/>
  <c r="O15" i="3"/>
  <c r="N15" i="3"/>
  <c r="L15" i="3"/>
  <c r="H15" i="3"/>
  <c r="I15" i="3" s="1"/>
  <c r="F15" i="3"/>
  <c r="C15" i="3"/>
  <c r="AC14" i="3"/>
  <c r="AD14" i="3" s="1"/>
  <c r="AA14" i="3"/>
  <c r="W14" i="3"/>
  <c r="X14" i="3" s="1"/>
  <c r="U14" i="3"/>
  <c r="R14" i="3"/>
  <c r="O14" i="3"/>
  <c r="N14" i="3"/>
  <c r="L14" i="3"/>
  <c r="H14" i="3"/>
  <c r="I14" i="3" s="1"/>
  <c r="F14" i="3"/>
  <c r="C14" i="3"/>
  <c r="AC13" i="3"/>
  <c r="AD13" i="3" s="1"/>
  <c r="AA13" i="3"/>
  <c r="X13" i="3"/>
  <c r="W13" i="3"/>
  <c r="U13" i="3"/>
  <c r="R13" i="3"/>
  <c r="N13" i="3"/>
  <c r="O13" i="3" s="1"/>
  <c r="L13" i="3"/>
  <c r="H13" i="3"/>
  <c r="I13" i="3" s="1"/>
  <c r="F13" i="3"/>
  <c r="C13" i="3"/>
  <c r="AC12" i="3"/>
  <c r="AD12" i="3" s="1"/>
  <c r="AA12" i="3"/>
  <c r="X12" i="3"/>
  <c r="W12" i="3"/>
  <c r="U12" i="3"/>
  <c r="R12" i="3"/>
  <c r="N12" i="3"/>
  <c r="O12" i="3" s="1"/>
  <c r="L12" i="3"/>
  <c r="H12" i="3"/>
  <c r="I12" i="3" s="1"/>
  <c r="F12" i="3"/>
  <c r="C12" i="3"/>
  <c r="AC11" i="3"/>
  <c r="AD11" i="3" s="1"/>
  <c r="AA11" i="3"/>
  <c r="W11" i="3"/>
  <c r="X11" i="3" s="1"/>
  <c r="U11" i="3"/>
  <c r="R11" i="3"/>
  <c r="O11" i="3"/>
  <c r="N11" i="3"/>
  <c r="L11" i="3"/>
  <c r="H11" i="3"/>
  <c r="I11" i="3" s="1"/>
  <c r="F11" i="3"/>
  <c r="C11" i="3"/>
  <c r="AC10" i="3"/>
  <c r="AD10" i="3" s="1"/>
  <c r="AA10" i="3"/>
  <c r="W10" i="3"/>
  <c r="X10" i="3" s="1"/>
  <c r="U10" i="3"/>
  <c r="R10" i="3"/>
  <c r="O10" i="3"/>
  <c r="N10" i="3"/>
  <c r="L10" i="3"/>
  <c r="H10" i="3"/>
  <c r="I10" i="3" s="1"/>
  <c r="F10" i="3"/>
  <c r="C10" i="3"/>
  <c r="AC8" i="3"/>
  <c r="AD8" i="3" s="1"/>
  <c r="AA8" i="3"/>
  <c r="X8" i="3"/>
  <c r="W8" i="3"/>
  <c r="U8" i="3"/>
  <c r="R8" i="3"/>
  <c r="O8" i="3"/>
  <c r="N8" i="3"/>
  <c r="L8" i="3"/>
  <c r="H8" i="3"/>
  <c r="I8" i="3" s="1"/>
  <c r="F8" i="3"/>
  <c r="C8" i="3"/>
  <c r="AC444" i="2"/>
  <c r="W444" i="2"/>
  <c r="N444" i="2"/>
  <c r="O311" i="2" s="1"/>
  <c r="H444" i="2"/>
  <c r="Z442" i="2"/>
  <c r="AA442" i="2" s="1"/>
  <c r="T442" i="2"/>
  <c r="U442" i="2" s="1"/>
  <c r="Q442" i="2"/>
  <c r="W442" i="2" s="1"/>
  <c r="X442" i="2" s="1"/>
  <c r="K442" i="2"/>
  <c r="L442" i="2" s="1"/>
  <c r="F442" i="2"/>
  <c r="E442" i="2"/>
  <c r="B442" i="2"/>
  <c r="C442" i="2" s="1"/>
  <c r="Z441" i="2"/>
  <c r="AA441" i="2" s="1"/>
  <c r="T441" i="2"/>
  <c r="Q441" i="2"/>
  <c r="R441" i="2" s="1"/>
  <c r="K441" i="2"/>
  <c r="L441" i="2" s="1"/>
  <c r="E441" i="2"/>
  <c r="F441" i="2" s="1"/>
  <c r="B441" i="2"/>
  <c r="AC440" i="2"/>
  <c r="AD440" i="2" s="1"/>
  <c r="AA440" i="2"/>
  <c r="X440" i="2"/>
  <c r="W440" i="2"/>
  <c r="U440" i="2"/>
  <c r="R440" i="2"/>
  <c r="N440" i="2"/>
  <c r="L440" i="2"/>
  <c r="H440" i="2"/>
  <c r="I440" i="2" s="1"/>
  <c r="F440" i="2"/>
  <c r="C440" i="2"/>
  <c r="AC439" i="2"/>
  <c r="AA439" i="2"/>
  <c r="W439" i="2"/>
  <c r="X439" i="2" s="1"/>
  <c r="U439" i="2"/>
  <c r="R439" i="2"/>
  <c r="N439" i="2"/>
  <c r="L439" i="2"/>
  <c r="H439" i="2"/>
  <c r="I439" i="2" s="1"/>
  <c r="F439" i="2"/>
  <c r="C439" i="2"/>
  <c r="AC438" i="2"/>
  <c r="AD438" i="2" s="1"/>
  <c r="AA438" i="2"/>
  <c r="W438" i="2"/>
  <c r="X438" i="2" s="1"/>
  <c r="U438" i="2"/>
  <c r="R438" i="2"/>
  <c r="N438" i="2"/>
  <c r="L438" i="2"/>
  <c r="H438" i="2"/>
  <c r="I438" i="2" s="1"/>
  <c r="F438" i="2"/>
  <c r="C438" i="2"/>
  <c r="AC437" i="2"/>
  <c r="AD437" i="2" s="1"/>
  <c r="AA437" i="2"/>
  <c r="W437" i="2"/>
  <c r="U437" i="2"/>
  <c r="R437" i="2"/>
  <c r="N437" i="2"/>
  <c r="L437" i="2"/>
  <c r="H437" i="2"/>
  <c r="I437" i="2" s="1"/>
  <c r="F437" i="2"/>
  <c r="C437" i="2"/>
  <c r="AD436" i="2"/>
  <c r="AC436" i="2"/>
  <c r="AA436" i="2"/>
  <c r="X436" i="2"/>
  <c r="W436" i="2"/>
  <c r="U436" i="2"/>
  <c r="R436" i="2"/>
  <c r="N436" i="2"/>
  <c r="O436" i="2" s="1"/>
  <c r="L436" i="2"/>
  <c r="H436" i="2"/>
  <c r="I436" i="2" s="1"/>
  <c r="F436" i="2"/>
  <c r="C436" i="2"/>
  <c r="AC435" i="2"/>
  <c r="AA435" i="2"/>
  <c r="X435" i="2"/>
  <c r="W435" i="2"/>
  <c r="U435" i="2"/>
  <c r="R435" i="2"/>
  <c r="N435" i="2"/>
  <c r="L435" i="2"/>
  <c r="H435" i="2"/>
  <c r="I435" i="2" s="1"/>
  <c r="F435" i="2"/>
  <c r="C435" i="2"/>
  <c r="AC434" i="2"/>
  <c r="AD434" i="2" s="1"/>
  <c r="AA434" i="2"/>
  <c r="W434" i="2"/>
  <c r="X434" i="2" s="1"/>
  <c r="U434" i="2"/>
  <c r="R434" i="2"/>
  <c r="N434" i="2"/>
  <c r="L434" i="2"/>
  <c r="H434" i="2"/>
  <c r="I434" i="2" s="1"/>
  <c r="F434" i="2"/>
  <c r="C434" i="2"/>
  <c r="AC433" i="2"/>
  <c r="AD433" i="2" s="1"/>
  <c r="AA433" i="2"/>
  <c r="W433" i="2"/>
  <c r="U433" i="2"/>
  <c r="R433" i="2"/>
  <c r="N433" i="2"/>
  <c r="O433" i="2" s="1"/>
  <c r="L433" i="2"/>
  <c r="H433" i="2"/>
  <c r="I433" i="2" s="1"/>
  <c r="F433" i="2"/>
  <c r="C433" i="2"/>
  <c r="AC432" i="2"/>
  <c r="AD432" i="2" s="1"/>
  <c r="AA432" i="2"/>
  <c r="X432" i="2"/>
  <c r="W432" i="2"/>
  <c r="U432" i="2"/>
  <c r="R432" i="2"/>
  <c r="N432" i="2"/>
  <c r="L432" i="2"/>
  <c r="H432" i="2"/>
  <c r="I432" i="2" s="1"/>
  <c r="F432" i="2"/>
  <c r="C432" i="2"/>
  <c r="AC429" i="2"/>
  <c r="AD429" i="2" s="1"/>
  <c r="AA429" i="2"/>
  <c r="Z429" i="2"/>
  <c r="X429" i="2"/>
  <c r="W429" i="2"/>
  <c r="T429" i="2"/>
  <c r="U429" i="2" s="1"/>
  <c r="Q429" i="2"/>
  <c r="R429" i="2" s="1"/>
  <c r="L429" i="2"/>
  <c r="K429" i="2"/>
  <c r="E429" i="2"/>
  <c r="F429" i="2" s="1"/>
  <c r="B429" i="2"/>
  <c r="Z428" i="2"/>
  <c r="AA428" i="2" s="1"/>
  <c r="T428" i="2"/>
  <c r="U428" i="2" s="1"/>
  <c r="Q428" i="2"/>
  <c r="K428" i="2"/>
  <c r="L428" i="2" s="1"/>
  <c r="H428" i="2"/>
  <c r="I428" i="2" s="1"/>
  <c r="E428" i="2"/>
  <c r="F428" i="2" s="1"/>
  <c r="B428" i="2"/>
  <c r="C428" i="2" s="1"/>
  <c r="AC427" i="2"/>
  <c r="AA427" i="2"/>
  <c r="W427" i="2"/>
  <c r="X427" i="2" s="1"/>
  <c r="U427" i="2"/>
  <c r="R427" i="2"/>
  <c r="N427" i="2"/>
  <c r="L427" i="2"/>
  <c r="H427" i="2"/>
  <c r="I427" i="2" s="1"/>
  <c r="F427" i="2"/>
  <c r="C427" i="2"/>
  <c r="AC426" i="2"/>
  <c r="AD426" i="2" s="1"/>
  <c r="AA426" i="2"/>
  <c r="W426" i="2"/>
  <c r="X426" i="2" s="1"/>
  <c r="U426" i="2"/>
  <c r="R426" i="2"/>
  <c r="N426" i="2"/>
  <c r="L426" i="2"/>
  <c r="H426" i="2"/>
  <c r="I426" i="2" s="1"/>
  <c r="F426" i="2"/>
  <c r="C426" i="2"/>
  <c r="AC425" i="2"/>
  <c r="AD425" i="2" s="1"/>
  <c r="AA425" i="2"/>
  <c r="W425" i="2"/>
  <c r="U425" i="2"/>
  <c r="R425" i="2"/>
  <c r="N425" i="2"/>
  <c r="L425" i="2"/>
  <c r="H425" i="2"/>
  <c r="I425" i="2" s="1"/>
  <c r="F425" i="2"/>
  <c r="C425" i="2"/>
  <c r="AD424" i="2"/>
  <c r="AC424" i="2"/>
  <c r="AA424" i="2"/>
  <c r="X424" i="2"/>
  <c r="W424" i="2"/>
  <c r="U424" i="2"/>
  <c r="R424" i="2"/>
  <c r="N424" i="2"/>
  <c r="O424" i="2" s="1"/>
  <c r="L424" i="2"/>
  <c r="H424" i="2"/>
  <c r="I424" i="2" s="1"/>
  <c r="F424" i="2"/>
  <c r="C424" i="2"/>
  <c r="AC423" i="2"/>
  <c r="AA423" i="2"/>
  <c r="X423" i="2"/>
  <c r="W423" i="2"/>
  <c r="U423" i="2"/>
  <c r="R423" i="2"/>
  <c r="N423" i="2"/>
  <c r="L423" i="2"/>
  <c r="H423" i="2"/>
  <c r="I423" i="2" s="1"/>
  <c r="F423" i="2"/>
  <c r="C423" i="2"/>
  <c r="AC422" i="2"/>
  <c r="AD422" i="2" s="1"/>
  <c r="AA422" i="2"/>
  <c r="W422" i="2"/>
  <c r="X422" i="2" s="1"/>
  <c r="U422" i="2"/>
  <c r="R422" i="2"/>
  <c r="N422" i="2"/>
  <c r="L422" i="2"/>
  <c r="H422" i="2"/>
  <c r="I422" i="2" s="1"/>
  <c r="F422" i="2"/>
  <c r="C422" i="2"/>
  <c r="AC421" i="2"/>
  <c r="AD421" i="2" s="1"/>
  <c r="AA421" i="2"/>
  <c r="W421" i="2"/>
  <c r="U421" i="2"/>
  <c r="R421" i="2"/>
  <c r="N421" i="2"/>
  <c r="L421" i="2"/>
  <c r="H421" i="2"/>
  <c r="I421" i="2" s="1"/>
  <c r="F421" i="2"/>
  <c r="C421" i="2"/>
  <c r="AC420" i="2"/>
  <c r="AD420" i="2" s="1"/>
  <c r="AA420" i="2"/>
  <c r="X420" i="2"/>
  <c r="W420" i="2"/>
  <c r="U420" i="2"/>
  <c r="R420" i="2"/>
  <c r="N420" i="2"/>
  <c r="O420" i="2" s="1"/>
  <c r="L420" i="2"/>
  <c r="H420" i="2"/>
  <c r="I420" i="2" s="1"/>
  <c r="F420" i="2"/>
  <c r="C420" i="2"/>
  <c r="AC419" i="2"/>
  <c r="AD419" i="2" s="1"/>
  <c r="AA419" i="2"/>
  <c r="W419" i="2"/>
  <c r="X419" i="2" s="1"/>
  <c r="U419" i="2"/>
  <c r="R419" i="2"/>
  <c r="N419" i="2"/>
  <c r="L419" i="2"/>
  <c r="I419" i="2"/>
  <c r="H419" i="2"/>
  <c r="F419" i="2"/>
  <c r="C419" i="2"/>
  <c r="AC418" i="2"/>
  <c r="AA418" i="2"/>
  <c r="W418" i="2"/>
  <c r="X418" i="2" s="1"/>
  <c r="U418" i="2"/>
  <c r="R418" i="2"/>
  <c r="N418" i="2"/>
  <c r="L418" i="2"/>
  <c r="H418" i="2"/>
  <c r="I418" i="2" s="1"/>
  <c r="F418" i="2"/>
  <c r="C418" i="2"/>
  <c r="AD417" i="2"/>
  <c r="AC417" i="2"/>
  <c r="AA417" i="2"/>
  <c r="W417" i="2"/>
  <c r="U417" i="2"/>
  <c r="R417" i="2"/>
  <c r="N417" i="2"/>
  <c r="O417" i="2" s="1"/>
  <c r="L417" i="2"/>
  <c r="H417" i="2"/>
  <c r="I417" i="2" s="1"/>
  <c r="F417" i="2"/>
  <c r="C417" i="2"/>
  <c r="AC416" i="2"/>
  <c r="AD416" i="2" s="1"/>
  <c r="AA416" i="2"/>
  <c r="X416" i="2"/>
  <c r="W416" i="2"/>
  <c r="U416" i="2"/>
  <c r="R416" i="2"/>
  <c r="N416" i="2"/>
  <c r="L416" i="2"/>
  <c r="H416" i="2"/>
  <c r="I416" i="2" s="1"/>
  <c r="F416" i="2"/>
  <c r="C416" i="2"/>
  <c r="AC415" i="2"/>
  <c r="AD415" i="2" s="1"/>
  <c r="AA415" i="2"/>
  <c r="W415" i="2"/>
  <c r="X415" i="2" s="1"/>
  <c r="U415" i="2"/>
  <c r="R415" i="2"/>
  <c r="N415" i="2"/>
  <c r="L415" i="2"/>
  <c r="H415" i="2"/>
  <c r="I415" i="2" s="1"/>
  <c r="F415" i="2"/>
  <c r="C415" i="2"/>
  <c r="AC414" i="2"/>
  <c r="AA414" i="2"/>
  <c r="X414" i="2"/>
  <c r="W414" i="2"/>
  <c r="U414" i="2"/>
  <c r="R414" i="2"/>
  <c r="N414" i="2"/>
  <c r="L414" i="2"/>
  <c r="H414" i="2"/>
  <c r="I414" i="2" s="1"/>
  <c r="F414" i="2"/>
  <c r="C414" i="2"/>
  <c r="AC413" i="2"/>
  <c r="AD413" i="2" s="1"/>
  <c r="AA413" i="2"/>
  <c r="W413" i="2"/>
  <c r="U413" i="2"/>
  <c r="R413" i="2"/>
  <c r="N413" i="2"/>
  <c r="L413" i="2"/>
  <c r="H413" i="2"/>
  <c r="I413" i="2" s="1"/>
  <c r="F413" i="2"/>
  <c r="C413" i="2"/>
  <c r="AC412" i="2"/>
  <c r="AD412" i="2" s="1"/>
  <c r="AA412" i="2"/>
  <c r="X412" i="2"/>
  <c r="W412" i="2"/>
  <c r="U412" i="2"/>
  <c r="R412" i="2"/>
  <c r="N412" i="2"/>
  <c r="L412" i="2"/>
  <c r="I412" i="2"/>
  <c r="H412" i="2"/>
  <c r="F412" i="2"/>
  <c r="C412" i="2"/>
  <c r="AC411" i="2"/>
  <c r="AA411" i="2"/>
  <c r="W411" i="2"/>
  <c r="X411" i="2" s="1"/>
  <c r="U411" i="2"/>
  <c r="R411" i="2"/>
  <c r="N411" i="2"/>
  <c r="L411" i="2"/>
  <c r="H411" i="2"/>
  <c r="I411" i="2" s="1"/>
  <c r="F411" i="2"/>
  <c r="C411" i="2"/>
  <c r="AC410" i="2"/>
  <c r="AD410" i="2" s="1"/>
  <c r="AA410" i="2"/>
  <c r="W410" i="2"/>
  <c r="X410" i="2" s="1"/>
  <c r="U410" i="2"/>
  <c r="R410" i="2"/>
  <c r="N410" i="2"/>
  <c r="L410" i="2"/>
  <c r="H410" i="2"/>
  <c r="I410" i="2" s="1"/>
  <c r="F410" i="2"/>
  <c r="C410" i="2"/>
  <c r="AC409" i="2"/>
  <c r="AD409" i="2" s="1"/>
  <c r="AA409" i="2"/>
  <c r="W409" i="2"/>
  <c r="U409" i="2"/>
  <c r="R409" i="2"/>
  <c r="N409" i="2"/>
  <c r="L409" i="2"/>
  <c r="H409" i="2"/>
  <c r="I409" i="2" s="1"/>
  <c r="F409" i="2"/>
  <c r="C409" i="2"/>
  <c r="AD408" i="2"/>
  <c r="AC408" i="2"/>
  <c r="AA408" i="2"/>
  <c r="X408" i="2"/>
  <c r="W408" i="2"/>
  <c r="U408" i="2"/>
  <c r="R408" i="2"/>
  <c r="N408" i="2"/>
  <c r="L408" i="2"/>
  <c r="H408" i="2"/>
  <c r="I408" i="2" s="1"/>
  <c r="F408" i="2"/>
  <c r="C408" i="2"/>
  <c r="AC407" i="2"/>
  <c r="AA407" i="2"/>
  <c r="X407" i="2"/>
  <c r="W407" i="2"/>
  <c r="U407" i="2"/>
  <c r="R407" i="2"/>
  <c r="N407" i="2"/>
  <c r="L407" i="2"/>
  <c r="H407" i="2"/>
  <c r="I407" i="2" s="1"/>
  <c r="F407" i="2"/>
  <c r="C407" i="2"/>
  <c r="Z403" i="2"/>
  <c r="AA403" i="2" s="1"/>
  <c r="T403" i="2"/>
  <c r="U403" i="2" s="1"/>
  <c r="Q403" i="2"/>
  <c r="N403" i="2"/>
  <c r="O403" i="2" s="1"/>
  <c r="K403" i="2"/>
  <c r="L403" i="2" s="1"/>
  <c r="F403" i="2"/>
  <c r="E403" i="2"/>
  <c r="B403" i="2"/>
  <c r="H403" i="2" s="1"/>
  <c r="I403" i="2" s="1"/>
  <c r="AC402" i="2"/>
  <c r="AA402" i="2"/>
  <c r="W402" i="2"/>
  <c r="X402" i="2" s="1"/>
  <c r="U402" i="2"/>
  <c r="R402" i="2"/>
  <c r="N402" i="2"/>
  <c r="L402" i="2"/>
  <c r="H402" i="2"/>
  <c r="I402" i="2" s="1"/>
  <c r="F402" i="2"/>
  <c r="C402" i="2"/>
  <c r="AD401" i="2"/>
  <c r="AC401" i="2"/>
  <c r="AA401" i="2"/>
  <c r="W401" i="2"/>
  <c r="U401" i="2"/>
  <c r="R401" i="2"/>
  <c r="N401" i="2"/>
  <c r="O401" i="2" s="1"/>
  <c r="L401" i="2"/>
  <c r="H401" i="2"/>
  <c r="I401" i="2" s="1"/>
  <c r="F401" i="2"/>
  <c r="C401" i="2"/>
  <c r="AC400" i="2"/>
  <c r="AD400" i="2" s="1"/>
  <c r="AA400" i="2"/>
  <c r="X400" i="2"/>
  <c r="W400" i="2"/>
  <c r="U400" i="2"/>
  <c r="R400" i="2"/>
  <c r="N400" i="2"/>
  <c r="L400" i="2"/>
  <c r="H400" i="2"/>
  <c r="I400" i="2" s="1"/>
  <c r="F400" i="2"/>
  <c r="C400" i="2"/>
  <c r="AC399" i="2"/>
  <c r="AD399" i="2" s="1"/>
  <c r="AA399" i="2"/>
  <c r="W399" i="2"/>
  <c r="X399" i="2" s="1"/>
  <c r="U399" i="2"/>
  <c r="R399" i="2"/>
  <c r="N399" i="2"/>
  <c r="L399" i="2"/>
  <c r="H399" i="2"/>
  <c r="I399" i="2" s="1"/>
  <c r="F399" i="2"/>
  <c r="C399" i="2"/>
  <c r="AC398" i="2"/>
  <c r="AA398" i="2"/>
  <c r="W398" i="2"/>
  <c r="X398" i="2" s="1"/>
  <c r="U398" i="2"/>
  <c r="R398" i="2"/>
  <c r="N398" i="2"/>
  <c r="L398" i="2"/>
  <c r="H398" i="2"/>
  <c r="I398" i="2" s="1"/>
  <c r="F398" i="2"/>
  <c r="C398" i="2"/>
  <c r="AC397" i="2"/>
  <c r="AD397" i="2" s="1"/>
  <c r="AA397" i="2"/>
  <c r="W397" i="2"/>
  <c r="U397" i="2"/>
  <c r="R397" i="2"/>
  <c r="N397" i="2"/>
  <c r="L397" i="2"/>
  <c r="H397" i="2"/>
  <c r="I397" i="2" s="1"/>
  <c r="F397" i="2"/>
  <c r="C397" i="2"/>
  <c r="Z396" i="2"/>
  <c r="AC396" i="2" s="1"/>
  <c r="AD396" i="2" s="1"/>
  <c r="T396" i="2"/>
  <c r="U396" i="2" s="1"/>
  <c r="R396" i="2"/>
  <c r="Q396" i="2"/>
  <c r="K396" i="2"/>
  <c r="L396" i="2" s="1"/>
  <c r="H396" i="2"/>
  <c r="I396" i="2" s="1"/>
  <c r="F396" i="2"/>
  <c r="E396" i="2"/>
  <c r="C396" i="2"/>
  <c r="B396" i="2"/>
  <c r="N396" i="2" s="1"/>
  <c r="O396" i="2" s="1"/>
  <c r="AC395" i="2"/>
  <c r="AD395" i="2" s="1"/>
  <c r="AA395" i="2"/>
  <c r="W395" i="2"/>
  <c r="X395" i="2" s="1"/>
  <c r="U395" i="2"/>
  <c r="R395" i="2"/>
  <c r="N395" i="2"/>
  <c r="L395" i="2"/>
  <c r="H395" i="2"/>
  <c r="I395" i="2" s="1"/>
  <c r="F395" i="2"/>
  <c r="C395" i="2"/>
  <c r="AD394" i="2"/>
  <c r="AC394" i="2"/>
  <c r="AA394" i="2"/>
  <c r="W394" i="2"/>
  <c r="U394" i="2"/>
  <c r="R394" i="2"/>
  <c r="N394" i="2"/>
  <c r="L394" i="2"/>
  <c r="H394" i="2"/>
  <c r="I394" i="2" s="1"/>
  <c r="F394" i="2"/>
  <c r="C394" i="2"/>
  <c r="Z393" i="2"/>
  <c r="AA393" i="2" s="1"/>
  <c r="T393" i="2"/>
  <c r="U393" i="2" s="1"/>
  <c r="Q393" i="2"/>
  <c r="N393" i="2"/>
  <c r="K393" i="2"/>
  <c r="L393" i="2" s="1"/>
  <c r="E393" i="2"/>
  <c r="F393" i="2" s="1"/>
  <c r="B393" i="2"/>
  <c r="H393" i="2" s="1"/>
  <c r="I393" i="2" s="1"/>
  <c r="AC392" i="2"/>
  <c r="AA392" i="2"/>
  <c r="W392" i="2"/>
  <c r="X392" i="2" s="1"/>
  <c r="U392" i="2"/>
  <c r="R392" i="2"/>
  <c r="N392" i="2"/>
  <c r="L392" i="2"/>
  <c r="H392" i="2"/>
  <c r="I392" i="2" s="1"/>
  <c r="F392" i="2"/>
  <c r="C392" i="2"/>
  <c r="AC391" i="2"/>
  <c r="AD391" i="2" s="1"/>
  <c r="AA391" i="2"/>
  <c r="W391" i="2"/>
  <c r="U391" i="2"/>
  <c r="R391" i="2"/>
  <c r="N391" i="2"/>
  <c r="O391" i="2" s="1"/>
  <c r="L391" i="2"/>
  <c r="H391" i="2"/>
  <c r="I391" i="2" s="1"/>
  <c r="F391" i="2"/>
  <c r="C391" i="2"/>
  <c r="AC390" i="2"/>
  <c r="AD390" i="2" s="1"/>
  <c r="AA390" i="2"/>
  <c r="X390" i="2"/>
  <c r="W390" i="2"/>
  <c r="U390" i="2"/>
  <c r="R390" i="2"/>
  <c r="N390" i="2"/>
  <c r="L390" i="2"/>
  <c r="H390" i="2"/>
  <c r="I390" i="2" s="1"/>
  <c r="F390" i="2"/>
  <c r="C390" i="2"/>
  <c r="AC389" i="2"/>
  <c r="AD389" i="2" s="1"/>
  <c r="AA389" i="2"/>
  <c r="W389" i="2"/>
  <c r="X389" i="2" s="1"/>
  <c r="U389" i="2"/>
  <c r="R389" i="2"/>
  <c r="N389" i="2"/>
  <c r="L389" i="2"/>
  <c r="H389" i="2"/>
  <c r="I389" i="2" s="1"/>
  <c r="F389" i="2"/>
  <c r="C389" i="2"/>
  <c r="AC388" i="2"/>
  <c r="AA388" i="2"/>
  <c r="W388" i="2"/>
  <c r="X388" i="2" s="1"/>
  <c r="U388" i="2"/>
  <c r="R388" i="2"/>
  <c r="N388" i="2"/>
  <c r="L388" i="2"/>
  <c r="H388" i="2"/>
  <c r="I388" i="2" s="1"/>
  <c r="F388" i="2"/>
  <c r="C388" i="2"/>
  <c r="AC386" i="2"/>
  <c r="AD386" i="2" s="1"/>
  <c r="AA386" i="2"/>
  <c r="W386" i="2"/>
  <c r="U386" i="2"/>
  <c r="R386" i="2"/>
  <c r="N386" i="2"/>
  <c r="L386" i="2"/>
  <c r="H386" i="2"/>
  <c r="I386" i="2" s="1"/>
  <c r="F386" i="2"/>
  <c r="C386" i="2"/>
  <c r="AC385" i="2"/>
  <c r="AD385" i="2" s="1"/>
  <c r="AA385" i="2"/>
  <c r="X385" i="2"/>
  <c r="W385" i="2"/>
  <c r="U385" i="2"/>
  <c r="R385" i="2"/>
  <c r="N385" i="2"/>
  <c r="L385" i="2"/>
  <c r="H385" i="2"/>
  <c r="I385" i="2" s="1"/>
  <c r="F385" i="2"/>
  <c r="C385" i="2"/>
  <c r="AC383" i="2"/>
  <c r="AA383" i="2"/>
  <c r="W383" i="2"/>
  <c r="X383" i="2" s="1"/>
  <c r="U383" i="2"/>
  <c r="R383" i="2"/>
  <c r="N383" i="2"/>
  <c r="L383" i="2"/>
  <c r="H383" i="2"/>
  <c r="I383" i="2" s="1"/>
  <c r="F383" i="2"/>
  <c r="C383" i="2"/>
  <c r="AC382" i="2"/>
  <c r="AD382" i="2" s="1"/>
  <c r="AA382" i="2"/>
  <c r="W382" i="2"/>
  <c r="X382" i="2" s="1"/>
  <c r="U382" i="2"/>
  <c r="R382" i="2"/>
  <c r="N382" i="2"/>
  <c r="L382" i="2"/>
  <c r="H382" i="2"/>
  <c r="I382" i="2" s="1"/>
  <c r="F382" i="2"/>
  <c r="C382" i="2"/>
  <c r="AC381" i="2"/>
  <c r="AD381" i="2" s="1"/>
  <c r="AA381" i="2"/>
  <c r="W381" i="2"/>
  <c r="U381" i="2"/>
  <c r="R381" i="2"/>
  <c r="N381" i="2"/>
  <c r="O381" i="2" s="1"/>
  <c r="L381" i="2"/>
  <c r="H381" i="2"/>
  <c r="I381" i="2" s="1"/>
  <c r="F381" i="2"/>
  <c r="C381" i="2"/>
  <c r="AC380" i="2"/>
  <c r="AD380" i="2" s="1"/>
  <c r="AA380" i="2"/>
  <c r="X380" i="2"/>
  <c r="W380" i="2"/>
  <c r="U380" i="2"/>
  <c r="R380" i="2"/>
  <c r="N380" i="2"/>
  <c r="O380" i="2" s="1"/>
  <c r="L380" i="2"/>
  <c r="H380" i="2"/>
  <c r="I380" i="2" s="1"/>
  <c r="F380" i="2"/>
  <c r="C380" i="2"/>
  <c r="AC379" i="2"/>
  <c r="AA379" i="2"/>
  <c r="W379" i="2"/>
  <c r="X379" i="2" s="1"/>
  <c r="U379" i="2"/>
  <c r="R379" i="2"/>
  <c r="N379" i="2"/>
  <c r="L379" i="2"/>
  <c r="H379" i="2"/>
  <c r="I379" i="2" s="1"/>
  <c r="F379" i="2"/>
  <c r="C379" i="2"/>
  <c r="AC378" i="2"/>
  <c r="AD378" i="2" s="1"/>
  <c r="AA378" i="2"/>
  <c r="W378" i="2"/>
  <c r="X378" i="2" s="1"/>
  <c r="U378" i="2"/>
  <c r="R378" i="2"/>
  <c r="N378" i="2"/>
  <c r="L378" i="2"/>
  <c r="H378" i="2"/>
  <c r="I378" i="2" s="1"/>
  <c r="F378" i="2"/>
  <c r="C378" i="2"/>
  <c r="AC377" i="2"/>
  <c r="AD377" i="2" s="1"/>
  <c r="AA377" i="2"/>
  <c r="W377" i="2"/>
  <c r="U377" i="2"/>
  <c r="R377" i="2"/>
  <c r="N377" i="2"/>
  <c r="L377" i="2"/>
  <c r="H377" i="2"/>
  <c r="I377" i="2" s="1"/>
  <c r="F377" i="2"/>
  <c r="C377" i="2"/>
  <c r="AC376" i="2"/>
  <c r="AD376" i="2" s="1"/>
  <c r="AA376" i="2"/>
  <c r="X376" i="2"/>
  <c r="W376" i="2"/>
  <c r="U376" i="2"/>
  <c r="R376" i="2"/>
  <c r="N376" i="2"/>
  <c r="L376" i="2"/>
  <c r="H376" i="2"/>
  <c r="I376" i="2" s="1"/>
  <c r="F376" i="2"/>
  <c r="C376" i="2"/>
  <c r="AC375" i="2"/>
  <c r="AD375" i="2" s="1"/>
  <c r="AA375" i="2"/>
  <c r="W375" i="2"/>
  <c r="X375" i="2" s="1"/>
  <c r="U375" i="2"/>
  <c r="R375" i="2"/>
  <c r="N375" i="2"/>
  <c r="L375" i="2"/>
  <c r="I375" i="2"/>
  <c r="H375" i="2"/>
  <c r="F375" i="2"/>
  <c r="C375" i="2"/>
  <c r="AC374" i="2"/>
  <c r="AA374" i="2"/>
  <c r="W374" i="2"/>
  <c r="X374" i="2" s="1"/>
  <c r="U374" i="2"/>
  <c r="R374" i="2"/>
  <c r="N374" i="2"/>
  <c r="L374" i="2"/>
  <c r="H374" i="2"/>
  <c r="I374" i="2" s="1"/>
  <c r="F374" i="2"/>
  <c r="C374" i="2"/>
  <c r="AD373" i="2"/>
  <c r="AC373" i="2"/>
  <c r="AA373" i="2"/>
  <c r="W373" i="2"/>
  <c r="U373" i="2"/>
  <c r="R373" i="2"/>
  <c r="N373" i="2"/>
  <c r="O373" i="2" s="1"/>
  <c r="L373" i="2"/>
  <c r="H373" i="2"/>
  <c r="I373" i="2" s="1"/>
  <c r="F373" i="2"/>
  <c r="C373" i="2"/>
  <c r="AC372" i="2"/>
  <c r="AD372" i="2" s="1"/>
  <c r="AA372" i="2"/>
  <c r="X372" i="2"/>
  <c r="W372" i="2"/>
  <c r="U372" i="2"/>
  <c r="R372" i="2"/>
  <c r="N372" i="2"/>
  <c r="L372" i="2"/>
  <c r="H372" i="2"/>
  <c r="I372" i="2" s="1"/>
  <c r="F372" i="2"/>
  <c r="C372" i="2"/>
  <c r="AC371" i="2"/>
  <c r="AD371" i="2" s="1"/>
  <c r="AA371" i="2"/>
  <c r="W371" i="2"/>
  <c r="X371" i="2" s="1"/>
  <c r="U371" i="2"/>
  <c r="R371" i="2"/>
  <c r="N371" i="2"/>
  <c r="L371" i="2"/>
  <c r="H371" i="2"/>
  <c r="I371" i="2" s="1"/>
  <c r="F371" i="2"/>
  <c r="C371" i="2"/>
  <c r="AC370" i="2"/>
  <c r="AA370" i="2"/>
  <c r="W370" i="2"/>
  <c r="X370" i="2" s="1"/>
  <c r="U370" i="2"/>
  <c r="R370" i="2"/>
  <c r="N370" i="2"/>
  <c r="L370" i="2"/>
  <c r="H370" i="2"/>
  <c r="I370" i="2" s="1"/>
  <c r="F370" i="2"/>
  <c r="C370" i="2"/>
  <c r="AC369" i="2"/>
  <c r="AD369" i="2" s="1"/>
  <c r="AA369" i="2"/>
  <c r="W369" i="2"/>
  <c r="U369" i="2"/>
  <c r="R369" i="2"/>
  <c r="N369" i="2"/>
  <c r="O369" i="2" s="1"/>
  <c r="L369" i="2"/>
  <c r="H369" i="2"/>
  <c r="I369" i="2" s="1"/>
  <c r="F369" i="2"/>
  <c r="C369" i="2"/>
  <c r="Z368" i="2"/>
  <c r="AC368" i="2" s="1"/>
  <c r="AD368" i="2" s="1"/>
  <c r="T368" i="2"/>
  <c r="U368" i="2" s="1"/>
  <c r="R368" i="2"/>
  <c r="Q368" i="2"/>
  <c r="K368" i="2"/>
  <c r="L368" i="2" s="1"/>
  <c r="H368" i="2"/>
  <c r="I368" i="2" s="1"/>
  <c r="F368" i="2"/>
  <c r="E368" i="2"/>
  <c r="C368" i="2"/>
  <c r="B368" i="2"/>
  <c r="N368" i="2" s="1"/>
  <c r="O368" i="2" s="1"/>
  <c r="AC367" i="2"/>
  <c r="AD367" i="2" s="1"/>
  <c r="AA367" i="2"/>
  <c r="W367" i="2"/>
  <c r="X367" i="2" s="1"/>
  <c r="U367" i="2"/>
  <c r="R367" i="2"/>
  <c r="N367" i="2"/>
  <c r="L367" i="2"/>
  <c r="H367" i="2"/>
  <c r="I367" i="2" s="1"/>
  <c r="F367" i="2"/>
  <c r="C367" i="2"/>
  <c r="AD366" i="2"/>
  <c r="AC366" i="2"/>
  <c r="AA366" i="2"/>
  <c r="W366" i="2"/>
  <c r="U366" i="2"/>
  <c r="R366" i="2"/>
  <c r="N366" i="2"/>
  <c r="O366" i="2" s="1"/>
  <c r="L366" i="2"/>
  <c r="H366" i="2"/>
  <c r="I366" i="2" s="1"/>
  <c r="F366" i="2"/>
  <c r="C366" i="2"/>
  <c r="AD365" i="2"/>
  <c r="AC365" i="2"/>
  <c r="AA365" i="2"/>
  <c r="X365" i="2"/>
  <c r="W365" i="2"/>
  <c r="U365" i="2"/>
  <c r="R365" i="2"/>
  <c r="N365" i="2"/>
  <c r="L365" i="2"/>
  <c r="H365" i="2"/>
  <c r="I365" i="2" s="1"/>
  <c r="F365" i="2"/>
  <c r="C365" i="2"/>
  <c r="AC364" i="2"/>
  <c r="AD364" i="2" s="1"/>
  <c r="AA364" i="2"/>
  <c r="X364" i="2"/>
  <c r="W364" i="2"/>
  <c r="U364" i="2"/>
  <c r="R364" i="2"/>
  <c r="N364" i="2"/>
  <c r="L364" i="2"/>
  <c r="I364" i="2"/>
  <c r="H364" i="2"/>
  <c r="F364" i="2"/>
  <c r="C364" i="2"/>
  <c r="AC363" i="2"/>
  <c r="AA363" i="2"/>
  <c r="X363" i="2"/>
  <c r="W363" i="2"/>
  <c r="U363" i="2"/>
  <c r="R363" i="2"/>
  <c r="O363" i="2"/>
  <c r="N363" i="2"/>
  <c r="L363" i="2"/>
  <c r="H363" i="2"/>
  <c r="I363" i="2" s="1"/>
  <c r="F363" i="2"/>
  <c r="C363" i="2"/>
  <c r="AD362" i="2"/>
  <c r="AC362" i="2"/>
  <c r="AA362" i="2"/>
  <c r="W362" i="2"/>
  <c r="U362" i="2"/>
  <c r="R362" i="2"/>
  <c r="N362" i="2"/>
  <c r="L362" i="2"/>
  <c r="H362" i="2"/>
  <c r="I362" i="2" s="1"/>
  <c r="F362" i="2"/>
  <c r="C362" i="2"/>
  <c r="AC361" i="2"/>
  <c r="AD361" i="2" s="1"/>
  <c r="AA361" i="2"/>
  <c r="X361" i="2"/>
  <c r="W361" i="2"/>
  <c r="U361" i="2"/>
  <c r="R361" i="2"/>
  <c r="N361" i="2"/>
  <c r="L361" i="2"/>
  <c r="I361" i="2"/>
  <c r="H361" i="2"/>
  <c r="F361" i="2"/>
  <c r="C361" i="2"/>
  <c r="AC360" i="2"/>
  <c r="AD360" i="2" s="1"/>
  <c r="AA360" i="2"/>
  <c r="W360" i="2"/>
  <c r="X360" i="2" s="1"/>
  <c r="U360" i="2"/>
  <c r="R360" i="2"/>
  <c r="N360" i="2"/>
  <c r="L360" i="2"/>
  <c r="I360" i="2"/>
  <c r="H360" i="2"/>
  <c r="F360" i="2"/>
  <c r="C360" i="2"/>
  <c r="Z358" i="2"/>
  <c r="AA358" i="2" s="1"/>
  <c r="T358" i="2"/>
  <c r="Q358" i="2"/>
  <c r="R358" i="2" s="1"/>
  <c r="K358" i="2"/>
  <c r="L358" i="2" s="1"/>
  <c r="E358" i="2"/>
  <c r="F358" i="2" s="1"/>
  <c r="B358" i="2"/>
  <c r="AC357" i="2"/>
  <c r="AD357" i="2" s="1"/>
  <c r="AA357" i="2"/>
  <c r="X357" i="2"/>
  <c r="W357" i="2"/>
  <c r="U357" i="2"/>
  <c r="R357" i="2"/>
  <c r="O357" i="2"/>
  <c r="N357" i="2"/>
  <c r="L357" i="2"/>
  <c r="H357" i="2"/>
  <c r="I357" i="2" s="1"/>
  <c r="F357" i="2"/>
  <c r="C357" i="2"/>
  <c r="AC356" i="2"/>
  <c r="AA356" i="2"/>
  <c r="W356" i="2"/>
  <c r="X356" i="2" s="1"/>
  <c r="U356" i="2"/>
  <c r="R356" i="2"/>
  <c r="N356" i="2"/>
  <c r="L356" i="2"/>
  <c r="H356" i="2"/>
  <c r="I356" i="2" s="1"/>
  <c r="F356" i="2"/>
  <c r="C356" i="2"/>
  <c r="AC355" i="2"/>
  <c r="AD355" i="2" s="1"/>
  <c r="AA355" i="2"/>
  <c r="W355" i="2"/>
  <c r="X355" i="2" s="1"/>
  <c r="U355" i="2"/>
  <c r="R355" i="2"/>
  <c r="N355" i="2"/>
  <c r="L355" i="2"/>
  <c r="H355" i="2"/>
  <c r="I355" i="2" s="1"/>
  <c r="F355" i="2"/>
  <c r="C355" i="2"/>
  <c r="AC354" i="2"/>
  <c r="AD354" i="2" s="1"/>
  <c r="AA354" i="2"/>
  <c r="W354" i="2"/>
  <c r="U354" i="2"/>
  <c r="R354" i="2"/>
  <c r="N354" i="2"/>
  <c r="O354" i="2" s="1"/>
  <c r="L354" i="2"/>
  <c r="H354" i="2"/>
  <c r="I354" i="2" s="1"/>
  <c r="F354" i="2"/>
  <c r="C354" i="2"/>
  <c r="AC353" i="2"/>
  <c r="AD353" i="2" s="1"/>
  <c r="AA353" i="2"/>
  <c r="X353" i="2"/>
  <c r="W353" i="2"/>
  <c r="U353" i="2"/>
  <c r="R353" i="2"/>
  <c r="N353" i="2"/>
  <c r="L353" i="2"/>
  <c r="H353" i="2"/>
  <c r="I353" i="2" s="1"/>
  <c r="F353" i="2"/>
  <c r="C353" i="2"/>
  <c r="AC352" i="2"/>
  <c r="AA352" i="2"/>
  <c r="W352" i="2"/>
  <c r="X352" i="2" s="1"/>
  <c r="U352" i="2"/>
  <c r="R352" i="2"/>
  <c r="N352" i="2"/>
  <c r="L352" i="2"/>
  <c r="H352" i="2"/>
  <c r="I352" i="2" s="1"/>
  <c r="F352" i="2"/>
  <c r="C352" i="2"/>
  <c r="AC351" i="2"/>
  <c r="AD351" i="2" s="1"/>
  <c r="AA351" i="2"/>
  <c r="W351" i="2"/>
  <c r="X351" i="2" s="1"/>
  <c r="U351" i="2"/>
  <c r="R351" i="2"/>
  <c r="N351" i="2"/>
  <c r="L351" i="2"/>
  <c r="H351" i="2"/>
  <c r="I351" i="2" s="1"/>
  <c r="F351" i="2"/>
  <c r="C351" i="2"/>
  <c r="AC350" i="2"/>
  <c r="AD350" i="2" s="1"/>
  <c r="AA350" i="2"/>
  <c r="W350" i="2"/>
  <c r="U350" i="2"/>
  <c r="R350" i="2"/>
  <c r="N350" i="2"/>
  <c r="O350" i="2" s="1"/>
  <c r="L350" i="2"/>
  <c r="H350" i="2"/>
  <c r="I350" i="2" s="1"/>
  <c r="F350" i="2"/>
  <c r="C350" i="2"/>
  <c r="AD349" i="2"/>
  <c r="AC349" i="2"/>
  <c r="AA349" i="2"/>
  <c r="X349" i="2"/>
  <c r="W349" i="2"/>
  <c r="U349" i="2"/>
  <c r="R349" i="2"/>
  <c r="N349" i="2"/>
  <c r="O349" i="2" s="1"/>
  <c r="L349" i="2"/>
  <c r="H349" i="2"/>
  <c r="I349" i="2" s="1"/>
  <c r="F349" i="2"/>
  <c r="C349" i="2"/>
  <c r="AC347" i="2"/>
  <c r="AD347" i="2" s="1"/>
  <c r="AA347" i="2"/>
  <c r="X347" i="2"/>
  <c r="W347" i="2"/>
  <c r="U347" i="2"/>
  <c r="R347" i="2"/>
  <c r="N347" i="2"/>
  <c r="L347" i="2"/>
  <c r="H347" i="2"/>
  <c r="I347" i="2" s="1"/>
  <c r="F347" i="2"/>
  <c r="C347" i="2"/>
  <c r="Z344" i="2"/>
  <c r="AA344" i="2" s="1"/>
  <c r="T344" i="2"/>
  <c r="U344" i="2" s="1"/>
  <c r="Q344" i="2"/>
  <c r="K344" i="2"/>
  <c r="L344" i="2" s="1"/>
  <c r="F344" i="2"/>
  <c r="E344" i="2"/>
  <c r="B344" i="2"/>
  <c r="Z343" i="2"/>
  <c r="AA343" i="2" s="1"/>
  <c r="T343" i="2"/>
  <c r="W343" i="2" s="1"/>
  <c r="X343" i="2" s="1"/>
  <c r="Q343" i="2"/>
  <c r="R343" i="2" s="1"/>
  <c r="L343" i="2"/>
  <c r="K343" i="2"/>
  <c r="E343" i="2"/>
  <c r="F343" i="2" s="1"/>
  <c r="B343" i="2"/>
  <c r="C343" i="2" s="1"/>
  <c r="AA342" i="2"/>
  <c r="Z342" i="2"/>
  <c r="T342" i="2"/>
  <c r="U342" i="2" s="1"/>
  <c r="Q342" i="2"/>
  <c r="W342" i="2" s="1"/>
  <c r="X342" i="2" s="1"/>
  <c r="K342" i="2"/>
  <c r="L342" i="2" s="1"/>
  <c r="H342" i="2"/>
  <c r="I342" i="2" s="1"/>
  <c r="E342" i="2"/>
  <c r="F342" i="2" s="1"/>
  <c r="B342" i="2"/>
  <c r="C342" i="2" s="1"/>
  <c r="AC341" i="2"/>
  <c r="AD341" i="2" s="1"/>
  <c r="AA341" i="2"/>
  <c r="W341" i="2"/>
  <c r="X341" i="2" s="1"/>
  <c r="U341" i="2"/>
  <c r="R341" i="2"/>
  <c r="N341" i="2"/>
  <c r="L341" i="2"/>
  <c r="H341" i="2"/>
  <c r="I341" i="2" s="1"/>
  <c r="F341" i="2"/>
  <c r="C341" i="2"/>
  <c r="AC340" i="2"/>
  <c r="AD340" i="2" s="1"/>
  <c r="AA340" i="2"/>
  <c r="W340" i="2"/>
  <c r="U340" i="2"/>
  <c r="R340" i="2"/>
  <c r="N340" i="2"/>
  <c r="L340" i="2"/>
  <c r="H340" i="2"/>
  <c r="I340" i="2" s="1"/>
  <c r="F340" i="2"/>
  <c r="C340" i="2"/>
  <c r="AD339" i="2"/>
  <c r="AC339" i="2"/>
  <c r="AA339" i="2"/>
  <c r="X339" i="2"/>
  <c r="W339" i="2"/>
  <c r="U339" i="2"/>
  <c r="R339" i="2"/>
  <c r="N339" i="2"/>
  <c r="O339" i="2" s="1"/>
  <c r="L339" i="2"/>
  <c r="H339" i="2"/>
  <c r="I339" i="2" s="1"/>
  <c r="F339" i="2"/>
  <c r="C339" i="2"/>
  <c r="AC338" i="2"/>
  <c r="AD338" i="2" s="1"/>
  <c r="AA338" i="2"/>
  <c r="X338" i="2"/>
  <c r="W338" i="2"/>
  <c r="U338" i="2"/>
  <c r="R338" i="2"/>
  <c r="N338" i="2"/>
  <c r="L338" i="2"/>
  <c r="H338" i="2"/>
  <c r="I338" i="2" s="1"/>
  <c r="F338" i="2"/>
  <c r="C338" i="2"/>
  <c r="AC337" i="2"/>
  <c r="AA337" i="2"/>
  <c r="W337" i="2"/>
  <c r="X337" i="2" s="1"/>
  <c r="U337" i="2"/>
  <c r="R337" i="2"/>
  <c r="N337" i="2"/>
  <c r="L337" i="2"/>
  <c r="H337" i="2"/>
  <c r="I337" i="2" s="1"/>
  <c r="F337" i="2"/>
  <c r="C337" i="2"/>
  <c r="AC335" i="2"/>
  <c r="AD335" i="2" s="1"/>
  <c r="AA335" i="2"/>
  <c r="W335" i="2"/>
  <c r="U335" i="2"/>
  <c r="R335" i="2"/>
  <c r="N335" i="2"/>
  <c r="L335" i="2"/>
  <c r="H335" i="2"/>
  <c r="I335" i="2" s="1"/>
  <c r="F335" i="2"/>
  <c r="C335" i="2"/>
  <c r="AC334" i="2"/>
  <c r="AD334" i="2" s="1"/>
  <c r="AA334" i="2"/>
  <c r="X334" i="2"/>
  <c r="W334" i="2"/>
  <c r="U334" i="2"/>
  <c r="R334" i="2"/>
  <c r="N334" i="2"/>
  <c r="L334" i="2"/>
  <c r="H334" i="2"/>
  <c r="I334" i="2" s="1"/>
  <c r="F334" i="2"/>
  <c r="C334" i="2"/>
  <c r="AC333" i="2"/>
  <c r="AD333" i="2" s="1"/>
  <c r="AA333" i="2"/>
  <c r="W333" i="2"/>
  <c r="X333" i="2" s="1"/>
  <c r="U333" i="2"/>
  <c r="R333" i="2"/>
  <c r="N333" i="2"/>
  <c r="L333" i="2"/>
  <c r="I333" i="2"/>
  <c r="H333" i="2"/>
  <c r="F333" i="2"/>
  <c r="C333" i="2"/>
  <c r="AC332" i="2"/>
  <c r="AA332" i="2"/>
  <c r="W332" i="2"/>
  <c r="X332" i="2" s="1"/>
  <c r="U332" i="2"/>
  <c r="R332" i="2"/>
  <c r="N332" i="2"/>
  <c r="L332" i="2"/>
  <c r="H332" i="2"/>
  <c r="I332" i="2" s="1"/>
  <c r="F332" i="2"/>
  <c r="C332" i="2"/>
  <c r="AD331" i="2"/>
  <c r="AC331" i="2"/>
  <c r="AA331" i="2"/>
  <c r="W331" i="2"/>
  <c r="U331" i="2"/>
  <c r="R331" i="2"/>
  <c r="N331" i="2"/>
  <c r="O331" i="2" s="1"/>
  <c r="L331" i="2"/>
  <c r="H331" i="2"/>
  <c r="I331" i="2" s="1"/>
  <c r="F331" i="2"/>
  <c r="C331" i="2"/>
  <c r="AC330" i="2"/>
  <c r="AD330" i="2" s="1"/>
  <c r="AA330" i="2"/>
  <c r="X330" i="2"/>
  <c r="W330" i="2"/>
  <c r="U330" i="2"/>
  <c r="R330" i="2"/>
  <c r="O330" i="2"/>
  <c r="N330" i="2"/>
  <c r="L330" i="2"/>
  <c r="H330" i="2"/>
  <c r="I330" i="2" s="1"/>
  <c r="F330" i="2"/>
  <c r="C330" i="2"/>
  <c r="AC329" i="2"/>
  <c r="AA329" i="2"/>
  <c r="W329" i="2"/>
  <c r="X329" i="2" s="1"/>
  <c r="U329" i="2"/>
  <c r="R329" i="2"/>
  <c r="N329" i="2"/>
  <c r="L329" i="2"/>
  <c r="H329" i="2"/>
  <c r="I329" i="2" s="1"/>
  <c r="F329" i="2"/>
  <c r="C329" i="2"/>
  <c r="AC328" i="2"/>
  <c r="AD328" i="2" s="1"/>
  <c r="AA328" i="2"/>
  <c r="X328" i="2"/>
  <c r="W328" i="2"/>
  <c r="U328" i="2"/>
  <c r="R328" i="2"/>
  <c r="N328" i="2"/>
  <c r="L328" i="2"/>
  <c r="H328" i="2"/>
  <c r="I328" i="2" s="1"/>
  <c r="F328" i="2"/>
  <c r="C328" i="2"/>
  <c r="AC325" i="2"/>
  <c r="AD325" i="2" s="1"/>
  <c r="Z325" i="2"/>
  <c r="AA325" i="2" s="1"/>
  <c r="T325" i="2"/>
  <c r="U325" i="2" s="1"/>
  <c r="R325" i="2"/>
  <c r="Q325" i="2"/>
  <c r="W325" i="2" s="1"/>
  <c r="X325" i="2" s="1"/>
  <c r="K325" i="2"/>
  <c r="L325" i="2" s="1"/>
  <c r="E325" i="2"/>
  <c r="F325" i="2" s="1"/>
  <c r="B325" i="2"/>
  <c r="C325" i="2" s="1"/>
  <c r="Z324" i="2"/>
  <c r="AA324" i="2" s="1"/>
  <c r="T324" i="2"/>
  <c r="U324" i="2" s="1"/>
  <c r="Q324" i="2"/>
  <c r="R324" i="2" s="1"/>
  <c r="K324" i="2"/>
  <c r="L324" i="2" s="1"/>
  <c r="E324" i="2"/>
  <c r="F324" i="2" s="1"/>
  <c r="B324" i="2"/>
  <c r="H324" i="2" s="1"/>
  <c r="I324" i="2" s="1"/>
  <c r="AD323" i="2"/>
  <c r="AC323" i="2"/>
  <c r="AA323" i="2"/>
  <c r="X323" i="2"/>
  <c r="W323" i="2"/>
  <c r="U323" i="2"/>
  <c r="R323" i="2"/>
  <c r="N323" i="2"/>
  <c r="L323" i="2"/>
  <c r="H323" i="2"/>
  <c r="I323" i="2" s="1"/>
  <c r="F323" i="2"/>
  <c r="C323" i="2"/>
  <c r="AC322" i="2"/>
  <c r="AD322" i="2" s="1"/>
  <c r="AA322" i="2"/>
  <c r="X322" i="2"/>
  <c r="W322" i="2"/>
  <c r="U322" i="2"/>
  <c r="R322" i="2"/>
  <c r="N322" i="2"/>
  <c r="O322" i="2" s="1"/>
  <c r="L322" i="2"/>
  <c r="I322" i="2"/>
  <c r="H322" i="2"/>
  <c r="F322" i="2"/>
  <c r="C322" i="2"/>
  <c r="AC321" i="2"/>
  <c r="AD321" i="2" s="1"/>
  <c r="AA321" i="2"/>
  <c r="W321" i="2"/>
  <c r="X321" i="2" s="1"/>
  <c r="U321" i="2"/>
  <c r="R321" i="2"/>
  <c r="N321" i="2"/>
  <c r="L321" i="2"/>
  <c r="H321" i="2"/>
  <c r="I321" i="2" s="1"/>
  <c r="F321" i="2"/>
  <c r="C321" i="2"/>
  <c r="AC320" i="2"/>
  <c r="AD320" i="2" s="1"/>
  <c r="AA320" i="2"/>
  <c r="W320" i="2"/>
  <c r="X320" i="2" s="1"/>
  <c r="U320" i="2"/>
  <c r="R320" i="2"/>
  <c r="N320" i="2"/>
  <c r="L320" i="2"/>
  <c r="H320" i="2"/>
  <c r="I320" i="2" s="1"/>
  <c r="F320" i="2"/>
  <c r="C320" i="2"/>
  <c r="AC319" i="2"/>
  <c r="AD319" i="2" s="1"/>
  <c r="AA319" i="2"/>
  <c r="X319" i="2"/>
  <c r="W319" i="2"/>
  <c r="U319" i="2"/>
  <c r="R319" i="2"/>
  <c r="O319" i="2"/>
  <c r="N319" i="2"/>
  <c r="L319" i="2"/>
  <c r="H319" i="2"/>
  <c r="I319" i="2" s="1"/>
  <c r="F319" i="2"/>
  <c r="C319" i="2"/>
  <c r="AD318" i="2"/>
  <c r="AC318" i="2"/>
  <c r="AA318" i="2"/>
  <c r="X318" i="2"/>
  <c r="W318" i="2"/>
  <c r="U318" i="2"/>
  <c r="R318" i="2"/>
  <c r="N318" i="2"/>
  <c r="L318" i="2"/>
  <c r="I318" i="2"/>
  <c r="H318" i="2"/>
  <c r="F318" i="2"/>
  <c r="C318" i="2"/>
  <c r="AC317" i="2"/>
  <c r="AD317" i="2" s="1"/>
  <c r="AA317" i="2"/>
  <c r="X317" i="2"/>
  <c r="W317" i="2"/>
  <c r="U317" i="2"/>
  <c r="R317" i="2"/>
  <c r="N317" i="2"/>
  <c r="L317" i="2"/>
  <c r="I317" i="2"/>
  <c r="H317" i="2"/>
  <c r="F317" i="2"/>
  <c r="C317" i="2"/>
  <c r="AC316" i="2"/>
  <c r="AA316" i="2"/>
  <c r="W316" i="2"/>
  <c r="X316" i="2" s="1"/>
  <c r="U316" i="2"/>
  <c r="R316" i="2"/>
  <c r="N316" i="2"/>
  <c r="L316" i="2"/>
  <c r="H316" i="2"/>
  <c r="I316" i="2" s="1"/>
  <c r="F316" i="2"/>
  <c r="C316" i="2"/>
  <c r="AD315" i="2"/>
  <c r="AC315" i="2"/>
  <c r="AA315" i="2"/>
  <c r="X315" i="2"/>
  <c r="W315" i="2"/>
  <c r="U315" i="2"/>
  <c r="R315" i="2"/>
  <c r="N315" i="2"/>
  <c r="L315" i="2"/>
  <c r="H315" i="2"/>
  <c r="I315" i="2" s="1"/>
  <c r="F315" i="2"/>
  <c r="C315" i="2"/>
  <c r="AC314" i="2"/>
  <c r="AD314" i="2" s="1"/>
  <c r="AA314" i="2"/>
  <c r="X314" i="2"/>
  <c r="W314" i="2"/>
  <c r="U314" i="2"/>
  <c r="R314" i="2"/>
  <c r="N314" i="2"/>
  <c r="L314" i="2"/>
  <c r="I314" i="2"/>
  <c r="H314" i="2"/>
  <c r="F314" i="2"/>
  <c r="C314" i="2"/>
  <c r="AC313" i="2"/>
  <c r="AD313" i="2" s="1"/>
  <c r="AA313" i="2"/>
  <c r="W313" i="2"/>
  <c r="X313" i="2" s="1"/>
  <c r="U313" i="2"/>
  <c r="R313" i="2"/>
  <c r="N313" i="2"/>
  <c r="L313" i="2"/>
  <c r="H313" i="2"/>
  <c r="I313" i="2" s="1"/>
  <c r="F313" i="2"/>
  <c r="C313" i="2"/>
  <c r="AC312" i="2"/>
  <c r="AD312" i="2" s="1"/>
  <c r="AA312" i="2"/>
  <c r="W312" i="2"/>
  <c r="X312" i="2" s="1"/>
  <c r="U312" i="2"/>
  <c r="R312" i="2"/>
  <c r="N312" i="2"/>
  <c r="L312" i="2"/>
  <c r="H312" i="2"/>
  <c r="I312" i="2" s="1"/>
  <c r="F312" i="2"/>
  <c r="C312" i="2"/>
  <c r="AC311" i="2"/>
  <c r="AD311" i="2" s="1"/>
  <c r="AA311" i="2"/>
  <c r="X311" i="2"/>
  <c r="W311" i="2"/>
  <c r="U311" i="2"/>
  <c r="R311" i="2"/>
  <c r="N311" i="2"/>
  <c r="L311" i="2"/>
  <c r="H311" i="2"/>
  <c r="I311" i="2" s="1"/>
  <c r="F311" i="2"/>
  <c r="C311" i="2"/>
  <c r="AD310" i="2"/>
  <c r="AC310" i="2"/>
  <c r="AA310" i="2"/>
  <c r="X310" i="2"/>
  <c r="W310" i="2"/>
  <c r="U310" i="2"/>
  <c r="R310" i="2"/>
  <c r="N310" i="2"/>
  <c r="L310" i="2"/>
  <c r="I310" i="2"/>
  <c r="H310" i="2"/>
  <c r="F310" i="2"/>
  <c r="C310" i="2"/>
  <c r="AC309" i="2"/>
  <c r="AD309" i="2" s="1"/>
  <c r="AA309" i="2"/>
  <c r="X309" i="2"/>
  <c r="W309" i="2"/>
  <c r="U309" i="2"/>
  <c r="R309" i="2"/>
  <c r="N309" i="2"/>
  <c r="L309" i="2"/>
  <c r="I309" i="2"/>
  <c r="H309" i="2"/>
  <c r="F309" i="2"/>
  <c r="C309" i="2"/>
  <c r="AC308" i="2"/>
  <c r="AA308" i="2"/>
  <c r="W308" i="2"/>
  <c r="X308" i="2" s="1"/>
  <c r="U308" i="2"/>
  <c r="R308" i="2"/>
  <c r="N308" i="2"/>
  <c r="L308" i="2"/>
  <c r="H308" i="2"/>
  <c r="I308" i="2" s="1"/>
  <c r="F308" i="2"/>
  <c r="C308" i="2"/>
  <c r="AD307" i="2"/>
  <c r="AC307" i="2"/>
  <c r="AA307" i="2"/>
  <c r="X307" i="2"/>
  <c r="W307" i="2"/>
  <c r="U307" i="2"/>
  <c r="R307" i="2"/>
  <c r="N307" i="2"/>
  <c r="L307" i="2"/>
  <c r="H307" i="2"/>
  <c r="I307" i="2" s="1"/>
  <c r="F307" i="2"/>
  <c r="C307" i="2"/>
  <c r="AC306" i="2"/>
  <c r="AD306" i="2" s="1"/>
  <c r="AA306" i="2"/>
  <c r="X306" i="2"/>
  <c r="W306" i="2"/>
  <c r="U306" i="2"/>
  <c r="R306" i="2"/>
  <c r="N306" i="2"/>
  <c r="L306" i="2"/>
  <c r="I306" i="2"/>
  <c r="H306" i="2"/>
  <c r="F306" i="2"/>
  <c r="C306" i="2"/>
  <c r="AC305" i="2"/>
  <c r="AD305" i="2" s="1"/>
  <c r="AA305" i="2"/>
  <c r="W305" i="2"/>
  <c r="X305" i="2" s="1"/>
  <c r="U305" i="2"/>
  <c r="R305" i="2"/>
  <c r="N305" i="2"/>
  <c r="L305" i="2"/>
  <c r="H305" i="2"/>
  <c r="I305" i="2" s="1"/>
  <c r="F305" i="2"/>
  <c r="C305" i="2"/>
  <c r="AC304" i="2"/>
  <c r="AD304" i="2" s="1"/>
  <c r="AA304" i="2"/>
  <c r="W304" i="2"/>
  <c r="X304" i="2" s="1"/>
  <c r="U304" i="2"/>
  <c r="R304" i="2"/>
  <c r="N304" i="2"/>
  <c r="L304" i="2"/>
  <c r="H304" i="2"/>
  <c r="I304" i="2" s="1"/>
  <c r="F304" i="2"/>
  <c r="C304" i="2"/>
  <c r="AC303" i="2"/>
  <c r="AD303" i="2" s="1"/>
  <c r="AA303" i="2"/>
  <c r="X303" i="2"/>
  <c r="W303" i="2"/>
  <c r="U303" i="2"/>
  <c r="R303" i="2"/>
  <c r="N303" i="2"/>
  <c r="L303" i="2"/>
  <c r="H303" i="2"/>
  <c r="I303" i="2" s="1"/>
  <c r="F303" i="2"/>
  <c r="C303" i="2"/>
  <c r="AD302" i="2"/>
  <c r="AC302" i="2"/>
  <c r="AA302" i="2"/>
  <c r="X302" i="2"/>
  <c r="W302" i="2"/>
  <c r="U302" i="2"/>
  <c r="R302" i="2"/>
  <c r="N302" i="2"/>
  <c r="L302" i="2"/>
  <c r="I302" i="2"/>
  <c r="H302" i="2"/>
  <c r="F302" i="2"/>
  <c r="C302" i="2"/>
  <c r="AC301" i="2"/>
  <c r="AD301" i="2" s="1"/>
  <c r="AA301" i="2"/>
  <c r="X301" i="2"/>
  <c r="W301" i="2"/>
  <c r="U301" i="2"/>
  <c r="R301" i="2"/>
  <c r="N301" i="2"/>
  <c r="L301" i="2"/>
  <c r="I301" i="2"/>
  <c r="H301" i="2"/>
  <c r="F301" i="2"/>
  <c r="C301" i="2"/>
  <c r="AC300" i="2"/>
  <c r="AA300" i="2"/>
  <c r="W300" i="2"/>
  <c r="X300" i="2" s="1"/>
  <c r="U300" i="2"/>
  <c r="R300" i="2"/>
  <c r="N300" i="2"/>
  <c r="L300" i="2"/>
  <c r="H300" i="2"/>
  <c r="I300" i="2" s="1"/>
  <c r="F300" i="2"/>
  <c r="C300" i="2"/>
  <c r="AD299" i="2"/>
  <c r="AC299" i="2"/>
  <c r="AA299" i="2"/>
  <c r="X299" i="2"/>
  <c r="W299" i="2"/>
  <c r="U299" i="2"/>
  <c r="R299" i="2"/>
  <c r="N299" i="2"/>
  <c r="L299" i="2"/>
  <c r="H299" i="2"/>
  <c r="I299" i="2" s="1"/>
  <c r="F299" i="2"/>
  <c r="C299" i="2"/>
  <c r="AC298" i="2"/>
  <c r="AD298" i="2" s="1"/>
  <c r="AA298" i="2"/>
  <c r="X298" i="2"/>
  <c r="W298" i="2"/>
  <c r="U298" i="2"/>
  <c r="R298" i="2"/>
  <c r="N298" i="2"/>
  <c r="O298" i="2" s="1"/>
  <c r="L298" i="2"/>
  <c r="I298" i="2"/>
  <c r="H298" i="2"/>
  <c r="F298" i="2"/>
  <c r="C298" i="2"/>
  <c r="AC297" i="2"/>
  <c r="AD297" i="2" s="1"/>
  <c r="AA297" i="2"/>
  <c r="W297" i="2"/>
  <c r="X297" i="2" s="1"/>
  <c r="U297" i="2"/>
  <c r="R297" i="2"/>
  <c r="N297" i="2"/>
  <c r="L297" i="2"/>
  <c r="H297" i="2"/>
  <c r="I297" i="2" s="1"/>
  <c r="F297" i="2"/>
  <c r="C297" i="2"/>
  <c r="AC295" i="2"/>
  <c r="AD295" i="2" s="1"/>
  <c r="Z295" i="2"/>
  <c r="AA295" i="2" s="1"/>
  <c r="W295" i="2"/>
  <c r="X295" i="2" s="1"/>
  <c r="T295" i="2"/>
  <c r="U295" i="2" s="1"/>
  <c r="Q295" i="2"/>
  <c r="R295" i="2" s="1"/>
  <c r="N295" i="2"/>
  <c r="L295" i="2"/>
  <c r="K295" i="2"/>
  <c r="H295" i="2"/>
  <c r="I295" i="2" s="1"/>
  <c r="E295" i="2"/>
  <c r="F295" i="2" s="1"/>
  <c r="B295" i="2"/>
  <c r="C295" i="2" s="1"/>
  <c r="AC294" i="2"/>
  <c r="AD294" i="2" s="1"/>
  <c r="AA294" i="2"/>
  <c r="X294" i="2"/>
  <c r="W294" i="2"/>
  <c r="U294" i="2"/>
  <c r="R294" i="2"/>
  <c r="N294" i="2"/>
  <c r="O294" i="2" s="1"/>
  <c r="L294" i="2"/>
  <c r="I294" i="2"/>
  <c r="H294" i="2"/>
  <c r="F294" i="2"/>
  <c r="C294" i="2"/>
  <c r="AC293" i="2"/>
  <c r="AA293" i="2"/>
  <c r="W293" i="2"/>
  <c r="X293" i="2" s="1"/>
  <c r="U293" i="2"/>
  <c r="R293" i="2"/>
  <c r="N293" i="2"/>
  <c r="L293" i="2"/>
  <c r="H293" i="2"/>
  <c r="I293" i="2" s="1"/>
  <c r="F293" i="2"/>
  <c r="C293" i="2"/>
  <c r="AC292" i="2"/>
  <c r="AD292" i="2" s="1"/>
  <c r="AA292" i="2"/>
  <c r="X292" i="2"/>
  <c r="W292" i="2"/>
  <c r="U292" i="2"/>
  <c r="R292" i="2"/>
  <c r="N292" i="2"/>
  <c r="L292" i="2"/>
  <c r="H292" i="2"/>
  <c r="I292" i="2" s="1"/>
  <c r="F292" i="2"/>
  <c r="C292" i="2"/>
  <c r="AC291" i="2"/>
  <c r="AD291" i="2" s="1"/>
  <c r="AA291" i="2"/>
  <c r="X291" i="2"/>
  <c r="W291" i="2"/>
  <c r="U291" i="2"/>
  <c r="R291" i="2"/>
  <c r="N291" i="2"/>
  <c r="L291" i="2"/>
  <c r="H291" i="2"/>
  <c r="I291" i="2" s="1"/>
  <c r="F291" i="2"/>
  <c r="C291" i="2"/>
  <c r="AC290" i="2"/>
  <c r="AD290" i="2" s="1"/>
  <c r="AA290" i="2"/>
  <c r="X290" i="2"/>
  <c r="W290" i="2"/>
  <c r="U290" i="2"/>
  <c r="R290" i="2"/>
  <c r="N290" i="2"/>
  <c r="L290" i="2"/>
  <c r="H290" i="2"/>
  <c r="I290" i="2" s="1"/>
  <c r="F290" i="2"/>
  <c r="C290" i="2"/>
  <c r="AC289" i="2"/>
  <c r="AD289" i="2" s="1"/>
  <c r="AA289" i="2"/>
  <c r="W289" i="2"/>
  <c r="X289" i="2" s="1"/>
  <c r="U289" i="2"/>
  <c r="R289" i="2"/>
  <c r="N289" i="2"/>
  <c r="L289" i="2"/>
  <c r="I289" i="2"/>
  <c r="H289" i="2"/>
  <c r="F289" i="2"/>
  <c r="C289" i="2"/>
  <c r="AC288" i="2"/>
  <c r="AA288" i="2"/>
  <c r="X288" i="2"/>
  <c r="W288" i="2"/>
  <c r="U288" i="2"/>
  <c r="R288" i="2"/>
  <c r="N288" i="2"/>
  <c r="L288" i="2"/>
  <c r="H288" i="2"/>
  <c r="I288" i="2" s="1"/>
  <c r="F288" i="2"/>
  <c r="C288" i="2"/>
  <c r="AD287" i="2"/>
  <c r="AC287" i="2"/>
  <c r="AA287" i="2"/>
  <c r="X287" i="2"/>
  <c r="W287" i="2"/>
  <c r="U287" i="2"/>
  <c r="R287" i="2"/>
  <c r="N287" i="2"/>
  <c r="L287" i="2"/>
  <c r="H287" i="2"/>
  <c r="I287" i="2" s="1"/>
  <c r="F287" i="2"/>
  <c r="C287" i="2"/>
  <c r="AC286" i="2"/>
  <c r="AD286" i="2" s="1"/>
  <c r="AA286" i="2"/>
  <c r="X286" i="2"/>
  <c r="W286" i="2"/>
  <c r="U286" i="2"/>
  <c r="R286" i="2"/>
  <c r="N286" i="2"/>
  <c r="L286" i="2"/>
  <c r="I286" i="2"/>
  <c r="H286" i="2"/>
  <c r="F286" i="2"/>
  <c r="C286" i="2"/>
  <c r="Z284" i="2"/>
  <c r="AA284" i="2" s="1"/>
  <c r="X284" i="2"/>
  <c r="W284" i="2"/>
  <c r="T284" i="2"/>
  <c r="U284" i="2" s="1"/>
  <c r="Q284" i="2"/>
  <c r="R284" i="2" s="1"/>
  <c r="K284" i="2"/>
  <c r="L284" i="2" s="1"/>
  <c r="H284" i="2"/>
  <c r="I284" i="2" s="1"/>
  <c r="E284" i="2"/>
  <c r="F284" i="2" s="1"/>
  <c r="C284" i="2"/>
  <c r="B284" i="2"/>
  <c r="N284" i="2" s="1"/>
  <c r="O284" i="2" s="1"/>
  <c r="AD283" i="2"/>
  <c r="AC283" i="2"/>
  <c r="AA283" i="2"/>
  <c r="X283" i="2"/>
  <c r="W283" i="2"/>
  <c r="U283" i="2"/>
  <c r="R283" i="2"/>
  <c r="N283" i="2"/>
  <c r="L283" i="2"/>
  <c r="H283" i="2"/>
  <c r="I283" i="2" s="1"/>
  <c r="F283" i="2"/>
  <c r="C283" i="2"/>
  <c r="AD282" i="2"/>
  <c r="AC282" i="2"/>
  <c r="AA282" i="2"/>
  <c r="X282" i="2"/>
  <c r="W282" i="2"/>
  <c r="U282" i="2"/>
  <c r="R282" i="2"/>
  <c r="N282" i="2"/>
  <c r="L282" i="2"/>
  <c r="H282" i="2"/>
  <c r="I282" i="2" s="1"/>
  <c r="F282" i="2"/>
  <c r="C282" i="2"/>
  <c r="AC281" i="2"/>
  <c r="AD281" i="2" s="1"/>
  <c r="AA281" i="2"/>
  <c r="X281" i="2"/>
  <c r="W281" i="2"/>
  <c r="U281" i="2"/>
  <c r="R281" i="2"/>
  <c r="N281" i="2"/>
  <c r="L281" i="2"/>
  <c r="I281" i="2"/>
  <c r="H281" i="2"/>
  <c r="F281" i="2"/>
  <c r="C281" i="2"/>
  <c r="AC280" i="2"/>
  <c r="AD280" i="2" s="1"/>
  <c r="AA280" i="2"/>
  <c r="W280" i="2"/>
  <c r="X280" i="2" s="1"/>
  <c r="U280" i="2"/>
  <c r="R280" i="2"/>
  <c r="N280" i="2"/>
  <c r="L280" i="2"/>
  <c r="H280" i="2"/>
  <c r="I280" i="2" s="1"/>
  <c r="F280" i="2"/>
  <c r="C280" i="2"/>
  <c r="AD279" i="2"/>
  <c r="AC279" i="2"/>
  <c r="AA279" i="2"/>
  <c r="X279" i="2"/>
  <c r="W279" i="2"/>
  <c r="U279" i="2"/>
  <c r="R279" i="2"/>
  <c r="N279" i="2"/>
  <c r="O279" i="2" s="1"/>
  <c r="L279" i="2"/>
  <c r="H279" i="2"/>
  <c r="I279" i="2" s="1"/>
  <c r="F279" i="2"/>
  <c r="C279" i="2"/>
  <c r="AC278" i="2"/>
  <c r="AD278" i="2" s="1"/>
  <c r="AA278" i="2"/>
  <c r="X278" i="2"/>
  <c r="W278" i="2"/>
  <c r="U278" i="2"/>
  <c r="R278" i="2"/>
  <c r="O278" i="2"/>
  <c r="N278" i="2"/>
  <c r="L278" i="2"/>
  <c r="H278" i="2"/>
  <c r="I278" i="2" s="1"/>
  <c r="F278" i="2"/>
  <c r="C278" i="2"/>
  <c r="AC277" i="2"/>
  <c r="AA277" i="2"/>
  <c r="W277" i="2"/>
  <c r="X277" i="2" s="1"/>
  <c r="U277" i="2"/>
  <c r="R277" i="2"/>
  <c r="N277" i="2"/>
  <c r="L277" i="2"/>
  <c r="I277" i="2"/>
  <c r="H277" i="2"/>
  <c r="F277" i="2"/>
  <c r="C277" i="2"/>
  <c r="AC276" i="2"/>
  <c r="AD276" i="2" s="1"/>
  <c r="AA276" i="2"/>
  <c r="X276" i="2"/>
  <c r="W276" i="2"/>
  <c r="U276" i="2"/>
  <c r="R276" i="2"/>
  <c r="N276" i="2"/>
  <c r="L276" i="2"/>
  <c r="H276" i="2"/>
  <c r="I276" i="2" s="1"/>
  <c r="F276" i="2"/>
  <c r="C276" i="2"/>
  <c r="AD275" i="2"/>
  <c r="AC275" i="2"/>
  <c r="AA275" i="2"/>
  <c r="X275" i="2"/>
  <c r="W275" i="2"/>
  <c r="U275" i="2"/>
  <c r="R275" i="2"/>
  <c r="N275" i="2"/>
  <c r="O275" i="2" s="1"/>
  <c r="L275" i="2"/>
  <c r="H275" i="2"/>
  <c r="I275" i="2" s="1"/>
  <c r="F275" i="2"/>
  <c r="C275" i="2"/>
  <c r="Z273" i="2"/>
  <c r="AA273" i="2" s="1"/>
  <c r="T273" i="2"/>
  <c r="U273" i="2" s="1"/>
  <c r="Q273" i="2"/>
  <c r="K273" i="2"/>
  <c r="L273" i="2" s="1"/>
  <c r="H273" i="2"/>
  <c r="I273" i="2" s="1"/>
  <c r="E273" i="2"/>
  <c r="F273" i="2" s="1"/>
  <c r="B273" i="2"/>
  <c r="AC272" i="2"/>
  <c r="AD272" i="2" s="1"/>
  <c r="AA272" i="2"/>
  <c r="W272" i="2"/>
  <c r="X272" i="2" s="1"/>
  <c r="U272" i="2"/>
  <c r="R272" i="2"/>
  <c r="N272" i="2"/>
  <c r="L272" i="2"/>
  <c r="H272" i="2"/>
  <c r="I272" i="2" s="1"/>
  <c r="F272" i="2"/>
  <c r="C272" i="2"/>
  <c r="AC271" i="2"/>
  <c r="AD271" i="2" s="1"/>
  <c r="AA271" i="2"/>
  <c r="X271" i="2"/>
  <c r="W271" i="2"/>
  <c r="U271" i="2"/>
  <c r="R271" i="2"/>
  <c r="N271" i="2"/>
  <c r="L271" i="2"/>
  <c r="H271" i="2"/>
  <c r="I271" i="2" s="1"/>
  <c r="F271" i="2"/>
  <c r="C271" i="2"/>
  <c r="AD270" i="2"/>
  <c r="AC270" i="2"/>
  <c r="AA270" i="2"/>
  <c r="X270" i="2"/>
  <c r="W270" i="2"/>
  <c r="U270" i="2"/>
  <c r="R270" i="2"/>
  <c r="N270" i="2"/>
  <c r="L270" i="2"/>
  <c r="I270" i="2"/>
  <c r="H270" i="2"/>
  <c r="F270" i="2"/>
  <c r="C270" i="2"/>
  <c r="AC269" i="2"/>
  <c r="AD269" i="2" s="1"/>
  <c r="AA269" i="2"/>
  <c r="X269" i="2"/>
  <c r="W269" i="2"/>
  <c r="U269" i="2"/>
  <c r="R269" i="2"/>
  <c r="N269" i="2"/>
  <c r="L269" i="2"/>
  <c r="I269" i="2"/>
  <c r="H269" i="2"/>
  <c r="F269" i="2"/>
  <c r="C269" i="2"/>
  <c r="Z267" i="2"/>
  <c r="AA267" i="2" s="1"/>
  <c r="W267" i="2"/>
  <c r="X267" i="2" s="1"/>
  <c r="U267" i="2"/>
  <c r="T267" i="2"/>
  <c r="Q267" i="2"/>
  <c r="R267" i="2" s="1"/>
  <c r="N267" i="2"/>
  <c r="O267" i="2" s="1"/>
  <c r="K267" i="2"/>
  <c r="L267" i="2" s="1"/>
  <c r="H267" i="2"/>
  <c r="I267" i="2" s="1"/>
  <c r="E267" i="2"/>
  <c r="F267" i="2" s="1"/>
  <c r="B267" i="2"/>
  <c r="C267" i="2" s="1"/>
  <c r="AC266" i="2"/>
  <c r="AD266" i="2" s="1"/>
  <c r="AA266" i="2"/>
  <c r="X266" i="2"/>
  <c r="W266" i="2"/>
  <c r="U266" i="2"/>
  <c r="R266" i="2"/>
  <c r="N266" i="2"/>
  <c r="L266" i="2"/>
  <c r="H266" i="2"/>
  <c r="I266" i="2" s="1"/>
  <c r="F266" i="2"/>
  <c r="C266" i="2"/>
  <c r="AC265" i="2"/>
  <c r="AD265" i="2" s="1"/>
  <c r="AA265" i="2"/>
  <c r="W265" i="2"/>
  <c r="X265" i="2" s="1"/>
  <c r="U265" i="2"/>
  <c r="R265" i="2"/>
  <c r="N265" i="2"/>
  <c r="L265" i="2"/>
  <c r="I265" i="2"/>
  <c r="H265" i="2"/>
  <c r="F265" i="2"/>
  <c r="C265" i="2"/>
  <c r="Z263" i="2"/>
  <c r="AA263" i="2" s="1"/>
  <c r="U263" i="2"/>
  <c r="T263" i="2"/>
  <c r="Q263" i="2"/>
  <c r="K263" i="2"/>
  <c r="L263" i="2" s="1"/>
  <c r="I263" i="2"/>
  <c r="H263" i="2"/>
  <c r="E263" i="2"/>
  <c r="F263" i="2" s="1"/>
  <c r="B263" i="2"/>
  <c r="C263" i="2" s="1"/>
  <c r="Z262" i="2"/>
  <c r="AA262" i="2" s="1"/>
  <c r="W262" i="2"/>
  <c r="X262" i="2" s="1"/>
  <c r="T262" i="2"/>
  <c r="U262" i="2" s="1"/>
  <c r="R262" i="2"/>
  <c r="Q262" i="2"/>
  <c r="AC262" i="2" s="1"/>
  <c r="AD262" i="2" s="1"/>
  <c r="K262" i="2"/>
  <c r="L262" i="2" s="1"/>
  <c r="F262" i="2"/>
  <c r="E262" i="2"/>
  <c r="H262" i="2" s="1"/>
  <c r="I262" i="2" s="1"/>
  <c r="C262" i="2"/>
  <c r="B262" i="2"/>
  <c r="N262" i="2" s="1"/>
  <c r="O262" i="2" s="1"/>
  <c r="AC261" i="2"/>
  <c r="AD261" i="2" s="1"/>
  <c r="AA261" i="2"/>
  <c r="W261" i="2"/>
  <c r="X261" i="2" s="1"/>
  <c r="U261" i="2"/>
  <c r="R261" i="2"/>
  <c r="N261" i="2"/>
  <c r="L261" i="2"/>
  <c r="H261" i="2"/>
  <c r="I261" i="2" s="1"/>
  <c r="F261" i="2"/>
  <c r="C261" i="2"/>
  <c r="AD260" i="2"/>
  <c r="AC260" i="2"/>
  <c r="AA260" i="2"/>
  <c r="X260" i="2"/>
  <c r="W260" i="2"/>
  <c r="U260" i="2"/>
  <c r="R260" i="2"/>
  <c r="N260" i="2"/>
  <c r="O260" i="2" s="1"/>
  <c r="L260" i="2"/>
  <c r="H260" i="2"/>
  <c r="I260" i="2" s="1"/>
  <c r="F260" i="2"/>
  <c r="C260" i="2"/>
  <c r="AC259" i="2"/>
  <c r="AD259" i="2" s="1"/>
  <c r="AA259" i="2"/>
  <c r="X259" i="2"/>
  <c r="W259" i="2"/>
  <c r="U259" i="2"/>
  <c r="R259" i="2"/>
  <c r="O259" i="2"/>
  <c r="N259" i="2"/>
  <c r="L259" i="2"/>
  <c r="H259" i="2"/>
  <c r="I259" i="2" s="1"/>
  <c r="F259" i="2"/>
  <c r="C259" i="2"/>
  <c r="AC258" i="2"/>
  <c r="AA258" i="2"/>
  <c r="W258" i="2"/>
  <c r="X258" i="2" s="1"/>
  <c r="U258" i="2"/>
  <c r="R258" i="2"/>
  <c r="N258" i="2"/>
  <c r="L258" i="2"/>
  <c r="I258" i="2"/>
  <c r="H258" i="2"/>
  <c r="F258" i="2"/>
  <c r="C258" i="2"/>
  <c r="AC257" i="2"/>
  <c r="AD257" i="2" s="1"/>
  <c r="AA257" i="2"/>
  <c r="X257" i="2"/>
  <c r="W257" i="2"/>
  <c r="U257" i="2"/>
  <c r="R257" i="2"/>
  <c r="N257" i="2"/>
  <c r="L257" i="2"/>
  <c r="H257" i="2"/>
  <c r="I257" i="2" s="1"/>
  <c r="F257" i="2"/>
  <c r="C257" i="2"/>
  <c r="AD256" i="2"/>
  <c r="AC256" i="2"/>
  <c r="AA256" i="2"/>
  <c r="X256" i="2"/>
  <c r="W256" i="2"/>
  <c r="U256" i="2"/>
  <c r="R256" i="2"/>
  <c r="N256" i="2"/>
  <c r="O256" i="2" s="1"/>
  <c r="L256" i="2"/>
  <c r="H256" i="2"/>
  <c r="I256" i="2" s="1"/>
  <c r="F256" i="2"/>
  <c r="C256" i="2"/>
  <c r="AD255" i="2"/>
  <c r="AC255" i="2"/>
  <c r="AA255" i="2"/>
  <c r="X255" i="2"/>
  <c r="W255" i="2"/>
  <c r="U255" i="2"/>
  <c r="R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N254" i="2"/>
  <c r="L254" i="2"/>
  <c r="I254" i="2"/>
  <c r="H254" i="2"/>
  <c r="F254" i="2"/>
  <c r="C254" i="2"/>
  <c r="AC253" i="2"/>
  <c r="AD253" i="2" s="1"/>
  <c r="AA253" i="2"/>
  <c r="W253" i="2"/>
  <c r="X253" i="2" s="1"/>
  <c r="U253" i="2"/>
  <c r="R253" i="2"/>
  <c r="N253" i="2"/>
  <c r="L253" i="2"/>
  <c r="H253" i="2"/>
  <c r="I253" i="2" s="1"/>
  <c r="F253" i="2"/>
  <c r="C253" i="2"/>
  <c r="AD252" i="2"/>
  <c r="AC252" i="2"/>
  <c r="AA252" i="2"/>
  <c r="X252" i="2"/>
  <c r="W252" i="2"/>
  <c r="U252" i="2"/>
  <c r="R252" i="2"/>
  <c r="N252" i="2"/>
  <c r="L252" i="2"/>
  <c r="H252" i="2"/>
  <c r="I252" i="2" s="1"/>
  <c r="F252" i="2"/>
  <c r="C252" i="2"/>
  <c r="AD251" i="2"/>
  <c r="AC251" i="2"/>
  <c r="AA251" i="2"/>
  <c r="X251" i="2"/>
  <c r="W251" i="2"/>
  <c r="U251" i="2"/>
  <c r="R251" i="2"/>
  <c r="N251" i="2"/>
  <c r="L251" i="2"/>
  <c r="H251" i="2"/>
  <c r="I251" i="2" s="1"/>
  <c r="F251" i="2"/>
  <c r="C251" i="2"/>
  <c r="AC250" i="2"/>
  <c r="AA250" i="2"/>
  <c r="X250" i="2"/>
  <c r="W250" i="2"/>
  <c r="U250" i="2"/>
  <c r="R250" i="2"/>
  <c r="N250" i="2"/>
  <c r="L250" i="2"/>
  <c r="I250" i="2"/>
  <c r="H250" i="2"/>
  <c r="F250" i="2"/>
  <c r="C250" i="2"/>
  <c r="AC249" i="2"/>
  <c r="AD249" i="2" s="1"/>
  <c r="AA249" i="2"/>
  <c r="X249" i="2"/>
  <c r="W249" i="2"/>
  <c r="U249" i="2"/>
  <c r="R249" i="2"/>
  <c r="N249" i="2"/>
  <c r="L249" i="2"/>
  <c r="H249" i="2"/>
  <c r="I249" i="2" s="1"/>
  <c r="F249" i="2"/>
  <c r="C249" i="2"/>
  <c r="AD248" i="2"/>
  <c r="AC248" i="2"/>
  <c r="AA248" i="2"/>
  <c r="X248" i="2"/>
  <c r="W248" i="2"/>
  <c r="U248" i="2"/>
  <c r="R248" i="2"/>
  <c r="N248" i="2"/>
  <c r="O248" i="2" s="1"/>
  <c r="L248" i="2"/>
  <c r="H248" i="2"/>
  <c r="I248" i="2" s="1"/>
  <c r="F248" i="2"/>
  <c r="C248" i="2"/>
  <c r="AD247" i="2"/>
  <c r="AC247" i="2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C246" i="2"/>
  <c r="AD246" i="2" s="1"/>
  <c r="AA246" i="2"/>
  <c r="W246" i="2"/>
  <c r="X246" i="2" s="1"/>
  <c r="U246" i="2"/>
  <c r="R246" i="2"/>
  <c r="N246" i="2"/>
  <c r="L246" i="2"/>
  <c r="I246" i="2"/>
  <c r="H246" i="2"/>
  <c r="F246" i="2"/>
  <c r="C246" i="2"/>
  <c r="AC245" i="2"/>
  <c r="AD245" i="2" s="1"/>
  <c r="AA245" i="2"/>
  <c r="W245" i="2"/>
  <c r="X245" i="2" s="1"/>
  <c r="U245" i="2"/>
  <c r="R245" i="2"/>
  <c r="N245" i="2"/>
  <c r="L245" i="2"/>
  <c r="H245" i="2"/>
  <c r="I245" i="2" s="1"/>
  <c r="F245" i="2"/>
  <c r="C245" i="2"/>
  <c r="AC244" i="2"/>
  <c r="AD244" i="2" s="1"/>
  <c r="AA244" i="2"/>
  <c r="X244" i="2"/>
  <c r="W244" i="2"/>
  <c r="U244" i="2"/>
  <c r="R244" i="2"/>
  <c r="O244" i="2"/>
  <c r="N244" i="2"/>
  <c r="L244" i="2"/>
  <c r="H244" i="2"/>
  <c r="I244" i="2" s="1"/>
  <c r="F244" i="2"/>
  <c r="C244" i="2"/>
  <c r="AD243" i="2"/>
  <c r="AC243" i="2"/>
  <c r="AA243" i="2"/>
  <c r="X243" i="2"/>
  <c r="W243" i="2"/>
  <c r="U243" i="2"/>
  <c r="R243" i="2"/>
  <c r="O243" i="2"/>
  <c r="N243" i="2"/>
  <c r="L243" i="2"/>
  <c r="I243" i="2"/>
  <c r="H243" i="2"/>
  <c r="F243" i="2"/>
  <c r="C243" i="2"/>
  <c r="AC242" i="2"/>
  <c r="AA242" i="2"/>
  <c r="X242" i="2"/>
  <c r="W242" i="2"/>
  <c r="U242" i="2"/>
  <c r="R242" i="2"/>
  <c r="O242" i="2"/>
  <c r="N242" i="2"/>
  <c r="L242" i="2"/>
  <c r="I242" i="2"/>
  <c r="H242" i="2"/>
  <c r="F242" i="2"/>
  <c r="C242" i="2"/>
  <c r="AC241" i="2"/>
  <c r="AD241" i="2" s="1"/>
  <c r="AA241" i="2"/>
  <c r="X241" i="2"/>
  <c r="W241" i="2"/>
  <c r="U241" i="2"/>
  <c r="R241" i="2"/>
  <c r="N241" i="2"/>
  <c r="L241" i="2"/>
  <c r="H241" i="2"/>
  <c r="I241" i="2" s="1"/>
  <c r="F241" i="2"/>
  <c r="C241" i="2"/>
  <c r="AD240" i="2"/>
  <c r="AC240" i="2"/>
  <c r="AA240" i="2"/>
  <c r="X240" i="2"/>
  <c r="W240" i="2"/>
  <c r="U240" i="2"/>
  <c r="R240" i="2"/>
  <c r="N240" i="2"/>
  <c r="L240" i="2"/>
  <c r="H240" i="2"/>
  <c r="I240" i="2" s="1"/>
  <c r="F240" i="2"/>
  <c r="C240" i="2"/>
  <c r="AD238" i="2"/>
  <c r="AC238" i="2"/>
  <c r="AA238" i="2"/>
  <c r="X238" i="2"/>
  <c r="W238" i="2"/>
  <c r="U238" i="2"/>
  <c r="R238" i="2"/>
  <c r="N238" i="2"/>
  <c r="O238" i="2" s="1"/>
  <c r="L238" i="2"/>
  <c r="H238" i="2"/>
  <c r="I238" i="2" s="1"/>
  <c r="F238" i="2"/>
  <c r="C238" i="2"/>
  <c r="AC236" i="2"/>
  <c r="AD236" i="2" s="1"/>
  <c r="AA236" i="2"/>
  <c r="Z236" i="2"/>
  <c r="T236" i="2"/>
  <c r="U236" i="2" s="1"/>
  <c r="Q236" i="2"/>
  <c r="R236" i="2" s="1"/>
  <c r="K236" i="2"/>
  <c r="H236" i="2"/>
  <c r="I236" i="2" s="1"/>
  <c r="E236" i="2"/>
  <c r="F236" i="2" s="1"/>
  <c r="C236" i="2"/>
  <c r="B236" i="2"/>
  <c r="AC235" i="2"/>
  <c r="AD235" i="2" s="1"/>
  <c r="AA235" i="2"/>
  <c r="X235" i="2"/>
  <c r="W235" i="2"/>
  <c r="U235" i="2"/>
  <c r="R235" i="2"/>
  <c r="N235" i="2"/>
  <c r="L235" i="2"/>
  <c r="H235" i="2"/>
  <c r="I235" i="2" s="1"/>
  <c r="F235" i="2"/>
  <c r="C235" i="2"/>
  <c r="AC234" i="2"/>
  <c r="AD234" i="2" s="1"/>
  <c r="AA234" i="2"/>
  <c r="X234" i="2"/>
  <c r="W234" i="2"/>
  <c r="U234" i="2"/>
  <c r="R234" i="2"/>
  <c r="N234" i="2"/>
  <c r="L234" i="2"/>
  <c r="I234" i="2"/>
  <c r="H234" i="2"/>
  <c r="F234" i="2"/>
  <c r="C234" i="2"/>
  <c r="AC233" i="2"/>
  <c r="AD233" i="2" s="1"/>
  <c r="AA233" i="2"/>
  <c r="W233" i="2"/>
  <c r="X233" i="2" s="1"/>
  <c r="U233" i="2"/>
  <c r="R233" i="2"/>
  <c r="N233" i="2"/>
  <c r="L233" i="2"/>
  <c r="I233" i="2"/>
  <c r="H233" i="2"/>
  <c r="F233" i="2"/>
  <c r="C233" i="2"/>
  <c r="AC232" i="2"/>
  <c r="AA232" i="2"/>
  <c r="W232" i="2"/>
  <c r="X232" i="2" s="1"/>
  <c r="U232" i="2"/>
  <c r="R232" i="2"/>
  <c r="N232" i="2"/>
  <c r="L232" i="2"/>
  <c r="H232" i="2"/>
  <c r="I232" i="2" s="1"/>
  <c r="F232" i="2"/>
  <c r="C232" i="2"/>
  <c r="AD231" i="2"/>
  <c r="AC231" i="2"/>
  <c r="AA231" i="2"/>
  <c r="X231" i="2"/>
  <c r="W231" i="2"/>
  <c r="U231" i="2"/>
  <c r="R231" i="2"/>
  <c r="N231" i="2"/>
  <c r="O231" i="2" s="1"/>
  <c r="L231" i="2"/>
  <c r="H231" i="2"/>
  <c r="I231" i="2" s="1"/>
  <c r="F231" i="2"/>
  <c r="C231" i="2"/>
  <c r="AC230" i="2"/>
  <c r="AD230" i="2" s="1"/>
  <c r="AA230" i="2"/>
  <c r="X230" i="2"/>
  <c r="W230" i="2"/>
  <c r="U230" i="2"/>
  <c r="R230" i="2"/>
  <c r="N230" i="2"/>
  <c r="L230" i="2"/>
  <c r="H230" i="2"/>
  <c r="I230" i="2" s="1"/>
  <c r="F230" i="2"/>
  <c r="C230" i="2"/>
  <c r="AC229" i="2"/>
  <c r="AD229" i="2" s="1"/>
  <c r="AA229" i="2"/>
  <c r="X229" i="2"/>
  <c r="W229" i="2"/>
  <c r="U229" i="2"/>
  <c r="R229" i="2"/>
  <c r="N229" i="2"/>
  <c r="L229" i="2"/>
  <c r="H229" i="2"/>
  <c r="I229" i="2" s="1"/>
  <c r="F229" i="2"/>
  <c r="C229" i="2"/>
  <c r="AC227" i="2"/>
  <c r="AD227" i="2" s="1"/>
  <c r="Z227" i="2"/>
  <c r="AA227" i="2" s="1"/>
  <c r="T227" i="2"/>
  <c r="U227" i="2" s="1"/>
  <c r="Q227" i="2"/>
  <c r="L227" i="2"/>
  <c r="K227" i="2"/>
  <c r="E227" i="2"/>
  <c r="F227" i="2" s="1"/>
  <c r="B227" i="2"/>
  <c r="AD226" i="2"/>
  <c r="AC226" i="2"/>
  <c r="AA226" i="2"/>
  <c r="X226" i="2"/>
  <c r="W226" i="2"/>
  <c r="U226" i="2"/>
  <c r="R226" i="2"/>
  <c r="O226" i="2"/>
  <c r="N226" i="2"/>
  <c r="L226" i="2"/>
  <c r="I226" i="2"/>
  <c r="H226" i="2"/>
  <c r="F226" i="2"/>
  <c r="C226" i="2"/>
  <c r="AC225" i="2"/>
  <c r="AA225" i="2"/>
  <c r="X225" i="2"/>
  <c r="W225" i="2"/>
  <c r="U225" i="2"/>
  <c r="R225" i="2"/>
  <c r="N225" i="2"/>
  <c r="L225" i="2"/>
  <c r="H225" i="2"/>
  <c r="I225" i="2" s="1"/>
  <c r="F225" i="2"/>
  <c r="C225" i="2"/>
  <c r="AC224" i="2"/>
  <c r="AA224" i="2"/>
  <c r="X224" i="2"/>
  <c r="W224" i="2"/>
  <c r="U224" i="2"/>
  <c r="R224" i="2"/>
  <c r="N224" i="2"/>
  <c r="L224" i="2"/>
  <c r="H224" i="2"/>
  <c r="I224" i="2" s="1"/>
  <c r="F224" i="2"/>
  <c r="C224" i="2"/>
  <c r="AC223" i="2"/>
  <c r="AD223" i="2" s="1"/>
  <c r="AA223" i="2"/>
  <c r="X223" i="2"/>
  <c r="W223" i="2"/>
  <c r="U223" i="2"/>
  <c r="R223" i="2"/>
  <c r="N223" i="2"/>
  <c r="O223" i="2" s="1"/>
  <c r="L223" i="2"/>
  <c r="H223" i="2"/>
  <c r="I223" i="2" s="1"/>
  <c r="F223" i="2"/>
  <c r="C223" i="2"/>
  <c r="AD222" i="2"/>
  <c r="AC222" i="2"/>
  <c r="AA222" i="2"/>
  <c r="X222" i="2"/>
  <c r="W222" i="2"/>
  <c r="U222" i="2"/>
  <c r="R222" i="2"/>
  <c r="N222" i="2"/>
  <c r="L222" i="2"/>
  <c r="H222" i="2"/>
  <c r="I222" i="2" s="1"/>
  <c r="F222" i="2"/>
  <c r="C222" i="2"/>
  <c r="AC221" i="2"/>
  <c r="AD221" i="2" s="1"/>
  <c r="AA221" i="2"/>
  <c r="X221" i="2"/>
  <c r="W221" i="2"/>
  <c r="U221" i="2"/>
  <c r="R221" i="2"/>
  <c r="N221" i="2"/>
  <c r="L221" i="2"/>
  <c r="H221" i="2"/>
  <c r="I221" i="2" s="1"/>
  <c r="F221" i="2"/>
  <c r="C221" i="2"/>
  <c r="AC220" i="2"/>
  <c r="AD220" i="2" s="1"/>
  <c r="AA220" i="2"/>
  <c r="W220" i="2"/>
  <c r="X220" i="2" s="1"/>
  <c r="U220" i="2"/>
  <c r="R220" i="2"/>
  <c r="N220" i="2"/>
  <c r="L220" i="2"/>
  <c r="H220" i="2"/>
  <c r="I220" i="2" s="1"/>
  <c r="F220" i="2"/>
  <c r="C220" i="2"/>
  <c r="AC219" i="2"/>
  <c r="AD219" i="2" s="1"/>
  <c r="AA219" i="2"/>
  <c r="X219" i="2"/>
  <c r="W219" i="2"/>
  <c r="U219" i="2"/>
  <c r="R219" i="2"/>
  <c r="N219" i="2"/>
  <c r="L219" i="2"/>
  <c r="H219" i="2"/>
  <c r="I219" i="2" s="1"/>
  <c r="F219" i="2"/>
  <c r="C219" i="2"/>
  <c r="AC218" i="2"/>
  <c r="AD218" i="2" s="1"/>
  <c r="AA218" i="2"/>
  <c r="Z218" i="2"/>
  <c r="T218" i="2"/>
  <c r="U218" i="2" s="1"/>
  <c r="Q218" i="2"/>
  <c r="R218" i="2" s="1"/>
  <c r="K218" i="2"/>
  <c r="L218" i="2" s="1"/>
  <c r="F218" i="2"/>
  <c r="E218" i="2"/>
  <c r="B218" i="2"/>
  <c r="AC217" i="2"/>
  <c r="AD217" i="2" s="1"/>
  <c r="AA217" i="2"/>
  <c r="X217" i="2"/>
  <c r="W217" i="2"/>
  <c r="U217" i="2"/>
  <c r="R217" i="2"/>
  <c r="N217" i="2"/>
  <c r="L217" i="2"/>
  <c r="H217" i="2"/>
  <c r="I217" i="2" s="1"/>
  <c r="F217" i="2"/>
  <c r="C217" i="2"/>
  <c r="AD216" i="2"/>
  <c r="AC216" i="2"/>
  <c r="AA216" i="2"/>
  <c r="X216" i="2"/>
  <c r="W216" i="2"/>
  <c r="U216" i="2"/>
  <c r="R216" i="2"/>
  <c r="N216" i="2"/>
  <c r="L216" i="2"/>
  <c r="H216" i="2"/>
  <c r="I216" i="2" s="1"/>
  <c r="F216" i="2"/>
  <c r="C216" i="2"/>
  <c r="AC215" i="2"/>
  <c r="AD215" i="2" s="1"/>
  <c r="AA215" i="2"/>
  <c r="X215" i="2"/>
  <c r="W215" i="2"/>
  <c r="U215" i="2"/>
  <c r="R215" i="2"/>
  <c r="N215" i="2"/>
  <c r="O215" i="2" s="1"/>
  <c r="L215" i="2"/>
  <c r="H215" i="2"/>
  <c r="I215" i="2" s="1"/>
  <c r="F215" i="2"/>
  <c r="C215" i="2"/>
  <c r="AC214" i="2"/>
  <c r="AD214" i="2" s="1"/>
  <c r="AA214" i="2"/>
  <c r="W214" i="2"/>
  <c r="X214" i="2" s="1"/>
  <c r="U214" i="2"/>
  <c r="R214" i="2"/>
  <c r="N214" i="2"/>
  <c r="L214" i="2"/>
  <c r="I214" i="2"/>
  <c r="H214" i="2"/>
  <c r="F214" i="2"/>
  <c r="C214" i="2"/>
  <c r="AC213" i="2"/>
  <c r="AD213" i="2" s="1"/>
  <c r="AA213" i="2"/>
  <c r="W213" i="2"/>
  <c r="X213" i="2" s="1"/>
  <c r="U213" i="2"/>
  <c r="R213" i="2"/>
  <c r="N213" i="2"/>
  <c r="L213" i="2"/>
  <c r="H213" i="2"/>
  <c r="I213" i="2" s="1"/>
  <c r="F213" i="2"/>
  <c r="C213" i="2"/>
  <c r="AC211" i="2"/>
  <c r="AD211" i="2" s="1"/>
  <c r="AA211" i="2"/>
  <c r="X211" i="2"/>
  <c r="W211" i="2"/>
  <c r="U211" i="2"/>
  <c r="R211" i="2"/>
  <c r="N211" i="2"/>
  <c r="O211" i="2" s="1"/>
  <c r="L211" i="2"/>
  <c r="H211" i="2"/>
  <c r="I211" i="2" s="1"/>
  <c r="F211" i="2"/>
  <c r="C211" i="2"/>
  <c r="Z209" i="2"/>
  <c r="AA209" i="2" s="1"/>
  <c r="T209" i="2"/>
  <c r="U209" i="2" s="1"/>
  <c r="Q209" i="2"/>
  <c r="K209" i="2"/>
  <c r="L209" i="2" s="1"/>
  <c r="F209" i="2"/>
  <c r="E209" i="2"/>
  <c r="B209" i="2"/>
  <c r="AC208" i="2"/>
  <c r="AD208" i="2" s="1"/>
  <c r="AA208" i="2"/>
  <c r="X208" i="2"/>
  <c r="W208" i="2"/>
  <c r="U208" i="2"/>
  <c r="R208" i="2"/>
  <c r="N208" i="2"/>
  <c r="L208" i="2"/>
  <c r="H208" i="2"/>
  <c r="I208" i="2" s="1"/>
  <c r="F208" i="2"/>
  <c r="C208" i="2"/>
  <c r="AD207" i="2"/>
  <c r="AC207" i="2"/>
  <c r="AA207" i="2"/>
  <c r="X207" i="2"/>
  <c r="W207" i="2"/>
  <c r="U207" i="2"/>
  <c r="R207" i="2"/>
  <c r="O207" i="2"/>
  <c r="N207" i="2"/>
  <c r="L207" i="2"/>
  <c r="H207" i="2"/>
  <c r="I207" i="2" s="1"/>
  <c r="F207" i="2"/>
  <c r="C207" i="2"/>
  <c r="AC206" i="2"/>
  <c r="AD206" i="2" s="1"/>
  <c r="AA206" i="2"/>
  <c r="X206" i="2"/>
  <c r="W206" i="2"/>
  <c r="U206" i="2"/>
  <c r="R206" i="2"/>
  <c r="N206" i="2"/>
  <c r="L206" i="2"/>
  <c r="H206" i="2"/>
  <c r="I206" i="2" s="1"/>
  <c r="F206" i="2"/>
  <c r="C206" i="2"/>
  <c r="AC205" i="2"/>
  <c r="AD205" i="2" s="1"/>
  <c r="AA205" i="2"/>
  <c r="W205" i="2"/>
  <c r="X205" i="2" s="1"/>
  <c r="U205" i="2"/>
  <c r="R205" i="2"/>
  <c r="N205" i="2"/>
  <c r="L205" i="2"/>
  <c r="I205" i="2"/>
  <c r="H205" i="2"/>
  <c r="F205" i="2"/>
  <c r="C205" i="2"/>
  <c r="AC204" i="2"/>
  <c r="AD204" i="2" s="1"/>
  <c r="AA204" i="2"/>
  <c r="W204" i="2"/>
  <c r="X204" i="2" s="1"/>
  <c r="U204" i="2"/>
  <c r="R204" i="2"/>
  <c r="O204" i="2"/>
  <c r="N204" i="2"/>
  <c r="L204" i="2"/>
  <c r="H204" i="2"/>
  <c r="I204" i="2" s="1"/>
  <c r="F204" i="2"/>
  <c r="C204" i="2"/>
  <c r="AD203" i="2"/>
  <c r="AC203" i="2"/>
  <c r="AA203" i="2"/>
  <c r="X203" i="2"/>
  <c r="W203" i="2"/>
  <c r="U203" i="2"/>
  <c r="R203" i="2"/>
  <c r="O203" i="2"/>
  <c r="N203" i="2"/>
  <c r="L203" i="2"/>
  <c r="H203" i="2"/>
  <c r="I203" i="2" s="1"/>
  <c r="F203" i="2"/>
  <c r="C203" i="2"/>
  <c r="AD202" i="2"/>
  <c r="AC202" i="2"/>
  <c r="AA202" i="2"/>
  <c r="X202" i="2"/>
  <c r="W202" i="2"/>
  <c r="U202" i="2"/>
  <c r="R202" i="2"/>
  <c r="O202" i="2"/>
  <c r="N202" i="2"/>
  <c r="L202" i="2"/>
  <c r="I202" i="2"/>
  <c r="H202" i="2"/>
  <c r="F202" i="2"/>
  <c r="C202" i="2"/>
  <c r="AC201" i="2"/>
  <c r="AD201" i="2" s="1"/>
  <c r="AA201" i="2"/>
  <c r="X201" i="2"/>
  <c r="W201" i="2"/>
  <c r="U201" i="2"/>
  <c r="R201" i="2"/>
  <c r="N201" i="2"/>
  <c r="L201" i="2"/>
  <c r="H201" i="2"/>
  <c r="I201" i="2" s="1"/>
  <c r="F201" i="2"/>
  <c r="C201" i="2"/>
  <c r="AC197" i="2"/>
  <c r="AD197" i="2" s="1"/>
  <c r="AA197" i="2"/>
  <c r="Z197" i="2"/>
  <c r="T197" i="2"/>
  <c r="U197" i="2" s="1"/>
  <c r="Q197" i="2"/>
  <c r="R197" i="2" s="1"/>
  <c r="N197" i="2"/>
  <c r="O197" i="2" s="1"/>
  <c r="K197" i="2"/>
  <c r="L197" i="2" s="1"/>
  <c r="E197" i="2"/>
  <c r="F197" i="2" s="1"/>
  <c r="B197" i="2"/>
  <c r="Z196" i="2"/>
  <c r="AA196" i="2" s="1"/>
  <c r="T196" i="2"/>
  <c r="U196" i="2" s="1"/>
  <c r="Q196" i="2"/>
  <c r="K196" i="2"/>
  <c r="L196" i="2" s="1"/>
  <c r="E196" i="2"/>
  <c r="F196" i="2" s="1"/>
  <c r="B196" i="2"/>
  <c r="AC195" i="2"/>
  <c r="AD195" i="2" s="1"/>
  <c r="AA195" i="2"/>
  <c r="X195" i="2"/>
  <c r="W195" i="2"/>
  <c r="U195" i="2"/>
  <c r="R195" i="2"/>
  <c r="O195" i="2"/>
  <c r="N195" i="2"/>
  <c r="L195" i="2"/>
  <c r="H195" i="2"/>
  <c r="I195" i="2" s="1"/>
  <c r="F195" i="2"/>
  <c r="C195" i="2"/>
  <c r="AC194" i="2"/>
  <c r="AD194" i="2" s="1"/>
  <c r="AA194" i="2"/>
  <c r="X194" i="2"/>
  <c r="W194" i="2"/>
  <c r="U194" i="2"/>
  <c r="R194" i="2"/>
  <c r="N194" i="2"/>
  <c r="L194" i="2"/>
  <c r="H194" i="2"/>
  <c r="I194" i="2" s="1"/>
  <c r="F194" i="2"/>
  <c r="C194" i="2"/>
  <c r="Z193" i="2"/>
  <c r="AA193" i="2" s="1"/>
  <c r="T193" i="2"/>
  <c r="U193" i="2" s="1"/>
  <c r="Q193" i="2"/>
  <c r="L193" i="2"/>
  <c r="K193" i="2"/>
  <c r="E193" i="2"/>
  <c r="F193" i="2" s="1"/>
  <c r="B193" i="2"/>
  <c r="AD192" i="2"/>
  <c r="AC192" i="2"/>
  <c r="AA192" i="2"/>
  <c r="X192" i="2"/>
  <c r="W192" i="2"/>
  <c r="U192" i="2"/>
  <c r="R192" i="2"/>
  <c r="N192" i="2"/>
  <c r="L192" i="2"/>
  <c r="I192" i="2"/>
  <c r="H192" i="2"/>
  <c r="F192" i="2"/>
  <c r="C192" i="2"/>
  <c r="AC191" i="2"/>
  <c r="AD191" i="2" s="1"/>
  <c r="AA191" i="2"/>
  <c r="X191" i="2"/>
  <c r="W191" i="2"/>
  <c r="U191" i="2"/>
  <c r="R191" i="2"/>
  <c r="N191" i="2"/>
  <c r="L191" i="2"/>
  <c r="I191" i="2"/>
  <c r="H191" i="2"/>
  <c r="F191" i="2"/>
  <c r="C191" i="2"/>
  <c r="AC190" i="2"/>
  <c r="AD190" i="2" s="1"/>
  <c r="AA190" i="2"/>
  <c r="W190" i="2"/>
  <c r="X190" i="2" s="1"/>
  <c r="U190" i="2"/>
  <c r="R190" i="2"/>
  <c r="N190" i="2"/>
  <c r="L190" i="2"/>
  <c r="H190" i="2"/>
  <c r="I190" i="2" s="1"/>
  <c r="F190" i="2"/>
  <c r="C190" i="2"/>
  <c r="AC189" i="2"/>
  <c r="AD189" i="2" s="1"/>
  <c r="AA189" i="2"/>
  <c r="X189" i="2"/>
  <c r="W189" i="2"/>
  <c r="U189" i="2"/>
  <c r="R189" i="2"/>
  <c r="N189" i="2"/>
  <c r="O189" i="2" s="1"/>
  <c r="L189" i="2"/>
  <c r="H189" i="2"/>
  <c r="I189" i="2" s="1"/>
  <c r="F189" i="2"/>
  <c r="C189" i="2"/>
  <c r="AC188" i="2"/>
  <c r="AD188" i="2" s="1"/>
  <c r="AA188" i="2"/>
  <c r="X188" i="2"/>
  <c r="W188" i="2"/>
  <c r="U188" i="2"/>
  <c r="R188" i="2"/>
  <c r="N188" i="2"/>
  <c r="L188" i="2"/>
  <c r="H188" i="2"/>
  <c r="I188" i="2" s="1"/>
  <c r="F188" i="2"/>
  <c r="C188" i="2"/>
  <c r="AC187" i="2"/>
  <c r="AD187" i="2" s="1"/>
  <c r="AA187" i="2"/>
  <c r="W187" i="2"/>
  <c r="X187" i="2" s="1"/>
  <c r="U187" i="2"/>
  <c r="R187" i="2"/>
  <c r="O187" i="2"/>
  <c r="N187" i="2"/>
  <c r="L187" i="2"/>
  <c r="I187" i="2"/>
  <c r="H187" i="2"/>
  <c r="F187" i="2"/>
  <c r="C187" i="2"/>
  <c r="AC186" i="2"/>
  <c r="AD186" i="2" s="1"/>
  <c r="AA186" i="2"/>
  <c r="W186" i="2"/>
  <c r="X186" i="2" s="1"/>
  <c r="U186" i="2"/>
  <c r="R186" i="2"/>
  <c r="N186" i="2"/>
  <c r="L186" i="2"/>
  <c r="H186" i="2"/>
  <c r="I186" i="2" s="1"/>
  <c r="F186" i="2"/>
  <c r="C186" i="2"/>
  <c r="AD184" i="2"/>
  <c r="AC184" i="2"/>
  <c r="AA184" i="2"/>
  <c r="X184" i="2"/>
  <c r="W184" i="2"/>
  <c r="U184" i="2"/>
  <c r="R184" i="2"/>
  <c r="N184" i="2"/>
  <c r="L184" i="2"/>
  <c r="H184" i="2"/>
  <c r="I184" i="2" s="1"/>
  <c r="F184" i="2"/>
  <c r="C184" i="2"/>
  <c r="AD183" i="2"/>
  <c r="AC183" i="2"/>
  <c r="AA183" i="2"/>
  <c r="X183" i="2"/>
  <c r="W183" i="2"/>
  <c r="U183" i="2"/>
  <c r="R183" i="2"/>
  <c r="N183" i="2"/>
  <c r="O183" i="2" s="1"/>
  <c r="L183" i="2"/>
  <c r="I183" i="2"/>
  <c r="H183" i="2"/>
  <c r="F183" i="2"/>
  <c r="C183" i="2"/>
  <c r="AA182" i="2"/>
  <c r="Z182" i="2"/>
  <c r="AC182" i="2" s="1"/>
  <c r="AD182" i="2" s="1"/>
  <c r="W182" i="2"/>
  <c r="X182" i="2" s="1"/>
  <c r="T182" i="2"/>
  <c r="U182" i="2" s="1"/>
  <c r="Q182" i="2"/>
  <c r="R182" i="2" s="1"/>
  <c r="K182" i="2"/>
  <c r="E182" i="2"/>
  <c r="F182" i="2" s="1"/>
  <c r="C182" i="2"/>
  <c r="B182" i="2"/>
  <c r="AC181" i="2"/>
  <c r="AD181" i="2" s="1"/>
  <c r="AA181" i="2"/>
  <c r="X181" i="2"/>
  <c r="W181" i="2"/>
  <c r="U181" i="2"/>
  <c r="R181" i="2"/>
  <c r="N181" i="2"/>
  <c r="L181" i="2"/>
  <c r="H181" i="2"/>
  <c r="I181" i="2" s="1"/>
  <c r="F181" i="2"/>
  <c r="C181" i="2"/>
  <c r="AD180" i="2"/>
  <c r="AC180" i="2"/>
  <c r="AA180" i="2"/>
  <c r="X180" i="2"/>
  <c r="W180" i="2"/>
  <c r="U180" i="2"/>
  <c r="R180" i="2"/>
  <c r="N180" i="2"/>
  <c r="L180" i="2"/>
  <c r="H180" i="2"/>
  <c r="I180" i="2" s="1"/>
  <c r="F180" i="2"/>
  <c r="C180" i="2"/>
  <c r="AC179" i="2"/>
  <c r="AD179" i="2" s="1"/>
  <c r="AA179" i="2"/>
  <c r="X179" i="2"/>
  <c r="W179" i="2"/>
  <c r="U179" i="2"/>
  <c r="R179" i="2"/>
  <c r="O179" i="2"/>
  <c r="N179" i="2"/>
  <c r="L179" i="2"/>
  <c r="H179" i="2"/>
  <c r="I179" i="2" s="1"/>
  <c r="F179" i="2"/>
  <c r="C179" i="2"/>
  <c r="AC178" i="2"/>
  <c r="AD178" i="2" s="1"/>
  <c r="AA178" i="2"/>
  <c r="X178" i="2"/>
  <c r="W178" i="2"/>
  <c r="U178" i="2"/>
  <c r="R178" i="2"/>
  <c r="N178" i="2"/>
  <c r="L178" i="2"/>
  <c r="H178" i="2"/>
  <c r="I178" i="2" s="1"/>
  <c r="F178" i="2"/>
  <c r="C178" i="2"/>
  <c r="AC177" i="2"/>
  <c r="AD177" i="2" s="1"/>
  <c r="AA177" i="2"/>
  <c r="X177" i="2"/>
  <c r="W177" i="2"/>
  <c r="U177" i="2"/>
  <c r="R177" i="2"/>
  <c r="O177" i="2"/>
  <c r="N177" i="2"/>
  <c r="L177" i="2"/>
  <c r="H177" i="2"/>
  <c r="I177" i="2" s="1"/>
  <c r="F177" i="2"/>
  <c r="C177" i="2"/>
  <c r="AC175" i="2"/>
  <c r="AD175" i="2" s="1"/>
  <c r="AA175" i="2"/>
  <c r="X175" i="2"/>
  <c r="W175" i="2"/>
  <c r="U175" i="2"/>
  <c r="R175" i="2"/>
  <c r="N175" i="2"/>
  <c r="L175" i="2"/>
  <c r="I175" i="2"/>
  <c r="H175" i="2"/>
  <c r="F175" i="2"/>
  <c r="C175" i="2"/>
  <c r="Z171" i="2"/>
  <c r="W171" i="2"/>
  <c r="X171" i="2" s="1"/>
  <c r="T171" i="2"/>
  <c r="U171" i="2" s="1"/>
  <c r="R171" i="2"/>
  <c r="Q171" i="2"/>
  <c r="K171" i="2"/>
  <c r="F171" i="2"/>
  <c r="E171" i="2"/>
  <c r="B171" i="2"/>
  <c r="AC170" i="2"/>
  <c r="AD170" i="2" s="1"/>
  <c r="AA170" i="2"/>
  <c r="Z170" i="2"/>
  <c r="W170" i="2"/>
  <c r="X170" i="2" s="1"/>
  <c r="U170" i="2"/>
  <c r="T170" i="2"/>
  <c r="Q170" i="2"/>
  <c r="R170" i="2" s="1"/>
  <c r="N170" i="2"/>
  <c r="O170" i="2" s="1"/>
  <c r="L170" i="2"/>
  <c r="K170" i="2"/>
  <c r="I170" i="2"/>
  <c r="E170" i="2"/>
  <c r="F170" i="2" s="1"/>
  <c r="C170" i="2"/>
  <c r="B170" i="2"/>
  <c r="H170" i="2" s="1"/>
  <c r="AC169" i="2"/>
  <c r="AD169" i="2" s="1"/>
  <c r="AA169" i="2"/>
  <c r="X169" i="2"/>
  <c r="W169" i="2"/>
  <c r="U169" i="2"/>
  <c r="R169" i="2"/>
  <c r="N169" i="2"/>
  <c r="L169" i="2"/>
  <c r="H169" i="2"/>
  <c r="I169" i="2" s="1"/>
  <c r="F169" i="2"/>
  <c r="C169" i="2"/>
  <c r="AC168" i="2"/>
  <c r="AD168" i="2" s="1"/>
  <c r="AA168" i="2"/>
  <c r="X168" i="2"/>
  <c r="W168" i="2"/>
  <c r="U168" i="2"/>
  <c r="R168" i="2"/>
  <c r="N168" i="2"/>
  <c r="O168" i="2" s="1"/>
  <c r="L168" i="2"/>
  <c r="I168" i="2"/>
  <c r="H168" i="2"/>
  <c r="F168" i="2"/>
  <c r="C168" i="2"/>
  <c r="AC167" i="2"/>
  <c r="AD167" i="2" s="1"/>
  <c r="AA167" i="2"/>
  <c r="X167" i="2"/>
  <c r="W167" i="2"/>
  <c r="U167" i="2"/>
  <c r="R167" i="2"/>
  <c r="N167" i="2"/>
  <c r="L167" i="2"/>
  <c r="H167" i="2"/>
  <c r="I167" i="2" s="1"/>
  <c r="F167" i="2"/>
  <c r="C167" i="2"/>
  <c r="Z166" i="2"/>
  <c r="AA166" i="2" s="1"/>
  <c r="U166" i="2"/>
  <c r="T166" i="2"/>
  <c r="R166" i="2"/>
  <c r="Q166" i="2"/>
  <c r="L166" i="2"/>
  <c r="K166" i="2"/>
  <c r="H166" i="2"/>
  <c r="I166" i="2" s="1"/>
  <c r="F166" i="2"/>
  <c r="E166" i="2"/>
  <c r="B166" i="2"/>
  <c r="AC165" i="2"/>
  <c r="AD165" i="2" s="1"/>
  <c r="AA165" i="2"/>
  <c r="W165" i="2"/>
  <c r="X165" i="2" s="1"/>
  <c r="U165" i="2"/>
  <c r="R165" i="2"/>
  <c r="O165" i="2"/>
  <c r="N165" i="2"/>
  <c r="L165" i="2"/>
  <c r="I165" i="2"/>
  <c r="H165" i="2"/>
  <c r="F165" i="2"/>
  <c r="C165" i="2"/>
  <c r="AC164" i="2"/>
  <c r="AD164" i="2" s="1"/>
  <c r="AA164" i="2"/>
  <c r="W164" i="2"/>
  <c r="X164" i="2" s="1"/>
  <c r="U164" i="2"/>
  <c r="R164" i="2"/>
  <c r="N164" i="2"/>
  <c r="L164" i="2"/>
  <c r="I164" i="2"/>
  <c r="H164" i="2"/>
  <c r="F164" i="2"/>
  <c r="C164" i="2"/>
  <c r="AC163" i="2"/>
  <c r="AD163" i="2" s="1"/>
  <c r="AA163" i="2"/>
  <c r="W163" i="2"/>
  <c r="X163" i="2" s="1"/>
  <c r="U163" i="2"/>
  <c r="R163" i="2"/>
  <c r="N163" i="2"/>
  <c r="L163" i="2"/>
  <c r="H163" i="2"/>
  <c r="I163" i="2" s="1"/>
  <c r="F163" i="2"/>
  <c r="C163" i="2"/>
  <c r="AC162" i="2"/>
  <c r="AD162" i="2" s="1"/>
  <c r="AA162" i="2"/>
  <c r="X162" i="2"/>
  <c r="W162" i="2"/>
  <c r="U162" i="2"/>
  <c r="R162" i="2"/>
  <c r="N162" i="2"/>
  <c r="L162" i="2"/>
  <c r="I162" i="2"/>
  <c r="H162" i="2"/>
  <c r="F162" i="2"/>
  <c r="C162" i="2"/>
  <c r="AD161" i="2"/>
  <c r="AC161" i="2"/>
  <c r="AA161" i="2"/>
  <c r="X161" i="2"/>
  <c r="W161" i="2"/>
  <c r="U161" i="2"/>
  <c r="R161" i="2"/>
  <c r="N161" i="2"/>
  <c r="O161" i="2" s="1"/>
  <c r="L161" i="2"/>
  <c r="H161" i="2"/>
  <c r="I161" i="2" s="1"/>
  <c r="F161" i="2"/>
  <c r="C161" i="2"/>
  <c r="AC160" i="2"/>
  <c r="AD160" i="2" s="1"/>
  <c r="AA160" i="2"/>
  <c r="W160" i="2"/>
  <c r="X160" i="2" s="1"/>
  <c r="U160" i="2"/>
  <c r="R160" i="2"/>
  <c r="N160" i="2"/>
  <c r="L160" i="2"/>
  <c r="I160" i="2"/>
  <c r="H160" i="2"/>
  <c r="F160" i="2"/>
  <c r="C160" i="2"/>
  <c r="Z158" i="2"/>
  <c r="AA158" i="2" s="1"/>
  <c r="X158" i="2"/>
  <c r="W158" i="2"/>
  <c r="U158" i="2"/>
  <c r="T158" i="2"/>
  <c r="Q158" i="2"/>
  <c r="K158" i="2"/>
  <c r="L158" i="2" s="1"/>
  <c r="F158" i="2"/>
  <c r="E158" i="2"/>
  <c r="B158" i="2"/>
  <c r="AD157" i="2"/>
  <c r="AC157" i="2"/>
  <c r="AA157" i="2"/>
  <c r="X157" i="2"/>
  <c r="W157" i="2"/>
  <c r="U157" i="2"/>
  <c r="R157" i="2"/>
  <c r="O157" i="2"/>
  <c r="N157" i="2"/>
  <c r="L157" i="2"/>
  <c r="I157" i="2"/>
  <c r="H157" i="2"/>
  <c r="F157" i="2"/>
  <c r="C157" i="2"/>
  <c r="AC156" i="2"/>
  <c r="AD156" i="2" s="1"/>
  <c r="AA156" i="2"/>
  <c r="X156" i="2"/>
  <c r="W156" i="2"/>
  <c r="U156" i="2"/>
  <c r="R156" i="2"/>
  <c r="N156" i="2"/>
  <c r="L156" i="2"/>
  <c r="I156" i="2"/>
  <c r="H156" i="2"/>
  <c r="F156" i="2"/>
  <c r="C156" i="2"/>
  <c r="AD155" i="2"/>
  <c r="AC155" i="2"/>
  <c r="AA155" i="2"/>
  <c r="W155" i="2"/>
  <c r="X155" i="2" s="1"/>
  <c r="U155" i="2"/>
  <c r="R155" i="2"/>
  <c r="N155" i="2"/>
  <c r="O155" i="2" s="1"/>
  <c r="L155" i="2"/>
  <c r="H155" i="2"/>
  <c r="I155" i="2" s="1"/>
  <c r="F155" i="2"/>
  <c r="C155" i="2"/>
  <c r="AD154" i="2"/>
  <c r="AC154" i="2"/>
  <c r="AA154" i="2"/>
  <c r="X154" i="2"/>
  <c r="W154" i="2"/>
  <c r="U154" i="2"/>
  <c r="R154" i="2"/>
  <c r="O154" i="2"/>
  <c r="N154" i="2"/>
  <c r="L154" i="2"/>
  <c r="H154" i="2"/>
  <c r="I154" i="2" s="1"/>
  <c r="F154" i="2"/>
  <c r="C154" i="2"/>
  <c r="AC153" i="2"/>
  <c r="AD153" i="2" s="1"/>
  <c r="AA153" i="2"/>
  <c r="W153" i="2"/>
  <c r="X153" i="2" s="1"/>
  <c r="U153" i="2"/>
  <c r="R153" i="2"/>
  <c r="O153" i="2"/>
  <c r="N153" i="2"/>
  <c r="L153" i="2"/>
  <c r="I153" i="2"/>
  <c r="H153" i="2"/>
  <c r="F153" i="2"/>
  <c r="C153" i="2"/>
  <c r="AC151" i="2"/>
  <c r="AD151" i="2" s="1"/>
  <c r="AA151" i="2"/>
  <c r="W151" i="2"/>
  <c r="X151" i="2" s="1"/>
  <c r="U151" i="2"/>
  <c r="R151" i="2"/>
  <c r="O151" i="2"/>
  <c r="N151" i="2"/>
  <c r="L151" i="2"/>
  <c r="I151" i="2"/>
  <c r="H151" i="2"/>
  <c r="F151" i="2"/>
  <c r="C151" i="2"/>
  <c r="Z149" i="2"/>
  <c r="AA149" i="2" s="1"/>
  <c r="X149" i="2"/>
  <c r="W149" i="2"/>
  <c r="T149" i="2"/>
  <c r="U149" i="2" s="1"/>
  <c r="R149" i="2"/>
  <c r="Q149" i="2"/>
  <c r="K149" i="2"/>
  <c r="N149" i="2" s="1"/>
  <c r="O149" i="2" s="1"/>
  <c r="F149" i="2"/>
  <c r="E149" i="2"/>
  <c r="B149" i="2"/>
  <c r="C149" i="2" s="1"/>
  <c r="AA148" i="2"/>
  <c r="Z148" i="2"/>
  <c r="W148" i="2"/>
  <c r="X148" i="2" s="1"/>
  <c r="T148" i="2"/>
  <c r="U148" i="2" s="1"/>
  <c r="Q148" i="2"/>
  <c r="R148" i="2" s="1"/>
  <c r="L148" i="2"/>
  <c r="K148" i="2"/>
  <c r="H148" i="2"/>
  <c r="I148" i="2" s="1"/>
  <c r="F148" i="2"/>
  <c r="E148" i="2"/>
  <c r="B148" i="2"/>
  <c r="AD147" i="2"/>
  <c r="AC147" i="2"/>
  <c r="AA147" i="2"/>
  <c r="X147" i="2"/>
  <c r="W147" i="2"/>
  <c r="U147" i="2"/>
  <c r="R147" i="2"/>
  <c r="O147" i="2"/>
  <c r="N147" i="2"/>
  <c r="L147" i="2"/>
  <c r="H147" i="2"/>
  <c r="I147" i="2" s="1"/>
  <c r="F147" i="2"/>
  <c r="C147" i="2"/>
  <c r="AC146" i="2"/>
  <c r="AD146" i="2" s="1"/>
  <c r="AA146" i="2"/>
  <c r="X146" i="2"/>
  <c r="W146" i="2"/>
  <c r="U146" i="2"/>
  <c r="R146" i="2"/>
  <c r="N146" i="2"/>
  <c r="L146" i="2"/>
  <c r="H146" i="2"/>
  <c r="I146" i="2" s="1"/>
  <c r="F146" i="2"/>
  <c r="C146" i="2"/>
  <c r="AD145" i="2"/>
  <c r="AC145" i="2"/>
  <c r="AA145" i="2"/>
  <c r="X145" i="2"/>
  <c r="W145" i="2"/>
  <c r="U145" i="2"/>
  <c r="R145" i="2"/>
  <c r="N145" i="2"/>
  <c r="L145" i="2"/>
  <c r="H145" i="2"/>
  <c r="I145" i="2" s="1"/>
  <c r="F145" i="2"/>
  <c r="C145" i="2"/>
  <c r="AC144" i="2"/>
  <c r="AD144" i="2" s="1"/>
  <c r="AA144" i="2"/>
  <c r="X144" i="2"/>
  <c r="W144" i="2"/>
  <c r="U144" i="2"/>
  <c r="R144" i="2"/>
  <c r="O144" i="2"/>
  <c r="N144" i="2"/>
  <c r="L144" i="2"/>
  <c r="H144" i="2"/>
  <c r="I144" i="2" s="1"/>
  <c r="F144" i="2"/>
  <c r="C144" i="2"/>
  <c r="AC143" i="2"/>
  <c r="AD143" i="2" s="1"/>
  <c r="AA143" i="2"/>
  <c r="X143" i="2"/>
  <c r="W143" i="2"/>
  <c r="U143" i="2"/>
  <c r="R143" i="2"/>
  <c r="N143" i="2"/>
  <c r="L143" i="2"/>
  <c r="H143" i="2"/>
  <c r="I143" i="2" s="1"/>
  <c r="F143" i="2"/>
  <c r="C143" i="2"/>
  <c r="Z141" i="2"/>
  <c r="AA141" i="2" s="1"/>
  <c r="U141" i="2"/>
  <c r="T141" i="2"/>
  <c r="Q141" i="2"/>
  <c r="W141" i="2" s="1"/>
  <c r="X141" i="2" s="1"/>
  <c r="K141" i="2"/>
  <c r="L141" i="2" s="1"/>
  <c r="I141" i="2"/>
  <c r="H141" i="2"/>
  <c r="F141" i="2"/>
  <c r="E141" i="2"/>
  <c r="C141" i="2"/>
  <c r="B141" i="2"/>
  <c r="AC140" i="2"/>
  <c r="AD140" i="2" s="1"/>
  <c r="AA140" i="2"/>
  <c r="X140" i="2"/>
  <c r="W140" i="2"/>
  <c r="U140" i="2"/>
  <c r="R140" i="2"/>
  <c r="N140" i="2"/>
  <c r="L140" i="2"/>
  <c r="I140" i="2"/>
  <c r="H140" i="2"/>
  <c r="F140" i="2"/>
  <c r="C140" i="2"/>
  <c r="AC139" i="2"/>
  <c r="AD139" i="2" s="1"/>
  <c r="AA139" i="2"/>
  <c r="W139" i="2"/>
  <c r="X139" i="2" s="1"/>
  <c r="U139" i="2"/>
  <c r="R139" i="2"/>
  <c r="O139" i="2"/>
  <c r="N139" i="2"/>
  <c r="L139" i="2"/>
  <c r="H139" i="2"/>
  <c r="I139" i="2" s="1"/>
  <c r="F139" i="2"/>
  <c r="C139" i="2"/>
  <c r="AC138" i="2"/>
  <c r="AD138" i="2" s="1"/>
  <c r="AA138" i="2"/>
  <c r="X138" i="2"/>
  <c r="W138" i="2"/>
  <c r="U138" i="2"/>
  <c r="R138" i="2"/>
  <c r="N138" i="2"/>
  <c r="O138" i="2" s="1"/>
  <c r="L138" i="2"/>
  <c r="I138" i="2"/>
  <c r="H138" i="2"/>
  <c r="F138" i="2"/>
  <c r="C138" i="2"/>
  <c r="AC137" i="2"/>
  <c r="AD137" i="2" s="1"/>
  <c r="AA137" i="2"/>
  <c r="W137" i="2"/>
  <c r="X137" i="2" s="1"/>
  <c r="U137" i="2"/>
  <c r="R137" i="2"/>
  <c r="N137" i="2"/>
  <c r="L137" i="2"/>
  <c r="I137" i="2"/>
  <c r="H137" i="2"/>
  <c r="F137" i="2"/>
  <c r="C137" i="2"/>
  <c r="AC136" i="2"/>
  <c r="AD136" i="2" s="1"/>
  <c r="AA136" i="2"/>
  <c r="W136" i="2"/>
  <c r="X136" i="2" s="1"/>
  <c r="U136" i="2"/>
  <c r="R136" i="2"/>
  <c r="N136" i="2"/>
  <c r="L136" i="2"/>
  <c r="I136" i="2"/>
  <c r="H136" i="2"/>
  <c r="F136" i="2"/>
  <c r="C136" i="2"/>
  <c r="AD135" i="2"/>
  <c r="AC135" i="2"/>
  <c r="AA135" i="2"/>
  <c r="X135" i="2"/>
  <c r="W135" i="2"/>
  <c r="U135" i="2"/>
  <c r="R135" i="2"/>
  <c r="O135" i="2"/>
  <c r="N135" i="2"/>
  <c r="L135" i="2"/>
  <c r="H135" i="2"/>
  <c r="I135" i="2" s="1"/>
  <c r="F135" i="2"/>
  <c r="C135" i="2"/>
  <c r="AC134" i="2"/>
  <c r="AD134" i="2" s="1"/>
  <c r="AA134" i="2"/>
  <c r="X134" i="2"/>
  <c r="W134" i="2"/>
  <c r="U134" i="2"/>
  <c r="R134" i="2"/>
  <c r="N134" i="2"/>
  <c r="L134" i="2"/>
  <c r="H134" i="2"/>
  <c r="I134" i="2" s="1"/>
  <c r="F134" i="2"/>
  <c r="C134" i="2"/>
  <c r="AD133" i="2"/>
  <c r="AC133" i="2"/>
  <c r="AA133" i="2"/>
  <c r="X133" i="2"/>
  <c r="W133" i="2"/>
  <c r="U133" i="2"/>
  <c r="R133" i="2"/>
  <c r="N133" i="2"/>
  <c r="L133" i="2"/>
  <c r="H133" i="2"/>
  <c r="I133" i="2" s="1"/>
  <c r="F133" i="2"/>
  <c r="C133" i="2"/>
  <c r="AC132" i="2"/>
  <c r="AD132" i="2" s="1"/>
  <c r="AA132" i="2"/>
  <c r="X132" i="2"/>
  <c r="W132" i="2"/>
  <c r="U132" i="2"/>
  <c r="R132" i="2"/>
  <c r="O132" i="2"/>
  <c r="N132" i="2"/>
  <c r="L132" i="2"/>
  <c r="H132" i="2"/>
  <c r="I132" i="2" s="1"/>
  <c r="F132" i="2"/>
  <c r="C132" i="2"/>
  <c r="AC131" i="2"/>
  <c r="AD131" i="2" s="1"/>
  <c r="AA131" i="2"/>
  <c r="X131" i="2"/>
  <c r="W131" i="2"/>
  <c r="U131" i="2"/>
  <c r="R131" i="2"/>
  <c r="N131" i="2"/>
  <c r="L131" i="2"/>
  <c r="H131" i="2"/>
  <c r="I131" i="2" s="1"/>
  <c r="F131" i="2"/>
  <c r="C131" i="2"/>
  <c r="AD130" i="2"/>
  <c r="AC130" i="2"/>
  <c r="AA130" i="2"/>
  <c r="X130" i="2"/>
  <c r="W130" i="2"/>
  <c r="U130" i="2"/>
  <c r="R130" i="2"/>
  <c r="N130" i="2"/>
  <c r="O130" i="2" s="1"/>
  <c r="L130" i="2"/>
  <c r="H130" i="2"/>
  <c r="I130" i="2" s="1"/>
  <c r="F130" i="2"/>
  <c r="C130" i="2"/>
  <c r="AD129" i="2"/>
  <c r="AC129" i="2"/>
  <c r="AA129" i="2"/>
  <c r="X129" i="2"/>
  <c r="W129" i="2"/>
  <c r="U129" i="2"/>
  <c r="R129" i="2"/>
  <c r="N129" i="2"/>
  <c r="L129" i="2"/>
  <c r="I129" i="2"/>
  <c r="H129" i="2"/>
  <c r="F129" i="2"/>
  <c r="C129" i="2"/>
  <c r="AD127" i="2"/>
  <c r="AC127" i="2"/>
  <c r="AA127" i="2"/>
  <c r="W127" i="2"/>
  <c r="X127" i="2" s="1"/>
  <c r="U127" i="2"/>
  <c r="R127" i="2"/>
  <c r="N127" i="2"/>
  <c r="O127" i="2" s="1"/>
  <c r="L127" i="2"/>
  <c r="I127" i="2"/>
  <c r="H127" i="2"/>
  <c r="F127" i="2"/>
  <c r="C127" i="2"/>
  <c r="Z124" i="2"/>
  <c r="AA124" i="2" s="1"/>
  <c r="U124" i="2"/>
  <c r="T124" i="2"/>
  <c r="T172" i="2" s="1"/>
  <c r="U172" i="2" s="1"/>
  <c r="Q124" i="2"/>
  <c r="AC124" i="2" s="1"/>
  <c r="AD124" i="2" s="1"/>
  <c r="L124" i="2"/>
  <c r="K124" i="2"/>
  <c r="E124" i="2"/>
  <c r="B124" i="2"/>
  <c r="N124" i="2" s="1"/>
  <c r="O124" i="2" s="1"/>
  <c r="AD123" i="2"/>
  <c r="AC123" i="2"/>
  <c r="AA123" i="2"/>
  <c r="X123" i="2"/>
  <c r="W123" i="2"/>
  <c r="U123" i="2"/>
  <c r="R123" i="2"/>
  <c r="N123" i="2"/>
  <c r="O123" i="2" s="1"/>
  <c r="L123" i="2"/>
  <c r="I123" i="2"/>
  <c r="H123" i="2"/>
  <c r="F123" i="2"/>
  <c r="C123" i="2"/>
  <c r="AC122" i="2"/>
  <c r="AD122" i="2" s="1"/>
  <c r="AA122" i="2"/>
  <c r="Z122" i="2"/>
  <c r="T122" i="2"/>
  <c r="U122" i="2" s="1"/>
  <c r="R122" i="2"/>
  <c r="Q122" i="2"/>
  <c r="W122" i="2" s="1"/>
  <c r="X122" i="2" s="1"/>
  <c r="L122" i="2"/>
  <c r="K122" i="2"/>
  <c r="H122" i="2"/>
  <c r="I122" i="2" s="1"/>
  <c r="E122" i="2"/>
  <c r="F122" i="2" s="1"/>
  <c r="C122" i="2"/>
  <c r="B122" i="2"/>
  <c r="N122" i="2" s="1"/>
  <c r="O122" i="2" s="1"/>
  <c r="AD121" i="2"/>
  <c r="AC121" i="2"/>
  <c r="AA121" i="2"/>
  <c r="X121" i="2"/>
  <c r="W121" i="2"/>
  <c r="U121" i="2"/>
  <c r="R121" i="2"/>
  <c r="N121" i="2"/>
  <c r="L121" i="2"/>
  <c r="H121" i="2"/>
  <c r="I121" i="2" s="1"/>
  <c r="F121" i="2"/>
  <c r="C121" i="2"/>
  <c r="AD120" i="2"/>
  <c r="AC120" i="2"/>
  <c r="AA120" i="2"/>
  <c r="X120" i="2"/>
  <c r="W120" i="2"/>
  <c r="U120" i="2"/>
  <c r="R120" i="2"/>
  <c r="O120" i="2"/>
  <c r="N120" i="2"/>
  <c r="L120" i="2"/>
  <c r="I120" i="2"/>
  <c r="H120" i="2"/>
  <c r="F120" i="2"/>
  <c r="C120" i="2"/>
  <c r="AC119" i="2"/>
  <c r="AD119" i="2" s="1"/>
  <c r="AA119" i="2"/>
  <c r="W119" i="2"/>
  <c r="X119" i="2" s="1"/>
  <c r="U119" i="2"/>
  <c r="R119" i="2"/>
  <c r="N119" i="2"/>
  <c r="O119" i="2" s="1"/>
  <c r="L119" i="2"/>
  <c r="I119" i="2"/>
  <c r="H119" i="2"/>
  <c r="F119" i="2"/>
  <c r="C119" i="2"/>
  <c r="Z118" i="2"/>
  <c r="U118" i="2"/>
  <c r="T118" i="2"/>
  <c r="Q118" i="2"/>
  <c r="O118" i="2"/>
  <c r="N118" i="2"/>
  <c r="L118" i="2"/>
  <c r="K118" i="2"/>
  <c r="E118" i="2"/>
  <c r="F118" i="2" s="1"/>
  <c r="B118" i="2"/>
  <c r="AD117" i="2"/>
  <c r="AC117" i="2"/>
  <c r="AA117" i="2"/>
  <c r="X117" i="2"/>
  <c r="W117" i="2"/>
  <c r="U117" i="2"/>
  <c r="R117" i="2"/>
  <c r="N117" i="2"/>
  <c r="O117" i="2" s="1"/>
  <c r="L117" i="2"/>
  <c r="I117" i="2"/>
  <c r="H117" i="2"/>
  <c r="F117" i="2"/>
  <c r="C117" i="2"/>
  <c r="AC116" i="2"/>
  <c r="AD116" i="2" s="1"/>
  <c r="AA116" i="2"/>
  <c r="W116" i="2"/>
  <c r="X116" i="2" s="1"/>
  <c r="U116" i="2"/>
  <c r="R116" i="2"/>
  <c r="N116" i="2"/>
  <c r="O116" i="2" s="1"/>
  <c r="L116" i="2"/>
  <c r="I116" i="2"/>
  <c r="H116" i="2"/>
  <c r="F116" i="2"/>
  <c r="C116" i="2"/>
  <c r="AC115" i="2"/>
  <c r="AD115" i="2" s="1"/>
  <c r="AA115" i="2"/>
  <c r="X115" i="2"/>
  <c r="W115" i="2"/>
  <c r="U115" i="2"/>
  <c r="R115" i="2"/>
  <c r="N115" i="2"/>
  <c r="L115" i="2"/>
  <c r="I115" i="2"/>
  <c r="H115" i="2"/>
  <c r="F115" i="2"/>
  <c r="C115" i="2"/>
  <c r="AD114" i="2"/>
  <c r="AC114" i="2"/>
  <c r="AA114" i="2"/>
  <c r="W114" i="2"/>
  <c r="X114" i="2" s="1"/>
  <c r="U114" i="2"/>
  <c r="R114" i="2"/>
  <c r="N114" i="2"/>
  <c r="L114" i="2"/>
  <c r="H114" i="2"/>
  <c r="I114" i="2" s="1"/>
  <c r="F114" i="2"/>
  <c r="C114" i="2"/>
  <c r="AD113" i="2"/>
  <c r="AC113" i="2"/>
  <c r="AA113" i="2"/>
  <c r="X113" i="2"/>
  <c r="W113" i="2"/>
  <c r="U113" i="2"/>
  <c r="R113" i="2"/>
  <c r="N113" i="2"/>
  <c r="O113" i="2" s="1"/>
  <c r="L113" i="2"/>
  <c r="I113" i="2"/>
  <c r="H113" i="2"/>
  <c r="F113" i="2"/>
  <c r="C113" i="2"/>
  <c r="AD112" i="2"/>
  <c r="AC112" i="2"/>
  <c r="AA112" i="2"/>
  <c r="W112" i="2"/>
  <c r="X112" i="2" s="1"/>
  <c r="U112" i="2"/>
  <c r="R112" i="2"/>
  <c r="N112" i="2"/>
  <c r="O112" i="2" s="1"/>
  <c r="L112" i="2"/>
  <c r="I112" i="2"/>
  <c r="H112" i="2"/>
  <c r="F112" i="2"/>
  <c r="C112" i="2"/>
  <c r="AC111" i="2"/>
  <c r="AD111" i="2" s="1"/>
  <c r="AA111" i="2"/>
  <c r="X111" i="2"/>
  <c r="W111" i="2"/>
  <c r="U111" i="2"/>
  <c r="R111" i="2"/>
  <c r="N111" i="2"/>
  <c r="L111" i="2"/>
  <c r="H111" i="2"/>
  <c r="I111" i="2" s="1"/>
  <c r="F111" i="2"/>
  <c r="C111" i="2"/>
  <c r="AD110" i="2"/>
  <c r="AC110" i="2"/>
  <c r="AA110" i="2"/>
  <c r="X110" i="2"/>
  <c r="W110" i="2"/>
  <c r="U110" i="2"/>
  <c r="R110" i="2"/>
  <c r="N110" i="2"/>
  <c r="L110" i="2"/>
  <c r="H110" i="2"/>
  <c r="I110" i="2" s="1"/>
  <c r="F110" i="2"/>
  <c r="C110" i="2"/>
  <c r="AD109" i="2"/>
  <c r="AC109" i="2"/>
  <c r="AA109" i="2"/>
  <c r="X109" i="2"/>
  <c r="W109" i="2"/>
  <c r="U109" i="2"/>
  <c r="R109" i="2"/>
  <c r="O109" i="2"/>
  <c r="N109" i="2"/>
  <c r="L109" i="2"/>
  <c r="I109" i="2"/>
  <c r="H109" i="2"/>
  <c r="F109" i="2"/>
  <c r="C109" i="2"/>
  <c r="AC108" i="2"/>
  <c r="AD108" i="2" s="1"/>
  <c r="AA108" i="2"/>
  <c r="W108" i="2"/>
  <c r="X108" i="2" s="1"/>
  <c r="U108" i="2"/>
  <c r="R108" i="2"/>
  <c r="N108" i="2"/>
  <c r="O108" i="2" s="1"/>
  <c r="L108" i="2"/>
  <c r="I108" i="2"/>
  <c r="H108" i="2"/>
  <c r="F108" i="2"/>
  <c r="C108" i="2"/>
  <c r="AC107" i="2"/>
  <c r="AD107" i="2" s="1"/>
  <c r="AA107" i="2"/>
  <c r="X107" i="2"/>
  <c r="W107" i="2"/>
  <c r="U107" i="2"/>
  <c r="R107" i="2"/>
  <c r="N107" i="2"/>
  <c r="L107" i="2"/>
  <c r="I107" i="2"/>
  <c r="H107" i="2"/>
  <c r="F107" i="2"/>
  <c r="C107" i="2"/>
  <c r="AD106" i="2"/>
  <c r="AC106" i="2"/>
  <c r="AA106" i="2"/>
  <c r="X106" i="2"/>
  <c r="W106" i="2"/>
  <c r="U106" i="2"/>
  <c r="R106" i="2"/>
  <c r="N106" i="2"/>
  <c r="O106" i="2" s="1"/>
  <c r="L106" i="2"/>
  <c r="H106" i="2"/>
  <c r="I106" i="2" s="1"/>
  <c r="F106" i="2"/>
  <c r="C106" i="2"/>
  <c r="AD105" i="2"/>
  <c r="AC105" i="2"/>
  <c r="AA105" i="2"/>
  <c r="X105" i="2"/>
  <c r="W105" i="2"/>
  <c r="U105" i="2"/>
  <c r="R105" i="2"/>
  <c r="O105" i="2"/>
  <c r="N105" i="2"/>
  <c r="L105" i="2"/>
  <c r="I105" i="2"/>
  <c r="H105" i="2"/>
  <c r="F105" i="2"/>
  <c r="C105" i="2"/>
  <c r="AC104" i="2"/>
  <c r="AD104" i="2" s="1"/>
  <c r="AA104" i="2"/>
  <c r="W104" i="2"/>
  <c r="X104" i="2" s="1"/>
  <c r="U104" i="2"/>
  <c r="R104" i="2"/>
  <c r="O104" i="2"/>
  <c r="N104" i="2"/>
  <c r="L104" i="2"/>
  <c r="I104" i="2"/>
  <c r="H104" i="2"/>
  <c r="F104" i="2"/>
  <c r="C104" i="2"/>
  <c r="AC103" i="2"/>
  <c r="AD103" i="2" s="1"/>
  <c r="AA103" i="2"/>
  <c r="W103" i="2"/>
  <c r="X103" i="2" s="1"/>
  <c r="U103" i="2"/>
  <c r="R103" i="2"/>
  <c r="N103" i="2"/>
  <c r="L103" i="2"/>
  <c r="H103" i="2"/>
  <c r="I103" i="2" s="1"/>
  <c r="F103" i="2"/>
  <c r="C103" i="2"/>
  <c r="AD102" i="2"/>
  <c r="AC102" i="2"/>
  <c r="AA102" i="2"/>
  <c r="W102" i="2"/>
  <c r="X102" i="2" s="1"/>
  <c r="U102" i="2"/>
  <c r="R102" i="2"/>
  <c r="N102" i="2"/>
  <c r="L102" i="2"/>
  <c r="H102" i="2"/>
  <c r="I102" i="2" s="1"/>
  <c r="F102" i="2"/>
  <c r="C102" i="2"/>
  <c r="AD101" i="2"/>
  <c r="AC101" i="2"/>
  <c r="AA101" i="2"/>
  <c r="X101" i="2"/>
  <c r="W101" i="2"/>
  <c r="U101" i="2"/>
  <c r="R101" i="2"/>
  <c r="N101" i="2"/>
  <c r="O101" i="2" s="1"/>
  <c r="L101" i="2"/>
  <c r="I101" i="2"/>
  <c r="H101" i="2"/>
  <c r="F101" i="2"/>
  <c r="C101" i="2"/>
  <c r="AC100" i="2"/>
  <c r="AD100" i="2" s="1"/>
  <c r="AA100" i="2"/>
  <c r="W100" i="2"/>
  <c r="X100" i="2" s="1"/>
  <c r="U100" i="2"/>
  <c r="R100" i="2"/>
  <c r="O100" i="2"/>
  <c r="N100" i="2"/>
  <c r="L100" i="2"/>
  <c r="I100" i="2"/>
  <c r="H100" i="2"/>
  <c r="F100" i="2"/>
  <c r="C100" i="2"/>
  <c r="AC99" i="2"/>
  <c r="AD99" i="2" s="1"/>
  <c r="AA99" i="2"/>
  <c r="X99" i="2"/>
  <c r="W99" i="2"/>
  <c r="U99" i="2"/>
  <c r="R99" i="2"/>
  <c r="N99" i="2"/>
  <c r="L99" i="2"/>
  <c r="H99" i="2"/>
  <c r="I99" i="2" s="1"/>
  <c r="F99" i="2"/>
  <c r="C99" i="2"/>
  <c r="AD98" i="2"/>
  <c r="AC98" i="2"/>
  <c r="AA98" i="2"/>
  <c r="W98" i="2"/>
  <c r="X98" i="2" s="1"/>
  <c r="U98" i="2"/>
  <c r="R98" i="2"/>
  <c r="N98" i="2"/>
  <c r="L98" i="2"/>
  <c r="H98" i="2"/>
  <c r="I98" i="2" s="1"/>
  <c r="F98" i="2"/>
  <c r="C98" i="2"/>
  <c r="AD97" i="2"/>
  <c r="AC97" i="2"/>
  <c r="AA97" i="2"/>
  <c r="X97" i="2"/>
  <c r="W97" i="2"/>
  <c r="U97" i="2"/>
  <c r="R97" i="2"/>
  <c r="N97" i="2"/>
  <c r="O97" i="2" s="1"/>
  <c r="L97" i="2"/>
  <c r="I97" i="2"/>
  <c r="H97" i="2"/>
  <c r="F97" i="2"/>
  <c r="C97" i="2"/>
  <c r="AD96" i="2"/>
  <c r="AC96" i="2"/>
  <c r="AA96" i="2"/>
  <c r="W96" i="2"/>
  <c r="X96" i="2" s="1"/>
  <c r="U96" i="2"/>
  <c r="R96" i="2"/>
  <c r="N96" i="2"/>
  <c r="O96" i="2" s="1"/>
  <c r="L96" i="2"/>
  <c r="I96" i="2"/>
  <c r="H96" i="2"/>
  <c r="F96" i="2"/>
  <c r="C96" i="2"/>
  <c r="AC95" i="2"/>
  <c r="AD95" i="2" s="1"/>
  <c r="AA95" i="2"/>
  <c r="X95" i="2"/>
  <c r="W95" i="2"/>
  <c r="U95" i="2"/>
  <c r="R95" i="2"/>
  <c r="N95" i="2"/>
  <c r="L95" i="2"/>
  <c r="H95" i="2"/>
  <c r="I95" i="2" s="1"/>
  <c r="F95" i="2"/>
  <c r="C95" i="2"/>
  <c r="AD94" i="2"/>
  <c r="AC94" i="2"/>
  <c r="AA94" i="2"/>
  <c r="X94" i="2"/>
  <c r="W94" i="2"/>
  <c r="U94" i="2"/>
  <c r="R94" i="2"/>
  <c r="N94" i="2"/>
  <c r="O94" i="2" s="1"/>
  <c r="L94" i="2"/>
  <c r="H94" i="2"/>
  <c r="I94" i="2" s="1"/>
  <c r="F94" i="2"/>
  <c r="C94" i="2"/>
  <c r="AD92" i="2"/>
  <c r="AC92" i="2"/>
  <c r="AA92" i="2"/>
  <c r="X92" i="2"/>
  <c r="W92" i="2"/>
  <c r="U92" i="2"/>
  <c r="R92" i="2"/>
  <c r="N92" i="2"/>
  <c r="L92" i="2"/>
  <c r="I92" i="2"/>
  <c r="H92" i="2"/>
  <c r="F92" i="2"/>
  <c r="C92" i="2"/>
  <c r="AD91" i="2"/>
  <c r="AC91" i="2"/>
  <c r="AA91" i="2"/>
  <c r="W91" i="2"/>
  <c r="X91" i="2" s="1"/>
  <c r="U91" i="2"/>
  <c r="R91" i="2"/>
  <c r="N91" i="2"/>
  <c r="O91" i="2" s="1"/>
  <c r="L91" i="2"/>
  <c r="I91" i="2"/>
  <c r="H91" i="2"/>
  <c r="F91" i="2"/>
  <c r="C91" i="2"/>
  <c r="AC90" i="2"/>
  <c r="AD90" i="2" s="1"/>
  <c r="AA90" i="2"/>
  <c r="W90" i="2"/>
  <c r="X90" i="2" s="1"/>
  <c r="U90" i="2"/>
  <c r="R90" i="2"/>
  <c r="N90" i="2"/>
  <c r="L90" i="2"/>
  <c r="I90" i="2"/>
  <c r="H90" i="2"/>
  <c r="F90" i="2"/>
  <c r="C90" i="2"/>
  <c r="AD89" i="2"/>
  <c r="AC89" i="2"/>
  <c r="AA89" i="2"/>
  <c r="W89" i="2"/>
  <c r="X89" i="2" s="1"/>
  <c r="U89" i="2"/>
  <c r="R89" i="2"/>
  <c r="N89" i="2"/>
  <c r="O89" i="2" s="1"/>
  <c r="L89" i="2"/>
  <c r="H89" i="2"/>
  <c r="I89" i="2" s="1"/>
  <c r="F89" i="2"/>
  <c r="C89" i="2"/>
  <c r="AD88" i="2"/>
  <c r="AA88" i="2"/>
  <c r="Z88" i="2"/>
  <c r="W88" i="2"/>
  <c r="X88" i="2" s="1"/>
  <c r="U88" i="2"/>
  <c r="T88" i="2"/>
  <c r="R88" i="2"/>
  <c r="Q88" i="2"/>
  <c r="AC88" i="2" s="1"/>
  <c r="O88" i="2"/>
  <c r="K88" i="2"/>
  <c r="L88" i="2" s="1"/>
  <c r="H88" i="2"/>
  <c r="I88" i="2" s="1"/>
  <c r="F88" i="2"/>
  <c r="E88" i="2"/>
  <c r="C88" i="2"/>
  <c r="B88" i="2"/>
  <c r="N88" i="2" s="1"/>
  <c r="AC87" i="2"/>
  <c r="AD87" i="2" s="1"/>
  <c r="AA87" i="2"/>
  <c r="W87" i="2"/>
  <c r="X87" i="2" s="1"/>
  <c r="U87" i="2"/>
  <c r="R87" i="2"/>
  <c r="N87" i="2"/>
  <c r="L87" i="2"/>
  <c r="I87" i="2"/>
  <c r="H87" i="2"/>
  <c r="F87" i="2"/>
  <c r="C87" i="2"/>
  <c r="AD86" i="2"/>
  <c r="AC86" i="2"/>
  <c r="AA86" i="2"/>
  <c r="X86" i="2"/>
  <c r="W86" i="2"/>
  <c r="U86" i="2"/>
  <c r="R86" i="2"/>
  <c r="N86" i="2"/>
  <c r="O86" i="2" s="1"/>
  <c r="L86" i="2"/>
  <c r="H86" i="2"/>
  <c r="I86" i="2" s="1"/>
  <c r="F86" i="2"/>
  <c r="C86" i="2"/>
  <c r="AD85" i="2"/>
  <c r="AC85" i="2"/>
  <c r="AA85" i="2"/>
  <c r="X85" i="2"/>
  <c r="W85" i="2"/>
  <c r="U85" i="2"/>
  <c r="R85" i="2"/>
  <c r="O85" i="2"/>
  <c r="N85" i="2"/>
  <c r="L85" i="2"/>
  <c r="I85" i="2"/>
  <c r="H85" i="2"/>
  <c r="F85" i="2"/>
  <c r="C85" i="2"/>
  <c r="AC84" i="2"/>
  <c r="AD84" i="2" s="1"/>
  <c r="AA84" i="2"/>
  <c r="W84" i="2"/>
  <c r="X84" i="2" s="1"/>
  <c r="U84" i="2"/>
  <c r="R84" i="2"/>
  <c r="N84" i="2"/>
  <c r="L84" i="2"/>
  <c r="I84" i="2"/>
  <c r="H84" i="2"/>
  <c r="F84" i="2"/>
  <c r="C84" i="2"/>
  <c r="AC83" i="2"/>
  <c r="AD83" i="2" s="1"/>
  <c r="AA83" i="2"/>
  <c r="W83" i="2"/>
  <c r="X83" i="2" s="1"/>
  <c r="U83" i="2"/>
  <c r="R83" i="2"/>
  <c r="N83" i="2"/>
  <c r="L83" i="2"/>
  <c r="I83" i="2"/>
  <c r="H83" i="2"/>
  <c r="F83" i="2"/>
  <c r="C83" i="2"/>
  <c r="AD82" i="2"/>
  <c r="AC82" i="2"/>
  <c r="AA82" i="2"/>
  <c r="W82" i="2"/>
  <c r="X82" i="2" s="1"/>
  <c r="U82" i="2"/>
  <c r="R82" i="2"/>
  <c r="N82" i="2"/>
  <c r="O82" i="2" s="1"/>
  <c r="L82" i="2"/>
  <c r="H82" i="2"/>
  <c r="I82" i="2" s="1"/>
  <c r="F82" i="2"/>
  <c r="C82" i="2"/>
  <c r="AD81" i="2"/>
  <c r="AC81" i="2"/>
  <c r="AA81" i="2"/>
  <c r="X81" i="2"/>
  <c r="W81" i="2"/>
  <c r="U81" i="2"/>
  <c r="R81" i="2"/>
  <c r="N81" i="2"/>
  <c r="O81" i="2" s="1"/>
  <c r="L81" i="2"/>
  <c r="I81" i="2"/>
  <c r="H81" i="2"/>
  <c r="F81" i="2"/>
  <c r="C81" i="2"/>
  <c r="AC80" i="2"/>
  <c r="AD80" i="2" s="1"/>
  <c r="AA80" i="2"/>
  <c r="W80" i="2"/>
  <c r="X80" i="2" s="1"/>
  <c r="U80" i="2"/>
  <c r="R80" i="2"/>
  <c r="O80" i="2"/>
  <c r="N80" i="2"/>
  <c r="L80" i="2"/>
  <c r="I80" i="2"/>
  <c r="H80" i="2"/>
  <c r="F80" i="2"/>
  <c r="C80" i="2"/>
  <c r="AC79" i="2"/>
  <c r="AD79" i="2" s="1"/>
  <c r="AA79" i="2"/>
  <c r="X79" i="2"/>
  <c r="W79" i="2"/>
  <c r="U79" i="2"/>
  <c r="R79" i="2"/>
  <c r="N79" i="2"/>
  <c r="L79" i="2"/>
  <c r="H79" i="2"/>
  <c r="I79" i="2" s="1"/>
  <c r="F79" i="2"/>
  <c r="C79" i="2"/>
  <c r="AD78" i="2"/>
  <c r="AC78" i="2"/>
  <c r="AA78" i="2"/>
  <c r="W78" i="2"/>
  <c r="X78" i="2" s="1"/>
  <c r="U78" i="2"/>
  <c r="R78" i="2"/>
  <c r="N78" i="2"/>
  <c r="L78" i="2"/>
  <c r="H78" i="2"/>
  <c r="I78" i="2" s="1"/>
  <c r="F78" i="2"/>
  <c r="C78" i="2"/>
  <c r="AD77" i="2"/>
  <c r="AC77" i="2"/>
  <c r="AA77" i="2"/>
  <c r="X77" i="2"/>
  <c r="W77" i="2"/>
  <c r="U77" i="2"/>
  <c r="R77" i="2"/>
  <c r="N77" i="2"/>
  <c r="O77" i="2" s="1"/>
  <c r="L77" i="2"/>
  <c r="I77" i="2"/>
  <c r="H77" i="2"/>
  <c r="F77" i="2"/>
  <c r="C77" i="2"/>
  <c r="AD76" i="2"/>
  <c r="AC76" i="2"/>
  <c r="AA76" i="2"/>
  <c r="W76" i="2"/>
  <c r="X76" i="2" s="1"/>
  <c r="U76" i="2"/>
  <c r="R76" i="2"/>
  <c r="N76" i="2"/>
  <c r="O76" i="2" s="1"/>
  <c r="L76" i="2"/>
  <c r="I76" i="2"/>
  <c r="H76" i="2"/>
  <c r="F76" i="2"/>
  <c r="C76" i="2"/>
  <c r="AC75" i="2"/>
  <c r="AD75" i="2" s="1"/>
  <c r="AA75" i="2"/>
  <c r="X75" i="2"/>
  <c r="W75" i="2"/>
  <c r="U75" i="2"/>
  <c r="R75" i="2"/>
  <c r="N75" i="2"/>
  <c r="L75" i="2"/>
  <c r="H75" i="2"/>
  <c r="I75" i="2" s="1"/>
  <c r="F75" i="2"/>
  <c r="C75" i="2"/>
  <c r="Z73" i="2"/>
  <c r="AA73" i="2" s="1"/>
  <c r="X73" i="2"/>
  <c r="W73" i="2"/>
  <c r="U73" i="2"/>
  <c r="T73" i="2"/>
  <c r="R73" i="2"/>
  <c r="Q73" i="2"/>
  <c r="L73" i="2"/>
  <c r="K73" i="2"/>
  <c r="F73" i="2"/>
  <c r="E73" i="2"/>
  <c r="B73" i="2"/>
  <c r="AD72" i="2"/>
  <c r="AC72" i="2"/>
  <c r="AA72" i="2"/>
  <c r="W72" i="2"/>
  <c r="X72" i="2" s="1"/>
  <c r="U72" i="2"/>
  <c r="R72" i="2"/>
  <c r="N72" i="2"/>
  <c r="O72" i="2" s="1"/>
  <c r="L72" i="2"/>
  <c r="I72" i="2"/>
  <c r="H72" i="2"/>
  <c r="F72" i="2"/>
  <c r="C72" i="2"/>
  <c r="AC71" i="2"/>
  <c r="AD71" i="2" s="1"/>
  <c r="AA71" i="2"/>
  <c r="X71" i="2"/>
  <c r="W71" i="2"/>
  <c r="U71" i="2"/>
  <c r="R71" i="2"/>
  <c r="N71" i="2"/>
  <c r="L71" i="2"/>
  <c r="H71" i="2"/>
  <c r="I71" i="2" s="1"/>
  <c r="F71" i="2"/>
  <c r="C71" i="2"/>
  <c r="AD70" i="2"/>
  <c r="AC70" i="2"/>
  <c r="AA70" i="2"/>
  <c r="X70" i="2"/>
  <c r="W70" i="2"/>
  <c r="U70" i="2"/>
  <c r="R70" i="2"/>
  <c r="N70" i="2"/>
  <c r="L70" i="2"/>
  <c r="H70" i="2"/>
  <c r="I70" i="2" s="1"/>
  <c r="F70" i="2"/>
  <c r="C70" i="2"/>
  <c r="AD69" i="2"/>
  <c r="AC69" i="2"/>
  <c r="AA69" i="2"/>
  <c r="X69" i="2"/>
  <c r="W69" i="2"/>
  <c r="U69" i="2"/>
  <c r="R69" i="2"/>
  <c r="O69" i="2"/>
  <c r="N69" i="2"/>
  <c r="L69" i="2"/>
  <c r="I69" i="2"/>
  <c r="H69" i="2"/>
  <c r="F69" i="2"/>
  <c r="C69" i="2"/>
  <c r="AD68" i="2"/>
  <c r="AC68" i="2"/>
  <c r="AA68" i="2"/>
  <c r="W68" i="2"/>
  <c r="X68" i="2" s="1"/>
  <c r="U68" i="2"/>
  <c r="R68" i="2"/>
  <c r="N68" i="2"/>
  <c r="O68" i="2" s="1"/>
  <c r="L68" i="2"/>
  <c r="I68" i="2"/>
  <c r="H68" i="2"/>
  <c r="F68" i="2"/>
  <c r="C68" i="2"/>
  <c r="AC67" i="2"/>
  <c r="AD67" i="2" s="1"/>
  <c r="AA67" i="2"/>
  <c r="W67" i="2"/>
  <c r="X67" i="2" s="1"/>
  <c r="U67" i="2"/>
  <c r="R67" i="2"/>
  <c r="N67" i="2"/>
  <c r="L67" i="2"/>
  <c r="I67" i="2"/>
  <c r="H67" i="2"/>
  <c r="F67" i="2"/>
  <c r="C67" i="2"/>
  <c r="AD66" i="2"/>
  <c r="AC66" i="2"/>
  <c r="AA66" i="2"/>
  <c r="X66" i="2"/>
  <c r="W66" i="2"/>
  <c r="U66" i="2"/>
  <c r="R66" i="2"/>
  <c r="N66" i="2"/>
  <c r="O66" i="2" s="1"/>
  <c r="L66" i="2"/>
  <c r="H66" i="2"/>
  <c r="I66" i="2" s="1"/>
  <c r="F66" i="2"/>
  <c r="C66" i="2"/>
  <c r="AD65" i="2"/>
  <c r="AC65" i="2"/>
  <c r="AA65" i="2"/>
  <c r="X65" i="2"/>
  <c r="W65" i="2"/>
  <c r="U65" i="2"/>
  <c r="R65" i="2"/>
  <c r="O65" i="2"/>
  <c r="N65" i="2"/>
  <c r="L65" i="2"/>
  <c r="I65" i="2"/>
  <c r="H65" i="2"/>
  <c r="F65" i="2"/>
  <c r="C65" i="2"/>
  <c r="AC64" i="2"/>
  <c r="AD64" i="2" s="1"/>
  <c r="AA64" i="2"/>
  <c r="W64" i="2"/>
  <c r="X64" i="2" s="1"/>
  <c r="U64" i="2"/>
  <c r="R64" i="2"/>
  <c r="O64" i="2"/>
  <c r="N64" i="2"/>
  <c r="L64" i="2"/>
  <c r="I64" i="2"/>
  <c r="H64" i="2"/>
  <c r="F64" i="2"/>
  <c r="C64" i="2"/>
  <c r="AC62" i="2"/>
  <c r="AD62" i="2" s="1"/>
  <c r="AA62" i="2"/>
  <c r="Z62" i="2"/>
  <c r="U62" i="2"/>
  <c r="T62" i="2"/>
  <c r="Q62" i="2"/>
  <c r="N62" i="2"/>
  <c r="O62" i="2" s="1"/>
  <c r="L62" i="2"/>
  <c r="K62" i="2"/>
  <c r="E62" i="2"/>
  <c r="F62" i="2" s="1"/>
  <c r="C62" i="2"/>
  <c r="B62" i="2"/>
  <c r="AD61" i="2"/>
  <c r="AA61" i="2"/>
  <c r="Z61" i="2"/>
  <c r="T61" i="2"/>
  <c r="R61" i="2"/>
  <c r="Q61" i="2"/>
  <c r="AC61" i="2" s="1"/>
  <c r="K61" i="2"/>
  <c r="L61" i="2" s="1"/>
  <c r="I61" i="2"/>
  <c r="H61" i="2"/>
  <c r="F61" i="2"/>
  <c r="E61" i="2"/>
  <c r="C61" i="2"/>
  <c r="B61" i="2"/>
  <c r="AC60" i="2"/>
  <c r="AD60" i="2" s="1"/>
  <c r="AA60" i="2"/>
  <c r="X60" i="2"/>
  <c r="W60" i="2"/>
  <c r="U60" i="2"/>
  <c r="R60" i="2"/>
  <c r="N60" i="2"/>
  <c r="L60" i="2"/>
  <c r="I60" i="2"/>
  <c r="H60" i="2"/>
  <c r="F60" i="2"/>
  <c r="C60" i="2"/>
  <c r="AD59" i="2"/>
  <c r="AC59" i="2"/>
  <c r="AA59" i="2"/>
  <c r="W59" i="2"/>
  <c r="X59" i="2" s="1"/>
  <c r="U59" i="2"/>
  <c r="R59" i="2"/>
  <c r="N59" i="2"/>
  <c r="L59" i="2"/>
  <c r="H59" i="2"/>
  <c r="I59" i="2" s="1"/>
  <c r="F59" i="2"/>
  <c r="C59" i="2"/>
  <c r="AD58" i="2"/>
  <c r="AC58" i="2"/>
  <c r="AA58" i="2"/>
  <c r="X58" i="2"/>
  <c r="W58" i="2"/>
  <c r="U58" i="2"/>
  <c r="R58" i="2"/>
  <c r="N58" i="2"/>
  <c r="O58" i="2" s="1"/>
  <c r="L58" i="2"/>
  <c r="I58" i="2"/>
  <c r="H58" i="2"/>
  <c r="F58" i="2"/>
  <c r="C58" i="2"/>
  <c r="AD57" i="2"/>
  <c r="AC57" i="2"/>
  <c r="AA57" i="2"/>
  <c r="W57" i="2"/>
  <c r="X57" i="2" s="1"/>
  <c r="U57" i="2"/>
  <c r="R57" i="2"/>
  <c r="N57" i="2"/>
  <c r="O57" i="2" s="1"/>
  <c r="L57" i="2"/>
  <c r="I57" i="2"/>
  <c r="H57" i="2"/>
  <c r="F57" i="2"/>
  <c r="C57" i="2"/>
  <c r="AC56" i="2"/>
  <c r="AD56" i="2" s="1"/>
  <c r="AA56" i="2"/>
  <c r="X56" i="2"/>
  <c r="W56" i="2"/>
  <c r="U56" i="2"/>
  <c r="R56" i="2"/>
  <c r="N56" i="2"/>
  <c r="L56" i="2"/>
  <c r="H56" i="2"/>
  <c r="I56" i="2" s="1"/>
  <c r="F56" i="2"/>
  <c r="C56" i="2"/>
  <c r="AD55" i="2"/>
  <c r="AC55" i="2"/>
  <c r="AA55" i="2"/>
  <c r="X55" i="2"/>
  <c r="W55" i="2"/>
  <c r="U55" i="2"/>
  <c r="R55" i="2"/>
  <c r="N55" i="2"/>
  <c r="O55" i="2" s="1"/>
  <c r="L55" i="2"/>
  <c r="H55" i="2"/>
  <c r="I55" i="2" s="1"/>
  <c r="F55" i="2"/>
  <c r="C55" i="2"/>
  <c r="AD54" i="2"/>
  <c r="AC54" i="2"/>
  <c r="AA54" i="2"/>
  <c r="X54" i="2"/>
  <c r="W54" i="2"/>
  <c r="U54" i="2"/>
  <c r="R54" i="2"/>
  <c r="O54" i="2"/>
  <c r="N54" i="2"/>
  <c r="L54" i="2"/>
  <c r="I54" i="2"/>
  <c r="H54" i="2"/>
  <c r="F54" i="2"/>
  <c r="C54" i="2"/>
  <c r="AC53" i="2"/>
  <c r="AD53" i="2" s="1"/>
  <c r="AA53" i="2"/>
  <c r="W53" i="2"/>
  <c r="X53" i="2" s="1"/>
  <c r="U53" i="2"/>
  <c r="R53" i="2"/>
  <c r="N53" i="2"/>
  <c r="O53" i="2" s="1"/>
  <c r="L53" i="2"/>
  <c r="I53" i="2"/>
  <c r="H53" i="2"/>
  <c r="F53" i="2"/>
  <c r="C53" i="2"/>
  <c r="AC52" i="2"/>
  <c r="AD52" i="2" s="1"/>
  <c r="AA52" i="2"/>
  <c r="W52" i="2"/>
  <c r="X52" i="2" s="1"/>
  <c r="U52" i="2"/>
  <c r="R52" i="2"/>
  <c r="N52" i="2"/>
  <c r="L52" i="2"/>
  <c r="I52" i="2"/>
  <c r="H52" i="2"/>
  <c r="F52" i="2"/>
  <c r="C52" i="2"/>
  <c r="AD51" i="2"/>
  <c r="AC51" i="2"/>
  <c r="AA51" i="2"/>
  <c r="X51" i="2"/>
  <c r="W51" i="2"/>
  <c r="U51" i="2"/>
  <c r="R51" i="2"/>
  <c r="N51" i="2"/>
  <c r="O51" i="2" s="1"/>
  <c r="L51" i="2"/>
  <c r="H51" i="2"/>
  <c r="I51" i="2" s="1"/>
  <c r="F51" i="2"/>
  <c r="C51" i="2"/>
  <c r="AD50" i="2"/>
  <c r="AC50" i="2"/>
  <c r="AA50" i="2"/>
  <c r="X50" i="2"/>
  <c r="W50" i="2"/>
  <c r="U50" i="2"/>
  <c r="R50" i="2"/>
  <c r="O50" i="2"/>
  <c r="N50" i="2"/>
  <c r="L50" i="2"/>
  <c r="I50" i="2"/>
  <c r="H50" i="2"/>
  <c r="F50" i="2"/>
  <c r="C50" i="2"/>
  <c r="AC49" i="2"/>
  <c r="AD49" i="2" s="1"/>
  <c r="AA49" i="2"/>
  <c r="W49" i="2"/>
  <c r="X49" i="2" s="1"/>
  <c r="U49" i="2"/>
  <c r="R49" i="2"/>
  <c r="O49" i="2"/>
  <c r="N49" i="2"/>
  <c r="L49" i="2"/>
  <c r="I49" i="2"/>
  <c r="H49" i="2"/>
  <c r="F49" i="2"/>
  <c r="C49" i="2"/>
  <c r="AC48" i="2"/>
  <c r="AD48" i="2" s="1"/>
  <c r="AA48" i="2"/>
  <c r="W48" i="2"/>
  <c r="X48" i="2" s="1"/>
  <c r="U48" i="2"/>
  <c r="R48" i="2"/>
  <c r="N48" i="2"/>
  <c r="L48" i="2"/>
  <c r="I48" i="2"/>
  <c r="H48" i="2"/>
  <c r="F48" i="2"/>
  <c r="C48" i="2"/>
  <c r="AD47" i="2"/>
  <c r="AC47" i="2"/>
  <c r="AA47" i="2"/>
  <c r="W47" i="2"/>
  <c r="X47" i="2" s="1"/>
  <c r="U47" i="2"/>
  <c r="R47" i="2"/>
  <c r="N47" i="2"/>
  <c r="L47" i="2"/>
  <c r="H47" i="2"/>
  <c r="I47" i="2" s="1"/>
  <c r="F47" i="2"/>
  <c r="C47" i="2"/>
  <c r="AD46" i="2"/>
  <c r="AC46" i="2"/>
  <c r="AA46" i="2"/>
  <c r="X46" i="2"/>
  <c r="W46" i="2"/>
  <c r="U46" i="2"/>
  <c r="R46" i="2"/>
  <c r="N46" i="2"/>
  <c r="O46" i="2" s="1"/>
  <c r="L46" i="2"/>
  <c r="I46" i="2"/>
  <c r="H46" i="2"/>
  <c r="F46" i="2"/>
  <c r="C46" i="2"/>
  <c r="AC44" i="2"/>
  <c r="AD44" i="2" s="1"/>
  <c r="AA44" i="2"/>
  <c r="W44" i="2"/>
  <c r="X44" i="2" s="1"/>
  <c r="U44" i="2"/>
  <c r="R44" i="2"/>
  <c r="O44" i="2"/>
  <c r="N44" i="2"/>
  <c r="L44" i="2"/>
  <c r="I44" i="2"/>
  <c r="H44" i="2"/>
  <c r="F44" i="2"/>
  <c r="C44" i="2"/>
  <c r="AC43" i="2"/>
  <c r="AD43" i="2" s="1"/>
  <c r="AA43" i="2"/>
  <c r="X43" i="2"/>
  <c r="W43" i="2"/>
  <c r="U43" i="2"/>
  <c r="R43" i="2"/>
  <c r="N43" i="2"/>
  <c r="L43" i="2"/>
  <c r="H43" i="2"/>
  <c r="I43" i="2" s="1"/>
  <c r="F43" i="2"/>
  <c r="C43" i="2"/>
  <c r="AD42" i="2"/>
  <c r="AC42" i="2"/>
  <c r="AA42" i="2"/>
  <c r="W42" i="2"/>
  <c r="X42" i="2" s="1"/>
  <c r="U42" i="2"/>
  <c r="R42" i="2"/>
  <c r="N42" i="2"/>
  <c r="L42" i="2"/>
  <c r="H42" i="2"/>
  <c r="I42" i="2" s="1"/>
  <c r="F42" i="2"/>
  <c r="C42" i="2"/>
  <c r="AD40" i="2"/>
  <c r="AA40" i="2"/>
  <c r="Z40" i="2"/>
  <c r="T40" i="2"/>
  <c r="W40" i="2" s="1"/>
  <c r="X40" i="2" s="1"/>
  <c r="R40" i="2"/>
  <c r="Q40" i="2"/>
  <c r="AC40" i="2" s="1"/>
  <c r="K40" i="2"/>
  <c r="L40" i="2" s="1"/>
  <c r="I40" i="2"/>
  <c r="H40" i="2"/>
  <c r="F40" i="2"/>
  <c r="E40" i="2"/>
  <c r="C40" i="2"/>
  <c r="B40" i="2"/>
  <c r="AC39" i="2"/>
  <c r="AD39" i="2" s="1"/>
  <c r="AA39" i="2"/>
  <c r="X39" i="2"/>
  <c r="W39" i="2"/>
  <c r="U39" i="2"/>
  <c r="R39" i="2"/>
  <c r="N39" i="2"/>
  <c r="L39" i="2"/>
  <c r="H39" i="2"/>
  <c r="I39" i="2" s="1"/>
  <c r="F39" i="2"/>
  <c r="C39" i="2"/>
  <c r="AD38" i="2"/>
  <c r="AC38" i="2"/>
  <c r="AA38" i="2"/>
  <c r="W38" i="2"/>
  <c r="X38" i="2" s="1"/>
  <c r="U38" i="2"/>
  <c r="R38" i="2"/>
  <c r="N38" i="2"/>
  <c r="L38" i="2"/>
  <c r="H38" i="2"/>
  <c r="I38" i="2" s="1"/>
  <c r="F38" i="2"/>
  <c r="C38" i="2"/>
  <c r="AD37" i="2"/>
  <c r="AC37" i="2"/>
  <c r="AA37" i="2"/>
  <c r="X37" i="2"/>
  <c r="W37" i="2"/>
  <c r="U37" i="2"/>
  <c r="R37" i="2"/>
  <c r="N37" i="2"/>
  <c r="O37" i="2" s="1"/>
  <c r="L37" i="2"/>
  <c r="I37" i="2"/>
  <c r="H37" i="2"/>
  <c r="F37" i="2"/>
  <c r="C37" i="2"/>
  <c r="AD36" i="2"/>
  <c r="AC36" i="2"/>
  <c r="AA36" i="2"/>
  <c r="W36" i="2"/>
  <c r="X36" i="2" s="1"/>
  <c r="U36" i="2"/>
  <c r="R36" i="2"/>
  <c r="N36" i="2"/>
  <c r="O36" i="2" s="1"/>
  <c r="L36" i="2"/>
  <c r="I36" i="2"/>
  <c r="H36" i="2"/>
  <c r="F36" i="2"/>
  <c r="C36" i="2"/>
  <c r="AC35" i="2"/>
  <c r="AD35" i="2" s="1"/>
  <c r="AA35" i="2"/>
  <c r="X35" i="2"/>
  <c r="W35" i="2"/>
  <c r="U35" i="2"/>
  <c r="R35" i="2"/>
  <c r="N35" i="2"/>
  <c r="L35" i="2"/>
  <c r="H35" i="2"/>
  <c r="I35" i="2" s="1"/>
  <c r="F35" i="2"/>
  <c r="C35" i="2"/>
  <c r="AD34" i="2"/>
  <c r="AC34" i="2"/>
  <c r="AA34" i="2"/>
  <c r="X34" i="2"/>
  <c r="W34" i="2"/>
  <c r="U34" i="2"/>
  <c r="R34" i="2"/>
  <c r="N34" i="2"/>
  <c r="O34" i="2" s="1"/>
  <c r="L34" i="2"/>
  <c r="H34" i="2"/>
  <c r="I34" i="2" s="1"/>
  <c r="F34" i="2"/>
  <c r="C34" i="2"/>
  <c r="AD33" i="2"/>
  <c r="AC33" i="2"/>
  <c r="AA33" i="2"/>
  <c r="X33" i="2"/>
  <c r="W33" i="2"/>
  <c r="U33" i="2"/>
  <c r="R33" i="2"/>
  <c r="O33" i="2"/>
  <c r="N33" i="2"/>
  <c r="L33" i="2"/>
  <c r="I33" i="2"/>
  <c r="H33" i="2"/>
  <c r="F33" i="2"/>
  <c r="C33" i="2"/>
  <c r="AD32" i="2"/>
  <c r="AC32" i="2"/>
  <c r="AA32" i="2"/>
  <c r="W32" i="2"/>
  <c r="X32" i="2" s="1"/>
  <c r="U32" i="2"/>
  <c r="R32" i="2"/>
  <c r="N32" i="2"/>
  <c r="O32" i="2" s="1"/>
  <c r="L32" i="2"/>
  <c r="I32" i="2"/>
  <c r="H32" i="2"/>
  <c r="F32" i="2"/>
  <c r="C32" i="2"/>
  <c r="AC31" i="2"/>
  <c r="AD31" i="2" s="1"/>
  <c r="AA31" i="2"/>
  <c r="W31" i="2"/>
  <c r="X31" i="2" s="1"/>
  <c r="U31" i="2"/>
  <c r="R31" i="2"/>
  <c r="N31" i="2"/>
  <c r="L31" i="2"/>
  <c r="I31" i="2"/>
  <c r="H31" i="2"/>
  <c r="F31" i="2"/>
  <c r="C31" i="2"/>
  <c r="Z29" i="2"/>
  <c r="AA29" i="2" s="1"/>
  <c r="W29" i="2"/>
  <c r="X29" i="2" s="1"/>
  <c r="U29" i="2"/>
  <c r="T29" i="2"/>
  <c r="R29" i="2"/>
  <c r="Q29" i="2"/>
  <c r="AC29" i="2" s="1"/>
  <c r="AD29" i="2" s="1"/>
  <c r="K29" i="2"/>
  <c r="F29" i="2"/>
  <c r="E29" i="2"/>
  <c r="B29" i="2"/>
  <c r="AD28" i="2"/>
  <c r="AC28" i="2"/>
  <c r="AA28" i="2"/>
  <c r="W28" i="2"/>
  <c r="X28" i="2" s="1"/>
  <c r="U28" i="2"/>
  <c r="R28" i="2"/>
  <c r="N28" i="2"/>
  <c r="O28" i="2" s="1"/>
  <c r="L28" i="2"/>
  <c r="I28" i="2"/>
  <c r="H28" i="2"/>
  <c r="F28" i="2"/>
  <c r="C28" i="2"/>
  <c r="AC27" i="2"/>
  <c r="AD27" i="2" s="1"/>
  <c r="AA27" i="2"/>
  <c r="W27" i="2"/>
  <c r="X27" i="2" s="1"/>
  <c r="U27" i="2"/>
  <c r="R27" i="2"/>
  <c r="N27" i="2"/>
  <c r="L27" i="2"/>
  <c r="I27" i="2"/>
  <c r="H27" i="2"/>
  <c r="F27" i="2"/>
  <c r="C27" i="2"/>
  <c r="AD26" i="2"/>
  <c r="AC26" i="2"/>
  <c r="AA26" i="2"/>
  <c r="X26" i="2"/>
  <c r="W26" i="2"/>
  <c r="U26" i="2"/>
  <c r="R26" i="2"/>
  <c r="N26" i="2"/>
  <c r="O26" i="2" s="1"/>
  <c r="L26" i="2"/>
  <c r="H26" i="2"/>
  <c r="I26" i="2" s="1"/>
  <c r="F26" i="2"/>
  <c r="C26" i="2"/>
  <c r="AD25" i="2"/>
  <c r="AC25" i="2"/>
  <c r="AA25" i="2"/>
  <c r="X25" i="2"/>
  <c r="W25" i="2"/>
  <c r="U25" i="2"/>
  <c r="R25" i="2"/>
  <c r="O25" i="2"/>
  <c r="N25" i="2"/>
  <c r="L25" i="2"/>
  <c r="I25" i="2"/>
  <c r="H25" i="2"/>
  <c r="F25" i="2"/>
  <c r="C25" i="2"/>
  <c r="AC24" i="2"/>
  <c r="AD24" i="2" s="1"/>
  <c r="AA24" i="2"/>
  <c r="W24" i="2"/>
  <c r="X24" i="2" s="1"/>
  <c r="U24" i="2"/>
  <c r="R24" i="2"/>
  <c r="O24" i="2"/>
  <c r="N24" i="2"/>
  <c r="L24" i="2"/>
  <c r="I24" i="2"/>
  <c r="H24" i="2"/>
  <c r="F24" i="2"/>
  <c r="C24" i="2"/>
  <c r="AC23" i="2"/>
  <c r="AD23" i="2" s="1"/>
  <c r="AA23" i="2"/>
  <c r="W23" i="2"/>
  <c r="X23" i="2" s="1"/>
  <c r="U23" i="2"/>
  <c r="R23" i="2"/>
  <c r="N23" i="2"/>
  <c r="L23" i="2"/>
  <c r="I23" i="2"/>
  <c r="H23" i="2"/>
  <c r="F23" i="2"/>
  <c r="C23" i="2"/>
  <c r="AD22" i="2"/>
  <c r="AC22" i="2"/>
  <c r="AA22" i="2"/>
  <c r="W22" i="2"/>
  <c r="X22" i="2" s="1"/>
  <c r="U22" i="2"/>
  <c r="R22" i="2"/>
  <c r="N22" i="2"/>
  <c r="O22" i="2" s="1"/>
  <c r="L22" i="2"/>
  <c r="H22" i="2"/>
  <c r="I22" i="2" s="1"/>
  <c r="F22" i="2"/>
  <c r="C22" i="2"/>
  <c r="AD21" i="2"/>
  <c r="AC21" i="2"/>
  <c r="AA21" i="2"/>
  <c r="X21" i="2"/>
  <c r="W21" i="2"/>
  <c r="U21" i="2"/>
  <c r="R21" i="2"/>
  <c r="N21" i="2"/>
  <c r="O21" i="2" s="1"/>
  <c r="L21" i="2"/>
  <c r="I21" i="2"/>
  <c r="H21" i="2"/>
  <c r="F21" i="2"/>
  <c r="C21" i="2"/>
  <c r="AC19" i="2"/>
  <c r="AD19" i="2" s="1"/>
  <c r="AA19" i="2"/>
  <c r="W19" i="2"/>
  <c r="X19" i="2" s="1"/>
  <c r="U19" i="2"/>
  <c r="R19" i="2"/>
  <c r="N19" i="2"/>
  <c r="O19" i="2" s="1"/>
  <c r="L19" i="2"/>
  <c r="I19" i="2"/>
  <c r="H19" i="2"/>
  <c r="F19" i="2"/>
  <c r="C19" i="2"/>
  <c r="Z18" i="2"/>
  <c r="AC18" i="2" s="1"/>
  <c r="AD18" i="2" s="1"/>
  <c r="T18" i="2"/>
  <c r="U18" i="2" s="1"/>
  <c r="Q18" i="2"/>
  <c r="N18" i="2"/>
  <c r="O18" i="2" s="1"/>
  <c r="L18" i="2"/>
  <c r="K18" i="2"/>
  <c r="E18" i="2"/>
  <c r="C18" i="2"/>
  <c r="B18" i="2"/>
  <c r="AD17" i="2"/>
  <c r="AC17" i="2"/>
  <c r="AA17" i="2"/>
  <c r="X17" i="2"/>
  <c r="W17" i="2"/>
  <c r="U17" i="2"/>
  <c r="R17" i="2"/>
  <c r="N17" i="2"/>
  <c r="O17" i="2" s="1"/>
  <c r="L17" i="2"/>
  <c r="I17" i="2"/>
  <c r="H17" i="2"/>
  <c r="F17" i="2"/>
  <c r="C17" i="2"/>
  <c r="AD16" i="2"/>
  <c r="AC16" i="2"/>
  <c r="AA16" i="2"/>
  <c r="W16" i="2"/>
  <c r="X16" i="2" s="1"/>
  <c r="U16" i="2"/>
  <c r="R16" i="2"/>
  <c r="N16" i="2"/>
  <c r="O16" i="2" s="1"/>
  <c r="L16" i="2"/>
  <c r="I16" i="2"/>
  <c r="H16" i="2"/>
  <c r="F16" i="2"/>
  <c r="C16" i="2"/>
  <c r="AC15" i="2"/>
  <c r="AD15" i="2" s="1"/>
  <c r="AA15" i="2"/>
  <c r="X15" i="2"/>
  <c r="W15" i="2"/>
  <c r="U15" i="2"/>
  <c r="R15" i="2"/>
  <c r="O15" i="2"/>
  <c r="N15" i="2"/>
  <c r="L15" i="2"/>
  <c r="H15" i="2"/>
  <c r="I15" i="2" s="1"/>
  <c r="F15" i="2"/>
  <c r="C15" i="2"/>
  <c r="AC14" i="2"/>
  <c r="AD14" i="2" s="1"/>
  <c r="AA14" i="2"/>
  <c r="X14" i="2"/>
  <c r="W14" i="2"/>
  <c r="U14" i="2"/>
  <c r="R14" i="2"/>
  <c r="N14" i="2"/>
  <c r="L14" i="2"/>
  <c r="H14" i="2"/>
  <c r="I14" i="2" s="1"/>
  <c r="F14" i="2"/>
  <c r="C14" i="2"/>
  <c r="AD13" i="2"/>
  <c r="AC13" i="2"/>
  <c r="AA13" i="2"/>
  <c r="X13" i="2"/>
  <c r="W13" i="2"/>
  <c r="U13" i="2"/>
  <c r="R13" i="2"/>
  <c r="O13" i="2"/>
  <c r="N13" i="2"/>
  <c r="L13" i="2"/>
  <c r="I13" i="2"/>
  <c r="H13" i="2"/>
  <c r="F13" i="2"/>
  <c r="C13" i="2"/>
  <c r="AD12" i="2"/>
  <c r="AC12" i="2"/>
  <c r="AA12" i="2"/>
  <c r="W12" i="2"/>
  <c r="X12" i="2" s="1"/>
  <c r="U12" i="2"/>
  <c r="R12" i="2"/>
  <c r="N12" i="2"/>
  <c r="O12" i="2" s="1"/>
  <c r="L12" i="2"/>
  <c r="I12" i="2"/>
  <c r="H12" i="2"/>
  <c r="F12" i="2"/>
  <c r="C12" i="2"/>
  <c r="AC11" i="2"/>
  <c r="AD11" i="2" s="1"/>
  <c r="AA11" i="2"/>
  <c r="W11" i="2"/>
  <c r="X11" i="2" s="1"/>
  <c r="U11" i="2"/>
  <c r="R11" i="2"/>
  <c r="O11" i="2"/>
  <c r="N11" i="2"/>
  <c r="L11" i="2"/>
  <c r="H11" i="2"/>
  <c r="I11" i="2" s="1"/>
  <c r="F11" i="2"/>
  <c r="C11" i="2"/>
  <c r="AC10" i="2"/>
  <c r="AD10" i="2" s="1"/>
  <c r="AA10" i="2"/>
  <c r="W10" i="2"/>
  <c r="X10" i="2" s="1"/>
  <c r="U10" i="2"/>
  <c r="R10" i="2"/>
  <c r="N10" i="2"/>
  <c r="O10" i="2" s="1"/>
  <c r="L10" i="2"/>
  <c r="H10" i="2"/>
  <c r="I10" i="2" s="1"/>
  <c r="F10" i="2"/>
  <c r="C10" i="2"/>
  <c r="AD8" i="2"/>
  <c r="AC8" i="2"/>
  <c r="AA8" i="2"/>
  <c r="X8" i="2"/>
  <c r="W8" i="2"/>
  <c r="U8" i="2"/>
  <c r="R8" i="2"/>
  <c r="N8" i="2"/>
  <c r="O8" i="2" s="1"/>
  <c r="L8" i="2"/>
  <c r="I8" i="2"/>
  <c r="H8" i="2"/>
  <c r="F8" i="2"/>
  <c r="C8" i="2"/>
  <c r="AC444" i="1"/>
  <c r="AD391" i="1" s="1"/>
  <c r="W444" i="1"/>
  <c r="N444" i="1"/>
  <c r="O416" i="1" s="1"/>
  <c r="H444" i="1"/>
  <c r="AC442" i="1"/>
  <c r="AD442" i="1" s="1"/>
  <c r="AA442" i="1"/>
  <c r="Z442" i="1"/>
  <c r="X442" i="1"/>
  <c r="T442" i="1"/>
  <c r="U442" i="1" s="1"/>
  <c r="Q442" i="1"/>
  <c r="W442" i="1" s="1"/>
  <c r="L442" i="1"/>
  <c r="K442" i="1"/>
  <c r="H442" i="1"/>
  <c r="I442" i="1" s="1"/>
  <c r="F442" i="1"/>
  <c r="E442" i="1"/>
  <c r="C442" i="1"/>
  <c r="B442" i="1"/>
  <c r="N442" i="1" s="1"/>
  <c r="O442" i="1" s="1"/>
  <c r="Z441" i="1"/>
  <c r="AA441" i="1" s="1"/>
  <c r="U441" i="1"/>
  <c r="T441" i="1"/>
  <c r="R441" i="1"/>
  <c r="Q441" i="1"/>
  <c r="K441" i="1"/>
  <c r="L441" i="1" s="1"/>
  <c r="E441" i="1"/>
  <c r="F441" i="1" s="1"/>
  <c r="B441" i="1"/>
  <c r="AD440" i="1"/>
  <c r="AC440" i="1"/>
  <c r="AA440" i="1"/>
  <c r="W440" i="1"/>
  <c r="X440" i="1" s="1"/>
  <c r="U440" i="1"/>
  <c r="R440" i="1"/>
  <c r="N440" i="1"/>
  <c r="O440" i="1" s="1"/>
  <c r="L440" i="1"/>
  <c r="I440" i="1"/>
  <c r="H440" i="1"/>
  <c r="F440" i="1"/>
  <c r="C440" i="1"/>
  <c r="AC439" i="1"/>
  <c r="AA439" i="1"/>
  <c r="X439" i="1"/>
  <c r="W439" i="1"/>
  <c r="U439" i="1"/>
  <c r="R439" i="1"/>
  <c r="O439" i="1"/>
  <c r="N439" i="1"/>
  <c r="L439" i="1"/>
  <c r="H439" i="1"/>
  <c r="I439" i="1" s="1"/>
  <c r="F439" i="1"/>
  <c r="C439" i="1"/>
  <c r="AC438" i="1"/>
  <c r="AD438" i="1" s="1"/>
  <c r="AA438" i="1"/>
  <c r="W438" i="1"/>
  <c r="X438" i="1" s="1"/>
  <c r="U438" i="1"/>
  <c r="R438" i="1"/>
  <c r="N438" i="1"/>
  <c r="L438" i="1"/>
  <c r="H438" i="1"/>
  <c r="I438" i="1" s="1"/>
  <c r="F438" i="1"/>
  <c r="C438" i="1"/>
  <c r="AD437" i="1"/>
  <c r="AC437" i="1"/>
  <c r="AA437" i="1"/>
  <c r="X437" i="1"/>
  <c r="W437" i="1"/>
  <c r="U437" i="1"/>
  <c r="R437" i="1"/>
  <c r="N437" i="1"/>
  <c r="O437" i="1" s="1"/>
  <c r="L437" i="1"/>
  <c r="I437" i="1"/>
  <c r="H437" i="1"/>
  <c r="F437" i="1"/>
  <c r="C437" i="1"/>
  <c r="AD436" i="1"/>
  <c r="AC436" i="1"/>
  <c r="AA436" i="1"/>
  <c r="W436" i="1"/>
  <c r="X436" i="1" s="1"/>
  <c r="U436" i="1"/>
  <c r="R436" i="1"/>
  <c r="N436" i="1"/>
  <c r="O436" i="1" s="1"/>
  <c r="L436" i="1"/>
  <c r="I436" i="1"/>
  <c r="H436" i="1"/>
  <c r="F436" i="1"/>
  <c r="C436" i="1"/>
  <c r="AC435" i="1"/>
  <c r="AA435" i="1"/>
  <c r="X435" i="1"/>
  <c r="W435" i="1"/>
  <c r="U435" i="1"/>
  <c r="R435" i="1"/>
  <c r="O435" i="1"/>
  <c r="N435" i="1"/>
  <c r="L435" i="1"/>
  <c r="H435" i="1"/>
  <c r="I435" i="1" s="1"/>
  <c r="F435" i="1"/>
  <c r="C435" i="1"/>
  <c r="AD434" i="1"/>
  <c r="AC434" i="1"/>
  <c r="AA434" i="1"/>
  <c r="X434" i="1"/>
  <c r="W434" i="1"/>
  <c r="U434" i="1"/>
  <c r="R434" i="1"/>
  <c r="N434" i="1"/>
  <c r="L434" i="1"/>
  <c r="H434" i="1"/>
  <c r="I434" i="1" s="1"/>
  <c r="F434" i="1"/>
  <c r="C434" i="1"/>
  <c r="AC433" i="1"/>
  <c r="AA433" i="1"/>
  <c r="X433" i="1"/>
  <c r="W433" i="1"/>
  <c r="U433" i="1"/>
  <c r="R433" i="1"/>
  <c r="N433" i="1"/>
  <c r="L433" i="1"/>
  <c r="I433" i="1"/>
  <c r="H433" i="1"/>
  <c r="F433" i="1"/>
  <c r="C433" i="1"/>
  <c r="AD432" i="1"/>
  <c r="AC432" i="1"/>
  <c r="AA432" i="1"/>
  <c r="W432" i="1"/>
  <c r="X432" i="1" s="1"/>
  <c r="U432" i="1"/>
  <c r="R432" i="1"/>
  <c r="O432" i="1"/>
  <c r="N432" i="1"/>
  <c r="L432" i="1"/>
  <c r="I432" i="1"/>
  <c r="H432" i="1"/>
  <c r="F432" i="1"/>
  <c r="C432" i="1"/>
  <c r="Z429" i="1"/>
  <c r="AA429" i="1" s="1"/>
  <c r="U429" i="1"/>
  <c r="T429" i="1"/>
  <c r="Q429" i="1"/>
  <c r="L429" i="1"/>
  <c r="K429" i="1"/>
  <c r="E429" i="1"/>
  <c r="F429" i="1" s="1"/>
  <c r="C429" i="1"/>
  <c r="B429" i="1"/>
  <c r="N429" i="1" s="1"/>
  <c r="O429" i="1" s="1"/>
  <c r="AA428" i="1"/>
  <c r="Z428" i="1"/>
  <c r="W428" i="1"/>
  <c r="X428" i="1" s="1"/>
  <c r="U428" i="1"/>
  <c r="T428" i="1"/>
  <c r="R428" i="1"/>
  <c r="Q428" i="1"/>
  <c r="K428" i="1"/>
  <c r="L428" i="1" s="1"/>
  <c r="I428" i="1"/>
  <c r="H428" i="1"/>
  <c r="F428" i="1"/>
  <c r="E428" i="1"/>
  <c r="C428" i="1"/>
  <c r="B428" i="1"/>
  <c r="AC427" i="1"/>
  <c r="AD427" i="1" s="1"/>
  <c r="AA427" i="1"/>
  <c r="X427" i="1"/>
  <c r="W427" i="1"/>
  <c r="U427" i="1"/>
  <c r="R427" i="1"/>
  <c r="N427" i="1"/>
  <c r="L427" i="1"/>
  <c r="H427" i="1"/>
  <c r="I427" i="1" s="1"/>
  <c r="F427" i="1"/>
  <c r="C427" i="1"/>
  <c r="AD426" i="1"/>
  <c r="AC426" i="1"/>
  <c r="AA426" i="1"/>
  <c r="W426" i="1"/>
  <c r="X426" i="1" s="1"/>
  <c r="U426" i="1"/>
  <c r="R426" i="1"/>
  <c r="N426" i="1"/>
  <c r="L426" i="1"/>
  <c r="H426" i="1"/>
  <c r="I426" i="1" s="1"/>
  <c r="F426" i="1"/>
  <c r="C426" i="1"/>
  <c r="AD425" i="1"/>
  <c r="AC425" i="1"/>
  <c r="AA425" i="1"/>
  <c r="X425" i="1"/>
  <c r="W425" i="1"/>
  <c r="U425" i="1"/>
  <c r="R425" i="1"/>
  <c r="N425" i="1"/>
  <c r="O425" i="1" s="1"/>
  <c r="L425" i="1"/>
  <c r="I425" i="1"/>
  <c r="H425" i="1"/>
  <c r="F425" i="1"/>
  <c r="C425" i="1"/>
  <c r="AC424" i="1"/>
  <c r="AD424" i="1" s="1"/>
  <c r="AA424" i="1"/>
  <c r="W424" i="1"/>
  <c r="X424" i="1" s="1"/>
  <c r="U424" i="1"/>
  <c r="R424" i="1"/>
  <c r="N424" i="1"/>
  <c r="L424" i="1"/>
  <c r="I424" i="1"/>
  <c r="H424" i="1"/>
  <c r="F424" i="1"/>
  <c r="C424" i="1"/>
  <c r="AC423" i="1"/>
  <c r="AA423" i="1"/>
  <c r="X423" i="1"/>
  <c r="W423" i="1"/>
  <c r="U423" i="1"/>
  <c r="R423" i="1"/>
  <c r="O423" i="1"/>
  <c r="N423" i="1"/>
  <c r="L423" i="1"/>
  <c r="I423" i="1"/>
  <c r="H423" i="1"/>
  <c r="F423" i="1"/>
  <c r="C423" i="1"/>
  <c r="AC422" i="1"/>
  <c r="AD422" i="1" s="1"/>
  <c r="AA422" i="1"/>
  <c r="W422" i="1"/>
  <c r="X422" i="1" s="1"/>
  <c r="U422" i="1"/>
  <c r="R422" i="1"/>
  <c r="N422" i="1"/>
  <c r="L422" i="1"/>
  <c r="H422" i="1"/>
  <c r="I422" i="1" s="1"/>
  <c r="F422" i="1"/>
  <c r="C422" i="1"/>
  <c r="AD421" i="1"/>
  <c r="AC421" i="1"/>
  <c r="AA421" i="1"/>
  <c r="X421" i="1"/>
  <c r="W421" i="1"/>
  <c r="U421" i="1"/>
  <c r="R421" i="1"/>
  <c r="N421" i="1"/>
  <c r="O421" i="1" s="1"/>
  <c r="L421" i="1"/>
  <c r="H421" i="1"/>
  <c r="I421" i="1" s="1"/>
  <c r="F421" i="1"/>
  <c r="C421" i="1"/>
  <c r="AC420" i="1"/>
  <c r="AA420" i="1"/>
  <c r="W420" i="1"/>
  <c r="X420" i="1" s="1"/>
  <c r="U420" i="1"/>
  <c r="R420" i="1"/>
  <c r="N420" i="1"/>
  <c r="O420" i="1" s="1"/>
  <c r="L420" i="1"/>
  <c r="I420" i="1"/>
  <c r="H420" i="1"/>
  <c r="F420" i="1"/>
  <c r="C420" i="1"/>
  <c r="AC419" i="1"/>
  <c r="AD419" i="1" s="1"/>
  <c r="AA419" i="1"/>
  <c r="X419" i="1"/>
  <c r="W419" i="1"/>
  <c r="U419" i="1"/>
  <c r="R419" i="1"/>
  <c r="N419" i="1"/>
  <c r="L419" i="1"/>
  <c r="I419" i="1"/>
  <c r="H419" i="1"/>
  <c r="F419" i="1"/>
  <c r="C419" i="1"/>
  <c r="AD418" i="1"/>
  <c r="AC418" i="1"/>
  <c r="AA418" i="1"/>
  <c r="X418" i="1"/>
  <c r="W418" i="1"/>
  <c r="U418" i="1"/>
  <c r="R418" i="1"/>
  <c r="N418" i="1"/>
  <c r="L418" i="1"/>
  <c r="H418" i="1"/>
  <c r="I418" i="1" s="1"/>
  <c r="F418" i="1"/>
  <c r="C418" i="1"/>
  <c r="AD417" i="1"/>
  <c r="AC417" i="1"/>
  <c r="AA417" i="1"/>
  <c r="X417" i="1"/>
  <c r="W417" i="1"/>
  <c r="U417" i="1"/>
  <c r="R417" i="1"/>
  <c r="O417" i="1"/>
  <c r="N417" i="1"/>
  <c r="L417" i="1"/>
  <c r="I417" i="1"/>
  <c r="H417" i="1"/>
  <c r="F417" i="1"/>
  <c r="C417" i="1"/>
  <c r="AC416" i="1"/>
  <c r="AD416" i="1" s="1"/>
  <c r="AA416" i="1"/>
  <c r="W416" i="1"/>
  <c r="X416" i="1" s="1"/>
  <c r="U416" i="1"/>
  <c r="R416" i="1"/>
  <c r="N416" i="1"/>
  <c r="L416" i="1"/>
  <c r="I416" i="1"/>
  <c r="H416" i="1"/>
  <c r="F416" i="1"/>
  <c r="C416" i="1"/>
  <c r="AC415" i="1"/>
  <c r="AA415" i="1"/>
  <c r="X415" i="1"/>
  <c r="W415" i="1"/>
  <c r="U415" i="1"/>
  <c r="R415" i="1"/>
  <c r="O415" i="1"/>
  <c r="N415" i="1"/>
  <c r="L415" i="1"/>
  <c r="I415" i="1"/>
  <c r="H415" i="1"/>
  <c r="F415" i="1"/>
  <c r="C415" i="1"/>
  <c r="AD414" i="1"/>
  <c r="AC414" i="1"/>
  <c r="AA414" i="1"/>
  <c r="W414" i="1"/>
  <c r="X414" i="1" s="1"/>
  <c r="U414" i="1"/>
  <c r="R414" i="1"/>
  <c r="N414" i="1"/>
  <c r="L414" i="1"/>
  <c r="H414" i="1"/>
  <c r="I414" i="1" s="1"/>
  <c r="F414" i="1"/>
  <c r="C414" i="1"/>
  <c r="AD413" i="1"/>
  <c r="AC413" i="1"/>
  <c r="AA413" i="1"/>
  <c r="X413" i="1"/>
  <c r="W413" i="1"/>
  <c r="U413" i="1"/>
  <c r="R413" i="1"/>
  <c r="N413" i="1"/>
  <c r="L413" i="1"/>
  <c r="H413" i="1"/>
  <c r="I413" i="1" s="1"/>
  <c r="F413" i="1"/>
  <c r="C413" i="1"/>
  <c r="AC412" i="1"/>
  <c r="AD412" i="1" s="1"/>
  <c r="AA412" i="1"/>
  <c r="W412" i="1"/>
  <c r="X412" i="1" s="1"/>
  <c r="U412" i="1"/>
  <c r="R412" i="1"/>
  <c r="N412" i="1"/>
  <c r="O412" i="1" s="1"/>
  <c r="L412" i="1"/>
  <c r="I412" i="1"/>
  <c r="H412" i="1"/>
  <c r="F412" i="1"/>
  <c r="C412" i="1"/>
  <c r="AC411" i="1"/>
  <c r="AD411" i="1" s="1"/>
  <c r="AA411" i="1"/>
  <c r="X411" i="1"/>
  <c r="W411" i="1"/>
  <c r="U411" i="1"/>
  <c r="R411" i="1"/>
  <c r="N411" i="1"/>
  <c r="L411" i="1"/>
  <c r="I411" i="1"/>
  <c r="H411" i="1"/>
  <c r="F411" i="1"/>
  <c r="C411" i="1"/>
  <c r="AD410" i="1"/>
  <c r="AC410" i="1"/>
  <c r="AA410" i="1"/>
  <c r="W410" i="1"/>
  <c r="X410" i="1" s="1"/>
  <c r="U410" i="1"/>
  <c r="R410" i="1"/>
  <c r="N410" i="1"/>
  <c r="L410" i="1"/>
  <c r="H410" i="1"/>
  <c r="I410" i="1" s="1"/>
  <c r="F410" i="1"/>
  <c r="C410" i="1"/>
  <c r="AD409" i="1"/>
  <c r="AC409" i="1"/>
  <c r="AA409" i="1"/>
  <c r="X409" i="1"/>
  <c r="W409" i="1"/>
  <c r="U409" i="1"/>
  <c r="R409" i="1"/>
  <c r="N409" i="1"/>
  <c r="O409" i="1" s="1"/>
  <c r="L409" i="1"/>
  <c r="H409" i="1"/>
  <c r="I409" i="1" s="1"/>
  <c r="F409" i="1"/>
  <c r="C409" i="1"/>
  <c r="AC408" i="1"/>
  <c r="AD408" i="1" s="1"/>
  <c r="AA408" i="1"/>
  <c r="W408" i="1"/>
  <c r="X408" i="1" s="1"/>
  <c r="U408" i="1"/>
  <c r="R408" i="1"/>
  <c r="O408" i="1"/>
  <c r="N408" i="1"/>
  <c r="L408" i="1"/>
  <c r="I408" i="1"/>
  <c r="H408" i="1"/>
  <c r="F408" i="1"/>
  <c r="C408" i="1"/>
  <c r="AC407" i="1"/>
  <c r="AD407" i="1" s="1"/>
  <c r="AA407" i="1"/>
  <c r="X407" i="1"/>
  <c r="W407" i="1"/>
  <c r="U407" i="1"/>
  <c r="R407" i="1"/>
  <c r="N407" i="1"/>
  <c r="L407" i="1"/>
  <c r="I407" i="1"/>
  <c r="H407" i="1"/>
  <c r="F407" i="1"/>
  <c r="C407" i="1"/>
  <c r="AD403" i="1"/>
  <c r="AC403" i="1"/>
  <c r="AA403" i="1"/>
  <c r="Z403" i="1"/>
  <c r="W403" i="1"/>
  <c r="X403" i="1" s="1"/>
  <c r="T403" i="1"/>
  <c r="U403" i="1" s="1"/>
  <c r="Q403" i="1"/>
  <c r="R403" i="1" s="1"/>
  <c r="O403" i="1"/>
  <c r="L403" i="1"/>
  <c r="K403" i="1"/>
  <c r="F403" i="1"/>
  <c r="E403" i="1"/>
  <c r="H403" i="1" s="1"/>
  <c r="I403" i="1" s="1"/>
  <c r="C403" i="1"/>
  <c r="B403" i="1"/>
  <c r="N403" i="1" s="1"/>
  <c r="AC402" i="1"/>
  <c r="AD402" i="1" s="1"/>
  <c r="AA402" i="1"/>
  <c r="W402" i="1"/>
  <c r="X402" i="1" s="1"/>
  <c r="U402" i="1"/>
  <c r="R402" i="1"/>
  <c r="N402" i="1"/>
  <c r="L402" i="1"/>
  <c r="H402" i="1"/>
  <c r="I402" i="1" s="1"/>
  <c r="F402" i="1"/>
  <c r="C402" i="1"/>
  <c r="AD401" i="1"/>
  <c r="AC401" i="1"/>
  <c r="AA401" i="1"/>
  <c r="X401" i="1"/>
  <c r="W401" i="1"/>
  <c r="U401" i="1"/>
  <c r="R401" i="1"/>
  <c r="N401" i="1"/>
  <c r="O401" i="1" s="1"/>
  <c r="L401" i="1"/>
  <c r="H401" i="1"/>
  <c r="I401" i="1" s="1"/>
  <c r="F401" i="1"/>
  <c r="C401" i="1"/>
  <c r="AC400" i="1"/>
  <c r="AD400" i="1" s="1"/>
  <c r="AA400" i="1"/>
  <c r="W400" i="1"/>
  <c r="X400" i="1" s="1"/>
  <c r="U400" i="1"/>
  <c r="R400" i="1"/>
  <c r="N400" i="1"/>
  <c r="O400" i="1" s="1"/>
  <c r="L400" i="1"/>
  <c r="I400" i="1"/>
  <c r="H400" i="1"/>
  <c r="F400" i="1"/>
  <c r="C400" i="1"/>
  <c r="AC399" i="1"/>
  <c r="AD399" i="1" s="1"/>
  <c r="AA399" i="1"/>
  <c r="X399" i="1"/>
  <c r="W399" i="1"/>
  <c r="U399" i="1"/>
  <c r="R399" i="1"/>
  <c r="N399" i="1"/>
  <c r="L399" i="1"/>
  <c r="I399" i="1"/>
  <c r="H399" i="1"/>
  <c r="F399" i="1"/>
  <c r="C399" i="1"/>
  <c r="AD398" i="1"/>
  <c r="AC398" i="1"/>
  <c r="AA398" i="1"/>
  <c r="W398" i="1"/>
  <c r="X398" i="1" s="1"/>
  <c r="U398" i="1"/>
  <c r="R398" i="1"/>
  <c r="N398" i="1"/>
  <c r="L398" i="1"/>
  <c r="H398" i="1"/>
  <c r="I398" i="1" s="1"/>
  <c r="F398" i="1"/>
  <c r="C398" i="1"/>
  <c r="AD397" i="1"/>
  <c r="AC397" i="1"/>
  <c r="AA397" i="1"/>
  <c r="X397" i="1"/>
  <c r="W397" i="1"/>
  <c r="U397" i="1"/>
  <c r="R397" i="1"/>
  <c r="N397" i="1"/>
  <c r="O397" i="1" s="1"/>
  <c r="L397" i="1"/>
  <c r="H397" i="1"/>
  <c r="I397" i="1" s="1"/>
  <c r="F397" i="1"/>
  <c r="C397" i="1"/>
  <c r="AC396" i="1"/>
  <c r="AD396" i="1" s="1"/>
  <c r="AA396" i="1"/>
  <c r="Z396" i="1"/>
  <c r="T396" i="1"/>
  <c r="R396" i="1"/>
  <c r="Q396" i="1"/>
  <c r="L396" i="1"/>
  <c r="K396" i="1"/>
  <c r="E396" i="1"/>
  <c r="C396" i="1"/>
  <c r="B396" i="1"/>
  <c r="AC395" i="1"/>
  <c r="AD395" i="1" s="1"/>
  <c r="AA395" i="1"/>
  <c r="W395" i="1"/>
  <c r="X395" i="1" s="1"/>
  <c r="U395" i="1"/>
  <c r="R395" i="1"/>
  <c r="N395" i="1"/>
  <c r="L395" i="1"/>
  <c r="H395" i="1"/>
  <c r="I395" i="1" s="1"/>
  <c r="F395" i="1"/>
  <c r="C395" i="1"/>
  <c r="AD394" i="1"/>
  <c r="AC394" i="1"/>
  <c r="AA394" i="1"/>
  <c r="X394" i="1"/>
  <c r="W394" i="1"/>
  <c r="U394" i="1"/>
  <c r="R394" i="1"/>
  <c r="N394" i="1"/>
  <c r="L394" i="1"/>
  <c r="I394" i="1"/>
  <c r="H394" i="1"/>
  <c r="F394" i="1"/>
  <c r="C394" i="1"/>
  <c r="AA393" i="1"/>
  <c r="Z393" i="1"/>
  <c r="T393" i="1"/>
  <c r="U393" i="1" s="1"/>
  <c r="Q393" i="1"/>
  <c r="K393" i="1"/>
  <c r="L393" i="1" s="1"/>
  <c r="E393" i="1"/>
  <c r="C393" i="1"/>
  <c r="B393" i="1"/>
  <c r="AC392" i="1"/>
  <c r="AD392" i="1" s="1"/>
  <c r="AA392" i="1"/>
  <c r="X392" i="1"/>
  <c r="W392" i="1"/>
  <c r="U392" i="1"/>
  <c r="R392" i="1"/>
  <c r="N392" i="1"/>
  <c r="L392" i="1"/>
  <c r="H392" i="1"/>
  <c r="I392" i="1" s="1"/>
  <c r="F392" i="1"/>
  <c r="C392" i="1"/>
  <c r="AC391" i="1"/>
  <c r="AA391" i="1"/>
  <c r="X391" i="1"/>
  <c r="W391" i="1"/>
  <c r="U391" i="1"/>
  <c r="R391" i="1"/>
  <c r="N391" i="1"/>
  <c r="L391" i="1"/>
  <c r="I391" i="1"/>
  <c r="H391" i="1"/>
  <c r="F391" i="1"/>
  <c r="C391" i="1"/>
  <c r="AD390" i="1"/>
  <c r="AC390" i="1"/>
  <c r="AA390" i="1"/>
  <c r="W390" i="1"/>
  <c r="X390" i="1" s="1"/>
  <c r="U390" i="1"/>
  <c r="R390" i="1"/>
  <c r="N390" i="1"/>
  <c r="O390" i="1" s="1"/>
  <c r="L390" i="1"/>
  <c r="I390" i="1"/>
  <c r="H390" i="1"/>
  <c r="F390" i="1"/>
  <c r="C390" i="1"/>
  <c r="AC389" i="1"/>
  <c r="AD389" i="1" s="1"/>
  <c r="AA389" i="1"/>
  <c r="W389" i="1"/>
  <c r="X389" i="1" s="1"/>
  <c r="U389" i="1"/>
  <c r="R389" i="1"/>
  <c r="N389" i="1"/>
  <c r="L389" i="1"/>
  <c r="H389" i="1"/>
  <c r="I389" i="1" s="1"/>
  <c r="F389" i="1"/>
  <c r="C389" i="1"/>
  <c r="AC388" i="1"/>
  <c r="AD388" i="1" s="1"/>
  <c r="AA388" i="1"/>
  <c r="X388" i="1"/>
  <c r="W388" i="1"/>
  <c r="U388" i="1"/>
  <c r="R388" i="1"/>
  <c r="N388" i="1"/>
  <c r="L388" i="1"/>
  <c r="H388" i="1"/>
  <c r="I388" i="1" s="1"/>
  <c r="F388" i="1"/>
  <c r="C388" i="1"/>
  <c r="AC386" i="1"/>
  <c r="AA386" i="1"/>
  <c r="X386" i="1"/>
  <c r="W386" i="1"/>
  <c r="U386" i="1"/>
  <c r="R386" i="1"/>
  <c r="O386" i="1"/>
  <c r="N386" i="1"/>
  <c r="L386" i="1"/>
  <c r="I386" i="1"/>
  <c r="H386" i="1"/>
  <c r="F386" i="1"/>
  <c r="C386" i="1"/>
  <c r="AC385" i="1"/>
  <c r="AD385" i="1" s="1"/>
  <c r="AA385" i="1"/>
  <c r="W385" i="1"/>
  <c r="X385" i="1" s="1"/>
  <c r="U385" i="1"/>
  <c r="R385" i="1"/>
  <c r="N385" i="1"/>
  <c r="O385" i="1" s="1"/>
  <c r="L385" i="1"/>
  <c r="I385" i="1"/>
  <c r="H385" i="1"/>
  <c r="F385" i="1"/>
  <c r="C385" i="1"/>
  <c r="AC383" i="1"/>
  <c r="AD383" i="1" s="1"/>
  <c r="AA383" i="1"/>
  <c r="W383" i="1"/>
  <c r="X383" i="1" s="1"/>
  <c r="U383" i="1"/>
  <c r="R383" i="1"/>
  <c r="N383" i="1"/>
  <c r="L383" i="1"/>
  <c r="H383" i="1"/>
  <c r="I383" i="1" s="1"/>
  <c r="F383" i="1"/>
  <c r="C383" i="1"/>
  <c r="AC382" i="1"/>
  <c r="AD382" i="1" s="1"/>
  <c r="AA382" i="1"/>
  <c r="X382" i="1"/>
  <c r="W382" i="1"/>
  <c r="U382" i="1"/>
  <c r="R382" i="1"/>
  <c r="N382" i="1"/>
  <c r="O382" i="1" s="1"/>
  <c r="L382" i="1"/>
  <c r="H382" i="1"/>
  <c r="I382" i="1" s="1"/>
  <c r="F382" i="1"/>
  <c r="C382" i="1"/>
  <c r="AC381" i="1"/>
  <c r="AA381" i="1"/>
  <c r="X381" i="1"/>
  <c r="W381" i="1"/>
  <c r="U381" i="1"/>
  <c r="R381" i="1"/>
  <c r="N381" i="1"/>
  <c r="L381" i="1"/>
  <c r="H381" i="1"/>
  <c r="I381" i="1" s="1"/>
  <c r="F381" i="1"/>
  <c r="C381" i="1"/>
  <c r="AD380" i="1"/>
  <c r="AC380" i="1"/>
  <c r="AA380" i="1"/>
  <c r="W380" i="1"/>
  <c r="X380" i="1" s="1"/>
  <c r="U380" i="1"/>
  <c r="R380" i="1"/>
  <c r="N380" i="1"/>
  <c r="L380" i="1"/>
  <c r="I380" i="1"/>
  <c r="H380" i="1"/>
  <c r="F380" i="1"/>
  <c r="C380" i="1"/>
  <c r="AC379" i="1"/>
  <c r="AD379" i="1" s="1"/>
  <c r="AA379" i="1"/>
  <c r="W379" i="1"/>
  <c r="X379" i="1" s="1"/>
  <c r="U379" i="1"/>
  <c r="R379" i="1"/>
  <c r="O379" i="1"/>
  <c r="N379" i="1"/>
  <c r="L379" i="1"/>
  <c r="H379" i="1"/>
  <c r="I379" i="1" s="1"/>
  <c r="F379" i="1"/>
  <c r="C379" i="1"/>
  <c r="AC378" i="1"/>
  <c r="AD378" i="1" s="1"/>
  <c r="AA378" i="1"/>
  <c r="X378" i="1"/>
  <c r="W378" i="1"/>
  <c r="U378" i="1"/>
  <c r="R378" i="1"/>
  <c r="N378" i="1"/>
  <c r="L378" i="1"/>
  <c r="H378" i="1"/>
  <c r="I378" i="1" s="1"/>
  <c r="F378" i="1"/>
  <c r="C378" i="1"/>
  <c r="AC377" i="1"/>
  <c r="AA377" i="1"/>
  <c r="X377" i="1"/>
  <c r="W377" i="1"/>
  <c r="U377" i="1"/>
  <c r="R377" i="1"/>
  <c r="O377" i="1"/>
  <c r="N377" i="1"/>
  <c r="L377" i="1"/>
  <c r="I377" i="1"/>
  <c r="H377" i="1"/>
  <c r="F377" i="1"/>
  <c r="C377" i="1"/>
  <c r="AC376" i="1"/>
  <c r="AD376" i="1" s="1"/>
  <c r="AA376" i="1"/>
  <c r="W376" i="1"/>
  <c r="X376" i="1" s="1"/>
  <c r="U376" i="1"/>
  <c r="R376" i="1"/>
  <c r="N376" i="1"/>
  <c r="O376" i="1" s="1"/>
  <c r="L376" i="1"/>
  <c r="I376" i="1"/>
  <c r="H376" i="1"/>
  <c r="F376" i="1"/>
  <c r="C376" i="1"/>
  <c r="AC375" i="1"/>
  <c r="AD375" i="1" s="1"/>
  <c r="AA375" i="1"/>
  <c r="X375" i="1"/>
  <c r="W375" i="1"/>
  <c r="U375" i="1"/>
  <c r="R375" i="1"/>
  <c r="N375" i="1"/>
  <c r="L375" i="1"/>
  <c r="H375" i="1"/>
  <c r="I375" i="1" s="1"/>
  <c r="F375" i="1"/>
  <c r="C375" i="1"/>
  <c r="AC374" i="1"/>
  <c r="AD374" i="1" s="1"/>
  <c r="AA374" i="1"/>
  <c r="X374" i="1"/>
  <c r="W374" i="1"/>
  <c r="U374" i="1"/>
  <c r="R374" i="1"/>
  <c r="N374" i="1"/>
  <c r="L374" i="1"/>
  <c r="H374" i="1"/>
  <c r="I374" i="1" s="1"/>
  <c r="F374" i="1"/>
  <c r="C374" i="1"/>
  <c r="AC373" i="1"/>
  <c r="AA373" i="1"/>
  <c r="X373" i="1"/>
  <c r="W373" i="1"/>
  <c r="U373" i="1"/>
  <c r="R373" i="1"/>
  <c r="N373" i="1"/>
  <c r="L373" i="1"/>
  <c r="I373" i="1"/>
  <c r="H373" i="1"/>
  <c r="F373" i="1"/>
  <c r="C373" i="1"/>
  <c r="AD372" i="1"/>
  <c r="AC372" i="1"/>
  <c r="AA372" i="1"/>
  <c r="W372" i="1"/>
  <c r="X372" i="1" s="1"/>
  <c r="U372" i="1"/>
  <c r="R372" i="1"/>
  <c r="N372" i="1"/>
  <c r="O372" i="1" s="1"/>
  <c r="L372" i="1"/>
  <c r="I372" i="1"/>
  <c r="H372" i="1"/>
  <c r="F372" i="1"/>
  <c r="C372" i="1"/>
  <c r="AC371" i="1"/>
  <c r="AD371" i="1" s="1"/>
  <c r="AA371" i="1"/>
  <c r="W371" i="1"/>
  <c r="X371" i="1" s="1"/>
  <c r="U371" i="1"/>
  <c r="R371" i="1"/>
  <c r="N371" i="1"/>
  <c r="L371" i="1"/>
  <c r="H371" i="1"/>
  <c r="I371" i="1" s="1"/>
  <c r="F371" i="1"/>
  <c r="C371" i="1"/>
  <c r="AC370" i="1"/>
  <c r="AD370" i="1" s="1"/>
  <c r="AA370" i="1"/>
  <c r="X370" i="1"/>
  <c r="W370" i="1"/>
  <c r="U370" i="1"/>
  <c r="R370" i="1"/>
  <c r="N370" i="1"/>
  <c r="L370" i="1"/>
  <c r="H370" i="1"/>
  <c r="I370" i="1" s="1"/>
  <c r="F370" i="1"/>
  <c r="C370" i="1"/>
  <c r="AD369" i="1"/>
  <c r="AC369" i="1"/>
  <c r="AA369" i="1"/>
  <c r="X369" i="1"/>
  <c r="W369" i="1"/>
  <c r="U369" i="1"/>
  <c r="R369" i="1"/>
  <c r="N369" i="1"/>
  <c r="L369" i="1"/>
  <c r="I369" i="1"/>
  <c r="H369" i="1"/>
  <c r="F369" i="1"/>
  <c r="C369" i="1"/>
  <c r="AA368" i="1"/>
  <c r="Z368" i="1"/>
  <c r="X368" i="1"/>
  <c r="T368" i="1"/>
  <c r="U368" i="1" s="1"/>
  <c r="R368" i="1"/>
  <c r="Q368" i="1"/>
  <c r="W368" i="1" s="1"/>
  <c r="O368" i="1"/>
  <c r="K368" i="1"/>
  <c r="L368" i="1" s="1"/>
  <c r="H368" i="1"/>
  <c r="I368" i="1" s="1"/>
  <c r="F368" i="1"/>
  <c r="E368" i="1"/>
  <c r="C368" i="1"/>
  <c r="B368" i="1"/>
  <c r="N368" i="1" s="1"/>
  <c r="AD367" i="1"/>
  <c r="AC367" i="1"/>
  <c r="AA367" i="1"/>
  <c r="X367" i="1"/>
  <c r="W367" i="1"/>
  <c r="U367" i="1"/>
  <c r="R367" i="1"/>
  <c r="N367" i="1"/>
  <c r="O367" i="1" s="1"/>
  <c r="L367" i="1"/>
  <c r="H367" i="1"/>
  <c r="I367" i="1" s="1"/>
  <c r="F367" i="1"/>
  <c r="C367" i="1"/>
  <c r="AD366" i="1"/>
  <c r="AC366" i="1"/>
  <c r="AA366" i="1"/>
  <c r="X366" i="1"/>
  <c r="W366" i="1"/>
  <c r="U366" i="1"/>
  <c r="R366" i="1"/>
  <c r="O366" i="1"/>
  <c r="N366" i="1"/>
  <c r="L366" i="1"/>
  <c r="H366" i="1"/>
  <c r="I366" i="1" s="1"/>
  <c r="F366" i="1"/>
  <c r="C366" i="1"/>
  <c r="AC365" i="1"/>
  <c r="AD365" i="1" s="1"/>
  <c r="AA365" i="1"/>
  <c r="W365" i="1"/>
  <c r="X365" i="1" s="1"/>
  <c r="U365" i="1"/>
  <c r="R365" i="1"/>
  <c r="O365" i="1"/>
  <c r="N365" i="1"/>
  <c r="L365" i="1"/>
  <c r="I365" i="1"/>
  <c r="H365" i="1"/>
  <c r="F365" i="1"/>
  <c r="C365" i="1"/>
  <c r="AC364" i="1"/>
  <c r="AD364" i="1" s="1"/>
  <c r="AA364" i="1"/>
  <c r="W364" i="1"/>
  <c r="X364" i="1" s="1"/>
  <c r="U364" i="1"/>
  <c r="R364" i="1"/>
  <c r="N364" i="1"/>
  <c r="L364" i="1"/>
  <c r="I364" i="1"/>
  <c r="H364" i="1"/>
  <c r="F364" i="1"/>
  <c r="C364" i="1"/>
  <c r="AD363" i="1"/>
  <c r="AC363" i="1"/>
  <c r="AA363" i="1"/>
  <c r="X363" i="1"/>
  <c r="W363" i="1"/>
  <c r="U363" i="1"/>
  <c r="R363" i="1"/>
  <c r="N363" i="1"/>
  <c r="L363" i="1"/>
  <c r="H363" i="1"/>
  <c r="I363" i="1" s="1"/>
  <c r="F363" i="1"/>
  <c r="C363" i="1"/>
  <c r="AD362" i="1"/>
  <c r="AC362" i="1"/>
  <c r="AA362" i="1"/>
  <c r="X362" i="1"/>
  <c r="W362" i="1"/>
  <c r="U362" i="1"/>
  <c r="R362" i="1"/>
  <c r="O362" i="1"/>
  <c r="N362" i="1"/>
  <c r="L362" i="1"/>
  <c r="H362" i="1"/>
  <c r="I362" i="1" s="1"/>
  <c r="F362" i="1"/>
  <c r="C362" i="1"/>
  <c r="AC361" i="1"/>
  <c r="AD361" i="1" s="1"/>
  <c r="AA361" i="1"/>
  <c r="W361" i="1"/>
  <c r="X361" i="1" s="1"/>
  <c r="U361" i="1"/>
  <c r="R361" i="1"/>
  <c r="N361" i="1"/>
  <c r="L361" i="1"/>
  <c r="I361" i="1"/>
  <c r="H361" i="1"/>
  <c r="F361" i="1"/>
  <c r="C361" i="1"/>
  <c r="AC360" i="1"/>
  <c r="AD360" i="1" s="1"/>
  <c r="AA360" i="1"/>
  <c r="W360" i="1"/>
  <c r="X360" i="1" s="1"/>
  <c r="U360" i="1"/>
  <c r="R360" i="1"/>
  <c r="N360" i="1"/>
  <c r="L360" i="1"/>
  <c r="I360" i="1"/>
  <c r="H360" i="1"/>
  <c r="F360" i="1"/>
  <c r="C360" i="1"/>
  <c r="Z358" i="1"/>
  <c r="AA358" i="1" s="1"/>
  <c r="U358" i="1"/>
  <c r="T358" i="1"/>
  <c r="Q358" i="1"/>
  <c r="K358" i="1"/>
  <c r="L358" i="1" s="1"/>
  <c r="E358" i="1"/>
  <c r="F358" i="1" s="1"/>
  <c r="B358" i="1"/>
  <c r="AD357" i="1"/>
  <c r="AC357" i="1"/>
  <c r="AA357" i="1"/>
  <c r="W357" i="1"/>
  <c r="X357" i="1" s="1"/>
  <c r="U357" i="1"/>
  <c r="R357" i="1"/>
  <c r="O357" i="1"/>
  <c r="N357" i="1"/>
  <c r="L357" i="1"/>
  <c r="I357" i="1"/>
  <c r="H357" i="1"/>
  <c r="F357" i="1"/>
  <c r="C357" i="1"/>
  <c r="AC356" i="1"/>
  <c r="AA356" i="1"/>
  <c r="W356" i="1"/>
  <c r="X356" i="1" s="1"/>
  <c r="U356" i="1"/>
  <c r="R356" i="1"/>
  <c r="N356" i="1"/>
  <c r="L356" i="1"/>
  <c r="I356" i="1"/>
  <c r="H356" i="1"/>
  <c r="F356" i="1"/>
  <c r="C356" i="1"/>
  <c r="AC355" i="1"/>
  <c r="AD355" i="1" s="1"/>
  <c r="AA355" i="1"/>
  <c r="W355" i="1"/>
  <c r="X355" i="1" s="1"/>
  <c r="U355" i="1"/>
  <c r="R355" i="1"/>
  <c r="N355" i="1"/>
  <c r="L355" i="1"/>
  <c r="H355" i="1"/>
  <c r="I355" i="1" s="1"/>
  <c r="F355" i="1"/>
  <c r="C355" i="1"/>
  <c r="AD354" i="1"/>
  <c r="AC354" i="1"/>
  <c r="AA354" i="1"/>
  <c r="X354" i="1"/>
  <c r="W354" i="1"/>
  <c r="U354" i="1"/>
  <c r="R354" i="1"/>
  <c r="N354" i="1"/>
  <c r="L354" i="1"/>
  <c r="I354" i="1"/>
  <c r="H354" i="1"/>
  <c r="F354" i="1"/>
  <c r="C354" i="1"/>
  <c r="AD353" i="1"/>
  <c r="AC353" i="1"/>
  <c r="AA353" i="1"/>
  <c r="W353" i="1"/>
  <c r="X353" i="1" s="1"/>
  <c r="U353" i="1"/>
  <c r="R353" i="1"/>
  <c r="N353" i="1"/>
  <c r="L353" i="1"/>
  <c r="I353" i="1"/>
  <c r="H353" i="1"/>
  <c r="F353" i="1"/>
  <c r="C353" i="1"/>
  <c r="AC352" i="1"/>
  <c r="AD352" i="1" s="1"/>
  <c r="AA352" i="1"/>
  <c r="X352" i="1"/>
  <c r="W352" i="1"/>
  <c r="U352" i="1"/>
  <c r="R352" i="1"/>
  <c r="N352" i="1"/>
  <c r="L352" i="1"/>
  <c r="H352" i="1"/>
  <c r="I352" i="1" s="1"/>
  <c r="F352" i="1"/>
  <c r="C352" i="1"/>
  <c r="AD351" i="1"/>
  <c r="AC351" i="1"/>
  <c r="AA351" i="1"/>
  <c r="W351" i="1"/>
  <c r="X351" i="1" s="1"/>
  <c r="U351" i="1"/>
  <c r="R351" i="1"/>
  <c r="N351" i="1"/>
  <c r="L351" i="1"/>
  <c r="H351" i="1"/>
  <c r="I351" i="1" s="1"/>
  <c r="F351" i="1"/>
  <c r="C351" i="1"/>
  <c r="AD350" i="1"/>
  <c r="AC350" i="1"/>
  <c r="AA350" i="1"/>
  <c r="X350" i="1"/>
  <c r="W350" i="1"/>
  <c r="U350" i="1"/>
  <c r="R350" i="1"/>
  <c r="N350" i="1"/>
  <c r="L350" i="1"/>
  <c r="I350" i="1"/>
  <c r="H350" i="1"/>
  <c r="F350" i="1"/>
  <c r="C350" i="1"/>
  <c r="AD349" i="1"/>
  <c r="AC349" i="1"/>
  <c r="AA349" i="1"/>
  <c r="W349" i="1"/>
  <c r="X349" i="1" s="1"/>
  <c r="U349" i="1"/>
  <c r="R349" i="1"/>
  <c r="N349" i="1"/>
  <c r="O349" i="1" s="1"/>
  <c r="L349" i="1"/>
  <c r="I349" i="1"/>
  <c r="H349" i="1"/>
  <c r="F349" i="1"/>
  <c r="C349" i="1"/>
  <c r="AC347" i="1"/>
  <c r="AA347" i="1"/>
  <c r="W347" i="1"/>
  <c r="X347" i="1" s="1"/>
  <c r="U347" i="1"/>
  <c r="R347" i="1"/>
  <c r="O347" i="1"/>
  <c r="N347" i="1"/>
  <c r="L347" i="1"/>
  <c r="H347" i="1"/>
  <c r="I347" i="1" s="1"/>
  <c r="F347" i="1"/>
  <c r="C347" i="1"/>
  <c r="AC344" i="1"/>
  <c r="AD344" i="1" s="1"/>
  <c r="AA344" i="1"/>
  <c r="Z344" i="1"/>
  <c r="W344" i="1"/>
  <c r="X344" i="1" s="1"/>
  <c r="T344" i="1"/>
  <c r="U344" i="1" s="1"/>
  <c r="R344" i="1"/>
  <c r="Q344" i="1"/>
  <c r="L344" i="1"/>
  <c r="K344" i="1"/>
  <c r="F344" i="1"/>
  <c r="E344" i="1"/>
  <c r="H344" i="1" s="1"/>
  <c r="I344" i="1" s="1"/>
  <c r="C344" i="1"/>
  <c r="B344" i="1"/>
  <c r="AC343" i="1"/>
  <c r="AD343" i="1" s="1"/>
  <c r="Z343" i="1"/>
  <c r="AA343" i="1" s="1"/>
  <c r="W343" i="1"/>
  <c r="X343" i="1" s="1"/>
  <c r="U343" i="1"/>
  <c r="T343" i="1"/>
  <c r="Q343" i="1"/>
  <c r="R343" i="1" s="1"/>
  <c r="N343" i="1"/>
  <c r="O343" i="1" s="1"/>
  <c r="L343" i="1"/>
  <c r="K343" i="1"/>
  <c r="F343" i="1"/>
  <c r="E343" i="1"/>
  <c r="B343" i="1"/>
  <c r="AC342" i="1"/>
  <c r="AD342" i="1" s="1"/>
  <c r="AA342" i="1"/>
  <c r="Z342" i="1"/>
  <c r="T342" i="1"/>
  <c r="U342" i="1" s="1"/>
  <c r="Q342" i="1"/>
  <c r="R342" i="1" s="1"/>
  <c r="O342" i="1"/>
  <c r="L342" i="1"/>
  <c r="K342" i="1"/>
  <c r="E342" i="1"/>
  <c r="H342" i="1" s="1"/>
  <c r="I342" i="1" s="1"/>
  <c r="C342" i="1"/>
  <c r="B342" i="1"/>
  <c r="N342" i="1" s="1"/>
  <c r="AD341" i="1"/>
  <c r="AC341" i="1"/>
  <c r="AA341" i="1"/>
  <c r="W341" i="1"/>
  <c r="X341" i="1" s="1"/>
  <c r="U341" i="1"/>
  <c r="R341" i="1"/>
  <c r="N341" i="1"/>
  <c r="L341" i="1"/>
  <c r="H341" i="1"/>
  <c r="I341" i="1" s="1"/>
  <c r="F341" i="1"/>
  <c r="C341" i="1"/>
  <c r="AD340" i="1"/>
  <c r="AC340" i="1"/>
  <c r="AA340" i="1"/>
  <c r="X340" i="1"/>
  <c r="W340" i="1"/>
  <c r="U340" i="1"/>
  <c r="R340" i="1"/>
  <c r="N340" i="1"/>
  <c r="O340" i="1" s="1"/>
  <c r="L340" i="1"/>
  <c r="H340" i="1"/>
  <c r="I340" i="1" s="1"/>
  <c r="F340" i="1"/>
  <c r="C340" i="1"/>
  <c r="AC339" i="1"/>
  <c r="AD339" i="1" s="1"/>
  <c r="AA339" i="1"/>
  <c r="W339" i="1"/>
  <c r="X339" i="1" s="1"/>
  <c r="U339" i="1"/>
  <c r="R339" i="1"/>
  <c r="O339" i="1"/>
  <c r="N339" i="1"/>
  <c r="L339" i="1"/>
  <c r="I339" i="1"/>
  <c r="H339" i="1"/>
  <c r="F339" i="1"/>
  <c r="C339" i="1"/>
  <c r="AC338" i="1"/>
  <c r="AD338" i="1" s="1"/>
  <c r="AA338" i="1"/>
  <c r="X338" i="1"/>
  <c r="W338" i="1"/>
  <c r="U338" i="1"/>
  <c r="R338" i="1"/>
  <c r="N338" i="1"/>
  <c r="L338" i="1"/>
  <c r="I338" i="1"/>
  <c r="H338" i="1"/>
  <c r="F338" i="1"/>
  <c r="C338" i="1"/>
  <c r="AD337" i="1"/>
  <c r="AC337" i="1"/>
  <c r="AA337" i="1"/>
  <c r="W337" i="1"/>
  <c r="X337" i="1" s="1"/>
  <c r="U337" i="1"/>
  <c r="R337" i="1"/>
  <c r="N337" i="1"/>
  <c r="O337" i="1" s="1"/>
  <c r="L337" i="1"/>
  <c r="H337" i="1"/>
  <c r="I337" i="1" s="1"/>
  <c r="F337" i="1"/>
  <c r="C337" i="1"/>
  <c r="AD335" i="1"/>
  <c r="AC335" i="1"/>
  <c r="AA335" i="1"/>
  <c r="X335" i="1"/>
  <c r="W335" i="1"/>
  <c r="U335" i="1"/>
  <c r="R335" i="1"/>
  <c r="N335" i="1"/>
  <c r="O335" i="1" s="1"/>
  <c r="L335" i="1"/>
  <c r="H335" i="1"/>
  <c r="I335" i="1" s="1"/>
  <c r="F335" i="1"/>
  <c r="C335" i="1"/>
  <c r="AC334" i="1"/>
  <c r="AD334" i="1" s="1"/>
  <c r="AA334" i="1"/>
  <c r="W334" i="1"/>
  <c r="X334" i="1" s="1"/>
  <c r="U334" i="1"/>
  <c r="R334" i="1"/>
  <c r="O334" i="1"/>
  <c r="N334" i="1"/>
  <c r="L334" i="1"/>
  <c r="I334" i="1"/>
  <c r="H334" i="1"/>
  <c r="F334" i="1"/>
  <c r="C334" i="1"/>
  <c r="AC333" i="1"/>
  <c r="AD333" i="1" s="1"/>
  <c r="AA333" i="1"/>
  <c r="X333" i="1"/>
  <c r="W333" i="1"/>
  <c r="U333" i="1"/>
  <c r="R333" i="1"/>
  <c r="N333" i="1"/>
  <c r="L333" i="1"/>
  <c r="H333" i="1"/>
  <c r="I333" i="1" s="1"/>
  <c r="F333" i="1"/>
  <c r="C333" i="1"/>
  <c r="AD332" i="1"/>
  <c r="AC332" i="1"/>
  <c r="AA332" i="1"/>
  <c r="X332" i="1"/>
  <c r="W332" i="1"/>
  <c r="U332" i="1"/>
  <c r="R332" i="1"/>
  <c r="N332" i="1"/>
  <c r="L332" i="1"/>
  <c r="H332" i="1"/>
  <c r="I332" i="1" s="1"/>
  <c r="F332" i="1"/>
  <c r="C332" i="1"/>
  <c r="AD331" i="1"/>
  <c r="AC331" i="1"/>
  <c r="AA331" i="1"/>
  <c r="X331" i="1"/>
  <c r="W331" i="1"/>
  <c r="U331" i="1"/>
  <c r="R331" i="1"/>
  <c r="O331" i="1"/>
  <c r="N331" i="1"/>
  <c r="L331" i="1"/>
  <c r="H331" i="1"/>
  <c r="I331" i="1" s="1"/>
  <c r="F331" i="1"/>
  <c r="C331" i="1"/>
  <c r="AC330" i="1"/>
  <c r="AD330" i="1" s="1"/>
  <c r="AA330" i="1"/>
  <c r="W330" i="1"/>
  <c r="X330" i="1" s="1"/>
  <c r="U330" i="1"/>
  <c r="R330" i="1"/>
  <c r="N330" i="1"/>
  <c r="L330" i="1"/>
  <c r="I330" i="1"/>
  <c r="H330" i="1"/>
  <c r="F330" i="1"/>
  <c r="C330" i="1"/>
  <c r="AC329" i="1"/>
  <c r="AD329" i="1" s="1"/>
  <c r="AA329" i="1"/>
  <c r="X329" i="1"/>
  <c r="W329" i="1"/>
  <c r="U329" i="1"/>
  <c r="R329" i="1"/>
  <c r="O329" i="1"/>
  <c r="N329" i="1"/>
  <c r="L329" i="1"/>
  <c r="I329" i="1"/>
  <c r="H329" i="1"/>
  <c r="F329" i="1"/>
  <c r="C329" i="1"/>
  <c r="AC328" i="1"/>
  <c r="AD328" i="1" s="1"/>
  <c r="AA328" i="1"/>
  <c r="W328" i="1"/>
  <c r="X328" i="1" s="1"/>
  <c r="U328" i="1"/>
  <c r="R328" i="1"/>
  <c r="N328" i="1"/>
  <c r="L328" i="1"/>
  <c r="H328" i="1"/>
  <c r="I328" i="1" s="1"/>
  <c r="F328" i="1"/>
  <c r="C328" i="1"/>
  <c r="AD325" i="1"/>
  <c r="AA325" i="1"/>
  <c r="Z325" i="1"/>
  <c r="U325" i="1"/>
  <c r="T325" i="1"/>
  <c r="W325" i="1" s="1"/>
  <c r="X325" i="1" s="1"/>
  <c r="R325" i="1"/>
  <c r="Q325" i="1"/>
  <c r="AC325" i="1" s="1"/>
  <c r="K325" i="1"/>
  <c r="L325" i="1" s="1"/>
  <c r="F325" i="1"/>
  <c r="E325" i="1"/>
  <c r="B325" i="1"/>
  <c r="Z324" i="1"/>
  <c r="U324" i="1"/>
  <c r="T324" i="1"/>
  <c r="Q324" i="1"/>
  <c r="L324" i="1"/>
  <c r="K324" i="1"/>
  <c r="I324" i="1"/>
  <c r="H324" i="1"/>
  <c r="E324" i="1"/>
  <c r="F324" i="1" s="1"/>
  <c r="B324" i="1"/>
  <c r="AD323" i="1"/>
  <c r="AC323" i="1"/>
  <c r="AA323" i="1"/>
  <c r="X323" i="1"/>
  <c r="W323" i="1"/>
  <c r="U323" i="1"/>
  <c r="R323" i="1"/>
  <c r="O323" i="1"/>
  <c r="N323" i="1"/>
  <c r="L323" i="1"/>
  <c r="H323" i="1"/>
  <c r="I323" i="1" s="1"/>
  <c r="F323" i="1"/>
  <c r="C323" i="1"/>
  <c r="AC322" i="1"/>
  <c r="AD322" i="1" s="1"/>
  <c r="AA322" i="1"/>
  <c r="W322" i="1"/>
  <c r="X322" i="1" s="1"/>
  <c r="U322" i="1"/>
  <c r="R322" i="1"/>
  <c r="O322" i="1"/>
  <c r="N322" i="1"/>
  <c r="L322" i="1"/>
  <c r="I322" i="1"/>
  <c r="H322" i="1"/>
  <c r="F322" i="1"/>
  <c r="C322" i="1"/>
  <c r="AC321" i="1"/>
  <c r="AD321" i="1" s="1"/>
  <c r="AA321" i="1"/>
  <c r="W321" i="1"/>
  <c r="X321" i="1" s="1"/>
  <c r="U321" i="1"/>
  <c r="R321" i="1"/>
  <c r="N321" i="1"/>
  <c r="L321" i="1"/>
  <c r="I321" i="1"/>
  <c r="H321" i="1"/>
  <c r="F321" i="1"/>
  <c r="C321" i="1"/>
  <c r="AD320" i="1"/>
  <c r="AC320" i="1"/>
  <c r="AA320" i="1"/>
  <c r="W320" i="1"/>
  <c r="X320" i="1" s="1"/>
  <c r="U320" i="1"/>
  <c r="R320" i="1"/>
  <c r="N320" i="1"/>
  <c r="O320" i="1" s="1"/>
  <c r="L320" i="1"/>
  <c r="H320" i="1"/>
  <c r="I320" i="1" s="1"/>
  <c r="F320" i="1"/>
  <c r="C320" i="1"/>
  <c r="AD319" i="1"/>
  <c r="AC319" i="1"/>
  <c r="AA319" i="1"/>
  <c r="X319" i="1"/>
  <c r="W319" i="1"/>
  <c r="U319" i="1"/>
  <c r="R319" i="1"/>
  <c r="N319" i="1"/>
  <c r="O319" i="1" s="1"/>
  <c r="L319" i="1"/>
  <c r="H319" i="1"/>
  <c r="I319" i="1" s="1"/>
  <c r="F319" i="1"/>
  <c r="C319" i="1"/>
  <c r="AC318" i="1"/>
  <c r="AD318" i="1" s="1"/>
  <c r="AA318" i="1"/>
  <c r="W318" i="1"/>
  <c r="X318" i="1" s="1"/>
  <c r="U318" i="1"/>
  <c r="R318" i="1"/>
  <c r="N318" i="1"/>
  <c r="L318" i="1"/>
  <c r="I318" i="1"/>
  <c r="H318" i="1"/>
  <c r="F318" i="1"/>
  <c r="C318" i="1"/>
  <c r="AC317" i="1"/>
  <c r="AD317" i="1" s="1"/>
  <c r="AA317" i="1"/>
  <c r="W317" i="1"/>
  <c r="X317" i="1" s="1"/>
  <c r="U317" i="1"/>
  <c r="R317" i="1"/>
  <c r="N317" i="1"/>
  <c r="L317" i="1"/>
  <c r="I317" i="1"/>
  <c r="H317" i="1"/>
  <c r="F317" i="1"/>
  <c r="C317" i="1"/>
  <c r="AD316" i="1"/>
  <c r="AC316" i="1"/>
  <c r="AA316" i="1"/>
  <c r="X316" i="1"/>
  <c r="W316" i="1"/>
  <c r="U316" i="1"/>
  <c r="R316" i="1"/>
  <c r="N316" i="1"/>
  <c r="O316" i="1" s="1"/>
  <c r="L316" i="1"/>
  <c r="H316" i="1"/>
  <c r="I316" i="1" s="1"/>
  <c r="F316" i="1"/>
  <c r="C316" i="1"/>
  <c r="AD315" i="1"/>
  <c r="AC315" i="1"/>
  <c r="AA315" i="1"/>
  <c r="X315" i="1"/>
  <c r="W315" i="1"/>
  <c r="U315" i="1"/>
  <c r="R315" i="1"/>
  <c r="N315" i="1"/>
  <c r="L315" i="1"/>
  <c r="I315" i="1"/>
  <c r="H315" i="1"/>
  <c r="F315" i="1"/>
  <c r="C315" i="1"/>
  <c r="AC314" i="1"/>
  <c r="AD314" i="1" s="1"/>
  <c r="AA314" i="1"/>
  <c r="W314" i="1"/>
  <c r="X314" i="1" s="1"/>
  <c r="U314" i="1"/>
  <c r="R314" i="1"/>
  <c r="O314" i="1"/>
  <c r="N314" i="1"/>
  <c r="L314" i="1"/>
  <c r="I314" i="1"/>
  <c r="H314" i="1"/>
  <c r="F314" i="1"/>
  <c r="C314" i="1"/>
  <c r="AC313" i="1"/>
  <c r="AD313" i="1" s="1"/>
  <c r="AA313" i="1"/>
  <c r="W313" i="1"/>
  <c r="X313" i="1" s="1"/>
  <c r="U313" i="1"/>
  <c r="R313" i="1"/>
  <c r="N313" i="1"/>
  <c r="L313" i="1"/>
  <c r="I313" i="1"/>
  <c r="H313" i="1"/>
  <c r="F313" i="1"/>
  <c r="C313" i="1"/>
  <c r="AD312" i="1"/>
  <c r="AC312" i="1"/>
  <c r="AA312" i="1"/>
  <c r="X312" i="1"/>
  <c r="W312" i="1"/>
  <c r="U312" i="1"/>
  <c r="R312" i="1"/>
  <c r="N312" i="1"/>
  <c r="O312" i="1" s="1"/>
  <c r="L312" i="1"/>
  <c r="H312" i="1"/>
  <c r="I312" i="1" s="1"/>
  <c r="F312" i="1"/>
  <c r="C312" i="1"/>
  <c r="AD311" i="1"/>
  <c r="AC311" i="1"/>
  <c r="AA311" i="1"/>
  <c r="X311" i="1"/>
  <c r="W311" i="1"/>
  <c r="U311" i="1"/>
  <c r="R311" i="1"/>
  <c r="O311" i="1"/>
  <c r="N311" i="1"/>
  <c r="L311" i="1"/>
  <c r="H311" i="1"/>
  <c r="I311" i="1" s="1"/>
  <c r="F311" i="1"/>
  <c r="C311" i="1"/>
  <c r="AD310" i="1"/>
  <c r="AC310" i="1"/>
  <c r="AA310" i="1"/>
  <c r="W310" i="1"/>
  <c r="X310" i="1" s="1"/>
  <c r="U310" i="1"/>
  <c r="R310" i="1"/>
  <c r="N310" i="1"/>
  <c r="L310" i="1"/>
  <c r="I310" i="1"/>
  <c r="H310" i="1"/>
  <c r="F310" i="1"/>
  <c r="C310" i="1"/>
  <c r="AC309" i="1"/>
  <c r="AD309" i="1" s="1"/>
  <c r="AA309" i="1"/>
  <c r="W309" i="1"/>
  <c r="X309" i="1" s="1"/>
  <c r="U309" i="1"/>
  <c r="R309" i="1"/>
  <c r="N309" i="1"/>
  <c r="L309" i="1"/>
  <c r="I309" i="1"/>
  <c r="H309" i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H308" i="1"/>
  <c r="I308" i="1" s="1"/>
  <c r="F308" i="1"/>
  <c r="C308" i="1"/>
  <c r="AD307" i="1"/>
  <c r="AC307" i="1"/>
  <c r="AA307" i="1"/>
  <c r="X307" i="1"/>
  <c r="W307" i="1"/>
  <c r="U307" i="1"/>
  <c r="R307" i="1"/>
  <c r="O307" i="1"/>
  <c r="N307" i="1"/>
  <c r="L307" i="1"/>
  <c r="H307" i="1"/>
  <c r="I307" i="1" s="1"/>
  <c r="F307" i="1"/>
  <c r="C307" i="1"/>
  <c r="AC306" i="1"/>
  <c r="AD306" i="1" s="1"/>
  <c r="AA306" i="1"/>
  <c r="W306" i="1"/>
  <c r="X306" i="1" s="1"/>
  <c r="U306" i="1"/>
  <c r="R306" i="1"/>
  <c r="O306" i="1"/>
  <c r="N306" i="1"/>
  <c r="L306" i="1"/>
  <c r="I306" i="1"/>
  <c r="H306" i="1"/>
  <c r="F306" i="1"/>
  <c r="C306" i="1"/>
  <c r="AC305" i="1"/>
  <c r="AD305" i="1" s="1"/>
  <c r="AA305" i="1"/>
  <c r="W305" i="1"/>
  <c r="X305" i="1" s="1"/>
  <c r="U305" i="1"/>
  <c r="R305" i="1"/>
  <c r="N305" i="1"/>
  <c r="L305" i="1"/>
  <c r="I305" i="1"/>
  <c r="H305" i="1"/>
  <c r="F305" i="1"/>
  <c r="C305" i="1"/>
  <c r="AD304" i="1"/>
  <c r="AC304" i="1"/>
  <c r="AA304" i="1"/>
  <c r="W304" i="1"/>
  <c r="X304" i="1" s="1"/>
  <c r="U304" i="1"/>
  <c r="R304" i="1"/>
  <c r="N304" i="1"/>
  <c r="L304" i="1"/>
  <c r="H304" i="1"/>
  <c r="I304" i="1" s="1"/>
  <c r="F304" i="1"/>
  <c r="C304" i="1"/>
  <c r="AD303" i="1"/>
  <c r="AC303" i="1"/>
  <c r="AA303" i="1"/>
  <c r="X303" i="1"/>
  <c r="W303" i="1"/>
  <c r="U303" i="1"/>
  <c r="R303" i="1"/>
  <c r="N303" i="1"/>
  <c r="O303" i="1" s="1"/>
  <c r="L303" i="1"/>
  <c r="H303" i="1"/>
  <c r="I303" i="1" s="1"/>
  <c r="F303" i="1"/>
  <c r="C303" i="1"/>
  <c r="AC302" i="1"/>
  <c r="AD302" i="1" s="1"/>
  <c r="AA302" i="1"/>
  <c r="W302" i="1"/>
  <c r="X302" i="1" s="1"/>
  <c r="U302" i="1"/>
  <c r="R302" i="1"/>
  <c r="N302" i="1"/>
  <c r="L302" i="1"/>
  <c r="I302" i="1"/>
  <c r="H302" i="1"/>
  <c r="F302" i="1"/>
  <c r="C302" i="1"/>
  <c r="AC301" i="1"/>
  <c r="AD301" i="1" s="1"/>
  <c r="AA301" i="1"/>
  <c r="W301" i="1"/>
  <c r="X301" i="1" s="1"/>
  <c r="U301" i="1"/>
  <c r="R301" i="1"/>
  <c r="N301" i="1"/>
  <c r="L301" i="1"/>
  <c r="I301" i="1"/>
  <c r="H301" i="1"/>
  <c r="F301" i="1"/>
  <c r="C301" i="1"/>
  <c r="AD300" i="1"/>
  <c r="AC300" i="1"/>
  <c r="AA300" i="1"/>
  <c r="X300" i="1"/>
  <c r="W300" i="1"/>
  <c r="U300" i="1"/>
  <c r="R300" i="1"/>
  <c r="N300" i="1"/>
  <c r="L300" i="1"/>
  <c r="H300" i="1"/>
  <c r="I300" i="1" s="1"/>
  <c r="F300" i="1"/>
  <c r="C300" i="1"/>
  <c r="AD299" i="1"/>
  <c r="AC299" i="1"/>
  <c r="AA299" i="1"/>
  <c r="X299" i="1"/>
  <c r="W299" i="1"/>
  <c r="U299" i="1"/>
  <c r="R299" i="1"/>
  <c r="N299" i="1"/>
  <c r="L299" i="1"/>
  <c r="I299" i="1"/>
  <c r="H299" i="1"/>
  <c r="F299" i="1"/>
  <c r="C299" i="1"/>
  <c r="AC298" i="1"/>
  <c r="AD298" i="1" s="1"/>
  <c r="AA298" i="1"/>
  <c r="W298" i="1"/>
  <c r="X298" i="1" s="1"/>
  <c r="U298" i="1"/>
  <c r="R298" i="1"/>
  <c r="N298" i="1"/>
  <c r="L298" i="1"/>
  <c r="I298" i="1"/>
  <c r="H298" i="1"/>
  <c r="F298" i="1"/>
  <c r="C298" i="1"/>
  <c r="AC297" i="1"/>
  <c r="AD297" i="1" s="1"/>
  <c r="AA297" i="1"/>
  <c r="W297" i="1"/>
  <c r="X297" i="1" s="1"/>
  <c r="U297" i="1"/>
  <c r="R297" i="1"/>
  <c r="N297" i="1"/>
  <c r="L297" i="1"/>
  <c r="I297" i="1"/>
  <c r="H297" i="1"/>
  <c r="F297" i="1"/>
  <c r="C297" i="1"/>
  <c r="Z295" i="1"/>
  <c r="AA295" i="1" s="1"/>
  <c r="X295" i="1"/>
  <c r="W295" i="1"/>
  <c r="U295" i="1"/>
  <c r="T295" i="1"/>
  <c r="R295" i="1"/>
  <c r="Q295" i="1"/>
  <c r="L295" i="1"/>
  <c r="K295" i="1"/>
  <c r="E295" i="1"/>
  <c r="F295" i="1" s="1"/>
  <c r="B295" i="1"/>
  <c r="AD294" i="1"/>
  <c r="AC294" i="1"/>
  <c r="AA294" i="1"/>
  <c r="W294" i="1"/>
  <c r="X294" i="1" s="1"/>
  <c r="U294" i="1"/>
  <c r="R294" i="1"/>
  <c r="N294" i="1"/>
  <c r="L294" i="1"/>
  <c r="I294" i="1"/>
  <c r="H294" i="1"/>
  <c r="F294" i="1"/>
  <c r="C294" i="1"/>
  <c r="AC293" i="1"/>
  <c r="AD293" i="1" s="1"/>
  <c r="AA293" i="1"/>
  <c r="X293" i="1"/>
  <c r="W293" i="1"/>
  <c r="U293" i="1"/>
  <c r="R293" i="1"/>
  <c r="N293" i="1"/>
  <c r="L293" i="1"/>
  <c r="H293" i="1"/>
  <c r="I293" i="1" s="1"/>
  <c r="F293" i="1"/>
  <c r="C293" i="1"/>
  <c r="AC292" i="1"/>
  <c r="AD292" i="1" s="1"/>
  <c r="AA292" i="1"/>
  <c r="W292" i="1"/>
  <c r="X292" i="1" s="1"/>
  <c r="U292" i="1"/>
  <c r="R292" i="1"/>
  <c r="N292" i="1"/>
  <c r="L292" i="1"/>
  <c r="H292" i="1"/>
  <c r="I292" i="1" s="1"/>
  <c r="F292" i="1"/>
  <c r="C292" i="1"/>
  <c r="AD291" i="1"/>
  <c r="AC291" i="1"/>
  <c r="AA291" i="1"/>
  <c r="X291" i="1"/>
  <c r="W291" i="1"/>
  <c r="U291" i="1"/>
  <c r="R291" i="1"/>
  <c r="N291" i="1"/>
  <c r="L291" i="1"/>
  <c r="I291" i="1"/>
  <c r="H291" i="1"/>
  <c r="F291" i="1"/>
  <c r="C291" i="1"/>
  <c r="AD290" i="1"/>
  <c r="AC290" i="1"/>
  <c r="AA290" i="1"/>
  <c r="W290" i="1"/>
  <c r="X290" i="1" s="1"/>
  <c r="U290" i="1"/>
  <c r="R290" i="1"/>
  <c r="N290" i="1"/>
  <c r="O290" i="1" s="1"/>
  <c r="L290" i="1"/>
  <c r="I290" i="1"/>
  <c r="H290" i="1"/>
  <c r="F290" i="1"/>
  <c r="C290" i="1"/>
  <c r="AC289" i="1"/>
  <c r="AD289" i="1" s="1"/>
  <c r="AA289" i="1"/>
  <c r="W289" i="1"/>
  <c r="X289" i="1" s="1"/>
  <c r="U289" i="1"/>
  <c r="R289" i="1"/>
  <c r="O289" i="1"/>
  <c r="N289" i="1"/>
  <c r="L289" i="1"/>
  <c r="H289" i="1"/>
  <c r="I289" i="1" s="1"/>
  <c r="F289" i="1"/>
  <c r="C289" i="1"/>
  <c r="AC288" i="1"/>
  <c r="AD288" i="1" s="1"/>
  <c r="AA288" i="1"/>
  <c r="W288" i="1"/>
  <c r="X288" i="1" s="1"/>
  <c r="U288" i="1"/>
  <c r="R288" i="1"/>
  <c r="N288" i="1"/>
  <c r="L288" i="1"/>
  <c r="H288" i="1"/>
  <c r="I288" i="1" s="1"/>
  <c r="F288" i="1"/>
  <c r="C288" i="1"/>
  <c r="AD287" i="1"/>
  <c r="AC287" i="1"/>
  <c r="AA287" i="1"/>
  <c r="X287" i="1"/>
  <c r="W287" i="1"/>
  <c r="U287" i="1"/>
  <c r="R287" i="1"/>
  <c r="N287" i="1"/>
  <c r="O287" i="1" s="1"/>
  <c r="L287" i="1"/>
  <c r="I287" i="1"/>
  <c r="H287" i="1"/>
  <c r="F287" i="1"/>
  <c r="C287" i="1"/>
  <c r="AD286" i="1"/>
  <c r="AC286" i="1"/>
  <c r="AA286" i="1"/>
  <c r="W286" i="1"/>
  <c r="X286" i="1" s="1"/>
  <c r="U286" i="1"/>
  <c r="R286" i="1"/>
  <c r="N286" i="1"/>
  <c r="O286" i="1" s="1"/>
  <c r="L286" i="1"/>
  <c r="I286" i="1"/>
  <c r="H286" i="1"/>
  <c r="F286" i="1"/>
  <c r="C286" i="1"/>
  <c r="Z284" i="1"/>
  <c r="AA284" i="1" s="1"/>
  <c r="T284" i="1"/>
  <c r="U284" i="1" s="1"/>
  <c r="Q284" i="1"/>
  <c r="K284" i="1"/>
  <c r="L284" i="1" s="1"/>
  <c r="E284" i="1"/>
  <c r="F284" i="1" s="1"/>
  <c r="C284" i="1"/>
  <c r="B284" i="1"/>
  <c r="AC283" i="1"/>
  <c r="AD283" i="1" s="1"/>
  <c r="AA283" i="1"/>
  <c r="X283" i="1"/>
  <c r="W283" i="1"/>
  <c r="U283" i="1"/>
  <c r="R283" i="1"/>
  <c r="O283" i="1"/>
  <c r="N283" i="1"/>
  <c r="L283" i="1"/>
  <c r="I283" i="1"/>
  <c r="H283" i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C281" i="1"/>
  <c r="AD281" i="1" s="1"/>
  <c r="AA281" i="1"/>
  <c r="X281" i="1"/>
  <c r="W281" i="1"/>
  <c r="U281" i="1"/>
  <c r="R281" i="1"/>
  <c r="N281" i="1"/>
  <c r="L281" i="1"/>
  <c r="I281" i="1"/>
  <c r="H281" i="1"/>
  <c r="F281" i="1"/>
  <c r="C281" i="1"/>
  <c r="AC280" i="1"/>
  <c r="AD280" i="1" s="1"/>
  <c r="AA280" i="1"/>
  <c r="W280" i="1"/>
  <c r="X280" i="1" s="1"/>
  <c r="U280" i="1"/>
  <c r="R280" i="1"/>
  <c r="N280" i="1"/>
  <c r="O280" i="1" s="1"/>
  <c r="L280" i="1"/>
  <c r="H280" i="1"/>
  <c r="I280" i="1" s="1"/>
  <c r="F280" i="1"/>
  <c r="C280" i="1"/>
  <c r="AD279" i="1"/>
  <c r="AC279" i="1"/>
  <c r="AA279" i="1"/>
  <c r="X279" i="1"/>
  <c r="W279" i="1"/>
  <c r="U279" i="1"/>
  <c r="R279" i="1"/>
  <c r="N279" i="1"/>
  <c r="O279" i="1" s="1"/>
  <c r="L279" i="1"/>
  <c r="H279" i="1"/>
  <c r="I279" i="1" s="1"/>
  <c r="F279" i="1"/>
  <c r="C279" i="1"/>
  <c r="AC278" i="1"/>
  <c r="AD278" i="1" s="1"/>
  <c r="AA278" i="1"/>
  <c r="X278" i="1"/>
  <c r="W278" i="1"/>
  <c r="U278" i="1"/>
  <c r="R278" i="1"/>
  <c r="N278" i="1"/>
  <c r="L278" i="1"/>
  <c r="H278" i="1"/>
  <c r="I278" i="1" s="1"/>
  <c r="F278" i="1"/>
  <c r="C278" i="1"/>
  <c r="AC277" i="1"/>
  <c r="AD277" i="1" s="1"/>
  <c r="AA277" i="1"/>
  <c r="W277" i="1"/>
  <c r="X277" i="1" s="1"/>
  <c r="U277" i="1"/>
  <c r="R277" i="1"/>
  <c r="N277" i="1"/>
  <c r="O277" i="1" s="1"/>
  <c r="L277" i="1"/>
  <c r="I277" i="1"/>
  <c r="H277" i="1"/>
  <c r="F277" i="1"/>
  <c r="C277" i="1"/>
  <c r="AD276" i="1"/>
  <c r="AC276" i="1"/>
  <c r="AA276" i="1"/>
  <c r="X276" i="1"/>
  <c r="W276" i="1"/>
  <c r="U276" i="1"/>
  <c r="R276" i="1"/>
  <c r="N276" i="1"/>
  <c r="O276" i="1" s="1"/>
  <c r="L276" i="1"/>
  <c r="H276" i="1"/>
  <c r="I276" i="1" s="1"/>
  <c r="F276" i="1"/>
  <c r="C276" i="1"/>
  <c r="AC275" i="1"/>
  <c r="AD275" i="1" s="1"/>
  <c r="AA275" i="1"/>
  <c r="W275" i="1"/>
  <c r="X275" i="1" s="1"/>
  <c r="U275" i="1"/>
  <c r="R275" i="1"/>
  <c r="N275" i="1"/>
  <c r="L275" i="1"/>
  <c r="I275" i="1"/>
  <c r="H275" i="1"/>
  <c r="F275" i="1"/>
  <c r="C275" i="1"/>
  <c r="Z273" i="1"/>
  <c r="AA273" i="1" s="1"/>
  <c r="T273" i="1"/>
  <c r="R273" i="1"/>
  <c r="Q273" i="1"/>
  <c r="AC273" i="1" s="1"/>
  <c r="AD273" i="1" s="1"/>
  <c r="O273" i="1"/>
  <c r="N273" i="1"/>
  <c r="L273" i="1"/>
  <c r="K273" i="1"/>
  <c r="F273" i="1"/>
  <c r="E273" i="1"/>
  <c r="C273" i="1"/>
  <c r="B273" i="1"/>
  <c r="H273" i="1" s="1"/>
  <c r="I273" i="1" s="1"/>
  <c r="AD272" i="1"/>
  <c r="AC272" i="1"/>
  <c r="AA272" i="1"/>
  <c r="W272" i="1"/>
  <c r="X272" i="1" s="1"/>
  <c r="U272" i="1"/>
  <c r="R272" i="1"/>
  <c r="O272" i="1"/>
  <c r="N272" i="1"/>
  <c r="L272" i="1"/>
  <c r="H272" i="1"/>
  <c r="I272" i="1" s="1"/>
  <c r="F272" i="1"/>
  <c r="C272" i="1"/>
  <c r="AC271" i="1"/>
  <c r="AD271" i="1" s="1"/>
  <c r="AA271" i="1"/>
  <c r="W271" i="1"/>
  <c r="X271" i="1" s="1"/>
  <c r="U271" i="1"/>
  <c r="R271" i="1"/>
  <c r="N271" i="1"/>
  <c r="L271" i="1"/>
  <c r="I271" i="1"/>
  <c r="H271" i="1"/>
  <c r="F271" i="1"/>
  <c r="C271" i="1"/>
  <c r="AD270" i="1"/>
  <c r="AC270" i="1"/>
  <c r="AA270" i="1"/>
  <c r="X270" i="1"/>
  <c r="W270" i="1"/>
  <c r="U270" i="1"/>
  <c r="R270" i="1"/>
  <c r="O270" i="1"/>
  <c r="N270" i="1"/>
  <c r="L270" i="1"/>
  <c r="H270" i="1"/>
  <c r="I270" i="1" s="1"/>
  <c r="F270" i="1"/>
  <c r="C270" i="1"/>
  <c r="AC269" i="1"/>
  <c r="AD269" i="1" s="1"/>
  <c r="AA269" i="1"/>
  <c r="W269" i="1"/>
  <c r="X269" i="1" s="1"/>
  <c r="U269" i="1"/>
  <c r="R269" i="1"/>
  <c r="N269" i="1"/>
  <c r="O269" i="1" s="1"/>
  <c r="L269" i="1"/>
  <c r="I269" i="1"/>
  <c r="H269" i="1"/>
  <c r="F269" i="1"/>
  <c r="C269" i="1"/>
  <c r="Z267" i="1"/>
  <c r="AA267" i="1" s="1"/>
  <c r="T267" i="1"/>
  <c r="U267" i="1" s="1"/>
  <c r="R267" i="1"/>
  <c r="Q267" i="1"/>
  <c r="W267" i="1" s="1"/>
  <c r="X267" i="1" s="1"/>
  <c r="L267" i="1"/>
  <c r="K267" i="1"/>
  <c r="F267" i="1"/>
  <c r="E267" i="1"/>
  <c r="B267" i="1"/>
  <c r="AD266" i="1"/>
  <c r="AC266" i="1"/>
  <c r="AA266" i="1"/>
  <c r="X266" i="1"/>
  <c r="W266" i="1"/>
  <c r="U266" i="1"/>
  <c r="R266" i="1"/>
  <c r="O266" i="1"/>
  <c r="N266" i="1"/>
  <c r="L266" i="1"/>
  <c r="H266" i="1"/>
  <c r="I266" i="1" s="1"/>
  <c r="F266" i="1"/>
  <c r="C266" i="1"/>
  <c r="AC265" i="1"/>
  <c r="AD265" i="1" s="1"/>
  <c r="AA265" i="1"/>
  <c r="W265" i="1"/>
  <c r="X265" i="1" s="1"/>
  <c r="U265" i="1"/>
  <c r="R265" i="1"/>
  <c r="N265" i="1"/>
  <c r="O265" i="1" s="1"/>
  <c r="L265" i="1"/>
  <c r="I265" i="1"/>
  <c r="H265" i="1"/>
  <c r="F265" i="1"/>
  <c r="C265" i="1"/>
  <c r="Z263" i="1"/>
  <c r="AA263" i="1" s="1"/>
  <c r="T263" i="1"/>
  <c r="U263" i="1" s="1"/>
  <c r="R263" i="1"/>
  <c r="Q263" i="1"/>
  <c r="L263" i="1"/>
  <c r="K263" i="1"/>
  <c r="F263" i="1"/>
  <c r="E263" i="1"/>
  <c r="B263" i="1"/>
  <c r="AA262" i="1"/>
  <c r="Z262" i="1"/>
  <c r="T262" i="1"/>
  <c r="R262" i="1"/>
  <c r="Q262" i="1"/>
  <c r="AC262" i="1" s="1"/>
  <c r="AD262" i="1" s="1"/>
  <c r="O262" i="1"/>
  <c r="L262" i="1"/>
  <c r="K262" i="1"/>
  <c r="H262" i="1"/>
  <c r="I262" i="1" s="1"/>
  <c r="F262" i="1"/>
  <c r="E262" i="1"/>
  <c r="B262" i="1"/>
  <c r="N262" i="1" s="1"/>
  <c r="AD261" i="1"/>
  <c r="AC261" i="1"/>
  <c r="AA261" i="1"/>
  <c r="X261" i="1"/>
  <c r="W261" i="1"/>
  <c r="U261" i="1"/>
  <c r="R261" i="1"/>
  <c r="O261" i="1"/>
  <c r="N261" i="1"/>
  <c r="L261" i="1"/>
  <c r="H261" i="1"/>
  <c r="I261" i="1" s="1"/>
  <c r="F261" i="1"/>
  <c r="C261" i="1"/>
  <c r="AD260" i="1"/>
  <c r="AC260" i="1"/>
  <c r="AA260" i="1"/>
  <c r="W260" i="1"/>
  <c r="X260" i="1" s="1"/>
  <c r="U260" i="1"/>
  <c r="R260" i="1"/>
  <c r="N260" i="1"/>
  <c r="O260" i="1" s="1"/>
  <c r="L260" i="1"/>
  <c r="I260" i="1"/>
  <c r="H260" i="1"/>
  <c r="F260" i="1"/>
  <c r="C260" i="1"/>
  <c r="AD259" i="1"/>
  <c r="AC259" i="1"/>
  <c r="AA259" i="1"/>
  <c r="W259" i="1"/>
  <c r="X259" i="1" s="1"/>
  <c r="U259" i="1"/>
  <c r="R259" i="1"/>
  <c r="N259" i="1"/>
  <c r="O259" i="1" s="1"/>
  <c r="L259" i="1"/>
  <c r="I259" i="1"/>
  <c r="H259" i="1"/>
  <c r="F259" i="1"/>
  <c r="C259" i="1"/>
  <c r="AC258" i="1"/>
  <c r="AD258" i="1" s="1"/>
  <c r="AA258" i="1"/>
  <c r="W258" i="1"/>
  <c r="X258" i="1" s="1"/>
  <c r="U258" i="1"/>
  <c r="R258" i="1"/>
  <c r="N258" i="1"/>
  <c r="L258" i="1"/>
  <c r="I258" i="1"/>
  <c r="H258" i="1"/>
  <c r="F258" i="1"/>
  <c r="C258" i="1"/>
  <c r="AD257" i="1"/>
  <c r="AC257" i="1"/>
  <c r="AA257" i="1"/>
  <c r="X257" i="1"/>
  <c r="W257" i="1"/>
  <c r="U257" i="1"/>
  <c r="R257" i="1"/>
  <c r="O257" i="1"/>
  <c r="N257" i="1"/>
  <c r="L257" i="1"/>
  <c r="H257" i="1"/>
  <c r="I257" i="1" s="1"/>
  <c r="F257" i="1"/>
  <c r="C257" i="1"/>
  <c r="AD256" i="1"/>
  <c r="AC256" i="1"/>
  <c r="AA256" i="1"/>
  <c r="W256" i="1"/>
  <c r="X256" i="1" s="1"/>
  <c r="U256" i="1"/>
  <c r="R256" i="1"/>
  <c r="N256" i="1"/>
  <c r="O256" i="1" s="1"/>
  <c r="L256" i="1"/>
  <c r="I256" i="1"/>
  <c r="H256" i="1"/>
  <c r="F256" i="1"/>
  <c r="C256" i="1"/>
  <c r="AD255" i="1"/>
  <c r="AC255" i="1"/>
  <c r="AA255" i="1"/>
  <c r="W255" i="1"/>
  <c r="X255" i="1" s="1"/>
  <c r="U255" i="1"/>
  <c r="R255" i="1"/>
  <c r="N255" i="1"/>
  <c r="O255" i="1" s="1"/>
  <c r="L255" i="1"/>
  <c r="H255" i="1"/>
  <c r="I255" i="1" s="1"/>
  <c r="F255" i="1"/>
  <c r="C255" i="1"/>
  <c r="AC254" i="1"/>
  <c r="AD254" i="1" s="1"/>
  <c r="AA254" i="1"/>
  <c r="W254" i="1"/>
  <c r="X254" i="1" s="1"/>
  <c r="U254" i="1"/>
  <c r="R254" i="1"/>
  <c r="N254" i="1"/>
  <c r="O254" i="1" s="1"/>
  <c r="L254" i="1"/>
  <c r="I254" i="1"/>
  <c r="H254" i="1"/>
  <c r="F254" i="1"/>
  <c r="C254" i="1"/>
  <c r="AD253" i="1"/>
  <c r="AC253" i="1"/>
  <c r="AA253" i="1"/>
  <c r="X253" i="1"/>
  <c r="W253" i="1"/>
  <c r="U253" i="1"/>
  <c r="R253" i="1"/>
  <c r="O253" i="1"/>
  <c r="N253" i="1"/>
  <c r="L253" i="1"/>
  <c r="H253" i="1"/>
  <c r="I253" i="1" s="1"/>
  <c r="F253" i="1"/>
  <c r="C253" i="1"/>
  <c r="AD252" i="1"/>
  <c r="AC252" i="1"/>
  <c r="AA252" i="1"/>
  <c r="W252" i="1"/>
  <c r="X252" i="1" s="1"/>
  <c r="U252" i="1"/>
  <c r="R252" i="1"/>
  <c r="N252" i="1"/>
  <c r="O252" i="1" s="1"/>
  <c r="L252" i="1"/>
  <c r="I252" i="1"/>
  <c r="H252" i="1"/>
  <c r="F252" i="1"/>
  <c r="C252" i="1"/>
  <c r="AD251" i="1"/>
  <c r="AC251" i="1"/>
  <c r="AA251" i="1"/>
  <c r="W251" i="1"/>
  <c r="X251" i="1" s="1"/>
  <c r="U251" i="1"/>
  <c r="R251" i="1"/>
  <c r="N251" i="1"/>
  <c r="O251" i="1" s="1"/>
  <c r="L251" i="1"/>
  <c r="I251" i="1"/>
  <c r="H251" i="1"/>
  <c r="F251" i="1"/>
  <c r="C251" i="1"/>
  <c r="AC250" i="1"/>
  <c r="AD250" i="1" s="1"/>
  <c r="AA250" i="1"/>
  <c r="W250" i="1"/>
  <c r="X250" i="1" s="1"/>
  <c r="U250" i="1"/>
  <c r="R250" i="1"/>
  <c r="N250" i="1"/>
  <c r="L250" i="1"/>
  <c r="I250" i="1"/>
  <c r="H250" i="1"/>
  <c r="F250" i="1"/>
  <c r="C250" i="1"/>
  <c r="AD249" i="1"/>
  <c r="AC249" i="1"/>
  <c r="AA249" i="1"/>
  <c r="X249" i="1"/>
  <c r="W249" i="1"/>
  <c r="U249" i="1"/>
  <c r="R249" i="1"/>
  <c r="N249" i="1"/>
  <c r="O249" i="1" s="1"/>
  <c r="L249" i="1"/>
  <c r="H249" i="1"/>
  <c r="I249" i="1" s="1"/>
  <c r="F249" i="1"/>
  <c r="C249" i="1"/>
  <c r="AD248" i="1"/>
  <c r="AC248" i="1"/>
  <c r="AA248" i="1"/>
  <c r="W248" i="1"/>
  <c r="X248" i="1" s="1"/>
  <c r="U248" i="1"/>
  <c r="R248" i="1"/>
  <c r="N248" i="1"/>
  <c r="O248" i="1" s="1"/>
  <c r="L248" i="1"/>
  <c r="I248" i="1"/>
  <c r="H248" i="1"/>
  <c r="F248" i="1"/>
  <c r="C248" i="1"/>
  <c r="AD247" i="1"/>
  <c r="AC247" i="1"/>
  <c r="AA247" i="1"/>
  <c r="W247" i="1"/>
  <c r="X247" i="1" s="1"/>
  <c r="U247" i="1"/>
  <c r="R247" i="1"/>
  <c r="N247" i="1"/>
  <c r="O247" i="1" s="1"/>
  <c r="L247" i="1"/>
  <c r="I247" i="1"/>
  <c r="H247" i="1"/>
  <c r="F247" i="1"/>
  <c r="C247" i="1"/>
  <c r="AC246" i="1"/>
  <c r="AD246" i="1" s="1"/>
  <c r="AA246" i="1"/>
  <c r="W246" i="1"/>
  <c r="X246" i="1" s="1"/>
  <c r="U246" i="1"/>
  <c r="R246" i="1"/>
  <c r="N246" i="1"/>
  <c r="L246" i="1"/>
  <c r="I246" i="1"/>
  <c r="H246" i="1"/>
  <c r="F246" i="1"/>
  <c r="C246" i="1"/>
  <c r="AD245" i="1"/>
  <c r="AC245" i="1"/>
  <c r="AA245" i="1"/>
  <c r="X245" i="1"/>
  <c r="W245" i="1"/>
  <c r="U245" i="1"/>
  <c r="R245" i="1"/>
  <c r="O245" i="1"/>
  <c r="N245" i="1"/>
  <c r="L245" i="1"/>
  <c r="H245" i="1"/>
  <c r="I245" i="1" s="1"/>
  <c r="F245" i="1"/>
  <c r="C245" i="1"/>
  <c r="AC244" i="1"/>
  <c r="AD244" i="1" s="1"/>
  <c r="AA244" i="1"/>
  <c r="W244" i="1"/>
  <c r="X244" i="1" s="1"/>
  <c r="U244" i="1"/>
  <c r="R244" i="1"/>
  <c r="N244" i="1"/>
  <c r="O244" i="1" s="1"/>
  <c r="L244" i="1"/>
  <c r="I244" i="1"/>
  <c r="H244" i="1"/>
  <c r="F244" i="1"/>
  <c r="C244" i="1"/>
  <c r="AD243" i="1"/>
  <c r="AC243" i="1"/>
  <c r="AA243" i="1"/>
  <c r="W243" i="1"/>
  <c r="X243" i="1" s="1"/>
  <c r="U243" i="1"/>
  <c r="R243" i="1"/>
  <c r="N243" i="1"/>
  <c r="O243" i="1" s="1"/>
  <c r="L243" i="1"/>
  <c r="I243" i="1"/>
  <c r="H243" i="1"/>
  <c r="F243" i="1"/>
  <c r="C243" i="1"/>
  <c r="AC242" i="1"/>
  <c r="AD242" i="1" s="1"/>
  <c r="AA242" i="1"/>
  <c r="W242" i="1"/>
  <c r="X242" i="1" s="1"/>
  <c r="U242" i="1"/>
  <c r="R242" i="1"/>
  <c r="N242" i="1"/>
  <c r="L242" i="1"/>
  <c r="I242" i="1"/>
  <c r="H242" i="1"/>
  <c r="F242" i="1"/>
  <c r="C242" i="1"/>
  <c r="AD241" i="1"/>
  <c r="AC241" i="1"/>
  <c r="AA241" i="1"/>
  <c r="X241" i="1"/>
  <c r="W241" i="1"/>
  <c r="U241" i="1"/>
  <c r="R241" i="1"/>
  <c r="O241" i="1"/>
  <c r="N241" i="1"/>
  <c r="L241" i="1"/>
  <c r="H241" i="1"/>
  <c r="I241" i="1" s="1"/>
  <c r="F241" i="1"/>
  <c r="C241" i="1"/>
  <c r="AD240" i="1"/>
  <c r="AC240" i="1"/>
  <c r="AA240" i="1"/>
  <c r="W240" i="1"/>
  <c r="X240" i="1" s="1"/>
  <c r="U240" i="1"/>
  <c r="R240" i="1"/>
  <c r="N240" i="1"/>
  <c r="O240" i="1" s="1"/>
  <c r="L240" i="1"/>
  <c r="I240" i="1"/>
  <c r="H240" i="1"/>
  <c r="F240" i="1"/>
  <c r="C240" i="1"/>
  <c r="AD238" i="1"/>
  <c r="AC238" i="1"/>
  <c r="AA238" i="1"/>
  <c r="W238" i="1"/>
  <c r="X238" i="1" s="1"/>
  <c r="U238" i="1"/>
  <c r="R238" i="1"/>
  <c r="N238" i="1"/>
  <c r="O238" i="1" s="1"/>
  <c r="L238" i="1"/>
  <c r="H238" i="1"/>
  <c r="I238" i="1" s="1"/>
  <c r="F238" i="1"/>
  <c r="C238" i="1"/>
  <c r="AC236" i="1"/>
  <c r="AD236" i="1" s="1"/>
  <c r="AA236" i="1"/>
  <c r="Z236" i="1"/>
  <c r="W236" i="1"/>
  <c r="X236" i="1" s="1"/>
  <c r="U236" i="1"/>
  <c r="T236" i="1"/>
  <c r="Q236" i="1"/>
  <c r="R236" i="1" s="1"/>
  <c r="K236" i="1"/>
  <c r="L236" i="1" s="1"/>
  <c r="E236" i="1"/>
  <c r="C236" i="1"/>
  <c r="B236" i="1"/>
  <c r="N236" i="1" s="1"/>
  <c r="O236" i="1" s="1"/>
  <c r="AC235" i="1"/>
  <c r="AD235" i="1" s="1"/>
  <c r="AA235" i="1"/>
  <c r="W235" i="1"/>
  <c r="X235" i="1" s="1"/>
  <c r="U235" i="1"/>
  <c r="R235" i="1"/>
  <c r="N235" i="1"/>
  <c r="O235" i="1" s="1"/>
  <c r="L235" i="1"/>
  <c r="I235" i="1"/>
  <c r="H235" i="1"/>
  <c r="F235" i="1"/>
  <c r="C235" i="1"/>
  <c r="AD234" i="1"/>
  <c r="AC234" i="1"/>
  <c r="AA234" i="1"/>
  <c r="X234" i="1"/>
  <c r="W234" i="1"/>
  <c r="U234" i="1"/>
  <c r="R234" i="1"/>
  <c r="O234" i="1"/>
  <c r="N234" i="1"/>
  <c r="L234" i="1"/>
  <c r="H234" i="1"/>
  <c r="I234" i="1" s="1"/>
  <c r="F234" i="1"/>
  <c r="C234" i="1"/>
  <c r="AC233" i="1"/>
  <c r="AD233" i="1" s="1"/>
  <c r="AA233" i="1"/>
  <c r="W233" i="1"/>
  <c r="X233" i="1" s="1"/>
  <c r="U233" i="1"/>
  <c r="R233" i="1"/>
  <c r="N233" i="1"/>
  <c r="O233" i="1" s="1"/>
  <c r="L233" i="1"/>
  <c r="I233" i="1"/>
  <c r="H233" i="1"/>
  <c r="F233" i="1"/>
  <c r="C233" i="1"/>
  <c r="AD232" i="1"/>
  <c r="AC232" i="1"/>
  <c r="AA232" i="1"/>
  <c r="W232" i="1"/>
  <c r="X232" i="1" s="1"/>
  <c r="U232" i="1"/>
  <c r="R232" i="1"/>
  <c r="N232" i="1"/>
  <c r="O232" i="1" s="1"/>
  <c r="L232" i="1"/>
  <c r="H232" i="1"/>
  <c r="I232" i="1" s="1"/>
  <c r="F232" i="1"/>
  <c r="C232" i="1"/>
  <c r="AC231" i="1"/>
  <c r="AD231" i="1" s="1"/>
  <c r="AA231" i="1"/>
  <c r="W231" i="1"/>
  <c r="X231" i="1" s="1"/>
  <c r="U231" i="1"/>
  <c r="R231" i="1"/>
  <c r="N231" i="1"/>
  <c r="L231" i="1"/>
  <c r="I231" i="1"/>
  <c r="H231" i="1"/>
  <c r="F231" i="1"/>
  <c r="C231" i="1"/>
  <c r="AD230" i="1"/>
  <c r="AC230" i="1"/>
  <c r="AA230" i="1"/>
  <c r="X230" i="1"/>
  <c r="W230" i="1"/>
  <c r="U230" i="1"/>
  <c r="R230" i="1"/>
  <c r="N230" i="1"/>
  <c r="O230" i="1" s="1"/>
  <c r="L230" i="1"/>
  <c r="H230" i="1"/>
  <c r="I230" i="1" s="1"/>
  <c r="F230" i="1"/>
  <c r="C230" i="1"/>
  <c r="AC229" i="1"/>
  <c r="AD229" i="1" s="1"/>
  <c r="AA229" i="1"/>
  <c r="W229" i="1"/>
  <c r="X229" i="1" s="1"/>
  <c r="U229" i="1"/>
  <c r="R229" i="1"/>
  <c r="N229" i="1"/>
  <c r="O229" i="1" s="1"/>
  <c r="L229" i="1"/>
  <c r="I229" i="1"/>
  <c r="H229" i="1"/>
  <c r="F229" i="1"/>
  <c r="C229" i="1"/>
  <c r="Z227" i="1"/>
  <c r="AA227" i="1" s="1"/>
  <c r="T227" i="1"/>
  <c r="U227" i="1" s="1"/>
  <c r="R227" i="1"/>
  <c r="Q227" i="1"/>
  <c r="W227" i="1" s="1"/>
  <c r="X227" i="1" s="1"/>
  <c r="L227" i="1"/>
  <c r="K227" i="1"/>
  <c r="F227" i="1"/>
  <c r="E227" i="1"/>
  <c r="C227" i="1"/>
  <c r="B227" i="1"/>
  <c r="H227" i="1" s="1"/>
  <c r="I227" i="1" s="1"/>
  <c r="AD226" i="1"/>
  <c r="AC226" i="1"/>
  <c r="AA226" i="1"/>
  <c r="X226" i="1"/>
  <c r="W226" i="1"/>
  <c r="U226" i="1"/>
  <c r="R226" i="1"/>
  <c r="O226" i="1"/>
  <c r="N226" i="1"/>
  <c r="L226" i="1"/>
  <c r="H226" i="1"/>
  <c r="I226" i="1" s="1"/>
  <c r="F226" i="1"/>
  <c r="C226" i="1"/>
  <c r="AC225" i="1"/>
  <c r="AD225" i="1" s="1"/>
  <c r="AA225" i="1"/>
  <c r="W225" i="1"/>
  <c r="X225" i="1" s="1"/>
  <c r="U225" i="1"/>
  <c r="R225" i="1"/>
  <c r="N225" i="1"/>
  <c r="L225" i="1"/>
  <c r="I225" i="1"/>
  <c r="H225" i="1"/>
  <c r="F225" i="1"/>
  <c r="C225" i="1"/>
  <c r="AD224" i="1"/>
  <c r="AC224" i="1"/>
  <c r="AA224" i="1"/>
  <c r="W224" i="1"/>
  <c r="X224" i="1" s="1"/>
  <c r="U224" i="1"/>
  <c r="R224" i="1"/>
  <c r="O224" i="1"/>
  <c r="N224" i="1"/>
  <c r="L224" i="1"/>
  <c r="H224" i="1"/>
  <c r="I224" i="1" s="1"/>
  <c r="F224" i="1"/>
  <c r="C224" i="1"/>
  <c r="AC223" i="1"/>
  <c r="AD223" i="1" s="1"/>
  <c r="AA223" i="1"/>
  <c r="W223" i="1"/>
  <c r="X223" i="1" s="1"/>
  <c r="U223" i="1"/>
  <c r="R223" i="1"/>
  <c r="N223" i="1"/>
  <c r="O223" i="1" s="1"/>
  <c r="L223" i="1"/>
  <c r="I223" i="1"/>
  <c r="H223" i="1"/>
  <c r="F223" i="1"/>
  <c r="C223" i="1"/>
  <c r="AD222" i="1"/>
  <c r="AC222" i="1"/>
  <c r="AA222" i="1"/>
  <c r="X222" i="1"/>
  <c r="W222" i="1"/>
  <c r="U222" i="1"/>
  <c r="R222" i="1"/>
  <c r="O222" i="1"/>
  <c r="N222" i="1"/>
  <c r="L222" i="1"/>
  <c r="H222" i="1"/>
  <c r="I222" i="1" s="1"/>
  <c r="F222" i="1"/>
  <c r="C222" i="1"/>
  <c r="AC221" i="1"/>
  <c r="AD221" i="1" s="1"/>
  <c r="AA221" i="1"/>
  <c r="W221" i="1"/>
  <c r="X221" i="1" s="1"/>
  <c r="U221" i="1"/>
  <c r="R221" i="1"/>
  <c r="N221" i="1"/>
  <c r="L221" i="1"/>
  <c r="I221" i="1"/>
  <c r="H221" i="1"/>
  <c r="F221" i="1"/>
  <c r="C221" i="1"/>
  <c r="AD220" i="1"/>
  <c r="AC220" i="1"/>
  <c r="AA220" i="1"/>
  <c r="X220" i="1"/>
  <c r="W220" i="1"/>
  <c r="U220" i="1"/>
  <c r="R220" i="1"/>
  <c r="N220" i="1"/>
  <c r="O220" i="1" s="1"/>
  <c r="L220" i="1"/>
  <c r="H220" i="1"/>
  <c r="I220" i="1" s="1"/>
  <c r="F220" i="1"/>
  <c r="C220" i="1"/>
  <c r="AC219" i="1"/>
  <c r="AD219" i="1" s="1"/>
  <c r="AA219" i="1"/>
  <c r="W219" i="1"/>
  <c r="X219" i="1" s="1"/>
  <c r="U219" i="1"/>
  <c r="R219" i="1"/>
  <c r="N219" i="1"/>
  <c r="L219" i="1"/>
  <c r="I219" i="1"/>
  <c r="H219" i="1"/>
  <c r="F219" i="1"/>
  <c r="C219" i="1"/>
  <c r="AA218" i="1"/>
  <c r="Z218" i="1"/>
  <c r="T218" i="1"/>
  <c r="R218" i="1"/>
  <c r="Q218" i="1"/>
  <c r="AC218" i="1" s="1"/>
  <c r="AD218" i="1" s="1"/>
  <c r="L218" i="1"/>
  <c r="K218" i="1"/>
  <c r="H218" i="1"/>
  <c r="I218" i="1" s="1"/>
  <c r="F218" i="1"/>
  <c r="E218" i="1"/>
  <c r="B218" i="1"/>
  <c r="C218" i="1" s="1"/>
  <c r="AD217" i="1"/>
  <c r="AC217" i="1"/>
  <c r="AA217" i="1"/>
  <c r="W217" i="1"/>
  <c r="X217" i="1" s="1"/>
  <c r="U217" i="1"/>
  <c r="R217" i="1"/>
  <c r="O217" i="1"/>
  <c r="N217" i="1"/>
  <c r="L217" i="1"/>
  <c r="H217" i="1"/>
  <c r="I217" i="1" s="1"/>
  <c r="F217" i="1"/>
  <c r="C217" i="1"/>
  <c r="AC216" i="1"/>
  <c r="AD216" i="1" s="1"/>
  <c r="AA216" i="1"/>
  <c r="W216" i="1"/>
  <c r="X216" i="1" s="1"/>
  <c r="U216" i="1"/>
  <c r="R216" i="1"/>
  <c r="N216" i="1"/>
  <c r="O216" i="1" s="1"/>
  <c r="L216" i="1"/>
  <c r="I216" i="1"/>
  <c r="H216" i="1"/>
  <c r="F216" i="1"/>
  <c r="C216" i="1"/>
  <c r="AD215" i="1"/>
  <c r="AC215" i="1"/>
  <c r="AA215" i="1"/>
  <c r="X215" i="1"/>
  <c r="W215" i="1"/>
  <c r="U215" i="1"/>
  <c r="R215" i="1"/>
  <c r="O215" i="1"/>
  <c r="N215" i="1"/>
  <c r="L215" i="1"/>
  <c r="I215" i="1"/>
  <c r="H215" i="1"/>
  <c r="F215" i="1"/>
  <c r="C215" i="1"/>
  <c r="AC214" i="1"/>
  <c r="AD214" i="1" s="1"/>
  <c r="AA214" i="1"/>
  <c r="W214" i="1"/>
  <c r="X214" i="1" s="1"/>
  <c r="U214" i="1"/>
  <c r="R214" i="1"/>
  <c r="N214" i="1"/>
  <c r="L214" i="1"/>
  <c r="I214" i="1"/>
  <c r="H214" i="1"/>
  <c r="F214" i="1"/>
  <c r="C214" i="1"/>
  <c r="AC213" i="1"/>
  <c r="AD213" i="1" s="1"/>
  <c r="AA213" i="1"/>
  <c r="X213" i="1"/>
  <c r="W213" i="1"/>
  <c r="U213" i="1"/>
  <c r="R213" i="1"/>
  <c r="O213" i="1"/>
  <c r="N213" i="1"/>
  <c r="L213" i="1"/>
  <c r="H213" i="1"/>
  <c r="I213" i="1" s="1"/>
  <c r="F213" i="1"/>
  <c r="C213" i="1"/>
  <c r="AC211" i="1"/>
  <c r="AD211" i="1" s="1"/>
  <c r="AA211" i="1"/>
  <c r="X211" i="1"/>
  <c r="W211" i="1"/>
  <c r="U211" i="1"/>
  <c r="R211" i="1"/>
  <c r="N211" i="1"/>
  <c r="O211" i="1" s="1"/>
  <c r="L211" i="1"/>
  <c r="H211" i="1"/>
  <c r="I211" i="1" s="1"/>
  <c r="F211" i="1"/>
  <c r="C211" i="1"/>
  <c r="Z209" i="1"/>
  <c r="AA209" i="1" s="1"/>
  <c r="U209" i="1"/>
  <c r="T209" i="1"/>
  <c r="W209" i="1" s="1"/>
  <c r="X209" i="1" s="1"/>
  <c r="R209" i="1"/>
  <c r="Q209" i="1"/>
  <c r="N209" i="1"/>
  <c r="O209" i="1" s="1"/>
  <c r="K209" i="1"/>
  <c r="L209" i="1" s="1"/>
  <c r="F209" i="1"/>
  <c r="E209" i="1"/>
  <c r="B209" i="1"/>
  <c r="C209" i="1" s="1"/>
  <c r="AC208" i="1"/>
  <c r="AD208" i="1" s="1"/>
  <c r="AA208" i="1"/>
  <c r="X208" i="1"/>
  <c r="W208" i="1"/>
  <c r="U208" i="1"/>
  <c r="R208" i="1"/>
  <c r="O208" i="1"/>
  <c r="N208" i="1"/>
  <c r="L208" i="1"/>
  <c r="H208" i="1"/>
  <c r="I208" i="1" s="1"/>
  <c r="F208" i="1"/>
  <c r="C208" i="1"/>
  <c r="AC207" i="1"/>
  <c r="AD207" i="1" s="1"/>
  <c r="AA207" i="1"/>
  <c r="W207" i="1"/>
  <c r="X207" i="1" s="1"/>
  <c r="U207" i="1"/>
  <c r="R207" i="1"/>
  <c r="N207" i="1"/>
  <c r="O207" i="1" s="1"/>
  <c r="L207" i="1"/>
  <c r="I207" i="1"/>
  <c r="H207" i="1"/>
  <c r="F207" i="1"/>
  <c r="C207" i="1"/>
  <c r="AD206" i="1"/>
  <c r="AC206" i="1"/>
  <c r="AA206" i="1"/>
  <c r="W206" i="1"/>
  <c r="X206" i="1" s="1"/>
  <c r="U206" i="1"/>
  <c r="R206" i="1"/>
  <c r="N206" i="1"/>
  <c r="O206" i="1" s="1"/>
  <c r="L206" i="1"/>
  <c r="I206" i="1"/>
  <c r="H206" i="1"/>
  <c r="F206" i="1"/>
  <c r="C206" i="1"/>
  <c r="AC205" i="1"/>
  <c r="AD205" i="1" s="1"/>
  <c r="AA205" i="1"/>
  <c r="W205" i="1"/>
  <c r="X205" i="1" s="1"/>
  <c r="U205" i="1"/>
  <c r="R205" i="1"/>
  <c r="O205" i="1"/>
  <c r="N205" i="1"/>
  <c r="L205" i="1"/>
  <c r="I205" i="1"/>
  <c r="H205" i="1"/>
  <c r="F205" i="1"/>
  <c r="C205" i="1"/>
  <c r="AC204" i="1"/>
  <c r="AD204" i="1" s="1"/>
  <c r="AA204" i="1"/>
  <c r="X204" i="1"/>
  <c r="W204" i="1"/>
  <c r="U204" i="1"/>
  <c r="R204" i="1"/>
  <c r="O204" i="1"/>
  <c r="N204" i="1"/>
  <c r="L204" i="1"/>
  <c r="H204" i="1"/>
  <c r="I204" i="1" s="1"/>
  <c r="F204" i="1"/>
  <c r="C204" i="1"/>
  <c r="AC203" i="1"/>
  <c r="AD203" i="1" s="1"/>
  <c r="AA203" i="1"/>
  <c r="X203" i="1"/>
  <c r="W203" i="1"/>
  <c r="U203" i="1"/>
  <c r="R203" i="1"/>
  <c r="N203" i="1"/>
  <c r="O203" i="1" s="1"/>
  <c r="L203" i="1"/>
  <c r="I203" i="1"/>
  <c r="H203" i="1"/>
  <c r="F203" i="1"/>
  <c r="C203" i="1"/>
  <c r="AD202" i="1"/>
  <c r="AC202" i="1"/>
  <c r="AA202" i="1"/>
  <c r="W202" i="1"/>
  <c r="X202" i="1" s="1"/>
  <c r="U202" i="1"/>
  <c r="R202" i="1"/>
  <c r="N202" i="1"/>
  <c r="O202" i="1" s="1"/>
  <c r="L202" i="1"/>
  <c r="I202" i="1"/>
  <c r="H202" i="1"/>
  <c r="F202" i="1"/>
  <c r="C202" i="1"/>
  <c r="AD201" i="1"/>
  <c r="AC201" i="1"/>
  <c r="AA201" i="1"/>
  <c r="W201" i="1"/>
  <c r="X201" i="1" s="1"/>
  <c r="U201" i="1"/>
  <c r="R201" i="1"/>
  <c r="O201" i="1"/>
  <c r="N201" i="1"/>
  <c r="L201" i="1"/>
  <c r="I201" i="1"/>
  <c r="H201" i="1"/>
  <c r="F201" i="1"/>
  <c r="C201" i="1"/>
  <c r="Z198" i="1"/>
  <c r="E198" i="1"/>
  <c r="E345" i="1" s="1"/>
  <c r="AA197" i="1"/>
  <c r="Z197" i="1"/>
  <c r="W197" i="1"/>
  <c r="X197" i="1" s="1"/>
  <c r="U197" i="1"/>
  <c r="T197" i="1"/>
  <c r="R197" i="1"/>
  <c r="Q197" i="1"/>
  <c r="L197" i="1"/>
  <c r="K197" i="1"/>
  <c r="F197" i="1"/>
  <c r="E197" i="1"/>
  <c r="C197" i="1"/>
  <c r="B197" i="1"/>
  <c r="N197" i="1" s="1"/>
  <c r="O197" i="1" s="1"/>
  <c r="AA196" i="1"/>
  <c r="Z196" i="1"/>
  <c r="T196" i="1"/>
  <c r="U196" i="1" s="1"/>
  <c r="Q196" i="1"/>
  <c r="L196" i="1"/>
  <c r="K196" i="1"/>
  <c r="E196" i="1"/>
  <c r="F196" i="1" s="1"/>
  <c r="B196" i="1"/>
  <c r="H196" i="1" s="1"/>
  <c r="I196" i="1" s="1"/>
  <c r="AD195" i="1"/>
  <c r="AC195" i="1"/>
  <c r="AA195" i="1"/>
  <c r="X195" i="1"/>
  <c r="W195" i="1"/>
  <c r="U195" i="1"/>
  <c r="R195" i="1"/>
  <c r="O195" i="1"/>
  <c r="N195" i="1"/>
  <c r="L195" i="1"/>
  <c r="H195" i="1"/>
  <c r="I195" i="1" s="1"/>
  <c r="F195" i="1"/>
  <c r="C195" i="1"/>
  <c r="AC194" i="1"/>
  <c r="AD194" i="1" s="1"/>
  <c r="AA194" i="1"/>
  <c r="W194" i="1"/>
  <c r="X194" i="1" s="1"/>
  <c r="U194" i="1"/>
  <c r="R194" i="1"/>
  <c r="N194" i="1"/>
  <c r="O194" i="1" s="1"/>
  <c r="L194" i="1"/>
  <c r="I194" i="1"/>
  <c r="H194" i="1"/>
  <c r="F194" i="1"/>
  <c r="C194" i="1"/>
  <c r="Z193" i="1"/>
  <c r="AA193" i="1" s="1"/>
  <c r="T193" i="1"/>
  <c r="U193" i="1" s="1"/>
  <c r="Q193" i="1"/>
  <c r="N193" i="1"/>
  <c r="O193" i="1" s="1"/>
  <c r="L193" i="1"/>
  <c r="K193" i="1"/>
  <c r="E193" i="1"/>
  <c r="F193" i="1" s="1"/>
  <c r="B193" i="1"/>
  <c r="C193" i="1" s="1"/>
  <c r="AD192" i="1"/>
  <c r="AC192" i="1"/>
  <c r="AA192" i="1"/>
  <c r="X192" i="1"/>
  <c r="W192" i="1"/>
  <c r="U192" i="1"/>
  <c r="R192" i="1"/>
  <c r="N192" i="1"/>
  <c r="O192" i="1" s="1"/>
  <c r="L192" i="1"/>
  <c r="H192" i="1"/>
  <c r="I192" i="1" s="1"/>
  <c r="F192" i="1"/>
  <c r="C192" i="1"/>
  <c r="AC191" i="1"/>
  <c r="AD191" i="1" s="1"/>
  <c r="AA191" i="1"/>
  <c r="W191" i="1"/>
  <c r="X191" i="1" s="1"/>
  <c r="U191" i="1"/>
  <c r="R191" i="1"/>
  <c r="N191" i="1"/>
  <c r="O191" i="1" s="1"/>
  <c r="L191" i="1"/>
  <c r="I191" i="1"/>
  <c r="H191" i="1"/>
  <c r="F191" i="1"/>
  <c r="C191" i="1"/>
  <c r="AD190" i="1"/>
  <c r="AC190" i="1"/>
  <c r="AA190" i="1"/>
  <c r="W190" i="1"/>
  <c r="X190" i="1" s="1"/>
  <c r="U190" i="1"/>
  <c r="R190" i="1"/>
  <c r="N190" i="1"/>
  <c r="O190" i="1" s="1"/>
  <c r="L190" i="1"/>
  <c r="I190" i="1"/>
  <c r="H190" i="1"/>
  <c r="F190" i="1"/>
  <c r="C190" i="1"/>
  <c r="AD189" i="1"/>
  <c r="AC189" i="1"/>
  <c r="AA189" i="1"/>
  <c r="W189" i="1"/>
  <c r="X189" i="1" s="1"/>
  <c r="U189" i="1"/>
  <c r="R189" i="1"/>
  <c r="N189" i="1"/>
  <c r="O189" i="1" s="1"/>
  <c r="L189" i="1"/>
  <c r="H189" i="1"/>
  <c r="I189" i="1" s="1"/>
  <c r="F189" i="1"/>
  <c r="C189" i="1"/>
  <c r="AD188" i="1"/>
  <c r="AC188" i="1"/>
  <c r="AA188" i="1"/>
  <c r="X188" i="1"/>
  <c r="W188" i="1"/>
  <c r="U188" i="1"/>
  <c r="R188" i="1"/>
  <c r="O188" i="1"/>
  <c r="N188" i="1"/>
  <c r="L188" i="1"/>
  <c r="H188" i="1"/>
  <c r="I188" i="1" s="1"/>
  <c r="F188" i="1"/>
  <c r="C188" i="1"/>
  <c r="AC187" i="1"/>
  <c r="AD187" i="1" s="1"/>
  <c r="AA187" i="1"/>
  <c r="W187" i="1"/>
  <c r="X187" i="1" s="1"/>
  <c r="U187" i="1"/>
  <c r="R187" i="1"/>
  <c r="N187" i="1"/>
  <c r="O187" i="1" s="1"/>
  <c r="L187" i="1"/>
  <c r="I187" i="1"/>
  <c r="H187" i="1"/>
  <c r="F187" i="1"/>
  <c r="C187" i="1"/>
  <c r="AD186" i="1"/>
  <c r="AC186" i="1"/>
  <c r="AA186" i="1"/>
  <c r="W186" i="1"/>
  <c r="X186" i="1" s="1"/>
  <c r="U186" i="1"/>
  <c r="R186" i="1"/>
  <c r="O186" i="1"/>
  <c r="N186" i="1"/>
  <c r="L186" i="1"/>
  <c r="I186" i="1"/>
  <c r="H186" i="1"/>
  <c r="F186" i="1"/>
  <c r="C186" i="1"/>
  <c r="AC184" i="1"/>
  <c r="AD184" i="1" s="1"/>
  <c r="AA184" i="1"/>
  <c r="W184" i="1"/>
  <c r="X184" i="1" s="1"/>
  <c r="U184" i="1"/>
  <c r="R184" i="1"/>
  <c r="N184" i="1"/>
  <c r="L184" i="1"/>
  <c r="H184" i="1"/>
  <c r="I184" i="1" s="1"/>
  <c r="F184" i="1"/>
  <c r="C184" i="1"/>
  <c r="AD183" i="1"/>
  <c r="AC183" i="1"/>
  <c r="AA183" i="1"/>
  <c r="X183" i="1"/>
  <c r="W183" i="1"/>
  <c r="U183" i="1"/>
  <c r="R183" i="1"/>
  <c r="O183" i="1"/>
  <c r="N183" i="1"/>
  <c r="L183" i="1"/>
  <c r="H183" i="1"/>
  <c r="I183" i="1" s="1"/>
  <c r="F183" i="1"/>
  <c r="C183" i="1"/>
  <c r="AA182" i="1"/>
  <c r="Z182" i="1"/>
  <c r="U182" i="1"/>
  <c r="T182" i="1"/>
  <c r="Q182" i="1"/>
  <c r="R182" i="1" s="1"/>
  <c r="L182" i="1"/>
  <c r="K182" i="1"/>
  <c r="H182" i="1"/>
  <c r="I182" i="1" s="1"/>
  <c r="F182" i="1"/>
  <c r="E182" i="1"/>
  <c r="C182" i="1"/>
  <c r="B182" i="1"/>
  <c r="AD181" i="1"/>
  <c r="AC181" i="1"/>
  <c r="AA181" i="1"/>
  <c r="W181" i="1"/>
  <c r="X181" i="1" s="1"/>
  <c r="U181" i="1"/>
  <c r="R181" i="1"/>
  <c r="N181" i="1"/>
  <c r="L181" i="1"/>
  <c r="H181" i="1"/>
  <c r="I181" i="1" s="1"/>
  <c r="F181" i="1"/>
  <c r="C181" i="1"/>
  <c r="AD180" i="1"/>
  <c r="AC180" i="1"/>
  <c r="AA180" i="1"/>
  <c r="X180" i="1"/>
  <c r="W180" i="1"/>
  <c r="U180" i="1"/>
  <c r="R180" i="1"/>
  <c r="O180" i="1"/>
  <c r="N180" i="1"/>
  <c r="L180" i="1"/>
  <c r="H180" i="1"/>
  <c r="I180" i="1" s="1"/>
  <c r="F180" i="1"/>
  <c r="C180" i="1"/>
  <c r="AD179" i="1"/>
  <c r="AC179" i="1"/>
  <c r="AA179" i="1"/>
  <c r="W179" i="1"/>
  <c r="X179" i="1" s="1"/>
  <c r="U179" i="1"/>
  <c r="R179" i="1"/>
  <c r="N179" i="1"/>
  <c r="O179" i="1" s="1"/>
  <c r="L179" i="1"/>
  <c r="I179" i="1"/>
  <c r="H179" i="1"/>
  <c r="F179" i="1"/>
  <c r="C179" i="1"/>
  <c r="AD178" i="1"/>
  <c r="AC178" i="1"/>
  <c r="AA178" i="1"/>
  <c r="W178" i="1"/>
  <c r="X178" i="1" s="1"/>
  <c r="U178" i="1"/>
  <c r="R178" i="1"/>
  <c r="N178" i="1"/>
  <c r="O178" i="1" s="1"/>
  <c r="L178" i="1"/>
  <c r="H178" i="1"/>
  <c r="I178" i="1" s="1"/>
  <c r="F178" i="1"/>
  <c r="C178" i="1"/>
  <c r="AD177" i="1"/>
  <c r="AC177" i="1"/>
  <c r="AA177" i="1"/>
  <c r="W177" i="1"/>
  <c r="X177" i="1" s="1"/>
  <c r="U177" i="1"/>
  <c r="R177" i="1"/>
  <c r="N177" i="1"/>
  <c r="L177" i="1"/>
  <c r="H177" i="1"/>
  <c r="I177" i="1" s="1"/>
  <c r="F177" i="1"/>
  <c r="C177" i="1"/>
  <c r="AD175" i="1"/>
  <c r="AC175" i="1"/>
  <c r="AA175" i="1"/>
  <c r="X175" i="1"/>
  <c r="W175" i="1"/>
  <c r="U175" i="1"/>
  <c r="R175" i="1"/>
  <c r="N175" i="1"/>
  <c r="O175" i="1" s="1"/>
  <c r="L175" i="1"/>
  <c r="H175" i="1"/>
  <c r="I175" i="1" s="1"/>
  <c r="F175" i="1"/>
  <c r="C175" i="1"/>
  <c r="AA172" i="1"/>
  <c r="R172" i="1"/>
  <c r="F172" i="1"/>
  <c r="B172" i="1"/>
  <c r="N172" i="1" s="1"/>
  <c r="O172" i="1" s="1"/>
  <c r="AA171" i="1"/>
  <c r="Z171" i="1"/>
  <c r="T171" i="1"/>
  <c r="W171" i="1" s="1"/>
  <c r="X171" i="1" s="1"/>
  <c r="R171" i="1"/>
  <c r="Q171" i="1"/>
  <c r="AC171" i="1" s="1"/>
  <c r="AD171" i="1" s="1"/>
  <c r="L171" i="1"/>
  <c r="K171" i="1"/>
  <c r="I171" i="1"/>
  <c r="H171" i="1"/>
  <c r="F171" i="1"/>
  <c r="E171" i="1"/>
  <c r="C171" i="1"/>
  <c r="B171" i="1"/>
  <c r="N171" i="1" s="1"/>
  <c r="O171" i="1" s="1"/>
  <c r="AD170" i="1"/>
  <c r="Z170" i="1"/>
  <c r="AA170" i="1" s="1"/>
  <c r="U170" i="1"/>
  <c r="T170" i="1"/>
  <c r="R170" i="1"/>
  <c r="Q170" i="1"/>
  <c r="AC170" i="1" s="1"/>
  <c r="L170" i="1"/>
  <c r="K170" i="1"/>
  <c r="F170" i="1"/>
  <c r="E170" i="1"/>
  <c r="B170" i="1"/>
  <c r="H170" i="1" s="1"/>
  <c r="I170" i="1" s="1"/>
  <c r="AD169" i="1"/>
  <c r="AC169" i="1"/>
  <c r="AA169" i="1"/>
  <c r="W169" i="1"/>
  <c r="X169" i="1" s="1"/>
  <c r="U169" i="1"/>
  <c r="R169" i="1"/>
  <c r="N169" i="1"/>
  <c r="O169" i="1" s="1"/>
  <c r="L169" i="1"/>
  <c r="I169" i="1"/>
  <c r="H169" i="1"/>
  <c r="F169" i="1"/>
  <c r="C169" i="1"/>
  <c r="AD168" i="1"/>
  <c r="AC168" i="1"/>
  <c r="AA168" i="1"/>
  <c r="W168" i="1"/>
  <c r="X168" i="1" s="1"/>
  <c r="U168" i="1"/>
  <c r="R168" i="1"/>
  <c r="N168" i="1"/>
  <c r="O168" i="1" s="1"/>
  <c r="L168" i="1"/>
  <c r="I168" i="1"/>
  <c r="H168" i="1"/>
  <c r="F168" i="1"/>
  <c r="C168" i="1"/>
  <c r="AD167" i="1"/>
  <c r="AC167" i="1"/>
  <c r="AA167" i="1"/>
  <c r="W167" i="1"/>
  <c r="X167" i="1" s="1"/>
  <c r="U167" i="1"/>
  <c r="R167" i="1"/>
  <c r="N167" i="1"/>
  <c r="O167" i="1" s="1"/>
  <c r="L167" i="1"/>
  <c r="H167" i="1"/>
  <c r="I167" i="1" s="1"/>
  <c r="F167" i="1"/>
  <c r="C167" i="1"/>
  <c r="AA166" i="1"/>
  <c r="Z166" i="1"/>
  <c r="X166" i="1"/>
  <c r="W166" i="1"/>
  <c r="U166" i="1"/>
  <c r="T166" i="1"/>
  <c r="R166" i="1"/>
  <c r="Q166" i="1"/>
  <c r="AC166" i="1" s="1"/>
  <c r="AD166" i="1" s="1"/>
  <c r="O166" i="1"/>
  <c r="K166" i="1"/>
  <c r="L166" i="1" s="1"/>
  <c r="F166" i="1"/>
  <c r="E166" i="1"/>
  <c r="C166" i="1"/>
  <c r="B166" i="1"/>
  <c r="N166" i="1" s="1"/>
  <c r="AD165" i="1"/>
  <c r="AC165" i="1"/>
  <c r="AA165" i="1"/>
  <c r="W165" i="1"/>
  <c r="X165" i="1" s="1"/>
  <c r="U165" i="1"/>
  <c r="R165" i="1"/>
  <c r="N165" i="1"/>
  <c r="O165" i="1" s="1"/>
  <c r="L165" i="1"/>
  <c r="I165" i="1"/>
  <c r="H165" i="1"/>
  <c r="F165" i="1"/>
  <c r="C165" i="1"/>
  <c r="AD164" i="1"/>
  <c r="AC164" i="1"/>
  <c r="AA164" i="1"/>
  <c r="W164" i="1"/>
  <c r="X164" i="1" s="1"/>
  <c r="U164" i="1"/>
  <c r="R164" i="1"/>
  <c r="N164" i="1"/>
  <c r="O164" i="1" s="1"/>
  <c r="L164" i="1"/>
  <c r="H164" i="1"/>
  <c r="I164" i="1" s="1"/>
  <c r="F164" i="1"/>
  <c r="C164" i="1"/>
  <c r="AD163" i="1"/>
  <c r="AC163" i="1"/>
  <c r="AA163" i="1"/>
  <c r="W163" i="1"/>
  <c r="X163" i="1" s="1"/>
  <c r="U163" i="1"/>
  <c r="R163" i="1"/>
  <c r="N163" i="1"/>
  <c r="O163" i="1" s="1"/>
  <c r="L163" i="1"/>
  <c r="I163" i="1"/>
  <c r="H163" i="1"/>
  <c r="F163" i="1"/>
  <c r="C163" i="1"/>
  <c r="AD162" i="1"/>
  <c r="AC162" i="1"/>
  <c r="AA162" i="1"/>
  <c r="W162" i="1"/>
  <c r="X162" i="1" s="1"/>
  <c r="U162" i="1"/>
  <c r="R162" i="1"/>
  <c r="N162" i="1"/>
  <c r="O162" i="1" s="1"/>
  <c r="L162" i="1"/>
  <c r="I162" i="1"/>
  <c r="H162" i="1"/>
  <c r="F162" i="1"/>
  <c r="C162" i="1"/>
  <c r="AD161" i="1"/>
  <c r="AC161" i="1"/>
  <c r="AA161" i="1"/>
  <c r="W161" i="1"/>
  <c r="X161" i="1" s="1"/>
  <c r="U161" i="1"/>
  <c r="R161" i="1"/>
  <c r="N161" i="1"/>
  <c r="O161" i="1" s="1"/>
  <c r="L161" i="1"/>
  <c r="I161" i="1"/>
  <c r="H161" i="1"/>
  <c r="F161" i="1"/>
  <c r="C161" i="1"/>
  <c r="AD160" i="1"/>
  <c r="AC160" i="1"/>
  <c r="AA160" i="1"/>
  <c r="W160" i="1"/>
  <c r="X160" i="1" s="1"/>
  <c r="U160" i="1"/>
  <c r="R160" i="1"/>
  <c r="N160" i="1"/>
  <c r="O160" i="1" s="1"/>
  <c r="L160" i="1"/>
  <c r="H160" i="1"/>
  <c r="I160" i="1" s="1"/>
  <c r="F160" i="1"/>
  <c r="C160" i="1"/>
  <c r="AA158" i="1"/>
  <c r="Z158" i="1"/>
  <c r="X158" i="1"/>
  <c r="W158" i="1"/>
  <c r="U158" i="1"/>
  <c r="T158" i="1"/>
  <c r="R158" i="1"/>
  <c r="Q158" i="1"/>
  <c r="AC158" i="1" s="1"/>
  <c r="AD158" i="1" s="1"/>
  <c r="K158" i="1"/>
  <c r="L158" i="1" s="1"/>
  <c r="F158" i="1"/>
  <c r="E158" i="1"/>
  <c r="C158" i="1"/>
  <c r="B158" i="1"/>
  <c r="AC157" i="1"/>
  <c r="AD157" i="1" s="1"/>
  <c r="AA157" i="1"/>
  <c r="W157" i="1"/>
  <c r="X157" i="1" s="1"/>
  <c r="U157" i="1"/>
  <c r="R157" i="1"/>
  <c r="N157" i="1"/>
  <c r="O157" i="1" s="1"/>
  <c r="L157" i="1"/>
  <c r="I157" i="1"/>
  <c r="H157" i="1"/>
  <c r="F157" i="1"/>
  <c r="C157" i="1"/>
  <c r="AD156" i="1"/>
  <c r="AC156" i="1"/>
  <c r="AA156" i="1"/>
  <c r="W156" i="1"/>
  <c r="X156" i="1" s="1"/>
  <c r="U156" i="1"/>
  <c r="R156" i="1"/>
  <c r="N156" i="1"/>
  <c r="O156" i="1" s="1"/>
  <c r="L156" i="1"/>
  <c r="H156" i="1"/>
  <c r="I156" i="1" s="1"/>
  <c r="F156" i="1"/>
  <c r="C156" i="1"/>
  <c r="AD155" i="1"/>
  <c r="AC155" i="1"/>
  <c r="AA155" i="1"/>
  <c r="W155" i="1"/>
  <c r="X155" i="1" s="1"/>
  <c r="U155" i="1"/>
  <c r="R155" i="1"/>
  <c r="N155" i="1"/>
  <c r="O155" i="1" s="1"/>
  <c r="L155" i="1"/>
  <c r="I155" i="1"/>
  <c r="H155" i="1"/>
  <c r="F155" i="1"/>
  <c r="C155" i="1"/>
  <c r="AD154" i="1"/>
  <c r="AC154" i="1"/>
  <c r="AA154" i="1"/>
  <c r="W154" i="1"/>
  <c r="X154" i="1" s="1"/>
  <c r="U154" i="1"/>
  <c r="R154" i="1"/>
  <c r="N154" i="1"/>
  <c r="O154" i="1" s="1"/>
  <c r="L154" i="1"/>
  <c r="I154" i="1"/>
  <c r="H154" i="1"/>
  <c r="F154" i="1"/>
  <c r="C154" i="1"/>
  <c r="AD153" i="1"/>
  <c r="AC153" i="1"/>
  <c r="AA153" i="1"/>
  <c r="W153" i="1"/>
  <c r="X153" i="1" s="1"/>
  <c r="U153" i="1"/>
  <c r="R153" i="1"/>
  <c r="N153" i="1"/>
  <c r="O153" i="1" s="1"/>
  <c r="L153" i="1"/>
  <c r="I153" i="1"/>
  <c r="H153" i="1"/>
  <c r="F153" i="1"/>
  <c r="C153" i="1"/>
  <c r="AD151" i="1"/>
  <c r="AC151" i="1"/>
  <c r="AA151" i="1"/>
  <c r="W151" i="1"/>
  <c r="X151" i="1" s="1"/>
  <c r="U151" i="1"/>
  <c r="R151" i="1"/>
  <c r="N151" i="1"/>
  <c r="O151" i="1" s="1"/>
  <c r="L151" i="1"/>
  <c r="H151" i="1"/>
  <c r="I151" i="1" s="1"/>
  <c r="F151" i="1"/>
  <c r="C151" i="1"/>
  <c r="AA149" i="1"/>
  <c r="Z149" i="1"/>
  <c r="X149" i="1"/>
  <c r="W149" i="1"/>
  <c r="U149" i="1"/>
  <c r="T149" i="1"/>
  <c r="R149" i="1"/>
  <c r="Q149" i="1"/>
  <c r="AC149" i="1" s="1"/>
  <c r="AD149" i="1" s="1"/>
  <c r="O149" i="1"/>
  <c r="K149" i="1"/>
  <c r="L149" i="1" s="1"/>
  <c r="F149" i="1"/>
  <c r="E149" i="1"/>
  <c r="C149" i="1"/>
  <c r="B149" i="1"/>
  <c r="N149" i="1" s="1"/>
  <c r="AA148" i="1"/>
  <c r="Z148" i="1"/>
  <c r="U148" i="1"/>
  <c r="T148" i="1"/>
  <c r="Q148" i="1"/>
  <c r="W148" i="1" s="1"/>
  <c r="X148" i="1" s="1"/>
  <c r="L148" i="1"/>
  <c r="K148" i="1"/>
  <c r="E148" i="1"/>
  <c r="F148" i="1" s="1"/>
  <c r="C148" i="1"/>
  <c r="B148" i="1"/>
  <c r="H148" i="1" s="1"/>
  <c r="I148" i="1" s="1"/>
  <c r="AD147" i="1"/>
  <c r="AC147" i="1"/>
  <c r="AA147" i="1"/>
  <c r="W147" i="1"/>
  <c r="X147" i="1" s="1"/>
  <c r="U147" i="1"/>
  <c r="R147" i="1"/>
  <c r="N147" i="1"/>
  <c r="O147" i="1" s="1"/>
  <c r="L147" i="1"/>
  <c r="I147" i="1"/>
  <c r="H147" i="1"/>
  <c r="F147" i="1"/>
  <c r="C147" i="1"/>
  <c r="AD146" i="1"/>
  <c r="AC146" i="1"/>
  <c r="AA146" i="1"/>
  <c r="W146" i="1"/>
  <c r="X146" i="1" s="1"/>
  <c r="U146" i="1"/>
  <c r="R146" i="1"/>
  <c r="N146" i="1"/>
  <c r="O146" i="1" s="1"/>
  <c r="L146" i="1"/>
  <c r="I146" i="1"/>
  <c r="H146" i="1"/>
  <c r="F146" i="1"/>
  <c r="C146" i="1"/>
  <c r="AD145" i="1"/>
  <c r="AC145" i="1"/>
  <c r="AA145" i="1"/>
  <c r="W145" i="1"/>
  <c r="X145" i="1" s="1"/>
  <c r="U145" i="1"/>
  <c r="R145" i="1"/>
  <c r="N145" i="1"/>
  <c r="O145" i="1" s="1"/>
  <c r="L145" i="1"/>
  <c r="I145" i="1"/>
  <c r="H145" i="1"/>
  <c r="F145" i="1"/>
  <c r="C145" i="1"/>
  <c r="AD144" i="1"/>
  <c r="AC144" i="1"/>
  <c r="AA144" i="1"/>
  <c r="W144" i="1"/>
  <c r="X144" i="1" s="1"/>
  <c r="U144" i="1"/>
  <c r="R144" i="1"/>
  <c r="N144" i="1"/>
  <c r="O144" i="1" s="1"/>
  <c r="L144" i="1"/>
  <c r="H144" i="1"/>
  <c r="I144" i="1" s="1"/>
  <c r="F144" i="1"/>
  <c r="C144" i="1"/>
  <c r="AD143" i="1"/>
  <c r="AC143" i="1"/>
  <c r="AA143" i="1"/>
  <c r="W143" i="1"/>
  <c r="X143" i="1" s="1"/>
  <c r="U143" i="1"/>
  <c r="R143" i="1"/>
  <c r="N143" i="1"/>
  <c r="O143" i="1" s="1"/>
  <c r="L143" i="1"/>
  <c r="I143" i="1"/>
  <c r="H143" i="1"/>
  <c r="F143" i="1"/>
  <c r="C143" i="1"/>
  <c r="AA141" i="1"/>
  <c r="Z141" i="1"/>
  <c r="T141" i="1"/>
  <c r="U141" i="1" s="1"/>
  <c r="R141" i="1"/>
  <c r="Q141" i="1"/>
  <c r="W141" i="1" s="1"/>
  <c r="X141" i="1" s="1"/>
  <c r="L141" i="1"/>
  <c r="K141" i="1"/>
  <c r="I141" i="1"/>
  <c r="H141" i="1"/>
  <c r="F141" i="1"/>
  <c r="E141" i="1"/>
  <c r="C141" i="1"/>
  <c r="B141" i="1"/>
  <c r="N141" i="1" s="1"/>
  <c r="O141" i="1" s="1"/>
  <c r="AD140" i="1"/>
  <c r="AC140" i="1"/>
  <c r="AA140" i="1"/>
  <c r="W140" i="1"/>
  <c r="X140" i="1" s="1"/>
  <c r="U140" i="1"/>
  <c r="R140" i="1"/>
  <c r="N140" i="1"/>
  <c r="O140" i="1" s="1"/>
  <c r="L140" i="1"/>
  <c r="H140" i="1"/>
  <c r="I140" i="1" s="1"/>
  <c r="F140" i="1"/>
  <c r="C140" i="1"/>
  <c r="AD139" i="1"/>
  <c r="AC139" i="1"/>
  <c r="AA139" i="1"/>
  <c r="W139" i="1"/>
  <c r="X139" i="1" s="1"/>
  <c r="U139" i="1"/>
  <c r="R139" i="1"/>
  <c r="N139" i="1"/>
  <c r="O139" i="1" s="1"/>
  <c r="L139" i="1"/>
  <c r="I139" i="1"/>
  <c r="H139" i="1"/>
  <c r="F139" i="1"/>
  <c r="C139" i="1"/>
  <c r="AD138" i="1"/>
  <c r="AC138" i="1"/>
  <c r="AA138" i="1"/>
  <c r="W138" i="1"/>
  <c r="X138" i="1" s="1"/>
  <c r="U138" i="1"/>
  <c r="R138" i="1"/>
  <c r="N138" i="1"/>
  <c r="O138" i="1" s="1"/>
  <c r="L138" i="1"/>
  <c r="I138" i="1"/>
  <c r="H138" i="1"/>
  <c r="F138" i="1"/>
  <c r="C138" i="1"/>
  <c r="AC137" i="1"/>
  <c r="AD137" i="1" s="1"/>
  <c r="AA137" i="1"/>
  <c r="W137" i="1"/>
  <c r="X137" i="1" s="1"/>
  <c r="U137" i="1"/>
  <c r="R137" i="1"/>
  <c r="N137" i="1"/>
  <c r="O137" i="1" s="1"/>
  <c r="L137" i="1"/>
  <c r="I137" i="1"/>
  <c r="H137" i="1"/>
  <c r="F137" i="1"/>
  <c r="C137" i="1"/>
  <c r="AD136" i="1"/>
  <c r="AC136" i="1"/>
  <c r="AA136" i="1"/>
  <c r="W136" i="1"/>
  <c r="X136" i="1" s="1"/>
  <c r="U136" i="1"/>
  <c r="R136" i="1"/>
  <c r="N136" i="1"/>
  <c r="O136" i="1" s="1"/>
  <c r="L136" i="1"/>
  <c r="H136" i="1"/>
  <c r="I136" i="1" s="1"/>
  <c r="F136" i="1"/>
  <c r="C136" i="1"/>
  <c r="AD135" i="1"/>
  <c r="AC135" i="1"/>
  <c r="AA135" i="1"/>
  <c r="W135" i="1"/>
  <c r="X135" i="1" s="1"/>
  <c r="U135" i="1"/>
  <c r="R135" i="1"/>
  <c r="N135" i="1"/>
  <c r="O135" i="1" s="1"/>
  <c r="L135" i="1"/>
  <c r="I135" i="1"/>
  <c r="H135" i="1"/>
  <c r="F135" i="1"/>
  <c r="C135" i="1"/>
  <c r="AD134" i="1"/>
  <c r="AC134" i="1"/>
  <c r="AA134" i="1"/>
  <c r="W134" i="1"/>
  <c r="X134" i="1" s="1"/>
  <c r="U134" i="1"/>
  <c r="R134" i="1"/>
  <c r="N134" i="1"/>
  <c r="O134" i="1" s="1"/>
  <c r="L134" i="1"/>
  <c r="I134" i="1"/>
  <c r="H134" i="1"/>
  <c r="F134" i="1"/>
  <c r="C134" i="1"/>
  <c r="AD133" i="1"/>
  <c r="AC133" i="1"/>
  <c r="AA133" i="1"/>
  <c r="W133" i="1"/>
  <c r="X133" i="1" s="1"/>
  <c r="U133" i="1"/>
  <c r="R133" i="1"/>
  <c r="N133" i="1"/>
  <c r="O133" i="1" s="1"/>
  <c r="L133" i="1"/>
  <c r="I133" i="1"/>
  <c r="H133" i="1"/>
  <c r="F133" i="1"/>
  <c r="C133" i="1"/>
  <c r="AD132" i="1"/>
  <c r="AC132" i="1"/>
  <c r="AA132" i="1"/>
  <c r="W132" i="1"/>
  <c r="X132" i="1" s="1"/>
  <c r="U132" i="1"/>
  <c r="R132" i="1"/>
  <c r="N132" i="1"/>
  <c r="O132" i="1" s="1"/>
  <c r="L132" i="1"/>
  <c r="H132" i="1"/>
  <c r="I132" i="1" s="1"/>
  <c r="F132" i="1"/>
  <c r="C132" i="1"/>
  <c r="AD131" i="1"/>
  <c r="AC131" i="1"/>
  <c r="AA131" i="1"/>
  <c r="W131" i="1"/>
  <c r="X131" i="1" s="1"/>
  <c r="U131" i="1"/>
  <c r="R131" i="1"/>
  <c r="N131" i="1"/>
  <c r="O131" i="1" s="1"/>
  <c r="L131" i="1"/>
  <c r="I131" i="1"/>
  <c r="H131" i="1"/>
  <c r="F131" i="1"/>
  <c r="C131" i="1"/>
  <c r="AD130" i="1"/>
  <c r="AC130" i="1"/>
  <c r="AA130" i="1"/>
  <c r="W130" i="1"/>
  <c r="X130" i="1" s="1"/>
  <c r="U130" i="1"/>
  <c r="R130" i="1"/>
  <c r="N130" i="1"/>
  <c r="O130" i="1" s="1"/>
  <c r="L130" i="1"/>
  <c r="I130" i="1"/>
  <c r="H130" i="1"/>
  <c r="F130" i="1"/>
  <c r="C130" i="1"/>
  <c r="AD129" i="1"/>
  <c r="AC129" i="1"/>
  <c r="AA129" i="1"/>
  <c r="W129" i="1"/>
  <c r="X129" i="1" s="1"/>
  <c r="U129" i="1"/>
  <c r="R129" i="1"/>
  <c r="N129" i="1"/>
  <c r="O129" i="1" s="1"/>
  <c r="L129" i="1"/>
  <c r="I129" i="1"/>
  <c r="H129" i="1"/>
  <c r="F129" i="1"/>
  <c r="C129" i="1"/>
  <c r="AD127" i="1"/>
  <c r="AC127" i="1"/>
  <c r="AA127" i="1"/>
  <c r="W127" i="1"/>
  <c r="X127" i="1" s="1"/>
  <c r="U127" i="1"/>
  <c r="R127" i="1"/>
  <c r="N127" i="1"/>
  <c r="O127" i="1" s="1"/>
  <c r="L127" i="1"/>
  <c r="H127" i="1"/>
  <c r="I127" i="1" s="1"/>
  <c r="F127" i="1"/>
  <c r="C127" i="1"/>
  <c r="AA124" i="1"/>
  <c r="Z124" i="1"/>
  <c r="Z172" i="1" s="1"/>
  <c r="W124" i="1"/>
  <c r="X124" i="1" s="1"/>
  <c r="U124" i="1"/>
  <c r="T124" i="1"/>
  <c r="R124" i="1"/>
  <c r="Q124" i="1"/>
  <c r="Q172" i="1" s="1"/>
  <c r="K124" i="1"/>
  <c r="K172" i="1" s="1"/>
  <c r="K198" i="1" s="1"/>
  <c r="K345" i="1" s="1"/>
  <c r="F124" i="1"/>
  <c r="E124" i="1"/>
  <c r="E172" i="1" s="1"/>
  <c r="C124" i="1"/>
  <c r="B124" i="1"/>
  <c r="AC123" i="1"/>
  <c r="AD123" i="1" s="1"/>
  <c r="AA123" i="1"/>
  <c r="W123" i="1"/>
  <c r="X123" i="1" s="1"/>
  <c r="U123" i="1"/>
  <c r="R123" i="1"/>
  <c r="N123" i="1"/>
  <c r="O123" i="1" s="1"/>
  <c r="L123" i="1"/>
  <c r="I123" i="1"/>
  <c r="H123" i="1"/>
  <c r="F123" i="1"/>
  <c r="C123" i="1"/>
  <c r="AD122" i="1"/>
  <c r="Z122" i="1"/>
  <c r="AA122" i="1" s="1"/>
  <c r="U122" i="1"/>
  <c r="T122" i="1"/>
  <c r="R122" i="1"/>
  <c r="Q122" i="1"/>
  <c r="AC122" i="1" s="1"/>
  <c r="L122" i="1"/>
  <c r="K122" i="1"/>
  <c r="F122" i="1"/>
  <c r="E122" i="1"/>
  <c r="B122" i="1"/>
  <c r="H122" i="1" s="1"/>
  <c r="I122" i="1" s="1"/>
  <c r="AD121" i="1"/>
  <c r="AC121" i="1"/>
  <c r="AA121" i="1"/>
  <c r="W121" i="1"/>
  <c r="X121" i="1" s="1"/>
  <c r="U121" i="1"/>
  <c r="R121" i="1"/>
  <c r="N121" i="1"/>
  <c r="O121" i="1" s="1"/>
  <c r="L121" i="1"/>
  <c r="I121" i="1"/>
  <c r="H121" i="1"/>
  <c r="F121" i="1"/>
  <c r="C121" i="1"/>
  <c r="AD120" i="1"/>
  <c r="AC120" i="1"/>
  <c r="AA120" i="1"/>
  <c r="W120" i="1"/>
  <c r="X120" i="1" s="1"/>
  <c r="U120" i="1"/>
  <c r="R120" i="1"/>
  <c r="N120" i="1"/>
  <c r="O120" i="1" s="1"/>
  <c r="L120" i="1"/>
  <c r="I120" i="1"/>
  <c r="H120" i="1"/>
  <c r="F120" i="1"/>
  <c r="C120" i="1"/>
  <c r="AD119" i="1"/>
  <c r="AC119" i="1"/>
  <c r="AA119" i="1"/>
  <c r="W119" i="1"/>
  <c r="X119" i="1" s="1"/>
  <c r="U119" i="1"/>
  <c r="R119" i="1"/>
  <c r="N119" i="1"/>
  <c r="O119" i="1" s="1"/>
  <c r="L119" i="1"/>
  <c r="H119" i="1"/>
  <c r="I119" i="1" s="1"/>
  <c r="F119" i="1"/>
  <c r="C119" i="1"/>
  <c r="AA118" i="1"/>
  <c r="Z118" i="1"/>
  <c r="X118" i="1"/>
  <c r="W118" i="1"/>
  <c r="U118" i="1"/>
  <c r="T118" i="1"/>
  <c r="R118" i="1"/>
  <c r="Q118" i="1"/>
  <c r="AC118" i="1" s="1"/>
  <c r="AD118" i="1" s="1"/>
  <c r="O118" i="1"/>
  <c r="K118" i="1"/>
  <c r="L118" i="1" s="1"/>
  <c r="F118" i="1"/>
  <c r="E118" i="1"/>
  <c r="C118" i="1"/>
  <c r="B118" i="1"/>
  <c r="N118" i="1" s="1"/>
  <c r="AD117" i="1"/>
  <c r="AC117" i="1"/>
  <c r="AA117" i="1"/>
  <c r="W117" i="1"/>
  <c r="X117" i="1" s="1"/>
  <c r="U117" i="1"/>
  <c r="R117" i="1"/>
  <c r="N117" i="1"/>
  <c r="O117" i="1" s="1"/>
  <c r="L117" i="1"/>
  <c r="I117" i="1"/>
  <c r="H117" i="1"/>
  <c r="F117" i="1"/>
  <c r="C117" i="1"/>
  <c r="AD116" i="1"/>
  <c r="AC116" i="1"/>
  <c r="AA116" i="1"/>
  <c r="W116" i="1"/>
  <c r="X116" i="1" s="1"/>
  <c r="U116" i="1"/>
  <c r="R116" i="1"/>
  <c r="N116" i="1"/>
  <c r="O116" i="1" s="1"/>
  <c r="L116" i="1"/>
  <c r="H116" i="1"/>
  <c r="I116" i="1" s="1"/>
  <c r="F116" i="1"/>
  <c r="C116" i="1"/>
  <c r="AD115" i="1"/>
  <c r="AC115" i="1"/>
  <c r="AA115" i="1"/>
  <c r="W115" i="1"/>
  <c r="X115" i="1" s="1"/>
  <c r="U115" i="1"/>
  <c r="R115" i="1"/>
  <c r="N115" i="1"/>
  <c r="O115" i="1" s="1"/>
  <c r="L115" i="1"/>
  <c r="I115" i="1"/>
  <c r="H115" i="1"/>
  <c r="F115" i="1"/>
  <c r="C115" i="1"/>
  <c r="AD114" i="1"/>
  <c r="AC114" i="1"/>
  <c r="AA114" i="1"/>
  <c r="W114" i="1"/>
  <c r="X114" i="1" s="1"/>
  <c r="U114" i="1"/>
  <c r="R114" i="1"/>
  <c r="N114" i="1"/>
  <c r="O114" i="1" s="1"/>
  <c r="L114" i="1"/>
  <c r="I114" i="1"/>
  <c r="H114" i="1"/>
  <c r="F114" i="1"/>
  <c r="C114" i="1"/>
  <c r="AD113" i="1"/>
  <c r="AC113" i="1"/>
  <c r="AA113" i="1"/>
  <c r="W113" i="1"/>
  <c r="X113" i="1" s="1"/>
  <c r="U113" i="1"/>
  <c r="R113" i="1"/>
  <c r="N113" i="1"/>
  <c r="O113" i="1" s="1"/>
  <c r="L113" i="1"/>
  <c r="I113" i="1"/>
  <c r="H113" i="1"/>
  <c r="F113" i="1"/>
  <c r="C113" i="1"/>
  <c r="AD112" i="1"/>
  <c r="AC112" i="1"/>
  <c r="AA112" i="1"/>
  <c r="W112" i="1"/>
  <c r="X112" i="1" s="1"/>
  <c r="U112" i="1"/>
  <c r="R112" i="1"/>
  <c r="N112" i="1"/>
  <c r="O112" i="1" s="1"/>
  <c r="L112" i="1"/>
  <c r="H112" i="1"/>
  <c r="I112" i="1" s="1"/>
  <c r="F112" i="1"/>
  <c r="C112" i="1"/>
  <c r="AD111" i="1"/>
  <c r="AC111" i="1"/>
  <c r="AA111" i="1"/>
  <c r="W111" i="1"/>
  <c r="X111" i="1" s="1"/>
  <c r="U111" i="1"/>
  <c r="R111" i="1"/>
  <c r="N111" i="1"/>
  <c r="O111" i="1" s="1"/>
  <c r="L111" i="1"/>
  <c r="I111" i="1"/>
  <c r="H111" i="1"/>
  <c r="F111" i="1"/>
  <c r="C111" i="1"/>
  <c r="AD110" i="1"/>
  <c r="AC110" i="1"/>
  <c r="AA110" i="1"/>
  <c r="W110" i="1"/>
  <c r="X110" i="1" s="1"/>
  <c r="U110" i="1"/>
  <c r="R110" i="1"/>
  <c r="N110" i="1"/>
  <c r="O110" i="1" s="1"/>
  <c r="L110" i="1"/>
  <c r="I110" i="1"/>
  <c r="H110" i="1"/>
  <c r="F110" i="1"/>
  <c r="C110" i="1"/>
  <c r="AC109" i="1"/>
  <c r="AD109" i="1" s="1"/>
  <c r="AA109" i="1"/>
  <c r="W109" i="1"/>
  <c r="X109" i="1" s="1"/>
  <c r="U109" i="1"/>
  <c r="R109" i="1"/>
  <c r="N109" i="1"/>
  <c r="O109" i="1" s="1"/>
  <c r="L109" i="1"/>
  <c r="I109" i="1"/>
  <c r="H109" i="1"/>
  <c r="F109" i="1"/>
  <c r="C109" i="1"/>
  <c r="AD108" i="1"/>
  <c r="AC108" i="1"/>
  <c r="AA108" i="1"/>
  <c r="W108" i="1"/>
  <c r="X108" i="1" s="1"/>
  <c r="U108" i="1"/>
  <c r="R108" i="1"/>
  <c r="N108" i="1"/>
  <c r="O108" i="1" s="1"/>
  <c r="L108" i="1"/>
  <c r="H108" i="1"/>
  <c r="I108" i="1" s="1"/>
  <c r="F108" i="1"/>
  <c r="C108" i="1"/>
  <c r="AD107" i="1"/>
  <c r="AC107" i="1"/>
  <c r="AA107" i="1"/>
  <c r="W107" i="1"/>
  <c r="X107" i="1" s="1"/>
  <c r="U107" i="1"/>
  <c r="R107" i="1"/>
  <c r="N107" i="1"/>
  <c r="O107" i="1" s="1"/>
  <c r="L107" i="1"/>
  <c r="I107" i="1"/>
  <c r="H107" i="1"/>
  <c r="F107" i="1"/>
  <c r="C107" i="1"/>
  <c r="AD106" i="1"/>
  <c r="AC106" i="1"/>
  <c r="AA106" i="1"/>
  <c r="W106" i="1"/>
  <c r="X106" i="1" s="1"/>
  <c r="U106" i="1"/>
  <c r="R106" i="1"/>
  <c r="N106" i="1"/>
  <c r="O106" i="1" s="1"/>
  <c r="L106" i="1"/>
  <c r="I106" i="1"/>
  <c r="H106" i="1"/>
  <c r="F106" i="1"/>
  <c r="C106" i="1"/>
  <c r="AC105" i="1"/>
  <c r="AD105" i="1" s="1"/>
  <c r="AA105" i="1"/>
  <c r="W105" i="1"/>
  <c r="X105" i="1" s="1"/>
  <c r="U105" i="1"/>
  <c r="R105" i="1"/>
  <c r="N105" i="1"/>
  <c r="O105" i="1" s="1"/>
  <c r="L105" i="1"/>
  <c r="I105" i="1"/>
  <c r="H105" i="1"/>
  <c r="F105" i="1"/>
  <c r="C105" i="1"/>
  <c r="AD104" i="1"/>
  <c r="AC104" i="1"/>
  <c r="AA104" i="1"/>
  <c r="W104" i="1"/>
  <c r="X104" i="1" s="1"/>
  <c r="U104" i="1"/>
  <c r="R104" i="1"/>
  <c r="N104" i="1"/>
  <c r="O104" i="1" s="1"/>
  <c r="L104" i="1"/>
  <c r="H104" i="1"/>
  <c r="I104" i="1" s="1"/>
  <c r="F104" i="1"/>
  <c r="C104" i="1"/>
  <c r="AD103" i="1"/>
  <c r="AC103" i="1"/>
  <c r="AA103" i="1"/>
  <c r="W103" i="1"/>
  <c r="X103" i="1" s="1"/>
  <c r="U103" i="1"/>
  <c r="R103" i="1"/>
  <c r="N103" i="1"/>
  <c r="O103" i="1" s="1"/>
  <c r="L103" i="1"/>
  <c r="I103" i="1"/>
  <c r="H103" i="1"/>
  <c r="F103" i="1"/>
  <c r="C103" i="1"/>
  <c r="AD102" i="1"/>
  <c r="AC102" i="1"/>
  <c r="AA102" i="1"/>
  <c r="W102" i="1"/>
  <c r="X102" i="1" s="1"/>
  <c r="U102" i="1"/>
  <c r="R102" i="1"/>
  <c r="N102" i="1"/>
  <c r="O102" i="1" s="1"/>
  <c r="L102" i="1"/>
  <c r="I102" i="1"/>
  <c r="H102" i="1"/>
  <c r="F102" i="1"/>
  <c r="C102" i="1"/>
  <c r="AD101" i="1"/>
  <c r="AC101" i="1"/>
  <c r="AA101" i="1"/>
  <c r="W101" i="1"/>
  <c r="X101" i="1" s="1"/>
  <c r="U101" i="1"/>
  <c r="R101" i="1"/>
  <c r="N101" i="1"/>
  <c r="O101" i="1" s="1"/>
  <c r="L101" i="1"/>
  <c r="I101" i="1"/>
  <c r="H101" i="1"/>
  <c r="F101" i="1"/>
  <c r="C101" i="1"/>
  <c r="AD100" i="1"/>
  <c r="AC100" i="1"/>
  <c r="AA100" i="1"/>
  <c r="W100" i="1"/>
  <c r="X100" i="1" s="1"/>
  <c r="U100" i="1"/>
  <c r="R100" i="1"/>
  <c r="N100" i="1"/>
  <c r="O100" i="1" s="1"/>
  <c r="L100" i="1"/>
  <c r="H100" i="1"/>
  <c r="I100" i="1" s="1"/>
  <c r="F100" i="1"/>
  <c r="C100" i="1"/>
  <c r="AD99" i="1"/>
  <c r="AC99" i="1"/>
  <c r="AA99" i="1"/>
  <c r="W99" i="1"/>
  <c r="X99" i="1" s="1"/>
  <c r="U99" i="1"/>
  <c r="R99" i="1"/>
  <c r="N99" i="1"/>
  <c r="O99" i="1" s="1"/>
  <c r="L99" i="1"/>
  <c r="I99" i="1"/>
  <c r="H99" i="1"/>
  <c r="F99" i="1"/>
  <c r="C99" i="1"/>
  <c r="AD98" i="1"/>
  <c r="AC98" i="1"/>
  <c r="AA98" i="1"/>
  <c r="W98" i="1"/>
  <c r="X98" i="1" s="1"/>
  <c r="U98" i="1"/>
  <c r="R98" i="1"/>
  <c r="N98" i="1"/>
  <c r="O98" i="1" s="1"/>
  <c r="L98" i="1"/>
  <c r="I98" i="1"/>
  <c r="H98" i="1"/>
  <c r="F98" i="1"/>
  <c r="C98" i="1"/>
  <c r="AD97" i="1"/>
  <c r="AC97" i="1"/>
  <c r="AA97" i="1"/>
  <c r="W97" i="1"/>
  <c r="X97" i="1" s="1"/>
  <c r="U97" i="1"/>
  <c r="R97" i="1"/>
  <c r="N97" i="1"/>
  <c r="O97" i="1" s="1"/>
  <c r="L97" i="1"/>
  <c r="I97" i="1"/>
  <c r="H97" i="1"/>
  <c r="F97" i="1"/>
  <c r="C97" i="1"/>
  <c r="AD96" i="1"/>
  <c r="AC96" i="1"/>
  <c r="AA96" i="1"/>
  <c r="W96" i="1"/>
  <c r="X96" i="1" s="1"/>
  <c r="U96" i="1"/>
  <c r="R96" i="1"/>
  <c r="N96" i="1"/>
  <c r="O96" i="1" s="1"/>
  <c r="L96" i="1"/>
  <c r="H96" i="1"/>
  <c r="I96" i="1" s="1"/>
  <c r="F96" i="1"/>
  <c r="C96" i="1"/>
  <c r="AD95" i="1"/>
  <c r="AC95" i="1"/>
  <c r="AA95" i="1"/>
  <c r="W95" i="1"/>
  <c r="X95" i="1" s="1"/>
  <c r="U95" i="1"/>
  <c r="R95" i="1"/>
  <c r="N95" i="1"/>
  <c r="O95" i="1" s="1"/>
  <c r="L95" i="1"/>
  <c r="I95" i="1"/>
  <c r="H95" i="1"/>
  <c r="F95" i="1"/>
  <c r="C95" i="1"/>
  <c r="AD94" i="1"/>
  <c r="AC94" i="1"/>
  <c r="AA94" i="1"/>
  <c r="W94" i="1"/>
  <c r="X94" i="1" s="1"/>
  <c r="U94" i="1"/>
  <c r="R94" i="1"/>
  <c r="N94" i="1"/>
  <c r="O94" i="1" s="1"/>
  <c r="L94" i="1"/>
  <c r="I94" i="1"/>
  <c r="H94" i="1"/>
  <c r="F94" i="1"/>
  <c r="C94" i="1"/>
  <c r="AC92" i="1"/>
  <c r="AD92" i="1" s="1"/>
  <c r="AA92" i="1"/>
  <c r="W92" i="1"/>
  <c r="X92" i="1" s="1"/>
  <c r="U92" i="1"/>
  <c r="R92" i="1"/>
  <c r="N92" i="1"/>
  <c r="O92" i="1" s="1"/>
  <c r="L92" i="1"/>
  <c r="I92" i="1"/>
  <c r="H92" i="1"/>
  <c r="F92" i="1"/>
  <c r="C92" i="1"/>
  <c r="AD91" i="1"/>
  <c r="AC91" i="1"/>
  <c r="AA91" i="1"/>
  <c r="W91" i="1"/>
  <c r="X91" i="1" s="1"/>
  <c r="U91" i="1"/>
  <c r="R91" i="1"/>
  <c r="N91" i="1"/>
  <c r="O91" i="1" s="1"/>
  <c r="L91" i="1"/>
  <c r="H91" i="1"/>
  <c r="I91" i="1" s="1"/>
  <c r="F91" i="1"/>
  <c r="C91" i="1"/>
  <c r="AD90" i="1"/>
  <c r="AC90" i="1"/>
  <c r="AA90" i="1"/>
  <c r="W90" i="1"/>
  <c r="X90" i="1" s="1"/>
  <c r="U90" i="1"/>
  <c r="R90" i="1"/>
  <c r="N90" i="1"/>
  <c r="O90" i="1" s="1"/>
  <c r="L90" i="1"/>
  <c r="I90" i="1"/>
  <c r="H90" i="1"/>
  <c r="F90" i="1"/>
  <c r="C90" i="1"/>
  <c r="AD89" i="1"/>
  <c r="AC89" i="1"/>
  <c r="AA89" i="1"/>
  <c r="W89" i="1"/>
  <c r="X89" i="1" s="1"/>
  <c r="U89" i="1"/>
  <c r="R89" i="1"/>
  <c r="N89" i="1"/>
  <c r="O89" i="1" s="1"/>
  <c r="L89" i="1"/>
  <c r="I89" i="1"/>
  <c r="H89" i="1"/>
  <c r="F89" i="1"/>
  <c r="C89" i="1"/>
  <c r="AC88" i="1"/>
  <c r="AD88" i="1" s="1"/>
  <c r="AA88" i="1"/>
  <c r="Z88" i="1"/>
  <c r="U88" i="1"/>
  <c r="T88" i="1"/>
  <c r="Q88" i="1"/>
  <c r="W88" i="1" s="1"/>
  <c r="X88" i="1" s="1"/>
  <c r="L88" i="1"/>
  <c r="K88" i="1"/>
  <c r="E88" i="1"/>
  <c r="F88" i="1" s="1"/>
  <c r="C88" i="1"/>
  <c r="B88" i="1"/>
  <c r="H88" i="1" s="1"/>
  <c r="I88" i="1" s="1"/>
  <c r="AD87" i="1"/>
  <c r="AC87" i="1"/>
  <c r="AA87" i="1"/>
  <c r="W87" i="1"/>
  <c r="X87" i="1" s="1"/>
  <c r="U87" i="1"/>
  <c r="R87" i="1"/>
  <c r="N87" i="1"/>
  <c r="O87" i="1" s="1"/>
  <c r="L87" i="1"/>
  <c r="I87" i="1"/>
  <c r="H87" i="1"/>
  <c r="F87" i="1"/>
  <c r="C87" i="1"/>
  <c r="AD86" i="1"/>
  <c r="AC86" i="1"/>
  <c r="AA86" i="1"/>
  <c r="W86" i="1"/>
  <c r="X86" i="1" s="1"/>
  <c r="U86" i="1"/>
  <c r="R86" i="1"/>
  <c r="N86" i="1"/>
  <c r="O86" i="1" s="1"/>
  <c r="L86" i="1"/>
  <c r="I86" i="1"/>
  <c r="H86" i="1"/>
  <c r="F86" i="1"/>
  <c r="C86" i="1"/>
  <c r="AD85" i="1"/>
  <c r="AC85" i="1"/>
  <c r="AA85" i="1"/>
  <c r="W85" i="1"/>
  <c r="X85" i="1" s="1"/>
  <c r="U85" i="1"/>
  <c r="R85" i="1"/>
  <c r="N85" i="1"/>
  <c r="O85" i="1" s="1"/>
  <c r="L85" i="1"/>
  <c r="I85" i="1"/>
  <c r="H85" i="1"/>
  <c r="F85" i="1"/>
  <c r="C85" i="1"/>
  <c r="AD84" i="1"/>
  <c r="AC84" i="1"/>
  <c r="AA84" i="1"/>
  <c r="W84" i="1"/>
  <c r="X84" i="1" s="1"/>
  <c r="U84" i="1"/>
  <c r="R84" i="1"/>
  <c r="N84" i="1"/>
  <c r="O84" i="1" s="1"/>
  <c r="L84" i="1"/>
  <c r="H84" i="1"/>
  <c r="I84" i="1" s="1"/>
  <c r="F84" i="1"/>
  <c r="C84" i="1"/>
  <c r="AD83" i="1"/>
  <c r="AC83" i="1"/>
  <c r="AA83" i="1"/>
  <c r="W83" i="1"/>
  <c r="X83" i="1" s="1"/>
  <c r="U83" i="1"/>
  <c r="R83" i="1"/>
  <c r="N83" i="1"/>
  <c r="O83" i="1" s="1"/>
  <c r="L83" i="1"/>
  <c r="I83" i="1"/>
  <c r="H83" i="1"/>
  <c r="F83" i="1"/>
  <c r="C83" i="1"/>
  <c r="AD82" i="1"/>
  <c r="AC82" i="1"/>
  <c r="AA82" i="1"/>
  <c r="W82" i="1"/>
  <c r="X82" i="1" s="1"/>
  <c r="U82" i="1"/>
  <c r="R82" i="1"/>
  <c r="N82" i="1"/>
  <c r="O82" i="1" s="1"/>
  <c r="L82" i="1"/>
  <c r="I82" i="1"/>
  <c r="H82" i="1"/>
  <c r="F82" i="1"/>
  <c r="C82" i="1"/>
  <c r="AD81" i="1"/>
  <c r="AC81" i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D80" i="1"/>
  <c r="AC80" i="1"/>
  <c r="AA80" i="1"/>
  <c r="W80" i="1"/>
  <c r="X80" i="1" s="1"/>
  <c r="U80" i="1"/>
  <c r="R80" i="1"/>
  <c r="N80" i="1"/>
  <c r="O80" i="1" s="1"/>
  <c r="L80" i="1"/>
  <c r="H80" i="1"/>
  <c r="I80" i="1" s="1"/>
  <c r="F80" i="1"/>
  <c r="C80" i="1"/>
  <c r="AD79" i="1"/>
  <c r="AC79" i="1"/>
  <c r="AA79" i="1"/>
  <c r="W79" i="1"/>
  <c r="X79" i="1" s="1"/>
  <c r="U79" i="1"/>
  <c r="R79" i="1"/>
  <c r="N79" i="1"/>
  <c r="O79" i="1" s="1"/>
  <c r="L79" i="1"/>
  <c r="I79" i="1"/>
  <c r="H79" i="1"/>
  <c r="F79" i="1"/>
  <c r="C79" i="1"/>
  <c r="AD78" i="1"/>
  <c r="AC78" i="1"/>
  <c r="AA78" i="1"/>
  <c r="W78" i="1"/>
  <c r="X78" i="1" s="1"/>
  <c r="U78" i="1"/>
  <c r="R78" i="1"/>
  <c r="N78" i="1"/>
  <c r="O78" i="1" s="1"/>
  <c r="L78" i="1"/>
  <c r="I78" i="1"/>
  <c r="H78" i="1"/>
  <c r="F78" i="1"/>
  <c r="C78" i="1"/>
  <c r="AC77" i="1"/>
  <c r="AD77" i="1" s="1"/>
  <c r="AA77" i="1"/>
  <c r="W77" i="1"/>
  <c r="X77" i="1" s="1"/>
  <c r="U77" i="1"/>
  <c r="R77" i="1"/>
  <c r="N77" i="1"/>
  <c r="O77" i="1" s="1"/>
  <c r="L77" i="1"/>
  <c r="I77" i="1"/>
  <c r="H77" i="1"/>
  <c r="F77" i="1"/>
  <c r="C77" i="1"/>
  <c r="AD76" i="1"/>
  <c r="AC76" i="1"/>
  <c r="AA76" i="1"/>
  <c r="W76" i="1"/>
  <c r="X76" i="1" s="1"/>
  <c r="U76" i="1"/>
  <c r="R76" i="1"/>
  <c r="N76" i="1"/>
  <c r="O76" i="1" s="1"/>
  <c r="L76" i="1"/>
  <c r="H76" i="1"/>
  <c r="I76" i="1" s="1"/>
  <c r="F76" i="1"/>
  <c r="C76" i="1"/>
  <c r="AD75" i="1"/>
  <c r="AC75" i="1"/>
  <c r="AA75" i="1"/>
  <c r="W75" i="1"/>
  <c r="X75" i="1" s="1"/>
  <c r="U75" i="1"/>
  <c r="R75" i="1"/>
  <c r="N75" i="1"/>
  <c r="O75" i="1" s="1"/>
  <c r="L75" i="1"/>
  <c r="I75" i="1"/>
  <c r="H75" i="1"/>
  <c r="F75" i="1"/>
  <c r="C75" i="1"/>
  <c r="AA73" i="1"/>
  <c r="Z73" i="1"/>
  <c r="T73" i="1"/>
  <c r="U73" i="1" s="1"/>
  <c r="R73" i="1"/>
  <c r="Q73" i="1"/>
  <c r="W73" i="1" s="1"/>
  <c r="X73" i="1" s="1"/>
  <c r="L73" i="1"/>
  <c r="K73" i="1"/>
  <c r="H73" i="1"/>
  <c r="I73" i="1" s="1"/>
  <c r="F73" i="1"/>
  <c r="E73" i="1"/>
  <c r="C73" i="1"/>
  <c r="B73" i="1"/>
  <c r="N73" i="1" s="1"/>
  <c r="O73" i="1" s="1"/>
  <c r="AD72" i="1"/>
  <c r="AC72" i="1"/>
  <c r="AA72" i="1"/>
  <c r="W72" i="1"/>
  <c r="X72" i="1" s="1"/>
  <c r="U72" i="1"/>
  <c r="R72" i="1"/>
  <c r="N72" i="1"/>
  <c r="O72" i="1" s="1"/>
  <c r="L72" i="1"/>
  <c r="H72" i="1"/>
  <c r="I72" i="1" s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I71" i="1"/>
  <c r="H71" i="1"/>
  <c r="F71" i="1"/>
  <c r="C71" i="1"/>
  <c r="AD70" i="1"/>
  <c r="AC70" i="1"/>
  <c r="AA70" i="1"/>
  <c r="W70" i="1"/>
  <c r="X70" i="1" s="1"/>
  <c r="U70" i="1"/>
  <c r="R70" i="1"/>
  <c r="N70" i="1"/>
  <c r="O70" i="1" s="1"/>
  <c r="L70" i="1"/>
  <c r="I70" i="1"/>
  <c r="H70" i="1"/>
  <c r="F70" i="1"/>
  <c r="C70" i="1"/>
  <c r="AD69" i="1"/>
  <c r="AC69" i="1"/>
  <c r="AA69" i="1"/>
  <c r="W69" i="1"/>
  <c r="X69" i="1" s="1"/>
  <c r="U69" i="1"/>
  <c r="R69" i="1"/>
  <c r="N69" i="1"/>
  <c r="O69" i="1" s="1"/>
  <c r="L69" i="1"/>
  <c r="I69" i="1"/>
  <c r="H69" i="1"/>
  <c r="F69" i="1"/>
  <c r="C69" i="1"/>
  <c r="AD68" i="1"/>
  <c r="AC68" i="1"/>
  <c r="AA68" i="1"/>
  <c r="W68" i="1"/>
  <c r="X68" i="1" s="1"/>
  <c r="U68" i="1"/>
  <c r="R68" i="1"/>
  <c r="N68" i="1"/>
  <c r="O68" i="1" s="1"/>
  <c r="L68" i="1"/>
  <c r="H68" i="1"/>
  <c r="I68" i="1" s="1"/>
  <c r="F68" i="1"/>
  <c r="C68" i="1"/>
  <c r="AD67" i="1"/>
  <c r="AC67" i="1"/>
  <c r="AA67" i="1"/>
  <c r="W67" i="1"/>
  <c r="X67" i="1" s="1"/>
  <c r="U67" i="1"/>
  <c r="R67" i="1"/>
  <c r="N67" i="1"/>
  <c r="O67" i="1" s="1"/>
  <c r="L67" i="1"/>
  <c r="I67" i="1"/>
  <c r="H67" i="1"/>
  <c r="F67" i="1"/>
  <c r="C67" i="1"/>
  <c r="AD66" i="1"/>
  <c r="AC66" i="1"/>
  <c r="AA66" i="1"/>
  <c r="W66" i="1"/>
  <c r="X66" i="1" s="1"/>
  <c r="U66" i="1"/>
  <c r="R66" i="1"/>
  <c r="N66" i="1"/>
  <c r="O66" i="1" s="1"/>
  <c r="L66" i="1"/>
  <c r="I66" i="1"/>
  <c r="H66" i="1"/>
  <c r="F66" i="1"/>
  <c r="C66" i="1"/>
  <c r="AD65" i="1"/>
  <c r="AC65" i="1"/>
  <c r="AA65" i="1"/>
  <c r="W65" i="1"/>
  <c r="X65" i="1" s="1"/>
  <c r="U65" i="1"/>
  <c r="R65" i="1"/>
  <c r="N65" i="1"/>
  <c r="O65" i="1" s="1"/>
  <c r="L65" i="1"/>
  <c r="I65" i="1"/>
  <c r="H65" i="1"/>
  <c r="F65" i="1"/>
  <c r="C65" i="1"/>
  <c r="AD64" i="1"/>
  <c r="AC64" i="1"/>
  <c r="AA64" i="1"/>
  <c r="W64" i="1"/>
  <c r="X64" i="1" s="1"/>
  <c r="U64" i="1"/>
  <c r="R64" i="1"/>
  <c r="N64" i="1"/>
  <c r="O64" i="1" s="1"/>
  <c r="L64" i="1"/>
  <c r="H64" i="1"/>
  <c r="I64" i="1" s="1"/>
  <c r="F64" i="1"/>
  <c r="C64" i="1"/>
  <c r="AA62" i="1"/>
  <c r="Z62" i="1"/>
  <c r="W62" i="1"/>
  <c r="X62" i="1" s="1"/>
  <c r="U62" i="1"/>
  <c r="T62" i="1"/>
  <c r="R62" i="1"/>
  <c r="Q62" i="1"/>
  <c r="AC62" i="1" s="1"/>
  <c r="AD62" i="1" s="1"/>
  <c r="K62" i="1"/>
  <c r="L62" i="1" s="1"/>
  <c r="F62" i="1"/>
  <c r="E62" i="1"/>
  <c r="C62" i="1"/>
  <c r="B62" i="1"/>
  <c r="AC61" i="1"/>
  <c r="AD61" i="1" s="1"/>
  <c r="AA61" i="1"/>
  <c r="Z61" i="1"/>
  <c r="X61" i="1"/>
  <c r="U61" i="1"/>
  <c r="T61" i="1"/>
  <c r="Q61" i="1"/>
  <c r="W61" i="1" s="1"/>
  <c r="L61" i="1"/>
  <c r="K61" i="1"/>
  <c r="I61" i="1"/>
  <c r="E61" i="1"/>
  <c r="F61" i="1" s="1"/>
  <c r="C61" i="1"/>
  <c r="B61" i="1"/>
  <c r="H61" i="1" s="1"/>
  <c r="AD60" i="1"/>
  <c r="AC60" i="1"/>
  <c r="AA60" i="1"/>
  <c r="W60" i="1"/>
  <c r="X60" i="1" s="1"/>
  <c r="U60" i="1"/>
  <c r="R60" i="1"/>
  <c r="N60" i="1"/>
  <c r="O60" i="1" s="1"/>
  <c r="L60" i="1"/>
  <c r="I60" i="1"/>
  <c r="H60" i="1"/>
  <c r="F60" i="1"/>
  <c r="C60" i="1"/>
  <c r="AD59" i="1"/>
  <c r="AC59" i="1"/>
  <c r="AA59" i="1"/>
  <c r="W59" i="1"/>
  <c r="X59" i="1" s="1"/>
  <c r="U59" i="1"/>
  <c r="R59" i="1"/>
  <c r="N59" i="1"/>
  <c r="O59" i="1" s="1"/>
  <c r="L59" i="1"/>
  <c r="I59" i="1"/>
  <c r="H59" i="1"/>
  <c r="F59" i="1"/>
  <c r="C59" i="1"/>
  <c r="AC58" i="1"/>
  <c r="AD58" i="1" s="1"/>
  <c r="AA58" i="1"/>
  <c r="W58" i="1"/>
  <c r="X58" i="1" s="1"/>
  <c r="U58" i="1"/>
  <c r="R58" i="1"/>
  <c r="N58" i="1"/>
  <c r="O58" i="1" s="1"/>
  <c r="L58" i="1"/>
  <c r="I58" i="1"/>
  <c r="H58" i="1"/>
  <c r="F58" i="1"/>
  <c r="C58" i="1"/>
  <c r="AD57" i="1"/>
  <c r="AC57" i="1"/>
  <c r="AA57" i="1"/>
  <c r="W57" i="1"/>
  <c r="X57" i="1" s="1"/>
  <c r="U57" i="1"/>
  <c r="R57" i="1"/>
  <c r="N57" i="1"/>
  <c r="O57" i="1" s="1"/>
  <c r="L57" i="1"/>
  <c r="H57" i="1"/>
  <c r="I57" i="1" s="1"/>
  <c r="F57" i="1"/>
  <c r="C57" i="1"/>
  <c r="AD56" i="1"/>
  <c r="AC56" i="1"/>
  <c r="AA56" i="1"/>
  <c r="W56" i="1"/>
  <c r="X56" i="1" s="1"/>
  <c r="U56" i="1"/>
  <c r="R56" i="1"/>
  <c r="N56" i="1"/>
  <c r="O56" i="1" s="1"/>
  <c r="L56" i="1"/>
  <c r="I56" i="1"/>
  <c r="H56" i="1"/>
  <c r="F56" i="1"/>
  <c r="C56" i="1"/>
  <c r="AD55" i="1"/>
  <c r="AC55" i="1"/>
  <c r="AA55" i="1"/>
  <c r="W55" i="1"/>
  <c r="X55" i="1" s="1"/>
  <c r="U55" i="1"/>
  <c r="R55" i="1"/>
  <c r="N55" i="1"/>
  <c r="O55" i="1" s="1"/>
  <c r="L55" i="1"/>
  <c r="I55" i="1"/>
  <c r="H55" i="1"/>
  <c r="F55" i="1"/>
  <c r="C55" i="1"/>
  <c r="AD54" i="1"/>
  <c r="AC54" i="1"/>
  <c r="AA54" i="1"/>
  <c r="W54" i="1"/>
  <c r="X54" i="1" s="1"/>
  <c r="U54" i="1"/>
  <c r="R54" i="1"/>
  <c r="N54" i="1"/>
  <c r="O54" i="1" s="1"/>
  <c r="L54" i="1"/>
  <c r="I54" i="1"/>
  <c r="H54" i="1"/>
  <c r="F54" i="1"/>
  <c r="C54" i="1"/>
  <c r="AD53" i="1"/>
  <c r="AC53" i="1"/>
  <c r="AA53" i="1"/>
  <c r="W53" i="1"/>
  <c r="X53" i="1" s="1"/>
  <c r="U53" i="1"/>
  <c r="R53" i="1"/>
  <c r="N53" i="1"/>
  <c r="O53" i="1" s="1"/>
  <c r="L53" i="1"/>
  <c r="H53" i="1"/>
  <c r="I53" i="1" s="1"/>
  <c r="F53" i="1"/>
  <c r="C53" i="1"/>
  <c r="AD52" i="1"/>
  <c r="AC52" i="1"/>
  <c r="AA52" i="1"/>
  <c r="W52" i="1"/>
  <c r="X52" i="1" s="1"/>
  <c r="U52" i="1"/>
  <c r="R52" i="1"/>
  <c r="N52" i="1"/>
  <c r="O52" i="1" s="1"/>
  <c r="L52" i="1"/>
  <c r="I52" i="1"/>
  <c r="H52" i="1"/>
  <c r="F52" i="1"/>
  <c r="C52" i="1"/>
  <c r="AD51" i="1"/>
  <c r="AC51" i="1"/>
  <c r="AA51" i="1"/>
  <c r="W51" i="1"/>
  <c r="X51" i="1" s="1"/>
  <c r="U51" i="1"/>
  <c r="R51" i="1"/>
  <c r="N51" i="1"/>
  <c r="O51" i="1" s="1"/>
  <c r="L51" i="1"/>
  <c r="I51" i="1"/>
  <c r="H51" i="1"/>
  <c r="F51" i="1"/>
  <c r="C51" i="1"/>
  <c r="AD50" i="1"/>
  <c r="AC50" i="1"/>
  <c r="AA50" i="1"/>
  <c r="W50" i="1"/>
  <c r="X50" i="1" s="1"/>
  <c r="U50" i="1"/>
  <c r="R50" i="1"/>
  <c r="N50" i="1"/>
  <c r="O50" i="1" s="1"/>
  <c r="L50" i="1"/>
  <c r="I50" i="1"/>
  <c r="H50" i="1"/>
  <c r="F50" i="1"/>
  <c r="C50" i="1"/>
  <c r="AD49" i="1"/>
  <c r="AC49" i="1"/>
  <c r="AA49" i="1"/>
  <c r="W49" i="1"/>
  <c r="X49" i="1" s="1"/>
  <c r="U49" i="1"/>
  <c r="R49" i="1"/>
  <c r="N49" i="1"/>
  <c r="O49" i="1" s="1"/>
  <c r="L49" i="1"/>
  <c r="H49" i="1"/>
  <c r="I49" i="1" s="1"/>
  <c r="F49" i="1"/>
  <c r="C49" i="1"/>
  <c r="AD48" i="1"/>
  <c r="AC48" i="1"/>
  <c r="AA48" i="1"/>
  <c r="W48" i="1"/>
  <c r="X48" i="1" s="1"/>
  <c r="U48" i="1"/>
  <c r="R48" i="1"/>
  <c r="N48" i="1"/>
  <c r="O48" i="1" s="1"/>
  <c r="L48" i="1"/>
  <c r="I48" i="1"/>
  <c r="H48" i="1"/>
  <c r="F48" i="1"/>
  <c r="C48" i="1"/>
  <c r="AD47" i="1"/>
  <c r="AC47" i="1"/>
  <c r="AA47" i="1"/>
  <c r="W47" i="1"/>
  <c r="X47" i="1" s="1"/>
  <c r="U47" i="1"/>
  <c r="R47" i="1"/>
  <c r="N47" i="1"/>
  <c r="O47" i="1" s="1"/>
  <c r="L47" i="1"/>
  <c r="I47" i="1"/>
  <c r="H47" i="1"/>
  <c r="F47" i="1"/>
  <c r="C47" i="1"/>
  <c r="AC46" i="1"/>
  <c r="AD46" i="1" s="1"/>
  <c r="AA46" i="1"/>
  <c r="W46" i="1"/>
  <c r="X46" i="1" s="1"/>
  <c r="U46" i="1"/>
  <c r="R46" i="1"/>
  <c r="N46" i="1"/>
  <c r="O46" i="1" s="1"/>
  <c r="L46" i="1"/>
  <c r="I46" i="1"/>
  <c r="H46" i="1"/>
  <c r="F46" i="1"/>
  <c r="C46" i="1"/>
  <c r="AD44" i="1"/>
  <c r="AC44" i="1"/>
  <c r="AA44" i="1"/>
  <c r="W44" i="1"/>
  <c r="X44" i="1" s="1"/>
  <c r="U44" i="1"/>
  <c r="R44" i="1"/>
  <c r="N44" i="1"/>
  <c r="O44" i="1" s="1"/>
  <c r="L44" i="1"/>
  <c r="H44" i="1"/>
  <c r="I44" i="1" s="1"/>
  <c r="F44" i="1"/>
  <c r="C44" i="1"/>
  <c r="AD43" i="1"/>
  <c r="AC43" i="1"/>
  <c r="AA43" i="1"/>
  <c r="W43" i="1"/>
  <c r="X43" i="1" s="1"/>
  <c r="U43" i="1"/>
  <c r="R43" i="1"/>
  <c r="N43" i="1"/>
  <c r="O43" i="1" s="1"/>
  <c r="L43" i="1"/>
  <c r="I43" i="1"/>
  <c r="H43" i="1"/>
  <c r="F43" i="1"/>
  <c r="C43" i="1"/>
  <c r="AD42" i="1"/>
  <c r="AC42" i="1"/>
  <c r="AA42" i="1"/>
  <c r="W42" i="1"/>
  <c r="X42" i="1" s="1"/>
  <c r="U42" i="1"/>
  <c r="R42" i="1"/>
  <c r="N42" i="1"/>
  <c r="O42" i="1" s="1"/>
  <c r="L42" i="1"/>
  <c r="I42" i="1"/>
  <c r="H42" i="1"/>
  <c r="F42" i="1"/>
  <c r="C42" i="1"/>
  <c r="AC40" i="1"/>
  <c r="AD40" i="1" s="1"/>
  <c r="AA40" i="1"/>
  <c r="Z40" i="1"/>
  <c r="U40" i="1"/>
  <c r="T40" i="1"/>
  <c r="Q40" i="1"/>
  <c r="W40" i="1" s="1"/>
  <c r="X40" i="1" s="1"/>
  <c r="L40" i="1"/>
  <c r="K40" i="1"/>
  <c r="E40" i="1"/>
  <c r="F40" i="1" s="1"/>
  <c r="C40" i="1"/>
  <c r="B40" i="1"/>
  <c r="H40" i="1" s="1"/>
  <c r="I40" i="1" s="1"/>
  <c r="AD39" i="1"/>
  <c r="AC39" i="1"/>
  <c r="AA39" i="1"/>
  <c r="W39" i="1"/>
  <c r="X39" i="1" s="1"/>
  <c r="U39" i="1"/>
  <c r="R39" i="1"/>
  <c r="N39" i="1"/>
  <c r="O39" i="1" s="1"/>
  <c r="L39" i="1"/>
  <c r="I39" i="1"/>
  <c r="H39" i="1"/>
  <c r="F39" i="1"/>
  <c r="C39" i="1"/>
  <c r="AD38" i="1"/>
  <c r="AC38" i="1"/>
  <c r="AA38" i="1"/>
  <c r="W38" i="1"/>
  <c r="X38" i="1" s="1"/>
  <c r="U38" i="1"/>
  <c r="R38" i="1"/>
  <c r="N38" i="1"/>
  <c r="O38" i="1" s="1"/>
  <c r="L38" i="1"/>
  <c r="I38" i="1"/>
  <c r="H38" i="1"/>
  <c r="F38" i="1"/>
  <c r="C38" i="1"/>
  <c r="AD37" i="1"/>
  <c r="AC37" i="1"/>
  <c r="AA37" i="1"/>
  <c r="W37" i="1"/>
  <c r="X37" i="1" s="1"/>
  <c r="U37" i="1"/>
  <c r="R37" i="1"/>
  <c r="N37" i="1"/>
  <c r="O37" i="1" s="1"/>
  <c r="L37" i="1"/>
  <c r="I37" i="1"/>
  <c r="H37" i="1"/>
  <c r="F37" i="1"/>
  <c r="C37" i="1"/>
  <c r="AD36" i="1"/>
  <c r="AC36" i="1"/>
  <c r="AA36" i="1"/>
  <c r="W36" i="1"/>
  <c r="X36" i="1" s="1"/>
  <c r="U36" i="1"/>
  <c r="R36" i="1"/>
  <c r="N36" i="1"/>
  <c r="O36" i="1" s="1"/>
  <c r="L36" i="1"/>
  <c r="H36" i="1"/>
  <c r="I36" i="1" s="1"/>
  <c r="F36" i="1"/>
  <c r="C36" i="1"/>
  <c r="AD35" i="1"/>
  <c r="AC35" i="1"/>
  <c r="AA35" i="1"/>
  <c r="W35" i="1"/>
  <c r="X35" i="1" s="1"/>
  <c r="U35" i="1"/>
  <c r="R35" i="1"/>
  <c r="N35" i="1"/>
  <c r="O35" i="1" s="1"/>
  <c r="L35" i="1"/>
  <c r="I35" i="1"/>
  <c r="H35" i="1"/>
  <c r="F35" i="1"/>
  <c r="C35" i="1"/>
  <c r="AD34" i="1"/>
  <c r="AC34" i="1"/>
  <c r="AA34" i="1"/>
  <c r="W34" i="1"/>
  <c r="X34" i="1" s="1"/>
  <c r="U34" i="1"/>
  <c r="R34" i="1"/>
  <c r="N34" i="1"/>
  <c r="O34" i="1" s="1"/>
  <c r="L34" i="1"/>
  <c r="I34" i="1"/>
  <c r="H34" i="1"/>
  <c r="F34" i="1"/>
  <c r="C34" i="1"/>
  <c r="AD33" i="1"/>
  <c r="AC33" i="1"/>
  <c r="AA33" i="1"/>
  <c r="W33" i="1"/>
  <c r="X33" i="1" s="1"/>
  <c r="U33" i="1"/>
  <c r="R33" i="1"/>
  <c r="N33" i="1"/>
  <c r="O33" i="1" s="1"/>
  <c r="L33" i="1"/>
  <c r="I33" i="1"/>
  <c r="H33" i="1"/>
  <c r="F33" i="1"/>
  <c r="C33" i="1"/>
  <c r="AD32" i="1"/>
  <c r="AC32" i="1"/>
  <c r="AA32" i="1"/>
  <c r="W32" i="1"/>
  <c r="X32" i="1" s="1"/>
  <c r="U32" i="1"/>
  <c r="R32" i="1"/>
  <c r="N32" i="1"/>
  <c r="O32" i="1" s="1"/>
  <c r="L32" i="1"/>
  <c r="H32" i="1"/>
  <c r="I32" i="1" s="1"/>
  <c r="F32" i="1"/>
  <c r="C32" i="1"/>
  <c r="AD31" i="1"/>
  <c r="AC31" i="1"/>
  <c r="AA31" i="1"/>
  <c r="W31" i="1"/>
  <c r="X31" i="1" s="1"/>
  <c r="U31" i="1"/>
  <c r="R31" i="1"/>
  <c r="N31" i="1"/>
  <c r="O31" i="1" s="1"/>
  <c r="L31" i="1"/>
  <c r="I31" i="1"/>
  <c r="H31" i="1"/>
  <c r="F31" i="1"/>
  <c r="C31" i="1"/>
  <c r="AA29" i="1"/>
  <c r="Z29" i="1"/>
  <c r="T29" i="1"/>
  <c r="U29" i="1" s="1"/>
  <c r="R29" i="1"/>
  <c r="Q29" i="1"/>
  <c r="W29" i="1" s="1"/>
  <c r="X29" i="1" s="1"/>
  <c r="L29" i="1"/>
  <c r="K29" i="1"/>
  <c r="I29" i="1"/>
  <c r="H29" i="1"/>
  <c r="F29" i="1"/>
  <c r="E29" i="1"/>
  <c r="C29" i="1"/>
  <c r="B29" i="1"/>
  <c r="N29" i="1" s="1"/>
  <c r="O29" i="1" s="1"/>
  <c r="AD28" i="1"/>
  <c r="AC28" i="1"/>
  <c r="AA28" i="1"/>
  <c r="W28" i="1"/>
  <c r="X28" i="1" s="1"/>
  <c r="U28" i="1"/>
  <c r="R28" i="1"/>
  <c r="N28" i="1"/>
  <c r="O28" i="1" s="1"/>
  <c r="L28" i="1"/>
  <c r="H28" i="1"/>
  <c r="I28" i="1" s="1"/>
  <c r="F28" i="1"/>
  <c r="C28" i="1"/>
  <c r="AD27" i="1"/>
  <c r="AC27" i="1"/>
  <c r="AA27" i="1"/>
  <c r="W27" i="1"/>
  <c r="X27" i="1" s="1"/>
  <c r="U27" i="1"/>
  <c r="R27" i="1"/>
  <c r="N27" i="1"/>
  <c r="O27" i="1" s="1"/>
  <c r="L27" i="1"/>
  <c r="I27" i="1"/>
  <c r="H27" i="1"/>
  <c r="F27" i="1"/>
  <c r="C27" i="1"/>
  <c r="AD26" i="1"/>
  <c r="AC26" i="1"/>
  <c r="AA26" i="1"/>
  <c r="W26" i="1"/>
  <c r="X26" i="1" s="1"/>
  <c r="U26" i="1"/>
  <c r="R26" i="1"/>
  <c r="N26" i="1"/>
  <c r="O26" i="1" s="1"/>
  <c r="L26" i="1"/>
  <c r="I26" i="1"/>
  <c r="H26" i="1"/>
  <c r="F26" i="1"/>
  <c r="C26" i="1"/>
  <c r="AC25" i="1"/>
  <c r="AD25" i="1" s="1"/>
  <c r="AA25" i="1"/>
  <c r="W25" i="1"/>
  <c r="X25" i="1" s="1"/>
  <c r="U25" i="1"/>
  <c r="R25" i="1"/>
  <c r="N25" i="1"/>
  <c r="O25" i="1" s="1"/>
  <c r="L25" i="1"/>
  <c r="I25" i="1"/>
  <c r="H25" i="1"/>
  <c r="F25" i="1"/>
  <c r="C25" i="1"/>
  <c r="AD24" i="1"/>
  <c r="AC24" i="1"/>
  <c r="AA24" i="1"/>
  <c r="W24" i="1"/>
  <c r="X24" i="1" s="1"/>
  <c r="U24" i="1"/>
  <c r="R24" i="1"/>
  <c r="N24" i="1"/>
  <c r="O24" i="1" s="1"/>
  <c r="L24" i="1"/>
  <c r="H24" i="1"/>
  <c r="I24" i="1" s="1"/>
  <c r="F24" i="1"/>
  <c r="C24" i="1"/>
  <c r="AD23" i="1"/>
  <c r="AC23" i="1"/>
  <c r="AA23" i="1"/>
  <c r="W23" i="1"/>
  <c r="X23" i="1" s="1"/>
  <c r="U23" i="1"/>
  <c r="R23" i="1"/>
  <c r="N23" i="1"/>
  <c r="O23" i="1" s="1"/>
  <c r="L23" i="1"/>
  <c r="I23" i="1"/>
  <c r="H23" i="1"/>
  <c r="F23" i="1"/>
  <c r="C23" i="1"/>
  <c r="AD22" i="1"/>
  <c r="AC22" i="1"/>
  <c r="AA22" i="1"/>
  <c r="W22" i="1"/>
  <c r="X22" i="1" s="1"/>
  <c r="U22" i="1"/>
  <c r="R22" i="1"/>
  <c r="N22" i="1"/>
  <c r="O22" i="1" s="1"/>
  <c r="L22" i="1"/>
  <c r="I22" i="1"/>
  <c r="H22" i="1"/>
  <c r="F22" i="1"/>
  <c r="C22" i="1"/>
  <c r="AD21" i="1"/>
  <c r="AC21" i="1"/>
  <c r="AA21" i="1"/>
  <c r="W21" i="1"/>
  <c r="X21" i="1" s="1"/>
  <c r="U21" i="1"/>
  <c r="R21" i="1"/>
  <c r="N21" i="1"/>
  <c r="O21" i="1" s="1"/>
  <c r="L21" i="1"/>
  <c r="I21" i="1"/>
  <c r="H21" i="1"/>
  <c r="F21" i="1"/>
  <c r="C21" i="1"/>
  <c r="AD19" i="1"/>
  <c r="AC19" i="1"/>
  <c r="AA19" i="1"/>
  <c r="W19" i="1"/>
  <c r="X19" i="1" s="1"/>
  <c r="U19" i="1"/>
  <c r="R19" i="1"/>
  <c r="N19" i="1"/>
  <c r="O19" i="1" s="1"/>
  <c r="L19" i="1"/>
  <c r="H19" i="1"/>
  <c r="I19" i="1" s="1"/>
  <c r="F19" i="1"/>
  <c r="C19" i="1"/>
  <c r="AA18" i="1"/>
  <c r="Z18" i="1"/>
  <c r="W18" i="1"/>
  <c r="X18" i="1" s="1"/>
  <c r="U18" i="1"/>
  <c r="T18" i="1"/>
  <c r="R18" i="1"/>
  <c r="Q18" i="1"/>
  <c r="AC18" i="1" s="1"/>
  <c r="AD18" i="1" s="1"/>
  <c r="K18" i="1"/>
  <c r="L18" i="1" s="1"/>
  <c r="F18" i="1"/>
  <c r="E18" i="1"/>
  <c r="C18" i="1"/>
  <c r="B18" i="1"/>
  <c r="AD17" i="1"/>
  <c r="AC17" i="1"/>
  <c r="AA17" i="1"/>
  <c r="W17" i="1"/>
  <c r="X17" i="1" s="1"/>
  <c r="U17" i="1"/>
  <c r="R17" i="1"/>
  <c r="N17" i="1"/>
  <c r="O17" i="1" s="1"/>
  <c r="L17" i="1"/>
  <c r="I17" i="1"/>
  <c r="H17" i="1"/>
  <c r="F17" i="1"/>
  <c r="C17" i="1"/>
  <c r="AD16" i="1"/>
  <c r="AC16" i="1"/>
  <c r="AA16" i="1"/>
  <c r="W16" i="1"/>
  <c r="X16" i="1" s="1"/>
  <c r="U16" i="1"/>
  <c r="R16" i="1"/>
  <c r="N16" i="1"/>
  <c r="O16" i="1" s="1"/>
  <c r="L16" i="1"/>
  <c r="H16" i="1"/>
  <c r="I16" i="1" s="1"/>
  <c r="F16" i="1"/>
  <c r="C16" i="1"/>
  <c r="AD15" i="1"/>
  <c r="AC15" i="1"/>
  <c r="AA15" i="1"/>
  <c r="W15" i="1"/>
  <c r="X15" i="1" s="1"/>
  <c r="U15" i="1"/>
  <c r="R15" i="1"/>
  <c r="N15" i="1"/>
  <c r="O15" i="1" s="1"/>
  <c r="L15" i="1"/>
  <c r="I15" i="1"/>
  <c r="H15" i="1"/>
  <c r="F15" i="1"/>
  <c r="C15" i="1"/>
  <c r="AD14" i="1"/>
  <c r="AC14" i="1"/>
  <c r="AA14" i="1"/>
  <c r="W14" i="1"/>
  <c r="X14" i="1" s="1"/>
  <c r="U14" i="1"/>
  <c r="R14" i="1"/>
  <c r="N14" i="1"/>
  <c r="O14" i="1" s="1"/>
  <c r="L14" i="1"/>
  <c r="I14" i="1"/>
  <c r="H14" i="1"/>
  <c r="F14" i="1"/>
  <c r="C14" i="1"/>
  <c r="AC13" i="1"/>
  <c r="AD13" i="1" s="1"/>
  <c r="AA13" i="1"/>
  <c r="W13" i="1"/>
  <c r="X13" i="1" s="1"/>
  <c r="U13" i="1"/>
  <c r="R13" i="1"/>
  <c r="N13" i="1"/>
  <c r="O13" i="1" s="1"/>
  <c r="L13" i="1"/>
  <c r="I13" i="1"/>
  <c r="H13" i="1"/>
  <c r="F13" i="1"/>
  <c r="C13" i="1"/>
  <c r="AD12" i="1"/>
  <c r="AC12" i="1"/>
  <c r="AA12" i="1"/>
  <c r="W12" i="1"/>
  <c r="X12" i="1" s="1"/>
  <c r="U12" i="1"/>
  <c r="R12" i="1"/>
  <c r="N12" i="1"/>
  <c r="O12" i="1" s="1"/>
  <c r="L12" i="1"/>
  <c r="H12" i="1"/>
  <c r="I12" i="1" s="1"/>
  <c r="F12" i="1"/>
  <c r="C12" i="1"/>
  <c r="AD11" i="1"/>
  <c r="AC11" i="1"/>
  <c r="AA11" i="1"/>
  <c r="W11" i="1"/>
  <c r="X11" i="1" s="1"/>
  <c r="U11" i="1"/>
  <c r="R11" i="1"/>
  <c r="N11" i="1"/>
  <c r="O11" i="1" s="1"/>
  <c r="L11" i="1"/>
  <c r="I11" i="1"/>
  <c r="H11" i="1"/>
  <c r="F11" i="1"/>
  <c r="C11" i="1"/>
  <c r="AD10" i="1"/>
  <c r="AC10" i="1"/>
  <c r="AA10" i="1"/>
  <c r="W10" i="1"/>
  <c r="X10" i="1" s="1"/>
  <c r="U10" i="1"/>
  <c r="R10" i="1"/>
  <c r="N10" i="1"/>
  <c r="O10" i="1" s="1"/>
  <c r="L10" i="1"/>
  <c r="I10" i="1"/>
  <c r="H10" i="1"/>
  <c r="F10" i="1"/>
  <c r="C10" i="1"/>
  <c r="AC8" i="1"/>
  <c r="AD8" i="1" s="1"/>
  <c r="AA8" i="1"/>
  <c r="W8" i="1"/>
  <c r="X8" i="1" s="1"/>
  <c r="U8" i="1"/>
  <c r="R8" i="1"/>
  <c r="N8" i="1"/>
  <c r="O8" i="1" s="1"/>
  <c r="L8" i="1"/>
  <c r="I8" i="1"/>
  <c r="H8" i="1"/>
  <c r="F8" i="1"/>
  <c r="C8" i="1"/>
  <c r="E404" i="1" l="1"/>
  <c r="F345" i="1"/>
  <c r="R40" i="1"/>
  <c r="W193" i="1"/>
  <c r="X193" i="1" s="1"/>
  <c r="AC193" i="1"/>
  <c r="AD193" i="1" s="1"/>
  <c r="R193" i="1"/>
  <c r="C196" i="1"/>
  <c r="N18" i="1"/>
  <c r="O18" i="1" s="1"/>
  <c r="N122" i="1"/>
  <c r="O122" i="1" s="1"/>
  <c r="T172" i="1"/>
  <c r="AC148" i="1"/>
  <c r="AD148" i="1" s="1"/>
  <c r="N170" i="1"/>
  <c r="O170" i="1" s="1"/>
  <c r="H193" i="1"/>
  <c r="I193" i="1" s="1"/>
  <c r="Z345" i="1"/>
  <c r="AA198" i="1"/>
  <c r="H209" i="1"/>
  <c r="I209" i="1" s="1"/>
  <c r="N196" i="1"/>
  <c r="O196" i="1" s="1"/>
  <c r="N227" i="1"/>
  <c r="O227" i="1" s="1"/>
  <c r="W263" i="1"/>
  <c r="X263" i="1" s="1"/>
  <c r="R284" i="1"/>
  <c r="W284" i="1"/>
  <c r="X284" i="1" s="1"/>
  <c r="AC284" i="1"/>
  <c r="AD284" i="1" s="1"/>
  <c r="W393" i="1"/>
  <c r="X393" i="1" s="1"/>
  <c r="AC393" i="1"/>
  <c r="AD393" i="1" s="1"/>
  <c r="R393" i="1"/>
  <c r="C122" i="1"/>
  <c r="R148" i="1"/>
  <c r="C170" i="1"/>
  <c r="F198" i="1"/>
  <c r="W273" i="1"/>
  <c r="X273" i="1" s="1"/>
  <c r="U273" i="1"/>
  <c r="W342" i="1"/>
  <c r="X342" i="1" s="1"/>
  <c r="R429" i="1"/>
  <c r="W429" i="1"/>
  <c r="X429" i="1" s="1"/>
  <c r="AC429" i="1"/>
  <c r="AD429" i="1" s="1"/>
  <c r="C441" i="1"/>
  <c r="H441" i="1"/>
  <c r="I441" i="1" s="1"/>
  <c r="N441" i="1"/>
  <c r="O441" i="1" s="1"/>
  <c r="K404" i="1"/>
  <c r="L345" i="1"/>
  <c r="B198" i="1"/>
  <c r="H172" i="1"/>
  <c r="I172" i="1" s="1"/>
  <c r="W196" i="1"/>
  <c r="X196" i="1" s="1"/>
  <c r="R196" i="1"/>
  <c r="C263" i="1"/>
  <c r="H263" i="1"/>
  <c r="I263" i="1" s="1"/>
  <c r="N263" i="1"/>
  <c r="O263" i="1" s="1"/>
  <c r="AA324" i="1"/>
  <c r="AC324" i="1"/>
  <c r="AD324" i="1" s="1"/>
  <c r="U396" i="1"/>
  <c r="W396" i="1"/>
  <c r="X396" i="1" s="1"/>
  <c r="H236" i="1"/>
  <c r="I236" i="1" s="1"/>
  <c r="F236" i="1"/>
  <c r="C325" i="1"/>
  <c r="N325" i="1"/>
  <c r="O325" i="1" s="1"/>
  <c r="H325" i="1"/>
  <c r="I325" i="1" s="1"/>
  <c r="F342" i="1"/>
  <c r="C172" i="1"/>
  <c r="AA18" i="2"/>
  <c r="L198" i="1"/>
  <c r="N428" i="1"/>
  <c r="O428" i="1" s="1"/>
  <c r="R61" i="1"/>
  <c r="N62" i="1"/>
  <c r="O62" i="1" s="1"/>
  <c r="N124" i="1"/>
  <c r="O124" i="1" s="1"/>
  <c r="Q198" i="1"/>
  <c r="W172" i="1"/>
  <c r="X172" i="1" s="1"/>
  <c r="N158" i="1"/>
  <c r="O158" i="1" s="1"/>
  <c r="U171" i="1"/>
  <c r="AC172" i="1"/>
  <c r="AD172" i="1" s="1"/>
  <c r="C262" i="1"/>
  <c r="C267" i="1"/>
  <c r="H267" i="1"/>
  <c r="I267" i="1" s="1"/>
  <c r="N267" i="1"/>
  <c r="O267" i="1" s="1"/>
  <c r="C295" i="1"/>
  <c r="H295" i="1"/>
  <c r="I295" i="1" s="1"/>
  <c r="N295" i="1"/>
  <c r="O295" i="1" s="1"/>
  <c r="H396" i="1"/>
  <c r="I396" i="1" s="1"/>
  <c r="F396" i="1"/>
  <c r="R88" i="1"/>
  <c r="L124" i="1"/>
  <c r="W182" i="1"/>
  <c r="X182" i="1" s="1"/>
  <c r="W218" i="1"/>
  <c r="X218" i="1" s="1"/>
  <c r="U218" i="1"/>
  <c r="L172" i="1"/>
  <c r="AC182" i="1"/>
  <c r="AD182" i="1" s="1"/>
  <c r="AC196" i="1"/>
  <c r="AD196" i="1" s="1"/>
  <c r="F393" i="1"/>
  <c r="H393" i="1"/>
  <c r="I393" i="1" s="1"/>
  <c r="C158" i="2"/>
  <c r="N158" i="2"/>
  <c r="O158" i="2" s="1"/>
  <c r="H158" i="2"/>
  <c r="I158" i="2" s="1"/>
  <c r="Q172" i="2"/>
  <c r="T198" i="2"/>
  <c r="AC124" i="1"/>
  <c r="AD124" i="1" s="1"/>
  <c r="O181" i="1"/>
  <c r="N182" i="1"/>
  <c r="O182" i="1" s="1"/>
  <c r="AC197" i="1"/>
  <c r="AD197" i="1" s="1"/>
  <c r="O219" i="1"/>
  <c r="O246" i="1"/>
  <c r="O271" i="1"/>
  <c r="O275" i="1"/>
  <c r="O281" i="1"/>
  <c r="H284" i="1"/>
  <c r="I284" i="1" s="1"/>
  <c r="N284" i="1"/>
  <c r="O284" i="1" s="1"/>
  <c r="O315" i="1"/>
  <c r="O328" i="1"/>
  <c r="O363" i="1"/>
  <c r="O374" i="1"/>
  <c r="O389" i="1"/>
  <c r="O394" i="1"/>
  <c r="O402" i="1"/>
  <c r="O422" i="1"/>
  <c r="L29" i="2"/>
  <c r="N29" i="2"/>
  <c r="O29" i="2" s="1"/>
  <c r="R193" i="2"/>
  <c r="AC193" i="2"/>
  <c r="AD193" i="2" s="1"/>
  <c r="W193" i="2"/>
  <c r="X193" i="2" s="1"/>
  <c r="W197" i="2"/>
  <c r="X197" i="2" s="1"/>
  <c r="AC209" i="1"/>
  <c r="AD209" i="1" s="1"/>
  <c r="N218" i="1"/>
  <c r="O218" i="1" s="1"/>
  <c r="C324" i="1"/>
  <c r="N324" i="1"/>
  <c r="O324" i="1" s="1"/>
  <c r="AC358" i="1"/>
  <c r="AD358" i="1" s="1"/>
  <c r="W358" i="1"/>
  <c r="X358" i="1" s="1"/>
  <c r="N393" i="1"/>
  <c r="O393" i="1" s="1"/>
  <c r="O364" i="1"/>
  <c r="O321" i="1"/>
  <c r="O313" i="1"/>
  <c r="O305" i="1"/>
  <c r="O297" i="1"/>
  <c r="O433" i="1"/>
  <c r="O360" i="1"/>
  <c r="O317" i="1"/>
  <c r="O309" i="1"/>
  <c r="O301" i="1"/>
  <c r="O383" i="1"/>
  <c r="O375" i="1"/>
  <c r="O427" i="1"/>
  <c r="O419" i="1"/>
  <c r="O411" i="1"/>
  <c r="O399" i="1"/>
  <c r="O391" i="1"/>
  <c r="O381" i="1"/>
  <c r="O373" i="1"/>
  <c r="O361" i="1"/>
  <c r="O333" i="1"/>
  <c r="O318" i="1"/>
  <c r="O310" i="1"/>
  <c r="O302" i="1"/>
  <c r="O278" i="1"/>
  <c r="H197" i="2"/>
  <c r="I197" i="2" s="1"/>
  <c r="N209" i="2"/>
  <c r="O209" i="2" s="1"/>
  <c r="C209" i="2"/>
  <c r="H209" i="2"/>
  <c r="I209" i="2" s="1"/>
  <c r="N236" i="2"/>
  <c r="O236" i="2" s="1"/>
  <c r="L236" i="2"/>
  <c r="H18" i="1"/>
  <c r="I18" i="1" s="1"/>
  <c r="AC29" i="1"/>
  <c r="AD29" i="1" s="1"/>
  <c r="N40" i="1"/>
  <c r="O40" i="1" s="1"/>
  <c r="N61" i="1"/>
  <c r="O61" i="1" s="1"/>
  <c r="H62" i="1"/>
  <c r="I62" i="1" s="1"/>
  <c r="AC73" i="1"/>
  <c r="AD73" i="1" s="1"/>
  <c r="N88" i="1"/>
  <c r="O88" i="1" s="1"/>
  <c r="H118" i="1"/>
  <c r="I118" i="1" s="1"/>
  <c r="W122" i="1"/>
  <c r="X122" i="1" s="1"/>
  <c r="H124" i="1"/>
  <c r="I124" i="1" s="1"/>
  <c r="AC141" i="1"/>
  <c r="AD141" i="1" s="1"/>
  <c r="N148" i="1"/>
  <c r="O148" i="1" s="1"/>
  <c r="H149" i="1"/>
  <c r="I149" i="1" s="1"/>
  <c r="H158" i="1"/>
  <c r="I158" i="1" s="1"/>
  <c r="H166" i="1"/>
  <c r="I166" i="1" s="1"/>
  <c r="W170" i="1"/>
  <c r="X170" i="1" s="1"/>
  <c r="O177" i="1"/>
  <c r="H197" i="1"/>
  <c r="I197" i="1" s="1"/>
  <c r="O214" i="1"/>
  <c r="O221" i="1"/>
  <c r="O231" i="1"/>
  <c r="O250" i="1"/>
  <c r="O291" i="1"/>
  <c r="O293" i="1"/>
  <c r="AC295" i="1"/>
  <c r="AD295" i="1" s="1"/>
  <c r="O298" i="1"/>
  <c r="O300" i="1"/>
  <c r="O304" i="1"/>
  <c r="O330" i="1"/>
  <c r="O350" i="1"/>
  <c r="O352" i="1"/>
  <c r="O354" i="1"/>
  <c r="O356" i="1"/>
  <c r="R358" i="1"/>
  <c r="O392" i="1"/>
  <c r="O407" i="1"/>
  <c r="O413" i="1"/>
  <c r="O424" i="1"/>
  <c r="AC441" i="1"/>
  <c r="AD441" i="1" s="1"/>
  <c r="W441" i="1"/>
  <c r="X441" i="1" s="1"/>
  <c r="R442" i="1"/>
  <c r="C197" i="2"/>
  <c r="W218" i="2"/>
  <c r="X218" i="2" s="1"/>
  <c r="AC171" i="2"/>
  <c r="AD171" i="2" s="1"/>
  <c r="Z172" i="2"/>
  <c r="L182" i="2"/>
  <c r="N182" i="2"/>
  <c r="O182" i="2" s="1"/>
  <c r="C196" i="2"/>
  <c r="H196" i="2"/>
  <c r="I196" i="2" s="1"/>
  <c r="N196" i="2"/>
  <c r="O196" i="2" s="1"/>
  <c r="C227" i="2"/>
  <c r="H227" i="2"/>
  <c r="I227" i="2" s="1"/>
  <c r="N227" i="2"/>
  <c r="O227" i="2" s="1"/>
  <c r="AA118" i="2"/>
  <c r="AC118" i="2"/>
  <c r="AD118" i="2" s="1"/>
  <c r="R124" i="2"/>
  <c r="W124" i="2"/>
  <c r="X124" i="2" s="1"/>
  <c r="AC141" i="2"/>
  <c r="AD141" i="2" s="1"/>
  <c r="R141" i="2"/>
  <c r="C148" i="2"/>
  <c r="N148" i="2"/>
  <c r="O148" i="2" s="1"/>
  <c r="AC149" i="2"/>
  <c r="AD149" i="2" s="1"/>
  <c r="AA171" i="2"/>
  <c r="C218" i="2"/>
  <c r="H218" i="2"/>
  <c r="I218" i="2" s="1"/>
  <c r="N218" i="2"/>
  <c r="O218" i="2" s="1"/>
  <c r="B172" i="2"/>
  <c r="H124" i="2"/>
  <c r="I124" i="2" s="1"/>
  <c r="C124" i="2"/>
  <c r="L149" i="2"/>
  <c r="AC209" i="2"/>
  <c r="AD209" i="2" s="1"/>
  <c r="R209" i="2"/>
  <c r="W209" i="2"/>
  <c r="X209" i="2" s="1"/>
  <c r="O184" i="1"/>
  <c r="O225" i="1"/>
  <c r="O242" i="1"/>
  <c r="O258" i="1"/>
  <c r="W262" i="1"/>
  <c r="X262" i="1" s="1"/>
  <c r="U262" i="1"/>
  <c r="O294" i="1"/>
  <c r="O299" i="1"/>
  <c r="O338" i="1"/>
  <c r="O353" i="1"/>
  <c r="C358" i="1"/>
  <c r="H358" i="1"/>
  <c r="I358" i="1" s="1"/>
  <c r="N358" i="1"/>
  <c r="O358" i="1" s="1"/>
  <c r="AC368" i="1"/>
  <c r="AD368" i="1" s="1"/>
  <c r="O369" i="1"/>
  <c r="O371" i="1"/>
  <c r="O380" i="1"/>
  <c r="O414" i="1"/>
  <c r="F18" i="2"/>
  <c r="H18" i="2"/>
  <c r="I18" i="2" s="1"/>
  <c r="U40" i="2"/>
  <c r="W61" i="2"/>
  <c r="X61" i="2" s="1"/>
  <c r="U61" i="2"/>
  <c r="C73" i="2"/>
  <c r="H73" i="2"/>
  <c r="I73" i="2" s="1"/>
  <c r="N73" i="2"/>
  <c r="O73" i="2" s="1"/>
  <c r="L171" i="2"/>
  <c r="K172" i="2"/>
  <c r="O370" i="1"/>
  <c r="O378" i="1"/>
  <c r="O388" i="1"/>
  <c r="AC428" i="1"/>
  <c r="AD428" i="1" s="1"/>
  <c r="R18" i="2"/>
  <c r="W18" i="2"/>
  <c r="X18" i="2" s="1"/>
  <c r="O70" i="2"/>
  <c r="AC73" i="2"/>
  <c r="AD73" i="2" s="1"/>
  <c r="O84" i="2"/>
  <c r="O92" i="2"/>
  <c r="O110" i="2"/>
  <c r="O121" i="2"/>
  <c r="F124" i="2"/>
  <c r="E172" i="2"/>
  <c r="O129" i="2"/>
  <c r="O131" i="2"/>
  <c r="O133" i="2"/>
  <c r="O140" i="2"/>
  <c r="O143" i="2"/>
  <c r="O145" i="2"/>
  <c r="O162" i="2"/>
  <c r="O164" i="2"/>
  <c r="W166" i="2"/>
  <c r="X166" i="2" s="1"/>
  <c r="AC166" i="2"/>
  <c r="AD166" i="2" s="1"/>
  <c r="O175" i="2"/>
  <c r="O186" i="2"/>
  <c r="O192" i="2"/>
  <c r="C193" i="2"/>
  <c r="N193" i="2"/>
  <c r="O193" i="2" s="1"/>
  <c r="R196" i="2"/>
  <c r="W196" i="2"/>
  <c r="X196" i="2" s="1"/>
  <c r="AC196" i="2"/>
  <c r="AD196" i="2" s="1"/>
  <c r="O213" i="2"/>
  <c r="O219" i="2"/>
  <c r="O225" i="2"/>
  <c r="O230" i="2"/>
  <c r="O303" i="2"/>
  <c r="O306" i="2"/>
  <c r="W358" i="2"/>
  <c r="X358" i="2" s="1"/>
  <c r="U358" i="2"/>
  <c r="O365" i="2"/>
  <c r="O377" i="2"/>
  <c r="O385" i="2"/>
  <c r="O394" i="2"/>
  <c r="O397" i="2"/>
  <c r="AC428" i="2"/>
  <c r="AD428" i="2" s="1"/>
  <c r="W428" i="2"/>
  <c r="X428" i="2" s="1"/>
  <c r="R428" i="2"/>
  <c r="O437" i="2"/>
  <c r="H18" i="3"/>
  <c r="I18" i="3" s="1"/>
  <c r="N18" i="3"/>
  <c r="O18" i="3" s="1"/>
  <c r="C18" i="3"/>
  <c r="F172" i="3"/>
  <c r="E198" i="3"/>
  <c r="N344" i="2"/>
  <c r="O344" i="2" s="1"/>
  <c r="H344" i="2"/>
  <c r="I344" i="2" s="1"/>
  <c r="C344" i="2"/>
  <c r="R324" i="1"/>
  <c r="W324" i="1"/>
  <c r="X324" i="1" s="1"/>
  <c r="O332" i="1"/>
  <c r="O341" i="1"/>
  <c r="O398" i="1"/>
  <c r="O410" i="1"/>
  <c r="AD415" i="1"/>
  <c r="O418" i="1"/>
  <c r="AD423" i="1"/>
  <c r="O426" i="1"/>
  <c r="AD433" i="1"/>
  <c r="C29" i="2"/>
  <c r="H29" i="2"/>
  <c r="I29" i="2" s="1"/>
  <c r="O47" i="2"/>
  <c r="O102" i="2"/>
  <c r="H118" i="2"/>
  <c r="I118" i="2" s="1"/>
  <c r="R118" i="2"/>
  <c r="W118" i="2"/>
  <c r="X118" i="2" s="1"/>
  <c r="AC158" i="2"/>
  <c r="AD158" i="2" s="1"/>
  <c r="R158" i="2"/>
  <c r="C166" i="2"/>
  <c r="N166" i="2"/>
  <c r="O166" i="2" s="1"/>
  <c r="C171" i="2"/>
  <c r="H171" i="2"/>
  <c r="I171" i="2" s="1"/>
  <c r="H193" i="2"/>
  <c r="I193" i="2" s="1"/>
  <c r="O205" i="2"/>
  <c r="O222" i="2"/>
  <c r="O232" i="2"/>
  <c r="O255" i="2"/>
  <c r="O271" i="2"/>
  <c r="O283" i="2"/>
  <c r="O286" i="2"/>
  <c r="O288" i="2"/>
  <c r="O340" i="2"/>
  <c r="O361" i="2"/>
  <c r="O425" i="2"/>
  <c r="W441" i="2"/>
  <c r="X441" i="2" s="1"/>
  <c r="U441" i="2"/>
  <c r="AC227" i="1"/>
  <c r="AD227" i="1" s="1"/>
  <c r="AC263" i="1"/>
  <c r="AD263" i="1" s="1"/>
  <c r="AC267" i="1"/>
  <c r="AD267" i="1" s="1"/>
  <c r="O288" i="1"/>
  <c r="C343" i="1"/>
  <c r="H343" i="1"/>
  <c r="I343" i="1" s="1"/>
  <c r="N344" i="1"/>
  <c r="O344" i="1" s="1"/>
  <c r="O355" i="1"/>
  <c r="AD377" i="1"/>
  <c r="AD386" i="1"/>
  <c r="AD420" i="1"/>
  <c r="H429" i="1"/>
  <c r="I429" i="1" s="1"/>
  <c r="AD435" i="1"/>
  <c r="O438" i="1"/>
  <c r="N40" i="2"/>
  <c r="O40" i="2" s="1"/>
  <c r="O59" i="2"/>
  <c r="O78" i="2"/>
  <c r="O114" i="2"/>
  <c r="C118" i="2"/>
  <c r="O169" i="2"/>
  <c r="O181" i="2"/>
  <c r="H182" i="2"/>
  <c r="I182" i="2" s="1"/>
  <c r="O184" i="2"/>
  <c r="O216" i="2"/>
  <c r="O224" i="2"/>
  <c r="R227" i="2"/>
  <c r="W227" i="2"/>
  <c r="X227" i="2" s="1"/>
  <c r="O234" i="2"/>
  <c r="O240" i="2"/>
  <c r="O245" i="2"/>
  <c r="O251" i="2"/>
  <c r="C273" i="2"/>
  <c r="N273" i="2"/>
  <c r="O273" i="2" s="1"/>
  <c r="O291" i="2"/>
  <c r="O314" i="2"/>
  <c r="O353" i="2"/>
  <c r="O386" i="2"/>
  <c r="O408" i="2"/>
  <c r="H429" i="2"/>
  <c r="I429" i="2" s="1"/>
  <c r="N429" i="2"/>
  <c r="O429" i="2" s="1"/>
  <c r="C429" i="2"/>
  <c r="C358" i="2"/>
  <c r="N358" i="2"/>
  <c r="O358" i="2" s="1"/>
  <c r="H358" i="2"/>
  <c r="I358" i="2" s="1"/>
  <c r="N62" i="3"/>
  <c r="O62" i="3" s="1"/>
  <c r="AC166" i="3"/>
  <c r="AD166" i="3" s="1"/>
  <c r="AA166" i="3"/>
  <c r="W344" i="2"/>
  <c r="X344" i="2" s="1"/>
  <c r="AC344" i="2"/>
  <c r="AD344" i="2" s="1"/>
  <c r="R344" i="2"/>
  <c r="O439" i="2"/>
  <c r="O435" i="2"/>
  <c r="O427" i="2"/>
  <c r="O423" i="2"/>
  <c r="O419" i="2"/>
  <c r="O415" i="2"/>
  <c r="O411" i="2"/>
  <c r="O407" i="2"/>
  <c r="O399" i="2"/>
  <c r="O389" i="2"/>
  <c r="O383" i="2"/>
  <c r="O379" i="2"/>
  <c r="O375" i="2"/>
  <c r="O371" i="2"/>
  <c r="O364" i="2"/>
  <c r="O360" i="2"/>
  <c r="O356" i="2"/>
  <c r="O352" i="2"/>
  <c r="O347" i="2"/>
  <c r="O338" i="2"/>
  <c r="O333" i="2"/>
  <c r="O329" i="2"/>
  <c r="O438" i="2"/>
  <c r="O426" i="2"/>
  <c r="O410" i="2"/>
  <c r="O382" i="2"/>
  <c r="O355" i="2"/>
  <c r="O328" i="2"/>
  <c r="O281" i="2"/>
  <c r="O254" i="2"/>
  <c r="O246" i="2"/>
  <c r="O235" i="2"/>
  <c r="O220" i="2"/>
  <c r="O214" i="2"/>
  <c r="O206" i="2"/>
  <c r="O194" i="2"/>
  <c r="O188" i="2"/>
  <c r="O178" i="2"/>
  <c r="O163" i="2"/>
  <c r="O160" i="2"/>
  <c r="O146" i="2"/>
  <c r="O137" i="2"/>
  <c r="O134" i="2"/>
  <c r="O115" i="2"/>
  <c r="O111" i="2"/>
  <c r="O107" i="2"/>
  <c r="O103" i="2"/>
  <c r="O99" i="2"/>
  <c r="O95" i="2"/>
  <c r="O90" i="2"/>
  <c r="O87" i="2"/>
  <c r="O83" i="2"/>
  <c r="O79" i="2"/>
  <c r="O75" i="2"/>
  <c r="O71" i="2"/>
  <c r="O67" i="2"/>
  <c r="O60" i="2"/>
  <c r="O56" i="2"/>
  <c r="O52" i="2"/>
  <c r="O48" i="2"/>
  <c r="O43" i="2"/>
  <c r="O39" i="2"/>
  <c r="O35" i="2"/>
  <c r="O31" i="2"/>
  <c r="O27" i="2"/>
  <c r="O23" i="2"/>
  <c r="O317" i="2"/>
  <c r="O309" i="2"/>
  <c r="O301" i="2"/>
  <c r="O276" i="2"/>
  <c r="O269" i="2"/>
  <c r="O257" i="2"/>
  <c r="O249" i="2"/>
  <c r="O241" i="2"/>
  <c r="O217" i="2"/>
  <c r="O201" i="2"/>
  <c r="O191" i="2"/>
  <c r="O434" i="2"/>
  <c r="O422" i="2"/>
  <c r="O413" i="2"/>
  <c r="O378" i="2"/>
  <c r="O351" i="2"/>
  <c r="O341" i="2"/>
  <c r="O320" i="2"/>
  <c r="O312" i="2"/>
  <c r="O304" i="2"/>
  <c r="O289" i="2"/>
  <c r="O272" i="2"/>
  <c r="O265" i="2"/>
  <c r="O432" i="2"/>
  <c r="O376" i="2"/>
  <c r="O362" i="2"/>
  <c r="O323" i="2"/>
  <c r="O315" i="2"/>
  <c r="O307" i="2"/>
  <c r="O299" i="2"/>
  <c r="O292" i="2"/>
  <c r="O282" i="2"/>
  <c r="O418" i="2"/>
  <c r="O402" i="2"/>
  <c r="O392" i="2"/>
  <c r="O374" i="2"/>
  <c r="O337" i="2"/>
  <c r="O318" i="2"/>
  <c r="O310" i="2"/>
  <c r="O302" i="2"/>
  <c r="O287" i="2"/>
  <c r="O277" i="2"/>
  <c r="O270" i="2"/>
  <c r="O258" i="2"/>
  <c r="O416" i="2"/>
  <c r="O400" i="2"/>
  <c r="O395" i="2"/>
  <c r="O390" i="2"/>
  <c r="O372" i="2"/>
  <c r="O367" i="2"/>
  <c r="O334" i="2"/>
  <c r="O321" i="2"/>
  <c r="O313" i="2"/>
  <c r="O305" i="2"/>
  <c r="O297" i="2"/>
  <c r="O290" i="2"/>
  <c r="O280" i="2"/>
  <c r="O266" i="2"/>
  <c r="O261" i="2"/>
  <c r="O253" i="2"/>
  <c r="O414" i="2"/>
  <c r="O398" i="2"/>
  <c r="O388" i="2"/>
  <c r="O370" i="2"/>
  <c r="O332" i="2"/>
  <c r="O316" i="2"/>
  <c r="O308" i="2"/>
  <c r="O300" i="2"/>
  <c r="O293" i="2"/>
  <c r="O229" i="2"/>
  <c r="O208" i="2"/>
  <c r="O190" i="2"/>
  <c r="O167" i="2"/>
  <c r="W118" i="3"/>
  <c r="X118" i="3" s="1"/>
  <c r="AC118" i="3"/>
  <c r="AD118" i="3" s="1"/>
  <c r="R118" i="3"/>
  <c r="C441" i="2"/>
  <c r="N441" i="2"/>
  <c r="O441" i="2" s="1"/>
  <c r="H441" i="2"/>
  <c r="I441" i="2" s="1"/>
  <c r="R40" i="3"/>
  <c r="AC40" i="3"/>
  <c r="AD40" i="3" s="1"/>
  <c r="W40" i="3"/>
  <c r="X40" i="3" s="1"/>
  <c r="O292" i="1"/>
  <c r="AD347" i="1"/>
  <c r="O351" i="1"/>
  <c r="AD356" i="1"/>
  <c r="AD373" i="1"/>
  <c r="AD381" i="1"/>
  <c r="O395" i="1"/>
  <c r="N396" i="1"/>
  <c r="O396" i="1" s="1"/>
  <c r="O434" i="1"/>
  <c r="AD439" i="1"/>
  <c r="O14" i="2"/>
  <c r="O38" i="2"/>
  <c r="O42" i="2"/>
  <c r="N61" i="2"/>
  <c r="O61" i="2" s="1"/>
  <c r="H62" i="2"/>
  <c r="I62" i="2" s="1"/>
  <c r="R62" i="2"/>
  <c r="W62" i="2"/>
  <c r="X62" i="2" s="1"/>
  <c r="O98" i="2"/>
  <c r="O136" i="2"/>
  <c r="N141" i="2"/>
  <c r="O141" i="2" s="1"/>
  <c r="AC148" i="2"/>
  <c r="AD148" i="2" s="1"/>
  <c r="O156" i="2"/>
  <c r="N171" i="2"/>
  <c r="O171" i="2" s="1"/>
  <c r="O180" i="2"/>
  <c r="O221" i="2"/>
  <c r="O233" i="2"/>
  <c r="O250" i="2"/>
  <c r="O252" i="2"/>
  <c r="R263" i="2"/>
  <c r="AC263" i="2"/>
  <c r="AD263" i="2" s="1"/>
  <c r="W263" i="2"/>
  <c r="X263" i="2" s="1"/>
  <c r="W273" i="2"/>
  <c r="X273" i="2" s="1"/>
  <c r="R273" i="2"/>
  <c r="AC273" i="2"/>
  <c r="AD273" i="2" s="1"/>
  <c r="O335" i="2"/>
  <c r="O393" i="2"/>
  <c r="O409" i="2"/>
  <c r="O412" i="2"/>
  <c r="O421" i="2"/>
  <c r="O440" i="2"/>
  <c r="H149" i="2"/>
  <c r="I149" i="2" s="1"/>
  <c r="AD224" i="2"/>
  <c r="W236" i="2"/>
  <c r="X236" i="2" s="1"/>
  <c r="AD242" i="2"/>
  <c r="AD250" i="2"/>
  <c r="AD258" i="2"/>
  <c r="AD277" i="2"/>
  <c r="N325" i="2"/>
  <c r="O325" i="2" s="1"/>
  <c r="AD329" i="2"/>
  <c r="AD337" i="2"/>
  <c r="AC342" i="2"/>
  <c r="AD342" i="2" s="1"/>
  <c r="N343" i="2"/>
  <c r="O343" i="2" s="1"/>
  <c r="AD356" i="2"/>
  <c r="W368" i="2"/>
  <c r="X368" i="2" s="1"/>
  <c r="AD374" i="2"/>
  <c r="AD383" i="2"/>
  <c r="AD392" i="2"/>
  <c r="W396" i="2"/>
  <c r="X396" i="2" s="1"/>
  <c r="AD402" i="2"/>
  <c r="AD411" i="2"/>
  <c r="AD418" i="2"/>
  <c r="AD427" i="2"/>
  <c r="AD439" i="2"/>
  <c r="H442" i="2"/>
  <c r="I442" i="2" s="1"/>
  <c r="X437" i="2"/>
  <c r="X433" i="2"/>
  <c r="X425" i="2"/>
  <c r="X421" i="2"/>
  <c r="X417" i="2"/>
  <c r="X413" i="2"/>
  <c r="X409" i="2"/>
  <c r="X401" i="2"/>
  <c r="X397" i="2"/>
  <c r="X394" i="2"/>
  <c r="X391" i="2"/>
  <c r="X386" i="2"/>
  <c r="X381" i="2"/>
  <c r="X377" i="2"/>
  <c r="X373" i="2"/>
  <c r="X369" i="2"/>
  <c r="X366" i="2"/>
  <c r="X362" i="2"/>
  <c r="X354" i="2"/>
  <c r="X350" i="2"/>
  <c r="X340" i="2"/>
  <c r="X335" i="2"/>
  <c r="X331" i="2"/>
  <c r="AC62" i="3"/>
  <c r="AD62" i="3" s="1"/>
  <c r="H124" i="3"/>
  <c r="I124" i="3" s="1"/>
  <c r="B172" i="3"/>
  <c r="N124" i="3"/>
  <c r="O124" i="3" s="1"/>
  <c r="U141" i="3"/>
  <c r="W141" i="3"/>
  <c r="X141" i="3" s="1"/>
  <c r="W197" i="3"/>
  <c r="X197" i="3" s="1"/>
  <c r="U197" i="3"/>
  <c r="R273" i="3"/>
  <c r="AC273" i="3"/>
  <c r="AD273" i="3" s="1"/>
  <c r="W273" i="3"/>
  <c r="X273" i="3" s="1"/>
  <c r="R396" i="3"/>
  <c r="AC396" i="3"/>
  <c r="AD396" i="3" s="1"/>
  <c r="W396" i="3"/>
  <c r="X396" i="3" s="1"/>
  <c r="N324" i="2"/>
  <c r="O324" i="2" s="1"/>
  <c r="AC324" i="2"/>
  <c r="AD324" i="2" s="1"/>
  <c r="N342" i="2"/>
  <c r="O342" i="2" s="1"/>
  <c r="W393" i="2"/>
  <c r="X393" i="2" s="1"/>
  <c r="W403" i="2"/>
  <c r="X403" i="2" s="1"/>
  <c r="AC442" i="2"/>
  <c r="AD442" i="2" s="1"/>
  <c r="C122" i="3"/>
  <c r="N122" i="3"/>
  <c r="O122" i="3" s="1"/>
  <c r="AA124" i="3"/>
  <c r="Z172" i="3"/>
  <c r="C393" i="2"/>
  <c r="R393" i="2"/>
  <c r="C403" i="2"/>
  <c r="R403" i="2"/>
  <c r="N442" i="2"/>
  <c r="O442" i="2" s="1"/>
  <c r="H29" i="3"/>
  <c r="I29" i="3" s="1"/>
  <c r="R29" i="3"/>
  <c r="U88" i="3"/>
  <c r="H118" i="3"/>
  <c r="I118" i="3" s="1"/>
  <c r="C118" i="3"/>
  <c r="H148" i="3"/>
  <c r="I148" i="3" s="1"/>
  <c r="W218" i="3"/>
  <c r="X218" i="3" s="1"/>
  <c r="U218" i="3"/>
  <c r="AC267" i="3"/>
  <c r="AD267" i="3" s="1"/>
  <c r="W267" i="3"/>
  <c r="X267" i="3" s="1"/>
  <c r="R267" i="3"/>
  <c r="AC343" i="3"/>
  <c r="AD343" i="3" s="1"/>
  <c r="W343" i="3"/>
  <c r="X343" i="3" s="1"/>
  <c r="R343" i="3"/>
  <c r="N267" i="4"/>
  <c r="O267" i="4" s="1"/>
  <c r="H267" i="4"/>
  <c r="I267" i="4" s="1"/>
  <c r="C267" i="4"/>
  <c r="O295" i="2"/>
  <c r="U343" i="2"/>
  <c r="AA18" i="3"/>
  <c r="C73" i="3"/>
  <c r="F124" i="3"/>
  <c r="W149" i="3"/>
  <c r="X149" i="3" s="1"/>
  <c r="R149" i="3"/>
  <c r="K345" i="4"/>
  <c r="L198" i="4"/>
  <c r="C324" i="2"/>
  <c r="R342" i="2"/>
  <c r="H343" i="2"/>
  <c r="I343" i="2" s="1"/>
  <c r="AA368" i="2"/>
  <c r="AA396" i="2"/>
  <c r="H40" i="3"/>
  <c r="I40" i="3" s="1"/>
  <c r="H62" i="3"/>
  <c r="I62" i="3" s="1"/>
  <c r="C62" i="3"/>
  <c r="H88" i="3"/>
  <c r="I88" i="3" s="1"/>
  <c r="H122" i="3"/>
  <c r="I122" i="3" s="1"/>
  <c r="AC122" i="3"/>
  <c r="AD122" i="3" s="1"/>
  <c r="AA158" i="3"/>
  <c r="C284" i="3"/>
  <c r="N284" i="3"/>
  <c r="O284" i="3" s="1"/>
  <c r="H284" i="3"/>
  <c r="I284" i="3" s="1"/>
  <c r="AD225" i="2"/>
  <c r="AD232" i="2"/>
  <c r="AD288" i="2"/>
  <c r="W324" i="2"/>
  <c r="X324" i="2" s="1"/>
  <c r="H325" i="2"/>
  <c r="I325" i="2" s="1"/>
  <c r="AD363" i="2"/>
  <c r="R442" i="2"/>
  <c r="R61" i="3"/>
  <c r="W61" i="3"/>
  <c r="X61" i="3" s="1"/>
  <c r="W62" i="3"/>
  <c r="X62" i="3" s="1"/>
  <c r="H73" i="3"/>
  <c r="I73" i="3" s="1"/>
  <c r="N118" i="3"/>
  <c r="O118" i="3" s="1"/>
  <c r="AC124" i="3"/>
  <c r="AD124" i="3" s="1"/>
  <c r="Q172" i="3"/>
  <c r="N158" i="3"/>
  <c r="O158" i="3" s="1"/>
  <c r="R368" i="3"/>
  <c r="AC368" i="3"/>
  <c r="AD368" i="3" s="1"/>
  <c r="W368" i="3"/>
  <c r="X368" i="3" s="1"/>
  <c r="N263" i="2"/>
  <c r="O263" i="2" s="1"/>
  <c r="AC267" i="2"/>
  <c r="AD267" i="2" s="1"/>
  <c r="AC284" i="2"/>
  <c r="AD284" i="2" s="1"/>
  <c r="AD293" i="2"/>
  <c r="AD300" i="2"/>
  <c r="AD308" i="2"/>
  <c r="AD316" i="2"/>
  <c r="AD332" i="2"/>
  <c r="AD352" i="2"/>
  <c r="AD370" i="2"/>
  <c r="AD379" i="2"/>
  <c r="AD388" i="2"/>
  <c r="AC393" i="2"/>
  <c r="AD393" i="2" s="1"/>
  <c r="AD398" i="2"/>
  <c r="AC403" i="2"/>
  <c r="AD403" i="2" s="1"/>
  <c r="AD407" i="2"/>
  <c r="AD414" i="2"/>
  <c r="AD423" i="2"/>
  <c r="AD435" i="2"/>
  <c r="AC29" i="3"/>
  <c r="AD29" i="3" s="1"/>
  <c r="N61" i="3"/>
  <c r="O61" i="3" s="1"/>
  <c r="R124" i="3"/>
  <c r="C236" i="3"/>
  <c r="N236" i="3"/>
  <c r="O236" i="3" s="1"/>
  <c r="H236" i="3"/>
  <c r="I236" i="3" s="1"/>
  <c r="AC262" i="3"/>
  <c r="AD262" i="3" s="1"/>
  <c r="H267" i="3"/>
  <c r="I267" i="3" s="1"/>
  <c r="AC324" i="3"/>
  <c r="AD324" i="3" s="1"/>
  <c r="N325" i="3"/>
  <c r="O325" i="3" s="1"/>
  <c r="W88" i="4"/>
  <c r="X88" i="4" s="1"/>
  <c r="AC88" i="4"/>
  <c r="AD88" i="4" s="1"/>
  <c r="R88" i="4"/>
  <c r="H284" i="4"/>
  <c r="I284" i="4" s="1"/>
  <c r="N284" i="4"/>
  <c r="O284" i="4" s="1"/>
  <c r="C284" i="4"/>
  <c r="R227" i="3"/>
  <c r="H263" i="3"/>
  <c r="I263" i="3" s="1"/>
  <c r="R263" i="3"/>
  <c r="AC295" i="3"/>
  <c r="AD295" i="3" s="1"/>
  <c r="C343" i="3"/>
  <c r="H344" i="3"/>
  <c r="I344" i="3" s="1"/>
  <c r="C40" i="4"/>
  <c r="N40" i="4"/>
  <c r="O40" i="4" s="1"/>
  <c r="H40" i="4"/>
  <c r="I40" i="4" s="1"/>
  <c r="AC182" i="4"/>
  <c r="AD182" i="4" s="1"/>
  <c r="W182" i="4"/>
  <c r="X182" i="4" s="1"/>
  <c r="R182" i="4"/>
  <c r="H197" i="4"/>
  <c r="I197" i="4" s="1"/>
  <c r="F197" i="4"/>
  <c r="R170" i="3"/>
  <c r="W171" i="3"/>
  <c r="X171" i="3" s="1"/>
  <c r="R193" i="3"/>
  <c r="C196" i="3"/>
  <c r="H197" i="3"/>
  <c r="I197" i="3" s="1"/>
  <c r="AA358" i="3"/>
  <c r="N158" i="4"/>
  <c r="O158" i="4" s="1"/>
  <c r="H158" i="4"/>
  <c r="I158" i="4" s="1"/>
  <c r="C158" i="4"/>
  <c r="H262" i="4"/>
  <c r="I262" i="4" s="1"/>
  <c r="F262" i="4"/>
  <c r="N166" i="3"/>
  <c r="O166" i="3" s="1"/>
  <c r="H171" i="3"/>
  <c r="I171" i="3" s="1"/>
  <c r="C193" i="3"/>
  <c r="W196" i="3"/>
  <c r="X196" i="3" s="1"/>
  <c r="W227" i="3"/>
  <c r="X227" i="3" s="1"/>
  <c r="AC236" i="3"/>
  <c r="AD236" i="3" s="1"/>
  <c r="H273" i="3"/>
  <c r="I273" i="3" s="1"/>
  <c r="AC284" i="3"/>
  <c r="AD284" i="3" s="1"/>
  <c r="N358" i="3"/>
  <c r="O358" i="3" s="1"/>
  <c r="H368" i="3"/>
  <c r="I368" i="3" s="1"/>
  <c r="W393" i="3"/>
  <c r="X393" i="3" s="1"/>
  <c r="W403" i="3"/>
  <c r="X403" i="3" s="1"/>
  <c r="C88" i="4"/>
  <c r="N88" i="4"/>
  <c r="O88" i="4" s="1"/>
  <c r="H88" i="4"/>
  <c r="I88" i="4" s="1"/>
  <c r="AC88" i="3"/>
  <c r="AD88" i="3" s="1"/>
  <c r="K172" i="3"/>
  <c r="L124" i="3"/>
  <c r="H149" i="3"/>
  <c r="I149" i="3" s="1"/>
  <c r="W182" i="3"/>
  <c r="X182" i="3" s="1"/>
  <c r="AC197" i="3"/>
  <c r="AD197" i="3" s="1"/>
  <c r="R295" i="3"/>
  <c r="R324" i="3"/>
  <c r="W325" i="3"/>
  <c r="X325" i="3" s="1"/>
  <c r="W342" i="3"/>
  <c r="X342" i="3" s="1"/>
  <c r="H393" i="3"/>
  <c r="I393" i="3" s="1"/>
  <c r="H403" i="3"/>
  <c r="I403" i="3" s="1"/>
  <c r="C148" i="4"/>
  <c r="N148" i="4"/>
  <c r="O148" i="4" s="1"/>
  <c r="H148" i="4"/>
  <c r="I148" i="4" s="1"/>
  <c r="AC343" i="2"/>
  <c r="AD343" i="2" s="1"/>
  <c r="AC358" i="2"/>
  <c r="AD358" i="2" s="1"/>
  <c r="N428" i="2"/>
  <c r="O428" i="2" s="1"/>
  <c r="AC441" i="2"/>
  <c r="AD441" i="2" s="1"/>
  <c r="H158" i="3"/>
  <c r="I158" i="3" s="1"/>
  <c r="H170" i="3"/>
  <c r="I170" i="3" s="1"/>
  <c r="W262" i="3"/>
  <c r="X262" i="3" s="1"/>
  <c r="N267" i="3"/>
  <c r="O267" i="3" s="1"/>
  <c r="C295" i="3"/>
  <c r="H342" i="3"/>
  <c r="I342" i="3" s="1"/>
  <c r="N343" i="3"/>
  <c r="O343" i="3" s="1"/>
  <c r="H344" i="4"/>
  <c r="I344" i="4" s="1"/>
  <c r="C344" i="4"/>
  <c r="N344" i="4"/>
  <c r="O344" i="4" s="1"/>
  <c r="H61" i="3"/>
  <c r="I61" i="3" s="1"/>
  <c r="W122" i="3"/>
  <c r="X122" i="3" s="1"/>
  <c r="C158" i="3"/>
  <c r="H166" i="3"/>
  <c r="I166" i="3" s="1"/>
  <c r="AC170" i="3"/>
  <c r="AD170" i="3" s="1"/>
  <c r="T172" i="3"/>
  <c r="N196" i="3"/>
  <c r="O196" i="3" s="1"/>
  <c r="N227" i="3"/>
  <c r="O227" i="3" s="1"/>
  <c r="W236" i="3"/>
  <c r="X236" i="3" s="1"/>
  <c r="H262" i="3"/>
  <c r="I262" i="3" s="1"/>
  <c r="N263" i="3"/>
  <c r="O263" i="3" s="1"/>
  <c r="W284" i="3"/>
  <c r="X284" i="3" s="1"/>
  <c r="H358" i="3"/>
  <c r="I358" i="3" s="1"/>
  <c r="AC393" i="3"/>
  <c r="AD393" i="3" s="1"/>
  <c r="AC403" i="3"/>
  <c r="AD403" i="3" s="1"/>
  <c r="W40" i="4"/>
  <c r="X40" i="4" s="1"/>
  <c r="AC40" i="4"/>
  <c r="AD40" i="4" s="1"/>
  <c r="R40" i="4"/>
  <c r="AC122" i="4"/>
  <c r="AD122" i="4" s="1"/>
  <c r="W122" i="4"/>
  <c r="X122" i="4" s="1"/>
  <c r="R122" i="4"/>
  <c r="AC170" i="4"/>
  <c r="AD170" i="4" s="1"/>
  <c r="AA170" i="4"/>
  <c r="Q198" i="4"/>
  <c r="R172" i="4"/>
  <c r="H236" i="4"/>
  <c r="I236" i="4" s="1"/>
  <c r="N236" i="4"/>
  <c r="O236" i="4" s="1"/>
  <c r="C236" i="4"/>
  <c r="AD414" i="3"/>
  <c r="O418" i="3"/>
  <c r="X422" i="3"/>
  <c r="I425" i="3"/>
  <c r="H428" i="3"/>
  <c r="I428" i="3" s="1"/>
  <c r="AC29" i="4"/>
  <c r="AD29" i="4" s="1"/>
  <c r="N61" i="4"/>
  <c r="O61" i="4" s="1"/>
  <c r="N62" i="4"/>
  <c r="O62" i="4" s="1"/>
  <c r="W73" i="4"/>
  <c r="X73" i="4" s="1"/>
  <c r="H122" i="4"/>
  <c r="I122" i="4" s="1"/>
  <c r="T172" i="4"/>
  <c r="W172" i="4" s="1"/>
  <c r="X172" i="4" s="1"/>
  <c r="U124" i="4"/>
  <c r="H149" i="4"/>
  <c r="I149" i="4" s="1"/>
  <c r="B172" i="4"/>
  <c r="H182" i="4"/>
  <c r="I182" i="4" s="1"/>
  <c r="AC209" i="4"/>
  <c r="AD209" i="4" s="1"/>
  <c r="H218" i="4"/>
  <c r="I218" i="4" s="1"/>
  <c r="AC267" i="4"/>
  <c r="AD267" i="4" s="1"/>
  <c r="N273" i="4"/>
  <c r="O273" i="4" s="1"/>
  <c r="N442" i="3"/>
  <c r="O442" i="3" s="1"/>
  <c r="N118" i="4"/>
  <c r="O118" i="4" s="1"/>
  <c r="H325" i="4"/>
  <c r="I325" i="4" s="1"/>
  <c r="F325" i="4"/>
  <c r="C428" i="4"/>
  <c r="N428" i="4"/>
  <c r="O428" i="4" s="1"/>
  <c r="H428" i="4"/>
  <c r="I428" i="4" s="1"/>
  <c r="U62" i="5"/>
  <c r="W62" i="5"/>
  <c r="X62" i="5" s="1"/>
  <c r="AC441" i="3"/>
  <c r="AD441" i="3" s="1"/>
  <c r="R61" i="4"/>
  <c r="C62" i="4"/>
  <c r="AC62" i="4"/>
  <c r="AD62" i="4" s="1"/>
  <c r="L149" i="4"/>
  <c r="C166" i="4"/>
  <c r="E172" i="4"/>
  <c r="Z172" i="4"/>
  <c r="W193" i="4"/>
  <c r="X193" i="4" s="1"/>
  <c r="W196" i="4"/>
  <c r="X196" i="4" s="1"/>
  <c r="AC197" i="4"/>
  <c r="AD197" i="4" s="1"/>
  <c r="N209" i="4"/>
  <c r="O209" i="4" s="1"/>
  <c r="AC218" i="4"/>
  <c r="AD218" i="4" s="1"/>
  <c r="R273" i="4"/>
  <c r="W368" i="4"/>
  <c r="X368" i="4" s="1"/>
  <c r="R368" i="4"/>
  <c r="U29" i="4"/>
  <c r="C118" i="4"/>
  <c r="AC148" i="4"/>
  <c r="AD148" i="4" s="1"/>
  <c r="W325" i="4"/>
  <c r="X325" i="4" s="1"/>
  <c r="R325" i="4"/>
  <c r="W441" i="4"/>
  <c r="X441" i="4" s="1"/>
  <c r="U441" i="4"/>
  <c r="C442" i="3"/>
  <c r="AC18" i="4"/>
  <c r="AD18" i="4" s="1"/>
  <c r="H61" i="4"/>
  <c r="I61" i="4" s="1"/>
  <c r="N124" i="4"/>
  <c r="O124" i="4" s="1"/>
  <c r="W141" i="4"/>
  <c r="X141" i="4" s="1"/>
  <c r="W171" i="4"/>
  <c r="X171" i="4" s="1"/>
  <c r="R209" i="4"/>
  <c r="W227" i="4"/>
  <c r="X227" i="4" s="1"/>
  <c r="AA236" i="4"/>
  <c r="H273" i="4"/>
  <c r="I273" i="4" s="1"/>
  <c r="AA284" i="4"/>
  <c r="W295" i="4"/>
  <c r="X295" i="4" s="1"/>
  <c r="W29" i="5"/>
  <c r="X29" i="5" s="1"/>
  <c r="U29" i="5"/>
  <c r="AC73" i="3"/>
  <c r="AD73" i="3" s="1"/>
  <c r="N88" i="3"/>
  <c r="O88" i="3" s="1"/>
  <c r="AC141" i="3"/>
  <c r="AD141" i="3" s="1"/>
  <c r="N148" i="3"/>
  <c r="O148" i="3" s="1"/>
  <c r="AC171" i="3"/>
  <c r="AD171" i="3" s="1"/>
  <c r="N197" i="3"/>
  <c r="O197" i="3" s="1"/>
  <c r="N209" i="3"/>
  <c r="O209" i="3" s="1"/>
  <c r="N218" i="3"/>
  <c r="O218" i="3" s="1"/>
  <c r="N262" i="3"/>
  <c r="O262" i="3" s="1"/>
  <c r="N273" i="3"/>
  <c r="O273" i="3" s="1"/>
  <c r="AC325" i="3"/>
  <c r="AD325" i="3" s="1"/>
  <c r="N342" i="3"/>
  <c r="O342" i="3" s="1"/>
  <c r="N344" i="3"/>
  <c r="O344" i="3" s="1"/>
  <c r="N368" i="3"/>
  <c r="O368" i="3" s="1"/>
  <c r="N393" i="3"/>
  <c r="O393" i="3" s="1"/>
  <c r="N396" i="3"/>
  <c r="O396" i="3" s="1"/>
  <c r="N403" i="3"/>
  <c r="O403" i="3" s="1"/>
  <c r="O422" i="3"/>
  <c r="W428" i="3"/>
  <c r="X428" i="3" s="1"/>
  <c r="I433" i="3"/>
  <c r="X438" i="3"/>
  <c r="W62" i="4"/>
  <c r="X62" i="4" s="1"/>
  <c r="N122" i="4"/>
  <c r="O122" i="4" s="1"/>
  <c r="H141" i="4"/>
  <c r="I141" i="4" s="1"/>
  <c r="C170" i="4"/>
  <c r="H171" i="4"/>
  <c r="I171" i="4" s="1"/>
  <c r="N182" i="4"/>
  <c r="O182" i="4" s="1"/>
  <c r="L193" i="4"/>
  <c r="L196" i="4"/>
  <c r="W197" i="4"/>
  <c r="X197" i="4" s="1"/>
  <c r="W218" i="4"/>
  <c r="X218" i="4" s="1"/>
  <c r="W343" i="4"/>
  <c r="X343" i="4" s="1"/>
  <c r="U343" i="4"/>
  <c r="AC396" i="4"/>
  <c r="AD396" i="4" s="1"/>
  <c r="AA396" i="4"/>
  <c r="O424" i="3"/>
  <c r="R428" i="3"/>
  <c r="AC429" i="3"/>
  <c r="AD429" i="3" s="1"/>
  <c r="H441" i="3"/>
  <c r="I441" i="3" s="1"/>
  <c r="W441" i="3"/>
  <c r="X441" i="3" s="1"/>
  <c r="N73" i="4"/>
  <c r="O73" i="4" s="1"/>
  <c r="W118" i="4"/>
  <c r="X118" i="4" s="1"/>
  <c r="AC124" i="4"/>
  <c r="AD124" i="4" s="1"/>
  <c r="R197" i="4"/>
  <c r="R218" i="4"/>
  <c r="AC263" i="4"/>
  <c r="AD263" i="4" s="1"/>
  <c r="AC273" i="4"/>
  <c r="AD273" i="4" s="1"/>
  <c r="H342" i="4"/>
  <c r="I342" i="4" s="1"/>
  <c r="C342" i="4"/>
  <c r="W428" i="4"/>
  <c r="X428" i="4" s="1"/>
  <c r="AC428" i="4"/>
  <c r="AD428" i="4" s="1"/>
  <c r="R428" i="4"/>
  <c r="X355" i="4"/>
  <c r="X370" i="4"/>
  <c r="AD388" i="4"/>
  <c r="X392" i="4"/>
  <c r="N393" i="4"/>
  <c r="O393" i="4" s="1"/>
  <c r="X395" i="4"/>
  <c r="N396" i="4"/>
  <c r="O396" i="4" s="1"/>
  <c r="X398" i="4"/>
  <c r="W403" i="4"/>
  <c r="X403" i="4" s="1"/>
  <c r="O411" i="4"/>
  <c r="X412" i="4"/>
  <c r="I417" i="4"/>
  <c r="O418" i="4"/>
  <c r="O420" i="4"/>
  <c r="O427" i="4"/>
  <c r="X434" i="4"/>
  <c r="H62" i="5"/>
  <c r="I62" i="5" s="1"/>
  <c r="N122" i="5"/>
  <c r="O122" i="5" s="1"/>
  <c r="N172" i="5"/>
  <c r="O172" i="5" s="1"/>
  <c r="C172" i="5"/>
  <c r="N368" i="5"/>
  <c r="O368" i="5" s="1"/>
  <c r="L368" i="5"/>
  <c r="N324" i="4"/>
  <c r="O324" i="4" s="1"/>
  <c r="AC342" i="4"/>
  <c r="AD342" i="4" s="1"/>
  <c r="AC344" i="4"/>
  <c r="AD344" i="4" s="1"/>
  <c r="AC393" i="4"/>
  <c r="AD393" i="4" s="1"/>
  <c r="X436" i="4"/>
  <c r="X442" i="4"/>
  <c r="I438" i="4"/>
  <c r="I434" i="4"/>
  <c r="I426" i="4"/>
  <c r="I422" i="4"/>
  <c r="I418" i="4"/>
  <c r="I414" i="4"/>
  <c r="I410" i="4"/>
  <c r="I402" i="4"/>
  <c r="I398" i="4"/>
  <c r="I395" i="4"/>
  <c r="I392" i="4"/>
  <c r="I388" i="4"/>
  <c r="N18" i="5"/>
  <c r="O18" i="5" s="1"/>
  <c r="N88" i="5"/>
  <c r="O88" i="5" s="1"/>
  <c r="AC122" i="5"/>
  <c r="AD122" i="5" s="1"/>
  <c r="H141" i="5"/>
  <c r="I141" i="5" s="1"/>
  <c r="C141" i="5"/>
  <c r="N141" i="5"/>
  <c r="O141" i="5" s="1"/>
  <c r="C324" i="4"/>
  <c r="R342" i="4"/>
  <c r="R344" i="4"/>
  <c r="N403" i="4"/>
  <c r="O403" i="4" s="1"/>
  <c r="X438" i="4"/>
  <c r="C198" i="5"/>
  <c r="B345" i="5"/>
  <c r="N198" i="5"/>
  <c r="O198" i="5" s="1"/>
  <c r="AC324" i="4"/>
  <c r="AD324" i="4" s="1"/>
  <c r="N343" i="4"/>
  <c r="O343" i="4" s="1"/>
  <c r="T172" i="5"/>
  <c r="U124" i="5"/>
  <c r="Z345" i="5"/>
  <c r="AA198" i="5"/>
  <c r="C393" i="4"/>
  <c r="C396" i="4"/>
  <c r="X433" i="4"/>
  <c r="AD439" i="4"/>
  <c r="AD435" i="4"/>
  <c r="AD427" i="4"/>
  <c r="AD423" i="4"/>
  <c r="AD419" i="4"/>
  <c r="AD415" i="4"/>
  <c r="AD411" i="4"/>
  <c r="AD407" i="4"/>
  <c r="AD399" i="4"/>
  <c r="AD389" i="4"/>
  <c r="H73" i="5"/>
  <c r="I73" i="5" s="1"/>
  <c r="C122" i="5"/>
  <c r="W124" i="5"/>
  <c r="X124" i="5" s="1"/>
  <c r="U218" i="5"/>
  <c r="W218" i="5"/>
  <c r="X218" i="5" s="1"/>
  <c r="N141" i="4"/>
  <c r="O141" i="4" s="1"/>
  <c r="AC149" i="4"/>
  <c r="AD149" i="4" s="1"/>
  <c r="AC158" i="4"/>
  <c r="AD158" i="4" s="1"/>
  <c r="AC166" i="4"/>
  <c r="AD166" i="4" s="1"/>
  <c r="N171" i="4"/>
  <c r="O171" i="4" s="1"/>
  <c r="AC193" i="4"/>
  <c r="AD193" i="4" s="1"/>
  <c r="AC196" i="4"/>
  <c r="AD196" i="4" s="1"/>
  <c r="O361" i="4"/>
  <c r="AD364" i="4"/>
  <c r="N368" i="4"/>
  <c r="O368" i="4" s="1"/>
  <c r="O376" i="4"/>
  <c r="AD379" i="4"/>
  <c r="I391" i="4"/>
  <c r="O392" i="4"/>
  <c r="I394" i="4"/>
  <c r="O395" i="4"/>
  <c r="I397" i="4"/>
  <c r="O398" i="4"/>
  <c r="O400" i="4"/>
  <c r="H403" i="4"/>
  <c r="I403" i="4" s="1"/>
  <c r="X413" i="4"/>
  <c r="AD418" i="4"/>
  <c r="X422" i="4"/>
  <c r="I433" i="4"/>
  <c r="O434" i="4"/>
  <c r="O436" i="4"/>
  <c r="AC441" i="4"/>
  <c r="AD441" i="4" s="1"/>
  <c r="AC29" i="5"/>
  <c r="AD29" i="5" s="1"/>
  <c r="R40" i="5"/>
  <c r="W61" i="5"/>
  <c r="X61" i="5" s="1"/>
  <c r="AC62" i="5"/>
  <c r="AD62" i="5" s="1"/>
  <c r="H88" i="5"/>
  <c r="I88" i="5" s="1"/>
  <c r="L172" i="5"/>
  <c r="K198" i="5"/>
  <c r="R344" i="5"/>
  <c r="W344" i="5"/>
  <c r="X344" i="5" s="1"/>
  <c r="AC344" i="5"/>
  <c r="AD344" i="5" s="1"/>
  <c r="I216" i="4"/>
  <c r="AD217" i="4"/>
  <c r="I219" i="4"/>
  <c r="AD220" i="4"/>
  <c r="I223" i="4"/>
  <c r="AD224" i="4"/>
  <c r="I231" i="4"/>
  <c r="AD232" i="4"/>
  <c r="I235" i="4"/>
  <c r="I240" i="4"/>
  <c r="AD241" i="4"/>
  <c r="I244" i="4"/>
  <c r="AD245" i="4"/>
  <c r="I248" i="4"/>
  <c r="AD249" i="4"/>
  <c r="I252" i="4"/>
  <c r="AD253" i="4"/>
  <c r="I256" i="4"/>
  <c r="AD257" i="4"/>
  <c r="I260" i="4"/>
  <c r="AD261" i="4"/>
  <c r="I271" i="4"/>
  <c r="AD272" i="4"/>
  <c r="I275" i="4"/>
  <c r="AD276" i="4"/>
  <c r="I279" i="4"/>
  <c r="AD280" i="4"/>
  <c r="I283" i="4"/>
  <c r="I287" i="4"/>
  <c r="AD288" i="4"/>
  <c r="I291" i="4"/>
  <c r="AD292" i="4"/>
  <c r="I299" i="4"/>
  <c r="AD300" i="4"/>
  <c r="I303" i="4"/>
  <c r="AD304" i="4"/>
  <c r="I307" i="4"/>
  <c r="AD308" i="4"/>
  <c r="I311" i="4"/>
  <c r="AD312" i="4"/>
  <c r="I315" i="4"/>
  <c r="AD316" i="4"/>
  <c r="I319" i="4"/>
  <c r="AD320" i="4"/>
  <c r="I323" i="4"/>
  <c r="AD328" i="4"/>
  <c r="I331" i="4"/>
  <c r="AD332" i="4"/>
  <c r="I335" i="4"/>
  <c r="AD337" i="4"/>
  <c r="I340" i="4"/>
  <c r="AD341" i="4"/>
  <c r="I350" i="4"/>
  <c r="AD354" i="4"/>
  <c r="X356" i="4"/>
  <c r="AD357" i="4"/>
  <c r="I363" i="4"/>
  <c r="O364" i="4"/>
  <c r="I366" i="4"/>
  <c r="AD369" i="4"/>
  <c r="X371" i="4"/>
  <c r="AD372" i="4"/>
  <c r="X374" i="4"/>
  <c r="I378" i="4"/>
  <c r="O379" i="4"/>
  <c r="I381" i="4"/>
  <c r="O386" i="4"/>
  <c r="X388" i="4"/>
  <c r="I399" i="4"/>
  <c r="X401" i="4"/>
  <c r="O407" i="4"/>
  <c r="X408" i="4"/>
  <c r="AD409" i="4"/>
  <c r="I413" i="4"/>
  <c r="O414" i="4"/>
  <c r="X415" i="4"/>
  <c r="O416" i="4"/>
  <c r="I420" i="4"/>
  <c r="X424" i="4"/>
  <c r="AD425" i="4"/>
  <c r="I435" i="4"/>
  <c r="AD440" i="4"/>
  <c r="I442" i="4"/>
  <c r="AC118" i="5"/>
  <c r="AD118" i="5" s="1"/>
  <c r="W197" i="5"/>
  <c r="X197" i="5" s="1"/>
  <c r="AC197" i="5"/>
  <c r="AD197" i="5" s="1"/>
  <c r="R197" i="5"/>
  <c r="N158" i="5"/>
  <c r="O158" i="5" s="1"/>
  <c r="Q172" i="5"/>
  <c r="W295" i="5"/>
  <c r="X295" i="5" s="1"/>
  <c r="AC295" i="5"/>
  <c r="AD295" i="5" s="1"/>
  <c r="F218" i="6"/>
  <c r="H218" i="6"/>
  <c r="I218" i="6" s="1"/>
  <c r="R236" i="5"/>
  <c r="W236" i="5"/>
  <c r="X236" i="5" s="1"/>
  <c r="AC262" i="5"/>
  <c r="AD262" i="5" s="1"/>
  <c r="R262" i="5"/>
  <c r="N284" i="5"/>
  <c r="O284" i="5" s="1"/>
  <c r="AA148" i="5"/>
  <c r="R158" i="5"/>
  <c r="C166" i="5"/>
  <c r="H166" i="5"/>
  <c r="I166" i="5" s="1"/>
  <c r="R166" i="5"/>
  <c r="H170" i="5"/>
  <c r="I170" i="5" s="1"/>
  <c r="U170" i="5"/>
  <c r="E172" i="5"/>
  <c r="N182" i="5"/>
  <c r="O182" i="5" s="1"/>
  <c r="AC182" i="5"/>
  <c r="AD182" i="5" s="1"/>
  <c r="C197" i="5"/>
  <c r="L218" i="5"/>
  <c r="AA218" i="5"/>
  <c r="N344" i="5"/>
  <c r="O344" i="5" s="1"/>
  <c r="C344" i="5"/>
  <c r="W18" i="6"/>
  <c r="X18" i="6" s="1"/>
  <c r="AC18" i="6"/>
  <c r="AD18" i="6" s="1"/>
  <c r="R18" i="6"/>
  <c r="R141" i="5"/>
  <c r="AC149" i="5"/>
  <c r="AD149" i="5" s="1"/>
  <c r="F171" i="5"/>
  <c r="U171" i="5"/>
  <c r="W196" i="5"/>
  <c r="X196" i="5" s="1"/>
  <c r="AC196" i="5"/>
  <c r="AD196" i="5" s="1"/>
  <c r="W262" i="5"/>
  <c r="X262" i="5" s="1"/>
  <c r="AC267" i="5"/>
  <c r="AD267" i="5" s="1"/>
  <c r="R267" i="5"/>
  <c r="H342" i="5"/>
  <c r="I342" i="5" s="1"/>
  <c r="L343" i="5"/>
  <c r="N343" i="5"/>
  <c r="O343" i="5" s="1"/>
  <c r="AA171" i="6"/>
  <c r="AC171" i="6"/>
  <c r="AD171" i="6" s="1"/>
  <c r="C149" i="5"/>
  <c r="N149" i="5"/>
  <c r="O149" i="5" s="1"/>
  <c r="R149" i="5"/>
  <c r="H158" i="5"/>
  <c r="I158" i="5" s="1"/>
  <c r="L193" i="5"/>
  <c r="AC193" i="5"/>
  <c r="AD193" i="5" s="1"/>
  <c r="R196" i="5"/>
  <c r="C236" i="5"/>
  <c r="H262" i="5"/>
  <c r="I262" i="5" s="1"/>
  <c r="N262" i="5"/>
  <c r="O262" i="5" s="1"/>
  <c r="C262" i="5"/>
  <c r="H325" i="5"/>
  <c r="I325" i="5" s="1"/>
  <c r="N325" i="5"/>
  <c r="O325" i="5" s="1"/>
  <c r="C325" i="5"/>
  <c r="H344" i="5"/>
  <c r="I344" i="5" s="1"/>
  <c r="AC393" i="5"/>
  <c r="AD393" i="5" s="1"/>
  <c r="AC124" i="5"/>
  <c r="AD124" i="5" s="1"/>
  <c r="H182" i="5"/>
  <c r="I182" i="5" s="1"/>
  <c r="C196" i="5"/>
  <c r="N196" i="5"/>
  <c r="O196" i="5" s="1"/>
  <c r="N197" i="5"/>
  <c r="O197" i="5" s="1"/>
  <c r="W209" i="5"/>
  <c r="X209" i="5" s="1"/>
  <c r="C227" i="5"/>
  <c r="H227" i="5"/>
  <c r="I227" i="5" s="1"/>
  <c r="C393" i="5"/>
  <c r="H393" i="5"/>
  <c r="I393" i="5" s="1"/>
  <c r="N393" i="5"/>
  <c r="O393" i="5" s="1"/>
  <c r="N396" i="5"/>
  <c r="O396" i="5" s="1"/>
  <c r="C396" i="5"/>
  <c r="N170" i="5"/>
  <c r="O170" i="5" s="1"/>
  <c r="W182" i="5"/>
  <c r="X182" i="5" s="1"/>
  <c r="H209" i="5"/>
  <c r="I209" i="5" s="1"/>
  <c r="N209" i="5"/>
  <c r="O209" i="5" s="1"/>
  <c r="C218" i="5"/>
  <c r="H218" i="5"/>
  <c r="I218" i="5" s="1"/>
  <c r="AC236" i="5"/>
  <c r="AD236" i="5" s="1"/>
  <c r="AC263" i="5"/>
  <c r="AD263" i="5" s="1"/>
  <c r="R263" i="5"/>
  <c r="W267" i="5"/>
  <c r="X267" i="5" s="1"/>
  <c r="H284" i="5"/>
  <c r="I284" i="5" s="1"/>
  <c r="H295" i="5"/>
  <c r="I295" i="5" s="1"/>
  <c r="F295" i="5"/>
  <c r="F368" i="5"/>
  <c r="H368" i="5"/>
  <c r="I368" i="5" s="1"/>
  <c r="W393" i="5"/>
  <c r="X393" i="5" s="1"/>
  <c r="U393" i="5"/>
  <c r="N40" i="6"/>
  <c r="O40" i="6" s="1"/>
  <c r="C40" i="6"/>
  <c r="H158" i="6"/>
  <c r="I158" i="6" s="1"/>
  <c r="F158" i="6"/>
  <c r="C403" i="5"/>
  <c r="H403" i="5"/>
  <c r="I403" i="5" s="1"/>
  <c r="R396" i="5"/>
  <c r="W396" i="5"/>
  <c r="X396" i="5" s="1"/>
  <c r="AC396" i="5"/>
  <c r="AD396" i="5" s="1"/>
  <c r="C18" i="6"/>
  <c r="N18" i="6"/>
  <c r="O18" i="6" s="1"/>
  <c r="R61" i="6"/>
  <c r="AC61" i="6"/>
  <c r="AD61" i="6" s="1"/>
  <c r="W61" i="6"/>
  <c r="X61" i="6" s="1"/>
  <c r="AA124" i="6"/>
  <c r="Z172" i="6"/>
  <c r="AC124" i="6"/>
  <c r="AD124" i="6" s="1"/>
  <c r="K198" i="6"/>
  <c r="N209" i="6"/>
  <c r="O209" i="6" s="1"/>
  <c r="H209" i="6"/>
  <c r="I209" i="6" s="1"/>
  <c r="C209" i="6"/>
  <c r="H73" i="6"/>
  <c r="I73" i="6" s="1"/>
  <c r="F73" i="6"/>
  <c r="N428" i="5"/>
  <c r="O428" i="5" s="1"/>
  <c r="C428" i="5"/>
  <c r="U29" i="6"/>
  <c r="N61" i="6"/>
  <c r="O61" i="6" s="1"/>
  <c r="H61" i="6"/>
  <c r="I61" i="6" s="1"/>
  <c r="N403" i="5"/>
  <c r="O403" i="5" s="1"/>
  <c r="U441" i="5"/>
  <c r="H18" i="6"/>
  <c r="I18" i="6" s="1"/>
  <c r="C61" i="6"/>
  <c r="H428" i="5"/>
  <c r="I428" i="5" s="1"/>
  <c r="AC428" i="5"/>
  <c r="AD428" i="5" s="1"/>
  <c r="R40" i="6"/>
  <c r="AC40" i="6"/>
  <c r="AD40" i="6" s="1"/>
  <c r="AC73" i="6"/>
  <c r="AD73" i="6" s="1"/>
  <c r="W73" i="6"/>
  <c r="X73" i="6" s="1"/>
  <c r="F148" i="6"/>
  <c r="H148" i="6"/>
  <c r="I148" i="6" s="1"/>
  <c r="C166" i="6"/>
  <c r="N166" i="6"/>
  <c r="O166" i="6" s="1"/>
  <c r="H166" i="6"/>
  <c r="I166" i="6" s="1"/>
  <c r="R122" i="6"/>
  <c r="W122" i="6"/>
  <c r="X122" i="6" s="1"/>
  <c r="R172" i="6"/>
  <c r="AC172" i="6"/>
  <c r="AD172" i="6" s="1"/>
  <c r="Q198" i="6"/>
  <c r="R342" i="6"/>
  <c r="AC342" i="6"/>
  <c r="AD342" i="6" s="1"/>
  <c r="W342" i="6"/>
  <c r="X342" i="6" s="1"/>
  <c r="N273" i="5"/>
  <c r="O273" i="5" s="1"/>
  <c r="N88" i="6"/>
  <c r="O88" i="6" s="1"/>
  <c r="AC88" i="6"/>
  <c r="AD88" i="6" s="1"/>
  <c r="N118" i="6"/>
  <c r="O118" i="6" s="1"/>
  <c r="AC149" i="6"/>
  <c r="AD149" i="6" s="1"/>
  <c r="T172" i="6"/>
  <c r="AA197" i="6"/>
  <c r="F324" i="6"/>
  <c r="H324" i="6"/>
  <c r="I324" i="6" s="1"/>
  <c r="N149" i="6"/>
  <c r="O149" i="6" s="1"/>
  <c r="AC196" i="6"/>
  <c r="AD196" i="6" s="1"/>
  <c r="N262" i="6"/>
  <c r="O262" i="6" s="1"/>
  <c r="H262" i="6"/>
  <c r="I262" i="6" s="1"/>
  <c r="H273" i="6"/>
  <c r="I273" i="6" s="1"/>
  <c r="C273" i="6"/>
  <c r="N358" i="6"/>
  <c r="O358" i="6" s="1"/>
  <c r="H358" i="6"/>
  <c r="I358" i="6" s="1"/>
  <c r="C358" i="6"/>
  <c r="E172" i="6"/>
  <c r="N182" i="6"/>
  <c r="O182" i="6" s="1"/>
  <c r="N196" i="6"/>
  <c r="O196" i="6" s="1"/>
  <c r="N197" i="6"/>
  <c r="O197" i="6" s="1"/>
  <c r="C262" i="6"/>
  <c r="F124" i="6"/>
  <c r="AC158" i="6"/>
  <c r="AD158" i="6" s="1"/>
  <c r="W158" i="6"/>
  <c r="X158" i="6" s="1"/>
  <c r="H227" i="6"/>
  <c r="I227" i="6" s="1"/>
  <c r="R236" i="6"/>
  <c r="AC236" i="6"/>
  <c r="AD236" i="6" s="1"/>
  <c r="N263" i="5"/>
  <c r="O263" i="5" s="1"/>
  <c r="N267" i="5"/>
  <c r="O267" i="5" s="1"/>
  <c r="AC284" i="5"/>
  <c r="AD284" i="5" s="1"/>
  <c r="N295" i="5"/>
  <c r="O295" i="5" s="1"/>
  <c r="N441" i="5"/>
  <c r="O441" i="5" s="1"/>
  <c r="W118" i="6"/>
  <c r="X118" i="6" s="1"/>
  <c r="AC122" i="6"/>
  <c r="AD122" i="6" s="1"/>
  <c r="U124" i="6"/>
  <c r="N141" i="6"/>
  <c r="O141" i="6" s="1"/>
  <c r="R148" i="6"/>
  <c r="R158" i="6"/>
  <c r="R170" i="6"/>
  <c r="AC170" i="6"/>
  <c r="AD170" i="6" s="1"/>
  <c r="C193" i="6"/>
  <c r="N193" i="6"/>
  <c r="O193" i="6" s="1"/>
  <c r="R218" i="6"/>
  <c r="R368" i="5"/>
  <c r="W368" i="5"/>
  <c r="X368" i="5" s="1"/>
  <c r="I383" i="5"/>
  <c r="I439" i="5"/>
  <c r="C441" i="5"/>
  <c r="H118" i="6"/>
  <c r="I118" i="6" s="1"/>
  <c r="AC141" i="6"/>
  <c r="AD141" i="6" s="1"/>
  <c r="W141" i="6"/>
  <c r="X141" i="6" s="1"/>
  <c r="W149" i="6"/>
  <c r="X149" i="6" s="1"/>
  <c r="C158" i="6"/>
  <c r="N158" i="6"/>
  <c r="O158" i="6" s="1"/>
  <c r="H170" i="6"/>
  <c r="I170" i="6" s="1"/>
  <c r="W171" i="6"/>
  <c r="X171" i="6" s="1"/>
  <c r="C196" i="6"/>
  <c r="H196" i="6"/>
  <c r="I196" i="6" s="1"/>
  <c r="C368" i="6"/>
  <c r="N368" i="6"/>
  <c r="O368" i="6" s="1"/>
  <c r="H368" i="6"/>
  <c r="I368" i="6" s="1"/>
  <c r="U262" i="6"/>
  <c r="W262" i="6"/>
  <c r="X262" i="6" s="1"/>
  <c r="C284" i="6"/>
  <c r="N284" i="6"/>
  <c r="O284" i="6" s="1"/>
  <c r="N343" i="6"/>
  <c r="O343" i="6" s="1"/>
  <c r="L343" i="6"/>
  <c r="W358" i="6"/>
  <c r="X358" i="6" s="1"/>
  <c r="U273" i="6"/>
  <c r="W273" i="6"/>
  <c r="X273" i="6" s="1"/>
  <c r="AC344" i="6"/>
  <c r="AD344" i="6" s="1"/>
  <c r="R344" i="6"/>
  <c r="H295" i="6"/>
  <c r="I295" i="6" s="1"/>
  <c r="N295" i="6"/>
  <c r="O295" i="6" s="1"/>
  <c r="H284" i="6"/>
  <c r="I284" i="6" s="1"/>
  <c r="C295" i="6"/>
  <c r="AC358" i="6"/>
  <c r="AD358" i="6" s="1"/>
  <c r="I415" i="5"/>
  <c r="B172" i="6"/>
  <c r="W263" i="6"/>
  <c r="X263" i="6" s="1"/>
  <c r="W267" i="6"/>
  <c r="X267" i="6" s="1"/>
  <c r="AC273" i="6"/>
  <c r="AD273" i="6" s="1"/>
  <c r="N342" i="6"/>
  <c r="O342" i="6" s="1"/>
  <c r="L342" i="6"/>
  <c r="W344" i="6"/>
  <c r="X344" i="6" s="1"/>
  <c r="AC263" i="6"/>
  <c r="AD263" i="6" s="1"/>
  <c r="AC267" i="6"/>
  <c r="AD267" i="6" s="1"/>
  <c r="AC368" i="6"/>
  <c r="AD368" i="6" s="1"/>
  <c r="AC396" i="6"/>
  <c r="AD396" i="6" s="1"/>
  <c r="U393" i="6"/>
  <c r="W403" i="6"/>
  <c r="X403" i="6" s="1"/>
  <c r="H73" i="7"/>
  <c r="I73" i="7" s="1"/>
  <c r="C73" i="7"/>
  <c r="N73" i="7"/>
  <c r="O73" i="7" s="1"/>
  <c r="U429" i="6"/>
  <c r="H18" i="7"/>
  <c r="I18" i="7" s="1"/>
  <c r="C18" i="7"/>
  <c r="N18" i="7"/>
  <c r="O18" i="7" s="1"/>
  <c r="W324" i="6"/>
  <c r="X324" i="6" s="1"/>
  <c r="H325" i="6"/>
  <c r="I325" i="6" s="1"/>
  <c r="W368" i="6"/>
  <c r="X368" i="6" s="1"/>
  <c r="F429" i="6"/>
  <c r="H396" i="6"/>
  <c r="I396" i="6" s="1"/>
  <c r="W396" i="6"/>
  <c r="X396" i="6" s="1"/>
  <c r="H62" i="7"/>
  <c r="I62" i="7" s="1"/>
  <c r="C62" i="7"/>
  <c r="N62" i="7"/>
  <c r="O62" i="7" s="1"/>
  <c r="C344" i="6"/>
  <c r="N344" i="6"/>
  <c r="O344" i="6" s="1"/>
  <c r="C403" i="6"/>
  <c r="N403" i="6"/>
  <c r="O403" i="6" s="1"/>
  <c r="R403" i="6"/>
  <c r="H428" i="6"/>
  <c r="I428" i="6" s="1"/>
  <c r="W61" i="7"/>
  <c r="X61" i="7" s="1"/>
  <c r="AC61" i="7"/>
  <c r="AD61" i="7" s="1"/>
  <c r="R88" i="7"/>
  <c r="AC88" i="7"/>
  <c r="AD88" i="7" s="1"/>
  <c r="Z172" i="7"/>
  <c r="AA124" i="7"/>
  <c r="W88" i="7"/>
  <c r="X88" i="7" s="1"/>
  <c r="AC428" i="6"/>
  <c r="AD428" i="6" s="1"/>
  <c r="I440" i="6"/>
  <c r="AC29" i="7"/>
  <c r="AD29" i="7" s="1"/>
  <c r="B198" i="7"/>
  <c r="H172" i="7"/>
  <c r="I172" i="7" s="1"/>
  <c r="N172" i="7"/>
  <c r="O172" i="7" s="1"/>
  <c r="C172" i="7"/>
  <c r="AD442" i="6"/>
  <c r="N88" i="7"/>
  <c r="O88" i="7" s="1"/>
  <c r="C118" i="7"/>
  <c r="W122" i="7"/>
  <c r="X122" i="7" s="1"/>
  <c r="AC122" i="7"/>
  <c r="AD122" i="7" s="1"/>
  <c r="L172" i="7"/>
  <c r="K198" i="7"/>
  <c r="R149" i="7"/>
  <c r="N170" i="7"/>
  <c r="O170" i="7" s="1"/>
  <c r="AC193" i="7"/>
  <c r="AD193" i="7" s="1"/>
  <c r="R196" i="7"/>
  <c r="W196" i="7"/>
  <c r="X196" i="7" s="1"/>
  <c r="U148" i="7"/>
  <c r="C171" i="7"/>
  <c r="U141" i="7"/>
  <c r="C170" i="7"/>
  <c r="R193" i="7"/>
  <c r="R263" i="7"/>
  <c r="W263" i="7"/>
  <c r="X263" i="7" s="1"/>
  <c r="AC263" i="7"/>
  <c r="AD263" i="7" s="1"/>
  <c r="H124" i="7"/>
  <c r="I124" i="7" s="1"/>
  <c r="C124" i="7"/>
  <c r="Q345" i="7"/>
  <c r="R198" i="7"/>
  <c r="H158" i="7"/>
  <c r="I158" i="7" s="1"/>
  <c r="C158" i="7"/>
  <c r="T345" i="7"/>
  <c r="U198" i="7"/>
  <c r="W442" i="6"/>
  <c r="X442" i="6" s="1"/>
  <c r="N40" i="7"/>
  <c r="O40" i="7" s="1"/>
  <c r="AC73" i="7"/>
  <c r="AD73" i="7" s="1"/>
  <c r="AC149" i="7"/>
  <c r="AD149" i="7" s="1"/>
  <c r="U172" i="7"/>
  <c r="W158" i="7"/>
  <c r="X158" i="7" s="1"/>
  <c r="AC196" i="7"/>
  <c r="AD196" i="7" s="1"/>
  <c r="E198" i="7"/>
  <c r="U236" i="7"/>
  <c r="W236" i="7"/>
  <c r="X236" i="7" s="1"/>
  <c r="H118" i="7"/>
  <c r="I118" i="7" s="1"/>
  <c r="H149" i="7"/>
  <c r="I149" i="7" s="1"/>
  <c r="N149" i="7"/>
  <c r="O149" i="7" s="1"/>
  <c r="N171" i="7"/>
  <c r="O171" i="7" s="1"/>
  <c r="N197" i="7"/>
  <c r="O197" i="7" s="1"/>
  <c r="W198" i="7"/>
  <c r="X198" i="7" s="1"/>
  <c r="R218" i="7"/>
  <c r="W218" i="7"/>
  <c r="X218" i="7" s="1"/>
  <c r="W182" i="7"/>
  <c r="X182" i="7" s="1"/>
  <c r="H209" i="7"/>
  <c r="I209" i="7" s="1"/>
  <c r="C209" i="7"/>
  <c r="H236" i="7"/>
  <c r="I236" i="7" s="1"/>
  <c r="C236" i="7"/>
  <c r="H262" i="7"/>
  <c r="I262" i="7" s="1"/>
  <c r="C262" i="7"/>
  <c r="W273" i="7"/>
  <c r="X273" i="7" s="1"/>
  <c r="H284" i="7"/>
  <c r="I284" i="7" s="1"/>
  <c r="H295" i="7"/>
  <c r="I295" i="7" s="1"/>
  <c r="N295" i="7"/>
  <c r="O295" i="7" s="1"/>
  <c r="C295" i="7"/>
  <c r="H263" i="7"/>
  <c r="I263" i="7" s="1"/>
  <c r="N263" i="7"/>
  <c r="O263" i="7" s="1"/>
  <c r="W172" i="7"/>
  <c r="X172" i="7" s="1"/>
  <c r="AC172" i="7"/>
  <c r="AD172" i="7" s="1"/>
  <c r="AC124" i="7"/>
  <c r="AD124" i="7" s="1"/>
  <c r="N148" i="7"/>
  <c r="O148" i="7" s="1"/>
  <c r="N236" i="7"/>
  <c r="O236" i="7" s="1"/>
  <c r="C263" i="7"/>
  <c r="AC267" i="7"/>
  <c r="AD267" i="7" s="1"/>
  <c r="R273" i="7"/>
  <c r="H196" i="7"/>
  <c r="I196" i="7" s="1"/>
  <c r="W209" i="7"/>
  <c r="X209" i="7" s="1"/>
  <c r="N218" i="7"/>
  <c r="O218" i="7" s="1"/>
  <c r="H218" i="7"/>
  <c r="I218" i="7" s="1"/>
  <c r="W262" i="7"/>
  <c r="X262" i="7" s="1"/>
  <c r="W284" i="7"/>
  <c r="X284" i="7" s="1"/>
  <c r="AC284" i="7"/>
  <c r="AD284" i="7" s="1"/>
  <c r="H166" i="7"/>
  <c r="I166" i="7" s="1"/>
  <c r="H343" i="7"/>
  <c r="I343" i="7" s="1"/>
  <c r="N343" i="7"/>
  <c r="O343" i="7" s="1"/>
  <c r="N358" i="7"/>
  <c r="O358" i="7" s="1"/>
  <c r="AC170" i="7"/>
  <c r="AD170" i="7" s="1"/>
  <c r="AC182" i="7"/>
  <c r="AD182" i="7" s="1"/>
  <c r="N193" i="7"/>
  <c r="O193" i="7" s="1"/>
  <c r="N196" i="7"/>
  <c r="O196" i="7" s="1"/>
  <c r="C358" i="7"/>
  <c r="N325" i="7"/>
  <c r="O325" i="7" s="1"/>
  <c r="R324" i="7"/>
  <c r="AC429" i="7"/>
  <c r="AD429" i="7" s="1"/>
  <c r="N441" i="7"/>
  <c r="O441" i="7" s="1"/>
  <c r="R429" i="7"/>
  <c r="C441" i="7"/>
  <c r="H324" i="7"/>
  <c r="I324" i="7" s="1"/>
  <c r="W342" i="7"/>
  <c r="X342" i="7" s="1"/>
  <c r="W344" i="7"/>
  <c r="X344" i="7" s="1"/>
  <c r="W368" i="7"/>
  <c r="X368" i="7" s="1"/>
  <c r="W393" i="7"/>
  <c r="X393" i="7" s="1"/>
  <c r="W396" i="7"/>
  <c r="X396" i="7" s="1"/>
  <c r="W403" i="7"/>
  <c r="X403" i="7" s="1"/>
  <c r="N428" i="7"/>
  <c r="O428" i="7" s="1"/>
  <c r="H429" i="7"/>
  <c r="I429" i="7" s="1"/>
  <c r="W442" i="7"/>
  <c r="X442" i="7" s="1"/>
  <c r="C172" i="3" l="1"/>
  <c r="B198" i="3"/>
  <c r="N172" i="3"/>
  <c r="O172" i="3" s="1"/>
  <c r="H172" i="3"/>
  <c r="I172" i="3" s="1"/>
  <c r="B345" i="7"/>
  <c r="H198" i="7"/>
  <c r="I198" i="7" s="1"/>
  <c r="N198" i="7"/>
  <c r="O198" i="7" s="1"/>
  <c r="C198" i="7"/>
  <c r="E345" i="7"/>
  <c r="F198" i="7"/>
  <c r="K345" i="6"/>
  <c r="L198" i="6"/>
  <c r="F172" i="5"/>
  <c r="E198" i="5"/>
  <c r="Z198" i="4"/>
  <c r="AA172" i="4"/>
  <c r="E345" i="3"/>
  <c r="F198" i="3"/>
  <c r="F172" i="2"/>
  <c r="E198" i="2"/>
  <c r="N172" i="2"/>
  <c r="O172" i="2" s="1"/>
  <c r="C172" i="2"/>
  <c r="H172" i="2"/>
  <c r="I172" i="2" s="1"/>
  <c r="B198" i="2"/>
  <c r="K443" i="1"/>
  <c r="L443" i="1" s="1"/>
  <c r="L404" i="1"/>
  <c r="T198" i="6"/>
  <c r="U172" i="6"/>
  <c r="R172" i="5"/>
  <c r="AC172" i="5"/>
  <c r="AD172" i="5" s="1"/>
  <c r="Q198" i="5"/>
  <c r="W172" i="5"/>
  <c r="X172" i="5" s="1"/>
  <c r="B404" i="5"/>
  <c r="C345" i="5"/>
  <c r="E198" i="4"/>
  <c r="F172" i="4"/>
  <c r="U172" i="4"/>
  <c r="T198" i="4"/>
  <c r="AC172" i="4"/>
  <c r="AD172" i="4" s="1"/>
  <c r="AA345" i="1"/>
  <c r="Z404" i="1"/>
  <c r="Q345" i="6"/>
  <c r="W198" i="6"/>
  <c r="X198" i="6" s="1"/>
  <c r="R198" i="6"/>
  <c r="AC198" i="6"/>
  <c r="AD198" i="6" s="1"/>
  <c r="Z198" i="6"/>
  <c r="AA172" i="6"/>
  <c r="Z404" i="5"/>
  <c r="AA345" i="5"/>
  <c r="R198" i="4"/>
  <c r="Q345" i="4"/>
  <c r="AC198" i="4"/>
  <c r="AD198" i="4" s="1"/>
  <c r="W198" i="4"/>
  <c r="X198" i="4" s="1"/>
  <c r="AA172" i="3"/>
  <c r="Z198" i="3"/>
  <c r="T345" i="2"/>
  <c r="U198" i="2"/>
  <c r="W172" i="6"/>
  <c r="X172" i="6" s="1"/>
  <c r="H172" i="5"/>
  <c r="I172" i="5" s="1"/>
  <c r="R172" i="2"/>
  <c r="AC172" i="2"/>
  <c r="AD172" i="2" s="1"/>
  <c r="Q198" i="2"/>
  <c r="W172" i="2"/>
  <c r="X172" i="2" s="1"/>
  <c r="F172" i="6"/>
  <c r="E198" i="6"/>
  <c r="T198" i="5"/>
  <c r="U172" i="5"/>
  <c r="T198" i="3"/>
  <c r="U172" i="3"/>
  <c r="L345" i="4"/>
  <c r="K404" i="4"/>
  <c r="W345" i="7"/>
  <c r="X345" i="7" s="1"/>
  <c r="Q404" i="7"/>
  <c r="R345" i="7"/>
  <c r="K345" i="7"/>
  <c r="L198" i="7"/>
  <c r="B198" i="6"/>
  <c r="H172" i="6"/>
  <c r="I172" i="6" s="1"/>
  <c r="C172" i="6"/>
  <c r="N172" i="6"/>
  <c r="O172" i="6" s="1"/>
  <c r="K345" i="5"/>
  <c r="L198" i="5"/>
  <c r="L172" i="3"/>
  <c r="K198" i="3"/>
  <c r="T198" i="1"/>
  <c r="U172" i="1"/>
  <c r="U345" i="7"/>
  <c r="T404" i="7"/>
  <c r="Z198" i="7"/>
  <c r="AA172" i="7"/>
  <c r="H172" i="4"/>
  <c r="I172" i="4" s="1"/>
  <c r="N172" i="4"/>
  <c r="O172" i="4" s="1"/>
  <c r="B198" i="4"/>
  <c r="C172" i="4"/>
  <c r="W172" i="3"/>
  <c r="X172" i="3" s="1"/>
  <c r="R172" i="3"/>
  <c r="Q198" i="3"/>
  <c r="AC172" i="3"/>
  <c r="AD172" i="3" s="1"/>
  <c r="K198" i="2"/>
  <c r="L172" i="2"/>
  <c r="Z198" i="2"/>
  <c r="AA172" i="2"/>
  <c r="Q345" i="1"/>
  <c r="AC198" i="1"/>
  <c r="AD198" i="1" s="1"/>
  <c r="R198" i="1"/>
  <c r="C198" i="1"/>
  <c r="N198" i="1"/>
  <c r="O198" i="1" s="1"/>
  <c r="H198" i="1"/>
  <c r="I198" i="1" s="1"/>
  <c r="B345" i="1"/>
  <c r="E443" i="1"/>
  <c r="F443" i="1" s="1"/>
  <c r="F404" i="1"/>
  <c r="AA198" i="2" l="1"/>
  <c r="Z345" i="2"/>
  <c r="B345" i="4"/>
  <c r="H198" i="4"/>
  <c r="I198" i="4" s="1"/>
  <c r="C198" i="4"/>
  <c r="N198" i="4"/>
  <c r="O198" i="4" s="1"/>
  <c r="T345" i="1"/>
  <c r="U198" i="1"/>
  <c r="C198" i="6"/>
  <c r="H198" i="6"/>
  <c r="I198" i="6" s="1"/>
  <c r="B345" i="6"/>
  <c r="N198" i="6"/>
  <c r="O198" i="6" s="1"/>
  <c r="R198" i="2"/>
  <c r="Q345" i="2"/>
  <c r="AC198" i="2"/>
  <c r="AD198" i="2" s="1"/>
  <c r="W198" i="2"/>
  <c r="X198" i="2" s="1"/>
  <c r="Z345" i="6"/>
  <c r="AA198" i="6"/>
  <c r="U198" i="4"/>
  <c r="T345" i="4"/>
  <c r="C198" i="2"/>
  <c r="B345" i="2"/>
  <c r="H198" i="2"/>
  <c r="I198" i="2" s="1"/>
  <c r="N198" i="2"/>
  <c r="O198" i="2" s="1"/>
  <c r="L198" i="3"/>
  <c r="K345" i="3"/>
  <c r="Q345" i="5"/>
  <c r="R198" i="5"/>
  <c r="W198" i="5"/>
  <c r="X198" i="5" s="1"/>
  <c r="AC198" i="5"/>
  <c r="AD198" i="5" s="1"/>
  <c r="Z345" i="4"/>
  <c r="AA198" i="4"/>
  <c r="C345" i="1"/>
  <c r="H345" i="1"/>
  <c r="I345" i="1" s="1"/>
  <c r="B404" i="1"/>
  <c r="N345" i="1"/>
  <c r="O345" i="1" s="1"/>
  <c r="K404" i="7"/>
  <c r="L345" i="7"/>
  <c r="F198" i="5"/>
  <c r="E345" i="5"/>
  <c r="H198" i="5"/>
  <c r="I198" i="5" s="1"/>
  <c r="R345" i="4"/>
  <c r="Q404" i="4"/>
  <c r="W345" i="4"/>
  <c r="X345" i="4" s="1"/>
  <c r="F198" i="4"/>
  <c r="E345" i="4"/>
  <c r="H345" i="7"/>
  <c r="I345" i="7" s="1"/>
  <c r="N345" i="7"/>
  <c r="O345" i="7" s="1"/>
  <c r="B404" i="7"/>
  <c r="C345" i="7"/>
  <c r="U198" i="3"/>
  <c r="T345" i="3"/>
  <c r="Z345" i="7"/>
  <c r="AA198" i="7"/>
  <c r="AC198" i="7"/>
  <c r="AD198" i="7" s="1"/>
  <c r="L345" i="5"/>
  <c r="K404" i="5"/>
  <c r="R345" i="6"/>
  <c r="Q404" i="6"/>
  <c r="AC345" i="6"/>
  <c r="AD345" i="6" s="1"/>
  <c r="W345" i="6"/>
  <c r="X345" i="6" s="1"/>
  <c r="F198" i="2"/>
  <c r="E345" i="2"/>
  <c r="L198" i="2"/>
  <c r="K345" i="2"/>
  <c r="W198" i="3"/>
  <c r="X198" i="3" s="1"/>
  <c r="R198" i="3"/>
  <c r="Q345" i="3"/>
  <c r="AC198" i="3"/>
  <c r="AD198" i="3" s="1"/>
  <c r="W404" i="7"/>
  <c r="X404" i="7" s="1"/>
  <c r="Q443" i="7"/>
  <c r="R404" i="7"/>
  <c r="E345" i="6"/>
  <c r="F198" i="6"/>
  <c r="AA404" i="1"/>
  <c r="Z443" i="1"/>
  <c r="AA443" i="1" s="1"/>
  <c r="N345" i="5"/>
  <c r="O345" i="5" s="1"/>
  <c r="T345" i="6"/>
  <c r="U198" i="6"/>
  <c r="L345" i="6"/>
  <c r="K404" i="6"/>
  <c r="U198" i="5"/>
  <c r="T345" i="5"/>
  <c r="AC345" i="1"/>
  <c r="AD345" i="1" s="1"/>
  <c r="W345" i="1"/>
  <c r="X345" i="1" s="1"/>
  <c r="Q404" i="1"/>
  <c r="R345" i="1"/>
  <c r="U404" i="7"/>
  <c r="T443" i="7"/>
  <c r="U443" i="7" s="1"/>
  <c r="W198" i="1"/>
  <c r="X198" i="1" s="1"/>
  <c r="T404" i="2"/>
  <c r="U345" i="2"/>
  <c r="Z443" i="5"/>
  <c r="AA443" i="5" s="1"/>
  <c r="AA404" i="5"/>
  <c r="H198" i="3"/>
  <c r="I198" i="3" s="1"/>
  <c r="C198" i="3"/>
  <c r="B345" i="3"/>
  <c r="N198" i="3"/>
  <c r="O198" i="3" s="1"/>
  <c r="K443" i="4"/>
  <c r="L443" i="4" s="1"/>
  <c r="L404" i="4"/>
  <c r="Z345" i="3"/>
  <c r="AA198" i="3"/>
  <c r="B443" i="5"/>
  <c r="C404" i="5"/>
  <c r="N404" i="5"/>
  <c r="O404" i="5" s="1"/>
  <c r="E404" i="3"/>
  <c r="F345" i="3"/>
  <c r="E404" i="7"/>
  <c r="F345" i="7"/>
  <c r="Z404" i="3" l="1"/>
  <c r="AA345" i="3"/>
  <c r="C443" i="5"/>
  <c r="R404" i="1"/>
  <c r="AC404" i="1"/>
  <c r="AD404" i="1" s="1"/>
  <c r="Q443" i="1"/>
  <c r="U345" i="6"/>
  <c r="T404" i="6"/>
  <c r="W443" i="7"/>
  <c r="X443" i="7" s="1"/>
  <c r="R443" i="7"/>
  <c r="F345" i="2"/>
  <c r="E404" i="2"/>
  <c r="E404" i="5"/>
  <c r="F345" i="5"/>
  <c r="H345" i="5"/>
  <c r="I345" i="5" s="1"/>
  <c r="F345" i="4"/>
  <c r="E404" i="4"/>
  <c r="Z404" i="4"/>
  <c r="AA345" i="4"/>
  <c r="T404" i="1"/>
  <c r="U345" i="1"/>
  <c r="AA345" i="7"/>
  <c r="Z404" i="7"/>
  <c r="AC345" i="7"/>
  <c r="AD345" i="7" s="1"/>
  <c r="C345" i="2"/>
  <c r="N345" i="2"/>
  <c r="O345" i="2" s="1"/>
  <c r="B404" i="2"/>
  <c r="H345" i="2"/>
  <c r="I345" i="2" s="1"/>
  <c r="R345" i="2"/>
  <c r="Q404" i="2"/>
  <c r="AC345" i="2"/>
  <c r="AD345" i="2" s="1"/>
  <c r="W345" i="2"/>
  <c r="X345" i="2" s="1"/>
  <c r="T404" i="5"/>
  <c r="U345" i="5"/>
  <c r="Q404" i="3"/>
  <c r="W345" i="3"/>
  <c r="X345" i="3" s="1"/>
  <c r="R345" i="3"/>
  <c r="AC345" i="3"/>
  <c r="AD345" i="3" s="1"/>
  <c r="U345" i="3"/>
  <c r="T404" i="3"/>
  <c r="K443" i="7"/>
  <c r="L443" i="7" s="1"/>
  <c r="L404" i="7"/>
  <c r="T443" i="2"/>
  <c r="U443" i="2" s="1"/>
  <c r="U404" i="2"/>
  <c r="Q443" i="6"/>
  <c r="R404" i="6"/>
  <c r="W404" i="6"/>
  <c r="X404" i="6" s="1"/>
  <c r="R404" i="4"/>
  <c r="W404" i="4"/>
  <c r="X404" i="4" s="1"/>
  <c r="Q443" i="4"/>
  <c r="AC404" i="4"/>
  <c r="AD404" i="4" s="1"/>
  <c r="T404" i="4"/>
  <c r="U345" i="4"/>
  <c r="H345" i="3"/>
  <c r="I345" i="3" s="1"/>
  <c r="C345" i="3"/>
  <c r="N345" i="3"/>
  <c r="O345" i="3" s="1"/>
  <c r="B404" i="3"/>
  <c r="L404" i="6"/>
  <c r="K443" i="6"/>
  <c r="L443" i="6" s="1"/>
  <c r="E404" i="6"/>
  <c r="F345" i="6"/>
  <c r="AC345" i="4"/>
  <c r="AD345" i="4" s="1"/>
  <c r="C404" i="1"/>
  <c r="H404" i="1"/>
  <c r="I404" i="1" s="1"/>
  <c r="B443" i="1"/>
  <c r="N404" i="1"/>
  <c r="O404" i="1" s="1"/>
  <c r="W345" i="5"/>
  <c r="X345" i="5" s="1"/>
  <c r="Q404" i="5"/>
  <c r="R345" i="5"/>
  <c r="AC345" i="5"/>
  <c r="AD345" i="5" s="1"/>
  <c r="C345" i="6"/>
  <c r="B404" i="6"/>
  <c r="N345" i="6"/>
  <c r="O345" i="6" s="1"/>
  <c r="H345" i="6"/>
  <c r="I345" i="6" s="1"/>
  <c r="B404" i="4"/>
  <c r="C345" i="4"/>
  <c r="N345" i="4"/>
  <c r="O345" i="4" s="1"/>
  <c r="H345" i="4"/>
  <c r="I345" i="4" s="1"/>
  <c r="E443" i="3"/>
  <c r="F443" i="3" s="1"/>
  <c r="F404" i="3"/>
  <c r="K404" i="2"/>
  <c r="L345" i="2"/>
  <c r="L404" i="5"/>
  <c r="K443" i="5"/>
  <c r="L443" i="5" s="1"/>
  <c r="H404" i="7"/>
  <c r="I404" i="7" s="1"/>
  <c r="B443" i="7"/>
  <c r="C404" i="7"/>
  <c r="N404" i="7"/>
  <c r="O404" i="7" s="1"/>
  <c r="L345" i="3"/>
  <c r="K404" i="3"/>
  <c r="AA345" i="2"/>
  <c r="Z404" i="2"/>
  <c r="E443" i="7"/>
  <c r="F443" i="7" s="1"/>
  <c r="F404" i="7"/>
  <c r="Z404" i="6"/>
  <c r="AC404" i="6" s="1"/>
  <c r="AD404" i="6" s="1"/>
  <c r="AA345" i="6"/>
  <c r="T443" i="1" l="1"/>
  <c r="U443" i="1" s="1"/>
  <c r="U404" i="1"/>
  <c r="F404" i="2"/>
  <c r="E443" i="2"/>
  <c r="F443" i="2" s="1"/>
  <c r="W404" i="1"/>
  <c r="X404" i="1" s="1"/>
  <c r="R443" i="4"/>
  <c r="AC443" i="4"/>
  <c r="AD443" i="4" s="1"/>
  <c r="Q443" i="3"/>
  <c r="AC404" i="3"/>
  <c r="AD404" i="3" s="1"/>
  <c r="W404" i="3"/>
  <c r="X404" i="3" s="1"/>
  <c r="R404" i="3"/>
  <c r="C404" i="2"/>
  <c r="N404" i="2"/>
  <c r="O404" i="2" s="1"/>
  <c r="B443" i="2"/>
  <c r="H404" i="2"/>
  <c r="I404" i="2" s="1"/>
  <c r="C443" i="1"/>
  <c r="H443" i="1"/>
  <c r="I443" i="1" s="1"/>
  <c r="N443" i="1"/>
  <c r="O443" i="1" s="1"/>
  <c r="B443" i="3"/>
  <c r="H404" i="3"/>
  <c r="I404" i="3" s="1"/>
  <c r="N404" i="3"/>
  <c r="O404" i="3" s="1"/>
  <c r="C404" i="3"/>
  <c r="AA404" i="4"/>
  <c r="Z443" i="4"/>
  <c r="AA443" i="4" s="1"/>
  <c r="K443" i="2"/>
  <c r="L443" i="2" s="1"/>
  <c r="L404" i="2"/>
  <c r="B443" i="6"/>
  <c r="C404" i="6"/>
  <c r="N404" i="6"/>
  <c r="O404" i="6" s="1"/>
  <c r="H404" i="6"/>
  <c r="I404" i="6" s="1"/>
  <c r="U404" i="5"/>
  <c r="T443" i="5"/>
  <c r="U443" i="5" s="1"/>
  <c r="F404" i="4"/>
  <c r="E443" i="4"/>
  <c r="F443" i="4" s="1"/>
  <c r="N443" i="5"/>
  <c r="O443" i="5" s="1"/>
  <c r="U404" i="3"/>
  <c r="T443" i="3"/>
  <c r="U443" i="3" s="1"/>
  <c r="H443" i="7"/>
  <c r="I443" i="7" s="1"/>
  <c r="C443" i="7"/>
  <c r="N443" i="7"/>
  <c r="O443" i="7" s="1"/>
  <c r="Z443" i="7"/>
  <c r="AA404" i="7"/>
  <c r="AC404" i="7"/>
  <c r="AD404" i="7" s="1"/>
  <c r="U404" i="6"/>
  <c r="T443" i="6"/>
  <c r="U443" i="6" s="1"/>
  <c r="C404" i="4"/>
  <c r="B443" i="4"/>
  <c r="N404" i="4"/>
  <c r="O404" i="4" s="1"/>
  <c r="H404" i="4"/>
  <c r="I404" i="4" s="1"/>
  <c r="K443" i="3"/>
  <c r="L443" i="3" s="1"/>
  <c r="L404" i="3"/>
  <c r="Z443" i="6"/>
  <c r="AA443" i="6" s="1"/>
  <c r="AA404" i="6"/>
  <c r="R404" i="2"/>
  <c r="Q443" i="2"/>
  <c r="AC404" i="2"/>
  <c r="AD404" i="2" s="1"/>
  <c r="W404" i="2"/>
  <c r="X404" i="2" s="1"/>
  <c r="AA404" i="2"/>
  <c r="Z443" i="2"/>
  <c r="AA443" i="2" s="1"/>
  <c r="AC404" i="5"/>
  <c r="AD404" i="5" s="1"/>
  <c r="Q443" i="5"/>
  <c r="W404" i="5"/>
  <c r="X404" i="5" s="1"/>
  <c r="R404" i="5"/>
  <c r="E443" i="6"/>
  <c r="F443" i="6" s="1"/>
  <c r="F404" i="6"/>
  <c r="T443" i="4"/>
  <c r="U443" i="4" s="1"/>
  <c r="U404" i="4"/>
  <c r="AC443" i="6"/>
  <c r="AD443" i="6" s="1"/>
  <c r="R443" i="6"/>
  <c r="W443" i="6"/>
  <c r="X443" i="6" s="1"/>
  <c r="F404" i="5"/>
  <c r="E443" i="5"/>
  <c r="H404" i="5"/>
  <c r="I404" i="5" s="1"/>
  <c r="AC443" i="1"/>
  <c r="AD443" i="1" s="1"/>
  <c r="W443" i="1"/>
  <c r="X443" i="1" s="1"/>
  <c r="R443" i="1"/>
  <c r="Z443" i="3"/>
  <c r="AA443" i="3" s="1"/>
  <c r="AA404" i="3"/>
  <c r="R443" i="2" l="1"/>
  <c r="AC443" i="2"/>
  <c r="AD443" i="2" s="1"/>
  <c r="W443" i="2"/>
  <c r="X443" i="2" s="1"/>
  <c r="C443" i="4"/>
  <c r="N443" i="4"/>
  <c r="O443" i="4" s="1"/>
  <c r="H443" i="4"/>
  <c r="I443" i="4" s="1"/>
  <c r="C443" i="2"/>
  <c r="H443" i="2"/>
  <c r="I443" i="2" s="1"/>
  <c r="N443" i="2"/>
  <c r="O443" i="2" s="1"/>
  <c r="W443" i="4"/>
  <c r="X443" i="4" s="1"/>
  <c r="N443" i="6"/>
  <c r="O443" i="6" s="1"/>
  <c r="C443" i="6"/>
  <c r="H443" i="6"/>
  <c r="I443" i="6" s="1"/>
  <c r="N443" i="3"/>
  <c r="O443" i="3" s="1"/>
  <c r="H443" i="3"/>
  <c r="I443" i="3" s="1"/>
  <c r="C443" i="3"/>
  <c r="R443" i="5"/>
  <c r="AC443" i="5"/>
  <c r="AD443" i="5" s="1"/>
  <c r="W443" i="5"/>
  <c r="X443" i="5" s="1"/>
  <c r="AA443" i="7"/>
  <c r="AC443" i="7"/>
  <c r="AD443" i="7" s="1"/>
  <c r="F443" i="5"/>
  <c r="H443" i="5"/>
  <c r="I443" i="5" s="1"/>
  <c r="R443" i="3"/>
  <c r="W443" i="3"/>
  <c r="X443" i="3" s="1"/>
  <c r="AC443" i="3"/>
  <c r="AD443" i="3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<sst xmlns="http://schemas.openxmlformats.org/spreadsheetml/2006/main" count="3934" uniqueCount="417">
  <si>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</si>
  <si>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01/26/2025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</si>
  <si>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</si>
  <si>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</si>
  <si>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</si>
  <si>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</si>
  <si>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</si>
  <si>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</si>
  <si>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</si>
  <si>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</si>
  <si>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</si>
  <si>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</si>
  <si>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</si>
  <si>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</si>
  <si>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</si>
  <si>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</si>
  <si>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</si>
  <si>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</si>
  <si>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</si>
  <si>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</si>
  <si>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</si>
  <si>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</si>
  <si>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</si>
  <si>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</si>
  <si>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</si>
  <si>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</si>
  <si>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</si>
  <si>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</si>
  <si>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</si>
  <si>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</si>
  <si>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</si>
  <si>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</si>
  <si>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</si>
  <si>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</si>
  <si>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</si>
  <si>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</si>
  <si>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</si>
  <si>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</si>
  <si>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</si>
  <si>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</si>
  <si>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</si>
  <si>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</si>
  <si>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</si>
  <si>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</si>
  <si>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</si>
  <si>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</si>
  <si>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</si>
  <si>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</si>
  <si>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</si>
  <si>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</si>
  <si>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</si>
  <si>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</si>
  <si>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</si>
  <si>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</si>
  <si>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</si>
  <si>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</si>
  <si>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</si>
  <si>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</si>
  <si>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</si>
  <si>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</si>
  <si>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</si>
  <si>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</si>
  <si>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</si>
  <si>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</si>
  <si>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</si>
  <si>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</si>
  <si>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</si>
  <si>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</si>
  <si>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</si>
  <si>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</si>
  <si>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</si>
  <si>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</si>
  <si>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</si>
  <si>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</si>
  <si>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</si>
  <si>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</si>
  <si>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</si>
  <si>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</si>
  <si>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</si>
  <si>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</si>
  <si>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</si>
  <si>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</si>
  <si>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</si>
  <si>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</si>
  <si>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</si>
  <si>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</si>
  <si>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</si>
  <si>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</si>
  <si>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</si>
  <si>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</si>
  <si>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</si>
  <si>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</si>
  <si>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</si>
  <si>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</si>
  <si>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</si>
  <si>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</si>
  <si>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</si>
  <si>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</si>
  <si>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</si>
  <si>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</si>
  <si>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</si>
  <si>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</si>
  <si>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</si>
  <si>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</si>
  <si>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</si>
  <si>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</si>
  <si>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</si>
  <si>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</si>
  <si>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</si>
  <si>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</si>
  <si>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</si>
  <si>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</si>
  <si>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</si>
  <si>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</si>
  <si>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</si>
  <si>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</si>
  <si>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</si>
  <si>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</si>
  <si>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</si>
  <si>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</si>
  <si>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</si>
  <si>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</si>
  <si>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</si>
  <si>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</si>
  <si>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</si>
  <si>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</si>
  <si>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</si>
  <si>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</si>
  <si>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</si>
  <si>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</si>
  <si>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</si>
  <si>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</si>
  <si>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</si>
  <si>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</si>
  <si>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</si>
  <si>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</si>
  <si>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</si>
  <si>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</si>
  <si>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</si>
  <si>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</si>
  <si>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</si>
  <si>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</si>
  <si>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</si>
  <si>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</si>
  <si>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</si>
  <si>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</si>
  <si>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</si>
  <si>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</si>
  <si>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</si>
  <si>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</si>
  <si>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</si>
  <si>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</si>
  <si>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</si>
  <si>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</si>
  <si>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</si>
  <si>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</si>
  <si>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</si>
  <si>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</si>
  <si>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</si>
  <si>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</si>
  <si>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</si>
  <si>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</si>
  <si>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</si>
  <si>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</si>
  <si>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</si>
  <si>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</si>
  <si>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</si>
  <si>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</si>
  <si>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</si>
  <si>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</si>
  <si>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</si>
  <si>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</si>
  <si>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</si>
  <si>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</si>
  <si>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</si>
  <si>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</si>
  <si>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</si>
  <si>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</si>
  <si>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</si>
  <si>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</si>
  <si>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</si>
  <si>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</si>
  <si>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</si>
  <si>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</si>
  <si>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</si>
  <si>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</si>
  <si>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</si>
  <si>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</si>
  <si>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</si>
  <si>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</si>
  <si>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</si>
  <si>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</si>
  <si>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</si>
  <si>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</si>
  <si>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</si>
  <si>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</si>
  <si>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</si>
  <si>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</si>
  <si>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</si>
  <si>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</si>
  <si>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</si>
  <si>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</si>
  <si>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</si>
  <si>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</si>
  <si>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</si>
  <si>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</si>
  <si>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</si>
  <si>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</si>
  <si>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</si>
  <si>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</si>
  <si>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</si>
  <si>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</si>
  <si>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</si>
  <si>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</si>
  <si>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</si>
  <si>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</si>
  <si>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</si>
  <si>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</si>
  <si>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</si>
  <si>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</si>
  <si>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</si>
  <si>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</si>
  <si>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</si>
  <si>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</si>
  <si>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</si>
  <si>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</si>
  <si>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</si>
  <si>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</si>
  <si>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</si>
  <si>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</si>
  <si>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</si>
  <si>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</si>
  <si>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</si>
  <si>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</si>
  <si>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</si>
  <si>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</si>
  <si>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</si>
  <si>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</si>
  <si>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</si>
  <si>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</si>
  <si>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</si>
  <si>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</si>
  <si>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</si>
  <si>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</si>
  <si>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</si>
  <si>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</si>
  <si>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</si>
  <si>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</si>
  <si>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</si>
  <si>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</si>
  <si>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</si>
  <si>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</si>
  <si>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</si>
  <si>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</si>
  <si>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</si>
  <si>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</si>
  <si>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</si>
  <si>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</si>
  <si>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</si>
  <si>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</si>
  <si>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</si>
  <si>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</si>
  <si>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</si>
  <si>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</si>
  <si>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</si>
  <si>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</si>
  <si>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</si>
  <si>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</si>
  <si>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</si>
  <si>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</si>
  <si>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</si>
  <si>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</si>
  <si>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</si>
  <si>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</si>
  <si>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</si>
  <si>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</si>
  <si>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</si>
  <si>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</si>
  <si>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</si>
  <si>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</si>
  <si>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</si>
  <si>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</si>
  <si>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</si>
  <si>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</si>
  <si>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</si>
  <si>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</si>
  <si>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</si>
  <si>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</si>
  <si>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</si>
  <si>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</si>
  <si>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</si>
  <si>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</si>
  <si>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</si>
  <si>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</si>
  <si>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</si>
  <si>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</si>
  <si>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</si>
  <si>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</si>
  <si>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</si>
  <si>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</si>
  <si>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</si>
  <si>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</si>
  <si>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</si>
  <si>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</si>
  <si>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</si>
  <si>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</si>
  <si>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</si>
  <si>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</si>
  <si>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</si>
  <si>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</si>
  <si>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</si>
  <si>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</si>
  <si>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</si>
  <si>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</si>
  <si>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</si>
  <si>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</si>
  <si>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</si>
  <si>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</si>
  <si>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</si>
  <si>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</si>
  <si>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</si>
  <si>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</si>
  <si>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</si>
  <si>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</si>
  <si>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</si>
  <si>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</si>
  <si>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</si>
  <si>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</si>
  <si>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</si>
  <si>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</si>
  <si>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</si>
  <si>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</si>
  <si>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</si>
  <si>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</si>
  <si>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</si>
  <si>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</si>
  <si>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</si>
  <si>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</si>
  <si>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</si>
  <si>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</si>
  <si>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</si>
  <si>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</si>
  <si>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</si>
  <si>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</si>
  <si>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</si>
  <si>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</si>
  <si>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</si>
  <si>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</si>
  <si>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</si>
  <si>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</si>
  <si>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</si>
  <si>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</si>
  <si>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</si>
  <si>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</si>
  <si>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</si>
  <si>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</si>
  <si>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</si>
  <si>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</si>
  <si>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</si>
  <si>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</si>
  <si>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</si>
  <si>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</si>
  <si>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</si>
  <si>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</si>
  <si>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</si>
  <si>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</si>
  <si>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</si>
  <si>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</si>
  <si>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</si>
  <si>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</si>
  <si>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</si>
  <si>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</si>
  <si>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</si>
  <si>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</si>
  <si>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</si>
  <si>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</si>
  <si>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</si>
  <si>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</si>
  <si>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</si>
  <si>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</si>
  <si>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</si>
  <si>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</si>
  <si>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</si>
  <si>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</si>
  <si>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</si>
  <si>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</si>
  <si>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</si>
  <si>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</si>
  <si>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</si>
  <si>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</si>
  <si>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</si>
  <si>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</si>
  <si>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</si>
  <si>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</si>
  <si>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</si>
  <si>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</si>
  <si>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</si>
  <si>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</si>
  <si>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</si>
  <si>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</si>
  <si>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</si>
  <si>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</si>
  <si>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</si>
  <si>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</si>
  <si>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</si>
  <si>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</si>
  <si>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</si>
  <si>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</si>
  <si>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</si>
  <si>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</si>
  <si>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06:47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</si>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</sst>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163509.00999999998</v>
      </c>
      <c r="F10" s="8">
        <f>IFERROR(E10/E444, "NA")</f>
        <v>0.46293304043979999</v>
      </c>
      <c r="G10" s="9"/>
      <c r="H10" s="10">
        <f t="shared" ref="H10:H19" si="0">IFERROR(B10-E10, "NA")</f>
        <v>-163509.00999999998</v>
      </c>
      <c r="I10" s="8">
        <f>IFERROR(H10/H444, "NA")</f>
        <v>-1.9854617565280457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163509.00999999998</v>
      </c>
      <c r="U10" s="8">
        <f>IFERROR(T10/T444, "NA")</f>
        <v>0.46293304043979999</v>
      </c>
      <c r="V10" s="9"/>
      <c r="W10" s="10">
        <f t="shared" ref="W10:W19" si="2">IFERROR(Q10-T10, "NA")</f>
        <v>-163509.00999999998</v>
      </c>
      <c r="X10" s="8">
        <f>IFERROR(W10/W444, "NA")</f>
        <v>-1.9854617565280457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157993.03</v>
      </c>
      <c r="C11" s="8">
        <f>IFERROR(B11/B444, "NA")</f>
        <v>0.3627392040549236</v>
      </c>
      <c r="D11" s="9"/>
      <c r="E11" s="7">
        <v>0</v>
      </c>
      <c r="F11" s="8">
        <f>IFERROR(E11/E444, "NA")</f>
        <v>0</v>
      </c>
      <c r="G11" s="9"/>
      <c r="H11" s="10">
        <f t="shared" si="0"/>
        <v>157993.03</v>
      </c>
      <c r="I11" s="8">
        <f>IFERROR(H11/H444, "NA")</f>
        <v>1.9184821610930691</v>
      </c>
      <c r="J11" s="9"/>
      <c r="K11" s="7">
        <v>172690.93</v>
      </c>
      <c r="L11" s="8">
        <f>IFERROR(K11/K444, "NA")</f>
        <v>0.48958604020781316</v>
      </c>
      <c r="M11" s="9"/>
      <c r="N11" s="10">
        <f t="shared" si="1"/>
        <v>-14697.899999999994</v>
      </c>
      <c r="O11" s="8">
        <f>IFERROR(N11/N444, "NA")</f>
        <v>-0.1774530687287002</v>
      </c>
      <c r="P11" s="9"/>
      <c r="Q11" s="7">
        <v>157993.03</v>
      </c>
      <c r="R11" s="8">
        <f>IFERROR(Q11/Q444, "NA")</f>
        <v>0.3627392040549236</v>
      </c>
      <c r="S11" s="9"/>
      <c r="T11" s="7">
        <v>0</v>
      </c>
      <c r="U11" s="8">
        <f>IFERROR(T11/T444, "NA")</f>
        <v>0</v>
      </c>
      <c r="V11" s="9"/>
      <c r="W11" s="10">
        <f t="shared" si="2"/>
        <v>157993.03</v>
      </c>
      <c r="X11" s="8">
        <f>IFERROR(W11/W444, "NA")</f>
        <v>1.9184821610930691</v>
      </c>
      <c r="Y11" s="9"/>
      <c r="Z11" s="7">
        <v>172690.93</v>
      </c>
      <c r="AA11" s="8">
        <f>IFERROR(Z11/Z444, "NA")</f>
        <v>0.48958604020781316</v>
      </c>
      <c r="AB11" s="9"/>
      <c r="AC11" s="10">
        <f t="shared" si="3"/>
        <v>-14697.899999999994</v>
      </c>
      <c r="AD11" s="8">
        <f>IFERROR(AC11/AC444, "NA")</f>
        <v>-0.1774530687287002</v>
      </c>
    </row>
    <row r="12" spans="1:30" ht="16.5" customHeight="1" x14ac:dyDescent="0.45">
      <c r="A12" s="12" t="s">
        <v>14</v>
      </c>
      <c r="B12" s="7">
        <v>15303.55</v>
      </c>
      <c r="C12" s="8">
        <f>IFERROR(B12/B444, "NA")</f>
        <v>3.5135711659018923E-2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15303.55</v>
      </c>
      <c r="I12" s="8">
        <f>IFERROR(H12/H444, "NA")</f>
        <v>0.18582837278578579</v>
      </c>
      <c r="J12" s="9"/>
      <c r="K12" s="7">
        <v>15046</v>
      </c>
      <c r="L12" s="8">
        <f>IFERROR(K12/K444, "NA")</f>
        <v>4.2656041987652486E-2</v>
      </c>
      <c r="M12" s="9"/>
      <c r="N12" s="10">
        <f t="shared" si="1"/>
        <v>257.54999999999927</v>
      </c>
      <c r="O12" s="8">
        <f>IFERROR(N12/N444, "NA")</f>
        <v>3.1094944074375676E-3</v>
      </c>
      <c r="P12" s="9"/>
      <c r="Q12" s="7">
        <v>15303.55</v>
      </c>
      <c r="R12" s="8">
        <f>IFERROR(Q12/Q444, "NA")</f>
        <v>3.5135711659018923E-2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15303.55</v>
      </c>
      <c r="X12" s="8">
        <f>IFERROR(W12/W444, "NA")</f>
        <v>0.18582837278578579</v>
      </c>
      <c r="Y12" s="9"/>
      <c r="Z12" s="7">
        <v>15046</v>
      </c>
      <c r="AA12" s="8">
        <f>IFERROR(Z12/Z444, "NA")</f>
        <v>4.2656041987652486E-2</v>
      </c>
      <c r="AB12" s="9"/>
      <c r="AC12" s="10">
        <f t="shared" si="3"/>
        <v>257.54999999999927</v>
      </c>
      <c r="AD12" s="8">
        <f>IFERROR(AC12/AC444, "NA")</f>
        <v>3.1094944074375676E-3</v>
      </c>
    </row>
    <row r="13" spans="1:30" ht="16.5" customHeight="1" x14ac:dyDescent="0.45">
      <c r="A13" s="12" t="s">
        <v>15</v>
      </c>
      <c r="B13" s="7">
        <v>430</v>
      </c>
      <c r="C13" s="8">
        <f>IFERROR(B13/B444, "NA")</f>
        <v>9.8724518254771835E-4</v>
      </c>
      <c r="D13" s="9"/>
      <c r="E13" s="7">
        <v>0</v>
      </c>
      <c r="F13" s="8">
        <f>IFERROR(E13/E444, "NA")</f>
        <v>0</v>
      </c>
      <c r="G13" s="9"/>
      <c r="H13" s="10">
        <f t="shared" si="0"/>
        <v>430</v>
      </c>
      <c r="I13" s="8">
        <f>IFERROR(H13/H444, "NA")</f>
        <v>5.2214159654386007E-3</v>
      </c>
      <c r="J13" s="9"/>
      <c r="K13" s="7">
        <v>554.5</v>
      </c>
      <c r="L13" s="8">
        <f>IFERROR(K13/K444, "NA")</f>
        <v>1.5720307910509974E-3</v>
      </c>
      <c r="M13" s="9"/>
      <c r="N13" s="10">
        <f t="shared" si="1"/>
        <v>-124.5</v>
      </c>
      <c r="O13" s="8">
        <f>IFERROR(N13/N444, "NA")</f>
        <v>-1.5031335807648156E-3</v>
      </c>
      <c r="P13" s="9"/>
      <c r="Q13" s="7">
        <v>430</v>
      </c>
      <c r="R13" s="8">
        <f>IFERROR(Q13/Q444, "NA")</f>
        <v>9.8724518254771835E-4</v>
      </c>
      <c r="S13" s="9"/>
      <c r="T13" s="7">
        <v>0</v>
      </c>
      <c r="U13" s="8">
        <f>IFERROR(T13/T444, "NA")</f>
        <v>0</v>
      </c>
      <c r="V13" s="9"/>
      <c r="W13" s="10">
        <f t="shared" si="2"/>
        <v>430</v>
      </c>
      <c r="X13" s="8">
        <f>IFERROR(W13/W444, "NA")</f>
        <v>5.2214159654386007E-3</v>
      </c>
      <c r="Y13" s="9"/>
      <c r="Z13" s="7">
        <v>554.5</v>
      </c>
      <c r="AA13" s="8">
        <f>IFERROR(Z13/Z444, "NA")</f>
        <v>1.5720307910509974E-3</v>
      </c>
      <c r="AB13" s="9"/>
      <c r="AC13" s="10">
        <f t="shared" si="3"/>
        <v>-124.5</v>
      </c>
      <c r="AD13" s="8">
        <f>IFERROR(AC13/AC444, "NA")</f>
        <v>-1.5031335807648156E-3</v>
      </c>
    </row>
    <row r="14" spans="1:30" ht="16.5" customHeight="1" x14ac:dyDescent="0.45">
      <c r="A14" s="12" t="s">
        <v>16</v>
      </c>
      <c r="B14" s="7">
        <v>1050</v>
      </c>
      <c r="C14" s="8">
        <f>IFERROR(B14/B444, "NA")</f>
        <v>2.4107149806397777E-3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1050</v>
      </c>
      <c r="I14" s="8">
        <f>IFERROR(H14/H444, "NA")</f>
        <v>1.2749969217931466E-2</v>
      </c>
      <c r="J14" s="9"/>
      <c r="K14" s="7">
        <v>1554.99</v>
      </c>
      <c r="L14" s="8">
        <f>IFERROR(K14/K444, "NA")</f>
        <v>4.408461965331633E-3</v>
      </c>
      <c r="M14" s="9"/>
      <c r="N14" s="10">
        <f t="shared" si="1"/>
        <v>-504.99</v>
      </c>
      <c r="O14" s="8">
        <f>IFERROR(N14/N444, "NA")</f>
        <v>-6.0969271240997932E-3</v>
      </c>
      <c r="P14" s="9"/>
      <c r="Q14" s="7">
        <v>1050</v>
      </c>
      <c r="R14" s="8">
        <f>IFERROR(Q14/Q444, "NA")</f>
        <v>2.4107149806397777E-3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1050</v>
      </c>
      <c r="X14" s="8">
        <f>IFERROR(W14/W444, "NA")</f>
        <v>1.2749969217931466E-2</v>
      </c>
      <c r="Y14" s="9"/>
      <c r="Z14" s="7">
        <v>1554.99</v>
      </c>
      <c r="AA14" s="8">
        <f>IFERROR(Z14/Z444, "NA")</f>
        <v>4.408461965331633E-3</v>
      </c>
      <c r="AB14" s="9"/>
      <c r="AC14" s="10">
        <f t="shared" si="3"/>
        <v>-504.99</v>
      </c>
      <c r="AD14" s="8">
        <f>IFERROR(AC14/AC444, "NA")</f>
        <v>-6.0969271240997932E-3</v>
      </c>
    </row>
    <row r="15" spans="1:30" ht="16.5" customHeight="1" x14ac:dyDescent="0.45">
      <c r="A15" s="12" t="s">
        <v>17</v>
      </c>
      <c r="B15" s="7">
        <v>147.5</v>
      </c>
      <c r="C15" s="8">
        <f>IFERROR(B15/B444, "NA")</f>
        <v>3.3864805680415924E-4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147.5</v>
      </c>
      <c r="I15" s="8">
        <f>IFERROR(H15/H444, "NA")</f>
        <v>1.7910671044237059E-3</v>
      </c>
      <c r="J15" s="9"/>
      <c r="K15" s="7">
        <v>253</v>
      </c>
      <c r="L15" s="8">
        <f>IFERROR(K15/K444, "NA")</f>
        <v>7.1726562693580223E-4</v>
      </c>
      <c r="M15" s="9"/>
      <c r="N15" s="10">
        <f t="shared" si="1"/>
        <v>-105.5</v>
      </c>
      <c r="O15" s="8">
        <f>IFERROR(N15/N444, "NA")</f>
        <v>-1.2737397009693818E-3</v>
      </c>
      <c r="P15" s="9"/>
      <c r="Q15" s="7">
        <v>147.5</v>
      </c>
      <c r="R15" s="8">
        <f>IFERROR(Q15/Q444, "NA")</f>
        <v>3.3864805680415924E-4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147.5</v>
      </c>
      <c r="X15" s="8">
        <f>IFERROR(W15/W444, "NA")</f>
        <v>1.7910671044237059E-3</v>
      </c>
      <c r="Y15" s="9"/>
      <c r="Z15" s="7">
        <v>253</v>
      </c>
      <c r="AA15" s="8">
        <f>IFERROR(Z15/Z444, "NA")</f>
        <v>7.1726562693580223E-4</v>
      </c>
      <c r="AB15" s="9"/>
      <c r="AC15" s="10">
        <f t="shared" si="3"/>
        <v>-105.5</v>
      </c>
      <c r="AD15" s="8">
        <f>IFERROR(AC15/AC444, "NA")</f>
        <v>-1.2737397009693818E-3</v>
      </c>
    </row>
    <row r="16" spans="1:30" ht="16.5" customHeight="1" x14ac:dyDescent="0.45">
      <c r="A16" s="12" t="s">
        <v>18</v>
      </c>
      <c r="B16" s="7">
        <v>1.1000000000000001</v>
      </c>
      <c r="C16" s="8">
        <f>IFERROR(B16/B444, "NA")</f>
        <v>2.5255109320988149E-6</v>
      </c>
      <c r="D16" s="9"/>
      <c r="E16" s="7">
        <v>0</v>
      </c>
      <c r="F16" s="8">
        <f>IFERROR(E16/E444, "NA")</f>
        <v>0</v>
      </c>
      <c r="G16" s="9"/>
      <c r="H16" s="10">
        <f t="shared" si="0"/>
        <v>1.1000000000000001</v>
      </c>
      <c r="I16" s="8">
        <f>IFERROR(H16/H444, "NA")</f>
        <v>1.3357110609261538E-5</v>
      </c>
      <c r="J16" s="9"/>
      <c r="K16" s="7">
        <v>0</v>
      </c>
      <c r="L16" s="8">
        <f>IFERROR(K16/K444, "NA")</f>
        <v>0</v>
      </c>
      <c r="M16" s="9"/>
      <c r="N16" s="10">
        <f t="shared" si="1"/>
        <v>1.1000000000000001</v>
      </c>
      <c r="O16" s="8">
        <f>IFERROR(N16/N444, "NA")</f>
        <v>1.3280698303946163E-5</v>
      </c>
      <c r="P16" s="9"/>
      <c r="Q16" s="7">
        <v>1.1000000000000001</v>
      </c>
      <c r="R16" s="8">
        <f>IFERROR(Q16/Q444, "NA")</f>
        <v>2.5255109320988149E-6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1.3357110609261538E-5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1.3280698303946163E-5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174925.18</v>
      </c>
      <c r="C18" s="15">
        <f>IFERROR(B18/B444, "NA")</f>
        <v>0.40161404944486628</v>
      </c>
      <c r="D18" s="2"/>
      <c r="E18" s="14">
        <f>IFERROR(E10+E11+E12+E13+E14+E15+E16+E17, "NA")</f>
        <v>163509.00999999998</v>
      </c>
      <c r="F18" s="15">
        <f>IFERROR(E18/E444, "NA")</f>
        <v>0.46293304043979999</v>
      </c>
      <c r="G18" s="2"/>
      <c r="H18" s="14">
        <f t="shared" si="0"/>
        <v>11416.170000000013</v>
      </c>
      <c r="I18" s="15">
        <f>IFERROR(H18/H444, "NA")</f>
        <v>0.13862458674921221</v>
      </c>
      <c r="J18" s="2"/>
      <c r="K18" s="14">
        <f>IFERROR(K10+K11+K12+K13+K14+K15+K16+K17, "NA")</f>
        <v>190099.41999999998</v>
      </c>
      <c r="L18" s="15">
        <f>IFERROR(K18/K444, "NA")</f>
        <v>0.53893984057878408</v>
      </c>
      <c r="M18" s="2"/>
      <c r="N18" s="14">
        <f t="shared" si="1"/>
        <v>-15174.239999999991</v>
      </c>
      <c r="O18" s="15">
        <f>IFERROR(N18/N444, "NA")</f>
        <v>-0.18320409402879262</v>
      </c>
      <c r="P18" s="2"/>
      <c r="Q18" s="14">
        <f>IFERROR(Q10+Q11+Q12+Q13+Q14+Q15+Q16+Q17, "NA")</f>
        <v>174925.18</v>
      </c>
      <c r="R18" s="15">
        <f>IFERROR(Q18/Q444, "NA")</f>
        <v>0.40161404944486628</v>
      </c>
      <c r="S18" s="2"/>
      <c r="T18" s="14">
        <f>IFERROR(T10+T11+T12+T13+T14+T15+T16+T17, "NA")</f>
        <v>163509.00999999998</v>
      </c>
      <c r="U18" s="15">
        <f>IFERROR(T18/T444, "NA")</f>
        <v>0.46293304043979999</v>
      </c>
      <c r="V18" s="2"/>
      <c r="W18" s="14">
        <f t="shared" si="2"/>
        <v>11416.170000000013</v>
      </c>
      <c r="X18" s="15">
        <f>IFERROR(W18/W444, "NA")</f>
        <v>0.13862458674921221</v>
      </c>
      <c r="Y18" s="2"/>
      <c r="Z18" s="14">
        <f>IFERROR(Z10+Z11+Z12+Z13+Z14+Z15+Z16+Z17, "NA")</f>
        <v>190099.41999999998</v>
      </c>
      <c r="AA18" s="15">
        <f>IFERROR(Z18/Z444, "NA")</f>
        <v>0.53893984057878408</v>
      </c>
      <c r="AB18" s="2"/>
      <c r="AC18" s="14">
        <f t="shared" si="3"/>
        <v>-15174.239999999991</v>
      </c>
      <c r="AD18" s="15">
        <f>IFERROR(AC18/AC444, "NA")</f>
        <v>-0.18320409402879262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29317.159999999996</v>
      </c>
      <c r="F21" s="8">
        <f>IFERROR(E21/E444, "NA")</f>
        <v>8.3003878598861838E-2</v>
      </c>
      <c r="G21" s="9"/>
      <c r="H21" s="10">
        <f t="shared" ref="H21:H29" si="4">IFERROR(B21-E21, "NA")</f>
        <v>-29317.159999999996</v>
      </c>
      <c r="I21" s="8">
        <f>IFERROR(H21/H444, "NA")</f>
        <v>-0.35599322624492535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29317.159999999996</v>
      </c>
      <c r="U21" s="8">
        <f>IFERROR(T21/T444, "NA")</f>
        <v>8.3003878598861838E-2</v>
      </c>
      <c r="V21" s="9"/>
      <c r="W21" s="10">
        <f t="shared" ref="W21:W29" si="6">IFERROR(Q21-T21, "NA")</f>
        <v>-29317.159999999996</v>
      </c>
      <c r="X21" s="8">
        <f>IFERROR(W21/W444, "NA")</f>
        <v>-0.35599322624492535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27940.1</v>
      </c>
      <c r="C22" s="8">
        <f>IFERROR(B22/B444, "NA")</f>
        <v>6.4148207267212806E-2</v>
      </c>
      <c r="D22" s="9"/>
      <c r="E22" s="7">
        <v>0</v>
      </c>
      <c r="F22" s="8">
        <f>IFERROR(E22/E444, "NA")</f>
        <v>0</v>
      </c>
      <c r="G22" s="9"/>
      <c r="H22" s="10">
        <f t="shared" si="4"/>
        <v>27940.1</v>
      </c>
      <c r="I22" s="8">
        <f>IFERROR(H22/H444, "NA")</f>
        <v>0.33927182375802567</v>
      </c>
      <c r="J22" s="9"/>
      <c r="K22" s="7">
        <v>27001.82</v>
      </c>
      <c r="L22" s="8">
        <f>IFERROR(K22/K444, "NA")</f>
        <v>7.6551293876314944E-2</v>
      </c>
      <c r="M22" s="9"/>
      <c r="N22" s="10">
        <f t="shared" si="5"/>
        <v>938.27999999999884</v>
      </c>
      <c r="O22" s="8">
        <f>IFERROR(N22/N444, "NA")</f>
        <v>1.1328194186024172E-2</v>
      </c>
      <c r="P22" s="9"/>
      <c r="Q22" s="7">
        <v>27940.1</v>
      </c>
      <c r="R22" s="8">
        <f>IFERROR(Q22/Q444, "NA")</f>
        <v>6.4148207267212806E-2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27940.1</v>
      </c>
      <c r="X22" s="8">
        <f>IFERROR(W22/W444, "NA")</f>
        <v>0.33927182375802567</v>
      </c>
      <c r="Y22" s="9"/>
      <c r="Z22" s="7">
        <v>27001.82</v>
      </c>
      <c r="AA22" s="8">
        <f>IFERROR(Z22/Z444, "NA")</f>
        <v>7.6551293876314944E-2</v>
      </c>
      <c r="AB22" s="9"/>
      <c r="AC22" s="10">
        <f t="shared" si="7"/>
        <v>938.27999999999884</v>
      </c>
      <c r="AD22" s="8">
        <f>IFERROR(AC22/AC444, "NA")</f>
        <v>1.1328194186024172E-2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3795.58</v>
      </c>
      <c r="C24" s="8">
        <f>IFERROR(B24/B444, "NA")</f>
        <v>8.7143443487778353E-3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3795.58</v>
      </c>
      <c r="I24" s="8">
        <f>IFERROR(H24/H444, "NA")</f>
        <v>4.6089074442091725E-2</v>
      </c>
      <c r="J24" s="9"/>
      <c r="K24" s="7">
        <v>1526.25</v>
      </c>
      <c r="L24" s="8">
        <f>IFERROR(K24/K444, "NA")</f>
        <v>4.3269828581453283E-3</v>
      </c>
      <c r="M24" s="9"/>
      <c r="N24" s="10">
        <f t="shared" si="5"/>
        <v>2269.33</v>
      </c>
      <c r="O24" s="8">
        <f>IFERROR(N24/N444, "NA")</f>
        <v>2.7398442801903764E-2</v>
      </c>
      <c r="P24" s="9"/>
      <c r="Q24" s="7">
        <v>3795.58</v>
      </c>
      <c r="R24" s="8">
        <f>IFERROR(Q24/Q444, "NA")</f>
        <v>8.7143443487778353E-3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3795.58</v>
      </c>
      <c r="X24" s="8">
        <f>IFERROR(W24/W444, "NA")</f>
        <v>4.6089074442091725E-2</v>
      </c>
      <c r="Y24" s="9"/>
      <c r="Z24" s="7">
        <v>1526.25</v>
      </c>
      <c r="AA24" s="8">
        <f>IFERROR(Z24/Z444, "NA")</f>
        <v>4.3269828581453283E-3</v>
      </c>
      <c r="AB24" s="9"/>
      <c r="AC24" s="10">
        <f t="shared" si="7"/>
        <v>2269.33</v>
      </c>
      <c r="AD24" s="8">
        <f>IFERROR(AC24/AC444, "NA")</f>
        <v>2.7398442801903764E-2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2055.46</v>
      </c>
      <c r="C26" s="8">
        <f>IFERROR(B26/B444, "NA")</f>
        <v>4.7191697277198449E-3</v>
      </c>
      <c r="D26" s="9"/>
      <c r="E26" s="7">
        <v>0</v>
      </c>
      <c r="F26" s="8">
        <f>IFERROR(E26/E444, "NA")</f>
        <v>0</v>
      </c>
      <c r="G26" s="9"/>
      <c r="H26" s="10">
        <f t="shared" si="4"/>
        <v>2055.46</v>
      </c>
      <c r="I26" s="8">
        <f>IFERROR(H26/H444, "NA")</f>
        <v>2.4959096884466108E-2</v>
      </c>
      <c r="J26" s="9"/>
      <c r="K26" s="7">
        <v>375.63</v>
      </c>
      <c r="L26" s="8">
        <f>IFERROR(K26/K444, "NA")</f>
        <v>1.0649268278493888E-3</v>
      </c>
      <c r="M26" s="9"/>
      <c r="N26" s="10">
        <f t="shared" si="5"/>
        <v>1679.83</v>
      </c>
      <c r="O26" s="8">
        <f>IFERROR(N26/N444, "NA")</f>
        <v>2.0281195847198071E-2</v>
      </c>
      <c r="P26" s="9"/>
      <c r="Q26" s="7">
        <v>2055.46</v>
      </c>
      <c r="R26" s="8">
        <f>IFERROR(Q26/Q444, "NA")</f>
        <v>4.7191697277198449E-3</v>
      </c>
      <c r="S26" s="9"/>
      <c r="T26" s="7">
        <v>0</v>
      </c>
      <c r="U26" s="8">
        <f>IFERROR(T26/T444, "NA")</f>
        <v>0</v>
      </c>
      <c r="V26" s="9"/>
      <c r="W26" s="10">
        <f t="shared" si="6"/>
        <v>2055.46</v>
      </c>
      <c r="X26" s="8">
        <f>IFERROR(W26/W444, "NA")</f>
        <v>2.4959096884466108E-2</v>
      </c>
      <c r="Y26" s="9"/>
      <c r="Z26" s="7">
        <v>375.63</v>
      </c>
      <c r="AA26" s="8">
        <f>IFERROR(Z26/Z444, "NA")</f>
        <v>1.0649268278493888E-3</v>
      </c>
      <c r="AB26" s="9"/>
      <c r="AC26" s="10">
        <f t="shared" si="7"/>
        <v>1679.83</v>
      </c>
      <c r="AD26" s="8">
        <f>IFERROR(AC26/AC444, "NA")</f>
        <v>2.0281195847198071E-2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577.08000000000004</v>
      </c>
      <c r="L27" s="8">
        <f>IFERROR(K27/K444, "NA")</f>
        <v>1.6360460394945168E-3</v>
      </c>
      <c r="M27" s="9"/>
      <c r="N27" s="10">
        <f t="shared" si="5"/>
        <v>-577.08000000000004</v>
      </c>
      <c r="O27" s="8">
        <f>IFERROR(N27/N444, "NA")</f>
        <v>-6.9672957974920464E-3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577.08000000000004</v>
      </c>
      <c r="AA27" s="8">
        <f>IFERROR(Z27/Z444, "NA")</f>
        <v>1.6360460394945168E-3</v>
      </c>
      <c r="AB27" s="9"/>
      <c r="AC27" s="10">
        <f t="shared" si="7"/>
        <v>-577.08000000000004</v>
      </c>
      <c r="AD27" s="8">
        <f>IFERROR(AC27/AC444, "NA")</f>
        <v>-6.9672957974920464E-3</v>
      </c>
    </row>
    <row r="28" spans="1:30" ht="16.5" customHeight="1" x14ac:dyDescent="0.45">
      <c r="A28" s="12" t="s">
        <v>29</v>
      </c>
      <c r="B28" s="7">
        <v>4151.0700000000006</v>
      </c>
      <c r="C28" s="8">
        <f>IFERROR(B28/B444, "NA")</f>
        <v>9.5305206044612976E-3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4151.0700000000006</v>
      </c>
      <c r="I28" s="8">
        <f>IFERROR(H28/H444, "NA")</f>
        <v>5.0405728306170267E-2</v>
      </c>
      <c r="J28" s="9"/>
      <c r="K28" s="7">
        <v>0</v>
      </c>
      <c r="L28" s="8">
        <f>IFERROR(K28/K444, "NA")</f>
        <v>0</v>
      </c>
      <c r="M28" s="9"/>
      <c r="N28" s="10">
        <f t="shared" si="5"/>
        <v>4151.0700000000006</v>
      </c>
      <c r="O28" s="8">
        <f>IFERROR(N28/N444, "NA")</f>
        <v>5.0117371189601634E-2</v>
      </c>
      <c r="P28" s="9"/>
      <c r="Q28" s="7">
        <v>4151.0700000000006</v>
      </c>
      <c r="R28" s="8">
        <f>IFERROR(Q28/Q444, "NA")</f>
        <v>9.5305206044612976E-3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4151.0700000000006</v>
      </c>
      <c r="X28" s="8">
        <f>IFERROR(W28/W444, "NA")</f>
        <v>5.0405728306170267E-2</v>
      </c>
      <c r="Y28" s="9"/>
      <c r="Z28" s="7">
        <v>0</v>
      </c>
      <c r="AA28" s="8">
        <f>IFERROR(Z28/Z444, "NA")</f>
        <v>0</v>
      </c>
      <c r="AB28" s="9"/>
      <c r="AC28" s="10">
        <f t="shared" si="7"/>
        <v>4151.0700000000006</v>
      </c>
      <c r="AD28" s="8">
        <f>IFERROR(AC28/AC444, "NA")</f>
        <v>5.0117371189601634E-2</v>
      </c>
    </row>
    <row r="29" spans="1:30" ht="16.5" customHeight="1" x14ac:dyDescent="0.45">
      <c r="A29" s="13" t="s">
        <v>30</v>
      </c>
      <c r="B29" s="14">
        <f>IFERROR(B21+B22+B23+B24+B25+B26+B27+B28, "NA")</f>
        <v>37942.21</v>
      </c>
      <c r="C29" s="15">
        <f>IFERROR(B29/B444, "NA")</f>
        <v>8.7112241948171784E-2</v>
      </c>
      <c r="D29" s="2"/>
      <c r="E29" s="14">
        <f>IFERROR(E21+E22+E23+E24+E25+E26+E27+E28, "NA")</f>
        <v>29317.159999999996</v>
      </c>
      <c r="F29" s="15">
        <f>IFERROR(E29/E444, "NA")</f>
        <v>8.3003878598861838E-2</v>
      </c>
      <c r="G29" s="2"/>
      <c r="H29" s="14">
        <f t="shared" si="4"/>
        <v>8625.0500000000029</v>
      </c>
      <c r="I29" s="15">
        <f>IFERROR(H29/H444, "NA")</f>
        <v>0.10473249714582841</v>
      </c>
      <c r="J29" s="2"/>
      <c r="K29" s="14">
        <f>IFERROR(K21+K22+K23+K24+K25+K26+K27+K28, "NA")</f>
        <v>29480.780000000002</v>
      </c>
      <c r="L29" s="15">
        <f>IFERROR(K29/K444, "NA")</f>
        <v>8.3579249601804198E-2</v>
      </c>
      <c r="M29" s="2"/>
      <c r="N29" s="14">
        <f t="shared" si="5"/>
        <v>8461.4299999999967</v>
      </c>
      <c r="O29" s="15">
        <f>IFERROR(N29/N444, "NA")</f>
        <v>0.10215790822723557</v>
      </c>
      <c r="P29" s="2"/>
      <c r="Q29" s="14">
        <f>IFERROR(Q21+Q22+Q23+Q24+Q25+Q26+Q27+Q28, "NA")</f>
        <v>37942.21</v>
      </c>
      <c r="R29" s="15">
        <f>IFERROR(Q29/Q444, "NA")</f>
        <v>8.7112241948171784E-2</v>
      </c>
      <c r="S29" s="2"/>
      <c r="T29" s="14">
        <f>IFERROR(T21+T22+T23+T24+T25+T26+T27+T28, "NA")</f>
        <v>29317.159999999996</v>
      </c>
      <c r="U29" s="15">
        <f>IFERROR(T29/T444, "NA")</f>
        <v>8.3003878598861838E-2</v>
      </c>
      <c r="V29" s="2"/>
      <c r="W29" s="14">
        <f t="shared" si="6"/>
        <v>8625.0500000000029</v>
      </c>
      <c r="X29" s="15">
        <f>IFERROR(W29/W444, "NA")</f>
        <v>0.10473249714582841</v>
      </c>
      <c r="Y29" s="2"/>
      <c r="Z29" s="14">
        <f>IFERROR(Z21+Z22+Z23+Z24+Z25+Z26+Z27+Z28, "NA")</f>
        <v>29480.780000000002</v>
      </c>
      <c r="AA29" s="15">
        <f>IFERROR(Z29/Z444, "NA")</f>
        <v>8.3579249601804198E-2</v>
      </c>
      <c r="AB29" s="2"/>
      <c r="AC29" s="14">
        <f t="shared" si="7"/>
        <v>8461.4299999999967</v>
      </c>
      <c r="AD29" s="15">
        <f>IFERROR(AC29/AC444, "NA")</f>
        <v>0.10215790822723557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76088.14</v>
      </c>
      <c r="F31" s="8">
        <f>IFERROR(E31/E444, "NA")</f>
        <v>0.21542368822127397</v>
      </c>
      <c r="G31" s="9"/>
      <c r="H31" s="10">
        <f t="shared" ref="H31:H40" si="8">IFERROR(B31-E31, "NA")</f>
        <v>-76088.14</v>
      </c>
      <c r="I31" s="8">
        <f>IFERROR(H31/H444, "NA")</f>
        <v>-0.9239251836663428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76088.14</v>
      </c>
      <c r="U31" s="8">
        <f>IFERROR(T31/T444, "NA")</f>
        <v>0.21542368822127397</v>
      </c>
      <c r="V31" s="9"/>
      <c r="W31" s="10">
        <f t="shared" ref="W31:W40" si="10">IFERROR(Q31-T31, "NA")</f>
        <v>-76088.14</v>
      </c>
      <c r="X31" s="8">
        <f>IFERROR(W31/W444, "NA")</f>
        <v>-0.9239251836663428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46014.04</v>
      </c>
      <c r="C33" s="8">
        <f>IFERROR(B33/B444, "NA")</f>
        <v>0.10564451004548377</v>
      </c>
      <c r="D33" s="9"/>
      <c r="E33" s="7">
        <v>0</v>
      </c>
      <c r="F33" s="8">
        <f>IFERROR(E33/E444, "NA")</f>
        <v>0</v>
      </c>
      <c r="G33" s="9"/>
      <c r="H33" s="10">
        <f t="shared" si="8"/>
        <v>46014.04</v>
      </c>
      <c r="I33" s="8">
        <f>IFERROR(H33/H444, "NA")</f>
        <v>0.55874056532634975</v>
      </c>
      <c r="J33" s="9"/>
      <c r="K33" s="7">
        <v>26314.190000000002</v>
      </c>
      <c r="L33" s="8">
        <f>IFERROR(K33/K444, "NA")</f>
        <v>7.4601833943311532E-2</v>
      </c>
      <c r="M33" s="9"/>
      <c r="N33" s="10">
        <f t="shared" si="9"/>
        <v>19699.849999999999</v>
      </c>
      <c r="O33" s="8">
        <f>IFERROR(N33/N444, "NA")</f>
        <v>0.23784342225726707</v>
      </c>
      <c r="P33" s="9"/>
      <c r="Q33" s="7">
        <v>46014.04</v>
      </c>
      <c r="R33" s="8">
        <f>IFERROR(Q33/Q444, "NA")</f>
        <v>0.10564451004548377</v>
      </c>
      <c r="S33" s="9"/>
      <c r="T33" s="7">
        <v>0</v>
      </c>
      <c r="U33" s="8">
        <f>IFERROR(T33/T444, "NA")</f>
        <v>0</v>
      </c>
      <c r="V33" s="9"/>
      <c r="W33" s="10">
        <f t="shared" si="10"/>
        <v>46014.04</v>
      </c>
      <c r="X33" s="8">
        <f>IFERROR(W33/W444, "NA")</f>
        <v>0.55874056532634975</v>
      </c>
      <c r="Y33" s="9"/>
      <c r="Z33" s="7">
        <v>26314.190000000002</v>
      </c>
      <c r="AA33" s="8">
        <f>IFERROR(Z33/Z444, "NA")</f>
        <v>7.4601833943311532E-2</v>
      </c>
      <c r="AB33" s="9"/>
      <c r="AC33" s="10">
        <f t="shared" si="11"/>
        <v>19699.849999999999</v>
      </c>
      <c r="AD33" s="8">
        <f>IFERROR(AC33/AC444, "NA")</f>
        <v>0.23784342225726707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4257.7199999999993</v>
      </c>
      <c r="C35" s="8">
        <f>IFERROR(B35/B444, "NA")</f>
        <v>9.7753803689234215E-3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4257.7199999999993</v>
      </c>
      <c r="I35" s="8">
        <f>IFERROR(H35/H444, "NA")</f>
        <v>5.170076089387729E-2</v>
      </c>
      <c r="J35" s="9"/>
      <c r="K35" s="7">
        <v>0</v>
      </c>
      <c r="L35" s="8">
        <f>IFERROR(K35/K444, "NA")</f>
        <v>0</v>
      </c>
      <c r="M35" s="9"/>
      <c r="N35" s="10">
        <f t="shared" si="9"/>
        <v>4257.7199999999993</v>
      </c>
      <c r="O35" s="8">
        <f>IFERROR(N35/N444, "NA")</f>
        <v>5.1404995256979676E-2</v>
      </c>
      <c r="P35" s="9"/>
      <c r="Q35" s="7">
        <v>4257.7199999999993</v>
      </c>
      <c r="R35" s="8">
        <f>IFERROR(Q35/Q444, "NA")</f>
        <v>9.7753803689234215E-3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4257.7199999999993</v>
      </c>
      <c r="X35" s="8">
        <f>IFERROR(W35/W444, "NA")</f>
        <v>5.170076089387729E-2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4257.7199999999993</v>
      </c>
      <c r="AD35" s="8">
        <f>IFERROR(AC35/AC444, "NA")</f>
        <v>5.1404995256979676E-2</v>
      </c>
    </row>
    <row r="36" spans="1:30" ht="16.5" customHeight="1" x14ac:dyDescent="0.45">
      <c r="A36" s="12" t="s">
        <v>36</v>
      </c>
      <c r="B36" s="7">
        <v>53487.72</v>
      </c>
      <c r="C36" s="8">
        <f>IFERROR(B36/B444, "NA")</f>
        <v>0.12280347417549128</v>
      </c>
      <c r="D36" s="9"/>
      <c r="E36" s="7">
        <v>0</v>
      </c>
      <c r="F36" s="8">
        <f>IFERROR(E36/E444, "NA")</f>
        <v>0</v>
      </c>
      <c r="G36" s="9"/>
      <c r="H36" s="10">
        <f t="shared" si="8"/>
        <v>53487.72</v>
      </c>
      <c r="I36" s="8">
        <f>IFERROR(H36/H444, "NA")</f>
        <v>0.64949217479746402</v>
      </c>
      <c r="J36" s="9"/>
      <c r="K36" s="7">
        <v>34375.79</v>
      </c>
      <c r="L36" s="8">
        <f>IFERROR(K36/K444, "NA")</f>
        <v>9.7456808560329955E-2</v>
      </c>
      <c r="M36" s="9"/>
      <c r="N36" s="10">
        <f t="shared" si="9"/>
        <v>19111.93</v>
      </c>
      <c r="O36" s="8">
        <f>IFERROR(N36/N444, "NA")</f>
        <v>0.23074525121467068</v>
      </c>
      <c r="P36" s="9"/>
      <c r="Q36" s="7">
        <v>53487.72</v>
      </c>
      <c r="R36" s="8">
        <f>IFERROR(Q36/Q444, "NA")</f>
        <v>0.12280347417549128</v>
      </c>
      <c r="S36" s="9"/>
      <c r="T36" s="7">
        <v>0</v>
      </c>
      <c r="U36" s="8">
        <f>IFERROR(T36/T444, "NA")</f>
        <v>0</v>
      </c>
      <c r="V36" s="9"/>
      <c r="W36" s="10">
        <f t="shared" si="10"/>
        <v>53487.72</v>
      </c>
      <c r="X36" s="8">
        <f>IFERROR(W36/W444, "NA")</f>
        <v>0.64949217479746402</v>
      </c>
      <c r="Y36" s="9"/>
      <c r="Z36" s="7">
        <v>34375.79</v>
      </c>
      <c r="AA36" s="8">
        <f>IFERROR(Z36/Z444, "NA")</f>
        <v>9.7456808560329955E-2</v>
      </c>
      <c r="AB36" s="9"/>
      <c r="AC36" s="10">
        <f t="shared" si="11"/>
        <v>19111.93</v>
      </c>
      <c r="AD36" s="8">
        <f>IFERROR(AC36/AC444, "NA")</f>
        <v>0.23074525121467068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4101.3500000000004</v>
      </c>
      <c r="C39" s="8">
        <f>IFERROR(B39/B444, "NA")</f>
        <v>9.4163675103304308E-3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4101.3500000000004</v>
      </c>
      <c r="I39" s="8">
        <f>IFERROR(H39/H444, "NA")</f>
        <v>4.9801986906631644E-2</v>
      </c>
      <c r="J39" s="9"/>
      <c r="K39" s="7">
        <v>3321.49</v>
      </c>
      <c r="L39" s="8">
        <f>IFERROR(K39/K444, "NA")</f>
        <v>9.4165636648656029E-3</v>
      </c>
      <c r="M39" s="9"/>
      <c r="N39" s="10">
        <f t="shared" si="9"/>
        <v>779.86000000000058</v>
      </c>
      <c r="O39" s="8">
        <f>IFERROR(N39/N444, "NA")</f>
        <v>9.4155321630140561E-3</v>
      </c>
      <c r="P39" s="9"/>
      <c r="Q39" s="7">
        <v>4101.3500000000004</v>
      </c>
      <c r="R39" s="8">
        <f>IFERROR(Q39/Q444, "NA")</f>
        <v>9.4163675103304308E-3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4101.3500000000004</v>
      </c>
      <c r="X39" s="8">
        <f>IFERROR(W39/W444, "NA")</f>
        <v>4.9801986906631644E-2</v>
      </c>
      <c r="Y39" s="9"/>
      <c r="Z39" s="7">
        <v>3321.49</v>
      </c>
      <c r="AA39" s="8">
        <f>IFERROR(Z39/Z444, "NA")</f>
        <v>9.4165636648656029E-3</v>
      </c>
      <c r="AB39" s="9"/>
      <c r="AC39" s="10">
        <f t="shared" si="11"/>
        <v>779.86000000000058</v>
      </c>
      <c r="AD39" s="8">
        <f>IFERROR(AC39/AC444, "NA")</f>
        <v>9.4155321630140561E-3</v>
      </c>
    </row>
    <row r="40" spans="1:30" ht="16.5" customHeight="1" x14ac:dyDescent="0.45">
      <c r="A40" s="13" t="s">
        <v>40</v>
      </c>
      <c r="B40" s="14">
        <f>IFERROR(B31+B32+B33+B34+B35+B36+B37+B38+B39, "NA")</f>
        <v>107860.83000000002</v>
      </c>
      <c r="C40" s="15">
        <f>IFERROR(B40/B444, "NA")</f>
        <v>0.24763973210022894</v>
      </c>
      <c r="D40" s="2"/>
      <c r="E40" s="14">
        <f>IFERROR(E31+E32+E33+E34+E35+E36+E37+E38+E39, "NA")</f>
        <v>76088.14</v>
      </c>
      <c r="F40" s="15">
        <f>IFERROR(E40/E444, "NA")</f>
        <v>0.21542368822127397</v>
      </c>
      <c r="G40" s="2"/>
      <c r="H40" s="14">
        <f t="shared" si="8"/>
        <v>31772.690000000017</v>
      </c>
      <c r="I40" s="15">
        <f>IFERROR(H40/H444, "NA")</f>
        <v>0.38581030425798013</v>
      </c>
      <c r="J40" s="2"/>
      <c r="K40" s="14">
        <f>IFERROR(K31+K32+K33+K34+K35+K36+K37+K38+K39, "NA")</f>
        <v>64011.47</v>
      </c>
      <c r="L40" s="15">
        <f>IFERROR(K40/K444, "NA")</f>
        <v>0.1814752061685071</v>
      </c>
      <c r="M40" s="2"/>
      <c r="N40" s="14">
        <f t="shared" si="9"/>
        <v>43849.360000000015</v>
      </c>
      <c r="O40" s="15">
        <f>IFERROR(N40/N444, "NA")</f>
        <v>0.52940920089193166</v>
      </c>
      <c r="P40" s="2"/>
      <c r="Q40" s="14">
        <f>IFERROR(Q31+Q32+Q33+Q34+Q35+Q36+Q37+Q38+Q39, "NA")</f>
        <v>107860.83000000002</v>
      </c>
      <c r="R40" s="15">
        <f>IFERROR(Q40/Q444, "NA")</f>
        <v>0.24763973210022894</v>
      </c>
      <c r="S40" s="2"/>
      <c r="T40" s="14">
        <f>IFERROR(T31+T32+T33+T34+T35+T36+T37+T38+T39, "NA")</f>
        <v>76088.14</v>
      </c>
      <c r="U40" s="15">
        <f>IFERROR(T40/T444, "NA")</f>
        <v>0.21542368822127397</v>
      </c>
      <c r="V40" s="2"/>
      <c r="W40" s="14">
        <f t="shared" si="10"/>
        <v>31772.690000000017</v>
      </c>
      <c r="X40" s="15">
        <f>IFERROR(W40/W444, "NA")</f>
        <v>0.38581030425798013</v>
      </c>
      <c r="Y40" s="2"/>
      <c r="Z40" s="14">
        <f>IFERROR(Z31+Z32+Z33+Z34+Z35+Z36+Z37+Z38+Z39, "NA")</f>
        <v>64011.47</v>
      </c>
      <c r="AA40" s="15">
        <f>IFERROR(Z40/Z444, "NA")</f>
        <v>0.1814752061685071</v>
      </c>
      <c r="AB40" s="2"/>
      <c r="AC40" s="14">
        <f t="shared" si="11"/>
        <v>43849.360000000015</v>
      </c>
      <c r="AD40" s="15">
        <f>IFERROR(AC40/AC444, "NA")</f>
        <v>0.52940920089193166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17587.05</v>
      </c>
      <c r="C43" s="8">
        <f>IFERROR(B43/B444, "NA")</f>
        <v>4.037844276215314E-2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17587.05</v>
      </c>
      <c r="I43" s="8">
        <f>IFERROR(H43/H444, "NA")</f>
        <v>0.21355652012783008</v>
      </c>
      <c r="J43" s="9"/>
      <c r="K43" s="7">
        <v>3225</v>
      </c>
      <c r="L43" s="8">
        <f>IFERROR(K43/K444, "NA")</f>
        <v>9.1430104619287036E-3</v>
      </c>
      <c r="M43" s="9"/>
      <c r="N43" s="10">
        <f>IFERROR(B43-K43, "NA")</f>
        <v>14362.05</v>
      </c>
      <c r="O43" s="8">
        <f>IFERROR(N43/N444, "NA")</f>
        <v>0.17339823006926361</v>
      </c>
      <c r="P43" s="9"/>
      <c r="Q43" s="7">
        <v>17587.05</v>
      </c>
      <c r="R43" s="8">
        <f>IFERROR(Q43/Q444, "NA")</f>
        <v>4.037844276215314E-2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17587.05</v>
      </c>
      <c r="X43" s="8">
        <f>IFERROR(W43/W444, "NA")</f>
        <v>0.21355652012783008</v>
      </c>
      <c r="Y43" s="9"/>
      <c r="Z43" s="7">
        <v>3225</v>
      </c>
      <c r="AA43" s="8">
        <f>IFERROR(Z43/Z444, "NA")</f>
        <v>9.1430104619287036E-3</v>
      </c>
      <c r="AB43" s="9"/>
      <c r="AC43" s="10">
        <f>IFERROR(Q43-Z43, "NA")</f>
        <v>14362.05</v>
      </c>
      <c r="AD43" s="8">
        <f>IFERROR(AC43/AC444, "NA")</f>
        <v>0.17339823006926361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91235.150000000009</v>
      </c>
      <c r="F46" s="8">
        <f>IFERROR(E46/E444, "NA")</f>
        <v>0.25830848944948798</v>
      </c>
      <c r="G46" s="9"/>
      <c r="H46" s="10">
        <f t="shared" ref="H46:H62" si="12">IFERROR(B46-E46, "NA")</f>
        <v>-91235.150000000009</v>
      </c>
      <c r="I46" s="8">
        <f>IFERROR(H46/H444, "NA")</f>
        <v>-1.1078527181841524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91235.150000000009</v>
      </c>
      <c r="U46" s="8">
        <f>IFERROR(T46/T444, "NA")</f>
        <v>0.25830848944948798</v>
      </c>
      <c r="V46" s="9"/>
      <c r="W46" s="10">
        <f t="shared" ref="W46:W62" si="14">IFERROR(Q46-T46, "NA")</f>
        <v>-91235.150000000009</v>
      </c>
      <c r="X46" s="8">
        <f>IFERROR(W46/W444, "NA")</f>
        <v>-1.1078527181841524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516.70000000000005</v>
      </c>
      <c r="C47" s="8">
        <f>IFERROR(B47/B444, "NA")</f>
        <v>1.1863013623776887E-3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516.70000000000005</v>
      </c>
      <c r="I47" s="8">
        <f>IFERROR(H47/H444, "NA")</f>
        <v>6.2741991380049419E-3</v>
      </c>
      <c r="J47" s="9"/>
      <c r="K47" s="7">
        <v>287.33</v>
      </c>
      <c r="L47" s="8">
        <f>IFERROR(K47/K444, "NA")</f>
        <v>8.1459261892278276E-4</v>
      </c>
      <c r="M47" s="9"/>
      <c r="N47" s="10">
        <f t="shared" si="13"/>
        <v>229.37000000000006</v>
      </c>
      <c r="O47" s="8">
        <f>IFERROR(N47/N444, "NA")</f>
        <v>2.7692670636146654E-3</v>
      </c>
      <c r="P47" s="9"/>
      <c r="Q47" s="7">
        <v>516.70000000000005</v>
      </c>
      <c r="R47" s="8">
        <f>IFERROR(Q47/Q444, "NA")</f>
        <v>1.1863013623776887E-3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516.70000000000005</v>
      </c>
      <c r="X47" s="8">
        <f>IFERROR(W47/W444, "NA")</f>
        <v>6.2741991380049419E-3</v>
      </c>
      <c r="Y47" s="9"/>
      <c r="Z47" s="7">
        <v>287.33</v>
      </c>
      <c r="AA47" s="8">
        <f>IFERROR(Z47/Z444, "NA")</f>
        <v>8.1459261892278276E-4</v>
      </c>
      <c r="AB47" s="9"/>
      <c r="AC47" s="10">
        <f t="shared" si="15"/>
        <v>229.37000000000006</v>
      </c>
      <c r="AD47" s="8">
        <f>IFERROR(AC47/AC444, "NA")</f>
        <v>2.7692670636146654E-3</v>
      </c>
    </row>
    <row r="48" spans="1:30" ht="16.5" customHeight="1" x14ac:dyDescent="0.45">
      <c r="A48" s="17" t="s">
        <v>46</v>
      </c>
      <c r="B48" s="7">
        <v>82076.25</v>
      </c>
      <c r="C48" s="8">
        <f>IFERROR(B48/B444, "NA")</f>
        <v>0.18844042421879575</v>
      </c>
      <c r="D48" s="9"/>
      <c r="E48" s="7">
        <v>0</v>
      </c>
      <c r="F48" s="8">
        <f>IFERROR(E48/E444, "NA")</f>
        <v>0</v>
      </c>
      <c r="G48" s="9"/>
      <c r="H48" s="10">
        <f t="shared" si="12"/>
        <v>82076.25</v>
      </c>
      <c r="I48" s="8">
        <f>IFERROR(H48/H444, "NA")</f>
        <v>0.99663777240309293</v>
      </c>
      <c r="J48" s="9"/>
      <c r="K48" s="7">
        <v>69379.16</v>
      </c>
      <c r="L48" s="8">
        <f>IFERROR(K48/K444, "NA")</f>
        <v>0.19669283278134123</v>
      </c>
      <c r="M48" s="9"/>
      <c r="N48" s="10">
        <f t="shared" si="13"/>
        <v>12697.089999999997</v>
      </c>
      <c r="O48" s="8">
        <f>IFERROR(N48/N444, "NA")</f>
        <v>0.15329656511641065</v>
      </c>
      <c r="P48" s="9"/>
      <c r="Q48" s="7">
        <v>82076.25</v>
      </c>
      <c r="R48" s="8">
        <f>IFERROR(Q48/Q444, "NA")</f>
        <v>0.18844042421879575</v>
      </c>
      <c r="S48" s="9"/>
      <c r="T48" s="7">
        <v>0</v>
      </c>
      <c r="U48" s="8">
        <f>IFERROR(T48/T444, "NA")</f>
        <v>0</v>
      </c>
      <c r="V48" s="9"/>
      <c r="W48" s="10">
        <f t="shared" si="14"/>
        <v>82076.25</v>
      </c>
      <c r="X48" s="8">
        <f>IFERROR(W48/W444, "NA")</f>
        <v>0.99663777240309293</v>
      </c>
      <c r="Y48" s="9"/>
      <c r="Z48" s="7">
        <v>69379.16</v>
      </c>
      <c r="AA48" s="8">
        <f>IFERROR(Z48/Z444, "NA")</f>
        <v>0.19669283278134123</v>
      </c>
      <c r="AB48" s="9"/>
      <c r="AC48" s="10">
        <f t="shared" si="15"/>
        <v>12697.089999999997</v>
      </c>
      <c r="AD48" s="8">
        <f>IFERROR(AC48/AC444, "NA")</f>
        <v>0.15329656511641065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410.02</v>
      </c>
      <c r="L49" s="8">
        <f>IFERROR(K49/K444, "NA")</f>
        <v>1.1624239223565914E-3</v>
      </c>
      <c r="M49" s="9"/>
      <c r="N49" s="10">
        <f t="shared" si="13"/>
        <v>-410.02</v>
      </c>
      <c r="O49" s="8">
        <f>IFERROR(N49/N444, "NA")</f>
        <v>-4.9503199259854592E-3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410.02</v>
      </c>
      <c r="AA49" s="8">
        <f>IFERROR(Z49/Z444, "NA")</f>
        <v>1.1624239223565914E-3</v>
      </c>
      <c r="AB49" s="9"/>
      <c r="AC49" s="10">
        <f t="shared" si="15"/>
        <v>-410.02</v>
      </c>
      <c r="AD49" s="8">
        <f>IFERROR(AC49/AC444, "NA")</f>
        <v>-4.9503199259854592E-3</v>
      </c>
    </row>
    <row r="50" spans="1:30" ht="16.5" customHeight="1" x14ac:dyDescent="0.45">
      <c r="A50" s="17" t="s">
        <v>48</v>
      </c>
      <c r="B50" s="7">
        <v>137.13999999999999</v>
      </c>
      <c r="C50" s="8">
        <f>IFERROR(B50/B444, "NA")</f>
        <v>3.1486233566184674E-4</v>
      </c>
      <c r="D50" s="9"/>
      <c r="E50" s="7">
        <v>0</v>
      </c>
      <c r="F50" s="8">
        <f>IFERROR(E50/E444, "NA")</f>
        <v>0</v>
      </c>
      <c r="G50" s="9"/>
      <c r="H50" s="10">
        <f t="shared" si="12"/>
        <v>137.13999999999999</v>
      </c>
      <c r="I50" s="8">
        <f>IFERROR(H50/H444, "NA")</f>
        <v>1.6652674081401155E-3</v>
      </c>
      <c r="J50" s="9"/>
      <c r="K50" s="7">
        <v>0</v>
      </c>
      <c r="L50" s="8">
        <f>IFERROR(K50/K444, "NA")</f>
        <v>0</v>
      </c>
      <c r="M50" s="9"/>
      <c r="N50" s="10">
        <f t="shared" si="13"/>
        <v>137.13999999999999</v>
      </c>
      <c r="O50" s="8">
        <f>IFERROR(N50/N444, "NA")</f>
        <v>1.6557408776392514E-3</v>
      </c>
      <c r="P50" s="9"/>
      <c r="Q50" s="7">
        <v>137.13999999999999</v>
      </c>
      <c r="R50" s="8">
        <f>IFERROR(Q50/Q444, "NA")</f>
        <v>3.1486233566184674E-4</v>
      </c>
      <c r="S50" s="9"/>
      <c r="T50" s="7">
        <v>0</v>
      </c>
      <c r="U50" s="8">
        <f>IFERROR(T50/T444, "NA")</f>
        <v>0</v>
      </c>
      <c r="V50" s="9"/>
      <c r="W50" s="10">
        <f t="shared" si="14"/>
        <v>137.13999999999999</v>
      </c>
      <c r="X50" s="8">
        <f>IFERROR(W50/W444, "NA")</f>
        <v>1.6652674081401155E-3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137.13999999999999</v>
      </c>
      <c r="AD50" s="8">
        <f>IFERROR(AC50/AC444, "NA")</f>
        <v>1.6557408776392514E-3</v>
      </c>
    </row>
    <row r="51" spans="1:30" ht="16.5" customHeight="1" x14ac:dyDescent="0.45">
      <c r="A51" s="17" t="s">
        <v>49</v>
      </c>
      <c r="B51" s="7">
        <v>3542.99</v>
      </c>
      <c r="C51" s="8">
        <f>IFERROR(B51/B444, "NA")</f>
        <v>8.1344181611970722E-3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3542.99</v>
      </c>
      <c r="I51" s="8">
        <f>IFERROR(H51/H444, "NA")</f>
        <v>4.3021917561370478E-2</v>
      </c>
      <c r="J51" s="9"/>
      <c r="K51" s="7">
        <v>8903.36</v>
      </c>
      <c r="L51" s="8">
        <f>IFERROR(K51/K444, "NA")</f>
        <v>2.5241399574051953E-2</v>
      </c>
      <c r="M51" s="9"/>
      <c r="N51" s="10">
        <f t="shared" si="13"/>
        <v>-5360.3700000000008</v>
      </c>
      <c r="O51" s="8">
        <f>IFERROR(N51/N444, "NA")</f>
        <v>-6.4717687970476265E-2</v>
      </c>
      <c r="P51" s="9"/>
      <c r="Q51" s="7">
        <v>3542.99</v>
      </c>
      <c r="R51" s="8">
        <f>IFERROR(Q51/Q444, "NA")</f>
        <v>8.1344181611970722E-3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3542.99</v>
      </c>
      <c r="X51" s="8">
        <f>IFERROR(W51/W444, "NA")</f>
        <v>4.3021917561370478E-2</v>
      </c>
      <c r="Y51" s="9"/>
      <c r="Z51" s="7">
        <v>8903.36</v>
      </c>
      <c r="AA51" s="8">
        <f>IFERROR(Z51/Z444, "NA")</f>
        <v>2.5241399574051953E-2</v>
      </c>
      <c r="AB51" s="9"/>
      <c r="AC51" s="10">
        <f t="shared" si="15"/>
        <v>-5360.3700000000008</v>
      </c>
      <c r="AD51" s="8">
        <f>IFERROR(AC51/AC444, "NA")</f>
        <v>-6.4717687970476265E-2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236.5</v>
      </c>
      <c r="L55" s="8">
        <f>IFERROR(K55/K444, "NA")</f>
        <v>6.7048743387477161E-4</v>
      </c>
      <c r="M55" s="9"/>
      <c r="N55" s="10">
        <f t="shared" si="13"/>
        <v>-236.5</v>
      </c>
      <c r="O55" s="8">
        <f>IFERROR(N55/N444, "NA")</f>
        <v>-2.8553501353484247E-3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236.5</v>
      </c>
      <c r="AA55" s="8">
        <f>IFERROR(Z55/Z444, "NA")</f>
        <v>6.7048743387477161E-4</v>
      </c>
      <c r="AB55" s="9"/>
      <c r="AC55" s="10">
        <f t="shared" si="15"/>
        <v>-236.5</v>
      </c>
      <c r="AD55" s="8">
        <f>IFERROR(AC55/AC444, "NA")</f>
        <v>-2.8553501353484247E-3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186.92</v>
      </c>
      <c r="L56" s="8">
        <f>IFERROR(K56/K444, "NA")</f>
        <v>5.2992605133138392E-4</v>
      </c>
      <c r="M56" s="9"/>
      <c r="N56" s="10">
        <f t="shared" si="13"/>
        <v>-186.92</v>
      </c>
      <c r="O56" s="8">
        <f>IFERROR(N56/N444, "NA")</f>
        <v>-2.2567528427032877E-3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186.92</v>
      </c>
      <c r="AA56" s="8">
        <f>IFERROR(Z56/Z444, "NA")</f>
        <v>5.2992605133138392E-4</v>
      </c>
      <c r="AB56" s="9"/>
      <c r="AC56" s="10">
        <f t="shared" si="15"/>
        <v>-186.92</v>
      </c>
      <c r="AD56" s="8">
        <f>IFERROR(AC56/AC444, "NA")</f>
        <v>-2.2567528427032877E-3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1925.53</v>
      </c>
      <c r="L57" s="8">
        <f>IFERROR(K57/K444, "NA")</f>
        <v>5.4589584293821946E-3</v>
      </c>
      <c r="M57" s="9"/>
      <c r="N57" s="10">
        <f t="shared" si="13"/>
        <v>-1925.53</v>
      </c>
      <c r="O57" s="8">
        <f>IFERROR(N57/N444, "NA")</f>
        <v>-2.3247620913815867E-2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1925.53</v>
      </c>
      <c r="AA57" s="8">
        <f>IFERROR(Z57/Z444, "NA")</f>
        <v>5.4589584293821946E-3</v>
      </c>
      <c r="AB57" s="9"/>
      <c r="AC57" s="10">
        <f t="shared" si="15"/>
        <v>-1925.53</v>
      </c>
      <c r="AD57" s="8">
        <f>IFERROR(AC57/AC444, "NA")</f>
        <v>-2.3247620913815867E-2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365.05</v>
      </c>
      <c r="L58" s="8">
        <f>IFERROR(K58/K444, "NA")</f>
        <v>1.0349320834502553E-3</v>
      </c>
      <c r="M58" s="9"/>
      <c r="N58" s="10">
        <f t="shared" si="13"/>
        <v>-365.05</v>
      </c>
      <c r="O58" s="8">
        <f>IFERROR(N58/N444, "NA")</f>
        <v>-4.4073808325959512E-3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365.05</v>
      </c>
      <c r="AA58" s="8">
        <f>IFERROR(Z58/Z444, "NA")</f>
        <v>1.0349320834502553E-3</v>
      </c>
      <c r="AB58" s="9"/>
      <c r="AC58" s="10">
        <f t="shared" si="15"/>
        <v>-365.05</v>
      </c>
      <c r="AD58" s="8">
        <f>IFERROR(AC58/AC444, "NA")</f>
        <v>-4.4073808325959512E-3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86273.08</v>
      </c>
      <c r="C61" s="15">
        <f>IFERROR(B61/B444, "NA")</f>
        <v>0.19807600607803239</v>
      </c>
      <c r="D61" s="2"/>
      <c r="E61" s="14">
        <f>IFERROR(E46+E47+E48+E49+E50+E51+E52+E53+E54+E55+E56+E57+E58+E59+E60, "NA")</f>
        <v>91235.150000000009</v>
      </c>
      <c r="F61" s="15">
        <f>IFERROR(E61/E444, "NA")</f>
        <v>0.25830848944948798</v>
      </c>
      <c r="G61" s="2"/>
      <c r="H61" s="14">
        <f t="shared" si="12"/>
        <v>-4962.070000000007</v>
      </c>
      <c r="I61" s="15">
        <f>IFERROR(H61/H444, "NA")</f>
        <v>-6.0253561673544079E-2</v>
      </c>
      <c r="J61" s="2"/>
      <c r="K61" s="14">
        <f>IFERROR(K46+K47+K48+K49+K50+K51+K52+K53+K54+K55+K56+K57+K58+K59+K60, "NA")</f>
        <v>81693.87000000001</v>
      </c>
      <c r="L61" s="15">
        <f>IFERROR(K61/K444, "NA")</f>
        <v>0.23160555289471119</v>
      </c>
      <c r="M61" s="2"/>
      <c r="N61" s="14">
        <f t="shared" si="13"/>
        <v>4579.2099999999919</v>
      </c>
      <c r="O61" s="15">
        <f>IFERROR(N61/N444, "NA")</f>
        <v>5.5286460436739265E-2</v>
      </c>
      <c r="P61" s="2"/>
      <c r="Q61" s="14">
        <f>IFERROR(Q46+Q47+Q48+Q49+Q50+Q51+Q52+Q53+Q54+Q55+Q56+Q57+Q58+Q59+Q60, "NA")</f>
        <v>86273.08</v>
      </c>
      <c r="R61" s="15">
        <f>IFERROR(Q61/Q444, "NA")</f>
        <v>0.19807600607803239</v>
      </c>
      <c r="S61" s="2"/>
      <c r="T61" s="14">
        <f>IFERROR(T46+T47+T48+T49+T50+T51+T52+T53+T54+T55+T56+T57+T58+T59+T60, "NA")</f>
        <v>91235.150000000009</v>
      </c>
      <c r="U61" s="15">
        <f>IFERROR(T61/T444, "NA")</f>
        <v>0.25830848944948798</v>
      </c>
      <c r="V61" s="2"/>
      <c r="W61" s="14">
        <f t="shared" si="14"/>
        <v>-4962.070000000007</v>
      </c>
      <c r="X61" s="15">
        <f>IFERROR(W61/W444, "NA")</f>
        <v>-6.0253561673544079E-2</v>
      </c>
      <c r="Y61" s="2"/>
      <c r="Z61" s="14">
        <f>IFERROR(Z46+Z47+Z48+Z49+Z50+Z51+Z52+Z53+Z54+Z55+Z56+Z57+Z58+Z59+Z60, "NA")</f>
        <v>81693.87000000001</v>
      </c>
      <c r="AA61" s="15">
        <f>IFERROR(Z61/Z444, "NA")</f>
        <v>0.23160555289471119</v>
      </c>
      <c r="AB61" s="2"/>
      <c r="AC61" s="14">
        <f t="shared" si="15"/>
        <v>4579.2099999999919</v>
      </c>
      <c r="AD61" s="15">
        <f>IFERROR(AC61/AC444, "NA")</f>
        <v>5.5286460436739265E-2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103860.13</v>
      </c>
      <c r="C62" s="15">
        <f>IFERROR(B62/B444, "NA")</f>
        <v>0.23845444884018552</v>
      </c>
      <c r="D62" s="2"/>
      <c r="E62" s="14">
        <f>IFERROR(E42+E43+E44+E46+E47+E48+E49+E50+E51+E52+E53+E54+E55+E56+E57+E58+E59+E60, "NA")</f>
        <v>91235.150000000009</v>
      </c>
      <c r="F62" s="15">
        <f>IFERROR(E62/E444, "NA")</f>
        <v>0.25830848944948798</v>
      </c>
      <c r="G62" s="2"/>
      <c r="H62" s="14">
        <f t="shared" si="12"/>
        <v>12624.979999999996</v>
      </c>
      <c r="I62" s="15">
        <f>IFERROR(H62/H444, "NA")</f>
        <v>0.15330295845428604</v>
      </c>
      <c r="J62" s="2"/>
      <c r="K62" s="14">
        <f>IFERROR(K42+K43+K44+K46+K47+K48+K49+K50+K51+K52+K53+K54+K55+K56+K57+K58+K59+K60, "NA")</f>
        <v>84918.87000000001</v>
      </c>
      <c r="L62" s="15">
        <f>IFERROR(K62/K444, "NA")</f>
        <v>0.24074856335663988</v>
      </c>
      <c r="M62" s="2"/>
      <c r="N62" s="14">
        <f t="shared" si="13"/>
        <v>18941.259999999995</v>
      </c>
      <c r="O62" s="15">
        <f>IFERROR(N62/N444, "NA")</f>
        <v>0.2286846905060029</v>
      </c>
      <c r="P62" s="2"/>
      <c r="Q62" s="14">
        <f>IFERROR(Q42+Q43+Q44+Q46+Q47+Q48+Q49+Q50+Q51+Q52+Q53+Q54+Q55+Q56+Q57+Q58+Q59+Q60, "NA")</f>
        <v>103860.13</v>
      </c>
      <c r="R62" s="15">
        <f>IFERROR(Q62/Q444, "NA")</f>
        <v>0.23845444884018552</v>
      </c>
      <c r="S62" s="2"/>
      <c r="T62" s="14">
        <f>IFERROR(T42+T43+T44+T46+T47+T48+T49+T50+T51+T52+T53+T54+T55+T56+T57+T58+T59+T60, "NA")</f>
        <v>91235.150000000009</v>
      </c>
      <c r="U62" s="15">
        <f>IFERROR(T62/T444, "NA")</f>
        <v>0.25830848944948798</v>
      </c>
      <c r="V62" s="2"/>
      <c r="W62" s="14">
        <f t="shared" si="14"/>
        <v>12624.979999999996</v>
      </c>
      <c r="X62" s="15">
        <f>IFERROR(W62/W444, "NA")</f>
        <v>0.15330295845428604</v>
      </c>
      <c r="Y62" s="2"/>
      <c r="Z62" s="14">
        <f>IFERROR(Z42+Z43+Z44+Z46+Z47+Z48+Z49+Z50+Z51+Z52+Z53+Z54+Z55+Z56+Z57+Z58+Z59+Z60, "NA")</f>
        <v>84918.87000000001</v>
      </c>
      <c r="AA62" s="15">
        <f>IFERROR(Z62/Z444, "NA")</f>
        <v>0.24074856335663988</v>
      </c>
      <c r="AB62" s="2"/>
      <c r="AC62" s="14">
        <f t="shared" si="15"/>
        <v>18941.259999999995</v>
      </c>
      <c r="AD62" s="15">
        <f>IFERROR(AC62/AC444, "NA")</f>
        <v>0.2286846905060029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2110.1999999999998</v>
      </c>
      <c r="C65" s="8">
        <f>IFERROR(B65/B444, "NA")</f>
        <v>4.8448483353771988E-3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2110.1999999999998</v>
      </c>
      <c r="I65" s="8">
        <f>IFERROR(H65/H444, "NA")</f>
        <v>2.5623795279694266E-2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2110.1999999999998</v>
      </c>
      <c r="O65" s="8">
        <f>IFERROR(N65/N444, "NA")</f>
        <v>2.5477208691806533E-2</v>
      </c>
      <c r="P65" s="9"/>
      <c r="Q65" s="7">
        <v>2110.1999999999998</v>
      </c>
      <c r="R65" s="8">
        <f>IFERROR(Q65/Q444, "NA")</f>
        <v>4.8448483353771988E-3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2110.1999999999998</v>
      </c>
      <c r="X65" s="8">
        <f>IFERROR(W65/W444, "NA")</f>
        <v>2.5623795279694266E-2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2110.1999999999998</v>
      </c>
      <c r="AD65" s="8">
        <f>IFERROR(AC65/AC444, "NA")</f>
        <v>2.5477208691806533E-2</v>
      </c>
    </row>
    <row r="66" spans="1:30" ht="16.5" customHeight="1" x14ac:dyDescent="0.45">
      <c r="A66" s="12" t="s">
        <v>63</v>
      </c>
      <c r="B66" s="7">
        <v>13489.66</v>
      </c>
      <c r="C66" s="8">
        <f>IFERROR(B66/B444, "NA")</f>
        <v>3.0971167091178267E-2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13489.66</v>
      </c>
      <c r="I66" s="8">
        <f>IFERROR(H66/H444, "NA")</f>
        <v>0.16380261881939179</v>
      </c>
      <c r="J66" s="9"/>
      <c r="K66" s="7">
        <v>0</v>
      </c>
      <c r="L66" s="8">
        <f>IFERROR(K66/K444, "NA")</f>
        <v>0</v>
      </c>
      <c r="M66" s="9"/>
      <c r="N66" s="10">
        <f t="shared" si="17"/>
        <v>13489.66</v>
      </c>
      <c r="O66" s="8">
        <f>IFERROR(N66/N444, "NA")</f>
        <v>0.1628655497116458</v>
      </c>
      <c r="P66" s="9"/>
      <c r="Q66" s="7">
        <v>13489.66</v>
      </c>
      <c r="R66" s="8">
        <f>IFERROR(Q66/Q444, "NA")</f>
        <v>3.0971167091178267E-2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13489.66</v>
      </c>
      <c r="X66" s="8">
        <f>IFERROR(W66/W444, "NA")</f>
        <v>0.16380261881939179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13489.66</v>
      </c>
      <c r="AD66" s="8">
        <f>IFERROR(AC66/AC444, "NA")</f>
        <v>0.1628655497116458</v>
      </c>
    </row>
    <row r="67" spans="1:30" ht="16.5" customHeight="1" x14ac:dyDescent="0.45">
      <c r="A67" s="12" t="s">
        <v>64</v>
      </c>
      <c r="B67" s="7">
        <v>9882.75</v>
      </c>
      <c r="C67" s="8">
        <f>IFERROR(B67/B444, "NA")</f>
        <v>2.2689993785635965E-2</v>
      </c>
      <c r="D67" s="9"/>
      <c r="E67" s="7">
        <v>0</v>
      </c>
      <c r="F67" s="8">
        <f>IFERROR(E67/E444, "NA")</f>
        <v>0</v>
      </c>
      <c r="G67" s="9"/>
      <c r="H67" s="10">
        <f t="shared" si="16"/>
        <v>9882.75</v>
      </c>
      <c r="I67" s="8">
        <f>IFERROR(H67/H444, "NA")</f>
        <v>0.12000453170334495</v>
      </c>
      <c r="J67" s="9"/>
      <c r="K67" s="7">
        <v>0</v>
      </c>
      <c r="L67" s="8">
        <f>IFERROR(K67/K444, "NA")</f>
        <v>0</v>
      </c>
      <c r="M67" s="9"/>
      <c r="N67" s="10">
        <f t="shared" si="17"/>
        <v>9882.75</v>
      </c>
      <c r="O67" s="8">
        <f>IFERROR(N67/N444, "NA")</f>
        <v>0.11931801923938538</v>
      </c>
      <c r="P67" s="9"/>
      <c r="Q67" s="7">
        <v>9882.75</v>
      </c>
      <c r="R67" s="8">
        <f>IFERROR(Q67/Q444, "NA")</f>
        <v>2.2689993785635965E-2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0.12000453170334495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0.11931801923938538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25482.61</v>
      </c>
      <c r="C73" s="15">
        <f>IFERROR(B73/B444, "NA")</f>
        <v>5.8506009212191436E-2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25482.61</v>
      </c>
      <c r="I73" s="15">
        <f>IFERROR(H73/H444, "NA")</f>
        <v>0.30943094580243102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25482.61</v>
      </c>
      <c r="O73" s="15">
        <f>IFERROR(N73/N444, "NA")</f>
        <v>0.30766077764283772</v>
      </c>
      <c r="P73" s="2"/>
      <c r="Q73" s="14">
        <f>IFERROR(Q64+Q65+Q66+Q67+Q68+Q69+Q70+Q71+Q72, "NA")</f>
        <v>25482.61</v>
      </c>
      <c r="R73" s="15">
        <f>IFERROR(Q73/Q444, "NA")</f>
        <v>5.8506009212191436E-2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25482.61</v>
      </c>
      <c r="X73" s="15">
        <f>IFERROR(W73/W444, "NA")</f>
        <v>0.30943094580243102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25482.61</v>
      </c>
      <c r="AD73" s="15">
        <f>IFERROR(AC73/AC444, "NA")</f>
        <v>0.30766077764283772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6275.7100000000009</v>
      </c>
      <c r="F75" s="8">
        <f>IFERROR(E75/E444, "NA")</f>
        <v>1.7768033157429416E-2</v>
      </c>
      <c r="G75" s="9"/>
      <c r="H75" s="10">
        <f t="shared" ref="H75:H92" si="20">IFERROR(B75-E75, "NA")</f>
        <v>-6275.7100000000009</v>
      </c>
      <c r="I75" s="8">
        <f>IFERROR(H75/H444, "NA")</f>
        <v>-7.6204866019680656E-2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6275.7100000000009</v>
      </c>
      <c r="U75" s="8">
        <f>IFERROR(T75/T444, "NA")</f>
        <v>1.7768033157429416E-2</v>
      </c>
      <c r="V75" s="9"/>
      <c r="W75" s="10">
        <f t="shared" ref="W75:W92" si="22">IFERROR(Q75-T75, "NA")</f>
        <v>-6275.7100000000009</v>
      </c>
      <c r="X75" s="8">
        <f>IFERROR(W75/W444, "NA")</f>
        <v>-7.6204866019680656E-2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1470.65</v>
      </c>
      <c r="C77" s="8">
        <f>IFERROR(B77/B444, "NA")</f>
        <v>3.3764933202646563E-3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1470.65</v>
      </c>
      <c r="I77" s="8">
        <f>IFERROR(H77/H444, "NA")</f>
        <v>1.7857849743191344E-2</v>
      </c>
      <c r="J77" s="9"/>
      <c r="K77" s="7">
        <v>263.11999999999995</v>
      </c>
      <c r="L77" s="8">
        <f>IFERROR(K77/K444, "NA")</f>
        <v>7.4595625201323416E-4</v>
      </c>
      <c r="M77" s="9"/>
      <c r="N77" s="10">
        <f t="shared" si="21"/>
        <v>1207.5300000000002</v>
      </c>
      <c r="O77" s="8">
        <f>IFERROR(N77/N444, "NA")</f>
        <v>1.4578946929967373E-2</v>
      </c>
      <c r="P77" s="9"/>
      <c r="Q77" s="7">
        <v>1470.65</v>
      </c>
      <c r="R77" s="8">
        <f>IFERROR(Q77/Q444, "NA")</f>
        <v>3.3764933202646563E-3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1470.65</v>
      </c>
      <c r="X77" s="8">
        <f>IFERROR(W77/W444, "NA")</f>
        <v>1.7857849743191344E-2</v>
      </c>
      <c r="Y77" s="9"/>
      <c r="Z77" s="7">
        <v>263.11999999999995</v>
      </c>
      <c r="AA77" s="8">
        <f>IFERROR(Z77/Z444, "NA")</f>
        <v>7.4595625201323416E-4</v>
      </c>
      <c r="AB77" s="9"/>
      <c r="AC77" s="10">
        <f t="shared" si="23"/>
        <v>1207.5300000000002</v>
      </c>
      <c r="AD77" s="8">
        <f>IFERROR(AC77/AC444, "NA")</f>
        <v>1.4578946929967373E-2</v>
      </c>
    </row>
    <row r="78" spans="1:30" ht="16.5" customHeight="1" x14ac:dyDescent="0.45">
      <c r="A78" s="12" t="s">
        <v>74</v>
      </c>
      <c r="B78" s="7">
        <v>25</v>
      </c>
      <c r="C78" s="8">
        <f>IFERROR(B78/B444, "NA")</f>
        <v>5.7397975729518517E-5</v>
      </c>
      <c r="D78" s="9"/>
      <c r="E78" s="7">
        <v>0</v>
      </c>
      <c r="F78" s="8">
        <f>IFERROR(E78/E444, "NA")</f>
        <v>0</v>
      </c>
      <c r="G78" s="9"/>
      <c r="H78" s="10">
        <f t="shared" si="20"/>
        <v>25</v>
      </c>
      <c r="I78" s="8">
        <f>IFERROR(H78/H444, "NA")</f>
        <v>3.0357069566503493E-4</v>
      </c>
      <c r="J78" s="9"/>
      <c r="K78" s="7">
        <v>25</v>
      </c>
      <c r="L78" s="8">
        <f>IFERROR(K78/K444, "NA")</f>
        <v>7.0876050092470567E-5</v>
      </c>
      <c r="M78" s="9"/>
      <c r="N78" s="10">
        <f t="shared" si="21"/>
        <v>0</v>
      </c>
      <c r="O78" s="8">
        <f>IFERROR(N78/N444, "NA")</f>
        <v>0</v>
      </c>
      <c r="P78" s="9"/>
      <c r="Q78" s="7">
        <v>25</v>
      </c>
      <c r="R78" s="8">
        <f>IFERROR(Q78/Q444, "NA")</f>
        <v>5.7397975729518517E-5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25</v>
      </c>
      <c r="X78" s="8">
        <f>IFERROR(W78/W444, "NA")</f>
        <v>3.0357069566503493E-4</v>
      </c>
      <c r="Y78" s="9"/>
      <c r="Z78" s="7">
        <v>25</v>
      </c>
      <c r="AA78" s="8">
        <f>IFERROR(Z78/Z444, "NA")</f>
        <v>7.0876050092470567E-5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44.85</v>
      </c>
      <c r="L79" s="8">
        <f>IFERROR(K79/K444, "NA")</f>
        <v>1.2715163386589222E-4</v>
      </c>
      <c r="M79" s="9"/>
      <c r="N79" s="10">
        <f t="shared" si="21"/>
        <v>-44.85</v>
      </c>
      <c r="O79" s="8">
        <f>IFERROR(N79/N444, "NA")</f>
        <v>-5.4149028993816847E-4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1.2715163386589222E-4</v>
      </c>
      <c r="AB79" s="9"/>
      <c r="AC79" s="10">
        <f t="shared" si="23"/>
        <v>-44.85</v>
      </c>
      <c r="AD79" s="8">
        <f>IFERROR(AC79/AC444, "NA")</f>
        <v>-5.4149028993816847E-4</v>
      </c>
    </row>
    <row r="80" spans="1:30" ht="16.5" customHeight="1" x14ac:dyDescent="0.45">
      <c r="A80" s="12" t="s">
        <v>76</v>
      </c>
      <c r="B80" s="7">
        <v>7987.380000000001</v>
      </c>
      <c r="C80" s="8">
        <f>IFERROR(B80/B444, "NA")</f>
        <v>1.8338377735297666E-2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7987.380000000001</v>
      </c>
      <c r="I80" s="8">
        <f>IFERROR(H80/H444, "NA")</f>
        <v>9.6989380125639471E-2</v>
      </c>
      <c r="J80" s="9"/>
      <c r="K80" s="7">
        <v>5205</v>
      </c>
      <c r="L80" s="8">
        <f>IFERROR(K80/K444, "NA")</f>
        <v>1.4756393629252374E-2</v>
      </c>
      <c r="M80" s="9"/>
      <c r="N80" s="10">
        <f t="shared" si="21"/>
        <v>2782.380000000001</v>
      </c>
      <c r="O80" s="8">
        <f>IFERROR(N80/N444, "NA")</f>
        <v>3.3592681224485214E-2</v>
      </c>
      <c r="P80" s="9"/>
      <c r="Q80" s="7">
        <v>7987.380000000001</v>
      </c>
      <c r="R80" s="8">
        <f>IFERROR(Q80/Q444, "NA")</f>
        <v>1.8338377735297666E-2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7987.380000000001</v>
      </c>
      <c r="X80" s="8">
        <f>IFERROR(W80/W444, "NA")</f>
        <v>9.6989380125639471E-2</v>
      </c>
      <c r="Y80" s="9"/>
      <c r="Z80" s="7">
        <v>5205</v>
      </c>
      <c r="AA80" s="8">
        <f>IFERROR(Z80/Z444, "NA")</f>
        <v>1.4756393629252374E-2</v>
      </c>
      <c r="AB80" s="9"/>
      <c r="AC80" s="10">
        <f t="shared" si="23"/>
        <v>2782.380000000001</v>
      </c>
      <c r="AD80" s="8">
        <f>IFERROR(AC80/AC444, "NA")</f>
        <v>3.3592681224485214E-2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70</v>
      </c>
      <c r="L86" s="8">
        <f>IFERROR(K86/K444, "NA")</f>
        <v>1.984529402589176E-4</v>
      </c>
      <c r="M86" s="9"/>
      <c r="N86" s="10">
        <f t="shared" si="21"/>
        <v>-70</v>
      </c>
      <c r="O86" s="8">
        <f>IFERROR(N86/N444, "NA")</f>
        <v>-8.4513534661475578E-4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70</v>
      </c>
      <c r="AA86" s="8">
        <f>IFERROR(Z86/Z444, "NA")</f>
        <v>1.984529402589176E-4</v>
      </c>
      <c r="AB86" s="9"/>
      <c r="AC86" s="10">
        <f t="shared" si="23"/>
        <v>-70</v>
      </c>
      <c r="AD86" s="8">
        <f>IFERROR(AC86/AC444, "NA")</f>
        <v>-8.4513534661475578E-4</v>
      </c>
    </row>
    <row r="87" spans="1:30" ht="16.5" customHeight="1" x14ac:dyDescent="0.45">
      <c r="A87" s="12" t="s">
        <v>83</v>
      </c>
      <c r="B87" s="7">
        <v>988.28</v>
      </c>
      <c r="C87" s="8">
        <f>IFERROR(B87/B444, "NA")</f>
        <v>2.2690108581587421E-3</v>
      </c>
      <c r="D87" s="9"/>
      <c r="E87" s="7">
        <v>0</v>
      </c>
      <c r="F87" s="8">
        <f>IFERROR(E87/E444, "NA")</f>
        <v>0</v>
      </c>
      <c r="G87" s="9"/>
      <c r="H87" s="10">
        <f t="shared" si="20"/>
        <v>988.28</v>
      </c>
      <c r="I87" s="8">
        <f>IFERROR(H87/H444, "NA")</f>
        <v>1.2000513884473627E-2</v>
      </c>
      <c r="J87" s="9"/>
      <c r="K87" s="7">
        <v>0</v>
      </c>
      <c r="L87" s="8">
        <f>IFERROR(K87/K444, "NA")</f>
        <v>0</v>
      </c>
      <c r="M87" s="9"/>
      <c r="N87" s="10">
        <f t="shared" si="21"/>
        <v>988.28</v>
      </c>
      <c r="O87" s="8">
        <f>IFERROR(N87/N444, "NA")</f>
        <v>1.1931862290749011E-2</v>
      </c>
      <c r="P87" s="9"/>
      <c r="Q87" s="7">
        <v>988.28</v>
      </c>
      <c r="R87" s="8">
        <f>IFERROR(Q87/Q444, "NA")</f>
        <v>2.2690108581587421E-3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1.2000513884473627E-2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1.1931862290749011E-2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10471.310000000001</v>
      </c>
      <c r="C88" s="15">
        <f>IFERROR(B88/B444, "NA")</f>
        <v>2.4041279889450585E-2</v>
      </c>
      <c r="D88" s="2"/>
      <c r="E88" s="14">
        <f>IFERROR(E75+E76+E77+E78+E79+E80+E81+E82+E83+E84+E85+E86+E87, "NA")</f>
        <v>6275.7100000000009</v>
      </c>
      <c r="F88" s="15">
        <f>IFERROR(E88/E444, "NA")</f>
        <v>1.7768033157429416E-2</v>
      </c>
      <c r="G88" s="2"/>
      <c r="H88" s="14">
        <f t="shared" si="20"/>
        <v>4195.6000000000004</v>
      </c>
      <c r="I88" s="15">
        <f>IFERROR(H88/H444, "NA")</f>
        <v>5.0946448429288825E-2</v>
      </c>
      <c r="J88" s="2"/>
      <c r="K88" s="14">
        <f>IFERROR(K75+K76+K77+K78+K79+K80+K81+K82+K83+K84+K85+K86+K87, "NA")</f>
        <v>5607.97</v>
      </c>
      <c r="L88" s="15">
        <f>IFERROR(K88/K444, "NA")</f>
        <v>1.5898830505482887E-2</v>
      </c>
      <c r="M88" s="2"/>
      <c r="N88" s="14">
        <f t="shared" si="21"/>
        <v>4863.3400000000011</v>
      </c>
      <c r="O88" s="15">
        <f>IFERROR(N88/N444, "NA")</f>
        <v>5.8716864808648669E-2</v>
      </c>
      <c r="P88" s="2"/>
      <c r="Q88" s="14">
        <f>IFERROR(Q75+Q76+Q77+Q78+Q79+Q80+Q81+Q82+Q83+Q84+Q85+Q86+Q87, "NA")</f>
        <v>10471.310000000001</v>
      </c>
      <c r="R88" s="15">
        <f>IFERROR(Q88/Q444, "NA")</f>
        <v>2.4041279889450585E-2</v>
      </c>
      <c r="S88" s="2"/>
      <c r="T88" s="14">
        <f>IFERROR(T75+T76+T77+T78+T79+T80+T81+T82+T83+T84+T85+T86+T87, "NA")</f>
        <v>6275.7100000000009</v>
      </c>
      <c r="U88" s="15">
        <f>IFERROR(T88/T444, "NA")</f>
        <v>1.7768033157429416E-2</v>
      </c>
      <c r="V88" s="2"/>
      <c r="W88" s="14">
        <f t="shared" si="22"/>
        <v>4195.6000000000004</v>
      </c>
      <c r="X88" s="15">
        <f>IFERROR(W88/W444, "NA")</f>
        <v>5.0946448429288825E-2</v>
      </c>
      <c r="Y88" s="2"/>
      <c r="Z88" s="14">
        <f>IFERROR(Z75+Z76+Z77+Z78+Z79+Z80+Z81+Z82+Z83+Z84+Z85+Z86+Z87, "NA")</f>
        <v>5607.97</v>
      </c>
      <c r="AA88" s="15">
        <f>IFERROR(Z88/Z444, "NA")</f>
        <v>1.5898830505482887E-2</v>
      </c>
      <c r="AB88" s="2"/>
      <c r="AC88" s="14">
        <f t="shared" si="23"/>
        <v>4863.3400000000011</v>
      </c>
      <c r="AD88" s="15">
        <f>IFERROR(AC88/AC444, "NA")</f>
        <v>5.8716864808648669E-2</v>
      </c>
    </row>
    <row r="89" spans="1:30" ht="16.5" customHeight="1" x14ac:dyDescent="0.45">
      <c r="A89" s="6" t="s">
        <v>85</v>
      </c>
      <c r="B89" s="7">
        <v>-19.260000000000002</v>
      </c>
      <c r="C89" s="8">
        <f>IFERROR(B89/B444, "NA")</f>
        <v>-4.4219400502021065E-5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-19.260000000000002</v>
      </c>
      <c r="I89" s="8">
        <f>IFERROR(H89/H444, "NA")</f>
        <v>-2.3387086394034291E-4</v>
      </c>
      <c r="J89" s="9"/>
      <c r="K89" s="7">
        <v>3180.08</v>
      </c>
      <c r="L89" s="8">
        <f>IFERROR(K89/K444, "NA")</f>
        <v>9.0156603751225528E-3</v>
      </c>
      <c r="M89" s="9"/>
      <c r="N89" s="10">
        <f t="shared" si="21"/>
        <v>-3199.34</v>
      </c>
      <c r="O89" s="8">
        <f>IFERROR(N89/N444, "NA")</f>
        <v>-3.8626790283406466E-2</v>
      </c>
      <c r="P89" s="9"/>
      <c r="Q89" s="7">
        <v>-19.260000000000002</v>
      </c>
      <c r="R89" s="8">
        <f>IFERROR(Q89/Q444, "NA")</f>
        <v>-4.4219400502021065E-5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-19.260000000000002</v>
      </c>
      <c r="X89" s="8">
        <f>IFERROR(W89/W444, "NA")</f>
        <v>-2.3387086394034291E-4</v>
      </c>
      <c r="Y89" s="9"/>
      <c r="Z89" s="7">
        <v>3180.08</v>
      </c>
      <c r="AA89" s="8">
        <f>IFERROR(Z89/Z444, "NA")</f>
        <v>9.0156603751225528E-3</v>
      </c>
      <c r="AB89" s="9"/>
      <c r="AC89" s="10">
        <f t="shared" si="23"/>
        <v>-3199.34</v>
      </c>
      <c r="AD89" s="8">
        <f>IFERROR(AC89/AC444, "NA")</f>
        <v>-3.8626790283406466E-2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-13222.880000000001</v>
      </c>
      <c r="F94" s="8">
        <f>IFERROR(E94/E444, "NA")</f>
        <v>-3.7437129866853353E-2</v>
      </c>
      <c r="G94" s="9"/>
      <c r="H94" s="10">
        <f t="shared" ref="H94:H124" si="24">IFERROR(B94-E94, "NA")</f>
        <v>13222.880000000001</v>
      </c>
      <c r="I94" s="8">
        <f>IFERROR(H94/H444, "NA")</f>
        <v>0.16056315521181108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-13222.880000000001</v>
      </c>
      <c r="U94" s="8">
        <f>IFERROR(T94/T444, "NA")</f>
        <v>-3.7437129866853353E-2</v>
      </c>
      <c r="V94" s="9"/>
      <c r="W94" s="10">
        <f t="shared" ref="W94:W124" si="26">IFERROR(Q94-T94, "NA")</f>
        <v>13222.880000000001</v>
      </c>
      <c r="X94" s="8">
        <f>IFERROR(W94/W444, "NA")</f>
        <v>0.16056315521181108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-6974.02</v>
      </c>
      <c r="C96" s="8">
        <f>IFERROR(B96/B444, "NA")</f>
        <v>-1.6011785227887071E-2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-6974.02</v>
      </c>
      <c r="I96" s="8">
        <f>IFERROR(H96/H444, "NA")</f>
        <v>-8.4684324119274679E-2</v>
      </c>
      <c r="J96" s="9"/>
      <c r="K96" s="7">
        <v>-2854.95</v>
      </c>
      <c r="L96" s="8">
        <f>IFERROR(K96/K444, "NA")</f>
        <v>-8.0939031684599538E-3</v>
      </c>
      <c r="M96" s="9"/>
      <c r="N96" s="10">
        <f t="shared" si="25"/>
        <v>-4119.0700000000006</v>
      </c>
      <c r="O96" s="8">
        <f>IFERROR(N96/N444, "NA")</f>
        <v>-4.9731023602577751E-2</v>
      </c>
      <c r="P96" s="9"/>
      <c r="Q96" s="7">
        <v>-6974.02</v>
      </c>
      <c r="R96" s="8">
        <f>IFERROR(Q96/Q444, "NA")</f>
        <v>-1.6011785227887071E-2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-6974.02</v>
      </c>
      <c r="X96" s="8">
        <f>IFERROR(W96/W444, "NA")</f>
        <v>-8.4684324119274679E-2</v>
      </c>
      <c r="Y96" s="9"/>
      <c r="Z96" s="7">
        <v>-2854.95</v>
      </c>
      <c r="AA96" s="8">
        <f>IFERROR(Z96/Z444, "NA")</f>
        <v>-8.0939031684599538E-3</v>
      </c>
      <c r="AB96" s="9"/>
      <c r="AC96" s="10">
        <f t="shared" si="27"/>
        <v>-4119.0700000000006</v>
      </c>
      <c r="AD96" s="8">
        <f>IFERROR(AC96/AC444, "NA")</f>
        <v>-4.9731023602577751E-2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-8172.2099999999991</v>
      </c>
      <c r="C98" s="8">
        <f>IFERROR(B98/B444, "NA")</f>
        <v>-1.8762732449461139E-2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-8172.2099999999991</v>
      </c>
      <c r="I98" s="8">
        <f>IFERROR(H98/H444, "NA")</f>
        <v>-9.9233738992830195E-2</v>
      </c>
      <c r="J98" s="9"/>
      <c r="K98" s="7">
        <v>-6595.01</v>
      </c>
      <c r="L98" s="8">
        <f>IFERROR(K98/K444, "NA")</f>
        <v>-1.8697130364813776E-2</v>
      </c>
      <c r="M98" s="9"/>
      <c r="N98" s="10">
        <f t="shared" si="25"/>
        <v>-1577.1999999999989</v>
      </c>
      <c r="O98" s="8">
        <f>IFERROR(N98/N444, "NA")</f>
        <v>-1.9042106695439882E-2</v>
      </c>
      <c r="P98" s="9"/>
      <c r="Q98" s="7">
        <v>-8172.2099999999991</v>
      </c>
      <c r="R98" s="8">
        <f>IFERROR(Q98/Q444, "NA")</f>
        <v>-1.8762732449461139E-2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-8172.2099999999991</v>
      </c>
      <c r="X98" s="8">
        <f>IFERROR(W98/W444, "NA")</f>
        <v>-9.9233738992830195E-2</v>
      </c>
      <c r="Y98" s="9"/>
      <c r="Z98" s="7">
        <v>-6595.01</v>
      </c>
      <c r="AA98" s="8">
        <f>IFERROR(Z98/Z444, "NA")</f>
        <v>-1.8697130364813776E-2</v>
      </c>
      <c r="AB98" s="9"/>
      <c r="AC98" s="10">
        <f t="shared" si="27"/>
        <v>-1577.1999999999989</v>
      </c>
      <c r="AD98" s="8">
        <f>IFERROR(AC98/AC444, "NA")</f>
        <v>-1.9042106695439882E-2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-1527.11</v>
      </c>
      <c r="C100" s="8">
        <f>IFERROR(B100/B444, "NA")</f>
        <v>-3.5061209086522005E-3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-1527.11</v>
      </c>
      <c r="I100" s="8">
        <f>IFERROR(H100/H444, "NA")</f>
        <v>-1.8543433802281257E-2</v>
      </c>
      <c r="J100" s="9"/>
      <c r="K100" s="7">
        <v>-6753.96</v>
      </c>
      <c r="L100" s="8">
        <f>IFERROR(K100/K444, "NA")</f>
        <v>-1.9147760291301701E-2</v>
      </c>
      <c r="M100" s="9"/>
      <c r="N100" s="10">
        <f t="shared" si="25"/>
        <v>5226.8500000000004</v>
      </c>
      <c r="O100" s="8">
        <f>IFERROR(N100/N444, "NA")</f>
        <v>6.3105652663619088E-2</v>
      </c>
      <c r="P100" s="9"/>
      <c r="Q100" s="7">
        <v>-1527.11</v>
      </c>
      <c r="R100" s="8">
        <f>IFERROR(Q100/Q444, "NA")</f>
        <v>-3.5061209086522005E-3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-1527.11</v>
      </c>
      <c r="X100" s="8">
        <f>IFERROR(W100/W444, "NA")</f>
        <v>-1.8543433802281257E-2</v>
      </c>
      <c r="Y100" s="9"/>
      <c r="Z100" s="7">
        <v>-6753.96</v>
      </c>
      <c r="AA100" s="8">
        <f>IFERROR(Z100/Z444, "NA")</f>
        <v>-1.9147760291301701E-2</v>
      </c>
      <c r="AB100" s="9"/>
      <c r="AC100" s="10">
        <f t="shared" si="27"/>
        <v>5226.8500000000004</v>
      </c>
      <c r="AD100" s="8">
        <f>IFERROR(AC100/AC444, "NA")</f>
        <v>6.3105652663619088E-2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-4521.2300000000005</v>
      </c>
      <c r="C102" s="8">
        <f>IFERROR(B102/B444, "NA")</f>
        <v>-1.038037799230284E-2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-4521.2300000000005</v>
      </c>
      <c r="I102" s="8">
        <f>IFERROR(H102/H444, "NA")</f>
        <v>-5.4900517454465038E-2</v>
      </c>
      <c r="J102" s="9"/>
      <c r="K102" s="7">
        <v>-1430.55</v>
      </c>
      <c r="L102" s="8">
        <f>IFERROR(K102/K444, "NA")</f>
        <v>-4.055669338391351E-3</v>
      </c>
      <c r="M102" s="9"/>
      <c r="N102" s="10">
        <f t="shared" si="25"/>
        <v>-3090.6800000000003</v>
      </c>
      <c r="O102" s="8">
        <f>IFERROR(N102/N444, "NA")</f>
        <v>-3.731489875821848E-2</v>
      </c>
      <c r="P102" s="9"/>
      <c r="Q102" s="7">
        <v>-4521.2300000000005</v>
      </c>
      <c r="R102" s="8">
        <f>IFERROR(Q102/Q444, "NA")</f>
        <v>-1.038037799230284E-2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-4521.2300000000005</v>
      </c>
      <c r="X102" s="8">
        <f>IFERROR(W102/W444, "NA")</f>
        <v>-5.4900517454465038E-2</v>
      </c>
      <c r="Y102" s="9"/>
      <c r="Z102" s="7">
        <v>-1430.55</v>
      </c>
      <c r="AA102" s="8">
        <f>IFERROR(Z102/Z444, "NA")</f>
        <v>-4.055669338391351E-3</v>
      </c>
      <c r="AB102" s="9"/>
      <c r="AC102" s="10">
        <f t="shared" si="27"/>
        <v>-3090.6800000000003</v>
      </c>
      <c r="AD102" s="8">
        <f>IFERROR(AC102/AC444, "NA")</f>
        <v>-3.731489875821848E-2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-2687.4</v>
      </c>
      <c r="C104" s="8">
        <f>IFERROR(B104/B444, "NA")</f>
        <v>-6.1700527990203227E-3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-2687.4</v>
      </c>
      <c r="I104" s="8">
        <f>IFERROR(H104/H444, "NA")</f>
        <v>-3.2632635501208596E-2</v>
      </c>
      <c r="J104" s="9"/>
      <c r="K104" s="7">
        <v>-3887.73</v>
      </c>
      <c r="L104" s="8">
        <f>IFERROR(K104/K444, "NA")</f>
        <v>-1.1021877849040025E-2</v>
      </c>
      <c r="M104" s="9"/>
      <c r="N104" s="10">
        <f t="shared" si="25"/>
        <v>1200.33</v>
      </c>
      <c r="O104" s="8">
        <f>IFERROR(N104/N444, "NA")</f>
        <v>1.4492018722886996E-2</v>
      </c>
      <c r="P104" s="9"/>
      <c r="Q104" s="7">
        <v>-2687.4</v>
      </c>
      <c r="R104" s="8">
        <f>IFERROR(Q104/Q444, "NA")</f>
        <v>-6.1700527990203227E-3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-2687.4</v>
      </c>
      <c r="X104" s="8">
        <f>IFERROR(W104/W444, "NA")</f>
        <v>-3.2632635501208596E-2</v>
      </c>
      <c r="Y104" s="9"/>
      <c r="Z104" s="7">
        <v>-3887.73</v>
      </c>
      <c r="AA104" s="8">
        <f>IFERROR(Z104/Z444, "NA")</f>
        <v>-1.1021877849040025E-2</v>
      </c>
      <c r="AB104" s="9"/>
      <c r="AC104" s="10">
        <f t="shared" si="27"/>
        <v>1200.33</v>
      </c>
      <c r="AD104" s="8">
        <f>IFERROR(AC104/AC444, "NA")</f>
        <v>1.4492018722886996E-2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-1085.6100000000001</v>
      </c>
      <c r="C106" s="8">
        <f>IFERROR(B106/B444, "NA")</f>
        <v>-2.4924726572689042E-3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-1085.6100000000001</v>
      </c>
      <c r="I106" s="8">
        <f>IFERROR(H106/H444, "NA")</f>
        <v>-1.3182375316836744E-2</v>
      </c>
      <c r="J106" s="9"/>
      <c r="K106" s="7">
        <v>-3036.38</v>
      </c>
      <c r="L106" s="8">
        <f>IFERROR(K106/K444, "NA")</f>
        <v>-8.6082648391910318E-3</v>
      </c>
      <c r="M106" s="9"/>
      <c r="N106" s="10">
        <f t="shared" si="25"/>
        <v>1950.77</v>
      </c>
      <c r="O106" s="8">
        <f>IFERROR(N106/N444, "NA")</f>
        <v>2.3552352573080956E-2</v>
      </c>
      <c r="P106" s="9"/>
      <c r="Q106" s="7">
        <v>-1085.6100000000001</v>
      </c>
      <c r="R106" s="8">
        <f>IFERROR(Q106/Q444, "NA")</f>
        <v>-2.4924726572689042E-3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-1085.6100000000001</v>
      </c>
      <c r="X106" s="8">
        <f>IFERROR(W106/W444, "NA")</f>
        <v>-1.3182375316836744E-2</v>
      </c>
      <c r="Y106" s="9"/>
      <c r="Z106" s="7">
        <v>-3036.38</v>
      </c>
      <c r="AA106" s="8">
        <f>IFERROR(Z106/Z444, "NA")</f>
        <v>-8.6082648391910318E-3</v>
      </c>
      <c r="AB106" s="9"/>
      <c r="AC106" s="10">
        <f t="shared" si="27"/>
        <v>1950.77</v>
      </c>
      <c r="AD106" s="8">
        <f>IFERROR(AC106/AC444, "NA")</f>
        <v>2.3552352573080956E-2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-11.55</v>
      </c>
      <c r="L111" s="8">
        <f>IFERROR(K111/K444, "NA")</f>
        <v>-3.2744735142721407E-5</v>
      </c>
      <c r="M111" s="9"/>
      <c r="N111" s="10">
        <f t="shared" si="25"/>
        <v>11.55</v>
      </c>
      <c r="O111" s="8">
        <f>IFERROR(N111/N444, "NA")</f>
        <v>1.3944733219143471E-4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-3.2744735142721407E-5</v>
      </c>
      <c r="AB111" s="9"/>
      <c r="AC111" s="10">
        <f t="shared" si="27"/>
        <v>11.55</v>
      </c>
      <c r="AD111" s="8">
        <f>IFERROR(AC111/AC444, "NA")</f>
        <v>1.3944733219143471E-4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-24967.58</v>
      </c>
      <c r="C118" s="15">
        <f>IFERROR(B118/B444, "NA")</f>
        <v>-5.732354203459248E-2</v>
      </c>
      <c r="D118" s="2"/>
      <c r="E118" s="14">
        <f>IFERROR(E94+E95+E96+E97+E98+E99+E100+E101+E102+E103+E104+E105+E106+E107+E108+E109+E110+E111+E112+E113+E114+E115+E116+E117, "NA")</f>
        <v>-13222.880000000001</v>
      </c>
      <c r="F118" s="15">
        <f>IFERROR(E118/E444, "NA")</f>
        <v>-3.7437129866853353E-2</v>
      </c>
      <c r="G118" s="2"/>
      <c r="H118" s="14">
        <f t="shared" si="24"/>
        <v>-11744.7</v>
      </c>
      <c r="I118" s="15">
        <f>IFERROR(H118/H444, "NA")</f>
        <v>-0.14261386997508543</v>
      </c>
      <c r="J118" s="2"/>
      <c r="K118" s="14">
        <f>IFERROR(K94+K95+K96+K97+K98+K99+K100+K101+K102+K103+K104+K105+K106+K107+K108+K109+K110+K111+K112+K113+K114+K115+K116+K117, "NA")</f>
        <v>-24570.129999999997</v>
      </c>
      <c r="L118" s="15">
        <f>IFERROR(K118/K444, "NA")</f>
        <v>-6.9657350586340552E-2</v>
      </c>
      <c r="M118" s="2"/>
      <c r="N118" s="14">
        <f t="shared" si="25"/>
        <v>-397.45000000000437</v>
      </c>
      <c r="O118" s="15">
        <f>IFERROR(N118/N444, "NA")</f>
        <v>-4.7985577644576909E-3</v>
      </c>
      <c r="P118" s="2"/>
      <c r="Q118" s="14">
        <f>IFERROR(Q94+Q95+Q96+Q97+Q98+Q99+Q100+Q101+Q102+Q103+Q104+Q105+Q106+Q107+Q108+Q109+Q110+Q111+Q112+Q113+Q114+Q115+Q116+Q117, "NA")</f>
        <v>-24967.58</v>
      </c>
      <c r="R118" s="15">
        <f>IFERROR(Q118/Q444, "NA")</f>
        <v>-5.732354203459248E-2</v>
      </c>
      <c r="S118" s="2"/>
      <c r="T118" s="14">
        <f>IFERROR(T94+T95+T96+T97+T98+T99+T100+T101+T102+T103+T104+T105+T106+T107+T108+T109+T110+T111+T112+T113+T114+T115+T116+T117, "NA")</f>
        <v>-13222.880000000001</v>
      </c>
      <c r="U118" s="15">
        <f>IFERROR(T118/T444, "NA")</f>
        <v>-3.7437129866853353E-2</v>
      </c>
      <c r="V118" s="2"/>
      <c r="W118" s="14">
        <f t="shared" si="26"/>
        <v>-11744.7</v>
      </c>
      <c r="X118" s="15">
        <f>IFERROR(W118/W444, "NA")</f>
        <v>-0.14261386997508543</v>
      </c>
      <c r="Y118" s="2"/>
      <c r="Z118" s="14">
        <f>IFERROR(Z94+Z95+Z96+Z97+Z98+Z99+Z100+Z101+Z102+Z103+Z104+Z105+Z106+Z107+Z108+Z109+Z110+Z111+Z112+Z113+Z114+Z115+Z116+Z117, "NA")</f>
        <v>-24570.129999999997</v>
      </c>
      <c r="AA118" s="15">
        <f>IFERROR(Z118/Z444, "NA")</f>
        <v>-6.9657350586340552E-2</v>
      </c>
      <c r="AB118" s="2"/>
      <c r="AC118" s="14">
        <f t="shared" si="27"/>
        <v>-397.45000000000437</v>
      </c>
      <c r="AD118" s="15">
        <f>IFERROR(AC118/AC444, "NA")</f>
        <v>-4.7985577644576909E-3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435555.43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353202.29000000004</v>
      </c>
      <c r="F122" s="15">
        <f>IFERROR(E122/E444, "NA")</f>
        <v>1</v>
      </c>
      <c r="G122" s="2"/>
      <c r="H122" s="14">
        <f t="shared" si="24"/>
        <v>82353.139999999956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352728.46</v>
      </c>
      <c r="L122" s="15">
        <f>IFERROR(K122/K444, "NA")</f>
        <v>1.0000000000000002</v>
      </c>
      <c r="M122" s="2"/>
      <c r="N122" s="14">
        <f t="shared" si="25"/>
        <v>82826.969999999972</v>
      </c>
      <c r="O122" s="15">
        <f>IFERROR(N122/N444, "NA")</f>
        <v>0.99999999999999933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435555.43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353202.29000000004</v>
      </c>
      <c r="U122" s="15">
        <f>IFERROR(T122/T444, "NA")</f>
        <v>1</v>
      </c>
      <c r="V122" s="2"/>
      <c r="W122" s="14">
        <f t="shared" si="26"/>
        <v>82353.139999999956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352728.46</v>
      </c>
      <c r="AA122" s="15">
        <f>IFERROR(Z122/Z444, "NA")</f>
        <v>1.0000000000000002</v>
      </c>
      <c r="AB122" s="2"/>
      <c r="AC122" s="14">
        <f t="shared" si="27"/>
        <v>82826.969999999972</v>
      </c>
      <c r="AD122" s="15">
        <f>IFERROR(AC122/AC444, "NA")</f>
        <v>0.99999999999999933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435555.43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353202.29000000004</v>
      </c>
      <c r="F124" s="15">
        <f>IFERROR(E124/E444, "NA")</f>
        <v>1</v>
      </c>
      <c r="G124" s="2"/>
      <c r="H124" s="14">
        <f t="shared" si="24"/>
        <v>82353.139999999956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352728.46</v>
      </c>
      <c r="L124" s="15">
        <f>IFERROR(K124/K444, "NA")</f>
        <v>1.0000000000000002</v>
      </c>
      <c r="M124" s="2"/>
      <c r="N124" s="14">
        <f t="shared" si="25"/>
        <v>82826.969999999972</v>
      </c>
      <c r="O124" s="15">
        <f>IFERROR(N124/N444, "NA")</f>
        <v>0.99999999999999933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435555.43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353202.29000000004</v>
      </c>
      <c r="U124" s="15">
        <f>IFERROR(T124/T444, "NA")</f>
        <v>1</v>
      </c>
      <c r="V124" s="2"/>
      <c r="W124" s="14">
        <f t="shared" si="26"/>
        <v>82353.139999999956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352728.46</v>
      </c>
      <c r="AA124" s="15">
        <f>IFERROR(Z124/Z444, "NA")</f>
        <v>1.0000000000000002</v>
      </c>
      <c r="AB124" s="2"/>
      <c r="AC124" s="14">
        <f t="shared" si="27"/>
        <v>82826.969999999972</v>
      </c>
      <c r="AD124" s="15">
        <f>IFERROR(AC124/AC444, "NA")</f>
        <v>0.99999999999999933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92252.34</v>
      </c>
      <c r="F129" s="8">
        <f>IFERROR(E129/E444, "NA")</f>
        <v>0.26118839716469561</v>
      </c>
      <c r="G129" s="9"/>
      <c r="H129" s="10">
        <f t="shared" ref="H129:H141" si="28">IFERROR(-(B129-E129), "NA")</f>
        <v>92252.34</v>
      </c>
      <c r="I129" s="8">
        <f>IFERROR(H129/H444, "NA")</f>
        <v>1.1202042812210931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92252.34</v>
      </c>
      <c r="U129" s="8">
        <f>IFERROR(T129/T444, "NA")</f>
        <v>0.26118839716469561</v>
      </c>
      <c r="V129" s="9"/>
      <c r="W129" s="10">
        <f t="shared" ref="W129:W141" si="30">IFERROR(-(Q129-T129), "NA")</f>
        <v>92252.34</v>
      </c>
      <c r="X129" s="8">
        <f>IFERROR(W129/W444, "NA")</f>
        <v>1.1202042812210931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24234.71</v>
      </c>
      <c r="C130" s="8">
        <f>IFERROR(B130/B444, "NA")</f>
        <v>5.5640931855676784E-2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-24234.71</v>
      </c>
      <c r="I130" s="8">
        <f>IFERROR(H130/H444, "NA")</f>
        <v>-0.29427791095761513</v>
      </c>
      <c r="J130" s="9"/>
      <c r="K130" s="7">
        <v>23763.47</v>
      </c>
      <c r="L130" s="8">
        <f>IFERROR(K130/K444, "NA")</f>
        <v>6.7370435603636869E-2</v>
      </c>
      <c r="M130" s="9"/>
      <c r="N130" s="10">
        <f t="shared" si="29"/>
        <v>-471.23999999999796</v>
      </c>
      <c r="O130" s="8">
        <f>IFERROR(N130/N444, "NA")</f>
        <v>-5.6894511534105107E-3</v>
      </c>
      <c r="P130" s="9"/>
      <c r="Q130" s="7">
        <v>24234.71</v>
      </c>
      <c r="R130" s="8">
        <f>IFERROR(Q130/Q444, "NA")</f>
        <v>5.5640931855676784E-2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-24234.71</v>
      </c>
      <c r="X130" s="8">
        <f>IFERROR(W130/W444, "NA")</f>
        <v>-0.29427791095761513</v>
      </c>
      <c r="Y130" s="9"/>
      <c r="Z130" s="7">
        <v>23763.47</v>
      </c>
      <c r="AA130" s="8">
        <f>IFERROR(Z130/Z444, "NA")</f>
        <v>6.7370435603636869E-2</v>
      </c>
      <c r="AB130" s="9"/>
      <c r="AC130" s="10">
        <f t="shared" si="31"/>
        <v>-471.23999999999796</v>
      </c>
      <c r="AD130" s="8">
        <f>IFERROR(AC130/AC444, "NA")</f>
        <v>-5.6894511534105107E-3</v>
      </c>
    </row>
    <row r="131" spans="1:30" ht="16.5" customHeight="1" x14ac:dyDescent="0.45">
      <c r="A131" s="12" t="s">
        <v>123</v>
      </c>
      <c r="B131" s="7">
        <v>13433.78</v>
      </c>
      <c r="C131" s="8">
        <f>IFERROR(B131/B444, "NA")</f>
        <v>3.0842871135827652E-2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-13433.78</v>
      </c>
      <c r="I131" s="8">
        <f>IFERROR(H131/H444, "NA")</f>
        <v>-0.16312407760044131</v>
      </c>
      <c r="J131" s="9"/>
      <c r="K131" s="7">
        <v>11821.17</v>
      </c>
      <c r="L131" s="8">
        <f>IFERROR(K131/K444, "NA")</f>
        <v>3.3513513482864417E-2</v>
      </c>
      <c r="M131" s="9"/>
      <c r="N131" s="10">
        <f t="shared" si="29"/>
        <v>-1612.6100000000006</v>
      </c>
      <c r="O131" s="8">
        <f>IFERROR(N131/N444, "NA")</f>
        <v>-1.9469624447206024E-2</v>
      </c>
      <c r="P131" s="9"/>
      <c r="Q131" s="7">
        <v>13433.78</v>
      </c>
      <c r="R131" s="8">
        <f>IFERROR(Q131/Q444, "NA")</f>
        <v>3.0842871135827652E-2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-13433.78</v>
      </c>
      <c r="X131" s="8">
        <f>IFERROR(W131/W444, "NA")</f>
        <v>-0.16312407760044131</v>
      </c>
      <c r="Y131" s="9"/>
      <c r="Z131" s="7">
        <v>11821.17</v>
      </c>
      <c r="AA131" s="8">
        <f>IFERROR(Z131/Z444, "NA")</f>
        <v>3.3513513482864417E-2</v>
      </c>
      <c r="AB131" s="9"/>
      <c r="AC131" s="10">
        <f t="shared" si="31"/>
        <v>-1612.6100000000006</v>
      </c>
      <c r="AD131" s="8">
        <f>IFERROR(AC131/AC444, "NA")</f>
        <v>-1.9469624447206024E-2</v>
      </c>
    </row>
    <row r="132" spans="1:30" ht="16.5" customHeight="1" x14ac:dyDescent="0.45">
      <c r="A132" s="12" t="s">
        <v>124</v>
      </c>
      <c r="B132" s="7">
        <v>16481.650000000001</v>
      </c>
      <c r="C132" s="8">
        <f>IFERROR(B132/B444, "NA")</f>
        <v>3.7840533867296758E-2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-16481.650000000001</v>
      </c>
      <c r="I132" s="8">
        <f>IFERROR(H132/H444, "NA")</f>
        <v>-0.20013383824830491</v>
      </c>
      <c r="J132" s="9"/>
      <c r="K132" s="7">
        <v>11605.380000000001</v>
      </c>
      <c r="L132" s="8">
        <f>IFERROR(K132/K444, "NA")</f>
        <v>3.2901739768886246E-2</v>
      </c>
      <c r="M132" s="9"/>
      <c r="N132" s="10">
        <f t="shared" si="29"/>
        <v>-4876.2700000000004</v>
      </c>
      <c r="O132" s="8">
        <f>IFERROR(N132/N444, "NA")</f>
        <v>-5.8872973380530505E-2</v>
      </c>
      <c r="P132" s="9"/>
      <c r="Q132" s="7">
        <v>16481.650000000001</v>
      </c>
      <c r="R132" s="8">
        <f>IFERROR(Q132/Q444, "NA")</f>
        <v>3.7840533867296758E-2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-16481.650000000001</v>
      </c>
      <c r="X132" s="8">
        <f>IFERROR(W132/W444, "NA")</f>
        <v>-0.20013383824830491</v>
      </c>
      <c r="Y132" s="9"/>
      <c r="Z132" s="7">
        <v>11605.380000000001</v>
      </c>
      <c r="AA132" s="8">
        <f>IFERROR(Z132/Z444, "NA")</f>
        <v>3.2901739768886246E-2</v>
      </c>
      <c r="AB132" s="9"/>
      <c r="AC132" s="10">
        <f t="shared" si="31"/>
        <v>-4876.2700000000004</v>
      </c>
      <c r="AD132" s="8">
        <f>IFERROR(AC132/AC444, "NA")</f>
        <v>-5.8872973380530505E-2</v>
      </c>
    </row>
    <row r="133" spans="1:30" ht="16.5" customHeight="1" x14ac:dyDescent="0.45">
      <c r="A133" s="12" t="s">
        <v>125</v>
      </c>
      <c r="B133" s="7">
        <v>10044.06</v>
      </c>
      <c r="C133" s="8">
        <f>IFERROR(B133/B444, "NA")</f>
        <v>2.306034848423311E-2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-10044.06</v>
      </c>
      <c r="I133" s="8">
        <f>IFERROR(H133/H444, "NA")</f>
        <v>-0.12196329126005402</v>
      </c>
      <c r="J133" s="9"/>
      <c r="K133" s="7">
        <v>6240.34</v>
      </c>
      <c r="L133" s="8">
        <f>IFERROR(K133/K444, "NA")</f>
        <v>1.7691626017361912E-2</v>
      </c>
      <c r="M133" s="9"/>
      <c r="N133" s="10">
        <f t="shared" si="29"/>
        <v>-3803.7199999999993</v>
      </c>
      <c r="O133" s="8">
        <f>IFERROR(N133/N444, "NA")</f>
        <v>-4.5923688866078262E-2</v>
      </c>
      <c r="P133" s="9"/>
      <c r="Q133" s="7">
        <v>10044.06</v>
      </c>
      <c r="R133" s="8">
        <f>IFERROR(Q133/Q444, "NA")</f>
        <v>2.306034848423311E-2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-10044.06</v>
      </c>
      <c r="X133" s="8">
        <f>IFERROR(W133/W444, "NA")</f>
        <v>-0.12196329126005402</v>
      </c>
      <c r="Y133" s="9"/>
      <c r="Z133" s="7">
        <v>6240.34</v>
      </c>
      <c r="AA133" s="8">
        <f>IFERROR(Z133/Z444, "NA")</f>
        <v>1.7691626017361912E-2</v>
      </c>
      <c r="AB133" s="9"/>
      <c r="AC133" s="10">
        <f t="shared" si="31"/>
        <v>-3803.7199999999993</v>
      </c>
      <c r="AD133" s="8">
        <f>IFERROR(AC133/AC444, "NA")</f>
        <v>-4.5923688866078262E-2</v>
      </c>
    </row>
    <row r="134" spans="1:30" ht="16.5" customHeight="1" x14ac:dyDescent="0.45">
      <c r="A134" s="12" t="s">
        <v>126</v>
      </c>
      <c r="B134" s="7">
        <v>3525.03</v>
      </c>
      <c r="C134" s="8">
        <f>IFERROR(B134/B444, "NA")</f>
        <v>8.0931834554329868E-3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-3525.03</v>
      </c>
      <c r="I134" s="8">
        <f>IFERROR(H134/H444, "NA")</f>
        <v>-4.2803832373604724E-2</v>
      </c>
      <c r="J134" s="9"/>
      <c r="K134" s="7">
        <v>4207.17</v>
      </c>
      <c r="L134" s="8">
        <f>IFERROR(K134/K444, "NA")</f>
        <v>1.1927503666701577E-2</v>
      </c>
      <c r="M134" s="9"/>
      <c r="N134" s="10">
        <f t="shared" si="29"/>
        <v>682.13999999999987</v>
      </c>
      <c r="O134" s="8">
        <f>IFERROR(N134/N444, "NA")</f>
        <v>8.2357232191398472E-3</v>
      </c>
      <c r="P134" s="9"/>
      <c r="Q134" s="7">
        <v>3525.03</v>
      </c>
      <c r="R134" s="8">
        <f>IFERROR(Q134/Q444, "NA")</f>
        <v>8.0931834554329868E-3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-3525.03</v>
      </c>
      <c r="X134" s="8">
        <f>IFERROR(W134/W444, "NA")</f>
        <v>-4.2803832373604724E-2</v>
      </c>
      <c r="Y134" s="9"/>
      <c r="Z134" s="7">
        <v>4207.17</v>
      </c>
      <c r="AA134" s="8">
        <f>IFERROR(Z134/Z444, "NA")</f>
        <v>1.1927503666701577E-2</v>
      </c>
      <c r="AB134" s="9"/>
      <c r="AC134" s="10">
        <f t="shared" si="31"/>
        <v>682.13999999999987</v>
      </c>
      <c r="AD134" s="8">
        <f>IFERROR(AC134/AC444, "NA")</f>
        <v>8.2357232191398472E-3</v>
      </c>
    </row>
    <row r="135" spans="1:30" ht="16.5" customHeight="1" x14ac:dyDescent="0.45">
      <c r="A135" s="12" t="s">
        <v>127</v>
      </c>
      <c r="B135" s="7">
        <v>3941.5699999999997</v>
      </c>
      <c r="C135" s="8">
        <f>IFERROR(B135/B444, "NA")</f>
        <v>9.0495255678479311E-3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-3941.5699999999997</v>
      </c>
      <c r="I135" s="8">
        <f>IFERROR(H135/H444, "NA")</f>
        <v>-4.7861805876497264E-2</v>
      </c>
      <c r="J135" s="9"/>
      <c r="K135" s="7">
        <v>3493.26</v>
      </c>
      <c r="L135" s="8">
        <f>IFERROR(K135/K444, "NA")</f>
        <v>9.9035388298409511E-3</v>
      </c>
      <c r="M135" s="9"/>
      <c r="N135" s="10">
        <f t="shared" si="29"/>
        <v>-448.30999999999949</v>
      </c>
      <c r="O135" s="8">
        <f>IFERROR(N135/N444, "NA")</f>
        <v>-5.4126089605837247E-3</v>
      </c>
      <c r="P135" s="9"/>
      <c r="Q135" s="7">
        <v>3941.5699999999997</v>
      </c>
      <c r="R135" s="8">
        <f>IFERROR(Q135/Q444, "NA")</f>
        <v>9.0495255678479311E-3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-3941.5699999999997</v>
      </c>
      <c r="X135" s="8">
        <f>IFERROR(W135/W444, "NA")</f>
        <v>-4.7861805876497264E-2</v>
      </c>
      <c r="Y135" s="9"/>
      <c r="Z135" s="7">
        <v>3493.26</v>
      </c>
      <c r="AA135" s="8">
        <f>IFERROR(Z135/Z444, "NA")</f>
        <v>9.9035388298409511E-3</v>
      </c>
      <c r="AB135" s="9"/>
      <c r="AC135" s="10">
        <f t="shared" si="31"/>
        <v>-448.30999999999949</v>
      </c>
      <c r="AD135" s="8">
        <f>IFERROR(AC135/AC444, "NA")</f>
        <v>-5.4126089605837247E-3</v>
      </c>
    </row>
    <row r="136" spans="1:30" ht="16.5" customHeight="1" x14ac:dyDescent="0.45">
      <c r="A136" s="12" t="s">
        <v>128</v>
      </c>
      <c r="B136" s="7">
        <v>3222.33</v>
      </c>
      <c r="C136" s="8">
        <f>IFERROR(B136/B444, "NA")</f>
        <v>7.398208765299976E-3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-3222.33</v>
      </c>
      <c r="I136" s="8">
        <f>IFERROR(H136/H444, "NA")</f>
        <v>-3.9128198390492475E-2</v>
      </c>
      <c r="J136" s="9"/>
      <c r="K136" s="7">
        <v>4117.8</v>
      </c>
      <c r="L136" s="8">
        <f>IFERROR(K136/K444, "NA")</f>
        <v>1.1674135962831013E-2</v>
      </c>
      <c r="M136" s="9"/>
      <c r="N136" s="10">
        <f t="shared" si="29"/>
        <v>895.47000000000025</v>
      </c>
      <c r="O136" s="8">
        <f>IFERROR(N136/N444, "NA")</f>
        <v>1.0811333554758794E-2</v>
      </c>
      <c r="P136" s="9"/>
      <c r="Q136" s="7">
        <v>3222.33</v>
      </c>
      <c r="R136" s="8">
        <f>IFERROR(Q136/Q444, "NA")</f>
        <v>7.398208765299976E-3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-3222.33</v>
      </c>
      <c r="X136" s="8">
        <f>IFERROR(W136/W444, "NA")</f>
        <v>-3.9128198390492475E-2</v>
      </c>
      <c r="Y136" s="9"/>
      <c r="Z136" s="7">
        <v>4117.8</v>
      </c>
      <c r="AA136" s="8">
        <f>IFERROR(Z136/Z444, "NA")</f>
        <v>1.1674135962831013E-2</v>
      </c>
      <c r="AB136" s="9"/>
      <c r="AC136" s="10">
        <f t="shared" si="31"/>
        <v>895.47000000000025</v>
      </c>
      <c r="AD136" s="8">
        <f>IFERROR(AC136/AC444, "NA")</f>
        <v>1.0811333554758794E-2</v>
      </c>
    </row>
    <row r="137" spans="1:30" ht="16.5" customHeight="1" x14ac:dyDescent="0.45">
      <c r="A137" s="12" t="s">
        <v>129</v>
      </c>
      <c r="B137" s="7">
        <v>2445.21</v>
      </c>
      <c r="C137" s="8">
        <f>IFERROR(B137/B444, "NA")</f>
        <v>5.6140041693430384E-3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-2445.21</v>
      </c>
      <c r="I137" s="8">
        <f>IFERROR(H137/H444, "NA")</f>
        <v>-2.9691764029884E-2</v>
      </c>
      <c r="J137" s="9"/>
      <c r="K137" s="7">
        <v>2170.08</v>
      </c>
      <c r="L137" s="8">
        <f>IFERROR(K137/K444, "NA")</f>
        <v>6.1522679513867414E-3</v>
      </c>
      <c r="M137" s="9"/>
      <c r="N137" s="10">
        <f t="shared" si="29"/>
        <v>-275.13000000000011</v>
      </c>
      <c r="O137" s="8">
        <f>IFERROR(N137/N444, "NA")</f>
        <v>-3.3217441130588264E-3</v>
      </c>
      <c r="P137" s="9"/>
      <c r="Q137" s="7">
        <v>2445.21</v>
      </c>
      <c r="R137" s="8">
        <f>IFERROR(Q137/Q444, "NA")</f>
        <v>5.6140041693430384E-3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-2445.21</v>
      </c>
      <c r="X137" s="8">
        <f>IFERROR(W137/W444, "NA")</f>
        <v>-2.9691764029884E-2</v>
      </c>
      <c r="Y137" s="9"/>
      <c r="Z137" s="7">
        <v>2170.08</v>
      </c>
      <c r="AA137" s="8">
        <f>IFERROR(Z137/Z444, "NA")</f>
        <v>6.1522679513867414E-3</v>
      </c>
      <c r="AB137" s="9"/>
      <c r="AC137" s="10">
        <f t="shared" si="31"/>
        <v>-275.13000000000011</v>
      </c>
      <c r="AD137" s="8">
        <f>IFERROR(AC137/AC444, "NA")</f>
        <v>-3.3217441130588264E-3</v>
      </c>
    </row>
    <row r="138" spans="1:30" ht="16.5" customHeight="1" x14ac:dyDescent="0.45">
      <c r="A138" s="12" t="s">
        <v>130</v>
      </c>
      <c r="B138" s="7">
        <v>23136.489999999998</v>
      </c>
      <c r="C138" s="8">
        <f>IFERROR(B138/B444, "NA")</f>
        <v>5.3119507659449908E-2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-23136.489999999998</v>
      </c>
      <c r="I138" s="8">
        <f>IFERROR(H138/H444, "NA")</f>
        <v>-0.2809424145818849</v>
      </c>
      <c r="J138" s="9"/>
      <c r="K138" s="7">
        <v>20150.810000000001</v>
      </c>
      <c r="L138" s="8">
        <f>IFERROR(K138/K444, "NA")</f>
        <v>5.7128392758554282E-2</v>
      </c>
      <c r="M138" s="9"/>
      <c r="N138" s="10">
        <f t="shared" si="29"/>
        <v>-2985.6799999999967</v>
      </c>
      <c r="O138" s="8">
        <f>IFERROR(N138/N444, "NA")</f>
        <v>-3.6047195738296303E-2</v>
      </c>
      <c r="P138" s="9"/>
      <c r="Q138" s="7">
        <v>23136.489999999998</v>
      </c>
      <c r="R138" s="8">
        <f>IFERROR(Q138/Q444, "NA")</f>
        <v>5.3119507659449908E-2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-23136.489999999998</v>
      </c>
      <c r="X138" s="8">
        <f>IFERROR(W138/W444, "NA")</f>
        <v>-0.2809424145818849</v>
      </c>
      <c r="Y138" s="9"/>
      <c r="Z138" s="7">
        <v>20150.810000000001</v>
      </c>
      <c r="AA138" s="8">
        <f>IFERROR(Z138/Z444, "NA")</f>
        <v>5.7128392758554282E-2</v>
      </c>
      <c r="AB138" s="9"/>
      <c r="AC138" s="10">
        <f t="shared" si="31"/>
        <v>-2985.6799999999967</v>
      </c>
      <c r="AD138" s="8">
        <f>IFERROR(AC138/AC444, "NA")</f>
        <v>-3.6047195738296303E-2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20.079999999999998</v>
      </c>
      <c r="C140" s="8">
        <f>IFERROR(B140/B444, "NA")</f>
        <v>4.6102054105949267E-5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-20.079999999999998</v>
      </c>
      <c r="I140" s="8">
        <f>IFERROR(H140/H444, "NA")</f>
        <v>-2.4382798275815603E-4</v>
      </c>
      <c r="J140" s="9"/>
      <c r="K140" s="7">
        <v>11.88</v>
      </c>
      <c r="L140" s="8">
        <f>IFERROR(K140/K444, "NA")</f>
        <v>3.3680299003942017E-5</v>
      </c>
      <c r="M140" s="9"/>
      <c r="N140" s="10">
        <f t="shared" si="29"/>
        <v>-8.1999999999999975</v>
      </c>
      <c r="O140" s="8">
        <f>IFERROR(N140/N444, "NA")</f>
        <v>-9.9001569174871361E-5</v>
      </c>
      <c r="P140" s="9"/>
      <c r="Q140" s="7">
        <v>20.079999999999998</v>
      </c>
      <c r="R140" s="8">
        <f>IFERROR(Q140/Q444, "NA")</f>
        <v>4.6102054105949267E-5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-20.079999999999998</v>
      </c>
      <c r="X140" s="8">
        <f>IFERROR(W140/W444, "NA")</f>
        <v>-2.4382798275815603E-4</v>
      </c>
      <c r="Y140" s="9"/>
      <c r="Z140" s="7">
        <v>11.88</v>
      </c>
      <c r="AA140" s="8">
        <f>IFERROR(Z140/Z444, "NA")</f>
        <v>3.3680299003942017E-5</v>
      </c>
      <c r="AB140" s="9"/>
      <c r="AC140" s="10">
        <f t="shared" si="31"/>
        <v>-8.1999999999999975</v>
      </c>
      <c r="AD140" s="8">
        <f>IFERROR(AC140/AC444, "NA")</f>
        <v>-9.9001569174871361E-5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100484.90999999999</v>
      </c>
      <c r="C141" s="15">
        <f>IFERROR(B141/B444, "NA")</f>
        <v>0.23070521701451407</v>
      </c>
      <c r="D141" s="2"/>
      <c r="E141" s="14">
        <f>IFERROR(E129+E130+E131+E132+E133+E134+E135+E136+E137+E138+E139+E140, "NA")</f>
        <v>92252.34</v>
      </c>
      <c r="F141" s="15">
        <f>IFERROR(E141/E444, "NA")</f>
        <v>0.26118839716469561</v>
      </c>
      <c r="G141" s="2"/>
      <c r="H141" s="14">
        <f t="shared" si="28"/>
        <v>-8232.5699999999924</v>
      </c>
      <c r="I141" s="15">
        <f>IFERROR(H141/H444, "NA")</f>
        <v>-9.9966680080443765E-2</v>
      </c>
      <c r="J141" s="2"/>
      <c r="K141" s="14">
        <f>IFERROR(K129+K130+K131+K132+K133+K134+K135+K136+K137+K138+K139+K140, "NA")</f>
        <v>87581.36</v>
      </c>
      <c r="L141" s="15">
        <f>IFERROR(K141/K444, "NA")</f>
        <v>0.24829683434106795</v>
      </c>
      <c r="M141" s="2"/>
      <c r="N141" s="14">
        <f t="shared" si="29"/>
        <v>-12903.549999999988</v>
      </c>
      <c r="O141" s="15">
        <f>IFERROR(N141/N444, "NA")</f>
        <v>-0.15578923145444032</v>
      </c>
      <c r="P141" s="2"/>
      <c r="Q141" s="14">
        <f>IFERROR(Q129+Q130+Q131+Q132+Q133+Q134+Q135+Q136+Q137+Q138+Q139+Q140, "NA")</f>
        <v>100484.90999999999</v>
      </c>
      <c r="R141" s="15">
        <f>IFERROR(Q141/Q444, "NA")</f>
        <v>0.23070521701451407</v>
      </c>
      <c r="S141" s="2"/>
      <c r="T141" s="14">
        <f>IFERROR(T129+T130+T131+T132+T133+T134+T135+T136+T137+T138+T139+T140, "NA")</f>
        <v>92252.34</v>
      </c>
      <c r="U141" s="15">
        <f>IFERROR(T141/T444, "NA")</f>
        <v>0.26118839716469561</v>
      </c>
      <c r="V141" s="2"/>
      <c r="W141" s="14">
        <f t="shared" si="30"/>
        <v>-8232.5699999999924</v>
      </c>
      <c r="X141" s="15">
        <f>IFERROR(W141/W444, "NA")</f>
        <v>-9.9966680080443765E-2</v>
      </c>
      <c r="Y141" s="2"/>
      <c r="Z141" s="14">
        <f>IFERROR(Z129+Z130+Z131+Z132+Z133+Z134+Z135+Z136+Z137+Z138+Z139+Z140, "NA")</f>
        <v>87581.36</v>
      </c>
      <c r="AA141" s="15">
        <f>IFERROR(Z141/Z444, "NA")</f>
        <v>0.24829683434106795</v>
      </c>
      <c r="AB141" s="2"/>
      <c r="AC141" s="14">
        <f t="shared" si="31"/>
        <v>-12903.549999999988</v>
      </c>
      <c r="AD141" s="15">
        <f>IFERROR(AC141/AC444, "NA")</f>
        <v>-0.15578923145444032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5312.9199999999992</v>
      </c>
      <c r="C144" s="8">
        <f>IFERROR(B144/B444, "NA")</f>
        <v>1.2198034128514938E-2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-5312.9199999999992</v>
      </c>
      <c r="I144" s="8">
        <f>IFERROR(H144/H444, "NA")</f>
        <v>-6.4513872816507084E-2</v>
      </c>
      <c r="J144" s="9"/>
      <c r="K144" s="7">
        <v>3520.08</v>
      </c>
      <c r="L144" s="8">
        <f>IFERROR(K144/K444, "NA")</f>
        <v>9.9795746563801531E-3</v>
      </c>
      <c r="M144" s="9"/>
      <c r="N144" s="10">
        <f t="shared" si="33"/>
        <v>-1792.8399999999992</v>
      </c>
      <c r="O144" s="8">
        <f>IFERROR(N144/N444, "NA")</f>
        <v>-2.1645606497497114E-2</v>
      </c>
      <c r="P144" s="9"/>
      <c r="Q144" s="7">
        <v>5312.9199999999992</v>
      </c>
      <c r="R144" s="8">
        <f>IFERROR(Q144/Q444, "NA")</f>
        <v>1.2198034128514938E-2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-5312.9199999999992</v>
      </c>
      <c r="X144" s="8">
        <f>IFERROR(W144/W444, "NA")</f>
        <v>-6.4513872816507084E-2</v>
      </c>
      <c r="Y144" s="9"/>
      <c r="Z144" s="7">
        <v>3520.08</v>
      </c>
      <c r="AA144" s="8">
        <f>IFERROR(Z144/Z444, "NA")</f>
        <v>9.9795746563801531E-3</v>
      </c>
      <c r="AB144" s="9"/>
      <c r="AC144" s="10">
        <f t="shared" si="35"/>
        <v>-1792.8399999999992</v>
      </c>
      <c r="AD144" s="8">
        <f>IFERROR(AC144/AC444, "NA")</f>
        <v>-2.1645606497497114E-2</v>
      </c>
    </row>
    <row r="145" spans="1:30" ht="16.5" customHeight="1" x14ac:dyDescent="0.45">
      <c r="A145" s="12" t="s">
        <v>136</v>
      </c>
      <c r="B145" s="7">
        <v>144.79999999999998</v>
      </c>
      <c r="C145" s="8">
        <f>IFERROR(B145/B444, "NA")</f>
        <v>3.324490754253712E-4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-144.79999999999998</v>
      </c>
      <c r="I145" s="8">
        <f>IFERROR(H145/H444, "NA")</f>
        <v>-1.758281469291882E-3</v>
      </c>
      <c r="J145" s="9"/>
      <c r="K145" s="7">
        <v>185.97</v>
      </c>
      <c r="L145" s="8">
        <f>IFERROR(K145/K444, "NA")</f>
        <v>5.2723276142787007E-4</v>
      </c>
      <c r="M145" s="9"/>
      <c r="N145" s="10">
        <f t="shared" si="33"/>
        <v>41.170000000000016</v>
      </c>
      <c r="O145" s="8">
        <f>IFERROR(N145/N444, "NA")</f>
        <v>4.9706031743042148E-4</v>
      </c>
      <c r="P145" s="9"/>
      <c r="Q145" s="7">
        <v>144.79999999999998</v>
      </c>
      <c r="R145" s="8">
        <f>IFERROR(Q145/Q444, "NA")</f>
        <v>3.324490754253712E-4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-144.79999999999998</v>
      </c>
      <c r="X145" s="8">
        <f>IFERROR(W145/W444, "NA")</f>
        <v>-1.758281469291882E-3</v>
      </c>
      <c r="Y145" s="9"/>
      <c r="Z145" s="7">
        <v>185.97</v>
      </c>
      <c r="AA145" s="8">
        <f>IFERROR(Z145/Z444, "NA")</f>
        <v>5.2723276142787007E-4</v>
      </c>
      <c r="AB145" s="9"/>
      <c r="AC145" s="10">
        <f t="shared" si="35"/>
        <v>41.170000000000016</v>
      </c>
      <c r="AD145" s="8">
        <f>IFERROR(AC145/AC444, "NA")</f>
        <v>4.9706031743042148E-4</v>
      </c>
    </row>
    <row r="146" spans="1:30" ht="16.5" customHeight="1" x14ac:dyDescent="0.45">
      <c r="A146" s="12" t="s">
        <v>137</v>
      </c>
      <c r="B146" s="7">
        <v>937.04</v>
      </c>
      <c r="C146" s="8">
        <f>IFERROR(B146/B444, "NA")</f>
        <v>2.1513679671035209E-3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-937.04</v>
      </c>
      <c r="I146" s="8">
        <f>IFERROR(H146/H444, "NA")</f>
        <v>-1.1378315386638572E-2</v>
      </c>
      <c r="J146" s="9"/>
      <c r="K146" s="7">
        <v>799.97</v>
      </c>
      <c r="L146" s="8">
        <f>IFERROR(K146/K444, "NA")</f>
        <v>2.2679485516989475E-3</v>
      </c>
      <c r="M146" s="9"/>
      <c r="N146" s="10">
        <f t="shared" si="33"/>
        <v>-137.06999999999994</v>
      </c>
      <c r="O146" s="8">
        <f>IFERROR(N146/N444, "NA")</f>
        <v>-1.654895742292636E-3</v>
      </c>
      <c r="P146" s="9"/>
      <c r="Q146" s="7">
        <v>937.04</v>
      </c>
      <c r="R146" s="8">
        <f>IFERROR(Q146/Q444, "NA")</f>
        <v>2.1513679671035209E-3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-937.04</v>
      </c>
      <c r="X146" s="8">
        <f>IFERROR(W146/W444, "NA")</f>
        <v>-1.1378315386638572E-2</v>
      </c>
      <c r="Y146" s="9"/>
      <c r="Z146" s="7">
        <v>799.97</v>
      </c>
      <c r="AA146" s="8">
        <f>IFERROR(Z146/Z444, "NA")</f>
        <v>2.2679485516989475E-3</v>
      </c>
      <c r="AB146" s="9"/>
      <c r="AC146" s="10">
        <f t="shared" si="35"/>
        <v>-137.06999999999994</v>
      </c>
      <c r="AD146" s="8">
        <f>IFERROR(AC146/AC444, "NA")</f>
        <v>-1.654895742292636E-3</v>
      </c>
    </row>
    <row r="147" spans="1:30" ht="16.5" customHeight="1" x14ac:dyDescent="0.45">
      <c r="A147" s="12" t="s">
        <v>138</v>
      </c>
      <c r="B147" s="7">
        <v>70.72</v>
      </c>
      <c r="C147" s="8">
        <f>IFERROR(B147/B444, "NA")</f>
        <v>1.6236739374366198E-4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-70.72</v>
      </c>
      <c r="I147" s="8">
        <f>IFERROR(H147/H444, "NA")</f>
        <v>-8.587407838972508E-4</v>
      </c>
      <c r="J147" s="9"/>
      <c r="K147" s="7">
        <v>-113.38</v>
      </c>
      <c r="L147" s="8">
        <f>IFERROR(K147/K444, "NA")</f>
        <v>-3.2143706237937255E-4</v>
      </c>
      <c r="M147" s="9"/>
      <c r="N147" s="10">
        <f t="shared" si="33"/>
        <v>-184.1</v>
      </c>
      <c r="O147" s="8">
        <f>IFERROR(N147/N444, "NA")</f>
        <v>-2.2227059615968076E-3</v>
      </c>
      <c r="P147" s="9"/>
      <c r="Q147" s="7">
        <v>70.72</v>
      </c>
      <c r="R147" s="8">
        <f>IFERROR(Q147/Q444, "NA")</f>
        <v>1.6236739374366198E-4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-70.72</v>
      </c>
      <c r="X147" s="8">
        <f>IFERROR(W147/W444, "NA")</f>
        <v>-8.587407838972508E-4</v>
      </c>
      <c r="Y147" s="9"/>
      <c r="Z147" s="7">
        <v>-113.38</v>
      </c>
      <c r="AA147" s="8">
        <f>IFERROR(Z147/Z444, "NA")</f>
        <v>-3.2143706237937255E-4</v>
      </c>
      <c r="AB147" s="9"/>
      <c r="AC147" s="10">
        <f t="shared" si="35"/>
        <v>-184.1</v>
      </c>
      <c r="AD147" s="8">
        <f>IFERROR(AC147/AC444, "NA")</f>
        <v>-2.2227059615968076E-3</v>
      </c>
    </row>
    <row r="148" spans="1:30" ht="16.5" customHeight="1" x14ac:dyDescent="0.45">
      <c r="A148" s="13" t="s">
        <v>139</v>
      </c>
      <c r="B148" s="14">
        <f>IFERROR(B143+B144+B145+B146+B147, "NA")</f>
        <v>6465.48</v>
      </c>
      <c r="C148" s="15">
        <f>IFERROR(B148/B444, "NA")</f>
        <v>1.4844218564787494E-2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-6465.48</v>
      </c>
      <c r="I148" s="15">
        <f>IFERROR(H148/H444, "NA")</f>
        <v>-7.8509210456334799E-2</v>
      </c>
      <c r="J148" s="2"/>
      <c r="K148" s="14">
        <f>IFERROR(K143+K144+K145+K146+K147, "NA")</f>
        <v>4392.6399999999994</v>
      </c>
      <c r="L148" s="15">
        <f>IFERROR(K148/K444, "NA")</f>
        <v>1.2453318907127595E-2</v>
      </c>
      <c r="M148" s="2"/>
      <c r="N148" s="14">
        <f t="shared" si="33"/>
        <v>-2072.84</v>
      </c>
      <c r="O148" s="15">
        <f>IFERROR(N148/N444, "NA")</f>
        <v>-2.502614788395615E-2</v>
      </c>
      <c r="P148" s="2"/>
      <c r="Q148" s="14">
        <f>IFERROR(Q143+Q144+Q145+Q146+Q147, "NA")</f>
        <v>6465.48</v>
      </c>
      <c r="R148" s="15">
        <f>IFERROR(Q148/Q444, "NA")</f>
        <v>1.4844218564787494E-2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-6465.48</v>
      </c>
      <c r="X148" s="15">
        <f>IFERROR(W148/W444, "NA")</f>
        <v>-7.8509210456334799E-2</v>
      </c>
      <c r="Y148" s="2"/>
      <c r="Z148" s="14">
        <f>IFERROR(Z143+Z144+Z145+Z146+Z147, "NA")</f>
        <v>4392.6399999999994</v>
      </c>
      <c r="AA148" s="15">
        <f>IFERROR(Z148/Z444, "NA")</f>
        <v>1.2453318907127595E-2</v>
      </c>
      <c r="AB148" s="2"/>
      <c r="AC148" s="14">
        <f t="shared" si="35"/>
        <v>-2072.84</v>
      </c>
      <c r="AD148" s="15">
        <f>IFERROR(AC148/AC444, "NA")</f>
        <v>-2.502614788395615E-2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106950.38999999998</v>
      </c>
      <c r="C149" s="15">
        <f>IFERROR(B149/B444, "NA")</f>
        <v>0.24554943557930156</v>
      </c>
      <c r="D149" s="2"/>
      <c r="E149" s="14">
        <f>IFERROR(E127+E129+E130+E131+E132+E133+E134+E135+E136+E137+E138+E139+E140+E143+E144+E145+E146+E147, "NA")</f>
        <v>92252.34</v>
      </c>
      <c r="F149" s="15">
        <f>IFERROR(E149/E444, "NA")</f>
        <v>0.26118839716469561</v>
      </c>
      <c r="G149" s="2"/>
      <c r="H149" s="14">
        <f t="shared" si="32"/>
        <v>-14698.049999999988</v>
      </c>
      <c r="I149" s="15">
        <f>IFERROR(H149/H444, "NA")</f>
        <v>-0.17847589053677851</v>
      </c>
      <c r="J149" s="2"/>
      <c r="K149" s="14">
        <f>IFERROR(K127+K129+K130+K131+K132+K133+K134+K135+K136+K137+K138+K139+K140+K143+K144+K145+K146+K147, "NA")</f>
        <v>91974</v>
      </c>
      <c r="L149" s="15">
        <f>IFERROR(K149/K444, "NA")</f>
        <v>0.26075015324819556</v>
      </c>
      <c r="M149" s="2"/>
      <c r="N149" s="14">
        <f t="shared" si="33"/>
        <v>-14976.389999999985</v>
      </c>
      <c r="O149" s="15">
        <f>IFERROR(N149/N444, "NA")</f>
        <v>-0.18081537933839642</v>
      </c>
      <c r="P149" s="2"/>
      <c r="Q149" s="14">
        <f>IFERROR(Q127+Q129+Q130+Q131+Q132+Q133+Q134+Q135+Q136+Q137+Q138+Q139+Q140+Q143+Q144+Q145+Q146+Q147, "NA")</f>
        <v>106950.38999999998</v>
      </c>
      <c r="R149" s="15">
        <f>IFERROR(Q149/Q444, "NA")</f>
        <v>0.24554943557930156</v>
      </c>
      <c r="S149" s="2"/>
      <c r="T149" s="14">
        <f>IFERROR(T127+T129+T130+T131+T132+T133+T134+T135+T136+T137+T138+T139+T140+T143+T144+T145+T146+T147, "NA")</f>
        <v>92252.34</v>
      </c>
      <c r="U149" s="15">
        <f>IFERROR(T149/T444, "NA")</f>
        <v>0.26118839716469561</v>
      </c>
      <c r="V149" s="2"/>
      <c r="W149" s="14">
        <f t="shared" si="34"/>
        <v>-14698.049999999988</v>
      </c>
      <c r="X149" s="15">
        <f>IFERROR(W149/W444, "NA")</f>
        <v>-0.17847589053677851</v>
      </c>
      <c r="Y149" s="2"/>
      <c r="Z149" s="14">
        <f>IFERROR(Z127+Z129+Z130+Z131+Z132+Z133+Z134+Z135+Z136+Z137+Z138+Z139+Z140+Z143+Z144+Z145+Z146+Z147, "NA")</f>
        <v>91974</v>
      </c>
      <c r="AA149" s="15">
        <f>IFERROR(Z149/Z444, "NA")</f>
        <v>0.26075015324819556</v>
      </c>
      <c r="AB149" s="2"/>
      <c r="AC149" s="14">
        <f t="shared" si="35"/>
        <v>-14976.389999999985</v>
      </c>
      <c r="AD149" s="15">
        <f>IFERROR(AC149/AC444, "NA")</f>
        <v>-0.18081537933839642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7918.0599999999995</v>
      </c>
      <c r="F153" s="8">
        <f>IFERROR(E153/E444, "NA")</f>
        <v>2.2417918071822238E-2</v>
      </c>
      <c r="G153" s="9"/>
      <c r="H153" s="10">
        <f t="shared" ref="H153:H158" si="36">IFERROR(-(B153-E153), "NA")</f>
        <v>7918.0599999999995</v>
      </c>
      <c r="I153" s="8">
        <f>IFERROR(H153/H444, "NA")</f>
        <v>9.6147639300699445E-2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7918.0599999999995</v>
      </c>
      <c r="U153" s="8">
        <f>IFERROR(T153/T444, "NA")</f>
        <v>2.2417918071822238E-2</v>
      </c>
      <c r="V153" s="9"/>
      <c r="W153" s="10">
        <f t="shared" ref="W153:W158" si="38">IFERROR(-(Q153-T153), "NA")</f>
        <v>7918.0599999999995</v>
      </c>
      <c r="X153" s="8">
        <f>IFERROR(W153/W444, "NA")</f>
        <v>9.6147639300699445E-2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12635.68</v>
      </c>
      <c r="C154" s="8">
        <f>IFERROR(B154/B444, "NA")</f>
        <v>2.9010498158638501E-2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-12635.68</v>
      </c>
      <c r="I154" s="8">
        <f>IFERROR(H154/H444, "NA")</f>
        <v>-0.15343288671203073</v>
      </c>
      <c r="J154" s="9"/>
      <c r="K154" s="7">
        <v>13750.869999999999</v>
      </c>
      <c r="L154" s="8">
        <f>IFERROR(K154/K444, "NA")</f>
        <v>3.8984294037402029E-2</v>
      </c>
      <c r="M154" s="9"/>
      <c r="N154" s="10">
        <f t="shared" si="37"/>
        <v>1115.1899999999987</v>
      </c>
      <c r="O154" s="8">
        <f>IFERROR(N154/N444, "NA")</f>
        <v>1.3464092674161548E-2</v>
      </c>
      <c r="P154" s="9"/>
      <c r="Q154" s="7">
        <v>12635.68</v>
      </c>
      <c r="R154" s="8">
        <f>IFERROR(Q154/Q444, "NA")</f>
        <v>2.9010498158638501E-2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-12635.68</v>
      </c>
      <c r="X154" s="8">
        <f>IFERROR(W154/W444, "NA")</f>
        <v>-0.15343288671203073</v>
      </c>
      <c r="Y154" s="9"/>
      <c r="Z154" s="7">
        <v>13750.869999999999</v>
      </c>
      <c r="AA154" s="8">
        <f>IFERROR(Z154/Z444, "NA")</f>
        <v>3.8984294037402029E-2</v>
      </c>
      <c r="AB154" s="9"/>
      <c r="AC154" s="10">
        <f t="shared" si="39"/>
        <v>1115.1899999999987</v>
      </c>
      <c r="AD154" s="8">
        <f>IFERROR(AC154/AC444, "NA")</f>
        <v>1.3464092674161548E-2</v>
      </c>
    </row>
    <row r="155" spans="1:30" ht="16.5" customHeight="1" x14ac:dyDescent="0.45">
      <c r="A155" s="12" t="s">
        <v>144</v>
      </c>
      <c r="B155" s="7">
        <v>5224.1899999999996</v>
      </c>
      <c r="C155" s="8">
        <f>IFERROR(B155/B444, "NA")</f>
        <v>1.1994317233055732E-2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-5224.1899999999996</v>
      </c>
      <c r="I155" s="8">
        <f>IFERROR(H155/H444, "NA")</f>
        <v>-6.3436439703452752E-2</v>
      </c>
      <c r="J155" s="9"/>
      <c r="K155" s="7">
        <v>4599.3500000000004</v>
      </c>
      <c r="L155" s="8">
        <f>IFERROR(K155/K444, "NA")</f>
        <v>1.3039350439712181E-2</v>
      </c>
      <c r="M155" s="9"/>
      <c r="N155" s="10">
        <f t="shared" si="37"/>
        <v>-624.83999999999924</v>
      </c>
      <c r="O155" s="8">
        <f>IFERROR(N155/N444, "NA")</f>
        <v>-7.5439195711251902E-3</v>
      </c>
      <c r="P155" s="9"/>
      <c r="Q155" s="7">
        <v>5224.1899999999996</v>
      </c>
      <c r="R155" s="8">
        <f>IFERROR(Q155/Q444, "NA")</f>
        <v>1.1994317233055732E-2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-5224.1899999999996</v>
      </c>
      <c r="X155" s="8">
        <f>IFERROR(W155/W444, "NA")</f>
        <v>-6.3436439703452752E-2</v>
      </c>
      <c r="Y155" s="9"/>
      <c r="Z155" s="7">
        <v>4599.3500000000004</v>
      </c>
      <c r="AA155" s="8">
        <f>IFERROR(Z155/Z444, "NA")</f>
        <v>1.3039350439712181E-2</v>
      </c>
      <c r="AB155" s="9"/>
      <c r="AC155" s="10">
        <f t="shared" si="39"/>
        <v>-624.83999999999924</v>
      </c>
      <c r="AD155" s="8">
        <f>IFERROR(AC155/AC444, "NA")</f>
        <v>-7.5439195711251902E-3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340.31</v>
      </c>
      <c r="L156" s="8">
        <f>IFERROR(K156/K444, "NA")</f>
        <v>9.6479314427874642E-4</v>
      </c>
      <c r="M156" s="9"/>
      <c r="N156" s="10">
        <f t="shared" si="37"/>
        <v>340.31</v>
      </c>
      <c r="O156" s="8">
        <f>IFERROR(N156/N444, "NA")</f>
        <v>4.1086858543781073E-3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340.31</v>
      </c>
      <c r="AA156" s="8">
        <f>IFERROR(Z156/Z444, "NA")</f>
        <v>9.6479314427874642E-4</v>
      </c>
      <c r="AB156" s="9"/>
      <c r="AC156" s="10">
        <f t="shared" si="39"/>
        <v>340.31</v>
      </c>
      <c r="AD156" s="8">
        <f>IFERROR(AC156/AC444, "NA")</f>
        <v>4.1086858543781073E-3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17859.87</v>
      </c>
      <c r="C158" s="15">
        <f>IFERROR(B158/B444, "NA")</f>
        <v>4.1004815391694233E-2</v>
      </c>
      <c r="D158" s="2"/>
      <c r="E158" s="14">
        <f>IFERROR(E153+E154+E155+E156+E157, "NA")</f>
        <v>7918.0599999999995</v>
      </c>
      <c r="F158" s="15">
        <f>IFERROR(E158/E444, "NA")</f>
        <v>2.2417918071822238E-2</v>
      </c>
      <c r="G158" s="2"/>
      <c r="H158" s="14">
        <f t="shared" si="36"/>
        <v>-9941.81</v>
      </c>
      <c r="I158" s="15">
        <f>IFERROR(H158/H444, "NA")</f>
        <v>-0.12072168711478402</v>
      </c>
      <c r="J158" s="2"/>
      <c r="K158" s="14">
        <f>IFERROR(K153+K154+K155+K156+K157, "NA")</f>
        <v>18690.530000000002</v>
      </c>
      <c r="L158" s="15">
        <f>IFERROR(K158/K444, "NA")</f>
        <v>5.2988437621392964E-2</v>
      </c>
      <c r="M158" s="2"/>
      <c r="N158" s="14">
        <f t="shared" si="37"/>
        <v>830.66000000000349</v>
      </c>
      <c r="O158" s="15">
        <f>IFERROR(N158/N444, "NA")</f>
        <v>1.0028858957414514E-2</v>
      </c>
      <c r="P158" s="2"/>
      <c r="Q158" s="14">
        <f>IFERROR(Q153+Q154+Q155+Q156+Q157, "NA")</f>
        <v>17859.87</v>
      </c>
      <c r="R158" s="15">
        <f>IFERROR(Q158/Q444, "NA")</f>
        <v>4.1004815391694233E-2</v>
      </c>
      <c r="S158" s="2"/>
      <c r="T158" s="14">
        <f>IFERROR(T153+T154+T155+T156+T157, "NA")</f>
        <v>7918.0599999999995</v>
      </c>
      <c r="U158" s="15">
        <f>IFERROR(T158/T444, "NA")</f>
        <v>2.2417918071822238E-2</v>
      </c>
      <c r="V158" s="2"/>
      <c r="W158" s="14">
        <f t="shared" si="38"/>
        <v>-9941.81</v>
      </c>
      <c r="X158" s="15">
        <f>IFERROR(W158/W444, "NA")</f>
        <v>-0.12072168711478402</v>
      </c>
      <c r="Y158" s="2"/>
      <c r="Z158" s="14">
        <f>IFERROR(Z153+Z154+Z155+Z156+Z157, "NA")</f>
        <v>18690.530000000002</v>
      </c>
      <c r="AA158" s="15">
        <f>IFERROR(Z158/Z444, "NA")</f>
        <v>5.2988437621392964E-2</v>
      </c>
      <c r="AB158" s="2"/>
      <c r="AC158" s="14">
        <f t="shared" si="39"/>
        <v>830.66000000000349</v>
      </c>
      <c r="AD158" s="15">
        <f>IFERROR(AC158/AC444, "NA")</f>
        <v>1.0028858957414514E-2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1136.6099999999999</v>
      </c>
      <c r="C161" s="8">
        <f>IFERROR(B161/B444, "NA")</f>
        <v>2.6095645277571214E-3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-1136.6099999999999</v>
      </c>
      <c r="I161" s="8">
        <f>IFERROR(H161/H444, "NA")</f>
        <v>-1.3801659535993412E-2</v>
      </c>
      <c r="J161" s="9"/>
      <c r="K161" s="7">
        <v>1393.29</v>
      </c>
      <c r="L161" s="8">
        <f>IFERROR(K161/K444, "NA")</f>
        <v>3.9500356733335332E-3</v>
      </c>
      <c r="M161" s="9"/>
      <c r="N161" s="10">
        <f t="shared" si="41"/>
        <v>256.68000000000006</v>
      </c>
      <c r="O161" s="8">
        <f>IFERROR(N161/N444, "NA")</f>
        <v>3.0989905824153649E-3</v>
      </c>
      <c r="P161" s="9"/>
      <c r="Q161" s="7">
        <v>1136.6099999999999</v>
      </c>
      <c r="R161" s="8">
        <f>IFERROR(Q161/Q444, "NA")</f>
        <v>2.6095645277571214E-3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-1136.6099999999999</v>
      </c>
      <c r="X161" s="8">
        <f>IFERROR(W161/W444, "NA")</f>
        <v>-1.3801659535993412E-2</v>
      </c>
      <c r="Y161" s="9"/>
      <c r="Z161" s="7">
        <v>1393.29</v>
      </c>
      <c r="AA161" s="8">
        <f>IFERROR(Z161/Z444, "NA")</f>
        <v>3.9500356733335332E-3</v>
      </c>
      <c r="AB161" s="9"/>
      <c r="AC161" s="10">
        <f t="shared" si="43"/>
        <v>256.68000000000006</v>
      </c>
      <c r="AD161" s="8">
        <f>IFERROR(AC161/AC444, "NA")</f>
        <v>3.0989905824153649E-3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1136.6099999999999</v>
      </c>
      <c r="C166" s="15">
        <f>IFERROR(B166/B444, "NA")</f>
        <v>2.6095645277571214E-3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-1136.6099999999999</v>
      </c>
      <c r="I166" s="15">
        <f>IFERROR(H166/H444, "NA")</f>
        <v>-1.3801659535993412E-2</v>
      </c>
      <c r="J166" s="2"/>
      <c r="K166" s="14">
        <f>IFERROR(K160+K161+K162+K163+K164+K165, "NA")</f>
        <v>1393.29</v>
      </c>
      <c r="L166" s="15">
        <f>IFERROR(K166/K444, "NA")</f>
        <v>3.9500356733335332E-3</v>
      </c>
      <c r="M166" s="2"/>
      <c r="N166" s="14">
        <f t="shared" si="41"/>
        <v>256.68000000000006</v>
      </c>
      <c r="O166" s="15">
        <f>IFERROR(N166/N444, "NA")</f>
        <v>3.0989905824153649E-3</v>
      </c>
      <c r="P166" s="2"/>
      <c r="Q166" s="14">
        <f>IFERROR(Q160+Q161+Q162+Q163+Q164+Q165, "NA")</f>
        <v>1136.6099999999999</v>
      </c>
      <c r="R166" s="15">
        <f>IFERROR(Q166/Q444, "NA")</f>
        <v>2.6095645277571214E-3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-1136.6099999999999</v>
      </c>
      <c r="X166" s="15">
        <f>IFERROR(W166/W444, "NA")</f>
        <v>-1.3801659535993412E-2</v>
      </c>
      <c r="Y166" s="2"/>
      <c r="Z166" s="14">
        <f>IFERROR(Z160+Z161+Z162+Z163+Z164+Z165, "NA")</f>
        <v>1393.29</v>
      </c>
      <c r="AA166" s="15">
        <f>IFERROR(Z166/Z444, "NA")</f>
        <v>3.9500356733335332E-3</v>
      </c>
      <c r="AB166" s="2"/>
      <c r="AC166" s="14">
        <f t="shared" si="43"/>
        <v>256.68000000000006</v>
      </c>
      <c r="AD166" s="15">
        <f>IFERROR(AC166/AC444, "NA")</f>
        <v>3.0989905824153649E-3</v>
      </c>
    </row>
    <row r="167" spans="1:30" ht="16.5" customHeight="1" x14ac:dyDescent="0.45">
      <c r="A167" s="6" t="s">
        <v>155</v>
      </c>
      <c r="B167" s="7">
        <v>673.39</v>
      </c>
      <c r="C167" s="8">
        <f>IFERROR(B167/B444, "NA")</f>
        <v>1.5460489150600188E-3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-673.39</v>
      </c>
      <c r="I167" s="8">
        <f>IFERROR(H167/H444, "NA")</f>
        <v>-8.1768588301551134E-3</v>
      </c>
      <c r="J167" s="9"/>
      <c r="K167" s="7">
        <v>992.22</v>
      </c>
      <c r="L167" s="8">
        <f>IFERROR(K167/K444, "NA")</f>
        <v>2.8129853769100462E-3</v>
      </c>
      <c r="M167" s="9"/>
      <c r="N167" s="10">
        <f t="shared" si="41"/>
        <v>318.83000000000004</v>
      </c>
      <c r="O167" s="8">
        <f>IFERROR(N167/N444, "NA")</f>
        <v>3.8493500365883227E-3</v>
      </c>
      <c r="P167" s="9"/>
      <c r="Q167" s="7">
        <v>673.39</v>
      </c>
      <c r="R167" s="8">
        <f>IFERROR(Q167/Q444, "NA")</f>
        <v>1.5460489150600188E-3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-673.39</v>
      </c>
      <c r="X167" s="8">
        <f>IFERROR(W167/W444, "NA")</f>
        <v>-8.1768588301551134E-3</v>
      </c>
      <c r="Y167" s="9"/>
      <c r="Z167" s="7">
        <v>992.22</v>
      </c>
      <c r="AA167" s="8">
        <f>IFERROR(Z167/Z444, "NA")</f>
        <v>2.8129853769100462E-3</v>
      </c>
      <c r="AB167" s="9"/>
      <c r="AC167" s="10">
        <f t="shared" si="43"/>
        <v>318.83000000000004</v>
      </c>
      <c r="AD167" s="8">
        <f>IFERROR(AC167/AC444, "NA")</f>
        <v>3.8493500365883227E-3</v>
      </c>
    </row>
    <row r="168" spans="1:30" ht="16.5" customHeight="1" x14ac:dyDescent="0.45">
      <c r="A168" s="6" t="s">
        <v>156</v>
      </c>
      <c r="B168" s="7">
        <v>194.60000000000002</v>
      </c>
      <c r="C168" s="8">
        <f>IFERROR(B168/B444, "NA")</f>
        <v>4.4678584307857218E-4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-194.60000000000002</v>
      </c>
      <c r="I168" s="8">
        <f>IFERROR(H168/H444, "NA")</f>
        <v>-2.3629942950566321E-3</v>
      </c>
      <c r="J168" s="9"/>
      <c r="K168" s="7">
        <v>189.20000000000002</v>
      </c>
      <c r="L168" s="8">
        <f>IFERROR(K168/K444, "NA")</f>
        <v>5.3638994709981737E-4</v>
      </c>
      <c r="M168" s="9"/>
      <c r="N168" s="10">
        <f t="shared" si="41"/>
        <v>-5.4000000000000057</v>
      </c>
      <c r="O168" s="8">
        <f>IFERROR(N168/N444, "NA")</f>
        <v>-6.5196155310281228E-5</v>
      </c>
      <c r="P168" s="9"/>
      <c r="Q168" s="7">
        <v>194.60000000000002</v>
      </c>
      <c r="R168" s="8">
        <f>IFERROR(Q168/Q444, "NA")</f>
        <v>4.4678584307857218E-4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-194.60000000000002</v>
      </c>
      <c r="X168" s="8">
        <f>IFERROR(W168/W444, "NA")</f>
        <v>-2.3629942950566321E-3</v>
      </c>
      <c r="Y168" s="9"/>
      <c r="Z168" s="7">
        <v>189.20000000000002</v>
      </c>
      <c r="AA168" s="8">
        <f>IFERROR(Z168/Z444, "NA")</f>
        <v>5.3638994709981737E-4</v>
      </c>
      <c r="AB168" s="9"/>
      <c r="AC168" s="10">
        <f t="shared" si="43"/>
        <v>-5.4000000000000057</v>
      </c>
      <c r="AD168" s="8">
        <f>IFERROR(AC168/AC444, "NA")</f>
        <v>-6.5196155310281228E-5</v>
      </c>
    </row>
    <row r="169" spans="1:30" ht="16.5" customHeight="1" x14ac:dyDescent="0.45">
      <c r="A169" s="6" t="s">
        <v>157</v>
      </c>
      <c r="B169" s="7">
        <v>-12423.76</v>
      </c>
      <c r="C169" s="8">
        <f>IFERROR(B169/B444, "NA")</f>
        <v>-2.8523946997974517E-2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12423.76</v>
      </c>
      <c r="I169" s="8">
        <f>IFERROR(H169/H444, "NA")</f>
        <v>0.15085957863901736</v>
      </c>
      <c r="J169" s="9"/>
      <c r="K169" s="7">
        <v>-11673.470000000001</v>
      </c>
      <c r="L169" s="8">
        <f>IFERROR(K169/K444, "NA")</f>
        <v>-3.3094777778918102E-2</v>
      </c>
      <c r="M169" s="9"/>
      <c r="N169" s="10">
        <f t="shared" si="41"/>
        <v>750.28999999999905</v>
      </c>
      <c r="O169" s="8">
        <f>IFERROR(N169/N444, "NA")</f>
        <v>9.0585228458797754E-3</v>
      </c>
      <c r="P169" s="9"/>
      <c r="Q169" s="7">
        <v>-12423.76</v>
      </c>
      <c r="R169" s="8">
        <f>IFERROR(Q169/Q444, "NA")</f>
        <v>-2.8523946997974517E-2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12423.76</v>
      </c>
      <c r="X169" s="8">
        <f>IFERROR(W169/W444, "NA")</f>
        <v>0.15085957863901736</v>
      </c>
      <c r="Y169" s="9"/>
      <c r="Z169" s="7">
        <v>-11673.470000000001</v>
      </c>
      <c r="AA169" s="8">
        <f>IFERROR(Z169/Z444, "NA")</f>
        <v>-3.3094777778918102E-2</v>
      </c>
      <c r="AB169" s="9"/>
      <c r="AC169" s="10">
        <f t="shared" si="43"/>
        <v>750.28999999999905</v>
      </c>
      <c r="AD169" s="8">
        <f>IFERROR(AC169/AC444, "NA")</f>
        <v>9.0585228458797754E-3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7440.7099999999973</v>
      </c>
      <c r="C170" s="15">
        <f>IFERROR(B170/B444, "NA")</f>
        <v>1.7083267679615422E-2</v>
      </c>
      <c r="D170" s="2"/>
      <c r="E170" s="14">
        <f>IFERROR(E151+E153+E154+E155+E156+E157+E160+E161+E162+E163+E164+E165+E167+E168+E169, "NA")</f>
        <v>7918.0599999999995</v>
      </c>
      <c r="F170" s="15">
        <f>IFERROR(E170/E444, "NA")</f>
        <v>2.2417918071822238E-2</v>
      </c>
      <c r="G170" s="2"/>
      <c r="H170" s="14">
        <f t="shared" si="40"/>
        <v>477.35000000000218</v>
      </c>
      <c r="I170" s="15">
        <f>IFERROR(H170/H444, "NA")</f>
        <v>5.7963788630282032E-3</v>
      </c>
      <c r="J170" s="2"/>
      <c r="K170" s="14">
        <f>IFERROR(K151+K153+K154+K155+K156+K157+K160+K161+K162+K163+K164+K165+K167+K168+K169, "NA")</f>
        <v>9591.7700000000041</v>
      </c>
      <c r="L170" s="15">
        <f>IFERROR(K170/K444, "NA")</f>
        <v>2.719307083981827E-2</v>
      </c>
      <c r="M170" s="2"/>
      <c r="N170" s="14">
        <f t="shared" si="41"/>
        <v>2151.0600000000068</v>
      </c>
      <c r="O170" s="15">
        <f>IFERROR(N170/N444, "NA")</f>
        <v>2.5970526266987745E-2</v>
      </c>
      <c r="P170" s="2"/>
      <c r="Q170" s="14">
        <f>IFERROR(Q151+Q153+Q154+Q155+Q156+Q157+Q160+Q161+Q162+Q163+Q164+Q165+Q167+Q168+Q169, "NA")</f>
        <v>7440.7099999999973</v>
      </c>
      <c r="R170" s="15">
        <f>IFERROR(Q170/Q444, "NA")</f>
        <v>1.7083267679615422E-2</v>
      </c>
      <c r="S170" s="2"/>
      <c r="T170" s="14">
        <f>IFERROR(T151+T153+T154+T155+T156+T157+T160+T161+T162+T163+T164+T165+T167+T168+T169, "NA")</f>
        <v>7918.0599999999995</v>
      </c>
      <c r="U170" s="15">
        <f>IFERROR(T170/T444, "NA")</f>
        <v>2.2417918071822238E-2</v>
      </c>
      <c r="V170" s="2"/>
      <c r="W170" s="14">
        <f t="shared" si="42"/>
        <v>477.35000000000218</v>
      </c>
      <c r="X170" s="15">
        <f>IFERROR(W170/W444, "NA")</f>
        <v>5.7963788630282032E-3</v>
      </c>
      <c r="Y170" s="2"/>
      <c r="Z170" s="14">
        <f>IFERROR(Z151+Z153+Z154+Z155+Z156+Z157+Z160+Z161+Z162+Z163+Z164+Z165+Z167+Z168+Z169, "NA")</f>
        <v>9591.7700000000041</v>
      </c>
      <c r="AA170" s="15">
        <f>IFERROR(Z170/Z444, "NA")</f>
        <v>2.719307083981827E-2</v>
      </c>
      <c r="AB170" s="2"/>
      <c r="AC170" s="14">
        <f t="shared" si="43"/>
        <v>2151.0600000000068</v>
      </c>
      <c r="AD170" s="15">
        <f>IFERROR(AC170/AC444, "NA")</f>
        <v>2.5970526266987745E-2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114391.09999999999</v>
      </c>
      <c r="C171" s="15">
        <f>IFERROR(B171/B444, "NA")</f>
        <v>0.26263270325891702</v>
      </c>
      <c r="D171" s="2"/>
      <c r="E171" s="14">
        <f>IFERROR(E127+E129+E130+E131+E132+E133+E134+E135+E136+E137+E138+E139+E140+E143+E144+E145+E146+E147+E151+E153+E154+E155+E156+E157+E160+E161+E162+E163+E164+E165+E167+E168+E169, "NA")</f>
        <v>100170.4</v>
      </c>
      <c r="F171" s="15">
        <f>IFERROR(E171/E444, "NA")</f>
        <v>0.2836063152365178</v>
      </c>
      <c r="G171" s="2"/>
      <c r="H171" s="14">
        <f t="shared" si="40"/>
        <v>-14220.699999999997</v>
      </c>
      <c r="I171" s="15">
        <f>IFERROR(H171/H444, "NA")</f>
        <v>-0.17267951167375045</v>
      </c>
      <c r="J171" s="2"/>
      <c r="K171" s="14">
        <f>IFERROR(K127+K129+K130+K131+K132+K133+K134+K135+K136+K137+K138+K139+K140+K143+K144+K145+K146+K147+K151+K153+K154+K155+K156+K157+K160+K161+K162+K163+K164+K165+K167+K168+K169, "NA")</f>
        <v>101565.76999999999</v>
      </c>
      <c r="L171" s="15">
        <f>IFERROR(K171/K444, "NA")</f>
        <v>0.28794322408801376</v>
      </c>
      <c r="M171" s="2"/>
      <c r="N171" s="14">
        <f t="shared" si="41"/>
        <v>-12825.330000000002</v>
      </c>
      <c r="O171" s="15">
        <f>IFERROR(N171/N444, "NA")</f>
        <v>-0.15484485307140894</v>
      </c>
      <c r="P171" s="2"/>
      <c r="Q171" s="14">
        <f>IFERROR(Q127+Q129+Q130+Q131+Q132+Q133+Q134+Q135+Q136+Q137+Q138+Q139+Q140+Q143+Q144+Q145+Q146+Q147+Q151+Q153+Q154+Q155+Q156+Q157+Q160+Q161+Q162+Q163+Q164+Q165+Q167+Q168+Q169, "NA")</f>
        <v>114391.09999999999</v>
      </c>
      <c r="R171" s="15">
        <f>IFERROR(Q171/Q444, "NA")</f>
        <v>0.26263270325891702</v>
      </c>
      <c r="S171" s="2"/>
      <c r="T171" s="14">
        <f>IFERROR(T127+T129+T130+T131+T132+T133+T134+T135+T136+T137+T138+T139+T140+T143+T144+T145+T146+T147+T151+T153+T154+T155+T156+T157+T160+T161+T162+T163+T164+T165+T167+T168+T169, "NA")</f>
        <v>100170.4</v>
      </c>
      <c r="U171" s="15">
        <f>IFERROR(T171/T444, "NA")</f>
        <v>0.2836063152365178</v>
      </c>
      <c r="V171" s="2"/>
      <c r="W171" s="14">
        <f t="shared" si="42"/>
        <v>-14220.699999999997</v>
      </c>
      <c r="X171" s="15">
        <f>IFERROR(W171/W444, "NA")</f>
        <v>-0.17267951167375045</v>
      </c>
      <c r="Y171" s="2"/>
      <c r="Z171" s="14">
        <f>IFERROR(Z127+Z129+Z130+Z131+Z132+Z133+Z134+Z135+Z136+Z137+Z138+Z139+Z140+Z143+Z144+Z145+Z146+Z147+Z151+Z153+Z154+Z155+Z156+Z157+Z160+Z161+Z162+Z163+Z164+Z165+Z167+Z168+Z169, "NA")</f>
        <v>101565.76999999999</v>
      </c>
      <c r="AA171" s="15">
        <f>IFERROR(Z171/Z444, "NA")</f>
        <v>0.28794322408801376</v>
      </c>
      <c r="AB171" s="2"/>
      <c r="AC171" s="14">
        <f t="shared" si="43"/>
        <v>-12825.330000000002</v>
      </c>
      <c r="AD171" s="15">
        <f>IFERROR(AC171/AC444, "NA")</f>
        <v>-0.15484485307140894</v>
      </c>
    </row>
    <row r="172" spans="1:30" ht="16.5" customHeight="1" x14ac:dyDescent="0.45">
      <c r="A172" s="22" t="s">
        <v>160</v>
      </c>
      <c r="B172" s="23">
        <f>IFERROR(B124-B171, "NA")</f>
        <v>321164.33</v>
      </c>
      <c r="C172" s="24">
        <f>IFERROR(B172/B444, "NA")</f>
        <v>0.73736729674108303</v>
      </c>
      <c r="D172" s="25"/>
      <c r="E172" s="23">
        <f>IFERROR(E124-E171, "NA")</f>
        <v>253031.89000000004</v>
      </c>
      <c r="F172" s="24">
        <f>IFERROR(E172/E444, "NA")</f>
        <v>0.7163936847634822</v>
      </c>
      <c r="G172" s="25"/>
      <c r="H172" s="23">
        <f>IFERROR(B172-E172, "NA")</f>
        <v>68132.439999999973</v>
      </c>
      <c r="I172" s="24">
        <f>IFERROR(H172/H444, "NA")</f>
        <v>0.82732048832624971</v>
      </c>
      <c r="J172" s="25"/>
      <c r="K172" s="23">
        <f>IFERROR(K124-K171, "NA")</f>
        <v>251162.69000000003</v>
      </c>
      <c r="L172" s="24">
        <f>IFERROR(K172/K444, "NA")</f>
        <v>0.71205677591198635</v>
      </c>
      <c r="M172" s="25"/>
      <c r="N172" s="23">
        <f>IFERROR(B172-K172, "NA")</f>
        <v>70001.639999999985</v>
      </c>
      <c r="O172" s="24">
        <f>IFERROR(N172/N444, "NA")</f>
        <v>0.84515514692859051</v>
      </c>
      <c r="P172" s="25"/>
      <c r="Q172" s="23">
        <f>IFERROR(Q124-Q171, "NA")</f>
        <v>321164.33</v>
      </c>
      <c r="R172" s="24">
        <f>IFERROR(Q172/Q444, "NA")</f>
        <v>0.73736729674108303</v>
      </c>
      <c r="S172" s="25"/>
      <c r="T172" s="23">
        <f>IFERROR(T124-T171, "NA")</f>
        <v>253031.89000000004</v>
      </c>
      <c r="U172" s="24">
        <f>IFERROR(T172/T444, "NA")</f>
        <v>0.7163936847634822</v>
      </c>
      <c r="V172" s="25"/>
      <c r="W172" s="23">
        <f>IFERROR(Q172-T172, "NA")</f>
        <v>68132.439999999973</v>
      </c>
      <c r="X172" s="24">
        <f>IFERROR(W172/W444, "NA")</f>
        <v>0.82732048832624971</v>
      </c>
      <c r="Y172" s="25"/>
      <c r="Z172" s="23">
        <f>IFERROR(Z124-Z171, "NA")</f>
        <v>251162.69000000003</v>
      </c>
      <c r="AA172" s="24">
        <f>IFERROR(Z172/Z444, "NA")</f>
        <v>0.71205677591198635</v>
      </c>
      <c r="AB172" s="25"/>
      <c r="AC172" s="23">
        <f>IFERROR(Q172-Z172, "NA")</f>
        <v>70001.639999999985</v>
      </c>
      <c r="AD172" s="24">
        <f>IFERROR(AC172/AC444, "NA")</f>
        <v>0.84515514692859051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31370.799999999999</v>
      </c>
      <c r="C178" s="8">
        <f>IFERROR(B178/B444, "NA")</f>
        <v>7.2024816680623174E-2</v>
      </c>
      <c r="D178" s="9"/>
      <c r="E178" s="7">
        <v>32038.460000000003</v>
      </c>
      <c r="F178" s="8">
        <f>IFERROR(E178/E444, "NA")</f>
        <v>9.0708528531907306E-2</v>
      </c>
      <c r="G178" s="9"/>
      <c r="H178" s="10">
        <f t="shared" si="44"/>
        <v>667.66000000000349</v>
      </c>
      <c r="I178" s="8">
        <f>IFERROR(H178/H444, "NA")</f>
        <v>8.1072804267087305E-3</v>
      </c>
      <c r="J178" s="9"/>
      <c r="K178" s="7">
        <v>25961.559999999998</v>
      </c>
      <c r="L178" s="8">
        <f>IFERROR(K178/K444, "NA")</f>
        <v>7.360211308154721E-2</v>
      </c>
      <c r="M178" s="9"/>
      <c r="N178" s="10">
        <f t="shared" si="45"/>
        <v>-5409.2400000000016</v>
      </c>
      <c r="O178" s="8">
        <f>IFERROR(N178/N444, "NA")</f>
        <v>-6.5307713176034329E-2</v>
      </c>
      <c r="P178" s="9"/>
      <c r="Q178" s="7">
        <v>31370.799999999999</v>
      </c>
      <c r="R178" s="8">
        <f>IFERROR(Q178/Q444, "NA")</f>
        <v>7.2024816680623174E-2</v>
      </c>
      <c r="S178" s="9"/>
      <c r="T178" s="7">
        <v>32038.460000000003</v>
      </c>
      <c r="U178" s="8">
        <f>IFERROR(T178/T444, "NA")</f>
        <v>9.0708528531907306E-2</v>
      </c>
      <c r="V178" s="9"/>
      <c r="W178" s="10">
        <f t="shared" si="46"/>
        <v>667.66000000000349</v>
      </c>
      <c r="X178" s="8">
        <f>IFERROR(W178/W444, "NA")</f>
        <v>8.1072804267087305E-3</v>
      </c>
      <c r="Y178" s="9"/>
      <c r="Z178" s="7">
        <v>25961.559999999998</v>
      </c>
      <c r="AA178" s="8">
        <f>IFERROR(Z178/Z444, "NA")</f>
        <v>7.360211308154721E-2</v>
      </c>
      <c r="AB178" s="9"/>
      <c r="AC178" s="10">
        <f t="shared" si="47"/>
        <v>-5409.2400000000016</v>
      </c>
      <c r="AD178" s="8">
        <f>IFERROR(AC178/AC444, "NA")</f>
        <v>-6.5307713176034329E-2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84105.66</v>
      </c>
      <c r="C180" s="8">
        <f>IFERROR(B180/B444, "NA")</f>
        <v>0.19309978525580546</v>
      </c>
      <c r="D180" s="9"/>
      <c r="E180" s="7">
        <v>76869.13</v>
      </c>
      <c r="F180" s="8">
        <f>IFERROR(E180/E444, "NA")</f>
        <v>0.21763485735044355</v>
      </c>
      <c r="G180" s="9"/>
      <c r="H180" s="10">
        <f t="shared" si="44"/>
        <v>-7236.5299999999988</v>
      </c>
      <c r="I180" s="8">
        <f>IFERROR(H180/H444, "NA")</f>
        <v>-8.7871937852035786E-2</v>
      </c>
      <c r="J180" s="9"/>
      <c r="K180" s="7">
        <v>82451.23</v>
      </c>
      <c r="L180" s="8">
        <f>IFERROR(K180/K444, "NA")</f>
        <v>0.23375270030663248</v>
      </c>
      <c r="M180" s="9"/>
      <c r="N180" s="10">
        <f t="shared" si="45"/>
        <v>-1654.4300000000076</v>
      </c>
      <c r="O180" s="8">
        <f>IFERROR(N180/N444, "NA")</f>
        <v>-1.9974532449997952E-2</v>
      </c>
      <c r="P180" s="9"/>
      <c r="Q180" s="7">
        <v>84105.66</v>
      </c>
      <c r="R180" s="8">
        <f>IFERROR(Q180/Q444, "NA")</f>
        <v>0.19309978525580546</v>
      </c>
      <c r="S180" s="9"/>
      <c r="T180" s="7">
        <v>76869.13</v>
      </c>
      <c r="U180" s="8">
        <f>IFERROR(T180/T444, "NA")</f>
        <v>0.21763485735044355</v>
      </c>
      <c r="V180" s="9"/>
      <c r="W180" s="10">
        <f t="shared" si="46"/>
        <v>-7236.5299999999988</v>
      </c>
      <c r="X180" s="8">
        <f>IFERROR(W180/W444, "NA")</f>
        <v>-8.7871937852035786E-2</v>
      </c>
      <c r="Y180" s="9"/>
      <c r="Z180" s="7">
        <v>82451.23</v>
      </c>
      <c r="AA180" s="8">
        <f>IFERROR(Z180/Z444, "NA")</f>
        <v>0.23375270030663248</v>
      </c>
      <c r="AB180" s="9"/>
      <c r="AC180" s="10">
        <f t="shared" si="47"/>
        <v>-1654.4300000000076</v>
      </c>
      <c r="AD180" s="8">
        <f>IFERROR(AC180/AC444, "NA")</f>
        <v>-1.9974532449997952E-2</v>
      </c>
    </row>
    <row r="181" spans="1:30" ht="16.5" customHeight="1" x14ac:dyDescent="0.45">
      <c r="A181" s="12" t="s">
        <v>166</v>
      </c>
      <c r="B181" s="7">
        <v>29.85</v>
      </c>
      <c r="C181" s="8">
        <f>IFERROR(B181/B444, "NA")</f>
        <v>6.8533183021045113E-5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-29.85</v>
      </c>
      <c r="I181" s="8">
        <f>IFERROR(H181/H444, "NA")</f>
        <v>-3.6246341062405173E-4</v>
      </c>
      <c r="J181" s="9"/>
      <c r="K181" s="7">
        <v>698.07999999999993</v>
      </c>
      <c r="L181" s="8">
        <f>IFERROR(K181/K444, "NA")</f>
        <v>1.9790861219420742E-3</v>
      </c>
      <c r="M181" s="9"/>
      <c r="N181" s="10">
        <f t="shared" si="45"/>
        <v>668.2299999999999</v>
      </c>
      <c r="O181" s="8">
        <f>IFERROR(N181/N444, "NA")</f>
        <v>8.0677827524054026E-3</v>
      </c>
      <c r="P181" s="9"/>
      <c r="Q181" s="7">
        <v>29.85</v>
      </c>
      <c r="R181" s="8">
        <f>IFERROR(Q181/Q444, "NA")</f>
        <v>6.8533183021045113E-5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-29.85</v>
      </c>
      <c r="X181" s="8">
        <f>IFERROR(W181/W444, "NA")</f>
        <v>-3.6246341062405173E-4</v>
      </c>
      <c r="Y181" s="9"/>
      <c r="Z181" s="7">
        <v>698.07999999999993</v>
      </c>
      <c r="AA181" s="8">
        <f>IFERROR(Z181/Z444, "NA")</f>
        <v>1.9790861219420742E-3</v>
      </c>
      <c r="AB181" s="9"/>
      <c r="AC181" s="10">
        <f t="shared" si="47"/>
        <v>668.2299999999999</v>
      </c>
      <c r="AD181" s="8">
        <f>IFERROR(AC181/AC444, "NA")</f>
        <v>8.0677827524054026E-3</v>
      </c>
    </row>
    <row r="182" spans="1:30" ht="16.5" customHeight="1" x14ac:dyDescent="0.45">
      <c r="A182" s="13" t="s">
        <v>167</v>
      </c>
      <c r="B182" s="14">
        <f>IFERROR(B177+B178+B179+B180+B181, "NA")</f>
        <v>115506.31000000001</v>
      </c>
      <c r="C182" s="15">
        <f>IFERROR(B182/B444, "NA")</f>
        <v>0.2651931351194497</v>
      </c>
      <c r="D182" s="2"/>
      <c r="E182" s="14">
        <f>IFERROR(E177+E178+E179+E180+E181, "NA")</f>
        <v>108907.59000000001</v>
      </c>
      <c r="F182" s="15">
        <f>IFERROR(E182/E444, "NA")</f>
        <v>0.30834338588235088</v>
      </c>
      <c r="G182" s="2"/>
      <c r="H182" s="14">
        <f t="shared" si="44"/>
        <v>-6598.7200000000012</v>
      </c>
      <c r="I182" s="15">
        <f>IFERROR(H182/H444, "NA")</f>
        <v>-8.0127120835951179E-2</v>
      </c>
      <c r="J182" s="2"/>
      <c r="K182" s="14">
        <f>IFERROR(K177+K178+K179+K180+K181, "NA")</f>
        <v>109110.87</v>
      </c>
      <c r="L182" s="15">
        <f>IFERROR(K182/K444, "NA")</f>
        <v>0.30933389951012175</v>
      </c>
      <c r="M182" s="2"/>
      <c r="N182" s="14">
        <f t="shared" si="45"/>
        <v>-6395.4400000000169</v>
      </c>
      <c r="O182" s="15">
        <f>IFERROR(N182/N444, "NA")</f>
        <v>-7.721446287362696E-2</v>
      </c>
      <c r="P182" s="2"/>
      <c r="Q182" s="14">
        <f>IFERROR(Q177+Q178+Q179+Q180+Q181, "NA")</f>
        <v>115506.31000000001</v>
      </c>
      <c r="R182" s="15">
        <f>IFERROR(Q182/Q444, "NA")</f>
        <v>0.2651931351194497</v>
      </c>
      <c r="S182" s="2"/>
      <c r="T182" s="14">
        <f>IFERROR(T177+T178+T179+T180+T181, "NA")</f>
        <v>108907.59000000001</v>
      </c>
      <c r="U182" s="15">
        <f>IFERROR(T182/T444, "NA")</f>
        <v>0.30834338588235088</v>
      </c>
      <c r="V182" s="2"/>
      <c r="W182" s="14">
        <f t="shared" si="46"/>
        <v>-6598.7200000000012</v>
      </c>
      <c r="X182" s="15">
        <f>IFERROR(W182/W444, "NA")</f>
        <v>-8.0127120835951179E-2</v>
      </c>
      <c r="Y182" s="2"/>
      <c r="Z182" s="14">
        <f>IFERROR(Z177+Z178+Z179+Z180+Z181, "NA")</f>
        <v>109110.87</v>
      </c>
      <c r="AA182" s="15">
        <f>IFERROR(Z182/Z444, "NA")</f>
        <v>0.30933389951012175</v>
      </c>
      <c r="AB182" s="2"/>
      <c r="AC182" s="14">
        <f t="shared" si="47"/>
        <v>-6395.4400000000169</v>
      </c>
      <c r="AD182" s="15">
        <f>IFERROR(AC182/AC444, "NA")</f>
        <v>-7.721446287362696E-2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6.7729611360831847E-3</v>
      </c>
      <c r="D184" s="9"/>
      <c r="E184" s="7">
        <v>2950</v>
      </c>
      <c r="F184" s="8">
        <f>IFERROR(E184/E444, "NA")</f>
        <v>8.3521542286716204E-3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1500</v>
      </c>
      <c r="L184" s="8">
        <f>IFERROR(K184/K444, "NA")</f>
        <v>4.2525630055482346E-3</v>
      </c>
      <c r="M184" s="9"/>
      <c r="N184" s="10">
        <f t="shared" si="45"/>
        <v>-1450</v>
      </c>
      <c r="O184" s="8">
        <f>IFERROR(N184/N444, "NA")</f>
        <v>-1.750637503701994E-2</v>
      </c>
      <c r="P184" s="9"/>
      <c r="Q184" s="7">
        <v>2950</v>
      </c>
      <c r="R184" s="8">
        <f>IFERROR(Q184/Q444, "NA")</f>
        <v>6.7729611360831847E-3</v>
      </c>
      <c r="S184" s="9"/>
      <c r="T184" s="7">
        <v>2950</v>
      </c>
      <c r="U184" s="8">
        <f>IFERROR(T184/T444, "NA")</f>
        <v>8.3521542286716204E-3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1500</v>
      </c>
      <c r="AA184" s="8">
        <f>IFERROR(Z184/Z444, "NA")</f>
        <v>4.2525630055482346E-3</v>
      </c>
      <c r="AB184" s="9"/>
      <c r="AC184" s="10">
        <f t="shared" si="47"/>
        <v>-1450</v>
      </c>
      <c r="AD184" s="8">
        <f>IFERROR(AC184/AC444, "NA")</f>
        <v>-1.750637503701994E-2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13090.740000000002</v>
      </c>
      <c r="C186" s="8">
        <f>IFERROR(B186/B444, "NA")</f>
        <v>3.0055279072057493E-2</v>
      </c>
      <c r="D186" s="9"/>
      <c r="E186" s="7">
        <v>14513.069999999998</v>
      </c>
      <c r="F186" s="8">
        <f>IFERROR(E186/E444, "NA")</f>
        <v>4.1089965753053292E-2</v>
      </c>
      <c r="G186" s="9"/>
      <c r="H186" s="10">
        <f t="shared" ref="H186:H197" si="48">IFERROR(-(B186-E186), "NA")</f>
        <v>1422.3299999999963</v>
      </c>
      <c r="I186" s="8">
        <f>IFERROR(H186/H444, "NA")</f>
        <v>1.727110830260992E-2</v>
      </c>
      <c r="J186" s="9"/>
      <c r="K186" s="7">
        <v>14029.25</v>
      </c>
      <c r="L186" s="8">
        <f>IFERROR(K186/K444, "NA")</f>
        <v>3.9773513030391713E-2</v>
      </c>
      <c r="M186" s="9"/>
      <c r="N186" s="10">
        <f t="shared" ref="N186:N197" si="49">IFERROR(-(B186-K186), "NA")</f>
        <v>938.5099999999984</v>
      </c>
      <c r="O186" s="8">
        <f>IFERROR(N186/N444, "NA")</f>
        <v>1.1330971059305901E-2</v>
      </c>
      <c r="P186" s="9"/>
      <c r="Q186" s="7">
        <v>13090.740000000002</v>
      </c>
      <c r="R186" s="8">
        <f>IFERROR(Q186/Q444, "NA")</f>
        <v>3.0055279072057493E-2</v>
      </c>
      <c r="S186" s="9"/>
      <c r="T186" s="7">
        <v>14513.069999999998</v>
      </c>
      <c r="U186" s="8">
        <f>IFERROR(T186/T444, "NA")</f>
        <v>4.1089965753053292E-2</v>
      </c>
      <c r="V186" s="9"/>
      <c r="W186" s="10">
        <f t="shared" ref="W186:W197" si="50">IFERROR(-(Q186-T186), "NA")</f>
        <v>1422.3299999999963</v>
      </c>
      <c r="X186" s="8">
        <f>IFERROR(W186/W444, "NA")</f>
        <v>1.727110830260992E-2</v>
      </c>
      <c r="Y186" s="9"/>
      <c r="Z186" s="7">
        <v>14029.25</v>
      </c>
      <c r="AA186" s="8">
        <f>IFERROR(Z186/Z444, "NA")</f>
        <v>3.9773513030391713E-2</v>
      </c>
      <c r="AB186" s="9"/>
      <c r="AC186" s="10">
        <f t="shared" ref="AC186:AC197" si="51">IFERROR(-(Q186-Z186), "NA")</f>
        <v>938.5099999999984</v>
      </c>
      <c r="AD186" s="8">
        <f>IFERROR(AC186/AC444, "NA")</f>
        <v>1.1330971059305901E-2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0.02</v>
      </c>
      <c r="L187" s="8">
        <f>IFERROR(K187/K444, "NA")</f>
        <v>5.6700840073976457E-8</v>
      </c>
      <c r="M187" s="9"/>
      <c r="N187" s="10">
        <f t="shared" si="49"/>
        <v>0.02</v>
      </c>
      <c r="O187" s="8">
        <f>IFERROR(N187/N444, "NA")</f>
        <v>2.4146724188993019E-7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5.6700840073976457E-8</v>
      </c>
      <c r="AB187" s="9"/>
      <c r="AC187" s="10">
        <f t="shared" si="51"/>
        <v>0.02</v>
      </c>
      <c r="AD187" s="8">
        <f>IFERROR(AC187/AC444, "NA")</f>
        <v>2.4146724188993019E-7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13090.740000000002</v>
      </c>
      <c r="C193" s="15">
        <f>IFERROR(B193/B444, "NA")</f>
        <v>3.0055279072057493E-2</v>
      </c>
      <c r="D193" s="2"/>
      <c r="E193" s="14">
        <f>IFERROR(E186+E187+E188+E189+E190+E191+E192, "NA")</f>
        <v>14513.069999999998</v>
      </c>
      <c r="F193" s="15">
        <f>IFERROR(E193/E444, "NA")</f>
        <v>4.1089965753053292E-2</v>
      </c>
      <c r="G193" s="2"/>
      <c r="H193" s="14">
        <f t="shared" si="48"/>
        <v>1422.3299999999963</v>
      </c>
      <c r="I193" s="15">
        <f>IFERROR(H193/H444, "NA")</f>
        <v>1.727110830260992E-2</v>
      </c>
      <c r="J193" s="2"/>
      <c r="K193" s="14">
        <f>IFERROR(K186+K187+K188+K189+K190+K191+K192, "NA")</f>
        <v>14029.27</v>
      </c>
      <c r="L193" s="15">
        <f>IFERROR(K193/K444, "NA")</f>
        <v>3.9773569731231785E-2</v>
      </c>
      <c r="M193" s="2"/>
      <c r="N193" s="14">
        <f t="shared" si="49"/>
        <v>938.52999999999884</v>
      </c>
      <c r="O193" s="15">
        <f>IFERROR(N193/N444, "NA")</f>
        <v>1.1331212526547795E-2</v>
      </c>
      <c r="P193" s="2"/>
      <c r="Q193" s="14">
        <f>IFERROR(Q186+Q187+Q188+Q189+Q190+Q191+Q192, "NA")</f>
        <v>13090.740000000002</v>
      </c>
      <c r="R193" s="15">
        <f>IFERROR(Q193/Q444, "NA")</f>
        <v>3.0055279072057493E-2</v>
      </c>
      <c r="S193" s="2"/>
      <c r="T193" s="14">
        <f>IFERROR(T186+T187+T188+T189+T190+T191+T192, "NA")</f>
        <v>14513.069999999998</v>
      </c>
      <c r="U193" s="15">
        <f>IFERROR(T193/T444, "NA")</f>
        <v>4.1089965753053292E-2</v>
      </c>
      <c r="V193" s="2"/>
      <c r="W193" s="14">
        <f t="shared" si="50"/>
        <v>1422.3299999999963</v>
      </c>
      <c r="X193" s="15">
        <f>IFERROR(W193/W444, "NA")</f>
        <v>1.727110830260992E-2</v>
      </c>
      <c r="Y193" s="2"/>
      <c r="Z193" s="14">
        <f>IFERROR(Z186+Z187+Z188+Z189+Z190+Z191+Z192, "NA")</f>
        <v>14029.27</v>
      </c>
      <c r="AA193" s="15">
        <f>IFERROR(Z193/Z444, "NA")</f>
        <v>3.9773569731231785E-2</v>
      </c>
      <c r="AB193" s="2"/>
      <c r="AC193" s="14">
        <f t="shared" si="51"/>
        <v>938.52999999999884</v>
      </c>
      <c r="AD193" s="15">
        <f>IFERROR(AC193/AC444, "NA")</f>
        <v>1.1331212526547795E-2</v>
      </c>
    </row>
    <row r="194" spans="1:30" ht="16.5" customHeight="1" x14ac:dyDescent="0.45">
      <c r="A194" s="6" t="s">
        <v>178</v>
      </c>
      <c r="B194" s="7">
        <v>1210.48</v>
      </c>
      <c r="C194" s="8">
        <f>IFERROR(B194/B444, "NA")</f>
        <v>2.7791640664427031E-3</v>
      </c>
      <c r="D194" s="9"/>
      <c r="E194" s="7">
        <v>894.8599999999999</v>
      </c>
      <c r="F194" s="8">
        <f>IFERROR(E194/E444, "NA")</f>
        <v>2.5335622823963E-3</v>
      </c>
      <c r="G194" s="9"/>
      <c r="H194" s="10">
        <f t="shared" si="48"/>
        <v>-315.62000000000012</v>
      </c>
      <c r="I194" s="8">
        <f>IFERROR(H194/H444, "NA")</f>
        <v>-3.8325193186319341E-3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-1210.48</v>
      </c>
      <c r="O194" s="8">
        <f>IFERROR(N194/N444, "NA")</f>
        <v>-1.4614563348146136E-2</v>
      </c>
      <c r="P194" s="9"/>
      <c r="Q194" s="7">
        <v>1210.48</v>
      </c>
      <c r="R194" s="8">
        <f>IFERROR(Q194/Q444, "NA")</f>
        <v>2.7791640664427031E-3</v>
      </c>
      <c r="S194" s="9"/>
      <c r="T194" s="7">
        <v>894.8599999999999</v>
      </c>
      <c r="U194" s="8">
        <f>IFERROR(T194/T444, "NA")</f>
        <v>2.5335622823963E-3</v>
      </c>
      <c r="V194" s="9"/>
      <c r="W194" s="10">
        <f t="shared" si="50"/>
        <v>-315.62000000000012</v>
      </c>
      <c r="X194" s="8">
        <f>IFERROR(W194/W444, "NA")</f>
        <v>-3.8325193186319341E-3</v>
      </c>
      <c r="Y194" s="9"/>
      <c r="Z194" s="7">
        <v>0</v>
      </c>
      <c r="AA194" s="8">
        <f>IFERROR(Z194/Z444, "NA")</f>
        <v>0</v>
      </c>
      <c r="AB194" s="9"/>
      <c r="AC194" s="10">
        <f t="shared" si="51"/>
        <v>-1210.48</v>
      </c>
      <c r="AD194" s="8">
        <f>IFERROR(AC194/AC444, "NA")</f>
        <v>-1.4614563348146136E-2</v>
      </c>
    </row>
    <row r="195" spans="1:30" ht="16.5" customHeight="1" x14ac:dyDescent="0.45">
      <c r="A195" s="6" t="s">
        <v>179</v>
      </c>
      <c r="B195" s="7">
        <v>1315.65</v>
      </c>
      <c r="C195" s="8">
        <f>IFERROR(B195/B444, "NA")</f>
        <v>3.0206258707416414E-3</v>
      </c>
      <c r="D195" s="9"/>
      <c r="E195" s="7">
        <v>442.28</v>
      </c>
      <c r="F195" s="8">
        <f>IFERROR(E195/E444, "NA")</f>
        <v>1.2522002617819945E-3</v>
      </c>
      <c r="G195" s="9"/>
      <c r="H195" s="10">
        <f t="shared" si="48"/>
        <v>-873.37000000000012</v>
      </c>
      <c r="I195" s="8">
        <f>IFERROR(H195/H444, "NA")</f>
        <v>-1.0605181538918863E-2</v>
      </c>
      <c r="J195" s="9"/>
      <c r="K195" s="7">
        <v>1227.93</v>
      </c>
      <c r="L195" s="8">
        <f>IFERROR(K195/K444, "NA")</f>
        <v>3.4812331276018959E-3</v>
      </c>
      <c r="M195" s="9"/>
      <c r="N195" s="10">
        <f t="shared" si="49"/>
        <v>-87.720000000000027</v>
      </c>
      <c r="O195" s="8">
        <f>IFERROR(N195/N444, "NA")</f>
        <v>-1.0590753229292342E-3</v>
      </c>
      <c r="P195" s="9"/>
      <c r="Q195" s="7">
        <v>1315.65</v>
      </c>
      <c r="R195" s="8">
        <f>IFERROR(Q195/Q444, "NA")</f>
        <v>3.0206258707416414E-3</v>
      </c>
      <c r="S195" s="9"/>
      <c r="T195" s="7">
        <v>442.28</v>
      </c>
      <c r="U195" s="8">
        <f>IFERROR(T195/T444, "NA")</f>
        <v>1.2522002617819945E-3</v>
      </c>
      <c r="V195" s="9"/>
      <c r="W195" s="10">
        <f t="shared" si="50"/>
        <v>-873.37000000000012</v>
      </c>
      <c r="X195" s="8">
        <f>IFERROR(W195/W444, "NA")</f>
        <v>-1.0605181538918863E-2</v>
      </c>
      <c r="Y195" s="9"/>
      <c r="Z195" s="7">
        <v>1227.93</v>
      </c>
      <c r="AA195" s="8">
        <f>IFERROR(Z195/Z444, "NA")</f>
        <v>3.4812331276018959E-3</v>
      </c>
      <c r="AB195" s="9"/>
      <c r="AC195" s="10">
        <f t="shared" si="51"/>
        <v>-87.720000000000027</v>
      </c>
      <c r="AD195" s="8">
        <f>IFERROR(AC195/AC444, "NA")</f>
        <v>-1.0590753229292342E-3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134073.18000000002</v>
      </c>
      <c r="C196" s="15">
        <f>IFERROR(B196/B444, "NA")</f>
        <v>0.30782116526477471</v>
      </c>
      <c r="D196" s="2"/>
      <c r="E196" s="14">
        <f>IFERROR(E175+E177+E178+E179+E180+E181+E183+E184+E186+E187+E188+E189+E190+E191+E192+E194+E195, "NA")</f>
        <v>127707.8</v>
      </c>
      <c r="F196" s="15">
        <f>IFERROR(E196/E444, "NA")</f>
        <v>0.36157126840825404</v>
      </c>
      <c r="G196" s="2"/>
      <c r="H196" s="14">
        <f t="shared" si="48"/>
        <v>-6365.3800000000192</v>
      </c>
      <c r="I196" s="15">
        <f>IFERROR(H196/H444, "NA")</f>
        <v>-7.7293713390892235E-2</v>
      </c>
      <c r="J196" s="2"/>
      <c r="K196" s="14">
        <f>IFERROR(K175+K177+K178+K179+K180+K181+K183+K184+K186+K187+K188+K189+K190+K191+K192+K194+K195, "NA")</f>
        <v>125868.06999999999</v>
      </c>
      <c r="L196" s="15">
        <f>IFERROR(K196/K444, "NA")</f>
        <v>0.35684126537450367</v>
      </c>
      <c r="M196" s="2"/>
      <c r="N196" s="14">
        <f t="shared" si="49"/>
        <v>-8205.1100000000297</v>
      </c>
      <c r="O196" s="15">
        <f>IFERROR(N196/N444, "NA")</f>
        <v>-9.9063264055174627E-2</v>
      </c>
      <c r="P196" s="2"/>
      <c r="Q196" s="14">
        <f>IFERROR(Q175+Q177+Q178+Q179+Q180+Q181+Q183+Q184+Q186+Q187+Q188+Q189+Q190+Q191+Q192+Q194+Q195, "NA")</f>
        <v>134073.18000000002</v>
      </c>
      <c r="R196" s="15">
        <f>IFERROR(Q196/Q444, "NA")</f>
        <v>0.30782116526477471</v>
      </c>
      <c r="S196" s="2"/>
      <c r="T196" s="14">
        <f>IFERROR(T175+T177+T178+T179+T180+T181+T183+T184+T186+T187+T188+T189+T190+T191+T192+T194+T195, "NA")</f>
        <v>127707.8</v>
      </c>
      <c r="U196" s="15">
        <f>IFERROR(T196/T444, "NA")</f>
        <v>0.36157126840825404</v>
      </c>
      <c r="V196" s="2"/>
      <c r="W196" s="14">
        <f t="shared" si="50"/>
        <v>-6365.3800000000192</v>
      </c>
      <c r="X196" s="15">
        <f>IFERROR(W196/W444, "NA")</f>
        <v>-7.7293713390892235E-2</v>
      </c>
      <c r="Y196" s="2"/>
      <c r="Z196" s="14">
        <f>IFERROR(Z175+Z177+Z178+Z179+Z180+Z181+Z183+Z184+Z186+Z187+Z188+Z189+Z190+Z191+Z192+Z194+Z195, "NA")</f>
        <v>125868.06999999999</v>
      </c>
      <c r="AA196" s="15">
        <f>IFERROR(Z196/Z444, "NA")</f>
        <v>0.35684126537450367</v>
      </c>
      <c r="AB196" s="2"/>
      <c r="AC196" s="14">
        <f t="shared" si="51"/>
        <v>-8205.1100000000297</v>
      </c>
      <c r="AD196" s="15">
        <f>IFERROR(AC196/AC444, "NA")</f>
        <v>-9.9063264055174627E-2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134073.18000000002</v>
      </c>
      <c r="C197" s="15">
        <f>IFERROR(B197/B444, "NA")</f>
        <v>0.30782116526477471</v>
      </c>
      <c r="D197" s="2"/>
      <c r="E197" s="14">
        <f>IFERROR(E175+E177+E178+E179+E180+E181+E183+E184+E186+E187+E188+E189+E190+E191+E192+E194+E195, "NA")</f>
        <v>127707.8</v>
      </c>
      <c r="F197" s="15">
        <f>IFERROR(E197/E444, "NA")</f>
        <v>0.36157126840825404</v>
      </c>
      <c r="G197" s="2"/>
      <c r="H197" s="14">
        <f t="shared" si="48"/>
        <v>-6365.3800000000192</v>
      </c>
      <c r="I197" s="15">
        <f>IFERROR(H197/H444, "NA")</f>
        <v>-7.7293713390892235E-2</v>
      </c>
      <c r="J197" s="2"/>
      <c r="K197" s="14">
        <f>IFERROR(K175+K177+K178+K179+K180+K181+K183+K184+K186+K187+K188+K189+K190+K191+K192+K194+K195, "NA")</f>
        <v>125868.06999999999</v>
      </c>
      <c r="L197" s="15">
        <f>IFERROR(K197/K444, "NA")</f>
        <v>0.35684126537450367</v>
      </c>
      <c r="M197" s="2"/>
      <c r="N197" s="14">
        <f t="shared" si="49"/>
        <v>-8205.1100000000297</v>
      </c>
      <c r="O197" s="15">
        <f>IFERROR(N197/N444, "NA")</f>
        <v>-9.9063264055174627E-2</v>
      </c>
      <c r="P197" s="2"/>
      <c r="Q197" s="14">
        <f>IFERROR(Q175+Q177+Q178+Q179+Q180+Q181+Q183+Q184+Q186+Q187+Q188+Q189+Q190+Q191+Q192+Q194+Q195, "NA")</f>
        <v>134073.18000000002</v>
      </c>
      <c r="R197" s="15">
        <f>IFERROR(Q197/Q444, "NA")</f>
        <v>0.30782116526477471</v>
      </c>
      <c r="S197" s="2"/>
      <c r="T197" s="14">
        <f>IFERROR(T175+T177+T178+T179+T180+T181+T183+T184+T186+T187+T188+T189+T190+T191+T192+T194+T195, "NA")</f>
        <v>127707.8</v>
      </c>
      <c r="U197" s="15">
        <f>IFERROR(T197/T444, "NA")</f>
        <v>0.36157126840825404</v>
      </c>
      <c r="V197" s="2"/>
      <c r="W197" s="14">
        <f t="shared" si="50"/>
        <v>-6365.3800000000192</v>
      </c>
      <c r="X197" s="15">
        <f>IFERROR(W197/W444, "NA")</f>
        <v>-7.7293713390892235E-2</v>
      </c>
      <c r="Y197" s="2"/>
      <c r="Z197" s="14">
        <f>IFERROR(Z175+Z177+Z178+Z179+Z180+Z181+Z183+Z184+Z186+Z187+Z188+Z189+Z190+Z191+Z192+Z194+Z195, "NA")</f>
        <v>125868.06999999999</v>
      </c>
      <c r="AA197" s="15">
        <f>IFERROR(Z197/Z444, "NA")</f>
        <v>0.35684126537450367</v>
      </c>
      <c r="AB197" s="2"/>
      <c r="AC197" s="14">
        <f t="shared" si="51"/>
        <v>-8205.1100000000297</v>
      </c>
      <c r="AD197" s="15">
        <f>IFERROR(AC197/AC444, "NA")</f>
        <v>-9.9063264055174627E-2</v>
      </c>
    </row>
    <row r="198" spans="1:30" ht="16.5" customHeight="1" x14ac:dyDescent="0.45">
      <c r="A198" s="22" t="s">
        <v>181</v>
      </c>
      <c r="B198" s="23">
        <f>IFERROR(B172-B197, "NA")</f>
        <v>187091.15</v>
      </c>
      <c r="C198" s="24">
        <f>IFERROR(B198/B444, "NA")</f>
        <v>0.42954613147630832</v>
      </c>
      <c r="D198" s="25"/>
      <c r="E198" s="23">
        <f>IFERROR(E172-E197, "NA")</f>
        <v>125324.09000000004</v>
      </c>
      <c r="F198" s="24">
        <f>IFERROR(E198/E444, "NA")</f>
        <v>0.3548224163552281</v>
      </c>
      <c r="G198" s="25"/>
      <c r="H198" s="23">
        <f>IFERROR(B198-E198, "NA")</f>
        <v>61767.059999999954</v>
      </c>
      <c r="I198" s="24">
        <f>IFERROR(H198/H444, "NA")</f>
        <v>0.75002677493535752</v>
      </c>
      <c r="J198" s="25"/>
      <c r="K198" s="23">
        <f>IFERROR(K172-K197, "NA")</f>
        <v>125294.62000000004</v>
      </c>
      <c r="L198" s="24">
        <f>IFERROR(K198/K444, "NA")</f>
        <v>0.35521551053748274</v>
      </c>
      <c r="M198" s="25"/>
      <c r="N198" s="23">
        <f>IFERROR(B198-K198, "NA")</f>
        <v>61796.529999999955</v>
      </c>
      <c r="O198" s="24">
        <f>IFERROR(N198/N444, "NA")</f>
        <v>0.74609188287341588</v>
      </c>
      <c r="P198" s="25"/>
      <c r="Q198" s="23">
        <f>IFERROR(Q172-Q197, "NA")</f>
        <v>187091.15</v>
      </c>
      <c r="R198" s="24">
        <f>IFERROR(Q198/Q444, "NA")</f>
        <v>0.42954613147630832</v>
      </c>
      <c r="S198" s="25"/>
      <c r="T198" s="23">
        <f>IFERROR(T172-T197, "NA")</f>
        <v>125324.09000000004</v>
      </c>
      <c r="U198" s="24">
        <f>IFERROR(T198/T444, "NA")</f>
        <v>0.3548224163552281</v>
      </c>
      <c r="V198" s="25"/>
      <c r="W198" s="23">
        <f>IFERROR(Q198-T198, "NA")</f>
        <v>61767.059999999954</v>
      </c>
      <c r="X198" s="24">
        <f>IFERROR(W198/W444, "NA")</f>
        <v>0.75002677493535752</v>
      </c>
      <c r="Y198" s="25"/>
      <c r="Z198" s="23">
        <f>IFERROR(Z172-Z197, "NA")</f>
        <v>125294.62000000004</v>
      </c>
      <c r="AA198" s="24">
        <f>IFERROR(Z198/Z444, "NA")</f>
        <v>0.35521551053748274</v>
      </c>
      <c r="AB198" s="25"/>
      <c r="AC198" s="23">
        <f>IFERROR(Q198-Z198, "NA")</f>
        <v>61796.529999999955</v>
      </c>
      <c r="AD198" s="24">
        <f>IFERROR(AC198/AC444, "NA")</f>
        <v>0.74609188287341588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7288.2199999999993</v>
      </c>
      <c r="F201" s="8">
        <f>IFERROR(E201/E444, "NA")</f>
        <v>2.0634690675420023E-2</v>
      </c>
      <c r="G201" s="9"/>
      <c r="H201" s="10">
        <f t="shared" ref="H201:H209" si="52">IFERROR(-(B201-E201), "NA")</f>
        <v>7288.2199999999993</v>
      </c>
      <c r="I201" s="8">
        <f>IFERROR(H201/H444, "NA")</f>
        <v>8.8499600622392829E-2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7288.2199999999993</v>
      </c>
      <c r="U201" s="8">
        <f>IFERROR(T201/T444, "NA")</f>
        <v>2.0634690675420023E-2</v>
      </c>
      <c r="V201" s="9"/>
      <c r="W201" s="10">
        <f t="shared" ref="W201:W209" si="54">IFERROR(-(Q201-T201), "NA")</f>
        <v>7288.2199999999993</v>
      </c>
      <c r="X201" s="8">
        <f>IFERROR(W201/W444, "NA")</f>
        <v>8.8499600622392829E-2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4589.2299999999996</v>
      </c>
      <c r="C202" s="8">
        <f>IFERROR(B202/B444, "NA")</f>
        <v>1.0536500486287129E-2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-4589.2299999999996</v>
      </c>
      <c r="I202" s="8">
        <f>IFERROR(H202/H444, "NA")</f>
        <v>-5.5726229746673919E-2</v>
      </c>
      <c r="J202" s="9"/>
      <c r="K202" s="7">
        <v>4598.38</v>
      </c>
      <c r="L202" s="8">
        <f>IFERROR(K202/K444, "NA")</f>
        <v>1.3036600448968594E-2</v>
      </c>
      <c r="M202" s="9"/>
      <c r="N202" s="10">
        <f t="shared" si="53"/>
        <v>9.1500000000005457</v>
      </c>
      <c r="O202" s="8">
        <f>IFERROR(N202/N444, "NA")</f>
        <v>1.1047126316464967E-4</v>
      </c>
      <c r="P202" s="9"/>
      <c r="Q202" s="7">
        <v>4589.2299999999996</v>
      </c>
      <c r="R202" s="8">
        <f>IFERROR(Q202/Q444, "NA")</f>
        <v>1.0536500486287129E-2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-4589.2299999999996</v>
      </c>
      <c r="X202" s="8">
        <f>IFERROR(W202/W444, "NA")</f>
        <v>-5.5726229746673919E-2</v>
      </c>
      <c r="Y202" s="9"/>
      <c r="Z202" s="7">
        <v>4598.38</v>
      </c>
      <c r="AA202" s="8">
        <f>IFERROR(Z202/Z444, "NA")</f>
        <v>1.3036600448968594E-2</v>
      </c>
      <c r="AB202" s="9"/>
      <c r="AC202" s="10">
        <f t="shared" si="55"/>
        <v>9.1500000000005457</v>
      </c>
      <c r="AD202" s="8">
        <f>IFERROR(AC202/AC444, "NA")</f>
        <v>1.1047126316464967E-4</v>
      </c>
    </row>
    <row r="203" spans="1:30" ht="16.5" customHeight="1" x14ac:dyDescent="0.45">
      <c r="A203" s="6" t="s">
        <v>185</v>
      </c>
      <c r="B203" s="7">
        <v>2947.6</v>
      </c>
      <c r="C203" s="8">
        <f>IFERROR(B203/B444, "NA")</f>
        <v>6.7674509304131505E-3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-2947.6</v>
      </c>
      <c r="I203" s="8">
        <f>IFERROR(H203/H444, "NA")</f>
        <v>-3.5792199301690274E-2</v>
      </c>
      <c r="J203" s="9"/>
      <c r="K203" s="7">
        <v>2503.2400000000002</v>
      </c>
      <c r="L203" s="8">
        <f>IFERROR(K203/K444, "NA")</f>
        <v>7.0967905453390417E-3</v>
      </c>
      <c r="M203" s="9"/>
      <c r="N203" s="10">
        <f t="shared" si="53"/>
        <v>-444.35999999999967</v>
      </c>
      <c r="O203" s="8">
        <f>IFERROR(N203/N444, "NA")</f>
        <v>-5.3649191803104655E-3</v>
      </c>
      <c r="P203" s="9"/>
      <c r="Q203" s="7">
        <v>2947.6</v>
      </c>
      <c r="R203" s="8">
        <f>IFERROR(Q203/Q444, "NA")</f>
        <v>6.7674509304131505E-3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-2947.6</v>
      </c>
      <c r="X203" s="8">
        <f>IFERROR(W203/W444, "NA")</f>
        <v>-3.5792199301690274E-2</v>
      </c>
      <c r="Y203" s="9"/>
      <c r="Z203" s="7">
        <v>2503.2400000000002</v>
      </c>
      <c r="AA203" s="8">
        <f>IFERROR(Z203/Z444, "NA")</f>
        <v>7.0967905453390417E-3</v>
      </c>
      <c r="AB203" s="9"/>
      <c r="AC203" s="10">
        <f t="shared" si="55"/>
        <v>-444.35999999999967</v>
      </c>
      <c r="AD203" s="8">
        <f>IFERROR(AC203/AC444, "NA")</f>
        <v>-5.3649191803104655E-3</v>
      </c>
    </row>
    <row r="204" spans="1:30" ht="16.5" customHeight="1" x14ac:dyDescent="0.45">
      <c r="A204" s="6" t="s">
        <v>186</v>
      </c>
      <c r="B204" s="7">
        <v>143.70000000000002</v>
      </c>
      <c r="C204" s="8">
        <f>IFERROR(B204/B444, "NA")</f>
        <v>3.2992356449327247E-4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-143.70000000000002</v>
      </c>
      <c r="I204" s="8">
        <f>IFERROR(H204/H444, "NA")</f>
        <v>-1.7449243586826208E-3</v>
      </c>
      <c r="J204" s="9"/>
      <c r="K204" s="7">
        <v>368.81</v>
      </c>
      <c r="L204" s="8">
        <f>IFERROR(K204/K444, "NA")</f>
        <v>1.0455918413841629E-3</v>
      </c>
      <c r="M204" s="9"/>
      <c r="N204" s="10">
        <f t="shared" si="53"/>
        <v>225.10999999999999</v>
      </c>
      <c r="O204" s="8">
        <f>IFERROR(N204/N444, "NA")</f>
        <v>2.7178345410921092E-3</v>
      </c>
      <c r="P204" s="9"/>
      <c r="Q204" s="7">
        <v>143.70000000000002</v>
      </c>
      <c r="R204" s="8">
        <f>IFERROR(Q204/Q444, "NA")</f>
        <v>3.2992356449327247E-4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-143.70000000000002</v>
      </c>
      <c r="X204" s="8">
        <f>IFERROR(W204/W444, "NA")</f>
        <v>-1.7449243586826208E-3</v>
      </c>
      <c r="Y204" s="9"/>
      <c r="Z204" s="7">
        <v>368.81</v>
      </c>
      <c r="AA204" s="8">
        <f>IFERROR(Z204/Z444, "NA")</f>
        <v>1.0455918413841629E-3</v>
      </c>
      <c r="AB204" s="9"/>
      <c r="AC204" s="10">
        <f t="shared" si="55"/>
        <v>225.10999999999999</v>
      </c>
      <c r="AD204" s="8">
        <f>IFERROR(AC204/AC444, "NA")</f>
        <v>2.7178345410921092E-3</v>
      </c>
    </row>
    <row r="205" spans="1:30" ht="16.5" customHeight="1" x14ac:dyDescent="0.45">
      <c r="A205" s="6" t="s">
        <v>187</v>
      </c>
      <c r="B205" s="7">
        <v>1905.0600000000002</v>
      </c>
      <c r="C205" s="8">
        <f>IFERROR(B205/B444, "NA")</f>
        <v>4.3738635057310625E-3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-1905.0600000000002</v>
      </c>
      <c r="I205" s="8">
        <f>IFERROR(H205/H444, "NA")</f>
        <v>-2.313281557934526E-2</v>
      </c>
      <c r="J205" s="9"/>
      <c r="K205" s="7">
        <v>2072.9</v>
      </c>
      <c r="L205" s="8">
        <f>IFERROR(K205/K444, "NA")</f>
        <v>5.8767585694672903E-3</v>
      </c>
      <c r="M205" s="9"/>
      <c r="N205" s="10">
        <f t="shared" si="53"/>
        <v>167.83999999999992</v>
      </c>
      <c r="O205" s="8">
        <f>IFERROR(N205/N444, "NA")</f>
        <v>2.0263930939402935E-3</v>
      </c>
      <c r="P205" s="9"/>
      <c r="Q205" s="7">
        <v>1905.0600000000002</v>
      </c>
      <c r="R205" s="8">
        <f>IFERROR(Q205/Q444, "NA")</f>
        <v>4.3738635057310625E-3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-1905.0600000000002</v>
      </c>
      <c r="X205" s="8">
        <f>IFERROR(W205/W444, "NA")</f>
        <v>-2.313281557934526E-2</v>
      </c>
      <c r="Y205" s="9"/>
      <c r="Z205" s="7">
        <v>2072.9</v>
      </c>
      <c r="AA205" s="8">
        <f>IFERROR(Z205/Z444, "NA")</f>
        <v>5.8767585694672903E-3</v>
      </c>
      <c r="AB205" s="9"/>
      <c r="AC205" s="10">
        <f t="shared" si="55"/>
        <v>167.83999999999992</v>
      </c>
      <c r="AD205" s="8">
        <f>IFERROR(AC205/AC444, "NA")</f>
        <v>2.0263930939402935E-3</v>
      </c>
    </row>
    <row r="206" spans="1:30" ht="16.5" hidden="1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0</v>
      </c>
      <c r="R206" s="8">
        <f>IFERROR(Q206/Q444, "NA")</f>
        <v>0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0</v>
      </c>
      <c r="X206" s="8">
        <f>IFERROR(W206/W444, "NA")</f>
        <v>0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0</v>
      </c>
      <c r="AD206" s="8">
        <f>IFERROR(AC206/AC444, "NA")</f>
        <v>0</v>
      </c>
    </row>
    <row r="207" spans="1:30" ht="16.5" customHeight="1" x14ac:dyDescent="0.45">
      <c r="A207" s="6" t="s">
        <v>189</v>
      </c>
      <c r="B207" s="7">
        <v>497.99</v>
      </c>
      <c r="C207" s="8">
        <f>IFERROR(B207/B444, "NA")</f>
        <v>1.143344717341717E-3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-497.99</v>
      </c>
      <c r="I207" s="8">
        <f>IFERROR(H207/H444, "NA")</f>
        <v>-6.0470068293692293E-3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-497.99</v>
      </c>
      <c r="O207" s="8">
        <f>IFERROR(N207/N444, "NA")</f>
        <v>-6.012413589438317E-3</v>
      </c>
      <c r="P207" s="9"/>
      <c r="Q207" s="7">
        <v>497.99</v>
      </c>
      <c r="R207" s="8">
        <f>IFERROR(Q207/Q444, "NA")</f>
        <v>1.143344717341717E-3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-497.99</v>
      </c>
      <c r="X207" s="8">
        <f>IFERROR(W207/W444, "NA")</f>
        <v>-6.0470068293692293E-3</v>
      </c>
      <c r="Y207" s="9"/>
      <c r="Z207" s="7">
        <v>0</v>
      </c>
      <c r="AA207" s="8">
        <f>IFERROR(Z207/Z444, "NA")</f>
        <v>0</v>
      </c>
      <c r="AB207" s="9"/>
      <c r="AC207" s="10">
        <f t="shared" si="55"/>
        <v>-497.99</v>
      </c>
      <c r="AD207" s="8">
        <f>IFERROR(AC207/AC444, "NA")</f>
        <v>-6.012413589438317E-3</v>
      </c>
    </row>
    <row r="208" spans="1:30" ht="16.5" customHeight="1" x14ac:dyDescent="0.45">
      <c r="A208" s="6" t="s">
        <v>190</v>
      </c>
      <c r="B208" s="7">
        <v>728.68999999999994</v>
      </c>
      <c r="C208" s="8">
        <f>IFERROR(B208/B444, "NA")</f>
        <v>1.6730132373737137E-3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-728.68999999999994</v>
      </c>
      <c r="I208" s="8">
        <f>IFERROR(H208/H444, "NA")</f>
        <v>-8.8483572089661702E-3</v>
      </c>
      <c r="J208" s="9"/>
      <c r="K208" s="7">
        <v>113.38999999999999</v>
      </c>
      <c r="L208" s="8">
        <f>IFERROR(K208/K444, "NA")</f>
        <v>3.2146541279940951E-4</v>
      </c>
      <c r="M208" s="9"/>
      <c r="N208" s="10">
        <f t="shared" si="53"/>
        <v>-615.29999999999995</v>
      </c>
      <c r="O208" s="8">
        <f>IFERROR(N208/N444, "NA")</f>
        <v>-7.428739696743702E-3</v>
      </c>
      <c r="P208" s="9"/>
      <c r="Q208" s="7">
        <v>728.68999999999994</v>
      </c>
      <c r="R208" s="8">
        <f>IFERROR(Q208/Q444, "NA")</f>
        <v>1.6730132373737137E-3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-728.68999999999994</v>
      </c>
      <c r="X208" s="8">
        <f>IFERROR(W208/W444, "NA")</f>
        <v>-8.8483572089661702E-3</v>
      </c>
      <c r="Y208" s="9"/>
      <c r="Z208" s="7">
        <v>113.38999999999999</v>
      </c>
      <c r="AA208" s="8">
        <f>IFERROR(Z208/Z444, "NA")</f>
        <v>3.2146541279940951E-4</v>
      </c>
      <c r="AB208" s="9"/>
      <c r="AC208" s="10">
        <f t="shared" si="55"/>
        <v>-615.29999999999995</v>
      </c>
      <c r="AD208" s="8">
        <f>IFERROR(AC208/AC444, "NA")</f>
        <v>-7.428739696743702E-3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10812.27</v>
      </c>
      <c r="C209" s="15">
        <f>IFERROR(B209/B444, "NA")</f>
        <v>2.4824096441640048E-2</v>
      </c>
      <c r="D209" s="2"/>
      <c r="E209" s="14">
        <f>IFERROR(E201+E202+E203+E204+E205+E206+E207+E208, "NA")</f>
        <v>7288.2199999999993</v>
      </c>
      <c r="F209" s="15">
        <f>IFERROR(E209/E444, "NA")</f>
        <v>2.0634690675420023E-2</v>
      </c>
      <c r="G209" s="2"/>
      <c r="H209" s="14">
        <f t="shared" si="52"/>
        <v>-3524.0500000000011</v>
      </c>
      <c r="I209" s="15">
        <f>IFERROR(H209/H444, "NA")</f>
        <v>-4.2791932402334663E-2</v>
      </c>
      <c r="J209" s="2"/>
      <c r="K209" s="14">
        <f>IFERROR(K201+K202+K203+K204+K205+K206+K207+K208, "NA")</f>
        <v>9656.7200000000012</v>
      </c>
      <c r="L209" s="15">
        <f>IFERROR(K209/K444, "NA")</f>
        <v>2.7377206817958501E-2</v>
      </c>
      <c r="M209" s="2"/>
      <c r="N209" s="14">
        <f t="shared" si="53"/>
        <v>-1155.5499999999993</v>
      </c>
      <c r="O209" s="15">
        <f>IFERROR(N209/N444, "NA")</f>
        <v>-1.3951373568295435E-2</v>
      </c>
      <c r="P209" s="2"/>
      <c r="Q209" s="14">
        <f>IFERROR(Q201+Q202+Q203+Q204+Q205+Q206+Q207+Q208, "NA")</f>
        <v>10812.27</v>
      </c>
      <c r="R209" s="15">
        <f>IFERROR(Q209/Q444, "NA")</f>
        <v>2.4824096441640048E-2</v>
      </c>
      <c r="S209" s="2"/>
      <c r="T209" s="14">
        <f>IFERROR(T201+T202+T203+T204+T205+T206+T207+T208, "NA")</f>
        <v>7288.2199999999993</v>
      </c>
      <c r="U209" s="15">
        <f>IFERROR(T209/T444, "NA")</f>
        <v>2.0634690675420023E-2</v>
      </c>
      <c r="V209" s="2"/>
      <c r="W209" s="14">
        <f t="shared" si="54"/>
        <v>-3524.0500000000011</v>
      </c>
      <c r="X209" s="15">
        <f>IFERROR(W209/W444, "NA")</f>
        <v>-4.2791932402334663E-2</v>
      </c>
      <c r="Y209" s="2"/>
      <c r="Z209" s="14">
        <f>IFERROR(Z201+Z202+Z203+Z204+Z205+Z206+Z207+Z208, "NA")</f>
        <v>9656.7200000000012</v>
      </c>
      <c r="AA209" s="15">
        <f>IFERROR(Z209/Z444, "NA")</f>
        <v>2.7377206817958501E-2</v>
      </c>
      <c r="AB209" s="2"/>
      <c r="AC209" s="14">
        <f t="shared" si="55"/>
        <v>-1155.5499999999993</v>
      </c>
      <c r="AD209" s="15">
        <f>IFERROR(AC209/AC444, "NA")</f>
        <v>-1.3951373568295435E-2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13786.589999999998</v>
      </c>
      <c r="F213" s="8">
        <f>IFERROR(E213/E444, "NA")</f>
        <v>3.9033127446597239E-2</v>
      </c>
      <c r="G213" s="9"/>
      <c r="H213" s="10">
        <f t="shared" ref="H213:H227" si="56">IFERROR(-(B213-E213), "NA")</f>
        <v>13786.589999999998</v>
      </c>
      <c r="I213" s="8">
        <f>IFERROR(H213/H444, "NA")</f>
        <v>0.16740818868594454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13786.589999999998</v>
      </c>
      <c r="U213" s="8">
        <f>IFERROR(T213/T444, "NA")</f>
        <v>3.9033127446597239E-2</v>
      </c>
      <c r="V213" s="9"/>
      <c r="W213" s="10">
        <f t="shared" ref="W213:W227" si="58">IFERROR(-(Q213-T213), "NA")</f>
        <v>13786.589999999998</v>
      </c>
      <c r="X213" s="8">
        <f>IFERROR(W213/W444, "NA")</f>
        <v>0.16740818868594454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12513.740000000002</v>
      </c>
      <c r="C214" s="8">
        <f>IFERROR(B214/B444, "NA")</f>
        <v>2.8730533792220205E-2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-12513.740000000002</v>
      </c>
      <c r="I214" s="8">
        <f>IFERROR(H214/H444, "NA")</f>
        <v>-0.15195219028685497</v>
      </c>
      <c r="J214" s="9"/>
      <c r="K214" s="7">
        <v>1705</v>
      </c>
      <c r="L214" s="8">
        <f>IFERROR(K214/K444, "NA")</f>
        <v>4.8337466163064927E-3</v>
      </c>
      <c r="M214" s="9"/>
      <c r="N214" s="10">
        <f t="shared" si="57"/>
        <v>-10808.740000000002</v>
      </c>
      <c r="O214" s="8">
        <f>IFERROR(N214/N444, "NA")</f>
        <v>-0.13049783180526822</v>
      </c>
      <c r="P214" s="9"/>
      <c r="Q214" s="7">
        <v>12513.740000000002</v>
      </c>
      <c r="R214" s="8">
        <f>IFERROR(Q214/Q444, "NA")</f>
        <v>2.8730533792220205E-2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-12513.740000000002</v>
      </c>
      <c r="X214" s="8">
        <f>IFERROR(W214/W444, "NA")</f>
        <v>-0.15195219028685497</v>
      </c>
      <c r="Y214" s="9"/>
      <c r="Z214" s="7">
        <v>1705</v>
      </c>
      <c r="AA214" s="8">
        <f>IFERROR(Z214/Z444, "NA")</f>
        <v>4.8337466163064927E-3</v>
      </c>
      <c r="AB214" s="9"/>
      <c r="AC214" s="10">
        <f t="shared" si="59"/>
        <v>-10808.740000000002</v>
      </c>
      <c r="AD214" s="8">
        <f>IFERROR(AC214/AC444, "NA")</f>
        <v>-0.13049783180526822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11015.51</v>
      </c>
      <c r="C217" s="8">
        <f>IFERROR(B217/B444, "NA")</f>
        <v>2.5290719025130741E-2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-11015.51</v>
      </c>
      <c r="I217" s="8">
        <f>IFERROR(H217/H444, "NA")</f>
        <v>-0.13375944135220597</v>
      </c>
      <c r="J217" s="9"/>
      <c r="K217" s="7">
        <v>1826.1699999999998</v>
      </c>
      <c r="L217" s="8">
        <f>IFERROR(K217/K444, "NA")</f>
        <v>5.1772686558946793E-3</v>
      </c>
      <c r="M217" s="9"/>
      <c r="N217" s="10">
        <f t="shared" si="57"/>
        <v>-9189.34</v>
      </c>
      <c r="O217" s="8">
        <f>IFERROR(N217/N444, "NA")</f>
        <v>-0.11094622922944057</v>
      </c>
      <c r="P217" s="9"/>
      <c r="Q217" s="7">
        <v>11015.51</v>
      </c>
      <c r="R217" s="8">
        <f>IFERROR(Q217/Q444, "NA")</f>
        <v>2.5290719025130741E-2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-11015.51</v>
      </c>
      <c r="X217" s="8">
        <f>IFERROR(W217/W444, "NA")</f>
        <v>-0.13375944135220597</v>
      </c>
      <c r="Y217" s="9"/>
      <c r="Z217" s="7">
        <v>1826.1699999999998</v>
      </c>
      <c r="AA217" s="8">
        <f>IFERROR(Z217/Z444, "NA")</f>
        <v>5.1772686558946793E-3</v>
      </c>
      <c r="AB217" s="9"/>
      <c r="AC217" s="10">
        <f t="shared" si="59"/>
        <v>-9189.34</v>
      </c>
      <c r="AD217" s="8">
        <f>IFERROR(AC217/AC444, "NA")</f>
        <v>-0.11094622922944057</v>
      </c>
    </row>
    <row r="218" spans="1:30" ht="16.5" customHeight="1" x14ac:dyDescent="0.45">
      <c r="A218" s="13" t="s">
        <v>198</v>
      </c>
      <c r="B218" s="14">
        <f>IFERROR(B213+B214+B215+B216+B217, "NA")</f>
        <v>23529.25</v>
      </c>
      <c r="C218" s="15">
        <f>IFERROR(B218/B444, "NA")</f>
        <v>5.4021252817350943E-2</v>
      </c>
      <c r="D218" s="2"/>
      <c r="E218" s="14">
        <f>IFERROR(E213+E214+E215+E216+E217, "NA")</f>
        <v>13786.589999999998</v>
      </c>
      <c r="F218" s="15">
        <f>IFERROR(E218/E444, "NA")</f>
        <v>3.9033127446597239E-2</v>
      </c>
      <c r="G218" s="2"/>
      <c r="H218" s="14">
        <f t="shared" si="56"/>
        <v>-9742.6600000000017</v>
      </c>
      <c r="I218" s="15">
        <f>IFERROR(H218/H444, "NA")</f>
        <v>-0.11830344295311639</v>
      </c>
      <c r="J218" s="2"/>
      <c r="K218" s="14">
        <f>IFERROR(K213+K214+K215+K216+K217, "NA")</f>
        <v>3531.17</v>
      </c>
      <c r="L218" s="15">
        <f>IFERROR(K218/K444, "NA")</f>
        <v>1.0011015272201173E-2</v>
      </c>
      <c r="M218" s="2"/>
      <c r="N218" s="14">
        <f t="shared" si="57"/>
        <v>-19998.080000000002</v>
      </c>
      <c r="O218" s="15">
        <f>IFERROR(N218/N444, "NA")</f>
        <v>-0.24144406103470881</v>
      </c>
      <c r="P218" s="2"/>
      <c r="Q218" s="14">
        <f>IFERROR(Q213+Q214+Q215+Q216+Q217, "NA")</f>
        <v>23529.25</v>
      </c>
      <c r="R218" s="15">
        <f>IFERROR(Q218/Q444, "NA")</f>
        <v>5.4021252817350943E-2</v>
      </c>
      <c r="S218" s="2"/>
      <c r="T218" s="14">
        <f>IFERROR(T213+T214+T215+T216+T217, "NA")</f>
        <v>13786.589999999998</v>
      </c>
      <c r="U218" s="15">
        <f>IFERROR(T218/T444, "NA")</f>
        <v>3.9033127446597239E-2</v>
      </c>
      <c r="V218" s="2"/>
      <c r="W218" s="14">
        <f t="shared" si="58"/>
        <v>-9742.6600000000017</v>
      </c>
      <c r="X218" s="15">
        <f>IFERROR(W218/W444, "NA")</f>
        <v>-0.11830344295311639</v>
      </c>
      <c r="Y218" s="2"/>
      <c r="Z218" s="14">
        <f>IFERROR(Z213+Z214+Z215+Z216+Z217, "NA")</f>
        <v>3531.17</v>
      </c>
      <c r="AA218" s="15">
        <f>IFERROR(Z218/Z444, "NA")</f>
        <v>1.0011015272201173E-2</v>
      </c>
      <c r="AB218" s="2"/>
      <c r="AC218" s="14">
        <f t="shared" si="59"/>
        <v>-19998.080000000002</v>
      </c>
      <c r="AD218" s="15">
        <f>IFERROR(AC218/AC444, "NA")</f>
        <v>-0.24144406103470881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623.29999999999995</v>
      </c>
      <c r="C222" s="8">
        <f>IFERROR(B222/B444, "NA")</f>
        <v>1.4310463308883554E-3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-623.29999999999995</v>
      </c>
      <c r="I222" s="8">
        <f>IFERROR(H222/H444, "NA")</f>
        <v>-7.5686245843206495E-3</v>
      </c>
      <c r="J222" s="9"/>
      <c r="K222" s="7">
        <v>300</v>
      </c>
      <c r="L222" s="8">
        <f>IFERROR(K222/K444, "NA")</f>
        <v>8.5051260110964686E-4</v>
      </c>
      <c r="M222" s="9"/>
      <c r="N222" s="10">
        <f t="shared" si="57"/>
        <v>-323.29999999999995</v>
      </c>
      <c r="O222" s="8">
        <f>IFERROR(N222/N444, "NA")</f>
        <v>-3.9033179651507214E-3</v>
      </c>
      <c r="P222" s="9"/>
      <c r="Q222" s="7">
        <v>623.29999999999995</v>
      </c>
      <c r="R222" s="8">
        <f>IFERROR(Q222/Q444, "NA")</f>
        <v>1.4310463308883554E-3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-623.29999999999995</v>
      </c>
      <c r="X222" s="8">
        <f>IFERROR(W222/W444, "NA")</f>
        <v>-7.5686245843206495E-3</v>
      </c>
      <c r="Y222" s="9"/>
      <c r="Z222" s="7">
        <v>300</v>
      </c>
      <c r="AA222" s="8">
        <f>IFERROR(Z222/Z444, "NA")</f>
        <v>8.5051260110964686E-4</v>
      </c>
      <c r="AB222" s="9"/>
      <c r="AC222" s="10">
        <f t="shared" si="59"/>
        <v>-323.29999999999995</v>
      </c>
      <c r="AD222" s="8">
        <f>IFERROR(AC222/AC444, "NA")</f>
        <v>-3.9033179651507214E-3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353.20000000000005</v>
      </c>
      <c r="F226" s="8">
        <f>IFERROR(E226/E444, "NA")</f>
        <v>9.9999351646332764E-4</v>
      </c>
      <c r="G226" s="9"/>
      <c r="H226" s="10">
        <f t="shared" si="56"/>
        <v>353.20000000000005</v>
      </c>
      <c r="I226" s="8">
        <f>IFERROR(H226/H444, "NA")</f>
        <v>4.2888467883556141E-3</v>
      </c>
      <c r="J226" s="9"/>
      <c r="K226" s="7">
        <v>846.6</v>
      </c>
      <c r="L226" s="8">
        <f>IFERROR(K226/K444, "NA")</f>
        <v>2.4001465603314233E-3</v>
      </c>
      <c r="M226" s="9"/>
      <c r="N226" s="10">
        <f t="shared" si="57"/>
        <v>846.6</v>
      </c>
      <c r="O226" s="8">
        <f>IFERROR(N226/N444, "NA")</f>
        <v>1.0221308349200747E-2</v>
      </c>
      <c r="P226" s="9"/>
      <c r="Q226" s="7">
        <v>0</v>
      </c>
      <c r="R226" s="8">
        <f>IFERROR(Q226/Q444, "NA")</f>
        <v>0</v>
      </c>
      <c r="S226" s="9"/>
      <c r="T226" s="7">
        <v>353.20000000000005</v>
      </c>
      <c r="U226" s="8">
        <f>IFERROR(T226/T444, "NA")</f>
        <v>9.9999351646332764E-4</v>
      </c>
      <c r="V226" s="9"/>
      <c r="W226" s="10">
        <f t="shared" si="58"/>
        <v>353.20000000000005</v>
      </c>
      <c r="X226" s="8">
        <f>IFERROR(W226/W444, "NA")</f>
        <v>4.2888467883556141E-3</v>
      </c>
      <c r="Y226" s="9"/>
      <c r="Z226" s="7">
        <v>846.6</v>
      </c>
      <c r="AA226" s="8">
        <f>IFERROR(Z226/Z444, "NA")</f>
        <v>2.4001465603314233E-3</v>
      </c>
      <c r="AB226" s="9"/>
      <c r="AC226" s="10">
        <f t="shared" si="59"/>
        <v>846.6</v>
      </c>
      <c r="AD226" s="8">
        <f>IFERROR(AC226/AC444, "NA")</f>
        <v>1.0221308349200747E-2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24152.55</v>
      </c>
      <c r="C227" s="15">
        <f>IFERROR(B227/B444, "NA")</f>
        <v>5.5452299148239292E-2</v>
      </c>
      <c r="D227" s="2"/>
      <c r="E227" s="14">
        <f>IFERROR(E211+E213+E214+E215+E216+E217+E219+E220+E221+E222+E223+E224+E225+E226, "NA")</f>
        <v>14139.789999999999</v>
      </c>
      <c r="F227" s="15">
        <f>IFERROR(E227/E444, "NA")</f>
        <v>4.0033120963060567E-2</v>
      </c>
      <c r="G227" s="2"/>
      <c r="H227" s="14">
        <f t="shared" si="56"/>
        <v>-10012.76</v>
      </c>
      <c r="I227" s="15">
        <f>IFERROR(H227/H444, "NA")</f>
        <v>-0.1215832207490814</v>
      </c>
      <c r="J227" s="2"/>
      <c r="K227" s="14">
        <f>IFERROR(K211+K213+K214+K215+K216+K217+K219+K220+K221+K222+K223+K224+K225+K226, "NA")</f>
        <v>4677.7700000000004</v>
      </c>
      <c r="L227" s="15">
        <f>IFERROR(K227/K444, "NA")</f>
        <v>1.3261674433642245E-2</v>
      </c>
      <c r="M227" s="2"/>
      <c r="N227" s="14">
        <f t="shared" si="57"/>
        <v>-19474.78</v>
      </c>
      <c r="O227" s="15">
        <f>IFERROR(N227/N444, "NA")</f>
        <v>-0.23512607065065874</v>
      </c>
      <c r="P227" s="2"/>
      <c r="Q227" s="14">
        <f>IFERROR(Q211+Q213+Q214+Q215+Q216+Q217+Q219+Q220+Q221+Q222+Q223+Q224+Q225+Q226, "NA")</f>
        <v>24152.55</v>
      </c>
      <c r="R227" s="15">
        <f>IFERROR(Q227/Q444, "NA")</f>
        <v>5.5452299148239292E-2</v>
      </c>
      <c r="S227" s="2"/>
      <c r="T227" s="14">
        <f>IFERROR(T211+T213+T214+T215+T216+T217+T219+T220+T221+T222+T223+T224+T225+T226, "NA")</f>
        <v>14139.789999999999</v>
      </c>
      <c r="U227" s="15">
        <f>IFERROR(T227/T444, "NA")</f>
        <v>4.0033120963060567E-2</v>
      </c>
      <c r="V227" s="2"/>
      <c r="W227" s="14">
        <f t="shared" si="58"/>
        <v>-10012.76</v>
      </c>
      <c r="X227" s="15">
        <f>IFERROR(W227/W444, "NA")</f>
        <v>-0.1215832207490814</v>
      </c>
      <c r="Y227" s="2"/>
      <c r="Z227" s="14">
        <f>IFERROR(Z211+Z213+Z214+Z215+Z216+Z217+Z219+Z220+Z221+Z222+Z223+Z224+Z225+Z226, "NA")</f>
        <v>4677.7700000000004</v>
      </c>
      <c r="AA227" s="15">
        <f>IFERROR(Z227/Z444, "NA")</f>
        <v>1.3261674433642245E-2</v>
      </c>
      <c r="AB227" s="2"/>
      <c r="AC227" s="14">
        <f t="shared" si="59"/>
        <v>-19474.78</v>
      </c>
      <c r="AD227" s="15">
        <f>IFERROR(AC227/AC444, "NA")</f>
        <v>-0.23512607065065874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6047.84</v>
      </c>
      <c r="F229" s="8">
        <f>IFERROR(E229/E444, "NA")</f>
        <v>1.7122878789942158E-2</v>
      </c>
      <c r="G229" s="9"/>
      <c r="H229" s="10">
        <f t="shared" ref="H229:H236" si="60">IFERROR(-(B229-E229), "NA")</f>
        <v>6047.84</v>
      </c>
      <c r="I229" s="8">
        <f>IFERROR(H229/H444, "NA")</f>
        <v>7.3437879842832995E-2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6047.84</v>
      </c>
      <c r="U229" s="8">
        <f>IFERROR(T229/T444, "NA")</f>
        <v>1.7122878789942158E-2</v>
      </c>
      <c r="V229" s="9"/>
      <c r="W229" s="10">
        <f t="shared" ref="W229:W236" si="62">IFERROR(-(Q229-T229), "NA")</f>
        <v>6047.84</v>
      </c>
      <c r="X229" s="8">
        <f>IFERROR(W229/W444, "NA")</f>
        <v>7.3437879842832995E-2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-52.660000000000025</v>
      </c>
      <c r="L230" s="8">
        <f>IFERROR(K230/K444, "NA")</f>
        <v>-1.4929331191478008E-4</v>
      </c>
      <c r="M230" s="9"/>
      <c r="N230" s="10">
        <f t="shared" si="61"/>
        <v>-52.660000000000025</v>
      </c>
      <c r="O230" s="8">
        <f>IFERROR(N230/N444, "NA")</f>
        <v>-6.3578324789618655E-4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-52.660000000000025</v>
      </c>
      <c r="AA230" s="8">
        <f>IFERROR(Z230/Z444, "NA")</f>
        <v>-1.4929331191478008E-4</v>
      </c>
      <c r="AB230" s="9"/>
      <c r="AC230" s="10">
        <f t="shared" si="63"/>
        <v>-52.660000000000025</v>
      </c>
      <c r="AD230" s="8">
        <f>IFERROR(AC230/AC444, "NA")</f>
        <v>-6.3578324789618655E-4</v>
      </c>
    </row>
    <row r="231" spans="1:30" ht="16.5" customHeight="1" x14ac:dyDescent="0.45">
      <c r="A231" s="6" t="s">
        <v>210</v>
      </c>
      <c r="B231" s="7">
        <v>1094.27</v>
      </c>
      <c r="C231" s="8">
        <f>IFERROR(B231/B444, "NA")</f>
        <v>2.5123553160616091E-3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-1094.27</v>
      </c>
      <c r="I231" s="8">
        <f>IFERROR(H231/H444, "NA")</f>
        <v>-1.3287532205815109E-2</v>
      </c>
      <c r="J231" s="9"/>
      <c r="K231" s="7">
        <v>176.61</v>
      </c>
      <c r="L231" s="8">
        <f>IFERROR(K231/K444, "NA")</f>
        <v>5.0069676827324918E-4</v>
      </c>
      <c r="M231" s="9"/>
      <c r="N231" s="10">
        <f t="shared" si="61"/>
        <v>-917.66</v>
      </c>
      <c r="O231" s="8">
        <f>IFERROR(N231/N444, "NA")</f>
        <v>-1.1079241459635668E-2</v>
      </c>
      <c r="P231" s="9"/>
      <c r="Q231" s="7">
        <v>1094.27</v>
      </c>
      <c r="R231" s="8">
        <f>IFERROR(Q231/Q444, "NA")</f>
        <v>2.5123553160616091E-3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-1094.27</v>
      </c>
      <c r="X231" s="8">
        <f>IFERROR(W231/W444, "NA")</f>
        <v>-1.3287532205815109E-2</v>
      </c>
      <c r="Y231" s="9"/>
      <c r="Z231" s="7">
        <v>176.61</v>
      </c>
      <c r="AA231" s="8">
        <f>IFERROR(Z231/Z444, "NA")</f>
        <v>5.0069676827324918E-4</v>
      </c>
      <c r="AB231" s="9"/>
      <c r="AC231" s="10">
        <f t="shared" si="63"/>
        <v>-917.66</v>
      </c>
      <c r="AD231" s="8">
        <f>IFERROR(AC231/AC444, "NA")</f>
        <v>-1.1079241459635668E-2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8.5</v>
      </c>
      <c r="L233" s="8">
        <f>IFERROR(K233/K444, "NA")</f>
        <v>2.4097857031439994E-5</v>
      </c>
      <c r="M233" s="9"/>
      <c r="N233" s="10">
        <f t="shared" si="61"/>
        <v>8.5</v>
      </c>
      <c r="O233" s="8">
        <f>IFERROR(N233/N444, "NA")</f>
        <v>1.0262357780322033E-4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8.5</v>
      </c>
      <c r="AA233" s="8">
        <f>IFERROR(Z233/Z444, "NA")</f>
        <v>2.4097857031439994E-5</v>
      </c>
      <c r="AB233" s="9"/>
      <c r="AC233" s="10">
        <f t="shared" si="63"/>
        <v>8.5</v>
      </c>
      <c r="AD233" s="8">
        <f>IFERROR(AC233/AC444, "NA")</f>
        <v>1.0262357780322033E-4</v>
      </c>
    </row>
    <row r="234" spans="1:30" ht="16.5" customHeight="1" x14ac:dyDescent="0.45">
      <c r="A234" s="6" t="s">
        <v>213</v>
      </c>
      <c r="B234" s="7">
        <v>7369.12</v>
      </c>
      <c r="C234" s="8">
        <f>IFERROR(B234/B444, "NA")</f>
        <v>1.691890283631638E-2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-7369.12</v>
      </c>
      <c r="I234" s="8">
        <f>IFERROR(H234/H444, "NA")</f>
        <v>-8.9481955393564877E-2</v>
      </c>
      <c r="J234" s="9"/>
      <c r="K234" s="7">
        <v>5555.58</v>
      </c>
      <c r="L234" s="8">
        <f>IFERROR(K234/K444, "NA")</f>
        <v>1.5750302654909107E-2</v>
      </c>
      <c r="M234" s="9"/>
      <c r="N234" s="10">
        <f t="shared" si="61"/>
        <v>-1813.54</v>
      </c>
      <c r="O234" s="8">
        <f>IFERROR(N234/N444, "NA")</f>
        <v>-2.18955250928532E-2</v>
      </c>
      <c r="P234" s="9"/>
      <c r="Q234" s="7">
        <v>7369.12</v>
      </c>
      <c r="R234" s="8">
        <f>IFERROR(Q234/Q444, "NA")</f>
        <v>1.691890283631638E-2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-7369.12</v>
      </c>
      <c r="X234" s="8">
        <f>IFERROR(W234/W444, "NA")</f>
        <v>-8.9481955393564877E-2</v>
      </c>
      <c r="Y234" s="9"/>
      <c r="Z234" s="7">
        <v>5555.58</v>
      </c>
      <c r="AA234" s="8">
        <f>IFERROR(Z234/Z444, "NA")</f>
        <v>1.5750302654909107E-2</v>
      </c>
      <c r="AB234" s="9"/>
      <c r="AC234" s="10">
        <f t="shared" si="63"/>
        <v>-1813.54</v>
      </c>
      <c r="AD234" s="8">
        <f>IFERROR(AC234/AC444, "NA")</f>
        <v>-2.18955250928532E-2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8463.39</v>
      </c>
      <c r="C236" s="15">
        <f>IFERROR(B236/B444, "NA")</f>
        <v>1.9431258152377985E-2</v>
      </c>
      <c r="D236" s="2"/>
      <c r="E236" s="14">
        <f>IFERROR(E229+E230+E231+E232+E233+E234+E235, "NA")</f>
        <v>6047.84</v>
      </c>
      <c r="F236" s="15">
        <f>IFERROR(E236/E444, "NA")</f>
        <v>1.7122878789942158E-2</v>
      </c>
      <c r="G236" s="2"/>
      <c r="H236" s="14">
        <f t="shared" si="60"/>
        <v>-2415.5499999999993</v>
      </c>
      <c r="I236" s="15">
        <f>IFERROR(H236/H444, "NA")</f>
        <v>-2.9331607756546994E-2</v>
      </c>
      <c r="J236" s="2"/>
      <c r="K236" s="14">
        <f>IFERROR(K229+K230+K231+K232+K233+K234+K235, "NA")</f>
        <v>5688.03</v>
      </c>
      <c r="L236" s="15">
        <f>IFERROR(K236/K444, "NA")</f>
        <v>1.6125803968299015E-2</v>
      </c>
      <c r="M236" s="2"/>
      <c r="N236" s="14">
        <f t="shared" si="61"/>
        <v>-2775.3599999999997</v>
      </c>
      <c r="O236" s="15">
        <f>IFERROR(N236/N444, "NA")</f>
        <v>-3.3507926222581828E-2</v>
      </c>
      <c r="P236" s="2"/>
      <c r="Q236" s="14">
        <f>IFERROR(Q229+Q230+Q231+Q232+Q233+Q234+Q235, "NA")</f>
        <v>8463.39</v>
      </c>
      <c r="R236" s="15">
        <f>IFERROR(Q236/Q444, "NA")</f>
        <v>1.9431258152377985E-2</v>
      </c>
      <c r="S236" s="2"/>
      <c r="T236" s="14">
        <f>IFERROR(T229+T230+T231+T232+T233+T234+T235, "NA")</f>
        <v>6047.84</v>
      </c>
      <c r="U236" s="15">
        <f>IFERROR(T236/T444, "NA")</f>
        <v>1.7122878789942158E-2</v>
      </c>
      <c r="V236" s="2"/>
      <c r="W236" s="14">
        <f t="shared" si="62"/>
        <v>-2415.5499999999993</v>
      </c>
      <c r="X236" s="15">
        <f>IFERROR(W236/W444, "NA")</f>
        <v>-2.9331607756546994E-2</v>
      </c>
      <c r="Y236" s="2"/>
      <c r="Z236" s="14">
        <f>IFERROR(Z229+Z230+Z231+Z232+Z233+Z234+Z235, "NA")</f>
        <v>5688.03</v>
      </c>
      <c r="AA236" s="15">
        <f>IFERROR(Z236/Z444, "NA")</f>
        <v>1.6125803968299015E-2</v>
      </c>
      <c r="AB236" s="2"/>
      <c r="AC236" s="14">
        <f t="shared" si="63"/>
        <v>-2775.3599999999997</v>
      </c>
      <c r="AD236" s="15">
        <f>IFERROR(AC236/AC444, "NA")</f>
        <v>-3.3507926222581828E-2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22842.27</v>
      </c>
      <c r="F240" s="8">
        <f>IFERROR(E240/E444, "NA")</f>
        <v>6.4671919312867421E-2</v>
      </c>
      <c r="G240" s="9"/>
      <c r="H240" s="10">
        <f t="shared" ref="H240:H263" si="64">IFERROR(-(B240-E240), "NA")</f>
        <v>22842.27</v>
      </c>
      <c r="I240" s="8">
        <f>IFERROR(H240/H444, "NA")</f>
        <v>0.27736975177874229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22842.27</v>
      </c>
      <c r="U240" s="8">
        <f>IFERROR(T240/T444, "NA")</f>
        <v>6.4671919312867421E-2</v>
      </c>
      <c r="V240" s="9"/>
      <c r="W240" s="10">
        <f t="shared" ref="W240:W263" si="66">IFERROR(-(Q240-T240), "NA")</f>
        <v>22842.27</v>
      </c>
      <c r="X240" s="8">
        <f>IFERROR(W240/W444, "NA")</f>
        <v>0.27736975177874229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78.709999999999994</v>
      </c>
      <c r="C241" s="8">
        <f>IFERROR(B241/B444, "NA")</f>
        <v>1.8071178678681608E-4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-78.709999999999994</v>
      </c>
      <c r="I241" s="8">
        <f>IFERROR(H241/H444, "NA")</f>
        <v>-9.5576197823179587E-4</v>
      </c>
      <c r="J241" s="9"/>
      <c r="K241" s="7">
        <v>47.41</v>
      </c>
      <c r="L241" s="8">
        <f>IFERROR(K241/K444, "NA")</f>
        <v>1.3440934139536119E-4</v>
      </c>
      <c r="M241" s="9"/>
      <c r="N241" s="10">
        <f t="shared" si="65"/>
        <v>-31.299999999999997</v>
      </c>
      <c r="O241" s="8">
        <f>IFERROR(N241/N444, "NA")</f>
        <v>-3.7789623355774076E-4</v>
      </c>
      <c r="P241" s="9"/>
      <c r="Q241" s="7">
        <v>78.709999999999994</v>
      </c>
      <c r="R241" s="8">
        <f>IFERROR(Q241/Q444, "NA")</f>
        <v>1.8071178678681608E-4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-78.709999999999994</v>
      </c>
      <c r="X241" s="8">
        <f>IFERROR(W241/W444, "NA")</f>
        <v>-9.5576197823179587E-4</v>
      </c>
      <c r="Y241" s="9"/>
      <c r="Z241" s="7">
        <v>47.41</v>
      </c>
      <c r="AA241" s="8">
        <f>IFERROR(Z241/Z444, "NA")</f>
        <v>1.3440934139536119E-4</v>
      </c>
      <c r="AB241" s="9"/>
      <c r="AC241" s="10">
        <f t="shared" si="67"/>
        <v>-31.299999999999997</v>
      </c>
      <c r="AD241" s="8">
        <f>IFERROR(AC241/AC444, "NA")</f>
        <v>-3.7789623355774076E-4</v>
      </c>
    </row>
    <row r="242" spans="1:30" ht="16.5" customHeight="1" x14ac:dyDescent="0.45">
      <c r="A242" s="12" t="s">
        <v>219</v>
      </c>
      <c r="B242" s="7">
        <v>5756.0999999999995</v>
      </c>
      <c r="C242" s="8">
        <f>IFERROR(B242/B444, "NA")</f>
        <v>1.321553952386726E-2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-5756.0999999999995</v>
      </c>
      <c r="I242" s="8">
        <f>IFERROR(H242/H444, "NA")</f>
        <v>-6.9895331252700296E-2</v>
      </c>
      <c r="J242" s="9"/>
      <c r="K242" s="7">
        <v>3999.76</v>
      </c>
      <c r="L242" s="8">
        <f>IFERROR(K242/K444, "NA")</f>
        <v>1.1339487604714404E-2</v>
      </c>
      <c r="M242" s="9"/>
      <c r="N242" s="10">
        <f t="shared" si="65"/>
        <v>-1756.3399999999992</v>
      </c>
      <c r="O242" s="8">
        <f>IFERROR(N242/N444, "NA")</f>
        <v>-2.1204928781047992E-2</v>
      </c>
      <c r="P242" s="9"/>
      <c r="Q242" s="7">
        <v>5756.0999999999995</v>
      </c>
      <c r="R242" s="8">
        <f>IFERROR(Q242/Q444, "NA")</f>
        <v>1.321553952386726E-2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-5756.0999999999995</v>
      </c>
      <c r="X242" s="8">
        <f>IFERROR(W242/W444, "NA")</f>
        <v>-6.9895331252700296E-2</v>
      </c>
      <c r="Y242" s="9"/>
      <c r="Z242" s="7">
        <v>3999.76</v>
      </c>
      <c r="AA242" s="8">
        <f>IFERROR(Z242/Z444, "NA")</f>
        <v>1.1339487604714404E-2</v>
      </c>
      <c r="AB242" s="9"/>
      <c r="AC242" s="10">
        <f t="shared" si="67"/>
        <v>-1756.3399999999992</v>
      </c>
      <c r="AD242" s="8">
        <f>IFERROR(AC242/AC444, "NA")</f>
        <v>-2.1204928781047992E-2</v>
      </c>
    </row>
    <row r="243" spans="1:30" ht="16.5" customHeight="1" x14ac:dyDescent="0.45">
      <c r="A243" s="12" t="s">
        <v>220</v>
      </c>
      <c r="B243" s="7">
        <v>14325.519999999999</v>
      </c>
      <c r="C243" s="8">
        <f>IFERROR(B243/B444, "NA")</f>
        <v>3.2890233970909281E-2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-14325.519999999999</v>
      </c>
      <c r="I243" s="8">
        <f>IFERROR(H243/H444, "NA")</f>
        <v>-0.17395232288653481</v>
      </c>
      <c r="J243" s="9"/>
      <c r="K243" s="7">
        <v>9874.6700000000019</v>
      </c>
      <c r="L243" s="8">
        <f>IFERROR(K243/K444, "NA")</f>
        <v>2.7995104222664661E-2</v>
      </c>
      <c r="M243" s="9"/>
      <c r="N243" s="10">
        <f t="shared" si="65"/>
        <v>-4450.8499999999967</v>
      </c>
      <c r="O243" s="8">
        <f>IFERROR(N243/N444, "NA")</f>
        <v>-5.3736723678289751E-2</v>
      </c>
      <c r="P243" s="9"/>
      <c r="Q243" s="7">
        <v>14325.519999999999</v>
      </c>
      <c r="R243" s="8">
        <f>IFERROR(Q243/Q444, "NA")</f>
        <v>3.2890233970909281E-2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-14325.519999999999</v>
      </c>
      <c r="X243" s="8">
        <f>IFERROR(W243/W444, "NA")</f>
        <v>-0.17395232288653481</v>
      </c>
      <c r="Y243" s="9"/>
      <c r="Z243" s="7">
        <v>9874.6700000000019</v>
      </c>
      <c r="AA243" s="8">
        <f>IFERROR(Z243/Z444, "NA")</f>
        <v>2.7995104222664661E-2</v>
      </c>
      <c r="AB243" s="9"/>
      <c r="AC243" s="10">
        <f t="shared" si="67"/>
        <v>-4450.8499999999967</v>
      </c>
      <c r="AD243" s="8">
        <f>IFERROR(AC243/AC444, "NA")</f>
        <v>-5.3736723678289751E-2</v>
      </c>
    </row>
    <row r="244" spans="1:30" ht="16.5" customHeight="1" x14ac:dyDescent="0.45">
      <c r="A244" s="12" t="s">
        <v>221</v>
      </c>
      <c r="B244" s="7">
        <v>396.63</v>
      </c>
      <c r="C244" s="8">
        <f>IFERROR(B244/B444, "NA")</f>
        <v>9.1063036454395714E-4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-396.63</v>
      </c>
      <c r="I244" s="8">
        <f>IFERROR(H244/H444, "NA")</f>
        <v>-4.8162098008649118E-3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-396.63</v>
      </c>
      <c r="O244" s="8">
        <f>IFERROR(N244/N444, "NA")</f>
        <v>-4.788657607540151E-3</v>
      </c>
      <c r="P244" s="9"/>
      <c r="Q244" s="7">
        <v>396.63</v>
      </c>
      <c r="R244" s="8">
        <f>IFERROR(Q244/Q444, "NA")</f>
        <v>9.1063036454395714E-4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-396.63</v>
      </c>
      <c r="X244" s="8">
        <f>IFERROR(W244/W444, "NA")</f>
        <v>-4.8162098008649118E-3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-396.63</v>
      </c>
      <c r="AD244" s="8">
        <f>IFERROR(AC244/AC444, "NA")</f>
        <v>-4.788657607540151E-3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1209.8800000000001</v>
      </c>
      <c r="C246" s="8">
        <f>IFERROR(B246/B444, "NA")</f>
        <v>2.7777865150251948E-3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-1209.8800000000001</v>
      </c>
      <c r="I246" s="8">
        <f>IFERROR(H246/H444, "NA")</f>
        <v>-1.4691364530848499E-2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-1209.8800000000001</v>
      </c>
      <c r="O246" s="8">
        <f>IFERROR(N246/N444, "NA")</f>
        <v>-1.460731933088944E-2</v>
      </c>
      <c r="P246" s="9"/>
      <c r="Q246" s="7">
        <v>1209.8800000000001</v>
      </c>
      <c r="R246" s="8">
        <f>IFERROR(Q246/Q444, "NA")</f>
        <v>2.7777865150251948E-3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-1209.8800000000001</v>
      </c>
      <c r="X246" s="8">
        <f>IFERROR(W246/W444, "NA")</f>
        <v>-1.4691364530848499E-2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-1209.8800000000001</v>
      </c>
      <c r="AD246" s="8">
        <f>IFERROR(AC246/AC444, "NA")</f>
        <v>-1.460731933088944E-2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57.140000000000008</v>
      </c>
      <c r="L247" s="8">
        <f>IFERROR(K247/K444, "NA")</f>
        <v>1.6199430009135077E-4</v>
      </c>
      <c r="M247" s="9"/>
      <c r="N247" s="10">
        <f t="shared" si="65"/>
        <v>57.140000000000008</v>
      </c>
      <c r="O247" s="8">
        <f>IFERROR(N247/N444, "NA")</f>
        <v>6.8987191007953072E-4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57.140000000000008</v>
      </c>
      <c r="AA247" s="8">
        <f>IFERROR(Z247/Z444, "NA")</f>
        <v>1.6199430009135077E-4</v>
      </c>
      <c r="AB247" s="9"/>
      <c r="AC247" s="10">
        <f t="shared" si="67"/>
        <v>57.140000000000008</v>
      </c>
      <c r="AD247" s="8">
        <f>IFERROR(AC247/AC444, "NA")</f>
        <v>6.8987191007953072E-4</v>
      </c>
    </row>
    <row r="248" spans="1:30" ht="16.5" customHeight="1" x14ac:dyDescent="0.45">
      <c r="A248" s="12" t="s">
        <v>225</v>
      </c>
      <c r="B248" s="7">
        <v>1131.67</v>
      </c>
      <c r="C248" s="8">
        <f>IFERROR(B248/B444, "NA")</f>
        <v>2.598222687752969E-3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-1131.67</v>
      </c>
      <c r="I248" s="8">
        <f>IFERROR(H248/H444, "NA")</f>
        <v>-1.3741673966530003E-2</v>
      </c>
      <c r="J248" s="9"/>
      <c r="K248" s="7">
        <v>0</v>
      </c>
      <c r="L248" s="8">
        <f>IFERROR(K248/K444, "NA")</f>
        <v>0</v>
      </c>
      <c r="M248" s="9"/>
      <c r="N248" s="10">
        <f t="shared" si="65"/>
        <v>-1131.67</v>
      </c>
      <c r="O248" s="8">
        <f>IFERROR(N248/N444, "NA")</f>
        <v>-1.3663061681478867E-2</v>
      </c>
      <c r="P248" s="9"/>
      <c r="Q248" s="7">
        <v>1131.67</v>
      </c>
      <c r="R248" s="8">
        <f>IFERROR(Q248/Q444, "NA")</f>
        <v>2.598222687752969E-3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-1131.67</v>
      </c>
      <c r="X248" s="8">
        <f>IFERROR(W248/W444, "NA")</f>
        <v>-1.3741673966530003E-2</v>
      </c>
      <c r="Y248" s="9"/>
      <c r="Z248" s="7">
        <v>0</v>
      </c>
      <c r="AA248" s="8">
        <f>IFERROR(Z248/Z444, "NA")</f>
        <v>0</v>
      </c>
      <c r="AB248" s="9"/>
      <c r="AC248" s="10">
        <f t="shared" si="67"/>
        <v>-1131.67</v>
      </c>
      <c r="AD248" s="8">
        <f>IFERROR(AC248/AC444, "NA")</f>
        <v>-1.3663061681478867E-2</v>
      </c>
    </row>
    <row r="249" spans="1:30" ht="16.5" customHeight="1" x14ac:dyDescent="0.45">
      <c r="A249" s="12" t="s">
        <v>226</v>
      </c>
      <c r="B249" s="7">
        <v>7358.65</v>
      </c>
      <c r="C249" s="8">
        <f>IFERROR(B249/B444, "NA")</f>
        <v>1.6894864564080857E-2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-7358.65</v>
      </c>
      <c r="I249" s="8">
        <f>IFERROR(H249/H444, "NA")</f>
        <v>-8.9354819986220357E-2</v>
      </c>
      <c r="J249" s="9"/>
      <c r="K249" s="7">
        <v>5621.1299999999992</v>
      </c>
      <c r="L249" s="8">
        <f>IFERROR(K249/K444, "NA")</f>
        <v>1.5936139658251563E-2</v>
      </c>
      <c r="M249" s="9"/>
      <c r="N249" s="10">
        <f t="shared" si="65"/>
        <v>-1737.5200000000004</v>
      </c>
      <c r="O249" s="8">
        <f>IFERROR(N249/N444, "NA")</f>
        <v>-2.0977708106429582E-2</v>
      </c>
      <c r="P249" s="9"/>
      <c r="Q249" s="7">
        <v>7358.65</v>
      </c>
      <c r="R249" s="8">
        <f>IFERROR(Q249/Q444, "NA")</f>
        <v>1.6894864564080857E-2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-7358.65</v>
      </c>
      <c r="X249" s="8">
        <f>IFERROR(W249/W444, "NA")</f>
        <v>-8.9354819986220357E-2</v>
      </c>
      <c r="Y249" s="9"/>
      <c r="Z249" s="7">
        <v>5621.1299999999992</v>
      </c>
      <c r="AA249" s="8">
        <f>IFERROR(Z249/Z444, "NA")</f>
        <v>1.5936139658251563E-2</v>
      </c>
      <c r="AB249" s="9"/>
      <c r="AC249" s="10">
        <f t="shared" si="67"/>
        <v>-1737.5200000000004</v>
      </c>
      <c r="AD249" s="8">
        <f>IFERROR(AC249/AC444, "NA")</f>
        <v>-2.0977708106429582E-2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36.97</v>
      </c>
      <c r="C251" s="8">
        <f>IFERROR(B251/B444, "NA")</f>
        <v>8.4880126508811972E-5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-36.97</v>
      </c>
      <c r="I251" s="8">
        <f>IFERROR(H251/H444, "NA")</f>
        <v>-4.489203447494536E-4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-36.97</v>
      </c>
      <c r="O251" s="8">
        <f>IFERROR(N251/N444, "NA")</f>
        <v>-4.4635219663353596E-4</v>
      </c>
      <c r="P251" s="9"/>
      <c r="Q251" s="7">
        <v>36.97</v>
      </c>
      <c r="R251" s="8">
        <f>IFERROR(Q251/Q444, "NA")</f>
        <v>8.4880126508811972E-5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-36.97</v>
      </c>
      <c r="X251" s="8">
        <f>IFERROR(W251/W444, "NA")</f>
        <v>-4.489203447494536E-4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-36.97</v>
      </c>
      <c r="AD251" s="8">
        <f>IFERROR(AC251/AC444, "NA")</f>
        <v>-4.4635219663353596E-4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239.01</v>
      </c>
      <c r="L253" s="8">
        <f>IFERROR(K253/K444, "NA")</f>
        <v>6.7760338930405561E-4</v>
      </c>
      <c r="M253" s="9"/>
      <c r="N253" s="10">
        <f t="shared" si="65"/>
        <v>239.01</v>
      </c>
      <c r="O253" s="8">
        <f>IFERROR(N253/N444, "NA")</f>
        <v>2.885654274205611E-3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239.01</v>
      </c>
      <c r="AA253" s="8">
        <f>IFERROR(Z253/Z444, "NA")</f>
        <v>6.7760338930405561E-4</v>
      </c>
      <c r="AB253" s="9"/>
      <c r="AC253" s="10">
        <f t="shared" si="67"/>
        <v>239.01</v>
      </c>
      <c r="AD253" s="8">
        <f>IFERROR(AC253/AC444, "NA")</f>
        <v>2.885654274205611E-3</v>
      </c>
    </row>
    <row r="254" spans="1:30" ht="16.5" customHeight="1" x14ac:dyDescent="0.45">
      <c r="A254" s="12" t="s">
        <v>231</v>
      </c>
      <c r="B254" s="7">
        <v>2698.27</v>
      </c>
      <c r="C254" s="8">
        <f>IFERROR(B254/B444, "NA")</f>
        <v>6.1950094388675166E-3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-2698.27</v>
      </c>
      <c r="I254" s="8">
        <f>IFERROR(H254/H444, "NA")</f>
        <v>-3.2764628039683753E-2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-2698.27</v>
      </c>
      <c r="O254" s="8">
        <f>IFERROR(N254/N444, "NA")</f>
        <v>-3.25771907387171E-2</v>
      </c>
      <c r="P254" s="9"/>
      <c r="Q254" s="7">
        <v>2698.27</v>
      </c>
      <c r="R254" s="8">
        <f>IFERROR(Q254/Q444, "NA")</f>
        <v>6.1950094388675166E-3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-2698.27</v>
      </c>
      <c r="X254" s="8">
        <f>IFERROR(W254/W444, "NA")</f>
        <v>-3.2764628039683753E-2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-2698.27</v>
      </c>
      <c r="AD254" s="8">
        <f>IFERROR(AC254/AC444, "NA")</f>
        <v>-3.25771907387171E-2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32992.400000000001</v>
      </c>
      <c r="C262" s="15">
        <f>IFERROR(B262/B444, "NA")</f>
        <v>7.5747878978342675E-2</v>
      </c>
      <c r="D262" s="2"/>
      <c r="E262" s="14">
        <f>IFERROR(E240+E241+E242+E243+E244+E245+E246+E247+E248+E249+E250+E251+E252+E253+E254+E255+E256+E257+E258+E259+E260+E261, "NA")</f>
        <v>22842.27</v>
      </c>
      <c r="F262" s="15">
        <f>IFERROR(E262/E444, "NA")</f>
        <v>6.4671919312867421E-2</v>
      </c>
      <c r="G262" s="2"/>
      <c r="H262" s="14">
        <f t="shared" si="64"/>
        <v>-10150.130000000001</v>
      </c>
      <c r="I262" s="15">
        <f>IFERROR(H262/H444, "NA")</f>
        <v>-0.12325128100762164</v>
      </c>
      <c r="J262" s="2"/>
      <c r="K262" s="14">
        <f>IFERROR(K240+K241+K242+K243+K244+K245+K246+K247+K248+K249+K250+K251+K252+K253+K254+K255+K256+K257+K258+K259+K260+K261, "NA")</f>
        <v>19839.12</v>
      </c>
      <c r="L262" s="15">
        <f>IFERROR(K262/K444, "NA")</f>
        <v>5.6244738516421387E-2</v>
      </c>
      <c r="M262" s="2"/>
      <c r="N262" s="14">
        <f t="shared" si="65"/>
        <v>-13153.280000000002</v>
      </c>
      <c r="O262" s="15">
        <f>IFERROR(N262/N444, "NA")</f>
        <v>-0.15880431217029908</v>
      </c>
      <c r="P262" s="2"/>
      <c r="Q262" s="14">
        <f>IFERROR(Q240+Q241+Q242+Q243+Q244+Q245+Q246+Q247+Q248+Q249+Q250+Q251+Q252+Q253+Q254+Q255+Q256+Q257+Q258+Q259+Q260+Q261, "NA")</f>
        <v>32992.400000000001</v>
      </c>
      <c r="R262" s="15">
        <f>IFERROR(Q262/Q444, "NA")</f>
        <v>7.5747878978342675E-2</v>
      </c>
      <c r="S262" s="2"/>
      <c r="T262" s="14">
        <f>IFERROR(T240+T241+T242+T243+T244+T245+T246+T247+T248+T249+T250+T251+T252+T253+T254+T255+T256+T257+T258+T259+T260+T261, "NA")</f>
        <v>22842.27</v>
      </c>
      <c r="U262" s="15">
        <f>IFERROR(T262/T444, "NA")</f>
        <v>6.4671919312867421E-2</v>
      </c>
      <c r="V262" s="2"/>
      <c r="W262" s="14">
        <f t="shared" si="66"/>
        <v>-10150.130000000001</v>
      </c>
      <c r="X262" s="15">
        <f>IFERROR(W262/W444, "NA")</f>
        <v>-0.12325128100762164</v>
      </c>
      <c r="Y262" s="2"/>
      <c r="Z262" s="14">
        <f>IFERROR(Z240+Z241+Z242+Z243+Z244+Z245+Z246+Z247+Z248+Z249+Z250+Z251+Z252+Z253+Z254+Z255+Z256+Z257+Z258+Z259+Z260+Z261, "NA")</f>
        <v>19839.12</v>
      </c>
      <c r="AA262" s="15">
        <f>IFERROR(Z262/Z444, "NA")</f>
        <v>5.6244738516421387E-2</v>
      </c>
      <c r="AB262" s="2"/>
      <c r="AC262" s="14">
        <f t="shared" si="67"/>
        <v>-13153.280000000002</v>
      </c>
      <c r="AD262" s="15">
        <f>IFERROR(AC262/AC444, "NA")</f>
        <v>-0.15880431217029908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32992.400000000001</v>
      </c>
      <c r="C263" s="15">
        <f>IFERROR(B263/B444, "NA")</f>
        <v>7.5747878978342675E-2</v>
      </c>
      <c r="D263" s="2"/>
      <c r="E263" s="14">
        <f>IFERROR(E238+E240+E241+E242+E243+E244+E245+E246+E247+E248+E249+E250+E251+E252+E253+E254+E255+E256+E257+E258+E259+E260+E261, "NA")</f>
        <v>22842.27</v>
      </c>
      <c r="F263" s="15">
        <f>IFERROR(E263/E444, "NA")</f>
        <v>6.4671919312867421E-2</v>
      </c>
      <c r="G263" s="2"/>
      <c r="H263" s="14">
        <f t="shared" si="64"/>
        <v>-10150.130000000001</v>
      </c>
      <c r="I263" s="15">
        <f>IFERROR(H263/H444, "NA")</f>
        <v>-0.12325128100762164</v>
      </c>
      <c r="J263" s="2"/>
      <c r="K263" s="14">
        <f>IFERROR(K238+K240+K241+K242+K243+K244+K245+K246+K247+K248+K249+K250+K251+K252+K253+K254+K255+K256+K257+K258+K259+K260+K261, "NA")</f>
        <v>19839.12</v>
      </c>
      <c r="L263" s="15">
        <f>IFERROR(K263/K444, "NA")</f>
        <v>5.6244738516421387E-2</v>
      </c>
      <c r="M263" s="2"/>
      <c r="N263" s="14">
        <f t="shared" si="65"/>
        <v>-13153.280000000002</v>
      </c>
      <c r="O263" s="15">
        <f>IFERROR(N263/N444, "NA")</f>
        <v>-0.15880431217029908</v>
      </c>
      <c r="P263" s="2"/>
      <c r="Q263" s="14">
        <f>IFERROR(Q238+Q240+Q241+Q242+Q243+Q244+Q245+Q246+Q247+Q248+Q249+Q250+Q251+Q252+Q253+Q254+Q255+Q256+Q257+Q258+Q259+Q260+Q261, "NA")</f>
        <v>32992.400000000001</v>
      </c>
      <c r="R263" s="15">
        <f>IFERROR(Q263/Q444, "NA")</f>
        <v>7.5747878978342675E-2</v>
      </c>
      <c r="S263" s="2"/>
      <c r="T263" s="14">
        <f>IFERROR(T238+T240+T241+T242+T243+T244+T245+T246+T247+T248+T249+T250+T251+T252+T253+T254+T255+T256+T257+T258+T259+T260+T261, "NA")</f>
        <v>22842.27</v>
      </c>
      <c r="U263" s="15">
        <f>IFERROR(T263/T444, "NA")</f>
        <v>6.4671919312867421E-2</v>
      </c>
      <c r="V263" s="2"/>
      <c r="W263" s="14">
        <f t="shared" si="66"/>
        <v>-10150.130000000001</v>
      </c>
      <c r="X263" s="15">
        <f>IFERROR(W263/W444, "NA")</f>
        <v>-0.12325128100762164</v>
      </c>
      <c r="Y263" s="2"/>
      <c r="Z263" s="14">
        <f>IFERROR(Z238+Z240+Z241+Z242+Z243+Z244+Z245+Z246+Z247+Z248+Z249+Z250+Z251+Z252+Z253+Z254+Z255+Z256+Z257+Z258+Z259+Z260+Z261, "NA")</f>
        <v>19839.12</v>
      </c>
      <c r="AA263" s="15">
        <f>IFERROR(Z263/Z444, "NA")</f>
        <v>5.6244738516421387E-2</v>
      </c>
      <c r="AB263" s="2"/>
      <c r="AC263" s="14">
        <f t="shared" si="67"/>
        <v>-13153.280000000002</v>
      </c>
      <c r="AD263" s="15">
        <f>IFERROR(AC263/AC444, "NA")</f>
        <v>-0.15880431217029908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10578.02</v>
      </c>
      <c r="C265" s="8">
        <f>IFERROR(B265/B444, "NA")</f>
        <v>2.4286277409054459E-2</v>
      </c>
      <c r="D265" s="9"/>
      <c r="E265" s="7">
        <v>9840.7100000000009</v>
      </c>
      <c r="F265" s="8">
        <f>IFERROR(E265/E444, "NA")</f>
        <v>2.7861399199874948E-2</v>
      </c>
      <c r="G265" s="9"/>
      <c r="H265" s="10">
        <f>IFERROR(-(B265-E265), "NA")</f>
        <v>-737.30999999999949</v>
      </c>
      <c r="I265" s="8">
        <f>IFERROR(H265/H444, "NA")</f>
        <v>-8.9530283848314688E-3</v>
      </c>
      <c r="J265" s="9"/>
      <c r="K265" s="7">
        <v>9204.32</v>
      </c>
      <c r="L265" s="8">
        <f>IFERROR(K265/K444, "NA")</f>
        <v>2.6094633815485147E-2</v>
      </c>
      <c r="M265" s="9"/>
      <c r="N265" s="10">
        <f>IFERROR(-(B265-K265), "NA")</f>
        <v>-1373.7000000000007</v>
      </c>
      <c r="O265" s="8">
        <f>IFERROR(N265/N444, "NA")</f>
        <v>-1.6585177509209865E-2</v>
      </c>
      <c r="P265" s="9"/>
      <c r="Q265" s="7">
        <v>10578.02</v>
      </c>
      <c r="R265" s="8">
        <f>IFERROR(Q265/Q444, "NA")</f>
        <v>2.4286277409054459E-2</v>
      </c>
      <c r="S265" s="9"/>
      <c r="T265" s="7">
        <v>9840.7100000000009</v>
      </c>
      <c r="U265" s="8">
        <f>IFERROR(T265/T444, "NA")</f>
        <v>2.7861399199874948E-2</v>
      </c>
      <c r="V265" s="9"/>
      <c r="W265" s="10">
        <f>IFERROR(-(Q265-T265), "NA")</f>
        <v>-737.30999999999949</v>
      </c>
      <c r="X265" s="8">
        <f>IFERROR(W265/W444, "NA")</f>
        <v>-8.9530283848314688E-3</v>
      </c>
      <c r="Y265" s="9"/>
      <c r="Z265" s="7">
        <v>9204.32</v>
      </c>
      <c r="AA265" s="8">
        <f>IFERROR(Z265/Z444, "NA")</f>
        <v>2.6094633815485147E-2</v>
      </c>
      <c r="AB265" s="9"/>
      <c r="AC265" s="10">
        <f>IFERROR(-(Q265-Z265), "NA")</f>
        <v>-1373.7000000000007</v>
      </c>
      <c r="AD265" s="8">
        <f>IFERROR(AC265/AC444, "NA")</f>
        <v>-1.6585177509209865E-2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42.57</v>
      </c>
      <c r="L266" s="8">
        <f>IFERROR(K266/K444, "NA")</f>
        <v>1.2068773809745889E-4</v>
      </c>
      <c r="M266" s="9"/>
      <c r="N266" s="10">
        <f>IFERROR(-(B266-K266), "NA")</f>
        <v>42.57</v>
      </c>
      <c r="O266" s="8">
        <f>IFERROR(N266/N444, "NA")</f>
        <v>5.1396302436271647E-4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42.57</v>
      </c>
      <c r="AA266" s="8">
        <f>IFERROR(Z266/Z444, "NA")</f>
        <v>1.2068773809745889E-4</v>
      </c>
      <c r="AB266" s="9"/>
      <c r="AC266" s="10">
        <f>IFERROR(-(Q266-Z266), "NA")</f>
        <v>42.57</v>
      </c>
      <c r="AD266" s="8">
        <f>IFERROR(AC266/AC444, "NA")</f>
        <v>5.1396302436271647E-4</v>
      </c>
    </row>
    <row r="267" spans="1:30" ht="16.5" customHeight="1" x14ac:dyDescent="0.45">
      <c r="A267" s="19" t="s">
        <v>243</v>
      </c>
      <c r="B267" s="14">
        <f>IFERROR(B265+B266, "NA")</f>
        <v>10578.02</v>
      </c>
      <c r="C267" s="15">
        <f>IFERROR(B267/B444, "NA")</f>
        <v>2.4286277409054459E-2</v>
      </c>
      <c r="D267" s="2"/>
      <c r="E267" s="14">
        <f>IFERROR(E265+E266, "NA")</f>
        <v>9840.7100000000009</v>
      </c>
      <c r="F267" s="15">
        <f>IFERROR(E267/E444, "NA")</f>
        <v>2.7861399199874948E-2</v>
      </c>
      <c r="G267" s="2"/>
      <c r="H267" s="14">
        <f>IFERROR(-(B267-E267), "NA")</f>
        <v>-737.30999999999949</v>
      </c>
      <c r="I267" s="15">
        <f>IFERROR(H267/H444, "NA")</f>
        <v>-8.9530283848314688E-3</v>
      </c>
      <c r="J267" s="2"/>
      <c r="K267" s="14">
        <f>IFERROR(K265+K266, "NA")</f>
        <v>9246.89</v>
      </c>
      <c r="L267" s="15">
        <f>IFERROR(K267/K444, "NA")</f>
        <v>2.6215321553582607E-2</v>
      </c>
      <c r="M267" s="2"/>
      <c r="N267" s="14">
        <f>IFERROR(-(B267-K267), "NA")</f>
        <v>-1331.130000000001</v>
      </c>
      <c r="O267" s="15">
        <f>IFERROR(N267/N444, "NA")</f>
        <v>-1.6071214484847152E-2</v>
      </c>
      <c r="P267" s="2"/>
      <c r="Q267" s="14">
        <f>IFERROR(Q265+Q266, "NA")</f>
        <v>10578.02</v>
      </c>
      <c r="R267" s="15">
        <f>IFERROR(Q267/Q444, "NA")</f>
        <v>2.4286277409054459E-2</v>
      </c>
      <c r="S267" s="2"/>
      <c r="T267" s="14">
        <f>IFERROR(T265+T266, "NA")</f>
        <v>9840.7100000000009</v>
      </c>
      <c r="U267" s="15">
        <f>IFERROR(T267/T444, "NA")</f>
        <v>2.7861399199874948E-2</v>
      </c>
      <c r="V267" s="2"/>
      <c r="W267" s="14">
        <f>IFERROR(-(Q267-T267), "NA")</f>
        <v>-737.30999999999949</v>
      </c>
      <c r="X267" s="15">
        <f>IFERROR(W267/W444, "NA")</f>
        <v>-8.9530283848314688E-3</v>
      </c>
      <c r="Y267" s="2"/>
      <c r="Z267" s="14">
        <f>IFERROR(Z265+Z266, "NA")</f>
        <v>9246.89</v>
      </c>
      <c r="AA267" s="15">
        <f>IFERROR(Z267/Z444, "NA")</f>
        <v>2.6215321553582607E-2</v>
      </c>
      <c r="AB267" s="2"/>
      <c r="AC267" s="14">
        <f>IFERROR(-(Q267-Z267), "NA")</f>
        <v>-1331.130000000001</v>
      </c>
      <c r="AD267" s="15">
        <f>IFERROR(AC267/AC444, "NA")</f>
        <v>-1.6071214484847152E-2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1207.1199999999999</v>
      </c>
      <c r="C270" s="8">
        <f>IFERROR(B270/B444, "NA")</f>
        <v>2.7714497785046553E-3</v>
      </c>
      <c r="D270" s="9"/>
      <c r="E270" s="7">
        <v>894.8599999999999</v>
      </c>
      <c r="F270" s="8">
        <f>IFERROR(E270/E444, "NA")</f>
        <v>2.5335622823963E-3</v>
      </c>
      <c r="G270" s="9"/>
      <c r="H270" s="10">
        <f>IFERROR(-(B270-E270), "NA")</f>
        <v>-312.26</v>
      </c>
      <c r="I270" s="8">
        <f>IFERROR(H270/H444, "NA")</f>
        <v>-3.791719417134552E-3</v>
      </c>
      <c r="J270" s="9"/>
      <c r="K270" s="7">
        <v>928.7700000000001</v>
      </c>
      <c r="L270" s="8">
        <f>IFERROR(K270/K444, "NA")</f>
        <v>2.6331019617753561E-3</v>
      </c>
      <c r="M270" s="9"/>
      <c r="N270" s="10">
        <f>IFERROR(-(B270-K270), "NA")</f>
        <v>-278.3499999999998</v>
      </c>
      <c r="O270" s="8">
        <f>IFERROR(N270/N444, "NA")</f>
        <v>-3.3606203390031011E-3</v>
      </c>
      <c r="P270" s="9"/>
      <c r="Q270" s="7">
        <v>1207.1199999999999</v>
      </c>
      <c r="R270" s="8">
        <f>IFERROR(Q270/Q444, "NA")</f>
        <v>2.7714497785046553E-3</v>
      </c>
      <c r="S270" s="9"/>
      <c r="T270" s="7">
        <v>894.8599999999999</v>
      </c>
      <c r="U270" s="8">
        <f>IFERROR(T270/T444, "NA")</f>
        <v>2.5335622823963E-3</v>
      </c>
      <c r="V270" s="9"/>
      <c r="W270" s="10">
        <f>IFERROR(-(Q270-T270), "NA")</f>
        <v>-312.26</v>
      </c>
      <c r="X270" s="8">
        <f>IFERROR(W270/W444, "NA")</f>
        <v>-3.791719417134552E-3</v>
      </c>
      <c r="Y270" s="9"/>
      <c r="Z270" s="7">
        <v>928.7700000000001</v>
      </c>
      <c r="AA270" s="8">
        <f>IFERROR(Z270/Z444, "NA")</f>
        <v>2.6331019617753561E-3</v>
      </c>
      <c r="AB270" s="9"/>
      <c r="AC270" s="10">
        <f>IFERROR(-(Q270-Z270), "NA")</f>
        <v>-278.3499999999998</v>
      </c>
      <c r="AD270" s="8">
        <f>IFERROR(AC270/AC444, "NA")</f>
        <v>-3.3606203390031011E-3</v>
      </c>
    </row>
    <row r="271" spans="1:30" ht="16.5" customHeight="1" x14ac:dyDescent="0.45">
      <c r="A271" s="6" t="s">
        <v>246</v>
      </c>
      <c r="B271" s="7">
        <v>4608.8599999999997</v>
      </c>
      <c r="C271" s="8">
        <f>IFERROR(B271/B444, "NA")</f>
        <v>1.0581569376829948E-2</v>
      </c>
      <c r="D271" s="9"/>
      <c r="E271" s="7">
        <v>2293.2299999999996</v>
      </c>
      <c r="F271" s="8">
        <f>IFERROR(E271/E444, "NA")</f>
        <v>6.492681573497157E-3</v>
      </c>
      <c r="G271" s="9"/>
      <c r="H271" s="10">
        <f>IFERROR(-(B271-E271), "NA")</f>
        <v>-2315.63</v>
      </c>
      <c r="I271" s="8">
        <f>IFERROR(H271/H444, "NA")</f>
        <v>-2.8118296400112992E-2</v>
      </c>
      <c r="J271" s="9"/>
      <c r="K271" s="7">
        <v>3811.17</v>
      </c>
      <c r="L271" s="8">
        <f>IFERROR(K271/K444, "NA")</f>
        <v>1.0804827033236843E-2</v>
      </c>
      <c r="M271" s="9"/>
      <c r="N271" s="10">
        <f>IFERROR(-(B271-K271), "NA")</f>
        <v>-797.6899999999996</v>
      </c>
      <c r="O271" s="8">
        <f>IFERROR(N271/N444, "NA")</f>
        <v>-9.630800209158916E-3</v>
      </c>
      <c r="P271" s="9"/>
      <c r="Q271" s="7">
        <v>4608.8599999999997</v>
      </c>
      <c r="R271" s="8">
        <f>IFERROR(Q271/Q444, "NA")</f>
        <v>1.0581569376829948E-2</v>
      </c>
      <c r="S271" s="9"/>
      <c r="T271" s="7">
        <v>2293.2299999999996</v>
      </c>
      <c r="U271" s="8">
        <f>IFERROR(T271/T444, "NA")</f>
        <v>6.492681573497157E-3</v>
      </c>
      <c r="V271" s="9"/>
      <c r="W271" s="10">
        <f>IFERROR(-(Q271-T271), "NA")</f>
        <v>-2315.63</v>
      </c>
      <c r="X271" s="8">
        <f>IFERROR(W271/W444, "NA")</f>
        <v>-2.8118296400112992E-2</v>
      </c>
      <c r="Y271" s="9"/>
      <c r="Z271" s="7">
        <v>3811.17</v>
      </c>
      <c r="AA271" s="8">
        <f>IFERROR(Z271/Z444, "NA")</f>
        <v>1.0804827033236843E-2</v>
      </c>
      <c r="AB271" s="9"/>
      <c r="AC271" s="10">
        <f>IFERROR(-(Q271-Z271), "NA")</f>
        <v>-797.6899999999996</v>
      </c>
      <c r="AD271" s="8">
        <f>IFERROR(AC271/AC444, "NA")</f>
        <v>-9.630800209158916E-3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5815.98</v>
      </c>
      <c r="C273" s="15">
        <f>IFERROR(B273/B444, "NA")</f>
        <v>1.3353019155334604E-2</v>
      </c>
      <c r="D273" s="2"/>
      <c r="E273" s="14">
        <f>IFERROR(E269+E270+E271+E272, "NA")</f>
        <v>3188.0899999999992</v>
      </c>
      <c r="F273" s="15">
        <f>IFERROR(E273/E444, "NA")</f>
        <v>9.0262438558934566E-3</v>
      </c>
      <c r="G273" s="2"/>
      <c r="H273" s="14">
        <f>IFERROR(-(B273-E273), "NA")</f>
        <v>-2627.8900000000003</v>
      </c>
      <c r="I273" s="15">
        <f>IFERROR(H273/H444, "NA")</f>
        <v>-3.1910015817247547E-2</v>
      </c>
      <c r="J273" s="2"/>
      <c r="K273" s="14">
        <f>IFERROR(K269+K270+K271+K272, "NA")</f>
        <v>4739.9400000000005</v>
      </c>
      <c r="L273" s="15">
        <f>IFERROR(K273/K444, "NA")</f>
        <v>1.3437928995012199E-2</v>
      </c>
      <c r="M273" s="2"/>
      <c r="N273" s="14">
        <f>IFERROR(-(B273-K273), "NA")</f>
        <v>-1076.0399999999991</v>
      </c>
      <c r="O273" s="15">
        <f>IFERROR(N273/N444, "NA")</f>
        <v>-1.2991420548162014E-2</v>
      </c>
      <c r="P273" s="2"/>
      <c r="Q273" s="14">
        <f>IFERROR(Q269+Q270+Q271+Q272, "NA")</f>
        <v>5815.98</v>
      </c>
      <c r="R273" s="15">
        <f>IFERROR(Q273/Q444, "NA")</f>
        <v>1.3353019155334604E-2</v>
      </c>
      <c r="S273" s="2"/>
      <c r="T273" s="14">
        <f>IFERROR(T269+T270+T271+T272, "NA")</f>
        <v>3188.0899999999992</v>
      </c>
      <c r="U273" s="15">
        <f>IFERROR(T273/T444, "NA")</f>
        <v>9.0262438558934566E-3</v>
      </c>
      <c r="V273" s="2"/>
      <c r="W273" s="14">
        <f>IFERROR(-(Q273-T273), "NA")</f>
        <v>-2627.8900000000003</v>
      </c>
      <c r="X273" s="15">
        <f>IFERROR(W273/W444, "NA")</f>
        <v>-3.1910015817247547E-2</v>
      </c>
      <c r="Y273" s="2"/>
      <c r="Z273" s="14">
        <f>IFERROR(Z269+Z270+Z271+Z272, "NA")</f>
        <v>4739.9400000000005</v>
      </c>
      <c r="AA273" s="15">
        <f>IFERROR(Z273/Z444, "NA")</f>
        <v>1.3437928995012199E-2</v>
      </c>
      <c r="AB273" s="2"/>
      <c r="AC273" s="14">
        <f>IFERROR(-(Q273-Z273), "NA")</f>
        <v>-1076.0399999999991</v>
      </c>
      <c r="AD273" s="15">
        <f>IFERROR(AC273/AC444, "NA")</f>
        <v>-1.2991420548162014E-2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2.2282582953907842E-3</v>
      </c>
      <c r="D287" s="9"/>
      <c r="E287" s="7">
        <v>2703</v>
      </c>
      <c r="F287" s="8">
        <f>IFERROR(E287/E444, "NA")</f>
        <v>7.6528382644404707E-3</v>
      </c>
      <c r="G287" s="9"/>
      <c r="H287" s="10">
        <f t="shared" si="72"/>
        <v>1732.47</v>
      </c>
      <c r="I287" s="8">
        <f>IFERROR(H287/H444, "NA")</f>
        <v>2.1037084924752123E-2</v>
      </c>
      <c r="J287" s="9"/>
      <c r="K287" s="7">
        <v>970.53</v>
      </c>
      <c r="L287" s="8">
        <f>IFERROR(K287/K444, "NA")</f>
        <v>2.7514933158498183E-3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970.53</v>
      </c>
      <c r="R287" s="8">
        <f>IFERROR(Q287/Q444, "NA")</f>
        <v>2.2282582953907842E-3</v>
      </c>
      <c r="S287" s="9"/>
      <c r="T287" s="7">
        <v>2703</v>
      </c>
      <c r="U287" s="8">
        <f>IFERROR(T287/T444, "NA")</f>
        <v>7.6528382644404707E-3</v>
      </c>
      <c r="V287" s="9"/>
      <c r="W287" s="10">
        <f t="shared" si="74"/>
        <v>1732.47</v>
      </c>
      <c r="X287" s="8">
        <f>IFERROR(W287/W444, "NA")</f>
        <v>2.1037084924752123E-2</v>
      </c>
      <c r="Y287" s="9"/>
      <c r="Z287" s="7">
        <v>970.53</v>
      </c>
      <c r="AA287" s="8">
        <f>IFERROR(Z287/Z444, "NA")</f>
        <v>2.7514933158498183E-3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949.93000000000006</v>
      </c>
      <c r="C288" s="8">
        <f>IFERROR(B288/B444, "NA")</f>
        <v>2.1809623633896611E-3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-949.93000000000006</v>
      </c>
      <c r="I288" s="8">
        <f>IFERROR(H288/H444, "NA")</f>
        <v>-1.1534836437323465E-2</v>
      </c>
      <c r="J288" s="9"/>
      <c r="K288" s="7">
        <v>681.42000000000007</v>
      </c>
      <c r="L288" s="8">
        <f>IFERROR(K288/K444, "NA")</f>
        <v>1.9318543221604522E-3</v>
      </c>
      <c r="M288" s="9"/>
      <c r="N288" s="10">
        <f t="shared" si="73"/>
        <v>-268.51</v>
      </c>
      <c r="O288" s="8">
        <f>IFERROR(N288/N444, "NA")</f>
        <v>-3.241818455993258E-3</v>
      </c>
      <c r="P288" s="9"/>
      <c r="Q288" s="7">
        <v>949.93000000000006</v>
      </c>
      <c r="R288" s="8">
        <f>IFERROR(Q288/Q444, "NA")</f>
        <v>2.1809623633896611E-3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-949.93000000000006</v>
      </c>
      <c r="X288" s="8">
        <f>IFERROR(W288/W444, "NA")</f>
        <v>-1.1534836437323465E-2</v>
      </c>
      <c r="Y288" s="9"/>
      <c r="Z288" s="7">
        <v>681.42000000000007</v>
      </c>
      <c r="AA288" s="8">
        <f>IFERROR(Z288/Z444, "NA")</f>
        <v>1.9318543221604522E-3</v>
      </c>
      <c r="AB288" s="9"/>
      <c r="AC288" s="10">
        <f t="shared" si="75"/>
        <v>-268.51</v>
      </c>
      <c r="AD288" s="8">
        <f>IFERROR(AC288/AC444, "NA")</f>
        <v>-3.241818455993258E-3</v>
      </c>
    </row>
    <row r="289" spans="1:30" ht="16.5" customHeight="1" x14ac:dyDescent="0.45">
      <c r="A289" s="6" t="s">
        <v>262</v>
      </c>
      <c r="B289" s="7">
        <v>990.91</v>
      </c>
      <c r="C289" s="8">
        <f>IFERROR(B289/B444, "NA")</f>
        <v>2.2750491252054874E-3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-990.91</v>
      </c>
      <c r="I289" s="8">
        <f>IFERROR(H289/H444, "NA")</f>
        <v>-1.2032449521657589E-2</v>
      </c>
      <c r="J289" s="9"/>
      <c r="K289" s="7">
        <v>979.25</v>
      </c>
      <c r="L289" s="8">
        <f>IFERROR(K289/K444, "NA")</f>
        <v>2.7762148821220724E-3</v>
      </c>
      <c r="M289" s="9"/>
      <c r="N289" s="10">
        <f t="shared" si="73"/>
        <v>-11.659999999999968</v>
      </c>
      <c r="O289" s="8">
        <f>IFERROR(N289/N444, "NA")</f>
        <v>-1.4077540202182893E-4</v>
      </c>
      <c r="P289" s="9"/>
      <c r="Q289" s="7">
        <v>990.91</v>
      </c>
      <c r="R289" s="8">
        <f>IFERROR(Q289/Q444, "NA")</f>
        <v>2.2750491252054874E-3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-990.91</v>
      </c>
      <c r="X289" s="8">
        <f>IFERROR(W289/W444, "NA")</f>
        <v>-1.2032449521657589E-2</v>
      </c>
      <c r="Y289" s="9"/>
      <c r="Z289" s="7">
        <v>979.25</v>
      </c>
      <c r="AA289" s="8">
        <f>IFERROR(Z289/Z444, "NA")</f>
        <v>2.7762148821220724E-3</v>
      </c>
      <c r="AB289" s="9"/>
      <c r="AC289" s="10">
        <f t="shared" si="75"/>
        <v>-11.659999999999968</v>
      </c>
      <c r="AD289" s="8">
        <f>IFERROR(AC289/AC444, "NA")</f>
        <v>-1.4077540202182893E-4</v>
      </c>
    </row>
    <row r="290" spans="1:30" ht="16.5" customHeight="1" x14ac:dyDescent="0.45">
      <c r="A290" s="6" t="s">
        <v>263</v>
      </c>
      <c r="B290" s="7">
        <v>2785.6000000000004</v>
      </c>
      <c r="C290" s="8">
        <f>IFERROR(B290/B444, "NA")</f>
        <v>6.3955120476858716E-3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-2785.6000000000004</v>
      </c>
      <c r="I290" s="8">
        <f>IFERROR(H290/H444, "NA")</f>
        <v>-3.3825061193780856E-2</v>
      </c>
      <c r="J290" s="9"/>
      <c r="K290" s="7">
        <v>975.96</v>
      </c>
      <c r="L290" s="8">
        <f>IFERROR(K290/K444, "NA")</f>
        <v>2.7668875939299035E-3</v>
      </c>
      <c r="M290" s="9"/>
      <c r="N290" s="10">
        <f t="shared" si="73"/>
        <v>-1809.6400000000003</v>
      </c>
      <c r="O290" s="8">
        <f>IFERROR(N290/N444, "NA")</f>
        <v>-2.184843898068467E-2</v>
      </c>
      <c r="P290" s="9"/>
      <c r="Q290" s="7">
        <v>2785.6000000000004</v>
      </c>
      <c r="R290" s="8">
        <f>IFERROR(Q290/Q444, "NA")</f>
        <v>6.3955120476858716E-3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-2785.6000000000004</v>
      </c>
      <c r="X290" s="8">
        <f>IFERROR(W290/W444, "NA")</f>
        <v>-3.3825061193780856E-2</v>
      </c>
      <c r="Y290" s="9"/>
      <c r="Z290" s="7">
        <v>975.96</v>
      </c>
      <c r="AA290" s="8">
        <f>IFERROR(Z290/Z444, "NA")</f>
        <v>2.7668875939299035E-3</v>
      </c>
      <c r="AB290" s="9"/>
      <c r="AC290" s="10">
        <f t="shared" si="75"/>
        <v>-1809.6400000000003</v>
      </c>
      <c r="AD290" s="8">
        <f>IFERROR(AC290/AC444, "NA")</f>
        <v>-2.184843898068467E-2</v>
      </c>
    </row>
    <row r="291" spans="1:30" ht="16.5" customHeight="1" x14ac:dyDescent="0.45">
      <c r="A291" s="6" t="s">
        <v>264</v>
      </c>
      <c r="B291" s="7">
        <v>5669.0599999999995</v>
      </c>
      <c r="C291" s="8">
        <f>IFERROR(B291/B444, "NA")</f>
        <v>1.3015702731567368E-2</v>
      </c>
      <c r="D291" s="9"/>
      <c r="E291" s="7">
        <v>4325.25</v>
      </c>
      <c r="F291" s="8">
        <f>IFERROR(E291/E444, "NA")</f>
        <v>1.2245815280529464E-2</v>
      </c>
      <c r="G291" s="9"/>
      <c r="H291" s="10">
        <f t="shared" si="72"/>
        <v>-1343.8099999999995</v>
      </c>
      <c r="I291" s="8">
        <f>IFERROR(H291/H444, "NA")</f>
        <v>-1.6317653461665218E-2</v>
      </c>
      <c r="J291" s="9"/>
      <c r="K291" s="7">
        <v>0.20999999999997954</v>
      </c>
      <c r="L291" s="8">
        <f>IFERROR(K291/K444, "NA")</f>
        <v>5.9535882077669476E-7</v>
      </c>
      <c r="M291" s="9"/>
      <c r="N291" s="10">
        <f t="shared" si="73"/>
        <v>-5668.8499999999995</v>
      </c>
      <c r="O291" s="8">
        <f>IFERROR(N291/N444, "NA")</f>
        <v>-6.8442078709386539E-2</v>
      </c>
      <c r="P291" s="9"/>
      <c r="Q291" s="7">
        <v>5669.0599999999995</v>
      </c>
      <c r="R291" s="8">
        <f>IFERROR(Q291/Q444, "NA")</f>
        <v>1.3015702731567368E-2</v>
      </c>
      <c r="S291" s="9"/>
      <c r="T291" s="7">
        <v>4325.25</v>
      </c>
      <c r="U291" s="8">
        <f>IFERROR(T291/T444, "NA")</f>
        <v>1.2245815280529464E-2</v>
      </c>
      <c r="V291" s="9"/>
      <c r="W291" s="10">
        <f t="shared" si="74"/>
        <v>-1343.8099999999995</v>
      </c>
      <c r="X291" s="8">
        <f>IFERROR(W291/W444, "NA")</f>
        <v>-1.6317653461665218E-2</v>
      </c>
      <c r="Y291" s="9"/>
      <c r="Z291" s="7">
        <v>0.20999999999997954</v>
      </c>
      <c r="AA291" s="8">
        <f>IFERROR(Z291/Z444, "NA")</f>
        <v>5.9535882077669476E-7</v>
      </c>
      <c r="AB291" s="9"/>
      <c r="AC291" s="10">
        <f t="shared" si="75"/>
        <v>-5668.8499999999995</v>
      </c>
      <c r="AD291" s="8">
        <f>IFERROR(AC291/AC444, "NA")</f>
        <v>-6.8442078709386539E-2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369.93</v>
      </c>
      <c r="C293" s="8">
        <f>IFERROR(B293/B444, "NA")</f>
        <v>8.4932932646483142E-4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-369.93</v>
      </c>
      <c r="I293" s="8">
        <f>IFERROR(H293/H444, "NA")</f>
        <v>-4.491996297894655E-3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-369.93</v>
      </c>
      <c r="O293" s="8">
        <f>IFERROR(N293/N444, "NA")</f>
        <v>-4.4662988396170942E-3</v>
      </c>
      <c r="P293" s="9"/>
      <c r="Q293" s="7">
        <v>369.93</v>
      </c>
      <c r="R293" s="8">
        <f>IFERROR(Q293/Q444, "NA")</f>
        <v>8.4932932646483142E-4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-4.491996297894655E-3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-4.4662988396170942E-3</v>
      </c>
    </row>
    <row r="294" spans="1:30" ht="16.5" customHeight="1" x14ac:dyDescent="0.45">
      <c r="A294" s="6" t="s">
        <v>267</v>
      </c>
      <c r="B294" s="7">
        <v>1703.28</v>
      </c>
      <c r="C294" s="8">
        <f>IFERROR(B294/B444, "NA")</f>
        <v>3.9105929640229718E-3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-1703.28</v>
      </c>
      <c r="I294" s="8">
        <f>IFERROR(H294/H444, "NA")</f>
        <v>-2.0682635780493626E-2</v>
      </c>
      <c r="J294" s="9"/>
      <c r="K294" s="7">
        <v>1268.1799999999998</v>
      </c>
      <c r="L294" s="8">
        <f>IFERROR(K294/K444, "NA")</f>
        <v>3.5953435682507728E-3</v>
      </c>
      <c r="M294" s="9"/>
      <c r="N294" s="10">
        <f t="shared" si="73"/>
        <v>-435.10000000000014</v>
      </c>
      <c r="O294" s="8">
        <f>IFERROR(N294/N444, "NA")</f>
        <v>-5.2531198473154336E-3</v>
      </c>
      <c r="P294" s="9"/>
      <c r="Q294" s="7">
        <v>1703.28</v>
      </c>
      <c r="R294" s="8">
        <f>IFERROR(Q294/Q444, "NA")</f>
        <v>3.9105929640229718E-3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-1703.28</v>
      </c>
      <c r="X294" s="8">
        <f>IFERROR(W294/W444, "NA")</f>
        <v>-2.0682635780493626E-2</v>
      </c>
      <c r="Y294" s="9"/>
      <c r="Z294" s="7">
        <v>1268.1799999999998</v>
      </c>
      <c r="AA294" s="8">
        <f>IFERROR(Z294/Z444, "NA")</f>
        <v>3.5953435682507728E-3</v>
      </c>
      <c r="AB294" s="9"/>
      <c r="AC294" s="10">
        <f t="shared" si="75"/>
        <v>-435.10000000000014</v>
      </c>
      <c r="AD294" s="8">
        <f>IFERROR(AC294/AC444, "NA")</f>
        <v>-5.2531198473154336E-3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13439.24</v>
      </c>
      <c r="C295" s="15">
        <f>IFERROR(B295/B444, "NA")</f>
        <v>3.0855406853726976E-2</v>
      </c>
      <c r="D295" s="2"/>
      <c r="E295" s="14">
        <f>IFERROR(E286+E287+E288+E289+E290+E291+E292+E293+E294, "NA")</f>
        <v>7028.25</v>
      </c>
      <c r="F295" s="15">
        <f>IFERROR(E295/E444, "NA")</f>
        <v>1.9898653544969936E-2</v>
      </c>
      <c r="G295" s="2"/>
      <c r="H295" s="14">
        <f t="shared" si="72"/>
        <v>-6410.99</v>
      </c>
      <c r="I295" s="15">
        <f>IFERROR(H295/H444, "NA")</f>
        <v>-7.7847547768063283E-2</v>
      </c>
      <c r="J295" s="2"/>
      <c r="K295" s="14">
        <f>IFERROR(K286+K287+K288+K289+K290+K291+K292+K293+K294, "NA")</f>
        <v>4875.5499999999993</v>
      </c>
      <c r="L295" s="15">
        <f>IFERROR(K295/K444, "NA")</f>
        <v>1.3822389041133793E-2</v>
      </c>
      <c r="M295" s="2"/>
      <c r="N295" s="14">
        <f t="shared" si="73"/>
        <v>-8563.69</v>
      </c>
      <c r="O295" s="15">
        <f>IFERROR(N295/N444, "NA")</f>
        <v>-0.10339253023501883</v>
      </c>
      <c r="P295" s="2"/>
      <c r="Q295" s="14">
        <f>IFERROR(Q286+Q287+Q288+Q289+Q290+Q291+Q292+Q293+Q294, "NA")</f>
        <v>13439.24</v>
      </c>
      <c r="R295" s="15">
        <f>IFERROR(Q295/Q444, "NA")</f>
        <v>3.0855406853726976E-2</v>
      </c>
      <c r="S295" s="2"/>
      <c r="T295" s="14">
        <f>IFERROR(T286+T287+T288+T289+T290+T291+T292+T293+T294, "NA")</f>
        <v>7028.25</v>
      </c>
      <c r="U295" s="15">
        <f>IFERROR(T295/T444, "NA")</f>
        <v>1.9898653544969936E-2</v>
      </c>
      <c r="V295" s="2"/>
      <c r="W295" s="14">
        <f t="shared" si="74"/>
        <v>-6410.99</v>
      </c>
      <c r="X295" s="15">
        <f>IFERROR(W295/W444, "NA")</f>
        <v>-7.7847547768063283E-2</v>
      </c>
      <c r="Y295" s="2"/>
      <c r="Z295" s="14">
        <f>IFERROR(Z286+Z287+Z288+Z289+Z290+Z291+Z292+Z293+Z294, "NA")</f>
        <v>4875.5499999999993</v>
      </c>
      <c r="AA295" s="15">
        <f>IFERROR(Z295/Z444, "NA")</f>
        <v>1.3822389041133793E-2</v>
      </c>
      <c r="AB295" s="2"/>
      <c r="AC295" s="14">
        <f t="shared" si="75"/>
        <v>-8563.69</v>
      </c>
      <c r="AD295" s="15">
        <f>IFERROR(AC295/AC444, "NA")</f>
        <v>-0.10339253023501883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4591.63</v>
      </c>
      <c r="F297" s="8">
        <f>IFERROR(E297/E444, "NA")</f>
        <v>1.3000000651184906E-2</v>
      </c>
      <c r="G297" s="9"/>
      <c r="H297" s="10">
        <f t="shared" ref="H297:H325" si="76">IFERROR(-(B297-E297), "NA")</f>
        <v>4591.63</v>
      </c>
      <c r="I297" s="8">
        <f>IFERROR(H297/H444, "NA")</f>
        <v>5.5755372533457769E-2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4591.63</v>
      </c>
      <c r="U297" s="8">
        <f>IFERROR(T297/T444, "NA")</f>
        <v>1.3000000651184906E-2</v>
      </c>
      <c r="V297" s="9"/>
      <c r="W297" s="10">
        <f t="shared" ref="W297:W325" si="78">IFERROR(-(Q297-T297), "NA")</f>
        <v>4591.63</v>
      </c>
      <c r="X297" s="8">
        <f>IFERROR(W297/W444, "NA")</f>
        <v>5.5755372533457769E-2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2086.7199999999998</v>
      </c>
      <c r="C299" s="8">
        <f>IFERROR(B299/B444, "NA")</f>
        <v>4.7909401565720345E-3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-2086.7199999999998</v>
      </c>
      <c r="I299" s="8">
        <f>IFERROR(H299/H444, "NA")</f>
        <v>-2.5338681682325663E-2</v>
      </c>
      <c r="J299" s="9"/>
      <c r="K299" s="7">
        <v>1074.9099999999999</v>
      </c>
      <c r="L299" s="8">
        <f>IFERROR(K299/K444, "NA")</f>
        <v>3.0474150001959014E-3</v>
      </c>
      <c r="M299" s="9"/>
      <c r="N299" s="10">
        <f t="shared" si="77"/>
        <v>-1011.81</v>
      </c>
      <c r="O299" s="8">
        <f>IFERROR(N299/N444, "NA")</f>
        <v>-1.2215948500832513E-2</v>
      </c>
      <c r="P299" s="9"/>
      <c r="Q299" s="7">
        <v>2086.7199999999998</v>
      </c>
      <c r="R299" s="8">
        <f>IFERROR(Q299/Q444, "NA")</f>
        <v>4.7909401565720345E-3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-2086.7199999999998</v>
      </c>
      <c r="X299" s="8">
        <f>IFERROR(W299/W444, "NA")</f>
        <v>-2.5338681682325663E-2</v>
      </c>
      <c r="Y299" s="9"/>
      <c r="Z299" s="7">
        <v>1074.9099999999999</v>
      </c>
      <c r="AA299" s="8">
        <f>IFERROR(Z299/Z444, "NA")</f>
        <v>3.0474150001959014E-3</v>
      </c>
      <c r="AB299" s="9"/>
      <c r="AC299" s="10">
        <f t="shared" si="79"/>
        <v>-1011.81</v>
      </c>
      <c r="AD299" s="8">
        <f>IFERROR(AC299/AC444, "NA")</f>
        <v>-1.2215948500832513E-2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15</v>
      </c>
      <c r="C305" s="8">
        <f>IFERROR(B305/B444, "NA")</f>
        <v>3.4438785437711111E-5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-15</v>
      </c>
      <c r="I305" s="8">
        <f>IFERROR(H305/H444, "NA")</f>
        <v>-1.8214241739902094E-4</v>
      </c>
      <c r="J305" s="9"/>
      <c r="K305" s="7">
        <v>43.33</v>
      </c>
      <c r="L305" s="8">
        <f>IFERROR(K305/K444, "NA")</f>
        <v>1.2284237002027E-4</v>
      </c>
      <c r="M305" s="9"/>
      <c r="N305" s="10">
        <f t="shared" si="77"/>
        <v>28.33</v>
      </c>
      <c r="O305" s="8">
        <f>IFERROR(N305/N444, "NA")</f>
        <v>3.4203834813708613E-4</v>
      </c>
      <c r="P305" s="9"/>
      <c r="Q305" s="7">
        <v>15</v>
      </c>
      <c r="R305" s="8">
        <f>IFERROR(Q305/Q444, "NA")</f>
        <v>3.4438785437711111E-5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-15</v>
      </c>
      <c r="X305" s="8">
        <f>IFERROR(W305/W444, "NA")</f>
        <v>-1.8214241739902094E-4</v>
      </c>
      <c r="Y305" s="9"/>
      <c r="Z305" s="7">
        <v>43.33</v>
      </c>
      <c r="AA305" s="8">
        <f>IFERROR(Z305/Z444, "NA")</f>
        <v>1.2284237002027E-4</v>
      </c>
      <c r="AB305" s="9"/>
      <c r="AC305" s="10">
        <f t="shared" si="79"/>
        <v>28.33</v>
      </c>
      <c r="AD305" s="8">
        <f>IFERROR(AC305/AC444, "NA")</f>
        <v>3.4203834813708613E-4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31.57</v>
      </c>
      <c r="C310" s="8">
        <f>IFERROR(B310/B444, "NA")</f>
        <v>7.2482163751235975E-5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-31.57</v>
      </c>
      <c r="I310" s="8">
        <f>IFERROR(H310/H444, "NA")</f>
        <v>-3.8334907448580609E-4</v>
      </c>
      <c r="J310" s="9"/>
      <c r="K310" s="7">
        <v>76.91</v>
      </c>
      <c r="L310" s="8">
        <f>IFERROR(K310/K444, "NA")</f>
        <v>2.1804308050447647E-4</v>
      </c>
      <c r="M310" s="9"/>
      <c r="N310" s="10">
        <f t="shared" si="77"/>
        <v>45.339999999999996</v>
      </c>
      <c r="O310" s="8">
        <f>IFERROR(N310/N444, "NA")</f>
        <v>5.4740623736447178E-4</v>
      </c>
      <c r="P310" s="9"/>
      <c r="Q310" s="7">
        <v>31.57</v>
      </c>
      <c r="R310" s="8">
        <f>IFERROR(Q310/Q444, "NA")</f>
        <v>7.2482163751235975E-5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-31.57</v>
      </c>
      <c r="X310" s="8">
        <f>IFERROR(W310/W444, "NA")</f>
        <v>-3.8334907448580609E-4</v>
      </c>
      <c r="Y310" s="9"/>
      <c r="Z310" s="7">
        <v>76.91</v>
      </c>
      <c r="AA310" s="8">
        <f>IFERROR(Z310/Z444, "NA")</f>
        <v>2.1804308050447647E-4</v>
      </c>
      <c r="AB310" s="9"/>
      <c r="AC310" s="10">
        <f t="shared" si="79"/>
        <v>45.339999999999996</v>
      </c>
      <c r="AD310" s="8">
        <f>IFERROR(AC310/AC444, "NA")</f>
        <v>5.4740623736447178E-4</v>
      </c>
    </row>
    <row r="311" spans="1:30" ht="16.5" hidden="1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0</v>
      </c>
      <c r="AD311" s="8">
        <f>IFERROR(AC311/AC444, "NA")</f>
        <v>0</v>
      </c>
    </row>
    <row r="312" spans="1:30" ht="16.5" customHeight="1" x14ac:dyDescent="0.45">
      <c r="A312" s="6" t="s">
        <v>284</v>
      </c>
      <c r="B312" s="7">
        <v>376.99</v>
      </c>
      <c r="C312" s="8">
        <f>IFERROR(B312/B444, "NA")</f>
        <v>8.6553851481084739E-4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-376.99</v>
      </c>
      <c r="I312" s="8">
        <f>IFERROR(H312/H444, "NA")</f>
        <v>-4.577724662350461E-3</v>
      </c>
      <c r="J312" s="9"/>
      <c r="K312" s="7">
        <v>251.17</v>
      </c>
      <c r="L312" s="8">
        <f>IFERROR(K312/K444, "NA")</f>
        <v>7.1207750006903336E-4</v>
      </c>
      <c r="M312" s="9"/>
      <c r="N312" s="10">
        <f t="shared" si="77"/>
        <v>-125.82000000000002</v>
      </c>
      <c r="O312" s="8">
        <f>IFERROR(N312/N444, "NA")</f>
        <v>-1.5190704187295512E-3</v>
      </c>
      <c r="P312" s="9"/>
      <c r="Q312" s="7">
        <v>376.99</v>
      </c>
      <c r="R312" s="8">
        <f>IFERROR(Q312/Q444, "NA")</f>
        <v>8.6553851481084739E-4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-376.99</v>
      </c>
      <c r="X312" s="8">
        <f>IFERROR(W312/W444, "NA")</f>
        <v>-4.577724662350461E-3</v>
      </c>
      <c r="Y312" s="9"/>
      <c r="Z312" s="7">
        <v>251.17</v>
      </c>
      <c r="AA312" s="8">
        <f>IFERROR(Z312/Z444, "NA")</f>
        <v>7.1207750006903336E-4</v>
      </c>
      <c r="AB312" s="9"/>
      <c r="AC312" s="10">
        <f t="shared" si="79"/>
        <v>-125.82000000000002</v>
      </c>
      <c r="AD312" s="8">
        <f>IFERROR(AC312/AC444, "NA")</f>
        <v>-1.5190704187295512E-3</v>
      </c>
    </row>
    <row r="313" spans="1:30" ht="16.5" customHeight="1" x14ac:dyDescent="0.45">
      <c r="A313" s="6" t="s">
        <v>285</v>
      </c>
      <c r="B313" s="7">
        <v>295</v>
      </c>
      <c r="C313" s="8">
        <f>IFERROR(B313/B444, "NA")</f>
        <v>6.7729611360831847E-4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-295</v>
      </c>
      <c r="I313" s="8">
        <f>IFERROR(H313/H444, "NA")</f>
        <v>-3.5821342088474119E-3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-295</v>
      </c>
      <c r="O313" s="8">
        <f>IFERROR(N313/N444, "NA")</f>
        <v>-3.5616418178764705E-3</v>
      </c>
      <c r="P313" s="9"/>
      <c r="Q313" s="7">
        <v>295</v>
      </c>
      <c r="R313" s="8">
        <f>IFERROR(Q313/Q444, "NA")</f>
        <v>6.7729611360831847E-4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-295</v>
      </c>
      <c r="X313" s="8">
        <f>IFERROR(W313/W444, "NA")</f>
        <v>-3.5821342088474119E-3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-295</v>
      </c>
      <c r="AD313" s="8">
        <f>IFERROR(AC313/AC444, "NA")</f>
        <v>-3.5616418178764705E-3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1249.6300000000001</v>
      </c>
      <c r="C315" s="8">
        <f>IFERROR(B315/B444, "NA")</f>
        <v>2.8690492964351293E-3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-1249.6300000000001</v>
      </c>
      <c r="I315" s="8">
        <f>IFERROR(H315/H444, "NA")</f>
        <v>-1.5174041936955904E-2</v>
      </c>
      <c r="J315" s="9"/>
      <c r="K315" s="7">
        <v>605.44000000000005</v>
      </c>
      <c r="L315" s="8">
        <f>IFERROR(K315/K444, "NA")</f>
        <v>1.7164478307194154E-3</v>
      </c>
      <c r="M315" s="9"/>
      <c r="N315" s="10">
        <f t="shared" si="77"/>
        <v>-644.19000000000005</v>
      </c>
      <c r="O315" s="8">
        <f>IFERROR(N315/N444, "NA")</f>
        <v>-7.7775391276537079E-3</v>
      </c>
      <c r="P315" s="9"/>
      <c r="Q315" s="7">
        <v>1249.6300000000001</v>
      </c>
      <c r="R315" s="8">
        <f>IFERROR(Q315/Q444, "NA")</f>
        <v>2.8690492964351293E-3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-1249.6300000000001</v>
      </c>
      <c r="X315" s="8">
        <f>IFERROR(W315/W444, "NA")</f>
        <v>-1.5174041936955904E-2</v>
      </c>
      <c r="Y315" s="9"/>
      <c r="Z315" s="7">
        <v>605.44000000000005</v>
      </c>
      <c r="AA315" s="8">
        <f>IFERROR(Z315/Z444, "NA")</f>
        <v>1.7164478307194154E-3</v>
      </c>
      <c r="AB315" s="9"/>
      <c r="AC315" s="10">
        <f t="shared" si="79"/>
        <v>-644.19000000000005</v>
      </c>
      <c r="AD315" s="8">
        <f>IFERROR(AC315/AC444, "NA")</f>
        <v>-7.7775391276537079E-3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3.0300391387612824E-3</v>
      </c>
      <c r="D318" s="9"/>
      <c r="E318" s="7">
        <v>3210</v>
      </c>
      <c r="F318" s="8">
        <f>IFERROR(E318/E444, "NA")</f>
        <v>9.0882762962833548E-3</v>
      </c>
      <c r="G318" s="9"/>
      <c r="H318" s="10">
        <f t="shared" si="76"/>
        <v>1890.25</v>
      </c>
      <c r="I318" s="8">
        <f>IFERROR(H318/H444, "NA")</f>
        <v>2.2952980299233289E-2</v>
      </c>
      <c r="J318" s="9"/>
      <c r="K318" s="7">
        <v>1319.75</v>
      </c>
      <c r="L318" s="8">
        <f>IFERROR(K318/K444, "NA")</f>
        <v>3.7415466843815216E-3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1319.75</v>
      </c>
      <c r="R318" s="8">
        <f>IFERROR(Q318/Q444, "NA")</f>
        <v>3.0300391387612824E-3</v>
      </c>
      <c r="S318" s="9"/>
      <c r="T318" s="7">
        <v>3210</v>
      </c>
      <c r="U318" s="8">
        <f>IFERROR(T318/T444, "NA")</f>
        <v>9.0882762962833548E-3</v>
      </c>
      <c r="V318" s="9"/>
      <c r="W318" s="10">
        <f t="shared" si="78"/>
        <v>1890.25</v>
      </c>
      <c r="X318" s="8">
        <f>IFERROR(W318/W444, "NA")</f>
        <v>2.2952980299233289E-2</v>
      </c>
      <c r="Y318" s="9"/>
      <c r="Z318" s="7">
        <v>1319.75</v>
      </c>
      <c r="AA318" s="8">
        <f>IFERROR(Z318/Z444, "NA")</f>
        <v>3.7415466843815216E-3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1120.46</v>
      </c>
      <c r="C319" s="8">
        <f>IFERROR(B319/B444, "NA")</f>
        <v>2.5724854354358525E-3</v>
      </c>
      <c r="D319" s="9"/>
      <c r="E319" s="7">
        <v>1084</v>
      </c>
      <c r="F319" s="8">
        <f>IFERROR(E319/E444, "NA")</f>
        <v>3.0690627741966222E-3</v>
      </c>
      <c r="G319" s="9"/>
      <c r="H319" s="10">
        <f t="shared" si="76"/>
        <v>-36.460000000000036</v>
      </c>
      <c r="I319" s="8">
        <f>IFERROR(H319/H444, "NA")</f>
        <v>-4.4272750255788736E-4</v>
      </c>
      <c r="J319" s="9"/>
      <c r="K319" s="7">
        <v>1004.25</v>
      </c>
      <c r="L319" s="8">
        <f>IFERROR(K319/K444, "NA")</f>
        <v>2.847090932214543E-3</v>
      </c>
      <c r="M319" s="9"/>
      <c r="N319" s="10">
        <f t="shared" si="77"/>
        <v>-116.21000000000004</v>
      </c>
      <c r="O319" s="8">
        <f>IFERROR(N319/N444, "NA")</f>
        <v>-1.4030454090014398E-3</v>
      </c>
      <c r="P319" s="9"/>
      <c r="Q319" s="7">
        <v>1120.46</v>
      </c>
      <c r="R319" s="8">
        <f>IFERROR(Q319/Q444, "NA")</f>
        <v>2.5724854354358525E-3</v>
      </c>
      <c r="S319" s="9"/>
      <c r="T319" s="7">
        <v>1084</v>
      </c>
      <c r="U319" s="8">
        <f>IFERROR(T319/T444, "NA")</f>
        <v>3.0690627741966222E-3</v>
      </c>
      <c r="V319" s="9"/>
      <c r="W319" s="10">
        <f t="shared" si="78"/>
        <v>-36.460000000000036</v>
      </c>
      <c r="X319" s="8">
        <f>IFERROR(W319/W444, "NA")</f>
        <v>-4.4272750255788736E-4</v>
      </c>
      <c r="Y319" s="9"/>
      <c r="Z319" s="7">
        <v>1004.25</v>
      </c>
      <c r="AA319" s="8">
        <f>IFERROR(Z319/Z444, "NA")</f>
        <v>2.847090932214543E-3</v>
      </c>
      <c r="AB319" s="9"/>
      <c r="AC319" s="10">
        <f t="shared" si="79"/>
        <v>-116.21000000000004</v>
      </c>
      <c r="AD319" s="8">
        <f>IFERROR(AC319/AC444, "NA")</f>
        <v>-1.4030454090014398E-3</v>
      </c>
    </row>
    <row r="320" spans="1:30" ht="16.5" customHeight="1" x14ac:dyDescent="0.45">
      <c r="A320" s="6" t="s">
        <v>292</v>
      </c>
      <c r="B320" s="7">
        <v>5142.41</v>
      </c>
      <c r="C320" s="8">
        <f>IFERROR(B320/B444, "NA")</f>
        <v>1.1806556974849333E-2</v>
      </c>
      <c r="D320" s="9"/>
      <c r="E320" s="7">
        <v>4243</v>
      </c>
      <c r="F320" s="8">
        <f>IFERROR(E320/E444, "NA")</f>
        <v>1.2012945895679214E-2</v>
      </c>
      <c r="G320" s="9"/>
      <c r="H320" s="10">
        <f t="shared" si="76"/>
        <v>-899.40999999999985</v>
      </c>
      <c r="I320" s="8">
        <f>IFERROR(H320/H444, "NA")</f>
        <v>-1.092138077552356E-2</v>
      </c>
      <c r="J320" s="9"/>
      <c r="K320" s="7">
        <v>4400.1900000000005</v>
      </c>
      <c r="L320" s="8">
        <f>IFERROR(K320/K444, "NA")</f>
        <v>1.2474723474255526E-2</v>
      </c>
      <c r="M320" s="9"/>
      <c r="N320" s="10">
        <f t="shared" si="77"/>
        <v>-742.21999999999935</v>
      </c>
      <c r="O320" s="8">
        <f>IFERROR(N320/N444, "NA")</f>
        <v>-8.9610908137771929E-3</v>
      </c>
      <c r="P320" s="9"/>
      <c r="Q320" s="7">
        <v>5142.41</v>
      </c>
      <c r="R320" s="8">
        <f>IFERROR(Q320/Q444, "NA")</f>
        <v>1.1806556974849333E-2</v>
      </c>
      <c r="S320" s="9"/>
      <c r="T320" s="7">
        <v>4243</v>
      </c>
      <c r="U320" s="8">
        <f>IFERROR(T320/T444, "NA")</f>
        <v>1.2012945895679214E-2</v>
      </c>
      <c r="V320" s="9"/>
      <c r="W320" s="10">
        <f t="shared" si="78"/>
        <v>-899.40999999999985</v>
      </c>
      <c r="X320" s="8">
        <f>IFERROR(W320/W444, "NA")</f>
        <v>-1.092138077552356E-2</v>
      </c>
      <c r="Y320" s="9"/>
      <c r="Z320" s="7">
        <v>4400.1900000000005</v>
      </c>
      <c r="AA320" s="8">
        <f>IFERROR(Z320/Z444, "NA")</f>
        <v>1.2474723474255526E-2</v>
      </c>
      <c r="AB320" s="9"/>
      <c r="AC320" s="10">
        <f t="shared" si="79"/>
        <v>-742.21999999999935</v>
      </c>
      <c r="AD320" s="8">
        <f>IFERROR(AC320/AC444, "NA")</f>
        <v>-8.9610908137771929E-3</v>
      </c>
    </row>
    <row r="321" spans="1:30" ht="16.5" customHeight="1" x14ac:dyDescent="0.45">
      <c r="A321" s="6" t="s">
        <v>293</v>
      </c>
      <c r="B321" s="7">
        <v>12423.76</v>
      </c>
      <c r="C321" s="8">
        <f>IFERROR(B321/B444, "NA")</f>
        <v>2.8523946997974517E-2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-12423.76</v>
      </c>
      <c r="I321" s="8">
        <f>IFERROR(H321/H444, "NA")</f>
        <v>-0.15085957863901736</v>
      </c>
      <c r="J321" s="9"/>
      <c r="K321" s="7">
        <v>11077.619999999999</v>
      </c>
      <c r="L321" s="8">
        <f>IFERROR(K321/K444, "NA")</f>
        <v>3.1405518001014154E-2</v>
      </c>
      <c r="M321" s="9"/>
      <c r="N321" s="10">
        <f t="shared" si="77"/>
        <v>-1346.1400000000012</v>
      </c>
      <c r="O321" s="8">
        <f>IFERROR(N321/N444, "NA")</f>
        <v>-1.6252435649885547E-2</v>
      </c>
      <c r="P321" s="9"/>
      <c r="Q321" s="7">
        <v>12423.76</v>
      </c>
      <c r="R321" s="8">
        <f>IFERROR(Q321/Q444, "NA")</f>
        <v>2.8523946997974517E-2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-12423.76</v>
      </c>
      <c r="X321" s="8">
        <f>IFERROR(W321/W444, "NA")</f>
        <v>-0.15085957863901736</v>
      </c>
      <c r="Y321" s="9"/>
      <c r="Z321" s="7">
        <v>11077.619999999999</v>
      </c>
      <c r="AA321" s="8">
        <f>IFERROR(Z321/Z444, "NA")</f>
        <v>3.1405518001014154E-2</v>
      </c>
      <c r="AB321" s="9"/>
      <c r="AC321" s="10">
        <f t="shared" si="79"/>
        <v>-1346.1400000000012</v>
      </c>
      <c r="AD321" s="8">
        <f>IFERROR(AC321/AC444, "NA")</f>
        <v>-1.6252435649885547E-2</v>
      </c>
    </row>
    <row r="322" spans="1:30" ht="16.5" customHeight="1" x14ac:dyDescent="0.45">
      <c r="A322" s="6" t="s">
        <v>294</v>
      </c>
      <c r="B322" s="7">
        <v>1076.0999999999999</v>
      </c>
      <c r="C322" s="8">
        <f>IFERROR(B322/B444, "NA")</f>
        <v>2.4706384673013949E-3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-1076.0999999999999</v>
      </c>
      <c r="I322" s="8">
        <f>IFERROR(H322/H444, "NA")</f>
        <v>-1.3066897024205762E-2</v>
      </c>
      <c r="J322" s="9"/>
      <c r="K322" s="7">
        <v>1324.6799999999998</v>
      </c>
      <c r="L322" s="8">
        <f>IFERROR(K322/K444, "NA")</f>
        <v>3.7555234414597561E-3</v>
      </c>
      <c r="M322" s="9"/>
      <c r="N322" s="10">
        <f t="shared" si="77"/>
        <v>248.57999999999993</v>
      </c>
      <c r="O322" s="8">
        <f>IFERROR(N322/N444, "NA")</f>
        <v>3.0011963494499419E-3</v>
      </c>
      <c r="P322" s="9"/>
      <c r="Q322" s="7">
        <v>1076.0999999999999</v>
      </c>
      <c r="R322" s="8">
        <f>IFERROR(Q322/Q444, "NA")</f>
        <v>2.4706384673013949E-3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-1076.0999999999999</v>
      </c>
      <c r="X322" s="8">
        <f>IFERROR(W322/W444, "NA")</f>
        <v>-1.3066897024205762E-2</v>
      </c>
      <c r="Y322" s="9"/>
      <c r="Z322" s="7">
        <v>1324.6799999999998</v>
      </c>
      <c r="AA322" s="8">
        <f>IFERROR(Z322/Z444, "NA")</f>
        <v>3.7555234414597561E-3</v>
      </c>
      <c r="AB322" s="9"/>
      <c r="AC322" s="10">
        <f t="shared" si="79"/>
        <v>248.57999999999993</v>
      </c>
      <c r="AD322" s="8">
        <f>IFERROR(AC322/AC444, "NA")</f>
        <v>3.0011963494499419E-3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25137.39</v>
      </c>
      <c r="C324" s="15">
        <f>IFERROR(B324/B444, "NA")</f>
        <v>5.7713412044937656E-2</v>
      </c>
      <c r="D324" s="2"/>
      <c r="E324" s="14">
        <f>IFERROR(E297+E298+E299+E300+E301+E302+E303+E304+E305+E306+E307+E308+E309+E310+E311+E312+E313+E314+E315+E316+E317+E318+E319+E320+E321+E322+E323, "NA")</f>
        <v>13128.630000000001</v>
      </c>
      <c r="F324" s="15">
        <f>IFERROR(E324/E444, "NA")</f>
        <v>3.7170285617344097E-2</v>
      </c>
      <c r="G324" s="2"/>
      <c r="H324" s="14">
        <f t="shared" si="76"/>
        <v>-12008.759999999998</v>
      </c>
      <c r="I324" s="15">
        <f>IFERROR(H324/H444, "NA")</f>
        <v>-0.14582030509097776</v>
      </c>
      <c r="J324" s="2"/>
      <c r="K324" s="14">
        <f>IFERROR(K297+K298+K299+K300+K301+K302+K303+K304+K305+K306+K307+K308+K309+K310+K311+K312+K313+K314+K315+K316+K317+K318+K319+K320+K321+K322+K323, "NA")</f>
        <v>21178.25</v>
      </c>
      <c r="L324" s="15">
        <f>IFERROR(K324/K444, "NA")</f>
        <v>6.0041228314834598E-2</v>
      </c>
      <c r="M324" s="2"/>
      <c r="N324" s="14">
        <f t="shared" si="77"/>
        <v>-3959.1399999999994</v>
      </c>
      <c r="O324" s="15">
        <f>IFERROR(N324/N444, "NA")</f>
        <v>-4.7800130802804909E-2</v>
      </c>
      <c r="P324" s="2"/>
      <c r="Q324" s="14">
        <f>IFERROR(Q297+Q298+Q299+Q300+Q301+Q302+Q303+Q304+Q305+Q306+Q307+Q308+Q309+Q310+Q311+Q312+Q313+Q314+Q315+Q316+Q317+Q318+Q319+Q320+Q321+Q322+Q323, "NA")</f>
        <v>25137.39</v>
      </c>
      <c r="R324" s="15">
        <f>IFERROR(Q324/Q444, "NA")</f>
        <v>5.7713412044937656E-2</v>
      </c>
      <c r="S324" s="2"/>
      <c r="T324" s="14">
        <f>IFERROR(T297+T298+T299+T300+T301+T302+T303+T304+T305+T306+T307+T308+T309+T310+T311+T312+T313+T314+T315+T316+T317+T318+T319+T320+T321+T322+T323, "NA")</f>
        <v>13128.630000000001</v>
      </c>
      <c r="U324" s="15">
        <f>IFERROR(T324/T444, "NA")</f>
        <v>3.7170285617344097E-2</v>
      </c>
      <c r="V324" s="2"/>
      <c r="W324" s="14">
        <f t="shared" si="78"/>
        <v>-12008.759999999998</v>
      </c>
      <c r="X324" s="15">
        <f>IFERROR(W324/W444, "NA")</f>
        <v>-0.14582030509097776</v>
      </c>
      <c r="Y324" s="2"/>
      <c r="Z324" s="14">
        <f>IFERROR(Z297+Z298+Z299+Z300+Z301+Z302+Z303+Z304+Z305+Z306+Z307+Z308+Z309+Z310+Z311+Z312+Z313+Z314+Z315+Z316+Z317+Z318+Z319+Z320+Z321+Z322+Z323, "NA")</f>
        <v>21178.25</v>
      </c>
      <c r="AA324" s="15">
        <f>IFERROR(Z324/Z444, "NA")</f>
        <v>6.0041228314834598E-2</v>
      </c>
      <c r="AB324" s="2"/>
      <c r="AC324" s="14">
        <f t="shared" si="79"/>
        <v>-3959.1399999999994</v>
      </c>
      <c r="AD324" s="15">
        <f>IFERROR(AC324/AC444, "NA")</f>
        <v>-4.7800130802804909E-2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131391.24000000002</v>
      </c>
      <c r="C325" s="15">
        <f>IFERROR(B325/B444, "NA")</f>
        <v>0.30166364818365371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83503.8</v>
      </c>
      <c r="F325" s="15">
        <f>IFERROR(E325/E444, "NA")</f>
        <v>0.23641919195937261</v>
      </c>
      <c r="G325" s="2"/>
      <c r="H325" s="14">
        <f t="shared" si="76"/>
        <v>-47887.440000000017</v>
      </c>
      <c r="I325" s="15">
        <f>IFERROR(H325/H444, "NA")</f>
        <v>-0.58148893897670495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79902.26999999999</v>
      </c>
      <c r="L325" s="15">
        <f>IFERROR(K325/K444, "NA")</f>
        <v>0.22652629164088431</v>
      </c>
      <c r="M325" s="2"/>
      <c r="N325" s="14">
        <f t="shared" si="77"/>
        <v>-51488.97000000003</v>
      </c>
      <c r="O325" s="15">
        <f>IFERROR(N325/N444, "NA")</f>
        <v>-0.62164497868266833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131391.24000000002</v>
      </c>
      <c r="R325" s="15">
        <f>IFERROR(Q325/Q444, "NA")</f>
        <v>0.30166364818365371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83503.8</v>
      </c>
      <c r="U325" s="15">
        <f>IFERROR(T325/T444, "NA")</f>
        <v>0.23641919195937261</v>
      </c>
      <c r="V325" s="2"/>
      <c r="W325" s="14">
        <f t="shared" si="78"/>
        <v>-47887.440000000017</v>
      </c>
      <c r="X325" s="15">
        <f>IFERROR(W325/W444, "NA")</f>
        <v>-0.58148893897670495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79902.26999999999</v>
      </c>
      <c r="AA325" s="15">
        <f>IFERROR(Z325/Z444, "NA")</f>
        <v>0.22652629164088431</v>
      </c>
      <c r="AB325" s="2"/>
      <c r="AC325" s="14">
        <f t="shared" si="79"/>
        <v>-51488.97000000003</v>
      </c>
      <c r="AD325" s="15">
        <f>IFERROR(AC325/AC444, "NA")</f>
        <v>-0.62164497868266833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52829.58</v>
      </c>
      <c r="C329" s="8">
        <f>IFERROR(B329/B444, "NA")</f>
        <v>0.12129243802562627</v>
      </c>
      <c r="D329" s="9"/>
      <c r="E329" s="7">
        <v>48760.91</v>
      </c>
      <c r="F329" s="8">
        <f>IFERROR(E329/E444, "NA")</f>
        <v>0.13805377649165299</v>
      </c>
      <c r="G329" s="9"/>
      <c r="H329" s="10">
        <f t="shared" si="80"/>
        <v>-4068.6699999999983</v>
      </c>
      <c r="I329" s="8">
        <f>IFERROR(H329/H444, "NA")</f>
        <v>-4.9405159293258283E-2</v>
      </c>
      <c r="J329" s="9"/>
      <c r="K329" s="7">
        <v>52186.869999999995</v>
      </c>
      <c r="L329" s="8">
        <f>IFERROR(K329/K444, "NA")</f>
        <v>0.14795196849156997</v>
      </c>
      <c r="M329" s="9"/>
      <c r="N329" s="10">
        <f t="shared" si="81"/>
        <v>-642.7100000000064</v>
      </c>
      <c r="O329" s="8">
        <f>IFERROR(N329/N444, "NA")</f>
        <v>-7.7596705517539296E-3</v>
      </c>
      <c r="P329" s="9"/>
      <c r="Q329" s="7">
        <v>52829.58</v>
      </c>
      <c r="R329" s="8">
        <f>IFERROR(Q329/Q444, "NA")</f>
        <v>0.12129243802562627</v>
      </c>
      <c r="S329" s="9"/>
      <c r="T329" s="7">
        <v>48760.91</v>
      </c>
      <c r="U329" s="8">
        <f>IFERROR(T329/T444, "NA")</f>
        <v>0.13805377649165299</v>
      </c>
      <c r="V329" s="9"/>
      <c r="W329" s="10">
        <f t="shared" si="82"/>
        <v>-4068.6699999999983</v>
      </c>
      <c r="X329" s="8">
        <f>IFERROR(W329/W444, "NA")</f>
        <v>-4.9405159293258283E-2</v>
      </c>
      <c r="Y329" s="9"/>
      <c r="Z329" s="7">
        <v>52186.869999999995</v>
      </c>
      <c r="AA329" s="8">
        <f>IFERROR(Z329/Z444, "NA")</f>
        <v>0.14795196849156997</v>
      </c>
      <c r="AB329" s="9"/>
      <c r="AC329" s="10">
        <f t="shared" si="83"/>
        <v>-642.7100000000064</v>
      </c>
      <c r="AD329" s="8">
        <f>IFERROR(AC329/AC444, "NA")</f>
        <v>-7.7596705517539296E-3</v>
      </c>
    </row>
    <row r="330" spans="1:30" ht="16.5" customHeight="1" x14ac:dyDescent="0.45">
      <c r="A330" s="6" t="s">
        <v>301</v>
      </c>
      <c r="B330" s="7">
        <v>6225.6100000000006</v>
      </c>
      <c r="C330" s="8">
        <f>IFERROR(B330/B444, "NA")</f>
        <v>1.4293496467257912E-2</v>
      </c>
      <c r="D330" s="9"/>
      <c r="E330" s="7">
        <v>6065</v>
      </c>
      <c r="F330" s="8">
        <f>IFERROR(E330/E444, "NA")</f>
        <v>1.7171462846404532E-2</v>
      </c>
      <c r="G330" s="9"/>
      <c r="H330" s="10">
        <f t="shared" si="80"/>
        <v>-160.61000000000058</v>
      </c>
      <c r="I330" s="8">
        <f>IFERROR(H330/H444, "NA")</f>
        <v>-1.9502595772304574E-3</v>
      </c>
      <c r="J330" s="9"/>
      <c r="K330" s="7">
        <v>6042.42</v>
      </c>
      <c r="L330" s="8">
        <f>IFERROR(K330/K444, "NA")</f>
        <v>1.7130514503989842E-2</v>
      </c>
      <c r="M330" s="9"/>
      <c r="N330" s="10">
        <f t="shared" si="81"/>
        <v>-183.19000000000051</v>
      </c>
      <c r="O330" s="8">
        <f>IFERROR(N330/N444, "NA")</f>
        <v>-2.211719202090822E-3</v>
      </c>
      <c r="P330" s="9"/>
      <c r="Q330" s="7">
        <v>6225.6100000000006</v>
      </c>
      <c r="R330" s="8">
        <f>IFERROR(Q330/Q444, "NA")</f>
        <v>1.4293496467257912E-2</v>
      </c>
      <c r="S330" s="9"/>
      <c r="T330" s="7">
        <v>6065</v>
      </c>
      <c r="U330" s="8">
        <f>IFERROR(T330/T444, "NA")</f>
        <v>1.7171462846404532E-2</v>
      </c>
      <c r="V330" s="9"/>
      <c r="W330" s="10">
        <f t="shared" si="82"/>
        <v>-160.61000000000058</v>
      </c>
      <c r="X330" s="8">
        <f>IFERROR(W330/W444, "NA")</f>
        <v>-1.9502595772304574E-3</v>
      </c>
      <c r="Y330" s="9"/>
      <c r="Z330" s="7">
        <v>6042.42</v>
      </c>
      <c r="AA330" s="8">
        <f>IFERROR(Z330/Z444, "NA")</f>
        <v>1.7130514503989842E-2</v>
      </c>
      <c r="AB330" s="9"/>
      <c r="AC330" s="10">
        <f t="shared" si="83"/>
        <v>-183.19000000000051</v>
      </c>
      <c r="AD330" s="8">
        <f>IFERROR(AC330/AC444, "NA")</f>
        <v>-2.211719202090822E-3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4.4807155773491335E-4</v>
      </c>
      <c r="D332" s="9"/>
      <c r="E332" s="7">
        <v>195</v>
      </c>
      <c r="F332" s="8">
        <f>IFERROR(E332/E444, "NA")</f>
        <v>5.5209155070880202E-4</v>
      </c>
      <c r="G332" s="9"/>
      <c r="H332" s="10">
        <f t="shared" si="80"/>
        <v>-0.15999999999999659</v>
      </c>
      <c r="I332" s="8">
        <f>IFERROR(H332/H444, "NA")</f>
        <v>-1.9428524522561821E-6</v>
      </c>
      <c r="J332" s="9"/>
      <c r="K332" s="7">
        <v>195.16</v>
      </c>
      <c r="L332" s="8">
        <f>IFERROR(K332/K444, "NA")</f>
        <v>5.5328679744186227E-4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195.16</v>
      </c>
      <c r="R332" s="8">
        <f>IFERROR(Q332/Q444, "NA")</f>
        <v>4.4807155773491335E-4</v>
      </c>
      <c r="S332" s="9"/>
      <c r="T332" s="7">
        <v>195</v>
      </c>
      <c r="U332" s="8">
        <f>IFERROR(T332/T444, "NA")</f>
        <v>5.5209155070880202E-4</v>
      </c>
      <c r="V332" s="9"/>
      <c r="W332" s="10">
        <f t="shared" si="82"/>
        <v>-0.15999999999999659</v>
      </c>
      <c r="X332" s="8">
        <f>IFERROR(W332/W444, "NA")</f>
        <v>-1.9428524522561821E-6</v>
      </c>
      <c r="Y332" s="9"/>
      <c r="Z332" s="7">
        <v>195.16</v>
      </c>
      <c r="AA332" s="8">
        <f>IFERROR(Z332/Z444, "NA")</f>
        <v>5.5328679744186227E-4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5523.6</v>
      </c>
      <c r="C333" s="8">
        <f>IFERROR(B333/B444, "NA")</f>
        <v>1.2681738349582739E-2</v>
      </c>
      <c r="D333" s="9"/>
      <c r="E333" s="7">
        <v>5155</v>
      </c>
      <c r="F333" s="8">
        <f>IFERROR(E333/E444, "NA")</f>
        <v>1.4595035609763458E-2</v>
      </c>
      <c r="G333" s="9"/>
      <c r="H333" s="10">
        <f t="shared" si="80"/>
        <v>-368.60000000000036</v>
      </c>
      <c r="I333" s="8">
        <f>IFERROR(H333/H444, "NA")</f>
        <v>-4.4758463368852796E-3</v>
      </c>
      <c r="J333" s="9"/>
      <c r="K333" s="7">
        <v>5480.7000000000007</v>
      </c>
      <c r="L333" s="8">
        <f>IFERROR(K333/K444, "NA")</f>
        <v>1.5538014709672142E-2</v>
      </c>
      <c r="M333" s="9"/>
      <c r="N333" s="10">
        <f t="shared" si="81"/>
        <v>-42.899999999999636</v>
      </c>
      <c r="O333" s="8">
        <f>IFERROR(N333/N444, "NA")</f>
        <v>-5.1794723385389593E-4</v>
      </c>
      <c r="P333" s="9"/>
      <c r="Q333" s="7">
        <v>5523.6</v>
      </c>
      <c r="R333" s="8">
        <f>IFERROR(Q333/Q444, "NA")</f>
        <v>1.2681738349582739E-2</v>
      </c>
      <c r="S333" s="9"/>
      <c r="T333" s="7">
        <v>5155</v>
      </c>
      <c r="U333" s="8">
        <f>IFERROR(T333/T444, "NA")</f>
        <v>1.4595035609763458E-2</v>
      </c>
      <c r="V333" s="9"/>
      <c r="W333" s="10">
        <f t="shared" si="82"/>
        <v>-368.60000000000036</v>
      </c>
      <c r="X333" s="8">
        <f>IFERROR(W333/W444, "NA")</f>
        <v>-4.4758463368852796E-3</v>
      </c>
      <c r="Y333" s="9"/>
      <c r="Z333" s="7">
        <v>5480.7000000000007</v>
      </c>
      <c r="AA333" s="8">
        <f>IFERROR(Z333/Z444, "NA")</f>
        <v>1.5538014709672142E-2</v>
      </c>
      <c r="AB333" s="9"/>
      <c r="AC333" s="10">
        <f t="shared" si="83"/>
        <v>-42.899999999999636</v>
      </c>
      <c r="AD333" s="8">
        <f>IFERROR(AC333/AC444, "NA")</f>
        <v>-5.1794723385389593E-4</v>
      </c>
    </row>
    <row r="334" spans="1:30" ht="16.5" customHeight="1" x14ac:dyDescent="0.45">
      <c r="A334" s="6" t="s">
        <v>305</v>
      </c>
      <c r="B334" s="7">
        <v>-4067.87</v>
      </c>
      <c r="C334" s="8">
        <f>IFERROR(B334/B444, "NA")</f>
        <v>-9.3395001412334595E-3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4067.87</v>
      </c>
      <c r="I334" s="8">
        <f>IFERROR(H334/H444, "NA")</f>
        <v>4.9395445030997021E-2</v>
      </c>
      <c r="J334" s="9"/>
      <c r="K334" s="7">
        <v>-4018.39</v>
      </c>
      <c r="L334" s="8">
        <f>IFERROR(K334/K444, "NA")</f>
        <v>-1.1392304437243313E-2</v>
      </c>
      <c r="M334" s="9"/>
      <c r="N334" s="10">
        <f t="shared" si="81"/>
        <v>49.480000000000018</v>
      </c>
      <c r="O334" s="8">
        <f>IFERROR(N334/N444, "NA")</f>
        <v>5.9738995643568752E-4</v>
      </c>
      <c r="P334" s="9"/>
      <c r="Q334" s="7">
        <v>-4067.87</v>
      </c>
      <c r="R334" s="8">
        <f>IFERROR(Q334/Q444, "NA")</f>
        <v>-9.3395001412334595E-3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4067.87</v>
      </c>
      <c r="X334" s="8">
        <f>IFERROR(W334/W444, "NA")</f>
        <v>4.9395445030997021E-2</v>
      </c>
      <c r="Y334" s="9"/>
      <c r="Z334" s="7">
        <v>-4018.39</v>
      </c>
      <c r="AA334" s="8">
        <f>IFERROR(Z334/Z444, "NA")</f>
        <v>-1.1392304437243313E-2</v>
      </c>
      <c r="AB334" s="9"/>
      <c r="AC334" s="10">
        <f t="shared" si="83"/>
        <v>49.480000000000018</v>
      </c>
      <c r="AD334" s="8">
        <f>IFERROR(AC334/AC444, "NA")</f>
        <v>5.9738995643568752E-4</v>
      </c>
    </row>
    <row r="335" spans="1:30" ht="16.5" customHeight="1" x14ac:dyDescent="0.45">
      <c r="A335" s="6" t="s">
        <v>306</v>
      </c>
      <c r="B335" s="7">
        <v>1654.81</v>
      </c>
      <c r="C335" s="8">
        <f>IFERROR(B335/B444, "NA")</f>
        <v>3.7993097686785811E-3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-1654.81</v>
      </c>
      <c r="I335" s="8">
        <f>IFERROR(H335/H444, "NA")</f>
        <v>-2.0094072915738257E-2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-1654.81</v>
      </c>
      <c r="O335" s="8">
        <f>IFERROR(N335/N444, "NA")</f>
        <v>-1.9979120327593771E-2</v>
      </c>
      <c r="P335" s="9"/>
      <c r="Q335" s="7">
        <v>1654.81</v>
      </c>
      <c r="R335" s="8">
        <f>IFERROR(Q335/Q444, "NA")</f>
        <v>3.7993097686785811E-3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-1654.81</v>
      </c>
      <c r="X335" s="8">
        <f>IFERROR(W335/W444, "NA")</f>
        <v>-2.0094072915738257E-2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-1654.81</v>
      </c>
      <c r="AD335" s="8">
        <f>IFERROR(AC335/AC444, "NA")</f>
        <v>-1.9979120327593771E-2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15431.48</v>
      </c>
      <c r="F337" s="8">
        <f>IFERROR(E337/E444, "NA")</f>
        <v>4.3690203707342889E-2</v>
      </c>
      <c r="G337" s="9"/>
      <c r="H337" s="10">
        <f t="shared" ref="H337:H344" si="84">IFERROR(-(B337-E337), "NA")</f>
        <v>15431.48</v>
      </c>
      <c r="I337" s="8">
        <f>IFERROR(H337/H444, "NA")</f>
        <v>0.18738180474964292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15431.48</v>
      </c>
      <c r="U337" s="8">
        <f>IFERROR(T337/T444, "NA")</f>
        <v>4.3690203707342889E-2</v>
      </c>
      <c r="V337" s="9"/>
      <c r="W337" s="10">
        <f t="shared" ref="W337:W344" si="86">IFERROR(-(Q337-T337), "NA")</f>
        <v>15431.48</v>
      </c>
      <c r="X337" s="8">
        <f>IFERROR(W337/W444, "NA")</f>
        <v>0.18738180474964292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10556.45</v>
      </c>
      <c r="C338" s="8">
        <f>IFERROR(B338/B444, "NA")</f>
        <v>2.4236754435595032E-2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-10556.45</v>
      </c>
      <c r="I338" s="8">
        <f>IFERROR(H338/H444, "NA")</f>
        <v>-0.12818515481012632</v>
      </c>
      <c r="J338" s="9"/>
      <c r="K338" s="7">
        <v>7667.57</v>
      </c>
      <c r="L338" s="8">
        <f>IFERROR(K338/K444, "NA")</f>
        <v>2.1737883016300984E-2</v>
      </c>
      <c r="M338" s="9"/>
      <c r="N338" s="10">
        <f t="shared" si="85"/>
        <v>-2888.880000000001</v>
      </c>
      <c r="O338" s="8">
        <f>IFERROR(N338/N444, "NA")</f>
        <v>-3.4878494287549092E-2</v>
      </c>
      <c r="P338" s="9"/>
      <c r="Q338" s="7">
        <v>10556.45</v>
      </c>
      <c r="R338" s="8">
        <f>IFERROR(Q338/Q444, "NA")</f>
        <v>2.4236754435595032E-2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-10556.45</v>
      </c>
      <c r="X338" s="8">
        <f>IFERROR(W338/W444, "NA")</f>
        <v>-0.12818515481012632</v>
      </c>
      <c r="Y338" s="9"/>
      <c r="Z338" s="7">
        <v>7667.57</v>
      </c>
      <c r="AA338" s="8">
        <f>IFERROR(Z338/Z444, "NA")</f>
        <v>2.1737883016300984E-2</v>
      </c>
      <c r="AB338" s="9"/>
      <c r="AC338" s="10">
        <f t="shared" si="87"/>
        <v>-2888.880000000001</v>
      </c>
      <c r="AD338" s="8">
        <f>IFERROR(AC338/AC444, "NA")</f>
        <v>-3.4878494287549092E-2</v>
      </c>
    </row>
    <row r="339" spans="1:30" ht="16.5" customHeight="1" x14ac:dyDescent="0.45">
      <c r="A339" s="12" t="s">
        <v>309</v>
      </c>
      <c r="B339" s="7">
        <v>2922.23</v>
      </c>
      <c r="C339" s="8">
        <f>IFERROR(B339/B444, "NA")</f>
        <v>6.7092034646428359E-3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-2922.23</v>
      </c>
      <c r="I339" s="8">
        <f>IFERROR(H339/H444, "NA")</f>
        <v>-3.5484135759729397E-2</v>
      </c>
      <c r="J339" s="9"/>
      <c r="K339" s="7">
        <v>2638.2200000000003</v>
      </c>
      <c r="L339" s="8">
        <f>IFERROR(K339/K444, "NA")</f>
        <v>7.4794645149983095E-3</v>
      </c>
      <c r="M339" s="9"/>
      <c r="N339" s="10">
        <f t="shared" si="85"/>
        <v>-284.00999999999976</v>
      </c>
      <c r="O339" s="8">
        <f>IFERROR(N339/N444, "NA")</f>
        <v>-3.4289555684579509E-3</v>
      </c>
      <c r="P339" s="9"/>
      <c r="Q339" s="7">
        <v>2922.23</v>
      </c>
      <c r="R339" s="8">
        <f>IFERROR(Q339/Q444, "NA")</f>
        <v>6.7092034646428359E-3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-2922.23</v>
      </c>
      <c r="X339" s="8">
        <f>IFERROR(W339/W444, "NA")</f>
        <v>-3.5484135759729397E-2</v>
      </c>
      <c r="Y339" s="9"/>
      <c r="Z339" s="7">
        <v>2638.2200000000003</v>
      </c>
      <c r="AA339" s="8">
        <f>IFERROR(Z339/Z444, "NA")</f>
        <v>7.4794645149983095E-3</v>
      </c>
      <c r="AB339" s="9"/>
      <c r="AC339" s="10">
        <f t="shared" si="87"/>
        <v>-284.00999999999976</v>
      </c>
      <c r="AD339" s="8">
        <f>IFERROR(AC339/AC444, "NA")</f>
        <v>-3.4289555684579509E-3</v>
      </c>
    </row>
    <row r="340" spans="1:30" ht="16.5" customHeight="1" x14ac:dyDescent="0.45">
      <c r="A340" s="12" t="s">
        <v>310</v>
      </c>
      <c r="B340" s="7">
        <v>2909.56</v>
      </c>
      <c r="C340" s="8">
        <f>IFERROR(B340/B444, "NA")</f>
        <v>6.6801141705431152E-3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-2909.56</v>
      </c>
      <c r="I340" s="8">
        <f>IFERROR(H340/H444, "NA")</f>
        <v>-3.5330286131166358E-2</v>
      </c>
      <c r="J340" s="9"/>
      <c r="K340" s="7">
        <v>2268.5100000000002</v>
      </c>
      <c r="L340" s="8">
        <f>IFERROR(K340/K444, "NA")</f>
        <v>6.4313211358108177E-3</v>
      </c>
      <c r="M340" s="9"/>
      <c r="N340" s="10">
        <f t="shared" si="85"/>
        <v>-641.04999999999973</v>
      </c>
      <c r="O340" s="8">
        <f>IFERROR(N340/N444, "NA")</f>
        <v>-7.739628770676985E-3</v>
      </c>
      <c r="P340" s="9"/>
      <c r="Q340" s="7">
        <v>2909.56</v>
      </c>
      <c r="R340" s="8">
        <f>IFERROR(Q340/Q444, "NA")</f>
        <v>6.6801141705431152E-3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-2909.56</v>
      </c>
      <c r="X340" s="8">
        <f>IFERROR(W340/W444, "NA")</f>
        <v>-3.5330286131166358E-2</v>
      </c>
      <c r="Y340" s="9"/>
      <c r="Z340" s="7">
        <v>2268.5100000000002</v>
      </c>
      <c r="AA340" s="8">
        <f>IFERROR(Z340/Z444, "NA")</f>
        <v>6.4313211358108177E-3</v>
      </c>
      <c r="AB340" s="9"/>
      <c r="AC340" s="10">
        <f t="shared" si="87"/>
        <v>-641.04999999999973</v>
      </c>
      <c r="AD340" s="8">
        <f>IFERROR(AC340/AC444, "NA")</f>
        <v>-7.739628770676985E-3</v>
      </c>
    </row>
    <row r="341" spans="1:30" ht="16.5" customHeight="1" x14ac:dyDescent="0.45">
      <c r="A341" s="12" t="s">
        <v>311</v>
      </c>
      <c r="B341" s="7">
        <v>1902.8200000000002</v>
      </c>
      <c r="C341" s="8">
        <f>IFERROR(B341/B444, "NA")</f>
        <v>4.3687206471056976E-3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-1902.8200000000002</v>
      </c>
      <c r="I341" s="8">
        <f>IFERROR(H341/H444, "NA")</f>
        <v>-2.310561564501367E-2</v>
      </c>
      <c r="J341" s="9"/>
      <c r="K341" s="7">
        <v>1748.81</v>
      </c>
      <c r="L341" s="8">
        <f>IFERROR(K341/K444, "NA")</f>
        <v>4.957949806488538E-3</v>
      </c>
      <c r="M341" s="9"/>
      <c r="N341" s="10">
        <f t="shared" si="85"/>
        <v>-154.01000000000022</v>
      </c>
      <c r="O341" s="8">
        <f>IFERROR(N341/N444, "NA")</f>
        <v>-1.8594184961734101E-3</v>
      </c>
      <c r="P341" s="9"/>
      <c r="Q341" s="7">
        <v>1902.8200000000002</v>
      </c>
      <c r="R341" s="8">
        <f>IFERROR(Q341/Q444, "NA")</f>
        <v>4.3687206471056976E-3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-1902.8200000000002</v>
      </c>
      <c r="X341" s="8">
        <f>IFERROR(W341/W444, "NA")</f>
        <v>-2.310561564501367E-2</v>
      </c>
      <c r="Y341" s="9"/>
      <c r="Z341" s="7">
        <v>1748.81</v>
      </c>
      <c r="AA341" s="8">
        <f>IFERROR(Z341/Z444, "NA")</f>
        <v>4.957949806488538E-3</v>
      </c>
      <c r="AB341" s="9"/>
      <c r="AC341" s="10">
        <f t="shared" si="87"/>
        <v>-154.01000000000022</v>
      </c>
      <c r="AD341" s="8">
        <f>IFERROR(AC341/AC444, "NA")</f>
        <v>-1.8594184961734101E-3</v>
      </c>
    </row>
    <row r="342" spans="1:30" ht="16.5" customHeight="1" x14ac:dyDescent="0.45">
      <c r="A342" s="13" t="s">
        <v>312</v>
      </c>
      <c r="B342" s="14">
        <f>IFERROR(B337+B338+B339+B340+B341, "NA")</f>
        <v>18291.060000000001</v>
      </c>
      <c r="C342" s="15">
        <f>IFERROR(B342/B444, "NA")</f>
        <v>4.1994792717886677E-2</v>
      </c>
      <c r="D342" s="2"/>
      <c r="E342" s="14">
        <f>IFERROR(E337+E338+E339+E340+E341, "NA")</f>
        <v>15431.48</v>
      </c>
      <c r="F342" s="15">
        <f>IFERROR(E342/E444, "NA")</f>
        <v>4.3690203707342889E-2</v>
      </c>
      <c r="G342" s="2"/>
      <c r="H342" s="14">
        <f t="shared" si="84"/>
        <v>-2859.5800000000017</v>
      </c>
      <c r="I342" s="15">
        <f>IFERROR(H342/H444, "NA")</f>
        <v>-3.4723387596392846E-2</v>
      </c>
      <c r="J342" s="2"/>
      <c r="K342" s="14">
        <f>IFERROR(K337+K338+K339+K340+K341, "NA")</f>
        <v>14323.11</v>
      </c>
      <c r="L342" s="15">
        <f>IFERROR(K342/K444, "NA")</f>
        <v>4.060661847359865E-2</v>
      </c>
      <c r="M342" s="2"/>
      <c r="N342" s="14">
        <f t="shared" si="85"/>
        <v>-3967.9500000000007</v>
      </c>
      <c r="O342" s="15">
        <f>IFERROR(N342/N444, "NA")</f>
        <v>-4.7906497122857439E-2</v>
      </c>
      <c r="P342" s="2"/>
      <c r="Q342" s="14">
        <f>IFERROR(Q337+Q338+Q339+Q340+Q341, "NA")</f>
        <v>18291.060000000001</v>
      </c>
      <c r="R342" s="15">
        <f>IFERROR(Q342/Q444, "NA")</f>
        <v>4.1994792717886677E-2</v>
      </c>
      <c r="S342" s="2"/>
      <c r="T342" s="14">
        <f>IFERROR(T337+T338+T339+T340+T341, "NA")</f>
        <v>15431.48</v>
      </c>
      <c r="U342" s="15">
        <f>IFERROR(T342/T444, "NA")</f>
        <v>4.3690203707342889E-2</v>
      </c>
      <c r="V342" s="2"/>
      <c r="W342" s="14">
        <f t="shared" si="86"/>
        <v>-2859.5800000000017</v>
      </c>
      <c r="X342" s="15">
        <f>IFERROR(W342/W444, "NA")</f>
        <v>-3.4723387596392846E-2</v>
      </c>
      <c r="Y342" s="2"/>
      <c r="Z342" s="14">
        <f>IFERROR(Z337+Z338+Z339+Z340+Z341, "NA")</f>
        <v>14323.11</v>
      </c>
      <c r="AA342" s="15">
        <f>IFERROR(Z342/Z444, "NA")</f>
        <v>4.060661847359865E-2</v>
      </c>
      <c r="AB342" s="2"/>
      <c r="AC342" s="14">
        <f t="shared" si="87"/>
        <v>-3967.9500000000007</v>
      </c>
      <c r="AD342" s="15">
        <f>IFERROR(AC342/AC444, "NA")</f>
        <v>-4.7906497122857439E-2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80651.95</v>
      </c>
      <c r="C343" s="15">
        <f>IFERROR(B343/B444, "NA")</f>
        <v>0.18517034674553362</v>
      </c>
      <c r="D343" s="2"/>
      <c r="E343" s="14">
        <f>IFERROR(E328+E329+E330+E331+E332+E333+E334+E335+E337+E338+E339+E340+E341, "NA")</f>
        <v>75607.39</v>
      </c>
      <c r="F343" s="15">
        <f>IFERROR(E343/E444, "NA")</f>
        <v>0.21406257020587266</v>
      </c>
      <c r="G343" s="2"/>
      <c r="H343" s="14">
        <f t="shared" si="84"/>
        <v>-5044.5599999999977</v>
      </c>
      <c r="I343" s="15">
        <f>IFERROR(H343/H444, "NA")</f>
        <v>-6.1255223540960316E-2</v>
      </c>
      <c r="J343" s="2"/>
      <c r="K343" s="14">
        <f>IFERROR(K328+K329+K330+K331+K332+K333+K334+K335+K337+K338+K339+K340+K341, "NA")</f>
        <v>74209.869999999981</v>
      </c>
      <c r="L343" s="15">
        <f>IFERROR(K343/K444, "NA")</f>
        <v>0.21038809853902912</v>
      </c>
      <c r="M343" s="2"/>
      <c r="N343" s="14">
        <f t="shared" si="85"/>
        <v>-6442.0800000000163</v>
      </c>
      <c r="O343" s="15">
        <f>IFERROR(N343/N444, "NA")</f>
        <v>-7.7777564481714273E-2</v>
      </c>
      <c r="P343" s="2"/>
      <c r="Q343" s="14">
        <f>IFERROR(Q328+Q329+Q330+Q331+Q332+Q333+Q334+Q335+Q337+Q338+Q339+Q340+Q341, "NA")</f>
        <v>80651.95</v>
      </c>
      <c r="R343" s="15">
        <f>IFERROR(Q343/Q444, "NA")</f>
        <v>0.18517034674553362</v>
      </c>
      <c r="S343" s="2"/>
      <c r="T343" s="14">
        <f>IFERROR(T328+T329+T330+T331+T332+T333+T334+T335+T337+T338+T339+T340+T341, "NA")</f>
        <v>75607.39</v>
      </c>
      <c r="U343" s="15">
        <f>IFERROR(T343/T444, "NA")</f>
        <v>0.21406257020587266</v>
      </c>
      <c r="V343" s="2"/>
      <c r="W343" s="14">
        <f t="shared" si="86"/>
        <v>-5044.5599999999977</v>
      </c>
      <c r="X343" s="15">
        <f>IFERROR(W343/W444, "NA")</f>
        <v>-6.1255223540960316E-2</v>
      </c>
      <c r="Y343" s="2"/>
      <c r="Z343" s="14">
        <f>IFERROR(Z328+Z329+Z330+Z331+Z332+Z333+Z334+Z335+Z337+Z338+Z339+Z340+Z341, "NA")</f>
        <v>74209.869999999981</v>
      </c>
      <c r="AA343" s="15">
        <f>IFERROR(Z343/Z444, "NA")</f>
        <v>0.21038809853902912</v>
      </c>
      <c r="AB343" s="2"/>
      <c r="AC343" s="14">
        <f t="shared" si="87"/>
        <v>-6442.0800000000163</v>
      </c>
      <c r="AD343" s="15">
        <f>IFERROR(AC343/AC444, "NA")</f>
        <v>-7.7777564481714273E-2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80651.95</v>
      </c>
      <c r="C344" s="15">
        <f>IFERROR(B344/B444, "NA")</f>
        <v>0.18517034674553362</v>
      </c>
      <c r="D344" s="2"/>
      <c r="E344" s="14">
        <f>IFERROR(E328+E329+E330+E331+E332+E333+E334+E335+E337+E338+E339+E340+E341, "NA")</f>
        <v>75607.39</v>
      </c>
      <c r="F344" s="15">
        <f>IFERROR(E344/E444, "NA")</f>
        <v>0.21406257020587266</v>
      </c>
      <c r="G344" s="2"/>
      <c r="H344" s="14">
        <f t="shared" si="84"/>
        <v>-5044.5599999999977</v>
      </c>
      <c r="I344" s="15">
        <f>IFERROR(H344/H444, "NA")</f>
        <v>-6.1255223540960316E-2</v>
      </c>
      <c r="J344" s="2"/>
      <c r="K344" s="14">
        <f>IFERROR(K328+K329+K330+K331+K332+K333+K334+K335+K337+K338+K339+K340+K341, "NA")</f>
        <v>74209.869999999981</v>
      </c>
      <c r="L344" s="15">
        <f>IFERROR(K344/K444, "NA")</f>
        <v>0.21038809853902912</v>
      </c>
      <c r="M344" s="2"/>
      <c r="N344" s="14">
        <f t="shared" si="85"/>
        <v>-6442.0800000000163</v>
      </c>
      <c r="O344" s="15">
        <f>IFERROR(N344/N444, "NA")</f>
        <v>-7.7777564481714273E-2</v>
      </c>
      <c r="P344" s="2"/>
      <c r="Q344" s="14">
        <f>IFERROR(Q328+Q329+Q330+Q331+Q332+Q333+Q334+Q335+Q337+Q338+Q339+Q340+Q341, "NA")</f>
        <v>80651.95</v>
      </c>
      <c r="R344" s="15">
        <f>IFERROR(Q344/Q444, "NA")</f>
        <v>0.18517034674553362</v>
      </c>
      <c r="S344" s="2"/>
      <c r="T344" s="14">
        <f>IFERROR(T328+T329+T330+T331+T332+T333+T334+T335+T337+T338+T339+T340+T341, "NA")</f>
        <v>75607.39</v>
      </c>
      <c r="U344" s="15">
        <f>IFERROR(T344/T444, "NA")</f>
        <v>0.21406257020587266</v>
      </c>
      <c r="V344" s="2"/>
      <c r="W344" s="14">
        <f t="shared" si="86"/>
        <v>-5044.5599999999977</v>
      </c>
      <c r="X344" s="15">
        <f>IFERROR(W344/W444, "NA")</f>
        <v>-6.1255223540960316E-2</v>
      </c>
      <c r="Y344" s="2"/>
      <c r="Z344" s="14">
        <f>IFERROR(Z328+Z329+Z330+Z331+Z332+Z333+Z334+Z335+Z337+Z338+Z339+Z340+Z341, "NA")</f>
        <v>74209.869999999981</v>
      </c>
      <c r="AA344" s="15">
        <f>IFERROR(Z344/Z444, "NA")</f>
        <v>0.21038809853902912</v>
      </c>
      <c r="AB344" s="2"/>
      <c r="AC344" s="14">
        <f t="shared" si="87"/>
        <v>-6442.0800000000163</v>
      </c>
      <c r="AD344" s="15">
        <f>IFERROR(AC344/AC444, "NA")</f>
        <v>-7.7777564481714273E-2</v>
      </c>
    </row>
    <row r="345" spans="1:30" ht="16.5" customHeight="1" x14ac:dyDescent="0.45">
      <c r="A345" s="22" t="s">
        <v>315</v>
      </c>
      <c r="B345" s="23">
        <f>IFERROR(B198-B325-B344, "NA")</f>
        <v>-24952.040000000023</v>
      </c>
      <c r="C345" s="24">
        <f>IFERROR(B345/B444, "NA")</f>
        <v>-5.7287863452879062E-2</v>
      </c>
      <c r="D345" s="25"/>
      <c r="E345" s="23">
        <f>IFERROR(E198-E325-E344, "NA")</f>
        <v>-33787.099999999962</v>
      </c>
      <c r="F345" s="24">
        <f>IFERROR(E345/E444, "NA")</f>
        <v>-9.5659345810017143E-2</v>
      </c>
      <c r="G345" s="25"/>
      <c r="H345" s="23">
        <f>IFERROR(B345-E345, "NA")</f>
        <v>8835.0599999999395</v>
      </c>
      <c r="I345" s="24">
        <f>IFERROR(H345/H444, "NA")</f>
        <v>0.1072826124176922</v>
      </c>
      <c r="J345" s="25"/>
      <c r="K345" s="23">
        <f>IFERROR(K198-K325-K344, "NA")</f>
        <v>-28817.519999999931</v>
      </c>
      <c r="L345" s="24">
        <f>IFERROR(K345/K444, "NA")</f>
        <v>-8.1698879642430708E-2</v>
      </c>
      <c r="M345" s="25"/>
      <c r="N345" s="23">
        <f>IFERROR(B345-K345, "NA")</f>
        <v>3865.4799999999086</v>
      </c>
      <c r="O345" s="24">
        <f>IFERROR(N345/N444, "NA")</f>
        <v>4.6669339709033267E-2</v>
      </c>
      <c r="P345" s="25"/>
      <c r="Q345" s="23">
        <f>IFERROR(Q198-Q325-Q344, "NA")</f>
        <v>-24952.040000000023</v>
      </c>
      <c r="R345" s="24">
        <f>IFERROR(Q345/Q444, "NA")</f>
        <v>-5.7287863452879062E-2</v>
      </c>
      <c r="S345" s="25"/>
      <c r="T345" s="23">
        <f>IFERROR(T198-T325-T344, "NA")</f>
        <v>-33787.099999999962</v>
      </c>
      <c r="U345" s="24">
        <f>IFERROR(T345/T444, "NA")</f>
        <v>-9.5659345810017143E-2</v>
      </c>
      <c r="V345" s="25"/>
      <c r="W345" s="23">
        <f>IFERROR(Q345-T345, "NA")</f>
        <v>8835.0599999999395</v>
      </c>
      <c r="X345" s="24">
        <f>IFERROR(W345/W444, "NA")</f>
        <v>0.1072826124176922</v>
      </c>
      <c r="Y345" s="25"/>
      <c r="Z345" s="23">
        <f>IFERROR(Z198-Z325-Z344, "NA")</f>
        <v>-28817.519999999931</v>
      </c>
      <c r="AA345" s="24">
        <f>IFERROR(Z345/Z444, "NA")</f>
        <v>-8.1698879642430708E-2</v>
      </c>
      <c r="AB345" s="25"/>
      <c r="AC345" s="23">
        <f>IFERROR(Q345-Z345, "NA")</f>
        <v>3865.4799999999086</v>
      </c>
      <c r="AD345" s="24">
        <f>IFERROR(AC345/AC444, "NA")</f>
        <v>4.6669339709033267E-2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60610.54</v>
      </c>
      <c r="C350" s="8">
        <f>IFERROR(B350/B444, "NA")</f>
        <v>0.13915689215492044</v>
      </c>
      <c r="D350" s="9"/>
      <c r="E350" s="7">
        <v>68653</v>
      </c>
      <c r="F350" s="8">
        <f>IFERROR(E350/E444, "NA")</f>
        <v>0.19437303195287889</v>
      </c>
      <c r="G350" s="9"/>
      <c r="H350" s="10">
        <f t="shared" si="88"/>
        <v>8042.4599999999991</v>
      </c>
      <c r="I350" s="8">
        <f>IFERROR(H350/H444, "NA")</f>
        <v>9.7658207082328655E-2</v>
      </c>
      <c r="J350" s="9"/>
      <c r="K350" s="7">
        <v>52835.040000000001</v>
      </c>
      <c r="L350" s="8">
        <f>IFERROR(K350/K444, "NA")</f>
        <v>0.14978955766710747</v>
      </c>
      <c r="M350" s="9"/>
      <c r="N350" s="10">
        <f t="shared" si="89"/>
        <v>-7775.5</v>
      </c>
      <c r="O350" s="8">
        <f>IFERROR(N350/N444, "NA")</f>
        <v>-9.3876426965757612E-2</v>
      </c>
      <c r="P350" s="9"/>
      <c r="Q350" s="7">
        <v>60610.54</v>
      </c>
      <c r="R350" s="8">
        <f>IFERROR(Q350/Q444, "NA")</f>
        <v>0.13915689215492044</v>
      </c>
      <c r="S350" s="9"/>
      <c r="T350" s="7">
        <v>68653</v>
      </c>
      <c r="U350" s="8">
        <f>IFERROR(T350/T444, "NA")</f>
        <v>0.19437303195287889</v>
      </c>
      <c r="V350" s="9"/>
      <c r="W350" s="10">
        <f t="shared" si="90"/>
        <v>8042.4599999999991</v>
      </c>
      <c r="X350" s="8">
        <f>IFERROR(W350/W444, "NA")</f>
        <v>9.7658207082328655E-2</v>
      </c>
      <c r="Y350" s="9"/>
      <c r="Z350" s="7">
        <v>52835.040000000001</v>
      </c>
      <c r="AA350" s="8">
        <f>IFERROR(Z350/Z444, "NA")</f>
        <v>0.14978955766710747</v>
      </c>
      <c r="AB350" s="9"/>
      <c r="AC350" s="10">
        <f t="shared" si="91"/>
        <v>-7775.5</v>
      </c>
      <c r="AD350" s="8">
        <f>IFERROR(AC350/AC444, "NA")</f>
        <v>-9.3876426965757612E-2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4615.3999999999996</v>
      </c>
      <c r="L352" s="8">
        <f>IFERROR(K352/K444, "NA")</f>
        <v>1.3084852863871546E-2</v>
      </c>
      <c r="M352" s="9"/>
      <c r="N352" s="10">
        <f t="shared" si="89"/>
        <v>4615.3999999999996</v>
      </c>
      <c r="O352" s="8">
        <f>IFERROR(N352/N444, "NA")</f>
        <v>5.5723395410939187E-2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4615.3999999999996</v>
      </c>
      <c r="AA352" s="8">
        <f>IFERROR(Z352/Z444, "NA")</f>
        <v>1.3084852863871546E-2</v>
      </c>
      <c r="AB352" s="9"/>
      <c r="AC352" s="10">
        <f t="shared" si="91"/>
        <v>4615.3999999999996</v>
      </c>
      <c r="AD352" s="8">
        <f>IFERROR(AC352/AC444, "NA")</f>
        <v>5.5723395410939187E-2</v>
      </c>
    </row>
    <row r="353" spans="1:30" ht="16.5" customHeight="1" x14ac:dyDescent="0.45">
      <c r="A353" s="6" t="s">
        <v>322</v>
      </c>
      <c r="B353" s="7">
        <v>4192.95</v>
      </c>
      <c r="C353" s="8">
        <f>IFERROR(B353/B444, "NA")</f>
        <v>9.6266736934033856E-3</v>
      </c>
      <c r="D353" s="9"/>
      <c r="E353" s="7">
        <v>3038.59</v>
      </c>
      <c r="F353" s="8">
        <f>IFERROR(E353/E444, "NA")</f>
        <v>8.6029736670167108E-3</v>
      </c>
      <c r="G353" s="9"/>
      <c r="H353" s="10">
        <f t="shared" si="88"/>
        <v>-1154.3599999999997</v>
      </c>
      <c r="I353" s="8">
        <f>IFERROR(H353/H444, "NA")</f>
        <v>-1.4017194729915585E-2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-4192.95</v>
      </c>
      <c r="O353" s="8">
        <f>IFERROR(N353/N444, "NA")</f>
        <v>-5.0623003594119143E-2</v>
      </c>
      <c r="P353" s="9"/>
      <c r="Q353" s="7">
        <v>4192.95</v>
      </c>
      <c r="R353" s="8">
        <f>IFERROR(Q353/Q444, "NA")</f>
        <v>9.6266736934033856E-3</v>
      </c>
      <c r="S353" s="9"/>
      <c r="T353" s="7">
        <v>3038.59</v>
      </c>
      <c r="U353" s="8">
        <f>IFERROR(T353/T444, "NA")</f>
        <v>8.6029736670167108E-3</v>
      </c>
      <c r="V353" s="9"/>
      <c r="W353" s="10">
        <f t="shared" si="90"/>
        <v>-1154.3599999999997</v>
      </c>
      <c r="X353" s="8">
        <f>IFERROR(W353/W444, "NA")</f>
        <v>-1.4017194729915585E-2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-4192.95</v>
      </c>
      <c r="AD353" s="8">
        <f>IFERROR(AC353/AC444, "NA")</f>
        <v>-5.0623003594119143E-2</v>
      </c>
    </row>
    <row r="354" spans="1:30" ht="16.5" customHeight="1" x14ac:dyDescent="0.45">
      <c r="A354" s="6" t="s">
        <v>323</v>
      </c>
      <c r="B354" s="7">
        <v>6790.24</v>
      </c>
      <c r="C354" s="8">
        <f>IFERROR(B354/B444, "NA")</f>
        <v>1.5589841228704231E-2</v>
      </c>
      <c r="D354" s="9"/>
      <c r="E354" s="7">
        <v>7435</v>
      </c>
      <c r="F354" s="8">
        <f>IFERROR(E354/E444, "NA")</f>
        <v>2.1050259894974065E-2</v>
      </c>
      <c r="G354" s="9"/>
      <c r="H354" s="10">
        <f t="shared" si="88"/>
        <v>644.76000000000022</v>
      </c>
      <c r="I354" s="8">
        <f>IFERROR(H354/H444, "NA")</f>
        <v>7.8292096694795189E-3</v>
      </c>
      <c r="J354" s="9"/>
      <c r="K354" s="7">
        <v>5031.5</v>
      </c>
      <c r="L354" s="8">
        <f>IFERROR(K354/K444, "NA")</f>
        <v>1.4264513841610628E-2</v>
      </c>
      <c r="M354" s="9"/>
      <c r="N354" s="10">
        <f t="shared" si="89"/>
        <v>-1758.7399999999998</v>
      </c>
      <c r="O354" s="8">
        <f>IFERROR(N354/N444, "NA")</f>
        <v>-2.123390485007479E-2</v>
      </c>
      <c r="P354" s="9"/>
      <c r="Q354" s="7">
        <v>6790.24</v>
      </c>
      <c r="R354" s="8">
        <f>IFERROR(Q354/Q444, "NA")</f>
        <v>1.5589841228704231E-2</v>
      </c>
      <c r="S354" s="9"/>
      <c r="T354" s="7">
        <v>7435</v>
      </c>
      <c r="U354" s="8">
        <f>IFERROR(T354/T444, "NA")</f>
        <v>2.1050259894974065E-2</v>
      </c>
      <c r="V354" s="9"/>
      <c r="W354" s="10">
        <f t="shared" si="90"/>
        <v>644.76000000000022</v>
      </c>
      <c r="X354" s="8">
        <f>IFERROR(W354/W444, "NA")</f>
        <v>7.8292096694795189E-3</v>
      </c>
      <c r="Y354" s="9"/>
      <c r="Z354" s="7">
        <v>5031.5</v>
      </c>
      <c r="AA354" s="8">
        <f>IFERROR(Z354/Z444, "NA")</f>
        <v>1.4264513841610628E-2</v>
      </c>
      <c r="AB354" s="9"/>
      <c r="AC354" s="10">
        <f t="shared" si="91"/>
        <v>-1758.7399999999998</v>
      </c>
      <c r="AD354" s="8">
        <f>IFERROR(AC354/AC444, "NA")</f>
        <v>-2.123390485007479E-2</v>
      </c>
    </row>
    <row r="355" spans="1:30" ht="16.5" customHeight="1" x14ac:dyDescent="0.45">
      <c r="A355" s="6" t="s">
        <v>324</v>
      </c>
      <c r="B355" s="7">
        <v>233.2</v>
      </c>
      <c r="C355" s="8">
        <f>IFERROR(B355/B444, "NA")</f>
        <v>5.3540831760494866E-4</v>
      </c>
      <c r="D355" s="9"/>
      <c r="E355" s="7">
        <v>280</v>
      </c>
      <c r="F355" s="8">
        <f>IFERROR(E355/E444, "NA")</f>
        <v>7.9274684204340797E-4</v>
      </c>
      <c r="G355" s="9"/>
      <c r="H355" s="10">
        <f t="shared" si="88"/>
        <v>46.800000000000011</v>
      </c>
      <c r="I355" s="8">
        <f>IFERROR(H355/H444, "NA")</f>
        <v>5.6828434228494546E-4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-233.2</v>
      </c>
      <c r="O355" s="8">
        <f>IFERROR(N355/N444, "NA")</f>
        <v>-2.8155080404365859E-3</v>
      </c>
      <c r="P355" s="9"/>
      <c r="Q355" s="7">
        <v>233.2</v>
      </c>
      <c r="R355" s="8">
        <f>IFERROR(Q355/Q444, "NA")</f>
        <v>5.3540831760494866E-4</v>
      </c>
      <c r="S355" s="9"/>
      <c r="T355" s="7">
        <v>280</v>
      </c>
      <c r="U355" s="8">
        <f>IFERROR(T355/T444, "NA")</f>
        <v>7.9274684204340797E-4</v>
      </c>
      <c r="V355" s="9"/>
      <c r="W355" s="10">
        <f t="shared" si="90"/>
        <v>46.800000000000011</v>
      </c>
      <c r="X355" s="8">
        <f>IFERROR(W355/W444, "NA")</f>
        <v>5.6828434228494546E-4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-233.2</v>
      </c>
      <c r="AD355" s="8">
        <f>IFERROR(AC355/AC444, "NA")</f>
        <v>-2.8155080404365859E-3</v>
      </c>
    </row>
    <row r="356" spans="1:30" ht="16.5" customHeight="1" x14ac:dyDescent="0.45">
      <c r="A356" s="6" t="s">
        <v>325</v>
      </c>
      <c r="B356" s="7">
        <v>6187.5</v>
      </c>
      <c r="C356" s="8">
        <f>IFERROR(B356/B444, "NA")</f>
        <v>1.4205998993055833E-2</v>
      </c>
      <c r="D356" s="9"/>
      <c r="E356" s="7">
        <v>6187.5</v>
      </c>
      <c r="F356" s="8">
        <f>IFERROR(E356/E444, "NA")</f>
        <v>1.7518289589798525E-2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1800</v>
      </c>
      <c r="L356" s="8">
        <f>IFERROR(K356/K444, "NA")</f>
        <v>5.1030756066578814E-3</v>
      </c>
      <c r="M356" s="9"/>
      <c r="N356" s="10">
        <f t="shared" si="89"/>
        <v>-4387.5</v>
      </c>
      <c r="O356" s="8">
        <f>IFERROR(N356/N444, "NA")</f>
        <v>-5.2971876189603438E-2</v>
      </c>
      <c r="P356" s="9"/>
      <c r="Q356" s="7">
        <v>6187.5</v>
      </c>
      <c r="R356" s="8">
        <f>IFERROR(Q356/Q444, "NA")</f>
        <v>1.4205998993055833E-2</v>
      </c>
      <c r="S356" s="9"/>
      <c r="T356" s="7">
        <v>6187.5</v>
      </c>
      <c r="U356" s="8">
        <f>IFERROR(T356/T444, "NA")</f>
        <v>1.7518289589798525E-2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1800</v>
      </c>
      <c r="AA356" s="8">
        <f>IFERROR(Z356/Z444, "NA")</f>
        <v>5.1030756066578814E-3</v>
      </c>
      <c r="AB356" s="9"/>
      <c r="AC356" s="10">
        <f t="shared" si="91"/>
        <v>-4387.5</v>
      </c>
      <c r="AD356" s="8">
        <f>IFERROR(AC356/AC444, "NA")</f>
        <v>-5.2971876189603438E-2</v>
      </c>
    </row>
    <row r="357" spans="1:30" ht="16.5" customHeight="1" x14ac:dyDescent="0.45">
      <c r="A357" s="6" t="s">
        <v>326</v>
      </c>
      <c r="B357" s="7">
        <v>3469.35</v>
      </c>
      <c r="C357" s="8">
        <f>IFERROR(B357/B444, "NA")</f>
        <v>7.9653466838882029E-3</v>
      </c>
      <c r="D357" s="9"/>
      <c r="E357" s="7">
        <v>2814.77</v>
      </c>
      <c r="F357" s="8">
        <f>IFERROR(E357/E444, "NA")</f>
        <v>7.9692858163518693E-3</v>
      </c>
      <c r="G357" s="9"/>
      <c r="H357" s="10">
        <f t="shared" si="88"/>
        <v>-654.57999999999993</v>
      </c>
      <c r="I357" s="8">
        <f>IFERROR(H357/H444, "NA")</f>
        <v>-7.9484522387367421E-3</v>
      </c>
      <c r="J357" s="9"/>
      <c r="K357" s="7">
        <v>2156.7600000000002</v>
      </c>
      <c r="L357" s="8">
        <f>IFERROR(K357/K444, "NA")</f>
        <v>6.1145051918974737E-3</v>
      </c>
      <c r="M357" s="9"/>
      <c r="N357" s="10">
        <f t="shared" si="89"/>
        <v>-1312.5899999999997</v>
      </c>
      <c r="O357" s="8">
        <f>IFERROR(N357/N444, "NA")</f>
        <v>-1.5847374351615172E-2</v>
      </c>
      <c r="P357" s="9"/>
      <c r="Q357" s="7">
        <v>3469.35</v>
      </c>
      <c r="R357" s="8">
        <f>IFERROR(Q357/Q444, "NA")</f>
        <v>7.9653466838882029E-3</v>
      </c>
      <c r="S357" s="9"/>
      <c r="T357" s="7">
        <v>2814.77</v>
      </c>
      <c r="U357" s="8">
        <f>IFERROR(T357/T444, "NA")</f>
        <v>7.9692858163518693E-3</v>
      </c>
      <c r="V357" s="9"/>
      <c r="W357" s="10">
        <f t="shared" si="90"/>
        <v>-654.57999999999993</v>
      </c>
      <c r="X357" s="8">
        <f>IFERROR(W357/W444, "NA")</f>
        <v>-7.9484522387367421E-3</v>
      </c>
      <c r="Y357" s="9"/>
      <c r="Z357" s="7">
        <v>2156.7600000000002</v>
      </c>
      <c r="AA357" s="8">
        <f>IFERROR(Z357/Z444, "NA")</f>
        <v>6.1145051918974737E-3</v>
      </c>
      <c r="AB357" s="9"/>
      <c r="AC357" s="10">
        <f t="shared" si="91"/>
        <v>-1312.5899999999997</v>
      </c>
      <c r="AD357" s="8">
        <f>IFERROR(AC357/AC444, "NA")</f>
        <v>-1.5847374351615172E-2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81483.78</v>
      </c>
      <c r="C358" s="15">
        <f>IFERROR(B358/B444, "NA")</f>
        <v>0.18708016107157704</v>
      </c>
      <c r="D358" s="2"/>
      <c r="E358" s="14">
        <f>IFERROR(E349+E350+E351+E352+E353+E354+E355+E356+E357, "NA")</f>
        <v>88408.86</v>
      </c>
      <c r="F358" s="15">
        <f>IFERROR(E358/E444, "NA")</f>
        <v>0.25030658776306347</v>
      </c>
      <c r="G358" s="2"/>
      <c r="H358" s="14">
        <f t="shared" si="88"/>
        <v>6925.0800000000017</v>
      </c>
      <c r="I358" s="15">
        <f>IFERROR(H358/H444, "NA")</f>
        <v>8.4090054125440822E-2</v>
      </c>
      <c r="J358" s="2"/>
      <c r="K358" s="14">
        <f>IFERROR(K349+K350+K351+K352+K353+K354+K355+K356+K357, "NA")</f>
        <v>66438.7</v>
      </c>
      <c r="L358" s="15">
        <f>IFERROR(K358/K444, "NA")</f>
        <v>0.18835650517114497</v>
      </c>
      <c r="M358" s="2"/>
      <c r="N358" s="14">
        <f t="shared" si="89"/>
        <v>-15045.080000000002</v>
      </c>
      <c r="O358" s="15">
        <f>IFERROR(N358/N444, "NA")</f>
        <v>-0.18164469858066759</v>
      </c>
      <c r="P358" s="2"/>
      <c r="Q358" s="14">
        <f>IFERROR(Q349+Q350+Q351+Q352+Q353+Q354+Q355+Q356+Q357, "NA")</f>
        <v>81483.78</v>
      </c>
      <c r="R358" s="15">
        <f>IFERROR(Q358/Q444, "NA")</f>
        <v>0.18708016107157704</v>
      </c>
      <c r="S358" s="2"/>
      <c r="T358" s="14">
        <f>IFERROR(T349+T350+T351+T352+T353+T354+T355+T356+T357, "NA")</f>
        <v>88408.86</v>
      </c>
      <c r="U358" s="15">
        <f>IFERROR(T358/T444, "NA")</f>
        <v>0.25030658776306347</v>
      </c>
      <c r="V358" s="2"/>
      <c r="W358" s="14">
        <f t="shared" si="90"/>
        <v>6925.0800000000017</v>
      </c>
      <c r="X358" s="15">
        <f>IFERROR(W358/W444, "NA")</f>
        <v>8.4090054125440822E-2</v>
      </c>
      <c r="Y358" s="2"/>
      <c r="Z358" s="14">
        <f>IFERROR(Z349+Z350+Z351+Z352+Z353+Z354+Z355+Z356+Z357, "NA")</f>
        <v>66438.7</v>
      </c>
      <c r="AA358" s="15">
        <f>IFERROR(Z358/Z444, "NA")</f>
        <v>0.18835650517114497</v>
      </c>
      <c r="AB358" s="2"/>
      <c r="AC358" s="14">
        <f t="shared" si="91"/>
        <v>-15045.080000000002</v>
      </c>
      <c r="AD358" s="15">
        <f>IFERROR(AC358/AC444, "NA")</f>
        <v>-0.18164469858066759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1000</v>
      </c>
      <c r="F360" s="8">
        <f>IFERROR(E360/E444, "NA")</f>
        <v>2.8312387215836E-3</v>
      </c>
      <c r="G360" s="9"/>
      <c r="H360" s="10">
        <f t="shared" ref="H360:H383" si="92">IFERROR(-(B360-E360), "NA")</f>
        <v>1000</v>
      </c>
      <c r="I360" s="8">
        <f>IFERROR(H360/H444, "NA")</f>
        <v>1.2142827826601397E-2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1000</v>
      </c>
      <c r="U360" s="8">
        <f>IFERROR(T360/T444, "NA")</f>
        <v>2.8312387215836E-3</v>
      </c>
      <c r="V360" s="9"/>
      <c r="W360" s="10">
        <f t="shared" ref="W360:W383" si="94">IFERROR(-(Q360-T360), "NA")</f>
        <v>1000</v>
      </c>
      <c r="X360" s="8">
        <f>IFERROR(W360/W444, "NA")</f>
        <v>1.2142827826601397E-2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195.03</v>
      </c>
      <c r="L361" s="8">
        <f>IFERROR(K361/K444, "NA")</f>
        <v>5.5291824198138145E-4</v>
      </c>
      <c r="M361" s="9"/>
      <c r="N361" s="10">
        <f t="shared" si="93"/>
        <v>195.03</v>
      </c>
      <c r="O361" s="8">
        <f>IFERROR(N361/N444, "NA")</f>
        <v>2.3546678092896543E-3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195.03</v>
      </c>
      <c r="AA361" s="8">
        <f>IFERROR(Z361/Z444, "NA")</f>
        <v>5.5291824198138145E-4</v>
      </c>
      <c r="AB361" s="9"/>
      <c r="AC361" s="10">
        <f t="shared" si="95"/>
        <v>195.03</v>
      </c>
      <c r="AD361" s="8">
        <f>IFERROR(AC361/AC444, "NA")</f>
        <v>2.3546678092896543E-3</v>
      </c>
    </row>
    <row r="362" spans="1:30" ht="16.5" customHeight="1" x14ac:dyDescent="0.45">
      <c r="A362" s="6" t="s">
        <v>330</v>
      </c>
      <c r="B362" s="7">
        <v>726.28</v>
      </c>
      <c r="C362" s="8">
        <f>IFERROR(B362/B444, "NA")</f>
        <v>1.6674800725133881E-3</v>
      </c>
      <c r="D362" s="9"/>
      <c r="E362" s="7">
        <v>400</v>
      </c>
      <c r="F362" s="8">
        <f>IFERROR(E362/E444, "NA")</f>
        <v>1.13249548863344E-3</v>
      </c>
      <c r="G362" s="9"/>
      <c r="H362" s="10">
        <f t="shared" si="92"/>
        <v>-326.27999999999997</v>
      </c>
      <c r="I362" s="8">
        <f>IFERROR(H362/H444, "NA")</f>
        <v>-3.9619618632635032E-3</v>
      </c>
      <c r="J362" s="9"/>
      <c r="K362" s="7">
        <v>398.76</v>
      </c>
      <c r="L362" s="8">
        <f>IFERROR(K362/K444, "NA")</f>
        <v>1.1305013493949426E-3</v>
      </c>
      <c r="M362" s="9"/>
      <c r="N362" s="10">
        <f t="shared" si="93"/>
        <v>-327.52</v>
      </c>
      <c r="O362" s="8">
        <f>IFERROR(N362/N444, "NA")</f>
        <v>-3.9542675531894968E-3</v>
      </c>
      <c r="P362" s="9"/>
      <c r="Q362" s="7">
        <v>726.28</v>
      </c>
      <c r="R362" s="8">
        <f>IFERROR(Q362/Q444, "NA")</f>
        <v>1.6674800725133881E-3</v>
      </c>
      <c r="S362" s="9"/>
      <c r="T362" s="7">
        <v>400</v>
      </c>
      <c r="U362" s="8">
        <f>IFERROR(T362/T444, "NA")</f>
        <v>1.13249548863344E-3</v>
      </c>
      <c r="V362" s="9"/>
      <c r="W362" s="10">
        <f t="shared" si="94"/>
        <v>-326.27999999999997</v>
      </c>
      <c r="X362" s="8">
        <f>IFERROR(W362/W444, "NA")</f>
        <v>-3.9619618632635032E-3</v>
      </c>
      <c r="Y362" s="9"/>
      <c r="Z362" s="7">
        <v>398.76</v>
      </c>
      <c r="AA362" s="8">
        <f>IFERROR(Z362/Z444, "NA")</f>
        <v>1.1305013493949426E-3</v>
      </c>
      <c r="AB362" s="9"/>
      <c r="AC362" s="10">
        <f t="shared" si="95"/>
        <v>-327.52</v>
      </c>
      <c r="AD362" s="8">
        <f>IFERROR(AC362/AC444, "NA")</f>
        <v>-3.9542675531894968E-3</v>
      </c>
    </row>
    <row r="363" spans="1:30" ht="16.5" customHeight="1" x14ac:dyDescent="0.45">
      <c r="A363" s="6" t="s">
        <v>331</v>
      </c>
      <c r="B363" s="7">
        <v>326.55</v>
      </c>
      <c r="C363" s="8">
        <f>IFERROR(B363/B444, "NA")</f>
        <v>7.4973235897897081E-4</v>
      </c>
      <c r="D363" s="9"/>
      <c r="E363" s="7">
        <v>200</v>
      </c>
      <c r="F363" s="8">
        <f>IFERROR(E363/E444, "NA")</f>
        <v>5.6624774431671999E-4</v>
      </c>
      <c r="G363" s="9"/>
      <c r="H363" s="10">
        <f t="shared" si="92"/>
        <v>-126.55000000000001</v>
      </c>
      <c r="I363" s="8">
        <f>IFERROR(H363/H444, "NA")</f>
        <v>-1.5366748614564069E-3</v>
      </c>
      <c r="J363" s="9"/>
      <c r="K363" s="7">
        <v>231.2</v>
      </c>
      <c r="L363" s="8">
        <f>IFERROR(K363/K444, "NA")</f>
        <v>6.554617112551678E-4</v>
      </c>
      <c r="M363" s="9"/>
      <c r="N363" s="10">
        <f t="shared" si="93"/>
        <v>-95.350000000000023</v>
      </c>
      <c r="O363" s="8">
        <f>IFERROR(N363/N444, "NA")</f>
        <v>-1.1511950757102426E-3</v>
      </c>
      <c r="P363" s="9"/>
      <c r="Q363" s="7">
        <v>326.55</v>
      </c>
      <c r="R363" s="8">
        <f>IFERROR(Q363/Q444, "NA")</f>
        <v>7.4973235897897081E-4</v>
      </c>
      <c r="S363" s="9"/>
      <c r="T363" s="7">
        <v>200</v>
      </c>
      <c r="U363" s="8">
        <f>IFERROR(T363/T444, "NA")</f>
        <v>5.6624774431671999E-4</v>
      </c>
      <c r="V363" s="9"/>
      <c r="W363" s="10">
        <f t="shared" si="94"/>
        <v>-126.55000000000001</v>
      </c>
      <c r="X363" s="8">
        <f>IFERROR(W363/W444, "NA")</f>
        <v>-1.5366748614564069E-3</v>
      </c>
      <c r="Y363" s="9"/>
      <c r="Z363" s="7">
        <v>231.2</v>
      </c>
      <c r="AA363" s="8">
        <f>IFERROR(Z363/Z444, "NA")</f>
        <v>6.554617112551678E-4</v>
      </c>
      <c r="AB363" s="9"/>
      <c r="AC363" s="10">
        <f t="shared" si="95"/>
        <v>-95.350000000000023</v>
      </c>
      <c r="AD363" s="8">
        <f>IFERROR(AC363/AC444, "NA")</f>
        <v>-1.1511950757102426E-3</v>
      </c>
    </row>
    <row r="364" spans="1:30" ht="16.5" customHeight="1" x14ac:dyDescent="0.45">
      <c r="A364" s="6" t="s">
        <v>332</v>
      </c>
      <c r="B364" s="7">
        <v>45.26</v>
      </c>
      <c r="C364" s="8">
        <f>IFERROR(B364/B444, "NA")</f>
        <v>1.0391329526072031E-4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-45.26</v>
      </c>
      <c r="I364" s="8">
        <f>IFERROR(H364/H444, "NA")</f>
        <v>-5.4958438743197917E-4</v>
      </c>
      <c r="J364" s="9"/>
      <c r="K364" s="7">
        <v>1039.17</v>
      </c>
      <c r="L364" s="8">
        <f>IFERROR(K364/K444, "NA")</f>
        <v>2.9460905989837061E-3</v>
      </c>
      <c r="M364" s="9"/>
      <c r="N364" s="10">
        <f t="shared" si="93"/>
        <v>993.91000000000008</v>
      </c>
      <c r="O364" s="8">
        <f>IFERROR(N364/N444, "NA")</f>
        <v>1.1999835319341028E-2</v>
      </c>
      <c r="P364" s="9"/>
      <c r="Q364" s="7">
        <v>45.26</v>
      </c>
      <c r="R364" s="8">
        <f>IFERROR(Q364/Q444, "NA")</f>
        <v>1.0391329526072031E-4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-45.26</v>
      </c>
      <c r="X364" s="8">
        <f>IFERROR(W364/W444, "NA")</f>
        <v>-5.4958438743197917E-4</v>
      </c>
      <c r="Y364" s="9"/>
      <c r="Z364" s="7">
        <v>1039.17</v>
      </c>
      <c r="AA364" s="8">
        <f>IFERROR(Z364/Z444, "NA")</f>
        <v>2.9460905989837061E-3</v>
      </c>
      <c r="AB364" s="9"/>
      <c r="AC364" s="10">
        <f t="shared" si="95"/>
        <v>993.91000000000008</v>
      </c>
      <c r="AD364" s="8">
        <f>IFERROR(AC364/AC444, "NA")</f>
        <v>1.1999835319341028E-2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1098.0899999999999</v>
      </c>
      <c r="C368" s="15">
        <f>IFERROR(B368/B444, "NA")</f>
        <v>2.5211257267530791E-3</v>
      </c>
      <c r="D368" s="2"/>
      <c r="E368" s="14">
        <f>IFERROR(E360+E361+E362+E363+E364+E365+E366+E367, "NA")</f>
        <v>1600</v>
      </c>
      <c r="F368" s="15">
        <f>IFERROR(E368/E444, "NA")</f>
        <v>4.52998195453376E-3</v>
      </c>
      <c r="G368" s="2"/>
      <c r="H368" s="14">
        <f t="shared" si="92"/>
        <v>501.91000000000008</v>
      </c>
      <c r="I368" s="15">
        <f>IFERROR(H368/H444, "NA")</f>
        <v>6.094606714449508E-3</v>
      </c>
      <c r="J368" s="2"/>
      <c r="K368" s="14">
        <f>IFERROR(K360+K361+K362+K363+K364+K365+K366+K367, "NA")</f>
        <v>1864.16</v>
      </c>
      <c r="L368" s="15">
        <f>IFERROR(K368/K444, "NA")</f>
        <v>5.2849719016151977E-3</v>
      </c>
      <c r="M368" s="2"/>
      <c r="N368" s="14">
        <f t="shared" si="93"/>
        <v>766.07000000000016</v>
      </c>
      <c r="O368" s="15">
        <f>IFERROR(N368/N444, "NA")</f>
        <v>9.2490404997309442E-3</v>
      </c>
      <c r="P368" s="2"/>
      <c r="Q368" s="14">
        <f>IFERROR(Q360+Q361+Q362+Q363+Q364+Q365+Q366+Q367, "NA")</f>
        <v>1098.0899999999999</v>
      </c>
      <c r="R368" s="15">
        <f>IFERROR(Q368/Q444, "NA")</f>
        <v>2.5211257267530791E-3</v>
      </c>
      <c r="S368" s="2"/>
      <c r="T368" s="14">
        <f>IFERROR(T360+T361+T362+T363+T364+T365+T366+T367, "NA")</f>
        <v>1600</v>
      </c>
      <c r="U368" s="15">
        <f>IFERROR(T368/T444, "NA")</f>
        <v>4.52998195453376E-3</v>
      </c>
      <c r="V368" s="2"/>
      <c r="W368" s="14">
        <f t="shared" si="94"/>
        <v>501.91000000000008</v>
      </c>
      <c r="X368" s="15">
        <f>IFERROR(W368/W444, "NA")</f>
        <v>6.094606714449508E-3</v>
      </c>
      <c r="Y368" s="2"/>
      <c r="Z368" s="14">
        <f>IFERROR(Z360+Z361+Z362+Z363+Z364+Z365+Z366+Z367, "NA")</f>
        <v>1864.16</v>
      </c>
      <c r="AA368" s="15">
        <f>IFERROR(Z368/Z444, "NA")</f>
        <v>5.2849719016151977E-3</v>
      </c>
      <c r="AB368" s="2"/>
      <c r="AC368" s="14">
        <f t="shared" si="95"/>
        <v>766.07000000000016</v>
      </c>
      <c r="AD368" s="15">
        <f>IFERROR(AC368/AC444, "NA")</f>
        <v>9.2490404997309442E-3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103</v>
      </c>
      <c r="C370" s="8">
        <f>IFERROR(B370/B444, "NA")</f>
        <v>2.3647966000561629E-4</v>
      </c>
      <c r="D370" s="9"/>
      <c r="E370" s="7">
        <v>635</v>
      </c>
      <c r="F370" s="8">
        <f>IFERROR(E370/E444, "NA")</f>
        <v>1.7978365882055859E-3</v>
      </c>
      <c r="G370" s="9"/>
      <c r="H370" s="10">
        <f t="shared" si="92"/>
        <v>532</v>
      </c>
      <c r="I370" s="8">
        <f>IFERROR(H370/H444, "NA")</f>
        <v>6.4599844037519427E-3</v>
      </c>
      <c r="J370" s="9"/>
      <c r="K370" s="7">
        <v>47.5</v>
      </c>
      <c r="L370" s="8">
        <f>IFERROR(K370/K444, "NA")</f>
        <v>1.3466449517569409E-4</v>
      </c>
      <c r="M370" s="9"/>
      <c r="N370" s="10">
        <f t="shared" si="93"/>
        <v>-55.5</v>
      </c>
      <c r="O370" s="8">
        <f>IFERROR(N370/N444, "NA")</f>
        <v>-6.7007159624455628E-4</v>
      </c>
      <c r="P370" s="9"/>
      <c r="Q370" s="7">
        <v>103</v>
      </c>
      <c r="R370" s="8">
        <f>IFERROR(Q370/Q444, "NA")</f>
        <v>2.3647966000561629E-4</v>
      </c>
      <c r="S370" s="9"/>
      <c r="T370" s="7">
        <v>635</v>
      </c>
      <c r="U370" s="8">
        <f>IFERROR(T370/T444, "NA")</f>
        <v>1.7978365882055859E-3</v>
      </c>
      <c r="V370" s="9"/>
      <c r="W370" s="10">
        <f t="shared" si="94"/>
        <v>532</v>
      </c>
      <c r="X370" s="8">
        <f>IFERROR(W370/W444, "NA")</f>
        <v>6.4599844037519427E-3</v>
      </c>
      <c r="Y370" s="9"/>
      <c r="Z370" s="7">
        <v>47.5</v>
      </c>
      <c r="AA370" s="8">
        <f>IFERROR(Z370/Z444, "NA")</f>
        <v>1.3466449517569409E-4</v>
      </c>
      <c r="AB370" s="9"/>
      <c r="AC370" s="10">
        <f t="shared" si="95"/>
        <v>-55.5</v>
      </c>
      <c r="AD370" s="8">
        <f>IFERROR(AC370/AC444, "NA")</f>
        <v>-6.7007159624455628E-4</v>
      </c>
    </row>
    <row r="371" spans="1:30" ht="16.5" customHeight="1" x14ac:dyDescent="0.45">
      <c r="A371" s="20" t="s">
        <v>339</v>
      </c>
      <c r="B371" s="7">
        <v>110.07</v>
      </c>
      <c r="C371" s="8">
        <f>IFERROR(B371/B444, "NA")</f>
        <v>2.5271180754192409E-4</v>
      </c>
      <c r="D371" s="9"/>
      <c r="E371" s="7">
        <v>100</v>
      </c>
      <c r="F371" s="8">
        <f>IFERROR(E371/E444, "NA")</f>
        <v>2.8312387215836E-4</v>
      </c>
      <c r="G371" s="9"/>
      <c r="H371" s="10">
        <f t="shared" si="92"/>
        <v>-10.069999999999993</v>
      </c>
      <c r="I371" s="8">
        <f>IFERROR(H371/H444, "NA")</f>
        <v>-1.2227827621387599E-4</v>
      </c>
      <c r="J371" s="9"/>
      <c r="K371" s="7">
        <v>233.16</v>
      </c>
      <c r="L371" s="8">
        <f>IFERROR(K371/K444, "NA")</f>
        <v>6.610183935824175E-4</v>
      </c>
      <c r="M371" s="9"/>
      <c r="N371" s="10">
        <f t="shared" si="93"/>
        <v>123.09</v>
      </c>
      <c r="O371" s="8">
        <f>IFERROR(N371/N444, "NA")</f>
        <v>1.4861101402115755E-3</v>
      </c>
      <c r="P371" s="9"/>
      <c r="Q371" s="7">
        <v>110.07</v>
      </c>
      <c r="R371" s="8">
        <f>IFERROR(Q371/Q444, "NA")</f>
        <v>2.5271180754192409E-4</v>
      </c>
      <c r="S371" s="9"/>
      <c r="T371" s="7">
        <v>100</v>
      </c>
      <c r="U371" s="8">
        <f>IFERROR(T371/T444, "NA")</f>
        <v>2.8312387215836E-4</v>
      </c>
      <c r="V371" s="9"/>
      <c r="W371" s="10">
        <f t="shared" si="94"/>
        <v>-10.069999999999993</v>
      </c>
      <c r="X371" s="8">
        <f>IFERROR(W371/W444, "NA")</f>
        <v>-1.2227827621387599E-4</v>
      </c>
      <c r="Y371" s="9"/>
      <c r="Z371" s="7">
        <v>233.16</v>
      </c>
      <c r="AA371" s="8">
        <f>IFERROR(Z371/Z444, "NA")</f>
        <v>6.610183935824175E-4</v>
      </c>
      <c r="AB371" s="9"/>
      <c r="AC371" s="10">
        <f t="shared" si="95"/>
        <v>123.09</v>
      </c>
      <c r="AD371" s="8">
        <f>IFERROR(AC371/AC444, "NA")</f>
        <v>1.4861101402115755E-3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customHeight="1" x14ac:dyDescent="0.45">
      <c r="A373" s="20" t="s">
        <v>341</v>
      </c>
      <c r="B373" s="7">
        <v>454.89</v>
      </c>
      <c r="C373" s="8">
        <f>IFERROR(B373/B444, "NA")</f>
        <v>1.0443906071840271E-3</v>
      </c>
      <c r="D373" s="9"/>
      <c r="E373" s="7">
        <v>325</v>
      </c>
      <c r="F373" s="8">
        <f>IFERROR(E373/E444, "NA")</f>
        <v>9.2015258451466999E-4</v>
      </c>
      <c r="G373" s="9"/>
      <c r="H373" s="10">
        <f t="shared" si="92"/>
        <v>-129.88999999999999</v>
      </c>
      <c r="I373" s="8">
        <f>IFERROR(H373/H444, "NA")</f>
        <v>-1.5772319063972553E-3</v>
      </c>
      <c r="J373" s="9"/>
      <c r="K373" s="7">
        <v>763.85</v>
      </c>
      <c r="L373" s="8">
        <f>IFERROR(K373/K444, "NA")</f>
        <v>2.1655468345253459E-3</v>
      </c>
      <c r="M373" s="9"/>
      <c r="N373" s="10">
        <f t="shared" si="93"/>
        <v>308.96000000000004</v>
      </c>
      <c r="O373" s="8">
        <f>IFERROR(N373/N444, "NA")</f>
        <v>3.7301859527156425E-3</v>
      </c>
      <c r="P373" s="9"/>
      <c r="Q373" s="7">
        <v>454.89</v>
      </c>
      <c r="R373" s="8">
        <f>IFERROR(Q373/Q444, "NA")</f>
        <v>1.0443906071840271E-3</v>
      </c>
      <c r="S373" s="9"/>
      <c r="T373" s="7">
        <v>325</v>
      </c>
      <c r="U373" s="8">
        <f>IFERROR(T373/T444, "NA")</f>
        <v>9.2015258451466999E-4</v>
      </c>
      <c r="V373" s="9"/>
      <c r="W373" s="10">
        <f t="shared" si="94"/>
        <v>-129.88999999999999</v>
      </c>
      <c r="X373" s="8">
        <f>IFERROR(W373/W444, "NA")</f>
        <v>-1.5772319063972553E-3</v>
      </c>
      <c r="Y373" s="9"/>
      <c r="Z373" s="7">
        <v>763.85</v>
      </c>
      <c r="AA373" s="8">
        <f>IFERROR(Z373/Z444, "NA")</f>
        <v>2.1655468345253459E-3</v>
      </c>
      <c r="AB373" s="9"/>
      <c r="AC373" s="10">
        <f t="shared" si="95"/>
        <v>308.96000000000004</v>
      </c>
      <c r="AD373" s="8">
        <f>IFERROR(AC373/AC444, "NA")</f>
        <v>3.7301859527156425E-3</v>
      </c>
    </row>
    <row r="374" spans="1:30" ht="16.5" customHeight="1" x14ac:dyDescent="0.45">
      <c r="A374" s="20" t="s">
        <v>342</v>
      </c>
      <c r="B374" s="7">
        <v>1897.01</v>
      </c>
      <c r="C374" s="8">
        <f>IFERROR(B374/B444, "NA")</f>
        <v>4.3553813575461569E-3</v>
      </c>
      <c r="D374" s="9"/>
      <c r="E374" s="7">
        <v>1900</v>
      </c>
      <c r="F374" s="8">
        <f>IFERROR(E374/E444, "NA")</f>
        <v>5.37935357100884E-3</v>
      </c>
      <c r="G374" s="9"/>
      <c r="H374" s="10">
        <f t="shared" si="92"/>
        <v>2.9900000000000091</v>
      </c>
      <c r="I374" s="8">
        <f>IFERROR(H374/H444, "NA")</f>
        <v>3.6307055201538283E-5</v>
      </c>
      <c r="J374" s="9"/>
      <c r="K374" s="7">
        <v>1780.86</v>
      </c>
      <c r="L374" s="8">
        <f>IFERROR(K374/K444, "NA")</f>
        <v>5.048812902707085E-3</v>
      </c>
      <c r="M374" s="9"/>
      <c r="N374" s="10">
        <f t="shared" si="93"/>
        <v>-116.15000000000009</v>
      </c>
      <c r="O374" s="8">
        <f>IFERROR(N374/N444, "NA")</f>
        <v>-1.4023210072757707E-3</v>
      </c>
      <c r="P374" s="9"/>
      <c r="Q374" s="7">
        <v>1897.01</v>
      </c>
      <c r="R374" s="8">
        <f>IFERROR(Q374/Q444, "NA")</f>
        <v>4.3553813575461569E-3</v>
      </c>
      <c r="S374" s="9"/>
      <c r="T374" s="7">
        <v>1900</v>
      </c>
      <c r="U374" s="8">
        <f>IFERROR(T374/T444, "NA")</f>
        <v>5.37935357100884E-3</v>
      </c>
      <c r="V374" s="9"/>
      <c r="W374" s="10">
        <f t="shared" si="94"/>
        <v>2.9900000000000091</v>
      </c>
      <c r="X374" s="8">
        <f>IFERROR(W374/W444, "NA")</f>
        <v>3.6307055201538283E-5</v>
      </c>
      <c r="Y374" s="9"/>
      <c r="Z374" s="7">
        <v>1780.86</v>
      </c>
      <c r="AA374" s="8">
        <f>IFERROR(Z374/Z444, "NA")</f>
        <v>5.048812902707085E-3</v>
      </c>
      <c r="AB374" s="9"/>
      <c r="AC374" s="10">
        <f t="shared" si="95"/>
        <v>-116.15000000000009</v>
      </c>
      <c r="AD374" s="8">
        <f>IFERROR(AC374/AC444, "NA")</f>
        <v>-1.4023210072757707E-3</v>
      </c>
    </row>
    <row r="375" spans="1:30" ht="16.5" customHeight="1" x14ac:dyDescent="0.45">
      <c r="A375" s="20" t="s">
        <v>343</v>
      </c>
      <c r="B375" s="7">
        <v>205.26</v>
      </c>
      <c r="C375" s="8">
        <f>IFERROR(B375/B444, "NA")</f>
        <v>4.7126033992963878E-4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-205.26</v>
      </c>
      <c r="I375" s="8">
        <f>IFERROR(H375/H444, "NA")</f>
        <v>-2.4924368396882024E-3</v>
      </c>
      <c r="J375" s="9"/>
      <c r="K375" s="7">
        <v>184.99</v>
      </c>
      <c r="L375" s="8">
        <f>IFERROR(K375/K444, "NA")</f>
        <v>5.2445442026424532E-4</v>
      </c>
      <c r="M375" s="9"/>
      <c r="N375" s="10">
        <f t="shared" si="93"/>
        <v>-20.269999999999982</v>
      </c>
      <c r="O375" s="8">
        <f>IFERROR(N375/N444, "NA")</f>
        <v>-2.4472704965544407E-4</v>
      </c>
      <c r="P375" s="9"/>
      <c r="Q375" s="7">
        <v>205.26</v>
      </c>
      <c r="R375" s="8">
        <f>IFERROR(Q375/Q444, "NA")</f>
        <v>4.7126033992963878E-4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-205.26</v>
      </c>
      <c r="X375" s="8">
        <f>IFERROR(W375/W444, "NA")</f>
        <v>-2.4924368396882024E-3</v>
      </c>
      <c r="Y375" s="9"/>
      <c r="Z375" s="7">
        <v>184.99</v>
      </c>
      <c r="AA375" s="8">
        <f>IFERROR(Z375/Z444, "NA")</f>
        <v>5.2445442026424532E-4</v>
      </c>
      <c r="AB375" s="9"/>
      <c r="AC375" s="10">
        <f t="shared" si="95"/>
        <v>-20.269999999999982</v>
      </c>
      <c r="AD375" s="8">
        <f>IFERROR(AC375/AC444, "NA")</f>
        <v>-2.4472704965544407E-4</v>
      </c>
    </row>
    <row r="376" spans="1:30" ht="16.5" customHeight="1" x14ac:dyDescent="0.45">
      <c r="A376" s="20" t="s">
        <v>344</v>
      </c>
      <c r="B376" s="7">
        <v>-2413</v>
      </c>
      <c r="C376" s="8">
        <f>IFERROR(B376/B444, "NA")</f>
        <v>-5.5400526174131269E-3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2413</v>
      </c>
      <c r="I376" s="8">
        <f>IFERROR(H376/H444, "NA")</f>
        <v>2.9300643545589169E-2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2413</v>
      </c>
      <c r="O376" s="8">
        <f>IFERROR(N376/N444, "NA")</f>
        <v>2.9133022734020079E-2</v>
      </c>
      <c r="P376" s="9"/>
      <c r="Q376" s="7">
        <v>-2413</v>
      </c>
      <c r="R376" s="8">
        <f>IFERROR(Q376/Q444, "NA")</f>
        <v>-5.5400526174131269E-3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2.9300643545589169E-2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2.9133022734020079E-2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7928.96</v>
      </c>
      <c r="C378" s="8">
        <f>IFERROR(B378/B444, "NA")</f>
        <v>1.8204250145612926E-2</v>
      </c>
      <c r="D378" s="9"/>
      <c r="E378" s="7">
        <v>8470.33</v>
      </c>
      <c r="F378" s="8">
        <f>IFERROR(E378/E444, "NA")</f>
        <v>2.3981526280591213E-2</v>
      </c>
      <c r="G378" s="9"/>
      <c r="H378" s="10">
        <f t="shared" si="92"/>
        <v>541.36999999999989</v>
      </c>
      <c r="I378" s="8">
        <f>IFERROR(H378/H444, "NA")</f>
        <v>6.5737627004871964E-3</v>
      </c>
      <c r="J378" s="9"/>
      <c r="K378" s="7">
        <v>6828.35</v>
      </c>
      <c r="L378" s="8">
        <f>IFERROR(K378/K444, "NA")</f>
        <v>1.9358659065956858E-2</v>
      </c>
      <c r="M378" s="9"/>
      <c r="N378" s="10">
        <f t="shared" si="93"/>
        <v>-1100.6099999999997</v>
      </c>
      <c r="O378" s="8">
        <f>IFERROR(N378/N444, "NA")</f>
        <v>-1.3288063054823801E-2</v>
      </c>
      <c r="P378" s="9"/>
      <c r="Q378" s="7">
        <v>7928.96</v>
      </c>
      <c r="R378" s="8">
        <f>IFERROR(Q378/Q444, "NA")</f>
        <v>1.8204250145612926E-2</v>
      </c>
      <c r="S378" s="9"/>
      <c r="T378" s="7">
        <v>8470.33</v>
      </c>
      <c r="U378" s="8">
        <f>IFERROR(T378/T444, "NA")</f>
        <v>2.3981526280591213E-2</v>
      </c>
      <c r="V378" s="9"/>
      <c r="W378" s="10">
        <f t="shared" si="94"/>
        <v>541.36999999999989</v>
      </c>
      <c r="X378" s="8">
        <f>IFERROR(W378/W444, "NA")</f>
        <v>6.5737627004871964E-3</v>
      </c>
      <c r="Y378" s="9"/>
      <c r="Z378" s="7">
        <v>6828.35</v>
      </c>
      <c r="AA378" s="8">
        <f>IFERROR(Z378/Z444, "NA")</f>
        <v>1.9358659065956858E-2</v>
      </c>
      <c r="AB378" s="9"/>
      <c r="AC378" s="10">
        <f t="shared" si="95"/>
        <v>-1100.6099999999997</v>
      </c>
      <c r="AD378" s="8">
        <f>IFERROR(AC378/AC444, "NA")</f>
        <v>-1.3288063054823801E-2</v>
      </c>
    </row>
    <row r="379" spans="1:30" ht="16.5" customHeight="1" x14ac:dyDescent="0.45">
      <c r="A379" s="20" t="s">
        <v>347</v>
      </c>
      <c r="B379" s="7">
        <v>18.41</v>
      </c>
      <c r="C379" s="8">
        <f>IFERROR(B379/B444, "NA")</f>
        <v>4.2267869327217438E-5</v>
      </c>
      <c r="D379" s="9"/>
      <c r="E379" s="7">
        <v>200</v>
      </c>
      <c r="F379" s="8">
        <f>IFERROR(E379/E444, "NA")</f>
        <v>5.6624774431671999E-4</v>
      </c>
      <c r="G379" s="9"/>
      <c r="H379" s="10">
        <f t="shared" si="92"/>
        <v>181.59</v>
      </c>
      <c r="I379" s="8">
        <f>IFERROR(H379/H444, "NA")</f>
        <v>2.2050161050325475E-3</v>
      </c>
      <c r="J379" s="9"/>
      <c r="K379" s="7">
        <v>81.7</v>
      </c>
      <c r="L379" s="8">
        <f>IFERROR(K379/K444, "NA")</f>
        <v>2.3162293170219384E-4</v>
      </c>
      <c r="M379" s="9"/>
      <c r="N379" s="10">
        <f t="shared" si="93"/>
        <v>63.290000000000006</v>
      </c>
      <c r="O379" s="8">
        <f>IFERROR(N379/N444, "NA")</f>
        <v>7.6412308696068422E-4</v>
      </c>
      <c r="P379" s="9"/>
      <c r="Q379" s="7">
        <v>18.41</v>
      </c>
      <c r="R379" s="8">
        <f>IFERROR(Q379/Q444, "NA")</f>
        <v>4.2267869327217438E-5</v>
      </c>
      <c r="S379" s="9"/>
      <c r="T379" s="7">
        <v>200</v>
      </c>
      <c r="U379" s="8">
        <f>IFERROR(T379/T444, "NA")</f>
        <v>5.6624774431671999E-4</v>
      </c>
      <c r="V379" s="9"/>
      <c r="W379" s="10">
        <f t="shared" si="94"/>
        <v>181.59</v>
      </c>
      <c r="X379" s="8">
        <f>IFERROR(W379/W444, "NA")</f>
        <v>2.2050161050325475E-3</v>
      </c>
      <c r="Y379" s="9"/>
      <c r="Z379" s="7">
        <v>81.7</v>
      </c>
      <c r="AA379" s="8">
        <f>IFERROR(Z379/Z444, "NA")</f>
        <v>2.3162293170219384E-4</v>
      </c>
      <c r="AB379" s="9"/>
      <c r="AC379" s="10">
        <f t="shared" si="95"/>
        <v>63.290000000000006</v>
      </c>
      <c r="AD379" s="8">
        <f>IFERROR(AC379/AC444, "NA")</f>
        <v>7.6412308696068422E-4</v>
      </c>
    </row>
    <row r="380" spans="1:30" ht="16.5" customHeight="1" x14ac:dyDescent="0.45">
      <c r="A380" s="20" t="s">
        <v>348</v>
      </c>
      <c r="B380" s="7">
        <v>11500</v>
      </c>
      <c r="C380" s="8">
        <f>IFERROR(B380/B444, "NA")</f>
        <v>2.6403068835578518E-2</v>
      </c>
      <c r="D380" s="9"/>
      <c r="E380" s="7">
        <v>11500</v>
      </c>
      <c r="F380" s="8">
        <f>IFERROR(E380/E444, "NA")</f>
        <v>3.2559245298211401E-2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3.2602983042536463E-2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11500</v>
      </c>
      <c r="R380" s="8">
        <f>IFERROR(Q380/Q444, "NA")</f>
        <v>2.6403068835578518E-2</v>
      </c>
      <c r="S380" s="9"/>
      <c r="T380" s="7">
        <v>11500</v>
      </c>
      <c r="U380" s="8">
        <f>IFERROR(T380/T444, "NA")</f>
        <v>3.2559245298211401E-2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11500</v>
      </c>
      <c r="AA380" s="8">
        <f>IFERROR(Z380/Z444, "NA")</f>
        <v>3.2602983042536463E-2</v>
      </c>
      <c r="AB380" s="9"/>
      <c r="AC380" s="10">
        <f t="shared" si="95"/>
        <v>0</v>
      </c>
      <c r="AD380" s="8">
        <f>IFERROR(AC380/AC444, "NA")</f>
        <v>0</v>
      </c>
    </row>
    <row r="381" spans="1:30" ht="16.5" customHeight="1" x14ac:dyDescent="0.45">
      <c r="A381" s="20" t="s">
        <v>349</v>
      </c>
      <c r="B381" s="7">
        <v>4000</v>
      </c>
      <c r="C381" s="8">
        <f>IFERROR(B381/B444, "NA")</f>
        <v>9.1836761167229629E-3</v>
      </c>
      <c r="D381" s="9"/>
      <c r="E381" s="7">
        <v>4000</v>
      </c>
      <c r="F381" s="8">
        <f>IFERROR(E381/E444, "NA")</f>
        <v>1.13249548863344E-2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4167</v>
      </c>
      <c r="L381" s="8">
        <f>IFERROR(K381/K444, "NA")</f>
        <v>1.1813620029412995E-2</v>
      </c>
      <c r="M381" s="9"/>
      <c r="N381" s="10">
        <f t="shared" si="93"/>
        <v>167</v>
      </c>
      <c r="O381" s="8">
        <f>IFERROR(N381/N444, "NA")</f>
        <v>2.0162514697809174E-3</v>
      </c>
      <c r="P381" s="9"/>
      <c r="Q381" s="7">
        <v>4000</v>
      </c>
      <c r="R381" s="8">
        <f>IFERROR(Q381/Q444, "NA")</f>
        <v>9.1836761167229629E-3</v>
      </c>
      <c r="S381" s="9"/>
      <c r="T381" s="7">
        <v>4000</v>
      </c>
      <c r="U381" s="8">
        <f>IFERROR(T381/T444, "NA")</f>
        <v>1.13249548863344E-2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4167</v>
      </c>
      <c r="AA381" s="8">
        <f>IFERROR(Z381/Z444, "NA")</f>
        <v>1.1813620029412995E-2</v>
      </c>
      <c r="AB381" s="9"/>
      <c r="AC381" s="10">
        <f t="shared" si="95"/>
        <v>167</v>
      </c>
      <c r="AD381" s="8">
        <f>IFERROR(AC381/AC444, "NA")</f>
        <v>2.0162514697809174E-3</v>
      </c>
    </row>
    <row r="382" spans="1:30" ht="16.5" customHeight="1" x14ac:dyDescent="0.45">
      <c r="A382" s="20" t="s">
        <v>350</v>
      </c>
      <c r="B382" s="7">
        <v>505.62</v>
      </c>
      <c r="C382" s="8">
        <f>IFERROR(B382/B444, "NA")</f>
        <v>1.1608625795343662E-3</v>
      </c>
      <c r="D382" s="9"/>
      <c r="E382" s="7">
        <v>795</v>
      </c>
      <c r="F382" s="8">
        <f>IFERROR(E382/E444, "NA")</f>
        <v>2.2508347836589617E-3</v>
      </c>
      <c r="G382" s="9"/>
      <c r="H382" s="10">
        <f t="shared" si="92"/>
        <v>289.38</v>
      </c>
      <c r="I382" s="8">
        <f>IFERROR(H382/H444, "NA")</f>
        <v>3.5138915164619122E-3</v>
      </c>
      <c r="J382" s="9"/>
      <c r="K382" s="7">
        <v>105.99</v>
      </c>
      <c r="L382" s="8">
        <f>IFERROR(K382/K444, "NA")</f>
        <v>3.0048610197203822E-4</v>
      </c>
      <c r="M382" s="9"/>
      <c r="N382" s="10">
        <f t="shared" si="93"/>
        <v>-399.63</v>
      </c>
      <c r="O382" s="8">
        <f>IFERROR(N382/N444, "NA")</f>
        <v>-4.82487769382364E-3</v>
      </c>
      <c r="P382" s="9"/>
      <c r="Q382" s="7">
        <v>505.62</v>
      </c>
      <c r="R382" s="8">
        <f>IFERROR(Q382/Q444, "NA")</f>
        <v>1.1608625795343662E-3</v>
      </c>
      <c r="S382" s="9"/>
      <c r="T382" s="7">
        <v>795</v>
      </c>
      <c r="U382" s="8">
        <f>IFERROR(T382/T444, "NA")</f>
        <v>2.2508347836589617E-3</v>
      </c>
      <c r="V382" s="9"/>
      <c r="W382" s="10">
        <f t="shared" si="94"/>
        <v>289.38</v>
      </c>
      <c r="X382" s="8">
        <f>IFERROR(W382/W444, "NA")</f>
        <v>3.5138915164619122E-3</v>
      </c>
      <c r="Y382" s="9"/>
      <c r="Z382" s="7">
        <v>105.99</v>
      </c>
      <c r="AA382" s="8">
        <f>IFERROR(Z382/Z444, "NA")</f>
        <v>3.0048610197203822E-4</v>
      </c>
      <c r="AB382" s="9"/>
      <c r="AC382" s="10">
        <f t="shared" si="95"/>
        <v>-399.63</v>
      </c>
      <c r="AD382" s="8">
        <f>IFERROR(AC382/AC444, "NA")</f>
        <v>-4.82487769382364E-3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2197.23</v>
      </c>
      <c r="C385" s="8">
        <f>IFERROR(B385/B444, "NA")</f>
        <v>5.0446621684867984E-3</v>
      </c>
      <c r="D385" s="9"/>
      <c r="E385" s="7">
        <v>706.4</v>
      </c>
      <c r="F385" s="8">
        <f>IFERROR(E385/E444, "NA")</f>
        <v>1.9999870329266548E-3</v>
      </c>
      <c r="G385" s="9"/>
      <c r="H385" s="10">
        <f>IFERROR(-(B385-E385), "NA")</f>
        <v>-1490.83</v>
      </c>
      <c r="I385" s="8">
        <f>IFERROR(H385/H444, "NA")</f>
        <v>-1.810289200873216E-2</v>
      </c>
      <c r="J385" s="9"/>
      <c r="K385" s="7">
        <v>2734.57</v>
      </c>
      <c r="L385" s="8">
        <f>IFERROR(K385/K444, "NA")</f>
        <v>7.7526208120546908E-3</v>
      </c>
      <c r="M385" s="9"/>
      <c r="N385" s="10">
        <f>IFERROR(-(B385-K385), "NA")</f>
        <v>537.34000000000015</v>
      </c>
      <c r="O385" s="8">
        <f>IFERROR(N385/N444, "NA")</f>
        <v>6.4875003878567565E-3</v>
      </c>
      <c r="P385" s="9"/>
      <c r="Q385" s="7">
        <v>2197.23</v>
      </c>
      <c r="R385" s="8">
        <f>IFERROR(Q385/Q444, "NA")</f>
        <v>5.0446621684867984E-3</v>
      </c>
      <c r="S385" s="9"/>
      <c r="T385" s="7">
        <v>706.4</v>
      </c>
      <c r="U385" s="8">
        <f>IFERROR(T385/T444, "NA")</f>
        <v>1.9999870329266548E-3</v>
      </c>
      <c r="V385" s="9"/>
      <c r="W385" s="10">
        <f>IFERROR(-(Q385-T385), "NA")</f>
        <v>-1490.83</v>
      </c>
      <c r="X385" s="8">
        <f>IFERROR(W385/W444, "NA")</f>
        <v>-1.810289200873216E-2</v>
      </c>
      <c r="Y385" s="9"/>
      <c r="Z385" s="7">
        <v>2734.57</v>
      </c>
      <c r="AA385" s="8">
        <f>IFERROR(Z385/Z444, "NA")</f>
        <v>7.7526208120546908E-3</v>
      </c>
      <c r="AB385" s="9"/>
      <c r="AC385" s="10">
        <f>IFERROR(-(Q385-Z385), "NA")</f>
        <v>537.34000000000015</v>
      </c>
      <c r="AD385" s="8">
        <f>IFERROR(AC385/AC444, "NA")</f>
        <v>6.4875003878567565E-3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2096.25</v>
      </c>
      <c r="L386" s="8">
        <f>IFERROR(K386/K444, "NA")</f>
        <v>5.9429568002536577E-3</v>
      </c>
      <c r="M386" s="9"/>
      <c r="N386" s="10">
        <f>IFERROR(-(B386-K386), "NA")</f>
        <v>2096.25</v>
      </c>
      <c r="O386" s="8">
        <f>IFERROR(N386/N444, "NA")</f>
        <v>2.5308785290588311E-2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2096.25</v>
      </c>
      <c r="AA386" s="8">
        <f>IFERROR(Z386/Z444, "NA")</f>
        <v>5.9429568002536577E-3</v>
      </c>
      <c r="AB386" s="9"/>
      <c r="AC386" s="10">
        <f>IFERROR(-(Q386-Z386), "NA")</f>
        <v>2096.25</v>
      </c>
      <c r="AD386" s="8">
        <f>IFERROR(AC386/AC444, "NA")</f>
        <v>2.5308785290588311E-2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3194.75</v>
      </c>
      <c r="C389" s="8">
        <f>IFERROR(B389/B444, "NA")</f>
        <v>7.3348873184751707E-3</v>
      </c>
      <c r="D389" s="9"/>
      <c r="E389" s="7">
        <v>1847.46</v>
      </c>
      <c r="F389" s="8">
        <f>IFERROR(E389/E444, "NA")</f>
        <v>5.2306002885768371E-3</v>
      </c>
      <c r="G389" s="9"/>
      <c r="H389" s="10">
        <f t="shared" si="96"/>
        <v>-1347.29</v>
      </c>
      <c r="I389" s="8">
        <f>IFERROR(H389/H444, "NA")</f>
        <v>-1.6359910502501795E-2</v>
      </c>
      <c r="J389" s="9"/>
      <c r="K389" s="7">
        <v>716</v>
      </c>
      <c r="L389" s="8">
        <f>IFERROR(K389/K444, "NA")</f>
        <v>2.0298900746483573E-3</v>
      </c>
      <c r="M389" s="9"/>
      <c r="N389" s="10">
        <f t="shared" si="97"/>
        <v>-2478.75</v>
      </c>
      <c r="O389" s="8">
        <f>IFERROR(N389/N444, "NA")</f>
        <v>-2.9926846291733224E-2</v>
      </c>
      <c r="P389" s="9"/>
      <c r="Q389" s="7">
        <v>3194.75</v>
      </c>
      <c r="R389" s="8">
        <f>IFERROR(Q389/Q444, "NA")</f>
        <v>7.3348873184751707E-3</v>
      </c>
      <c r="S389" s="9"/>
      <c r="T389" s="7">
        <v>1847.46</v>
      </c>
      <c r="U389" s="8">
        <f>IFERROR(T389/T444, "NA")</f>
        <v>5.2306002885768371E-3</v>
      </c>
      <c r="V389" s="9"/>
      <c r="W389" s="10">
        <f t="shared" si="98"/>
        <v>-1347.29</v>
      </c>
      <c r="X389" s="8">
        <f>IFERROR(W389/W444, "NA")</f>
        <v>-1.6359910502501795E-2</v>
      </c>
      <c r="Y389" s="9"/>
      <c r="Z389" s="7">
        <v>716</v>
      </c>
      <c r="AA389" s="8">
        <f>IFERROR(Z389/Z444, "NA")</f>
        <v>2.0298900746483573E-3</v>
      </c>
      <c r="AB389" s="9"/>
      <c r="AC389" s="10">
        <f t="shared" si="99"/>
        <v>-2478.75</v>
      </c>
      <c r="AD389" s="8">
        <f>IFERROR(AC389/AC444, "NA")</f>
        <v>-2.9926846291733224E-2</v>
      </c>
    </row>
    <row r="390" spans="1:30" ht="16.5" customHeight="1" x14ac:dyDescent="0.45">
      <c r="A390" s="12" t="s">
        <v>356</v>
      </c>
      <c r="B390" s="7">
        <v>12806.2</v>
      </c>
      <c r="C390" s="8">
        <f>IFERROR(B390/B444, "NA")</f>
        <v>2.9401998271494402E-2</v>
      </c>
      <c r="D390" s="9"/>
      <c r="E390" s="7">
        <v>8977.01</v>
      </c>
      <c r="F390" s="8">
        <f>IFERROR(E390/E444, "NA")</f>
        <v>2.5416058316043193E-2</v>
      </c>
      <c r="G390" s="9"/>
      <c r="H390" s="10">
        <f t="shared" si="96"/>
        <v>-3829.1900000000005</v>
      </c>
      <c r="I390" s="8">
        <f>IFERROR(H390/H444, "NA")</f>
        <v>-4.6497194885343811E-2</v>
      </c>
      <c r="J390" s="9"/>
      <c r="K390" s="7">
        <v>6330.09</v>
      </c>
      <c r="L390" s="8">
        <f>IFERROR(K390/K444, "NA")</f>
        <v>1.7946071037193881E-2</v>
      </c>
      <c r="M390" s="9"/>
      <c r="N390" s="10">
        <f t="shared" si="97"/>
        <v>-6476.1100000000006</v>
      </c>
      <c r="O390" s="8">
        <f>IFERROR(N390/N444, "NA")</f>
        <v>-7.8188420993789809E-2</v>
      </c>
      <c r="P390" s="9"/>
      <c r="Q390" s="7">
        <v>12806.2</v>
      </c>
      <c r="R390" s="8">
        <f>IFERROR(Q390/Q444, "NA")</f>
        <v>2.9401998271494402E-2</v>
      </c>
      <c r="S390" s="9"/>
      <c r="T390" s="7">
        <v>8977.01</v>
      </c>
      <c r="U390" s="8">
        <f>IFERROR(T390/T444, "NA")</f>
        <v>2.5416058316043193E-2</v>
      </c>
      <c r="V390" s="9"/>
      <c r="W390" s="10">
        <f t="shared" si="98"/>
        <v>-3829.1900000000005</v>
      </c>
      <c r="X390" s="8">
        <f>IFERROR(W390/W444, "NA")</f>
        <v>-4.6497194885343811E-2</v>
      </c>
      <c r="Y390" s="9"/>
      <c r="Z390" s="7">
        <v>6330.09</v>
      </c>
      <c r="AA390" s="8">
        <f>IFERROR(Z390/Z444, "NA")</f>
        <v>1.7946071037193881E-2</v>
      </c>
      <c r="AB390" s="9"/>
      <c r="AC390" s="10">
        <f t="shared" si="99"/>
        <v>-6476.1100000000006</v>
      </c>
      <c r="AD390" s="8">
        <f>IFERROR(AC390/AC444, "NA")</f>
        <v>-7.8188420993789809E-2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4344.72</v>
      </c>
      <c r="C392" s="8">
        <f>IFERROR(B392/B444, "NA")</f>
        <v>9.9751253244621477E-3</v>
      </c>
      <c r="D392" s="9"/>
      <c r="E392" s="7">
        <v>1379.08</v>
      </c>
      <c r="F392" s="8">
        <f>IFERROR(E392/E444, "NA")</f>
        <v>3.9045046961615109E-3</v>
      </c>
      <c r="G392" s="9"/>
      <c r="H392" s="10">
        <f t="shared" si="96"/>
        <v>-2965.6400000000003</v>
      </c>
      <c r="I392" s="8">
        <f>IFERROR(H392/H444, "NA")</f>
        <v>-3.6011255915682168E-2</v>
      </c>
      <c r="J392" s="9"/>
      <c r="K392" s="7">
        <v>199.63</v>
      </c>
      <c r="L392" s="8">
        <f>IFERROR(K392/K444, "NA")</f>
        <v>5.6595943519839598E-4</v>
      </c>
      <c r="M392" s="9"/>
      <c r="N392" s="10">
        <f t="shared" si="97"/>
        <v>-4145.09</v>
      </c>
      <c r="O392" s="8">
        <f>IFERROR(N392/N444, "NA")</f>
        <v>-5.0045172484276541E-2</v>
      </c>
      <c r="P392" s="9"/>
      <c r="Q392" s="7">
        <v>4344.72</v>
      </c>
      <c r="R392" s="8">
        <f>IFERROR(Q392/Q444, "NA")</f>
        <v>9.9751253244621477E-3</v>
      </c>
      <c r="S392" s="9"/>
      <c r="T392" s="7">
        <v>1379.08</v>
      </c>
      <c r="U392" s="8">
        <f>IFERROR(T392/T444, "NA")</f>
        <v>3.9045046961615109E-3</v>
      </c>
      <c r="V392" s="9"/>
      <c r="W392" s="10">
        <f t="shared" si="98"/>
        <v>-2965.6400000000003</v>
      </c>
      <c r="X392" s="8">
        <f>IFERROR(W392/W444, "NA")</f>
        <v>-3.6011255915682168E-2</v>
      </c>
      <c r="Y392" s="9"/>
      <c r="Z392" s="7">
        <v>199.63</v>
      </c>
      <c r="AA392" s="8">
        <f>IFERROR(Z392/Z444, "NA")</f>
        <v>5.6595943519839598E-4</v>
      </c>
      <c r="AB392" s="9"/>
      <c r="AC392" s="10">
        <f t="shared" si="99"/>
        <v>-4145.09</v>
      </c>
      <c r="AD392" s="8">
        <f>IFERROR(AC392/AC444, "NA")</f>
        <v>-5.0045172484276541E-2</v>
      </c>
    </row>
    <row r="393" spans="1:30" ht="16.5" customHeight="1" x14ac:dyDescent="0.45">
      <c r="A393" s="13" t="s">
        <v>359</v>
      </c>
      <c r="B393" s="14">
        <f>IFERROR(B388+B389+B390+B391+B392, "NA")</f>
        <v>20345.670000000002</v>
      </c>
      <c r="C393" s="15">
        <f>IFERROR(B393/B444, "NA")</f>
        <v>4.6712010914431723E-2</v>
      </c>
      <c r="D393" s="2"/>
      <c r="E393" s="14">
        <f>IFERROR(E388+E389+E390+E391+E392, "NA")</f>
        <v>12203.550000000001</v>
      </c>
      <c r="F393" s="15">
        <f>IFERROR(E393/E444, "NA")</f>
        <v>3.4551163300781541E-2</v>
      </c>
      <c r="G393" s="2"/>
      <c r="H393" s="14">
        <f t="shared" si="96"/>
        <v>-8142.1200000000008</v>
      </c>
      <c r="I393" s="15">
        <f>IFERROR(H393/H444, "NA")</f>
        <v>-9.8868361303527774E-2</v>
      </c>
      <c r="J393" s="2"/>
      <c r="K393" s="14">
        <f>IFERROR(K388+K389+K390+K391+K392, "NA")</f>
        <v>7245.72</v>
      </c>
      <c r="L393" s="15">
        <f>IFERROR(K393/K444, "NA")</f>
        <v>2.0541920547040637E-2</v>
      </c>
      <c r="M393" s="2"/>
      <c r="N393" s="14">
        <f t="shared" si="97"/>
        <v>-13099.95</v>
      </c>
      <c r="O393" s="15">
        <f>IFERROR(N393/N444, "NA")</f>
        <v>-0.15816043976979957</v>
      </c>
      <c r="P393" s="2"/>
      <c r="Q393" s="14">
        <f>IFERROR(Q388+Q389+Q390+Q391+Q392, "NA")</f>
        <v>20345.670000000002</v>
      </c>
      <c r="R393" s="15">
        <f>IFERROR(Q393/Q444, "NA")</f>
        <v>4.6712010914431723E-2</v>
      </c>
      <c r="S393" s="2"/>
      <c r="T393" s="14">
        <f>IFERROR(T388+T389+T390+T391+T392, "NA")</f>
        <v>12203.550000000001</v>
      </c>
      <c r="U393" s="15">
        <f>IFERROR(T393/T444, "NA")</f>
        <v>3.4551163300781541E-2</v>
      </c>
      <c r="V393" s="2"/>
      <c r="W393" s="14">
        <f t="shared" si="98"/>
        <v>-8142.1200000000008</v>
      </c>
      <c r="X393" s="15">
        <f>IFERROR(W393/W444, "NA")</f>
        <v>-9.8868361303527774E-2</v>
      </c>
      <c r="Y393" s="2"/>
      <c r="Z393" s="14">
        <f>IFERROR(Z388+Z389+Z390+Z391+Z392, "NA")</f>
        <v>7245.72</v>
      </c>
      <c r="AA393" s="15">
        <f>IFERROR(Z393/Z444, "NA")</f>
        <v>2.0541920547040637E-2</v>
      </c>
      <c r="AB393" s="2"/>
      <c r="AC393" s="14">
        <f t="shared" si="99"/>
        <v>-13099.95</v>
      </c>
      <c r="AD393" s="15">
        <f>IFERROR(AC393/AC444, "NA")</f>
        <v>-0.15816043976979957</v>
      </c>
    </row>
    <row r="394" spans="1:30" ht="16.5" customHeight="1" x14ac:dyDescent="0.45">
      <c r="A394" s="6" t="s">
        <v>360</v>
      </c>
      <c r="B394" s="7">
        <v>3900.27</v>
      </c>
      <c r="C394" s="8">
        <f>IFERROR(B394/B444, "NA")</f>
        <v>8.9547041119427667E-3</v>
      </c>
      <c r="D394" s="9"/>
      <c r="E394" s="7">
        <v>1766.01</v>
      </c>
      <c r="F394" s="8">
        <f>IFERROR(E394/E444, "NA")</f>
        <v>4.9999958947038528E-3</v>
      </c>
      <c r="G394" s="9"/>
      <c r="H394" s="10">
        <f t="shared" si="96"/>
        <v>-2134.2600000000002</v>
      </c>
      <c r="I394" s="8">
        <f>IFERROR(H394/H444, "NA")</f>
        <v>-2.5915951717202301E-2</v>
      </c>
      <c r="J394" s="9"/>
      <c r="K394" s="7">
        <v>6002.47</v>
      </c>
      <c r="L394" s="8">
        <f>IFERROR(K394/K444, "NA")</f>
        <v>1.7017254575942074E-2</v>
      </c>
      <c r="M394" s="9"/>
      <c r="N394" s="10">
        <f t="shared" si="97"/>
        <v>2102.2000000000003</v>
      </c>
      <c r="O394" s="8">
        <f>IFERROR(N394/N444, "NA")</f>
        <v>2.5380621795050566E-2</v>
      </c>
      <c r="P394" s="9"/>
      <c r="Q394" s="7">
        <v>3900.27</v>
      </c>
      <c r="R394" s="8">
        <f>IFERROR(Q394/Q444, "NA")</f>
        <v>8.9547041119427667E-3</v>
      </c>
      <c r="S394" s="9"/>
      <c r="T394" s="7">
        <v>1766.01</v>
      </c>
      <c r="U394" s="8">
        <f>IFERROR(T394/T444, "NA")</f>
        <v>4.9999958947038528E-3</v>
      </c>
      <c r="V394" s="9"/>
      <c r="W394" s="10">
        <f t="shared" si="98"/>
        <v>-2134.2600000000002</v>
      </c>
      <c r="X394" s="8">
        <f>IFERROR(W394/W444, "NA")</f>
        <v>-2.5915951717202301E-2</v>
      </c>
      <c r="Y394" s="9"/>
      <c r="Z394" s="7">
        <v>6002.47</v>
      </c>
      <c r="AA394" s="8">
        <f>IFERROR(Z394/Z444, "NA")</f>
        <v>1.7017254575942074E-2</v>
      </c>
      <c r="AB394" s="9"/>
      <c r="AC394" s="10">
        <f t="shared" si="99"/>
        <v>2102.2000000000003</v>
      </c>
      <c r="AD394" s="8">
        <f>IFERROR(AC394/AC444, "NA")</f>
        <v>2.5380621795050566E-2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26443.170000000002</v>
      </c>
      <c r="C396" s="15">
        <f>IFERROR(B396/B444, "NA")</f>
        <v>6.0711377194861291E-2</v>
      </c>
      <c r="D396" s="2"/>
      <c r="E396" s="14">
        <f>IFERROR(E385+E386+E388+E389+E390+E391+E392+E394+E395, "NA")</f>
        <v>14675.960000000001</v>
      </c>
      <c r="F396" s="15">
        <f>IFERROR(E396/E444, "NA")</f>
        <v>4.155114622841205E-2</v>
      </c>
      <c r="G396" s="2"/>
      <c r="H396" s="14">
        <f t="shared" si="96"/>
        <v>-11767.210000000001</v>
      </c>
      <c r="I396" s="15">
        <f>IFERROR(H396/H444, "NA")</f>
        <v>-0.14288720502946223</v>
      </c>
      <c r="J396" s="2"/>
      <c r="K396" s="14">
        <f>IFERROR(K385+K386+K388+K389+K390+K391+K392+K394+K395, "NA")</f>
        <v>18079.009999999998</v>
      </c>
      <c r="L396" s="15">
        <f>IFERROR(K396/K444, "NA")</f>
        <v>5.1254752735291051E-2</v>
      </c>
      <c r="M396" s="2"/>
      <c r="N396" s="14">
        <f t="shared" si="97"/>
        <v>-8364.1600000000035</v>
      </c>
      <c r="O396" s="15">
        <f>IFERROR(N396/N444, "NA")</f>
        <v>-0.10098353229630397</v>
      </c>
      <c r="P396" s="2"/>
      <c r="Q396" s="14">
        <f>IFERROR(Q385+Q386+Q388+Q389+Q390+Q391+Q392+Q394+Q395, "NA")</f>
        <v>26443.170000000002</v>
      </c>
      <c r="R396" s="15">
        <f>IFERROR(Q396/Q444, "NA")</f>
        <v>6.0711377194861291E-2</v>
      </c>
      <c r="S396" s="2"/>
      <c r="T396" s="14">
        <f>IFERROR(T385+T386+T388+T389+T390+T391+T392+T394+T395, "NA")</f>
        <v>14675.960000000001</v>
      </c>
      <c r="U396" s="15">
        <f>IFERROR(T396/T444, "NA")</f>
        <v>4.155114622841205E-2</v>
      </c>
      <c r="V396" s="2"/>
      <c r="W396" s="14">
        <f t="shared" si="98"/>
        <v>-11767.210000000001</v>
      </c>
      <c r="X396" s="15">
        <f>IFERROR(W396/W444, "NA")</f>
        <v>-0.14288720502946223</v>
      </c>
      <c r="Y396" s="2"/>
      <c r="Z396" s="14">
        <f>IFERROR(Z385+Z386+Z388+Z389+Z390+Z391+Z392+Z394+Z395, "NA")</f>
        <v>18079.009999999998</v>
      </c>
      <c r="AA396" s="15">
        <f>IFERROR(Z396/Z444, "NA")</f>
        <v>5.1254752735291051E-2</v>
      </c>
      <c r="AB396" s="2"/>
      <c r="AC396" s="14">
        <f t="shared" si="99"/>
        <v>-8364.1600000000035</v>
      </c>
      <c r="AD396" s="15">
        <f>IFERROR(AC396/AC444, "NA")</f>
        <v>-0.10098353229630397</v>
      </c>
    </row>
    <row r="397" spans="1:30" ht="16.5" customHeight="1" x14ac:dyDescent="0.45">
      <c r="A397" s="20" t="s">
        <v>363</v>
      </c>
      <c r="B397" s="7">
        <v>1771.43</v>
      </c>
      <c r="C397" s="8">
        <f>IFERROR(B397/B444, "NA")</f>
        <v>4.0670598458616399E-3</v>
      </c>
      <c r="D397" s="9"/>
      <c r="E397" s="7">
        <v>6633.33</v>
      </c>
      <c r="F397" s="8">
        <f>IFERROR(E397/E444, "NA")</f>
        <v>1.8780540749042139E-2</v>
      </c>
      <c r="G397" s="9"/>
      <c r="H397" s="10">
        <f t="shared" si="96"/>
        <v>4861.8999999999996</v>
      </c>
      <c r="I397" s="8">
        <f>IFERROR(H397/H444, "NA")</f>
        <v>5.9037214610153328E-2</v>
      </c>
      <c r="J397" s="9"/>
      <c r="K397" s="7">
        <v>6421.62</v>
      </c>
      <c r="L397" s="8">
        <f>IFERROR(K397/K444, "NA")</f>
        <v>1.8205562431792433E-2</v>
      </c>
      <c r="M397" s="9"/>
      <c r="N397" s="10">
        <f t="shared" si="97"/>
        <v>4650.1899999999996</v>
      </c>
      <c r="O397" s="8">
        <f>IFERROR(N397/N444, "NA")</f>
        <v>5.6143427678206723E-2</v>
      </c>
      <c r="P397" s="9"/>
      <c r="Q397" s="7">
        <v>1771.43</v>
      </c>
      <c r="R397" s="8">
        <f>IFERROR(Q397/Q444, "NA")</f>
        <v>4.0670598458616399E-3</v>
      </c>
      <c r="S397" s="9"/>
      <c r="T397" s="7">
        <v>6633.33</v>
      </c>
      <c r="U397" s="8">
        <f>IFERROR(T397/T444, "NA")</f>
        <v>1.8780540749042139E-2</v>
      </c>
      <c r="V397" s="9"/>
      <c r="W397" s="10">
        <f t="shared" si="98"/>
        <v>4861.8999999999996</v>
      </c>
      <c r="X397" s="8">
        <f>IFERROR(W397/W444, "NA")</f>
        <v>5.9037214610153328E-2</v>
      </c>
      <c r="Y397" s="9"/>
      <c r="Z397" s="7">
        <v>6421.62</v>
      </c>
      <c r="AA397" s="8">
        <f>IFERROR(Z397/Z444, "NA")</f>
        <v>1.8205562431792433E-2</v>
      </c>
      <c r="AB397" s="9"/>
      <c r="AC397" s="10">
        <f t="shared" si="99"/>
        <v>4650.1899999999996</v>
      </c>
      <c r="AD397" s="8">
        <f>IFERROR(AC397/AC444, "NA")</f>
        <v>5.6143427678206723E-2</v>
      </c>
    </row>
    <row r="398" spans="1:30" ht="16.5" customHeight="1" x14ac:dyDescent="0.45">
      <c r="A398" s="20" t="s">
        <v>364</v>
      </c>
      <c r="B398" s="7">
        <v>120.16</v>
      </c>
      <c r="C398" s="8">
        <f>IFERROR(B398/B444, "NA")</f>
        <v>2.758776305463578E-4</v>
      </c>
      <c r="D398" s="9"/>
      <c r="E398" s="7">
        <v>75</v>
      </c>
      <c r="F398" s="8">
        <f>IFERROR(E398/E444, "NA")</f>
        <v>2.1234290411877E-4</v>
      </c>
      <c r="G398" s="9"/>
      <c r="H398" s="10">
        <f t="shared" si="96"/>
        <v>-45.16</v>
      </c>
      <c r="I398" s="8">
        <f>IFERROR(H398/H444, "NA")</f>
        <v>-5.4837010464931901E-4</v>
      </c>
      <c r="J398" s="9"/>
      <c r="K398" s="7">
        <v>178.99</v>
      </c>
      <c r="L398" s="8">
        <f>IFERROR(K398/K444, "NA")</f>
        <v>5.0744416824205236E-4</v>
      </c>
      <c r="M398" s="9"/>
      <c r="N398" s="10">
        <f t="shared" si="97"/>
        <v>58.830000000000013</v>
      </c>
      <c r="O398" s="8">
        <f>IFERROR(N398/N444, "NA")</f>
        <v>7.1027589201922987E-4</v>
      </c>
      <c r="P398" s="9"/>
      <c r="Q398" s="7">
        <v>120.16</v>
      </c>
      <c r="R398" s="8">
        <f>IFERROR(Q398/Q444, "NA")</f>
        <v>2.758776305463578E-4</v>
      </c>
      <c r="S398" s="9"/>
      <c r="T398" s="7">
        <v>75</v>
      </c>
      <c r="U398" s="8">
        <f>IFERROR(T398/T444, "NA")</f>
        <v>2.1234290411877E-4</v>
      </c>
      <c r="V398" s="9"/>
      <c r="W398" s="10">
        <f t="shared" si="98"/>
        <v>-45.16</v>
      </c>
      <c r="X398" s="8">
        <f>IFERROR(W398/W444, "NA")</f>
        <v>-5.4837010464931901E-4</v>
      </c>
      <c r="Y398" s="9"/>
      <c r="Z398" s="7">
        <v>178.99</v>
      </c>
      <c r="AA398" s="8">
        <f>IFERROR(Z398/Z444, "NA")</f>
        <v>5.0744416824205236E-4</v>
      </c>
      <c r="AB398" s="9"/>
      <c r="AC398" s="10">
        <f t="shared" si="99"/>
        <v>58.830000000000013</v>
      </c>
      <c r="AD398" s="8">
        <f>IFERROR(AC398/AC444, "NA")</f>
        <v>7.1027589201922987E-4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700</v>
      </c>
      <c r="F399" s="8">
        <f>IFERROR(E399/E444, "NA")</f>
        <v>1.98186710510852E-3</v>
      </c>
      <c r="G399" s="9"/>
      <c r="H399" s="10">
        <f t="shared" si="96"/>
        <v>700</v>
      </c>
      <c r="I399" s="8">
        <f>IFERROR(H399/H444, "NA")</f>
        <v>8.4999794786209774E-3</v>
      </c>
      <c r="J399" s="9"/>
      <c r="K399" s="7">
        <v>1562.5</v>
      </c>
      <c r="L399" s="8">
        <f>IFERROR(K399/K444, "NA")</f>
        <v>4.4297531307794106E-3</v>
      </c>
      <c r="M399" s="9"/>
      <c r="N399" s="10">
        <f t="shared" si="97"/>
        <v>1562.5</v>
      </c>
      <c r="O399" s="8">
        <f>IFERROR(N399/N444, "NA")</f>
        <v>1.8864628272650799E-2</v>
      </c>
      <c r="P399" s="9"/>
      <c r="Q399" s="7">
        <v>0</v>
      </c>
      <c r="R399" s="8">
        <f>IFERROR(Q399/Q444, "NA")</f>
        <v>0</v>
      </c>
      <c r="S399" s="9"/>
      <c r="T399" s="7">
        <v>700</v>
      </c>
      <c r="U399" s="8">
        <f>IFERROR(T399/T444, "NA")</f>
        <v>1.98186710510852E-3</v>
      </c>
      <c r="V399" s="9"/>
      <c r="W399" s="10">
        <f t="shared" si="98"/>
        <v>700</v>
      </c>
      <c r="X399" s="8">
        <f>IFERROR(W399/W444, "NA")</f>
        <v>8.4999794786209774E-3</v>
      </c>
      <c r="Y399" s="9"/>
      <c r="Z399" s="7">
        <v>1562.5</v>
      </c>
      <c r="AA399" s="8">
        <f>IFERROR(Z399/Z444, "NA")</f>
        <v>4.4297531307794106E-3</v>
      </c>
      <c r="AB399" s="9"/>
      <c r="AC399" s="10">
        <f t="shared" si="99"/>
        <v>1562.5</v>
      </c>
      <c r="AD399" s="8">
        <f>IFERROR(AC399/AC444, "NA")</f>
        <v>1.8864628272650799E-2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2.3625340580683513E-2</v>
      </c>
      <c r="M401" s="9"/>
      <c r="N401" s="10">
        <f t="shared" si="97"/>
        <v>8333.33</v>
      </c>
      <c r="O401" s="8">
        <f>IFERROR(N401/N444, "NA")</f>
        <v>0.1006113105429306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8333.33</v>
      </c>
      <c r="AA401" s="8">
        <f>IFERROR(Z401/Z444, "NA")</f>
        <v>2.3625340580683513E-2</v>
      </c>
      <c r="AB401" s="9"/>
      <c r="AC401" s="10">
        <f t="shared" si="99"/>
        <v>8333.33</v>
      </c>
      <c r="AD401" s="8">
        <f>IFERROR(AC401/AC444, "NA")</f>
        <v>0.1006113105429306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135226.84999999998</v>
      </c>
      <c r="C403" s="15">
        <f>IFERROR(B403/B444, "NA")</f>
        <v>0.3104698981711696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140018.47999999998</v>
      </c>
      <c r="F403" s="15">
        <f>IFERROR(E403/E444, "NA")</f>
        <v>0.39642574231327882</v>
      </c>
      <c r="G403" s="2"/>
      <c r="H403" s="14">
        <f t="shared" si="96"/>
        <v>4791.6300000000047</v>
      </c>
      <c r="I403" s="15">
        <f>IFERROR(H403/H444, "NA")</f>
        <v>5.8183938098778108E-2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128571.71000000002</v>
      </c>
      <c r="L403" s="15">
        <f>IFERROR(K403/K444, "NA")</f>
        <v>0.36450619833738407</v>
      </c>
      <c r="M403" s="2"/>
      <c r="N403" s="14">
        <f t="shared" si="97"/>
        <v>-6655.1399999999558</v>
      </c>
      <c r="O403" s="15">
        <f>IFERROR(N403/N444, "NA")</f>
        <v>-8.0349915009566966E-2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135226.84999999998</v>
      </c>
      <c r="R403" s="15">
        <f>IFERROR(Q403/Q444, "NA")</f>
        <v>0.3104698981711696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140018.47999999998</v>
      </c>
      <c r="U403" s="15">
        <f>IFERROR(T403/T444, "NA")</f>
        <v>0.39642574231327882</v>
      </c>
      <c r="V403" s="2"/>
      <c r="W403" s="14">
        <f t="shared" si="98"/>
        <v>4791.6300000000047</v>
      </c>
      <c r="X403" s="15">
        <f>IFERROR(W403/W444, "NA")</f>
        <v>5.8183938098778108E-2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128571.71000000002</v>
      </c>
      <c r="AA403" s="15">
        <f>IFERROR(Z403/Z444, "NA")</f>
        <v>0.36450619833738407</v>
      </c>
      <c r="AB403" s="2"/>
      <c r="AC403" s="14">
        <f t="shared" si="99"/>
        <v>-6655.1399999999558</v>
      </c>
      <c r="AD403" s="15">
        <f>IFERROR(AC403/AC444, "NA")</f>
        <v>-8.0349915009566966E-2</v>
      </c>
    </row>
    <row r="404" spans="1:30" ht="16.5" customHeight="1" x14ac:dyDescent="0.45">
      <c r="A404" s="22" t="s">
        <v>370</v>
      </c>
      <c r="B404" s="23">
        <f>IFERROR(B345-B403, "NA")</f>
        <v>-160178.89000000001</v>
      </c>
      <c r="C404" s="24">
        <f>IFERROR(B404/B444, "NA")</f>
        <v>-0.36775776162404866</v>
      </c>
      <c r="D404" s="25"/>
      <c r="E404" s="23">
        <f>IFERROR(E345-E403, "NA")</f>
        <v>-173805.57999999996</v>
      </c>
      <c r="F404" s="24">
        <f>IFERROR(E404/E444, "NA")</f>
        <v>-0.49208508812329599</v>
      </c>
      <c r="G404" s="25"/>
      <c r="H404" s="23">
        <f>IFERROR(B404-E404, "NA")</f>
        <v>13626.689999999944</v>
      </c>
      <c r="I404" s="24">
        <f>IFERROR(H404/H444, "NA")</f>
        <v>0.1654665505164703</v>
      </c>
      <c r="J404" s="25"/>
      <c r="K404" s="23">
        <f>IFERROR(K345-K403, "NA")</f>
        <v>-157389.22999999995</v>
      </c>
      <c r="L404" s="24">
        <f>IFERROR(K404/K444, "NA")</f>
        <v>-0.44620507797981473</v>
      </c>
      <c r="M404" s="25"/>
      <c r="N404" s="23">
        <f>IFERROR(B404-K404, "NA")</f>
        <v>-2789.6600000000617</v>
      </c>
      <c r="O404" s="24">
        <f>IFERROR(N404/N444, "NA")</f>
        <v>-3.368057530053388E-2</v>
      </c>
      <c r="P404" s="25"/>
      <c r="Q404" s="23">
        <f>IFERROR(Q345-Q403, "NA")</f>
        <v>-160178.89000000001</v>
      </c>
      <c r="R404" s="24">
        <f>IFERROR(Q404/Q444, "NA")</f>
        <v>-0.36775776162404866</v>
      </c>
      <c r="S404" s="25"/>
      <c r="T404" s="23">
        <f>IFERROR(T345-T403, "NA")</f>
        <v>-173805.57999999996</v>
      </c>
      <c r="U404" s="24">
        <f>IFERROR(T404/T444, "NA")</f>
        <v>-0.49208508812329599</v>
      </c>
      <c r="V404" s="25"/>
      <c r="W404" s="23">
        <f>IFERROR(Q404-T404, "NA")</f>
        <v>13626.689999999944</v>
      </c>
      <c r="X404" s="24">
        <f>IFERROR(W404/W444, "NA")</f>
        <v>0.1654665505164703</v>
      </c>
      <c r="Y404" s="25"/>
      <c r="Z404" s="23">
        <f>IFERROR(Z345-Z403, "NA")</f>
        <v>-157389.22999999995</v>
      </c>
      <c r="AA404" s="24">
        <f>IFERROR(Z404/Z444, "NA")</f>
        <v>-0.44620507797981473</v>
      </c>
      <c r="AB404" s="25"/>
      <c r="AC404" s="23">
        <f>IFERROR(Q404-Z404, "NA")</f>
        <v>-2789.6600000000617</v>
      </c>
      <c r="AD404" s="24">
        <f>IFERROR(AC404/AC444, "NA")</f>
        <v>-3.368057530053388E-2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27763.239999999998</v>
      </c>
      <c r="C410" s="8">
        <f>IFERROR(B410/B444, "NA")</f>
        <v>6.3742151027711899E-2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-27763.239999999998</v>
      </c>
      <c r="I410" s="8">
        <f>IFERROR(H410/H444, "NA")</f>
        <v>-0.33712424322861295</v>
      </c>
      <c r="J410" s="9"/>
      <c r="K410" s="7">
        <v>33572.86</v>
      </c>
      <c r="L410" s="8">
        <f>IFERROR(K410/K444, "NA")</f>
        <v>9.518046828430006E-2</v>
      </c>
      <c r="M410" s="9"/>
      <c r="N410" s="10">
        <f t="shared" si="101"/>
        <v>5809.6200000000026</v>
      </c>
      <c r="O410" s="8">
        <f>IFERROR(N410/N444, "NA")</f>
        <v>7.014164589142885E-2</v>
      </c>
      <c r="P410" s="9"/>
      <c r="Q410" s="7">
        <v>27763.239999999998</v>
      </c>
      <c r="R410" s="8">
        <f>IFERROR(Q410/Q444, "NA")</f>
        <v>6.3742151027711899E-2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-27763.239999999998</v>
      </c>
      <c r="X410" s="8">
        <f>IFERROR(W410/W444, "NA")</f>
        <v>-0.33712424322861295</v>
      </c>
      <c r="Y410" s="9"/>
      <c r="Z410" s="7">
        <v>33572.86</v>
      </c>
      <c r="AA410" s="8">
        <f>IFERROR(Z410/Z444, "NA")</f>
        <v>9.518046828430006E-2</v>
      </c>
      <c r="AB410" s="9"/>
      <c r="AC410" s="10">
        <f t="shared" si="103"/>
        <v>5809.6200000000026</v>
      </c>
      <c r="AD410" s="8">
        <f>IFERROR(AC410/AC444, "NA")</f>
        <v>7.014164589142885E-2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-109.72</v>
      </c>
      <c r="C416" s="8">
        <f>IFERROR(B416/B444, "NA")</f>
        <v>-2.5190823588171088E-4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109.72</v>
      </c>
      <c r="I416" s="8">
        <f>IFERROR(H416/H444, "NA")</f>
        <v>1.3323110691347052E-3</v>
      </c>
      <c r="J416" s="9"/>
      <c r="K416" s="7">
        <v>-92.24</v>
      </c>
      <c r="L416" s="8">
        <f>IFERROR(K416/K444, "NA")</f>
        <v>-2.6150427442117943E-4</v>
      </c>
      <c r="M416" s="9"/>
      <c r="N416" s="10">
        <f t="shared" si="101"/>
        <v>17.480000000000004</v>
      </c>
      <c r="O416" s="8">
        <f>IFERROR(N416/N444, "NA")</f>
        <v>2.1104236941179905E-4</v>
      </c>
      <c r="P416" s="9"/>
      <c r="Q416" s="7">
        <v>-109.72</v>
      </c>
      <c r="R416" s="8">
        <f>IFERROR(Q416/Q444, "NA")</f>
        <v>-2.5190823588171088E-4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109.72</v>
      </c>
      <c r="X416" s="8">
        <f>IFERROR(W416/W444, "NA")</f>
        <v>1.3323110691347052E-3</v>
      </c>
      <c r="Y416" s="9"/>
      <c r="Z416" s="7">
        <v>-92.24</v>
      </c>
      <c r="AA416" s="8">
        <f>IFERROR(Z416/Z444, "NA")</f>
        <v>-2.6150427442117943E-4</v>
      </c>
      <c r="AB416" s="9"/>
      <c r="AC416" s="10">
        <f t="shared" si="103"/>
        <v>17.480000000000004</v>
      </c>
      <c r="AD416" s="8">
        <f>IFERROR(AC416/AC444, "NA")</f>
        <v>2.1104236941179905E-4</v>
      </c>
    </row>
    <row r="417" spans="1:30" ht="16.5" customHeight="1" x14ac:dyDescent="0.45">
      <c r="A417" s="6" t="s">
        <v>382</v>
      </c>
      <c r="B417" s="7">
        <v>238.49</v>
      </c>
      <c r="C417" s="8">
        <f>IFERROR(B417/B444, "NA")</f>
        <v>5.4755372926931485E-4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-238.49</v>
      </c>
      <c r="I417" s="8">
        <f>IFERROR(H417/H444, "NA")</f>
        <v>-2.8959430083661673E-3</v>
      </c>
      <c r="J417" s="9"/>
      <c r="K417" s="7">
        <v>-28.35</v>
      </c>
      <c r="L417" s="8">
        <f>IFERROR(K417/K444, "NA")</f>
        <v>-8.0373440804861631E-5</v>
      </c>
      <c r="M417" s="9"/>
      <c r="N417" s="10">
        <f t="shared" si="101"/>
        <v>-266.84000000000003</v>
      </c>
      <c r="O417" s="8">
        <f>IFERROR(N417/N444, "NA")</f>
        <v>-3.2216559412954491E-3</v>
      </c>
      <c r="P417" s="9"/>
      <c r="Q417" s="7">
        <v>238.49</v>
      </c>
      <c r="R417" s="8">
        <f>IFERROR(Q417/Q444, "NA")</f>
        <v>5.4755372926931485E-4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-238.49</v>
      </c>
      <c r="X417" s="8">
        <f>IFERROR(W417/W444, "NA")</f>
        <v>-2.8959430083661673E-3</v>
      </c>
      <c r="Y417" s="9"/>
      <c r="Z417" s="7">
        <v>-28.35</v>
      </c>
      <c r="AA417" s="8">
        <f>IFERROR(Z417/Z444, "NA")</f>
        <v>-8.0373440804861631E-5</v>
      </c>
      <c r="AB417" s="9"/>
      <c r="AC417" s="10">
        <f t="shared" si="103"/>
        <v>-266.84000000000003</v>
      </c>
      <c r="AD417" s="8">
        <f>IFERROR(AC417/AC444, "NA")</f>
        <v>-3.2216559412954491E-3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-20</v>
      </c>
      <c r="C421" s="8">
        <f>IFERROR(B421/B444, "NA")</f>
        <v>-4.5918380583614811E-5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20</v>
      </c>
      <c r="I421" s="8">
        <f>IFERROR(H421/H444, "NA")</f>
        <v>2.4285655653202793E-4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20</v>
      </c>
      <c r="O421" s="8">
        <f>IFERROR(N421/N444, "NA")</f>
        <v>2.4146724188993022E-4</v>
      </c>
      <c r="P421" s="9"/>
      <c r="Q421" s="7">
        <v>-20</v>
      </c>
      <c r="R421" s="8">
        <f>IFERROR(Q421/Q444, "NA")</f>
        <v>-4.5918380583614811E-5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20</v>
      </c>
      <c r="X421" s="8">
        <f>IFERROR(W421/W444, "NA")</f>
        <v>2.4285655653202793E-4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20</v>
      </c>
      <c r="AD421" s="8">
        <f>IFERROR(AC421/AC444, "NA")</f>
        <v>2.4146724188993022E-4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-0.99</v>
      </c>
      <c r="C423" s="8">
        <f>IFERROR(B423/B444, "NA")</f>
        <v>-2.272959838888933E-6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0.99</v>
      </c>
      <c r="I423" s="8">
        <f>IFERROR(H423/H444, "NA")</f>
        <v>1.2021399548335383E-5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0.99</v>
      </c>
      <c r="O423" s="8">
        <f>IFERROR(N423/N444, "NA")</f>
        <v>1.1952628473551545E-5</v>
      </c>
      <c r="P423" s="9"/>
      <c r="Q423" s="7">
        <v>-0.99</v>
      </c>
      <c r="R423" s="8">
        <f>IFERROR(Q423/Q444, "NA")</f>
        <v>-2.272959838888933E-6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0.99</v>
      </c>
      <c r="X423" s="8">
        <f>IFERROR(W423/W444, "NA")</f>
        <v>1.2021399548335383E-5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0.99</v>
      </c>
      <c r="AD423" s="8">
        <f>IFERROR(AC423/AC444, "NA")</f>
        <v>1.1952628473551545E-5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1.1002043987834109E-4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-5.8188430945073897E-4</v>
      </c>
      <c r="J424" s="9"/>
      <c r="K424" s="7">
        <v>24.48</v>
      </c>
      <c r="L424" s="8">
        <f>IFERROR(K424/K444, "NA")</f>
        <v>6.9401828250547189E-5</v>
      </c>
      <c r="M424" s="9"/>
      <c r="N424" s="10">
        <f t="shared" si="101"/>
        <v>-23.44</v>
      </c>
      <c r="O424" s="8">
        <f>IFERROR(N424/N444, "NA")</f>
        <v>-2.8299960749499824E-4</v>
      </c>
      <c r="P424" s="9"/>
      <c r="Q424" s="7">
        <v>47.92</v>
      </c>
      <c r="R424" s="8">
        <f>IFERROR(Q424/Q444, "NA")</f>
        <v>1.1002043987834109E-4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-47.92</v>
      </c>
      <c r="X424" s="8">
        <f>IFERROR(W424/W444, "NA")</f>
        <v>-5.8188430945073897E-4</v>
      </c>
      <c r="Y424" s="9"/>
      <c r="Z424" s="7">
        <v>24.48</v>
      </c>
      <c r="AA424" s="8">
        <f>IFERROR(Z424/Z444, "NA")</f>
        <v>6.9401828250547189E-5</v>
      </c>
      <c r="AB424" s="9"/>
      <c r="AC424" s="10">
        <f t="shared" si="103"/>
        <v>-23.44</v>
      </c>
      <c r="AD424" s="8">
        <f>IFERROR(AC424/AC444, "NA")</f>
        <v>-2.8299960749499824E-4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-375.5</v>
      </c>
      <c r="C426" s="8">
        <f>IFERROR(B426/B444, "NA")</f>
        <v>-8.6211759545736812E-4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375.5</v>
      </c>
      <c r="I426" s="8">
        <f>IFERROR(H426/H444, "NA")</f>
        <v>4.5596318488888244E-3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375.5</v>
      </c>
      <c r="O426" s="8">
        <f>IFERROR(N426/N444, "NA")</f>
        <v>4.5335474664834393E-3</v>
      </c>
      <c r="P426" s="9"/>
      <c r="Q426" s="7">
        <v>-375.5</v>
      </c>
      <c r="R426" s="8">
        <f>IFERROR(Q426/Q444, "NA")</f>
        <v>-8.6211759545736812E-4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375.5</v>
      </c>
      <c r="X426" s="8">
        <f>IFERROR(W426/W444, "NA")</f>
        <v>4.5596318488888244E-3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375.5</v>
      </c>
      <c r="AD426" s="8">
        <f>IFERROR(AC426/AC444, "NA")</f>
        <v>4.5335474664834393E-3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27543.439999999995</v>
      </c>
      <c r="C428" s="15">
        <f>IFERROR(B428/B444, "NA")</f>
        <v>6.3237508025097963E-2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-27543.439999999995</v>
      </c>
      <c r="I428" s="15">
        <f>IFERROR(H428/H444, "NA")</f>
        <v>-0.33445524967232593</v>
      </c>
      <c r="J428" s="2"/>
      <c r="K428" s="14">
        <f>IFERROR(K407+K408+K409+K410+K411+K412+K413+K414+K415+K416+K417+K418+K419+K420+K421+K422+K423+K424+K425+K426+K427, "NA")</f>
        <v>33476.750000000007</v>
      </c>
      <c r="L428" s="15">
        <f>IFERROR(K428/K444, "NA")</f>
        <v>9.4907992397324586E-2</v>
      </c>
      <c r="M428" s="2"/>
      <c r="N428" s="14">
        <f t="shared" si="101"/>
        <v>5933.3100000000122</v>
      </c>
      <c r="O428" s="15">
        <f>IFERROR(N428/N444, "NA")</f>
        <v>7.1635000048897238E-2</v>
      </c>
      <c r="P428" s="2"/>
      <c r="Q428" s="14">
        <f>IFERROR(Q407+Q408+Q409+Q410+Q411+Q412+Q413+Q414+Q415+Q416+Q417+Q418+Q419+Q420+Q421+Q422+Q423+Q424+Q425+Q426+Q427, "NA")</f>
        <v>27543.439999999995</v>
      </c>
      <c r="R428" s="15">
        <f>IFERROR(Q428/Q444, "NA")</f>
        <v>6.3237508025097963E-2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-27543.439999999995</v>
      </c>
      <c r="X428" s="15">
        <f>IFERROR(W428/W444, "NA")</f>
        <v>-0.33445524967232593</v>
      </c>
      <c r="Y428" s="2"/>
      <c r="Z428" s="14">
        <f>IFERROR(Z407+Z408+Z409+Z410+Z411+Z412+Z413+Z414+Z415+Z416+Z417+Z418+Z419+Z420+Z421+Z422+Z423+Z424+Z425+Z426+Z427, "NA")</f>
        <v>33476.750000000007</v>
      </c>
      <c r="AA428" s="15">
        <f>IFERROR(Z428/Z444, "NA")</f>
        <v>9.4907992397324586E-2</v>
      </c>
      <c r="AB428" s="2"/>
      <c r="AC428" s="14">
        <f t="shared" si="103"/>
        <v>5933.3100000000122</v>
      </c>
      <c r="AD428" s="15">
        <f>IFERROR(AC428/AC444, "NA")</f>
        <v>7.1635000048897238E-2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27543.439999999995</v>
      </c>
      <c r="C429" s="15">
        <f>IFERROR(B429/B444, "NA")</f>
        <v>6.3237508025097963E-2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-27543.439999999995</v>
      </c>
      <c r="I429" s="15">
        <f>IFERROR(H429/H444, "NA")</f>
        <v>-0.33445524967232593</v>
      </c>
      <c r="J429" s="2"/>
      <c r="K429" s="14">
        <f>IFERROR(K407+K408+K409+K410+K411+K412+K413+K414+K415+K416+K417+K418+K419+K420+K421+K422+K423+K424+K425+K426+K427, "NA")</f>
        <v>33476.750000000007</v>
      </c>
      <c r="L429" s="15">
        <f>IFERROR(K429/K444, "NA")</f>
        <v>9.4907992397324586E-2</v>
      </c>
      <c r="M429" s="2"/>
      <c r="N429" s="14">
        <f t="shared" si="101"/>
        <v>5933.3100000000122</v>
      </c>
      <c r="O429" s="15">
        <f>IFERROR(N429/N444, "NA")</f>
        <v>7.1635000048897238E-2</v>
      </c>
      <c r="P429" s="2"/>
      <c r="Q429" s="14">
        <f>IFERROR(Q407+Q408+Q409+Q410+Q411+Q412+Q413+Q414+Q415+Q416+Q417+Q418+Q419+Q420+Q421+Q422+Q423+Q424+Q425+Q426+Q427, "NA")</f>
        <v>27543.439999999995</v>
      </c>
      <c r="R429" s="15">
        <f>IFERROR(Q429/Q444, "NA")</f>
        <v>6.3237508025097963E-2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-27543.439999999995</v>
      </c>
      <c r="X429" s="15">
        <f>IFERROR(W429/W444, "NA")</f>
        <v>-0.33445524967232593</v>
      </c>
      <c r="Y429" s="2"/>
      <c r="Z429" s="14">
        <f>IFERROR(Z407+Z408+Z409+Z410+Z411+Z412+Z413+Z414+Z415+Z416+Z417+Z418+Z419+Z420+Z421+Z422+Z423+Z424+Z425+Z426+Z427, "NA")</f>
        <v>33476.750000000007</v>
      </c>
      <c r="AA429" s="15">
        <f>IFERROR(Z429/Z444, "NA")</f>
        <v>9.4907992397324586E-2</v>
      </c>
      <c r="AB429" s="2"/>
      <c r="AC429" s="14">
        <f t="shared" si="103"/>
        <v>5933.3100000000122</v>
      </c>
      <c r="AD429" s="15">
        <f>IFERROR(AC429/AC444, "NA")</f>
        <v>7.1635000048897238E-2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-187722.33000000002</v>
      </c>
      <c r="C443" s="24">
        <f>IFERROR(B443/B444, "NA")</f>
        <v>-0.43099526964914664</v>
      </c>
      <c r="D443" s="25"/>
      <c r="E443" s="23">
        <f>IFERROR(E404-E429-E442, "NA")</f>
        <v>-173805.57999999996</v>
      </c>
      <c r="F443" s="24">
        <f>IFERROR(E443/E444, "NA")</f>
        <v>-0.49208508812329599</v>
      </c>
      <c r="G443" s="25"/>
      <c r="H443" s="23">
        <f>IFERROR(B443-E443, "NA")</f>
        <v>-13916.750000000058</v>
      </c>
      <c r="I443" s="24">
        <f>IFERROR(H443/H444, "NA")</f>
        <v>-0.16898869915585568</v>
      </c>
      <c r="J443" s="25"/>
      <c r="K443" s="23">
        <f>IFERROR(K404-K429-K442, "NA")</f>
        <v>-190865.97999999995</v>
      </c>
      <c r="L443" s="24">
        <f>IFERROR(K443/K444, "NA")</f>
        <v>-0.54111307037713929</v>
      </c>
      <c r="M443" s="25"/>
      <c r="N443" s="23">
        <f>IFERROR(B443-K443, "NA")</f>
        <v>3143.649999999936</v>
      </c>
      <c r="O443" s="24">
        <f>IFERROR(N443/N444, "NA")</f>
        <v>3.7954424748363184E-2</v>
      </c>
      <c r="P443" s="25"/>
      <c r="Q443" s="23">
        <f>IFERROR(Q404-Q429-Q442, "NA")</f>
        <v>-187722.33000000002</v>
      </c>
      <c r="R443" s="24">
        <f>IFERROR(Q443/Q444, "NA")</f>
        <v>-0.43099526964914664</v>
      </c>
      <c r="S443" s="25"/>
      <c r="T443" s="23">
        <f>IFERROR(T404-T429-T442, "NA")</f>
        <v>-173805.57999999996</v>
      </c>
      <c r="U443" s="24">
        <f>IFERROR(T443/T444, "NA")</f>
        <v>-0.49208508812329599</v>
      </c>
      <c r="V443" s="25"/>
      <c r="W443" s="23">
        <f>IFERROR(Q443-T443, "NA")</f>
        <v>-13916.750000000058</v>
      </c>
      <c r="X443" s="24">
        <f>IFERROR(W443/W444, "NA")</f>
        <v>-0.16898869915585568</v>
      </c>
      <c r="Y443" s="25"/>
      <c r="Z443" s="23">
        <f>IFERROR(Z404-Z429-Z442, "NA")</f>
        <v>-190865.97999999995</v>
      </c>
      <c r="AA443" s="24">
        <f>IFERROR(Z443/Z444, "NA")</f>
        <v>-0.54111307037713929</v>
      </c>
      <c r="AB443" s="25"/>
      <c r="AC443" s="23">
        <f>IFERROR(Q443-Z443, "NA")</f>
        <v>3143.649999999936</v>
      </c>
      <c r="AD443" s="24">
        <f>IFERROR(AC443/AC444, "NA")</f>
        <v>3.7954424748363184E-2</v>
      </c>
    </row>
    <row r="444" spans="1:30" ht="15.75" hidden="1" x14ac:dyDescent="0.45">
      <c r="A444" s="26" t="s">
        <v>117</v>
      </c>
      <c r="B444" s="7">
        <v>435555.43</v>
      </c>
      <c r="C444" s="27"/>
      <c r="D444" s="9"/>
      <c r="E444" s="7">
        <v>353202.29000000004</v>
      </c>
      <c r="F444" s="27"/>
      <c r="G444" s="9"/>
      <c r="H444" s="10">
        <f>IFERROR(B444-E444, "NA")</f>
        <v>82353.139999999956</v>
      </c>
      <c r="I444" s="27"/>
      <c r="J444" s="9"/>
      <c r="K444" s="7">
        <v>352728.45999999996</v>
      </c>
      <c r="L444" s="27"/>
      <c r="M444" s="9"/>
      <c r="N444" s="10">
        <f>IFERROR(B444-K444, "NA")</f>
        <v>82826.97000000003</v>
      </c>
      <c r="O444" s="27"/>
      <c r="P444" s="9"/>
      <c r="Q444" s="7">
        <v>435555.43</v>
      </c>
      <c r="R444" s="27"/>
      <c r="S444" s="9"/>
      <c r="T444" s="7">
        <v>353202.29000000004</v>
      </c>
      <c r="U444" s="27"/>
      <c r="V444" s="9"/>
      <c r="W444" s="10">
        <f>IFERROR(Q444-T444, "NA")</f>
        <v>82353.139999999956</v>
      </c>
      <c r="X444" s="27"/>
      <c r="Y444" s="9"/>
      <c r="Z444" s="7">
        <v>352728.45999999996</v>
      </c>
      <c r="AA444" s="27"/>
      <c r="AB444" s="9"/>
      <c r="AC444" s="10">
        <f>IFERROR(Q444-Z444, "NA")</f>
        <v>82826.97000000003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60610.54</v>
      </c>
      <c r="C350" s="8" t="str">
        <f>IFERROR(B350/B444, "NA")</f>
        <v>NA</v>
      </c>
      <c r="D350" s="9"/>
      <c r="E350" s="7">
        <v>68653</v>
      </c>
      <c r="F350" s="8" t="str">
        <f>IFERROR(E350/E444, "NA")</f>
        <v>NA</v>
      </c>
      <c r="G350" s="9"/>
      <c r="H350" s="10">
        <f t="shared" si="88"/>
        <v>8042.4599999999991</v>
      </c>
      <c r="I350" s="8" t="str">
        <f>IFERROR(H350/H444, "NA")</f>
        <v>NA</v>
      </c>
      <c r="J350" s="9"/>
      <c r="K350" s="7">
        <v>52835.040000000001</v>
      </c>
      <c r="L350" s="8" t="str">
        <f>IFERROR(K350/K444, "NA")</f>
        <v>NA</v>
      </c>
      <c r="M350" s="9"/>
      <c r="N350" s="10">
        <f t="shared" si="89"/>
        <v>-7775.5</v>
      </c>
      <c r="O350" s="8" t="str">
        <f>IFERROR(N350/N444, "NA")</f>
        <v>NA</v>
      </c>
      <c r="P350" s="9"/>
      <c r="Q350" s="7">
        <v>60610.54</v>
      </c>
      <c r="R350" s="8" t="str">
        <f>IFERROR(Q350/Q444, "NA")</f>
        <v>NA</v>
      </c>
      <c r="S350" s="9"/>
      <c r="T350" s="7">
        <v>68653</v>
      </c>
      <c r="U350" s="8" t="str">
        <f>IFERROR(T350/T444, "NA")</f>
        <v>NA</v>
      </c>
      <c r="V350" s="9"/>
      <c r="W350" s="10">
        <f t="shared" si="90"/>
        <v>8042.4599999999991</v>
      </c>
      <c r="X350" s="8" t="str">
        <f>IFERROR(W350/W444, "NA")</f>
        <v>NA</v>
      </c>
      <c r="Y350" s="9"/>
      <c r="Z350" s="7">
        <v>52835.040000000001</v>
      </c>
      <c r="AA350" s="8" t="str">
        <f>IFERROR(Z350/Z444, "NA")</f>
        <v>NA</v>
      </c>
      <c r="AB350" s="9"/>
      <c r="AC350" s="10">
        <f t="shared" si="91"/>
        <v>-7775.5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4615.3999999999996</v>
      </c>
      <c r="L352" s="8" t="str">
        <f>IFERROR(K352/K444, "NA")</f>
        <v>NA</v>
      </c>
      <c r="M352" s="9"/>
      <c r="N352" s="10">
        <f t="shared" si="89"/>
        <v>4615.3999999999996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0</v>
      </c>
      <c r="U352" s="8" t="str">
        <f>IFERROR(T352/T444, "NA")</f>
        <v>NA</v>
      </c>
      <c r="V352" s="9"/>
      <c r="W352" s="10">
        <f t="shared" si="90"/>
        <v>0</v>
      </c>
      <c r="X352" s="8" t="str">
        <f>IFERROR(W352/W444, "NA")</f>
        <v>NA</v>
      </c>
      <c r="Y352" s="9"/>
      <c r="Z352" s="7">
        <v>4615.3999999999996</v>
      </c>
      <c r="AA352" s="8" t="str">
        <f>IFERROR(Z352/Z444, "NA")</f>
        <v>NA</v>
      </c>
      <c r="AB352" s="9"/>
      <c r="AC352" s="10">
        <f t="shared" si="91"/>
        <v>4615.3999999999996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4192.95</v>
      </c>
      <c r="C353" s="8" t="str">
        <f>IFERROR(B353/B444, "NA")</f>
        <v>NA</v>
      </c>
      <c r="D353" s="9"/>
      <c r="E353" s="7">
        <v>3038.59</v>
      </c>
      <c r="F353" s="8" t="str">
        <f>IFERROR(E353/E444, "NA")</f>
        <v>NA</v>
      </c>
      <c r="G353" s="9"/>
      <c r="H353" s="10">
        <f t="shared" si="88"/>
        <v>-1154.3599999999997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-4192.95</v>
      </c>
      <c r="O353" s="8" t="str">
        <f>IFERROR(N353/N444, "NA")</f>
        <v>NA</v>
      </c>
      <c r="P353" s="9"/>
      <c r="Q353" s="7">
        <v>4192.95</v>
      </c>
      <c r="R353" s="8" t="str">
        <f>IFERROR(Q353/Q444, "NA")</f>
        <v>NA</v>
      </c>
      <c r="S353" s="9"/>
      <c r="T353" s="7">
        <v>3038.59</v>
      </c>
      <c r="U353" s="8" t="str">
        <f>IFERROR(T353/T444, "NA")</f>
        <v>NA</v>
      </c>
      <c r="V353" s="9"/>
      <c r="W353" s="10">
        <f t="shared" si="90"/>
        <v>-1154.3599999999997</v>
      </c>
      <c r="X353" s="8" t="str">
        <f>IFERROR(W353/W444, "NA")</f>
        <v>NA</v>
      </c>
      <c r="Y353" s="9"/>
      <c r="Z353" s="7">
        <v>0</v>
      </c>
      <c r="AA353" s="8" t="str">
        <f>IFERROR(Z353/Z444, "NA")</f>
        <v>NA</v>
      </c>
      <c r="AB353" s="9"/>
      <c r="AC353" s="10">
        <f t="shared" si="91"/>
        <v>-4192.95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6790.24</v>
      </c>
      <c r="C354" s="8" t="str">
        <f>IFERROR(B354/B444, "NA")</f>
        <v>NA</v>
      </c>
      <c r="D354" s="9"/>
      <c r="E354" s="7">
        <v>7435</v>
      </c>
      <c r="F354" s="8" t="str">
        <f>IFERROR(E354/E444, "NA")</f>
        <v>NA</v>
      </c>
      <c r="G354" s="9"/>
      <c r="H354" s="10">
        <f t="shared" si="88"/>
        <v>644.76000000000022</v>
      </c>
      <c r="I354" s="8" t="str">
        <f>IFERROR(H354/H444, "NA")</f>
        <v>NA</v>
      </c>
      <c r="J354" s="9"/>
      <c r="K354" s="7">
        <v>5031.5</v>
      </c>
      <c r="L354" s="8" t="str">
        <f>IFERROR(K354/K444, "NA")</f>
        <v>NA</v>
      </c>
      <c r="M354" s="9"/>
      <c r="N354" s="10">
        <f t="shared" si="89"/>
        <v>-1758.7399999999998</v>
      </c>
      <c r="O354" s="8" t="str">
        <f>IFERROR(N354/N444, "NA")</f>
        <v>NA</v>
      </c>
      <c r="P354" s="9"/>
      <c r="Q354" s="7">
        <v>6790.24</v>
      </c>
      <c r="R354" s="8" t="str">
        <f>IFERROR(Q354/Q444, "NA")</f>
        <v>NA</v>
      </c>
      <c r="S354" s="9"/>
      <c r="T354" s="7">
        <v>7435</v>
      </c>
      <c r="U354" s="8" t="str">
        <f>IFERROR(T354/T444, "NA")</f>
        <v>NA</v>
      </c>
      <c r="V354" s="9"/>
      <c r="W354" s="10">
        <f t="shared" si="90"/>
        <v>644.76000000000022</v>
      </c>
      <c r="X354" s="8" t="str">
        <f>IFERROR(W354/W444, "NA")</f>
        <v>NA</v>
      </c>
      <c r="Y354" s="9"/>
      <c r="Z354" s="7">
        <v>5031.5</v>
      </c>
      <c r="AA354" s="8" t="str">
        <f>IFERROR(Z354/Z444, "NA")</f>
        <v>NA</v>
      </c>
      <c r="AB354" s="9"/>
      <c r="AC354" s="10">
        <f t="shared" si="91"/>
        <v>-1758.7399999999998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233.2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46.800000000000011</v>
      </c>
      <c r="I355" s="8" t="str">
        <f>IFERROR(H355/H444, "NA")</f>
        <v>NA</v>
      </c>
      <c r="J355" s="9"/>
      <c r="K355" s="7">
        <v>0</v>
      </c>
      <c r="L355" s="8" t="str">
        <f>IFERROR(K355/K444, "NA")</f>
        <v>NA</v>
      </c>
      <c r="M355" s="9"/>
      <c r="N355" s="10">
        <f t="shared" si="89"/>
        <v>-233.2</v>
      </c>
      <c r="O355" s="8" t="str">
        <f>IFERROR(N355/N444, "NA")</f>
        <v>NA</v>
      </c>
      <c r="P355" s="9"/>
      <c r="Q355" s="7">
        <v>233.2</v>
      </c>
      <c r="R355" s="8" t="str">
        <f>IFERROR(Q355/Q444, "NA")</f>
        <v>NA</v>
      </c>
      <c r="S355" s="9"/>
      <c r="T355" s="7">
        <v>280</v>
      </c>
      <c r="U355" s="8" t="str">
        <f>IFERROR(T355/T444, "NA")</f>
        <v>NA</v>
      </c>
      <c r="V355" s="9"/>
      <c r="W355" s="10">
        <f t="shared" si="90"/>
        <v>46.800000000000011</v>
      </c>
      <c r="X355" s="8" t="str">
        <f>IFERROR(W355/W444, "NA")</f>
        <v>NA</v>
      </c>
      <c r="Y355" s="9"/>
      <c r="Z355" s="7">
        <v>0</v>
      </c>
      <c r="AA355" s="8" t="str">
        <f>IFERROR(Z355/Z444, "NA")</f>
        <v>NA</v>
      </c>
      <c r="AB355" s="9"/>
      <c r="AC355" s="10">
        <f t="shared" si="91"/>
        <v>-233.2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6187.5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0</v>
      </c>
      <c r="I356" s="8" t="str">
        <f>IFERROR(H356/H444, "NA")</f>
        <v>NA</v>
      </c>
      <c r="J356" s="9"/>
      <c r="K356" s="7">
        <v>1800</v>
      </c>
      <c r="L356" s="8" t="str">
        <f>IFERROR(K356/K444, "NA")</f>
        <v>NA</v>
      </c>
      <c r="M356" s="9"/>
      <c r="N356" s="10">
        <f t="shared" si="89"/>
        <v>-4387.5</v>
      </c>
      <c r="O356" s="8" t="str">
        <f>IFERROR(N356/N444, "NA")</f>
        <v>NA</v>
      </c>
      <c r="P356" s="9"/>
      <c r="Q356" s="7">
        <v>6187.5</v>
      </c>
      <c r="R356" s="8" t="str">
        <f>IFERROR(Q356/Q444, "NA")</f>
        <v>NA</v>
      </c>
      <c r="S356" s="9"/>
      <c r="T356" s="7">
        <v>6187.5</v>
      </c>
      <c r="U356" s="8" t="str">
        <f>IFERROR(T356/T444, "NA")</f>
        <v>NA</v>
      </c>
      <c r="V356" s="9"/>
      <c r="W356" s="10">
        <f t="shared" si="90"/>
        <v>0</v>
      </c>
      <c r="X356" s="8" t="str">
        <f>IFERROR(W356/W444, "NA")</f>
        <v>NA</v>
      </c>
      <c r="Y356" s="9"/>
      <c r="Z356" s="7">
        <v>1800</v>
      </c>
      <c r="AA356" s="8" t="str">
        <f>IFERROR(Z356/Z444, "NA")</f>
        <v>NA</v>
      </c>
      <c r="AB356" s="9"/>
      <c r="AC356" s="10">
        <f t="shared" si="91"/>
        <v>-4387.5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3469.35</v>
      </c>
      <c r="C357" s="8" t="str">
        <f>IFERROR(B357/B444, "NA")</f>
        <v>NA</v>
      </c>
      <c r="D357" s="9"/>
      <c r="E357" s="7">
        <v>2814.77</v>
      </c>
      <c r="F357" s="8" t="str">
        <f>IFERROR(E357/E444, "NA")</f>
        <v>NA</v>
      </c>
      <c r="G357" s="9"/>
      <c r="H357" s="10">
        <f t="shared" si="88"/>
        <v>-654.57999999999993</v>
      </c>
      <c r="I357" s="8" t="str">
        <f>IFERROR(H357/H444, "NA")</f>
        <v>NA</v>
      </c>
      <c r="J357" s="9"/>
      <c r="K357" s="7">
        <v>2156.7600000000002</v>
      </c>
      <c r="L357" s="8" t="str">
        <f>IFERROR(K357/K444, "NA")</f>
        <v>NA</v>
      </c>
      <c r="M357" s="9"/>
      <c r="N357" s="10">
        <f t="shared" si="89"/>
        <v>-1312.5899999999997</v>
      </c>
      <c r="O357" s="8" t="str">
        <f>IFERROR(N357/N444, "NA")</f>
        <v>NA</v>
      </c>
      <c r="P357" s="9"/>
      <c r="Q357" s="7">
        <v>3469.35</v>
      </c>
      <c r="R357" s="8" t="str">
        <f>IFERROR(Q357/Q444, "NA")</f>
        <v>NA</v>
      </c>
      <c r="S357" s="9"/>
      <c r="T357" s="7">
        <v>2814.77</v>
      </c>
      <c r="U357" s="8" t="str">
        <f>IFERROR(T357/T444, "NA")</f>
        <v>NA</v>
      </c>
      <c r="V357" s="9"/>
      <c r="W357" s="10">
        <f t="shared" si="90"/>
        <v>-654.57999999999993</v>
      </c>
      <c r="X357" s="8" t="str">
        <f>IFERROR(W357/W444, "NA")</f>
        <v>NA</v>
      </c>
      <c r="Y357" s="9"/>
      <c r="Z357" s="7">
        <v>2156.7600000000002</v>
      </c>
      <c r="AA357" s="8" t="str">
        <f>IFERROR(Z357/Z444, "NA")</f>
        <v>NA</v>
      </c>
      <c r="AB357" s="9"/>
      <c r="AC357" s="10">
        <f t="shared" si="91"/>
        <v>-1312.5899999999997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81483.78</v>
      </c>
      <c r="C358" s="15" t="str">
        <f>IFERROR(B358/B444, "NA")</f>
        <v>NA</v>
      </c>
      <c r="D358" s="2"/>
      <c r="E358" s="14">
        <f>IFERROR(E349+E350+E351+E352+E353+E354+E355+E356+E357, "NA")</f>
        <v>88408.86</v>
      </c>
      <c r="F358" s="15" t="str">
        <f>IFERROR(E358/E444, "NA")</f>
        <v>NA</v>
      </c>
      <c r="G358" s="2"/>
      <c r="H358" s="14">
        <f t="shared" si="88"/>
        <v>6925.0800000000017</v>
      </c>
      <c r="I358" s="15" t="str">
        <f>IFERROR(H358/H444, "NA")</f>
        <v>NA</v>
      </c>
      <c r="J358" s="2"/>
      <c r="K358" s="14">
        <f>IFERROR(K349+K350+K351+K352+K353+K354+K355+K356+K357, "NA")</f>
        <v>66438.7</v>
      </c>
      <c r="L358" s="15" t="str">
        <f>IFERROR(K358/K444, "NA")</f>
        <v>NA</v>
      </c>
      <c r="M358" s="2"/>
      <c r="N358" s="14">
        <f t="shared" si="89"/>
        <v>-15045.080000000002</v>
      </c>
      <c r="O358" s="15" t="str">
        <f>IFERROR(N358/N444, "NA")</f>
        <v>NA</v>
      </c>
      <c r="P358" s="2"/>
      <c r="Q358" s="14">
        <f>IFERROR(Q349+Q350+Q351+Q352+Q353+Q354+Q355+Q356+Q357, "NA")</f>
        <v>81483.78</v>
      </c>
      <c r="R358" s="15" t="str">
        <f>IFERROR(Q358/Q444, "NA")</f>
        <v>NA</v>
      </c>
      <c r="S358" s="2"/>
      <c r="T358" s="14">
        <f>IFERROR(T349+T350+T351+T352+T353+T354+T355+T356+T357, "NA")</f>
        <v>88408.86</v>
      </c>
      <c r="U358" s="15" t="str">
        <f>IFERROR(T358/T444, "NA")</f>
        <v>NA</v>
      </c>
      <c r="V358" s="2"/>
      <c r="W358" s="14">
        <f t="shared" si="90"/>
        <v>6925.0800000000017</v>
      </c>
      <c r="X358" s="15" t="str">
        <f>IFERROR(W358/W444, "NA")</f>
        <v>NA</v>
      </c>
      <c r="Y358" s="2"/>
      <c r="Z358" s="14">
        <f>IFERROR(Z349+Z350+Z351+Z352+Z353+Z354+Z355+Z356+Z357, "NA")</f>
        <v>66438.7</v>
      </c>
      <c r="AA358" s="15" t="str">
        <f>IFERROR(Z358/Z444, "NA")</f>
        <v>NA</v>
      </c>
      <c r="AB358" s="2"/>
      <c r="AC358" s="14">
        <f t="shared" si="91"/>
        <v>-15045.080000000002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1000</v>
      </c>
      <c r="F360" s="8" t="str">
        <f>IFERROR(E360/E444, "NA")</f>
        <v>NA</v>
      </c>
      <c r="G360" s="9"/>
      <c r="H360" s="10">
        <f t="shared" ref="H360:H383" si="92">IFERROR(-(B360-E360), "NA")</f>
        <v>1000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1000</v>
      </c>
      <c r="U360" s="8" t="str">
        <f>IFERROR(T360/T444, "NA")</f>
        <v>NA</v>
      </c>
      <c r="V360" s="9"/>
      <c r="W360" s="10">
        <f t="shared" ref="W360:W383" si="94">IFERROR(-(Q360-T360), "NA")</f>
        <v>1000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195.03</v>
      </c>
      <c r="L361" s="8" t="str">
        <f>IFERROR(K361/K444, "NA")</f>
        <v>NA</v>
      </c>
      <c r="M361" s="9"/>
      <c r="N361" s="10">
        <f t="shared" si="93"/>
        <v>195.03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195.03</v>
      </c>
      <c r="AA361" s="8" t="str">
        <f>IFERROR(Z361/Z444, "NA")</f>
        <v>NA</v>
      </c>
      <c r="AB361" s="9"/>
      <c r="AC361" s="10">
        <f t="shared" si="95"/>
        <v>195.03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726.28</v>
      </c>
      <c r="C362" s="8" t="str">
        <f>IFERROR(B362/B444, "NA")</f>
        <v>NA</v>
      </c>
      <c r="D362" s="9"/>
      <c r="E362" s="7">
        <v>400</v>
      </c>
      <c r="F362" s="8" t="str">
        <f>IFERROR(E362/E444, "NA")</f>
        <v>NA</v>
      </c>
      <c r="G362" s="9"/>
      <c r="H362" s="10">
        <f t="shared" si="92"/>
        <v>-326.27999999999997</v>
      </c>
      <c r="I362" s="8" t="str">
        <f>IFERROR(H362/H444, "NA")</f>
        <v>NA</v>
      </c>
      <c r="J362" s="9"/>
      <c r="K362" s="7">
        <v>398.76</v>
      </c>
      <c r="L362" s="8" t="str">
        <f>IFERROR(K362/K444, "NA")</f>
        <v>NA</v>
      </c>
      <c r="M362" s="9"/>
      <c r="N362" s="10">
        <f t="shared" si="93"/>
        <v>-327.52</v>
      </c>
      <c r="O362" s="8" t="str">
        <f>IFERROR(N362/N444, "NA")</f>
        <v>NA</v>
      </c>
      <c r="P362" s="9"/>
      <c r="Q362" s="7">
        <v>726.28</v>
      </c>
      <c r="R362" s="8" t="str">
        <f>IFERROR(Q362/Q444, "NA")</f>
        <v>NA</v>
      </c>
      <c r="S362" s="9"/>
      <c r="T362" s="7">
        <v>400</v>
      </c>
      <c r="U362" s="8" t="str">
        <f>IFERROR(T362/T444, "NA")</f>
        <v>NA</v>
      </c>
      <c r="V362" s="9"/>
      <c r="W362" s="10">
        <f t="shared" si="94"/>
        <v>-326.27999999999997</v>
      </c>
      <c r="X362" s="8" t="str">
        <f>IFERROR(W362/W444, "NA")</f>
        <v>NA</v>
      </c>
      <c r="Y362" s="9"/>
      <c r="Z362" s="7">
        <v>398.76</v>
      </c>
      <c r="AA362" s="8" t="str">
        <f>IFERROR(Z362/Z444, "NA")</f>
        <v>NA</v>
      </c>
      <c r="AB362" s="9"/>
      <c r="AC362" s="10">
        <f t="shared" si="95"/>
        <v>-327.52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326.55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-126.55000000000001</v>
      </c>
      <c r="I363" s="8" t="str">
        <f>IFERROR(H363/H444, "NA")</f>
        <v>NA</v>
      </c>
      <c r="J363" s="9"/>
      <c r="K363" s="7">
        <v>231.2</v>
      </c>
      <c r="L363" s="8" t="str">
        <f>IFERROR(K363/K444, "NA")</f>
        <v>NA</v>
      </c>
      <c r="M363" s="9"/>
      <c r="N363" s="10">
        <f t="shared" si="93"/>
        <v>-95.350000000000023</v>
      </c>
      <c r="O363" s="8" t="str">
        <f>IFERROR(N363/N444, "NA")</f>
        <v>NA</v>
      </c>
      <c r="P363" s="9"/>
      <c r="Q363" s="7">
        <v>326.55</v>
      </c>
      <c r="R363" s="8" t="str">
        <f>IFERROR(Q363/Q444, "NA")</f>
        <v>NA</v>
      </c>
      <c r="S363" s="9"/>
      <c r="T363" s="7">
        <v>200</v>
      </c>
      <c r="U363" s="8" t="str">
        <f>IFERROR(T363/T444, "NA")</f>
        <v>NA</v>
      </c>
      <c r="V363" s="9"/>
      <c r="W363" s="10">
        <f t="shared" si="94"/>
        <v>-126.55000000000001</v>
      </c>
      <c r="X363" s="8" t="str">
        <f>IFERROR(W363/W444, "NA")</f>
        <v>NA</v>
      </c>
      <c r="Y363" s="9"/>
      <c r="Z363" s="7">
        <v>231.2</v>
      </c>
      <c r="AA363" s="8" t="str">
        <f>IFERROR(Z363/Z444, "NA")</f>
        <v>NA</v>
      </c>
      <c r="AB363" s="9"/>
      <c r="AC363" s="10">
        <f t="shared" si="95"/>
        <v>-95.350000000000023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45.26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-45.26</v>
      </c>
      <c r="I364" s="8" t="str">
        <f>IFERROR(H364/H444, "NA")</f>
        <v>NA</v>
      </c>
      <c r="J364" s="9"/>
      <c r="K364" s="7">
        <v>1039.17</v>
      </c>
      <c r="L364" s="8" t="str">
        <f>IFERROR(K364/K444, "NA")</f>
        <v>NA</v>
      </c>
      <c r="M364" s="9"/>
      <c r="N364" s="10">
        <f t="shared" si="93"/>
        <v>993.91000000000008</v>
      </c>
      <c r="O364" s="8" t="str">
        <f>IFERROR(N364/N444, "NA")</f>
        <v>NA</v>
      </c>
      <c r="P364" s="9"/>
      <c r="Q364" s="7">
        <v>45.26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-45.26</v>
      </c>
      <c r="X364" s="8" t="str">
        <f>IFERROR(W364/W444, "NA")</f>
        <v>NA</v>
      </c>
      <c r="Y364" s="9"/>
      <c r="Z364" s="7">
        <v>1039.17</v>
      </c>
      <c r="AA364" s="8" t="str">
        <f>IFERROR(Z364/Z444, "NA")</f>
        <v>NA</v>
      </c>
      <c r="AB364" s="9"/>
      <c r="AC364" s="10">
        <f t="shared" si="95"/>
        <v>993.91000000000008</v>
      </c>
      <c r="AD364" s="8" t="str">
        <f>IFERROR(AC364/AC444, "NA")</f>
        <v>NA</v>
      </c>
    </row>
    <row r="365" spans="1:30" ht="16.5" hidden="1" customHeight="1" x14ac:dyDescent="0.45">
      <c r="A365" s="6" t="s">
        <v>333</v>
      </c>
      <c r="B365" s="7">
        <v>0</v>
      </c>
      <c r="C365" s="8" t="str">
        <f>IFERROR(B365/B444, "NA")</f>
        <v>NA</v>
      </c>
      <c r="D365" s="9"/>
      <c r="E365" s="7">
        <v>0</v>
      </c>
      <c r="F365" s="8" t="str">
        <f>IFERROR(E365/E444, "NA")</f>
        <v>NA</v>
      </c>
      <c r="G365" s="9"/>
      <c r="H365" s="10">
        <f t="shared" si="92"/>
        <v>0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0</v>
      </c>
      <c r="O365" s="8" t="str">
        <f>IFERROR(N365/N444, "NA")</f>
        <v>NA</v>
      </c>
      <c r="P365" s="9"/>
      <c r="Q365" s="7">
        <v>0</v>
      </c>
      <c r="R365" s="8" t="str">
        <f>IFERROR(Q365/Q444, "NA")</f>
        <v>NA</v>
      </c>
      <c r="S365" s="9"/>
      <c r="T365" s="7">
        <v>0</v>
      </c>
      <c r="U365" s="8" t="str">
        <f>IFERROR(T365/T444, "NA")</f>
        <v>NA</v>
      </c>
      <c r="V365" s="9"/>
      <c r="W365" s="10">
        <f t="shared" si="94"/>
        <v>0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0</v>
      </c>
      <c r="AD365" s="8" t="str">
        <f>IFERROR(AC365/AC444, "NA")</f>
        <v>NA</v>
      </c>
    </row>
    <row r="366" spans="1:30" ht="16.5" hidden="1" customHeight="1" x14ac:dyDescent="0.45">
      <c r="A366" s="6" t="s">
        <v>334</v>
      </c>
      <c r="B366" s="7">
        <v>0</v>
      </c>
      <c r="C366" s="8" t="str">
        <f>IFERROR(B366/B444, "NA")</f>
        <v>NA</v>
      </c>
      <c r="D366" s="9"/>
      <c r="E366" s="7">
        <v>0</v>
      </c>
      <c r="F366" s="8" t="str">
        <f>IFERROR(E366/E444, "NA")</f>
        <v>NA</v>
      </c>
      <c r="G366" s="9"/>
      <c r="H366" s="10">
        <f t="shared" si="92"/>
        <v>0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0</v>
      </c>
      <c r="O366" s="8" t="str">
        <f>IFERROR(N366/N444, "NA")</f>
        <v>NA</v>
      </c>
      <c r="P366" s="9"/>
      <c r="Q366" s="7">
        <v>0</v>
      </c>
      <c r="R366" s="8" t="str">
        <f>IFERROR(Q366/Q444, "NA")</f>
        <v>NA</v>
      </c>
      <c r="S366" s="9"/>
      <c r="T366" s="7">
        <v>0</v>
      </c>
      <c r="U366" s="8" t="str">
        <f>IFERROR(T366/T444, "NA")</f>
        <v>NA</v>
      </c>
      <c r="V366" s="9"/>
      <c r="W366" s="10">
        <f t="shared" si="94"/>
        <v>0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0</v>
      </c>
      <c r="AD366" s="8" t="str">
        <f>IFERROR(AC366/AC444, "NA")</f>
        <v>NA</v>
      </c>
    </row>
    <row r="367" spans="1:30" ht="16.5" hidden="1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0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0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0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1098.0899999999999</v>
      </c>
      <c r="C368" s="15" t="str">
        <f>IFERROR(B368/B444, "NA")</f>
        <v>NA</v>
      </c>
      <c r="D368" s="2"/>
      <c r="E368" s="14">
        <f>IFERROR(E360+E361+E362+E363+E364+E365+E366+E367, "NA")</f>
        <v>1600</v>
      </c>
      <c r="F368" s="15" t="str">
        <f>IFERROR(E368/E444, "NA")</f>
        <v>NA</v>
      </c>
      <c r="G368" s="2"/>
      <c r="H368" s="14">
        <f t="shared" si="92"/>
        <v>501.91000000000008</v>
      </c>
      <c r="I368" s="15" t="str">
        <f>IFERROR(H368/H444, "NA")</f>
        <v>NA</v>
      </c>
      <c r="J368" s="2"/>
      <c r="K368" s="14">
        <f>IFERROR(K360+K361+K362+K363+K364+K365+K366+K367, "NA")</f>
        <v>1864.16</v>
      </c>
      <c r="L368" s="15" t="str">
        <f>IFERROR(K368/K444, "NA")</f>
        <v>NA</v>
      </c>
      <c r="M368" s="2"/>
      <c r="N368" s="14">
        <f t="shared" si="93"/>
        <v>766.07000000000016</v>
      </c>
      <c r="O368" s="15" t="str">
        <f>IFERROR(N368/N444, "NA")</f>
        <v>NA</v>
      </c>
      <c r="P368" s="2"/>
      <c r="Q368" s="14">
        <f>IFERROR(Q360+Q361+Q362+Q363+Q364+Q365+Q366+Q367, "NA")</f>
        <v>1098.0899999999999</v>
      </c>
      <c r="R368" s="15" t="str">
        <f>IFERROR(Q368/Q444, "NA")</f>
        <v>NA</v>
      </c>
      <c r="S368" s="2"/>
      <c r="T368" s="14">
        <f>IFERROR(T360+T361+T362+T363+T364+T365+T366+T367, "NA")</f>
        <v>1600</v>
      </c>
      <c r="U368" s="15" t="str">
        <f>IFERROR(T368/T444, "NA")</f>
        <v>NA</v>
      </c>
      <c r="V368" s="2"/>
      <c r="W368" s="14">
        <f t="shared" si="94"/>
        <v>501.91000000000008</v>
      </c>
      <c r="X368" s="15" t="str">
        <f>IFERROR(W368/W444, "NA")</f>
        <v>NA</v>
      </c>
      <c r="Y368" s="2"/>
      <c r="Z368" s="14">
        <f>IFERROR(Z360+Z361+Z362+Z363+Z364+Z365+Z366+Z367, "NA")</f>
        <v>1864.16</v>
      </c>
      <c r="AA368" s="15" t="str">
        <f>IFERROR(Z368/Z444, "NA")</f>
        <v>NA</v>
      </c>
      <c r="AB368" s="2"/>
      <c r="AC368" s="14">
        <f t="shared" si="95"/>
        <v>766.07000000000016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103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532</v>
      </c>
      <c r="I370" s="8" t="str">
        <f>IFERROR(H370/H444, "NA")</f>
        <v>NA</v>
      </c>
      <c r="J370" s="9"/>
      <c r="K370" s="7">
        <v>47.5</v>
      </c>
      <c r="L370" s="8" t="str">
        <f>IFERROR(K370/K444, "NA")</f>
        <v>NA</v>
      </c>
      <c r="M370" s="9"/>
      <c r="N370" s="10">
        <f t="shared" si="93"/>
        <v>-55.5</v>
      </c>
      <c r="O370" s="8" t="str">
        <f>IFERROR(N370/N444, "NA")</f>
        <v>NA</v>
      </c>
      <c r="P370" s="9"/>
      <c r="Q370" s="7">
        <v>103</v>
      </c>
      <c r="R370" s="8" t="str">
        <f>IFERROR(Q370/Q444, "NA")</f>
        <v>NA</v>
      </c>
      <c r="S370" s="9"/>
      <c r="T370" s="7">
        <v>635</v>
      </c>
      <c r="U370" s="8" t="str">
        <f>IFERROR(T370/T444, "NA")</f>
        <v>NA</v>
      </c>
      <c r="V370" s="9"/>
      <c r="W370" s="10">
        <f t="shared" si="94"/>
        <v>532</v>
      </c>
      <c r="X370" s="8" t="str">
        <f>IFERROR(W370/W444, "NA")</f>
        <v>NA</v>
      </c>
      <c r="Y370" s="9"/>
      <c r="Z370" s="7">
        <v>47.5</v>
      </c>
      <c r="AA370" s="8" t="str">
        <f>IFERROR(Z370/Z444, "NA")</f>
        <v>NA</v>
      </c>
      <c r="AB370" s="9"/>
      <c r="AC370" s="10">
        <f t="shared" si="95"/>
        <v>-55.5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110.07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-10.069999999999993</v>
      </c>
      <c r="I371" s="8" t="str">
        <f>IFERROR(H371/H444, "NA")</f>
        <v>NA</v>
      </c>
      <c r="J371" s="9"/>
      <c r="K371" s="7">
        <v>233.16</v>
      </c>
      <c r="L371" s="8" t="str">
        <f>IFERROR(K371/K444, "NA")</f>
        <v>NA</v>
      </c>
      <c r="M371" s="9"/>
      <c r="N371" s="10">
        <f t="shared" si="93"/>
        <v>123.09</v>
      </c>
      <c r="O371" s="8" t="str">
        <f>IFERROR(N371/N444, "NA")</f>
        <v>NA</v>
      </c>
      <c r="P371" s="9"/>
      <c r="Q371" s="7">
        <v>110.07</v>
      </c>
      <c r="R371" s="8" t="str">
        <f>IFERROR(Q371/Q444, "NA")</f>
        <v>NA</v>
      </c>
      <c r="S371" s="9"/>
      <c r="T371" s="7">
        <v>100</v>
      </c>
      <c r="U371" s="8" t="str">
        <f>IFERROR(T371/T444, "NA")</f>
        <v>NA</v>
      </c>
      <c r="V371" s="9"/>
      <c r="W371" s="10">
        <f t="shared" si="94"/>
        <v>-10.069999999999993</v>
      </c>
      <c r="X371" s="8" t="str">
        <f>IFERROR(W371/W444, "NA")</f>
        <v>NA</v>
      </c>
      <c r="Y371" s="9"/>
      <c r="Z371" s="7">
        <v>233.16</v>
      </c>
      <c r="AA371" s="8" t="str">
        <f>IFERROR(Z371/Z444, "NA")</f>
        <v>NA</v>
      </c>
      <c r="AB371" s="9"/>
      <c r="AC371" s="10">
        <f t="shared" si="95"/>
        <v>123.09</v>
      </c>
      <c r="AD371" s="8" t="str">
        <f>IFERROR(AC371/AC444, "NA")</f>
        <v>NA</v>
      </c>
    </row>
    <row r="372" spans="1:30" ht="16.5" hidden="1" customHeight="1" x14ac:dyDescent="0.45">
      <c r="A372" s="20" t="s">
        <v>340</v>
      </c>
      <c r="B372" s="7">
        <v>0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0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0</v>
      </c>
      <c r="O372" s="8" t="str">
        <f>IFERROR(N372/N444, "NA")</f>
        <v>NA</v>
      </c>
      <c r="P372" s="9"/>
      <c r="Q372" s="7">
        <v>0</v>
      </c>
      <c r="R372" s="8" t="str">
        <f>IFERROR(Q372/Q444, "NA")</f>
        <v>NA</v>
      </c>
      <c r="S372" s="9"/>
      <c r="T372" s="7">
        <v>0</v>
      </c>
      <c r="U372" s="8" t="str">
        <f>IFERROR(T372/T444, "NA")</f>
        <v>NA</v>
      </c>
      <c r="V372" s="9"/>
      <c r="W372" s="10">
        <f t="shared" si="94"/>
        <v>0</v>
      </c>
      <c r="X372" s="8" t="str">
        <f>IFERROR(W372/W444, "NA")</f>
        <v>NA</v>
      </c>
      <c r="Y372" s="9"/>
      <c r="Z372" s="7">
        <v>0</v>
      </c>
      <c r="AA372" s="8" t="str">
        <f>IFERROR(Z372/Z444, "NA")</f>
        <v>NA</v>
      </c>
      <c r="AB372" s="9"/>
      <c r="AC372" s="10">
        <f t="shared" si="95"/>
        <v>0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454.89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-129.88999999999999</v>
      </c>
      <c r="I373" s="8" t="str">
        <f>IFERROR(H373/H444, "NA")</f>
        <v>NA</v>
      </c>
      <c r="J373" s="9"/>
      <c r="K373" s="7">
        <v>763.85</v>
      </c>
      <c r="L373" s="8" t="str">
        <f>IFERROR(K373/K444, "NA")</f>
        <v>NA</v>
      </c>
      <c r="M373" s="9"/>
      <c r="N373" s="10">
        <f t="shared" si="93"/>
        <v>308.96000000000004</v>
      </c>
      <c r="O373" s="8" t="str">
        <f>IFERROR(N373/N444, "NA")</f>
        <v>NA</v>
      </c>
      <c r="P373" s="9"/>
      <c r="Q373" s="7">
        <v>454.89</v>
      </c>
      <c r="R373" s="8" t="str">
        <f>IFERROR(Q373/Q444, "NA")</f>
        <v>NA</v>
      </c>
      <c r="S373" s="9"/>
      <c r="T373" s="7">
        <v>325</v>
      </c>
      <c r="U373" s="8" t="str">
        <f>IFERROR(T373/T444, "NA")</f>
        <v>NA</v>
      </c>
      <c r="V373" s="9"/>
      <c r="W373" s="10">
        <f t="shared" si="94"/>
        <v>-129.88999999999999</v>
      </c>
      <c r="X373" s="8" t="str">
        <f>IFERROR(W373/W444, "NA")</f>
        <v>NA</v>
      </c>
      <c r="Y373" s="9"/>
      <c r="Z373" s="7">
        <v>763.85</v>
      </c>
      <c r="AA373" s="8" t="str">
        <f>IFERROR(Z373/Z444, "NA")</f>
        <v>NA</v>
      </c>
      <c r="AB373" s="9"/>
      <c r="AC373" s="10">
        <f t="shared" si="95"/>
        <v>308.96000000000004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1897.01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2.9900000000000091</v>
      </c>
      <c r="I374" s="8" t="str">
        <f>IFERROR(H374/H444, "NA")</f>
        <v>NA</v>
      </c>
      <c r="J374" s="9"/>
      <c r="K374" s="7">
        <v>1780.86</v>
      </c>
      <c r="L374" s="8" t="str">
        <f>IFERROR(K374/K444, "NA")</f>
        <v>NA</v>
      </c>
      <c r="M374" s="9"/>
      <c r="N374" s="10">
        <f t="shared" si="93"/>
        <v>-116.15000000000009</v>
      </c>
      <c r="O374" s="8" t="str">
        <f>IFERROR(N374/N444, "NA")</f>
        <v>NA</v>
      </c>
      <c r="P374" s="9"/>
      <c r="Q374" s="7">
        <v>1897.01</v>
      </c>
      <c r="R374" s="8" t="str">
        <f>IFERROR(Q374/Q444, "NA")</f>
        <v>NA</v>
      </c>
      <c r="S374" s="9"/>
      <c r="T374" s="7">
        <v>1900</v>
      </c>
      <c r="U374" s="8" t="str">
        <f>IFERROR(T374/T444, "NA")</f>
        <v>NA</v>
      </c>
      <c r="V374" s="9"/>
      <c r="W374" s="10">
        <f t="shared" si="94"/>
        <v>2.9900000000000091</v>
      </c>
      <c r="X374" s="8" t="str">
        <f>IFERROR(W374/W444, "NA")</f>
        <v>NA</v>
      </c>
      <c r="Y374" s="9"/>
      <c r="Z374" s="7">
        <v>1780.86</v>
      </c>
      <c r="AA374" s="8" t="str">
        <f>IFERROR(Z374/Z444, "NA")</f>
        <v>NA</v>
      </c>
      <c r="AB374" s="9"/>
      <c r="AC374" s="10">
        <f t="shared" si="95"/>
        <v>-116.15000000000009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205.26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-205.26</v>
      </c>
      <c r="I375" s="8" t="str">
        <f>IFERROR(H375/H444, "NA")</f>
        <v>NA</v>
      </c>
      <c r="J375" s="9"/>
      <c r="K375" s="7">
        <v>184.99</v>
      </c>
      <c r="L375" s="8" t="str">
        <f>IFERROR(K375/K444, "NA")</f>
        <v>NA</v>
      </c>
      <c r="M375" s="9"/>
      <c r="N375" s="10">
        <f t="shared" si="93"/>
        <v>-20.269999999999982</v>
      </c>
      <c r="O375" s="8" t="str">
        <f>IFERROR(N375/N444, "NA")</f>
        <v>NA</v>
      </c>
      <c r="P375" s="9"/>
      <c r="Q375" s="7">
        <v>205.26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-205.26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-20.269999999999982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-2413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2413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2413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7928.96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541.36999999999989</v>
      </c>
      <c r="I378" s="8" t="str">
        <f>IFERROR(H378/H444, "NA")</f>
        <v>NA</v>
      </c>
      <c r="J378" s="9"/>
      <c r="K378" s="7">
        <v>6828.35</v>
      </c>
      <c r="L378" s="8" t="str">
        <f>IFERROR(K378/K444, "NA")</f>
        <v>NA</v>
      </c>
      <c r="M378" s="9"/>
      <c r="N378" s="10">
        <f t="shared" si="93"/>
        <v>-1100.6099999999997</v>
      </c>
      <c r="O378" s="8" t="str">
        <f>IFERROR(N378/N444, "NA")</f>
        <v>NA</v>
      </c>
      <c r="P378" s="9"/>
      <c r="Q378" s="7">
        <v>7928.96</v>
      </c>
      <c r="R378" s="8" t="str">
        <f>IFERROR(Q378/Q444, "NA")</f>
        <v>NA</v>
      </c>
      <c r="S378" s="9"/>
      <c r="T378" s="7">
        <v>8470.33</v>
      </c>
      <c r="U378" s="8" t="str">
        <f>IFERROR(T378/T444, "NA")</f>
        <v>NA</v>
      </c>
      <c r="V378" s="9"/>
      <c r="W378" s="10">
        <f t="shared" si="94"/>
        <v>541.36999999999989</v>
      </c>
      <c r="X378" s="8" t="str">
        <f>IFERROR(W378/W444, "NA")</f>
        <v>NA</v>
      </c>
      <c r="Y378" s="9"/>
      <c r="Z378" s="7">
        <v>6828.35</v>
      </c>
      <c r="AA378" s="8" t="str">
        <f>IFERROR(Z378/Z444, "NA")</f>
        <v>NA</v>
      </c>
      <c r="AB378" s="9"/>
      <c r="AC378" s="10">
        <f t="shared" si="95"/>
        <v>-1100.6099999999997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18.41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181.59</v>
      </c>
      <c r="I379" s="8" t="str">
        <f>IFERROR(H379/H444, "NA")</f>
        <v>NA</v>
      </c>
      <c r="J379" s="9"/>
      <c r="K379" s="7">
        <v>81.7</v>
      </c>
      <c r="L379" s="8" t="str">
        <f>IFERROR(K379/K444, "NA")</f>
        <v>NA</v>
      </c>
      <c r="M379" s="9"/>
      <c r="N379" s="10">
        <f t="shared" si="93"/>
        <v>63.290000000000006</v>
      </c>
      <c r="O379" s="8" t="str">
        <f>IFERROR(N379/N444, "NA")</f>
        <v>NA</v>
      </c>
      <c r="P379" s="9"/>
      <c r="Q379" s="7">
        <v>18.41</v>
      </c>
      <c r="R379" s="8" t="str">
        <f>IFERROR(Q379/Q444, "NA")</f>
        <v>NA</v>
      </c>
      <c r="S379" s="9"/>
      <c r="T379" s="7">
        <v>200</v>
      </c>
      <c r="U379" s="8" t="str">
        <f>IFERROR(T379/T444, "NA")</f>
        <v>NA</v>
      </c>
      <c r="V379" s="9"/>
      <c r="W379" s="10">
        <f t="shared" si="94"/>
        <v>181.59</v>
      </c>
      <c r="X379" s="8" t="str">
        <f>IFERROR(W379/W444, "NA")</f>
        <v>NA</v>
      </c>
      <c r="Y379" s="9"/>
      <c r="Z379" s="7">
        <v>81.7</v>
      </c>
      <c r="AA379" s="8" t="str">
        <f>IFERROR(Z379/Z444, "NA")</f>
        <v>NA</v>
      </c>
      <c r="AB379" s="9"/>
      <c r="AC379" s="10">
        <f t="shared" si="95"/>
        <v>63.290000000000006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11500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0</v>
      </c>
      <c r="O380" s="8" t="str">
        <f>IFERROR(N380/N444, "NA")</f>
        <v>NA</v>
      </c>
      <c r="P380" s="9"/>
      <c r="Q380" s="7">
        <v>11500</v>
      </c>
      <c r="R380" s="8" t="str">
        <f>IFERROR(Q380/Q444, "NA")</f>
        <v>NA</v>
      </c>
      <c r="S380" s="9"/>
      <c r="T380" s="7">
        <v>11500</v>
      </c>
      <c r="U380" s="8" t="str">
        <f>IFERROR(T380/T444, "NA")</f>
        <v>NA</v>
      </c>
      <c r="V380" s="9"/>
      <c r="W380" s="10">
        <f t="shared" si="94"/>
        <v>0</v>
      </c>
      <c r="X380" s="8" t="str">
        <f>IFERROR(W380/W444, "NA")</f>
        <v>NA</v>
      </c>
      <c r="Y380" s="9"/>
      <c r="Z380" s="7">
        <v>11500</v>
      </c>
      <c r="AA380" s="8" t="str">
        <f>IFERROR(Z380/Z444, "NA")</f>
        <v>NA</v>
      </c>
      <c r="AB380" s="9"/>
      <c r="AC380" s="10">
        <f t="shared" si="95"/>
        <v>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4000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0</v>
      </c>
      <c r="I381" s="8" t="str">
        <f>IFERROR(H381/H444, "NA")</f>
        <v>NA</v>
      </c>
      <c r="J381" s="9"/>
      <c r="K381" s="7">
        <v>4167</v>
      </c>
      <c r="L381" s="8" t="str">
        <f>IFERROR(K381/K444, "NA")</f>
        <v>NA</v>
      </c>
      <c r="M381" s="9"/>
      <c r="N381" s="10">
        <f t="shared" si="93"/>
        <v>167</v>
      </c>
      <c r="O381" s="8" t="str">
        <f>IFERROR(N381/N444, "NA")</f>
        <v>NA</v>
      </c>
      <c r="P381" s="9"/>
      <c r="Q381" s="7">
        <v>4000</v>
      </c>
      <c r="R381" s="8" t="str">
        <f>IFERROR(Q381/Q444, "NA")</f>
        <v>NA</v>
      </c>
      <c r="S381" s="9"/>
      <c r="T381" s="7">
        <v>4000</v>
      </c>
      <c r="U381" s="8" t="str">
        <f>IFERROR(T381/T444, "NA")</f>
        <v>NA</v>
      </c>
      <c r="V381" s="9"/>
      <c r="W381" s="10">
        <f t="shared" si="94"/>
        <v>0</v>
      </c>
      <c r="X381" s="8" t="str">
        <f>IFERROR(W381/W444, "NA")</f>
        <v>NA</v>
      </c>
      <c r="Y381" s="9"/>
      <c r="Z381" s="7">
        <v>4167</v>
      </c>
      <c r="AA381" s="8" t="str">
        <f>IFERROR(Z381/Z444, "NA")</f>
        <v>NA</v>
      </c>
      <c r="AB381" s="9"/>
      <c r="AC381" s="10">
        <f t="shared" si="95"/>
        <v>167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505.62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289.38</v>
      </c>
      <c r="I382" s="8" t="str">
        <f>IFERROR(H382/H444, "NA")</f>
        <v>NA</v>
      </c>
      <c r="J382" s="9"/>
      <c r="K382" s="7">
        <v>105.99</v>
      </c>
      <c r="L382" s="8" t="str">
        <f>IFERROR(K382/K444, "NA")</f>
        <v>NA</v>
      </c>
      <c r="M382" s="9"/>
      <c r="N382" s="10">
        <f t="shared" si="93"/>
        <v>-399.63</v>
      </c>
      <c r="O382" s="8" t="str">
        <f>IFERROR(N382/N444, "NA")</f>
        <v>NA</v>
      </c>
      <c r="P382" s="9"/>
      <c r="Q382" s="7">
        <v>505.62</v>
      </c>
      <c r="R382" s="8" t="str">
        <f>IFERROR(Q382/Q444, "NA")</f>
        <v>NA</v>
      </c>
      <c r="S382" s="9"/>
      <c r="T382" s="7">
        <v>795</v>
      </c>
      <c r="U382" s="8" t="str">
        <f>IFERROR(T382/T444, "NA")</f>
        <v>NA</v>
      </c>
      <c r="V382" s="9"/>
      <c r="W382" s="10">
        <f t="shared" si="94"/>
        <v>289.38</v>
      </c>
      <c r="X382" s="8" t="str">
        <f>IFERROR(W382/W444, "NA")</f>
        <v>NA</v>
      </c>
      <c r="Y382" s="9"/>
      <c r="Z382" s="7">
        <v>105.99</v>
      </c>
      <c r="AA382" s="8" t="str">
        <f>IFERROR(Z382/Z444, "NA")</f>
        <v>NA</v>
      </c>
      <c r="AB382" s="9"/>
      <c r="AC382" s="10">
        <f t="shared" si="95"/>
        <v>-399.63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2197.23</v>
      </c>
      <c r="C385" s="8" t="str">
        <f>IFERROR(B385/B444, "NA")</f>
        <v>NA</v>
      </c>
      <c r="D385" s="9"/>
      <c r="E385" s="7">
        <v>706.4</v>
      </c>
      <c r="F385" s="8" t="str">
        <f>IFERROR(E385/E444, "NA")</f>
        <v>NA</v>
      </c>
      <c r="G385" s="9"/>
      <c r="H385" s="10">
        <f>IFERROR(-(B385-E385), "NA")</f>
        <v>-1490.83</v>
      </c>
      <c r="I385" s="8" t="str">
        <f>IFERROR(H385/H444, "NA")</f>
        <v>NA</v>
      </c>
      <c r="J385" s="9"/>
      <c r="K385" s="7">
        <v>2734.57</v>
      </c>
      <c r="L385" s="8" t="str">
        <f>IFERROR(K385/K444, "NA")</f>
        <v>NA</v>
      </c>
      <c r="M385" s="9"/>
      <c r="N385" s="10">
        <f>IFERROR(-(B385-K385), "NA")</f>
        <v>537.34000000000015</v>
      </c>
      <c r="O385" s="8" t="str">
        <f>IFERROR(N385/N444, "NA")</f>
        <v>NA</v>
      </c>
      <c r="P385" s="9"/>
      <c r="Q385" s="7">
        <v>2197.23</v>
      </c>
      <c r="R385" s="8" t="str">
        <f>IFERROR(Q385/Q444, "NA")</f>
        <v>NA</v>
      </c>
      <c r="S385" s="9"/>
      <c r="T385" s="7">
        <v>706.4</v>
      </c>
      <c r="U385" s="8" t="str">
        <f>IFERROR(T385/T444, "NA")</f>
        <v>NA</v>
      </c>
      <c r="V385" s="9"/>
      <c r="W385" s="10">
        <f>IFERROR(-(Q385-T385), "NA")</f>
        <v>-1490.83</v>
      </c>
      <c r="X385" s="8" t="str">
        <f>IFERROR(W385/W444, "NA")</f>
        <v>NA</v>
      </c>
      <c r="Y385" s="9"/>
      <c r="Z385" s="7">
        <v>2734.57</v>
      </c>
      <c r="AA385" s="8" t="str">
        <f>IFERROR(Z385/Z444, "NA")</f>
        <v>NA</v>
      </c>
      <c r="AB385" s="9"/>
      <c r="AC385" s="10">
        <f>IFERROR(-(Q385-Z385), "NA")</f>
        <v>537.34000000000015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2096.25</v>
      </c>
      <c r="L386" s="8" t="str">
        <f>IFERROR(K386/K444, "NA")</f>
        <v>NA</v>
      </c>
      <c r="M386" s="9"/>
      <c r="N386" s="10">
        <f>IFERROR(-(B386-K386), "NA")</f>
        <v>2096.25</v>
      </c>
      <c r="O386" s="8" t="str">
        <f>IFERROR(N386/N444, "NA")</f>
        <v>NA</v>
      </c>
      <c r="P386" s="9"/>
      <c r="Q386" s="7">
        <v>0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0</v>
      </c>
      <c r="X386" s="8" t="str">
        <f>IFERROR(W386/W444, "NA")</f>
        <v>NA</v>
      </c>
      <c r="Y386" s="9"/>
      <c r="Z386" s="7">
        <v>2096.25</v>
      </c>
      <c r="AA386" s="8" t="str">
        <f>IFERROR(Z386/Z444, "NA")</f>
        <v>NA</v>
      </c>
      <c r="AB386" s="9"/>
      <c r="AC386" s="10">
        <f>IFERROR(-(Q386-Z386), "NA")</f>
        <v>2096.25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3194.75</v>
      </c>
      <c r="C389" s="8" t="str">
        <f>IFERROR(B389/B444, "NA")</f>
        <v>NA</v>
      </c>
      <c r="D389" s="9"/>
      <c r="E389" s="7">
        <v>1847.46</v>
      </c>
      <c r="F389" s="8" t="str">
        <f>IFERROR(E389/E444, "NA")</f>
        <v>NA</v>
      </c>
      <c r="G389" s="9"/>
      <c r="H389" s="10">
        <f t="shared" si="96"/>
        <v>-1347.29</v>
      </c>
      <c r="I389" s="8" t="str">
        <f>IFERROR(H389/H444, "NA")</f>
        <v>NA</v>
      </c>
      <c r="J389" s="9"/>
      <c r="K389" s="7">
        <v>716</v>
      </c>
      <c r="L389" s="8" t="str">
        <f>IFERROR(K389/K444, "NA")</f>
        <v>NA</v>
      </c>
      <c r="M389" s="9"/>
      <c r="N389" s="10">
        <f t="shared" si="97"/>
        <v>-2478.75</v>
      </c>
      <c r="O389" s="8" t="str">
        <f>IFERROR(N389/N444, "NA")</f>
        <v>NA</v>
      </c>
      <c r="P389" s="9"/>
      <c r="Q389" s="7">
        <v>3194.75</v>
      </c>
      <c r="R389" s="8" t="str">
        <f>IFERROR(Q389/Q444, "NA")</f>
        <v>NA</v>
      </c>
      <c r="S389" s="9"/>
      <c r="T389" s="7">
        <v>1847.46</v>
      </c>
      <c r="U389" s="8" t="str">
        <f>IFERROR(T389/T444, "NA")</f>
        <v>NA</v>
      </c>
      <c r="V389" s="9"/>
      <c r="W389" s="10">
        <f t="shared" si="98"/>
        <v>-1347.29</v>
      </c>
      <c r="X389" s="8" t="str">
        <f>IFERROR(W389/W444, "NA")</f>
        <v>NA</v>
      </c>
      <c r="Y389" s="9"/>
      <c r="Z389" s="7">
        <v>716</v>
      </c>
      <c r="AA389" s="8" t="str">
        <f>IFERROR(Z389/Z444, "NA")</f>
        <v>NA</v>
      </c>
      <c r="AB389" s="9"/>
      <c r="AC389" s="10">
        <f t="shared" si="99"/>
        <v>-2478.75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12806.2</v>
      </c>
      <c r="C390" s="8" t="str">
        <f>IFERROR(B390/B444, "NA")</f>
        <v>NA</v>
      </c>
      <c r="D390" s="9"/>
      <c r="E390" s="7">
        <v>8977.01</v>
      </c>
      <c r="F390" s="8" t="str">
        <f>IFERROR(E390/E444, "NA")</f>
        <v>NA</v>
      </c>
      <c r="G390" s="9"/>
      <c r="H390" s="10">
        <f t="shared" si="96"/>
        <v>-3829.1900000000005</v>
      </c>
      <c r="I390" s="8" t="str">
        <f>IFERROR(H390/H444, "NA")</f>
        <v>NA</v>
      </c>
      <c r="J390" s="9"/>
      <c r="K390" s="7">
        <v>6330.09</v>
      </c>
      <c r="L390" s="8" t="str">
        <f>IFERROR(K390/K444, "NA")</f>
        <v>NA</v>
      </c>
      <c r="M390" s="9"/>
      <c r="N390" s="10">
        <f t="shared" si="97"/>
        <v>-6476.1100000000006</v>
      </c>
      <c r="O390" s="8" t="str">
        <f>IFERROR(N390/N444, "NA")</f>
        <v>NA</v>
      </c>
      <c r="P390" s="9"/>
      <c r="Q390" s="7">
        <v>12806.2</v>
      </c>
      <c r="R390" s="8" t="str">
        <f>IFERROR(Q390/Q444, "NA")</f>
        <v>NA</v>
      </c>
      <c r="S390" s="9"/>
      <c r="T390" s="7">
        <v>8977.01</v>
      </c>
      <c r="U390" s="8" t="str">
        <f>IFERROR(T390/T444, "NA")</f>
        <v>NA</v>
      </c>
      <c r="V390" s="9"/>
      <c r="W390" s="10">
        <f t="shared" si="98"/>
        <v>-3829.1900000000005</v>
      </c>
      <c r="X390" s="8" t="str">
        <f>IFERROR(W390/W444, "NA")</f>
        <v>NA</v>
      </c>
      <c r="Y390" s="9"/>
      <c r="Z390" s="7">
        <v>6330.09</v>
      </c>
      <c r="AA390" s="8" t="str">
        <f>IFERROR(Z390/Z444, "NA")</f>
        <v>NA</v>
      </c>
      <c r="AB390" s="9"/>
      <c r="AC390" s="10">
        <f t="shared" si="99"/>
        <v>-6476.1100000000006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4344.72</v>
      </c>
      <c r="C392" s="8" t="str">
        <f>IFERROR(B392/B444, "NA")</f>
        <v>NA</v>
      </c>
      <c r="D392" s="9"/>
      <c r="E392" s="7">
        <v>1379.08</v>
      </c>
      <c r="F392" s="8" t="str">
        <f>IFERROR(E392/E444, "NA")</f>
        <v>NA</v>
      </c>
      <c r="G392" s="9"/>
      <c r="H392" s="10">
        <f t="shared" si="96"/>
        <v>-2965.6400000000003</v>
      </c>
      <c r="I392" s="8" t="str">
        <f>IFERROR(H392/H444, "NA")</f>
        <v>NA</v>
      </c>
      <c r="J392" s="9"/>
      <c r="K392" s="7">
        <v>199.63</v>
      </c>
      <c r="L392" s="8" t="str">
        <f>IFERROR(K392/K444, "NA")</f>
        <v>NA</v>
      </c>
      <c r="M392" s="9"/>
      <c r="N392" s="10">
        <f t="shared" si="97"/>
        <v>-4145.09</v>
      </c>
      <c r="O392" s="8" t="str">
        <f>IFERROR(N392/N444, "NA")</f>
        <v>NA</v>
      </c>
      <c r="P392" s="9"/>
      <c r="Q392" s="7">
        <v>4344.72</v>
      </c>
      <c r="R392" s="8" t="str">
        <f>IFERROR(Q392/Q444, "NA")</f>
        <v>NA</v>
      </c>
      <c r="S392" s="9"/>
      <c r="T392" s="7">
        <v>1379.08</v>
      </c>
      <c r="U392" s="8" t="str">
        <f>IFERROR(T392/T444, "NA")</f>
        <v>NA</v>
      </c>
      <c r="V392" s="9"/>
      <c r="W392" s="10">
        <f t="shared" si="98"/>
        <v>-2965.6400000000003</v>
      </c>
      <c r="X392" s="8" t="str">
        <f>IFERROR(W392/W444, "NA")</f>
        <v>NA</v>
      </c>
      <c r="Y392" s="9"/>
      <c r="Z392" s="7">
        <v>199.63</v>
      </c>
      <c r="AA392" s="8" t="str">
        <f>IFERROR(Z392/Z444, "NA")</f>
        <v>NA</v>
      </c>
      <c r="AB392" s="9"/>
      <c r="AC392" s="10">
        <f t="shared" si="99"/>
        <v>-4145.09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20345.670000000002</v>
      </c>
      <c r="C393" s="15" t="str">
        <f>IFERROR(B393/B444, "NA")</f>
        <v>NA</v>
      </c>
      <c r="D393" s="2"/>
      <c r="E393" s="14">
        <f>IFERROR(E388+E389+E390+E391+E392, "NA")</f>
        <v>12203.550000000001</v>
      </c>
      <c r="F393" s="15" t="str">
        <f>IFERROR(E393/E444, "NA")</f>
        <v>NA</v>
      </c>
      <c r="G393" s="2"/>
      <c r="H393" s="14">
        <f t="shared" si="96"/>
        <v>-8142.1200000000008</v>
      </c>
      <c r="I393" s="15" t="str">
        <f>IFERROR(H393/H444, "NA")</f>
        <v>NA</v>
      </c>
      <c r="J393" s="2"/>
      <c r="K393" s="14">
        <f>IFERROR(K388+K389+K390+K391+K392, "NA")</f>
        <v>7245.72</v>
      </c>
      <c r="L393" s="15" t="str">
        <f>IFERROR(K393/K444, "NA")</f>
        <v>NA</v>
      </c>
      <c r="M393" s="2"/>
      <c r="N393" s="14">
        <f t="shared" si="97"/>
        <v>-13099.95</v>
      </c>
      <c r="O393" s="15" t="str">
        <f>IFERROR(N393/N444, "NA")</f>
        <v>NA</v>
      </c>
      <c r="P393" s="2"/>
      <c r="Q393" s="14">
        <f>IFERROR(Q388+Q389+Q390+Q391+Q392, "NA")</f>
        <v>20345.670000000002</v>
      </c>
      <c r="R393" s="15" t="str">
        <f>IFERROR(Q393/Q444, "NA")</f>
        <v>NA</v>
      </c>
      <c r="S393" s="2"/>
      <c r="T393" s="14">
        <f>IFERROR(T388+T389+T390+T391+T392, "NA")</f>
        <v>12203.550000000001</v>
      </c>
      <c r="U393" s="15" t="str">
        <f>IFERROR(T393/T444, "NA")</f>
        <v>NA</v>
      </c>
      <c r="V393" s="2"/>
      <c r="W393" s="14">
        <f t="shared" si="98"/>
        <v>-8142.1200000000008</v>
      </c>
      <c r="X393" s="15" t="str">
        <f>IFERROR(W393/W444, "NA")</f>
        <v>NA</v>
      </c>
      <c r="Y393" s="2"/>
      <c r="Z393" s="14">
        <f>IFERROR(Z388+Z389+Z390+Z391+Z392, "NA")</f>
        <v>7245.72</v>
      </c>
      <c r="AA393" s="15" t="str">
        <f>IFERROR(Z393/Z444, "NA")</f>
        <v>NA</v>
      </c>
      <c r="AB393" s="2"/>
      <c r="AC393" s="14">
        <f t="shared" si="99"/>
        <v>-13099.95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3900.27</v>
      </c>
      <c r="C394" s="8" t="str">
        <f>IFERROR(B394/B444, "NA")</f>
        <v>NA</v>
      </c>
      <c r="D394" s="9"/>
      <c r="E394" s="7">
        <v>1766.01</v>
      </c>
      <c r="F394" s="8" t="str">
        <f>IFERROR(E394/E444, "NA")</f>
        <v>NA</v>
      </c>
      <c r="G394" s="9"/>
      <c r="H394" s="10">
        <f t="shared" si="96"/>
        <v>-2134.2600000000002</v>
      </c>
      <c r="I394" s="8" t="str">
        <f>IFERROR(H394/H444, "NA")</f>
        <v>NA</v>
      </c>
      <c r="J394" s="9"/>
      <c r="K394" s="7">
        <v>6002.47</v>
      </c>
      <c r="L394" s="8" t="str">
        <f>IFERROR(K394/K444, "NA")</f>
        <v>NA</v>
      </c>
      <c r="M394" s="9"/>
      <c r="N394" s="10">
        <f t="shared" si="97"/>
        <v>2102.2000000000003</v>
      </c>
      <c r="O394" s="8" t="str">
        <f>IFERROR(N394/N444, "NA")</f>
        <v>NA</v>
      </c>
      <c r="P394" s="9"/>
      <c r="Q394" s="7">
        <v>3900.27</v>
      </c>
      <c r="R394" s="8" t="str">
        <f>IFERROR(Q394/Q444, "NA")</f>
        <v>NA</v>
      </c>
      <c r="S394" s="9"/>
      <c r="T394" s="7">
        <v>1766.01</v>
      </c>
      <c r="U394" s="8" t="str">
        <f>IFERROR(T394/T444, "NA")</f>
        <v>NA</v>
      </c>
      <c r="V394" s="9"/>
      <c r="W394" s="10">
        <f t="shared" si="98"/>
        <v>-2134.2600000000002</v>
      </c>
      <c r="X394" s="8" t="str">
        <f>IFERROR(W394/W444, "NA")</f>
        <v>NA</v>
      </c>
      <c r="Y394" s="9"/>
      <c r="Z394" s="7">
        <v>6002.47</v>
      </c>
      <c r="AA394" s="8" t="str">
        <f>IFERROR(Z394/Z444, "NA")</f>
        <v>NA</v>
      </c>
      <c r="AB394" s="9"/>
      <c r="AC394" s="10">
        <f t="shared" si="99"/>
        <v>2102.2000000000003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26443.170000000002</v>
      </c>
      <c r="C396" s="15" t="str">
        <f>IFERROR(B396/B444, "NA")</f>
        <v>NA</v>
      </c>
      <c r="D396" s="2"/>
      <c r="E396" s="14">
        <f>IFERROR(E385+E386+E388+E389+E390+E391+E392+E394+E395, "NA")</f>
        <v>14675.960000000001</v>
      </c>
      <c r="F396" s="15" t="str">
        <f>IFERROR(E396/E444, "NA")</f>
        <v>NA</v>
      </c>
      <c r="G396" s="2"/>
      <c r="H396" s="14">
        <f t="shared" si="96"/>
        <v>-11767.210000000001</v>
      </c>
      <c r="I396" s="15" t="str">
        <f>IFERROR(H396/H444, "NA")</f>
        <v>NA</v>
      </c>
      <c r="J396" s="2"/>
      <c r="K396" s="14">
        <f>IFERROR(K385+K386+K388+K389+K390+K391+K392+K394+K395, "NA")</f>
        <v>18079.009999999998</v>
      </c>
      <c r="L396" s="15" t="str">
        <f>IFERROR(K396/K444, "NA")</f>
        <v>NA</v>
      </c>
      <c r="M396" s="2"/>
      <c r="N396" s="14">
        <f t="shared" si="97"/>
        <v>-8364.1600000000035</v>
      </c>
      <c r="O396" s="15" t="str">
        <f>IFERROR(N396/N444, "NA")</f>
        <v>NA</v>
      </c>
      <c r="P396" s="2"/>
      <c r="Q396" s="14">
        <f>IFERROR(Q385+Q386+Q388+Q389+Q390+Q391+Q392+Q394+Q395, "NA")</f>
        <v>26443.170000000002</v>
      </c>
      <c r="R396" s="15" t="str">
        <f>IFERROR(Q396/Q444, "NA")</f>
        <v>NA</v>
      </c>
      <c r="S396" s="2"/>
      <c r="T396" s="14">
        <f>IFERROR(T385+T386+T388+T389+T390+T391+T392+T394+T395, "NA")</f>
        <v>14675.960000000001</v>
      </c>
      <c r="U396" s="15" t="str">
        <f>IFERROR(T396/T444, "NA")</f>
        <v>NA</v>
      </c>
      <c r="V396" s="2"/>
      <c r="W396" s="14">
        <f t="shared" si="98"/>
        <v>-11767.210000000001</v>
      </c>
      <c r="X396" s="15" t="str">
        <f>IFERROR(W396/W444, "NA")</f>
        <v>NA</v>
      </c>
      <c r="Y396" s="2"/>
      <c r="Z396" s="14">
        <f>IFERROR(Z385+Z386+Z388+Z389+Z390+Z391+Z392+Z394+Z395, "NA")</f>
        <v>18079.009999999998</v>
      </c>
      <c r="AA396" s="15" t="str">
        <f>IFERROR(Z396/Z444, "NA")</f>
        <v>NA</v>
      </c>
      <c r="AB396" s="2"/>
      <c r="AC396" s="14">
        <f t="shared" si="99"/>
        <v>-8364.1600000000035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1771.43</v>
      </c>
      <c r="C397" s="8" t="str">
        <f>IFERROR(B397/B444, "NA")</f>
        <v>NA</v>
      </c>
      <c r="D397" s="9"/>
      <c r="E397" s="7">
        <v>6633.33</v>
      </c>
      <c r="F397" s="8" t="str">
        <f>IFERROR(E397/E444, "NA")</f>
        <v>NA</v>
      </c>
      <c r="G397" s="9"/>
      <c r="H397" s="10">
        <f t="shared" si="96"/>
        <v>4861.8999999999996</v>
      </c>
      <c r="I397" s="8" t="str">
        <f>IFERROR(H397/H444, "NA")</f>
        <v>NA</v>
      </c>
      <c r="J397" s="9"/>
      <c r="K397" s="7">
        <v>6421.62</v>
      </c>
      <c r="L397" s="8" t="str">
        <f>IFERROR(K397/K444, "NA")</f>
        <v>NA</v>
      </c>
      <c r="M397" s="9"/>
      <c r="N397" s="10">
        <f t="shared" si="97"/>
        <v>4650.1899999999996</v>
      </c>
      <c r="O397" s="8" t="str">
        <f>IFERROR(N397/N444, "NA")</f>
        <v>NA</v>
      </c>
      <c r="P397" s="9"/>
      <c r="Q397" s="7">
        <v>1771.43</v>
      </c>
      <c r="R397" s="8" t="str">
        <f>IFERROR(Q397/Q444, "NA")</f>
        <v>NA</v>
      </c>
      <c r="S397" s="9"/>
      <c r="T397" s="7">
        <v>6633.33</v>
      </c>
      <c r="U397" s="8" t="str">
        <f>IFERROR(T397/T444, "NA")</f>
        <v>NA</v>
      </c>
      <c r="V397" s="9"/>
      <c r="W397" s="10">
        <f t="shared" si="98"/>
        <v>4861.8999999999996</v>
      </c>
      <c r="X397" s="8" t="str">
        <f>IFERROR(W397/W444, "NA")</f>
        <v>NA</v>
      </c>
      <c r="Y397" s="9"/>
      <c r="Z397" s="7">
        <v>6421.62</v>
      </c>
      <c r="AA397" s="8" t="str">
        <f>IFERROR(Z397/Z444, "NA")</f>
        <v>NA</v>
      </c>
      <c r="AB397" s="9"/>
      <c r="AC397" s="10">
        <f t="shared" si="99"/>
        <v>4650.1899999999996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120.16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-45.16</v>
      </c>
      <c r="I398" s="8" t="str">
        <f>IFERROR(H398/H444, "NA")</f>
        <v>NA</v>
      </c>
      <c r="J398" s="9"/>
      <c r="K398" s="7">
        <v>178.99</v>
      </c>
      <c r="L398" s="8" t="str">
        <f>IFERROR(K398/K444, "NA")</f>
        <v>NA</v>
      </c>
      <c r="M398" s="9"/>
      <c r="N398" s="10">
        <f t="shared" si="97"/>
        <v>58.830000000000013</v>
      </c>
      <c r="O398" s="8" t="str">
        <f>IFERROR(N398/N444, "NA")</f>
        <v>NA</v>
      </c>
      <c r="P398" s="9"/>
      <c r="Q398" s="7">
        <v>120.16</v>
      </c>
      <c r="R398" s="8" t="str">
        <f>IFERROR(Q398/Q444, "NA")</f>
        <v>NA</v>
      </c>
      <c r="S398" s="9"/>
      <c r="T398" s="7">
        <v>75</v>
      </c>
      <c r="U398" s="8" t="str">
        <f>IFERROR(T398/T444, "NA")</f>
        <v>NA</v>
      </c>
      <c r="V398" s="9"/>
      <c r="W398" s="10">
        <f t="shared" si="98"/>
        <v>-45.16</v>
      </c>
      <c r="X398" s="8" t="str">
        <f>IFERROR(W398/W444, "NA")</f>
        <v>NA</v>
      </c>
      <c r="Y398" s="9"/>
      <c r="Z398" s="7">
        <v>178.99</v>
      </c>
      <c r="AA398" s="8" t="str">
        <f>IFERROR(Z398/Z444, "NA")</f>
        <v>NA</v>
      </c>
      <c r="AB398" s="9"/>
      <c r="AC398" s="10">
        <f t="shared" si="99"/>
        <v>58.830000000000013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700</v>
      </c>
      <c r="I399" s="8" t="str">
        <f>IFERROR(H399/H444, "NA")</f>
        <v>NA</v>
      </c>
      <c r="J399" s="9"/>
      <c r="K399" s="7">
        <v>1562.5</v>
      </c>
      <c r="L399" s="8" t="str">
        <f>IFERROR(K399/K444, "NA")</f>
        <v>NA</v>
      </c>
      <c r="M399" s="9"/>
      <c r="N399" s="10">
        <f t="shared" si="97"/>
        <v>1562.5</v>
      </c>
      <c r="O399" s="8" t="str">
        <f>IFERROR(N399/N444, "NA")</f>
        <v>NA</v>
      </c>
      <c r="P399" s="9"/>
      <c r="Q399" s="7">
        <v>0</v>
      </c>
      <c r="R399" s="8" t="str">
        <f>IFERROR(Q399/Q444, "NA")</f>
        <v>NA</v>
      </c>
      <c r="S399" s="9"/>
      <c r="T399" s="7">
        <v>700</v>
      </c>
      <c r="U399" s="8" t="str">
        <f>IFERROR(T399/T444, "NA")</f>
        <v>NA</v>
      </c>
      <c r="V399" s="9"/>
      <c r="W399" s="10">
        <f t="shared" si="98"/>
        <v>700</v>
      </c>
      <c r="X399" s="8" t="str">
        <f>IFERROR(W399/W444, "NA")</f>
        <v>NA</v>
      </c>
      <c r="Y399" s="9"/>
      <c r="Z399" s="7">
        <v>1562.5</v>
      </c>
      <c r="AA399" s="8" t="str">
        <f>IFERROR(Z399/Z444, "NA")</f>
        <v>NA</v>
      </c>
      <c r="AB399" s="9"/>
      <c r="AC399" s="10">
        <f t="shared" si="99"/>
        <v>1562.5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8333.33</v>
      </c>
      <c r="AA401" s="8" t="str">
        <f>IFERROR(Z401/Z444, "NA")</f>
        <v>NA</v>
      </c>
      <c r="AB401" s="9"/>
      <c r="AC401" s="10">
        <f t="shared" si="99"/>
        <v>8333.33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135226.84999999998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140018.47999999998</v>
      </c>
      <c r="F403" s="15" t="str">
        <f>IFERROR(E403/E444, "NA")</f>
        <v>NA</v>
      </c>
      <c r="G403" s="2"/>
      <c r="H403" s="14">
        <f t="shared" si="96"/>
        <v>4791.6300000000047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128571.71000000002</v>
      </c>
      <c r="L403" s="15" t="str">
        <f>IFERROR(K403/K444, "NA")</f>
        <v>NA</v>
      </c>
      <c r="M403" s="2"/>
      <c r="N403" s="14">
        <f t="shared" si="97"/>
        <v>-6655.1399999999558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135226.84999999998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140018.47999999998</v>
      </c>
      <c r="U403" s="15" t="str">
        <f>IFERROR(T403/T444, "NA")</f>
        <v>NA</v>
      </c>
      <c r="V403" s="2"/>
      <c r="W403" s="14">
        <f t="shared" si="98"/>
        <v>4791.6300000000047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128571.71000000002</v>
      </c>
      <c r="AA403" s="15" t="str">
        <f>IFERROR(Z403/Z444, "NA")</f>
        <v>NA</v>
      </c>
      <c r="AB403" s="2"/>
      <c r="AC403" s="14">
        <f t="shared" si="99"/>
        <v>-6655.1399999999558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-135226.84999999998</v>
      </c>
      <c r="C404" s="24" t="str">
        <f>IFERROR(B404/B444, "NA")</f>
        <v>NA</v>
      </c>
      <c r="D404" s="25"/>
      <c r="E404" s="23">
        <f>IFERROR(E345-E403, "NA")</f>
        <v>-140018.47999999998</v>
      </c>
      <c r="F404" s="24" t="str">
        <f>IFERROR(E404/E444, "NA")</f>
        <v>NA</v>
      </c>
      <c r="G404" s="25"/>
      <c r="H404" s="23">
        <f>IFERROR(B404-E404, "NA")</f>
        <v>4791.6300000000047</v>
      </c>
      <c r="I404" s="24" t="str">
        <f>IFERROR(H404/H444, "NA")</f>
        <v>NA</v>
      </c>
      <c r="J404" s="25"/>
      <c r="K404" s="23">
        <f>IFERROR(K345-K403, "NA")</f>
        <v>-128571.71000000002</v>
      </c>
      <c r="L404" s="24" t="str">
        <f>IFERROR(K404/K444, "NA")</f>
        <v>NA</v>
      </c>
      <c r="M404" s="25"/>
      <c r="N404" s="23">
        <f>IFERROR(B404-K404, "NA")</f>
        <v>-6655.1399999999558</v>
      </c>
      <c r="O404" s="24" t="str">
        <f>IFERROR(N404/N444, "NA")</f>
        <v>NA</v>
      </c>
      <c r="P404" s="25"/>
      <c r="Q404" s="23">
        <f>IFERROR(Q345-Q403, "NA")</f>
        <v>-135226.84999999998</v>
      </c>
      <c r="R404" s="24" t="str">
        <f>IFERROR(Q404/Q444, "NA")</f>
        <v>NA</v>
      </c>
      <c r="S404" s="25"/>
      <c r="T404" s="23">
        <f>IFERROR(T345-T403, "NA")</f>
        <v>-140018.47999999998</v>
      </c>
      <c r="U404" s="24" t="str">
        <f>IFERROR(T404/T444, "NA")</f>
        <v>NA</v>
      </c>
      <c r="V404" s="25"/>
      <c r="W404" s="23">
        <f>IFERROR(Q404-T404, "NA")</f>
        <v>4791.6300000000047</v>
      </c>
      <c r="X404" s="24" t="str">
        <f>IFERROR(W404/W444, "NA")</f>
        <v>NA</v>
      </c>
      <c r="Y404" s="25"/>
      <c r="Z404" s="23">
        <f>IFERROR(Z345-Z403, "NA")</f>
        <v>-128571.71000000002</v>
      </c>
      <c r="AA404" s="24" t="str">
        <f>IFERROR(Z404/Z444, "NA")</f>
        <v>NA</v>
      </c>
      <c r="AB404" s="25"/>
      <c r="AC404" s="23">
        <f>IFERROR(Q404-Z404, "NA")</f>
        <v>-6655.1399999999558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184.89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-184.89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0</v>
      </c>
      <c r="O410" s="8" t="str">
        <f>IFERROR(N410/N444, "NA")</f>
        <v>NA</v>
      </c>
      <c r="P410" s="9"/>
      <c r="Q410" s="7">
        <v>184.89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-184.89</v>
      </c>
      <c r="X410" s="8" t="str">
        <f>IFERROR(W410/W444, "NA")</f>
        <v>NA</v>
      </c>
      <c r="Y410" s="9"/>
      <c r="Z410" s="7">
        <v>184.89</v>
      </c>
      <c r="AA410" s="8" t="str">
        <f>IFERROR(Z410/Z444, "NA")</f>
        <v>NA</v>
      </c>
      <c r="AB410" s="9"/>
      <c r="AC410" s="10">
        <f t="shared" si="103"/>
        <v>0</v>
      </c>
      <c r="AD410" s="8" t="str">
        <f>IFERROR(AC410/AC444, "NA")</f>
        <v>NA</v>
      </c>
    </row>
    <row r="411" spans="1:30" ht="16.5" hidden="1" customHeight="1" x14ac:dyDescent="0.45">
      <c r="A411" s="6" t="s">
        <v>376</v>
      </c>
      <c r="B411" s="7">
        <v>0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0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0</v>
      </c>
      <c r="O411" s="8" t="str">
        <f>IFERROR(N411/N444, "NA")</f>
        <v>NA</v>
      </c>
      <c r="P411" s="9"/>
      <c r="Q411" s="7">
        <v>0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0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0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hidden="1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0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0</v>
      </c>
      <c r="X418" s="8" t="str">
        <f>IFERROR(W418/W444, "NA")</f>
        <v>NA</v>
      </c>
      <c r="Y418" s="9"/>
      <c r="Z418" s="7">
        <v>0</v>
      </c>
      <c r="AA418" s="8" t="str">
        <f>IFERROR(Z418/Z444, "NA")</f>
        <v>NA</v>
      </c>
      <c r="AB418" s="9"/>
      <c r="AC418" s="10">
        <f t="shared" si="103"/>
        <v>0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-0.99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0.99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0.99</v>
      </c>
      <c r="O423" s="8" t="str">
        <f>IFERROR(N423/N444, "NA")</f>
        <v>NA</v>
      </c>
      <c r="P423" s="9"/>
      <c r="Q423" s="7">
        <v>-0.99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0.99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0.99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-232.45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232.45</v>
      </c>
      <c r="I426" s="8" t="str">
        <f>IFERROR(H426/H444, "NA")</f>
        <v>NA</v>
      </c>
      <c r="J426" s="9"/>
      <c r="K426" s="7">
        <v>0</v>
      </c>
      <c r="L426" s="8" t="str">
        <f>IFERROR(K426/K444, "NA")</f>
        <v>NA</v>
      </c>
      <c r="M426" s="9"/>
      <c r="N426" s="10">
        <f t="shared" si="101"/>
        <v>232.45</v>
      </c>
      <c r="O426" s="8" t="str">
        <f>IFERROR(N426/N444, "NA")</f>
        <v>NA</v>
      </c>
      <c r="P426" s="9"/>
      <c r="Q426" s="7">
        <v>-232.45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232.45</v>
      </c>
      <c r="X426" s="8" t="str">
        <f>IFERROR(W426/W444, "NA")</f>
        <v>NA</v>
      </c>
      <c r="Y426" s="9"/>
      <c r="Z426" s="7">
        <v>0</v>
      </c>
      <c r="AA426" s="8" t="str">
        <f>IFERROR(Z426/Z444, "NA")</f>
        <v>NA</v>
      </c>
      <c r="AB426" s="9"/>
      <c r="AC426" s="10">
        <f t="shared" si="103"/>
        <v>232.45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-48.550000000000011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48.550000000000011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184.89</v>
      </c>
      <c r="L428" s="15" t="str">
        <f>IFERROR(K428/K444, "NA")</f>
        <v>NA</v>
      </c>
      <c r="M428" s="2"/>
      <c r="N428" s="14">
        <f t="shared" si="101"/>
        <v>233.44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-48.550000000000011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48.550000000000011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184.89</v>
      </c>
      <c r="AA428" s="15" t="str">
        <f>IFERROR(Z428/Z444, "NA")</f>
        <v>NA</v>
      </c>
      <c r="AB428" s="2"/>
      <c r="AC428" s="14">
        <f t="shared" si="103"/>
        <v>233.44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-48.550000000000011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48.550000000000011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184.89</v>
      </c>
      <c r="L429" s="15" t="str">
        <f>IFERROR(K429/K444, "NA")</f>
        <v>NA</v>
      </c>
      <c r="M429" s="2"/>
      <c r="N429" s="14">
        <f t="shared" si="101"/>
        <v>233.44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-48.550000000000011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48.550000000000011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184.89</v>
      </c>
      <c r="AA429" s="15" t="str">
        <f>IFERROR(Z429/Z444, "NA")</f>
        <v>NA</v>
      </c>
      <c r="AB429" s="2"/>
      <c r="AC429" s="14">
        <f t="shared" si="103"/>
        <v>233.44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-135178.29999999999</v>
      </c>
      <c r="C443" s="24" t="str">
        <f>IFERROR(B443/B444, "NA")</f>
        <v>NA</v>
      </c>
      <c r="D443" s="25"/>
      <c r="E443" s="23">
        <f>IFERROR(E404-E429-E442, "NA")</f>
        <v>-140018.47999999998</v>
      </c>
      <c r="F443" s="24" t="str">
        <f>IFERROR(E443/E444, "NA")</f>
        <v>NA</v>
      </c>
      <c r="G443" s="25"/>
      <c r="H443" s="23">
        <f>IFERROR(B443-E443, "NA")</f>
        <v>4840.179999999993</v>
      </c>
      <c r="I443" s="24" t="str">
        <f>IFERROR(H443/H444, "NA")</f>
        <v>NA</v>
      </c>
      <c r="J443" s="25"/>
      <c r="K443" s="23">
        <f>IFERROR(K404-K429-K442, "NA")</f>
        <v>-128756.60000000002</v>
      </c>
      <c r="L443" s="24" t="str">
        <f>IFERROR(K443/K444, "NA")</f>
        <v>NA</v>
      </c>
      <c r="M443" s="25"/>
      <c r="N443" s="23">
        <f>IFERROR(B443-K443, "NA")</f>
        <v>-6421.699999999968</v>
      </c>
      <c r="O443" s="24" t="str">
        <f>IFERROR(N443/N444, "NA")</f>
        <v>NA</v>
      </c>
      <c r="P443" s="25"/>
      <c r="Q443" s="23">
        <f>IFERROR(Q404-Q429-Q442, "NA")</f>
        <v>-135178.29999999999</v>
      </c>
      <c r="R443" s="24" t="str">
        <f>IFERROR(Q443/Q444, "NA")</f>
        <v>NA</v>
      </c>
      <c r="S443" s="25"/>
      <c r="T443" s="23">
        <f>IFERROR(T404-T429-T442, "NA")</f>
        <v>-140018.47999999998</v>
      </c>
      <c r="U443" s="24" t="str">
        <f>IFERROR(T443/T444, "NA")</f>
        <v>NA</v>
      </c>
      <c r="V443" s="25"/>
      <c r="W443" s="23">
        <f>IFERROR(Q443-T443, "NA")</f>
        <v>4840.179999999993</v>
      </c>
      <c r="X443" s="24" t="str">
        <f>IFERROR(W443/W444, "NA")</f>
        <v>NA</v>
      </c>
      <c r="Y443" s="25"/>
      <c r="Z443" s="23">
        <f>IFERROR(Z404-Z429-Z442, "NA")</f>
        <v>-128756.60000000002</v>
      </c>
      <c r="AA443" s="24" t="str">
        <f>IFERROR(Z443/Z444, "NA")</f>
        <v>NA</v>
      </c>
      <c r="AB443" s="25"/>
      <c r="AC443" s="23">
        <f>IFERROR(Q443-Z443, "NA")</f>
        <v>-6421.699999999968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27252.85</v>
      </c>
      <c r="F10" s="8">
        <f>IFERROR(E10/E444, "NA")</f>
        <v>0.56399995364301725</v>
      </c>
      <c r="G10" s="9"/>
      <c r="H10" s="10">
        <f t="shared" ref="H10:H19" si="0">IFERROR(B10-E10, "NA")</f>
        <v>-27252.85</v>
      </c>
      <c r="I10" s="8">
        <f>IFERROR(H10/H444, "NA")</f>
        <v>-1.7581678516661494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27252.85</v>
      </c>
      <c r="U10" s="8">
        <f>IFERROR(T10/T444, "NA")</f>
        <v>0.56399995364301725</v>
      </c>
      <c r="V10" s="9"/>
      <c r="W10" s="10">
        <f t="shared" ref="W10:W19" si="2">IFERROR(Q10-T10, "NA")</f>
        <v>-27252.85</v>
      </c>
      <c r="X10" s="8">
        <f>IFERROR(W10/W444, "NA")</f>
        <v>-1.7581678516661494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25301.99</v>
      </c>
      <c r="C11" s="8">
        <f>IFERROR(B11/B444, "NA")</f>
        <v>0.3964501232110812</v>
      </c>
      <c r="D11" s="9"/>
      <c r="E11" s="7">
        <v>0</v>
      </c>
      <c r="F11" s="8">
        <f>IFERROR(E11/E444, "NA")</f>
        <v>0</v>
      </c>
      <c r="G11" s="9"/>
      <c r="H11" s="10">
        <f t="shared" si="0"/>
        <v>25301.99</v>
      </c>
      <c r="I11" s="8">
        <f>IFERROR(H11/H444, "NA")</f>
        <v>1.632311681206861</v>
      </c>
      <c r="J11" s="9"/>
      <c r="K11" s="7">
        <v>29188.43</v>
      </c>
      <c r="L11" s="8">
        <f>IFERROR(K11/K444, "NA")</f>
        <v>0.56781360549908133</v>
      </c>
      <c r="M11" s="9"/>
      <c r="N11" s="10">
        <f t="shared" si="1"/>
        <v>-3886.4399999999987</v>
      </c>
      <c r="O11" s="8">
        <f>IFERROR(N11/N444, "NA")</f>
        <v>-0.31300809734206775</v>
      </c>
      <c r="P11" s="9"/>
      <c r="Q11" s="7">
        <v>25301.99</v>
      </c>
      <c r="R11" s="8">
        <f>IFERROR(Q11/Q444, "NA")</f>
        <v>0.3964501232110812</v>
      </c>
      <c r="S11" s="9"/>
      <c r="T11" s="7">
        <v>0</v>
      </c>
      <c r="U11" s="8">
        <f>IFERROR(T11/T444, "NA")</f>
        <v>0</v>
      </c>
      <c r="V11" s="9"/>
      <c r="W11" s="10">
        <f t="shared" si="2"/>
        <v>25301.99</v>
      </c>
      <c r="X11" s="8">
        <f>IFERROR(W11/W444, "NA")</f>
        <v>1.632311681206861</v>
      </c>
      <c r="Y11" s="9"/>
      <c r="Z11" s="7">
        <v>29188.43</v>
      </c>
      <c r="AA11" s="8">
        <f>IFERROR(Z11/Z444, "NA")</f>
        <v>0.56781360549908133</v>
      </c>
      <c r="AB11" s="9"/>
      <c r="AC11" s="10">
        <f t="shared" si="3"/>
        <v>-3886.4399999999987</v>
      </c>
      <c r="AD11" s="8">
        <f>IFERROR(AC11/AC444, "NA")</f>
        <v>-0.31300809734206775</v>
      </c>
    </row>
    <row r="12" spans="1:30" ht="16.5" customHeight="1" x14ac:dyDescent="0.45">
      <c r="A12" s="12" t="s">
        <v>14</v>
      </c>
      <c r="B12" s="7">
        <v>2320.75</v>
      </c>
      <c r="C12" s="8">
        <f>IFERROR(B12/B444, "NA")</f>
        <v>3.6363211883417734E-2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2320.75</v>
      </c>
      <c r="I12" s="8">
        <f>IFERROR(H12/H444, "NA")</f>
        <v>0.14971894835784944</v>
      </c>
      <c r="J12" s="9"/>
      <c r="K12" s="7">
        <v>2350</v>
      </c>
      <c r="L12" s="8">
        <f>IFERROR(K12/K444, "NA")</f>
        <v>4.5715441800838245E-2</v>
      </c>
      <c r="M12" s="9"/>
      <c r="N12" s="10">
        <f t="shared" si="1"/>
        <v>-29.25</v>
      </c>
      <c r="O12" s="8">
        <f>IFERROR(N12/N444, "NA")</f>
        <v>-2.3557514968082578E-3</v>
      </c>
      <c r="P12" s="9"/>
      <c r="Q12" s="7">
        <v>2320.75</v>
      </c>
      <c r="R12" s="8">
        <f>IFERROR(Q12/Q444, "NA")</f>
        <v>3.6363211883417734E-2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2320.75</v>
      </c>
      <c r="X12" s="8">
        <f>IFERROR(W12/W444, "NA")</f>
        <v>0.14971894835784944</v>
      </c>
      <c r="Y12" s="9"/>
      <c r="Z12" s="7">
        <v>2350</v>
      </c>
      <c r="AA12" s="8">
        <f>IFERROR(Z12/Z444, "NA")</f>
        <v>4.5715441800838245E-2</v>
      </c>
      <c r="AB12" s="9"/>
      <c r="AC12" s="10">
        <f t="shared" si="3"/>
        <v>-29.25</v>
      </c>
      <c r="AD12" s="8">
        <f>IFERROR(AC12/AC444, "NA")</f>
        <v>-2.3557514968082578E-3</v>
      </c>
    </row>
    <row r="13" spans="1:30" ht="16.5" customHeight="1" x14ac:dyDescent="0.45">
      <c r="A13" s="12" t="s">
        <v>15</v>
      </c>
      <c r="B13" s="7">
        <v>80.5</v>
      </c>
      <c r="C13" s="8">
        <f>IFERROR(B13/B444, "NA")</f>
        <v>1.2613329986491985E-3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80.5</v>
      </c>
      <c r="I13" s="8">
        <f>IFERROR(H13/H444, "NA")</f>
        <v>5.1933104999706469E-3</v>
      </c>
      <c r="J13" s="9"/>
      <c r="K13" s="7">
        <v>152.5</v>
      </c>
      <c r="L13" s="8">
        <f>IFERROR(K13/K444, "NA")</f>
        <v>2.9666403721820564E-3</v>
      </c>
      <c r="M13" s="9"/>
      <c r="N13" s="10">
        <f t="shared" si="1"/>
        <v>-72</v>
      </c>
      <c r="O13" s="8">
        <f>IFERROR(N13/N444, "NA")</f>
        <v>-5.7987729152203264E-3</v>
      </c>
      <c r="P13" s="9"/>
      <c r="Q13" s="7">
        <v>80.5</v>
      </c>
      <c r="R13" s="8">
        <f>IFERROR(Q13/Q444, "NA")</f>
        <v>1.2613329986491985E-3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80.5</v>
      </c>
      <c r="X13" s="8">
        <f>IFERROR(W13/W444, "NA")</f>
        <v>5.1933104999706469E-3</v>
      </c>
      <c r="Y13" s="9"/>
      <c r="Z13" s="7">
        <v>152.5</v>
      </c>
      <c r="AA13" s="8">
        <f>IFERROR(Z13/Z444, "NA")</f>
        <v>2.9666403721820564E-3</v>
      </c>
      <c r="AB13" s="9"/>
      <c r="AC13" s="10">
        <f t="shared" si="3"/>
        <v>-72</v>
      </c>
      <c r="AD13" s="8">
        <f>IFERROR(AC13/AC444, "NA")</f>
        <v>-5.7987729152203264E-3</v>
      </c>
    </row>
    <row r="14" spans="1:30" ht="16.5" customHeight="1" x14ac:dyDescent="0.45">
      <c r="A14" s="12" t="s">
        <v>16</v>
      </c>
      <c r="B14" s="7">
        <v>115</v>
      </c>
      <c r="C14" s="8">
        <f>IFERROR(B14/B444, "NA")</f>
        <v>1.8019042837845692E-3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115</v>
      </c>
      <c r="I14" s="8">
        <f>IFERROR(H14/H444, "NA")</f>
        <v>7.4190149999580667E-3</v>
      </c>
      <c r="J14" s="9"/>
      <c r="K14" s="7">
        <v>239.99</v>
      </c>
      <c r="L14" s="8">
        <f>IFERROR(K14/K444, "NA")</f>
        <v>4.6686165437375199E-3</v>
      </c>
      <c r="M14" s="9"/>
      <c r="N14" s="10">
        <f t="shared" si="1"/>
        <v>-124.99000000000001</v>
      </c>
      <c r="O14" s="8">
        <f>IFERROR(N14/N444, "NA")</f>
        <v>-1.0066508703797066E-2</v>
      </c>
      <c r="P14" s="9"/>
      <c r="Q14" s="7">
        <v>115</v>
      </c>
      <c r="R14" s="8">
        <f>IFERROR(Q14/Q444, "NA")</f>
        <v>1.8019042837845692E-3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115</v>
      </c>
      <c r="X14" s="8">
        <f>IFERROR(W14/W444, "NA")</f>
        <v>7.4190149999580667E-3</v>
      </c>
      <c r="Y14" s="9"/>
      <c r="Z14" s="7">
        <v>239.99</v>
      </c>
      <c r="AA14" s="8">
        <f>IFERROR(Z14/Z444, "NA")</f>
        <v>4.6686165437375199E-3</v>
      </c>
      <c r="AB14" s="9"/>
      <c r="AC14" s="10">
        <f t="shared" si="3"/>
        <v>-124.99000000000001</v>
      </c>
      <c r="AD14" s="8">
        <f>IFERROR(AC14/AC444, "NA")</f>
        <v>-1.0066508703797066E-2</v>
      </c>
    </row>
    <row r="15" spans="1:30" ht="16.5" customHeight="1" x14ac:dyDescent="0.45">
      <c r="A15" s="12" t="s">
        <v>17</v>
      </c>
      <c r="B15" s="7">
        <v>36</v>
      </c>
      <c r="C15" s="8">
        <f>IFERROR(B15/B444, "NA")</f>
        <v>5.6407438448908252E-4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36</v>
      </c>
      <c r="I15" s="8">
        <f>IFERROR(H15/H444, "NA")</f>
        <v>2.3224742608564382E-3</v>
      </c>
      <c r="J15" s="9"/>
      <c r="K15" s="7">
        <v>0</v>
      </c>
      <c r="L15" s="8">
        <f>IFERROR(K15/K444, "NA")</f>
        <v>0</v>
      </c>
      <c r="M15" s="9"/>
      <c r="N15" s="10">
        <f t="shared" si="1"/>
        <v>36</v>
      </c>
      <c r="O15" s="8">
        <f>IFERROR(N15/N444, "NA")</f>
        <v>2.8993864576101632E-3</v>
      </c>
      <c r="P15" s="9"/>
      <c r="Q15" s="7">
        <v>36</v>
      </c>
      <c r="R15" s="8">
        <f>IFERROR(Q15/Q444, "NA")</f>
        <v>5.6407438448908252E-4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36</v>
      </c>
      <c r="X15" s="8">
        <f>IFERROR(W15/W444, "NA")</f>
        <v>2.3224742608564382E-3</v>
      </c>
      <c r="Y15" s="9"/>
      <c r="Z15" s="7">
        <v>0</v>
      </c>
      <c r="AA15" s="8">
        <f>IFERROR(Z15/Z444, "NA")</f>
        <v>0</v>
      </c>
      <c r="AB15" s="9"/>
      <c r="AC15" s="10">
        <f t="shared" si="3"/>
        <v>36</v>
      </c>
      <c r="AD15" s="8">
        <f>IFERROR(AC15/AC444, "NA")</f>
        <v>2.8993864576101632E-3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27854.240000000002</v>
      </c>
      <c r="C18" s="15">
        <f>IFERROR(B18/B444, "NA")</f>
        <v>0.43644064676142175</v>
      </c>
      <c r="D18" s="2"/>
      <c r="E18" s="14">
        <f>IFERROR(E10+E11+E12+E13+E14+E15+E16+E17, "NA")</f>
        <v>27252.85</v>
      </c>
      <c r="F18" s="15">
        <f>IFERROR(E18/E444, "NA")</f>
        <v>0.56399995364301725</v>
      </c>
      <c r="G18" s="2"/>
      <c r="H18" s="14">
        <f t="shared" si="0"/>
        <v>601.39000000000306</v>
      </c>
      <c r="I18" s="15">
        <f>IFERROR(H18/H444, "NA")</f>
        <v>3.8797577659346126E-2</v>
      </c>
      <c r="J18" s="2"/>
      <c r="K18" s="14">
        <f>IFERROR(K10+K11+K12+K13+K14+K15+K16+K17, "NA")</f>
        <v>31930.920000000002</v>
      </c>
      <c r="L18" s="15">
        <f>IFERROR(K18/K444, "NA")</f>
        <v>0.62116430421583924</v>
      </c>
      <c r="M18" s="2"/>
      <c r="N18" s="14">
        <f t="shared" si="1"/>
        <v>-4076.6800000000003</v>
      </c>
      <c r="O18" s="15">
        <f>IFERROR(N18/N444, "NA")</f>
        <v>-0.32832974400028336</v>
      </c>
      <c r="P18" s="2"/>
      <c r="Q18" s="14">
        <f>IFERROR(Q10+Q11+Q12+Q13+Q14+Q15+Q16+Q17, "NA")</f>
        <v>27854.240000000002</v>
      </c>
      <c r="R18" s="15">
        <f>IFERROR(Q18/Q444, "NA")</f>
        <v>0.43644064676142175</v>
      </c>
      <c r="S18" s="2"/>
      <c r="T18" s="14">
        <f>IFERROR(T10+T11+T12+T13+T14+T15+T16+T17, "NA")</f>
        <v>27252.85</v>
      </c>
      <c r="U18" s="15">
        <f>IFERROR(T18/T444, "NA")</f>
        <v>0.56399995364301725</v>
      </c>
      <c r="V18" s="2"/>
      <c r="W18" s="14">
        <f t="shared" si="2"/>
        <v>601.39000000000306</v>
      </c>
      <c r="X18" s="15">
        <f>IFERROR(W18/W444, "NA")</f>
        <v>3.8797577659346126E-2</v>
      </c>
      <c r="Y18" s="2"/>
      <c r="Z18" s="14">
        <f>IFERROR(Z10+Z11+Z12+Z13+Z14+Z15+Z16+Z17, "NA")</f>
        <v>31930.920000000002</v>
      </c>
      <c r="AA18" s="15">
        <f>IFERROR(Z18/Z444, "NA")</f>
        <v>0.62116430421583924</v>
      </c>
      <c r="AB18" s="2"/>
      <c r="AC18" s="14">
        <f t="shared" si="3"/>
        <v>-4076.6800000000003</v>
      </c>
      <c r="AD18" s="15">
        <f>IFERROR(AC18/AC444, "NA")</f>
        <v>-0.32832974400028336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5121.99</v>
      </c>
      <c r="F21" s="8">
        <f>IFERROR(E21/E444, "NA")</f>
        <v>0.10600000082780325</v>
      </c>
      <c r="G21" s="9"/>
      <c r="H21" s="10">
        <f t="shared" ref="H21:H29" si="4">IFERROR(B21-E21, "NA")</f>
        <v>-5121.99</v>
      </c>
      <c r="I21" s="8">
        <f>IFERROR(H21/H444, "NA")</f>
        <v>-0.33043583164900187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5121.99</v>
      </c>
      <c r="U21" s="8">
        <f>IFERROR(T21/T444, "NA")</f>
        <v>0.10600000082780325</v>
      </c>
      <c r="V21" s="9"/>
      <c r="W21" s="10">
        <f t="shared" ref="W21:W29" si="6">IFERROR(Q21-T21, "NA")</f>
        <v>-5121.99</v>
      </c>
      <c r="X21" s="8">
        <f>IFERROR(W21/W444, "NA")</f>
        <v>-0.33043583164900187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5251.3</v>
      </c>
      <c r="C22" s="8">
        <f>IFERROR(B22/B444, "NA")</f>
        <v>8.2281217090764427E-2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5251.3</v>
      </c>
      <c r="I22" s="8">
        <f>IFERROR(H22/H444, "NA")</f>
        <v>0.3387780301676504</v>
      </c>
      <c r="J22" s="9"/>
      <c r="K22" s="7">
        <v>4964.95</v>
      </c>
      <c r="L22" s="8">
        <f>IFERROR(K22/K444, "NA")</f>
        <v>9.6585056497477381E-2</v>
      </c>
      <c r="M22" s="9"/>
      <c r="N22" s="10">
        <f t="shared" si="5"/>
        <v>286.35000000000036</v>
      </c>
      <c r="O22" s="8">
        <f>IFERROR(N22/N444, "NA")</f>
        <v>2.3062203114907538E-2</v>
      </c>
      <c r="P22" s="9"/>
      <c r="Q22" s="7">
        <v>5251.3</v>
      </c>
      <c r="R22" s="8">
        <f>IFERROR(Q22/Q444, "NA")</f>
        <v>8.2281217090764427E-2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5251.3</v>
      </c>
      <c r="X22" s="8">
        <f>IFERROR(W22/W444, "NA")</f>
        <v>0.3387780301676504</v>
      </c>
      <c r="Y22" s="9"/>
      <c r="Z22" s="7">
        <v>4964.95</v>
      </c>
      <c r="AA22" s="8">
        <f>IFERROR(Z22/Z444, "NA")</f>
        <v>9.6585056497477381E-2</v>
      </c>
      <c r="AB22" s="9"/>
      <c r="AC22" s="10">
        <f t="shared" si="7"/>
        <v>286.35000000000036</v>
      </c>
      <c r="AD22" s="8">
        <f>IFERROR(AC22/AC444, "NA")</f>
        <v>2.3062203114907538E-2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410.38</v>
      </c>
      <c r="C24" s="8">
        <f>IFERROR(B24/B444, "NA")</f>
        <v>6.4301346085174913E-3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410.38</v>
      </c>
      <c r="I24" s="8">
        <f>IFERROR(H24/H444, "NA")</f>
        <v>2.6474916310285142E-2</v>
      </c>
      <c r="J24" s="9"/>
      <c r="K24" s="7">
        <v>380.6</v>
      </c>
      <c r="L24" s="8">
        <f>IFERROR(K24/K444, "NA")</f>
        <v>7.4039562337868247E-3</v>
      </c>
      <c r="M24" s="9"/>
      <c r="N24" s="10">
        <f t="shared" si="5"/>
        <v>29.779999999999973</v>
      </c>
      <c r="O24" s="8">
        <f>IFERROR(N24/N444, "NA")</f>
        <v>2.398436908545294E-3</v>
      </c>
      <c r="P24" s="9"/>
      <c r="Q24" s="7">
        <v>410.38</v>
      </c>
      <c r="R24" s="8">
        <f>IFERROR(Q24/Q444, "NA")</f>
        <v>6.4301346085174913E-3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410.38</v>
      </c>
      <c r="X24" s="8">
        <f>IFERROR(W24/W444, "NA")</f>
        <v>2.6474916310285142E-2</v>
      </c>
      <c r="Y24" s="9"/>
      <c r="Z24" s="7">
        <v>380.6</v>
      </c>
      <c r="AA24" s="8">
        <f>IFERROR(Z24/Z444, "NA")</f>
        <v>7.4039562337868247E-3</v>
      </c>
      <c r="AB24" s="9"/>
      <c r="AC24" s="10">
        <f t="shared" si="7"/>
        <v>29.779999999999973</v>
      </c>
      <c r="AD24" s="8">
        <f>IFERROR(AC24/AC444, "NA")</f>
        <v>2.398436908545294E-3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346.82</v>
      </c>
      <c r="L27" s="8">
        <f>IFERROR(K27/K444, "NA")</f>
        <v>6.7468210746241368E-3</v>
      </c>
      <c r="M27" s="9"/>
      <c r="N27" s="10">
        <f t="shared" si="5"/>
        <v>-346.82</v>
      </c>
      <c r="O27" s="8">
        <f>IFERROR(N27/N444, "NA")</f>
        <v>-2.7932366978565468E-2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346.82</v>
      </c>
      <c r="AA27" s="8">
        <f>IFERROR(Z27/Z444, "NA")</f>
        <v>6.7468210746241368E-3</v>
      </c>
      <c r="AB27" s="9"/>
      <c r="AC27" s="10">
        <f t="shared" si="7"/>
        <v>-346.82</v>
      </c>
      <c r="AD27" s="8">
        <f>IFERROR(AC27/AC444, "NA")</f>
        <v>-2.7932366978565468E-2</v>
      </c>
    </row>
    <row r="28" spans="1:30" ht="16.5" customHeight="1" x14ac:dyDescent="0.45">
      <c r="A28" s="12" t="s">
        <v>29</v>
      </c>
      <c r="B28" s="7">
        <v>802.66</v>
      </c>
      <c r="C28" s="8">
        <f>IFERROR(B28/B444, "NA")</f>
        <v>1.2576665151500193E-2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802.66</v>
      </c>
      <c r="I28" s="8">
        <f>IFERROR(H28/H444, "NA")</f>
        <v>5.1782144172750795E-2</v>
      </c>
      <c r="J28" s="9"/>
      <c r="K28" s="7">
        <v>0</v>
      </c>
      <c r="L28" s="8">
        <f>IFERROR(K28/K444, "NA")</f>
        <v>0</v>
      </c>
      <c r="M28" s="9"/>
      <c r="N28" s="10">
        <f t="shared" si="5"/>
        <v>802.66</v>
      </c>
      <c r="O28" s="8">
        <f>IFERROR(N28/N444, "NA")</f>
        <v>6.4645042612927042E-2</v>
      </c>
      <c r="P28" s="9"/>
      <c r="Q28" s="7">
        <v>802.66</v>
      </c>
      <c r="R28" s="8">
        <f>IFERROR(Q28/Q444, "NA")</f>
        <v>1.2576665151500193E-2</v>
      </c>
      <c r="S28" s="9"/>
      <c r="T28" s="7">
        <v>0</v>
      </c>
      <c r="U28" s="8">
        <f>IFERROR(T28/T444, "NA")</f>
        <v>0</v>
      </c>
      <c r="V28" s="9"/>
      <c r="W28" s="10">
        <f t="shared" si="6"/>
        <v>802.66</v>
      </c>
      <c r="X28" s="8">
        <f>IFERROR(W28/W444, "NA")</f>
        <v>5.1782144172750795E-2</v>
      </c>
      <c r="Y28" s="9"/>
      <c r="Z28" s="7">
        <v>0</v>
      </c>
      <c r="AA28" s="8">
        <f>IFERROR(Z28/Z444, "NA")</f>
        <v>0</v>
      </c>
      <c r="AB28" s="9"/>
      <c r="AC28" s="10">
        <f t="shared" si="7"/>
        <v>802.66</v>
      </c>
      <c r="AD28" s="8">
        <f>IFERROR(AC28/AC444, "NA")</f>
        <v>6.4645042612927042E-2</v>
      </c>
    </row>
    <row r="29" spans="1:30" ht="16.5" customHeight="1" x14ac:dyDescent="0.45">
      <c r="A29" s="13" t="s">
        <v>30</v>
      </c>
      <c r="B29" s="14">
        <f>IFERROR(B21+B22+B23+B24+B25+B26+B27+B28, "NA")</f>
        <v>6464.34</v>
      </c>
      <c r="C29" s="15">
        <f>IFERROR(B29/B444, "NA")</f>
        <v>0.10128801685078211</v>
      </c>
      <c r="D29" s="2"/>
      <c r="E29" s="14">
        <f>IFERROR(E21+E22+E23+E24+E25+E26+E27+E28, "NA")</f>
        <v>5121.99</v>
      </c>
      <c r="F29" s="15">
        <f>IFERROR(E29/E444, "NA")</f>
        <v>0.10600000082780325</v>
      </c>
      <c r="G29" s="2"/>
      <c r="H29" s="14">
        <f t="shared" si="4"/>
        <v>1342.3500000000004</v>
      </c>
      <c r="I29" s="15">
        <f>IFERROR(H29/H444, "NA")</f>
        <v>8.659925900168447E-2</v>
      </c>
      <c r="J29" s="2"/>
      <c r="K29" s="14">
        <f>IFERROR(K21+K22+K23+K24+K25+K26+K27+K28, "NA")</f>
        <v>5692.37</v>
      </c>
      <c r="L29" s="15">
        <f>IFERROR(K29/K444, "NA")</f>
        <v>0.11073583380588835</v>
      </c>
      <c r="M29" s="2"/>
      <c r="N29" s="14">
        <f t="shared" si="5"/>
        <v>771.97000000000025</v>
      </c>
      <c r="O29" s="15">
        <f>IFERROR(N29/N444, "NA")</f>
        <v>6.21733156578144E-2</v>
      </c>
      <c r="P29" s="2"/>
      <c r="Q29" s="14">
        <f>IFERROR(Q21+Q22+Q23+Q24+Q25+Q26+Q27+Q28, "NA")</f>
        <v>6464.34</v>
      </c>
      <c r="R29" s="15">
        <f>IFERROR(Q29/Q444, "NA")</f>
        <v>0.10128801685078211</v>
      </c>
      <c r="S29" s="2"/>
      <c r="T29" s="14">
        <f>IFERROR(T21+T22+T23+T24+T25+T26+T27+T28, "NA")</f>
        <v>5121.99</v>
      </c>
      <c r="U29" s="15">
        <f>IFERROR(T29/T444, "NA")</f>
        <v>0.10600000082780325</v>
      </c>
      <c r="V29" s="2"/>
      <c r="W29" s="14">
        <f t="shared" si="6"/>
        <v>1342.3500000000004</v>
      </c>
      <c r="X29" s="15">
        <f>IFERROR(W29/W444, "NA")</f>
        <v>8.659925900168447E-2</v>
      </c>
      <c r="Y29" s="2"/>
      <c r="Z29" s="14">
        <f>IFERROR(Z21+Z22+Z23+Z24+Z25+Z26+Z27+Z28, "NA")</f>
        <v>5692.37</v>
      </c>
      <c r="AA29" s="15">
        <f>IFERROR(Z29/Z444, "NA")</f>
        <v>0.11073583380588835</v>
      </c>
      <c r="AB29" s="2"/>
      <c r="AC29" s="14">
        <f t="shared" si="7"/>
        <v>771.97000000000025</v>
      </c>
      <c r="AD29" s="15">
        <f>IFERROR(AC29/AC444, "NA")</f>
        <v>6.21733156578144E-2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10388.94</v>
      </c>
      <c r="F31" s="8">
        <f>IFERROR(E31/E444, "NA")</f>
        <v>0.21499996067934501</v>
      </c>
      <c r="G31" s="9"/>
      <c r="H31" s="10">
        <f t="shared" ref="H31:H40" si="8">IFERROR(B31-E31, "NA")</f>
        <v>-10388.94</v>
      </c>
      <c r="I31" s="8">
        <f>IFERROR(H31/H444, "NA")</f>
        <v>-0.67022349298838579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10388.94</v>
      </c>
      <c r="U31" s="8">
        <f>IFERROR(T31/T444, "NA")</f>
        <v>0.21499996067934501</v>
      </c>
      <c r="V31" s="9"/>
      <c r="W31" s="10">
        <f t="shared" ref="W31:W40" si="10">IFERROR(Q31-T31, "NA")</f>
        <v>-10388.94</v>
      </c>
      <c r="X31" s="8">
        <f>IFERROR(W31/W444, "NA")</f>
        <v>-0.67022349298838579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4694.3599999999997</v>
      </c>
      <c r="C33" s="8">
        <f>IFERROR(B33/B444, "NA")</f>
        <v>7.355467298806026E-2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4694.3599999999997</v>
      </c>
      <c r="I33" s="8">
        <f>IFERROR(H33/H444, "NA")</f>
        <v>0.30284806308872303</v>
      </c>
      <c r="J33" s="9"/>
      <c r="K33" s="7">
        <v>3215.32</v>
      </c>
      <c r="L33" s="8">
        <f>IFERROR(K33/K444, "NA")</f>
        <v>6.2548840140881384E-2</v>
      </c>
      <c r="M33" s="9"/>
      <c r="N33" s="10">
        <f t="shared" si="9"/>
        <v>1479.0399999999995</v>
      </c>
      <c r="O33" s="8">
        <f>IFERROR(N33/N444, "NA")</f>
        <v>0.1191196818406593</v>
      </c>
      <c r="P33" s="9"/>
      <c r="Q33" s="7">
        <v>4694.3599999999997</v>
      </c>
      <c r="R33" s="8">
        <f>IFERROR(Q33/Q444, "NA")</f>
        <v>7.355467298806026E-2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4694.3599999999997</v>
      </c>
      <c r="X33" s="8">
        <f>IFERROR(W33/W444, "NA")</f>
        <v>0.30284806308872303</v>
      </c>
      <c r="Y33" s="9"/>
      <c r="Z33" s="7">
        <v>3215.32</v>
      </c>
      <c r="AA33" s="8">
        <f>IFERROR(Z33/Z444, "NA")</f>
        <v>6.2548840140881384E-2</v>
      </c>
      <c r="AB33" s="9"/>
      <c r="AC33" s="10">
        <f t="shared" si="11"/>
        <v>1479.0399999999995</v>
      </c>
      <c r="AD33" s="8">
        <f>IFERROR(AC33/AC444, "NA")</f>
        <v>0.1191196818406593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449.8</v>
      </c>
      <c r="C35" s="8">
        <f>IFERROR(B35/B444, "NA")</f>
        <v>7.0477960595330368E-3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449.8</v>
      </c>
      <c r="I35" s="8">
        <f>IFERROR(H35/H444, "NA")</f>
        <v>2.9018025625922945E-2</v>
      </c>
      <c r="J35" s="9"/>
      <c r="K35" s="7">
        <v>0</v>
      </c>
      <c r="L35" s="8">
        <f>IFERROR(K35/K444, "NA")</f>
        <v>0</v>
      </c>
      <c r="M35" s="9"/>
      <c r="N35" s="10">
        <f t="shared" si="9"/>
        <v>449.8</v>
      </c>
      <c r="O35" s="8">
        <f>IFERROR(N35/N444, "NA")</f>
        <v>3.6226223017584762E-2</v>
      </c>
      <c r="P35" s="9"/>
      <c r="Q35" s="7">
        <v>449.8</v>
      </c>
      <c r="R35" s="8">
        <f>IFERROR(Q35/Q444, "NA")</f>
        <v>7.0477960595330368E-3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449.8</v>
      </c>
      <c r="X35" s="8">
        <f>IFERROR(W35/W444, "NA")</f>
        <v>2.9018025625922945E-2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449.8</v>
      </c>
      <c r="AD35" s="8">
        <f>IFERROR(AC35/AC444, "NA")</f>
        <v>3.6226223017584762E-2</v>
      </c>
    </row>
    <row r="36" spans="1:30" ht="16.5" customHeight="1" x14ac:dyDescent="0.45">
      <c r="A36" s="12" t="s">
        <v>36</v>
      </c>
      <c r="B36" s="7">
        <v>9420.36</v>
      </c>
      <c r="C36" s="8">
        <f>IFERROR(B36/B444, "NA")</f>
        <v>0.14760510468515484</v>
      </c>
      <c r="D36" s="9"/>
      <c r="E36" s="7">
        <v>0</v>
      </c>
      <c r="F36" s="8">
        <f>IFERROR(E36/E444, "NA")</f>
        <v>0</v>
      </c>
      <c r="G36" s="9"/>
      <c r="H36" s="10">
        <f t="shared" si="8"/>
        <v>9420.36</v>
      </c>
      <c r="I36" s="8">
        <f>IFERROR(H36/H444, "NA")</f>
        <v>0.60773732300004335</v>
      </c>
      <c r="J36" s="9"/>
      <c r="K36" s="7">
        <v>8142.87</v>
      </c>
      <c r="L36" s="8">
        <f>IFERROR(K36/K444, "NA")</f>
        <v>0.15840634024544328</v>
      </c>
      <c r="M36" s="9"/>
      <c r="N36" s="10">
        <f t="shared" si="9"/>
        <v>1277.4900000000007</v>
      </c>
      <c r="O36" s="8">
        <f>IFERROR(N36/N444, "NA")</f>
        <v>0.10288714460367804</v>
      </c>
      <c r="P36" s="9"/>
      <c r="Q36" s="7">
        <v>9420.36</v>
      </c>
      <c r="R36" s="8">
        <f>IFERROR(Q36/Q444, "NA")</f>
        <v>0.14760510468515484</v>
      </c>
      <c r="S36" s="9"/>
      <c r="T36" s="7">
        <v>0</v>
      </c>
      <c r="U36" s="8">
        <f>IFERROR(T36/T444, "NA")</f>
        <v>0</v>
      </c>
      <c r="V36" s="9"/>
      <c r="W36" s="10">
        <f t="shared" si="10"/>
        <v>9420.36</v>
      </c>
      <c r="X36" s="8">
        <f>IFERROR(W36/W444, "NA")</f>
        <v>0.60773732300004335</v>
      </c>
      <c r="Y36" s="9"/>
      <c r="Z36" s="7">
        <v>8142.87</v>
      </c>
      <c r="AA36" s="8">
        <f>IFERROR(Z36/Z444, "NA")</f>
        <v>0.15840634024544328</v>
      </c>
      <c r="AB36" s="9"/>
      <c r="AC36" s="10">
        <f t="shared" si="11"/>
        <v>1277.4900000000007</v>
      </c>
      <c r="AD36" s="8">
        <f>IFERROR(AC36/AC444, "NA")</f>
        <v>0.10288714460367804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461.1</v>
      </c>
      <c r="C39" s="8">
        <f>IFERROR(B39/B444, "NA")</f>
        <v>7.2248527413309995E-3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461.1</v>
      </c>
      <c r="I39" s="8">
        <f>IFERROR(H39/H444, "NA")</f>
        <v>2.9747024491136215E-2</v>
      </c>
      <c r="J39" s="9"/>
      <c r="K39" s="7">
        <v>490.97</v>
      </c>
      <c r="L39" s="8">
        <f>IFERROR(K39/K444, "NA")</f>
        <v>9.5510257280670453E-3</v>
      </c>
      <c r="M39" s="9"/>
      <c r="N39" s="10">
        <f t="shared" si="9"/>
        <v>-29.870000000000005</v>
      </c>
      <c r="O39" s="8">
        <f>IFERROR(N39/N444, "NA")</f>
        <v>-2.405685374689322E-3</v>
      </c>
      <c r="P39" s="9"/>
      <c r="Q39" s="7">
        <v>461.1</v>
      </c>
      <c r="R39" s="8">
        <f>IFERROR(Q39/Q444, "NA")</f>
        <v>7.2248527413309995E-3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461.1</v>
      </c>
      <c r="X39" s="8">
        <f>IFERROR(W39/W444, "NA")</f>
        <v>2.9747024491136215E-2</v>
      </c>
      <c r="Y39" s="9"/>
      <c r="Z39" s="7">
        <v>490.97</v>
      </c>
      <c r="AA39" s="8">
        <f>IFERROR(Z39/Z444, "NA")</f>
        <v>9.5510257280670453E-3</v>
      </c>
      <c r="AB39" s="9"/>
      <c r="AC39" s="10">
        <f t="shared" si="11"/>
        <v>-29.870000000000005</v>
      </c>
      <c r="AD39" s="8">
        <f>IFERROR(AC39/AC444, "NA")</f>
        <v>-2.405685374689322E-3</v>
      </c>
    </row>
    <row r="40" spans="1:30" ht="16.5" customHeight="1" x14ac:dyDescent="0.45">
      <c r="A40" s="13" t="s">
        <v>40</v>
      </c>
      <c r="B40" s="14">
        <f>IFERROR(B31+B32+B33+B34+B35+B36+B37+B38+B39, "NA")</f>
        <v>15025.62</v>
      </c>
      <c r="C40" s="15">
        <f>IFERROR(B40/B444, "NA")</f>
        <v>0.23543242647407914</v>
      </c>
      <c r="D40" s="2"/>
      <c r="E40" s="14">
        <f>IFERROR(E31+E32+E33+E34+E35+E36+E37+E38+E39, "NA")</f>
        <v>10388.94</v>
      </c>
      <c r="F40" s="15">
        <f>IFERROR(E40/E444, "NA")</f>
        <v>0.21499996067934501</v>
      </c>
      <c r="G40" s="2"/>
      <c r="H40" s="14">
        <f t="shared" si="8"/>
        <v>4636.68</v>
      </c>
      <c r="I40" s="15">
        <f>IFERROR(H40/H444, "NA")</f>
        <v>0.29912694321743977</v>
      </c>
      <c r="J40" s="2"/>
      <c r="K40" s="14">
        <f>IFERROR(K31+K32+K33+K34+K35+K36+K37+K38+K39, "NA")</f>
        <v>11849.16</v>
      </c>
      <c r="L40" s="15">
        <f>IFERROR(K40/K444, "NA")</f>
        <v>0.23050620611439171</v>
      </c>
      <c r="M40" s="2"/>
      <c r="N40" s="14">
        <f t="shared" si="9"/>
        <v>3176.4600000000009</v>
      </c>
      <c r="O40" s="15">
        <f>IFERROR(N40/N444, "NA")</f>
        <v>0.25582736408723283</v>
      </c>
      <c r="P40" s="2"/>
      <c r="Q40" s="14">
        <f>IFERROR(Q31+Q32+Q33+Q34+Q35+Q36+Q37+Q38+Q39, "NA")</f>
        <v>15025.62</v>
      </c>
      <c r="R40" s="15">
        <f>IFERROR(Q40/Q444, "NA")</f>
        <v>0.23543242647407914</v>
      </c>
      <c r="S40" s="2"/>
      <c r="T40" s="14">
        <f>IFERROR(T31+T32+T33+T34+T35+T36+T37+T38+T39, "NA")</f>
        <v>10388.94</v>
      </c>
      <c r="U40" s="15">
        <f>IFERROR(T40/T444, "NA")</f>
        <v>0.21499996067934501</v>
      </c>
      <c r="V40" s="2"/>
      <c r="W40" s="14">
        <f t="shared" si="10"/>
        <v>4636.68</v>
      </c>
      <c r="X40" s="15">
        <f>IFERROR(W40/W444, "NA")</f>
        <v>0.29912694321743977</v>
      </c>
      <c r="Y40" s="2"/>
      <c r="Z40" s="14">
        <f>IFERROR(Z31+Z32+Z33+Z34+Z35+Z36+Z37+Z38+Z39, "NA")</f>
        <v>11849.16</v>
      </c>
      <c r="AA40" s="15">
        <f>IFERROR(Z40/Z444, "NA")</f>
        <v>0.23050620611439171</v>
      </c>
      <c r="AB40" s="2"/>
      <c r="AC40" s="14">
        <f t="shared" si="11"/>
        <v>3176.4600000000009</v>
      </c>
      <c r="AD40" s="15">
        <f>IFERROR(AC40/AC444, "NA")</f>
        <v>0.25582736408723283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3178.66</v>
      </c>
      <c r="C43" s="8">
        <f>IFERROR(B43/B444, "NA")</f>
        <v>4.9805574527779638E-2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3178.66</v>
      </c>
      <c r="I43" s="8">
        <f>IFERROR(H43/H444, "NA")</f>
        <v>0.20506544538927571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3178.66</v>
      </c>
      <c r="O43" s="8">
        <f>IFERROR(N43/N444, "NA")</f>
        <v>0.2560045488151978</v>
      </c>
      <c r="P43" s="9"/>
      <c r="Q43" s="7">
        <v>3178.66</v>
      </c>
      <c r="R43" s="8">
        <f>IFERROR(Q43/Q444, "NA")</f>
        <v>4.9805574527779638E-2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3178.66</v>
      </c>
      <c r="X43" s="8">
        <f>IFERROR(W43/W444, "NA")</f>
        <v>0.20506544538927571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3178.66</v>
      </c>
      <c r="AD43" s="8">
        <f>IFERROR(AC43/AC444, "NA")</f>
        <v>0.2560045488151978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7103.14</v>
      </c>
      <c r="F46" s="8">
        <f>IFERROR(E46/E444, "NA")</f>
        <v>0.14700006167134305</v>
      </c>
      <c r="G46" s="9"/>
      <c r="H46" s="10">
        <f t="shared" ref="H46:H62" si="12">IFERROR(B46-E46, "NA")</f>
        <v>-7103.14</v>
      </c>
      <c r="I46" s="8">
        <f>IFERROR(H46/H444, "NA")</f>
        <v>-0.45824610614610561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7103.14</v>
      </c>
      <c r="U46" s="8">
        <f>IFERROR(T46/T444, "NA")</f>
        <v>0.14700006167134305</v>
      </c>
      <c r="V46" s="9"/>
      <c r="W46" s="10">
        <f t="shared" ref="W46:W62" si="14">IFERROR(Q46-T46, "NA")</f>
        <v>-7103.14</v>
      </c>
      <c r="X46" s="8">
        <f>IFERROR(W46/W444, "NA")</f>
        <v>-0.45824610614610561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516.70000000000005</v>
      </c>
      <c r="C47" s="8">
        <f>IFERROR(B47/B444, "NA")</f>
        <v>8.0960342907085824E-3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516.70000000000005</v>
      </c>
      <c r="I47" s="8">
        <f>IFERROR(H47/H444, "NA")</f>
        <v>3.3333956960681158E-2</v>
      </c>
      <c r="J47" s="9"/>
      <c r="K47" s="7">
        <v>287.33</v>
      </c>
      <c r="L47" s="8">
        <f>IFERROR(K47/K444, "NA")</f>
        <v>5.5895395287807884E-3</v>
      </c>
      <c r="M47" s="9"/>
      <c r="N47" s="10">
        <f t="shared" si="13"/>
        <v>229.37000000000006</v>
      </c>
      <c r="O47" s="8">
        <f>IFERROR(N47/N444, "NA")</f>
        <v>1.8473118660612315E-2</v>
      </c>
      <c r="P47" s="9"/>
      <c r="Q47" s="7">
        <v>516.70000000000005</v>
      </c>
      <c r="R47" s="8">
        <f>IFERROR(Q47/Q444, "NA")</f>
        <v>8.0960342907085824E-3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516.70000000000005</v>
      </c>
      <c r="X47" s="8">
        <f>IFERROR(W47/W444, "NA")</f>
        <v>3.3333956960681158E-2</v>
      </c>
      <c r="Y47" s="9"/>
      <c r="Z47" s="7">
        <v>287.33</v>
      </c>
      <c r="AA47" s="8">
        <f>IFERROR(Z47/Z444, "NA")</f>
        <v>5.5895395287807884E-3</v>
      </c>
      <c r="AB47" s="9"/>
      <c r="AC47" s="10">
        <f t="shared" si="15"/>
        <v>229.37000000000006</v>
      </c>
      <c r="AD47" s="8">
        <f>IFERROR(AC47/AC444, "NA")</f>
        <v>1.8473118660612315E-2</v>
      </c>
    </row>
    <row r="48" spans="1:30" ht="16.5" customHeight="1" x14ac:dyDescent="0.45">
      <c r="A48" s="17" t="s">
        <v>46</v>
      </c>
      <c r="B48" s="7">
        <v>13179.7</v>
      </c>
      <c r="C48" s="8">
        <f>IFERROR(B48/B444, "NA")</f>
        <v>0.20650919903474338</v>
      </c>
      <c r="D48" s="9"/>
      <c r="E48" s="7">
        <v>0</v>
      </c>
      <c r="F48" s="8">
        <f>IFERROR(E48/E444, "NA")</f>
        <v>0</v>
      </c>
      <c r="G48" s="9"/>
      <c r="H48" s="10">
        <f t="shared" si="12"/>
        <v>13179.7</v>
      </c>
      <c r="I48" s="8">
        <f>IFERROR(H48/H444, "NA")</f>
        <v>0.8502642782169334</v>
      </c>
      <c r="J48" s="9"/>
      <c r="K48" s="7">
        <v>2206.7199999999998</v>
      </c>
      <c r="L48" s="8">
        <f>IFERROR(K48/K444, "NA")</f>
        <v>4.2928161587551389E-2</v>
      </c>
      <c r="M48" s="9"/>
      <c r="N48" s="10">
        <f t="shared" si="13"/>
        <v>10972.980000000001</v>
      </c>
      <c r="O48" s="8">
        <f>IFERROR(N48/N444, "NA")</f>
        <v>0.88374748921186597</v>
      </c>
      <c r="P48" s="9"/>
      <c r="Q48" s="7">
        <v>13179.7</v>
      </c>
      <c r="R48" s="8">
        <f>IFERROR(Q48/Q444, "NA")</f>
        <v>0.20650919903474338</v>
      </c>
      <c r="S48" s="9"/>
      <c r="T48" s="7">
        <v>0</v>
      </c>
      <c r="U48" s="8">
        <f>IFERROR(T48/T444, "NA")</f>
        <v>0</v>
      </c>
      <c r="V48" s="9"/>
      <c r="W48" s="10">
        <f t="shared" si="14"/>
        <v>13179.7</v>
      </c>
      <c r="X48" s="8">
        <f>IFERROR(W48/W444, "NA")</f>
        <v>0.8502642782169334</v>
      </c>
      <c r="Y48" s="9"/>
      <c r="Z48" s="7">
        <v>2206.7199999999998</v>
      </c>
      <c r="AA48" s="8">
        <f>IFERROR(Z48/Z444, "NA")</f>
        <v>4.2928161587551389E-2</v>
      </c>
      <c r="AB48" s="9"/>
      <c r="AC48" s="10">
        <f t="shared" si="15"/>
        <v>10972.980000000001</v>
      </c>
      <c r="AD48" s="8">
        <f>IFERROR(AC48/AC444, "NA")</f>
        <v>0.88374748921186597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137.13999999999999</v>
      </c>
      <c r="C50" s="8">
        <f>IFERROR(B50/B444, "NA")</f>
        <v>2.148810030245355E-3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137.13999999999999</v>
      </c>
      <c r="I50" s="8">
        <f>IFERROR(H50/H444, "NA")</f>
        <v>8.8473366703847763E-3</v>
      </c>
      <c r="J50" s="9"/>
      <c r="K50" s="7">
        <v>0</v>
      </c>
      <c r="L50" s="8">
        <f>IFERROR(K50/K444, "NA")</f>
        <v>0</v>
      </c>
      <c r="M50" s="9"/>
      <c r="N50" s="10">
        <f t="shared" si="13"/>
        <v>137.13999999999999</v>
      </c>
      <c r="O50" s="8">
        <f>IFERROR(N50/N444, "NA")</f>
        <v>1.1045051633240493E-2</v>
      </c>
      <c r="P50" s="9"/>
      <c r="Q50" s="7">
        <v>137.13999999999999</v>
      </c>
      <c r="R50" s="8">
        <f>IFERROR(Q50/Q444, "NA")</f>
        <v>2.148810030245355E-3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137.13999999999999</v>
      </c>
      <c r="X50" s="8">
        <f>IFERROR(W50/W444, "NA")</f>
        <v>8.8473366703847763E-3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137.13999999999999</v>
      </c>
      <c r="AD50" s="8">
        <f>IFERROR(AC50/AC444, "NA")</f>
        <v>1.1045051633240493E-2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186.92</v>
      </c>
      <c r="L56" s="8">
        <f>IFERROR(K56/K444, "NA")</f>
        <v>3.6362256942181637E-3</v>
      </c>
      <c r="M56" s="9"/>
      <c r="N56" s="10">
        <f t="shared" si="13"/>
        <v>-186.92</v>
      </c>
      <c r="O56" s="8">
        <f>IFERROR(N56/N444, "NA")</f>
        <v>-1.5054258796013659E-2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186.92</v>
      </c>
      <c r="AA56" s="8">
        <f>IFERROR(Z56/Z444, "NA")</f>
        <v>3.6362256942181637E-3</v>
      </c>
      <c r="AB56" s="9"/>
      <c r="AC56" s="10">
        <f t="shared" si="15"/>
        <v>-186.92</v>
      </c>
      <c r="AD56" s="8">
        <f>IFERROR(AC56/AC444, "NA")</f>
        <v>-1.5054258796013659E-2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1925.53</v>
      </c>
      <c r="L57" s="8">
        <f>IFERROR(K57/K444, "NA")</f>
        <v>3.7458065808837475E-2</v>
      </c>
      <c r="M57" s="9"/>
      <c r="N57" s="10">
        <f t="shared" si="13"/>
        <v>-1925.53</v>
      </c>
      <c r="O57" s="8">
        <f>IFERROR(N57/N444, "NA")</f>
        <v>-0.15507932238116939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1925.53</v>
      </c>
      <c r="AA57" s="8">
        <f>IFERROR(Z57/Z444, "NA")</f>
        <v>3.7458065808837475E-2</v>
      </c>
      <c r="AB57" s="9"/>
      <c r="AC57" s="10">
        <f t="shared" si="15"/>
        <v>-1925.53</v>
      </c>
      <c r="AD57" s="8">
        <f>IFERROR(AC57/AC444, "NA")</f>
        <v>-0.15507932238116939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13833.54</v>
      </c>
      <c r="C61" s="15">
        <f>IFERROR(B61/B444, "NA")</f>
        <v>0.21675404335569731</v>
      </c>
      <c r="D61" s="2"/>
      <c r="E61" s="14">
        <f>IFERROR(E46+E47+E48+E49+E50+E51+E52+E53+E54+E55+E56+E57+E58+E59+E60, "NA")</f>
        <v>7103.14</v>
      </c>
      <c r="F61" s="15">
        <f>IFERROR(E61/E444, "NA")</f>
        <v>0.14700006167134305</v>
      </c>
      <c r="G61" s="2"/>
      <c r="H61" s="14">
        <f t="shared" si="12"/>
        <v>6730.4000000000005</v>
      </c>
      <c r="I61" s="15">
        <f>IFERROR(H61/H444, "NA")</f>
        <v>0.43419946570189372</v>
      </c>
      <c r="J61" s="2"/>
      <c r="K61" s="14">
        <f>IFERROR(K46+K47+K48+K49+K50+K51+K52+K53+K54+K55+K56+K57+K58+K59+K60, "NA")</f>
        <v>4606.5</v>
      </c>
      <c r="L61" s="15">
        <f>IFERROR(K61/K444, "NA")</f>
        <v>8.961199261938782E-2</v>
      </c>
      <c r="M61" s="2"/>
      <c r="N61" s="14">
        <f t="shared" si="13"/>
        <v>9227.0400000000009</v>
      </c>
      <c r="O61" s="15">
        <f>IFERROR(N61/N444, "NA")</f>
        <v>0.74313207832853567</v>
      </c>
      <c r="P61" s="2"/>
      <c r="Q61" s="14">
        <f>IFERROR(Q46+Q47+Q48+Q49+Q50+Q51+Q52+Q53+Q54+Q55+Q56+Q57+Q58+Q59+Q60, "NA")</f>
        <v>13833.54</v>
      </c>
      <c r="R61" s="15">
        <f>IFERROR(Q61/Q444, "NA")</f>
        <v>0.21675404335569731</v>
      </c>
      <c r="S61" s="2"/>
      <c r="T61" s="14">
        <f>IFERROR(T46+T47+T48+T49+T50+T51+T52+T53+T54+T55+T56+T57+T58+T59+T60, "NA")</f>
        <v>7103.14</v>
      </c>
      <c r="U61" s="15">
        <f>IFERROR(T61/T444, "NA")</f>
        <v>0.14700006167134305</v>
      </c>
      <c r="V61" s="2"/>
      <c r="W61" s="14">
        <f t="shared" si="14"/>
        <v>6730.4000000000005</v>
      </c>
      <c r="X61" s="15">
        <f>IFERROR(W61/W444, "NA")</f>
        <v>0.43419946570189372</v>
      </c>
      <c r="Y61" s="2"/>
      <c r="Z61" s="14">
        <f>IFERROR(Z46+Z47+Z48+Z49+Z50+Z51+Z52+Z53+Z54+Z55+Z56+Z57+Z58+Z59+Z60, "NA")</f>
        <v>4606.5</v>
      </c>
      <c r="AA61" s="15">
        <f>IFERROR(Z61/Z444, "NA")</f>
        <v>8.961199261938782E-2</v>
      </c>
      <c r="AB61" s="2"/>
      <c r="AC61" s="14">
        <f t="shared" si="15"/>
        <v>9227.0400000000009</v>
      </c>
      <c r="AD61" s="15">
        <f>IFERROR(AC61/AC444, "NA")</f>
        <v>0.74313207832853567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17012.2</v>
      </c>
      <c r="C62" s="15">
        <f>IFERROR(B62/B444, "NA")</f>
        <v>0.26655961788347698</v>
      </c>
      <c r="D62" s="2"/>
      <c r="E62" s="14">
        <f>IFERROR(E42+E43+E44+E46+E47+E48+E49+E50+E51+E52+E53+E54+E55+E56+E57+E58+E59+E60, "NA")</f>
        <v>7103.14</v>
      </c>
      <c r="F62" s="15">
        <f>IFERROR(E62/E444, "NA")</f>
        <v>0.14700006167134305</v>
      </c>
      <c r="G62" s="2"/>
      <c r="H62" s="14">
        <f t="shared" si="12"/>
        <v>9909.0600000000013</v>
      </c>
      <c r="I62" s="15">
        <f>IFERROR(H62/H444, "NA")</f>
        <v>0.63926491109116945</v>
      </c>
      <c r="J62" s="2"/>
      <c r="K62" s="14">
        <f>IFERROR(K42+K43+K44+K46+K47+K48+K49+K50+K51+K52+K53+K54+K55+K56+K57+K58+K59+K60, "NA")</f>
        <v>4606.5</v>
      </c>
      <c r="L62" s="15">
        <f>IFERROR(K62/K444, "NA")</f>
        <v>8.961199261938782E-2</v>
      </c>
      <c r="M62" s="2"/>
      <c r="N62" s="14">
        <f t="shared" si="13"/>
        <v>12405.7</v>
      </c>
      <c r="O62" s="15">
        <f>IFERROR(N62/N444, "NA")</f>
        <v>0.99913662714373352</v>
      </c>
      <c r="P62" s="2"/>
      <c r="Q62" s="14">
        <f>IFERROR(Q42+Q43+Q44+Q46+Q47+Q48+Q49+Q50+Q51+Q52+Q53+Q54+Q55+Q56+Q57+Q58+Q59+Q60, "NA")</f>
        <v>17012.2</v>
      </c>
      <c r="R62" s="15">
        <f>IFERROR(Q62/Q444, "NA")</f>
        <v>0.26655961788347698</v>
      </c>
      <c r="S62" s="2"/>
      <c r="T62" s="14">
        <f>IFERROR(T42+T43+T44+T46+T47+T48+T49+T50+T51+T52+T53+T54+T55+T56+T57+T58+T59+T60, "NA")</f>
        <v>7103.14</v>
      </c>
      <c r="U62" s="15">
        <f>IFERROR(T62/T444, "NA")</f>
        <v>0.14700006167134305</v>
      </c>
      <c r="V62" s="2"/>
      <c r="W62" s="14">
        <f t="shared" si="14"/>
        <v>9909.0600000000013</v>
      </c>
      <c r="X62" s="15">
        <f>IFERROR(W62/W444, "NA")</f>
        <v>0.63926491109116945</v>
      </c>
      <c r="Y62" s="2"/>
      <c r="Z62" s="14">
        <f>IFERROR(Z42+Z43+Z44+Z46+Z47+Z48+Z49+Z50+Z51+Z52+Z53+Z54+Z55+Z56+Z57+Z58+Z59+Z60, "NA")</f>
        <v>4606.5</v>
      </c>
      <c r="AA62" s="15">
        <f>IFERROR(Z62/Z444, "NA")</f>
        <v>8.961199261938782E-2</v>
      </c>
      <c r="AB62" s="2"/>
      <c r="AC62" s="14">
        <f t="shared" si="15"/>
        <v>12405.7</v>
      </c>
      <c r="AD62" s="15">
        <f>IFERROR(AC62/AC444, "NA")</f>
        <v>0.99913662714373352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400.22</v>
      </c>
      <c r="C66" s="8">
        <f>IFERROR(B66/B444, "NA")</f>
        <v>6.270940282228351E-3</v>
      </c>
      <c r="D66" s="9"/>
      <c r="E66" s="7">
        <v>0</v>
      </c>
      <c r="F66" s="8">
        <f>IFERROR(E66/E444, "NA")</f>
        <v>0</v>
      </c>
      <c r="G66" s="9"/>
      <c r="H66" s="10">
        <f t="shared" si="16"/>
        <v>400.22</v>
      </c>
      <c r="I66" s="8">
        <f>IFERROR(H66/H444, "NA")</f>
        <v>2.5819462463332329E-2</v>
      </c>
      <c r="J66" s="9"/>
      <c r="K66" s="7">
        <v>0</v>
      </c>
      <c r="L66" s="8">
        <f>IFERROR(K66/K444, "NA")</f>
        <v>0</v>
      </c>
      <c r="M66" s="9"/>
      <c r="N66" s="10">
        <f t="shared" si="17"/>
        <v>400.22</v>
      </c>
      <c r="O66" s="8">
        <f>IFERROR(N66/N444, "NA")</f>
        <v>3.2233123557353881E-2</v>
      </c>
      <c r="P66" s="9"/>
      <c r="Q66" s="7">
        <v>400.22</v>
      </c>
      <c r="R66" s="8">
        <f>IFERROR(Q66/Q444, "NA")</f>
        <v>6.270940282228351E-3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400.22</v>
      </c>
      <c r="X66" s="8">
        <f>IFERROR(W66/W444, "NA")</f>
        <v>2.5819462463332329E-2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400.22</v>
      </c>
      <c r="AD66" s="8">
        <f>IFERROR(AC66/AC444, "NA")</f>
        <v>3.2233123557353881E-2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400.22</v>
      </c>
      <c r="C73" s="15">
        <f>IFERROR(B73/B444, "NA")</f>
        <v>6.270940282228351E-3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400.22</v>
      </c>
      <c r="I73" s="15">
        <f>IFERROR(H73/H444, "NA")</f>
        <v>2.5819462463332329E-2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400.22</v>
      </c>
      <c r="O73" s="15">
        <f>IFERROR(N73/N444, "NA")</f>
        <v>3.2233123557353881E-2</v>
      </c>
      <c r="P73" s="2"/>
      <c r="Q73" s="14">
        <f>IFERROR(Q64+Q65+Q66+Q67+Q68+Q69+Q70+Q71+Q72, "NA")</f>
        <v>400.22</v>
      </c>
      <c r="R73" s="15">
        <f>IFERROR(Q73/Q444, "NA")</f>
        <v>6.270940282228351E-3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400.22</v>
      </c>
      <c r="X73" s="15">
        <f>IFERROR(W73/W444, "NA")</f>
        <v>2.5819462463332329E-2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400.22</v>
      </c>
      <c r="AD73" s="15">
        <f>IFERROR(AC73/AC444, "NA")</f>
        <v>3.2233123557353881E-2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386.57</v>
      </c>
      <c r="F75" s="8">
        <f>IFERROR(E75/E444, "NA")</f>
        <v>8.0000976807849886E-3</v>
      </c>
      <c r="G75" s="9"/>
      <c r="H75" s="10">
        <f t="shared" ref="H75:H92" si="20">IFERROR(B75-E75, "NA")</f>
        <v>-386.57</v>
      </c>
      <c r="I75" s="8">
        <f>IFERROR(H75/H444, "NA")</f>
        <v>-2.4938857639424258E-2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386.57</v>
      </c>
      <c r="U75" s="8">
        <f>IFERROR(T75/T444, "NA")</f>
        <v>8.0000976807849886E-3</v>
      </c>
      <c r="V75" s="9"/>
      <c r="W75" s="10">
        <f t="shared" ref="W75:W92" si="22">IFERROR(Q75-T75, "NA")</f>
        <v>-386.57</v>
      </c>
      <c r="X75" s="8">
        <f>IFERROR(W75/W444, "NA")</f>
        <v>-2.4938857639424258E-2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287.39</v>
      </c>
      <c r="C77" s="8">
        <f>IFERROR(B77/B444, "NA")</f>
        <v>4.5030371488421509E-3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287.39</v>
      </c>
      <c r="I77" s="8">
        <f>IFERROR(H77/H444, "NA")</f>
        <v>1.8540441050764772E-2</v>
      </c>
      <c r="J77" s="9"/>
      <c r="K77" s="7">
        <v>38.869999999999997</v>
      </c>
      <c r="L77" s="8">
        <f>IFERROR(K77/K444, "NA")</f>
        <v>7.5615286076535435E-4</v>
      </c>
      <c r="M77" s="9"/>
      <c r="N77" s="10">
        <f t="shared" si="21"/>
        <v>248.51999999999998</v>
      </c>
      <c r="O77" s="8">
        <f>IFERROR(N77/N444, "NA")</f>
        <v>2.0015431179035491E-2</v>
      </c>
      <c r="P77" s="9"/>
      <c r="Q77" s="7">
        <v>287.39</v>
      </c>
      <c r="R77" s="8">
        <f>IFERROR(Q77/Q444, "NA")</f>
        <v>4.5030371488421509E-3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287.39</v>
      </c>
      <c r="X77" s="8">
        <f>IFERROR(W77/W444, "NA")</f>
        <v>1.8540441050764772E-2</v>
      </c>
      <c r="Y77" s="9"/>
      <c r="Z77" s="7">
        <v>38.869999999999997</v>
      </c>
      <c r="AA77" s="8">
        <f>IFERROR(Z77/Z444, "NA")</f>
        <v>7.5615286076535435E-4</v>
      </c>
      <c r="AB77" s="9"/>
      <c r="AC77" s="10">
        <f t="shared" si="23"/>
        <v>248.51999999999998</v>
      </c>
      <c r="AD77" s="8">
        <f>IFERROR(AC77/AC444, "NA")</f>
        <v>2.0015431179035491E-2</v>
      </c>
    </row>
    <row r="78" spans="1:30" ht="16.5" customHeight="1" x14ac:dyDescent="0.45">
      <c r="A78" s="12" t="s">
        <v>74</v>
      </c>
      <c r="B78" s="7">
        <v>25</v>
      </c>
      <c r="C78" s="8">
        <f>IFERROR(B78/B444, "NA")</f>
        <v>3.917183225618629E-4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25</v>
      </c>
      <c r="I78" s="8">
        <f>IFERROR(H78/H444, "NA")</f>
        <v>1.6128293478169711E-3</v>
      </c>
      <c r="J78" s="9"/>
      <c r="K78" s="7">
        <v>25</v>
      </c>
      <c r="L78" s="8">
        <f>IFERROR(K78/K444, "NA")</f>
        <v>4.8633448724296011E-4</v>
      </c>
      <c r="M78" s="9"/>
      <c r="N78" s="10">
        <f t="shared" si="21"/>
        <v>0</v>
      </c>
      <c r="O78" s="8">
        <f>IFERROR(N78/N444, "NA")</f>
        <v>0</v>
      </c>
      <c r="P78" s="9"/>
      <c r="Q78" s="7">
        <v>25</v>
      </c>
      <c r="R78" s="8">
        <f>IFERROR(Q78/Q444, "NA")</f>
        <v>3.917183225618629E-4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25</v>
      </c>
      <c r="X78" s="8">
        <f>IFERROR(W78/W444, "NA")</f>
        <v>1.6128293478169711E-3</v>
      </c>
      <c r="Y78" s="9"/>
      <c r="Z78" s="7">
        <v>25</v>
      </c>
      <c r="AA78" s="8">
        <f>IFERROR(Z78/Z444, "NA")</f>
        <v>4.8633448724296011E-4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5.98</v>
      </c>
      <c r="L79" s="8">
        <f>IFERROR(K79/K444, "NA")</f>
        <v>1.1633120934851606E-4</v>
      </c>
      <c r="M79" s="9"/>
      <c r="N79" s="10">
        <f t="shared" si="21"/>
        <v>-5.98</v>
      </c>
      <c r="O79" s="8">
        <f>IFERROR(N79/N444, "NA")</f>
        <v>-4.8162030601413269E-4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5.98</v>
      </c>
      <c r="AA79" s="8">
        <f>IFERROR(Z79/Z444, "NA")</f>
        <v>1.1633120934851606E-4</v>
      </c>
      <c r="AB79" s="9"/>
      <c r="AC79" s="10">
        <f t="shared" si="23"/>
        <v>-5.98</v>
      </c>
      <c r="AD79" s="8">
        <f>IFERROR(AC79/AC444, "NA")</f>
        <v>-4.8162030601413269E-4</v>
      </c>
    </row>
    <row r="80" spans="1:30" ht="16.5" customHeight="1" x14ac:dyDescent="0.45">
      <c r="A80" s="12" t="s">
        <v>76</v>
      </c>
      <c r="B80" s="7">
        <v>1251.19</v>
      </c>
      <c r="C80" s="8">
        <f>IFERROR(B80/B444, "NA")</f>
        <v>1.960456192024709E-2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1251.19</v>
      </c>
      <c r="I80" s="8">
        <f>IFERROR(H80/H444, "NA")</f>
        <v>8.0718238067804648E-2</v>
      </c>
      <c r="J80" s="9"/>
      <c r="K80" s="7">
        <v>135</v>
      </c>
      <c r="L80" s="8">
        <f>IFERROR(K80/K444, "NA")</f>
        <v>2.6262062311119844E-3</v>
      </c>
      <c r="M80" s="9"/>
      <c r="N80" s="10">
        <f t="shared" si="21"/>
        <v>1116.19</v>
      </c>
      <c r="O80" s="8">
        <f>IFERROR(N80/N444, "NA")</f>
        <v>8.9896282503330233E-2</v>
      </c>
      <c r="P80" s="9"/>
      <c r="Q80" s="7">
        <v>1251.19</v>
      </c>
      <c r="R80" s="8">
        <f>IFERROR(Q80/Q444, "NA")</f>
        <v>1.960456192024709E-2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1251.19</v>
      </c>
      <c r="X80" s="8">
        <f>IFERROR(W80/W444, "NA")</f>
        <v>8.0718238067804648E-2</v>
      </c>
      <c r="Y80" s="9"/>
      <c r="Z80" s="7">
        <v>135</v>
      </c>
      <c r="AA80" s="8">
        <f>IFERROR(Z80/Z444, "NA")</f>
        <v>2.6262062311119844E-3</v>
      </c>
      <c r="AB80" s="9"/>
      <c r="AC80" s="10">
        <f t="shared" si="23"/>
        <v>1116.19</v>
      </c>
      <c r="AD80" s="8">
        <f>IFERROR(AC80/AC444, "NA")</f>
        <v>8.9896282503330233E-2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70</v>
      </c>
      <c r="L86" s="8">
        <f>IFERROR(K86/K444, "NA")</f>
        <v>1.3617365642802882E-3</v>
      </c>
      <c r="M86" s="9"/>
      <c r="N86" s="10">
        <f t="shared" si="21"/>
        <v>-70</v>
      </c>
      <c r="O86" s="8">
        <f>IFERROR(N86/N444, "NA")</f>
        <v>-5.6376958897975402E-3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70</v>
      </c>
      <c r="AA86" s="8">
        <f>IFERROR(Z86/Z444, "NA")</f>
        <v>1.3617365642802882E-3</v>
      </c>
      <c r="AB86" s="9"/>
      <c r="AC86" s="10">
        <f t="shared" si="23"/>
        <v>-70</v>
      </c>
      <c r="AD86" s="8">
        <f>IFERROR(AC86/AC444, "NA")</f>
        <v>-5.6376958897975402E-3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1563.58</v>
      </c>
      <c r="C88" s="15">
        <f>IFERROR(B88/B444, "NA")</f>
        <v>2.44993173916511E-2</v>
      </c>
      <c r="D88" s="2"/>
      <c r="E88" s="14">
        <f>IFERROR(E75+E76+E77+E78+E79+E80+E81+E82+E83+E84+E85+E86+E87, "NA")</f>
        <v>386.57</v>
      </c>
      <c r="F88" s="15">
        <f>IFERROR(E88/E444, "NA")</f>
        <v>8.0000976807849886E-3</v>
      </c>
      <c r="G88" s="2"/>
      <c r="H88" s="14">
        <f t="shared" si="20"/>
        <v>1177.01</v>
      </c>
      <c r="I88" s="15">
        <f>IFERROR(H88/H444, "NA")</f>
        <v>7.5932650826962128E-2</v>
      </c>
      <c r="J88" s="2"/>
      <c r="K88" s="14">
        <f>IFERROR(K75+K76+K77+K78+K79+K80+K81+K82+K83+K84+K85+K86+K87, "NA")</f>
        <v>274.85000000000002</v>
      </c>
      <c r="L88" s="15">
        <f>IFERROR(K88/K444, "NA")</f>
        <v>5.3467613527491036E-3</v>
      </c>
      <c r="M88" s="2"/>
      <c r="N88" s="14">
        <f t="shared" si="21"/>
        <v>1288.73</v>
      </c>
      <c r="O88" s="15">
        <f>IFERROR(N88/N444, "NA")</f>
        <v>0.10379239748655406</v>
      </c>
      <c r="P88" s="2"/>
      <c r="Q88" s="14">
        <f>IFERROR(Q75+Q76+Q77+Q78+Q79+Q80+Q81+Q82+Q83+Q84+Q85+Q86+Q87, "NA")</f>
        <v>1563.58</v>
      </c>
      <c r="R88" s="15">
        <f>IFERROR(Q88/Q444, "NA")</f>
        <v>2.44993173916511E-2</v>
      </c>
      <c r="S88" s="2"/>
      <c r="T88" s="14">
        <f>IFERROR(T75+T76+T77+T78+T79+T80+T81+T82+T83+T84+T85+T86+T87, "NA")</f>
        <v>386.57</v>
      </c>
      <c r="U88" s="15">
        <f>IFERROR(T88/T444, "NA")</f>
        <v>8.0000976807849886E-3</v>
      </c>
      <c r="V88" s="2"/>
      <c r="W88" s="14">
        <f t="shared" si="22"/>
        <v>1177.01</v>
      </c>
      <c r="X88" s="15">
        <f>IFERROR(W88/W444, "NA")</f>
        <v>7.5932650826962128E-2</v>
      </c>
      <c r="Y88" s="2"/>
      <c r="Z88" s="14">
        <f>IFERROR(Z75+Z76+Z77+Z78+Z79+Z80+Z81+Z82+Z83+Z84+Z85+Z86+Z87, "NA")</f>
        <v>274.85000000000002</v>
      </c>
      <c r="AA88" s="15">
        <f>IFERROR(Z88/Z444, "NA")</f>
        <v>5.3467613527491036E-3</v>
      </c>
      <c r="AB88" s="2"/>
      <c r="AC88" s="14">
        <f t="shared" si="23"/>
        <v>1288.73</v>
      </c>
      <c r="AD88" s="15">
        <f>IFERROR(AC88/AC444, "NA")</f>
        <v>0.10379239748655406</v>
      </c>
    </row>
    <row r="89" spans="1:30" ht="16.5" customHeight="1" x14ac:dyDescent="0.45">
      <c r="A89" s="6" t="s">
        <v>85</v>
      </c>
      <c r="B89" s="7">
        <v>-2.27</v>
      </c>
      <c r="C89" s="8">
        <f>IFERROR(B89/B444, "NA")</f>
        <v>-3.5568023688617151E-5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-2.27</v>
      </c>
      <c r="I89" s="8">
        <f>IFERROR(H89/H444, "NA")</f>
        <v>-1.4644490478178096E-4</v>
      </c>
      <c r="J89" s="9"/>
      <c r="K89" s="7">
        <v>-115.81</v>
      </c>
      <c r="L89" s="8">
        <f>IFERROR(K89/K444, "NA")</f>
        <v>-2.2528958787042886E-3</v>
      </c>
      <c r="M89" s="9"/>
      <c r="N89" s="10">
        <f t="shared" si="21"/>
        <v>113.54</v>
      </c>
      <c r="O89" s="8">
        <f>IFERROR(N89/N444, "NA")</f>
        <v>9.1443427332516102E-3</v>
      </c>
      <c r="P89" s="9"/>
      <c r="Q89" s="7">
        <v>-2.27</v>
      </c>
      <c r="R89" s="8">
        <f>IFERROR(Q89/Q444, "NA")</f>
        <v>-3.5568023688617151E-5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-2.27</v>
      </c>
      <c r="X89" s="8">
        <f>IFERROR(W89/W444, "NA")</f>
        <v>-1.4644490478178096E-4</v>
      </c>
      <c r="Y89" s="9"/>
      <c r="Z89" s="7">
        <v>-115.81</v>
      </c>
      <c r="AA89" s="8">
        <f>IFERROR(Z89/Z444, "NA")</f>
        <v>-2.2528958787042886E-3</v>
      </c>
      <c r="AB89" s="9"/>
      <c r="AC89" s="10">
        <f t="shared" si="23"/>
        <v>113.54</v>
      </c>
      <c r="AD89" s="8">
        <f>IFERROR(AC89/AC444, "NA")</f>
        <v>9.1443427332516102E-3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-1932.83</v>
      </c>
      <c r="F94" s="8">
        <f>IFERROR(E94/E444, "NA")</f>
        <v>-4.0000074502293634E-2</v>
      </c>
      <c r="G94" s="9"/>
      <c r="H94" s="10">
        <f t="shared" ref="H94:H124" si="24">IFERROR(B94-E94, "NA")</f>
        <v>1932.83</v>
      </c>
      <c r="I94" s="8">
        <f>IFERROR(H94/H444, "NA")</f>
        <v>0.12469299793364304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-1932.83</v>
      </c>
      <c r="U94" s="8">
        <f>IFERROR(T94/T444, "NA")</f>
        <v>-4.0000074502293634E-2</v>
      </c>
      <c r="V94" s="9"/>
      <c r="W94" s="10">
        <f t="shared" ref="W94:W124" si="26">IFERROR(Q94-T94, "NA")</f>
        <v>1932.83</v>
      </c>
      <c r="X94" s="8">
        <f>IFERROR(W94/W444, "NA")</f>
        <v>0.12469299793364304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-1226.9000000000001</v>
      </c>
      <c r="C96" s="8">
        <f>IFERROR(B96/B444, "NA")</f>
        <v>-1.9223968398045983E-2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-1226.9000000000001</v>
      </c>
      <c r="I96" s="8">
        <f>IFERROR(H96/H444, "NA")</f>
        <v>-7.9151213073465676E-2</v>
      </c>
      <c r="J96" s="9"/>
      <c r="K96" s="7">
        <v>-1427.26</v>
      </c>
      <c r="L96" s="8">
        <f>IFERROR(K96/K444, "NA")</f>
        <v>-2.7765030410495488E-2</v>
      </c>
      <c r="M96" s="9"/>
      <c r="N96" s="10">
        <f t="shared" si="25"/>
        <v>200.3599999999999</v>
      </c>
      <c r="O96" s="8">
        <f>IFERROR(N96/N444, "NA")</f>
        <v>1.6136696406854778E-2</v>
      </c>
      <c r="P96" s="9"/>
      <c r="Q96" s="7">
        <v>-1226.9000000000001</v>
      </c>
      <c r="R96" s="8">
        <f>IFERROR(Q96/Q444, "NA")</f>
        <v>-1.9223968398045983E-2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-1226.9000000000001</v>
      </c>
      <c r="X96" s="8">
        <f>IFERROR(W96/W444, "NA")</f>
        <v>-7.9151213073465676E-2</v>
      </c>
      <c r="Y96" s="9"/>
      <c r="Z96" s="7">
        <v>-1427.26</v>
      </c>
      <c r="AA96" s="8">
        <f>IFERROR(Z96/Z444, "NA")</f>
        <v>-2.7765030410495488E-2</v>
      </c>
      <c r="AB96" s="9"/>
      <c r="AC96" s="10">
        <f t="shared" si="27"/>
        <v>200.3599999999999</v>
      </c>
      <c r="AD96" s="8">
        <f>IFERROR(AC96/AC444, "NA")</f>
        <v>1.6136696406854778E-2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-1660.14</v>
      </c>
      <c r="C98" s="8">
        <f>IFERROR(B98/B444, "NA")</f>
        <v>-2.6012290240714043E-2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-1660.14</v>
      </c>
      <c r="I98" s="8">
        <f>IFERROR(H98/H444, "NA")</f>
        <v>-0.10710090053939465</v>
      </c>
      <c r="J98" s="9"/>
      <c r="K98" s="7">
        <v>-1103.6400000000001</v>
      </c>
      <c r="L98" s="8">
        <f>IFERROR(K98/K444, "NA")</f>
        <v>-2.1469527740032822E-2</v>
      </c>
      <c r="M98" s="9"/>
      <c r="N98" s="10">
        <f t="shared" si="25"/>
        <v>-556.5</v>
      </c>
      <c r="O98" s="8">
        <f>IFERROR(N98/N444, "NA")</f>
        <v>-4.4819682323890442E-2</v>
      </c>
      <c r="P98" s="9"/>
      <c r="Q98" s="7">
        <v>-1660.14</v>
      </c>
      <c r="R98" s="8">
        <f>IFERROR(Q98/Q444, "NA")</f>
        <v>-2.6012290240714043E-2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-1660.14</v>
      </c>
      <c r="X98" s="8">
        <f>IFERROR(W98/W444, "NA")</f>
        <v>-0.10710090053939465</v>
      </c>
      <c r="Y98" s="9"/>
      <c r="Z98" s="7">
        <v>-1103.6400000000001</v>
      </c>
      <c r="AA98" s="8">
        <f>IFERROR(Z98/Z444, "NA")</f>
        <v>-2.1469527740032822E-2</v>
      </c>
      <c r="AB98" s="9"/>
      <c r="AC98" s="10">
        <f t="shared" si="27"/>
        <v>-556.5</v>
      </c>
      <c r="AD98" s="8">
        <f>IFERROR(AC98/AC444, "NA")</f>
        <v>-4.4819682323890442E-2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-95.62</v>
      </c>
      <c r="C100" s="8">
        <f>IFERROR(B100/B444, "NA")</f>
        <v>-1.4982442401346133E-3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-95.62</v>
      </c>
      <c r="I100" s="8">
        <f>IFERROR(H100/H444, "NA")</f>
        <v>-6.1687496895303515E-3</v>
      </c>
      <c r="J100" s="9"/>
      <c r="K100" s="7">
        <v>0</v>
      </c>
      <c r="L100" s="8">
        <f>IFERROR(K100/K444, "NA")</f>
        <v>0</v>
      </c>
      <c r="M100" s="9"/>
      <c r="N100" s="10">
        <f t="shared" si="25"/>
        <v>-95.62</v>
      </c>
      <c r="O100" s="8">
        <f>IFERROR(N100/N444, "NA")</f>
        <v>-7.7010925854634395E-3</v>
      </c>
      <c r="P100" s="9"/>
      <c r="Q100" s="7">
        <v>-95.62</v>
      </c>
      <c r="R100" s="8">
        <f>IFERROR(Q100/Q444, "NA")</f>
        <v>-1.4982442401346133E-3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-95.62</v>
      </c>
      <c r="X100" s="8">
        <f>IFERROR(W100/W444, "NA")</f>
        <v>-6.1687496895303515E-3</v>
      </c>
      <c r="Y100" s="9"/>
      <c r="Z100" s="7">
        <v>0</v>
      </c>
      <c r="AA100" s="8">
        <f>IFERROR(Z100/Z444, "NA")</f>
        <v>0</v>
      </c>
      <c r="AB100" s="9"/>
      <c r="AC100" s="10">
        <f t="shared" si="27"/>
        <v>-95.62</v>
      </c>
      <c r="AD100" s="8">
        <f>IFERROR(AC100/AC444, "NA")</f>
        <v>-7.7010925854634395E-3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-810.76</v>
      </c>
      <c r="C102" s="8">
        <f>IFERROR(B102/B444, "NA")</f>
        <v>-1.2703581888010239E-2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-810.76</v>
      </c>
      <c r="I102" s="8">
        <f>IFERROR(H102/H444, "NA")</f>
        <v>-5.2304700881443497E-2</v>
      </c>
      <c r="J102" s="9"/>
      <c r="K102" s="7">
        <v>-51.4</v>
      </c>
      <c r="L102" s="8">
        <f>IFERROR(K102/K444, "NA")</f>
        <v>-9.9990370577152598E-4</v>
      </c>
      <c r="M102" s="9"/>
      <c r="N102" s="10">
        <f t="shared" si="25"/>
        <v>-759.36</v>
      </c>
      <c r="O102" s="8">
        <f>IFERROR(N102/N444, "NA")</f>
        <v>-6.1157725012523714E-2</v>
      </c>
      <c r="P102" s="9"/>
      <c r="Q102" s="7">
        <v>-810.76</v>
      </c>
      <c r="R102" s="8">
        <f>IFERROR(Q102/Q444, "NA")</f>
        <v>-1.2703581888010239E-2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-810.76</v>
      </c>
      <c r="X102" s="8">
        <f>IFERROR(W102/W444, "NA")</f>
        <v>-5.2304700881443497E-2</v>
      </c>
      <c r="Y102" s="9"/>
      <c r="Z102" s="7">
        <v>-51.4</v>
      </c>
      <c r="AA102" s="8">
        <f>IFERROR(Z102/Z444, "NA")</f>
        <v>-9.9990370577152598E-4</v>
      </c>
      <c r="AB102" s="9"/>
      <c r="AC102" s="10">
        <f t="shared" si="27"/>
        <v>-759.36</v>
      </c>
      <c r="AD102" s="8">
        <f>IFERROR(AC102/AC444, "NA")</f>
        <v>-6.1157725012523714E-2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-467.27</v>
      </c>
      <c r="C104" s="8">
        <f>IFERROR(B104/B444, "NA")</f>
        <v>-7.3215288233392664E-3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-467.27</v>
      </c>
      <c r="I104" s="8">
        <f>IFERROR(H104/H444, "NA")</f>
        <v>-3.014507077417744E-2</v>
      </c>
      <c r="J104" s="9"/>
      <c r="K104" s="7">
        <v>-250.74</v>
      </c>
      <c r="L104" s="8">
        <f>IFERROR(K104/K444, "NA")</f>
        <v>-4.8777403732519929E-3</v>
      </c>
      <c r="M104" s="9"/>
      <c r="N104" s="10">
        <f t="shared" si="25"/>
        <v>-216.52999999999997</v>
      </c>
      <c r="O104" s="8">
        <f>IFERROR(N104/N444, "NA")</f>
        <v>-1.7439004157398016E-2</v>
      </c>
      <c r="P104" s="9"/>
      <c r="Q104" s="7">
        <v>-467.27</v>
      </c>
      <c r="R104" s="8">
        <f>IFERROR(Q104/Q444, "NA")</f>
        <v>-7.3215288233392664E-3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-467.27</v>
      </c>
      <c r="X104" s="8">
        <f>IFERROR(W104/W444, "NA")</f>
        <v>-3.014507077417744E-2</v>
      </c>
      <c r="Y104" s="9"/>
      <c r="Z104" s="7">
        <v>-250.74</v>
      </c>
      <c r="AA104" s="8">
        <f>IFERROR(Z104/Z444, "NA")</f>
        <v>-4.8777403732519929E-3</v>
      </c>
      <c r="AB104" s="9"/>
      <c r="AC104" s="10">
        <f t="shared" si="27"/>
        <v>-216.52999999999997</v>
      </c>
      <c r="AD104" s="8">
        <f>IFERROR(AC104/AC444, "NA")</f>
        <v>-1.7439004157398016E-2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-235.87</v>
      </c>
      <c r="C106" s="8">
        <f>IFERROR(B106/B444, "NA")</f>
        <v>-3.6957840297066639E-3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-235.87</v>
      </c>
      <c r="I106" s="8">
        <f>IFERROR(H106/H444, "NA")</f>
        <v>-1.5216722330783559E-2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-235.87</v>
      </c>
      <c r="O106" s="8">
        <f>IFERROR(N106/N444, "NA")</f>
        <v>-1.8996618993236368E-2</v>
      </c>
      <c r="P106" s="9"/>
      <c r="Q106" s="7">
        <v>-235.87</v>
      </c>
      <c r="R106" s="8">
        <f>IFERROR(Q106/Q444, "NA")</f>
        <v>-3.6957840297066639E-3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-235.87</v>
      </c>
      <c r="X106" s="8">
        <f>IFERROR(W106/W444, "NA")</f>
        <v>-1.5216722330783559E-2</v>
      </c>
      <c r="Y106" s="9"/>
      <c r="Z106" s="7">
        <v>0</v>
      </c>
      <c r="AA106" s="8">
        <f>IFERROR(Z106/Z444, "NA")</f>
        <v>0</v>
      </c>
      <c r="AB106" s="9"/>
      <c r="AC106" s="10">
        <f t="shared" si="27"/>
        <v>-235.87</v>
      </c>
      <c r="AD106" s="8">
        <f>IFERROR(AC106/AC444, "NA")</f>
        <v>-1.8996618993236368E-2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-4496.5600000000004</v>
      </c>
      <c r="C118" s="15">
        <f>IFERROR(B118/B444, "NA")</f>
        <v>-7.0455397619950816E-2</v>
      </c>
      <c r="D118" s="2"/>
      <c r="E118" s="14">
        <f>IFERROR(E94+E95+E96+E97+E98+E99+E100+E101+E102+E103+E104+E105+E106+E107+E108+E109+E110+E111+E112+E113+E114+E115+E116+E117, "NA")</f>
        <v>-1932.83</v>
      </c>
      <c r="F118" s="15">
        <f>IFERROR(E118/E444, "NA")</f>
        <v>-4.0000074502293634E-2</v>
      </c>
      <c r="G118" s="2"/>
      <c r="H118" s="14">
        <f t="shared" si="24"/>
        <v>-2563.7300000000005</v>
      </c>
      <c r="I118" s="15">
        <f>IFERROR(H118/H444, "NA")</f>
        <v>-0.16539435935515215</v>
      </c>
      <c r="J118" s="2"/>
      <c r="K118" s="14">
        <f>IFERROR(K94+K95+K96+K97+K98+K99+K100+K101+K102+K103+K104+K105+K106+K107+K108+K109+K110+K111+K112+K113+K114+K115+K116+K117, "NA")</f>
        <v>-2833.04</v>
      </c>
      <c r="L118" s="15">
        <f>IFERROR(K118/K444, "NA")</f>
        <v>-5.5112202229551828E-2</v>
      </c>
      <c r="M118" s="2"/>
      <c r="N118" s="14">
        <f t="shared" si="25"/>
        <v>-1663.5200000000004</v>
      </c>
      <c r="O118" s="15">
        <f>IFERROR(N118/N444, "NA")</f>
        <v>-0.13397742666565723</v>
      </c>
      <c r="P118" s="2"/>
      <c r="Q118" s="14">
        <f>IFERROR(Q94+Q95+Q96+Q97+Q98+Q99+Q100+Q101+Q102+Q103+Q104+Q105+Q106+Q107+Q108+Q109+Q110+Q111+Q112+Q113+Q114+Q115+Q116+Q117, "NA")</f>
        <v>-4496.5600000000004</v>
      </c>
      <c r="R118" s="15">
        <f>IFERROR(Q118/Q444, "NA")</f>
        <v>-7.0455397619950816E-2</v>
      </c>
      <c r="S118" s="2"/>
      <c r="T118" s="14">
        <f>IFERROR(T94+T95+T96+T97+T98+T99+T100+T101+T102+T103+T104+T105+T106+T107+T108+T109+T110+T111+T112+T113+T114+T115+T116+T117, "NA")</f>
        <v>-1932.83</v>
      </c>
      <c r="U118" s="15">
        <f>IFERROR(T118/T444, "NA")</f>
        <v>-4.0000074502293634E-2</v>
      </c>
      <c r="V118" s="2"/>
      <c r="W118" s="14">
        <f t="shared" si="26"/>
        <v>-2563.7300000000005</v>
      </c>
      <c r="X118" s="15">
        <f>IFERROR(W118/W444, "NA")</f>
        <v>-0.16539435935515215</v>
      </c>
      <c r="Y118" s="2"/>
      <c r="Z118" s="14">
        <f>IFERROR(Z94+Z95+Z96+Z97+Z98+Z99+Z100+Z101+Z102+Z103+Z104+Z105+Z106+Z107+Z108+Z109+Z110+Z111+Z112+Z113+Z114+Z115+Z116+Z117, "NA")</f>
        <v>-2833.04</v>
      </c>
      <c r="AA118" s="15">
        <f>IFERROR(Z118/Z444, "NA")</f>
        <v>-5.5112202229551828E-2</v>
      </c>
      <c r="AB118" s="2"/>
      <c r="AC118" s="14">
        <f t="shared" si="27"/>
        <v>-1663.5200000000004</v>
      </c>
      <c r="AD118" s="15">
        <f>IFERROR(AC118/AC444, "NA")</f>
        <v>-0.13397742666565723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63821.369999999995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48320.659999999996</v>
      </c>
      <c r="F122" s="15">
        <f>IFERROR(E122/E444, "NA")</f>
        <v>0.99999999999999989</v>
      </c>
      <c r="G122" s="2"/>
      <c r="H122" s="14">
        <f t="shared" si="24"/>
        <v>15500.71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51404.950000000012</v>
      </c>
      <c r="L122" s="15">
        <f>IFERROR(K122/K444, "NA")</f>
        <v>1.0000000000000002</v>
      </c>
      <c r="M122" s="2"/>
      <c r="N122" s="14">
        <f t="shared" si="25"/>
        <v>12416.419999999984</v>
      </c>
      <c r="O122" s="15">
        <f>IFERROR(N122/N444, "NA")</f>
        <v>0.99999999999999822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63821.369999999995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48320.659999999996</v>
      </c>
      <c r="U122" s="15">
        <f>IFERROR(T122/T444, "NA")</f>
        <v>0.99999999999999989</v>
      </c>
      <c r="V122" s="2"/>
      <c r="W122" s="14">
        <f t="shared" si="26"/>
        <v>15500.71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51404.950000000012</v>
      </c>
      <c r="AA122" s="15">
        <f>IFERROR(Z122/Z444, "NA")</f>
        <v>1.0000000000000002</v>
      </c>
      <c r="AB122" s="2"/>
      <c r="AC122" s="14">
        <f t="shared" si="27"/>
        <v>12416.419999999984</v>
      </c>
      <c r="AD122" s="15">
        <f>IFERROR(AC122/AC444, "NA")</f>
        <v>0.99999999999999822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63821.369999999995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48320.659999999996</v>
      </c>
      <c r="F124" s="15">
        <f>IFERROR(E124/E444, "NA")</f>
        <v>0.99999999999999989</v>
      </c>
      <c r="G124" s="2"/>
      <c r="H124" s="14">
        <f t="shared" si="24"/>
        <v>15500.71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51404.950000000012</v>
      </c>
      <c r="L124" s="15">
        <f>IFERROR(K124/K444, "NA")</f>
        <v>1.0000000000000002</v>
      </c>
      <c r="M124" s="2"/>
      <c r="N124" s="14">
        <f t="shared" si="25"/>
        <v>12416.419999999984</v>
      </c>
      <c r="O124" s="15">
        <f>IFERROR(N124/N444, "NA")</f>
        <v>0.99999999999999822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63821.369999999995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48320.659999999996</v>
      </c>
      <c r="U124" s="15">
        <f>IFERROR(T124/T444, "NA")</f>
        <v>0.99999999999999989</v>
      </c>
      <c r="V124" s="2"/>
      <c r="W124" s="14">
        <f t="shared" si="26"/>
        <v>15500.71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51404.950000000012</v>
      </c>
      <c r="AA124" s="15">
        <f>IFERROR(Z124/Z444, "NA")</f>
        <v>1.0000000000000002</v>
      </c>
      <c r="AB124" s="2"/>
      <c r="AC124" s="14">
        <f t="shared" si="27"/>
        <v>12416.419999999984</v>
      </c>
      <c r="AD124" s="15">
        <f>IFERROR(AC124/AC444, "NA")</f>
        <v>0.99999999999999822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13046.58</v>
      </c>
      <c r="F129" s="8">
        <f>IFERROR(E129/E444, "NA")</f>
        <v>0.2700000372511468</v>
      </c>
      <c r="G129" s="9"/>
      <c r="H129" s="10">
        <f t="shared" ref="H129:H141" si="28">IFERROR(-(B129-E129), "NA")</f>
        <v>13046.58</v>
      </c>
      <c r="I129" s="8">
        <f>IFERROR(H129/H444, "NA")</f>
        <v>0.84167628450567755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13046.58</v>
      </c>
      <c r="U129" s="8">
        <f>IFERROR(T129/T444, "NA")</f>
        <v>0.2700000372511468</v>
      </c>
      <c r="V129" s="9"/>
      <c r="W129" s="10">
        <f t="shared" ref="W129:W141" si="30">IFERROR(-(Q129-T129), "NA")</f>
        <v>13046.58</v>
      </c>
      <c r="X129" s="8">
        <f>IFERROR(W129/W444, "NA")</f>
        <v>0.84167628450567755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3558.16</v>
      </c>
      <c r="C130" s="8">
        <f>IFERROR(B130/B444, "NA")</f>
        <v>5.5751858664268718E-2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-3558.16</v>
      </c>
      <c r="I130" s="8">
        <f>IFERROR(H130/H444, "NA")</f>
        <v>-0.22954819488913733</v>
      </c>
      <c r="J130" s="9"/>
      <c r="K130" s="7">
        <v>3462.6</v>
      </c>
      <c r="L130" s="8">
        <f>IFERROR(K130/K444, "NA")</f>
        <v>6.7359271821098937E-2</v>
      </c>
      <c r="M130" s="9"/>
      <c r="N130" s="10">
        <f t="shared" si="29"/>
        <v>-95.559999999999945</v>
      </c>
      <c r="O130" s="8">
        <f>IFERROR(N130/N444, "NA")</f>
        <v>-7.6962602747007516E-3</v>
      </c>
      <c r="P130" s="9"/>
      <c r="Q130" s="7">
        <v>3558.16</v>
      </c>
      <c r="R130" s="8">
        <f>IFERROR(Q130/Q444, "NA")</f>
        <v>5.5751858664268718E-2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-3558.16</v>
      </c>
      <c r="X130" s="8">
        <f>IFERROR(W130/W444, "NA")</f>
        <v>-0.22954819488913733</v>
      </c>
      <c r="Y130" s="9"/>
      <c r="Z130" s="7">
        <v>3462.6</v>
      </c>
      <c r="AA130" s="8">
        <f>IFERROR(Z130/Z444, "NA")</f>
        <v>6.7359271821098937E-2</v>
      </c>
      <c r="AB130" s="9"/>
      <c r="AC130" s="10">
        <f t="shared" si="31"/>
        <v>-95.559999999999945</v>
      </c>
      <c r="AD130" s="8">
        <f>IFERROR(AC130/AC444, "NA")</f>
        <v>-7.6962602747007516E-3</v>
      </c>
    </row>
    <row r="131" spans="1:30" ht="16.5" customHeight="1" x14ac:dyDescent="0.45">
      <c r="A131" s="12" t="s">
        <v>123</v>
      </c>
      <c r="B131" s="7">
        <v>1847.16</v>
      </c>
      <c r="C131" s="8">
        <f>IFERROR(B131/B444, "NA")</f>
        <v>2.8942656668134826E-2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-1847.16</v>
      </c>
      <c r="I131" s="8">
        <f>IFERROR(H131/H444, "NA")</f>
        <v>-0.11916615432454386</v>
      </c>
      <c r="J131" s="9"/>
      <c r="K131" s="7">
        <v>1604.79</v>
      </c>
      <c r="L131" s="8">
        <f>IFERROR(K131/K444, "NA")</f>
        <v>3.1218588871305197E-2</v>
      </c>
      <c r="M131" s="9"/>
      <c r="N131" s="10">
        <f t="shared" si="29"/>
        <v>-242.37000000000012</v>
      </c>
      <c r="O131" s="8">
        <f>IFERROR(N131/N444, "NA")</f>
        <v>-1.9520119325860435E-2</v>
      </c>
      <c r="P131" s="9"/>
      <c r="Q131" s="7">
        <v>1847.16</v>
      </c>
      <c r="R131" s="8">
        <f>IFERROR(Q131/Q444, "NA")</f>
        <v>2.8942656668134826E-2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-1847.16</v>
      </c>
      <c r="X131" s="8">
        <f>IFERROR(W131/W444, "NA")</f>
        <v>-0.11916615432454386</v>
      </c>
      <c r="Y131" s="9"/>
      <c r="Z131" s="7">
        <v>1604.79</v>
      </c>
      <c r="AA131" s="8">
        <f>IFERROR(Z131/Z444, "NA")</f>
        <v>3.1218588871305197E-2</v>
      </c>
      <c r="AB131" s="9"/>
      <c r="AC131" s="10">
        <f t="shared" si="31"/>
        <v>-242.37000000000012</v>
      </c>
      <c r="AD131" s="8">
        <f>IFERROR(AC131/AC444, "NA")</f>
        <v>-1.9520119325860435E-2</v>
      </c>
    </row>
    <row r="132" spans="1:30" ht="16.5" customHeight="1" x14ac:dyDescent="0.45">
      <c r="A132" s="12" t="s">
        <v>124</v>
      </c>
      <c r="B132" s="7">
        <v>2455.98</v>
      </c>
      <c r="C132" s="8">
        <f>IFERROR(B132/B444, "NA")</f>
        <v>3.848209463381936E-2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-2455.98</v>
      </c>
      <c r="I132" s="8">
        <f>IFERROR(H132/H444, "NA")</f>
        <v>-0.158443064866061</v>
      </c>
      <c r="J132" s="9"/>
      <c r="K132" s="7">
        <v>1706.7</v>
      </c>
      <c r="L132" s="8">
        <f>IFERROR(K132/K444, "NA")</f>
        <v>3.3201082775102399E-2</v>
      </c>
      <c r="M132" s="9"/>
      <c r="N132" s="10">
        <f t="shared" si="29"/>
        <v>-749.28</v>
      </c>
      <c r="O132" s="8">
        <f>IFERROR(N132/N444, "NA")</f>
        <v>-6.0345896804392861E-2</v>
      </c>
      <c r="P132" s="9"/>
      <c r="Q132" s="7">
        <v>2455.98</v>
      </c>
      <c r="R132" s="8">
        <f>IFERROR(Q132/Q444, "NA")</f>
        <v>3.848209463381936E-2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-2455.98</v>
      </c>
      <c r="X132" s="8">
        <f>IFERROR(W132/W444, "NA")</f>
        <v>-0.158443064866061</v>
      </c>
      <c r="Y132" s="9"/>
      <c r="Z132" s="7">
        <v>1706.7</v>
      </c>
      <c r="AA132" s="8">
        <f>IFERROR(Z132/Z444, "NA")</f>
        <v>3.3201082775102399E-2</v>
      </c>
      <c r="AB132" s="9"/>
      <c r="AC132" s="10">
        <f t="shared" si="31"/>
        <v>-749.28</v>
      </c>
      <c r="AD132" s="8">
        <f>IFERROR(AC132/AC444, "NA")</f>
        <v>-6.0345896804392861E-2</v>
      </c>
    </row>
    <row r="133" spans="1:30" ht="16.5" customHeight="1" x14ac:dyDescent="0.45">
      <c r="A133" s="12" t="s">
        <v>125</v>
      </c>
      <c r="B133" s="7">
        <v>1301.8499999999999</v>
      </c>
      <c r="C133" s="8">
        <f>IFERROR(B133/B444, "NA")</f>
        <v>2.0398339929086445E-2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-1301.8499999999999</v>
      </c>
      <c r="I133" s="8">
        <f>IFERROR(H133/H444, "NA")</f>
        <v>-8.3986475458220938E-2</v>
      </c>
      <c r="J133" s="9"/>
      <c r="K133" s="7">
        <v>1022.14</v>
      </c>
      <c r="L133" s="8">
        <f>IFERROR(K133/K444, "NA")</f>
        <v>1.9884077311620767E-2</v>
      </c>
      <c r="M133" s="9"/>
      <c r="N133" s="10">
        <f t="shared" si="29"/>
        <v>-279.70999999999992</v>
      </c>
      <c r="O133" s="8">
        <f>IFERROR(N133/N444, "NA")</f>
        <v>-2.2527427390503847E-2</v>
      </c>
      <c r="P133" s="9"/>
      <c r="Q133" s="7">
        <v>1301.8499999999999</v>
      </c>
      <c r="R133" s="8">
        <f>IFERROR(Q133/Q444, "NA")</f>
        <v>2.0398339929086445E-2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-1301.8499999999999</v>
      </c>
      <c r="X133" s="8">
        <f>IFERROR(W133/W444, "NA")</f>
        <v>-8.3986475458220938E-2</v>
      </c>
      <c r="Y133" s="9"/>
      <c r="Z133" s="7">
        <v>1022.14</v>
      </c>
      <c r="AA133" s="8">
        <f>IFERROR(Z133/Z444, "NA")</f>
        <v>1.9884077311620767E-2</v>
      </c>
      <c r="AB133" s="9"/>
      <c r="AC133" s="10">
        <f t="shared" si="31"/>
        <v>-279.70999999999992</v>
      </c>
      <c r="AD133" s="8">
        <f>IFERROR(AC133/AC444, "NA")</f>
        <v>-2.2527427390503847E-2</v>
      </c>
    </row>
    <row r="134" spans="1:30" ht="16.5" customHeight="1" x14ac:dyDescent="0.45">
      <c r="A134" s="12" t="s">
        <v>126</v>
      </c>
      <c r="B134" s="7">
        <v>511.36</v>
      </c>
      <c r="C134" s="8">
        <f>IFERROR(B134/B444, "NA")</f>
        <v>8.0123632570093684E-3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-511.36</v>
      </c>
      <c r="I134" s="8">
        <f>IFERROR(H134/H444, "NA")</f>
        <v>-3.2989456611987454E-2</v>
      </c>
      <c r="J134" s="9"/>
      <c r="K134" s="7">
        <v>677.15</v>
      </c>
      <c r="L134" s="8">
        <f>IFERROR(K134/K444, "NA")</f>
        <v>1.3172855921462816E-2</v>
      </c>
      <c r="M134" s="9"/>
      <c r="N134" s="10">
        <f t="shared" si="29"/>
        <v>165.78999999999996</v>
      </c>
      <c r="O134" s="8">
        <f>IFERROR(N134/N444, "NA")</f>
        <v>1.3352480022421913E-2</v>
      </c>
      <c r="P134" s="9"/>
      <c r="Q134" s="7">
        <v>511.36</v>
      </c>
      <c r="R134" s="8">
        <f>IFERROR(Q134/Q444, "NA")</f>
        <v>8.0123632570093684E-3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-511.36</v>
      </c>
      <c r="X134" s="8">
        <f>IFERROR(W134/W444, "NA")</f>
        <v>-3.2989456611987454E-2</v>
      </c>
      <c r="Y134" s="9"/>
      <c r="Z134" s="7">
        <v>677.15</v>
      </c>
      <c r="AA134" s="8">
        <f>IFERROR(Z134/Z444, "NA")</f>
        <v>1.3172855921462816E-2</v>
      </c>
      <c r="AB134" s="9"/>
      <c r="AC134" s="10">
        <f t="shared" si="31"/>
        <v>165.78999999999996</v>
      </c>
      <c r="AD134" s="8">
        <f>IFERROR(AC134/AC444, "NA")</f>
        <v>1.3352480022421913E-2</v>
      </c>
    </row>
    <row r="135" spans="1:30" ht="16.5" customHeight="1" x14ac:dyDescent="0.45">
      <c r="A135" s="12" t="s">
        <v>127</v>
      </c>
      <c r="B135" s="7">
        <v>471.15</v>
      </c>
      <c r="C135" s="8">
        <f>IFERROR(B135/B444, "NA")</f>
        <v>7.3823235070008672E-3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-471.15</v>
      </c>
      <c r="I135" s="8">
        <f>IFERROR(H135/H444, "NA")</f>
        <v>-3.0395381888958635E-2</v>
      </c>
      <c r="J135" s="9"/>
      <c r="K135" s="7">
        <v>517.62</v>
      </c>
      <c r="L135" s="8">
        <f>IFERROR(K135/K444, "NA")</f>
        <v>1.0069458291468041E-2</v>
      </c>
      <c r="M135" s="9"/>
      <c r="N135" s="10">
        <f t="shared" si="29"/>
        <v>46.470000000000027</v>
      </c>
      <c r="O135" s="8">
        <f>IFERROR(N135/N444, "NA")</f>
        <v>3.7426246856984546E-3</v>
      </c>
      <c r="P135" s="9"/>
      <c r="Q135" s="7">
        <v>471.15</v>
      </c>
      <c r="R135" s="8">
        <f>IFERROR(Q135/Q444, "NA")</f>
        <v>7.3823235070008672E-3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-471.15</v>
      </c>
      <c r="X135" s="8">
        <f>IFERROR(W135/W444, "NA")</f>
        <v>-3.0395381888958635E-2</v>
      </c>
      <c r="Y135" s="9"/>
      <c r="Z135" s="7">
        <v>517.62</v>
      </c>
      <c r="AA135" s="8">
        <f>IFERROR(Z135/Z444, "NA")</f>
        <v>1.0069458291468041E-2</v>
      </c>
      <c r="AB135" s="9"/>
      <c r="AC135" s="10">
        <f t="shared" si="31"/>
        <v>46.470000000000027</v>
      </c>
      <c r="AD135" s="8">
        <f>IFERROR(AC135/AC444, "NA")</f>
        <v>3.7426246856984546E-3</v>
      </c>
    </row>
    <row r="136" spans="1:30" ht="16.5" customHeight="1" x14ac:dyDescent="0.45">
      <c r="A136" s="12" t="s">
        <v>128</v>
      </c>
      <c r="B136" s="7">
        <v>637.16</v>
      </c>
      <c r="C136" s="8">
        <f>IFERROR(B136/B444, "NA")</f>
        <v>9.9834898561406617E-3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-637.16</v>
      </c>
      <c r="I136" s="8">
        <f>IFERROR(H136/H444, "NA")</f>
        <v>-4.1105213890202448E-2</v>
      </c>
      <c r="J136" s="9"/>
      <c r="K136" s="7">
        <v>830.88</v>
      </c>
      <c r="L136" s="8">
        <f>IFERROR(K136/K444, "NA")</f>
        <v>1.6163423950417227E-2</v>
      </c>
      <c r="M136" s="9"/>
      <c r="N136" s="10">
        <f t="shared" si="29"/>
        <v>193.72000000000003</v>
      </c>
      <c r="O136" s="8">
        <f>IFERROR(N136/N444, "NA")</f>
        <v>1.5601920682451137E-2</v>
      </c>
      <c r="P136" s="9"/>
      <c r="Q136" s="7">
        <v>637.16</v>
      </c>
      <c r="R136" s="8">
        <f>IFERROR(Q136/Q444, "NA")</f>
        <v>9.9834898561406617E-3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-637.16</v>
      </c>
      <c r="X136" s="8">
        <f>IFERROR(W136/W444, "NA")</f>
        <v>-4.1105213890202448E-2</v>
      </c>
      <c r="Y136" s="9"/>
      <c r="Z136" s="7">
        <v>830.88</v>
      </c>
      <c r="AA136" s="8">
        <f>IFERROR(Z136/Z444, "NA")</f>
        <v>1.6163423950417227E-2</v>
      </c>
      <c r="AB136" s="9"/>
      <c r="AC136" s="10">
        <f t="shared" si="31"/>
        <v>193.72000000000003</v>
      </c>
      <c r="AD136" s="8">
        <f>IFERROR(AC136/AC444, "NA")</f>
        <v>1.5601920682451137E-2</v>
      </c>
    </row>
    <row r="137" spans="1:30" ht="16.5" customHeight="1" x14ac:dyDescent="0.45">
      <c r="A137" s="12" t="s">
        <v>129</v>
      </c>
      <c r="B137" s="7">
        <v>548.15</v>
      </c>
      <c r="C137" s="8">
        <f>IFERROR(B137/B444, "NA")</f>
        <v>8.5888159404914049E-3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-548.15</v>
      </c>
      <c r="I137" s="8">
        <f>IFERROR(H137/H444, "NA")</f>
        <v>-3.5362896280234903E-2</v>
      </c>
      <c r="J137" s="9"/>
      <c r="K137" s="7">
        <v>250.13</v>
      </c>
      <c r="L137" s="8">
        <f>IFERROR(K137/K444, "NA")</f>
        <v>4.865873811763264E-3</v>
      </c>
      <c r="M137" s="9"/>
      <c r="N137" s="10">
        <f t="shared" si="29"/>
        <v>-298.02</v>
      </c>
      <c r="O137" s="8">
        <f>IFERROR(N137/N444, "NA")</f>
        <v>-2.4002087558249466E-2</v>
      </c>
      <c r="P137" s="9"/>
      <c r="Q137" s="7">
        <v>548.15</v>
      </c>
      <c r="R137" s="8">
        <f>IFERROR(Q137/Q444, "NA")</f>
        <v>8.5888159404914049E-3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-548.15</v>
      </c>
      <c r="X137" s="8">
        <f>IFERROR(W137/W444, "NA")</f>
        <v>-3.5362896280234903E-2</v>
      </c>
      <c r="Y137" s="9"/>
      <c r="Z137" s="7">
        <v>250.13</v>
      </c>
      <c r="AA137" s="8">
        <f>IFERROR(Z137/Z444, "NA")</f>
        <v>4.865873811763264E-3</v>
      </c>
      <c r="AB137" s="9"/>
      <c r="AC137" s="10">
        <f t="shared" si="31"/>
        <v>-298.02</v>
      </c>
      <c r="AD137" s="8">
        <f>IFERROR(AC137/AC444, "NA")</f>
        <v>-2.4002087558249466E-2</v>
      </c>
    </row>
    <row r="138" spans="1:30" ht="16.5" customHeight="1" x14ac:dyDescent="0.45">
      <c r="A138" s="12" t="s">
        <v>130</v>
      </c>
      <c r="B138" s="7">
        <v>3251.83</v>
      </c>
      <c r="C138" s="8">
        <f>IFERROR(B138/B444, "NA")</f>
        <v>5.0952055714253701E-2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-3251.83</v>
      </c>
      <c r="I138" s="8">
        <f>IFERROR(H138/H444, "NA")</f>
        <v>-0.20978587432446644</v>
      </c>
      <c r="J138" s="9"/>
      <c r="K138" s="7">
        <v>3041.29</v>
      </c>
      <c r="L138" s="8">
        <f>IFERROR(K138/K444, "NA")</f>
        <v>5.9163368508285685E-2</v>
      </c>
      <c r="M138" s="9"/>
      <c r="N138" s="10">
        <f t="shared" si="29"/>
        <v>-210.53999999999996</v>
      </c>
      <c r="O138" s="8">
        <f>IFERROR(N138/N444, "NA")</f>
        <v>-1.6956578466256769E-2</v>
      </c>
      <c r="P138" s="9"/>
      <c r="Q138" s="7">
        <v>3251.83</v>
      </c>
      <c r="R138" s="8">
        <f>IFERROR(Q138/Q444, "NA")</f>
        <v>5.0952055714253701E-2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-3251.83</v>
      </c>
      <c r="X138" s="8">
        <f>IFERROR(W138/W444, "NA")</f>
        <v>-0.20978587432446644</v>
      </c>
      <c r="Y138" s="9"/>
      <c r="Z138" s="7">
        <v>3041.29</v>
      </c>
      <c r="AA138" s="8">
        <f>IFERROR(Z138/Z444, "NA")</f>
        <v>5.9163368508285685E-2</v>
      </c>
      <c r="AB138" s="9"/>
      <c r="AC138" s="10">
        <f t="shared" si="31"/>
        <v>-210.53999999999996</v>
      </c>
      <c r="AD138" s="8">
        <f>IFERROR(AC138/AC444, "NA")</f>
        <v>-1.6956578466256769E-2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14582.8</v>
      </c>
      <c r="C141" s="15">
        <f>IFERROR(B141/B444, "NA")</f>
        <v>0.22849399817020535</v>
      </c>
      <c r="D141" s="2"/>
      <c r="E141" s="14">
        <f>IFERROR(E129+E130+E131+E132+E133+E134+E135+E136+E137+E138+E139+E140, "NA")</f>
        <v>13046.58</v>
      </c>
      <c r="F141" s="15">
        <f>IFERROR(E141/E444, "NA")</f>
        <v>0.2700000372511468</v>
      </c>
      <c r="G141" s="2"/>
      <c r="H141" s="14">
        <f t="shared" si="28"/>
        <v>-1536.2199999999993</v>
      </c>
      <c r="I141" s="15">
        <f>IFERROR(H141/H444, "NA")</f>
        <v>-9.9106428028135449E-2</v>
      </c>
      <c r="J141" s="2"/>
      <c r="K141" s="14">
        <f>IFERROR(K129+K130+K131+K132+K133+K134+K135+K136+K137+K138+K139+K140, "NA")</f>
        <v>13113.3</v>
      </c>
      <c r="L141" s="15">
        <f>IFERROR(K141/K444, "NA")</f>
        <v>0.25509800126252435</v>
      </c>
      <c r="M141" s="2"/>
      <c r="N141" s="14">
        <f t="shared" si="29"/>
        <v>-1469.5</v>
      </c>
      <c r="O141" s="15">
        <f>IFERROR(N141/N444, "NA")</f>
        <v>-0.11835134442939264</v>
      </c>
      <c r="P141" s="2"/>
      <c r="Q141" s="14">
        <f>IFERROR(Q129+Q130+Q131+Q132+Q133+Q134+Q135+Q136+Q137+Q138+Q139+Q140, "NA")</f>
        <v>14582.8</v>
      </c>
      <c r="R141" s="15">
        <f>IFERROR(Q141/Q444, "NA")</f>
        <v>0.22849399817020535</v>
      </c>
      <c r="S141" s="2"/>
      <c r="T141" s="14">
        <f>IFERROR(T129+T130+T131+T132+T133+T134+T135+T136+T137+T138+T139+T140, "NA")</f>
        <v>13046.58</v>
      </c>
      <c r="U141" s="15">
        <f>IFERROR(T141/T444, "NA")</f>
        <v>0.2700000372511468</v>
      </c>
      <c r="V141" s="2"/>
      <c r="W141" s="14">
        <f t="shared" si="30"/>
        <v>-1536.2199999999993</v>
      </c>
      <c r="X141" s="15">
        <f>IFERROR(W141/W444, "NA")</f>
        <v>-9.9106428028135449E-2</v>
      </c>
      <c r="Y141" s="2"/>
      <c r="Z141" s="14">
        <f>IFERROR(Z129+Z130+Z131+Z132+Z133+Z134+Z135+Z136+Z137+Z138+Z139+Z140, "NA")</f>
        <v>13113.3</v>
      </c>
      <c r="AA141" s="15">
        <f>IFERROR(Z141/Z444, "NA")</f>
        <v>0.25509800126252435</v>
      </c>
      <c r="AB141" s="2"/>
      <c r="AC141" s="14">
        <f t="shared" si="31"/>
        <v>-1469.5</v>
      </c>
      <c r="AD141" s="15">
        <f>IFERROR(AC141/AC444, "NA")</f>
        <v>-0.11835134442939264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528.91999999999996</v>
      </c>
      <c r="C144" s="8">
        <f>IFERROR(B144/B444, "NA")</f>
        <v>8.2875062067768197E-3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-528.91999999999996</v>
      </c>
      <c r="I144" s="8">
        <f>IFERROR(H144/H444, "NA")</f>
        <v>-3.412230794589409E-2</v>
      </c>
      <c r="J144" s="9"/>
      <c r="K144" s="7">
        <v>861.49</v>
      </c>
      <c r="L144" s="8">
        <f>IFERROR(K144/K444, "NA")</f>
        <v>1.6758891896597509E-2</v>
      </c>
      <c r="M144" s="9"/>
      <c r="N144" s="10">
        <f t="shared" si="33"/>
        <v>332.57000000000005</v>
      </c>
      <c r="O144" s="8">
        <f>IFERROR(N144/N444, "NA")</f>
        <v>2.6784693172428115E-2</v>
      </c>
      <c r="P144" s="9"/>
      <c r="Q144" s="7">
        <v>528.91999999999996</v>
      </c>
      <c r="R144" s="8">
        <f>IFERROR(Q144/Q444, "NA")</f>
        <v>8.2875062067768197E-3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-528.91999999999996</v>
      </c>
      <c r="X144" s="8">
        <f>IFERROR(W144/W444, "NA")</f>
        <v>-3.412230794589409E-2</v>
      </c>
      <c r="Y144" s="9"/>
      <c r="Z144" s="7">
        <v>861.49</v>
      </c>
      <c r="AA144" s="8">
        <f>IFERROR(Z144/Z444, "NA")</f>
        <v>1.6758891896597509E-2</v>
      </c>
      <c r="AB144" s="9"/>
      <c r="AC144" s="10">
        <f t="shared" si="35"/>
        <v>332.57000000000005</v>
      </c>
      <c r="AD144" s="8">
        <f>IFERROR(AC144/AC444, "NA")</f>
        <v>2.6784693172428115E-2</v>
      </c>
    </row>
    <row r="145" spans="1:30" ht="16.5" customHeight="1" x14ac:dyDescent="0.45">
      <c r="A145" s="12" t="s">
        <v>136</v>
      </c>
      <c r="B145" s="7">
        <v>39.549999999999997</v>
      </c>
      <c r="C145" s="8">
        <f>IFERROR(B145/B444, "NA")</f>
        <v>6.1969838629286707E-4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-39.549999999999997</v>
      </c>
      <c r="I145" s="8">
        <f>IFERROR(H145/H444, "NA")</f>
        <v>-2.551496028246448E-3</v>
      </c>
      <c r="J145" s="9"/>
      <c r="K145" s="7">
        <v>30.95</v>
      </c>
      <c r="L145" s="8">
        <f>IFERROR(K145/K444, "NA")</f>
        <v>6.0208209520678461E-4</v>
      </c>
      <c r="M145" s="9"/>
      <c r="N145" s="10">
        <f t="shared" si="33"/>
        <v>-8.5999999999999979</v>
      </c>
      <c r="O145" s="8">
        <f>IFERROR(N145/N444, "NA")</f>
        <v>-6.9263120931798328E-4</v>
      </c>
      <c r="P145" s="9"/>
      <c r="Q145" s="7">
        <v>39.549999999999997</v>
      </c>
      <c r="R145" s="8">
        <f>IFERROR(Q145/Q444, "NA")</f>
        <v>6.1969838629286707E-4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-39.549999999999997</v>
      </c>
      <c r="X145" s="8">
        <f>IFERROR(W145/W444, "NA")</f>
        <v>-2.551496028246448E-3</v>
      </c>
      <c r="Y145" s="9"/>
      <c r="Z145" s="7">
        <v>30.95</v>
      </c>
      <c r="AA145" s="8">
        <f>IFERROR(Z145/Z444, "NA")</f>
        <v>6.0208209520678461E-4</v>
      </c>
      <c r="AB145" s="9"/>
      <c r="AC145" s="10">
        <f t="shared" si="35"/>
        <v>-8.5999999999999979</v>
      </c>
      <c r="AD145" s="8">
        <f>IFERROR(AC145/AC444, "NA")</f>
        <v>-6.9263120931798328E-4</v>
      </c>
    </row>
    <row r="146" spans="1:30" ht="16.5" customHeight="1" x14ac:dyDescent="0.45">
      <c r="A146" s="12" t="s">
        <v>137</v>
      </c>
      <c r="B146" s="7">
        <v>78.14</v>
      </c>
      <c r="C146" s="8">
        <f>IFERROR(B146/B444, "NA")</f>
        <v>1.2243547889993587E-3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-78.14</v>
      </c>
      <c r="I146" s="8">
        <f>IFERROR(H146/H444, "NA")</f>
        <v>-5.0410594095367245E-3</v>
      </c>
      <c r="J146" s="9"/>
      <c r="K146" s="7">
        <v>139.16999999999999</v>
      </c>
      <c r="L146" s="8">
        <f>IFERROR(K146/K444, "NA")</f>
        <v>2.7073268235841101E-3</v>
      </c>
      <c r="M146" s="9"/>
      <c r="N146" s="10">
        <f t="shared" si="33"/>
        <v>61.029999999999987</v>
      </c>
      <c r="O146" s="8">
        <f>IFERROR(N146/N444, "NA")</f>
        <v>4.9152654307763393E-3</v>
      </c>
      <c r="P146" s="9"/>
      <c r="Q146" s="7">
        <v>78.14</v>
      </c>
      <c r="R146" s="8">
        <f>IFERROR(Q146/Q444, "NA")</f>
        <v>1.2243547889993587E-3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-78.14</v>
      </c>
      <c r="X146" s="8">
        <f>IFERROR(W146/W444, "NA")</f>
        <v>-5.0410594095367245E-3</v>
      </c>
      <c r="Y146" s="9"/>
      <c r="Z146" s="7">
        <v>139.16999999999999</v>
      </c>
      <c r="AA146" s="8">
        <f>IFERROR(Z146/Z444, "NA")</f>
        <v>2.7073268235841101E-3</v>
      </c>
      <c r="AB146" s="9"/>
      <c r="AC146" s="10">
        <f t="shared" si="35"/>
        <v>61.029999999999987</v>
      </c>
      <c r="AD146" s="8">
        <f>IFERROR(AC146/AC444, "NA")</f>
        <v>4.9152654307763393E-3</v>
      </c>
    </row>
    <row r="147" spans="1:30" ht="16.5" customHeight="1" x14ac:dyDescent="0.45">
      <c r="A147" s="12" t="s">
        <v>138</v>
      </c>
      <c r="B147" s="7">
        <v>27.72</v>
      </c>
      <c r="C147" s="8">
        <f>IFERROR(B147/B444, "NA")</f>
        <v>4.3433727605659357E-4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-27.72</v>
      </c>
      <c r="I147" s="8">
        <f>IFERROR(H147/H444, "NA")</f>
        <v>-1.7883051808594574E-3</v>
      </c>
      <c r="J147" s="9"/>
      <c r="K147" s="7">
        <v>0</v>
      </c>
      <c r="L147" s="8">
        <f>IFERROR(K147/K444, "NA")</f>
        <v>0</v>
      </c>
      <c r="M147" s="9"/>
      <c r="N147" s="10">
        <f t="shared" si="33"/>
        <v>-27.72</v>
      </c>
      <c r="O147" s="8">
        <f>IFERROR(N147/N444, "NA")</f>
        <v>-2.2325275723598255E-3</v>
      </c>
      <c r="P147" s="9"/>
      <c r="Q147" s="7">
        <v>27.72</v>
      </c>
      <c r="R147" s="8">
        <f>IFERROR(Q147/Q444, "NA")</f>
        <v>4.3433727605659357E-4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-27.72</v>
      </c>
      <c r="X147" s="8">
        <f>IFERROR(W147/W444, "NA")</f>
        <v>-1.7883051808594574E-3</v>
      </c>
      <c r="Y147" s="9"/>
      <c r="Z147" s="7">
        <v>0</v>
      </c>
      <c r="AA147" s="8">
        <f>IFERROR(Z147/Z444, "NA")</f>
        <v>0</v>
      </c>
      <c r="AB147" s="9"/>
      <c r="AC147" s="10">
        <f t="shared" si="35"/>
        <v>-27.72</v>
      </c>
      <c r="AD147" s="8">
        <f>IFERROR(AC147/AC444, "NA")</f>
        <v>-2.2325275723598255E-3</v>
      </c>
    </row>
    <row r="148" spans="1:30" ht="16.5" customHeight="1" x14ac:dyDescent="0.45">
      <c r="A148" s="13" t="s">
        <v>139</v>
      </c>
      <c r="B148" s="14">
        <f>IFERROR(B143+B144+B145+B146+B147, "NA")</f>
        <v>674.32999999999993</v>
      </c>
      <c r="C148" s="15">
        <f>IFERROR(B148/B444, "NA")</f>
        <v>1.0565896658125639E-2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-674.32999999999993</v>
      </c>
      <c r="I148" s="15">
        <f>IFERROR(H148/H444, "NA")</f>
        <v>-4.3503168564536718E-2</v>
      </c>
      <c r="J148" s="2"/>
      <c r="K148" s="14">
        <f>IFERROR(K143+K144+K145+K146+K147, "NA")</f>
        <v>1031.6100000000001</v>
      </c>
      <c r="L148" s="15">
        <f>IFERROR(K148/K444, "NA")</f>
        <v>2.0068300815388403E-2</v>
      </c>
      <c r="M148" s="2"/>
      <c r="N148" s="14">
        <f t="shared" si="33"/>
        <v>357.2800000000002</v>
      </c>
      <c r="O148" s="15">
        <f>IFERROR(N148/N444, "NA")</f>
        <v>2.8774799821526659E-2</v>
      </c>
      <c r="P148" s="2"/>
      <c r="Q148" s="14">
        <f>IFERROR(Q143+Q144+Q145+Q146+Q147, "NA")</f>
        <v>674.32999999999993</v>
      </c>
      <c r="R148" s="15">
        <f>IFERROR(Q148/Q444, "NA")</f>
        <v>1.0565896658125639E-2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-674.32999999999993</v>
      </c>
      <c r="X148" s="15">
        <f>IFERROR(W148/W444, "NA")</f>
        <v>-4.3503168564536718E-2</v>
      </c>
      <c r="Y148" s="2"/>
      <c r="Z148" s="14">
        <f>IFERROR(Z143+Z144+Z145+Z146+Z147, "NA")</f>
        <v>1031.6100000000001</v>
      </c>
      <c r="AA148" s="15">
        <f>IFERROR(Z148/Z444, "NA")</f>
        <v>2.0068300815388403E-2</v>
      </c>
      <c r="AB148" s="2"/>
      <c r="AC148" s="14">
        <f t="shared" si="35"/>
        <v>357.2800000000002</v>
      </c>
      <c r="AD148" s="15">
        <f>IFERROR(AC148/AC444, "NA")</f>
        <v>2.8774799821526659E-2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15257.129999999997</v>
      </c>
      <c r="C149" s="15">
        <f>IFERROR(B149/B444, "NA")</f>
        <v>0.23905989482833095</v>
      </c>
      <c r="D149" s="2"/>
      <c r="E149" s="14">
        <f>IFERROR(E127+E129+E130+E131+E132+E133+E134+E135+E136+E137+E138+E139+E140+E143+E144+E145+E146+E147, "NA")</f>
        <v>13046.58</v>
      </c>
      <c r="F149" s="15">
        <f>IFERROR(E149/E444, "NA")</f>
        <v>0.2700000372511468</v>
      </c>
      <c r="G149" s="2"/>
      <c r="H149" s="14">
        <f t="shared" si="32"/>
        <v>-2210.5499999999975</v>
      </c>
      <c r="I149" s="15">
        <f>IFERROR(H149/H444, "NA")</f>
        <v>-0.14260959659267206</v>
      </c>
      <c r="J149" s="2"/>
      <c r="K149" s="14">
        <f>IFERROR(K127+K129+K130+K131+K132+K133+K134+K135+K136+K137+K138+K139+K140+K143+K144+K145+K146+K147, "NA")</f>
        <v>14144.91</v>
      </c>
      <c r="L149" s="15">
        <f>IFERROR(K149/K444, "NA")</f>
        <v>0.27516630207791276</v>
      </c>
      <c r="M149" s="2"/>
      <c r="N149" s="14">
        <f t="shared" si="33"/>
        <v>-1112.2199999999975</v>
      </c>
      <c r="O149" s="15">
        <f>IFERROR(N149/N444, "NA")</f>
        <v>-8.9576544607865793E-2</v>
      </c>
      <c r="P149" s="2"/>
      <c r="Q149" s="14">
        <f>IFERROR(Q127+Q129+Q130+Q131+Q132+Q133+Q134+Q135+Q136+Q137+Q138+Q139+Q140+Q143+Q144+Q145+Q146+Q147, "NA")</f>
        <v>15257.129999999997</v>
      </c>
      <c r="R149" s="15">
        <f>IFERROR(Q149/Q444, "NA")</f>
        <v>0.23905989482833095</v>
      </c>
      <c r="S149" s="2"/>
      <c r="T149" s="14">
        <f>IFERROR(T127+T129+T130+T131+T132+T133+T134+T135+T136+T137+T138+T139+T140+T143+T144+T145+T146+T147, "NA")</f>
        <v>13046.58</v>
      </c>
      <c r="U149" s="15">
        <f>IFERROR(T149/T444, "NA")</f>
        <v>0.2700000372511468</v>
      </c>
      <c r="V149" s="2"/>
      <c r="W149" s="14">
        <f t="shared" si="34"/>
        <v>-2210.5499999999975</v>
      </c>
      <c r="X149" s="15">
        <f>IFERROR(W149/W444, "NA")</f>
        <v>-0.14260959659267206</v>
      </c>
      <c r="Y149" s="2"/>
      <c r="Z149" s="14">
        <f>IFERROR(Z127+Z129+Z130+Z131+Z132+Z133+Z134+Z135+Z136+Z137+Z138+Z139+Z140+Z143+Z144+Z145+Z146+Z147, "NA")</f>
        <v>14144.91</v>
      </c>
      <c r="AA149" s="15">
        <f>IFERROR(Z149/Z444, "NA")</f>
        <v>0.27516630207791276</v>
      </c>
      <c r="AB149" s="2"/>
      <c r="AC149" s="14">
        <f t="shared" si="35"/>
        <v>-1112.2199999999975</v>
      </c>
      <c r="AD149" s="15">
        <f>IFERROR(AC149/AC444, "NA")</f>
        <v>-8.9576544607865793E-2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966.41</v>
      </c>
      <c r="F153" s="8">
        <f>IFERROR(E153/E444, "NA")</f>
        <v>1.9999933775738988E-2</v>
      </c>
      <c r="G153" s="9"/>
      <c r="H153" s="10">
        <f t="shared" ref="H153:H158" si="36">IFERROR(-(B153-E153), "NA")</f>
        <v>966.41</v>
      </c>
      <c r="I153" s="8">
        <f>IFERROR(H153/H444, "NA")</f>
        <v>6.2346176400951955E-2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966.41</v>
      </c>
      <c r="U153" s="8">
        <f>IFERROR(T153/T444, "NA")</f>
        <v>1.9999933775738988E-2</v>
      </c>
      <c r="V153" s="9"/>
      <c r="W153" s="10">
        <f t="shared" ref="W153:W158" si="38">IFERROR(-(Q153-T153), "NA")</f>
        <v>966.41</v>
      </c>
      <c r="X153" s="8">
        <f>IFERROR(W153/W444, "NA")</f>
        <v>6.2346176400951955E-2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1944.4</v>
      </c>
      <c r="C154" s="8">
        <f>IFERROR(B154/B444, "NA")</f>
        <v>3.0466284255571449E-2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-1944.4</v>
      </c>
      <c r="I154" s="8">
        <f>IFERROR(H154/H444, "NA")</f>
        <v>-0.12543941535581274</v>
      </c>
      <c r="J154" s="9"/>
      <c r="K154" s="7">
        <v>2432.62</v>
      </c>
      <c r="L154" s="8">
        <f>IFERROR(K154/K444, "NA")</f>
        <v>4.7322680014278778E-2</v>
      </c>
      <c r="M154" s="9"/>
      <c r="N154" s="10">
        <f t="shared" si="37"/>
        <v>488.2199999999998</v>
      </c>
      <c r="O154" s="8">
        <f>IFERROR(N154/N444, "NA")</f>
        <v>3.932051267595648E-2</v>
      </c>
      <c r="P154" s="9"/>
      <c r="Q154" s="7">
        <v>1944.4</v>
      </c>
      <c r="R154" s="8">
        <f>IFERROR(Q154/Q444, "NA")</f>
        <v>3.0466284255571449E-2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-1944.4</v>
      </c>
      <c r="X154" s="8">
        <f>IFERROR(W154/W444, "NA")</f>
        <v>-0.12543941535581274</v>
      </c>
      <c r="Y154" s="9"/>
      <c r="Z154" s="7">
        <v>2432.62</v>
      </c>
      <c r="AA154" s="8">
        <f>IFERROR(Z154/Z444, "NA")</f>
        <v>4.7322680014278778E-2</v>
      </c>
      <c r="AB154" s="9"/>
      <c r="AC154" s="10">
        <f t="shared" si="39"/>
        <v>488.2199999999998</v>
      </c>
      <c r="AD154" s="8">
        <f>IFERROR(AC154/AC444, "NA")</f>
        <v>3.932051267595648E-2</v>
      </c>
    </row>
    <row r="155" spans="1:30" ht="16.5" customHeight="1" x14ac:dyDescent="0.45">
      <c r="A155" s="12" t="s">
        <v>144</v>
      </c>
      <c r="B155" s="7">
        <v>766.43</v>
      </c>
      <c r="C155" s="8">
        <f>IFERROR(B155/B444, "NA")</f>
        <v>1.2008986958443543E-2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-766.43</v>
      </c>
      <c r="I155" s="8">
        <f>IFERROR(H155/H444, "NA")</f>
        <v>-4.9444831881894441E-2</v>
      </c>
      <c r="J155" s="9"/>
      <c r="K155" s="7">
        <v>193.28</v>
      </c>
      <c r="L155" s="8">
        <f>IFERROR(K155/K444, "NA")</f>
        <v>3.7599491877727733E-3</v>
      </c>
      <c r="M155" s="9"/>
      <c r="N155" s="10">
        <f t="shared" si="37"/>
        <v>-573.15</v>
      </c>
      <c r="O155" s="8">
        <f>IFERROR(N155/N444, "NA")</f>
        <v>-4.6160648560535138E-2</v>
      </c>
      <c r="P155" s="9"/>
      <c r="Q155" s="7">
        <v>766.43</v>
      </c>
      <c r="R155" s="8">
        <f>IFERROR(Q155/Q444, "NA")</f>
        <v>1.2008986958443543E-2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-766.43</v>
      </c>
      <c r="X155" s="8">
        <f>IFERROR(W155/W444, "NA")</f>
        <v>-4.9444831881894441E-2</v>
      </c>
      <c r="Y155" s="9"/>
      <c r="Z155" s="7">
        <v>193.28</v>
      </c>
      <c r="AA155" s="8">
        <f>IFERROR(Z155/Z444, "NA")</f>
        <v>3.7599491877727733E-3</v>
      </c>
      <c r="AB155" s="9"/>
      <c r="AC155" s="10">
        <f t="shared" si="39"/>
        <v>-573.15</v>
      </c>
      <c r="AD155" s="8">
        <f>IFERROR(AC155/AC444, "NA")</f>
        <v>-4.6160648560535138E-2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2710.83</v>
      </c>
      <c r="C158" s="15">
        <f>IFERROR(B158/B444, "NA")</f>
        <v>4.2475271214014988E-2</v>
      </c>
      <c r="D158" s="2"/>
      <c r="E158" s="14">
        <f>IFERROR(E153+E154+E155+E156+E157, "NA")</f>
        <v>966.41</v>
      </c>
      <c r="F158" s="15">
        <f>IFERROR(E158/E444, "NA")</f>
        <v>1.9999933775738988E-2</v>
      </c>
      <c r="G158" s="2"/>
      <c r="H158" s="14">
        <f t="shared" si="36"/>
        <v>-1744.42</v>
      </c>
      <c r="I158" s="15">
        <f>IFERROR(H158/H444, "NA")</f>
        <v>-0.11253807083675522</v>
      </c>
      <c r="J158" s="2"/>
      <c r="K158" s="14">
        <f>IFERROR(K153+K154+K155+K156+K157, "NA")</f>
        <v>2625.9</v>
      </c>
      <c r="L158" s="15">
        <f>IFERROR(K158/K444, "NA")</f>
        <v>5.108262920205156E-2</v>
      </c>
      <c r="M158" s="2"/>
      <c r="N158" s="14">
        <f t="shared" si="37"/>
        <v>-84.929999999999836</v>
      </c>
      <c r="O158" s="15">
        <f>IFERROR(N158/N444, "NA")</f>
        <v>-6.8401358845786306E-3</v>
      </c>
      <c r="P158" s="2"/>
      <c r="Q158" s="14">
        <f>IFERROR(Q153+Q154+Q155+Q156+Q157, "NA")</f>
        <v>2710.83</v>
      </c>
      <c r="R158" s="15">
        <f>IFERROR(Q158/Q444, "NA")</f>
        <v>4.2475271214014988E-2</v>
      </c>
      <c r="S158" s="2"/>
      <c r="T158" s="14">
        <f>IFERROR(T153+T154+T155+T156+T157, "NA")</f>
        <v>966.41</v>
      </c>
      <c r="U158" s="15">
        <f>IFERROR(T158/T444, "NA")</f>
        <v>1.9999933775738988E-2</v>
      </c>
      <c r="V158" s="2"/>
      <c r="W158" s="14">
        <f t="shared" si="38"/>
        <v>-1744.42</v>
      </c>
      <c r="X158" s="15">
        <f>IFERROR(W158/W444, "NA")</f>
        <v>-0.11253807083675522</v>
      </c>
      <c r="Y158" s="2"/>
      <c r="Z158" s="14">
        <f>IFERROR(Z153+Z154+Z155+Z156+Z157, "NA")</f>
        <v>2625.9</v>
      </c>
      <c r="AA158" s="15">
        <f>IFERROR(Z158/Z444, "NA")</f>
        <v>5.108262920205156E-2</v>
      </c>
      <c r="AB158" s="2"/>
      <c r="AC158" s="14">
        <f t="shared" si="39"/>
        <v>-84.929999999999836</v>
      </c>
      <c r="AD158" s="15">
        <f>IFERROR(AC158/AC444, "NA")</f>
        <v>-6.8401358845786306E-3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320.69</v>
      </c>
      <c r="C161" s="8">
        <f>IFERROR(B161/B444, "NA")</f>
        <v>5.0248059544945522E-3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-320.69</v>
      </c>
      <c r="I161" s="8">
        <f>IFERROR(H161/H444, "NA")</f>
        <v>-2.0688729742056978E-2</v>
      </c>
      <c r="J161" s="9"/>
      <c r="K161" s="7">
        <v>79.77</v>
      </c>
      <c r="L161" s="8">
        <f>IFERROR(K161/K444, "NA")</f>
        <v>1.5517960818948371E-3</v>
      </c>
      <c r="M161" s="9"/>
      <c r="N161" s="10">
        <f t="shared" si="41"/>
        <v>-240.92000000000002</v>
      </c>
      <c r="O161" s="8">
        <f>IFERROR(N161/N444, "NA")</f>
        <v>-1.9403338482428905E-2</v>
      </c>
      <c r="P161" s="9"/>
      <c r="Q161" s="7">
        <v>320.69</v>
      </c>
      <c r="R161" s="8">
        <f>IFERROR(Q161/Q444, "NA")</f>
        <v>5.0248059544945522E-3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-320.69</v>
      </c>
      <c r="X161" s="8">
        <f>IFERROR(W161/W444, "NA")</f>
        <v>-2.0688729742056978E-2</v>
      </c>
      <c r="Y161" s="9"/>
      <c r="Z161" s="7">
        <v>79.77</v>
      </c>
      <c r="AA161" s="8">
        <f>IFERROR(Z161/Z444, "NA")</f>
        <v>1.5517960818948371E-3</v>
      </c>
      <c r="AB161" s="9"/>
      <c r="AC161" s="10">
        <f t="shared" si="43"/>
        <v>-240.92000000000002</v>
      </c>
      <c r="AD161" s="8">
        <f>IFERROR(AC161/AC444, "NA")</f>
        <v>-1.9403338482428905E-2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320.69</v>
      </c>
      <c r="C166" s="15">
        <f>IFERROR(B166/B444, "NA")</f>
        <v>5.0248059544945522E-3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-320.69</v>
      </c>
      <c r="I166" s="15">
        <f>IFERROR(H166/H444, "NA")</f>
        <v>-2.0688729742056978E-2</v>
      </c>
      <c r="J166" s="2"/>
      <c r="K166" s="14">
        <f>IFERROR(K160+K161+K162+K163+K164+K165, "NA")</f>
        <v>79.77</v>
      </c>
      <c r="L166" s="15">
        <f>IFERROR(K166/K444, "NA")</f>
        <v>1.5517960818948371E-3</v>
      </c>
      <c r="M166" s="2"/>
      <c r="N166" s="14">
        <f t="shared" si="41"/>
        <v>-240.92000000000002</v>
      </c>
      <c r="O166" s="15">
        <f>IFERROR(N166/N444, "NA")</f>
        <v>-1.9403338482428905E-2</v>
      </c>
      <c r="P166" s="2"/>
      <c r="Q166" s="14">
        <f>IFERROR(Q160+Q161+Q162+Q163+Q164+Q165, "NA")</f>
        <v>320.69</v>
      </c>
      <c r="R166" s="15">
        <f>IFERROR(Q166/Q444, "NA")</f>
        <v>5.0248059544945522E-3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-320.69</v>
      </c>
      <c r="X166" s="15">
        <f>IFERROR(W166/W444, "NA")</f>
        <v>-2.0688729742056978E-2</v>
      </c>
      <c r="Y166" s="2"/>
      <c r="Z166" s="14">
        <f>IFERROR(Z160+Z161+Z162+Z163+Z164+Z165, "NA")</f>
        <v>79.77</v>
      </c>
      <c r="AA166" s="15">
        <f>IFERROR(Z166/Z444, "NA")</f>
        <v>1.5517960818948371E-3</v>
      </c>
      <c r="AB166" s="2"/>
      <c r="AC166" s="14">
        <f t="shared" si="43"/>
        <v>-240.92000000000002</v>
      </c>
      <c r="AD166" s="15">
        <f>IFERROR(AC166/AC444, "NA")</f>
        <v>-1.9403338482428905E-2</v>
      </c>
    </row>
    <row r="167" spans="1:30" ht="16.5" customHeight="1" x14ac:dyDescent="0.45">
      <c r="A167" s="6" t="s">
        <v>155</v>
      </c>
      <c r="B167" s="7">
        <v>86.09</v>
      </c>
      <c r="C167" s="8">
        <f>IFERROR(B167/B444, "NA")</f>
        <v>1.3489212155740312E-3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-86.09</v>
      </c>
      <c r="I167" s="8">
        <f>IFERROR(H167/H444, "NA")</f>
        <v>-5.5539391421425216E-3</v>
      </c>
      <c r="J167" s="9"/>
      <c r="K167" s="7">
        <v>140.25</v>
      </c>
      <c r="L167" s="8">
        <f>IFERROR(K167/K444, "NA")</f>
        <v>2.7283364734330059E-3</v>
      </c>
      <c r="M167" s="9"/>
      <c r="N167" s="10">
        <f t="shared" si="41"/>
        <v>54.16</v>
      </c>
      <c r="O167" s="8">
        <f>IFERROR(N167/N444, "NA")</f>
        <v>4.3619658484490677E-3</v>
      </c>
      <c r="P167" s="9"/>
      <c r="Q167" s="7">
        <v>86.09</v>
      </c>
      <c r="R167" s="8">
        <f>IFERROR(Q167/Q444, "NA")</f>
        <v>1.3489212155740312E-3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-86.09</v>
      </c>
      <c r="X167" s="8">
        <f>IFERROR(W167/W444, "NA")</f>
        <v>-5.5539391421425216E-3</v>
      </c>
      <c r="Y167" s="9"/>
      <c r="Z167" s="7">
        <v>140.25</v>
      </c>
      <c r="AA167" s="8">
        <f>IFERROR(Z167/Z444, "NA")</f>
        <v>2.7283364734330059E-3</v>
      </c>
      <c r="AB167" s="9"/>
      <c r="AC167" s="10">
        <f t="shared" si="43"/>
        <v>54.16</v>
      </c>
      <c r="AD167" s="8">
        <f>IFERROR(AC167/AC444, "NA")</f>
        <v>4.3619658484490677E-3</v>
      </c>
    </row>
    <row r="168" spans="1:30" ht="16.5" customHeight="1" x14ac:dyDescent="0.45">
      <c r="A168" s="6" t="s">
        <v>156</v>
      </c>
      <c r="B168" s="7">
        <v>32.6</v>
      </c>
      <c r="C168" s="8">
        <f>IFERROR(B168/B444, "NA")</f>
        <v>5.1080069262066921E-4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-32.6</v>
      </c>
      <c r="I168" s="8">
        <f>IFERROR(H168/H444, "NA")</f>
        <v>-2.1031294695533303E-3</v>
      </c>
      <c r="J168" s="9"/>
      <c r="K168" s="7">
        <v>36.9</v>
      </c>
      <c r="L168" s="8">
        <f>IFERROR(K168/K444, "NA")</f>
        <v>7.178297031706091E-4</v>
      </c>
      <c r="M168" s="9"/>
      <c r="N168" s="10">
        <f t="shared" si="41"/>
        <v>4.2999999999999972</v>
      </c>
      <c r="O168" s="8">
        <f>IFERROR(N168/N444, "NA")</f>
        <v>3.4631560465899148E-4</v>
      </c>
      <c r="P168" s="9"/>
      <c r="Q168" s="7">
        <v>32.6</v>
      </c>
      <c r="R168" s="8">
        <f>IFERROR(Q168/Q444, "NA")</f>
        <v>5.1080069262066921E-4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-32.6</v>
      </c>
      <c r="X168" s="8">
        <f>IFERROR(W168/W444, "NA")</f>
        <v>-2.1031294695533303E-3</v>
      </c>
      <c r="Y168" s="9"/>
      <c r="Z168" s="7">
        <v>36.9</v>
      </c>
      <c r="AA168" s="8">
        <f>IFERROR(Z168/Z444, "NA")</f>
        <v>7.178297031706091E-4</v>
      </c>
      <c r="AB168" s="9"/>
      <c r="AC168" s="10">
        <f t="shared" si="43"/>
        <v>4.2999999999999972</v>
      </c>
      <c r="AD168" s="8">
        <f>IFERROR(AC168/AC444, "NA")</f>
        <v>3.4631560465899148E-4</v>
      </c>
    </row>
    <row r="169" spans="1:30" ht="16.5" customHeight="1" x14ac:dyDescent="0.45">
      <c r="A169" s="6" t="s">
        <v>157</v>
      </c>
      <c r="B169" s="7">
        <v>-2049.2800000000002</v>
      </c>
      <c r="C169" s="8">
        <f>IFERROR(B169/B444, "NA")</f>
        <v>-3.2109620962382977E-2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2049.2800000000002</v>
      </c>
      <c r="I169" s="8">
        <f>IFERROR(H169/H444, "NA")</f>
        <v>0.13220555703577452</v>
      </c>
      <c r="J169" s="9"/>
      <c r="K169" s="7">
        <v>-1378.17</v>
      </c>
      <c r="L169" s="8">
        <f>IFERROR(K169/K444, "NA")</f>
        <v>-2.6810064011345214E-2</v>
      </c>
      <c r="M169" s="9"/>
      <c r="N169" s="10">
        <f t="shared" si="41"/>
        <v>671.11000000000013</v>
      </c>
      <c r="O169" s="8">
        <f>IFERROR(N169/N444, "NA")</f>
        <v>5.4050201265743253E-2</v>
      </c>
      <c r="P169" s="9"/>
      <c r="Q169" s="7">
        <v>-2049.2800000000002</v>
      </c>
      <c r="R169" s="8">
        <f>IFERROR(Q169/Q444, "NA")</f>
        <v>-3.2109620962382977E-2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2049.2800000000002</v>
      </c>
      <c r="X169" s="8">
        <f>IFERROR(W169/W444, "NA")</f>
        <v>0.13220555703577452</v>
      </c>
      <c r="Y169" s="9"/>
      <c r="Z169" s="7">
        <v>-1378.17</v>
      </c>
      <c r="AA169" s="8">
        <f>IFERROR(Z169/Z444, "NA")</f>
        <v>-2.6810064011345214E-2</v>
      </c>
      <c r="AB169" s="9"/>
      <c r="AC169" s="10">
        <f t="shared" si="43"/>
        <v>671.11000000000013</v>
      </c>
      <c r="AD169" s="8">
        <f>IFERROR(AC169/AC444, "NA")</f>
        <v>5.4050201265743253E-2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1100.9299999999998</v>
      </c>
      <c r="C170" s="15">
        <f>IFERROR(B170/B444, "NA")</f>
        <v>1.7250178114321266E-2</v>
      </c>
      <c r="D170" s="2"/>
      <c r="E170" s="14">
        <f>IFERROR(E151+E153+E154+E155+E156+E157+E160+E161+E162+E163+E164+E165+E167+E168+E169, "NA")</f>
        <v>966.41</v>
      </c>
      <c r="F170" s="15">
        <f>IFERROR(E170/E444, "NA")</f>
        <v>1.9999933775738988E-2</v>
      </c>
      <c r="G170" s="2"/>
      <c r="H170" s="14">
        <f t="shared" si="40"/>
        <v>-134.51999999999987</v>
      </c>
      <c r="I170" s="15">
        <f>IFERROR(H170/H444, "NA")</f>
        <v>-8.6783121547335494E-3</v>
      </c>
      <c r="J170" s="2"/>
      <c r="K170" s="14">
        <f>IFERROR(K151+K153+K154+K155+K156+K157+K160+K161+K162+K163+K164+K165+K167+K168+K169, "NA")</f>
        <v>1504.65</v>
      </c>
      <c r="L170" s="15">
        <f>IFERROR(K170/K444, "NA")</f>
        <v>2.9270527449204799E-2</v>
      </c>
      <c r="M170" s="2"/>
      <c r="N170" s="14">
        <f t="shared" si="41"/>
        <v>403.72000000000025</v>
      </c>
      <c r="O170" s="15">
        <f>IFERROR(N170/N444, "NA")</f>
        <v>3.2515008351843774E-2</v>
      </c>
      <c r="P170" s="2"/>
      <c r="Q170" s="14">
        <f>IFERROR(Q151+Q153+Q154+Q155+Q156+Q157+Q160+Q161+Q162+Q163+Q164+Q165+Q167+Q168+Q169, "NA")</f>
        <v>1100.9299999999998</v>
      </c>
      <c r="R170" s="15">
        <f>IFERROR(Q170/Q444, "NA")</f>
        <v>1.7250178114321266E-2</v>
      </c>
      <c r="S170" s="2"/>
      <c r="T170" s="14">
        <f>IFERROR(T151+T153+T154+T155+T156+T157+T160+T161+T162+T163+T164+T165+T167+T168+T169, "NA")</f>
        <v>966.41</v>
      </c>
      <c r="U170" s="15">
        <f>IFERROR(T170/T444, "NA")</f>
        <v>1.9999933775738988E-2</v>
      </c>
      <c r="V170" s="2"/>
      <c r="W170" s="14">
        <f t="shared" si="42"/>
        <v>-134.51999999999987</v>
      </c>
      <c r="X170" s="15">
        <f>IFERROR(W170/W444, "NA")</f>
        <v>-8.6783121547335494E-3</v>
      </c>
      <c r="Y170" s="2"/>
      <c r="Z170" s="14">
        <f>IFERROR(Z151+Z153+Z154+Z155+Z156+Z157+Z160+Z161+Z162+Z163+Z164+Z165+Z167+Z168+Z169, "NA")</f>
        <v>1504.65</v>
      </c>
      <c r="AA170" s="15">
        <f>IFERROR(Z170/Z444, "NA")</f>
        <v>2.9270527449204799E-2</v>
      </c>
      <c r="AB170" s="2"/>
      <c r="AC170" s="14">
        <f t="shared" si="43"/>
        <v>403.72000000000025</v>
      </c>
      <c r="AD170" s="15">
        <f>IFERROR(AC170/AC444, "NA")</f>
        <v>3.2515008351843774E-2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16358.059999999996</v>
      </c>
      <c r="C171" s="15">
        <f>IFERROR(B171/B444, "NA")</f>
        <v>0.25631007294265218</v>
      </c>
      <c r="D171" s="2"/>
      <c r="E171" s="14">
        <f>IFERROR(E127+E129+E130+E131+E132+E133+E134+E135+E136+E137+E138+E139+E140+E143+E144+E145+E146+E147+E151+E153+E154+E155+E156+E157+E160+E161+E162+E163+E164+E165+E167+E168+E169, "NA")</f>
        <v>14012.99</v>
      </c>
      <c r="F171" s="15">
        <f>IFERROR(E171/E444, "NA")</f>
        <v>0.28999997102688579</v>
      </c>
      <c r="G171" s="2"/>
      <c r="H171" s="14">
        <f t="shared" si="40"/>
        <v>-2345.0699999999961</v>
      </c>
      <c r="I171" s="15">
        <f>IFERROR(H171/H444, "NA")</f>
        <v>-0.15128790874740553</v>
      </c>
      <c r="J171" s="2"/>
      <c r="K171" s="14">
        <f>IFERROR(K127+K129+K130+K131+K132+K133+K134+K135+K136+K137+K138+K139+K140+K143+K144+K145+K146+K147+K151+K153+K154+K155+K156+K157+K160+K161+K162+K163+K164+K165+K167+K168+K169, "NA")</f>
        <v>15649.56</v>
      </c>
      <c r="L171" s="15">
        <f>IFERROR(K171/K444, "NA")</f>
        <v>0.30443682952711754</v>
      </c>
      <c r="M171" s="2"/>
      <c r="N171" s="14">
        <f t="shared" si="41"/>
        <v>-708.49999999999636</v>
      </c>
      <c r="O171" s="15">
        <f>IFERROR(N171/N444, "NA")</f>
        <v>-5.706153625602195E-2</v>
      </c>
      <c r="P171" s="2"/>
      <c r="Q171" s="14">
        <f>IFERROR(Q127+Q129+Q130+Q131+Q132+Q133+Q134+Q135+Q136+Q137+Q138+Q139+Q140+Q143+Q144+Q145+Q146+Q147+Q151+Q153+Q154+Q155+Q156+Q157+Q160+Q161+Q162+Q163+Q164+Q165+Q167+Q168+Q169, "NA")</f>
        <v>16358.059999999996</v>
      </c>
      <c r="R171" s="15">
        <f>IFERROR(Q171/Q444, "NA")</f>
        <v>0.25631007294265218</v>
      </c>
      <c r="S171" s="2"/>
      <c r="T171" s="14">
        <f>IFERROR(T127+T129+T130+T131+T132+T133+T134+T135+T136+T137+T138+T139+T140+T143+T144+T145+T146+T147+T151+T153+T154+T155+T156+T157+T160+T161+T162+T163+T164+T165+T167+T168+T169, "NA")</f>
        <v>14012.99</v>
      </c>
      <c r="U171" s="15">
        <f>IFERROR(T171/T444, "NA")</f>
        <v>0.28999997102688579</v>
      </c>
      <c r="V171" s="2"/>
      <c r="W171" s="14">
        <f t="shared" si="42"/>
        <v>-2345.0699999999961</v>
      </c>
      <c r="X171" s="15">
        <f>IFERROR(W171/W444, "NA")</f>
        <v>-0.15128790874740553</v>
      </c>
      <c r="Y171" s="2"/>
      <c r="Z171" s="14">
        <f>IFERROR(Z127+Z129+Z130+Z131+Z132+Z133+Z134+Z135+Z136+Z137+Z138+Z139+Z140+Z143+Z144+Z145+Z146+Z147+Z151+Z153+Z154+Z155+Z156+Z157+Z160+Z161+Z162+Z163+Z164+Z165+Z167+Z168+Z169, "NA")</f>
        <v>15649.56</v>
      </c>
      <c r="AA171" s="15">
        <f>IFERROR(Z171/Z444, "NA")</f>
        <v>0.30443682952711754</v>
      </c>
      <c r="AB171" s="2"/>
      <c r="AC171" s="14">
        <f t="shared" si="43"/>
        <v>-708.49999999999636</v>
      </c>
      <c r="AD171" s="15">
        <f>IFERROR(AC171/AC444, "NA")</f>
        <v>-5.706153625602195E-2</v>
      </c>
    </row>
    <row r="172" spans="1:30" ht="16.5" customHeight="1" x14ac:dyDescent="0.45">
      <c r="A172" s="22" t="s">
        <v>160</v>
      </c>
      <c r="B172" s="23">
        <f>IFERROR(B124-B171, "NA")</f>
        <v>47463.31</v>
      </c>
      <c r="C172" s="24">
        <f>IFERROR(B172/B444, "NA")</f>
        <v>0.7436899270573476</v>
      </c>
      <c r="D172" s="25"/>
      <c r="E172" s="23">
        <f>IFERROR(E124-E171, "NA")</f>
        <v>34307.67</v>
      </c>
      <c r="F172" s="24">
        <f>IFERROR(E172/E444, "NA")</f>
        <v>0.71000002897311409</v>
      </c>
      <c r="G172" s="25"/>
      <c r="H172" s="23">
        <f>IFERROR(B172-E172, "NA")</f>
        <v>13155.64</v>
      </c>
      <c r="I172" s="24">
        <f>IFERROR(H172/H444, "NA")</f>
        <v>0.84871209125259428</v>
      </c>
      <c r="J172" s="25"/>
      <c r="K172" s="23">
        <f>IFERROR(K124-K171, "NA")</f>
        <v>35755.390000000014</v>
      </c>
      <c r="L172" s="24">
        <f>IFERROR(K172/K444, "NA")</f>
        <v>0.69556317047288274</v>
      </c>
      <c r="M172" s="25"/>
      <c r="N172" s="23">
        <f>IFERROR(B172-K172, "NA")</f>
        <v>11707.919999999984</v>
      </c>
      <c r="O172" s="24">
        <f>IFERROR(N172/N444, "NA")</f>
        <v>0.94293846374397605</v>
      </c>
      <c r="P172" s="25"/>
      <c r="Q172" s="23">
        <f>IFERROR(Q124-Q171, "NA")</f>
        <v>47463.31</v>
      </c>
      <c r="R172" s="24">
        <f>IFERROR(Q172/Q444, "NA")</f>
        <v>0.7436899270573476</v>
      </c>
      <c r="S172" s="25"/>
      <c r="T172" s="23">
        <f>IFERROR(T124-T171, "NA")</f>
        <v>34307.67</v>
      </c>
      <c r="U172" s="24">
        <f>IFERROR(T172/T444, "NA")</f>
        <v>0.71000002897311409</v>
      </c>
      <c r="V172" s="25"/>
      <c r="W172" s="23">
        <f>IFERROR(Q172-T172, "NA")</f>
        <v>13155.64</v>
      </c>
      <c r="X172" s="24">
        <f>IFERROR(W172/W444, "NA")</f>
        <v>0.84871209125259428</v>
      </c>
      <c r="Y172" s="25"/>
      <c r="Z172" s="23">
        <f>IFERROR(Z124-Z171, "NA")</f>
        <v>35755.390000000014</v>
      </c>
      <c r="AA172" s="24">
        <f>IFERROR(Z172/Z444, "NA")</f>
        <v>0.69556317047288274</v>
      </c>
      <c r="AB172" s="25"/>
      <c r="AC172" s="23">
        <f>IFERROR(Q172-Z172, "NA")</f>
        <v>11707.919999999984</v>
      </c>
      <c r="AD172" s="24">
        <f>IFERROR(AC172/AC444, "NA")</f>
        <v>0.94293846374397605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4615.3999999999996</v>
      </c>
      <c r="C178" s="8">
        <f>IFERROR(B178/B444, "NA")</f>
        <v>7.2317469838080878E-2</v>
      </c>
      <c r="D178" s="9"/>
      <c r="E178" s="7">
        <v>5000</v>
      </c>
      <c r="F178" s="8">
        <f>IFERROR(E178/E444, "NA")</f>
        <v>0.10347540782762486</v>
      </c>
      <c r="G178" s="9"/>
      <c r="H178" s="10">
        <f t="shared" si="44"/>
        <v>384.60000000000036</v>
      </c>
      <c r="I178" s="8">
        <f>IFERROR(H178/H444, "NA")</f>
        <v>2.4811766686816308E-2</v>
      </c>
      <c r="J178" s="9"/>
      <c r="K178" s="7">
        <v>5307.68</v>
      </c>
      <c r="L178" s="8">
        <f>IFERROR(K178/K444, "NA")</f>
        <v>0.10325231324998858</v>
      </c>
      <c r="M178" s="9"/>
      <c r="N178" s="10">
        <f t="shared" si="45"/>
        <v>692.28000000000065</v>
      </c>
      <c r="O178" s="8">
        <f>IFERROR(N178/N444, "NA")</f>
        <v>5.575520157984349E-2</v>
      </c>
      <c r="P178" s="9"/>
      <c r="Q178" s="7">
        <v>4615.3999999999996</v>
      </c>
      <c r="R178" s="8">
        <f>IFERROR(Q178/Q444, "NA")</f>
        <v>7.2317469838080878E-2</v>
      </c>
      <c r="S178" s="9"/>
      <c r="T178" s="7">
        <v>5000</v>
      </c>
      <c r="U178" s="8">
        <f>IFERROR(T178/T444, "NA")</f>
        <v>0.10347540782762486</v>
      </c>
      <c r="V178" s="9"/>
      <c r="W178" s="10">
        <f t="shared" si="46"/>
        <v>384.60000000000036</v>
      </c>
      <c r="X178" s="8">
        <f>IFERROR(W178/W444, "NA")</f>
        <v>2.4811766686816308E-2</v>
      </c>
      <c r="Y178" s="9"/>
      <c r="Z178" s="7">
        <v>5307.68</v>
      </c>
      <c r="AA178" s="8">
        <f>IFERROR(Z178/Z444, "NA")</f>
        <v>0.10325231324998858</v>
      </c>
      <c r="AB178" s="9"/>
      <c r="AC178" s="10">
        <f t="shared" si="47"/>
        <v>692.28000000000065</v>
      </c>
      <c r="AD178" s="8">
        <f>IFERROR(AC178/AC444, "NA")</f>
        <v>5.575520157984349E-2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13398.61</v>
      </c>
      <c r="C180" s="8">
        <f>IFERROR(B180/B444, "NA")</f>
        <v>0.20993924135442407</v>
      </c>
      <c r="D180" s="9"/>
      <c r="E180" s="7">
        <v>11162.07</v>
      </c>
      <c r="F180" s="8">
        <f>IFERROR(E180/E444, "NA")</f>
        <v>0.23099994909009933</v>
      </c>
      <c r="G180" s="9"/>
      <c r="H180" s="10">
        <f t="shared" si="44"/>
        <v>-2236.5400000000009</v>
      </c>
      <c r="I180" s="8">
        <f>IFERROR(H180/H444, "NA")</f>
        <v>-0.14428629398266279</v>
      </c>
      <c r="J180" s="9"/>
      <c r="K180" s="7">
        <v>11737.91</v>
      </c>
      <c r="L180" s="8">
        <f>IFERROR(K180/K444, "NA")</f>
        <v>0.22834201764616055</v>
      </c>
      <c r="M180" s="9"/>
      <c r="N180" s="10">
        <f t="shared" si="45"/>
        <v>-1660.7000000000007</v>
      </c>
      <c r="O180" s="8">
        <f>IFERROR(N180/N444, "NA")</f>
        <v>-0.13375030805981111</v>
      </c>
      <c r="P180" s="9"/>
      <c r="Q180" s="7">
        <v>13398.61</v>
      </c>
      <c r="R180" s="8">
        <f>IFERROR(Q180/Q444, "NA")</f>
        <v>0.20993924135442407</v>
      </c>
      <c r="S180" s="9"/>
      <c r="T180" s="7">
        <v>11162.07</v>
      </c>
      <c r="U180" s="8">
        <f>IFERROR(T180/T444, "NA")</f>
        <v>0.23099994909009933</v>
      </c>
      <c r="V180" s="9"/>
      <c r="W180" s="10">
        <f t="shared" si="46"/>
        <v>-2236.5400000000009</v>
      </c>
      <c r="X180" s="8">
        <f>IFERROR(W180/W444, "NA")</f>
        <v>-0.14428629398266279</v>
      </c>
      <c r="Y180" s="9"/>
      <c r="Z180" s="7">
        <v>11737.91</v>
      </c>
      <c r="AA180" s="8">
        <f>IFERROR(Z180/Z444, "NA")</f>
        <v>0.22834201764616055</v>
      </c>
      <c r="AB180" s="9"/>
      <c r="AC180" s="10">
        <f t="shared" si="47"/>
        <v>-1660.7000000000007</v>
      </c>
      <c r="AD180" s="8">
        <f>IFERROR(AC180/AC444, "NA")</f>
        <v>-0.13375030805981111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0.31</v>
      </c>
      <c r="L181" s="8">
        <f>IFERROR(K181/K444, "NA")</f>
        <v>6.0305476418127049E-6</v>
      </c>
      <c r="M181" s="9"/>
      <c r="N181" s="10">
        <f t="shared" si="45"/>
        <v>0.31</v>
      </c>
      <c r="O181" s="8">
        <f>IFERROR(N181/N444, "NA")</f>
        <v>2.4966938940531961E-5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0.31</v>
      </c>
      <c r="AA181" s="8">
        <f>IFERROR(Z181/Z444, "NA")</f>
        <v>6.0305476418127049E-6</v>
      </c>
      <c r="AB181" s="9"/>
      <c r="AC181" s="10">
        <f t="shared" si="47"/>
        <v>0.31</v>
      </c>
      <c r="AD181" s="8">
        <f>IFERROR(AC181/AC444, "NA")</f>
        <v>2.4966938940531961E-5</v>
      </c>
    </row>
    <row r="182" spans="1:30" ht="16.5" customHeight="1" x14ac:dyDescent="0.45">
      <c r="A182" s="13" t="s">
        <v>167</v>
      </c>
      <c r="B182" s="14">
        <f>IFERROR(B177+B178+B179+B180+B181, "NA")</f>
        <v>18014.010000000002</v>
      </c>
      <c r="C182" s="15">
        <f>IFERROR(B182/B444, "NA")</f>
        <v>0.28225671119250495</v>
      </c>
      <c r="D182" s="2"/>
      <c r="E182" s="14">
        <f>IFERROR(E177+E178+E179+E180+E181, "NA")</f>
        <v>16162.07</v>
      </c>
      <c r="F182" s="15">
        <f>IFERROR(E182/E444, "NA")</f>
        <v>0.33447535691772418</v>
      </c>
      <c r="G182" s="2"/>
      <c r="H182" s="14">
        <f t="shared" si="44"/>
        <v>-1851.9400000000023</v>
      </c>
      <c r="I182" s="15">
        <f>IFERROR(H182/H444, "NA")</f>
        <v>-0.11947452729584661</v>
      </c>
      <c r="J182" s="2"/>
      <c r="K182" s="14">
        <f>IFERROR(K177+K178+K179+K180+K181, "NA")</f>
        <v>17045.900000000001</v>
      </c>
      <c r="L182" s="15">
        <f>IFERROR(K182/K444, "NA")</f>
        <v>0.33160036144379096</v>
      </c>
      <c r="M182" s="2"/>
      <c r="N182" s="14">
        <f t="shared" si="45"/>
        <v>-968.11000000000058</v>
      </c>
      <c r="O182" s="15">
        <f>IFERROR(N182/N444, "NA")</f>
        <v>-7.7970139541027134E-2</v>
      </c>
      <c r="P182" s="2"/>
      <c r="Q182" s="14">
        <f>IFERROR(Q177+Q178+Q179+Q180+Q181, "NA")</f>
        <v>18014.010000000002</v>
      </c>
      <c r="R182" s="15">
        <f>IFERROR(Q182/Q444, "NA")</f>
        <v>0.28225671119250495</v>
      </c>
      <c r="S182" s="2"/>
      <c r="T182" s="14">
        <f>IFERROR(T177+T178+T179+T180+T181, "NA")</f>
        <v>16162.07</v>
      </c>
      <c r="U182" s="15">
        <f>IFERROR(T182/T444, "NA")</f>
        <v>0.33447535691772418</v>
      </c>
      <c r="V182" s="2"/>
      <c r="W182" s="14">
        <f t="shared" si="46"/>
        <v>-1851.9400000000023</v>
      </c>
      <c r="X182" s="15">
        <f>IFERROR(W182/W444, "NA")</f>
        <v>-0.11947452729584661</v>
      </c>
      <c r="Y182" s="2"/>
      <c r="Z182" s="14">
        <f>IFERROR(Z177+Z178+Z179+Z180+Z181, "NA")</f>
        <v>17045.900000000001</v>
      </c>
      <c r="AA182" s="15">
        <f>IFERROR(Z182/Z444, "NA")</f>
        <v>0.33160036144379096</v>
      </c>
      <c r="AB182" s="2"/>
      <c r="AC182" s="14">
        <f t="shared" si="47"/>
        <v>-968.11000000000058</v>
      </c>
      <c r="AD182" s="15">
        <f>IFERROR(AC182/AC444, "NA")</f>
        <v>-7.7970139541027134E-2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4.7006198707423546E-3</v>
      </c>
      <c r="D184" s="9"/>
      <c r="E184" s="7">
        <v>300</v>
      </c>
      <c r="F184" s="8">
        <f>IFERROR(E184/E444, "NA")</f>
        <v>6.2085244696574917E-3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5.8360138469155214E-3</v>
      </c>
      <c r="M184" s="9"/>
      <c r="N184" s="10">
        <f t="shared" si="45"/>
        <v>0</v>
      </c>
      <c r="O184" s="8">
        <f>IFERROR(N184/N444, "NA")</f>
        <v>0</v>
      </c>
      <c r="P184" s="9"/>
      <c r="Q184" s="7">
        <v>300</v>
      </c>
      <c r="R184" s="8">
        <f>IFERROR(Q184/Q444, "NA")</f>
        <v>4.7006198707423546E-3</v>
      </c>
      <c r="S184" s="9"/>
      <c r="T184" s="7">
        <v>300</v>
      </c>
      <c r="U184" s="8">
        <f>IFERROR(T184/T444, "NA")</f>
        <v>6.2085244696574917E-3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300</v>
      </c>
      <c r="AA184" s="8">
        <f>IFERROR(Z184/Z444, "NA")</f>
        <v>5.8360138469155214E-3</v>
      </c>
      <c r="AB184" s="9"/>
      <c r="AC184" s="10">
        <f t="shared" si="47"/>
        <v>0</v>
      </c>
      <c r="AD184" s="8">
        <f>IFERROR(AC184/AC444, "NA")</f>
        <v>0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2965.78</v>
      </c>
      <c r="C186" s="8">
        <f>IFERROR(B186/B444, "NA")</f>
        <v>4.6470014667500871E-2</v>
      </c>
      <c r="D186" s="9"/>
      <c r="E186" s="7">
        <v>2135.89</v>
      </c>
      <c r="F186" s="8">
        <f>IFERROR(E186/E444, "NA")</f>
        <v>4.4202417764989128E-2</v>
      </c>
      <c r="G186" s="9"/>
      <c r="H186" s="10">
        <f t="shared" ref="H186:H197" si="48">IFERROR(-(B186-E186), "NA")</f>
        <v>-829.89000000000033</v>
      </c>
      <c r="I186" s="8">
        <f>IFERROR(H186/H444, "NA")</f>
        <v>-5.3538837898393067E-2</v>
      </c>
      <c r="J186" s="9"/>
      <c r="K186" s="7">
        <v>3087.5</v>
      </c>
      <c r="L186" s="8">
        <f>IFERROR(K186/K444, "NA")</f>
        <v>6.0062309174505571E-2</v>
      </c>
      <c r="M186" s="9"/>
      <c r="N186" s="10">
        <f t="shared" ref="N186:N197" si="49">IFERROR(-(B186-K186), "NA")</f>
        <v>121.7199999999998</v>
      </c>
      <c r="O186" s="8">
        <f>IFERROR(N186/N444, "NA")</f>
        <v>9.803147767230791E-3</v>
      </c>
      <c r="P186" s="9"/>
      <c r="Q186" s="7">
        <v>2965.78</v>
      </c>
      <c r="R186" s="8">
        <f>IFERROR(Q186/Q444, "NA")</f>
        <v>4.6470014667500871E-2</v>
      </c>
      <c r="S186" s="9"/>
      <c r="T186" s="7">
        <v>2135.89</v>
      </c>
      <c r="U186" s="8">
        <f>IFERROR(T186/T444, "NA")</f>
        <v>4.4202417764989128E-2</v>
      </c>
      <c r="V186" s="9"/>
      <c r="W186" s="10">
        <f t="shared" ref="W186:W197" si="50">IFERROR(-(Q186-T186), "NA")</f>
        <v>-829.89000000000033</v>
      </c>
      <c r="X186" s="8">
        <f>IFERROR(W186/W444, "NA")</f>
        <v>-5.3538837898393067E-2</v>
      </c>
      <c r="Y186" s="9"/>
      <c r="Z186" s="7">
        <v>3087.5</v>
      </c>
      <c r="AA186" s="8">
        <f>IFERROR(Z186/Z444, "NA")</f>
        <v>6.0062309174505571E-2</v>
      </c>
      <c r="AB186" s="9"/>
      <c r="AC186" s="10">
        <f t="shared" ref="AC186:AC197" si="51">IFERROR(-(Q186-Z186), "NA")</f>
        <v>121.7199999999998</v>
      </c>
      <c r="AD186" s="8">
        <f>IFERROR(AC186/AC444, "NA")</f>
        <v>9.803147767230791E-3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2965.78</v>
      </c>
      <c r="C193" s="15">
        <f>IFERROR(B193/B444, "NA")</f>
        <v>4.6470014667500871E-2</v>
      </c>
      <c r="D193" s="2"/>
      <c r="E193" s="14">
        <f>IFERROR(E186+E187+E188+E189+E190+E191+E192, "NA")</f>
        <v>2135.89</v>
      </c>
      <c r="F193" s="15">
        <f>IFERROR(E193/E444, "NA")</f>
        <v>4.4202417764989128E-2</v>
      </c>
      <c r="G193" s="2"/>
      <c r="H193" s="14">
        <f t="shared" si="48"/>
        <v>-829.89000000000033</v>
      </c>
      <c r="I193" s="15">
        <f>IFERROR(H193/H444, "NA")</f>
        <v>-5.3538837898393067E-2</v>
      </c>
      <c r="J193" s="2"/>
      <c r="K193" s="14">
        <f>IFERROR(K186+K187+K188+K189+K190+K191+K192, "NA")</f>
        <v>3087.5</v>
      </c>
      <c r="L193" s="15">
        <f>IFERROR(K193/K444, "NA")</f>
        <v>6.0062309174505571E-2</v>
      </c>
      <c r="M193" s="2"/>
      <c r="N193" s="14">
        <f t="shared" si="49"/>
        <v>121.7199999999998</v>
      </c>
      <c r="O193" s="15">
        <f>IFERROR(N193/N444, "NA")</f>
        <v>9.803147767230791E-3</v>
      </c>
      <c r="P193" s="2"/>
      <c r="Q193" s="14">
        <f>IFERROR(Q186+Q187+Q188+Q189+Q190+Q191+Q192, "NA")</f>
        <v>2965.78</v>
      </c>
      <c r="R193" s="15">
        <f>IFERROR(Q193/Q444, "NA")</f>
        <v>4.6470014667500871E-2</v>
      </c>
      <c r="S193" s="2"/>
      <c r="T193" s="14">
        <f>IFERROR(T186+T187+T188+T189+T190+T191+T192, "NA")</f>
        <v>2135.89</v>
      </c>
      <c r="U193" s="15">
        <f>IFERROR(T193/T444, "NA")</f>
        <v>4.4202417764989128E-2</v>
      </c>
      <c r="V193" s="2"/>
      <c r="W193" s="14">
        <f t="shared" si="50"/>
        <v>-829.89000000000033</v>
      </c>
      <c r="X193" s="15">
        <f>IFERROR(W193/W444, "NA")</f>
        <v>-5.3538837898393067E-2</v>
      </c>
      <c r="Y193" s="2"/>
      <c r="Z193" s="14">
        <f>IFERROR(Z186+Z187+Z188+Z189+Z190+Z191+Z192, "NA")</f>
        <v>3087.5</v>
      </c>
      <c r="AA193" s="15">
        <f>IFERROR(Z193/Z444, "NA")</f>
        <v>6.0062309174505571E-2</v>
      </c>
      <c r="AB193" s="2"/>
      <c r="AC193" s="14">
        <f t="shared" si="51"/>
        <v>121.7199999999998</v>
      </c>
      <c r="AD193" s="15">
        <f>IFERROR(AC193/AC444, "NA")</f>
        <v>9.803147767230791E-3</v>
      </c>
    </row>
    <row r="194" spans="1:30" ht="16.5" customHeight="1" x14ac:dyDescent="0.45">
      <c r="A194" s="6" t="s">
        <v>178</v>
      </c>
      <c r="B194" s="7">
        <v>224.72</v>
      </c>
      <c r="C194" s="8">
        <f>IFERROR(B194/B444, "NA")</f>
        <v>3.5210776578440731E-3</v>
      </c>
      <c r="D194" s="9"/>
      <c r="E194" s="7">
        <v>131.69999999999999</v>
      </c>
      <c r="F194" s="8">
        <f>IFERROR(E194/E444, "NA")</f>
        <v>2.7255422421796388E-3</v>
      </c>
      <c r="G194" s="9"/>
      <c r="H194" s="10">
        <f t="shared" si="48"/>
        <v>-93.02000000000001</v>
      </c>
      <c r="I194" s="8">
        <f>IFERROR(H194/H444, "NA")</f>
        <v>-6.0010154373573866E-3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-224.72</v>
      </c>
      <c r="O194" s="8">
        <f>IFERROR(N194/N444, "NA")</f>
        <v>-1.8098614576504329E-2</v>
      </c>
      <c r="P194" s="9"/>
      <c r="Q194" s="7">
        <v>224.72</v>
      </c>
      <c r="R194" s="8">
        <f>IFERROR(Q194/Q444, "NA")</f>
        <v>3.5210776578440731E-3</v>
      </c>
      <c r="S194" s="9"/>
      <c r="T194" s="7">
        <v>131.69999999999999</v>
      </c>
      <c r="U194" s="8">
        <f>IFERROR(T194/T444, "NA")</f>
        <v>2.7255422421796388E-3</v>
      </c>
      <c r="V194" s="9"/>
      <c r="W194" s="10">
        <f t="shared" si="50"/>
        <v>-93.02000000000001</v>
      </c>
      <c r="X194" s="8">
        <f>IFERROR(W194/W444, "NA")</f>
        <v>-6.0010154373573866E-3</v>
      </c>
      <c r="Y194" s="9"/>
      <c r="Z194" s="7">
        <v>0</v>
      </c>
      <c r="AA194" s="8">
        <f>IFERROR(Z194/Z444, "NA")</f>
        <v>0</v>
      </c>
      <c r="AB194" s="9"/>
      <c r="AC194" s="10">
        <f t="shared" si="51"/>
        <v>-224.72</v>
      </c>
      <c r="AD194" s="8">
        <f>IFERROR(AC194/AC444, "NA")</f>
        <v>-1.8098614576504329E-2</v>
      </c>
    </row>
    <row r="195" spans="1:30" ht="16.5" customHeight="1" x14ac:dyDescent="0.45">
      <c r="A195" s="6" t="s">
        <v>179</v>
      </c>
      <c r="B195" s="7">
        <v>-172.78</v>
      </c>
      <c r="C195" s="8">
        <f>IFERROR(B195/B444, "NA")</f>
        <v>-2.7072436708895468E-3</v>
      </c>
      <c r="D195" s="9"/>
      <c r="E195" s="7">
        <v>115.23</v>
      </c>
      <c r="F195" s="8">
        <f>IFERROR(E195/E444, "NA")</f>
        <v>2.3846942487954427E-3</v>
      </c>
      <c r="G195" s="9"/>
      <c r="H195" s="10">
        <f t="shared" si="48"/>
        <v>288.01</v>
      </c>
      <c r="I195" s="8">
        <f>IFERROR(H195/H444, "NA")</f>
        <v>1.8580439218590632E-2</v>
      </c>
      <c r="J195" s="9"/>
      <c r="K195" s="7">
        <v>202.75</v>
      </c>
      <c r="L195" s="8">
        <f>IFERROR(K195/K444, "NA")</f>
        <v>3.9441726915404067E-3</v>
      </c>
      <c r="M195" s="9"/>
      <c r="N195" s="10">
        <f t="shared" si="49"/>
        <v>375.53</v>
      </c>
      <c r="O195" s="8">
        <f>IFERROR(N195/N444, "NA")</f>
        <v>3.0244627678509571E-2</v>
      </c>
      <c r="P195" s="9"/>
      <c r="Q195" s="7">
        <v>-172.78</v>
      </c>
      <c r="R195" s="8">
        <f>IFERROR(Q195/Q444, "NA")</f>
        <v>-2.7072436708895468E-3</v>
      </c>
      <c r="S195" s="9"/>
      <c r="T195" s="7">
        <v>115.23</v>
      </c>
      <c r="U195" s="8">
        <f>IFERROR(T195/T444, "NA")</f>
        <v>2.3846942487954427E-3</v>
      </c>
      <c r="V195" s="9"/>
      <c r="W195" s="10">
        <f t="shared" si="50"/>
        <v>288.01</v>
      </c>
      <c r="X195" s="8">
        <f>IFERROR(W195/W444, "NA")</f>
        <v>1.8580439218590632E-2</v>
      </c>
      <c r="Y195" s="9"/>
      <c r="Z195" s="7">
        <v>202.75</v>
      </c>
      <c r="AA195" s="8">
        <f>IFERROR(Z195/Z444, "NA")</f>
        <v>3.9441726915404067E-3</v>
      </c>
      <c r="AB195" s="9"/>
      <c r="AC195" s="10">
        <f t="shared" si="51"/>
        <v>375.53</v>
      </c>
      <c r="AD195" s="8">
        <f>IFERROR(AC195/AC444, "NA")</f>
        <v>3.0244627678509571E-2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21331.730000000003</v>
      </c>
      <c r="C196" s="15">
        <f>IFERROR(B196/B444, "NA")</f>
        <v>0.33424117971770273</v>
      </c>
      <c r="D196" s="2"/>
      <c r="E196" s="14">
        <f>IFERROR(E175+E177+E178+E179+E180+E181+E183+E184+E186+E187+E188+E189+E190+E191+E192+E194+E195, "NA")</f>
        <v>18844.89</v>
      </c>
      <c r="F196" s="15">
        <f>IFERROR(E196/E444, "NA")</f>
        <v>0.38999653564334591</v>
      </c>
      <c r="G196" s="2"/>
      <c r="H196" s="14">
        <f t="shared" si="48"/>
        <v>-2486.8400000000038</v>
      </c>
      <c r="I196" s="15">
        <f>IFERROR(H196/H444, "NA")</f>
        <v>-0.16043394141300649</v>
      </c>
      <c r="J196" s="2"/>
      <c r="K196" s="14">
        <f>IFERROR(K175+K177+K178+K179+K180+K181+K183+K184+K186+K187+K188+K189+K190+K191+K192+K194+K195, "NA")</f>
        <v>20636.150000000001</v>
      </c>
      <c r="L196" s="15">
        <f>IFERROR(K196/K444, "NA")</f>
        <v>0.40144285715675249</v>
      </c>
      <c r="M196" s="2"/>
      <c r="N196" s="14">
        <f t="shared" si="49"/>
        <v>-695.58000000000175</v>
      </c>
      <c r="O196" s="15">
        <f>IFERROR(N196/N444, "NA")</f>
        <v>-5.6020978671791177E-2</v>
      </c>
      <c r="P196" s="2"/>
      <c r="Q196" s="14">
        <f>IFERROR(Q175+Q177+Q178+Q179+Q180+Q181+Q183+Q184+Q186+Q187+Q188+Q189+Q190+Q191+Q192+Q194+Q195, "NA")</f>
        <v>21331.730000000003</v>
      </c>
      <c r="R196" s="15">
        <f>IFERROR(Q196/Q444, "NA")</f>
        <v>0.33424117971770273</v>
      </c>
      <c r="S196" s="2"/>
      <c r="T196" s="14">
        <f>IFERROR(T175+T177+T178+T179+T180+T181+T183+T184+T186+T187+T188+T189+T190+T191+T192+T194+T195, "NA")</f>
        <v>18844.89</v>
      </c>
      <c r="U196" s="15">
        <f>IFERROR(T196/T444, "NA")</f>
        <v>0.38999653564334591</v>
      </c>
      <c r="V196" s="2"/>
      <c r="W196" s="14">
        <f t="shared" si="50"/>
        <v>-2486.8400000000038</v>
      </c>
      <c r="X196" s="15">
        <f>IFERROR(W196/W444, "NA")</f>
        <v>-0.16043394141300649</v>
      </c>
      <c r="Y196" s="2"/>
      <c r="Z196" s="14">
        <f>IFERROR(Z175+Z177+Z178+Z179+Z180+Z181+Z183+Z184+Z186+Z187+Z188+Z189+Z190+Z191+Z192+Z194+Z195, "NA")</f>
        <v>20636.150000000001</v>
      </c>
      <c r="AA196" s="15">
        <f>IFERROR(Z196/Z444, "NA")</f>
        <v>0.40144285715675249</v>
      </c>
      <c r="AB196" s="2"/>
      <c r="AC196" s="14">
        <f t="shared" si="51"/>
        <v>-695.58000000000175</v>
      </c>
      <c r="AD196" s="15">
        <f>IFERROR(AC196/AC444, "NA")</f>
        <v>-5.6020978671791177E-2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21331.730000000003</v>
      </c>
      <c r="C197" s="15">
        <f>IFERROR(B197/B444, "NA")</f>
        <v>0.33424117971770273</v>
      </c>
      <c r="D197" s="2"/>
      <c r="E197" s="14">
        <f>IFERROR(E175+E177+E178+E179+E180+E181+E183+E184+E186+E187+E188+E189+E190+E191+E192+E194+E195, "NA")</f>
        <v>18844.89</v>
      </c>
      <c r="F197" s="15">
        <f>IFERROR(E197/E444, "NA")</f>
        <v>0.38999653564334591</v>
      </c>
      <c r="G197" s="2"/>
      <c r="H197" s="14">
        <f t="shared" si="48"/>
        <v>-2486.8400000000038</v>
      </c>
      <c r="I197" s="15">
        <f>IFERROR(H197/H444, "NA")</f>
        <v>-0.16043394141300649</v>
      </c>
      <c r="J197" s="2"/>
      <c r="K197" s="14">
        <f>IFERROR(K175+K177+K178+K179+K180+K181+K183+K184+K186+K187+K188+K189+K190+K191+K192+K194+K195, "NA")</f>
        <v>20636.150000000001</v>
      </c>
      <c r="L197" s="15">
        <f>IFERROR(K197/K444, "NA")</f>
        <v>0.40144285715675249</v>
      </c>
      <c r="M197" s="2"/>
      <c r="N197" s="14">
        <f t="shared" si="49"/>
        <v>-695.58000000000175</v>
      </c>
      <c r="O197" s="15">
        <f>IFERROR(N197/N444, "NA")</f>
        <v>-5.6020978671791177E-2</v>
      </c>
      <c r="P197" s="2"/>
      <c r="Q197" s="14">
        <f>IFERROR(Q175+Q177+Q178+Q179+Q180+Q181+Q183+Q184+Q186+Q187+Q188+Q189+Q190+Q191+Q192+Q194+Q195, "NA")</f>
        <v>21331.730000000003</v>
      </c>
      <c r="R197" s="15">
        <f>IFERROR(Q197/Q444, "NA")</f>
        <v>0.33424117971770273</v>
      </c>
      <c r="S197" s="2"/>
      <c r="T197" s="14">
        <f>IFERROR(T175+T177+T178+T179+T180+T181+T183+T184+T186+T187+T188+T189+T190+T191+T192+T194+T195, "NA")</f>
        <v>18844.89</v>
      </c>
      <c r="U197" s="15">
        <f>IFERROR(T197/T444, "NA")</f>
        <v>0.38999653564334591</v>
      </c>
      <c r="V197" s="2"/>
      <c r="W197" s="14">
        <f t="shared" si="50"/>
        <v>-2486.8400000000038</v>
      </c>
      <c r="X197" s="15">
        <f>IFERROR(W197/W444, "NA")</f>
        <v>-0.16043394141300649</v>
      </c>
      <c r="Y197" s="2"/>
      <c r="Z197" s="14">
        <f>IFERROR(Z175+Z177+Z178+Z179+Z180+Z181+Z183+Z184+Z186+Z187+Z188+Z189+Z190+Z191+Z192+Z194+Z195, "NA")</f>
        <v>20636.150000000001</v>
      </c>
      <c r="AA197" s="15">
        <f>IFERROR(Z197/Z444, "NA")</f>
        <v>0.40144285715675249</v>
      </c>
      <c r="AB197" s="2"/>
      <c r="AC197" s="14">
        <f t="shared" si="51"/>
        <v>-695.58000000000175</v>
      </c>
      <c r="AD197" s="15">
        <f>IFERROR(AC197/AC444, "NA")</f>
        <v>-5.6020978671791177E-2</v>
      </c>
    </row>
    <row r="198" spans="1:30" ht="16.5" customHeight="1" x14ac:dyDescent="0.45">
      <c r="A198" s="22" t="s">
        <v>181</v>
      </c>
      <c r="B198" s="23">
        <f>IFERROR(B172-B197, "NA")</f>
        <v>26131.579999999994</v>
      </c>
      <c r="C198" s="24">
        <f>IFERROR(B198/B444, "NA")</f>
        <v>0.40944874733964493</v>
      </c>
      <c r="D198" s="25"/>
      <c r="E198" s="23">
        <f>IFERROR(E172-E197, "NA")</f>
        <v>15462.779999999999</v>
      </c>
      <c r="F198" s="24">
        <f>IFERROR(E198/E444, "NA")</f>
        <v>0.32000349332976824</v>
      </c>
      <c r="G198" s="25"/>
      <c r="H198" s="23">
        <f>IFERROR(B198-E198, "NA")</f>
        <v>10668.799999999996</v>
      </c>
      <c r="I198" s="24">
        <f>IFERROR(H198/H444, "NA")</f>
        <v>0.68827814983958779</v>
      </c>
      <c r="J198" s="25"/>
      <c r="K198" s="23">
        <f>IFERROR(K172-K197, "NA")</f>
        <v>15119.240000000013</v>
      </c>
      <c r="L198" s="24">
        <f>IFERROR(K198/K444, "NA")</f>
        <v>0.29412031331613031</v>
      </c>
      <c r="M198" s="25"/>
      <c r="N198" s="23">
        <f>IFERROR(B198-K198, "NA")</f>
        <v>11012.339999999982</v>
      </c>
      <c r="O198" s="24">
        <f>IFERROR(N198/N444, "NA")</f>
        <v>0.88691748507218482</v>
      </c>
      <c r="P198" s="25"/>
      <c r="Q198" s="23">
        <f>IFERROR(Q172-Q197, "NA")</f>
        <v>26131.579999999994</v>
      </c>
      <c r="R198" s="24">
        <f>IFERROR(Q198/Q444, "NA")</f>
        <v>0.40944874733964493</v>
      </c>
      <c r="S198" s="25"/>
      <c r="T198" s="23">
        <f>IFERROR(T172-T197, "NA")</f>
        <v>15462.779999999999</v>
      </c>
      <c r="U198" s="24">
        <f>IFERROR(T198/T444, "NA")</f>
        <v>0.32000349332976824</v>
      </c>
      <c r="V198" s="25"/>
      <c r="W198" s="23">
        <f>IFERROR(Q198-T198, "NA")</f>
        <v>10668.799999999996</v>
      </c>
      <c r="X198" s="24">
        <f>IFERROR(W198/W444, "NA")</f>
        <v>0.68827814983958779</v>
      </c>
      <c r="Y198" s="25"/>
      <c r="Z198" s="23">
        <f>IFERROR(Z172-Z197, "NA")</f>
        <v>15119.240000000013</v>
      </c>
      <c r="AA198" s="24">
        <f>IFERROR(Z198/Z444, "NA")</f>
        <v>0.29412031331613031</v>
      </c>
      <c r="AB198" s="25"/>
      <c r="AC198" s="23">
        <f>IFERROR(Q198-Z198, "NA")</f>
        <v>11012.339999999982</v>
      </c>
      <c r="AD198" s="24">
        <f>IFERROR(AC198/AC444, "NA")</f>
        <v>0.88691748507218482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1159.7</v>
      </c>
      <c r="F201" s="8">
        <f>IFERROR(E201/E444, "NA")</f>
        <v>2.4000086091539311E-2</v>
      </c>
      <c r="G201" s="9"/>
      <c r="H201" s="10">
        <f t="shared" ref="H201:H209" si="52">IFERROR(-(B201-E201), "NA")</f>
        <v>1159.7</v>
      </c>
      <c r="I201" s="8">
        <f>IFERROR(H201/H444, "NA")</f>
        <v>7.4815927786533662E-2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1159.7</v>
      </c>
      <c r="U201" s="8">
        <f>IFERROR(T201/T444, "NA")</f>
        <v>2.4000086091539311E-2</v>
      </c>
      <c r="V201" s="9"/>
      <c r="W201" s="10">
        <f t="shared" ref="W201:W209" si="54">IFERROR(-(Q201-T201), "NA")</f>
        <v>1159.7</v>
      </c>
      <c r="X201" s="8">
        <f>IFERROR(W201/W444, "NA")</f>
        <v>7.4815927786533662E-2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555.36</v>
      </c>
      <c r="C202" s="8">
        <f>IFERROR(B202/B444, "NA")</f>
        <v>8.7017875047182471E-3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-555.36</v>
      </c>
      <c r="I202" s="8">
        <f>IFERROR(H202/H444, "NA")</f>
        <v>-3.5828036264145324E-2</v>
      </c>
      <c r="J202" s="9"/>
      <c r="K202" s="7">
        <v>741.75</v>
      </c>
      <c r="L202" s="8">
        <f>IFERROR(K202/K444, "NA")</f>
        <v>1.4429544236498625E-2</v>
      </c>
      <c r="M202" s="9"/>
      <c r="N202" s="10">
        <f t="shared" si="53"/>
        <v>186.39</v>
      </c>
      <c r="O202" s="8">
        <f>IFERROR(N202/N444, "NA")</f>
        <v>1.5011573384276619E-2</v>
      </c>
      <c r="P202" s="9"/>
      <c r="Q202" s="7">
        <v>555.36</v>
      </c>
      <c r="R202" s="8">
        <f>IFERROR(Q202/Q444, "NA")</f>
        <v>8.7017875047182471E-3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-555.36</v>
      </c>
      <c r="X202" s="8">
        <f>IFERROR(W202/W444, "NA")</f>
        <v>-3.5828036264145324E-2</v>
      </c>
      <c r="Y202" s="9"/>
      <c r="Z202" s="7">
        <v>741.75</v>
      </c>
      <c r="AA202" s="8">
        <f>IFERROR(Z202/Z444, "NA")</f>
        <v>1.4429544236498625E-2</v>
      </c>
      <c r="AB202" s="9"/>
      <c r="AC202" s="10">
        <f t="shared" si="55"/>
        <v>186.39</v>
      </c>
      <c r="AD202" s="8">
        <f>IFERROR(AC202/AC444, "NA")</f>
        <v>1.5011573384276619E-2</v>
      </c>
    </row>
    <row r="203" spans="1:30" ht="16.5" customHeight="1" x14ac:dyDescent="0.45">
      <c r="A203" s="6" t="s">
        <v>185</v>
      </c>
      <c r="B203" s="7">
        <v>382.84</v>
      </c>
      <c r="C203" s="8">
        <f>IFERROR(B203/B444, "NA")</f>
        <v>5.9986177043833428E-3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-382.84</v>
      </c>
      <c r="I203" s="8">
        <f>IFERROR(H203/H444, "NA")</f>
        <v>-2.4698223500729966E-2</v>
      </c>
      <c r="J203" s="9"/>
      <c r="K203" s="7">
        <v>404.91</v>
      </c>
      <c r="L203" s="8">
        <f>IFERROR(K203/K444, "NA")</f>
        <v>7.8768678891818801E-3</v>
      </c>
      <c r="M203" s="9"/>
      <c r="N203" s="10">
        <f t="shared" si="53"/>
        <v>22.07000000000005</v>
      </c>
      <c r="O203" s="8">
        <f>IFERROR(N203/N444, "NA")</f>
        <v>1.777484975540457E-3</v>
      </c>
      <c r="P203" s="9"/>
      <c r="Q203" s="7">
        <v>382.84</v>
      </c>
      <c r="R203" s="8">
        <f>IFERROR(Q203/Q444, "NA")</f>
        <v>5.9986177043833428E-3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-382.84</v>
      </c>
      <c r="X203" s="8">
        <f>IFERROR(W203/W444, "NA")</f>
        <v>-2.4698223500729966E-2</v>
      </c>
      <c r="Y203" s="9"/>
      <c r="Z203" s="7">
        <v>404.91</v>
      </c>
      <c r="AA203" s="8">
        <f>IFERROR(Z203/Z444, "NA")</f>
        <v>7.8768678891818801E-3</v>
      </c>
      <c r="AB203" s="9"/>
      <c r="AC203" s="10">
        <f t="shared" si="55"/>
        <v>22.07000000000005</v>
      </c>
      <c r="AD203" s="8">
        <f>IFERROR(AC203/AC444, "NA")</f>
        <v>1.777484975540457E-3</v>
      </c>
    </row>
    <row r="204" spans="1:30" ht="16.5" customHeight="1" x14ac:dyDescent="0.45">
      <c r="A204" s="6" t="s">
        <v>186</v>
      </c>
      <c r="B204" s="7">
        <v>26.62</v>
      </c>
      <c r="C204" s="8">
        <f>IFERROR(B204/B444, "NA")</f>
        <v>4.1710166986387164E-4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-26.62</v>
      </c>
      <c r="I204" s="8">
        <f>IFERROR(H204/H444, "NA")</f>
        <v>-1.7173406895555109E-3</v>
      </c>
      <c r="J204" s="9"/>
      <c r="K204" s="7">
        <v>36.47</v>
      </c>
      <c r="L204" s="8">
        <f>IFERROR(K204/K444, "NA")</f>
        <v>7.0946474999003019E-4</v>
      </c>
      <c r="M204" s="9"/>
      <c r="N204" s="10">
        <f t="shared" si="53"/>
        <v>9.8499999999999979</v>
      </c>
      <c r="O204" s="8">
        <f>IFERROR(N204/N444, "NA")</f>
        <v>7.9330435020722508E-4</v>
      </c>
      <c r="P204" s="9"/>
      <c r="Q204" s="7">
        <v>26.62</v>
      </c>
      <c r="R204" s="8">
        <f>IFERROR(Q204/Q444, "NA")</f>
        <v>4.1710166986387164E-4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-26.62</v>
      </c>
      <c r="X204" s="8">
        <f>IFERROR(W204/W444, "NA")</f>
        <v>-1.7173406895555109E-3</v>
      </c>
      <c r="Y204" s="9"/>
      <c r="Z204" s="7">
        <v>36.47</v>
      </c>
      <c r="AA204" s="8">
        <f>IFERROR(Z204/Z444, "NA")</f>
        <v>7.0946474999003019E-4</v>
      </c>
      <c r="AB204" s="9"/>
      <c r="AC204" s="10">
        <f t="shared" si="55"/>
        <v>9.8499999999999979</v>
      </c>
      <c r="AD204" s="8">
        <f>IFERROR(AC204/AC444, "NA")</f>
        <v>7.9330435020722508E-4</v>
      </c>
    </row>
    <row r="205" spans="1:30" ht="16.5" customHeight="1" x14ac:dyDescent="0.45">
      <c r="A205" s="6" t="s">
        <v>187</v>
      </c>
      <c r="B205" s="7">
        <v>288.64</v>
      </c>
      <c r="C205" s="8">
        <f>IFERROR(B205/B444, "NA")</f>
        <v>4.5226230649702435E-3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-288.64</v>
      </c>
      <c r="I205" s="8">
        <f>IFERROR(H205/H444, "NA")</f>
        <v>-1.862108251815562E-2</v>
      </c>
      <c r="J205" s="9"/>
      <c r="K205" s="7">
        <v>557.6</v>
      </c>
      <c r="L205" s="8">
        <f>IFERROR(K205/K444, "NA")</f>
        <v>1.0847204403466983E-2</v>
      </c>
      <c r="M205" s="9"/>
      <c r="N205" s="10">
        <f t="shared" si="53"/>
        <v>268.96000000000004</v>
      </c>
      <c r="O205" s="8">
        <f>IFERROR(N205/N444, "NA")</f>
        <v>2.1661638378856377E-2</v>
      </c>
      <c r="P205" s="9"/>
      <c r="Q205" s="7">
        <v>288.64</v>
      </c>
      <c r="R205" s="8">
        <f>IFERROR(Q205/Q444, "NA")</f>
        <v>4.5226230649702435E-3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-288.64</v>
      </c>
      <c r="X205" s="8">
        <f>IFERROR(W205/W444, "NA")</f>
        <v>-1.862108251815562E-2</v>
      </c>
      <c r="Y205" s="9"/>
      <c r="Z205" s="7">
        <v>557.6</v>
      </c>
      <c r="AA205" s="8">
        <f>IFERROR(Z205/Z444, "NA")</f>
        <v>1.0847204403466983E-2</v>
      </c>
      <c r="AB205" s="9"/>
      <c r="AC205" s="10">
        <f t="shared" si="55"/>
        <v>268.96000000000004</v>
      </c>
      <c r="AD205" s="8">
        <f>IFERROR(AC205/AC444, "NA")</f>
        <v>2.1661638378856377E-2</v>
      </c>
    </row>
    <row r="206" spans="1:30" ht="16.5" hidden="1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0</v>
      </c>
      <c r="R206" s="8">
        <f>IFERROR(Q206/Q444, "NA")</f>
        <v>0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0</v>
      </c>
      <c r="X206" s="8">
        <f>IFERROR(W206/W444, "NA")</f>
        <v>0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0</v>
      </c>
      <c r="AD206" s="8">
        <f>IFERROR(AC206/AC444, "NA")</f>
        <v>0</v>
      </c>
    </row>
    <row r="207" spans="1:30" ht="16.5" customHeight="1" x14ac:dyDescent="0.45">
      <c r="A207" s="6" t="s">
        <v>189</v>
      </c>
      <c r="B207" s="7">
        <v>99.59</v>
      </c>
      <c r="C207" s="8">
        <f>IFERROR(B207/B444, "NA")</f>
        <v>1.5604491097574371E-3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-99.59</v>
      </c>
      <c r="I207" s="8">
        <f>IFERROR(H207/H444, "NA")</f>
        <v>-6.4248669899636861E-3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-99.59</v>
      </c>
      <c r="O207" s="8">
        <f>IFERROR(N207/N444, "NA")</f>
        <v>-8.0208304809276723E-3</v>
      </c>
      <c r="P207" s="9"/>
      <c r="Q207" s="7">
        <v>99.59</v>
      </c>
      <c r="R207" s="8">
        <f>IFERROR(Q207/Q444, "NA")</f>
        <v>1.5604491097574371E-3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-99.59</v>
      </c>
      <c r="X207" s="8">
        <f>IFERROR(W207/W444, "NA")</f>
        <v>-6.4248669899636861E-3</v>
      </c>
      <c r="Y207" s="9"/>
      <c r="Z207" s="7">
        <v>0</v>
      </c>
      <c r="AA207" s="8">
        <f>IFERROR(Z207/Z444, "NA")</f>
        <v>0</v>
      </c>
      <c r="AB207" s="9"/>
      <c r="AC207" s="10">
        <f t="shared" si="55"/>
        <v>-99.59</v>
      </c>
      <c r="AD207" s="8">
        <f>IFERROR(AC207/AC444, "NA")</f>
        <v>-8.0208304809276723E-3</v>
      </c>
    </row>
    <row r="208" spans="1:30" ht="16.5" customHeight="1" x14ac:dyDescent="0.45">
      <c r="A208" s="6" t="s">
        <v>190</v>
      </c>
      <c r="B208" s="7">
        <v>166.86</v>
      </c>
      <c r="C208" s="8">
        <f>IFERROR(B208/B444, "NA")</f>
        <v>2.6144847721068978E-3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-166.86</v>
      </c>
      <c r="I208" s="8">
        <f>IFERROR(H208/H444, "NA")</f>
        <v>-1.0764668199069592E-2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-166.86</v>
      </c>
      <c r="O208" s="8">
        <f>IFERROR(N208/N444, "NA")</f>
        <v>-1.3438656231023109E-2</v>
      </c>
      <c r="P208" s="9"/>
      <c r="Q208" s="7">
        <v>166.86</v>
      </c>
      <c r="R208" s="8">
        <f>IFERROR(Q208/Q444, "NA")</f>
        <v>2.6144847721068978E-3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-166.86</v>
      </c>
      <c r="X208" s="8">
        <f>IFERROR(W208/W444, "NA")</f>
        <v>-1.0764668199069592E-2</v>
      </c>
      <c r="Y208" s="9"/>
      <c r="Z208" s="7">
        <v>0</v>
      </c>
      <c r="AA208" s="8">
        <f>IFERROR(Z208/Z444, "NA")</f>
        <v>0</v>
      </c>
      <c r="AB208" s="9"/>
      <c r="AC208" s="10">
        <f t="shared" si="55"/>
        <v>-166.86</v>
      </c>
      <c r="AD208" s="8">
        <f>IFERROR(AC208/AC444, "NA")</f>
        <v>-1.3438656231023109E-2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1519.9099999999999</v>
      </c>
      <c r="C209" s="15">
        <f>IFERROR(B209/B444, "NA")</f>
        <v>2.3815063825800037E-2</v>
      </c>
      <c r="D209" s="2"/>
      <c r="E209" s="14">
        <f>IFERROR(E201+E202+E203+E204+E205+E206+E207+E208, "NA")</f>
        <v>1159.7</v>
      </c>
      <c r="F209" s="15">
        <f>IFERROR(E209/E444, "NA")</f>
        <v>2.4000086091539311E-2</v>
      </c>
      <c r="G209" s="2"/>
      <c r="H209" s="14">
        <f t="shared" si="52"/>
        <v>-360.20999999999981</v>
      </c>
      <c r="I209" s="15">
        <f>IFERROR(H209/H444, "NA")</f>
        <v>-2.3238290375086033E-2</v>
      </c>
      <c r="J209" s="2"/>
      <c r="K209" s="14">
        <f>IFERROR(K201+K202+K203+K204+K205+K206+K207+K208, "NA")</f>
        <v>1740.73</v>
      </c>
      <c r="L209" s="15">
        <f>IFERROR(K209/K444, "NA")</f>
        <v>3.3863081279137515E-2</v>
      </c>
      <c r="M209" s="2"/>
      <c r="N209" s="14">
        <f t="shared" si="53"/>
        <v>220.82000000000016</v>
      </c>
      <c r="O209" s="15">
        <f>IFERROR(N209/N444, "NA")</f>
        <v>1.7784514376929909E-2</v>
      </c>
      <c r="P209" s="2"/>
      <c r="Q209" s="14">
        <f>IFERROR(Q201+Q202+Q203+Q204+Q205+Q206+Q207+Q208, "NA")</f>
        <v>1519.9099999999999</v>
      </c>
      <c r="R209" s="15">
        <f>IFERROR(Q209/Q444, "NA")</f>
        <v>2.3815063825800037E-2</v>
      </c>
      <c r="S209" s="2"/>
      <c r="T209" s="14">
        <f>IFERROR(T201+T202+T203+T204+T205+T206+T207+T208, "NA")</f>
        <v>1159.7</v>
      </c>
      <c r="U209" s="15">
        <f>IFERROR(T209/T444, "NA")</f>
        <v>2.4000086091539311E-2</v>
      </c>
      <c r="V209" s="2"/>
      <c r="W209" s="14">
        <f t="shared" si="54"/>
        <v>-360.20999999999981</v>
      </c>
      <c r="X209" s="15">
        <f>IFERROR(W209/W444, "NA")</f>
        <v>-2.3238290375086033E-2</v>
      </c>
      <c r="Y209" s="2"/>
      <c r="Z209" s="14">
        <f>IFERROR(Z201+Z202+Z203+Z204+Z205+Z206+Z207+Z208, "NA")</f>
        <v>1740.73</v>
      </c>
      <c r="AA209" s="15">
        <f>IFERROR(Z209/Z444, "NA")</f>
        <v>3.3863081279137515E-2</v>
      </c>
      <c r="AB209" s="2"/>
      <c r="AC209" s="14">
        <f t="shared" si="55"/>
        <v>220.82000000000016</v>
      </c>
      <c r="AD209" s="15">
        <f>IFERROR(AC209/AC444, "NA")</f>
        <v>1.7784514376929909E-2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1933.73</v>
      </c>
      <c r="F213" s="8">
        <f>IFERROR(E213/E444, "NA")</f>
        <v>4.0018700075702608E-2</v>
      </c>
      <c r="G213" s="9"/>
      <c r="H213" s="10">
        <f t="shared" ref="H213:H227" si="56">IFERROR(-(B213-E213), "NA")</f>
        <v>1933.73</v>
      </c>
      <c r="I213" s="8">
        <f>IFERROR(H213/H444, "NA")</f>
        <v>0.12475105979016446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1933.73</v>
      </c>
      <c r="U213" s="8">
        <f>IFERROR(T213/T444, "NA")</f>
        <v>4.0018700075702608E-2</v>
      </c>
      <c r="V213" s="9"/>
      <c r="W213" s="10">
        <f t="shared" ref="W213:W227" si="58">IFERROR(-(Q213-T213), "NA")</f>
        <v>1933.73</v>
      </c>
      <c r="X213" s="8">
        <f>IFERROR(W213/W444, "NA")</f>
        <v>0.12475105979016446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1097.23</v>
      </c>
      <c r="C214" s="8">
        <f>IFERROR(B214/B444, "NA")</f>
        <v>1.7192203802582112E-2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-1097.23</v>
      </c>
      <c r="I214" s="8">
        <f>IFERROR(H214/H444, "NA")</f>
        <v>-7.0785789812208608E-2</v>
      </c>
      <c r="J214" s="9"/>
      <c r="K214" s="7">
        <v>255</v>
      </c>
      <c r="L214" s="8">
        <f>IFERROR(K214/K444, "NA")</f>
        <v>4.9606117698781926E-3</v>
      </c>
      <c r="M214" s="9"/>
      <c r="N214" s="10">
        <f t="shared" si="57"/>
        <v>-842.23</v>
      </c>
      <c r="O214" s="8">
        <f>IFERROR(N214/N444, "NA")</f>
        <v>-6.7831951560916884E-2</v>
      </c>
      <c r="P214" s="9"/>
      <c r="Q214" s="7">
        <v>1097.23</v>
      </c>
      <c r="R214" s="8">
        <f>IFERROR(Q214/Q444, "NA")</f>
        <v>1.7192203802582112E-2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-1097.23</v>
      </c>
      <c r="X214" s="8">
        <f>IFERROR(W214/W444, "NA")</f>
        <v>-7.0785789812208608E-2</v>
      </c>
      <c r="Y214" s="9"/>
      <c r="Z214" s="7">
        <v>255</v>
      </c>
      <c r="AA214" s="8">
        <f>IFERROR(Z214/Z444, "NA")</f>
        <v>4.9606117698781926E-3</v>
      </c>
      <c r="AB214" s="9"/>
      <c r="AC214" s="10">
        <f t="shared" si="59"/>
        <v>-842.23</v>
      </c>
      <c r="AD214" s="8">
        <f>IFERROR(AC214/AC444, "NA")</f>
        <v>-6.7831951560916884E-2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2009.17</v>
      </c>
      <c r="C217" s="8">
        <f>IFERROR(B217/B444, "NA")</f>
        <v>3.1481148085664726E-2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-2009.17</v>
      </c>
      <c r="I217" s="8">
        <f>IFERROR(H217/H444, "NA")</f>
        <v>-0.12961793363013696</v>
      </c>
      <c r="J217" s="9"/>
      <c r="K217" s="7">
        <v>535.87</v>
      </c>
      <c r="L217" s="8">
        <f>IFERROR(K217/K444, "NA")</f>
        <v>1.0424482467155402E-2</v>
      </c>
      <c r="M217" s="9"/>
      <c r="N217" s="10">
        <f t="shared" si="57"/>
        <v>-1473.3000000000002</v>
      </c>
      <c r="O217" s="8">
        <f>IFERROR(N217/N444, "NA")</f>
        <v>-0.11865739077769595</v>
      </c>
      <c r="P217" s="9"/>
      <c r="Q217" s="7">
        <v>2009.17</v>
      </c>
      <c r="R217" s="8">
        <f>IFERROR(Q217/Q444, "NA")</f>
        <v>3.1481148085664726E-2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-2009.17</v>
      </c>
      <c r="X217" s="8">
        <f>IFERROR(W217/W444, "NA")</f>
        <v>-0.12961793363013696</v>
      </c>
      <c r="Y217" s="9"/>
      <c r="Z217" s="7">
        <v>535.87</v>
      </c>
      <c r="AA217" s="8">
        <f>IFERROR(Z217/Z444, "NA")</f>
        <v>1.0424482467155402E-2</v>
      </c>
      <c r="AB217" s="9"/>
      <c r="AC217" s="10">
        <f t="shared" si="59"/>
        <v>-1473.3000000000002</v>
      </c>
      <c r="AD217" s="8">
        <f>IFERROR(AC217/AC444, "NA")</f>
        <v>-0.11865739077769595</v>
      </c>
    </row>
    <row r="218" spans="1:30" ht="16.5" customHeight="1" x14ac:dyDescent="0.45">
      <c r="A218" s="13" t="s">
        <v>198</v>
      </c>
      <c r="B218" s="14">
        <f>IFERROR(B213+B214+B215+B216+B217, "NA")</f>
        <v>3106.4</v>
      </c>
      <c r="C218" s="15">
        <f>IFERROR(B218/B444, "NA")</f>
        <v>4.8673351888246834E-2</v>
      </c>
      <c r="D218" s="2"/>
      <c r="E218" s="14">
        <f>IFERROR(E213+E214+E215+E216+E217, "NA")</f>
        <v>1933.73</v>
      </c>
      <c r="F218" s="15">
        <f>IFERROR(E218/E444, "NA")</f>
        <v>4.0018700075702608E-2</v>
      </c>
      <c r="G218" s="2"/>
      <c r="H218" s="14">
        <f t="shared" si="56"/>
        <v>-1172.67</v>
      </c>
      <c r="I218" s="15">
        <f>IFERROR(H218/H444, "NA")</f>
        <v>-7.5652663652181096E-2</v>
      </c>
      <c r="J218" s="2"/>
      <c r="K218" s="14">
        <f>IFERROR(K213+K214+K215+K216+K217, "NA")</f>
        <v>790.87</v>
      </c>
      <c r="L218" s="15">
        <f>IFERROR(K218/K444, "NA")</f>
        <v>1.5385094237033594E-2</v>
      </c>
      <c r="M218" s="2"/>
      <c r="N218" s="14">
        <f t="shared" si="57"/>
        <v>-2315.5300000000002</v>
      </c>
      <c r="O218" s="15">
        <f>IFERROR(N218/N444, "NA")</f>
        <v>-0.18648934233861283</v>
      </c>
      <c r="P218" s="2"/>
      <c r="Q218" s="14">
        <f>IFERROR(Q213+Q214+Q215+Q216+Q217, "NA")</f>
        <v>3106.4</v>
      </c>
      <c r="R218" s="15">
        <f>IFERROR(Q218/Q444, "NA")</f>
        <v>4.8673351888246834E-2</v>
      </c>
      <c r="S218" s="2"/>
      <c r="T218" s="14">
        <f>IFERROR(T213+T214+T215+T216+T217, "NA")</f>
        <v>1933.73</v>
      </c>
      <c r="U218" s="15">
        <f>IFERROR(T218/T444, "NA")</f>
        <v>4.0018700075702608E-2</v>
      </c>
      <c r="V218" s="2"/>
      <c r="W218" s="14">
        <f t="shared" si="58"/>
        <v>-1172.67</v>
      </c>
      <c r="X218" s="15">
        <f>IFERROR(W218/W444, "NA")</f>
        <v>-7.5652663652181096E-2</v>
      </c>
      <c r="Y218" s="2"/>
      <c r="Z218" s="14">
        <f>IFERROR(Z213+Z214+Z215+Z216+Z217, "NA")</f>
        <v>790.87</v>
      </c>
      <c r="AA218" s="15">
        <f>IFERROR(Z218/Z444, "NA")</f>
        <v>1.5385094237033594E-2</v>
      </c>
      <c r="AB218" s="2"/>
      <c r="AC218" s="14">
        <f t="shared" si="59"/>
        <v>-2315.5300000000002</v>
      </c>
      <c r="AD218" s="15">
        <f>IFERROR(AC218/AC444, "NA")</f>
        <v>-0.18648934233861283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97.47</v>
      </c>
      <c r="C222" s="8">
        <f>IFERROR(B222/B444, "NA")</f>
        <v>1.527231396004191E-3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-97.47</v>
      </c>
      <c r="I222" s="8">
        <f>IFERROR(H222/H444, "NA")</f>
        <v>-6.288099061268807E-3</v>
      </c>
      <c r="J222" s="9"/>
      <c r="K222" s="7">
        <v>62.5</v>
      </c>
      <c r="L222" s="8">
        <f>IFERROR(K222/K444, "NA")</f>
        <v>1.2158362181074003E-3</v>
      </c>
      <c r="M222" s="9"/>
      <c r="N222" s="10">
        <f t="shared" si="57"/>
        <v>-34.97</v>
      </c>
      <c r="O222" s="8">
        <f>IFERROR(N222/N444, "NA")</f>
        <v>-2.8164317895174279E-3</v>
      </c>
      <c r="P222" s="9"/>
      <c r="Q222" s="7">
        <v>97.47</v>
      </c>
      <c r="R222" s="8">
        <f>IFERROR(Q222/Q444, "NA")</f>
        <v>1.527231396004191E-3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-97.47</v>
      </c>
      <c r="X222" s="8">
        <f>IFERROR(W222/W444, "NA")</f>
        <v>-6.288099061268807E-3</v>
      </c>
      <c r="Y222" s="9"/>
      <c r="Z222" s="7">
        <v>62.5</v>
      </c>
      <c r="AA222" s="8">
        <f>IFERROR(Z222/Z444, "NA")</f>
        <v>1.2158362181074003E-3</v>
      </c>
      <c r="AB222" s="9"/>
      <c r="AC222" s="10">
        <f t="shared" si="59"/>
        <v>-34.97</v>
      </c>
      <c r="AD222" s="8">
        <f>IFERROR(AC222/AC444, "NA")</f>
        <v>-2.8164317895174279E-3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48.32</v>
      </c>
      <c r="F226" s="8">
        <f>IFERROR(E226/E444, "NA")</f>
        <v>9.9998634124616676E-4</v>
      </c>
      <c r="G226" s="9"/>
      <c r="H226" s="10">
        <f t="shared" si="56"/>
        <v>48.32</v>
      </c>
      <c r="I226" s="8">
        <f>IFERROR(H226/H444, "NA")</f>
        <v>3.1172765634606418E-3</v>
      </c>
      <c r="J226" s="9"/>
      <c r="K226" s="7">
        <v>379.52</v>
      </c>
      <c r="L226" s="8">
        <f>IFERROR(K226/K444, "NA")</f>
        <v>7.382946583937928E-3</v>
      </c>
      <c r="M226" s="9"/>
      <c r="N226" s="10">
        <f t="shared" si="57"/>
        <v>379.52</v>
      </c>
      <c r="O226" s="8">
        <f>IFERROR(N226/N444, "NA")</f>
        <v>3.056597634422803E-2</v>
      </c>
      <c r="P226" s="9"/>
      <c r="Q226" s="7">
        <v>0</v>
      </c>
      <c r="R226" s="8">
        <f>IFERROR(Q226/Q444, "NA")</f>
        <v>0</v>
      </c>
      <c r="S226" s="9"/>
      <c r="T226" s="7">
        <v>48.32</v>
      </c>
      <c r="U226" s="8">
        <f>IFERROR(T226/T444, "NA")</f>
        <v>9.9998634124616676E-4</v>
      </c>
      <c r="V226" s="9"/>
      <c r="W226" s="10">
        <f t="shared" si="58"/>
        <v>48.32</v>
      </c>
      <c r="X226" s="8">
        <f>IFERROR(W226/W444, "NA")</f>
        <v>3.1172765634606418E-3</v>
      </c>
      <c r="Y226" s="9"/>
      <c r="Z226" s="7">
        <v>379.52</v>
      </c>
      <c r="AA226" s="8">
        <f>IFERROR(Z226/Z444, "NA")</f>
        <v>7.382946583937928E-3</v>
      </c>
      <c r="AB226" s="9"/>
      <c r="AC226" s="10">
        <f t="shared" si="59"/>
        <v>379.52</v>
      </c>
      <c r="AD226" s="8">
        <f>IFERROR(AC226/AC444, "NA")</f>
        <v>3.056597634422803E-2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3203.87</v>
      </c>
      <c r="C227" s="15">
        <f>IFERROR(B227/B444, "NA")</f>
        <v>5.0200583284251026E-2</v>
      </c>
      <c r="D227" s="2"/>
      <c r="E227" s="14">
        <f>IFERROR(E211+E213+E214+E215+E216+E217+E219+E220+E221+E222+E223+E224+E225+E226, "NA")</f>
        <v>1982.05</v>
      </c>
      <c r="F227" s="15">
        <f>IFERROR(E227/E444, "NA")</f>
        <v>4.1018686416948773E-2</v>
      </c>
      <c r="G227" s="2"/>
      <c r="H227" s="14">
        <f t="shared" si="56"/>
        <v>-1221.82</v>
      </c>
      <c r="I227" s="15">
        <f>IFERROR(H227/H444, "NA")</f>
        <v>-7.8823486149989255E-2</v>
      </c>
      <c r="J227" s="2"/>
      <c r="K227" s="14">
        <f>IFERROR(K211+K213+K214+K215+K216+K217+K219+K220+K221+K222+K223+K224+K225+K226, "NA")</f>
        <v>1232.8899999999999</v>
      </c>
      <c r="L227" s="15">
        <f>IFERROR(K227/K444, "NA")</f>
        <v>2.3983877039078921E-2</v>
      </c>
      <c r="M227" s="2"/>
      <c r="N227" s="14">
        <f t="shared" si="57"/>
        <v>-1970.98</v>
      </c>
      <c r="O227" s="15">
        <f>IFERROR(N227/N444, "NA")</f>
        <v>-0.15873979778390221</v>
      </c>
      <c r="P227" s="2"/>
      <c r="Q227" s="14">
        <f>IFERROR(Q211+Q213+Q214+Q215+Q216+Q217+Q219+Q220+Q221+Q222+Q223+Q224+Q225+Q226, "NA")</f>
        <v>3203.87</v>
      </c>
      <c r="R227" s="15">
        <f>IFERROR(Q227/Q444, "NA")</f>
        <v>5.0200583284251026E-2</v>
      </c>
      <c r="S227" s="2"/>
      <c r="T227" s="14">
        <f>IFERROR(T211+T213+T214+T215+T216+T217+T219+T220+T221+T222+T223+T224+T225+T226, "NA")</f>
        <v>1982.05</v>
      </c>
      <c r="U227" s="15">
        <f>IFERROR(T227/T444, "NA")</f>
        <v>4.1018686416948773E-2</v>
      </c>
      <c r="V227" s="2"/>
      <c r="W227" s="14">
        <f t="shared" si="58"/>
        <v>-1221.82</v>
      </c>
      <c r="X227" s="15">
        <f>IFERROR(W227/W444, "NA")</f>
        <v>-7.8823486149989255E-2</v>
      </c>
      <c r="Y227" s="2"/>
      <c r="Z227" s="14">
        <f>IFERROR(Z211+Z213+Z214+Z215+Z216+Z217+Z219+Z220+Z221+Z222+Z223+Z224+Z225+Z226, "NA")</f>
        <v>1232.8899999999999</v>
      </c>
      <c r="AA227" s="15">
        <f>IFERROR(Z227/Z444, "NA")</f>
        <v>2.3983877039078921E-2</v>
      </c>
      <c r="AB227" s="2"/>
      <c r="AC227" s="14">
        <f t="shared" si="59"/>
        <v>-1970.98</v>
      </c>
      <c r="AD227" s="15">
        <f>IFERROR(AC227/AC444, "NA")</f>
        <v>-0.15873979778390221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395.75</v>
      </c>
      <c r="F229" s="8">
        <f>IFERROR(E229/E444, "NA")</f>
        <v>8.190078529556508E-3</v>
      </c>
      <c r="G229" s="9"/>
      <c r="H229" s="10">
        <f t="shared" ref="H229:H236" si="60">IFERROR(-(B229-E229), "NA")</f>
        <v>395.75</v>
      </c>
      <c r="I229" s="8">
        <f>IFERROR(H229/H444, "NA")</f>
        <v>2.5531088575942652E-2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395.75</v>
      </c>
      <c r="U229" s="8">
        <f>IFERROR(T229/T444, "NA")</f>
        <v>8.190078529556508E-3</v>
      </c>
      <c r="V229" s="9"/>
      <c r="W229" s="10">
        <f t="shared" ref="W229:W236" si="62">IFERROR(-(Q229-T229), "NA")</f>
        <v>395.75</v>
      </c>
      <c r="X229" s="8">
        <f>IFERROR(W229/W444, "NA")</f>
        <v>2.5531088575942652E-2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250</v>
      </c>
      <c r="L230" s="8">
        <f>IFERROR(K230/K444, "NA")</f>
        <v>4.8633448724296011E-3</v>
      </c>
      <c r="M230" s="9"/>
      <c r="N230" s="10">
        <f t="shared" si="61"/>
        <v>250</v>
      </c>
      <c r="O230" s="8">
        <f>IFERROR(N230/N444, "NA")</f>
        <v>2.0134628177848356E-2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250</v>
      </c>
      <c r="AA230" s="8">
        <f>IFERROR(Z230/Z444, "NA")</f>
        <v>4.8633448724296011E-3</v>
      </c>
      <c r="AB230" s="9"/>
      <c r="AC230" s="10">
        <f t="shared" si="63"/>
        <v>250</v>
      </c>
      <c r="AD230" s="8">
        <f>IFERROR(AC230/AC444, "NA")</f>
        <v>2.0134628177848356E-2</v>
      </c>
    </row>
    <row r="231" spans="1:30" ht="16.5" customHeight="1" x14ac:dyDescent="0.45">
      <c r="A231" s="6" t="s">
        <v>210</v>
      </c>
      <c r="B231" s="7">
        <v>142.88999999999999</v>
      </c>
      <c r="C231" s="8">
        <f>IFERROR(B231/B444, "NA")</f>
        <v>2.2389052444345835E-3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-142.88999999999999</v>
      </c>
      <c r="I231" s="8">
        <f>IFERROR(H231/H444, "NA")</f>
        <v>-9.2182874203826787E-3</v>
      </c>
      <c r="J231" s="9"/>
      <c r="K231" s="7">
        <v>27.94</v>
      </c>
      <c r="L231" s="8">
        <f>IFERROR(K231/K444, "NA")</f>
        <v>5.4352742294273219E-4</v>
      </c>
      <c r="M231" s="9"/>
      <c r="N231" s="10">
        <f t="shared" si="61"/>
        <v>-114.94999999999999</v>
      </c>
      <c r="O231" s="8">
        <f>IFERROR(N231/N444, "NA")</f>
        <v>-9.2579020361746728E-3</v>
      </c>
      <c r="P231" s="9"/>
      <c r="Q231" s="7">
        <v>142.88999999999999</v>
      </c>
      <c r="R231" s="8">
        <f>IFERROR(Q231/Q444, "NA")</f>
        <v>2.2389052444345835E-3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-142.88999999999999</v>
      </c>
      <c r="X231" s="8">
        <f>IFERROR(W231/W444, "NA")</f>
        <v>-9.2182874203826787E-3</v>
      </c>
      <c r="Y231" s="9"/>
      <c r="Z231" s="7">
        <v>27.94</v>
      </c>
      <c r="AA231" s="8">
        <f>IFERROR(Z231/Z444, "NA")</f>
        <v>5.4352742294273219E-4</v>
      </c>
      <c r="AB231" s="9"/>
      <c r="AC231" s="10">
        <f t="shared" si="63"/>
        <v>-114.94999999999999</v>
      </c>
      <c r="AD231" s="8">
        <f>IFERROR(AC231/AC444, "NA")</f>
        <v>-9.2579020361746728E-3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4.25</v>
      </c>
      <c r="L233" s="8">
        <f>IFERROR(K233/K444, "NA")</f>
        <v>8.2676862831303211E-5</v>
      </c>
      <c r="M233" s="9"/>
      <c r="N233" s="10">
        <f t="shared" si="61"/>
        <v>4.25</v>
      </c>
      <c r="O233" s="8">
        <f>IFERROR(N233/N444, "NA")</f>
        <v>3.4228867902342207E-4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4.25</v>
      </c>
      <c r="AA233" s="8">
        <f>IFERROR(Z233/Z444, "NA")</f>
        <v>8.2676862831303211E-5</v>
      </c>
      <c r="AB233" s="9"/>
      <c r="AC233" s="10">
        <f t="shared" si="63"/>
        <v>4.25</v>
      </c>
      <c r="AD233" s="8">
        <f>IFERROR(AC233/AC444, "NA")</f>
        <v>3.4228867902342207E-4</v>
      </c>
    </row>
    <row r="234" spans="1:30" ht="16.5" customHeight="1" x14ac:dyDescent="0.45">
      <c r="A234" s="6" t="s">
        <v>213</v>
      </c>
      <c r="B234" s="7">
        <v>1248.1199999999999</v>
      </c>
      <c r="C234" s="8">
        <f>IFERROR(B234/B444, "NA")</f>
        <v>1.9556458910236489E-2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-1248.1199999999999</v>
      </c>
      <c r="I234" s="8">
        <f>IFERROR(H234/H444, "NA")</f>
        <v>-8.0520182623892711E-2</v>
      </c>
      <c r="J234" s="9"/>
      <c r="K234" s="7">
        <v>239.63</v>
      </c>
      <c r="L234" s="8">
        <f>IFERROR(K234/K444, "NA")</f>
        <v>4.661613327121221E-3</v>
      </c>
      <c r="M234" s="9"/>
      <c r="N234" s="10">
        <f t="shared" si="61"/>
        <v>-1008.4899999999999</v>
      </c>
      <c r="O234" s="8">
        <f>IFERROR(N234/N444, "NA")</f>
        <v>-8.1222284684313154E-2</v>
      </c>
      <c r="P234" s="9"/>
      <c r="Q234" s="7">
        <v>1248.1199999999999</v>
      </c>
      <c r="R234" s="8">
        <f>IFERROR(Q234/Q444, "NA")</f>
        <v>1.9556458910236489E-2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-1248.1199999999999</v>
      </c>
      <c r="X234" s="8">
        <f>IFERROR(W234/W444, "NA")</f>
        <v>-8.0520182623892711E-2</v>
      </c>
      <c r="Y234" s="9"/>
      <c r="Z234" s="7">
        <v>239.63</v>
      </c>
      <c r="AA234" s="8">
        <f>IFERROR(Z234/Z444, "NA")</f>
        <v>4.661613327121221E-3</v>
      </c>
      <c r="AB234" s="9"/>
      <c r="AC234" s="10">
        <f t="shared" si="63"/>
        <v>-1008.4899999999999</v>
      </c>
      <c r="AD234" s="8">
        <f>IFERROR(AC234/AC444, "NA")</f>
        <v>-8.1222284684313154E-2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1391.0099999999998</v>
      </c>
      <c r="C236" s="15">
        <f>IFERROR(B236/B444, "NA")</f>
        <v>2.1795364154671072E-2</v>
      </c>
      <c r="D236" s="2"/>
      <c r="E236" s="14">
        <f>IFERROR(E229+E230+E231+E232+E233+E234+E235, "NA")</f>
        <v>395.75</v>
      </c>
      <c r="F236" s="15">
        <f>IFERROR(E236/E444, "NA")</f>
        <v>8.190078529556508E-3</v>
      </c>
      <c r="G236" s="2"/>
      <c r="H236" s="14">
        <f t="shared" si="60"/>
        <v>-995.25999999999976</v>
      </c>
      <c r="I236" s="15">
        <f>IFERROR(H236/H444, "NA")</f>
        <v>-6.4207381468332728E-2</v>
      </c>
      <c r="J236" s="2"/>
      <c r="K236" s="14">
        <f>IFERROR(K229+K230+K231+K232+K233+K234+K235, "NA")</f>
        <v>521.81999999999994</v>
      </c>
      <c r="L236" s="15">
        <f>IFERROR(K236/K444, "NA")</f>
        <v>1.0151162485324857E-2</v>
      </c>
      <c r="M236" s="2"/>
      <c r="N236" s="14">
        <f t="shared" si="61"/>
        <v>-869.18999999999983</v>
      </c>
      <c r="O236" s="15">
        <f>IFERROR(N236/N444, "NA")</f>
        <v>-7.0003269863616033E-2</v>
      </c>
      <c r="P236" s="2"/>
      <c r="Q236" s="14">
        <f>IFERROR(Q229+Q230+Q231+Q232+Q233+Q234+Q235, "NA")</f>
        <v>1391.0099999999998</v>
      </c>
      <c r="R236" s="15">
        <f>IFERROR(Q236/Q444, "NA")</f>
        <v>2.1795364154671072E-2</v>
      </c>
      <c r="S236" s="2"/>
      <c r="T236" s="14">
        <f>IFERROR(T229+T230+T231+T232+T233+T234+T235, "NA")</f>
        <v>395.75</v>
      </c>
      <c r="U236" s="15">
        <f>IFERROR(T236/T444, "NA")</f>
        <v>8.190078529556508E-3</v>
      </c>
      <c r="V236" s="2"/>
      <c r="W236" s="14">
        <f t="shared" si="62"/>
        <v>-995.25999999999976</v>
      </c>
      <c r="X236" s="15">
        <f>IFERROR(W236/W444, "NA")</f>
        <v>-6.4207381468332728E-2</v>
      </c>
      <c r="Y236" s="2"/>
      <c r="Z236" s="14">
        <f>IFERROR(Z229+Z230+Z231+Z232+Z233+Z234+Z235, "NA")</f>
        <v>521.81999999999994</v>
      </c>
      <c r="AA236" s="15">
        <f>IFERROR(Z236/Z444, "NA")</f>
        <v>1.0151162485324857E-2</v>
      </c>
      <c r="AB236" s="2"/>
      <c r="AC236" s="14">
        <f t="shared" si="63"/>
        <v>-869.18999999999983</v>
      </c>
      <c r="AD236" s="15">
        <f>IFERROR(AC236/AC444, "NA")</f>
        <v>-7.0003269863616033E-2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2450.4899999999998</v>
      </c>
      <c r="F240" s="8">
        <f>IFERROR(E240/E444, "NA")</f>
        <v>5.0713090425503288E-2</v>
      </c>
      <c r="G240" s="9"/>
      <c r="H240" s="10">
        <f t="shared" ref="H240:H263" si="64">IFERROR(-(B240-E240), "NA")</f>
        <v>2450.4899999999998</v>
      </c>
      <c r="I240" s="8">
        <f>IFERROR(H240/H444, "NA")</f>
        <v>0.15808888754128037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2450.4899999999998</v>
      </c>
      <c r="U240" s="8">
        <f>IFERROR(T240/T444, "NA")</f>
        <v>5.0713090425503288E-2</v>
      </c>
      <c r="V240" s="9"/>
      <c r="W240" s="10">
        <f t="shared" ref="W240:W263" si="66">IFERROR(-(Q240-T240), "NA")</f>
        <v>2450.4899999999998</v>
      </c>
      <c r="X240" s="8">
        <f>IFERROR(W240/W444, "NA")</f>
        <v>0.15808888754128037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78.709999999999994</v>
      </c>
      <c r="C241" s="8">
        <f>IFERROR(B241/B444, "NA")</f>
        <v>1.233285966753769E-3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-78.709999999999994</v>
      </c>
      <c r="I241" s="8">
        <f>IFERROR(H241/H444, "NA")</f>
        <v>-5.0778319186669512E-3</v>
      </c>
      <c r="J241" s="9"/>
      <c r="K241" s="7">
        <v>47.41</v>
      </c>
      <c r="L241" s="8">
        <f>IFERROR(K241/K444, "NA")</f>
        <v>9.2228472160754942E-4</v>
      </c>
      <c r="M241" s="9"/>
      <c r="N241" s="10">
        <f t="shared" si="65"/>
        <v>-31.299999999999997</v>
      </c>
      <c r="O241" s="8">
        <f>IFERROR(N241/N444, "NA")</f>
        <v>-2.5208554478666138E-3</v>
      </c>
      <c r="P241" s="9"/>
      <c r="Q241" s="7">
        <v>78.709999999999994</v>
      </c>
      <c r="R241" s="8">
        <f>IFERROR(Q241/Q444, "NA")</f>
        <v>1.233285966753769E-3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-78.709999999999994</v>
      </c>
      <c r="X241" s="8">
        <f>IFERROR(W241/W444, "NA")</f>
        <v>-5.0778319186669512E-3</v>
      </c>
      <c r="Y241" s="9"/>
      <c r="Z241" s="7">
        <v>47.41</v>
      </c>
      <c r="AA241" s="8">
        <f>IFERROR(Z241/Z444, "NA")</f>
        <v>9.2228472160754942E-4</v>
      </c>
      <c r="AB241" s="9"/>
      <c r="AC241" s="10">
        <f t="shared" si="67"/>
        <v>-31.299999999999997</v>
      </c>
      <c r="AD241" s="8">
        <f>IFERROR(AC241/AC444, "NA")</f>
        <v>-2.5208554478666138E-3</v>
      </c>
    </row>
    <row r="242" spans="1:30" ht="16.5" customHeight="1" x14ac:dyDescent="0.45">
      <c r="A242" s="12" t="s">
        <v>219</v>
      </c>
      <c r="B242" s="7">
        <v>488.91</v>
      </c>
      <c r="C242" s="8">
        <f>IFERROR(B242/B444, "NA")</f>
        <v>7.6606002033488153E-3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-488.91</v>
      </c>
      <c r="I242" s="8">
        <f>IFERROR(H242/H444, "NA")</f>
        <v>-3.1541135857647812E-2</v>
      </c>
      <c r="J242" s="9"/>
      <c r="K242" s="7">
        <v>398.68</v>
      </c>
      <c r="L242" s="8">
        <f>IFERROR(K242/K444, "NA")</f>
        <v>7.7556733349609334E-3</v>
      </c>
      <c r="M242" s="9"/>
      <c r="N242" s="10">
        <f t="shared" si="65"/>
        <v>-90.230000000000018</v>
      </c>
      <c r="O242" s="8">
        <f>IFERROR(N242/N444, "NA")</f>
        <v>-7.2669900019490304E-3</v>
      </c>
      <c r="P242" s="9"/>
      <c r="Q242" s="7">
        <v>488.91</v>
      </c>
      <c r="R242" s="8">
        <f>IFERROR(Q242/Q444, "NA")</f>
        <v>7.6606002033488153E-3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-488.91</v>
      </c>
      <c r="X242" s="8">
        <f>IFERROR(W242/W444, "NA")</f>
        <v>-3.1541135857647812E-2</v>
      </c>
      <c r="Y242" s="9"/>
      <c r="Z242" s="7">
        <v>398.68</v>
      </c>
      <c r="AA242" s="8">
        <f>IFERROR(Z242/Z444, "NA")</f>
        <v>7.7556733349609334E-3</v>
      </c>
      <c r="AB242" s="9"/>
      <c r="AC242" s="10">
        <f t="shared" si="67"/>
        <v>-90.230000000000018</v>
      </c>
      <c r="AD242" s="8">
        <f>IFERROR(AC242/AC444, "NA")</f>
        <v>-7.2669900019490304E-3</v>
      </c>
    </row>
    <row r="243" spans="1:30" ht="16.5" customHeight="1" x14ac:dyDescent="0.45">
      <c r="A243" s="12" t="s">
        <v>220</v>
      </c>
      <c r="B243" s="7">
        <v>2137.88</v>
      </c>
      <c r="C243" s="8">
        <f>IFERROR(B243/B444, "NA")</f>
        <v>3.3497870697542217E-2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-2137.88</v>
      </c>
      <c r="I243" s="8">
        <f>IFERROR(H243/H444, "NA")</f>
        <v>-0.13792142424443785</v>
      </c>
      <c r="J243" s="9"/>
      <c r="K243" s="7">
        <v>321.93</v>
      </c>
      <c r="L243" s="8">
        <f>IFERROR(K243/K444, "NA")</f>
        <v>6.2626264591250456E-3</v>
      </c>
      <c r="M243" s="9"/>
      <c r="N243" s="10">
        <f t="shared" si="65"/>
        <v>-1815.95</v>
      </c>
      <c r="O243" s="8">
        <f>IFERROR(N243/N444, "NA")</f>
        <v>-0.1462539121582549</v>
      </c>
      <c r="P243" s="9"/>
      <c r="Q243" s="7">
        <v>2137.88</v>
      </c>
      <c r="R243" s="8">
        <f>IFERROR(Q243/Q444, "NA")</f>
        <v>3.3497870697542217E-2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-2137.88</v>
      </c>
      <c r="X243" s="8">
        <f>IFERROR(W243/W444, "NA")</f>
        <v>-0.13792142424443785</v>
      </c>
      <c r="Y243" s="9"/>
      <c r="Z243" s="7">
        <v>321.93</v>
      </c>
      <c r="AA243" s="8">
        <f>IFERROR(Z243/Z444, "NA")</f>
        <v>6.2626264591250456E-3</v>
      </c>
      <c r="AB243" s="9"/>
      <c r="AC243" s="10">
        <f t="shared" si="67"/>
        <v>-1815.95</v>
      </c>
      <c r="AD243" s="8">
        <f>IFERROR(AC243/AC444, "NA")</f>
        <v>-0.1462539121582549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111.2</v>
      </c>
      <c r="C246" s="8">
        <f>IFERROR(B246/B444, "NA")</f>
        <v>1.7423630987551662E-3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-111.2</v>
      </c>
      <c r="I246" s="8">
        <f>IFERROR(H246/H444, "NA")</f>
        <v>-7.1738649390898877E-3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-111.2</v>
      </c>
      <c r="O246" s="8">
        <f>IFERROR(N246/N444, "NA")</f>
        <v>-8.9558826135069484E-3</v>
      </c>
      <c r="P246" s="9"/>
      <c r="Q246" s="7">
        <v>111.2</v>
      </c>
      <c r="R246" s="8">
        <f>IFERROR(Q246/Q444, "NA")</f>
        <v>1.7423630987551662E-3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-111.2</v>
      </c>
      <c r="X246" s="8">
        <f>IFERROR(W246/W444, "NA")</f>
        <v>-7.1738649390898877E-3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-111.2</v>
      </c>
      <c r="AD246" s="8">
        <f>IFERROR(AC246/AC444, "NA")</f>
        <v>-8.9558826135069484E-3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34.340000000000003</v>
      </c>
      <c r="L247" s="8">
        <f>IFERROR(K247/K444, "NA")</f>
        <v>6.6802905167693009E-4</v>
      </c>
      <c r="M247" s="9"/>
      <c r="N247" s="10">
        <f t="shared" si="65"/>
        <v>34.340000000000003</v>
      </c>
      <c r="O247" s="8">
        <f>IFERROR(N247/N444, "NA")</f>
        <v>2.7656925265092504E-3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34.340000000000003</v>
      </c>
      <c r="AA247" s="8">
        <f>IFERROR(Z247/Z444, "NA")</f>
        <v>6.6802905167693009E-4</v>
      </c>
      <c r="AB247" s="9"/>
      <c r="AC247" s="10">
        <f t="shared" si="67"/>
        <v>34.340000000000003</v>
      </c>
      <c r="AD247" s="8">
        <f>IFERROR(AC247/AC444, "NA")</f>
        <v>2.7656925265092504E-3</v>
      </c>
    </row>
    <row r="248" spans="1:30" ht="16.5" customHeight="1" x14ac:dyDescent="0.45">
      <c r="A248" s="12" t="s">
        <v>225</v>
      </c>
      <c r="B248" s="7">
        <v>186.26</v>
      </c>
      <c r="C248" s="8">
        <f>IFERROR(B248/B444, "NA")</f>
        <v>2.9184581904149031E-3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-186.26</v>
      </c>
      <c r="I248" s="8">
        <f>IFERROR(H248/H444, "NA")</f>
        <v>-1.201622377297556E-2</v>
      </c>
      <c r="J248" s="9"/>
      <c r="K248" s="7">
        <v>0</v>
      </c>
      <c r="L248" s="8">
        <f>IFERROR(K248/K444, "NA")</f>
        <v>0</v>
      </c>
      <c r="M248" s="9"/>
      <c r="N248" s="10">
        <f t="shared" si="65"/>
        <v>-186.26</v>
      </c>
      <c r="O248" s="8">
        <f>IFERROR(N248/N444, "NA")</f>
        <v>-1.5001103377624139E-2</v>
      </c>
      <c r="P248" s="9"/>
      <c r="Q248" s="7">
        <v>186.26</v>
      </c>
      <c r="R248" s="8">
        <f>IFERROR(Q248/Q444, "NA")</f>
        <v>2.9184581904149031E-3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-186.26</v>
      </c>
      <c r="X248" s="8">
        <f>IFERROR(W248/W444, "NA")</f>
        <v>-1.201622377297556E-2</v>
      </c>
      <c r="Y248" s="9"/>
      <c r="Z248" s="7">
        <v>0</v>
      </c>
      <c r="AA248" s="8">
        <f>IFERROR(Z248/Z444, "NA")</f>
        <v>0</v>
      </c>
      <c r="AB248" s="9"/>
      <c r="AC248" s="10">
        <f t="shared" si="67"/>
        <v>-186.26</v>
      </c>
      <c r="AD248" s="8">
        <f>IFERROR(AC248/AC444, "NA")</f>
        <v>-1.5001103377624139E-2</v>
      </c>
    </row>
    <row r="249" spans="1:30" ht="16.5" customHeight="1" x14ac:dyDescent="0.45">
      <c r="A249" s="12" t="s">
        <v>226</v>
      </c>
      <c r="B249" s="7">
        <v>1297.0899999999999</v>
      </c>
      <c r="C249" s="8">
        <f>IFERROR(B249/B444, "NA")</f>
        <v>2.0323756760470667E-2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-1297.0899999999999</v>
      </c>
      <c r="I249" s="8">
        <f>IFERROR(H249/H444, "NA")</f>
        <v>-8.3679392750396597E-2</v>
      </c>
      <c r="J249" s="9"/>
      <c r="K249" s="7">
        <v>1341.77</v>
      </c>
      <c r="L249" s="8">
        <f>IFERROR(K249/K444, "NA")</f>
        <v>2.6101960997919463E-2</v>
      </c>
      <c r="M249" s="9"/>
      <c r="N249" s="10">
        <f t="shared" si="65"/>
        <v>44.680000000000064</v>
      </c>
      <c r="O249" s="8">
        <f>IFERROR(N249/N444, "NA")</f>
        <v>3.5984607479450635E-3</v>
      </c>
      <c r="P249" s="9"/>
      <c r="Q249" s="7">
        <v>1297.0899999999999</v>
      </c>
      <c r="R249" s="8">
        <f>IFERROR(Q249/Q444, "NA")</f>
        <v>2.0323756760470667E-2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-1297.0899999999999</v>
      </c>
      <c r="X249" s="8">
        <f>IFERROR(W249/W444, "NA")</f>
        <v>-8.3679392750396597E-2</v>
      </c>
      <c r="Y249" s="9"/>
      <c r="Z249" s="7">
        <v>1341.77</v>
      </c>
      <c r="AA249" s="8">
        <f>IFERROR(Z249/Z444, "NA")</f>
        <v>2.6101960997919463E-2</v>
      </c>
      <c r="AB249" s="9"/>
      <c r="AC249" s="10">
        <f t="shared" si="67"/>
        <v>44.680000000000064</v>
      </c>
      <c r="AD249" s="8">
        <f>IFERROR(AC249/AC444, "NA")</f>
        <v>3.5984607479450635E-3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239.01</v>
      </c>
      <c r="L253" s="8">
        <f>IFERROR(K253/K444, "NA")</f>
        <v>4.6495522318375955E-3</v>
      </c>
      <c r="M253" s="9"/>
      <c r="N253" s="10">
        <f t="shared" si="65"/>
        <v>239.01</v>
      </c>
      <c r="O253" s="8">
        <f>IFERROR(N253/N444, "NA")</f>
        <v>1.9249509923150141E-2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239.01</v>
      </c>
      <c r="AA253" s="8">
        <f>IFERROR(Z253/Z444, "NA")</f>
        <v>4.6495522318375955E-3</v>
      </c>
      <c r="AB253" s="9"/>
      <c r="AC253" s="10">
        <f t="shared" si="67"/>
        <v>239.01</v>
      </c>
      <c r="AD253" s="8">
        <f>IFERROR(AC253/AC444, "NA")</f>
        <v>1.9249509923150141E-2</v>
      </c>
    </row>
    <row r="254" spans="1:30" ht="16.5" customHeight="1" x14ac:dyDescent="0.45">
      <c r="A254" s="12" t="s">
        <v>231</v>
      </c>
      <c r="B254" s="7">
        <v>80.05</v>
      </c>
      <c r="C254" s="8">
        <f>IFERROR(B254/B444, "NA")</f>
        <v>1.2542820688430849E-3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-80.05</v>
      </c>
      <c r="I254" s="8">
        <f>IFERROR(H254/H444, "NA")</f>
        <v>-5.1642795717099415E-3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-80.05</v>
      </c>
      <c r="O254" s="8">
        <f>IFERROR(N254/N444, "NA")</f>
        <v>-6.4471079425470436E-3</v>
      </c>
      <c r="P254" s="9"/>
      <c r="Q254" s="7">
        <v>80.05</v>
      </c>
      <c r="R254" s="8">
        <f>IFERROR(Q254/Q444, "NA")</f>
        <v>1.2542820688430849E-3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-80.05</v>
      </c>
      <c r="X254" s="8">
        <f>IFERROR(W254/W444, "NA")</f>
        <v>-5.1642795717099415E-3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-80.05</v>
      </c>
      <c r="AD254" s="8">
        <f>IFERROR(AC254/AC444, "NA")</f>
        <v>-6.4471079425470436E-3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4380.1000000000004</v>
      </c>
      <c r="C262" s="15">
        <f>IFERROR(B262/B444, "NA")</f>
        <v>6.8630616986128629E-2</v>
      </c>
      <c r="D262" s="2"/>
      <c r="E262" s="14">
        <f>IFERROR(E240+E241+E242+E243+E244+E245+E246+E247+E248+E249+E250+E251+E252+E253+E254+E255+E256+E257+E258+E259+E260+E261, "NA")</f>
        <v>2450.4899999999998</v>
      </c>
      <c r="F262" s="15">
        <f>IFERROR(E262/E444, "NA")</f>
        <v>5.0713090425503288E-2</v>
      </c>
      <c r="G262" s="2"/>
      <c r="H262" s="14">
        <f t="shared" si="64"/>
        <v>-1929.6100000000006</v>
      </c>
      <c r="I262" s="15">
        <f>IFERROR(H262/H444, "NA")</f>
        <v>-0.12448526551364426</v>
      </c>
      <c r="J262" s="2"/>
      <c r="K262" s="14">
        <f>IFERROR(K240+K241+K242+K243+K244+K245+K246+K247+K248+K249+K250+K251+K252+K253+K254+K255+K256+K257+K258+K259+K260+K261, "NA")</f>
        <v>2383.1400000000003</v>
      </c>
      <c r="L262" s="15">
        <f>IFERROR(K262/K444, "NA")</f>
        <v>4.6360126797127525E-2</v>
      </c>
      <c r="M262" s="2"/>
      <c r="N262" s="14">
        <f t="shared" si="65"/>
        <v>-1996.96</v>
      </c>
      <c r="O262" s="15">
        <f>IFERROR(N262/N444, "NA")</f>
        <v>-0.16083218834414423</v>
      </c>
      <c r="P262" s="2"/>
      <c r="Q262" s="14">
        <f>IFERROR(Q240+Q241+Q242+Q243+Q244+Q245+Q246+Q247+Q248+Q249+Q250+Q251+Q252+Q253+Q254+Q255+Q256+Q257+Q258+Q259+Q260+Q261, "NA")</f>
        <v>4380.1000000000004</v>
      </c>
      <c r="R262" s="15">
        <f>IFERROR(Q262/Q444, "NA")</f>
        <v>6.8630616986128629E-2</v>
      </c>
      <c r="S262" s="2"/>
      <c r="T262" s="14">
        <f>IFERROR(T240+T241+T242+T243+T244+T245+T246+T247+T248+T249+T250+T251+T252+T253+T254+T255+T256+T257+T258+T259+T260+T261, "NA")</f>
        <v>2450.4899999999998</v>
      </c>
      <c r="U262" s="15">
        <f>IFERROR(T262/T444, "NA")</f>
        <v>5.0713090425503288E-2</v>
      </c>
      <c r="V262" s="2"/>
      <c r="W262" s="14">
        <f t="shared" si="66"/>
        <v>-1929.6100000000006</v>
      </c>
      <c r="X262" s="15">
        <f>IFERROR(W262/W444, "NA")</f>
        <v>-0.12448526551364426</v>
      </c>
      <c r="Y262" s="2"/>
      <c r="Z262" s="14">
        <f>IFERROR(Z240+Z241+Z242+Z243+Z244+Z245+Z246+Z247+Z248+Z249+Z250+Z251+Z252+Z253+Z254+Z255+Z256+Z257+Z258+Z259+Z260+Z261, "NA")</f>
        <v>2383.1400000000003</v>
      </c>
      <c r="AA262" s="15">
        <f>IFERROR(Z262/Z444, "NA")</f>
        <v>4.6360126797127525E-2</v>
      </c>
      <c r="AB262" s="2"/>
      <c r="AC262" s="14">
        <f t="shared" si="67"/>
        <v>-1996.96</v>
      </c>
      <c r="AD262" s="15">
        <f>IFERROR(AC262/AC444, "NA")</f>
        <v>-0.16083218834414423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4380.1000000000004</v>
      </c>
      <c r="C263" s="15">
        <f>IFERROR(B263/B444, "NA")</f>
        <v>6.8630616986128629E-2</v>
      </c>
      <c r="D263" s="2"/>
      <c r="E263" s="14">
        <f>IFERROR(E238+E240+E241+E242+E243+E244+E245+E246+E247+E248+E249+E250+E251+E252+E253+E254+E255+E256+E257+E258+E259+E260+E261, "NA")</f>
        <v>2450.4899999999998</v>
      </c>
      <c r="F263" s="15">
        <f>IFERROR(E263/E444, "NA")</f>
        <v>5.0713090425503288E-2</v>
      </c>
      <c r="G263" s="2"/>
      <c r="H263" s="14">
        <f t="shared" si="64"/>
        <v>-1929.6100000000006</v>
      </c>
      <c r="I263" s="15">
        <f>IFERROR(H263/H444, "NA")</f>
        <v>-0.12448526551364426</v>
      </c>
      <c r="J263" s="2"/>
      <c r="K263" s="14">
        <f>IFERROR(K238+K240+K241+K242+K243+K244+K245+K246+K247+K248+K249+K250+K251+K252+K253+K254+K255+K256+K257+K258+K259+K260+K261, "NA")</f>
        <v>2383.1400000000003</v>
      </c>
      <c r="L263" s="15">
        <f>IFERROR(K263/K444, "NA")</f>
        <v>4.6360126797127525E-2</v>
      </c>
      <c r="M263" s="2"/>
      <c r="N263" s="14">
        <f t="shared" si="65"/>
        <v>-1996.96</v>
      </c>
      <c r="O263" s="15">
        <f>IFERROR(N263/N444, "NA")</f>
        <v>-0.16083218834414423</v>
      </c>
      <c r="P263" s="2"/>
      <c r="Q263" s="14">
        <f>IFERROR(Q238+Q240+Q241+Q242+Q243+Q244+Q245+Q246+Q247+Q248+Q249+Q250+Q251+Q252+Q253+Q254+Q255+Q256+Q257+Q258+Q259+Q260+Q261, "NA")</f>
        <v>4380.1000000000004</v>
      </c>
      <c r="R263" s="15">
        <f>IFERROR(Q263/Q444, "NA")</f>
        <v>6.8630616986128629E-2</v>
      </c>
      <c r="S263" s="2"/>
      <c r="T263" s="14">
        <f>IFERROR(T238+T240+T241+T242+T243+T244+T245+T246+T247+T248+T249+T250+T251+T252+T253+T254+T255+T256+T257+T258+T259+T260+T261, "NA")</f>
        <v>2450.4899999999998</v>
      </c>
      <c r="U263" s="15">
        <f>IFERROR(T263/T444, "NA")</f>
        <v>5.0713090425503288E-2</v>
      </c>
      <c r="V263" s="2"/>
      <c r="W263" s="14">
        <f t="shared" si="66"/>
        <v>-1929.6100000000006</v>
      </c>
      <c r="X263" s="15">
        <f>IFERROR(W263/W444, "NA")</f>
        <v>-0.12448526551364426</v>
      </c>
      <c r="Y263" s="2"/>
      <c r="Z263" s="14">
        <f>IFERROR(Z238+Z240+Z241+Z242+Z243+Z244+Z245+Z246+Z247+Z248+Z249+Z250+Z251+Z252+Z253+Z254+Z255+Z256+Z257+Z258+Z259+Z260+Z261, "NA")</f>
        <v>2383.1400000000003</v>
      </c>
      <c r="AA263" s="15">
        <f>IFERROR(Z263/Z444, "NA")</f>
        <v>4.6360126797127525E-2</v>
      </c>
      <c r="AB263" s="2"/>
      <c r="AC263" s="14">
        <f t="shared" si="67"/>
        <v>-1996.96</v>
      </c>
      <c r="AD263" s="15">
        <f>IFERROR(AC263/AC444, "NA")</f>
        <v>-0.16083218834414423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1674.14</v>
      </c>
      <c r="C265" s="8">
        <f>IFERROR(B265/B444, "NA")</f>
        <v>2.6231652501348686E-2</v>
      </c>
      <c r="D265" s="9"/>
      <c r="E265" s="7">
        <v>1401.3</v>
      </c>
      <c r="F265" s="8">
        <f>IFERROR(E265/E444, "NA")</f>
        <v>2.9000017797770145E-2</v>
      </c>
      <c r="G265" s="9"/>
      <c r="H265" s="10">
        <f>IFERROR(-(B265-E265), "NA")</f>
        <v>-272.84000000000015</v>
      </c>
      <c r="I265" s="8">
        <f>IFERROR(H265/H444, "NA")</f>
        <v>-1.7601774370335305E-2</v>
      </c>
      <c r="J265" s="9"/>
      <c r="K265" s="7">
        <v>1193.97</v>
      </c>
      <c r="L265" s="8">
        <f>IFERROR(K265/K444, "NA")</f>
        <v>2.3226751509339082E-2</v>
      </c>
      <c r="M265" s="9"/>
      <c r="N265" s="10">
        <f>IFERROR(-(B265-K265), "NA")</f>
        <v>-480.17000000000007</v>
      </c>
      <c r="O265" s="8">
        <f>IFERROR(N265/N444, "NA")</f>
        <v>-3.8672177648629784E-2</v>
      </c>
      <c r="P265" s="9"/>
      <c r="Q265" s="7">
        <v>1674.14</v>
      </c>
      <c r="R265" s="8">
        <f>IFERROR(Q265/Q444, "NA")</f>
        <v>2.6231652501348686E-2</v>
      </c>
      <c r="S265" s="9"/>
      <c r="T265" s="7">
        <v>1401.3</v>
      </c>
      <c r="U265" s="8">
        <f>IFERROR(T265/T444, "NA")</f>
        <v>2.9000017797770145E-2</v>
      </c>
      <c r="V265" s="9"/>
      <c r="W265" s="10">
        <f>IFERROR(-(Q265-T265), "NA")</f>
        <v>-272.84000000000015</v>
      </c>
      <c r="X265" s="8">
        <f>IFERROR(W265/W444, "NA")</f>
        <v>-1.7601774370335305E-2</v>
      </c>
      <c r="Y265" s="9"/>
      <c r="Z265" s="7">
        <v>1193.97</v>
      </c>
      <c r="AA265" s="8">
        <f>IFERROR(Z265/Z444, "NA")</f>
        <v>2.3226751509339082E-2</v>
      </c>
      <c r="AB265" s="9"/>
      <c r="AC265" s="10">
        <f>IFERROR(-(Q265-Z265), "NA")</f>
        <v>-480.17000000000007</v>
      </c>
      <c r="AD265" s="8">
        <f>IFERROR(AC265/AC444, "NA")</f>
        <v>-3.8672177648629784E-2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42.57</v>
      </c>
      <c r="L266" s="8">
        <f>IFERROR(K266/K444, "NA")</f>
        <v>8.2813036487731245E-4</v>
      </c>
      <c r="M266" s="9"/>
      <c r="N266" s="10">
        <f>IFERROR(-(B266-K266), "NA")</f>
        <v>42.57</v>
      </c>
      <c r="O266" s="8">
        <f>IFERROR(N266/N444, "NA")</f>
        <v>3.4285244861240183E-3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42.57</v>
      </c>
      <c r="AA266" s="8">
        <f>IFERROR(Z266/Z444, "NA")</f>
        <v>8.2813036487731245E-4</v>
      </c>
      <c r="AB266" s="9"/>
      <c r="AC266" s="10">
        <f>IFERROR(-(Q266-Z266), "NA")</f>
        <v>42.57</v>
      </c>
      <c r="AD266" s="8">
        <f>IFERROR(AC266/AC444, "NA")</f>
        <v>3.4285244861240183E-3</v>
      </c>
    </row>
    <row r="267" spans="1:30" ht="16.5" customHeight="1" x14ac:dyDescent="0.45">
      <c r="A267" s="19" t="s">
        <v>243</v>
      </c>
      <c r="B267" s="14">
        <f>IFERROR(B265+B266, "NA")</f>
        <v>1674.14</v>
      </c>
      <c r="C267" s="15">
        <f>IFERROR(B267/B444, "NA")</f>
        <v>2.6231652501348686E-2</v>
      </c>
      <c r="D267" s="2"/>
      <c r="E267" s="14">
        <f>IFERROR(E265+E266, "NA")</f>
        <v>1401.3</v>
      </c>
      <c r="F267" s="15">
        <f>IFERROR(E267/E444, "NA")</f>
        <v>2.9000017797770145E-2</v>
      </c>
      <c r="G267" s="2"/>
      <c r="H267" s="14">
        <f>IFERROR(-(B267-E267), "NA")</f>
        <v>-272.84000000000015</v>
      </c>
      <c r="I267" s="15">
        <f>IFERROR(H267/H444, "NA")</f>
        <v>-1.7601774370335305E-2</v>
      </c>
      <c r="J267" s="2"/>
      <c r="K267" s="14">
        <f>IFERROR(K265+K266, "NA")</f>
        <v>1236.54</v>
      </c>
      <c r="L267" s="15">
        <f>IFERROR(K267/K444, "NA")</f>
        <v>2.4054881874216394E-2</v>
      </c>
      <c r="M267" s="2"/>
      <c r="N267" s="14">
        <f>IFERROR(-(B267-K267), "NA")</f>
        <v>-437.60000000000014</v>
      </c>
      <c r="O267" s="15">
        <f>IFERROR(N267/N444, "NA")</f>
        <v>-3.5243653162505773E-2</v>
      </c>
      <c r="P267" s="2"/>
      <c r="Q267" s="14">
        <f>IFERROR(Q265+Q266, "NA")</f>
        <v>1674.14</v>
      </c>
      <c r="R267" s="15">
        <f>IFERROR(Q267/Q444, "NA")</f>
        <v>2.6231652501348686E-2</v>
      </c>
      <c r="S267" s="2"/>
      <c r="T267" s="14">
        <f>IFERROR(T265+T266, "NA")</f>
        <v>1401.3</v>
      </c>
      <c r="U267" s="15">
        <f>IFERROR(T267/T444, "NA")</f>
        <v>2.9000017797770145E-2</v>
      </c>
      <c r="V267" s="2"/>
      <c r="W267" s="14">
        <f>IFERROR(-(Q267-T267), "NA")</f>
        <v>-272.84000000000015</v>
      </c>
      <c r="X267" s="15">
        <f>IFERROR(W267/W444, "NA")</f>
        <v>-1.7601774370335305E-2</v>
      </c>
      <c r="Y267" s="2"/>
      <c r="Z267" s="14">
        <f>IFERROR(Z265+Z266, "NA")</f>
        <v>1236.54</v>
      </c>
      <c r="AA267" s="15">
        <f>IFERROR(Z267/Z444, "NA")</f>
        <v>2.4054881874216394E-2</v>
      </c>
      <c r="AB267" s="2"/>
      <c r="AC267" s="14">
        <f>IFERROR(-(Q267-Z267), "NA")</f>
        <v>-437.60000000000014</v>
      </c>
      <c r="AD267" s="15">
        <f>IFERROR(AC267/AC444, "NA")</f>
        <v>-3.5243653162505773E-2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3.4231480772036072E-3</v>
      </c>
      <c r="D270" s="9"/>
      <c r="E270" s="7">
        <v>131.69999999999999</v>
      </c>
      <c r="F270" s="8">
        <f>IFERROR(E270/E444, "NA")</f>
        <v>2.7255422421796388E-3</v>
      </c>
      <c r="G270" s="9"/>
      <c r="H270" s="10">
        <f>IFERROR(-(B270-E270), "NA")</f>
        <v>-86.77000000000001</v>
      </c>
      <c r="I270" s="8">
        <f>IFERROR(H270/H444, "NA")</f>
        <v>-5.5978081004031434E-3</v>
      </c>
      <c r="J270" s="9"/>
      <c r="K270" s="7">
        <v>182.93</v>
      </c>
      <c r="L270" s="8">
        <f>IFERROR(K270/K444, "NA")</f>
        <v>3.5586067100541879E-3</v>
      </c>
      <c r="M270" s="9"/>
      <c r="N270" s="10">
        <f>IFERROR(-(B270-K270), "NA")</f>
        <v>-35.539999999999992</v>
      </c>
      <c r="O270" s="8">
        <f>IFERROR(N270/N444, "NA")</f>
        <v>-2.8623387417629218E-3</v>
      </c>
      <c r="P270" s="9"/>
      <c r="Q270" s="7">
        <v>218.47</v>
      </c>
      <c r="R270" s="8">
        <f>IFERROR(Q270/Q444, "NA")</f>
        <v>3.4231480772036072E-3</v>
      </c>
      <c r="S270" s="9"/>
      <c r="T270" s="7">
        <v>131.69999999999999</v>
      </c>
      <c r="U270" s="8">
        <f>IFERROR(T270/T444, "NA")</f>
        <v>2.7255422421796388E-3</v>
      </c>
      <c r="V270" s="9"/>
      <c r="W270" s="10">
        <f>IFERROR(-(Q270-T270), "NA")</f>
        <v>-86.77000000000001</v>
      </c>
      <c r="X270" s="8">
        <f>IFERROR(W270/W444, "NA")</f>
        <v>-5.5978081004031434E-3</v>
      </c>
      <c r="Y270" s="9"/>
      <c r="Z270" s="7">
        <v>182.93</v>
      </c>
      <c r="AA270" s="8">
        <f>IFERROR(Z270/Z444, "NA")</f>
        <v>3.5586067100541879E-3</v>
      </c>
      <c r="AB270" s="9"/>
      <c r="AC270" s="10">
        <f>IFERROR(-(Q270-Z270), "NA")</f>
        <v>-35.539999999999992</v>
      </c>
      <c r="AD270" s="8">
        <f>IFERROR(AC270/AC444, "NA")</f>
        <v>-2.8623387417629218E-3</v>
      </c>
    </row>
    <row r="271" spans="1:30" ht="16.5" customHeight="1" x14ac:dyDescent="0.45">
      <c r="A271" s="6" t="s">
        <v>246</v>
      </c>
      <c r="B271" s="7">
        <v>1218.2</v>
      </c>
      <c r="C271" s="8">
        <f>IFERROR(B271/B444, "NA")</f>
        <v>1.9087650421794455E-2</v>
      </c>
      <c r="D271" s="9"/>
      <c r="E271" s="7">
        <v>579.85</v>
      </c>
      <c r="F271" s="8">
        <f>IFERROR(E271/E444, "NA")</f>
        <v>1.2000043045769656E-2</v>
      </c>
      <c r="G271" s="9"/>
      <c r="H271" s="10">
        <f>IFERROR(-(B271-E271), "NA")</f>
        <v>-638.35</v>
      </c>
      <c r="I271" s="8">
        <f>IFERROR(H271/H444, "NA")</f>
        <v>-4.118198456715854E-2</v>
      </c>
      <c r="J271" s="9"/>
      <c r="K271" s="7">
        <v>1086.1400000000001</v>
      </c>
      <c r="L271" s="8">
        <f>IFERROR(K271/K444, "NA")</f>
        <v>2.1129093598962749E-2</v>
      </c>
      <c r="M271" s="9"/>
      <c r="N271" s="10">
        <f>IFERROR(-(B271-K271), "NA")</f>
        <v>-132.05999999999995</v>
      </c>
      <c r="O271" s="8">
        <f>IFERROR(N271/N444, "NA")</f>
        <v>-1.0635915988666611E-2</v>
      </c>
      <c r="P271" s="9"/>
      <c r="Q271" s="7">
        <v>1218.2</v>
      </c>
      <c r="R271" s="8">
        <f>IFERROR(Q271/Q444, "NA")</f>
        <v>1.9087650421794455E-2</v>
      </c>
      <c r="S271" s="9"/>
      <c r="T271" s="7">
        <v>579.85</v>
      </c>
      <c r="U271" s="8">
        <f>IFERROR(T271/T444, "NA")</f>
        <v>1.2000043045769656E-2</v>
      </c>
      <c r="V271" s="9"/>
      <c r="W271" s="10">
        <f>IFERROR(-(Q271-T271), "NA")</f>
        <v>-638.35</v>
      </c>
      <c r="X271" s="8">
        <f>IFERROR(W271/W444, "NA")</f>
        <v>-4.118198456715854E-2</v>
      </c>
      <c r="Y271" s="9"/>
      <c r="Z271" s="7">
        <v>1086.1400000000001</v>
      </c>
      <c r="AA271" s="8">
        <f>IFERROR(Z271/Z444, "NA")</f>
        <v>2.1129093598962749E-2</v>
      </c>
      <c r="AB271" s="9"/>
      <c r="AC271" s="10">
        <f>IFERROR(-(Q271-Z271), "NA")</f>
        <v>-132.05999999999995</v>
      </c>
      <c r="AD271" s="8">
        <f>IFERROR(AC271/AC444, "NA")</f>
        <v>-1.0635915988666611E-2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1436.67</v>
      </c>
      <c r="C273" s="15">
        <f>IFERROR(B273/B444, "NA")</f>
        <v>2.2510798498998064E-2</v>
      </c>
      <c r="D273" s="2"/>
      <c r="E273" s="14">
        <f>IFERROR(E269+E270+E271+E272, "NA")</f>
        <v>711.55</v>
      </c>
      <c r="F273" s="15">
        <f>IFERROR(E273/E444, "NA")</f>
        <v>1.4725585287949294E-2</v>
      </c>
      <c r="G273" s="2"/>
      <c r="H273" s="14">
        <f>IFERROR(-(B273-E273), "NA")</f>
        <v>-725.12000000000012</v>
      </c>
      <c r="I273" s="15">
        <f>IFERROR(H273/H444, "NA")</f>
        <v>-4.6779792667561687E-2</v>
      </c>
      <c r="J273" s="2"/>
      <c r="K273" s="14">
        <f>IFERROR(K269+K270+K271+K272, "NA")</f>
        <v>1269.0700000000002</v>
      </c>
      <c r="L273" s="15">
        <f>IFERROR(K273/K444, "NA")</f>
        <v>2.4687700309016937E-2</v>
      </c>
      <c r="M273" s="2"/>
      <c r="N273" s="14">
        <f>IFERROR(-(B273-K273), "NA")</f>
        <v>-167.59999999999991</v>
      </c>
      <c r="O273" s="15">
        <f>IFERROR(N273/N444, "NA")</f>
        <v>-1.3498254730429531E-2</v>
      </c>
      <c r="P273" s="2"/>
      <c r="Q273" s="14">
        <f>IFERROR(Q269+Q270+Q271+Q272, "NA")</f>
        <v>1436.67</v>
      </c>
      <c r="R273" s="15">
        <f>IFERROR(Q273/Q444, "NA")</f>
        <v>2.2510798498998064E-2</v>
      </c>
      <c r="S273" s="2"/>
      <c r="T273" s="14">
        <f>IFERROR(T269+T270+T271+T272, "NA")</f>
        <v>711.55</v>
      </c>
      <c r="U273" s="15">
        <f>IFERROR(T273/T444, "NA")</f>
        <v>1.4725585287949294E-2</v>
      </c>
      <c r="V273" s="2"/>
      <c r="W273" s="14">
        <f>IFERROR(-(Q273-T273), "NA")</f>
        <v>-725.12000000000012</v>
      </c>
      <c r="X273" s="15">
        <f>IFERROR(W273/W444, "NA")</f>
        <v>-4.6779792667561687E-2</v>
      </c>
      <c r="Y273" s="2"/>
      <c r="Z273" s="14">
        <f>IFERROR(Z269+Z270+Z271+Z272, "NA")</f>
        <v>1269.0700000000002</v>
      </c>
      <c r="AA273" s="15">
        <f>IFERROR(Z273/Z444, "NA")</f>
        <v>2.4687700309016937E-2</v>
      </c>
      <c r="AB273" s="2"/>
      <c r="AC273" s="14">
        <f>IFERROR(-(Q273-Z273), "NA")</f>
        <v>-167.59999999999991</v>
      </c>
      <c r="AD273" s="15">
        <f>IFERROR(AC273/AC444, "NA")</f>
        <v>-1.3498254730429531E-2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1.5206975343838591E-2</v>
      </c>
      <c r="D287" s="9"/>
      <c r="E287" s="7">
        <v>1350</v>
      </c>
      <c r="F287" s="8">
        <f>IFERROR(E287/E444, "NA")</f>
        <v>2.7938360113458714E-2</v>
      </c>
      <c r="G287" s="9"/>
      <c r="H287" s="10">
        <f t="shared" si="72"/>
        <v>379.47</v>
      </c>
      <c r="I287" s="8">
        <f>IFERROR(H287/H444, "NA")</f>
        <v>2.4480814104644241E-2</v>
      </c>
      <c r="J287" s="9"/>
      <c r="K287" s="7">
        <v>970.53</v>
      </c>
      <c r="L287" s="8">
        <f>IFERROR(K287/K444, "NA")</f>
        <v>1.8880088396156403E-2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970.53</v>
      </c>
      <c r="R287" s="8">
        <f>IFERROR(Q287/Q444, "NA")</f>
        <v>1.5206975343838591E-2</v>
      </c>
      <c r="S287" s="9"/>
      <c r="T287" s="7">
        <v>1350</v>
      </c>
      <c r="U287" s="8">
        <f>IFERROR(T287/T444, "NA")</f>
        <v>2.7938360113458714E-2</v>
      </c>
      <c r="V287" s="9"/>
      <c r="W287" s="10">
        <f t="shared" si="74"/>
        <v>379.47</v>
      </c>
      <c r="X287" s="8">
        <f>IFERROR(W287/W444, "NA")</f>
        <v>2.4480814104644241E-2</v>
      </c>
      <c r="Y287" s="9"/>
      <c r="Z287" s="7">
        <v>970.53</v>
      </c>
      <c r="AA287" s="8">
        <f>IFERROR(Z287/Z444, "NA")</f>
        <v>1.8880088396156403E-2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371.95</v>
      </c>
      <c r="C288" s="8">
        <f>IFERROR(B288/B444, "NA")</f>
        <v>5.8279852030753958E-3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-371.95</v>
      </c>
      <c r="I288" s="8">
        <f>IFERROR(H288/H444, "NA")</f>
        <v>-2.3995675036820895E-2</v>
      </c>
      <c r="J288" s="9"/>
      <c r="K288" s="7">
        <v>100.13</v>
      </c>
      <c r="L288" s="8">
        <f>IFERROR(K288/K444, "NA")</f>
        <v>1.9478668883055037E-3</v>
      </c>
      <c r="M288" s="9"/>
      <c r="N288" s="10">
        <f t="shared" si="73"/>
        <v>-271.82</v>
      </c>
      <c r="O288" s="8">
        <f>IFERROR(N288/N444, "NA")</f>
        <v>-2.1891978525210961E-2</v>
      </c>
      <c r="P288" s="9"/>
      <c r="Q288" s="7">
        <v>371.95</v>
      </c>
      <c r="R288" s="8">
        <f>IFERROR(Q288/Q444, "NA")</f>
        <v>5.8279852030753958E-3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-371.95</v>
      </c>
      <c r="X288" s="8">
        <f>IFERROR(W288/W444, "NA")</f>
        <v>-2.3995675036820895E-2</v>
      </c>
      <c r="Y288" s="9"/>
      <c r="Z288" s="7">
        <v>100.13</v>
      </c>
      <c r="AA288" s="8">
        <f>IFERROR(Z288/Z444, "NA")</f>
        <v>1.9478668883055037E-3</v>
      </c>
      <c r="AB288" s="9"/>
      <c r="AC288" s="10">
        <f t="shared" si="75"/>
        <v>-271.82</v>
      </c>
      <c r="AD288" s="8">
        <f>IFERROR(AC288/AC444, "NA")</f>
        <v>-2.1891978525210961E-2</v>
      </c>
    </row>
    <row r="289" spans="1:30" ht="16.5" customHeight="1" x14ac:dyDescent="0.45">
      <c r="A289" s="6" t="s">
        <v>262</v>
      </c>
      <c r="B289" s="7">
        <v>208.25</v>
      </c>
      <c r="C289" s="8">
        <f>IFERROR(B289/B444, "NA")</f>
        <v>3.2630136269403177E-3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-208.25</v>
      </c>
      <c r="I289" s="8">
        <f>IFERROR(H289/H444, "NA")</f>
        <v>-1.343486846731537E-2</v>
      </c>
      <c r="J289" s="9"/>
      <c r="K289" s="7">
        <v>201.24</v>
      </c>
      <c r="L289" s="8">
        <f>IFERROR(K289/K444, "NA")</f>
        <v>3.9147980885109318E-3</v>
      </c>
      <c r="M289" s="9"/>
      <c r="N289" s="10">
        <f t="shared" si="73"/>
        <v>-7.0099999999999909</v>
      </c>
      <c r="O289" s="8">
        <f>IFERROR(N289/N444, "NA")</f>
        <v>-5.645749741068672E-4</v>
      </c>
      <c r="P289" s="9"/>
      <c r="Q289" s="7">
        <v>208.25</v>
      </c>
      <c r="R289" s="8">
        <f>IFERROR(Q289/Q444, "NA")</f>
        <v>3.2630136269403177E-3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-208.25</v>
      </c>
      <c r="X289" s="8">
        <f>IFERROR(W289/W444, "NA")</f>
        <v>-1.343486846731537E-2</v>
      </c>
      <c r="Y289" s="9"/>
      <c r="Z289" s="7">
        <v>201.24</v>
      </c>
      <c r="AA289" s="8">
        <f>IFERROR(Z289/Z444, "NA")</f>
        <v>3.9147980885109318E-3</v>
      </c>
      <c r="AB289" s="9"/>
      <c r="AC289" s="10">
        <f t="shared" si="75"/>
        <v>-7.0099999999999909</v>
      </c>
      <c r="AD289" s="8">
        <f>IFERROR(AC289/AC444, "NA")</f>
        <v>-5.645749741068672E-4</v>
      </c>
    </row>
    <row r="290" spans="1:30" ht="16.5" customHeight="1" x14ac:dyDescent="0.45">
      <c r="A290" s="6" t="s">
        <v>263</v>
      </c>
      <c r="B290" s="7">
        <v>233.16</v>
      </c>
      <c r="C290" s="8">
        <f>IFERROR(B290/B444, "NA")</f>
        <v>3.6533217635409581E-3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-233.16</v>
      </c>
      <c r="I290" s="8">
        <f>IFERROR(H290/H444, "NA")</f>
        <v>-1.5041891629480199E-2</v>
      </c>
      <c r="J290" s="9"/>
      <c r="K290" s="7">
        <v>250.96</v>
      </c>
      <c r="L290" s="8">
        <f>IFERROR(K290/K444, "NA")</f>
        <v>4.8820201167397307E-3</v>
      </c>
      <c r="M290" s="9"/>
      <c r="N290" s="10">
        <f t="shared" si="73"/>
        <v>17.800000000000011</v>
      </c>
      <c r="O290" s="8">
        <f>IFERROR(N290/N444, "NA")</f>
        <v>1.433585526262804E-3</v>
      </c>
      <c r="P290" s="9"/>
      <c r="Q290" s="7">
        <v>233.16</v>
      </c>
      <c r="R290" s="8">
        <f>IFERROR(Q290/Q444, "NA")</f>
        <v>3.6533217635409581E-3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-233.16</v>
      </c>
      <c r="X290" s="8">
        <f>IFERROR(W290/W444, "NA")</f>
        <v>-1.5041891629480199E-2</v>
      </c>
      <c r="Y290" s="9"/>
      <c r="Z290" s="7">
        <v>250.96</v>
      </c>
      <c r="AA290" s="8">
        <f>IFERROR(Z290/Z444, "NA")</f>
        <v>4.8820201167397307E-3</v>
      </c>
      <c r="AB290" s="9"/>
      <c r="AC290" s="10">
        <f t="shared" si="75"/>
        <v>17.800000000000011</v>
      </c>
      <c r="AD290" s="8">
        <f>IFERROR(AC290/AC444, "NA")</f>
        <v>1.433585526262804E-3</v>
      </c>
    </row>
    <row r="291" spans="1:30" ht="16.5" customHeight="1" x14ac:dyDescent="0.45">
      <c r="A291" s="6" t="s">
        <v>264</v>
      </c>
      <c r="B291" s="7">
        <v>1005.33</v>
      </c>
      <c r="C291" s="8">
        <f>IFERROR(B291/B444, "NA")</f>
        <v>1.5752247248844706E-2</v>
      </c>
      <c r="D291" s="9"/>
      <c r="E291" s="7">
        <v>724.81</v>
      </c>
      <c r="F291" s="8">
        <f>IFERROR(E291/E444, "NA")</f>
        <v>1.5000002069508155E-2</v>
      </c>
      <c r="G291" s="9"/>
      <c r="H291" s="10">
        <f t="shared" si="72"/>
        <v>-280.5200000000001</v>
      </c>
      <c r="I291" s="8">
        <f>IFERROR(H291/H444, "NA")</f>
        <v>-1.8097235545984674E-2</v>
      </c>
      <c r="J291" s="9"/>
      <c r="K291" s="7">
        <v>-483.99</v>
      </c>
      <c r="L291" s="8">
        <f>IFERROR(K291/K444, "NA")</f>
        <v>-9.4152411392288103E-3</v>
      </c>
      <c r="M291" s="9"/>
      <c r="N291" s="10">
        <f t="shared" si="73"/>
        <v>-1489.3200000000002</v>
      </c>
      <c r="O291" s="8">
        <f>IFERROR(N291/N444, "NA")</f>
        <v>-0.11994761775133247</v>
      </c>
      <c r="P291" s="9"/>
      <c r="Q291" s="7">
        <v>1005.33</v>
      </c>
      <c r="R291" s="8">
        <f>IFERROR(Q291/Q444, "NA")</f>
        <v>1.5752247248844706E-2</v>
      </c>
      <c r="S291" s="9"/>
      <c r="T291" s="7">
        <v>724.81</v>
      </c>
      <c r="U291" s="8">
        <f>IFERROR(T291/T444, "NA")</f>
        <v>1.5000002069508155E-2</v>
      </c>
      <c r="V291" s="9"/>
      <c r="W291" s="10">
        <f t="shared" si="74"/>
        <v>-280.5200000000001</v>
      </c>
      <c r="X291" s="8">
        <f>IFERROR(W291/W444, "NA")</f>
        <v>-1.8097235545984674E-2</v>
      </c>
      <c r="Y291" s="9"/>
      <c r="Z291" s="7">
        <v>-483.99</v>
      </c>
      <c r="AA291" s="8">
        <f>IFERROR(Z291/Z444, "NA")</f>
        <v>-9.4152411392288103E-3</v>
      </c>
      <c r="AB291" s="9"/>
      <c r="AC291" s="10">
        <f t="shared" si="75"/>
        <v>-1489.3200000000002</v>
      </c>
      <c r="AD291" s="8">
        <f>IFERROR(AC291/AC444, "NA")</f>
        <v>-0.11994761775133247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408.32</v>
      </c>
      <c r="C294" s="8">
        <f>IFERROR(B294/B444, "NA")</f>
        <v>6.3978570187383944E-3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-408.32</v>
      </c>
      <c r="I294" s="8">
        <f>IFERROR(H294/H444, "NA")</f>
        <v>-2.6342019172025024E-2</v>
      </c>
      <c r="J294" s="9"/>
      <c r="K294" s="7">
        <v>385.83</v>
      </c>
      <c r="L294" s="8">
        <f>IFERROR(K294/K444, "NA")</f>
        <v>7.5056974085180514E-3</v>
      </c>
      <c r="M294" s="9"/>
      <c r="N294" s="10">
        <f t="shared" si="73"/>
        <v>-22.490000000000009</v>
      </c>
      <c r="O294" s="8">
        <f>IFERROR(N294/N444, "NA")</f>
        <v>-1.8113111508792389E-3</v>
      </c>
      <c r="P294" s="9"/>
      <c r="Q294" s="7">
        <v>408.32</v>
      </c>
      <c r="R294" s="8">
        <f>IFERROR(Q294/Q444, "NA")</f>
        <v>6.3978570187383944E-3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-408.32</v>
      </c>
      <c r="X294" s="8">
        <f>IFERROR(W294/W444, "NA")</f>
        <v>-2.6342019172025024E-2</v>
      </c>
      <c r="Y294" s="9"/>
      <c r="Z294" s="7">
        <v>385.83</v>
      </c>
      <c r="AA294" s="8">
        <f>IFERROR(Z294/Z444, "NA")</f>
        <v>7.5056974085180514E-3</v>
      </c>
      <c r="AB294" s="9"/>
      <c r="AC294" s="10">
        <f t="shared" si="75"/>
        <v>-22.490000000000009</v>
      </c>
      <c r="AD294" s="8">
        <f>IFERROR(AC294/AC444, "NA")</f>
        <v>-1.8113111508792389E-3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3197.5400000000004</v>
      </c>
      <c r="C295" s="15">
        <f>IFERROR(B295/B444, "NA")</f>
        <v>5.0101400204978365E-2</v>
      </c>
      <c r="D295" s="2"/>
      <c r="E295" s="14">
        <f>IFERROR(E286+E287+E288+E289+E290+E291+E292+E293+E294, "NA")</f>
        <v>2074.81</v>
      </c>
      <c r="F295" s="15">
        <f>IFERROR(E295/E444, "NA")</f>
        <v>4.2938362182966865E-2</v>
      </c>
      <c r="G295" s="2"/>
      <c r="H295" s="14">
        <f t="shared" si="72"/>
        <v>-1122.7300000000005</v>
      </c>
      <c r="I295" s="15">
        <f>IFERROR(H295/H444, "NA")</f>
        <v>-7.243087574698194E-2</v>
      </c>
      <c r="J295" s="2"/>
      <c r="K295" s="14">
        <f>IFERROR(K286+K287+K288+K289+K290+K291+K292+K293+K294, "NA")</f>
        <v>1424.6999999999998</v>
      </c>
      <c r="L295" s="15">
        <f>IFERROR(K295/K444, "NA")</f>
        <v>2.7715229759001807E-2</v>
      </c>
      <c r="M295" s="2"/>
      <c r="N295" s="14">
        <f t="shared" si="73"/>
        <v>-1772.8400000000006</v>
      </c>
      <c r="O295" s="15">
        <f>IFERROR(N295/N444, "NA")</f>
        <v>-0.14278189687526677</v>
      </c>
      <c r="P295" s="2"/>
      <c r="Q295" s="14">
        <f>IFERROR(Q286+Q287+Q288+Q289+Q290+Q291+Q292+Q293+Q294, "NA")</f>
        <v>3197.5400000000004</v>
      </c>
      <c r="R295" s="15">
        <f>IFERROR(Q295/Q444, "NA")</f>
        <v>5.0101400204978365E-2</v>
      </c>
      <c r="S295" s="2"/>
      <c r="T295" s="14">
        <f>IFERROR(T286+T287+T288+T289+T290+T291+T292+T293+T294, "NA")</f>
        <v>2074.81</v>
      </c>
      <c r="U295" s="15">
        <f>IFERROR(T295/T444, "NA")</f>
        <v>4.2938362182966865E-2</v>
      </c>
      <c r="V295" s="2"/>
      <c r="W295" s="14">
        <f t="shared" si="74"/>
        <v>-1122.7300000000005</v>
      </c>
      <c r="X295" s="15">
        <f>IFERROR(W295/W444, "NA")</f>
        <v>-7.243087574698194E-2</v>
      </c>
      <c r="Y295" s="2"/>
      <c r="Z295" s="14">
        <f>IFERROR(Z286+Z287+Z288+Z289+Z290+Z291+Z292+Z293+Z294, "NA")</f>
        <v>1424.6999999999998</v>
      </c>
      <c r="AA295" s="15">
        <f>IFERROR(Z295/Z444, "NA")</f>
        <v>2.7715229759001807E-2</v>
      </c>
      <c r="AB295" s="2"/>
      <c r="AC295" s="14">
        <f t="shared" si="75"/>
        <v>-1772.8400000000006</v>
      </c>
      <c r="AD295" s="15">
        <f>IFERROR(AC295/AC444, "NA")</f>
        <v>-0.14278189687526677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628.16999999999996</v>
      </c>
      <c r="F297" s="8">
        <f>IFERROR(E297/E444, "NA")</f>
        <v>1.3000029387015822E-2</v>
      </c>
      <c r="G297" s="9"/>
      <c r="H297" s="10">
        <f t="shared" ref="H297:H325" si="76">IFERROR(-(B297-E297), "NA")</f>
        <v>628.16999999999996</v>
      </c>
      <c r="I297" s="8">
        <f>IFERROR(H297/H444, "NA")</f>
        <v>4.0525240456727465E-2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628.16999999999996</v>
      </c>
      <c r="U297" s="8">
        <f>IFERROR(T297/T444, "NA")</f>
        <v>1.3000029387015822E-2</v>
      </c>
      <c r="V297" s="9"/>
      <c r="W297" s="10">
        <f t="shared" ref="W297:W325" si="78">IFERROR(-(Q297-T297), "NA")</f>
        <v>628.16999999999996</v>
      </c>
      <c r="X297" s="8">
        <f>IFERROR(W297/W444, "NA")</f>
        <v>4.0525240456727465E-2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516.35</v>
      </c>
      <c r="C299" s="8">
        <f>IFERROR(B299/B444, "NA")</f>
        <v>8.0905502341927157E-3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-516.35</v>
      </c>
      <c r="I299" s="8">
        <f>IFERROR(H299/H444, "NA")</f>
        <v>-3.3311377349811724E-2</v>
      </c>
      <c r="J299" s="9"/>
      <c r="K299" s="7">
        <v>500.77</v>
      </c>
      <c r="L299" s="8">
        <f>IFERROR(K299/K444, "NA")</f>
        <v>9.7416688470662854E-3</v>
      </c>
      <c r="M299" s="9"/>
      <c r="N299" s="10">
        <f t="shared" si="77"/>
        <v>-15.580000000000041</v>
      </c>
      <c r="O299" s="8">
        <f>IFERROR(N299/N444, "NA")</f>
        <v>-1.2547900280435128E-3</v>
      </c>
      <c r="P299" s="9"/>
      <c r="Q299" s="7">
        <v>516.35</v>
      </c>
      <c r="R299" s="8">
        <f>IFERROR(Q299/Q444, "NA")</f>
        <v>8.0905502341927157E-3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-516.35</v>
      </c>
      <c r="X299" s="8">
        <f>IFERROR(W299/W444, "NA")</f>
        <v>-3.3311377349811724E-2</v>
      </c>
      <c r="Y299" s="9"/>
      <c r="Z299" s="7">
        <v>500.77</v>
      </c>
      <c r="AA299" s="8">
        <f>IFERROR(Z299/Z444, "NA")</f>
        <v>9.7416688470662854E-3</v>
      </c>
      <c r="AB299" s="9"/>
      <c r="AC299" s="10">
        <f t="shared" si="79"/>
        <v>-15.580000000000041</v>
      </c>
      <c r="AD299" s="8">
        <f>IFERROR(AC299/AC444, "NA")</f>
        <v>-1.2547900280435128E-3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15</v>
      </c>
      <c r="C305" s="8">
        <f>IFERROR(B305/B444, "NA")</f>
        <v>2.3503099353711773E-4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-15</v>
      </c>
      <c r="I305" s="8">
        <f>IFERROR(H305/H444, "NA")</f>
        <v>-9.6769760869018268E-4</v>
      </c>
      <c r="J305" s="9"/>
      <c r="K305" s="7">
        <v>43.33</v>
      </c>
      <c r="L305" s="8">
        <f>IFERROR(K305/K444, "NA")</f>
        <v>8.4291493328949836E-4</v>
      </c>
      <c r="M305" s="9"/>
      <c r="N305" s="10">
        <f t="shared" si="77"/>
        <v>28.33</v>
      </c>
      <c r="O305" s="8">
        <f>IFERROR(N305/N444, "NA")</f>
        <v>2.2816560651137754E-3</v>
      </c>
      <c r="P305" s="9"/>
      <c r="Q305" s="7">
        <v>15</v>
      </c>
      <c r="R305" s="8">
        <f>IFERROR(Q305/Q444, "NA")</f>
        <v>2.3503099353711773E-4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-15</v>
      </c>
      <c r="X305" s="8">
        <f>IFERROR(W305/W444, "NA")</f>
        <v>-9.6769760869018268E-4</v>
      </c>
      <c r="Y305" s="9"/>
      <c r="Z305" s="7">
        <v>43.33</v>
      </c>
      <c r="AA305" s="8">
        <f>IFERROR(Z305/Z444, "NA")</f>
        <v>8.4291493328949836E-4</v>
      </c>
      <c r="AB305" s="9"/>
      <c r="AC305" s="10">
        <f t="shared" si="79"/>
        <v>28.33</v>
      </c>
      <c r="AD305" s="8">
        <f>IFERROR(AC305/AC444, "NA")</f>
        <v>2.2816560651137754E-3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hidden="1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0</v>
      </c>
      <c r="AD310" s="8">
        <f>IFERROR(AC310/AC444, "NA")</f>
        <v>0</v>
      </c>
    </row>
    <row r="311" spans="1:30" ht="16.5" hidden="1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0</v>
      </c>
      <c r="AD311" s="8">
        <f>IFERROR(AC311/AC444, "NA")</f>
        <v>0</v>
      </c>
    </row>
    <row r="312" spans="1:30" ht="16.5" customHeight="1" x14ac:dyDescent="0.45">
      <c r="A312" s="6" t="s">
        <v>284</v>
      </c>
      <c r="B312" s="7">
        <v>0</v>
      </c>
      <c r="C312" s="8">
        <f>IFERROR(B312/B444, "NA")</f>
        <v>0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0</v>
      </c>
      <c r="I312" s="8">
        <f>IFERROR(H312/H444, "NA")</f>
        <v>0</v>
      </c>
      <c r="J312" s="9"/>
      <c r="K312" s="7">
        <v>23</v>
      </c>
      <c r="L312" s="8">
        <f>IFERROR(K312/K444, "NA")</f>
        <v>4.474277282635233E-4</v>
      </c>
      <c r="M312" s="9"/>
      <c r="N312" s="10">
        <f t="shared" si="77"/>
        <v>23</v>
      </c>
      <c r="O312" s="8">
        <f>IFERROR(N312/N444, "NA")</f>
        <v>1.8523857923620488E-3</v>
      </c>
      <c r="P312" s="9"/>
      <c r="Q312" s="7">
        <v>0</v>
      </c>
      <c r="R312" s="8">
        <f>IFERROR(Q312/Q444, "NA")</f>
        <v>0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0</v>
      </c>
      <c r="X312" s="8">
        <f>IFERROR(W312/W444, "NA")</f>
        <v>0</v>
      </c>
      <c r="Y312" s="9"/>
      <c r="Z312" s="7">
        <v>23</v>
      </c>
      <c r="AA312" s="8">
        <f>IFERROR(Z312/Z444, "NA")</f>
        <v>4.474277282635233E-4</v>
      </c>
      <c r="AB312" s="9"/>
      <c r="AC312" s="10">
        <f t="shared" si="79"/>
        <v>23</v>
      </c>
      <c r="AD312" s="8">
        <f>IFERROR(AC312/AC444, "NA")</f>
        <v>1.8523857923620488E-3</v>
      </c>
    </row>
    <row r="313" spans="1:30" ht="16.5" customHeight="1" x14ac:dyDescent="0.45">
      <c r="A313" s="6" t="s">
        <v>285</v>
      </c>
      <c r="B313" s="7">
        <v>15</v>
      </c>
      <c r="C313" s="8">
        <f>IFERROR(B313/B444, "NA")</f>
        <v>2.3503099353711773E-4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-15</v>
      </c>
      <c r="I313" s="8">
        <f>IFERROR(H313/H444, "NA")</f>
        <v>-9.6769760869018268E-4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-15</v>
      </c>
      <c r="O313" s="8">
        <f>IFERROR(N313/N444, "NA")</f>
        <v>-1.2080776906709014E-3</v>
      </c>
      <c r="P313" s="9"/>
      <c r="Q313" s="7">
        <v>15</v>
      </c>
      <c r="R313" s="8">
        <f>IFERROR(Q313/Q444, "NA")</f>
        <v>2.3503099353711773E-4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-15</v>
      </c>
      <c r="X313" s="8">
        <f>IFERROR(W313/W444, "NA")</f>
        <v>-9.6769760869018268E-4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-15</v>
      </c>
      <c r="AD313" s="8">
        <f>IFERROR(AC313/AC444, "NA")</f>
        <v>-1.2080776906709014E-3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6.4957865993788598E-3</v>
      </c>
      <c r="D318" s="9"/>
      <c r="E318" s="7">
        <v>915</v>
      </c>
      <c r="F318" s="8">
        <f>IFERROR(E318/E444, "NA")</f>
        <v>1.893599963245535E-2</v>
      </c>
      <c r="G318" s="9"/>
      <c r="H318" s="10">
        <f t="shared" si="76"/>
        <v>500.43</v>
      </c>
      <c r="I318" s="8">
        <f>IFERROR(H318/H444, "NA")</f>
        <v>3.2284327621121871E-2</v>
      </c>
      <c r="J318" s="9"/>
      <c r="K318" s="7">
        <v>414.57</v>
      </c>
      <c r="L318" s="8">
        <f>IFERROR(K318/K444, "NA")</f>
        <v>8.0647875350525582E-3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414.57</v>
      </c>
      <c r="R318" s="8">
        <f>IFERROR(Q318/Q444, "NA")</f>
        <v>6.4957865993788598E-3</v>
      </c>
      <c r="S318" s="9"/>
      <c r="T318" s="7">
        <v>915</v>
      </c>
      <c r="U318" s="8">
        <f>IFERROR(T318/T444, "NA")</f>
        <v>1.893599963245535E-2</v>
      </c>
      <c r="V318" s="9"/>
      <c r="W318" s="10">
        <f t="shared" si="78"/>
        <v>500.43</v>
      </c>
      <c r="X318" s="8">
        <f>IFERROR(W318/W444, "NA")</f>
        <v>3.2284327621121871E-2</v>
      </c>
      <c r="Y318" s="9"/>
      <c r="Z318" s="7">
        <v>414.57</v>
      </c>
      <c r="AA318" s="8">
        <f>IFERROR(Z318/Z444, "NA")</f>
        <v>8.0647875350525582E-3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149.54</v>
      </c>
      <c r="C319" s="8">
        <f>IFERROR(B319/B444, "NA")</f>
        <v>2.3431023182360388E-3</v>
      </c>
      <c r="D319" s="9"/>
      <c r="E319" s="7">
        <v>149</v>
      </c>
      <c r="F319" s="8">
        <f>IFERROR(E319/E444, "NA")</f>
        <v>3.0835671532632209E-3</v>
      </c>
      <c r="G319" s="9"/>
      <c r="H319" s="10">
        <f t="shared" si="76"/>
        <v>-0.53999999999999204</v>
      </c>
      <c r="I319" s="8">
        <f>IFERROR(H319/H444, "NA")</f>
        <v>-3.483711391284606E-5</v>
      </c>
      <c r="J319" s="9"/>
      <c r="K319" s="7">
        <v>149.53</v>
      </c>
      <c r="L319" s="8">
        <f>IFERROR(K319/K444, "NA")</f>
        <v>2.9088638350975929E-3</v>
      </c>
      <c r="M319" s="9"/>
      <c r="N319" s="10">
        <f t="shared" si="77"/>
        <v>-9.9999999999909051E-3</v>
      </c>
      <c r="O319" s="8">
        <f>IFERROR(N319/N444, "NA")</f>
        <v>-8.0538512711320171E-7</v>
      </c>
      <c r="P319" s="9"/>
      <c r="Q319" s="7">
        <v>149.54</v>
      </c>
      <c r="R319" s="8">
        <f>IFERROR(Q319/Q444, "NA")</f>
        <v>2.3431023182360388E-3</v>
      </c>
      <c r="S319" s="9"/>
      <c r="T319" s="7">
        <v>149</v>
      </c>
      <c r="U319" s="8">
        <f>IFERROR(T319/T444, "NA")</f>
        <v>3.0835671532632209E-3</v>
      </c>
      <c r="V319" s="9"/>
      <c r="W319" s="10">
        <f t="shared" si="78"/>
        <v>-0.53999999999999204</v>
      </c>
      <c r="X319" s="8">
        <f>IFERROR(W319/W444, "NA")</f>
        <v>-3.483711391284606E-5</v>
      </c>
      <c r="Y319" s="9"/>
      <c r="Z319" s="7">
        <v>149.53</v>
      </c>
      <c r="AA319" s="8">
        <f>IFERROR(Z319/Z444, "NA")</f>
        <v>2.9088638350975929E-3</v>
      </c>
      <c r="AB319" s="9"/>
      <c r="AC319" s="10">
        <f t="shared" si="79"/>
        <v>-9.9999999999909051E-3</v>
      </c>
      <c r="AD319" s="8">
        <f>IFERROR(AC319/AC444, "NA")</f>
        <v>-8.0538512711320171E-7</v>
      </c>
    </row>
    <row r="320" spans="1:30" ht="16.5" customHeight="1" x14ac:dyDescent="0.45">
      <c r="A320" s="6" t="s">
        <v>292</v>
      </c>
      <c r="B320" s="7">
        <v>1005.86</v>
      </c>
      <c r="C320" s="8">
        <f>IFERROR(B320/B444, "NA")</f>
        <v>1.5760551677283016E-2</v>
      </c>
      <c r="D320" s="9"/>
      <c r="E320" s="7">
        <v>800</v>
      </c>
      <c r="F320" s="8">
        <f>IFERROR(E320/E444, "NA")</f>
        <v>1.6556065252419979E-2</v>
      </c>
      <c r="G320" s="9"/>
      <c r="H320" s="10">
        <f t="shared" si="76"/>
        <v>-205.86</v>
      </c>
      <c r="I320" s="8">
        <f>IFERROR(H320/H444, "NA")</f>
        <v>-1.3280681981664067E-2</v>
      </c>
      <c r="J320" s="9"/>
      <c r="K320" s="7">
        <v>806.29</v>
      </c>
      <c r="L320" s="8">
        <f>IFERROR(K320/K444, "NA")</f>
        <v>1.568506534876505E-2</v>
      </c>
      <c r="M320" s="9"/>
      <c r="N320" s="10">
        <f t="shared" si="77"/>
        <v>-199.57000000000005</v>
      </c>
      <c r="O320" s="8">
        <f>IFERROR(N320/N444, "NA")</f>
        <v>-1.6073070981812789E-2</v>
      </c>
      <c r="P320" s="9"/>
      <c r="Q320" s="7">
        <v>1005.86</v>
      </c>
      <c r="R320" s="8">
        <f>IFERROR(Q320/Q444, "NA")</f>
        <v>1.5760551677283016E-2</v>
      </c>
      <c r="S320" s="9"/>
      <c r="T320" s="7">
        <v>800</v>
      </c>
      <c r="U320" s="8">
        <f>IFERROR(T320/T444, "NA")</f>
        <v>1.6556065252419979E-2</v>
      </c>
      <c r="V320" s="9"/>
      <c r="W320" s="10">
        <f t="shared" si="78"/>
        <v>-205.86</v>
      </c>
      <c r="X320" s="8">
        <f>IFERROR(W320/W444, "NA")</f>
        <v>-1.3280681981664067E-2</v>
      </c>
      <c r="Y320" s="9"/>
      <c r="Z320" s="7">
        <v>806.29</v>
      </c>
      <c r="AA320" s="8">
        <f>IFERROR(Z320/Z444, "NA")</f>
        <v>1.568506534876505E-2</v>
      </c>
      <c r="AB320" s="9"/>
      <c r="AC320" s="10">
        <f t="shared" si="79"/>
        <v>-199.57000000000005</v>
      </c>
      <c r="AD320" s="8">
        <f>IFERROR(AC320/AC444, "NA")</f>
        <v>-1.6073070981812789E-2</v>
      </c>
    </row>
    <row r="321" spans="1:30" ht="16.5" customHeight="1" x14ac:dyDescent="0.45">
      <c r="A321" s="6" t="s">
        <v>293</v>
      </c>
      <c r="B321" s="7">
        <v>2049.2800000000002</v>
      </c>
      <c r="C321" s="8">
        <f>IFERROR(B321/B444, "NA")</f>
        <v>3.2109620962382977E-2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-2049.2800000000002</v>
      </c>
      <c r="I321" s="8">
        <f>IFERROR(H321/H444, "NA")</f>
        <v>-0.13220555703577452</v>
      </c>
      <c r="J321" s="9"/>
      <c r="K321" s="7">
        <v>1378.17</v>
      </c>
      <c r="L321" s="8">
        <f>IFERROR(K321/K444, "NA")</f>
        <v>2.6810064011345214E-2</v>
      </c>
      <c r="M321" s="9"/>
      <c r="N321" s="10">
        <f t="shared" si="77"/>
        <v>-671.11000000000013</v>
      </c>
      <c r="O321" s="8">
        <f>IFERROR(N321/N444, "NA")</f>
        <v>-5.4050201265743253E-2</v>
      </c>
      <c r="P321" s="9"/>
      <c r="Q321" s="7">
        <v>2049.2800000000002</v>
      </c>
      <c r="R321" s="8">
        <f>IFERROR(Q321/Q444, "NA")</f>
        <v>3.2109620962382977E-2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-2049.2800000000002</v>
      </c>
      <c r="X321" s="8">
        <f>IFERROR(W321/W444, "NA")</f>
        <v>-0.13220555703577452</v>
      </c>
      <c r="Y321" s="9"/>
      <c r="Z321" s="7">
        <v>1378.17</v>
      </c>
      <c r="AA321" s="8">
        <f>IFERROR(Z321/Z444, "NA")</f>
        <v>2.6810064011345214E-2</v>
      </c>
      <c r="AB321" s="9"/>
      <c r="AC321" s="10">
        <f t="shared" si="79"/>
        <v>-671.11000000000013</v>
      </c>
      <c r="AD321" s="8">
        <f>IFERROR(AC321/AC444, "NA")</f>
        <v>-5.4050201265743253E-2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2.5425652880845398E-3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-1.0468552730810396E-2</v>
      </c>
      <c r="J322" s="9"/>
      <c r="K322" s="7">
        <v>176.61</v>
      </c>
      <c r="L322" s="8">
        <f>IFERROR(K322/K444, "NA")</f>
        <v>3.4356613516791676E-3</v>
      </c>
      <c r="M322" s="9"/>
      <c r="N322" s="10">
        <f t="shared" si="77"/>
        <v>14.340000000000003</v>
      </c>
      <c r="O322" s="8">
        <f>IFERROR(N322/N444, "NA")</f>
        <v>1.154922272281382E-3</v>
      </c>
      <c r="P322" s="9"/>
      <c r="Q322" s="7">
        <v>162.27000000000001</v>
      </c>
      <c r="R322" s="8">
        <f>IFERROR(Q322/Q444, "NA")</f>
        <v>2.5425652880845398E-3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-162.27000000000001</v>
      </c>
      <c r="X322" s="8">
        <f>IFERROR(W322/W444, "NA")</f>
        <v>-1.0468552730810396E-2</v>
      </c>
      <c r="Y322" s="9"/>
      <c r="Z322" s="7">
        <v>176.61</v>
      </c>
      <c r="AA322" s="8">
        <f>IFERROR(Z322/Z444, "NA")</f>
        <v>3.4356613516791676E-3</v>
      </c>
      <c r="AB322" s="9"/>
      <c r="AC322" s="10">
        <f t="shared" si="79"/>
        <v>14.340000000000003</v>
      </c>
      <c r="AD322" s="8">
        <f>IFERROR(AC322/AC444, "NA")</f>
        <v>1.154922272281382E-3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4327.8700000000008</v>
      </c>
      <c r="C324" s="15">
        <f>IFERROR(B324/B444, "NA")</f>
        <v>6.781223906663239E-2</v>
      </c>
      <c r="D324" s="2"/>
      <c r="E324" s="14">
        <f>IFERROR(E297+E298+E299+E300+E301+E302+E303+E304+E305+E306+E307+E308+E309+E310+E311+E312+E313+E314+E315+E316+E317+E318+E319+E320+E321+E322+E323, "NA")</f>
        <v>2492.17</v>
      </c>
      <c r="F324" s="15">
        <f>IFERROR(E324/E444, "NA")</f>
        <v>5.1575661425154372E-2</v>
      </c>
      <c r="G324" s="2"/>
      <c r="H324" s="14">
        <f t="shared" si="76"/>
        <v>-1835.7000000000007</v>
      </c>
      <c r="I324" s="15">
        <f>IFERROR(H324/H444, "NA")</f>
        <v>-0.1184268333515046</v>
      </c>
      <c r="J324" s="2"/>
      <c r="K324" s="14">
        <f>IFERROR(K297+K298+K299+K300+K301+K302+K303+K304+K305+K306+K307+K308+K309+K310+K311+K312+K313+K314+K315+K316+K317+K318+K319+K320+K321+K322+K323, "NA")</f>
        <v>3492.27</v>
      </c>
      <c r="L324" s="15">
        <f>IFERROR(K324/K444, "NA")</f>
        <v>6.7936453590558887E-2</v>
      </c>
      <c r="M324" s="2"/>
      <c r="N324" s="14">
        <f t="shared" si="77"/>
        <v>-835.60000000000082</v>
      </c>
      <c r="O324" s="15">
        <f>IFERROR(N324/N444, "NA")</f>
        <v>-6.7297981221640407E-2</v>
      </c>
      <c r="P324" s="2"/>
      <c r="Q324" s="14">
        <f>IFERROR(Q297+Q298+Q299+Q300+Q301+Q302+Q303+Q304+Q305+Q306+Q307+Q308+Q309+Q310+Q311+Q312+Q313+Q314+Q315+Q316+Q317+Q318+Q319+Q320+Q321+Q322+Q323, "NA")</f>
        <v>4327.8700000000008</v>
      </c>
      <c r="R324" s="15">
        <f>IFERROR(Q324/Q444, "NA")</f>
        <v>6.781223906663239E-2</v>
      </c>
      <c r="S324" s="2"/>
      <c r="T324" s="14">
        <f>IFERROR(T297+T298+T299+T300+T301+T302+T303+T304+T305+T306+T307+T308+T309+T310+T311+T312+T313+T314+T315+T316+T317+T318+T319+T320+T321+T322+T323, "NA")</f>
        <v>2492.17</v>
      </c>
      <c r="U324" s="15">
        <f>IFERROR(T324/T444, "NA")</f>
        <v>5.1575661425154372E-2</v>
      </c>
      <c r="V324" s="2"/>
      <c r="W324" s="14">
        <f t="shared" si="78"/>
        <v>-1835.7000000000007</v>
      </c>
      <c r="X324" s="15">
        <f>IFERROR(W324/W444, "NA")</f>
        <v>-0.1184268333515046</v>
      </c>
      <c r="Y324" s="2"/>
      <c r="Z324" s="14">
        <f>IFERROR(Z297+Z298+Z299+Z300+Z301+Z302+Z303+Z304+Z305+Z306+Z307+Z308+Z309+Z310+Z311+Z312+Z313+Z314+Z315+Z316+Z317+Z318+Z319+Z320+Z321+Z322+Z323, "NA")</f>
        <v>3492.27</v>
      </c>
      <c r="AA324" s="15">
        <f>IFERROR(Z324/Z444, "NA")</f>
        <v>6.7936453590558887E-2</v>
      </c>
      <c r="AB324" s="2"/>
      <c r="AC324" s="14">
        <f t="shared" si="79"/>
        <v>-835.60000000000082</v>
      </c>
      <c r="AD324" s="15">
        <f>IFERROR(AC324/AC444, "NA")</f>
        <v>-6.7297981221640407E-2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21131.11</v>
      </c>
      <c r="C325" s="15">
        <f>IFERROR(B325/B444, "NA")</f>
        <v>0.33109771852280828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12667.82</v>
      </c>
      <c r="F325" s="15">
        <f>IFERROR(E325/E444, "NA")</f>
        <v>0.26216156815738856</v>
      </c>
      <c r="G325" s="2"/>
      <c r="H325" s="14">
        <f t="shared" si="76"/>
        <v>-8463.2900000000009</v>
      </c>
      <c r="I325" s="15">
        <f>IFERROR(H325/H444, "NA")</f>
        <v>-0.5459936996434358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13301.160000000002</v>
      </c>
      <c r="L325" s="15">
        <f>IFERROR(K325/K444, "NA")</f>
        <v>0.25875251313346287</v>
      </c>
      <c r="M325" s="2"/>
      <c r="N325" s="14">
        <f t="shared" si="77"/>
        <v>-7829.9499999999989</v>
      </c>
      <c r="O325" s="15">
        <f>IFERROR(N325/N444, "NA")</f>
        <v>-0.63061252760457487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21131.11</v>
      </c>
      <c r="R325" s="15">
        <f>IFERROR(Q325/Q444, "NA")</f>
        <v>0.33109771852280828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12667.82</v>
      </c>
      <c r="U325" s="15">
        <f>IFERROR(T325/T444, "NA")</f>
        <v>0.26216156815738856</v>
      </c>
      <c r="V325" s="2"/>
      <c r="W325" s="14">
        <f t="shared" si="78"/>
        <v>-8463.2900000000009</v>
      </c>
      <c r="X325" s="15">
        <f>IFERROR(W325/W444, "NA")</f>
        <v>-0.5459936996434358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13301.160000000002</v>
      </c>
      <c r="AA325" s="15">
        <f>IFERROR(Z325/Z444, "NA")</f>
        <v>0.25875251313346287</v>
      </c>
      <c r="AB325" s="2"/>
      <c r="AC325" s="14">
        <f t="shared" si="79"/>
        <v>-7829.9499999999989</v>
      </c>
      <c r="AD325" s="15">
        <f>IFERROR(AC325/AC444, "NA")</f>
        <v>-0.63061252760457487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7.2041073389681229E-2</v>
      </c>
      <c r="D329" s="9"/>
      <c r="E329" s="7">
        <v>4245.91</v>
      </c>
      <c r="F329" s="8">
        <f>IFERROR(E329/E444, "NA")</f>
        <v>8.7869453769878134E-2</v>
      </c>
      <c r="G329" s="9"/>
      <c r="H329" s="10">
        <f t="shared" si="80"/>
        <v>-351.85000000000036</v>
      </c>
      <c r="I329" s="8">
        <f>IFERROR(H329/H444, "NA")</f>
        <v>-2.2698960241176073E-2</v>
      </c>
      <c r="J329" s="9"/>
      <c r="K329" s="7">
        <v>6377.92</v>
      </c>
      <c r="L329" s="8">
        <f>IFERROR(K329/K444, "NA")</f>
        <v>0.1240720981150648</v>
      </c>
      <c r="M329" s="9"/>
      <c r="N329" s="10">
        <f t="shared" si="81"/>
        <v>1780.1599999999999</v>
      </c>
      <c r="O329" s="8">
        <f>IFERROR(N329/N444, "NA")</f>
        <v>0.1433714387883141</v>
      </c>
      <c r="P329" s="9"/>
      <c r="Q329" s="7">
        <v>4597.76</v>
      </c>
      <c r="R329" s="8">
        <f>IFERROR(Q329/Q444, "NA")</f>
        <v>7.2041073389681229E-2</v>
      </c>
      <c r="S329" s="9"/>
      <c r="T329" s="7">
        <v>4245.91</v>
      </c>
      <c r="U329" s="8">
        <f>IFERROR(T329/T444, "NA")</f>
        <v>8.7869453769878134E-2</v>
      </c>
      <c r="V329" s="9"/>
      <c r="W329" s="10">
        <f t="shared" si="82"/>
        <v>-351.85000000000036</v>
      </c>
      <c r="X329" s="8">
        <f>IFERROR(W329/W444, "NA")</f>
        <v>-2.2698960241176073E-2</v>
      </c>
      <c r="Y329" s="9"/>
      <c r="Z329" s="7">
        <v>6377.92</v>
      </c>
      <c r="AA329" s="8">
        <f>IFERROR(Z329/Z444, "NA")</f>
        <v>0.1240720981150648</v>
      </c>
      <c r="AB329" s="9"/>
      <c r="AC329" s="10">
        <f t="shared" si="83"/>
        <v>1780.1599999999999</v>
      </c>
      <c r="AD329" s="8">
        <f>IFERROR(AC329/AC444, "NA")</f>
        <v>0.1433714387883141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2.6417797048230083E-2</v>
      </c>
      <c r="D330" s="9"/>
      <c r="E330" s="7">
        <v>1686</v>
      </c>
      <c r="F330" s="8">
        <f>IFERROR(E330/E444, "NA")</f>
        <v>3.4891907519475102E-2</v>
      </c>
      <c r="G330" s="9"/>
      <c r="H330" s="10">
        <f t="shared" si="80"/>
        <v>-1.999999999998181E-2</v>
      </c>
      <c r="I330" s="8">
        <f>IFERROR(H330/H444, "NA")</f>
        <v>-1.2902634782524034E-6</v>
      </c>
      <c r="J330" s="9"/>
      <c r="K330" s="7">
        <v>1636.91</v>
      </c>
      <c r="L330" s="8">
        <f>IFERROR(K330/K444, "NA")</f>
        <v>3.1843431420514955E-2</v>
      </c>
      <c r="M330" s="9"/>
      <c r="N330" s="10">
        <f t="shared" si="81"/>
        <v>-49.1099999999999</v>
      </c>
      <c r="O330" s="8">
        <f>IFERROR(N330/N444, "NA")</f>
        <v>-3.9552463592565229E-3</v>
      </c>
      <c r="P330" s="9"/>
      <c r="Q330" s="7">
        <v>1686.02</v>
      </c>
      <c r="R330" s="8">
        <f>IFERROR(Q330/Q444, "NA")</f>
        <v>2.6417797048230083E-2</v>
      </c>
      <c r="S330" s="9"/>
      <c r="T330" s="7">
        <v>1686</v>
      </c>
      <c r="U330" s="8">
        <f>IFERROR(T330/T444, "NA")</f>
        <v>3.4891907519475102E-2</v>
      </c>
      <c r="V330" s="9"/>
      <c r="W330" s="10">
        <f t="shared" si="82"/>
        <v>-1.999999999998181E-2</v>
      </c>
      <c r="X330" s="8">
        <f>IFERROR(W330/W444, "NA")</f>
        <v>-1.2902634782524034E-6</v>
      </c>
      <c r="Y330" s="9"/>
      <c r="Z330" s="7">
        <v>1636.91</v>
      </c>
      <c r="AA330" s="8">
        <f>IFERROR(Z330/Z444, "NA")</f>
        <v>3.1843431420514955E-2</v>
      </c>
      <c r="AB330" s="9"/>
      <c r="AC330" s="10">
        <f t="shared" si="83"/>
        <v>-49.1099999999999</v>
      </c>
      <c r="AD330" s="8">
        <f>IFERROR(AC330/AC444, "NA")</f>
        <v>-3.9552463592565229E-3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2.9989484713349147E-2</v>
      </c>
      <c r="D333" s="9"/>
      <c r="E333" s="7">
        <v>1686</v>
      </c>
      <c r="F333" s="8">
        <f>IFERROR(E333/E444, "NA")</f>
        <v>3.4891907519475102E-2</v>
      </c>
      <c r="G333" s="9"/>
      <c r="H333" s="10">
        <f t="shared" si="80"/>
        <v>-227.97000000000003</v>
      </c>
      <c r="I333" s="8">
        <f>IFERROR(H333/H444, "NA")</f>
        <v>-1.4707068256873398E-2</v>
      </c>
      <c r="J333" s="9"/>
      <c r="K333" s="7">
        <v>1853.78</v>
      </c>
      <c r="L333" s="8">
        <f>IFERROR(K333/K444, "NA")</f>
        <v>3.606228583045018E-2</v>
      </c>
      <c r="M333" s="9"/>
      <c r="N333" s="10">
        <f t="shared" si="81"/>
        <v>-60.190000000000055</v>
      </c>
      <c r="O333" s="8">
        <f>IFERROR(N333/N444, "NA")</f>
        <v>-4.8476130800987746E-3</v>
      </c>
      <c r="P333" s="9"/>
      <c r="Q333" s="7">
        <v>1913.97</v>
      </c>
      <c r="R333" s="8">
        <f>IFERROR(Q333/Q444, "NA")</f>
        <v>2.9989484713349147E-2</v>
      </c>
      <c r="S333" s="9"/>
      <c r="T333" s="7">
        <v>1686</v>
      </c>
      <c r="U333" s="8">
        <f>IFERROR(T333/T444, "NA")</f>
        <v>3.4891907519475102E-2</v>
      </c>
      <c r="V333" s="9"/>
      <c r="W333" s="10">
        <f t="shared" si="82"/>
        <v>-227.97000000000003</v>
      </c>
      <c r="X333" s="8">
        <f>IFERROR(W333/W444, "NA")</f>
        <v>-1.4707068256873398E-2</v>
      </c>
      <c r="Y333" s="9"/>
      <c r="Z333" s="7">
        <v>1853.78</v>
      </c>
      <c r="AA333" s="8">
        <f>IFERROR(Z333/Z444, "NA")</f>
        <v>3.606228583045018E-2</v>
      </c>
      <c r="AB333" s="9"/>
      <c r="AC333" s="10">
        <f t="shared" si="83"/>
        <v>-60.190000000000055</v>
      </c>
      <c r="AD333" s="8">
        <f>IFERROR(AC333/AC444, "NA")</f>
        <v>-4.8476130800987746E-3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-5.5472015094630523E-3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2.2839598960305688E-2</v>
      </c>
      <c r="J334" s="9"/>
      <c r="K334" s="7">
        <v>-491.1</v>
      </c>
      <c r="L334" s="8">
        <f>IFERROR(K334/K444, "NA")</f>
        <v>-9.5535546674007082E-3</v>
      </c>
      <c r="M334" s="9"/>
      <c r="N334" s="10">
        <f t="shared" si="81"/>
        <v>-137.07000000000005</v>
      </c>
      <c r="O334" s="8">
        <f>IFERROR(N334/N444, "NA")</f>
        <v>-1.10394139373507E-2</v>
      </c>
      <c r="P334" s="9"/>
      <c r="Q334" s="7">
        <v>-354.03</v>
      </c>
      <c r="R334" s="8">
        <f>IFERROR(Q334/Q444, "NA")</f>
        <v>-5.5472015094630523E-3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354.03</v>
      </c>
      <c r="X334" s="8">
        <f>IFERROR(W334/W444, "NA")</f>
        <v>2.2839598960305688E-2</v>
      </c>
      <c r="Y334" s="9"/>
      <c r="Z334" s="7">
        <v>-491.1</v>
      </c>
      <c r="AA334" s="8">
        <f>IFERROR(Z334/Z444, "NA")</f>
        <v>-9.5535546674007082E-3</v>
      </c>
      <c r="AB334" s="9"/>
      <c r="AC334" s="10">
        <f t="shared" si="83"/>
        <v>-137.07000000000005</v>
      </c>
      <c r="AD334" s="8">
        <f>IFERROR(AC334/AC444, "NA")</f>
        <v>-1.10394139373507E-2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2634.17</v>
      </c>
      <c r="F337" s="8">
        <f>IFERROR(E337/E444, "NA")</f>
        <v>5.4514363007458919E-2</v>
      </c>
      <c r="G337" s="9"/>
      <c r="H337" s="10">
        <f t="shared" ref="H337:H344" si="84">IFERROR(-(B337-E337), "NA")</f>
        <v>2634.17</v>
      </c>
      <c r="I337" s="8">
        <f>IFERROR(H337/H444, "NA")</f>
        <v>0.16993866732556123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2634.17</v>
      </c>
      <c r="U337" s="8">
        <f>IFERROR(T337/T444, "NA")</f>
        <v>5.4514363007458919E-2</v>
      </c>
      <c r="V337" s="9"/>
      <c r="W337" s="10">
        <f t="shared" ref="W337:W344" si="86">IFERROR(-(Q337-T337), "NA")</f>
        <v>2634.17</v>
      </c>
      <c r="X337" s="8">
        <f>IFERROR(W337/W444, "NA")</f>
        <v>0.16993866732556123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2627.23</v>
      </c>
      <c r="C338" s="8">
        <f>IFERROR(B338/B444, "NA")</f>
        <v>4.1165365143368118E-2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-2627.23</v>
      </c>
      <c r="I338" s="8">
        <f>IFERROR(H338/H444, "NA")</f>
        <v>-0.16949094589860725</v>
      </c>
      <c r="J338" s="9"/>
      <c r="K338" s="7">
        <v>2214.8000000000002</v>
      </c>
      <c r="L338" s="8">
        <f>IFERROR(K338/K444, "NA")</f>
        <v>4.3085344893828321E-2</v>
      </c>
      <c r="M338" s="9"/>
      <c r="N338" s="10">
        <f t="shared" si="85"/>
        <v>-412.42999999999984</v>
      </c>
      <c r="O338" s="8">
        <f>IFERROR(N338/N444, "NA")</f>
        <v>-3.321649879755998E-2</v>
      </c>
      <c r="P338" s="9"/>
      <c r="Q338" s="7">
        <v>2627.23</v>
      </c>
      <c r="R338" s="8">
        <f>IFERROR(Q338/Q444, "NA")</f>
        <v>4.1165365143368118E-2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-2627.23</v>
      </c>
      <c r="X338" s="8">
        <f>IFERROR(W338/W444, "NA")</f>
        <v>-0.16949094589860725</v>
      </c>
      <c r="Y338" s="9"/>
      <c r="Z338" s="7">
        <v>2214.8000000000002</v>
      </c>
      <c r="AA338" s="8">
        <f>IFERROR(Z338/Z444, "NA")</f>
        <v>4.3085344893828321E-2</v>
      </c>
      <c r="AB338" s="9"/>
      <c r="AC338" s="10">
        <f t="shared" si="87"/>
        <v>-412.42999999999984</v>
      </c>
      <c r="AD338" s="8">
        <f>IFERROR(AC338/AC444, "NA")</f>
        <v>-3.321649879755998E-2</v>
      </c>
    </row>
    <row r="339" spans="1:30" ht="16.5" customHeight="1" x14ac:dyDescent="0.45">
      <c r="A339" s="12" t="s">
        <v>309</v>
      </c>
      <c r="B339" s="7">
        <v>275.69</v>
      </c>
      <c r="C339" s="8">
        <f>IFERROR(B339/B444, "NA")</f>
        <v>4.3197129738831988E-3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-275.69</v>
      </c>
      <c r="I339" s="8">
        <f>IFERROR(H339/H444, "NA")</f>
        <v>-1.778563691598643E-2</v>
      </c>
      <c r="J339" s="9"/>
      <c r="K339" s="7">
        <v>260.66000000000003</v>
      </c>
      <c r="L339" s="8">
        <f>IFERROR(K339/K444, "NA")</f>
        <v>5.0707178977899992E-3</v>
      </c>
      <c r="M339" s="9"/>
      <c r="N339" s="10">
        <f t="shared" si="85"/>
        <v>-15.029999999999973</v>
      </c>
      <c r="O339" s="8">
        <f>IFERROR(N339/N444, "NA")</f>
        <v>-1.2104938460522411E-3</v>
      </c>
      <c r="P339" s="9"/>
      <c r="Q339" s="7">
        <v>275.69</v>
      </c>
      <c r="R339" s="8">
        <f>IFERROR(Q339/Q444, "NA")</f>
        <v>4.3197129738831988E-3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-275.69</v>
      </c>
      <c r="X339" s="8">
        <f>IFERROR(W339/W444, "NA")</f>
        <v>-1.778563691598643E-2</v>
      </c>
      <c r="Y339" s="9"/>
      <c r="Z339" s="7">
        <v>260.66000000000003</v>
      </c>
      <c r="AA339" s="8">
        <f>IFERROR(Z339/Z444, "NA")</f>
        <v>5.0707178977899992E-3</v>
      </c>
      <c r="AB339" s="9"/>
      <c r="AC339" s="10">
        <f t="shared" si="87"/>
        <v>-15.029999999999973</v>
      </c>
      <c r="AD339" s="8">
        <f>IFERROR(AC339/AC444, "NA")</f>
        <v>-1.2104938460522411E-3</v>
      </c>
    </row>
    <row r="340" spans="1:30" ht="16.5" customHeight="1" x14ac:dyDescent="0.45">
      <c r="A340" s="12" t="s">
        <v>310</v>
      </c>
      <c r="B340" s="7">
        <v>408.42</v>
      </c>
      <c r="C340" s="8">
        <f>IFERROR(B340/B444, "NA")</f>
        <v>6.3994238920286415E-3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-408.42</v>
      </c>
      <c r="I340" s="8">
        <f>IFERROR(H340/H444, "NA")</f>
        <v>-2.6348470489416295E-2</v>
      </c>
      <c r="J340" s="9"/>
      <c r="K340" s="7">
        <v>315.10000000000002</v>
      </c>
      <c r="L340" s="8">
        <f>IFERROR(K340/K444, "NA")</f>
        <v>6.1297598772102691E-3</v>
      </c>
      <c r="M340" s="9"/>
      <c r="N340" s="10">
        <f t="shared" si="85"/>
        <v>-93.32</v>
      </c>
      <c r="O340" s="8">
        <f>IFERROR(N340/N444, "NA")</f>
        <v>-7.5158540062272338E-3</v>
      </c>
      <c r="P340" s="9"/>
      <c r="Q340" s="7">
        <v>408.42</v>
      </c>
      <c r="R340" s="8">
        <f>IFERROR(Q340/Q444, "NA")</f>
        <v>6.3994238920286415E-3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-408.42</v>
      </c>
      <c r="X340" s="8">
        <f>IFERROR(W340/W444, "NA")</f>
        <v>-2.6348470489416295E-2</v>
      </c>
      <c r="Y340" s="9"/>
      <c r="Z340" s="7">
        <v>315.10000000000002</v>
      </c>
      <c r="AA340" s="8">
        <f>IFERROR(Z340/Z444, "NA")</f>
        <v>6.1297598772102691E-3</v>
      </c>
      <c r="AB340" s="9"/>
      <c r="AC340" s="10">
        <f t="shared" si="87"/>
        <v>-93.32</v>
      </c>
      <c r="AD340" s="8">
        <f>IFERROR(AC340/AC444, "NA")</f>
        <v>-7.5158540062272338E-3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3311.34</v>
      </c>
      <c r="C342" s="15">
        <f>IFERROR(B342/B444, "NA")</f>
        <v>5.1884502009279965E-2</v>
      </c>
      <c r="D342" s="2"/>
      <c r="E342" s="14">
        <f>IFERROR(E337+E338+E339+E340+E341, "NA")</f>
        <v>2634.17</v>
      </c>
      <c r="F342" s="15">
        <f>IFERROR(E342/E444, "NA")</f>
        <v>5.4514363007458919E-2</v>
      </c>
      <c r="G342" s="2"/>
      <c r="H342" s="14">
        <f t="shared" si="84"/>
        <v>-677.17000000000007</v>
      </c>
      <c r="I342" s="15">
        <f>IFERROR(H342/H444, "NA")</f>
        <v>-4.3686385978448733E-2</v>
      </c>
      <c r="J342" s="2"/>
      <c r="K342" s="14">
        <f>IFERROR(K337+K338+K339+K340+K341, "NA")</f>
        <v>2790.56</v>
      </c>
      <c r="L342" s="15">
        <f>IFERROR(K342/K444, "NA")</f>
        <v>5.4285822668828587E-2</v>
      </c>
      <c r="M342" s="2"/>
      <c r="N342" s="14">
        <f t="shared" si="85"/>
        <v>-520.7800000000002</v>
      </c>
      <c r="O342" s="15">
        <f>IFERROR(N342/N444, "NA")</f>
        <v>-4.1942846649839487E-2</v>
      </c>
      <c r="P342" s="2"/>
      <c r="Q342" s="14">
        <f>IFERROR(Q337+Q338+Q339+Q340+Q341, "NA")</f>
        <v>3311.34</v>
      </c>
      <c r="R342" s="15">
        <f>IFERROR(Q342/Q444, "NA")</f>
        <v>5.1884502009279965E-2</v>
      </c>
      <c r="S342" s="2"/>
      <c r="T342" s="14">
        <f>IFERROR(T337+T338+T339+T340+T341, "NA")</f>
        <v>2634.17</v>
      </c>
      <c r="U342" s="15">
        <f>IFERROR(T342/T444, "NA")</f>
        <v>5.4514363007458919E-2</v>
      </c>
      <c r="V342" s="2"/>
      <c r="W342" s="14">
        <f t="shared" si="86"/>
        <v>-677.17000000000007</v>
      </c>
      <c r="X342" s="15">
        <f>IFERROR(W342/W444, "NA")</f>
        <v>-4.3686385978448733E-2</v>
      </c>
      <c r="Y342" s="2"/>
      <c r="Z342" s="14">
        <f>IFERROR(Z337+Z338+Z339+Z340+Z341, "NA")</f>
        <v>2790.56</v>
      </c>
      <c r="AA342" s="15">
        <f>IFERROR(Z342/Z444, "NA")</f>
        <v>5.4285822668828587E-2</v>
      </c>
      <c r="AB342" s="2"/>
      <c r="AC342" s="14">
        <f t="shared" si="87"/>
        <v>-520.7800000000002</v>
      </c>
      <c r="AD342" s="15">
        <f>IFERROR(AC342/AC444, "NA")</f>
        <v>-4.1942846649839487E-2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11155.060000000001</v>
      </c>
      <c r="C343" s="15">
        <f>IFERROR(B343/B444, "NA")</f>
        <v>0.1747856556510774</v>
      </c>
      <c r="D343" s="2"/>
      <c r="E343" s="14">
        <f>IFERROR(E328+E329+E330+E331+E332+E333+E334+E335+E337+E338+E339+E340+E341, "NA")</f>
        <v>10252.08</v>
      </c>
      <c r="F343" s="15">
        <f>IFERROR(E343/E444, "NA")</f>
        <v>0.21216763181628726</v>
      </c>
      <c r="G343" s="2"/>
      <c r="H343" s="14">
        <f t="shared" si="84"/>
        <v>-902.98000000000138</v>
      </c>
      <c r="I343" s="15">
        <f>IFERROR(H343/H444, "NA")</f>
        <v>-5.8254105779670828E-2</v>
      </c>
      <c r="J343" s="2"/>
      <c r="K343" s="14">
        <f>IFERROR(K328+K329+K330+K331+K332+K333+K334+K335+K337+K338+K339+K340+K341, "NA")</f>
        <v>12168.070000000002</v>
      </c>
      <c r="L343" s="15">
        <f>IFERROR(K343/K444, "NA")</f>
        <v>0.23671008336745786</v>
      </c>
      <c r="M343" s="2"/>
      <c r="N343" s="14">
        <f t="shared" si="85"/>
        <v>1013.0100000000002</v>
      </c>
      <c r="O343" s="15">
        <f>IFERROR(N343/N444, "NA")</f>
        <v>8.1586318761768667E-2</v>
      </c>
      <c r="P343" s="2"/>
      <c r="Q343" s="14">
        <f>IFERROR(Q328+Q329+Q330+Q331+Q332+Q333+Q334+Q335+Q337+Q338+Q339+Q340+Q341, "NA")</f>
        <v>11155.060000000001</v>
      </c>
      <c r="R343" s="15">
        <f>IFERROR(Q343/Q444, "NA")</f>
        <v>0.1747856556510774</v>
      </c>
      <c r="S343" s="2"/>
      <c r="T343" s="14">
        <f>IFERROR(T328+T329+T330+T331+T332+T333+T334+T335+T337+T338+T339+T340+T341, "NA")</f>
        <v>10252.08</v>
      </c>
      <c r="U343" s="15">
        <f>IFERROR(T343/T444, "NA")</f>
        <v>0.21216763181628726</v>
      </c>
      <c r="V343" s="2"/>
      <c r="W343" s="14">
        <f t="shared" si="86"/>
        <v>-902.98000000000138</v>
      </c>
      <c r="X343" s="15">
        <f>IFERROR(W343/W444, "NA")</f>
        <v>-5.8254105779670828E-2</v>
      </c>
      <c r="Y343" s="2"/>
      <c r="Z343" s="14">
        <f>IFERROR(Z328+Z329+Z330+Z331+Z332+Z333+Z334+Z335+Z337+Z338+Z339+Z340+Z341, "NA")</f>
        <v>12168.070000000002</v>
      </c>
      <c r="AA343" s="15">
        <f>IFERROR(Z343/Z444, "NA")</f>
        <v>0.23671008336745786</v>
      </c>
      <c r="AB343" s="2"/>
      <c r="AC343" s="14">
        <f t="shared" si="87"/>
        <v>1013.0100000000002</v>
      </c>
      <c r="AD343" s="15">
        <f>IFERROR(AC343/AC444, "NA")</f>
        <v>8.1586318761768667E-2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11155.060000000001</v>
      </c>
      <c r="C344" s="15">
        <f>IFERROR(B344/B444, "NA")</f>
        <v>0.1747856556510774</v>
      </c>
      <c r="D344" s="2"/>
      <c r="E344" s="14">
        <f>IFERROR(E328+E329+E330+E331+E332+E333+E334+E335+E337+E338+E339+E340+E341, "NA")</f>
        <v>10252.08</v>
      </c>
      <c r="F344" s="15">
        <f>IFERROR(E344/E444, "NA")</f>
        <v>0.21216763181628726</v>
      </c>
      <c r="G344" s="2"/>
      <c r="H344" s="14">
        <f t="shared" si="84"/>
        <v>-902.98000000000138</v>
      </c>
      <c r="I344" s="15">
        <f>IFERROR(H344/H444, "NA")</f>
        <v>-5.8254105779670828E-2</v>
      </c>
      <c r="J344" s="2"/>
      <c r="K344" s="14">
        <f>IFERROR(K328+K329+K330+K331+K332+K333+K334+K335+K337+K338+K339+K340+K341, "NA")</f>
        <v>12168.070000000002</v>
      </c>
      <c r="L344" s="15">
        <f>IFERROR(K344/K444, "NA")</f>
        <v>0.23671008336745786</v>
      </c>
      <c r="M344" s="2"/>
      <c r="N344" s="14">
        <f t="shared" si="85"/>
        <v>1013.0100000000002</v>
      </c>
      <c r="O344" s="15">
        <f>IFERROR(N344/N444, "NA")</f>
        <v>8.1586318761768667E-2</v>
      </c>
      <c r="P344" s="2"/>
      <c r="Q344" s="14">
        <f>IFERROR(Q328+Q329+Q330+Q331+Q332+Q333+Q334+Q335+Q337+Q338+Q339+Q340+Q341, "NA")</f>
        <v>11155.060000000001</v>
      </c>
      <c r="R344" s="15">
        <f>IFERROR(Q344/Q444, "NA")</f>
        <v>0.1747856556510774</v>
      </c>
      <c r="S344" s="2"/>
      <c r="T344" s="14">
        <f>IFERROR(T328+T329+T330+T331+T332+T333+T334+T335+T337+T338+T339+T340+T341, "NA")</f>
        <v>10252.08</v>
      </c>
      <c r="U344" s="15">
        <f>IFERROR(T344/T444, "NA")</f>
        <v>0.21216763181628726</v>
      </c>
      <c r="V344" s="2"/>
      <c r="W344" s="14">
        <f t="shared" si="86"/>
        <v>-902.98000000000138</v>
      </c>
      <c r="X344" s="15">
        <f>IFERROR(W344/W444, "NA")</f>
        <v>-5.8254105779670828E-2</v>
      </c>
      <c r="Y344" s="2"/>
      <c r="Z344" s="14">
        <f>IFERROR(Z328+Z329+Z330+Z331+Z332+Z333+Z334+Z335+Z337+Z338+Z339+Z340+Z341, "NA")</f>
        <v>12168.070000000002</v>
      </c>
      <c r="AA344" s="15">
        <f>IFERROR(Z344/Z444, "NA")</f>
        <v>0.23671008336745786</v>
      </c>
      <c r="AB344" s="2"/>
      <c r="AC344" s="14">
        <f t="shared" si="87"/>
        <v>1013.0100000000002</v>
      </c>
      <c r="AD344" s="15">
        <f>IFERROR(AC344/AC444, "NA")</f>
        <v>8.1586318761768667E-2</v>
      </c>
    </row>
    <row r="345" spans="1:30" ht="16.5" customHeight="1" x14ac:dyDescent="0.45">
      <c r="A345" s="22" t="s">
        <v>315</v>
      </c>
      <c r="B345" s="23">
        <f>IFERROR(B198-B325-B344, "NA")</f>
        <v>-6154.5900000000074</v>
      </c>
      <c r="C345" s="24">
        <f>IFERROR(B345/B444, "NA")</f>
        <v>-9.6434626834240741E-2</v>
      </c>
      <c r="D345" s="25"/>
      <c r="E345" s="23">
        <f>IFERROR(E198-E325-E344, "NA")</f>
        <v>-7457.1200000000008</v>
      </c>
      <c r="F345" s="24">
        <f>IFERROR(E345/E444, "NA")</f>
        <v>-0.1543257066439076</v>
      </c>
      <c r="G345" s="25"/>
      <c r="H345" s="23">
        <f>IFERROR(B345-E345, "NA")</f>
        <v>1302.5299999999934</v>
      </c>
      <c r="I345" s="24">
        <f>IFERROR(H345/H444, "NA")</f>
        <v>8.4030344416481148E-2</v>
      </c>
      <c r="J345" s="25"/>
      <c r="K345" s="23">
        <f>IFERROR(K198-K325-K344, "NA")</f>
        <v>-10349.989999999991</v>
      </c>
      <c r="L345" s="24">
        <f>IFERROR(K345/K444, "NA")</f>
        <v>-0.20134228318479039</v>
      </c>
      <c r="M345" s="25"/>
      <c r="N345" s="23">
        <f>IFERROR(B345-K345, "NA")</f>
        <v>4195.3999999999833</v>
      </c>
      <c r="O345" s="24">
        <f>IFERROR(N345/N444, "NA")</f>
        <v>0.33789127622937865</v>
      </c>
      <c r="P345" s="25"/>
      <c r="Q345" s="23">
        <f>IFERROR(Q198-Q325-Q344, "NA")</f>
        <v>-6154.5900000000074</v>
      </c>
      <c r="R345" s="24">
        <f>IFERROR(Q345/Q444, "NA")</f>
        <v>-9.6434626834240741E-2</v>
      </c>
      <c r="S345" s="25"/>
      <c r="T345" s="23">
        <f>IFERROR(T198-T325-T344, "NA")</f>
        <v>-7457.1200000000008</v>
      </c>
      <c r="U345" s="24">
        <f>IFERROR(T345/T444, "NA")</f>
        <v>-0.1543257066439076</v>
      </c>
      <c r="V345" s="25"/>
      <c r="W345" s="23">
        <f>IFERROR(Q345-T345, "NA")</f>
        <v>1302.5299999999934</v>
      </c>
      <c r="X345" s="24">
        <f>IFERROR(W345/W444, "NA")</f>
        <v>8.4030344416481148E-2</v>
      </c>
      <c r="Y345" s="25"/>
      <c r="Z345" s="23">
        <f>IFERROR(Z198-Z325-Z344, "NA")</f>
        <v>-10349.989999999991</v>
      </c>
      <c r="AA345" s="24">
        <f>IFERROR(Z345/Z444, "NA")</f>
        <v>-0.20134228318479039</v>
      </c>
      <c r="AB345" s="25"/>
      <c r="AC345" s="23">
        <f>IFERROR(Q345-Z345, "NA")</f>
        <v>4195.3999999999833</v>
      </c>
      <c r="AD345" s="24">
        <f>IFERROR(AC345/AC444, "NA")</f>
        <v>0.33789127622937865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-6154.5900000000074</v>
      </c>
      <c r="C404" s="24">
        <f>IFERROR(B404/B444, "NA")</f>
        <v>-9.6434626834240741E-2</v>
      </c>
      <c r="D404" s="25"/>
      <c r="E404" s="23">
        <f>IFERROR(E345-E403, "NA")</f>
        <v>-7457.1200000000008</v>
      </c>
      <c r="F404" s="24">
        <f>IFERROR(E404/E444, "NA")</f>
        <v>-0.1543257066439076</v>
      </c>
      <c r="G404" s="25"/>
      <c r="H404" s="23">
        <f>IFERROR(B404-E404, "NA")</f>
        <v>1302.5299999999934</v>
      </c>
      <c r="I404" s="24">
        <f>IFERROR(H404/H444, "NA")</f>
        <v>8.4030344416481148E-2</v>
      </c>
      <c r="J404" s="25"/>
      <c r="K404" s="23">
        <f>IFERROR(K345-K403, "NA")</f>
        <v>-10349.989999999991</v>
      </c>
      <c r="L404" s="24">
        <f>IFERROR(K404/K444, "NA")</f>
        <v>-0.20134228318479039</v>
      </c>
      <c r="M404" s="25"/>
      <c r="N404" s="23">
        <f>IFERROR(B404-K404, "NA")</f>
        <v>4195.3999999999833</v>
      </c>
      <c r="O404" s="24">
        <f>IFERROR(N404/N444, "NA")</f>
        <v>0.33789127622937865</v>
      </c>
      <c r="P404" s="25"/>
      <c r="Q404" s="23">
        <f>IFERROR(Q345-Q403, "NA")</f>
        <v>-6154.5900000000074</v>
      </c>
      <c r="R404" s="24">
        <f>IFERROR(Q404/Q444, "NA")</f>
        <v>-9.6434626834240741E-2</v>
      </c>
      <c r="S404" s="25"/>
      <c r="T404" s="23">
        <f>IFERROR(T345-T403, "NA")</f>
        <v>-7457.1200000000008</v>
      </c>
      <c r="U404" s="24">
        <f>IFERROR(T404/T444, "NA")</f>
        <v>-0.1543257066439076</v>
      </c>
      <c r="V404" s="25"/>
      <c r="W404" s="23">
        <f>IFERROR(Q404-T404, "NA")</f>
        <v>1302.5299999999934</v>
      </c>
      <c r="X404" s="24">
        <f>IFERROR(W404/W444, "NA")</f>
        <v>8.4030344416481148E-2</v>
      </c>
      <c r="Y404" s="25"/>
      <c r="Z404" s="23">
        <f>IFERROR(Z345-Z403, "NA")</f>
        <v>-10349.989999999991</v>
      </c>
      <c r="AA404" s="24">
        <f>IFERROR(Z404/Z444, "NA")</f>
        <v>-0.20134228318479039</v>
      </c>
      <c r="AB404" s="25"/>
      <c r="AC404" s="23">
        <f>IFERROR(Q404-Z404, "NA")</f>
        <v>4195.3999999999833</v>
      </c>
      <c r="AD404" s="24">
        <f>IFERROR(AC404/AC444, "NA")</f>
        <v>0.33789127622937865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3786.64</v>
      </c>
      <c r="C410" s="8">
        <f>IFERROR(B410/B444, "NA")</f>
        <v>5.9331850757826099E-2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-3786.64</v>
      </c>
      <c r="I410" s="8">
        <f>IFERROR(H410/H444, "NA")</f>
        <v>-0.2442881648647062</v>
      </c>
      <c r="J410" s="9"/>
      <c r="K410" s="7">
        <v>3408.24</v>
      </c>
      <c r="L410" s="8">
        <f>IFERROR(K410/K444, "NA")</f>
        <v>6.6301786112037853E-2</v>
      </c>
      <c r="M410" s="9"/>
      <c r="N410" s="10">
        <f t="shared" si="101"/>
        <v>-378.40000000000009</v>
      </c>
      <c r="O410" s="8">
        <f>IFERROR(N410/N444, "NA")</f>
        <v>-3.0475773209991279E-2</v>
      </c>
      <c r="P410" s="9"/>
      <c r="Q410" s="7">
        <v>3786.64</v>
      </c>
      <c r="R410" s="8">
        <f>IFERROR(Q410/Q444, "NA")</f>
        <v>5.9331850757826099E-2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-3786.64</v>
      </c>
      <c r="X410" s="8">
        <f>IFERROR(W410/W444, "NA")</f>
        <v>-0.2442881648647062</v>
      </c>
      <c r="Y410" s="9"/>
      <c r="Z410" s="7">
        <v>3408.24</v>
      </c>
      <c r="AA410" s="8">
        <f>IFERROR(Z410/Z444, "NA")</f>
        <v>6.6301786112037853E-2</v>
      </c>
      <c r="AB410" s="9"/>
      <c r="AC410" s="10">
        <f t="shared" si="103"/>
        <v>-378.40000000000009</v>
      </c>
      <c r="AD410" s="8">
        <f>IFERROR(AC410/AC444, "NA")</f>
        <v>-3.0475773209991279E-2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72.64</v>
      </c>
      <c r="C417" s="8">
        <f>IFERROR(B417/B444, "NA")</f>
        <v>1.1381767580357488E-3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-72.64</v>
      </c>
      <c r="I417" s="8">
        <f>IFERROR(H417/H444, "NA")</f>
        <v>-4.6862369530169907E-3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-72.64</v>
      </c>
      <c r="O417" s="8">
        <f>IFERROR(N417/N444, "NA")</f>
        <v>-5.8503175633556181E-3</v>
      </c>
      <c r="P417" s="9"/>
      <c r="Q417" s="7">
        <v>72.64</v>
      </c>
      <c r="R417" s="8">
        <f>IFERROR(Q417/Q444, "NA")</f>
        <v>1.1381767580357488E-3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-72.64</v>
      </c>
      <c r="X417" s="8">
        <f>IFERROR(W417/W444, "NA")</f>
        <v>-4.6862369530169907E-3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-72.64</v>
      </c>
      <c r="AD417" s="8">
        <f>IFERROR(AC417/AC444, "NA")</f>
        <v>-5.8503175633556181E-3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7.5084568068657881E-4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-3.0914712938955704E-3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-3.8594055291299731E-3</v>
      </c>
      <c r="P424" s="9"/>
      <c r="Q424" s="7">
        <v>47.92</v>
      </c>
      <c r="R424" s="8">
        <f>IFERROR(Q424/Q444, "NA")</f>
        <v>7.5084568068657881E-4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-47.92</v>
      </c>
      <c r="X424" s="8">
        <f>IFERROR(W424/W444, "NA")</f>
        <v>-3.0914712938955704E-3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-47.92</v>
      </c>
      <c r="AD424" s="8">
        <f>IFERROR(AC424/AC444, "NA")</f>
        <v>-3.8594055291299731E-3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-143.05000000000001</v>
      </c>
      <c r="C426" s="8">
        <f>IFERROR(B426/B444, "NA")</f>
        <v>-2.2414122416989798E-3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143.05000000000001</v>
      </c>
      <c r="I426" s="8">
        <f>IFERROR(H426/H444, "NA")</f>
        <v>9.2286095282087099E-3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143.05000000000001</v>
      </c>
      <c r="O426" s="8">
        <f>IFERROR(N426/N444, "NA")</f>
        <v>1.1521034243364831E-2</v>
      </c>
      <c r="P426" s="9"/>
      <c r="Q426" s="7">
        <v>-143.05000000000001</v>
      </c>
      <c r="R426" s="8">
        <f>IFERROR(Q426/Q444, "NA")</f>
        <v>-2.2414122416989798E-3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143.05000000000001</v>
      </c>
      <c r="X426" s="8">
        <f>IFERROR(W426/W444, "NA")</f>
        <v>9.2286095282087099E-3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143.05000000000001</v>
      </c>
      <c r="AD426" s="8">
        <f>IFERROR(AC426/AC444, "NA")</f>
        <v>1.1521034243364831E-2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3764.1499999999996</v>
      </c>
      <c r="C428" s="15">
        <f>IFERROR(B428/B444, "NA")</f>
        <v>5.897946095484944E-2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-3764.1499999999996</v>
      </c>
      <c r="I428" s="15">
        <f>IFERROR(H428/H444, "NA")</f>
        <v>-0.24283726358341004</v>
      </c>
      <c r="J428" s="2"/>
      <c r="K428" s="14">
        <f>IFERROR(K407+K408+K409+K410+K411+K412+K413+K414+K415+K416+K417+K418+K419+K420+K421+K422+K423+K424+K425+K426+K427, "NA")</f>
        <v>3408.24</v>
      </c>
      <c r="L428" s="15">
        <f>IFERROR(K428/K444, "NA")</f>
        <v>6.6301786112037853E-2</v>
      </c>
      <c r="M428" s="2"/>
      <c r="N428" s="14">
        <f t="shared" si="101"/>
        <v>-355.90999999999985</v>
      </c>
      <c r="O428" s="15">
        <f>IFERROR(N428/N444, "NA")</f>
        <v>-2.8664462059112022E-2</v>
      </c>
      <c r="P428" s="2"/>
      <c r="Q428" s="14">
        <f>IFERROR(Q407+Q408+Q409+Q410+Q411+Q412+Q413+Q414+Q415+Q416+Q417+Q418+Q419+Q420+Q421+Q422+Q423+Q424+Q425+Q426+Q427, "NA")</f>
        <v>3764.1499999999996</v>
      </c>
      <c r="R428" s="15">
        <f>IFERROR(Q428/Q444, "NA")</f>
        <v>5.897946095484944E-2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-3764.1499999999996</v>
      </c>
      <c r="X428" s="15">
        <f>IFERROR(W428/W444, "NA")</f>
        <v>-0.24283726358341004</v>
      </c>
      <c r="Y428" s="2"/>
      <c r="Z428" s="14">
        <f>IFERROR(Z407+Z408+Z409+Z410+Z411+Z412+Z413+Z414+Z415+Z416+Z417+Z418+Z419+Z420+Z421+Z422+Z423+Z424+Z425+Z426+Z427, "NA")</f>
        <v>3408.24</v>
      </c>
      <c r="AA428" s="15">
        <f>IFERROR(Z428/Z444, "NA")</f>
        <v>6.6301786112037853E-2</v>
      </c>
      <c r="AB428" s="2"/>
      <c r="AC428" s="14">
        <f t="shared" si="103"/>
        <v>-355.90999999999985</v>
      </c>
      <c r="AD428" s="15">
        <f>IFERROR(AC428/AC444, "NA")</f>
        <v>-2.8664462059112022E-2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3764.1499999999996</v>
      </c>
      <c r="C429" s="15">
        <f>IFERROR(B429/B444, "NA")</f>
        <v>5.897946095484944E-2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-3764.1499999999996</v>
      </c>
      <c r="I429" s="15">
        <f>IFERROR(H429/H444, "NA")</f>
        <v>-0.24283726358341004</v>
      </c>
      <c r="J429" s="2"/>
      <c r="K429" s="14">
        <f>IFERROR(K407+K408+K409+K410+K411+K412+K413+K414+K415+K416+K417+K418+K419+K420+K421+K422+K423+K424+K425+K426+K427, "NA")</f>
        <v>3408.24</v>
      </c>
      <c r="L429" s="15">
        <f>IFERROR(K429/K444, "NA")</f>
        <v>6.6301786112037853E-2</v>
      </c>
      <c r="M429" s="2"/>
      <c r="N429" s="14">
        <f t="shared" si="101"/>
        <v>-355.90999999999985</v>
      </c>
      <c r="O429" s="15">
        <f>IFERROR(N429/N444, "NA")</f>
        <v>-2.8664462059112022E-2</v>
      </c>
      <c r="P429" s="2"/>
      <c r="Q429" s="14">
        <f>IFERROR(Q407+Q408+Q409+Q410+Q411+Q412+Q413+Q414+Q415+Q416+Q417+Q418+Q419+Q420+Q421+Q422+Q423+Q424+Q425+Q426+Q427, "NA")</f>
        <v>3764.1499999999996</v>
      </c>
      <c r="R429" s="15">
        <f>IFERROR(Q429/Q444, "NA")</f>
        <v>5.897946095484944E-2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-3764.1499999999996</v>
      </c>
      <c r="X429" s="15">
        <f>IFERROR(W429/W444, "NA")</f>
        <v>-0.24283726358341004</v>
      </c>
      <c r="Y429" s="2"/>
      <c r="Z429" s="14">
        <f>IFERROR(Z407+Z408+Z409+Z410+Z411+Z412+Z413+Z414+Z415+Z416+Z417+Z418+Z419+Z420+Z421+Z422+Z423+Z424+Z425+Z426+Z427, "NA")</f>
        <v>3408.24</v>
      </c>
      <c r="AA429" s="15">
        <f>IFERROR(Z429/Z444, "NA")</f>
        <v>6.6301786112037853E-2</v>
      </c>
      <c r="AB429" s="2"/>
      <c r="AC429" s="14">
        <f t="shared" si="103"/>
        <v>-355.90999999999985</v>
      </c>
      <c r="AD429" s="15">
        <f>IFERROR(AC429/AC444, "NA")</f>
        <v>-2.8664462059112022E-2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-9918.7400000000071</v>
      </c>
      <c r="C443" s="24">
        <f>IFERROR(B443/B444, "NA")</f>
        <v>-0.15541408778909019</v>
      </c>
      <c r="D443" s="25"/>
      <c r="E443" s="23">
        <f>IFERROR(E404-E429-E442, "NA")</f>
        <v>-7457.1200000000008</v>
      </c>
      <c r="F443" s="24">
        <f>IFERROR(E443/E444, "NA")</f>
        <v>-0.1543257066439076</v>
      </c>
      <c r="G443" s="25"/>
      <c r="H443" s="23">
        <f>IFERROR(B443-E443, "NA")</f>
        <v>-2461.6200000000063</v>
      </c>
      <c r="I443" s="24">
        <f>IFERROR(H443/H444, "NA")</f>
        <v>-0.15880691916692891</v>
      </c>
      <c r="J443" s="25"/>
      <c r="K443" s="23">
        <f>IFERROR(K404-K429-K442, "NA")</f>
        <v>-13758.22999999999</v>
      </c>
      <c r="L443" s="24">
        <f>IFERROR(K443/K444, "NA")</f>
        <v>-0.26764406929682827</v>
      </c>
      <c r="M443" s="25"/>
      <c r="N443" s="23">
        <f>IFERROR(B443-K443, "NA")</f>
        <v>3839.4899999999834</v>
      </c>
      <c r="O443" s="24">
        <f>IFERROR(N443/N444, "NA")</f>
        <v>0.3092268141702666</v>
      </c>
      <c r="P443" s="25"/>
      <c r="Q443" s="23">
        <f>IFERROR(Q404-Q429-Q442, "NA")</f>
        <v>-9918.7400000000071</v>
      </c>
      <c r="R443" s="24">
        <f>IFERROR(Q443/Q444, "NA")</f>
        <v>-0.15541408778909019</v>
      </c>
      <c r="S443" s="25"/>
      <c r="T443" s="23">
        <f>IFERROR(T404-T429-T442, "NA")</f>
        <v>-7457.1200000000008</v>
      </c>
      <c r="U443" s="24">
        <f>IFERROR(T443/T444, "NA")</f>
        <v>-0.1543257066439076</v>
      </c>
      <c r="V443" s="25"/>
      <c r="W443" s="23">
        <f>IFERROR(Q443-T443, "NA")</f>
        <v>-2461.6200000000063</v>
      </c>
      <c r="X443" s="24">
        <f>IFERROR(W443/W444, "NA")</f>
        <v>-0.15880691916692891</v>
      </c>
      <c r="Y443" s="25"/>
      <c r="Z443" s="23">
        <f>IFERROR(Z404-Z429-Z442, "NA")</f>
        <v>-13758.22999999999</v>
      </c>
      <c r="AA443" s="24">
        <f>IFERROR(Z443/Z444, "NA")</f>
        <v>-0.26764406929682827</v>
      </c>
      <c r="AB443" s="25"/>
      <c r="AC443" s="23">
        <f>IFERROR(Q443-Z443, "NA")</f>
        <v>3839.4899999999834</v>
      </c>
      <c r="AD443" s="24">
        <f>IFERROR(AC443/AC444, "NA")</f>
        <v>0.3092268141702666</v>
      </c>
    </row>
    <row r="444" spans="1:30" ht="15.75" hidden="1" x14ac:dyDescent="0.45">
      <c r="A444" s="26" t="s">
        <v>117</v>
      </c>
      <c r="B444" s="7">
        <v>63821.37</v>
      </c>
      <c r="C444" s="27"/>
      <c r="D444" s="9"/>
      <c r="E444" s="7">
        <v>48320.66</v>
      </c>
      <c r="F444" s="27"/>
      <c r="G444" s="9"/>
      <c r="H444" s="10">
        <f>IFERROR(B444-E444, "NA")</f>
        <v>15500.71</v>
      </c>
      <c r="I444" s="27"/>
      <c r="J444" s="9"/>
      <c r="K444" s="7">
        <v>51404.95</v>
      </c>
      <c r="L444" s="27"/>
      <c r="M444" s="9"/>
      <c r="N444" s="10">
        <f>IFERROR(B444-K444, "NA")</f>
        <v>12416.420000000006</v>
      </c>
      <c r="O444" s="27"/>
      <c r="P444" s="9"/>
      <c r="Q444" s="7">
        <v>63821.37</v>
      </c>
      <c r="R444" s="27"/>
      <c r="S444" s="9"/>
      <c r="T444" s="7">
        <v>48320.66</v>
      </c>
      <c r="U444" s="27"/>
      <c r="V444" s="9"/>
      <c r="W444" s="10">
        <f>IFERROR(Q444-T444, "NA")</f>
        <v>15500.71</v>
      </c>
      <c r="X444" s="27"/>
      <c r="Y444" s="9"/>
      <c r="Z444" s="7">
        <v>51404.95</v>
      </c>
      <c r="AA444" s="27"/>
      <c r="AB444" s="9"/>
      <c r="AC444" s="10">
        <f>IFERROR(Q444-Z444, "NA")</f>
        <v>12416.420000000006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23197.67</v>
      </c>
      <c r="F10" s="8">
        <f>IFERROR(E10/E444, "NA")</f>
        <v>0.23999994620150555</v>
      </c>
      <c r="G10" s="9"/>
      <c r="H10" s="10">
        <f t="shared" ref="H10:H19" si="0">IFERROR(B10-E10, "NA")</f>
        <v>-23197.67</v>
      </c>
      <c r="I10" s="8">
        <f>IFERROR(H10/H444, "NA")</f>
        <v>-0.56668029767383676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23197.67</v>
      </c>
      <c r="U10" s="8">
        <f>IFERROR(T10/T444, "NA")</f>
        <v>0.23999994620150555</v>
      </c>
      <c r="V10" s="9"/>
      <c r="W10" s="10">
        <f t="shared" ref="W10:W19" si="2">IFERROR(Q10-T10, "NA")</f>
        <v>-23197.67</v>
      </c>
      <c r="X10" s="8">
        <f>IFERROR(W10/W444, "NA")</f>
        <v>-0.56668029767383676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29365.45</v>
      </c>
      <c r="C11" s="8">
        <f>IFERROR(B11/B444, "NA")</f>
        <v>0.21342246476675497</v>
      </c>
      <c r="D11" s="9"/>
      <c r="E11" s="7">
        <v>0</v>
      </c>
      <c r="F11" s="8">
        <f>IFERROR(E11/E444, "NA")</f>
        <v>0</v>
      </c>
      <c r="G11" s="9"/>
      <c r="H11" s="10">
        <f t="shared" si="0"/>
        <v>29365.45</v>
      </c>
      <c r="I11" s="8">
        <f>IFERROR(H11/H444, "NA")</f>
        <v>0.71734885216171163</v>
      </c>
      <c r="J11" s="9"/>
      <c r="K11" s="7">
        <v>29858.51</v>
      </c>
      <c r="L11" s="8">
        <f>IFERROR(K11/K444, "NA")</f>
        <v>0.28419913854618889</v>
      </c>
      <c r="M11" s="9"/>
      <c r="N11" s="10">
        <f t="shared" si="1"/>
        <v>-493.05999999999767</v>
      </c>
      <c r="O11" s="8">
        <f>IFERROR(N11/N444, "NA")</f>
        <v>-1.5156559271073511E-2</v>
      </c>
      <c r="P11" s="9"/>
      <c r="Q11" s="7">
        <v>29365.45</v>
      </c>
      <c r="R11" s="8">
        <f>IFERROR(Q11/Q444, "NA")</f>
        <v>0.21342246476675497</v>
      </c>
      <c r="S11" s="9"/>
      <c r="T11" s="7">
        <v>0</v>
      </c>
      <c r="U11" s="8">
        <f>IFERROR(T11/T444, "NA")</f>
        <v>0</v>
      </c>
      <c r="V11" s="9"/>
      <c r="W11" s="10">
        <f t="shared" si="2"/>
        <v>29365.45</v>
      </c>
      <c r="X11" s="8">
        <f>IFERROR(W11/W444, "NA")</f>
        <v>0.71734885216171163</v>
      </c>
      <c r="Y11" s="9"/>
      <c r="Z11" s="7">
        <v>29858.51</v>
      </c>
      <c r="AA11" s="8">
        <f>IFERROR(Z11/Z444, "NA")</f>
        <v>0.28419913854618889</v>
      </c>
      <c r="AB11" s="9"/>
      <c r="AC11" s="10">
        <f t="shared" si="3"/>
        <v>-493.05999999999767</v>
      </c>
      <c r="AD11" s="8">
        <f>IFERROR(AC11/AC444, "NA")</f>
        <v>-1.5156559271073511E-2</v>
      </c>
    </row>
    <row r="12" spans="1:30" ht="16.5" customHeight="1" x14ac:dyDescent="0.45">
      <c r="A12" s="12" t="s">
        <v>14</v>
      </c>
      <c r="B12" s="7">
        <v>2381.5500000000002</v>
      </c>
      <c r="C12" s="8">
        <f>IFERROR(B12/B444, "NA")</f>
        <v>1.7308649142623912E-2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2381.5500000000002</v>
      </c>
      <c r="I12" s="8">
        <f>IFERROR(H12/H444, "NA")</f>
        <v>5.81772851723956E-2</v>
      </c>
      <c r="J12" s="9"/>
      <c r="K12" s="7">
        <v>2328.5500000000002</v>
      </c>
      <c r="L12" s="8">
        <f>IFERROR(K12/K444, "NA")</f>
        <v>2.2163594367626792E-2</v>
      </c>
      <c r="M12" s="9"/>
      <c r="N12" s="10">
        <f t="shared" si="1"/>
        <v>53</v>
      </c>
      <c r="O12" s="8">
        <f>IFERROR(N12/N444, "NA")</f>
        <v>1.6292086994826184E-3</v>
      </c>
      <c r="P12" s="9"/>
      <c r="Q12" s="7">
        <v>2381.5500000000002</v>
      </c>
      <c r="R12" s="8">
        <f>IFERROR(Q12/Q444, "NA")</f>
        <v>1.7308649142623912E-2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2381.5500000000002</v>
      </c>
      <c r="X12" s="8">
        <f>IFERROR(W12/W444, "NA")</f>
        <v>5.81772851723956E-2</v>
      </c>
      <c r="Y12" s="9"/>
      <c r="Z12" s="7">
        <v>2328.5500000000002</v>
      </c>
      <c r="AA12" s="8">
        <f>IFERROR(Z12/Z444, "NA")</f>
        <v>2.2163594367626792E-2</v>
      </c>
      <c r="AB12" s="9"/>
      <c r="AC12" s="10">
        <f t="shared" si="3"/>
        <v>53</v>
      </c>
      <c r="AD12" s="8">
        <f>IFERROR(AC12/AC444, "NA")</f>
        <v>1.6292086994826184E-3</v>
      </c>
    </row>
    <row r="13" spans="1:30" ht="16.5" customHeight="1" x14ac:dyDescent="0.45">
      <c r="A13" s="12" t="s">
        <v>15</v>
      </c>
      <c r="B13" s="7">
        <v>132</v>
      </c>
      <c r="C13" s="8">
        <f>IFERROR(B13/B444, "NA")</f>
        <v>9.5935071143849848E-4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132</v>
      </c>
      <c r="I13" s="8">
        <f>IFERROR(H13/H444, "NA")</f>
        <v>3.224539330585635E-3</v>
      </c>
      <c r="J13" s="9"/>
      <c r="K13" s="7">
        <v>118</v>
      </c>
      <c r="L13" s="8">
        <f>IFERROR(K13/K444, "NA")</f>
        <v>1.1231470809645321E-3</v>
      </c>
      <c r="M13" s="9"/>
      <c r="N13" s="10">
        <f t="shared" si="1"/>
        <v>14</v>
      </c>
      <c r="O13" s="8">
        <f>IFERROR(N13/N444, "NA")</f>
        <v>4.3035701495767277E-4</v>
      </c>
      <c r="P13" s="9"/>
      <c r="Q13" s="7">
        <v>132</v>
      </c>
      <c r="R13" s="8">
        <f>IFERROR(Q13/Q444, "NA")</f>
        <v>9.5935071143849848E-4</v>
      </c>
      <c r="S13" s="9"/>
      <c r="T13" s="7">
        <v>0</v>
      </c>
      <c r="U13" s="8">
        <f>IFERROR(T13/T444, "NA")</f>
        <v>0</v>
      </c>
      <c r="V13" s="9"/>
      <c r="W13" s="10">
        <f t="shared" si="2"/>
        <v>132</v>
      </c>
      <c r="X13" s="8">
        <f>IFERROR(W13/W444, "NA")</f>
        <v>3.224539330585635E-3</v>
      </c>
      <c r="Y13" s="9"/>
      <c r="Z13" s="7">
        <v>118</v>
      </c>
      <c r="AA13" s="8">
        <f>IFERROR(Z13/Z444, "NA")</f>
        <v>1.1231470809645321E-3</v>
      </c>
      <c r="AB13" s="9"/>
      <c r="AC13" s="10">
        <f t="shared" si="3"/>
        <v>14</v>
      </c>
      <c r="AD13" s="8">
        <f>IFERROR(AC13/AC444, "NA")</f>
        <v>4.3035701495767277E-4</v>
      </c>
    </row>
    <row r="14" spans="1:30" ht="16.5" customHeight="1" x14ac:dyDescent="0.45">
      <c r="A14" s="12" t="s">
        <v>16</v>
      </c>
      <c r="B14" s="7">
        <v>195</v>
      </c>
      <c r="C14" s="8">
        <f>IFERROR(B14/B444, "NA")</f>
        <v>1.4172226418977818E-3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195</v>
      </c>
      <c r="I14" s="8">
        <f>IFERROR(H14/H444, "NA")</f>
        <v>4.7635240110924151E-3</v>
      </c>
      <c r="J14" s="9"/>
      <c r="K14" s="7">
        <v>270</v>
      </c>
      <c r="L14" s="8">
        <f>IFERROR(K14/K444, "NA")</f>
        <v>2.5699128123764718E-3</v>
      </c>
      <c r="M14" s="9"/>
      <c r="N14" s="10">
        <f t="shared" si="1"/>
        <v>-75</v>
      </c>
      <c r="O14" s="8">
        <f>IFERROR(N14/N444, "NA")</f>
        <v>-2.3054840087018184E-3</v>
      </c>
      <c r="P14" s="9"/>
      <c r="Q14" s="7">
        <v>195</v>
      </c>
      <c r="R14" s="8">
        <f>IFERROR(Q14/Q444, "NA")</f>
        <v>1.4172226418977818E-3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195</v>
      </c>
      <c r="X14" s="8">
        <f>IFERROR(W14/W444, "NA")</f>
        <v>4.7635240110924151E-3</v>
      </c>
      <c r="Y14" s="9"/>
      <c r="Z14" s="7">
        <v>270</v>
      </c>
      <c r="AA14" s="8">
        <f>IFERROR(Z14/Z444, "NA")</f>
        <v>2.5699128123764718E-3</v>
      </c>
      <c r="AB14" s="9"/>
      <c r="AC14" s="10">
        <f t="shared" si="3"/>
        <v>-75</v>
      </c>
      <c r="AD14" s="8">
        <f>IFERROR(AC14/AC444, "NA")</f>
        <v>-2.3054840087018184E-3</v>
      </c>
    </row>
    <row r="15" spans="1:30" ht="16.5" customHeight="1" x14ac:dyDescent="0.45">
      <c r="A15" s="12" t="s">
        <v>17</v>
      </c>
      <c r="B15" s="7">
        <v>21</v>
      </c>
      <c r="C15" s="8">
        <f>IFERROR(B15/B444, "NA")</f>
        <v>1.5262397681976112E-4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21</v>
      </c>
      <c r="I15" s="8">
        <f>IFERROR(H15/H444, "NA")</f>
        <v>5.1299489350226004E-4</v>
      </c>
      <c r="J15" s="9"/>
      <c r="K15" s="7">
        <v>16</v>
      </c>
      <c r="L15" s="8">
        <f>IFERROR(K15/K444, "NA")</f>
        <v>1.5229112962230945E-4</v>
      </c>
      <c r="M15" s="9"/>
      <c r="N15" s="10">
        <f t="shared" si="1"/>
        <v>5</v>
      </c>
      <c r="O15" s="8">
        <f>IFERROR(N15/N444, "NA")</f>
        <v>1.5369893391345456E-4</v>
      </c>
      <c r="P15" s="9"/>
      <c r="Q15" s="7">
        <v>21</v>
      </c>
      <c r="R15" s="8">
        <f>IFERROR(Q15/Q444, "NA")</f>
        <v>1.5262397681976112E-4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21</v>
      </c>
      <c r="X15" s="8">
        <f>IFERROR(W15/W444, "NA")</f>
        <v>5.1299489350226004E-4</v>
      </c>
      <c r="Y15" s="9"/>
      <c r="Z15" s="7">
        <v>16</v>
      </c>
      <c r="AA15" s="8">
        <f>IFERROR(Z15/Z444, "NA")</f>
        <v>1.5229112962230945E-4</v>
      </c>
      <c r="AB15" s="9"/>
      <c r="AC15" s="10">
        <f t="shared" si="3"/>
        <v>5</v>
      </c>
      <c r="AD15" s="8">
        <f>IFERROR(AC15/AC444, "NA")</f>
        <v>1.5369893391345456E-4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32095</v>
      </c>
      <c r="C18" s="15">
        <f>IFERROR(B18/B444, "NA")</f>
        <v>0.23326031123953492</v>
      </c>
      <c r="D18" s="2"/>
      <c r="E18" s="14">
        <f>IFERROR(E10+E11+E12+E13+E14+E15+E16+E17, "NA")</f>
        <v>23197.67</v>
      </c>
      <c r="F18" s="15">
        <f>IFERROR(E18/E444, "NA")</f>
        <v>0.23999994620150555</v>
      </c>
      <c r="G18" s="2"/>
      <c r="H18" s="14">
        <f t="shared" si="0"/>
        <v>8897.3300000000017</v>
      </c>
      <c r="I18" s="15">
        <f>IFERROR(H18/H444, "NA")</f>
        <v>0.2173468978954507</v>
      </c>
      <c r="J18" s="2"/>
      <c r="K18" s="14">
        <f>IFERROR(K10+K11+K12+K13+K14+K15+K16+K17, "NA")</f>
        <v>32591.059999999998</v>
      </c>
      <c r="L18" s="15">
        <f>IFERROR(K18/K444, "NA")</f>
        <v>0.31020808393677901</v>
      </c>
      <c r="M18" s="2"/>
      <c r="N18" s="14">
        <f t="shared" si="1"/>
        <v>-496.05999999999767</v>
      </c>
      <c r="O18" s="15">
        <f>IFERROR(N18/N444, "NA")</f>
        <v>-1.5248778631421583E-2</v>
      </c>
      <c r="P18" s="2"/>
      <c r="Q18" s="14">
        <f>IFERROR(Q10+Q11+Q12+Q13+Q14+Q15+Q16+Q17, "NA")</f>
        <v>32095</v>
      </c>
      <c r="R18" s="15">
        <f>IFERROR(Q18/Q444, "NA")</f>
        <v>0.23326031123953492</v>
      </c>
      <c r="S18" s="2"/>
      <c r="T18" s="14">
        <f>IFERROR(T10+T11+T12+T13+T14+T15+T16+T17, "NA")</f>
        <v>23197.67</v>
      </c>
      <c r="U18" s="15">
        <f>IFERROR(T18/T444, "NA")</f>
        <v>0.23999994620150555</v>
      </c>
      <c r="V18" s="2"/>
      <c r="W18" s="14">
        <f t="shared" si="2"/>
        <v>8897.3300000000017</v>
      </c>
      <c r="X18" s="15">
        <f>IFERROR(W18/W444, "NA")</f>
        <v>0.2173468978954507</v>
      </c>
      <c r="Y18" s="2"/>
      <c r="Z18" s="14">
        <f>IFERROR(Z10+Z11+Z12+Z13+Z14+Z15+Z16+Z17, "NA")</f>
        <v>32591.059999999998</v>
      </c>
      <c r="AA18" s="15">
        <f>IFERROR(Z18/Z444, "NA")</f>
        <v>0.31020808393677901</v>
      </c>
      <c r="AB18" s="2"/>
      <c r="AC18" s="14">
        <f t="shared" si="3"/>
        <v>-496.05999999999767</v>
      </c>
      <c r="AD18" s="15">
        <f>IFERROR(AC18/AC444, "NA")</f>
        <v>-1.5248778631421583E-2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5412.79</v>
      </c>
      <c r="F21" s="8">
        <f>IFERROR(E21/E444, "NA")</f>
        <v>5.5999990895639409E-2</v>
      </c>
      <c r="G21" s="9"/>
      <c r="H21" s="10">
        <f t="shared" ref="H21:H29" si="4">IFERROR(B21-E21, "NA")</f>
        <v>-5412.79</v>
      </c>
      <c r="I21" s="8">
        <f>IFERROR(H21/H444, "NA")</f>
        <v>-0.13222541093333801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5412.79</v>
      </c>
      <c r="U21" s="8">
        <f>IFERROR(T21/T444, "NA")</f>
        <v>5.5999990895639409E-2</v>
      </c>
      <c r="V21" s="9"/>
      <c r="W21" s="10">
        <f t="shared" ref="W21:W29" si="6">IFERROR(Q21-T21, "NA")</f>
        <v>-5412.79</v>
      </c>
      <c r="X21" s="8">
        <f>IFERROR(W21/W444, "NA")</f>
        <v>-0.13222541093333801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5501</v>
      </c>
      <c r="C22" s="8">
        <f>IFERROR(B22/B444, "NA")</f>
        <v>3.9980214118357421E-2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5501</v>
      </c>
      <c r="I22" s="8">
        <f>IFERROR(H22/H444, "NA")</f>
        <v>0.13438023376933014</v>
      </c>
      <c r="J22" s="9"/>
      <c r="K22" s="7">
        <v>4670.9399999999996</v>
      </c>
      <c r="L22" s="8">
        <f>IFERROR(K22/K444, "NA")</f>
        <v>4.4458920562376873E-2</v>
      </c>
      <c r="M22" s="9"/>
      <c r="N22" s="10">
        <f t="shared" si="5"/>
        <v>830.0600000000004</v>
      </c>
      <c r="O22" s="8">
        <f>IFERROR(N22/N444, "NA")</f>
        <v>2.5515867416840431E-2</v>
      </c>
      <c r="P22" s="9"/>
      <c r="Q22" s="7">
        <v>5501</v>
      </c>
      <c r="R22" s="8">
        <f>IFERROR(Q22/Q444, "NA")</f>
        <v>3.9980214118357421E-2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5501</v>
      </c>
      <c r="X22" s="8">
        <f>IFERROR(W22/W444, "NA")</f>
        <v>0.13438023376933014</v>
      </c>
      <c r="Y22" s="9"/>
      <c r="Z22" s="7">
        <v>4670.9399999999996</v>
      </c>
      <c r="AA22" s="8">
        <f>IFERROR(Z22/Z444, "NA")</f>
        <v>4.4458920562376873E-2</v>
      </c>
      <c r="AB22" s="9"/>
      <c r="AC22" s="10">
        <f t="shared" si="7"/>
        <v>830.0600000000004</v>
      </c>
      <c r="AD22" s="8">
        <f>IFERROR(AC22/AC444, "NA")</f>
        <v>2.5515867416840431E-2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954.15</v>
      </c>
      <c r="C24" s="8">
        <f>IFERROR(B24/B444, "NA")</f>
        <v>6.9345794039321462E-3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954.15</v>
      </c>
      <c r="I24" s="8">
        <f>IFERROR(H24/H444, "NA")</f>
        <v>2.3308289411199116E-2</v>
      </c>
      <c r="J24" s="9"/>
      <c r="K24" s="7">
        <v>246.87</v>
      </c>
      <c r="L24" s="8">
        <f>IFERROR(K24/K444, "NA")</f>
        <v>2.3497569481162207E-3</v>
      </c>
      <c r="M24" s="9"/>
      <c r="N24" s="10">
        <f t="shared" si="5"/>
        <v>707.28</v>
      </c>
      <c r="O24" s="8">
        <f>IFERROR(N24/N444, "NA")</f>
        <v>2.174163639566163E-2</v>
      </c>
      <c r="P24" s="9"/>
      <c r="Q24" s="7">
        <v>954.15</v>
      </c>
      <c r="R24" s="8">
        <f>IFERROR(Q24/Q444, "NA")</f>
        <v>6.9345794039321462E-3</v>
      </c>
      <c r="S24" s="9"/>
      <c r="T24" s="7">
        <v>0</v>
      </c>
      <c r="U24" s="8">
        <f>IFERROR(T24/T444, "NA")</f>
        <v>0</v>
      </c>
      <c r="V24" s="9"/>
      <c r="W24" s="10">
        <f t="shared" si="6"/>
        <v>954.15</v>
      </c>
      <c r="X24" s="8">
        <f>IFERROR(W24/W444, "NA")</f>
        <v>2.3308289411199116E-2</v>
      </c>
      <c r="Y24" s="9"/>
      <c r="Z24" s="7">
        <v>246.87</v>
      </c>
      <c r="AA24" s="8">
        <f>IFERROR(Z24/Z444, "NA")</f>
        <v>2.3497569481162207E-3</v>
      </c>
      <c r="AB24" s="9"/>
      <c r="AC24" s="10">
        <f t="shared" si="7"/>
        <v>707.28</v>
      </c>
      <c r="AD24" s="8">
        <f>IFERROR(AC24/AC444, "NA")</f>
        <v>2.174163639566163E-2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2055.46</v>
      </c>
      <c r="C26" s="8">
        <f>IFERROR(B26/B444, "NA")</f>
        <v>1.4938689494949819E-2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2055.46</v>
      </c>
      <c r="I26" s="8">
        <f>IFERROR(H26/H444, "NA")</f>
        <v>5.0211451609435978E-2</v>
      </c>
      <c r="J26" s="9"/>
      <c r="K26" s="7">
        <v>375.63</v>
      </c>
      <c r="L26" s="8">
        <f>IFERROR(K26/K444, "NA")</f>
        <v>3.5753198137517561E-3</v>
      </c>
      <c r="M26" s="9"/>
      <c r="N26" s="10">
        <f t="shared" si="5"/>
        <v>1679.83</v>
      </c>
      <c r="O26" s="8">
        <f>IFERROR(N26/N444, "NA")</f>
        <v>5.1637616031167677E-2</v>
      </c>
      <c r="P26" s="9"/>
      <c r="Q26" s="7">
        <v>2055.46</v>
      </c>
      <c r="R26" s="8">
        <f>IFERROR(Q26/Q444, "NA")</f>
        <v>1.4938689494949819E-2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2055.46</v>
      </c>
      <c r="X26" s="8">
        <f>IFERROR(W26/W444, "NA")</f>
        <v>5.0211451609435978E-2</v>
      </c>
      <c r="Y26" s="9"/>
      <c r="Z26" s="7">
        <v>375.63</v>
      </c>
      <c r="AA26" s="8">
        <f>IFERROR(Z26/Z444, "NA")</f>
        <v>3.5753198137517561E-3</v>
      </c>
      <c r="AB26" s="9"/>
      <c r="AC26" s="10">
        <f t="shared" si="7"/>
        <v>1679.83</v>
      </c>
      <c r="AD26" s="8">
        <f>IFERROR(AC26/AC444, "NA")</f>
        <v>5.1637616031167677E-2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15.36</v>
      </c>
      <c r="L27" s="8">
        <f>IFERROR(K27/K444, "NA")</f>
        <v>1.4619948443741706E-4</v>
      </c>
      <c r="M27" s="9"/>
      <c r="N27" s="10">
        <f t="shared" si="5"/>
        <v>-15.36</v>
      </c>
      <c r="O27" s="8">
        <f>IFERROR(N27/N444, "NA")</f>
        <v>-4.7216312498213239E-4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15.36</v>
      </c>
      <c r="AA27" s="8">
        <f>IFERROR(Z27/Z444, "NA")</f>
        <v>1.4619948443741706E-4</v>
      </c>
      <c r="AB27" s="9"/>
      <c r="AC27" s="10">
        <f t="shared" si="7"/>
        <v>-15.36</v>
      </c>
      <c r="AD27" s="8">
        <f>IFERROR(AC27/AC444, "NA")</f>
        <v>-4.7216312498213239E-4</v>
      </c>
    </row>
    <row r="28" spans="1:30" ht="16.5" customHeight="1" x14ac:dyDescent="0.45">
      <c r="A28" s="12" t="s">
        <v>29</v>
      </c>
      <c r="B28" s="7">
        <v>826.62</v>
      </c>
      <c r="C28" s="8">
        <f>IFERROR(B28/B444, "NA")</f>
        <v>6.0077157961309965E-3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826.62</v>
      </c>
      <c r="I28" s="8">
        <f>IFERROR(H28/H444, "NA")</f>
        <v>2.0192944707944679E-2</v>
      </c>
      <c r="J28" s="9"/>
      <c r="K28" s="7">
        <v>0</v>
      </c>
      <c r="L28" s="8">
        <f>IFERROR(K28/K444, "NA")</f>
        <v>0</v>
      </c>
      <c r="M28" s="9"/>
      <c r="N28" s="10">
        <f t="shared" si="5"/>
        <v>826.62</v>
      </c>
      <c r="O28" s="8">
        <f>IFERROR(N28/N444, "NA")</f>
        <v>2.5410122550307963E-2</v>
      </c>
      <c r="P28" s="9"/>
      <c r="Q28" s="7">
        <v>826.62</v>
      </c>
      <c r="R28" s="8">
        <f>IFERROR(Q28/Q444, "NA")</f>
        <v>6.0077157961309965E-3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826.62</v>
      </c>
      <c r="X28" s="8">
        <f>IFERROR(W28/W444, "NA")</f>
        <v>2.0192944707944679E-2</v>
      </c>
      <c r="Y28" s="9"/>
      <c r="Z28" s="7">
        <v>0</v>
      </c>
      <c r="AA28" s="8">
        <f>IFERROR(Z28/Z444, "NA")</f>
        <v>0</v>
      </c>
      <c r="AB28" s="9"/>
      <c r="AC28" s="10">
        <f t="shared" si="7"/>
        <v>826.62</v>
      </c>
      <c r="AD28" s="8">
        <f>IFERROR(AC28/AC444, "NA")</f>
        <v>2.5410122550307963E-2</v>
      </c>
    </row>
    <row r="29" spans="1:30" ht="16.5" customHeight="1" x14ac:dyDescent="0.45">
      <c r="A29" s="13" t="s">
        <v>30</v>
      </c>
      <c r="B29" s="14">
        <f>IFERROR(B21+B22+B23+B24+B25+B26+B27+B28, "NA")</f>
        <v>9337.2300000000014</v>
      </c>
      <c r="C29" s="15">
        <f>IFERROR(B29/B444, "NA")</f>
        <v>6.7861198813370396E-2</v>
      </c>
      <c r="D29" s="2"/>
      <c r="E29" s="14">
        <f>IFERROR(E21+E22+E23+E24+E25+E26+E27+E28, "NA")</f>
        <v>5412.79</v>
      </c>
      <c r="F29" s="15">
        <f>IFERROR(E29/E444, "NA")</f>
        <v>5.5999990895639409E-2</v>
      </c>
      <c r="G29" s="2"/>
      <c r="H29" s="14">
        <f t="shared" si="4"/>
        <v>3924.4400000000014</v>
      </c>
      <c r="I29" s="15">
        <f>IFERROR(H29/H444, "NA")</f>
        <v>9.5867508564571921E-2</v>
      </c>
      <c r="J29" s="2"/>
      <c r="K29" s="14">
        <f>IFERROR(K21+K22+K23+K24+K25+K26+K27+K28, "NA")</f>
        <v>5308.7999999999993</v>
      </c>
      <c r="L29" s="15">
        <f>IFERROR(K29/K444, "NA")</f>
        <v>5.0530196808682266E-2</v>
      </c>
      <c r="M29" s="2"/>
      <c r="N29" s="14">
        <f t="shared" si="5"/>
        <v>4028.4300000000021</v>
      </c>
      <c r="O29" s="15">
        <f>IFERROR(N29/N444, "NA")</f>
        <v>0.12383307926899562</v>
      </c>
      <c r="P29" s="2"/>
      <c r="Q29" s="14">
        <f>IFERROR(Q21+Q22+Q23+Q24+Q25+Q26+Q27+Q28, "NA")</f>
        <v>9337.2300000000014</v>
      </c>
      <c r="R29" s="15">
        <f>IFERROR(Q29/Q444, "NA")</f>
        <v>6.7861198813370396E-2</v>
      </c>
      <c r="S29" s="2"/>
      <c r="T29" s="14">
        <f>IFERROR(T21+T22+T23+T24+T25+T26+T27+T28, "NA")</f>
        <v>5412.79</v>
      </c>
      <c r="U29" s="15">
        <f>IFERROR(T29/T444, "NA")</f>
        <v>5.5999990895639409E-2</v>
      </c>
      <c r="V29" s="2"/>
      <c r="W29" s="14">
        <f t="shared" si="6"/>
        <v>3924.4400000000014</v>
      </c>
      <c r="X29" s="15">
        <f>IFERROR(W29/W444, "NA")</f>
        <v>9.5867508564571921E-2</v>
      </c>
      <c r="Y29" s="2"/>
      <c r="Z29" s="14">
        <f>IFERROR(Z21+Z22+Z23+Z24+Z25+Z26+Z27+Z28, "NA")</f>
        <v>5308.7999999999993</v>
      </c>
      <c r="AA29" s="15">
        <f>IFERROR(Z29/Z444, "NA")</f>
        <v>5.0530196808682266E-2</v>
      </c>
      <c r="AB29" s="2"/>
      <c r="AC29" s="14">
        <f t="shared" si="7"/>
        <v>4028.4300000000021</v>
      </c>
      <c r="AD29" s="15">
        <f>IFERROR(AC29/AC444, "NA")</f>
        <v>0.12383307926899562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26000.73</v>
      </c>
      <c r="F31" s="8">
        <f>IFERROR(E31/E444, "NA")</f>
        <v>0.26900002462315709</v>
      </c>
      <c r="G31" s="9"/>
      <c r="H31" s="10">
        <f t="shared" ref="H31:H40" si="8">IFERROR(B31-E31, "NA")</f>
        <v>-26000.73</v>
      </c>
      <c r="I31" s="8">
        <f>IFERROR(H31/H444, "NA")</f>
        <v>-0.63515436749195331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26000.73</v>
      </c>
      <c r="U31" s="8">
        <f>IFERROR(T31/T444, "NA")</f>
        <v>0.26900002462315709</v>
      </c>
      <c r="V31" s="9"/>
      <c r="W31" s="10">
        <f t="shared" ref="W31:W40" si="10">IFERROR(Q31-T31, "NA")</f>
        <v>-26000.73</v>
      </c>
      <c r="X31" s="8">
        <f>IFERROR(W31/W444, "NA")</f>
        <v>-0.63515436749195331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18228.43</v>
      </c>
      <c r="C33" s="8">
        <f>IFERROR(B33/B444, "NA")</f>
        <v>0.13248073703717325</v>
      </c>
      <c r="D33" s="9"/>
      <c r="E33" s="7">
        <v>0</v>
      </c>
      <c r="F33" s="8">
        <f>IFERROR(E33/E444, "NA")</f>
        <v>0</v>
      </c>
      <c r="G33" s="9"/>
      <c r="H33" s="10">
        <f t="shared" si="8"/>
        <v>18228.43</v>
      </c>
      <c r="I33" s="8">
        <f>IFERROR(H33/H444, "NA")</f>
        <v>0.4452900717411144</v>
      </c>
      <c r="J33" s="9"/>
      <c r="K33" s="7">
        <v>9434.08</v>
      </c>
      <c r="L33" s="8">
        <f>IFERROR(K33/K444, "NA")</f>
        <v>8.9795418759202314E-2</v>
      </c>
      <c r="M33" s="9"/>
      <c r="N33" s="10">
        <f t="shared" si="9"/>
        <v>8794.35</v>
      </c>
      <c r="O33" s="8">
        <f>IFERROR(N33/N444, "NA")</f>
        <v>0.27033644389235784</v>
      </c>
      <c r="P33" s="9"/>
      <c r="Q33" s="7">
        <v>18228.43</v>
      </c>
      <c r="R33" s="8">
        <f>IFERROR(Q33/Q444, "NA")</f>
        <v>0.13248073703717325</v>
      </c>
      <c r="S33" s="9"/>
      <c r="T33" s="7">
        <v>0</v>
      </c>
      <c r="U33" s="8">
        <f>IFERROR(T33/T444, "NA")</f>
        <v>0</v>
      </c>
      <c r="V33" s="9"/>
      <c r="W33" s="10">
        <f t="shared" si="10"/>
        <v>18228.43</v>
      </c>
      <c r="X33" s="8">
        <f>IFERROR(W33/W444, "NA")</f>
        <v>0.4452900717411144</v>
      </c>
      <c r="Y33" s="9"/>
      <c r="Z33" s="7">
        <v>9434.08</v>
      </c>
      <c r="AA33" s="8">
        <f>IFERROR(Z33/Z444, "NA")</f>
        <v>8.9795418759202314E-2</v>
      </c>
      <c r="AB33" s="9"/>
      <c r="AC33" s="10">
        <f t="shared" si="11"/>
        <v>8794.35</v>
      </c>
      <c r="AD33" s="8">
        <f>IFERROR(AC33/AC444, "NA")</f>
        <v>0.27033644389235784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920.37</v>
      </c>
      <c r="C35" s="8">
        <f>IFERROR(B35/B444, "NA")</f>
        <v>6.6890728355049308E-3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920.37</v>
      </c>
      <c r="I35" s="8">
        <f>IFERROR(H35/H444, "NA")</f>
        <v>2.2483100482508338E-2</v>
      </c>
      <c r="J35" s="9"/>
      <c r="K35" s="7">
        <v>0</v>
      </c>
      <c r="L35" s="8">
        <f>IFERROR(K35/K444, "NA")</f>
        <v>0</v>
      </c>
      <c r="M35" s="9"/>
      <c r="N35" s="10">
        <f t="shared" si="9"/>
        <v>920.37</v>
      </c>
      <c r="O35" s="8">
        <f>IFERROR(N35/N444, "NA")</f>
        <v>2.8291977561185237E-2</v>
      </c>
      <c r="P35" s="9"/>
      <c r="Q35" s="7">
        <v>920.37</v>
      </c>
      <c r="R35" s="8">
        <f>IFERROR(Q35/Q444, "NA")</f>
        <v>6.6890728355049308E-3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920.37</v>
      </c>
      <c r="X35" s="8">
        <f>IFERROR(W35/W444, "NA")</f>
        <v>2.2483100482508338E-2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920.37</v>
      </c>
      <c r="AD35" s="8">
        <f>IFERROR(AC35/AC444, "NA")</f>
        <v>2.8291977561185237E-2</v>
      </c>
    </row>
    <row r="36" spans="1:30" ht="16.5" customHeight="1" x14ac:dyDescent="0.45">
      <c r="A36" s="12" t="s">
        <v>36</v>
      </c>
      <c r="B36" s="7">
        <v>15905.62</v>
      </c>
      <c r="C36" s="8">
        <f>IFERROR(B36/B444, "NA")</f>
        <v>0.11559899896113947</v>
      </c>
      <c r="D36" s="9"/>
      <c r="E36" s="7">
        <v>0</v>
      </c>
      <c r="F36" s="8">
        <f>IFERROR(E36/E444, "NA")</f>
        <v>0</v>
      </c>
      <c r="G36" s="9"/>
      <c r="H36" s="10">
        <f t="shared" si="8"/>
        <v>15905.62</v>
      </c>
      <c r="I36" s="8">
        <f>IFERROR(H36/H444, "NA")</f>
        <v>0.38854770657082943</v>
      </c>
      <c r="J36" s="9"/>
      <c r="K36" s="7">
        <v>8956.1</v>
      </c>
      <c r="L36" s="8">
        <f>IFERROR(K36/K444, "NA")</f>
        <v>8.5245911625647847E-2</v>
      </c>
      <c r="M36" s="9"/>
      <c r="N36" s="10">
        <f t="shared" si="9"/>
        <v>6949.52</v>
      </c>
      <c r="O36" s="8">
        <f>IFERROR(N36/N444, "NA")</f>
        <v>0.21362676304204617</v>
      </c>
      <c r="P36" s="9"/>
      <c r="Q36" s="7">
        <v>15905.62</v>
      </c>
      <c r="R36" s="8">
        <f>IFERROR(Q36/Q444, "NA")</f>
        <v>0.11559899896113947</v>
      </c>
      <c r="S36" s="9"/>
      <c r="T36" s="7">
        <v>0</v>
      </c>
      <c r="U36" s="8">
        <f>IFERROR(T36/T444, "NA")</f>
        <v>0</v>
      </c>
      <c r="V36" s="9"/>
      <c r="W36" s="10">
        <f t="shared" si="10"/>
        <v>15905.62</v>
      </c>
      <c r="X36" s="8">
        <f>IFERROR(W36/W444, "NA")</f>
        <v>0.38854770657082943</v>
      </c>
      <c r="Y36" s="9"/>
      <c r="Z36" s="7">
        <v>8956.1</v>
      </c>
      <c r="AA36" s="8">
        <f>IFERROR(Z36/Z444, "NA")</f>
        <v>8.5245911625647847E-2</v>
      </c>
      <c r="AB36" s="9"/>
      <c r="AC36" s="10">
        <f t="shared" si="11"/>
        <v>6949.52</v>
      </c>
      <c r="AD36" s="8">
        <f>IFERROR(AC36/AC444, "NA")</f>
        <v>0.21362676304204617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1332.6</v>
      </c>
      <c r="C39" s="8">
        <f>IFERROR(B39/B444, "NA")</f>
        <v>9.6850815004768404E-3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1332.6</v>
      </c>
      <c r="I39" s="8">
        <f>IFERROR(H39/H444, "NA")</f>
        <v>3.25531902419577E-2</v>
      </c>
      <c r="J39" s="9"/>
      <c r="K39" s="7">
        <v>849.72</v>
      </c>
      <c r="L39" s="8">
        <f>IFERROR(K39/K444, "NA")</f>
        <v>8.0878011664167991E-3</v>
      </c>
      <c r="M39" s="9"/>
      <c r="N39" s="10">
        <f t="shared" si="9"/>
        <v>482.87999999999988</v>
      </c>
      <c r="O39" s="8">
        <f>IFERROR(N39/N444, "NA")</f>
        <v>1.4843628241625785E-2</v>
      </c>
      <c r="P39" s="9"/>
      <c r="Q39" s="7">
        <v>1332.6</v>
      </c>
      <c r="R39" s="8">
        <f>IFERROR(Q39/Q444, "NA")</f>
        <v>9.6850815004768404E-3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1332.6</v>
      </c>
      <c r="X39" s="8">
        <f>IFERROR(W39/W444, "NA")</f>
        <v>3.25531902419577E-2</v>
      </c>
      <c r="Y39" s="9"/>
      <c r="Z39" s="7">
        <v>849.72</v>
      </c>
      <c r="AA39" s="8">
        <f>IFERROR(Z39/Z444, "NA")</f>
        <v>8.0878011664167991E-3</v>
      </c>
      <c r="AB39" s="9"/>
      <c r="AC39" s="10">
        <f t="shared" si="11"/>
        <v>482.87999999999988</v>
      </c>
      <c r="AD39" s="8">
        <f>IFERROR(AC39/AC444, "NA")</f>
        <v>1.4843628241625785E-2</v>
      </c>
    </row>
    <row r="40" spans="1:30" ht="16.5" customHeight="1" x14ac:dyDescent="0.45">
      <c r="A40" s="13" t="s">
        <v>40</v>
      </c>
      <c r="B40" s="14">
        <f>IFERROR(B31+B32+B33+B34+B35+B36+B37+B38+B39, "NA")</f>
        <v>36387.019999999997</v>
      </c>
      <c r="C40" s="15">
        <f>IFERROR(B40/B444, "NA")</f>
        <v>0.26445389033429445</v>
      </c>
      <c r="D40" s="2"/>
      <c r="E40" s="14">
        <f>IFERROR(E31+E32+E33+E34+E35+E36+E37+E38+E39, "NA")</f>
        <v>26000.73</v>
      </c>
      <c r="F40" s="15">
        <f>IFERROR(E40/E444, "NA")</f>
        <v>0.26900002462315709</v>
      </c>
      <c r="G40" s="2"/>
      <c r="H40" s="14">
        <f t="shared" si="8"/>
        <v>10386.289999999997</v>
      </c>
      <c r="I40" s="15">
        <f>IFERROR(H40/H444, "NA")</f>
        <v>0.25371970154445656</v>
      </c>
      <c r="J40" s="2"/>
      <c r="K40" s="14">
        <f>IFERROR(K31+K32+K33+K34+K35+K36+K37+K38+K39, "NA")</f>
        <v>19239.900000000001</v>
      </c>
      <c r="L40" s="15">
        <f>IFERROR(K40/K444, "NA")</f>
        <v>0.18312913155126698</v>
      </c>
      <c r="M40" s="2"/>
      <c r="N40" s="14">
        <f t="shared" si="9"/>
        <v>17147.119999999995</v>
      </c>
      <c r="O40" s="15">
        <f>IFERROR(N40/N444, "NA")</f>
        <v>0.52709881273721493</v>
      </c>
      <c r="P40" s="2"/>
      <c r="Q40" s="14">
        <f>IFERROR(Q31+Q32+Q33+Q34+Q35+Q36+Q37+Q38+Q39, "NA")</f>
        <v>36387.019999999997</v>
      </c>
      <c r="R40" s="15">
        <f>IFERROR(Q40/Q444, "NA")</f>
        <v>0.26445389033429445</v>
      </c>
      <c r="S40" s="2"/>
      <c r="T40" s="14">
        <f>IFERROR(T31+T32+T33+T34+T35+T36+T37+T38+T39, "NA")</f>
        <v>26000.73</v>
      </c>
      <c r="U40" s="15">
        <f>IFERROR(T40/T444, "NA")</f>
        <v>0.26900002462315709</v>
      </c>
      <c r="V40" s="2"/>
      <c r="W40" s="14">
        <f t="shared" si="10"/>
        <v>10386.289999999997</v>
      </c>
      <c r="X40" s="15">
        <f>IFERROR(W40/W444, "NA")</f>
        <v>0.25371970154445656</v>
      </c>
      <c r="Y40" s="2"/>
      <c r="Z40" s="14">
        <f>IFERROR(Z31+Z32+Z33+Z34+Z35+Z36+Z37+Z38+Z39, "NA")</f>
        <v>19239.900000000001</v>
      </c>
      <c r="AA40" s="15">
        <f>IFERROR(Z40/Z444, "NA")</f>
        <v>0.18312913155126698</v>
      </c>
      <c r="AB40" s="2"/>
      <c r="AC40" s="14">
        <f t="shared" si="11"/>
        <v>17147.119999999995</v>
      </c>
      <c r="AD40" s="15">
        <f>IFERROR(AC40/AC444, "NA")</f>
        <v>0.52709881273721493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5918.9</v>
      </c>
      <c r="C43" s="8">
        <f>IFERROR(B43/B444, "NA")</f>
        <v>4.3017431257070665E-2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5918.9</v>
      </c>
      <c r="I43" s="8">
        <f>IFERROR(H43/H444, "NA")</f>
        <v>0.1445888321500251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5918.9</v>
      </c>
      <c r="O43" s="8">
        <f>IFERROR(N43/N444, "NA")</f>
        <v>0.18194572398806924</v>
      </c>
      <c r="P43" s="9"/>
      <c r="Q43" s="7">
        <v>5918.9</v>
      </c>
      <c r="R43" s="8">
        <f>IFERROR(Q43/Q444, "NA")</f>
        <v>4.3017431257070665E-2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5918.9</v>
      </c>
      <c r="X43" s="8">
        <f>IFERROR(W43/W444, "NA")</f>
        <v>0.1445888321500251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5918.9</v>
      </c>
      <c r="AD43" s="8">
        <f>IFERROR(AC43/AC444, "NA")</f>
        <v>0.18194572398806924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42625.73</v>
      </c>
      <c r="F46" s="8">
        <f>IFERROR(E46/E444, "NA")</f>
        <v>0.44100001882947309</v>
      </c>
      <c r="G46" s="9"/>
      <c r="H46" s="10">
        <f t="shared" ref="H46:H62" si="12">IFERROR(B46-E46, "NA")</f>
        <v>-42625.73</v>
      </c>
      <c r="I46" s="8">
        <f>IFERROR(H46/H444, "NA")</f>
        <v>-1.0412753248479092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42625.73</v>
      </c>
      <c r="U46" s="8">
        <f>IFERROR(T46/T444, "NA")</f>
        <v>0.44100001882947309</v>
      </c>
      <c r="V46" s="9"/>
      <c r="W46" s="10">
        <f t="shared" ref="W46:W62" si="14">IFERROR(Q46-T46, "NA")</f>
        <v>-42625.73</v>
      </c>
      <c r="X46" s="8">
        <f>IFERROR(W46/W444, "NA")</f>
        <v>-1.0412753248479092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33810.67</v>
      </c>
      <c r="C48" s="8">
        <f>IFERROR(B48/B444, "NA")</f>
        <v>0.24572947211145676</v>
      </c>
      <c r="D48" s="9"/>
      <c r="E48" s="7">
        <v>0</v>
      </c>
      <c r="F48" s="8">
        <f>IFERROR(E48/E444, "NA")</f>
        <v>0</v>
      </c>
      <c r="G48" s="9"/>
      <c r="H48" s="10">
        <f t="shared" si="12"/>
        <v>33810.67</v>
      </c>
      <c r="I48" s="8">
        <f>IFERROR(H48/H444, "NA")</f>
        <v>0.82593814551857425</v>
      </c>
      <c r="J48" s="9"/>
      <c r="K48" s="7">
        <v>39921.440000000002</v>
      </c>
      <c r="L48" s="8">
        <f>IFERROR(K48/K444, "NA")</f>
        <v>0.37998007460932809</v>
      </c>
      <c r="M48" s="9"/>
      <c r="N48" s="10">
        <f t="shared" si="13"/>
        <v>-6110.7700000000041</v>
      </c>
      <c r="O48" s="8">
        <f>IFERROR(N48/N444, "NA")</f>
        <v>-0.18784376687806428</v>
      </c>
      <c r="P48" s="9"/>
      <c r="Q48" s="7">
        <v>33810.67</v>
      </c>
      <c r="R48" s="8">
        <f>IFERROR(Q48/Q444, "NA")</f>
        <v>0.24572947211145676</v>
      </c>
      <c r="S48" s="9"/>
      <c r="T48" s="7">
        <v>0</v>
      </c>
      <c r="U48" s="8">
        <f>IFERROR(T48/T444, "NA")</f>
        <v>0</v>
      </c>
      <c r="V48" s="9"/>
      <c r="W48" s="10">
        <f t="shared" si="14"/>
        <v>33810.67</v>
      </c>
      <c r="X48" s="8">
        <f>IFERROR(W48/W444, "NA")</f>
        <v>0.82593814551857425</v>
      </c>
      <c r="Y48" s="9"/>
      <c r="Z48" s="7">
        <v>39921.440000000002</v>
      </c>
      <c r="AA48" s="8">
        <f>IFERROR(Z48/Z444, "NA")</f>
        <v>0.37998007460932809</v>
      </c>
      <c r="AB48" s="9"/>
      <c r="AC48" s="10">
        <f t="shared" si="15"/>
        <v>-6110.7700000000041</v>
      </c>
      <c r="AD48" s="8">
        <f>IFERROR(AC48/AC444, "NA")</f>
        <v>-0.18784376687806428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3542.99</v>
      </c>
      <c r="C51" s="8">
        <f>IFERROR(B51/B444, "NA")</f>
        <v>2.5749772553935495E-2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3542.99</v>
      </c>
      <c r="I51" s="8">
        <f>IFERROR(H51/H444, "NA")</f>
        <v>8.6549322749027255E-2</v>
      </c>
      <c r="J51" s="9"/>
      <c r="K51" s="7">
        <v>8903.36</v>
      </c>
      <c r="L51" s="8">
        <f>IFERROR(K51/K444, "NA")</f>
        <v>8.4743921989630322E-2</v>
      </c>
      <c r="M51" s="9"/>
      <c r="N51" s="10">
        <f t="shared" si="13"/>
        <v>-5360.3700000000008</v>
      </c>
      <c r="O51" s="8">
        <f>IFERROR(N51/N444, "NA")</f>
        <v>-0.16477663087633293</v>
      </c>
      <c r="P51" s="9"/>
      <c r="Q51" s="7">
        <v>3542.99</v>
      </c>
      <c r="R51" s="8">
        <f>IFERROR(Q51/Q444, "NA")</f>
        <v>2.5749772553935495E-2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3542.99</v>
      </c>
      <c r="X51" s="8">
        <f>IFERROR(W51/W444, "NA")</f>
        <v>8.6549322749027255E-2</v>
      </c>
      <c r="Y51" s="9"/>
      <c r="Z51" s="7">
        <v>8903.36</v>
      </c>
      <c r="AA51" s="8">
        <f>IFERROR(Z51/Z444, "NA")</f>
        <v>8.4743921989630322E-2</v>
      </c>
      <c r="AB51" s="9"/>
      <c r="AC51" s="10">
        <f t="shared" si="15"/>
        <v>-5360.3700000000008</v>
      </c>
      <c r="AD51" s="8">
        <f>IFERROR(AC51/AC444, "NA")</f>
        <v>-0.16477663087633293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365.05</v>
      </c>
      <c r="L58" s="8">
        <f>IFERROR(K58/K444, "NA")</f>
        <v>3.4746173042890039E-3</v>
      </c>
      <c r="M58" s="9"/>
      <c r="N58" s="10">
        <f t="shared" si="13"/>
        <v>-365.05</v>
      </c>
      <c r="O58" s="8">
        <f>IFERROR(N58/N444, "NA")</f>
        <v>-1.1221559165021319E-2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365.05</v>
      </c>
      <c r="AA58" s="8">
        <f>IFERROR(Z58/Z444, "NA")</f>
        <v>3.4746173042890039E-3</v>
      </c>
      <c r="AB58" s="9"/>
      <c r="AC58" s="10">
        <f t="shared" si="15"/>
        <v>-365.05</v>
      </c>
      <c r="AD58" s="8">
        <f>IFERROR(AC58/AC444, "NA")</f>
        <v>-1.1221559165021319E-2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37353.659999999996</v>
      </c>
      <c r="C61" s="15">
        <f>IFERROR(B61/B444, "NA")</f>
        <v>0.27147924466539225</v>
      </c>
      <c r="D61" s="2"/>
      <c r="E61" s="14">
        <f>IFERROR(E46+E47+E48+E49+E50+E51+E52+E53+E54+E55+E56+E57+E58+E59+E60, "NA")</f>
        <v>42625.73</v>
      </c>
      <c r="F61" s="15">
        <f>IFERROR(E61/E444, "NA")</f>
        <v>0.44100001882947309</v>
      </c>
      <c r="G61" s="2"/>
      <c r="H61" s="14">
        <f t="shared" si="12"/>
        <v>-5272.070000000007</v>
      </c>
      <c r="I61" s="15">
        <f>IFERROR(H61/H444, "NA")</f>
        <v>-0.12878785658030781</v>
      </c>
      <c r="J61" s="2"/>
      <c r="K61" s="14">
        <f>IFERROR(K46+K47+K48+K49+K50+K51+K52+K53+K54+K55+K56+K57+K58+K59+K60, "NA")</f>
        <v>49189.850000000006</v>
      </c>
      <c r="L61" s="15">
        <f>IFERROR(K61/K444, "NA")</f>
        <v>0.46819861390324746</v>
      </c>
      <c r="M61" s="2"/>
      <c r="N61" s="14">
        <f t="shared" si="13"/>
        <v>-11836.19000000001</v>
      </c>
      <c r="O61" s="15">
        <f>IFERROR(N61/N444, "NA")</f>
        <v>-0.36384195691941867</v>
      </c>
      <c r="P61" s="2"/>
      <c r="Q61" s="14">
        <f>IFERROR(Q46+Q47+Q48+Q49+Q50+Q51+Q52+Q53+Q54+Q55+Q56+Q57+Q58+Q59+Q60, "NA")</f>
        <v>37353.659999999996</v>
      </c>
      <c r="R61" s="15">
        <f>IFERROR(Q61/Q444, "NA")</f>
        <v>0.27147924466539225</v>
      </c>
      <c r="S61" s="2"/>
      <c r="T61" s="14">
        <f>IFERROR(T46+T47+T48+T49+T50+T51+T52+T53+T54+T55+T56+T57+T58+T59+T60, "NA")</f>
        <v>42625.73</v>
      </c>
      <c r="U61" s="15">
        <f>IFERROR(T61/T444, "NA")</f>
        <v>0.44100001882947309</v>
      </c>
      <c r="V61" s="2"/>
      <c r="W61" s="14">
        <f t="shared" si="14"/>
        <v>-5272.070000000007</v>
      </c>
      <c r="X61" s="15">
        <f>IFERROR(W61/W444, "NA")</f>
        <v>-0.12878785658030781</v>
      </c>
      <c r="Y61" s="2"/>
      <c r="Z61" s="14">
        <f>IFERROR(Z46+Z47+Z48+Z49+Z50+Z51+Z52+Z53+Z54+Z55+Z56+Z57+Z58+Z59+Z60, "NA")</f>
        <v>49189.850000000006</v>
      </c>
      <c r="AA61" s="15">
        <f>IFERROR(Z61/Z444, "NA")</f>
        <v>0.46819861390324746</v>
      </c>
      <c r="AB61" s="2"/>
      <c r="AC61" s="14">
        <f t="shared" si="15"/>
        <v>-11836.19000000001</v>
      </c>
      <c r="AD61" s="15">
        <f>IFERROR(AC61/AC444, "NA")</f>
        <v>-0.36384195691941867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43272.56</v>
      </c>
      <c r="C62" s="15">
        <f>IFERROR(B62/B444, "NA")</f>
        <v>0.31449667592246294</v>
      </c>
      <c r="D62" s="2"/>
      <c r="E62" s="14">
        <f>IFERROR(E42+E43+E44+E46+E47+E48+E49+E50+E51+E52+E53+E54+E55+E56+E57+E58+E59+E60, "NA")</f>
        <v>42625.73</v>
      </c>
      <c r="F62" s="15">
        <f>IFERROR(E62/E444, "NA")</f>
        <v>0.44100001882947309</v>
      </c>
      <c r="G62" s="2"/>
      <c r="H62" s="14">
        <f t="shared" si="12"/>
        <v>646.82999999999447</v>
      </c>
      <c r="I62" s="15">
        <f>IFERROR(H62/H444, "NA")</f>
        <v>1.5800975569717338E-2</v>
      </c>
      <c r="J62" s="2"/>
      <c r="K62" s="14">
        <f>IFERROR(K42+K43+K44+K46+K47+K48+K49+K50+K51+K52+K53+K54+K55+K56+K57+K58+K59+K60, "NA")</f>
        <v>49189.850000000006</v>
      </c>
      <c r="L62" s="15">
        <f>IFERROR(K62/K444, "NA")</f>
        <v>0.46819861390324746</v>
      </c>
      <c r="M62" s="2"/>
      <c r="N62" s="14">
        <f t="shared" si="13"/>
        <v>-5917.2900000000081</v>
      </c>
      <c r="O62" s="15">
        <f>IFERROR(N62/N444, "NA")</f>
        <v>-0.18189623293134938</v>
      </c>
      <c r="P62" s="2"/>
      <c r="Q62" s="14">
        <f>IFERROR(Q42+Q43+Q44+Q46+Q47+Q48+Q49+Q50+Q51+Q52+Q53+Q54+Q55+Q56+Q57+Q58+Q59+Q60, "NA")</f>
        <v>43272.56</v>
      </c>
      <c r="R62" s="15">
        <f>IFERROR(Q62/Q444, "NA")</f>
        <v>0.31449667592246294</v>
      </c>
      <c r="S62" s="2"/>
      <c r="T62" s="14">
        <f>IFERROR(T42+T43+T44+T46+T47+T48+T49+T50+T51+T52+T53+T54+T55+T56+T57+T58+T59+T60, "NA")</f>
        <v>42625.73</v>
      </c>
      <c r="U62" s="15">
        <f>IFERROR(T62/T444, "NA")</f>
        <v>0.44100001882947309</v>
      </c>
      <c r="V62" s="2"/>
      <c r="W62" s="14">
        <f t="shared" si="14"/>
        <v>646.82999999999447</v>
      </c>
      <c r="X62" s="15">
        <f>IFERROR(W62/W444, "NA")</f>
        <v>1.5800975569717338E-2</v>
      </c>
      <c r="Y62" s="2"/>
      <c r="Z62" s="14">
        <f>IFERROR(Z42+Z43+Z44+Z46+Z47+Z48+Z49+Z50+Z51+Z52+Z53+Z54+Z55+Z56+Z57+Z58+Z59+Z60, "NA")</f>
        <v>49189.850000000006</v>
      </c>
      <c r="AA62" s="15">
        <f>IFERROR(Z62/Z444, "NA")</f>
        <v>0.46819861390324746</v>
      </c>
      <c r="AB62" s="2"/>
      <c r="AC62" s="14">
        <f t="shared" si="15"/>
        <v>-5917.2900000000081</v>
      </c>
      <c r="AD62" s="15">
        <f>IFERROR(AC62/AC444, "NA")</f>
        <v>-0.18189623293134938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7204.22</v>
      </c>
      <c r="C66" s="8">
        <f>IFERROR(B66/B444, "NA")</f>
        <v>5.2358890775450452E-2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7204.22</v>
      </c>
      <c r="I66" s="8">
        <f>IFERROR(H66/H444, "NA")</f>
        <v>0.17598705103175488</v>
      </c>
      <c r="J66" s="9"/>
      <c r="K66" s="7">
        <v>0</v>
      </c>
      <c r="L66" s="8">
        <f>IFERROR(K66/K444, "NA")</f>
        <v>0</v>
      </c>
      <c r="M66" s="9"/>
      <c r="N66" s="10">
        <f t="shared" si="17"/>
        <v>7204.22</v>
      </c>
      <c r="O66" s="8">
        <f>IFERROR(N66/N444, "NA")</f>
        <v>0.22145618673559755</v>
      </c>
      <c r="P66" s="9"/>
      <c r="Q66" s="7">
        <v>7204.22</v>
      </c>
      <c r="R66" s="8">
        <f>IFERROR(Q66/Q444, "NA")</f>
        <v>5.2358890775450452E-2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7204.22</v>
      </c>
      <c r="X66" s="8">
        <f>IFERROR(W66/W444, "NA")</f>
        <v>0.17598705103175488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7204.22</v>
      </c>
      <c r="AD66" s="8">
        <f>IFERROR(AC66/AC444, "NA")</f>
        <v>0.22145618673559755</v>
      </c>
    </row>
    <row r="67" spans="1:30" ht="16.5" customHeight="1" x14ac:dyDescent="0.45">
      <c r="A67" s="12" t="s">
        <v>64</v>
      </c>
      <c r="B67" s="7">
        <v>9882.75</v>
      </c>
      <c r="C67" s="8">
        <f>IFERROR(B67/B444, "NA")</f>
        <v>7.1825933662642574E-2</v>
      </c>
      <c r="D67" s="9"/>
      <c r="E67" s="7">
        <v>0</v>
      </c>
      <c r="F67" s="8">
        <f>IFERROR(E67/E444, "NA")</f>
        <v>0</v>
      </c>
      <c r="G67" s="9"/>
      <c r="H67" s="10">
        <f t="shared" si="16"/>
        <v>9882.75</v>
      </c>
      <c r="I67" s="8">
        <f>IFERROR(H67/H444, "NA")</f>
        <v>0.24141906113140291</v>
      </c>
      <c r="J67" s="9"/>
      <c r="K67" s="7">
        <v>0</v>
      </c>
      <c r="L67" s="8">
        <f>IFERROR(K67/K444, "NA")</f>
        <v>0</v>
      </c>
      <c r="M67" s="9"/>
      <c r="N67" s="10">
        <f t="shared" si="17"/>
        <v>9882.75</v>
      </c>
      <c r="O67" s="8">
        <f>IFERROR(N67/N444, "NA")</f>
        <v>0.3037936278266386</v>
      </c>
      <c r="P67" s="9"/>
      <c r="Q67" s="7">
        <v>9882.75</v>
      </c>
      <c r="R67" s="8">
        <f>IFERROR(Q67/Q444, "NA")</f>
        <v>7.1825933662642574E-2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0.24141906113140291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0.3037936278266386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17086.97</v>
      </c>
      <c r="C73" s="15">
        <f>IFERROR(B73/B444, "NA")</f>
        <v>0.12418482443809303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17086.97</v>
      </c>
      <c r="I73" s="15">
        <f>IFERROR(H73/H444, "NA")</f>
        <v>0.41740611216315782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17086.97</v>
      </c>
      <c r="O73" s="15">
        <f>IFERROR(N73/N444, "NA")</f>
        <v>0.52524981456223618</v>
      </c>
      <c r="P73" s="2"/>
      <c r="Q73" s="14">
        <f>IFERROR(Q64+Q65+Q66+Q67+Q68+Q69+Q70+Q71+Q72, "NA")</f>
        <v>17086.97</v>
      </c>
      <c r="R73" s="15">
        <f>IFERROR(Q73/Q444, "NA")</f>
        <v>0.12418482443809303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17086.97</v>
      </c>
      <c r="X73" s="15">
        <f>IFERROR(W73/W444, "NA")</f>
        <v>0.41740611216315782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17086.97</v>
      </c>
      <c r="AD73" s="15">
        <f>IFERROR(AC73/AC444, "NA")</f>
        <v>0.52524981456223618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2803.05</v>
      </c>
      <c r="F75" s="8">
        <f>IFERROR(E75/E444, "NA")</f>
        <v>2.8999974963008365E-2</v>
      </c>
      <c r="G75" s="9"/>
      <c r="H75" s="10">
        <f t="shared" ref="H75:H92" si="20">IFERROR(B75-E75, "NA")</f>
        <v>-2803.05</v>
      </c>
      <c r="I75" s="8">
        <f>IFERROR(H75/H444, "NA")</f>
        <v>-6.8473825534833818E-2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2803.05</v>
      </c>
      <c r="U75" s="8">
        <f>IFERROR(T75/T444, "NA")</f>
        <v>2.8999974963008365E-2</v>
      </c>
      <c r="V75" s="9"/>
      <c r="W75" s="10">
        <f t="shared" ref="W75:W92" si="22">IFERROR(Q75-T75, "NA")</f>
        <v>-2803.05</v>
      </c>
      <c r="X75" s="8">
        <f>IFERROR(W75/W444, "NA")</f>
        <v>-6.8473825534833818E-2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689.75</v>
      </c>
      <c r="C77" s="8">
        <f>IFERROR(B77/B444, "NA")</f>
        <v>5.0129708576871542E-3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689.75</v>
      </c>
      <c r="I77" s="8">
        <f>IFERROR(H77/H444, "NA")</f>
        <v>1.6849439418723043E-2</v>
      </c>
      <c r="J77" s="9"/>
      <c r="K77" s="7">
        <v>77.739999999999995</v>
      </c>
      <c r="L77" s="8">
        <f>IFERROR(K77/K444, "NA")</f>
        <v>7.3994452605239595E-4</v>
      </c>
      <c r="M77" s="9"/>
      <c r="N77" s="10">
        <f t="shared" si="21"/>
        <v>612.01</v>
      </c>
      <c r="O77" s="8">
        <f>IFERROR(N77/N444, "NA")</f>
        <v>1.8813056908874665E-2</v>
      </c>
      <c r="P77" s="9"/>
      <c r="Q77" s="7">
        <v>689.75</v>
      </c>
      <c r="R77" s="8">
        <f>IFERROR(Q77/Q444, "NA")</f>
        <v>5.0129708576871542E-3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689.75</v>
      </c>
      <c r="X77" s="8">
        <f>IFERROR(W77/W444, "NA")</f>
        <v>1.6849439418723043E-2</v>
      </c>
      <c r="Y77" s="9"/>
      <c r="Z77" s="7">
        <v>77.739999999999995</v>
      </c>
      <c r="AA77" s="8">
        <f>IFERROR(Z77/Z444, "NA")</f>
        <v>7.3994452605239595E-4</v>
      </c>
      <c r="AB77" s="9"/>
      <c r="AC77" s="10">
        <f t="shared" si="23"/>
        <v>612.01</v>
      </c>
      <c r="AD77" s="8">
        <f>IFERROR(AC77/AC444, "NA")</f>
        <v>1.8813056908874665E-2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8.5378214544507236E-5</v>
      </c>
      <c r="M79" s="9"/>
      <c r="N79" s="10">
        <f t="shared" si="21"/>
        <v>-8.9700000000000006</v>
      </c>
      <c r="O79" s="8">
        <f>IFERROR(N79/N444, "NA")</f>
        <v>-2.7573588744073753E-4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8.9700000000000006</v>
      </c>
      <c r="AA79" s="8">
        <f>IFERROR(Z79/Z444, "NA")</f>
        <v>8.5378214544507236E-5</v>
      </c>
      <c r="AB79" s="9"/>
      <c r="AC79" s="10">
        <f t="shared" si="23"/>
        <v>-8.9700000000000006</v>
      </c>
      <c r="AD79" s="8">
        <f>IFERROR(AC79/AC444, "NA")</f>
        <v>-2.7573588744073753E-4</v>
      </c>
    </row>
    <row r="80" spans="1:30" ht="16.5" customHeight="1" x14ac:dyDescent="0.45">
      <c r="A80" s="12" t="s">
        <v>76</v>
      </c>
      <c r="B80" s="7">
        <v>3166.17</v>
      </c>
      <c r="C80" s="8">
        <f>IFERROR(B80/B444, "NA")</f>
        <v>2.3011116985115383E-2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3166.17</v>
      </c>
      <c r="I80" s="8">
        <f>IFERROR(H80/H444, "NA")</f>
        <v>7.734424009333575E-2</v>
      </c>
      <c r="J80" s="9"/>
      <c r="K80" s="7">
        <v>2970</v>
      </c>
      <c r="L80" s="8">
        <f>IFERROR(K80/K444, "NA")</f>
        <v>2.8269040936141191E-2</v>
      </c>
      <c r="M80" s="9"/>
      <c r="N80" s="10">
        <f t="shared" si="21"/>
        <v>196.17000000000007</v>
      </c>
      <c r="O80" s="8">
        <f>IFERROR(N80/N444, "NA")</f>
        <v>6.0302239731604788E-3</v>
      </c>
      <c r="P80" s="9"/>
      <c r="Q80" s="7">
        <v>3166.17</v>
      </c>
      <c r="R80" s="8">
        <f>IFERROR(Q80/Q444, "NA")</f>
        <v>2.3011116985115383E-2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3166.17</v>
      </c>
      <c r="X80" s="8">
        <f>IFERROR(W80/W444, "NA")</f>
        <v>7.734424009333575E-2</v>
      </c>
      <c r="Y80" s="9"/>
      <c r="Z80" s="7">
        <v>2970</v>
      </c>
      <c r="AA80" s="8">
        <f>IFERROR(Z80/Z444, "NA")</f>
        <v>2.8269040936141191E-2</v>
      </c>
      <c r="AB80" s="9"/>
      <c r="AC80" s="10">
        <f t="shared" si="23"/>
        <v>196.17000000000007</v>
      </c>
      <c r="AD80" s="8">
        <f>IFERROR(AC80/AC444, "NA")</f>
        <v>6.0302239731604788E-3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988.28</v>
      </c>
      <c r="C87" s="8">
        <f>IFERROR(B87/B444, "NA")</f>
        <v>7.1826297053063579E-3</v>
      </c>
      <c r="D87" s="9"/>
      <c r="E87" s="7">
        <v>0</v>
      </c>
      <c r="F87" s="8">
        <f>IFERROR(E87/E444, "NA")</f>
        <v>0</v>
      </c>
      <c r="G87" s="9"/>
      <c r="H87" s="10">
        <f t="shared" si="20"/>
        <v>988.28</v>
      </c>
      <c r="I87" s="8">
        <f>IFERROR(H87/H444, "NA")</f>
        <v>2.4142028254781598E-2</v>
      </c>
      <c r="J87" s="9"/>
      <c r="K87" s="7">
        <v>0</v>
      </c>
      <c r="L87" s="8">
        <f>IFERROR(K87/K444, "NA")</f>
        <v>0</v>
      </c>
      <c r="M87" s="9"/>
      <c r="N87" s="10">
        <f t="shared" si="21"/>
        <v>988.28</v>
      </c>
      <c r="O87" s="8">
        <f>IFERROR(N87/N444, "NA")</f>
        <v>3.0379516481597774E-2</v>
      </c>
      <c r="P87" s="9"/>
      <c r="Q87" s="7">
        <v>988.28</v>
      </c>
      <c r="R87" s="8">
        <f>IFERROR(Q87/Q444, "NA")</f>
        <v>7.1826297053063579E-3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2.4142028254781598E-2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3.0379516481597774E-2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4844.2</v>
      </c>
      <c r="C88" s="15">
        <f>IFERROR(B88/B444, "NA")</f>
        <v>3.5206717548108897E-2</v>
      </c>
      <c r="D88" s="2"/>
      <c r="E88" s="14">
        <f>IFERROR(E75+E76+E77+E78+E79+E80+E81+E82+E83+E84+E85+E86+E87, "NA")</f>
        <v>2803.05</v>
      </c>
      <c r="F88" s="15">
        <f>IFERROR(E88/E444, "NA")</f>
        <v>2.8999974963008365E-2</v>
      </c>
      <c r="G88" s="2"/>
      <c r="H88" s="14">
        <f t="shared" si="20"/>
        <v>2041.1499999999996</v>
      </c>
      <c r="I88" s="15">
        <f>IFERROR(H88/H444, "NA")</f>
        <v>4.986188223200657E-2</v>
      </c>
      <c r="J88" s="2"/>
      <c r="K88" s="14">
        <f>IFERROR(K75+K76+K77+K78+K79+K80+K81+K82+K83+K84+K85+K86+K87, "NA")</f>
        <v>3056.71</v>
      </c>
      <c r="L88" s="15">
        <f>IFERROR(K88/K444, "NA")</f>
        <v>2.9094363676738094E-2</v>
      </c>
      <c r="M88" s="2"/>
      <c r="N88" s="14">
        <f t="shared" si="21"/>
        <v>1787.4899999999998</v>
      </c>
      <c r="O88" s="15">
        <f>IFERROR(N88/N444, "NA")</f>
        <v>5.4947061476192174E-2</v>
      </c>
      <c r="P88" s="2"/>
      <c r="Q88" s="14">
        <f>IFERROR(Q75+Q76+Q77+Q78+Q79+Q80+Q81+Q82+Q83+Q84+Q85+Q86+Q87, "NA")</f>
        <v>4844.2</v>
      </c>
      <c r="R88" s="15">
        <f>IFERROR(Q88/Q444, "NA")</f>
        <v>3.5206717548108897E-2</v>
      </c>
      <c r="S88" s="2"/>
      <c r="T88" s="14">
        <f>IFERROR(T75+T76+T77+T78+T79+T80+T81+T82+T83+T84+T85+T86+T87, "NA")</f>
        <v>2803.05</v>
      </c>
      <c r="U88" s="15">
        <f>IFERROR(T88/T444, "NA")</f>
        <v>2.8999974963008365E-2</v>
      </c>
      <c r="V88" s="2"/>
      <c r="W88" s="14">
        <f t="shared" si="22"/>
        <v>2041.1499999999996</v>
      </c>
      <c r="X88" s="15">
        <f>IFERROR(W88/W444, "NA")</f>
        <v>4.986188223200657E-2</v>
      </c>
      <c r="Y88" s="2"/>
      <c r="Z88" s="14">
        <f>IFERROR(Z75+Z76+Z77+Z78+Z79+Z80+Z81+Z82+Z83+Z84+Z85+Z86+Z87, "NA")</f>
        <v>3056.71</v>
      </c>
      <c r="AA88" s="15">
        <f>IFERROR(Z88/Z444, "NA")</f>
        <v>2.9094363676738094E-2</v>
      </c>
      <c r="AB88" s="2"/>
      <c r="AC88" s="14">
        <f t="shared" si="23"/>
        <v>1787.4899999999998</v>
      </c>
      <c r="AD88" s="15">
        <f>IFERROR(AC88/AC444, "NA")</f>
        <v>5.4947061476192174E-2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238.04</v>
      </c>
      <c r="L89" s="8">
        <f>IFERROR(K89/K444, "NA")</f>
        <v>2.2657112809559088E-3</v>
      </c>
      <c r="M89" s="9"/>
      <c r="N89" s="10">
        <f t="shared" si="21"/>
        <v>-238.04</v>
      </c>
      <c r="O89" s="8">
        <f>IFERROR(N89/N444, "NA")</f>
        <v>-7.3172988457517445E-3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238.04</v>
      </c>
      <c r="AA89" s="8">
        <f>IFERROR(Z89/Z444, "NA")</f>
        <v>2.2657112809559088E-3</v>
      </c>
      <c r="AB89" s="9"/>
      <c r="AC89" s="10">
        <f t="shared" si="23"/>
        <v>-238.04</v>
      </c>
      <c r="AD89" s="8">
        <f>IFERROR(AC89/AC444, "NA")</f>
        <v>-7.3172988457517445E-3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-3382.99</v>
      </c>
      <c r="F94" s="8">
        <f>IFERROR(E94/E444, "NA")</f>
        <v>-3.4999955512783454E-2</v>
      </c>
      <c r="G94" s="9"/>
      <c r="H94" s="10">
        <f t="shared" ref="H94:H124" si="24">IFERROR(B94-E94, "NA")</f>
        <v>3382.99</v>
      </c>
      <c r="I94" s="8">
        <f>IFERROR(H94/H444, "NA")</f>
        <v>8.2640790227105271E-2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-3382.99</v>
      </c>
      <c r="U94" s="8">
        <f>IFERROR(T94/T444, "NA")</f>
        <v>-3.4999955512783454E-2</v>
      </c>
      <c r="V94" s="9"/>
      <c r="W94" s="10">
        <f t="shared" ref="W94:W124" si="26">IFERROR(Q94-T94, "NA")</f>
        <v>3382.99</v>
      </c>
      <c r="X94" s="8">
        <f>IFERROR(W94/W444, "NA")</f>
        <v>8.2640790227105271E-2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-1513.95</v>
      </c>
      <c r="C96" s="8">
        <f>IFERROR(B96/B444, "NA")</f>
        <v>-1.1003098557441778E-2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-1513.95</v>
      </c>
      <c r="I96" s="8">
        <f>IFERROR(H96/H444, "NA")</f>
        <v>-3.6983267572273652E-2</v>
      </c>
      <c r="J96" s="9"/>
      <c r="K96" s="7">
        <v>-105.81</v>
      </c>
      <c r="L96" s="8">
        <f>IFERROR(K96/K444, "NA")</f>
        <v>-1.0071202765835352E-3</v>
      </c>
      <c r="M96" s="9"/>
      <c r="N96" s="10">
        <f t="shared" si="25"/>
        <v>-1408.14</v>
      </c>
      <c r="O96" s="8">
        <f>IFERROR(N96/N444, "NA")</f>
        <v>-4.3285923360178384E-2</v>
      </c>
      <c r="P96" s="9"/>
      <c r="Q96" s="7">
        <v>-1513.95</v>
      </c>
      <c r="R96" s="8">
        <f>IFERROR(Q96/Q444, "NA")</f>
        <v>-1.1003098557441778E-2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-1513.95</v>
      </c>
      <c r="X96" s="8">
        <f>IFERROR(W96/W444, "NA")</f>
        <v>-3.6983267572273652E-2</v>
      </c>
      <c r="Y96" s="9"/>
      <c r="Z96" s="7">
        <v>-105.81</v>
      </c>
      <c r="AA96" s="8">
        <f>IFERROR(Z96/Z444, "NA")</f>
        <v>-1.0071202765835352E-3</v>
      </c>
      <c r="AB96" s="9"/>
      <c r="AC96" s="10">
        <f t="shared" si="27"/>
        <v>-1408.14</v>
      </c>
      <c r="AD96" s="8">
        <f>IFERROR(AC96/AC444, "NA")</f>
        <v>-4.3285923360178384E-2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-1611.74</v>
      </c>
      <c r="C98" s="8">
        <f>IFERROR(B98/B444, "NA")</f>
        <v>-1.1713817542832466E-2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-1611.74</v>
      </c>
      <c r="I98" s="8">
        <f>IFERROR(H98/H444, "NA")</f>
        <v>-3.9372113793015841E-2</v>
      </c>
      <c r="J98" s="9"/>
      <c r="K98" s="7">
        <v>-1285.3399999999999</v>
      </c>
      <c r="L98" s="8">
        <f>IFERROR(K98/K444, "NA")</f>
        <v>-1.22341175342962E-2</v>
      </c>
      <c r="M98" s="9"/>
      <c r="N98" s="10">
        <f t="shared" si="25"/>
        <v>-326.40000000000009</v>
      </c>
      <c r="O98" s="8">
        <f>IFERROR(N98/N444, "NA")</f>
        <v>-1.0033466405870318E-2</v>
      </c>
      <c r="P98" s="9"/>
      <c r="Q98" s="7">
        <v>-1611.74</v>
      </c>
      <c r="R98" s="8">
        <f>IFERROR(Q98/Q444, "NA")</f>
        <v>-1.1713817542832466E-2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-1611.74</v>
      </c>
      <c r="X98" s="8">
        <f>IFERROR(W98/W444, "NA")</f>
        <v>-3.9372113793015841E-2</v>
      </c>
      <c r="Y98" s="9"/>
      <c r="Z98" s="7">
        <v>-1285.3399999999999</v>
      </c>
      <c r="AA98" s="8">
        <f>IFERROR(Z98/Z444, "NA")</f>
        <v>-1.22341175342962E-2</v>
      </c>
      <c r="AB98" s="9"/>
      <c r="AC98" s="10">
        <f t="shared" si="27"/>
        <v>-326.40000000000009</v>
      </c>
      <c r="AD98" s="8">
        <f>IFERROR(AC98/AC444, "NA")</f>
        <v>-1.0033466405870318E-2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-378.66</v>
      </c>
      <c r="C100" s="8">
        <f>IFERROR(B100/B444, "NA")</f>
        <v>-2.7520283363128926E-3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-378.66</v>
      </c>
      <c r="I100" s="8">
        <f>IFERROR(H100/H444, "NA")</f>
        <v>-9.2500307796936111E-3</v>
      </c>
      <c r="J100" s="9"/>
      <c r="K100" s="7">
        <v>-245.71</v>
      </c>
      <c r="L100" s="8">
        <f>IFERROR(K100/K444, "NA")</f>
        <v>-2.3387158412186033E-3</v>
      </c>
      <c r="M100" s="9"/>
      <c r="N100" s="10">
        <f t="shared" si="25"/>
        <v>-132.95000000000002</v>
      </c>
      <c r="O100" s="8">
        <f>IFERROR(N100/N444, "NA")</f>
        <v>-4.0868546527587576E-3</v>
      </c>
      <c r="P100" s="9"/>
      <c r="Q100" s="7">
        <v>-378.66</v>
      </c>
      <c r="R100" s="8">
        <f>IFERROR(Q100/Q444, "NA")</f>
        <v>-2.7520283363128926E-3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-378.66</v>
      </c>
      <c r="X100" s="8">
        <f>IFERROR(W100/W444, "NA")</f>
        <v>-9.2500307796936111E-3</v>
      </c>
      <c r="Y100" s="9"/>
      <c r="Z100" s="7">
        <v>-245.71</v>
      </c>
      <c r="AA100" s="8">
        <f>IFERROR(Z100/Z444, "NA")</f>
        <v>-2.3387158412186033E-3</v>
      </c>
      <c r="AB100" s="9"/>
      <c r="AC100" s="10">
        <f t="shared" si="27"/>
        <v>-132.95000000000002</v>
      </c>
      <c r="AD100" s="8">
        <f>IFERROR(AC100/AC444, "NA")</f>
        <v>-4.0868546527587576E-3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-1375.8</v>
      </c>
      <c r="C102" s="8">
        <f>IFERROR(B102/B444, "NA")</f>
        <v>-9.9990508242203489E-3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-1375.8</v>
      </c>
      <c r="I102" s="8">
        <f>IFERROR(H102/H444, "NA")</f>
        <v>-3.3608494022876641E-2</v>
      </c>
      <c r="J102" s="9"/>
      <c r="K102" s="7">
        <v>-287.52</v>
      </c>
      <c r="L102" s="8">
        <f>IFERROR(K102/K444, "NA")</f>
        <v>-2.7366715993129005E-3</v>
      </c>
      <c r="M102" s="9"/>
      <c r="N102" s="10">
        <f t="shared" si="25"/>
        <v>-1088.28</v>
      </c>
      <c r="O102" s="8">
        <f>IFERROR(N102/N444, "NA")</f>
        <v>-3.345349515986687E-2</v>
      </c>
      <c r="P102" s="9"/>
      <c r="Q102" s="7">
        <v>-1375.8</v>
      </c>
      <c r="R102" s="8">
        <f>IFERROR(Q102/Q444, "NA")</f>
        <v>-9.9990508242203489E-3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-1375.8</v>
      </c>
      <c r="X102" s="8">
        <f>IFERROR(W102/W444, "NA")</f>
        <v>-3.3608494022876641E-2</v>
      </c>
      <c r="Y102" s="9"/>
      <c r="Z102" s="7">
        <v>-287.52</v>
      </c>
      <c r="AA102" s="8">
        <f>IFERROR(Z102/Z444, "NA")</f>
        <v>-2.7366715993129005E-3</v>
      </c>
      <c r="AB102" s="9"/>
      <c r="AC102" s="10">
        <f t="shared" si="27"/>
        <v>-1088.28</v>
      </c>
      <c r="AD102" s="8">
        <f>IFERROR(AC102/AC444, "NA")</f>
        <v>-3.345349515986687E-2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-549.77</v>
      </c>
      <c r="C104" s="8">
        <f>IFERROR(B104/B444, "NA")</f>
        <v>-3.9956230350571458E-3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-549.77</v>
      </c>
      <c r="I104" s="8">
        <f>IFERROR(H104/H444, "NA")</f>
        <v>-1.3429962028606548E-2</v>
      </c>
      <c r="J104" s="9"/>
      <c r="K104" s="7">
        <v>-243.12</v>
      </c>
      <c r="L104" s="8">
        <f>IFERROR(K104/K444, "NA")</f>
        <v>-2.3140637146109922E-3</v>
      </c>
      <c r="M104" s="9"/>
      <c r="N104" s="10">
        <f t="shared" si="25"/>
        <v>-306.64999999999998</v>
      </c>
      <c r="O104" s="8">
        <f>IFERROR(N104/N444, "NA")</f>
        <v>-9.426355616912168E-3</v>
      </c>
      <c r="P104" s="9"/>
      <c r="Q104" s="7">
        <v>-549.77</v>
      </c>
      <c r="R104" s="8">
        <f>IFERROR(Q104/Q444, "NA")</f>
        <v>-3.9956230350571458E-3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-549.77</v>
      </c>
      <c r="X104" s="8">
        <f>IFERROR(W104/W444, "NA")</f>
        <v>-1.3429962028606548E-2</v>
      </c>
      <c r="Y104" s="9"/>
      <c r="Z104" s="7">
        <v>-243.12</v>
      </c>
      <c r="AA104" s="8">
        <f>IFERROR(Z104/Z444, "NA")</f>
        <v>-2.3140637146109922E-3</v>
      </c>
      <c r="AB104" s="9"/>
      <c r="AC104" s="10">
        <f t="shared" si="27"/>
        <v>-306.64999999999998</v>
      </c>
      <c r="AD104" s="8">
        <f>IFERROR(AC104/AC444, "NA")</f>
        <v>-9.426355616912168E-3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-2383.38</v>
      </c>
      <c r="L106" s="8">
        <f>IFERROR(K106/K444, "NA")</f>
        <v>-2.2685477032451242E-2</v>
      </c>
      <c r="M106" s="9"/>
      <c r="N106" s="10">
        <f t="shared" si="25"/>
        <v>2383.38</v>
      </c>
      <c r="O106" s="8">
        <f>IFERROR(N106/N444, "NA")</f>
        <v>7.326459302212987E-2</v>
      </c>
      <c r="P106" s="9"/>
      <c r="Q106" s="7">
        <v>0</v>
      </c>
      <c r="R106" s="8">
        <f>IFERROR(Q106/Q444, "NA")</f>
        <v>0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0</v>
      </c>
      <c r="X106" s="8">
        <f>IFERROR(W106/W444, "NA")</f>
        <v>0</v>
      </c>
      <c r="Y106" s="9"/>
      <c r="Z106" s="7">
        <v>-2383.38</v>
      </c>
      <c r="AA106" s="8">
        <f>IFERROR(Z106/Z444, "NA")</f>
        <v>-2.2685477032451242E-2</v>
      </c>
      <c r="AB106" s="9"/>
      <c r="AC106" s="10">
        <f t="shared" si="27"/>
        <v>2383.38</v>
      </c>
      <c r="AD106" s="8">
        <f>IFERROR(AC106/AC444, "NA")</f>
        <v>7.326459302212987E-2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-11.55</v>
      </c>
      <c r="L111" s="8">
        <f>IFERROR(K111/K444, "NA")</f>
        <v>-1.0993515919610463E-4</v>
      </c>
      <c r="M111" s="9"/>
      <c r="N111" s="10">
        <f t="shared" si="25"/>
        <v>11.55</v>
      </c>
      <c r="O111" s="8">
        <f>IFERROR(N111/N444, "NA")</f>
        <v>3.5504453734008009E-4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-1.0993515919610463E-4</v>
      </c>
      <c r="AB111" s="9"/>
      <c r="AC111" s="10">
        <f t="shared" si="27"/>
        <v>11.55</v>
      </c>
      <c r="AD111" s="8">
        <f>IFERROR(AC111/AC444, "NA")</f>
        <v>3.5504453734008009E-4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-5429.92</v>
      </c>
      <c r="C118" s="15">
        <f>IFERROR(B118/B444, "NA")</f>
        <v>-3.946361829586463E-2</v>
      </c>
      <c r="D118" s="2"/>
      <c r="E118" s="14">
        <f>IFERROR(E94+E95+E96+E97+E98+E99+E100+E101+E102+E103+E104+E105+E106+E107+E108+E109+E110+E111+E112+E113+E114+E115+E116+E117, "NA")</f>
        <v>-3382.99</v>
      </c>
      <c r="F118" s="15">
        <f>IFERROR(E118/E444, "NA")</f>
        <v>-3.4999955512783454E-2</v>
      </c>
      <c r="G118" s="2"/>
      <c r="H118" s="14">
        <f t="shared" si="24"/>
        <v>-2046.9300000000003</v>
      </c>
      <c r="I118" s="15">
        <f>IFERROR(H118/H444, "NA")</f>
        <v>-5.0003077969361022E-2</v>
      </c>
      <c r="J118" s="2"/>
      <c r="K118" s="14">
        <f>IFERROR(K94+K95+K96+K97+K98+K99+K100+K101+K102+K103+K104+K105+K106+K107+K108+K109+K110+K111+K112+K113+K114+K115+K116+K117, "NA")</f>
        <v>-4562.43</v>
      </c>
      <c r="L118" s="15">
        <f>IFERROR(K118/K444, "NA")</f>
        <v>-4.342610115766958E-2</v>
      </c>
      <c r="M118" s="2"/>
      <c r="N118" s="14">
        <f t="shared" si="25"/>
        <v>-867.48999999999978</v>
      </c>
      <c r="O118" s="15">
        <f>IFERROR(N118/N444, "NA")</f>
        <v>-2.6666457636116535E-2</v>
      </c>
      <c r="P118" s="2"/>
      <c r="Q118" s="14">
        <f>IFERROR(Q94+Q95+Q96+Q97+Q98+Q99+Q100+Q101+Q102+Q103+Q104+Q105+Q106+Q107+Q108+Q109+Q110+Q111+Q112+Q113+Q114+Q115+Q116+Q117, "NA")</f>
        <v>-5429.92</v>
      </c>
      <c r="R118" s="15">
        <f>IFERROR(Q118/Q444, "NA")</f>
        <v>-3.946361829586463E-2</v>
      </c>
      <c r="S118" s="2"/>
      <c r="T118" s="14">
        <f>IFERROR(T94+T95+T96+T97+T98+T99+T100+T101+T102+T103+T104+T105+T106+T107+T108+T109+T110+T111+T112+T113+T114+T115+T116+T117, "NA")</f>
        <v>-3382.99</v>
      </c>
      <c r="U118" s="15">
        <f>IFERROR(T118/T444, "NA")</f>
        <v>-3.4999955512783454E-2</v>
      </c>
      <c r="V118" s="2"/>
      <c r="W118" s="14">
        <f t="shared" si="26"/>
        <v>-2046.9300000000003</v>
      </c>
      <c r="X118" s="15">
        <f>IFERROR(W118/W444, "NA")</f>
        <v>-5.0003077969361022E-2</v>
      </c>
      <c r="Y118" s="2"/>
      <c r="Z118" s="14">
        <f>IFERROR(Z94+Z95+Z96+Z97+Z98+Z99+Z100+Z101+Z102+Z103+Z104+Z105+Z106+Z107+Z108+Z109+Z110+Z111+Z112+Z113+Z114+Z115+Z116+Z117, "NA")</f>
        <v>-4562.43</v>
      </c>
      <c r="AA118" s="15">
        <f>IFERROR(Z118/Z444, "NA")</f>
        <v>-4.342610115766958E-2</v>
      </c>
      <c r="AB118" s="2"/>
      <c r="AC118" s="14">
        <f t="shared" si="27"/>
        <v>-867.48999999999978</v>
      </c>
      <c r="AD118" s="15">
        <f>IFERROR(AC118/AC444, "NA")</f>
        <v>-2.6666457636116535E-2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137593.06000000006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96656.98000000001</v>
      </c>
      <c r="F122" s="15">
        <f>IFERROR(E122/E444, "NA")</f>
        <v>1.0000000000000002</v>
      </c>
      <c r="G122" s="2"/>
      <c r="H122" s="14">
        <f t="shared" si="24"/>
        <v>40936.080000000045</v>
      </c>
      <c r="I122" s="15">
        <f>IFERROR(H122/H444, "NA")</f>
        <v>1.0000000000000011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105061.93000000001</v>
      </c>
      <c r="L122" s="15">
        <f>IFERROR(K122/K444, "NA")</f>
        <v>1.0000000000000002</v>
      </c>
      <c r="M122" s="2"/>
      <c r="N122" s="14">
        <f t="shared" si="25"/>
        <v>32531.130000000048</v>
      </c>
      <c r="O122" s="15">
        <f>IFERROR(N122/N444, "NA")</f>
        <v>1.0000000000000013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137593.06000000006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96656.98000000001</v>
      </c>
      <c r="U122" s="15">
        <f>IFERROR(T122/T444, "NA")</f>
        <v>1.0000000000000002</v>
      </c>
      <c r="V122" s="2"/>
      <c r="W122" s="14">
        <f t="shared" si="26"/>
        <v>40936.080000000045</v>
      </c>
      <c r="X122" s="15">
        <f>IFERROR(W122/W444, "NA")</f>
        <v>1.0000000000000011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105061.93000000001</v>
      </c>
      <c r="AA122" s="15">
        <f>IFERROR(Z122/Z444, "NA")</f>
        <v>1.0000000000000002</v>
      </c>
      <c r="AB122" s="2"/>
      <c r="AC122" s="14">
        <f t="shared" si="27"/>
        <v>32531.130000000048</v>
      </c>
      <c r="AD122" s="15">
        <f>IFERROR(AC122/AC444, "NA")</f>
        <v>1.0000000000000013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137593.06000000006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96656.98000000001</v>
      </c>
      <c r="F124" s="15">
        <f>IFERROR(E124/E444, "NA")</f>
        <v>1.0000000000000002</v>
      </c>
      <c r="G124" s="2"/>
      <c r="H124" s="14">
        <f t="shared" si="24"/>
        <v>40936.080000000045</v>
      </c>
      <c r="I124" s="15">
        <f>IFERROR(H124/H444, "NA")</f>
        <v>1.0000000000000011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105061.93000000001</v>
      </c>
      <c r="L124" s="15">
        <f>IFERROR(K124/K444, "NA")</f>
        <v>1.0000000000000002</v>
      </c>
      <c r="M124" s="2"/>
      <c r="N124" s="14">
        <f t="shared" si="25"/>
        <v>32531.130000000048</v>
      </c>
      <c r="O124" s="15">
        <f>IFERROR(N124/N444, "NA")</f>
        <v>1.0000000000000013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137593.06000000006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96656.98000000001</v>
      </c>
      <c r="U124" s="15">
        <f>IFERROR(T124/T444, "NA")</f>
        <v>1.0000000000000002</v>
      </c>
      <c r="V124" s="2"/>
      <c r="W124" s="14">
        <f t="shared" si="26"/>
        <v>40936.080000000045</v>
      </c>
      <c r="X124" s="15">
        <f>IFERROR(W124/W444, "NA")</f>
        <v>1.0000000000000011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105061.93000000001</v>
      </c>
      <c r="AA124" s="15">
        <f>IFERROR(Z124/Z444, "NA")</f>
        <v>1.0000000000000002</v>
      </c>
      <c r="AB124" s="2"/>
      <c r="AC124" s="14">
        <f t="shared" si="27"/>
        <v>32531.130000000048</v>
      </c>
      <c r="AD124" s="15">
        <f>IFERROR(AC124/AC444, "NA")</f>
        <v>1.0000000000000013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24840.84</v>
      </c>
      <c r="F129" s="8">
        <f>IFERROR(E129/E444, "NA")</f>
        <v>0.25699996006496378</v>
      </c>
      <c r="G129" s="9"/>
      <c r="H129" s="10">
        <f t="shared" ref="H129:H141" si="28">IFERROR(-(B129-E129), "NA")</f>
        <v>24840.84</v>
      </c>
      <c r="I129" s="8">
        <f>IFERROR(H129/H444, "NA")</f>
        <v>0.60682019382412777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24840.84</v>
      </c>
      <c r="U129" s="8">
        <f>IFERROR(T129/T444, "NA")</f>
        <v>0.25699996006496378</v>
      </c>
      <c r="V129" s="9"/>
      <c r="W129" s="10">
        <f t="shared" ref="W129:W141" si="30">IFERROR(-(Q129-T129), "NA")</f>
        <v>24840.84</v>
      </c>
      <c r="X129" s="8">
        <f>IFERROR(W129/W444, "NA")</f>
        <v>0.60682019382412777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7016.73</v>
      </c>
      <c r="C130" s="8">
        <f>IFERROR(B130/B444, "NA")</f>
        <v>5.0996249374786778E-2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-7016.73</v>
      </c>
      <c r="I130" s="8">
        <f>IFERROR(H130/H444, "NA")</f>
        <v>-0.17140698376591015</v>
      </c>
      <c r="J130" s="9"/>
      <c r="K130" s="7">
        <v>6850.68</v>
      </c>
      <c r="L130" s="8">
        <f>IFERROR(K130/K444, "NA")</f>
        <v>6.5206112242560177E-2</v>
      </c>
      <c r="M130" s="9"/>
      <c r="N130" s="10">
        <f t="shared" si="29"/>
        <v>-166.04999999999927</v>
      </c>
      <c r="O130" s="8">
        <f>IFERROR(N130/N444, "NA")</f>
        <v>-5.1043415952658037E-3</v>
      </c>
      <c r="P130" s="9"/>
      <c r="Q130" s="7">
        <v>7016.73</v>
      </c>
      <c r="R130" s="8">
        <f>IFERROR(Q130/Q444, "NA")</f>
        <v>5.0996249374786778E-2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-7016.73</v>
      </c>
      <c r="X130" s="8">
        <f>IFERROR(W130/W444, "NA")</f>
        <v>-0.17140698376591015</v>
      </c>
      <c r="Y130" s="9"/>
      <c r="Z130" s="7">
        <v>6850.68</v>
      </c>
      <c r="AA130" s="8">
        <f>IFERROR(Z130/Z444, "NA")</f>
        <v>6.5206112242560177E-2</v>
      </c>
      <c r="AB130" s="9"/>
      <c r="AC130" s="10">
        <f t="shared" si="31"/>
        <v>-166.04999999999927</v>
      </c>
      <c r="AD130" s="8">
        <f>IFERROR(AC130/AC444, "NA")</f>
        <v>-5.1043415952658037E-3</v>
      </c>
    </row>
    <row r="131" spans="1:30" ht="16.5" customHeight="1" x14ac:dyDescent="0.45">
      <c r="A131" s="12" t="s">
        <v>123</v>
      </c>
      <c r="B131" s="7">
        <v>3799.31</v>
      </c>
      <c r="C131" s="8">
        <f>IFERROR(B131/B444, "NA")</f>
        <v>2.7612657208146981E-2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-3799.31</v>
      </c>
      <c r="I131" s="8">
        <f>IFERROR(H131/H444, "NA")</f>
        <v>-9.2810791849146271E-2</v>
      </c>
      <c r="J131" s="9"/>
      <c r="K131" s="7">
        <v>3251.1</v>
      </c>
      <c r="L131" s="8">
        <f>IFERROR(K131/K444, "NA")</f>
        <v>3.0944605719693138E-2</v>
      </c>
      <c r="M131" s="9"/>
      <c r="N131" s="10">
        <f t="shared" si="29"/>
        <v>-548.21</v>
      </c>
      <c r="O131" s="8">
        <f>IFERROR(N131/N444, "NA")</f>
        <v>-1.6851858512138988E-2</v>
      </c>
      <c r="P131" s="9"/>
      <c r="Q131" s="7">
        <v>3799.31</v>
      </c>
      <c r="R131" s="8">
        <f>IFERROR(Q131/Q444, "NA")</f>
        <v>2.7612657208146981E-2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-3799.31</v>
      </c>
      <c r="X131" s="8">
        <f>IFERROR(W131/W444, "NA")</f>
        <v>-9.2810791849146271E-2</v>
      </c>
      <c r="Y131" s="9"/>
      <c r="Z131" s="7">
        <v>3251.1</v>
      </c>
      <c r="AA131" s="8">
        <f>IFERROR(Z131/Z444, "NA")</f>
        <v>3.0944605719693138E-2</v>
      </c>
      <c r="AB131" s="9"/>
      <c r="AC131" s="10">
        <f t="shared" si="31"/>
        <v>-548.21</v>
      </c>
      <c r="AD131" s="8">
        <f>IFERROR(AC131/AC444, "NA")</f>
        <v>-1.6851858512138988E-2</v>
      </c>
    </row>
    <row r="132" spans="1:30" ht="16.5" customHeight="1" x14ac:dyDescent="0.45">
      <c r="A132" s="12" t="s">
        <v>124</v>
      </c>
      <c r="B132" s="7">
        <v>5064.37</v>
      </c>
      <c r="C132" s="8">
        <f>IFERROR(B132/B444, "NA")</f>
        <v>3.6806870927937788E-2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-5064.37</v>
      </c>
      <c r="I132" s="8">
        <f>IFERROR(H132/H444, "NA")</f>
        <v>-0.12371409280028765</v>
      </c>
      <c r="J132" s="9"/>
      <c r="K132" s="7">
        <v>3343.11</v>
      </c>
      <c r="L132" s="8">
        <f>IFERROR(K132/K444, "NA")</f>
        <v>3.1820374896977435E-2</v>
      </c>
      <c r="M132" s="9"/>
      <c r="N132" s="10">
        <f t="shared" si="29"/>
        <v>-1721.2599999999998</v>
      </c>
      <c r="O132" s="8">
        <f>IFERROR(N132/N444, "NA")</f>
        <v>-5.2911165397574553E-2</v>
      </c>
      <c r="P132" s="9"/>
      <c r="Q132" s="7">
        <v>5064.37</v>
      </c>
      <c r="R132" s="8">
        <f>IFERROR(Q132/Q444, "NA")</f>
        <v>3.6806870927937788E-2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-5064.37</v>
      </c>
      <c r="X132" s="8">
        <f>IFERROR(W132/W444, "NA")</f>
        <v>-0.12371409280028765</v>
      </c>
      <c r="Y132" s="9"/>
      <c r="Z132" s="7">
        <v>3343.11</v>
      </c>
      <c r="AA132" s="8">
        <f>IFERROR(Z132/Z444, "NA")</f>
        <v>3.1820374896977435E-2</v>
      </c>
      <c r="AB132" s="9"/>
      <c r="AC132" s="10">
        <f t="shared" si="31"/>
        <v>-1721.2599999999998</v>
      </c>
      <c r="AD132" s="8">
        <f>IFERROR(AC132/AC444, "NA")</f>
        <v>-5.2911165397574553E-2</v>
      </c>
    </row>
    <row r="133" spans="1:30" ht="16.5" customHeight="1" x14ac:dyDescent="0.45">
      <c r="A133" s="12" t="s">
        <v>125</v>
      </c>
      <c r="B133" s="7">
        <v>2881.02</v>
      </c>
      <c r="C133" s="8">
        <f>IFERROR(B133/B444, "NA")</f>
        <v>2.0938701414155627E-2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-2881.02</v>
      </c>
      <c r="I133" s="8">
        <f>IFERROR(H133/H444, "NA")</f>
        <v>-7.0378502289422926E-2</v>
      </c>
      <c r="J133" s="9"/>
      <c r="K133" s="7">
        <v>1284.03</v>
      </c>
      <c r="L133" s="8">
        <f>IFERROR(K133/K444, "NA")</f>
        <v>1.2221648698058375E-2</v>
      </c>
      <c r="M133" s="9"/>
      <c r="N133" s="10">
        <f t="shared" si="29"/>
        <v>-1596.99</v>
      </c>
      <c r="O133" s="8">
        <f>IFERROR(N133/N444, "NA")</f>
        <v>-4.9091132094089565E-2</v>
      </c>
      <c r="P133" s="9"/>
      <c r="Q133" s="7">
        <v>2881.02</v>
      </c>
      <c r="R133" s="8">
        <f>IFERROR(Q133/Q444, "NA")</f>
        <v>2.0938701414155627E-2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-2881.02</v>
      </c>
      <c r="X133" s="8">
        <f>IFERROR(W133/W444, "NA")</f>
        <v>-7.0378502289422926E-2</v>
      </c>
      <c r="Y133" s="9"/>
      <c r="Z133" s="7">
        <v>1284.03</v>
      </c>
      <c r="AA133" s="8">
        <f>IFERROR(Z133/Z444, "NA")</f>
        <v>1.2221648698058375E-2</v>
      </c>
      <c r="AB133" s="9"/>
      <c r="AC133" s="10">
        <f t="shared" si="31"/>
        <v>-1596.99</v>
      </c>
      <c r="AD133" s="8">
        <f>IFERROR(AC133/AC444, "NA")</f>
        <v>-4.9091132094089565E-2</v>
      </c>
    </row>
    <row r="134" spans="1:30" ht="16.5" customHeight="1" x14ac:dyDescent="0.45">
      <c r="A134" s="12" t="s">
        <v>126</v>
      </c>
      <c r="B134" s="7">
        <v>952.43</v>
      </c>
      <c r="C134" s="8">
        <f>IFERROR(B134/B444, "NA")</f>
        <v>6.9220787734497651E-3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-952.43</v>
      </c>
      <c r="I134" s="8">
        <f>IFERROR(H134/H444, "NA")</f>
        <v>-2.3266272686588454E-2</v>
      </c>
      <c r="J134" s="9"/>
      <c r="K134" s="7">
        <v>897.37</v>
      </c>
      <c r="L134" s="8">
        <f>IFERROR(K134/K444, "NA")</f>
        <v>8.541343186823239E-3</v>
      </c>
      <c r="M134" s="9"/>
      <c r="N134" s="10">
        <f t="shared" si="29"/>
        <v>-55.059999999999945</v>
      </c>
      <c r="O134" s="8">
        <f>IFERROR(N134/N444, "NA")</f>
        <v>-1.6925326602549599E-3</v>
      </c>
      <c r="P134" s="9"/>
      <c r="Q134" s="7">
        <v>952.43</v>
      </c>
      <c r="R134" s="8">
        <f>IFERROR(Q134/Q444, "NA")</f>
        <v>6.9220787734497651E-3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-952.43</v>
      </c>
      <c r="X134" s="8">
        <f>IFERROR(W134/W444, "NA")</f>
        <v>-2.3266272686588454E-2</v>
      </c>
      <c r="Y134" s="9"/>
      <c r="Z134" s="7">
        <v>897.37</v>
      </c>
      <c r="AA134" s="8">
        <f>IFERROR(Z134/Z444, "NA")</f>
        <v>8.541343186823239E-3</v>
      </c>
      <c r="AB134" s="9"/>
      <c r="AC134" s="10">
        <f t="shared" si="31"/>
        <v>-55.059999999999945</v>
      </c>
      <c r="AD134" s="8">
        <f>IFERROR(AC134/AC444, "NA")</f>
        <v>-1.6925326602549599E-3</v>
      </c>
    </row>
    <row r="135" spans="1:30" ht="16.5" customHeight="1" x14ac:dyDescent="0.45">
      <c r="A135" s="12" t="s">
        <v>127</v>
      </c>
      <c r="B135" s="7">
        <v>1655.11</v>
      </c>
      <c r="C135" s="8">
        <f>IFERROR(B135/B444, "NA")</f>
        <v>1.2029022394007372E-2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-1655.11</v>
      </c>
      <c r="I135" s="8">
        <f>IFERROR(H135/H444, "NA")</f>
        <v>-4.0431570389739317E-2</v>
      </c>
      <c r="J135" s="9"/>
      <c r="K135" s="7">
        <v>1365.4</v>
      </c>
      <c r="L135" s="8">
        <f>IFERROR(K135/K444, "NA")</f>
        <v>1.2996144274143832E-2</v>
      </c>
      <c r="M135" s="9"/>
      <c r="N135" s="10">
        <f t="shared" si="29"/>
        <v>-289.70999999999981</v>
      </c>
      <c r="O135" s="8">
        <f>IFERROR(N135/N444, "NA")</f>
        <v>-8.9056236288133795E-3</v>
      </c>
      <c r="P135" s="9"/>
      <c r="Q135" s="7">
        <v>1655.11</v>
      </c>
      <c r="R135" s="8">
        <f>IFERROR(Q135/Q444, "NA")</f>
        <v>1.2029022394007372E-2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-1655.11</v>
      </c>
      <c r="X135" s="8">
        <f>IFERROR(W135/W444, "NA")</f>
        <v>-4.0431570389739317E-2</v>
      </c>
      <c r="Y135" s="9"/>
      <c r="Z135" s="7">
        <v>1365.4</v>
      </c>
      <c r="AA135" s="8">
        <f>IFERROR(Z135/Z444, "NA")</f>
        <v>1.2996144274143832E-2</v>
      </c>
      <c r="AB135" s="9"/>
      <c r="AC135" s="10">
        <f t="shared" si="31"/>
        <v>-289.70999999999981</v>
      </c>
      <c r="AD135" s="8">
        <f>IFERROR(AC135/AC444, "NA")</f>
        <v>-8.9056236288133795E-3</v>
      </c>
    </row>
    <row r="136" spans="1:30" ht="16.5" customHeight="1" x14ac:dyDescent="0.45">
      <c r="A136" s="12" t="s">
        <v>128</v>
      </c>
      <c r="B136" s="7">
        <v>918.42</v>
      </c>
      <c r="C136" s="8">
        <f>IFERROR(B136/B444, "NA")</f>
        <v>6.6749006090859519E-3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-918.42</v>
      </c>
      <c r="I136" s="8">
        <f>IFERROR(H136/H444, "NA")</f>
        <v>-2.2435465242397413E-2</v>
      </c>
      <c r="J136" s="9"/>
      <c r="K136" s="7">
        <v>1165.1600000000001</v>
      </c>
      <c r="L136" s="8">
        <f>IFERROR(K136/K444, "NA")</f>
        <v>1.1090220786920631E-2</v>
      </c>
      <c r="M136" s="9"/>
      <c r="N136" s="10">
        <f t="shared" si="29"/>
        <v>246.74000000000012</v>
      </c>
      <c r="O136" s="8">
        <f>IFERROR(N136/N444, "NA")</f>
        <v>7.5847349907611598E-3</v>
      </c>
      <c r="P136" s="9"/>
      <c r="Q136" s="7">
        <v>918.42</v>
      </c>
      <c r="R136" s="8">
        <f>IFERROR(Q136/Q444, "NA")</f>
        <v>6.6749006090859519E-3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-918.42</v>
      </c>
      <c r="X136" s="8">
        <f>IFERROR(W136/W444, "NA")</f>
        <v>-2.2435465242397413E-2</v>
      </c>
      <c r="Y136" s="9"/>
      <c r="Z136" s="7">
        <v>1165.1600000000001</v>
      </c>
      <c r="AA136" s="8">
        <f>IFERROR(Z136/Z444, "NA")</f>
        <v>1.1090220786920631E-2</v>
      </c>
      <c r="AB136" s="9"/>
      <c r="AC136" s="10">
        <f t="shared" si="31"/>
        <v>246.74000000000012</v>
      </c>
      <c r="AD136" s="8">
        <f>IFERROR(AC136/AC444, "NA")</f>
        <v>7.5847349907611598E-3</v>
      </c>
    </row>
    <row r="137" spans="1:30" ht="16.5" customHeight="1" x14ac:dyDescent="0.45">
      <c r="A137" s="12" t="s">
        <v>129</v>
      </c>
      <c r="B137" s="7">
        <v>592.38</v>
      </c>
      <c r="C137" s="8">
        <f>IFERROR(B137/B444, "NA")</f>
        <v>4.3053043518328617E-3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-592.38</v>
      </c>
      <c r="I137" s="8">
        <f>IFERROR(H137/H444, "NA")</f>
        <v>-1.4470853095850897E-2</v>
      </c>
      <c r="J137" s="9"/>
      <c r="K137" s="7">
        <v>509.78</v>
      </c>
      <c r="L137" s="8">
        <f>IFERROR(K137/K444, "NA")</f>
        <v>4.8521857536788062E-3</v>
      </c>
      <c r="M137" s="9"/>
      <c r="N137" s="10">
        <f t="shared" si="29"/>
        <v>-82.600000000000023</v>
      </c>
      <c r="O137" s="8">
        <f>IFERROR(N137/N444, "NA")</f>
        <v>-2.5391063882502702E-3</v>
      </c>
      <c r="P137" s="9"/>
      <c r="Q137" s="7">
        <v>592.38</v>
      </c>
      <c r="R137" s="8">
        <f>IFERROR(Q137/Q444, "NA")</f>
        <v>4.3053043518328617E-3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-592.38</v>
      </c>
      <c r="X137" s="8">
        <f>IFERROR(W137/W444, "NA")</f>
        <v>-1.4470853095850897E-2</v>
      </c>
      <c r="Y137" s="9"/>
      <c r="Z137" s="7">
        <v>509.78</v>
      </c>
      <c r="AA137" s="8">
        <f>IFERROR(Z137/Z444, "NA")</f>
        <v>4.8521857536788062E-3</v>
      </c>
      <c r="AB137" s="9"/>
      <c r="AC137" s="10">
        <f t="shared" si="31"/>
        <v>-82.600000000000023</v>
      </c>
      <c r="AD137" s="8">
        <f>IFERROR(AC137/AC444, "NA")</f>
        <v>-2.5391063882502702E-3</v>
      </c>
    </row>
    <row r="138" spans="1:30" ht="16.5" customHeight="1" x14ac:dyDescent="0.45">
      <c r="A138" s="12" t="s">
        <v>130</v>
      </c>
      <c r="B138" s="7">
        <v>6974.2</v>
      </c>
      <c r="C138" s="8">
        <f>IFERROR(B138/B444, "NA")</f>
        <v>5.0687149482684664E-2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-6974.2</v>
      </c>
      <c r="I138" s="8">
        <f>IFERROR(H138/H444, "NA")</f>
        <v>-0.17036804696492677</v>
      </c>
      <c r="J138" s="9"/>
      <c r="K138" s="7">
        <v>6131.18</v>
      </c>
      <c r="L138" s="8">
        <f>IFERROR(K138/K444, "NA")</f>
        <v>5.8357770507356951E-2</v>
      </c>
      <c r="M138" s="9"/>
      <c r="N138" s="10">
        <f t="shared" si="29"/>
        <v>-843.01999999999953</v>
      </c>
      <c r="O138" s="8">
        <f>IFERROR(N138/N444, "NA")</f>
        <v>-2.591425505354408E-2</v>
      </c>
      <c r="P138" s="9"/>
      <c r="Q138" s="7">
        <v>6974.2</v>
      </c>
      <c r="R138" s="8">
        <f>IFERROR(Q138/Q444, "NA")</f>
        <v>5.0687149482684664E-2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-6974.2</v>
      </c>
      <c r="X138" s="8">
        <f>IFERROR(W138/W444, "NA")</f>
        <v>-0.17036804696492677</v>
      </c>
      <c r="Y138" s="9"/>
      <c r="Z138" s="7">
        <v>6131.18</v>
      </c>
      <c r="AA138" s="8">
        <f>IFERROR(Z138/Z444, "NA")</f>
        <v>5.8357770507356951E-2</v>
      </c>
      <c r="AB138" s="9"/>
      <c r="AC138" s="10">
        <f t="shared" si="31"/>
        <v>-843.01999999999953</v>
      </c>
      <c r="AD138" s="8">
        <f>IFERROR(AC138/AC444, "NA")</f>
        <v>-2.591425505354408E-2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29853.97</v>
      </c>
      <c r="C141" s="15">
        <f>IFERROR(B141/B444, "NA")</f>
        <v>0.21697293453608782</v>
      </c>
      <c r="D141" s="2"/>
      <c r="E141" s="14">
        <f>IFERROR(E129+E130+E131+E132+E133+E134+E135+E136+E137+E138+E139+E140, "NA")</f>
        <v>24840.84</v>
      </c>
      <c r="F141" s="15">
        <f>IFERROR(E141/E444, "NA")</f>
        <v>0.25699996006496378</v>
      </c>
      <c r="G141" s="2"/>
      <c r="H141" s="14">
        <f t="shared" si="28"/>
        <v>-5013.130000000001</v>
      </c>
      <c r="I141" s="15">
        <f>IFERROR(H141/H444, "NA")</f>
        <v>-0.12246238526014218</v>
      </c>
      <c r="J141" s="2"/>
      <c r="K141" s="14">
        <f>IFERROR(K129+K130+K131+K132+K133+K134+K135+K136+K137+K138+K139+K140, "NA")</f>
        <v>24797.81</v>
      </c>
      <c r="L141" s="15">
        <f>IFERROR(K141/K444, "NA")</f>
        <v>0.23603040606621259</v>
      </c>
      <c r="M141" s="2"/>
      <c r="N141" s="14">
        <f t="shared" si="29"/>
        <v>-5056.16</v>
      </c>
      <c r="O141" s="15">
        <f>IFERROR(N141/N444, "NA")</f>
        <v>-0.1554252803391705</v>
      </c>
      <c r="P141" s="2"/>
      <c r="Q141" s="14">
        <f>IFERROR(Q129+Q130+Q131+Q132+Q133+Q134+Q135+Q136+Q137+Q138+Q139+Q140, "NA")</f>
        <v>29853.97</v>
      </c>
      <c r="R141" s="15">
        <f>IFERROR(Q141/Q444, "NA")</f>
        <v>0.21697293453608782</v>
      </c>
      <c r="S141" s="2"/>
      <c r="T141" s="14">
        <f>IFERROR(T129+T130+T131+T132+T133+T134+T135+T136+T137+T138+T139+T140, "NA")</f>
        <v>24840.84</v>
      </c>
      <c r="U141" s="15">
        <f>IFERROR(T141/T444, "NA")</f>
        <v>0.25699996006496378</v>
      </c>
      <c r="V141" s="2"/>
      <c r="W141" s="14">
        <f t="shared" si="30"/>
        <v>-5013.130000000001</v>
      </c>
      <c r="X141" s="15">
        <f>IFERROR(W141/W444, "NA")</f>
        <v>-0.12246238526014218</v>
      </c>
      <c r="Y141" s="2"/>
      <c r="Z141" s="14">
        <f>IFERROR(Z129+Z130+Z131+Z132+Z133+Z134+Z135+Z136+Z137+Z138+Z139+Z140, "NA")</f>
        <v>24797.81</v>
      </c>
      <c r="AA141" s="15">
        <f>IFERROR(Z141/Z444, "NA")</f>
        <v>0.23603040606621259</v>
      </c>
      <c r="AB141" s="2"/>
      <c r="AC141" s="14">
        <f t="shared" si="31"/>
        <v>-5056.16</v>
      </c>
      <c r="AD141" s="15">
        <f>IFERROR(AC141/AC444, "NA")</f>
        <v>-0.1554252803391705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2027.88</v>
      </c>
      <c r="C144" s="8">
        <f>IFERROR(B144/B444, "NA")</f>
        <v>1.4738243338726533E-2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-2027.88</v>
      </c>
      <c r="I144" s="8">
        <f>IFERROR(H144/H444, "NA")</f>
        <v>-4.9537718315969675E-2</v>
      </c>
      <c r="J144" s="9"/>
      <c r="K144" s="7">
        <v>712.92</v>
      </c>
      <c r="L144" s="8">
        <f>IFERROR(K144/K444, "NA")</f>
        <v>6.7857120081460526E-3</v>
      </c>
      <c r="M144" s="9"/>
      <c r="N144" s="10">
        <f t="shared" si="33"/>
        <v>-1314.96</v>
      </c>
      <c r="O144" s="8">
        <f>IFERROR(N144/N444, "NA")</f>
        <v>-4.0421590027767247E-2</v>
      </c>
      <c r="P144" s="9"/>
      <c r="Q144" s="7">
        <v>2027.88</v>
      </c>
      <c r="R144" s="8">
        <f>IFERROR(Q144/Q444, "NA")</f>
        <v>1.4738243338726533E-2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-2027.88</v>
      </c>
      <c r="X144" s="8">
        <f>IFERROR(W144/W444, "NA")</f>
        <v>-4.9537718315969675E-2</v>
      </c>
      <c r="Y144" s="9"/>
      <c r="Z144" s="7">
        <v>712.92</v>
      </c>
      <c r="AA144" s="8">
        <f>IFERROR(Z144/Z444, "NA")</f>
        <v>6.7857120081460526E-3</v>
      </c>
      <c r="AB144" s="9"/>
      <c r="AC144" s="10">
        <f t="shared" si="35"/>
        <v>-1314.96</v>
      </c>
      <c r="AD144" s="8">
        <f>IFERROR(AC144/AC444, "NA")</f>
        <v>-4.0421590027767247E-2</v>
      </c>
    </row>
    <row r="145" spans="1:30" ht="16.5" customHeight="1" x14ac:dyDescent="0.45">
      <c r="A145" s="12" t="s">
        <v>136</v>
      </c>
      <c r="B145" s="7">
        <v>30.13</v>
      </c>
      <c r="C145" s="8">
        <f>IFERROR(B145/B444, "NA")</f>
        <v>2.1897906769425724E-4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-30.13</v>
      </c>
      <c r="I145" s="8">
        <f>IFERROR(H145/H444, "NA")</f>
        <v>-7.3602553053443319E-4</v>
      </c>
      <c r="J145" s="9"/>
      <c r="K145" s="7">
        <v>49.26</v>
      </c>
      <c r="L145" s="8">
        <f>IFERROR(K145/K444, "NA")</f>
        <v>4.6886631532468517E-4</v>
      </c>
      <c r="M145" s="9"/>
      <c r="N145" s="10">
        <f t="shared" si="33"/>
        <v>19.13</v>
      </c>
      <c r="O145" s="8">
        <f>IFERROR(N145/N444, "NA")</f>
        <v>5.8805212115287716E-4</v>
      </c>
      <c r="P145" s="9"/>
      <c r="Q145" s="7">
        <v>30.13</v>
      </c>
      <c r="R145" s="8">
        <f>IFERROR(Q145/Q444, "NA")</f>
        <v>2.1897906769425724E-4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-30.13</v>
      </c>
      <c r="X145" s="8">
        <f>IFERROR(W145/W444, "NA")</f>
        <v>-7.3602553053443319E-4</v>
      </c>
      <c r="Y145" s="9"/>
      <c r="Z145" s="7">
        <v>49.26</v>
      </c>
      <c r="AA145" s="8">
        <f>IFERROR(Z145/Z444, "NA")</f>
        <v>4.6886631532468517E-4</v>
      </c>
      <c r="AB145" s="9"/>
      <c r="AC145" s="10">
        <f t="shared" si="35"/>
        <v>19.13</v>
      </c>
      <c r="AD145" s="8">
        <f>IFERROR(AC145/AC444, "NA")</f>
        <v>5.8805212115287716E-4</v>
      </c>
    </row>
    <row r="146" spans="1:30" ht="16.5" customHeight="1" x14ac:dyDescent="0.45">
      <c r="A146" s="12" t="s">
        <v>137</v>
      </c>
      <c r="B146" s="7">
        <v>712.76</v>
      </c>
      <c r="C146" s="8">
        <f>IFERROR(B146/B444, "NA")</f>
        <v>5.1802031294310921E-3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-712.76</v>
      </c>
      <c r="I146" s="8">
        <f>IFERROR(H146/H444, "NA")</f>
        <v>-1.7411535252031946E-2</v>
      </c>
      <c r="J146" s="9"/>
      <c r="K146" s="7">
        <v>219.12</v>
      </c>
      <c r="L146" s="8">
        <f>IFERROR(K146/K444, "NA")</f>
        <v>2.0856270201775277E-3</v>
      </c>
      <c r="M146" s="9"/>
      <c r="N146" s="10">
        <f t="shared" si="33"/>
        <v>-493.64</v>
      </c>
      <c r="O146" s="8">
        <f>IFERROR(N146/N444, "NA")</f>
        <v>-1.5174388347407542E-2</v>
      </c>
      <c r="P146" s="9"/>
      <c r="Q146" s="7">
        <v>712.76</v>
      </c>
      <c r="R146" s="8">
        <f>IFERROR(Q146/Q444, "NA")</f>
        <v>5.1802031294310921E-3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-712.76</v>
      </c>
      <c r="X146" s="8">
        <f>IFERROR(W146/W444, "NA")</f>
        <v>-1.7411535252031946E-2</v>
      </c>
      <c r="Y146" s="9"/>
      <c r="Z146" s="7">
        <v>219.12</v>
      </c>
      <c r="AA146" s="8">
        <f>IFERROR(Z146/Z444, "NA")</f>
        <v>2.0856270201775277E-3</v>
      </c>
      <c r="AB146" s="9"/>
      <c r="AC146" s="10">
        <f t="shared" si="35"/>
        <v>-493.64</v>
      </c>
      <c r="AD146" s="8">
        <f>IFERROR(AC146/AC444, "NA")</f>
        <v>-1.5174388347407542E-2</v>
      </c>
    </row>
    <row r="147" spans="1:30" ht="16.5" customHeight="1" x14ac:dyDescent="0.45">
      <c r="A147" s="12" t="s">
        <v>138</v>
      </c>
      <c r="B147" s="7">
        <v>17.02</v>
      </c>
      <c r="C147" s="8">
        <f>IFERROR(B147/B444, "NA")</f>
        <v>1.236980993082064E-4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-17.02</v>
      </c>
      <c r="I147" s="8">
        <f>IFERROR(H147/H444, "NA")</f>
        <v>-4.157701470194508E-4</v>
      </c>
      <c r="J147" s="9"/>
      <c r="K147" s="7">
        <v>55.4</v>
      </c>
      <c r="L147" s="8">
        <f>IFERROR(K147/K444, "NA")</f>
        <v>5.273080363172464E-4</v>
      </c>
      <c r="M147" s="9"/>
      <c r="N147" s="10">
        <f t="shared" si="33"/>
        <v>38.379999999999995</v>
      </c>
      <c r="O147" s="8">
        <f>IFERROR(N147/N444, "NA")</f>
        <v>1.179793016719677E-3</v>
      </c>
      <c r="P147" s="9"/>
      <c r="Q147" s="7">
        <v>17.02</v>
      </c>
      <c r="R147" s="8">
        <f>IFERROR(Q147/Q444, "NA")</f>
        <v>1.236980993082064E-4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-17.02</v>
      </c>
      <c r="X147" s="8">
        <f>IFERROR(W147/W444, "NA")</f>
        <v>-4.157701470194508E-4</v>
      </c>
      <c r="Y147" s="9"/>
      <c r="Z147" s="7">
        <v>55.4</v>
      </c>
      <c r="AA147" s="8">
        <f>IFERROR(Z147/Z444, "NA")</f>
        <v>5.273080363172464E-4</v>
      </c>
      <c r="AB147" s="9"/>
      <c r="AC147" s="10">
        <f t="shared" si="35"/>
        <v>38.379999999999995</v>
      </c>
      <c r="AD147" s="8">
        <f>IFERROR(AC147/AC444, "NA")</f>
        <v>1.179793016719677E-3</v>
      </c>
    </row>
    <row r="148" spans="1:30" ht="16.5" customHeight="1" x14ac:dyDescent="0.45">
      <c r="A148" s="13" t="s">
        <v>139</v>
      </c>
      <c r="B148" s="14">
        <f>IFERROR(B143+B144+B145+B146+B147, "NA")</f>
        <v>2787.7900000000004</v>
      </c>
      <c r="C148" s="15">
        <f>IFERROR(B148/B444, "NA")</f>
        <v>2.026112363516009E-2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-2787.7900000000004</v>
      </c>
      <c r="I148" s="15">
        <f>IFERROR(H148/H444, "NA")</f>
        <v>-6.8101049245555517E-2</v>
      </c>
      <c r="J148" s="2"/>
      <c r="K148" s="14">
        <f>IFERROR(K143+K144+K145+K146+K147, "NA")</f>
        <v>1036.7</v>
      </c>
      <c r="L148" s="15">
        <f>IFERROR(K148/K444, "NA")</f>
        <v>9.8675133799655135E-3</v>
      </c>
      <c r="M148" s="2"/>
      <c r="N148" s="14">
        <f t="shared" si="33"/>
        <v>-1751.0900000000004</v>
      </c>
      <c r="O148" s="15">
        <f>IFERROR(N148/N444, "NA")</f>
        <v>-5.3828133237302241E-2</v>
      </c>
      <c r="P148" s="2"/>
      <c r="Q148" s="14">
        <f>IFERROR(Q143+Q144+Q145+Q146+Q147, "NA")</f>
        <v>2787.7900000000004</v>
      </c>
      <c r="R148" s="15">
        <f>IFERROR(Q148/Q444, "NA")</f>
        <v>2.026112363516009E-2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-2787.7900000000004</v>
      </c>
      <c r="X148" s="15">
        <f>IFERROR(W148/W444, "NA")</f>
        <v>-6.8101049245555517E-2</v>
      </c>
      <c r="Y148" s="2"/>
      <c r="Z148" s="14">
        <f>IFERROR(Z143+Z144+Z145+Z146+Z147, "NA")</f>
        <v>1036.7</v>
      </c>
      <c r="AA148" s="15">
        <f>IFERROR(Z148/Z444, "NA")</f>
        <v>9.8675133799655135E-3</v>
      </c>
      <c r="AB148" s="2"/>
      <c r="AC148" s="14">
        <f t="shared" si="35"/>
        <v>-1751.0900000000004</v>
      </c>
      <c r="AD148" s="15">
        <f>IFERROR(AC148/AC444, "NA")</f>
        <v>-5.3828133237302241E-2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32641.760000000002</v>
      </c>
      <c r="C149" s="15">
        <f>IFERROR(B149/B444, "NA")</f>
        <v>0.2372340581712479</v>
      </c>
      <c r="D149" s="2"/>
      <c r="E149" s="14">
        <f>IFERROR(E127+E129+E130+E131+E132+E133+E134+E135+E136+E137+E138+E139+E140+E143+E144+E145+E146+E147, "NA")</f>
        <v>24840.84</v>
      </c>
      <c r="F149" s="15">
        <f>IFERROR(E149/E444, "NA")</f>
        <v>0.25699996006496378</v>
      </c>
      <c r="G149" s="2"/>
      <c r="H149" s="14">
        <f t="shared" si="32"/>
        <v>-7800.9200000000019</v>
      </c>
      <c r="I149" s="15">
        <f>IFERROR(H149/H444, "NA")</f>
        <v>-0.19056343450569771</v>
      </c>
      <c r="J149" s="2"/>
      <c r="K149" s="14">
        <f>IFERROR(K127+K129+K130+K131+K132+K133+K134+K135+K136+K137+K138+K139+K140+K143+K144+K145+K146+K147, "NA")</f>
        <v>25834.51</v>
      </c>
      <c r="L149" s="15">
        <f>IFERROR(K149/K444, "NA")</f>
        <v>0.24589791944617809</v>
      </c>
      <c r="M149" s="2"/>
      <c r="N149" s="14">
        <f t="shared" si="33"/>
        <v>-6807.2500000000036</v>
      </c>
      <c r="O149" s="15">
        <f>IFERROR(N149/N444, "NA")</f>
        <v>-0.20925341357647284</v>
      </c>
      <c r="P149" s="2"/>
      <c r="Q149" s="14">
        <f>IFERROR(Q127+Q129+Q130+Q131+Q132+Q133+Q134+Q135+Q136+Q137+Q138+Q139+Q140+Q143+Q144+Q145+Q146+Q147, "NA")</f>
        <v>32641.760000000002</v>
      </c>
      <c r="R149" s="15">
        <f>IFERROR(Q149/Q444, "NA")</f>
        <v>0.2372340581712479</v>
      </c>
      <c r="S149" s="2"/>
      <c r="T149" s="14">
        <f>IFERROR(T127+T129+T130+T131+T132+T133+T134+T135+T136+T137+T138+T139+T140+T143+T144+T145+T146+T147, "NA")</f>
        <v>24840.84</v>
      </c>
      <c r="U149" s="15">
        <f>IFERROR(T149/T444, "NA")</f>
        <v>0.25699996006496378</v>
      </c>
      <c r="V149" s="2"/>
      <c r="W149" s="14">
        <f t="shared" si="34"/>
        <v>-7800.9200000000019</v>
      </c>
      <c r="X149" s="15">
        <f>IFERROR(W149/W444, "NA")</f>
        <v>-0.19056343450569771</v>
      </c>
      <c r="Y149" s="2"/>
      <c r="Z149" s="14">
        <f>IFERROR(Z127+Z129+Z130+Z131+Z132+Z133+Z134+Z135+Z136+Z137+Z138+Z139+Z140+Z143+Z144+Z145+Z146+Z147, "NA")</f>
        <v>25834.51</v>
      </c>
      <c r="AA149" s="15">
        <f>IFERROR(Z149/Z444, "NA")</f>
        <v>0.24589791944617809</v>
      </c>
      <c r="AB149" s="2"/>
      <c r="AC149" s="14">
        <f t="shared" si="35"/>
        <v>-6807.2500000000036</v>
      </c>
      <c r="AD149" s="15">
        <f>IFERROR(AC149/AC444, "NA")</f>
        <v>-0.20925341357647284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2319.77</v>
      </c>
      <c r="F153" s="8">
        <f>IFERROR(E153/E444, "NA")</f>
        <v>2.4000025657743496E-2</v>
      </c>
      <c r="G153" s="9"/>
      <c r="H153" s="10">
        <f t="shared" ref="H153:H158" si="36">IFERROR(-(B153-E153), "NA")</f>
        <v>2319.77</v>
      </c>
      <c r="I153" s="8">
        <f>IFERROR(H153/H444, "NA")</f>
        <v>5.6668103052368468E-2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2319.77</v>
      </c>
      <c r="U153" s="8">
        <f>IFERROR(T153/T444, "NA")</f>
        <v>2.4000025657743496E-2</v>
      </c>
      <c r="V153" s="9"/>
      <c r="W153" s="10">
        <f t="shared" ref="W153:W158" si="38">IFERROR(-(Q153-T153), "NA")</f>
        <v>2319.77</v>
      </c>
      <c r="X153" s="8">
        <f>IFERROR(W153/W444, "NA")</f>
        <v>5.6668103052368468E-2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3362.62</v>
      </c>
      <c r="C154" s="8">
        <f>IFERROR(B154/B444, "NA")</f>
        <v>2.4438877949222147E-2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-3362.62</v>
      </c>
      <c r="I154" s="8">
        <f>IFERROR(H154/H444, "NA")</f>
        <v>-8.2143185180408085E-2</v>
      </c>
      <c r="J154" s="9"/>
      <c r="K154" s="7">
        <v>3567.39</v>
      </c>
      <c r="L154" s="8">
        <f>IFERROR(K154/K444, "NA")</f>
        <v>3.3955115806458151E-2</v>
      </c>
      <c r="M154" s="9"/>
      <c r="N154" s="10">
        <f t="shared" si="37"/>
        <v>204.76999999999998</v>
      </c>
      <c r="O154" s="8">
        <f>IFERROR(N154/N444, "NA")</f>
        <v>6.2945861394916175E-3</v>
      </c>
      <c r="P154" s="9"/>
      <c r="Q154" s="7">
        <v>3362.62</v>
      </c>
      <c r="R154" s="8">
        <f>IFERROR(Q154/Q444, "NA")</f>
        <v>2.4438877949222147E-2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-3362.62</v>
      </c>
      <c r="X154" s="8">
        <f>IFERROR(W154/W444, "NA")</f>
        <v>-8.2143185180408085E-2</v>
      </c>
      <c r="Y154" s="9"/>
      <c r="Z154" s="7">
        <v>3567.39</v>
      </c>
      <c r="AA154" s="8">
        <f>IFERROR(Z154/Z444, "NA")</f>
        <v>3.3955115806458151E-2</v>
      </c>
      <c r="AB154" s="9"/>
      <c r="AC154" s="10">
        <f t="shared" si="39"/>
        <v>204.76999999999998</v>
      </c>
      <c r="AD154" s="8">
        <f>IFERROR(AC154/AC444, "NA")</f>
        <v>6.2945861394916175E-3</v>
      </c>
    </row>
    <row r="155" spans="1:30" ht="16.5" customHeight="1" x14ac:dyDescent="0.45">
      <c r="A155" s="12" t="s">
        <v>144</v>
      </c>
      <c r="B155" s="7">
        <v>2273.44</v>
      </c>
      <c r="C155" s="8">
        <f>IFERROR(B155/B444, "NA")</f>
        <v>1.6522926374338939E-2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-2273.44</v>
      </c>
      <c r="I155" s="8">
        <f>IFERROR(H155/H444, "NA")</f>
        <v>-5.5536338603989439E-2</v>
      </c>
      <c r="J155" s="9"/>
      <c r="K155" s="7">
        <v>1894.95</v>
      </c>
      <c r="L155" s="8">
        <f>IFERROR(K155/K444, "NA")</f>
        <v>1.8036504754862206E-2</v>
      </c>
      <c r="M155" s="9"/>
      <c r="N155" s="10">
        <f t="shared" si="37"/>
        <v>-378.49</v>
      </c>
      <c r="O155" s="8">
        <f>IFERROR(N155/N444, "NA")</f>
        <v>-1.1634701899380684E-2</v>
      </c>
      <c r="P155" s="9"/>
      <c r="Q155" s="7">
        <v>2273.44</v>
      </c>
      <c r="R155" s="8">
        <f>IFERROR(Q155/Q444, "NA")</f>
        <v>1.6522926374338939E-2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-2273.44</v>
      </c>
      <c r="X155" s="8">
        <f>IFERROR(W155/W444, "NA")</f>
        <v>-5.5536338603989439E-2</v>
      </c>
      <c r="Y155" s="9"/>
      <c r="Z155" s="7">
        <v>1894.95</v>
      </c>
      <c r="AA155" s="8">
        <f>IFERROR(Z155/Z444, "NA")</f>
        <v>1.8036504754862206E-2</v>
      </c>
      <c r="AB155" s="9"/>
      <c r="AC155" s="10">
        <f t="shared" si="39"/>
        <v>-378.49</v>
      </c>
      <c r="AD155" s="8">
        <f>IFERROR(AC155/AC444, "NA")</f>
        <v>-1.1634701899380684E-2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190.79</v>
      </c>
      <c r="L156" s="8">
        <f>IFERROR(K156/K444, "NA")</f>
        <v>1.815976538790026E-3</v>
      </c>
      <c r="M156" s="9"/>
      <c r="N156" s="10">
        <f t="shared" si="37"/>
        <v>190.79</v>
      </c>
      <c r="O156" s="8">
        <f>IFERROR(N156/N444, "NA")</f>
        <v>5.864843920269599E-3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190.79</v>
      </c>
      <c r="AA156" s="8">
        <f>IFERROR(Z156/Z444, "NA")</f>
        <v>1.815976538790026E-3</v>
      </c>
      <c r="AB156" s="9"/>
      <c r="AC156" s="10">
        <f t="shared" si="39"/>
        <v>190.79</v>
      </c>
      <c r="AD156" s="8">
        <f>IFERROR(AC156/AC444, "NA")</f>
        <v>5.864843920269599E-3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5636.0599999999995</v>
      </c>
      <c r="C158" s="15">
        <f>IFERROR(B158/B444, "NA")</f>
        <v>4.0961804323561085E-2</v>
      </c>
      <c r="D158" s="2"/>
      <c r="E158" s="14">
        <f>IFERROR(E153+E154+E155+E156+E157, "NA")</f>
        <v>2319.77</v>
      </c>
      <c r="F158" s="15">
        <f>IFERROR(E158/E444, "NA")</f>
        <v>2.4000025657743496E-2</v>
      </c>
      <c r="G158" s="2"/>
      <c r="H158" s="14">
        <f t="shared" si="36"/>
        <v>-3316.2899999999995</v>
      </c>
      <c r="I158" s="15">
        <f>IFERROR(H158/H444, "NA")</f>
        <v>-8.1011420732029035E-2</v>
      </c>
      <c r="J158" s="2"/>
      <c r="K158" s="14">
        <f>IFERROR(K153+K154+K155+K156+K157, "NA")</f>
        <v>5653.13</v>
      </c>
      <c r="L158" s="15">
        <f>IFERROR(K158/K444, "NA")</f>
        <v>5.3807597100110384E-2</v>
      </c>
      <c r="M158" s="2"/>
      <c r="N158" s="14">
        <f t="shared" si="37"/>
        <v>17.070000000000618</v>
      </c>
      <c r="O158" s="15">
        <f>IFERROR(N158/N444, "NA")</f>
        <v>5.2472816038055294E-4</v>
      </c>
      <c r="P158" s="2"/>
      <c r="Q158" s="14">
        <f>IFERROR(Q153+Q154+Q155+Q156+Q157, "NA")</f>
        <v>5636.0599999999995</v>
      </c>
      <c r="R158" s="15">
        <f>IFERROR(Q158/Q444, "NA")</f>
        <v>4.0961804323561085E-2</v>
      </c>
      <c r="S158" s="2"/>
      <c r="T158" s="14">
        <f>IFERROR(T153+T154+T155+T156+T157, "NA")</f>
        <v>2319.77</v>
      </c>
      <c r="U158" s="15">
        <f>IFERROR(T158/T444, "NA")</f>
        <v>2.4000025657743496E-2</v>
      </c>
      <c r="V158" s="2"/>
      <c r="W158" s="14">
        <f t="shared" si="38"/>
        <v>-3316.2899999999995</v>
      </c>
      <c r="X158" s="15">
        <f>IFERROR(W158/W444, "NA")</f>
        <v>-8.1011420732029035E-2</v>
      </c>
      <c r="Y158" s="2"/>
      <c r="Z158" s="14">
        <f>IFERROR(Z153+Z154+Z155+Z156+Z157, "NA")</f>
        <v>5653.13</v>
      </c>
      <c r="AA158" s="15">
        <f>IFERROR(Z158/Z444, "NA")</f>
        <v>5.3807597100110384E-2</v>
      </c>
      <c r="AB158" s="2"/>
      <c r="AC158" s="14">
        <f t="shared" si="39"/>
        <v>17.070000000000618</v>
      </c>
      <c r="AD158" s="15">
        <f>IFERROR(AC158/AC444, "NA")</f>
        <v>5.2472816038055294E-4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57.18</v>
      </c>
      <c r="C161" s="8">
        <f>IFERROR(B161/B444, "NA")</f>
        <v>4.1557328545494953E-4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-57.18</v>
      </c>
      <c r="I161" s="8">
        <f>IFERROR(H161/H444, "NA")</f>
        <v>-1.3968118100218681E-3</v>
      </c>
      <c r="J161" s="9"/>
      <c r="K161" s="7">
        <v>285.58</v>
      </c>
      <c r="L161" s="8">
        <f>IFERROR(K161/K444, "NA")</f>
        <v>2.7182062998461955E-3</v>
      </c>
      <c r="M161" s="9"/>
      <c r="N161" s="10">
        <f t="shared" si="41"/>
        <v>228.39999999999998</v>
      </c>
      <c r="O161" s="8">
        <f>IFERROR(N161/N444, "NA")</f>
        <v>7.0209673011666042E-3</v>
      </c>
      <c r="P161" s="9"/>
      <c r="Q161" s="7">
        <v>57.18</v>
      </c>
      <c r="R161" s="8">
        <f>IFERROR(Q161/Q444, "NA")</f>
        <v>4.1557328545494953E-4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-57.18</v>
      </c>
      <c r="X161" s="8">
        <f>IFERROR(W161/W444, "NA")</f>
        <v>-1.3968118100218681E-3</v>
      </c>
      <c r="Y161" s="9"/>
      <c r="Z161" s="7">
        <v>285.58</v>
      </c>
      <c r="AA161" s="8">
        <f>IFERROR(Z161/Z444, "NA")</f>
        <v>2.7182062998461955E-3</v>
      </c>
      <c r="AB161" s="9"/>
      <c r="AC161" s="10">
        <f t="shared" si="43"/>
        <v>228.39999999999998</v>
      </c>
      <c r="AD161" s="8">
        <f>IFERROR(AC161/AC444, "NA")</f>
        <v>7.0209673011666042E-3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57.18</v>
      </c>
      <c r="C166" s="15">
        <f>IFERROR(B166/B444, "NA")</f>
        <v>4.1557328545494953E-4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-57.18</v>
      </c>
      <c r="I166" s="15">
        <f>IFERROR(H166/H444, "NA")</f>
        <v>-1.3968118100218681E-3</v>
      </c>
      <c r="J166" s="2"/>
      <c r="K166" s="14">
        <f>IFERROR(K160+K161+K162+K163+K164+K165, "NA")</f>
        <v>285.58</v>
      </c>
      <c r="L166" s="15">
        <f>IFERROR(K166/K444, "NA")</f>
        <v>2.7182062998461955E-3</v>
      </c>
      <c r="M166" s="2"/>
      <c r="N166" s="14">
        <f t="shared" si="41"/>
        <v>228.39999999999998</v>
      </c>
      <c r="O166" s="15">
        <f>IFERROR(N166/N444, "NA")</f>
        <v>7.0209673011666042E-3</v>
      </c>
      <c r="P166" s="2"/>
      <c r="Q166" s="14">
        <f>IFERROR(Q160+Q161+Q162+Q163+Q164+Q165, "NA")</f>
        <v>57.18</v>
      </c>
      <c r="R166" s="15">
        <f>IFERROR(Q166/Q444, "NA")</f>
        <v>4.1557328545494953E-4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-57.18</v>
      </c>
      <c r="X166" s="15">
        <f>IFERROR(W166/W444, "NA")</f>
        <v>-1.3968118100218681E-3</v>
      </c>
      <c r="Y166" s="2"/>
      <c r="Z166" s="14">
        <f>IFERROR(Z160+Z161+Z162+Z163+Z164+Z165, "NA")</f>
        <v>285.58</v>
      </c>
      <c r="AA166" s="15">
        <f>IFERROR(Z166/Z444, "NA")</f>
        <v>2.7182062998461955E-3</v>
      </c>
      <c r="AB166" s="2"/>
      <c r="AC166" s="14">
        <f t="shared" si="43"/>
        <v>228.39999999999998</v>
      </c>
      <c r="AD166" s="15">
        <f>IFERROR(AC166/AC444, "NA")</f>
        <v>7.0209673011666042E-3</v>
      </c>
    </row>
    <row r="167" spans="1:30" ht="16.5" customHeight="1" x14ac:dyDescent="0.45">
      <c r="A167" s="6" t="s">
        <v>155</v>
      </c>
      <c r="B167" s="7">
        <v>116.67</v>
      </c>
      <c r="C167" s="8">
        <f>IFERROR(B167/B444, "NA")</f>
        <v>8.4793520836007287E-4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-116.67</v>
      </c>
      <c r="I167" s="8">
        <f>IFERROR(H167/H444, "NA")</f>
        <v>-2.8500530583289848E-3</v>
      </c>
      <c r="J167" s="9"/>
      <c r="K167" s="7">
        <v>211.1</v>
      </c>
      <c r="L167" s="8">
        <f>IFERROR(K167/K444, "NA")</f>
        <v>2.0092910914543453E-3</v>
      </c>
      <c r="M167" s="9"/>
      <c r="N167" s="10">
        <f t="shared" si="41"/>
        <v>94.429999999999993</v>
      </c>
      <c r="O167" s="8">
        <f>IFERROR(N167/N444, "NA")</f>
        <v>2.9027580658895027E-3</v>
      </c>
      <c r="P167" s="9"/>
      <c r="Q167" s="7">
        <v>116.67</v>
      </c>
      <c r="R167" s="8">
        <f>IFERROR(Q167/Q444, "NA")</f>
        <v>8.4793520836007287E-4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-116.67</v>
      </c>
      <c r="X167" s="8">
        <f>IFERROR(W167/W444, "NA")</f>
        <v>-2.8500530583289848E-3</v>
      </c>
      <c r="Y167" s="9"/>
      <c r="Z167" s="7">
        <v>211.1</v>
      </c>
      <c r="AA167" s="8">
        <f>IFERROR(Z167/Z444, "NA")</f>
        <v>2.0092910914543453E-3</v>
      </c>
      <c r="AB167" s="9"/>
      <c r="AC167" s="10">
        <f t="shared" si="43"/>
        <v>94.429999999999993</v>
      </c>
      <c r="AD167" s="8">
        <f>IFERROR(AC167/AC444, "NA")</f>
        <v>2.9027580658895027E-3</v>
      </c>
    </row>
    <row r="168" spans="1:30" ht="16.5" customHeight="1" x14ac:dyDescent="0.45">
      <c r="A168" s="6" t="s">
        <v>156</v>
      </c>
      <c r="B168" s="7">
        <v>47.6</v>
      </c>
      <c r="C168" s="8">
        <f>IFERROR(B168/B444, "NA")</f>
        <v>3.4594768079145851E-4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-47.6</v>
      </c>
      <c r="I168" s="8">
        <f>IFERROR(H168/H444, "NA")</f>
        <v>-1.1627884252717895E-3</v>
      </c>
      <c r="J168" s="9"/>
      <c r="K168" s="7">
        <v>45.9</v>
      </c>
      <c r="L168" s="8">
        <f>IFERROR(K168/K444, "NA")</f>
        <v>4.3688517810400022E-4</v>
      </c>
      <c r="M168" s="9"/>
      <c r="N168" s="10">
        <f t="shared" si="41"/>
        <v>-1.7000000000000028</v>
      </c>
      <c r="O168" s="8">
        <f>IFERROR(N168/N444, "NA")</f>
        <v>-5.2257637530574642E-5</v>
      </c>
      <c r="P168" s="9"/>
      <c r="Q168" s="7">
        <v>47.6</v>
      </c>
      <c r="R168" s="8">
        <f>IFERROR(Q168/Q444, "NA")</f>
        <v>3.4594768079145851E-4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-47.6</v>
      </c>
      <c r="X168" s="8">
        <f>IFERROR(W168/W444, "NA")</f>
        <v>-1.1627884252717895E-3</v>
      </c>
      <c r="Y168" s="9"/>
      <c r="Z168" s="7">
        <v>45.9</v>
      </c>
      <c r="AA168" s="8">
        <f>IFERROR(Z168/Z444, "NA")</f>
        <v>4.3688517810400022E-4</v>
      </c>
      <c r="AB168" s="9"/>
      <c r="AC168" s="10">
        <f t="shared" si="43"/>
        <v>-1.7000000000000028</v>
      </c>
      <c r="AD168" s="8">
        <f>IFERROR(AC168/AC444, "NA")</f>
        <v>-5.2257637530574642E-5</v>
      </c>
    </row>
    <row r="169" spans="1:30" ht="16.5" customHeight="1" x14ac:dyDescent="0.45">
      <c r="A169" s="6" t="s">
        <v>157</v>
      </c>
      <c r="B169" s="7">
        <v>-1992.47</v>
      </c>
      <c r="C169" s="8">
        <f>IFERROR(B169/B444, "NA")</f>
        <v>-1.4480890242574734E-2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1992.47</v>
      </c>
      <c r="I169" s="8">
        <f>IFERROR(H169/H444, "NA")</f>
        <v>4.8672711212211818E-2</v>
      </c>
      <c r="J169" s="9"/>
      <c r="K169" s="7">
        <v>-2445.09</v>
      </c>
      <c r="L169" s="8">
        <f>IFERROR(K169/K444, "NA")</f>
        <v>-2.3272844883013288E-2</v>
      </c>
      <c r="M169" s="9"/>
      <c r="N169" s="10">
        <f t="shared" si="41"/>
        <v>-452.62000000000012</v>
      </c>
      <c r="O169" s="8">
        <f>IFERROR(N169/N444, "NA")</f>
        <v>-1.3913442293581565E-2</v>
      </c>
      <c r="P169" s="9"/>
      <c r="Q169" s="7">
        <v>-1992.47</v>
      </c>
      <c r="R169" s="8">
        <f>IFERROR(Q169/Q444, "NA")</f>
        <v>-1.4480890242574734E-2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1992.47</v>
      </c>
      <c r="X169" s="8">
        <f>IFERROR(W169/W444, "NA")</f>
        <v>4.8672711212211818E-2</v>
      </c>
      <c r="Y169" s="9"/>
      <c r="Z169" s="7">
        <v>-2445.09</v>
      </c>
      <c r="AA169" s="8">
        <f>IFERROR(Z169/Z444, "NA")</f>
        <v>-2.3272844883013288E-2</v>
      </c>
      <c r="AB169" s="9"/>
      <c r="AC169" s="10">
        <f t="shared" si="43"/>
        <v>-452.62000000000012</v>
      </c>
      <c r="AD169" s="8">
        <f>IFERROR(AC169/AC444, "NA")</f>
        <v>-1.3913442293581565E-2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3865.04</v>
      </c>
      <c r="C170" s="15">
        <f>IFERROR(B170/B444, "NA")</f>
        <v>2.8090370255592832E-2</v>
      </c>
      <c r="D170" s="2"/>
      <c r="E170" s="14">
        <f>IFERROR(E151+E153+E154+E155+E156+E157+E160+E161+E162+E163+E164+E165+E167+E168+E169, "NA")</f>
        <v>2319.77</v>
      </c>
      <c r="F170" s="15">
        <f>IFERROR(E170/E444, "NA")</f>
        <v>2.4000025657743496E-2</v>
      </c>
      <c r="G170" s="2"/>
      <c r="H170" s="14">
        <f t="shared" si="40"/>
        <v>-1545.27</v>
      </c>
      <c r="I170" s="15">
        <f>IFERROR(H170/H444, "NA")</f>
        <v>-3.7748362813439879E-2</v>
      </c>
      <c r="J170" s="2"/>
      <c r="K170" s="14">
        <f>IFERROR(K151+K153+K154+K155+K156+K157+K160+K161+K162+K163+K164+K165+K167+K168+K169, "NA")</f>
        <v>3750.62</v>
      </c>
      <c r="L170" s="15">
        <f>IFERROR(K170/K444, "NA")</f>
        <v>3.5699134786501642E-2</v>
      </c>
      <c r="M170" s="2"/>
      <c r="N170" s="14">
        <f t="shared" si="41"/>
        <v>-114.42000000000007</v>
      </c>
      <c r="O170" s="15">
        <f>IFERROR(N170/N444, "NA")</f>
        <v>-3.5172464036754966E-3</v>
      </c>
      <c r="P170" s="2"/>
      <c r="Q170" s="14">
        <f>IFERROR(Q151+Q153+Q154+Q155+Q156+Q157+Q160+Q161+Q162+Q163+Q164+Q165+Q167+Q168+Q169, "NA")</f>
        <v>3865.04</v>
      </c>
      <c r="R170" s="15">
        <f>IFERROR(Q170/Q444, "NA")</f>
        <v>2.8090370255592832E-2</v>
      </c>
      <c r="S170" s="2"/>
      <c r="T170" s="14">
        <f>IFERROR(T151+T153+T154+T155+T156+T157+T160+T161+T162+T163+T164+T165+T167+T168+T169, "NA")</f>
        <v>2319.77</v>
      </c>
      <c r="U170" s="15">
        <f>IFERROR(T170/T444, "NA")</f>
        <v>2.4000025657743496E-2</v>
      </c>
      <c r="V170" s="2"/>
      <c r="W170" s="14">
        <f t="shared" si="42"/>
        <v>-1545.27</v>
      </c>
      <c r="X170" s="15">
        <f>IFERROR(W170/W444, "NA")</f>
        <v>-3.7748362813439879E-2</v>
      </c>
      <c r="Y170" s="2"/>
      <c r="Z170" s="14">
        <f>IFERROR(Z151+Z153+Z154+Z155+Z156+Z157+Z160+Z161+Z162+Z163+Z164+Z165+Z167+Z168+Z169, "NA")</f>
        <v>3750.62</v>
      </c>
      <c r="AA170" s="15">
        <f>IFERROR(Z170/Z444, "NA")</f>
        <v>3.5699134786501642E-2</v>
      </c>
      <c r="AB170" s="2"/>
      <c r="AC170" s="14">
        <f t="shared" si="43"/>
        <v>-114.42000000000007</v>
      </c>
      <c r="AD170" s="15">
        <f>IFERROR(AC170/AC444, "NA")</f>
        <v>-3.5172464036754966E-3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36506.800000000003</v>
      </c>
      <c r="C171" s="15">
        <f>IFERROR(B171/B444, "NA")</f>
        <v>0.26532442842684073</v>
      </c>
      <c r="D171" s="2"/>
      <c r="E171" s="14">
        <f>IFERROR(E127+E129+E130+E131+E132+E133+E134+E135+E136+E137+E138+E139+E140+E143+E144+E145+E146+E147+E151+E153+E154+E155+E156+E157+E160+E161+E162+E163+E164+E165+E167+E168+E169, "NA")</f>
        <v>27160.61</v>
      </c>
      <c r="F171" s="15">
        <f>IFERROR(E171/E444, "NA")</f>
        <v>0.28099998572270729</v>
      </c>
      <c r="G171" s="2"/>
      <c r="H171" s="14">
        <f t="shared" si="40"/>
        <v>-9346.1900000000023</v>
      </c>
      <c r="I171" s="15">
        <f>IFERROR(H171/H444, "NA")</f>
        <v>-0.22831179731913759</v>
      </c>
      <c r="J171" s="2"/>
      <c r="K171" s="14">
        <f>IFERROR(K127+K129+K130+K131+K132+K133+K134+K135+K136+K137+K138+K139+K140+K143+K144+K145+K146+K147+K151+K153+K154+K155+K156+K157+K160+K161+K162+K163+K164+K165+K167+K168+K169, "NA")</f>
        <v>29585.13</v>
      </c>
      <c r="L171" s="15">
        <f>IFERROR(K171/K444, "NA")</f>
        <v>0.28159705423267972</v>
      </c>
      <c r="M171" s="2"/>
      <c r="N171" s="14">
        <f t="shared" si="41"/>
        <v>-6921.6700000000019</v>
      </c>
      <c r="O171" s="15">
        <f>IFERROR(N171/N444, "NA")</f>
        <v>-0.21277065998014827</v>
      </c>
      <c r="P171" s="2"/>
      <c r="Q171" s="14">
        <f>IFERROR(Q127+Q129+Q130+Q131+Q132+Q133+Q134+Q135+Q136+Q137+Q138+Q139+Q140+Q143+Q144+Q145+Q146+Q147+Q151+Q153+Q154+Q155+Q156+Q157+Q160+Q161+Q162+Q163+Q164+Q165+Q167+Q168+Q169, "NA")</f>
        <v>36506.800000000003</v>
      </c>
      <c r="R171" s="15">
        <f>IFERROR(Q171/Q444, "NA")</f>
        <v>0.26532442842684073</v>
      </c>
      <c r="S171" s="2"/>
      <c r="T171" s="14">
        <f>IFERROR(T127+T129+T130+T131+T132+T133+T134+T135+T136+T137+T138+T139+T140+T143+T144+T145+T146+T147+T151+T153+T154+T155+T156+T157+T160+T161+T162+T163+T164+T165+T167+T168+T169, "NA")</f>
        <v>27160.61</v>
      </c>
      <c r="U171" s="15">
        <f>IFERROR(T171/T444, "NA")</f>
        <v>0.28099998572270729</v>
      </c>
      <c r="V171" s="2"/>
      <c r="W171" s="14">
        <f t="shared" si="42"/>
        <v>-9346.1900000000023</v>
      </c>
      <c r="X171" s="15">
        <f>IFERROR(W171/W444, "NA")</f>
        <v>-0.22831179731913759</v>
      </c>
      <c r="Y171" s="2"/>
      <c r="Z171" s="14">
        <f>IFERROR(Z127+Z129+Z130+Z131+Z132+Z133+Z134+Z135+Z136+Z137+Z138+Z139+Z140+Z143+Z144+Z145+Z146+Z147+Z151+Z153+Z154+Z155+Z156+Z157+Z160+Z161+Z162+Z163+Z164+Z165+Z167+Z168+Z169, "NA")</f>
        <v>29585.13</v>
      </c>
      <c r="AA171" s="15">
        <f>IFERROR(Z171/Z444, "NA")</f>
        <v>0.28159705423267972</v>
      </c>
      <c r="AB171" s="2"/>
      <c r="AC171" s="14">
        <f t="shared" si="43"/>
        <v>-6921.6700000000019</v>
      </c>
      <c r="AD171" s="15">
        <f>IFERROR(AC171/AC444, "NA")</f>
        <v>-0.21277065998014827</v>
      </c>
    </row>
    <row r="172" spans="1:30" ht="16.5" customHeight="1" x14ac:dyDescent="0.45">
      <c r="A172" s="22" t="s">
        <v>160</v>
      </c>
      <c r="B172" s="23">
        <f>IFERROR(B124-B171, "NA")</f>
        <v>101086.26000000005</v>
      </c>
      <c r="C172" s="24">
        <f>IFERROR(B172/B444, "NA")</f>
        <v>0.73467557157315966</v>
      </c>
      <c r="D172" s="25"/>
      <c r="E172" s="23">
        <f>IFERROR(E124-E171, "NA")</f>
        <v>69496.37000000001</v>
      </c>
      <c r="F172" s="24">
        <f>IFERROR(E172/E444, "NA")</f>
        <v>0.71900001427729288</v>
      </c>
      <c r="G172" s="25"/>
      <c r="H172" s="23">
        <f>IFERROR(B172-E172, "NA")</f>
        <v>31589.890000000043</v>
      </c>
      <c r="I172" s="24">
        <f>IFERROR(H172/H444, "NA")</f>
        <v>0.77168820268086347</v>
      </c>
      <c r="J172" s="25"/>
      <c r="K172" s="23">
        <f>IFERROR(K124-K171, "NA")</f>
        <v>75476.800000000003</v>
      </c>
      <c r="L172" s="24">
        <f>IFERROR(K172/K444, "NA")</f>
        <v>0.71840294576732033</v>
      </c>
      <c r="M172" s="25"/>
      <c r="N172" s="23">
        <f>IFERROR(B172-K172, "NA")</f>
        <v>25609.46000000005</v>
      </c>
      <c r="O172" s="24">
        <f>IFERROR(N172/N444, "NA")</f>
        <v>0.78722934001985323</v>
      </c>
      <c r="P172" s="25"/>
      <c r="Q172" s="23">
        <f>IFERROR(Q124-Q171, "NA")</f>
        <v>101086.26000000005</v>
      </c>
      <c r="R172" s="24">
        <f>IFERROR(Q172/Q444, "NA")</f>
        <v>0.73467557157315966</v>
      </c>
      <c r="S172" s="25"/>
      <c r="T172" s="23">
        <f>IFERROR(T124-T171, "NA")</f>
        <v>69496.37000000001</v>
      </c>
      <c r="U172" s="24">
        <f>IFERROR(T172/T444, "NA")</f>
        <v>0.71900001427729288</v>
      </c>
      <c r="V172" s="25"/>
      <c r="W172" s="23">
        <f>IFERROR(Q172-T172, "NA")</f>
        <v>31589.890000000043</v>
      </c>
      <c r="X172" s="24">
        <f>IFERROR(W172/W444, "NA")</f>
        <v>0.77168820268086347</v>
      </c>
      <c r="Y172" s="25"/>
      <c r="Z172" s="23">
        <f>IFERROR(Z124-Z171, "NA")</f>
        <v>75476.800000000003</v>
      </c>
      <c r="AA172" s="24">
        <f>IFERROR(Z172/Z444, "NA")</f>
        <v>0.71840294576732033</v>
      </c>
      <c r="AB172" s="25"/>
      <c r="AC172" s="23">
        <f>IFERROR(Q172-Z172, "NA")</f>
        <v>25609.46000000005</v>
      </c>
      <c r="AD172" s="24">
        <f>IFERROR(AC172/AC444, "NA")</f>
        <v>0.78722934001985323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7.3237124023551772E-2</v>
      </c>
      <c r="D178" s="9"/>
      <c r="E178" s="7">
        <v>10307.69</v>
      </c>
      <c r="F178" s="8">
        <f>IFERROR(E178/E444, "NA")</f>
        <v>0.10664196212213542</v>
      </c>
      <c r="G178" s="9"/>
      <c r="H178" s="10">
        <f t="shared" si="44"/>
        <v>230.77000000000044</v>
      </c>
      <c r="I178" s="8">
        <f>IFERROR(H178/H444, "NA")</f>
        <v>5.6373253130246092E-3</v>
      </c>
      <c r="J178" s="9"/>
      <c r="K178" s="7">
        <v>4423.08</v>
      </c>
      <c r="L178" s="8">
        <f>IFERROR(K178/K444, "NA")</f>
        <v>4.2099740600615276E-2</v>
      </c>
      <c r="M178" s="9"/>
      <c r="N178" s="10">
        <f t="shared" si="45"/>
        <v>-5653.84</v>
      </c>
      <c r="O178" s="8">
        <f>IFERROR(N178/N444, "NA")</f>
        <v>-0.1737978361034492</v>
      </c>
      <c r="P178" s="9"/>
      <c r="Q178" s="7">
        <v>10076.92</v>
      </c>
      <c r="R178" s="8">
        <f>IFERROR(Q178/Q444, "NA")</f>
        <v>7.3237124023551772E-2</v>
      </c>
      <c r="S178" s="9"/>
      <c r="T178" s="7">
        <v>10307.69</v>
      </c>
      <c r="U178" s="8">
        <f>IFERROR(T178/T444, "NA")</f>
        <v>0.10664196212213542</v>
      </c>
      <c r="V178" s="9"/>
      <c r="W178" s="10">
        <f t="shared" si="46"/>
        <v>230.77000000000044</v>
      </c>
      <c r="X178" s="8">
        <f>IFERROR(W178/W444, "NA")</f>
        <v>5.6373253130246092E-3</v>
      </c>
      <c r="Y178" s="9"/>
      <c r="Z178" s="7">
        <v>4423.08</v>
      </c>
      <c r="AA178" s="8">
        <f>IFERROR(Z178/Z444, "NA")</f>
        <v>4.2099740600615276E-2</v>
      </c>
      <c r="AB178" s="9"/>
      <c r="AC178" s="10">
        <f t="shared" si="47"/>
        <v>-5653.84</v>
      </c>
      <c r="AD178" s="8">
        <f>IFERROR(AC178/AC444, "NA")</f>
        <v>-0.1737978361034492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21868</v>
      </c>
      <c r="C180" s="8">
        <f>IFERROR(B180/B444, "NA")</f>
        <v>0.15893243452831124</v>
      </c>
      <c r="D180" s="9"/>
      <c r="E180" s="7">
        <v>18461.48</v>
      </c>
      <c r="F180" s="8">
        <f>IFERROR(E180/E444, "NA")</f>
        <v>0.19099996710015149</v>
      </c>
      <c r="G180" s="9"/>
      <c r="H180" s="10">
        <f t="shared" si="44"/>
        <v>-3406.5200000000004</v>
      </c>
      <c r="I180" s="8">
        <f>IFERROR(H180/H444, "NA")</f>
        <v>-8.3215588791110434E-2</v>
      </c>
      <c r="J180" s="9"/>
      <c r="K180" s="7">
        <v>20768.04</v>
      </c>
      <c r="L180" s="8">
        <f>IFERROR(K180/K444, "NA")</f>
        <v>0.19767426697758173</v>
      </c>
      <c r="M180" s="9"/>
      <c r="N180" s="10">
        <f t="shared" si="45"/>
        <v>-1099.9599999999991</v>
      </c>
      <c r="O180" s="8">
        <f>IFERROR(N180/N444, "NA")</f>
        <v>-3.3812535869488673E-2</v>
      </c>
      <c r="P180" s="9"/>
      <c r="Q180" s="7">
        <v>21868</v>
      </c>
      <c r="R180" s="8">
        <f>IFERROR(Q180/Q444, "NA")</f>
        <v>0.15893243452831124</v>
      </c>
      <c r="S180" s="9"/>
      <c r="T180" s="7">
        <v>18461.48</v>
      </c>
      <c r="U180" s="8">
        <f>IFERROR(T180/T444, "NA")</f>
        <v>0.19099996710015149</v>
      </c>
      <c r="V180" s="9"/>
      <c r="W180" s="10">
        <f t="shared" si="46"/>
        <v>-3406.5200000000004</v>
      </c>
      <c r="X180" s="8">
        <f>IFERROR(W180/W444, "NA")</f>
        <v>-8.3215588791110434E-2</v>
      </c>
      <c r="Y180" s="9"/>
      <c r="Z180" s="7">
        <v>20768.04</v>
      </c>
      <c r="AA180" s="8">
        <f>IFERROR(Z180/Z444, "NA")</f>
        <v>0.19767426697758173</v>
      </c>
      <c r="AB180" s="9"/>
      <c r="AC180" s="10">
        <f t="shared" si="47"/>
        <v>-1099.9599999999991</v>
      </c>
      <c r="AD180" s="8">
        <f>IFERROR(AC180/AC444, "NA")</f>
        <v>-3.3812535869488673E-2</v>
      </c>
    </row>
    <row r="181" spans="1:30" ht="16.5" customHeight="1" x14ac:dyDescent="0.45">
      <c r="A181" s="12" t="s">
        <v>166</v>
      </c>
      <c r="B181" s="7">
        <v>13.99</v>
      </c>
      <c r="C181" s="8">
        <f>IFERROR(B181/B444, "NA")</f>
        <v>1.0167663979564086E-4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-13.99</v>
      </c>
      <c r="I181" s="8">
        <f>IFERROR(H181/H444, "NA")</f>
        <v>-3.4175231238555326E-4</v>
      </c>
      <c r="J181" s="9"/>
      <c r="K181" s="7">
        <v>225.04</v>
      </c>
      <c r="L181" s="8">
        <f>IFERROR(K181/K444, "NA")</f>
        <v>2.1419747381377823E-3</v>
      </c>
      <c r="M181" s="9"/>
      <c r="N181" s="10">
        <f t="shared" si="45"/>
        <v>211.04999999999998</v>
      </c>
      <c r="O181" s="8">
        <f>IFERROR(N181/N444, "NA")</f>
        <v>6.4876320004869171E-3</v>
      </c>
      <c r="P181" s="9"/>
      <c r="Q181" s="7">
        <v>13.99</v>
      </c>
      <c r="R181" s="8">
        <f>IFERROR(Q181/Q444, "NA")</f>
        <v>1.0167663979564086E-4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-13.99</v>
      </c>
      <c r="X181" s="8">
        <f>IFERROR(W181/W444, "NA")</f>
        <v>-3.4175231238555326E-4</v>
      </c>
      <c r="Y181" s="9"/>
      <c r="Z181" s="7">
        <v>225.04</v>
      </c>
      <c r="AA181" s="8">
        <f>IFERROR(Z181/Z444, "NA")</f>
        <v>2.1419747381377823E-3</v>
      </c>
      <c r="AB181" s="9"/>
      <c r="AC181" s="10">
        <f t="shared" si="47"/>
        <v>211.04999999999998</v>
      </c>
      <c r="AD181" s="8">
        <f>IFERROR(AC181/AC444, "NA")</f>
        <v>6.4876320004869171E-3</v>
      </c>
    </row>
    <row r="182" spans="1:30" ht="16.5" customHeight="1" x14ac:dyDescent="0.45">
      <c r="A182" s="13" t="s">
        <v>167</v>
      </c>
      <c r="B182" s="14">
        <f>IFERROR(B177+B178+B179+B180+B181, "NA")</f>
        <v>31958.91</v>
      </c>
      <c r="C182" s="15">
        <f>IFERROR(B182/B444, "NA")</f>
        <v>0.23227123519165865</v>
      </c>
      <c r="D182" s="2"/>
      <c r="E182" s="14">
        <f>IFERROR(E177+E178+E179+E180+E181, "NA")</f>
        <v>28769.17</v>
      </c>
      <c r="F182" s="15">
        <f>IFERROR(E182/E444, "NA")</f>
        <v>0.29764192922228688</v>
      </c>
      <c r="G182" s="2"/>
      <c r="H182" s="14">
        <f t="shared" si="44"/>
        <v>-3189.7400000000016</v>
      </c>
      <c r="I182" s="15">
        <f>IFERROR(H182/H444, "NA")</f>
        <v>-7.792001579047142E-2</v>
      </c>
      <c r="J182" s="2"/>
      <c r="K182" s="14">
        <f>IFERROR(K177+K178+K179+K180+K181, "NA")</f>
        <v>25416.160000000003</v>
      </c>
      <c r="L182" s="15">
        <f>IFERROR(K182/K444, "NA")</f>
        <v>0.24191598231633479</v>
      </c>
      <c r="M182" s="2"/>
      <c r="N182" s="14">
        <f t="shared" si="45"/>
        <v>-6542.7499999999964</v>
      </c>
      <c r="O182" s="15">
        <f>IFERROR(N182/N444, "NA")</f>
        <v>-0.20112273997245086</v>
      </c>
      <c r="P182" s="2"/>
      <c r="Q182" s="14">
        <f>IFERROR(Q177+Q178+Q179+Q180+Q181, "NA")</f>
        <v>31958.91</v>
      </c>
      <c r="R182" s="15">
        <f>IFERROR(Q182/Q444, "NA")</f>
        <v>0.23227123519165865</v>
      </c>
      <c r="S182" s="2"/>
      <c r="T182" s="14">
        <f>IFERROR(T177+T178+T179+T180+T181, "NA")</f>
        <v>28769.17</v>
      </c>
      <c r="U182" s="15">
        <f>IFERROR(T182/T444, "NA")</f>
        <v>0.29764192922228688</v>
      </c>
      <c r="V182" s="2"/>
      <c r="W182" s="14">
        <f t="shared" si="46"/>
        <v>-3189.7400000000016</v>
      </c>
      <c r="X182" s="15">
        <f>IFERROR(W182/W444, "NA")</f>
        <v>-7.792001579047142E-2</v>
      </c>
      <c r="Y182" s="2"/>
      <c r="Z182" s="14">
        <f>IFERROR(Z177+Z178+Z179+Z180+Z181, "NA")</f>
        <v>25416.160000000003</v>
      </c>
      <c r="AA182" s="15">
        <f>IFERROR(Z182/Z444, "NA")</f>
        <v>0.24191598231633479</v>
      </c>
      <c r="AB182" s="2"/>
      <c r="AC182" s="14">
        <f t="shared" si="47"/>
        <v>-6542.7499999999964</v>
      </c>
      <c r="AD182" s="15">
        <f>IFERROR(AC182/AC444, "NA")</f>
        <v>-0.20112273997245086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8.3579796829869185E-3</v>
      </c>
      <c r="D184" s="9"/>
      <c r="E184" s="7">
        <v>1150</v>
      </c>
      <c r="F184" s="8">
        <f>IFERROR(E184/E444, "NA")</f>
        <v>1.1897743960136143E-2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2.855458680418302E-3</v>
      </c>
      <c r="M184" s="9"/>
      <c r="N184" s="10">
        <f t="shared" si="45"/>
        <v>-850</v>
      </c>
      <c r="O184" s="8">
        <f>IFERROR(N184/N444, "NA")</f>
        <v>-2.6128818765287276E-2</v>
      </c>
      <c r="P184" s="9"/>
      <c r="Q184" s="7">
        <v>1150</v>
      </c>
      <c r="R184" s="8">
        <f>IFERROR(Q184/Q444, "NA")</f>
        <v>8.3579796829869185E-3</v>
      </c>
      <c r="S184" s="9"/>
      <c r="T184" s="7">
        <v>1150</v>
      </c>
      <c r="U184" s="8">
        <f>IFERROR(T184/T444, "NA")</f>
        <v>1.1897743960136143E-2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300</v>
      </c>
      <c r="AA184" s="8">
        <f>IFERROR(Z184/Z444, "NA")</f>
        <v>2.855458680418302E-3</v>
      </c>
      <c r="AB184" s="9"/>
      <c r="AC184" s="10">
        <f t="shared" si="47"/>
        <v>-850</v>
      </c>
      <c r="AD184" s="8">
        <f>IFERROR(AC184/AC444, "NA")</f>
        <v>-2.6128818765287276E-2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3375.89</v>
      </c>
      <c r="C186" s="8">
        <f>IFERROR(B186/B444, "NA")</f>
        <v>2.4535321766955397E-2</v>
      </c>
      <c r="D186" s="9"/>
      <c r="E186" s="7">
        <v>3881.89</v>
      </c>
      <c r="F186" s="8">
        <f>IFERROR(E186/E444, "NA")</f>
        <v>4.0161507218619906E-2</v>
      </c>
      <c r="G186" s="9"/>
      <c r="H186" s="10">
        <f t="shared" ref="H186:H197" si="48">IFERROR(-(B186-E186), "NA")</f>
        <v>506</v>
      </c>
      <c r="I186" s="8">
        <f>IFERROR(H186/H444, "NA")</f>
        <v>1.2360734100578266E-2</v>
      </c>
      <c r="J186" s="9"/>
      <c r="K186" s="7">
        <v>3194.39</v>
      </c>
      <c r="L186" s="8">
        <f>IFERROR(K186/K444, "NA")</f>
        <v>3.0404828847138066E-2</v>
      </c>
      <c r="M186" s="9"/>
      <c r="N186" s="10">
        <f t="shared" ref="N186:N197" si="49">IFERROR(-(B186-K186), "NA")</f>
        <v>-181.5</v>
      </c>
      <c r="O186" s="8">
        <f>IFERROR(N186/N444, "NA")</f>
        <v>-5.5792713010584007E-3</v>
      </c>
      <c r="P186" s="9"/>
      <c r="Q186" s="7">
        <v>3375.89</v>
      </c>
      <c r="R186" s="8">
        <f>IFERROR(Q186/Q444, "NA")</f>
        <v>2.4535321766955397E-2</v>
      </c>
      <c r="S186" s="9"/>
      <c r="T186" s="7">
        <v>3881.89</v>
      </c>
      <c r="U186" s="8">
        <f>IFERROR(T186/T444, "NA")</f>
        <v>4.0161507218619906E-2</v>
      </c>
      <c r="V186" s="9"/>
      <c r="W186" s="10">
        <f t="shared" ref="W186:W197" si="50">IFERROR(-(Q186-T186), "NA")</f>
        <v>506</v>
      </c>
      <c r="X186" s="8">
        <f>IFERROR(W186/W444, "NA")</f>
        <v>1.2360734100578266E-2</v>
      </c>
      <c r="Y186" s="9"/>
      <c r="Z186" s="7">
        <v>3194.39</v>
      </c>
      <c r="AA186" s="8">
        <f>IFERROR(Z186/Z444, "NA")</f>
        <v>3.0404828847138066E-2</v>
      </c>
      <c r="AB186" s="9"/>
      <c r="AC186" s="10">
        <f t="shared" ref="AC186:AC197" si="51">IFERROR(-(Q186-Z186), "NA")</f>
        <v>-181.5</v>
      </c>
      <c r="AD186" s="8">
        <f>IFERROR(AC186/AC444, "NA")</f>
        <v>-5.5792713010584007E-3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0.04</v>
      </c>
      <c r="L187" s="8">
        <f>IFERROR(K187/K444, "NA")</f>
        <v>3.8072782405577362E-7</v>
      </c>
      <c r="M187" s="9"/>
      <c r="N187" s="10">
        <f t="shared" si="49"/>
        <v>0.04</v>
      </c>
      <c r="O187" s="8">
        <f>IFERROR(N187/N444, "NA")</f>
        <v>1.2295914713076366E-6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3.8072782405577362E-7</v>
      </c>
      <c r="AB187" s="9"/>
      <c r="AC187" s="10">
        <f t="shared" si="51"/>
        <v>0.04</v>
      </c>
      <c r="AD187" s="8">
        <f>IFERROR(AC187/AC444, "NA")</f>
        <v>1.2295914713076366E-6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3375.89</v>
      </c>
      <c r="C193" s="15">
        <f>IFERROR(B193/B444, "NA")</f>
        <v>2.4535321766955397E-2</v>
      </c>
      <c r="D193" s="2"/>
      <c r="E193" s="14">
        <f>IFERROR(E186+E187+E188+E189+E190+E191+E192, "NA")</f>
        <v>3881.89</v>
      </c>
      <c r="F193" s="15">
        <f>IFERROR(E193/E444, "NA")</f>
        <v>4.0161507218619906E-2</v>
      </c>
      <c r="G193" s="2"/>
      <c r="H193" s="14">
        <f t="shared" si="48"/>
        <v>506</v>
      </c>
      <c r="I193" s="15">
        <f>IFERROR(H193/H444, "NA")</f>
        <v>1.2360734100578266E-2</v>
      </c>
      <c r="J193" s="2"/>
      <c r="K193" s="14">
        <f>IFERROR(K186+K187+K188+K189+K190+K191+K192, "NA")</f>
        <v>3194.43</v>
      </c>
      <c r="L193" s="15">
        <f>IFERROR(K193/K444, "NA")</f>
        <v>3.0405209574962122E-2</v>
      </c>
      <c r="M193" s="2"/>
      <c r="N193" s="14">
        <f t="shared" si="49"/>
        <v>-181.46000000000004</v>
      </c>
      <c r="O193" s="15">
        <f>IFERROR(N193/N444, "NA")</f>
        <v>-5.5780417095870945E-3</v>
      </c>
      <c r="P193" s="2"/>
      <c r="Q193" s="14">
        <f>IFERROR(Q186+Q187+Q188+Q189+Q190+Q191+Q192, "NA")</f>
        <v>3375.89</v>
      </c>
      <c r="R193" s="15">
        <f>IFERROR(Q193/Q444, "NA")</f>
        <v>2.4535321766955397E-2</v>
      </c>
      <c r="S193" s="2"/>
      <c r="T193" s="14">
        <f>IFERROR(T186+T187+T188+T189+T190+T191+T192, "NA")</f>
        <v>3881.89</v>
      </c>
      <c r="U193" s="15">
        <f>IFERROR(T193/T444, "NA")</f>
        <v>4.0161507218619906E-2</v>
      </c>
      <c r="V193" s="2"/>
      <c r="W193" s="14">
        <f t="shared" si="50"/>
        <v>506</v>
      </c>
      <c r="X193" s="15">
        <f>IFERROR(W193/W444, "NA")</f>
        <v>1.2360734100578266E-2</v>
      </c>
      <c r="Y193" s="2"/>
      <c r="Z193" s="14">
        <f>IFERROR(Z186+Z187+Z188+Z189+Z190+Z191+Z192, "NA")</f>
        <v>3194.43</v>
      </c>
      <c r="AA193" s="15">
        <f>IFERROR(Z193/Z444, "NA")</f>
        <v>3.0405209574962122E-2</v>
      </c>
      <c r="AB193" s="2"/>
      <c r="AC193" s="14">
        <f t="shared" si="51"/>
        <v>-181.46000000000004</v>
      </c>
      <c r="AD193" s="15">
        <f>IFERROR(AC193/AC444, "NA")</f>
        <v>-5.5780417095870945E-3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1.8181149543443542E-3</v>
      </c>
      <c r="D194" s="9"/>
      <c r="E194" s="7">
        <v>239.35</v>
      </c>
      <c r="F194" s="8">
        <f>IFERROR(E194/E444, "NA")</f>
        <v>2.4762826233552921E-3</v>
      </c>
      <c r="G194" s="9"/>
      <c r="H194" s="10">
        <f t="shared" si="48"/>
        <v>-10.810000000000002</v>
      </c>
      <c r="I194" s="8">
        <f>IFERROR(H194/H444, "NA")</f>
        <v>-2.6407022851235393E-4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-250.16</v>
      </c>
      <c r="O194" s="8">
        <f>IFERROR(N194/N444, "NA")</f>
        <v>-7.689865061557959E-3</v>
      </c>
      <c r="P194" s="9"/>
      <c r="Q194" s="7">
        <v>250.16</v>
      </c>
      <c r="R194" s="8">
        <f>IFERROR(Q194/Q444, "NA")</f>
        <v>1.8181149543443542E-3</v>
      </c>
      <c r="S194" s="9"/>
      <c r="T194" s="7">
        <v>239.35</v>
      </c>
      <c r="U194" s="8">
        <f>IFERROR(T194/T444, "NA")</f>
        <v>2.4762826233552921E-3</v>
      </c>
      <c r="V194" s="9"/>
      <c r="W194" s="10">
        <f t="shared" si="50"/>
        <v>-10.810000000000002</v>
      </c>
      <c r="X194" s="8">
        <f>IFERROR(W194/W444, "NA")</f>
        <v>-2.6407022851235393E-4</v>
      </c>
      <c r="Y194" s="9"/>
      <c r="Z194" s="7">
        <v>0</v>
      </c>
      <c r="AA194" s="8">
        <f>IFERROR(Z194/Z444, "NA")</f>
        <v>0</v>
      </c>
      <c r="AB194" s="9"/>
      <c r="AC194" s="10">
        <f t="shared" si="51"/>
        <v>-250.16</v>
      </c>
      <c r="AD194" s="8">
        <f>IFERROR(AC194/AC444, "NA")</f>
        <v>-7.689865061557959E-3</v>
      </c>
    </row>
    <row r="195" spans="1:30" ht="16.5" customHeight="1" x14ac:dyDescent="0.45">
      <c r="A195" s="6" t="s">
        <v>179</v>
      </c>
      <c r="B195" s="7">
        <v>381.85</v>
      </c>
      <c r="C195" s="8">
        <f>IFERROR(B195/B444, "NA")</f>
        <v>2.7752126451726566E-3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-381.85</v>
      </c>
      <c r="I195" s="8">
        <f>IFERROR(H195/H444, "NA")</f>
        <v>-9.3279571468494298E-3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-381.85</v>
      </c>
      <c r="O195" s="8">
        <f>IFERROR(N195/N444, "NA")</f>
        <v>-1.1737987582970526E-2</v>
      </c>
      <c r="P195" s="9"/>
      <c r="Q195" s="7">
        <v>381.85</v>
      </c>
      <c r="R195" s="8">
        <f>IFERROR(Q195/Q444, "NA")</f>
        <v>2.7752126451726566E-3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-381.85</v>
      </c>
      <c r="X195" s="8">
        <f>IFERROR(W195/W444, "NA")</f>
        <v>-9.3279571468494298E-3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-381.85</v>
      </c>
      <c r="AD195" s="8">
        <f>IFERROR(AC195/AC444, "NA")</f>
        <v>-1.1737987582970526E-2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37116.810000000005</v>
      </c>
      <c r="C196" s="15">
        <f>IFERROR(B196/B444, "NA")</f>
        <v>0.26975786424111803</v>
      </c>
      <c r="D196" s="2"/>
      <c r="E196" s="14">
        <f>IFERROR(E175+E177+E178+E179+E180+E181+E183+E184+E186+E187+E188+E189+E190+E191+E192+E194+E195, "NA")</f>
        <v>34040.409999999996</v>
      </c>
      <c r="F196" s="15">
        <f>IFERROR(E196/E444, "NA")</f>
        <v>0.35217746302439823</v>
      </c>
      <c r="G196" s="2"/>
      <c r="H196" s="14">
        <f t="shared" si="48"/>
        <v>-3076.4000000000087</v>
      </c>
      <c r="I196" s="15">
        <f>IFERROR(H196/H444, "NA")</f>
        <v>-7.515130906525512E-2</v>
      </c>
      <c r="J196" s="2"/>
      <c r="K196" s="14">
        <f>IFERROR(K175+K177+K178+K179+K180+K181+K183+K184+K186+K187+K188+K189+K190+K191+K192+K194+K195, "NA")</f>
        <v>28910.590000000004</v>
      </c>
      <c r="L196" s="15">
        <f>IFERROR(K196/K444, "NA")</f>
        <v>0.27517665057171525</v>
      </c>
      <c r="M196" s="2"/>
      <c r="N196" s="14">
        <f t="shared" si="49"/>
        <v>-8206.2200000000012</v>
      </c>
      <c r="O196" s="15">
        <f>IFERROR(N196/N444, "NA")</f>
        <v>-0.25225745309185388</v>
      </c>
      <c r="P196" s="2"/>
      <c r="Q196" s="14">
        <f>IFERROR(Q175+Q177+Q178+Q179+Q180+Q181+Q183+Q184+Q186+Q187+Q188+Q189+Q190+Q191+Q192+Q194+Q195, "NA")</f>
        <v>37116.810000000005</v>
      </c>
      <c r="R196" s="15">
        <f>IFERROR(Q196/Q444, "NA")</f>
        <v>0.26975786424111803</v>
      </c>
      <c r="S196" s="2"/>
      <c r="T196" s="14">
        <f>IFERROR(T175+T177+T178+T179+T180+T181+T183+T184+T186+T187+T188+T189+T190+T191+T192+T194+T195, "NA")</f>
        <v>34040.409999999996</v>
      </c>
      <c r="U196" s="15">
        <f>IFERROR(T196/T444, "NA")</f>
        <v>0.35217746302439823</v>
      </c>
      <c r="V196" s="2"/>
      <c r="W196" s="14">
        <f t="shared" si="50"/>
        <v>-3076.4000000000087</v>
      </c>
      <c r="X196" s="15">
        <f>IFERROR(W196/W444, "NA")</f>
        <v>-7.515130906525512E-2</v>
      </c>
      <c r="Y196" s="2"/>
      <c r="Z196" s="14">
        <f>IFERROR(Z175+Z177+Z178+Z179+Z180+Z181+Z183+Z184+Z186+Z187+Z188+Z189+Z190+Z191+Z192+Z194+Z195, "NA")</f>
        <v>28910.590000000004</v>
      </c>
      <c r="AA196" s="15">
        <f>IFERROR(Z196/Z444, "NA")</f>
        <v>0.27517665057171525</v>
      </c>
      <c r="AB196" s="2"/>
      <c r="AC196" s="14">
        <f t="shared" si="51"/>
        <v>-8206.2200000000012</v>
      </c>
      <c r="AD196" s="15">
        <f>IFERROR(AC196/AC444, "NA")</f>
        <v>-0.25225745309185388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37116.810000000005</v>
      </c>
      <c r="C197" s="15">
        <f>IFERROR(B197/B444, "NA")</f>
        <v>0.26975786424111803</v>
      </c>
      <c r="D197" s="2"/>
      <c r="E197" s="14">
        <f>IFERROR(E175+E177+E178+E179+E180+E181+E183+E184+E186+E187+E188+E189+E190+E191+E192+E194+E195, "NA")</f>
        <v>34040.409999999996</v>
      </c>
      <c r="F197" s="15">
        <f>IFERROR(E197/E444, "NA")</f>
        <v>0.35217746302439823</v>
      </c>
      <c r="G197" s="2"/>
      <c r="H197" s="14">
        <f t="shared" si="48"/>
        <v>-3076.4000000000087</v>
      </c>
      <c r="I197" s="15">
        <f>IFERROR(H197/H444, "NA")</f>
        <v>-7.515130906525512E-2</v>
      </c>
      <c r="J197" s="2"/>
      <c r="K197" s="14">
        <f>IFERROR(K175+K177+K178+K179+K180+K181+K183+K184+K186+K187+K188+K189+K190+K191+K192+K194+K195, "NA")</f>
        <v>28910.590000000004</v>
      </c>
      <c r="L197" s="15">
        <f>IFERROR(K197/K444, "NA")</f>
        <v>0.27517665057171525</v>
      </c>
      <c r="M197" s="2"/>
      <c r="N197" s="14">
        <f t="shared" si="49"/>
        <v>-8206.2200000000012</v>
      </c>
      <c r="O197" s="15">
        <f>IFERROR(N197/N444, "NA")</f>
        <v>-0.25225745309185388</v>
      </c>
      <c r="P197" s="2"/>
      <c r="Q197" s="14">
        <f>IFERROR(Q175+Q177+Q178+Q179+Q180+Q181+Q183+Q184+Q186+Q187+Q188+Q189+Q190+Q191+Q192+Q194+Q195, "NA")</f>
        <v>37116.810000000005</v>
      </c>
      <c r="R197" s="15">
        <f>IFERROR(Q197/Q444, "NA")</f>
        <v>0.26975786424111803</v>
      </c>
      <c r="S197" s="2"/>
      <c r="T197" s="14">
        <f>IFERROR(T175+T177+T178+T179+T180+T181+T183+T184+T186+T187+T188+T189+T190+T191+T192+T194+T195, "NA")</f>
        <v>34040.409999999996</v>
      </c>
      <c r="U197" s="15">
        <f>IFERROR(T197/T444, "NA")</f>
        <v>0.35217746302439823</v>
      </c>
      <c r="V197" s="2"/>
      <c r="W197" s="14">
        <f t="shared" si="50"/>
        <v>-3076.4000000000087</v>
      </c>
      <c r="X197" s="15">
        <f>IFERROR(W197/W444, "NA")</f>
        <v>-7.515130906525512E-2</v>
      </c>
      <c r="Y197" s="2"/>
      <c r="Z197" s="14">
        <f>IFERROR(Z175+Z177+Z178+Z179+Z180+Z181+Z183+Z184+Z186+Z187+Z188+Z189+Z190+Z191+Z192+Z194+Z195, "NA")</f>
        <v>28910.590000000004</v>
      </c>
      <c r="AA197" s="15">
        <f>IFERROR(Z197/Z444, "NA")</f>
        <v>0.27517665057171525</v>
      </c>
      <c r="AB197" s="2"/>
      <c r="AC197" s="14">
        <f t="shared" si="51"/>
        <v>-8206.2200000000012</v>
      </c>
      <c r="AD197" s="15">
        <f>IFERROR(AC197/AC444, "NA")</f>
        <v>-0.25225745309185388</v>
      </c>
    </row>
    <row r="198" spans="1:30" ht="16.5" customHeight="1" x14ac:dyDescent="0.45">
      <c r="A198" s="22" t="s">
        <v>181</v>
      </c>
      <c r="B198" s="23">
        <f>IFERROR(B172-B197, "NA")</f>
        <v>63969.450000000048</v>
      </c>
      <c r="C198" s="24">
        <f>IFERROR(B198/B444, "NA")</f>
        <v>0.46491770733204169</v>
      </c>
      <c r="D198" s="25"/>
      <c r="E198" s="23">
        <f>IFERROR(E172-E197, "NA")</f>
        <v>35455.960000000014</v>
      </c>
      <c r="F198" s="24">
        <f>IFERROR(E198/E444, "NA")</f>
        <v>0.36682255125289465</v>
      </c>
      <c r="G198" s="25"/>
      <c r="H198" s="23">
        <f>IFERROR(B198-E198, "NA")</f>
        <v>28513.490000000034</v>
      </c>
      <c r="I198" s="24">
        <f>IFERROR(H198/H444, "NA")</f>
        <v>0.69653689361560833</v>
      </c>
      <c r="J198" s="25"/>
      <c r="K198" s="23">
        <f>IFERROR(K172-K197, "NA")</f>
        <v>46566.21</v>
      </c>
      <c r="L198" s="24">
        <f>IFERROR(K198/K444, "NA")</f>
        <v>0.44322629519560514</v>
      </c>
      <c r="M198" s="25"/>
      <c r="N198" s="23">
        <f>IFERROR(B198-K198, "NA")</f>
        <v>17403.240000000049</v>
      </c>
      <c r="O198" s="24">
        <f>IFERROR(N198/N444, "NA")</f>
        <v>0.53497188692799935</v>
      </c>
      <c r="P198" s="25"/>
      <c r="Q198" s="23">
        <f>IFERROR(Q172-Q197, "NA")</f>
        <v>63969.450000000048</v>
      </c>
      <c r="R198" s="24">
        <f>IFERROR(Q198/Q444, "NA")</f>
        <v>0.46491770733204169</v>
      </c>
      <c r="S198" s="25"/>
      <c r="T198" s="23">
        <f>IFERROR(T172-T197, "NA")</f>
        <v>35455.960000000014</v>
      </c>
      <c r="U198" s="24">
        <f>IFERROR(T198/T444, "NA")</f>
        <v>0.36682255125289465</v>
      </c>
      <c r="V198" s="25"/>
      <c r="W198" s="23">
        <f>IFERROR(Q198-T198, "NA")</f>
        <v>28513.490000000034</v>
      </c>
      <c r="X198" s="24">
        <f>IFERROR(W198/W444, "NA")</f>
        <v>0.69653689361560833</v>
      </c>
      <c r="Y198" s="25"/>
      <c r="Z198" s="23">
        <f>IFERROR(Z172-Z197, "NA")</f>
        <v>46566.21</v>
      </c>
      <c r="AA198" s="24">
        <f>IFERROR(Z198/Z444, "NA")</f>
        <v>0.44322629519560514</v>
      </c>
      <c r="AB198" s="25"/>
      <c r="AC198" s="23">
        <f>IFERROR(Q198-Z198, "NA")</f>
        <v>17403.240000000049</v>
      </c>
      <c r="AD198" s="24">
        <f>IFERROR(AC198/AC444, "NA")</f>
        <v>0.53497188692799935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1739.83</v>
      </c>
      <c r="F201" s="8">
        <f>IFERROR(E201/E444, "NA")</f>
        <v>1.8000045107968404E-2</v>
      </c>
      <c r="G201" s="9"/>
      <c r="H201" s="10">
        <f t="shared" ref="H201:H209" si="52">IFERROR(-(B201-E201), "NA")</f>
        <v>1739.83</v>
      </c>
      <c r="I201" s="8">
        <f>IFERROR(H201/H444, "NA")</f>
        <v>4.2501138360097009E-2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1739.83</v>
      </c>
      <c r="U201" s="8">
        <f>IFERROR(T201/T444, "NA")</f>
        <v>1.8000045107968404E-2</v>
      </c>
      <c r="V201" s="9"/>
      <c r="W201" s="10">
        <f t="shared" ref="W201:W209" si="54">IFERROR(-(Q201-T201), "NA")</f>
        <v>1739.83</v>
      </c>
      <c r="X201" s="8">
        <f>IFERROR(W201/W444, "NA")</f>
        <v>4.2501138360097009E-2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1089.93</v>
      </c>
      <c r="C202" s="8">
        <f>IFERROR(B202/B444, "NA")</f>
        <v>7.9214024311982014E-3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-1089.93</v>
      </c>
      <c r="I202" s="8">
        <f>IFERROR(H202/H444, "NA")</f>
        <v>-2.6625167822615162E-2</v>
      </c>
      <c r="J202" s="9"/>
      <c r="K202" s="7">
        <v>1211.08</v>
      </c>
      <c r="L202" s="8">
        <f>IFERROR(K202/K444, "NA")</f>
        <v>1.1527296328936657E-2</v>
      </c>
      <c r="M202" s="9"/>
      <c r="N202" s="10">
        <f t="shared" si="53"/>
        <v>121.14999999999986</v>
      </c>
      <c r="O202" s="8">
        <f>IFERROR(N202/N444, "NA")</f>
        <v>3.724125168723E-3</v>
      </c>
      <c r="P202" s="9"/>
      <c r="Q202" s="7">
        <v>1089.93</v>
      </c>
      <c r="R202" s="8">
        <f>IFERROR(Q202/Q444, "NA")</f>
        <v>7.9214024311982014E-3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-1089.93</v>
      </c>
      <c r="X202" s="8">
        <f>IFERROR(W202/W444, "NA")</f>
        <v>-2.6625167822615162E-2</v>
      </c>
      <c r="Y202" s="9"/>
      <c r="Z202" s="7">
        <v>1211.08</v>
      </c>
      <c r="AA202" s="8">
        <f>IFERROR(Z202/Z444, "NA")</f>
        <v>1.1527296328936657E-2</v>
      </c>
      <c r="AB202" s="9"/>
      <c r="AC202" s="10">
        <f t="shared" si="55"/>
        <v>121.14999999999986</v>
      </c>
      <c r="AD202" s="8">
        <f>IFERROR(AC202/AC444, "NA")</f>
        <v>3.724125168723E-3</v>
      </c>
    </row>
    <row r="203" spans="1:30" ht="16.5" customHeight="1" x14ac:dyDescent="0.45">
      <c r="A203" s="6" t="s">
        <v>185</v>
      </c>
      <c r="B203" s="7">
        <v>1136.79</v>
      </c>
      <c r="C203" s="8">
        <f>IFERROR(B203/B444, "NA")</f>
        <v>8.2619719337588687E-3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-1136.79</v>
      </c>
      <c r="I203" s="8">
        <f>IFERROR(H203/H444, "NA")</f>
        <v>-2.776987928497306E-2</v>
      </c>
      <c r="J203" s="9"/>
      <c r="K203" s="7">
        <v>1082.97</v>
      </c>
      <c r="L203" s="8">
        <f>IFERROR(K203/K444, "NA")</f>
        <v>1.0307920290442028E-2</v>
      </c>
      <c r="M203" s="9"/>
      <c r="N203" s="10">
        <f t="shared" si="53"/>
        <v>-53.819999999999936</v>
      </c>
      <c r="O203" s="8">
        <f>IFERROR(N203/N444, "NA")</f>
        <v>-1.6544153246444231E-3</v>
      </c>
      <c r="P203" s="9"/>
      <c r="Q203" s="7">
        <v>1136.79</v>
      </c>
      <c r="R203" s="8">
        <f>IFERROR(Q203/Q444, "NA")</f>
        <v>8.2619719337588687E-3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-1136.79</v>
      </c>
      <c r="X203" s="8">
        <f>IFERROR(W203/W444, "NA")</f>
        <v>-2.776987928497306E-2</v>
      </c>
      <c r="Y203" s="9"/>
      <c r="Z203" s="7">
        <v>1082.97</v>
      </c>
      <c r="AA203" s="8">
        <f>IFERROR(Z203/Z444, "NA")</f>
        <v>1.0307920290442028E-2</v>
      </c>
      <c r="AB203" s="9"/>
      <c r="AC203" s="10">
        <f t="shared" si="55"/>
        <v>-53.819999999999936</v>
      </c>
      <c r="AD203" s="8">
        <f>IFERROR(AC203/AC444, "NA")</f>
        <v>-1.6544153246444231E-3</v>
      </c>
    </row>
    <row r="204" spans="1:30" ht="16.5" customHeight="1" x14ac:dyDescent="0.45">
      <c r="A204" s="6" t="s">
        <v>186</v>
      </c>
      <c r="B204" s="7">
        <v>62.03</v>
      </c>
      <c r="C204" s="8">
        <f>IFERROR(B204/B444, "NA")</f>
        <v>4.5082215629189439E-4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-62.03</v>
      </c>
      <c r="I204" s="8">
        <f>IFERROR(H204/H444, "NA")</f>
        <v>-1.5152892020926282E-3</v>
      </c>
      <c r="J204" s="9"/>
      <c r="K204" s="7">
        <v>48.78</v>
      </c>
      <c r="L204" s="8">
        <f>IFERROR(K204/K444, "NA")</f>
        <v>4.6429758143601594E-4</v>
      </c>
      <c r="M204" s="9"/>
      <c r="N204" s="10">
        <f t="shared" si="53"/>
        <v>-13.25</v>
      </c>
      <c r="O204" s="8">
        <f>IFERROR(N204/N444, "NA")</f>
        <v>-4.0730217487065459E-4</v>
      </c>
      <c r="P204" s="9"/>
      <c r="Q204" s="7">
        <v>62.03</v>
      </c>
      <c r="R204" s="8">
        <f>IFERROR(Q204/Q444, "NA")</f>
        <v>4.5082215629189439E-4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-62.03</v>
      </c>
      <c r="X204" s="8">
        <f>IFERROR(W204/W444, "NA")</f>
        <v>-1.5152892020926282E-3</v>
      </c>
      <c r="Y204" s="9"/>
      <c r="Z204" s="7">
        <v>48.78</v>
      </c>
      <c r="AA204" s="8">
        <f>IFERROR(Z204/Z444, "NA")</f>
        <v>4.6429758143601594E-4</v>
      </c>
      <c r="AB204" s="9"/>
      <c r="AC204" s="10">
        <f t="shared" si="55"/>
        <v>-13.25</v>
      </c>
      <c r="AD204" s="8">
        <f>IFERROR(AC204/AC444, "NA")</f>
        <v>-4.0730217487065459E-4</v>
      </c>
    </row>
    <row r="205" spans="1:30" ht="16.5" customHeight="1" x14ac:dyDescent="0.45">
      <c r="A205" s="6" t="s">
        <v>187</v>
      </c>
      <c r="B205" s="7">
        <v>698.2</v>
      </c>
      <c r="C205" s="8">
        <f>IFERROR(B205/B444, "NA")</f>
        <v>5.0743838388360579E-3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-698.2</v>
      </c>
      <c r="I205" s="8">
        <f>IFERROR(H205/H444, "NA")</f>
        <v>-1.705585879253705E-2</v>
      </c>
      <c r="J205" s="9"/>
      <c r="K205" s="7">
        <v>520.29999999999995</v>
      </c>
      <c r="L205" s="8">
        <f>IFERROR(K205/K444, "NA")</f>
        <v>4.9523171714054744E-3</v>
      </c>
      <c r="M205" s="9"/>
      <c r="N205" s="10">
        <f t="shared" si="53"/>
        <v>-177.90000000000009</v>
      </c>
      <c r="O205" s="8">
        <f>IFERROR(N205/N444, "NA")</f>
        <v>-5.4686080686407162E-3</v>
      </c>
      <c r="P205" s="9"/>
      <c r="Q205" s="7">
        <v>698.2</v>
      </c>
      <c r="R205" s="8">
        <f>IFERROR(Q205/Q444, "NA")</f>
        <v>5.0743838388360579E-3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-698.2</v>
      </c>
      <c r="X205" s="8">
        <f>IFERROR(W205/W444, "NA")</f>
        <v>-1.705585879253705E-2</v>
      </c>
      <c r="Y205" s="9"/>
      <c r="Z205" s="7">
        <v>520.29999999999995</v>
      </c>
      <c r="AA205" s="8">
        <f>IFERROR(Z205/Z444, "NA")</f>
        <v>4.9523171714054744E-3</v>
      </c>
      <c r="AB205" s="9"/>
      <c r="AC205" s="10">
        <f t="shared" si="55"/>
        <v>-177.90000000000009</v>
      </c>
      <c r="AD205" s="8">
        <f>IFERROR(AC205/AC444, "NA")</f>
        <v>-5.4686080686407162E-3</v>
      </c>
    </row>
    <row r="206" spans="1:30" ht="16.5" hidden="1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0</v>
      </c>
      <c r="R206" s="8">
        <f>IFERROR(Q206/Q444, "NA")</f>
        <v>0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0</v>
      </c>
      <c r="X206" s="8">
        <f>IFERROR(W206/W444, "NA")</f>
        <v>0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0</v>
      </c>
      <c r="AD206" s="8">
        <f>IFERROR(AC206/AC444, "NA")</f>
        <v>0</v>
      </c>
    </row>
    <row r="207" spans="1:30" ht="16.5" customHeight="1" x14ac:dyDescent="0.45">
      <c r="A207" s="6" t="s">
        <v>189</v>
      </c>
      <c r="B207" s="7">
        <v>99.6</v>
      </c>
      <c r="C207" s="8">
        <f>IFERROR(B207/B444, "NA")</f>
        <v>7.2387371863086693E-4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-99.6</v>
      </c>
      <c r="I207" s="8">
        <f>IFERROR(H207/H444, "NA")</f>
        <v>-2.4330614948964335E-3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-99.6</v>
      </c>
      <c r="O207" s="8">
        <f>IFERROR(N207/N444, "NA")</f>
        <v>-3.0616827635560149E-3</v>
      </c>
      <c r="P207" s="9"/>
      <c r="Q207" s="7">
        <v>99.6</v>
      </c>
      <c r="R207" s="8">
        <f>IFERROR(Q207/Q444, "NA")</f>
        <v>7.2387371863086693E-4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-2.4330614948964335E-3</v>
      </c>
      <c r="Y207" s="9"/>
      <c r="Z207" s="7">
        <v>0</v>
      </c>
      <c r="AA207" s="8">
        <f>IFERROR(Z207/Z444, "NA")</f>
        <v>0</v>
      </c>
      <c r="AB207" s="9"/>
      <c r="AC207" s="10">
        <f t="shared" si="55"/>
        <v>-99.6</v>
      </c>
      <c r="AD207" s="8">
        <f>IFERROR(AC207/AC444, "NA")</f>
        <v>-3.0616827635560149E-3</v>
      </c>
    </row>
    <row r="208" spans="1:30" ht="16.5" customHeight="1" x14ac:dyDescent="0.45">
      <c r="A208" s="6" t="s">
        <v>190</v>
      </c>
      <c r="B208" s="7">
        <v>204.93</v>
      </c>
      <c r="C208" s="8">
        <f>IFERROR(B208/B444, "NA")</f>
        <v>1.4893919795082688E-3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-204.93</v>
      </c>
      <c r="I208" s="8">
        <f>IFERROR(H208/H444, "NA")</f>
        <v>-5.0060973107341981E-3</v>
      </c>
      <c r="J208" s="9"/>
      <c r="K208" s="7">
        <v>44.51</v>
      </c>
      <c r="L208" s="8">
        <f>IFERROR(K208/K444, "NA")</f>
        <v>4.2365488621806208E-4</v>
      </c>
      <c r="M208" s="9"/>
      <c r="N208" s="10">
        <f t="shared" si="53"/>
        <v>-160.42000000000002</v>
      </c>
      <c r="O208" s="8">
        <f>IFERROR(N208/N444, "NA")</f>
        <v>-4.9312765956792768E-3</v>
      </c>
      <c r="P208" s="9"/>
      <c r="Q208" s="7">
        <v>204.93</v>
      </c>
      <c r="R208" s="8">
        <f>IFERROR(Q208/Q444, "NA")</f>
        <v>1.4893919795082688E-3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-204.93</v>
      </c>
      <c r="X208" s="8">
        <f>IFERROR(W208/W444, "NA")</f>
        <v>-5.0060973107341981E-3</v>
      </c>
      <c r="Y208" s="9"/>
      <c r="Z208" s="7">
        <v>44.51</v>
      </c>
      <c r="AA208" s="8">
        <f>IFERROR(Z208/Z444, "NA")</f>
        <v>4.2365488621806208E-4</v>
      </c>
      <c r="AB208" s="9"/>
      <c r="AC208" s="10">
        <f t="shared" si="55"/>
        <v>-160.42000000000002</v>
      </c>
      <c r="AD208" s="8">
        <f>IFERROR(AC208/AC444, "NA")</f>
        <v>-4.9312765956792768E-3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3291.4800000000005</v>
      </c>
      <c r="C209" s="15">
        <f>IFERROR(B209/B444, "NA")</f>
        <v>2.3921846058224162E-2</v>
      </c>
      <c r="D209" s="2"/>
      <c r="E209" s="14">
        <f>IFERROR(E201+E202+E203+E204+E205+E206+E207+E208, "NA")</f>
        <v>1739.83</v>
      </c>
      <c r="F209" s="15">
        <f>IFERROR(E209/E444, "NA")</f>
        <v>1.8000045107968404E-2</v>
      </c>
      <c r="G209" s="2"/>
      <c r="H209" s="14">
        <f t="shared" si="52"/>
        <v>-1551.6500000000005</v>
      </c>
      <c r="I209" s="15">
        <f>IFERROR(H209/H444, "NA")</f>
        <v>-3.790421554775153E-2</v>
      </c>
      <c r="J209" s="2"/>
      <c r="K209" s="14">
        <f>IFERROR(K201+K202+K203+K204+K205+K206+K207+K208, "NA")</f>
        <v>2907.6400000000003</v>
      </c>
      <c r="L209" s="15">
        <f>IFERROR(K209/K444, "NA")</f>
        <v>2.7675486258438242E-2</v>
      </c>
      <c r="M209" s="2"/>
      <c r="N209" s="14">
        <f t="shared" si="53"/>
        <v>-383.84000000000015</v>
      </c>
      <c r="O209" s="15">
        <f>IFERROR(N209/N444, "NA")</f>
        <v>-1.1799159758668085E-2</v>
      </c>
      <c r="P209" s="2"/>
      <c r="Q209" s="14">
        <f>IFERROR(Q201+Q202+Q203+Q204+Q205+Q206+Q207+Q208, "NA")</f>
        <v>3291.4800000000005</v>
      </c>
      <c r="R209" s="15">
        <f>IFERROR(Q209/Q444, "NA")</f>
        <v>2.3921846058224162E-2</v>
      </c>
      <c r="S209" s="2"/>
      <c r="T209" s="14">
        <f>IFERROR(T201+T202+T203+T204+T205+T206+T207+T208, "NA")</f>
        <v>1739.83</v>
      </c>
      <c r="U209" s="15">
        <f>IFERROR(T209/T444, "NA")</f>
        <v>1.8000045107968404E-2</v>
      </c>
      <c r="V209" s="2"/>
      <c r="W209" s="14">
        <f t="shared" si="54"/>
        <v>-1551.6500000000005</v>
      </c>
      <c r="X209" s="15">
        <f>IFERROR(W209/W444, "NA")</f>
        <v>-3.790421554775153E-2</v>
      </c>
      <c r="Y209" s="2"/>
      <c r="Z209" s="14">
        <f>IFERROR(Z201+Z202+Z203+Z204+Z205+Z206+Z207+Z208, "NA")</f>
        <v>2907.6400000000003</v>
      </c>
      <c r="AA209" s="15">
        <f>IFERROR(Z209/Z444, "NA")</f>
        <v>2.7675486258438242E-2</v>
      </c>
      <c r="AB209" s="2"/>
      <c r="AC209" s="14">
        <f t="shared" si="55"/>
        <v>-383.84000000000015</v>
      </c>
      <c r="AD209" s="15">
        <f>IFERROR(AC209/AC444, "NA")</f>
        <v>-1.1799159758668085E-2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5387.5</v>
      </c>
      <c r="F213" s="8">
        <f>IFERROR(E213/E444, "NA")</f>
        <v>5.5738343987159544E-2</v>
      </c>
      <c r="G213" s="9"/>
      <c r="H213" s="10">
        <f t="shared" ref="H213:H227" si="56">IFERROR(-(B213-E213), "NA")</f>
        <v>5387.5</v>
      </c>
      <c r="I213" s="8">
        <f>IFERROR(H213/H444, "NA")</f>
        <v>0.13160761851159172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5387.5</v>
      </c>
      <c r="U213" s="8">
        <f>IFERROR(T213/T444, "NA")</f>
        <v>5.5738343987159544E-2</v>
      </c>
      <c r="V213" s="9"/>
      <c r="W213" s="10">
        <f t="shared" ref="W213:W227" si="58">IFERROR(-(Q213-T213), "NA")</f>
        <v>5387.5</v>
      </c>
      <c r="X213" s="8">
        <f>IFERROR(W213/W444, "NA")</f>
        <v>0.13160761851159172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4746.74</v>
      </c>
      <c r="C214" s="8">
        <f>IFERROR(B214/B444, "NA")</f>
        <v>3.44983969394968E-2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-4746.74</v>
      </c>
      <c r="I214" s="8">
        <f>IFERROR(H214/H444, "NA")</f>
        <v>-0.11595492289442466</v>
      </c>
      <c r="J214" s="9"/>
      <c r="K214" s="7">
        <v>500</v>
      </c>
      <c r="L214" s="8">
        <f>IFERROR(K214/K444, "NA")</f>
        <v>4.7590978006971704E-3</v>
      </c>
      <c r="M214" s="9"/>
      <c r="N214" s="10">
        <f t="shared" si="57"/>
        <v>-4246.74</v>
      </c>
      <c r="O214" s="8">
        <f>IFERROR(N214/N444, "NA")</f>
        <v>-0.13054388212152479</v>
      </c>
      <c r="P214" s="9"/>
      <c r="Q214" s="7">
        <v>4746.74</v>
      </c>
      <c r="R214" s="8">
        <f>IFERROR(Q214/Q444, "NA")</f>
        <v>3.44983969394968E-2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-4746.74</v>
      </c>
      <c r="X214" s="8">
        <f>IFERROR(W214/W444, "NA")</f>
        <v>-0.11595492289442466</v>
      </c>
      <c r="Y214" s="9"/>
      <c r="Z214" s="7">
        <v>500</v>
      </c>
      <c r="AA214" s="8">
        <f>IFERROR(Z214/Z444, "NA")</f>
        <v>4.7590978006971704E-3</v>
      </c>
      <c r="AB214" s="9"/>
      <c r="AC214" s="10">
        <f t="shared" si="59"/>
        <v>-4246.74</v>
      </c>
      <c r="AD214" s="8">
        <f>IFERROR(AC214/AC444, "NA")</f>
        <v>-0.13054388212152479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3124.83</v>
      </c>
      <c r="C217" s="8">
        <f>IFERROR(B217/B444, "NA")</f>
        <v>2.2710665785033054E-2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-3124.83</v>
      </c>
      <c r="I217" s="8">
        <f>IFERROR(H217/H444, "NA")</f>
        <v>-7.6334373002984166E-2</v>
      </c>
      <c r="J217" s="9"/>
      <c r="K217" s="7">
        <v>387.83</v>
      </c>
      <c r="L217" s="8">
        <f>IFERROR(K217/K444, "NA")</f>
        <v>3.6914418000887667E-3</v>
      </c>
      <c r="M217" s="9"/>
      <c r="N217" s="10">
        <f t="shared" si="57"/>
        <v>-2737</v>
      </c>
      <c r="O217" s="8">
        <f>IFERROR(N217/N444, "NA")</f>
        <v>-8.4134796424225028E-2</v>
      </c>
      <c r="P217" s="9"/>
      <c r="Q217" s="7">
        <v>3124.83</v>
      </c>
      <c r="R217" s="8">
        <f>IFERROR(Q217/Q444, "NA")</f>
        <v>2.2710665785033054E-2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-3124.83</v>
      </c>
      <c r="X217" s="8">
        <f>IFERROR(W217/W444, "NA")</f>
        <v>-7.6334373002984166E-2</v>
      </c>
      <c r="Y217" s="9"/>
      <c r="Z217" s="7">
        <v>387.83</v>
      </c>
      <c r="AA217" s="8">
        <f>IFERROR(Z217/Z444, "NA")</f>
        <v>3.6914418000887667E-3</v>
      </c>
      <c r="AB217" s="9"/>
      <c r="AC217" s="10">
        <f t="shared" si="59"/>
        <v>-2737</v>
      </c>
      <c r="AD217" s="8">
        <f>IFERROR(AC217/AC444, "NA")</f>
        <v>-8.4134796424225028E-2</v>
      </c>
    </row>
    <row r="218" spans="1:30" ht="16.5" customHeight="1" x14ac:dyDescent="0.45">
      <c r="A218" s="13" t="s">
        <v>198</v>
      </c>
      <c r="B218" s="14">
        <f>IFERROR(B213+B214+B215+B216+B217, "NA")</f>
        <v>7871.57</v>
      </c>
      <c r="C218" s="15">
        <f>IFERROR(B218/B444, "NA")</f>
        <v>5.7209062724529858E-2</v>
      </c>
      <c r="D218" s="2"/>
      <c r="E218" s="14">
        <f>IFERROR(E213+E214+E215+E216+E217, "NA")</f>
        <v>5387.5</v>
      </c>
      <c r="F218" s="15">
        <f>IFERROR(E218/E444, "NA")</f>
        <v>5.5738343987159544E-2</v>
      </c>
      <c r="G218" s="2"/>
      <c r="H218" s="14">
        <f t="shared" si="56"/>
        <v>-2484.0699999999997</v>
      </c>
      <c r="I218" s="15">
        <f>IFERROR(H218/H444, "NA")</f>
        <v>-6.0681677385817097E-2</v>
      </c>
      <c r="J218" s="2"/>
      <c r="K218" s="14">
        <f>IFERROR(K213+K214+K215+K216+K217, "NA")</f>
        <v>887.82999999999993</v>
      </c>
      <c r="L218" s="15">
        <f>IFERROR(K218/K444, "NA")</f>
        <v>8.4505396007859366E-3</v>
      </c>
      <c r="M218" s="2"/>
      <c r="N218" s="14">
        <f t="shared" si="57"/>
        <v>-6983.74</v>
      </c>
      <c r="O218" s="15">
        <f>IFERROR(N218/N444, "NA")</f>
        <v>-0.21467867854574985</v>
      </c>
      <c r="P218" s="2"/>
      <c r="Q218" s="14">
        <f>IFERROR(Q213+Q214+Q215+Q216+Q217, "NA")</f>
        <v>7871.57</v>
      </c>
      <c r="R218" s="15">
        <f>IFERROR(Q218/Q444, "NA")</f>
        <v>5.7209062724529858E-2</v>
      </c>
      <c r="S218" s="2"/>
      <c r="T218" s="14">
        <f>IFERROR(T213+T214+T215+T216+T217, "NA")</f>
        <v>5387.5</v>
      </c>
      <c r="U218" s="15">
        <f>IFERROR(T218/T444, "NA")</f>
        <v>5.5738343987159544E-2</v>
      </c>
      <c r="V218" s="2"/>
      <c r="W218" s="14">
        <f t="shared" si="58"/>
        <v>-2484.0699999999997</v>
      </c>
      <c r="X218" s="15">
        <f>IFERROR(W218/W444, "NA")</f>
        <v>-6.0681677385817097E-2</v>
      </c>
      <c r="Y218" s="2"/>
      <c r="Z218" s="14">
        <f>IFERROR(Z213+Z214+Z215+Z216+Z217, "NA")</f>
        <v>887.82999999999993</v>
      </c>
      <c r="AA218" s="15">
        <f>IFERROR(Z218/Z444, "NA")</f>
        <v>8.4505396007859366E-3</v>
      </c>
      <c r="AB218" s="2"/>
      <c r="AC218" s="14">
        <f t="shared" si="59"/>
        <v>-6983.74</v>
      </c>
      <c r="AD218" s="15">
        <f>IFERROR(AC218/AC444, "NA")</f>
        <v>-0.21467867854574985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107.16</v>
      </c>
      <c r="C222" s="8">
        <f>IFERROR(B222/B444, "NA")</f>
        <v>7.7881835028598102E-4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-107.16</v>
      </c>
      <c r="I222" s="8">
        <f>IFERROR(H222/H444, "NA")</f>
        <v>-2.6177396565572469E-3</v>
      </c>
      <c r="J222" s="9"/>
      <c r="K222" s="7">
        <v>87.5</v>
      </c>
      <c r="L222" s="8">
        <f>IFERROR(K222/K444, "NA")</f>
        <v>8.3284211512200479E-4</v>
      </c>
      <c r="M222" s="9"/>
      <c r="N222" s="10">
        <f t="shared" si="57"/>
        <v>-19.659999999999997</v>
      </c>
      <c r="O222" s="8">
        <f>IFERROR(N222/N444, "NA")</f>
        <v>-6.0434420814770322E-4</v>
      </c>
      <c r="P222" s="9"/>
      <c r="Q222" s="7">
        <v>107.16</v>
      </c>
      <c r="R222" s="8">
        <f>IFERROR(Q222/Q444, "NA")</f>
        <v>7.7881835028598102E-4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-107.16</v>
      </c>
      <c r="X222" s="8">
        <f>IFERROR(W222/W444, "NA")</f>
        <v>-2.6177396565572469E-3</v>
      </c>
      <c r="Y222" s="9"/>
      <c r="Z222" s="7">
        <v>87.5</v>
      </c>
      <c r="AA222" s="8">
        <f>IFERROR(Z222/Z444, "NA")</f>
        <v>8.3284211512200479E-4</v>
      </c>
      <c r="AB222" s="9"/>
      <c r="AC222" s="10">
        <f t="shared" si="59"/>
        <v>-19.659999999999997</v>
      </c>
      <c r="AD222" s="8">
        <f>IFERROR(AC222/AC444, "NA")</f>
        <v>-6.0434420814770322E-4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96.66</v>
      </c>
      <c r="F226" s="8">
        <f>IFERROR(E226/E444, "NA")</f>
        <v>1.0000312445102258E-3</v>
      </c>
      <c r="G226" s="9"/>
      <c r="H226" s="10">
        <f t="shared" si="56"/>
        <v>96.66</v>
      </c>
      <c r="I226" s="8">
        <f>IFERROR(H226/H444, "NA")</f>
        <v>2.3612422098061169E-3</v>
      </c>
      <c r="J226" s="9"/>
      <c r="K226" s="7">
        <v>213.59</v>
      </c>
      <c r="L226" s="8">
        <f>IFERROR(K226/K444, "NA")</f>
        <v>2.0329913985018171E-3</v>
      </c>
      <c r="M226" s="9"/>
      <c r="N226" s="10">
        <f t="shared" si="57"/>
        <v>213.59</v>
      </c>
      <c r="O226" s="8">
        <f>IFERROR(N226/N444, "NA")</f>
        <v>6.565711058914952E-3</v>
      </c>
      <c r="P226" s="9"/>
      <c r="Q226" s="7">
        <v>0</v>
      </c>
      <c r="R226" s="8">
        <f>IFERROR(Q226/Q444, "NA")</f>
        <v>0</v>
      </c>
      <c r="S226" s="9"/>
      <c r="T226" s="7">
        <v>96.66</v>
      </c>
      <c r="U226" s="8">
        <f>IFERROR(T226/T444, "NA")</f>
        <v>1.0000312445102258E-3</v>
      </c>
      <c r="V226" s="9"/>
      <c r="W226" s="10">
        <f t="shared" si="58"/>
        <v>96.66</v>
      </c>
      <c r="X226" s="8">
        <f>IFERROR(W226/W444, "NA")</f>
        <v>2.3612422098061169E-3</v>
      </c>
      <c r="Y226" s="9"/>
      <c r="Z226" s="7">
        <v>213.59</v>
      </c>
      <c r="AA226" s="8">
        <f>IFERROR(Z226/Z444, "NA")</f>
        <v>2.0329913985018171E-3</v>
      </c>
      <c r="AB226" s="9"/>
      <c r="AC226" s="10">
        <f t="shared" si="59"/>
        <v>213.59</v>
      </c>
      <c r="AD226" s="8">
        <f>IFERROR(AC226/AC444, "NA")</f>
        <v>6.565711058914952E-3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7978.73</v>
      </c>
      <c r="C227" s="15">
        <f>IFERROR(B227/B444, "NA")</f>
        <v>5.7987881074815832E-2</v>
      </c>
      <c r="D227" s="2"/>
      <c r="E227" s="14">
        <f>IFERROR(E211+E213+E214+E215+E216+E217+E219+E220+E221+E222+E223+E224+E225+E226, "NA")</f>
        <v>5484.16</v>
      </c>
      <c r="F227" s="15">
        <f>IFERROR(E227/E444, "NA")</f>
        <v>5.6738375231669767E-2</v>
      </c>
      <c r="G227" s="2"/>
      <c r="H227" s="14">
        <f t="shared" si="56"/>
        <v>-2494.5699999999997</v>
      </c>
      <c r="I227" s="15">
        <f>IFERROR(H227/H444, "NA")</f>
        <v>-6.0938174832568227E-2</v>
      </c>
      <c r="J227" s="2"/>
      <c r="K227" s="14">
        <f>IFERROR(K211+K213+K214+K215+K216+K217+K219+K220+K221+K222+K223+K224+K225+K226, "NA")</f>
        <v>1188.9199999999998</v>
      </c>
      <c r="L227" s="15">
        <f>IFERROR(K227/K444, "NA")</f>
        <v>1.1316373114409757E-2</v>
      </c>
      <c r="M227" s="2"/>
      <c r="N227" s="14">
        <f t="shared" si="57"/>
        <v>-6789.8099999999995</v>
      </c>
      <c r="O227" s="15">
        <f>IFERROR(N227/N444, "NA")</f>
        <v>-0.20871731169498259</v>
      </c>
      <c r="P227" s="2"/>
      <c r="Q227" s="14">
        <f>IFERROR(Q211+Q213+Q214+Q215+Q216+Q217+Q219+Q220+Q221+Q222+Q223+Q224+Q225+Q226, "NA")</f>
        <v>7978.73</v>
      </c>
      <c r="R227" s="15">
        <f>IFERROR(Q227/Q444, "NA")</f>
        <v>5.7987881074815832E-2</v>
      </c>
      <c r="S227" s="2"/>
      <c r="T227" s="14">
        <f>IFERROR(T211+T213+T214+T215+T216+T217+T219+T220+T221+T222+T223+T224+T225+T226, "NA")</f>
        <v>5484.16</v>
      </c>
      <c r="U227" s="15">
        <f>IFERROR(T227/T444, "NA")</f>
        <v>5.6738375231669767E-2</v>
      </c>
      <c r="V227" s="2"/>
      <c r="W227" s="14">
        <f t="shared" si="58"/>
        <v>-2494.5699999999997</v>
      </c>
      <c r="X227" s="15">
        <f>IFERROR(W227/W444, "NA")</f>
        <v>-6.0938174832568227E-2</v>
      </c>
      <c r="Y227" s="2"/>
      <c r="Z227" s="14">
        <f>IFERROR(Z211+Z213+Z214+Z215+Z216+Z217+Z219+Z220+Z221+Z222+Z223+Z224+Z225+Z226, "NA")</f>
        <v>1188.9199999999998</v>
      </c>
      <c r="AA227" s="15">
        <f>IFERROR(Z227/Z444, "NA")</f>
        <v>1.1316373114409757E-2</v>
      </c>
      <c r="AB227" s="2"/>
      <c r="AC227" s="14">
        <f t="shared" si="59"/>
        <v>-6789.8099999999995</v>
      </c>
      <c r="AD227" s="15">
        <f>IFERROR(AC227/AC444, "NA")</f>
        <v>-0.20871731169498259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2875.55</v>
      </c>
      <c r="F229" s="8">
        <f>IFERROR(E229/E444, "NA")</f>
        <v>2.97500501257126E-2</v>
      </c>
      <c r="G229" s="9"/>
      <c r="H229" s="10">
        <f t="shared" ref="H229:H236" si="60">IFERROR(-(B229-E229), "NA")</f>
        <v>2875.55</v>
      </c>
      <c r="I229" s="8">
        <f>IFERROR(H229/H444, "NA")</f>
        <v>7.0244879333829724E-2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2875.55</v>
      </c>
      <c r="U229" s="8">
        <f>IFERROR(T229/T444, "NA")</f>
        <v>2.97500501257126E-2</v>
      </c>
      <c r="V229" s="9"/>
      <c r="W229" s="10">
        <f t="shared" ref="W229:W236" si="62">IFERROR(-(Q229-T229), "NA")</f>
        <v>2875.55</v>
      </c>
      <c r="X229" s="8">
        <f>IFERROR(W229/W444, "NA")</f>
        <v>7.0244879333829724E-2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333.71</v>
      </c>
      <c r="C231" s="8">
        <f>IFERROR(B231/B444, "NA")</f>
        <v>2.4253403478344039E-3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-333.71</v>
      </c>
      <c r="I231" s="8">
        <f>IFERROR(H231/H444, "NA")</f>
        <v>-8.1519774243161529E-3</v>
      </c>
      <c r="J231" s="9"/>
      <c r="K231" s="7">
        <v>14.65</v>
      </c>
      <c r="L231" s="8">
        <f>IFERROR(K231/K444, "NA")</f>
        <v>1.394415655604271E-4</v>
      </c>
      <c r="M231" s="9"/>
      <c r="N231" s="10">
        <f t="shared" si="61"/>
        <v>-319.06</v>
      </c>
      <c r="O231" s="8">
        <f>IFERROR(N231/N444, "NA")</f>
        <v>-9.8078363708853627E-3</v>
      </c>
      <c r="P231" s="9"/>
      <c r="Q231" s="7">
        <v>333.71</v>
      </c>
      <c r="R231" s="8">
        <f>IFERROR(Q231/Q444, "NA")</f>
        <v>2.4253403478344039E-3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-333.71</v>
      </c>
      <c r="X231" s="8">
        <f>IFERROR(W231/W444, "NA")</f>
        <v>-8.1519774243161529E-3</v>
      </c>
      <c r="Y231" s="9"/>
      <c r="Z231" s="7">
        <v>14.65</v>
      </c>
      <c r="AA231" s="8">
        <f>IFERROR(Z231/Z444, "NA")</f>
        <v>1.394415655604271E-4</v>
      </c>
      <c r="AB231" s="9"/>
      <c r="AC231" s="10">
        <f t="shared" si="63"/>
        <v>-319.06</v>
      </c>
      <c r="AD231" s="8">
        <f>IFERROR(AC231/AC444, "NA")</f>
        <v>-9.8078363708853627E-3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4.25</v>
      </c>
      <c r="L233" s="8">
        <f>IFERROR(K233/K444, "NA")</f>
        <v>4.0452331305925943E-5</v>
      </c>
      <c r="M233" s="9"/>
      <c r="N233" s="10">
        <f t="shared" si="61"/>
        <v>4.25</v>
      </c>
      <c r="O233" s="8">
        <f>IFERROR(N233/N444, "NA")</f>
        <v>1.3064409382643638E-4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4.25</v>
      </c>
      <c r="AA233" s="8">
        <f>IFERROR(Z233/Z444, "NA")</f>
        <v>4.0452331305925943E-5</v>
      </c>
      <c r="AB233" s="9"/>
      <c r="AC233" s="10">
        <f t="shared" si="63"/>
        <v>4.25</v>
      </c>
      <c r="AD233" s="8">
        <f>IFERROR(AC233/AC444, "NA")</f>
        <v>1.3064409382643638E-4</v>
      </c>
    </row>
    <row r="234" spans="1:30" ht="16.5" customHeight="1" x14ac:dyDescent="0.45">
      <c r="A234" s="6" t="s">
        <v>213</v>
      </c>
      <c r="B234" s="7">
        <v>2506.92</v>
      </c>
      <c r="C234" s="8">
        <f>IFERROR(B234/B444, "NA")</f>
        <v>1.8219814284237884E-2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-2506.92</v>
      </c>
      <c r="I234" s="8">
        <f>IFERROR(H234/H444, "NA")</f>
        <v>-6.1239864686604091E-2</v>
      </c>
      <c r="J234" s="9"/>
      <c r="K234" s="7">
        <v>3417.37</v>
      </c>
      <c r="L234" s="8">
        <f>IFERROR(K234/K444, "NA")</f>
        <v>3.2527196102336974E-2</v>
      </c>
      <c r="M234" s="9"/>
      <c r="N234" s="10">
        <f t="shared" si="61"/>
        <v>910.44999999999982</v>
      </c>
      <c r="O234" s="8">
        <f>IFERROR(N234/N444, "NA")</f>
        <v>2.7987038876300937E-2</v>
      </c>
      <c r="P234" s="9"/>
      <c r="Q234" s="7">
        <v>2506.92</v>
      </c>
      <c r="R234" s="8">
        <f>IFERROR(Q234/Q444, "NA")</f>
        <v>1.8219814284237884E-2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-2506.92</v>
      </c>
      <c r="X234" s="8">
        <f>IFERROR(W234/W444, "NA")</f>
        <v>-6.1239864686604091E-2</v>
      </c>
      <c r="Y234" s="9"/>
      <c r="Z234" s="7">
        <v>3417.37</v>
      </c>
      <c r="AA234" s="8">
        <f>IFERROR(Z234/Z444, "NA")</f>
        <v>3.2527196102336974E-2</v>
      </c>
      <c r="AB234" s="9"/>
      <c r="AC234" s="10">
        <f t="shared" si="63"/>
        <v>910.44999999999982</v>
      </c>
      <c r="AD234" s="8">
        <f>IFERROR(AC234/AC444, "NA")</f>
        <v>2.7987038876300937E-2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2840.63</v>
      </c>
      <c r="C236" s="15">
        <f>IFERROR(B236/B444, "NA")</f>
        <v>2.0645154632072286E-2</v>
      </c>
      <c r="D236" s="2"/>
      <c r="E236" s="14">
        <f>IFERROR(E229+E230+E231+E232+E233+E234+E235, "NA")</f>
        <v>2875.55</v>
      </c>
      <c r="F236" s="15">
        <f>IFERROR(E236/E444, "NA")</f>
        <v>2.97500501257126E-2</v>
      </c>
      <c r="G236" s="2"/>
      <c r="H236" s="14">
        <f t="shared" si="60"/>
        <v>34.920000000000073</v>
      </c>
      <c r="I236" s="15">
        <f>IFERROR(H236/H444, "NA")</f>
        <v>8.5303722290947426E-4</v>
      </c>
      <c r="J236" s="2"/>
      <c r="K236" s="14">
        <f>IFERROR(K229+K230+K231+K232+K233+K234+K235, "NA")</f>
        <v>3436.27</v>
      </c>
      <c r="L236" s="15">
        <f>IFERROR(K236/K444, "NA")</f>
        <v>3.2707089999203326E-2</v>
      </c>
      <c r="M236" s="2"/>
      <c r="N236" s="14">
        <f t="shared" si="61"/>
        <v>595.63999999999987</v>
      </c>
      <c r="O236" s="15">
        <f>IFERROR(N236/N444, "NA")</f>
        <v>1.8309846599242011E-2</v>
      </c>
      <c r="P236" s="2"/>
      <c r="Q236" s="14">
        <f>IFERROR(Q229+Q230+Q231+Q232+Q233+Q234+Q235, "NA")</f>
        <v>2840.63</v>
      </c>
      <c r="R236" s="15">
        <f>IFERROR(Q236/Q444, "NA")</f>
        <v>2.0645154632072286E-2</v>
      </c>
      <c r="S236" s="2"/>
      <c r="T236" s="14">
        <f>IFERROR(T229+T230+T231+T232+T233+T234+T235, "NA")</f>
        <v>2875.55</v>
      </c>
      <c r="U236" s="15">
        <f>IFERROR(T236/T444, "NA")</f>
        <v>2.97500501257126E-2</v>
      </c>
      <c r="V236" s="2"/>
      <c r="W236" s="14">
        <f t="shared" si="62"/>
        <v>34.920000000000073</v>
      </c>
      <c r="X236" s="15">
        <f>IFERROR(W236/W444, "NA")</f>
        <v>8.5303722290947426E-4</v>
      </c>
      <c r="Y236" s="2"/>
      <c r="Z236" s="14">
        <f>IFERROR(Z229+Z230+Z231+Z232+Z233+Z234+Z235, "NA")</f>
        <v>3436.27</v>
      </c>
      <c r="AA236" s="15">
        <f>IFERROR(Z236/Z444, "NA")</f>
        <v>3.2707089999203326E-2</v>
      </c>
      <c r="AB236" s="2"/>
      <c r="AC236" s="14">
        <f t="shared" si="63"/>
        <v>595.63999999999987</v>
      </c>
      <c r="AD236" s="15">
        <f>IFERROR(AC236/AC444, "NA")</f>
        <v>1.8309846599242011E-2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9047.19</v>
      </c>
      <c r="F240" s="8">
        <f>IFERROR(E240/E444, "NA")</f>
        <v>9.3601000155394895E-2</v>
      </c>
      <c r="G240" s="9"/>
      <c r="H240" s="10">
        <f t="shared" ref="H240:H263" si="64">IFERROR(-(B240-E240), "NA")</f>
        <v>9047.19</v>
      </c>
      <c r="I240" s="8">
        <f>IFERROR(H240/H444, "NA")</f>
        <v>0.22100772716879585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9047.19</v>
      </c>
      <c r="U240" s="8">
        <f>IFERROR(T240/T444, "NA")</f>
        <v>9.3601000155394895E-2</v>
      </c>
      <c r="V240" s="9"/>
      <c r="W240" s="10">
        <f t="shared" ref="W240:W263" si="66">IFERROR(-(Q240-T240), "NA")</f>
        <v>9047.19</v>
      </c>
      <c r="X240" s="8">
        <f>IFERROR(W240/W444, "NA")</f>
        <v>0.22100772716879585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2296.36</v>
      </c>
      <c r="C242" s="8">
        <f>IFERROR(B242/B444, "NA")</f>
        <v>1.668950454332508E-2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-2296.36</v>
      </c>
      <c r="I242" s="8">
        <f>IFERROR(H242/H444, "NA")</f>
        <v>-5.6096235887754767E-2</v>
      </c>
      <c r="J242" s="9"/>
      <c r="K242" s="7">
        <v>1478.69</v>
      </c>
      <c r="L242" s="8">
        <f>IFERROR(K242/K444, "NA")</f>
        <v>1.4074460653825798E-2</v>
      </c>
      <c r="M242" s="9"/>
      <c r="N242" s="10">
        <f t="shared" si="65"/>
        <v>-817.67000000000007</v>
      </c>
      <c r="O242" s="8">
        <f>IFERROR(N242/N444, "NA")</f>
        <v>-2.5135001458602882E-2</v>
      </c>
      <c r="P242" s="9"/>
      <c r="Q242" s="7">
        <v>2296.36</v>
      </c>
      <c r="R242" s="8">
        <f>IFERROR(Q242/Q444, "NA")</f>
        <v>1.668950454332508E-2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-2296.36</v>
      </c>
      <c r="X242" s="8">
        <f>IFERROR(W242/W444, "NA")</f>
        <v>-5.6096235887754767E-2</v>
      </c>
      <c r="Y242" s="9"/>
      <c r="Z242" s="7">
        <v>1478.69</v>
      </c>
      <c r="AA242" s="8">
        <f>IFERROR(Z242/Z444, "NA")</f>
        <v>1.4074460653825798E-2</v>
      </c>
      <c r="AB242" s="9"/>
      <c r="AC242" s="10">
        <f t="shared" si="67"/>
        <v>-817.67000000000007</v>
      </c>
      <c r="AD242" s="8">
        <f>IFERROR(AC242/AC444, "NA")</f>
        <v>-2.5135001458602882E-2</v>
      </c>
    </row>
    <row r="243" spans="1:30" ht="16.5" customHeight="1" x14ac:dyDescent="0.45">
      <c r="A243" s="12" t="s">
        <v>220</v>
      </c>
      <c r="B243" s="7">
        <v>5749.58</v>
      </c>
      <c r="C243" s="8">
        <f>IFERROR(B243/B444, "NA")</f>
        <v>4.1786845935398192E-2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-5749.58</v>
      </c>
      <c r="I243" s="8">
        <f>IFERROR(H243/H444, "NA")</f>
        <v>-0.14045262760870117</v>
      </c>
      <c r="J243" s="9"/>
      <c r="K243" s="7">
        <v>6311.35</v>
      </c>
      <c r="L243" s="8">
        <f>IFERROR(K243/K444, "NA")</f>
        <v>6.0072663808860172E-2</v>
      </c>
      <c r="M243" s="9"/>
      <c r="N243" s="10">
        <f t="shared" si="65"/>
        <v>561.77000000000044</v>
      </c>
      <c r="O243" s="8">
        <f>IFERROR(N243/N444, "NA")</f>
        <v>1.7268690020912289E-2</v>
      </c>
      <c r="P243" s="9"/>
      <c r="Q243" s="7">
        <v>5749.58</v>
      </c>
      <c r="R243" s="8">
        <f>IFERROR(Q243/Q444, "NA")</f>
        <v>4.1786845935398192E-2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-5749.58</v>
      </c>
      <c r="X243" s="8">
        <f>IFERROR(W243/W444, "NA")</f>
        <v>-0.14045262760870117</v>
      </c>
      <c r="Y243" s="9"/>
      <c r="Z243" s="7">
        <v>6311.35</v>
      </c>
      <c r="AA243" s="8">
        <f>IFERROR(Z243/Z444, "NA")</f>
        <v>6.0072663808860172E-2</v>
      </c>
      <c r="AB243" s="9"/>
      <c r="AC243" s="10">
        <f t="shared" si="67"/>
        <v>561.77000000000044</v>
      </c>
      <c r="AD243" s="8">
        <f>IFERROR(AC243/AC444, "NA")</f>
        <v>1.7268690020912289E-2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262.47000000000003</v>
      </c>
      <c r="C246" s="8">
        <f>IFERROR(B246/B444, "NA")</f>
        <v>1.9075816759944145E-3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-262.47000000000003</v>
      </c>
      <c r="I246" s="8">
        <f>IFERROR(H246/H444, "NA")</f>
        <v>-6.4117033189303911E-3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-262.47000000000003</v>
      </c>
      <c r="O246" s="8">
        <f>IFERROR(N246/N444, "NA")</f>
        <v>-8.0682718368528857E-3</v>
      </c>
      <c r="P246" s="9"/>
      <c r="Q246" s="7">
        <v>262.47000000000003</v>
      </c>
      <c r="R246" s="8">
        <f>IFERROR(Q246/Q444, "NA")</f>
        <v>1.9075816759944145E-3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-262.47000000000003</v>
      </c>
      <c r="X246" s="8">
        <f>IFERROR(W246/W444, "NA")</f>
        <v>-6.4117033189303911E-3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-262.47000000000003</v>
      </c>
      <c r="AD246" s="8">
        <f>IFERROR(AC246/AC444, "NA")</f>
        <v>-8.0682718368528857E-3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1.52</v>
      </c>
      <c r="L247" s="8">
        <f>IFERROR(K247/K444, "NA")</f>
        <v>1.4467657314119396E-5</v>
      </c>
      <c r="M247" s="9"/>
      <c r="N247" s="10">
        <f t="shared" si="65"/>
        <v>1.52</v>
      </c>
      <c r="O247" s="8">
        <f>IFERROR(N247/N444, "NA")</f>
        <v>4.6724475909690191E-5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1.52</v>
      </c>
      <c r="AA247" s="8">
        <f>IFERROR(Z247/Z444, "NA")</f>
        <v>1.4467657314119396E-5</v>
      </c>
      <c r="AB247" s="9"/>
      <c r="AC247" s="10">
        <f t="shared" si="67"/>
        <v>1.52</v>
      </c>
      <c r="AD247" s="8">
        <f>IFERROR(AC247/AC444, "NA")</f>
        <v>4.6724475909690191E-5</v>
      </c>
    </row>
    <row r="248" spans="1:30" ht="16.5" customHeight="1" x14ac:dyDescent="0.45">
      <c r="A248" s="12" t="s">
        <v>225</v>
      </c>
      <c r="B248" s="7">
        <v>191.82</v>
      </c>
      <c r="C248" s="8">
        <f>IFERROR(B248/B444, "NA")</f>
        <v>1.3941110111222179E-3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-191.82</v>
      </c>
      <c r="I248" s="8">
        <f>IFERROR(H248/H444, "NA")</f>
        <v>-4.685841927219216E-3</v>
      </c>
      <c r="J248" s="9"/>
      <c r="K248" s="7">
        <v>0</v>
      </c>
      <c r="L248" s="8">
        <f>IFERROR(K248/K444, "NA")</f>
        <v>0</v>
      </c>
      <c r="M248" s="9"/>
      <c r="N248" s="10">
        <f t="shared" si="65"/>
        <v>-191.82</v>
      </c>
      <c r="O248" s="8">
        <f>IFERROR(N248/N444, "NA")</f>
        <v>-5.8965059006557711E-3</v>
      </c>
      <c r="P248" s="9"/>
      <c r="Q248" s="7">
        <v>191.82</v>
      </c>
      <c r="R248" s="8">
        <f>IFERROR(Q248/Q444, "NA")</f>
        <v>1.3941110111222179E-3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-191.82</v>
      </c>
      <c r="X248" s="8">
        <f>IFERROR(W248/W444, "NA")</f>
        <v>-4.685841927219216E-3</v>
      </c>
      <c r="Y248" s="9"/>
      <c r="Z248" s="7">
        <v>0</v>
      </c>
      <c r="AA248" s="8">
        <f>IFERROR(Z248/Z444, "NA")</f>
        <v>0</v>
      </c>
      <c r="AB248" s="9"/>
      <c r="AC248" s="10">
        <f t="shared" si="67"/>
        <v>-191.82</v>
      </c>
      <c r="AD248" s="8">
        <f>IFERROR(AC248/AC444, "NA")</f>
        <v>-5.8965059006557711E-3</v>
      </c>
    </row>
    <row r="249" spans="1:30" ht="16.5" customHeight="1" x14ac:dyDescent="0.45">
      <c r="A249" s="12" t="s">
        <v>226</v>
      </c>
      <c r="B249" s="7">
        <v>2681.23</v>
      </c>
      <c r="C249" s="8">
        <f>IFERROR(B249/B444, "NA")</f>
        <v>1.9486665969926101E-2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-2681.23</v>
      </c>
      <c r="I249" s="8">
        <f>IFERROR(H249/H444, "NA")</f>
        <v>-6.5497966585955469E-2</v>
      </c>
      <c r="J249" s="9"/>
      <c r="K249" s="7">
        <v>1623.97</v>
      </c>
      <c r="L249" s="8">
        <f>IFERROR(K249/K444, "NA")</f>
        <v>1.5457264110796367E-2</v>
      </c>
      <c r="M249" s="9"/>
      <c r="N249" s="10">
        <f t="shared" si="65"/>
        <v>-1057.26</v>
      </c>
      <c r="O249" s="8">
        <f>IFERROR(N249/N444, "NA")</f>
        <v>-3.2499946973867794E-2</v>
      </c>
      <c r="P249" s="9"/>
      <c r="Q249" s="7">
        <v>2681.23</v>
      </c>
      <c r="R249" s="8">
        <f>IFERROR(Q249/Q444, "NA")</f>
        <v>1.9486665969926101E-2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-2681.23</v>
      </c>
      <c r="X249" s="8">
        <f>IFERROR(W249/W444, "NA")</f>
        <v>-6.5497966585955469E-2</v>
      </c>
      <c r="Y249" s="9"/>
      <c r="Z249" s="7">
        <v>1623.97</v>
      </c>
      <c r="AA249" s="8">
        <f>IFERROR(Z249/Z444, "NA")</f>
        <v>1.5457264110796367E-2</v>
      </c>
      <c r="AB249" s="9"/>
      <c r="AC249" s="10">
        <f t="shared" si="67"/>
        <v>-1057.26</v>
      </c>
      <c r="AD249" s="8">
        <f>IFERROR(AC249/AC444, "NA")</f>
        <v>-3.2499946973867794E-2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1442.24</v>
      </c>
      <c r="C254" s="8">
        <f>IFERROR(B254/B444, "NA")</f>
        <v>1.0481924015644394E-2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-1442.24</v>
      </c>
      <c r="I254" s="8">
        <f>IFERROR(H254/H444, "NA")</f>
        <v>-3.5231512152604741E-2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-1442.24</v>
      </c>
      <c r="O254" s="8">
        <f>IFERROR(N254/N444, "NA")</f>
        <v>-4.4334150089468144E-2</v>
      </c>
      <c r="P254" s="9"/>
      <c r="Q254" s="7">
        <v>1442.24</v>
      </c>
      <c r="R254" s="8">
        <f>IFERROR(Q254/Q444, "NA")</f>
        <v>1.0481924015644394E-2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-1442.24</v>
      </c>
      <c r="X254" s="8">
        <f>IFERROR(W254/W444, "NA")</f>
        <v>-3.5231512152604741E-2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-1442.24</v>
      </c>
      <c r="AD254" s="8">
        <f>IFERROR(AC254/AC444, "NA")</f>
        <v>-4.4334150089468144E-2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12623.699999999999</v>
      </c>
      <c r="C262" s="15">
        <f>IFERROR(B262/B444, "NA")</f>
        <v>9.1746633151410392E-2</v>
      </c>
      <c r="D262" s="2"/>
      <c r="E262" s="14">
        <f>IFERROR(E240+E241+E242+E243+E244+E245+E246+E247+E248+E249+E250+E251+E252+E253+E254+E255+E256+E257+E258+E259+E260+E261, "NA")</f>
        <v>9047.19</v>
      </c>
      <c r="F262" s="15">
        <f>IFERROR(E262/E444, "NA")</f>
        <v>9.3601000155394895E-2</v>
      </c>
      <c r="G262" s="2"/>
      <c r="H262" s="14">
        <f t="shared" si="64"/>
        <v>-3576.5099999999984</v>
      </c>
      <c r="I262" s="15">
        <f>IFERROR(H262/H444, "NA")</f>
        <v>-8.736816031236988E-2</v>
      </c>
      <c r="J262" s="2"/>
      <c r="K262" s="14">
        <f>IFERROR(K240+K241+K242+K243+K244+K245+K246+K247+K248+K249+K250+K251+K252+K253+K254+K255+K256+K257+K258+K259+K260+K261, "NA")</f>
        <v>9415.5300000000007</v>
      </c>
      <c r="L262" s="15">
        <f>IFERROR(K262/K444, "NA")</f>
        <v>8.9618856230796462E-2</v>
      </c>
      <c r="M262" s="2"/>
      <c r="N262" s="14">
        <f t="shared" si="65"/>
        <v>-3208.1699999999983</v>
      </c>
      <c r="O262" s="15">
        <f>IFERROR(N262/N444, "NA")</f>
        <v>-9.8618461762625453E-2</v>
      </c>
      <c r="P262" s="2"/>
      <c r="Q262" s="14">
        <f>IFERROR(Q240+Q241+Q242+Q243+Q244+Q245+Q246+Q247+Q248+Q249+Q250+Q251+Q252+Q253+Q254+Q255+Q256+Q257+Q258+Q259+Q260+Q261, "NA")</f>
        <v>12623.699999999999</v>
      </c>
      <c r="R262" s="15">
        <f>IFERROR(Q262/Q444, "NA")</f>
        <v>9.1746633151410392E-2</v>
      </c>
      <c r="S262" s="2"/>
      <c r="T262" s="14">
        <f>IFERROR(T240+T241+T242+T243+T244+T245+T246+T247+T248+T249+T250+T251+T252+T253+T254+T255+T256+T257+T258+T259+T260+T261, "NA")</f>
        <v>9047.19</v>
      </c>
      <c r="U262" s="15">
        <f>IFERROR(T262/T444, "NA")</f>
        <v>9.3601000155394895E-2</v>
      </c>
      <c r="V262" s="2"/>
      <c r="W262" s="14">
        <f t="shared" si="66"/>
        <v>-3576.5099999999984</v>
      </c>
      <c r="X262" s="15">
        <f>IFERROR(W262/W444, "NA")</f>
        <v>-8.736816031236988E-2</v>
      </c>
      <c r="Y262" s="2"/>
      <c r="Z262" s="14">
        <f>IFERROR(Z240+Z241+Z242+Z243+Z244+Z245+Z246+Z247+Z248+Z249+Z250+Z251+Z252+Z253+Z254+Z255+Z256+Z257+Z258+Z259+Z260+Z261, "NA")</f>
        <v>9415.5300000000007</v>
      </c>
      <c r="AA262" s="15">
        <f>IFERROR(Z262/Z444, "NA")</f>
        <v>8.9618856230796462E-2</v>
      </c>
      <c r="AB262" s="2"/>
      <c r="AC262" s="14">
        <f t="shared" si="67"/>
        <v>-3208.1699999999983</v>
      </c>
      <c r="AD262" s="15">
        <f>IFERROR(AC262/AC444, "NA")</f>
        <v>-9.8618461762625453E-2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12623.699999999999</v>
      </c>
      <c r="C263" s="15">
        <f>IFERROR(B263/B444, "NA")</f>
        <v>9.1746633151410392E-2</v>
      </c>
      <c r="D263" s="2"/>
      <c r="E263" s="14">
        <f>IFERROR(E238+E240+E241+E242+E243+E244+E245+E246+E247+E248+E249+E250+E251+E252+E253+E254+E255+E256+E257+E258+E259+E260+E261, "NA")</f>
        <v>9047.19</v>
      </c>
      <c r="F263" s="15">
        <f>IFERROR(E263/E444, "NA")</f>
        <v>9.3601000155394895E-2</v>
      </c>
      <c r="G263" s="2"/>
      <c r="H263" s="14">
        <f t="shared" si="64"/>
        <v>-3576.5099999999984</v>
      </c>
      <c r="I263" s="15">
        <f>IFERROR(H263/H444, "NA")</f>
        <v>-8.736816031236988E-2</v>
      </c>
      <c r="J263" s="2"/>
      <c r="K263" s="14">
        <f>IFERROR(K238+K240+K241+K242+K243+K244+K245+K246+K247+K248+K249+K250+K251+K252+K253+K254+K255+K256+K257+K258+K259+K260+K261, "NA")</f>
        <v>9415.5300000000007</v>
      </c>
      <c r="L263" s="15">
        <f>IFERROR(K263/K444, "NA")</f>
        <v>8.9618856230796462E-2</v>
      </c>
      <c r="M263" s="2"/>
      <c r="N263" s="14">
        <f t="shared" si="65"/>
        <v>-3208.1699999999983</v>
      </c>
      <c r="O263" s="15">
        <f>IFERROR(N263/N444, "NA")</f>
        <v>-9.8618461762625453E-2</v>
      </c>
      <c r="P263" s="2"/>
      <c r="Q263" s="14">
        <f>IFERROR(Q238+Q240+Q241+Q242+Q243+Q244+Q245+Q246+Q247+Q248+Q249+Q250+Q251+Q252+Q253+Q254+Q255+Q256+Q257+Q258+Q259+Q260+Q261, "NA")</f>
        <v>12623.699999999999</v>
      </c>
      <c r="R263" s="15">
        <f>IFERROR(Q263/Q444, "NA")</f>
        <v>9.1746633151410392E-2</v>
      </c>
      <c r="S263" s="2"/>
      <c r="T263" s="14">
        <f>IFERROR(T238+T240+T241+T242+T243+T244+T245+T246+T247+T248+T249+T250+T251+T252+T253+T254+T255+T256+T257+T258+T259+T260+T261, "NA")</f>
        <v>9047.19</v>
      </c>
      <c r="U263" s="15">
        <f>IFERROR(T263/T444, "NA")</f>
        <v>9.3601000155394895E-2</v>
      </c>
      <c r="V263" s="2"/>
      <c r="W263" s="14">
        <f t="shared" si="66"/>
        <v>-3576.5099999999984</v>
      </c>
      <c r="X263" s="15">
        <f>IFERROR(W263/W444, "NA")</f>
        <v>-8.736816031236988E-2</v>
      </c>
      <c r="Y263" s="2"/>
      <c r="Z263" s="14">
        <f>IFERROR(Z238+Z240+Z241+Z242+Z243+Z244+Z245+Z246+Z247+Z248+Z249+Z250+Z251+Z252+Z253+Z254+Z255+Z256+Z257+Z258+Z259+Z260+Z261, "NA")</f>
        <v>9415.5300000000007</v>
      </c>
      <c r="AA263" s="15">
        <f>IFERROR(Z263/Z444, "NA")</f>
        <v>8.9618856230796462E-2</v>
      </c>
      <c r="AB263" s="2"/>
      <c r="AC263" s="14">
        <f t="shared" si="67"/>
        <v>-3208.1699999999983</v>
      </c>
      <c r="AD263" s="15">
        <f>IFERROR(AC263/AC444, "NA")</f>
        <v>-9.8618461762625453E-2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2904.69</v>
      </c>
      <c r="C265" s="8">
        <f>IFERROR(B265/B444, "NA")</f>
        <v>2.1110730439456757E-2</v>
      </c>
      <c r="D265" s="9"/>
      <c r="E265" s="7">
        <v>2513.08</v>
      </c>
      <c r="F265" s="8">
        <f>IFERROR(E265/E444, "NA")</f>
        <v>2.5999984688120818E-2</v>
      </c>
      <c r="G265" s="9"/>
      <c r="H265" s="10">
        <f>IFERROR(-(B265-E265), "NA")</f>
        <v>-391.61000000000013</v>
      </c>
      <c r="I265" s="8">
        <f>IFERROR(H265/H444, "NA")</f>
        <v>-9.5663776306866739E-3</v>
      </c>
      <c r="J265" s="9"/>
      <c r="K265" s="7">
        <v>2692.51</v>
      </c>
      <c r="L265" s="8">
        <f>IFERROR(K265/K444, "NA")</f>
        <v>2.5627836838710276E-2</v>
      </c>
      <c r="M265" s="9"/>
      <c r="N265" s="10">
        <f>IFERROR(-(B265-K265), "NA")</f>
        <v>-212.17999999999984</v>
      </c>
      <c r="O265" s="8">
        <f>IFERROR(N265/N444, "NA")</f>
        <v>-6.5223679595513527E-3</v>
      </c>
      <c r="P265" s="9"/>
      <c r="Q265" s="7">
        <v>2904.69</v>
      </c>
      <c r="R265" s="8">
        <f>IFERROR(Q265/Q444, "NA")</f>
        <v>2.1110730439456757E-2</v>
      </c>
      <c r="S265" s="9"/>
      <c r="T265" s="7">
        <v>2513.08</v>
      </c>
      <c r="U265" s="8">
        <f>IFERROR(T265/T444, "NA")</f>
        <v>2.5999984688120818E-2</v>
      </c>
      <c r="V265" s="9"/>
      <c r="W265" s="10">
        <f>IFERROR(-(Q265-T265), "NA")</f>
        <v>-391.61000000000013</v>
      </c>
      <c r="X265" s="8">
        <f>IFERROR(W265/W444, "NA")</f>
        <v>-9.5663776306866739E-3</v>
      </c>
      <c r="Y265" s="9"/>
      <c r="Z265" s="7">
        <v>2692.51</v>
      </c>
      <c r="AA265" s="8">
        <f>IFERROR(Z265/Z444, "NA")</f>
        <v>2.5627836838710276E-2</v>
      </c>
      <c r="AB265" s="9"/>
      <c r="AC265" s="10">
        <f>IFERROR(-(Q265-Z265), "NA")</f>
        <v>-212.17999999999984</v>
      </c>
      <c r="AD265" s="8">
        <f>IFERROR(AC265/AC444, "NA")</f>
        <v>-6.5223679595513527E-3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2904.69</v>
      </c>
      <c r="C267" s="15">
        <f>IFERROR(B267/B444, "NA")</f>
        <v>2.1110730439456757E-2</v>
      </c>
      <c r="D267" s="2"/>
      <c r="E267" s="14">
        <f>IFERROR(E265+E266, "NA")</f>
        <v>2513.08</v>
      </c>
      <c r="F267" s="15">
        <f>IFERROR(E267/E444, "NA")</f>
        <v>2.5999984688120818E-2</v>
      </c>
      <c r="G267" s="2"/>
      <c r="H267" s="14">
        <f>IFERROR(-(B267-E267), "NA")</f>
        <v>-391.61000000000013</v>
      </c>
      <c r="I267" s="15">
        <f>IFERROR(H267/H444, "NA")</f>
        <v>-9.5663776306866739E-3</v>
      </c>
      <c r="J267" s="2"/>
      <c r="K267" s="14">
        <f>IFERROR(K265+K266, "NA")</f>
        <v>2692.51</v>
      </c>
      <c r="L267" s="15">
        <f>IFERROR(K267/K444, "NA")</f>
        <v>2.5627836838710276E-2</v>
      </c>
      <c r="M267" s="2"/>
      <c r="N267" s="14">
        <f>IFERROR(-(B267-K267), "NA")</f>
        <v>-212.17999999999984</v>
      </c>
      <c r="O267" s="15">
        <f>IFERROR(N267/N444, "NA")</f>
        <v>-6.5223679595513527E-3</v>
      </c>
      <c r="P267" s="2"/>
      <c r="Q267" s="14">
        <f>IFERROR(Q265+Q266, "NA")</f>
        <v>2904.69</v>
      </c>
      <c r="R267" s="15">
        <f>IFERROR(Q267/Q444, "NA")</f>
        <v>2.1110730439456757E-2</v>
      </c>
      <c r="S267" s="2"/>
      <c r="T267" s="14">
        <f>IFERROR(T265+T266, "NA")</f>
        <v>2513.08</v>
      </c>
      <c r="U267" s="15">
        <f>IFERROR(T267/T444, "NA")</f>
        <v>2.5999984688120818E-2</v>
      </c>
      <c r="V267" s="2"/>
      <c r="W267" s="14">
        <f>IFERROR(-(Q267-T267), "NA")</f>
        <v>-391.61000000000013</v>
      </c>
      <c r="X267" s="15">
        <f>IFERROR(W267/W444, "NA")</f>
        <v>-9.5663776306866739E-3</v>
      </c>
      <c r="Y267" s="2"/>
      <c r="Z267" s="14">
        <f>IFERROR(Z265+Z266, "NA")</f>
        <v>2692.51</v>
      </c>
      <c r="AA267" s="15">
        <f>IFERROR(Z267/Z444, "NA")</f>
        <v>2.5627836838710276E-2</v>
      </c>
      <c r="AB267" s="2"/>
      <c r="AC267" s="14">
        <f>IFERROR(-(Q267-Z267), "NA")</f>
        <v>-212.17999999999984</v>
      </c>
      <c r="AD267" s="15">
        <f>IFERROR(AC267/AC444, "NA")</f>
        <v>-6.5223679595513527E-3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229.7</v>
      </c>
      <c r="C270" s="8">
        <f>IFERROR(B270/B444, "NA")</f>
        <v>1.669415594071387E-3</v>
      </c>
      <c r="D270" s="9"/>
      <c r="E270" s="7">
        <v>239.35</v>
      </c>
      <c r="F270" s="8">
        <f>IFERROR(E270/E444, "NA")</f>
        <v>2.4762826233552921E-3</v>
      </c>
      <c r="G270" s="9"/>
      <c r="H270" s="10">
        <f>IFERROR(-(B270-E270), "NA")</f>
        <v>9.6500000000000057</v>
      </c>
      <c r="I270" s="8">
        <f>IFERROR(H270/H444, "NA")</f>
        <v>2.3573336772841964E-4</v>
      </c>
      <c r="J270" s="9"/>
      <c r="K270" s="7">
        <v>163.32</v>
      </c>
      <c r="L270" s="8">
        <f>IFERROR(K270/K444, "NA")</f>
        <v>1.5545117056197236E-3</v>
      </c>
      <c r="M270" s="9"/>
      <c r="N270" s="10">
        <f>IFERROR(-(B270-K270), "NA")</f>
        <v>-66.38</v>
      </c>
      <c r="O270" s="8">
        <f>IFERROR(N270/N444, "NA")</f>
        <v>-2.0405070466350227E-3</v>
      </c>
      <c r="P270" s="9"/>
      <c r="Q270" s="7">
        <v>229.7</v>
      </c>
      <c r="R270" s="8">
        <f>IFERROR(Q270/Q444, "NA")</f>
        <v>1.669415594071387E-3</v>
      </c>
      <c r="S270" s="9"/>
      <c r="T270" s="7">
        <v>239.35</v>
      </c>
      <c r="U270" s="8">
        <f>IFERROR(T270/T444, "NA")</f>
        <v>2.4762826233552921E-3</v>
      </c>
      <c r="V270" s="9"/>
      <c r="W270" s="10">
        <f>IFERROR(-(Q270-T270), "NA")</f>
        <v>9.6500000000000057</v>
      </c>
      <c r="X270" s="8">
        <f>IFERROR(W270/W444, "NA")</f>
        <v>2.3573336772841964E-4</v>
      </c>
      <c r="Y270" s="9"/>
      <c r="Z270" s="7">
        <v>163.32</v>
      </c>
      <c r="AA270" s="8">
        <f>IFERROR(Z270/Z444, "NA")</f>
        <v>1.5545117056197236E-3</v>
      </c>
      <c r="AB270" s="9"/>
      <c r="AC270" s="10">
        <f>IFERROR(-(Q270-Z270), "NA")</f>
        <v>-66.38</v>
      </c>
      <c r="AD270" s="8">
        <f>IFERROR(AC270/AC444, "NA")</f>
        <v>-2.0405070466350227E-3</v>
      </c>
    </row>
    <row r="271" spans="1:30" ht="16.5" customHeight="1" x14ac:dyDescent="0.45">
      <c r="A271" s="6" t="s">
        <v>246</v>
      </c>
      <c r="B271" s="7">
        <v>852.8</v>
      </c>
      <c r="C271" s="8">
        <f>IFERROR(B271/B444, "NA")</f>
        <v>6.197987020566299E-3</v>
      </c>
      <c r="D271" s="9"/>
      <c r="E271" s="7">
        <v>386.63</v>
      </c>
      <c r="F271" s="8">
        <f>IFERROR(E271/E444, "NA")</f>
        <v>4.0000215193977716E-3</v>
      </c>
      <c r="G271" s="9"/>
      <c r="H271" s="10">
        <f>IFERROR(-(B271-E271), "NA")</f>
        <v>-466.16999999999996</v>
      </c>
      <c r="I271" s="8">
        <f>IFERROR(H271/H444, "NA")</f>
        <v>-1.1387753785902312E-2</v>
      </c>
      <c r="J271" s="9"/>
      <c r="K271" s="7">
        <v>561.82000000000005</v>
      </c>
      <c r="L271" s="8">
        <f>IFERROR(K271/K444, "NA")</f>
        <v>5.3475126527753689E-3</v>
      </c>
      <c r="M271" s="9"/>
      <c r="N271" s="10">
        <f>IFERROR(-(B271-K271), "NA")</f>
        <v>-290.9799999999999</v>
      </c>
      <c r="O271" s="8">
        <f>IFERROR(N271/N444, "NA")</f>
        <v>-8.9446631580273987E-3</v>
      </c>
      <c r="P271" s="9"/>
      <c r="Q271" s="7">
        <v>852.8</v>
      </c>
      <c r="R271" s="8">
        <f>IFERROR(Q271/Q444, "NA")</f>
        <v>6.197987020566299E-3</v>
      </c>
      <c r="S271" s="9"/>
      <c r="T271" s="7">
        <v>386.63</v>
      </c>
      <c r="U271" s="8">
        <f>IFERROR(T271/T444, "NA")</f>
        <v>4.0000215193977716E-3</v>
      </c>
      <c r="V271" s="9"/>
      <c r="W271" s="10">
        <f>IFERROR(-(Q271-T271), "NA")</f>
        <v>-466.16999999999996</v>
      </c>
      <c r="X271" s="8">
        <f>IFERROR(W271/W444, "NA")</f>
        <v>-1.1387753785902312E-2</v>
      </c>
      <c r="Y271" s="9"/>
      <c r="Z271" s="7">
        <v>561.82000000000005</v>
      </c>
      <c r="AA271" s="8">
        <f>IFERROR(Z271/Z444, "NA")</f>
        <v>5.3475126527753689E-3</v>
      </c>
      <c r="AB271" s="9"/>
      <c r="AC271" s="10">
        <f>IFERROR(-(Q271-Z271), "NA")</f>
        <v>-290.9799999999999</v>
      </c>
      <c r="AD271" s="8">
        <f>IFERROR(AC271/AC444, "NA")</f>
        <v>-8.9446631580273987E-3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1082.5</v>
      </c>
      <c r="C273" s="15">
        <f>IFERROR(B273/B444, "NA")</f>
        <v>7.8674026146376853E-3</v>
      </c>
      <c r="D273" s="2"/>
      <c r="E273" s="14">
        <f>IFERROR(E269+E270+E271+E272, "NA")</f>
        <v>625.98</v>
      </c>
      <c r="F273" s="15">
        <f>IFERROR(E273/E444, "NA")</f>
        <v>6.4763041427530641E-3</v>
      </c>
      <c r="G273" s="2"/>
      <c r="H273" s="14">
        <f>IFERROR(-(B273-E273), "NA")</f>
        <v>-456.52</v>
      </c>
      <c r="I273" s="15">
        <f>IFERROR(H273/H444, "NA")</f>
        <v>-1.1152020418173893E-2</v>
      </c>
      <c r="J273" s="2"/>
      <c r="K273" s="14">
        <f>IFERROR(K269+K270+K271+K272, "NA")</f>
        <v>725.1400000000001</v>
      </c>
      <c r="L273" s="15">
        <f>IFERROR(K273/K444, "NA")</f>
        <v>6.9020243583950928E-3</v>
      </c>
      <c r="M273" s="2"/>
      <c r="N273" s="14">
        <f>IFERROR(-(B273-K273), "NA")</f>
        <v>-357.3599999999999</v>
      </c>
      <c r="O273" s="15">
        <f>IFERROR(N273/N444, "NA")</f>
        <v>-1.0985170204662421E-2</v>
      </c>
      <c r="P273" s="2"/>
      <c r="Q273" s="14">
        <f>IFERROR(Q269+Q270+Q271+Q272, "NA")</f>
        <v>1082.5</v>
      </c>
      <c r="R273" s="15">
        <f>IFERROR(Q273/Q444, "NA")</f>
        <v>7.8674026146376853E-3</v>
      </c>
      <c r="S273" s="2"/>
      <c r="T273" s="14">
        <f>IFERROR(T269+T270+T271+T272, "NA")</f>
        <v>625.98</v>
      </c>
      <c r="U273" s="15">
        <f>IFERROR(T273/T444, "NA")</f>
        <v>6.4763041427530641E-3</v>
      </c>
      <c r="V273" s="2"/>
      <c r="W273" s="14">
        <f>IFERROR(-(Q273-T273), "NA")</f>
        <v>-456.52</v>
      </c>
      <c r="X273" s="15">
        <f>IFERROR(W273/W444, "NA")</f>
        <v>-1.1152020418173893E-2</v>
      </c>
      <c r="Y273" s="2"/>
      <c r="Z273" s="14">
        <f>IFERROR(Z269+Z270+Z271+Z272, "NA")</f>
        <v>725.1400000000001</v>
      </c>
      <c r="AA273" s="15">
        <f>IFERROR(Z273/Z444, "NA")</f>
        <v>6.9020243583950928E-3</v>
      </c>
      <c r="AB273" s="2"/>
      <c r="AC273" s="14">
        <f>IFERROR(-(Q273-Z273), "NA")</f>
        <v>-357.3599999999999</v>
      </c>
      <c r="AD273" s="15">
        <f>IFERROR(AC273/AC444, "NA")</f>
        <v>-1.0985170204662421E-2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3.7762404743040805E-3</v>
      </c>
      <c r="G287" s="9"/>
      <c r="H287" s="10">
        <f t="shared" si="72"/>
        <v>365</v>
      </c>
      <c r="I287" s="8">
        <f>IFERROR(H287/H444, "NA")</f>
        <v>8.9163398156345205E-3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365</v>
      </c>
      <c r="U287" s="8">
        <f>IFERROR(T287/T444, "NA")</f>
        <v>3.7762404743040805E-3</v>
      </c>
      <c r="V287" s="9"/>
      <c r="W287" s="10">
        <f t="shared" si="74"/>
        <v>365</v>
      </c>
      <c r="X287" s="8">
        <f>IFERROR(W287/W444, "NA")</f>
        <v>8.9163398156345205E-3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144.65</v>
      </c>
      <c r="C288" s="8">
        <f>IFERROR(B288/B444, "NA")</f>
        <v>1.0512884879513545E-3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-144.65</v>
      </c>
      <c r="I288" s="8">
        <f>IFERROR(H288/H444, "NA")</f>
        <v>-3.5335576831000918E-3</v>
      </c>
      <c r="J288" s="9"/>
      <c r="K288" s="7">
        <v>147.96</v>
      </c>
      <c r="L288" s="8">
        <f>IFERROR(K288/K444, "NA")</f>
        <v>1.4083122211823067E-3</v>
      </c>
      <c r="M288" s="9"/>
      <c r="N288" s="10">
        <f t="shared" si="73"/>
        <v>3.3100000000000023</v>
      </c>
      <c r="O288" s="8">
        <f>IFERROR(N288/N444, "NA")</f>
        <v>1.0174869425070699E-4</v>
      </c>
      <c r="P288" s="9"/>
      <c r="Q288" s="7">
        <v>144.65</v>
      </c>
      <c r="R288" s="8">
        <f>IFERROR(Q288/Q444, "NA")</f>
        <v>1.0512884879513545E-3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-144.65</v>
      </c>
      <c r="X288" s="8">
        <f>IFERROR(W288/W444, "NA")</f>
        <v>-3.5335576831000918E-3</v>
      </c>
      <c r="Y288" s="9"/>
      <c r="Z288" s="7">
        <v>147.96</v>
      </c>
      <c r="AA288" s="8">
        <f>IFERROR(Z288/Z444, "NA")</f>
        <v>1.4083122211823067E-3</v>
      </c>
      <c r="AB288" s="9"/>
      <c r="AC288" s="10">
        <f t="shared" si="75"/>
        <v>3.3100000000000023</v>
      </c>
      <c r="AD288" s="8">
        <f>IFERROR(AC288/AC444, "NA")</f>
        <v>1.0174869425070699E-4</v>
      </c>
    </row>
    <row r="289" spans="1:30" ht="16.5" customHeight="1" x14ac:dyDescent="0.45">
      <c r="A289" s="6" t="s">
        <v>262</v>
      </c>
      <c r="B289" s="7">
        <v>218.07</v>
      </c>
      <c r="C289" s="8">
        <f>IFERROR(B289/B444, "NA")</f>
        <v>1.5848909821469194E-3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-218.07</v>
      </c>
      <c r="I289" s="8">
        <f>IFERROR(H289/H444, "NA")</f>
        <v>-5.3270855440970405E-3</v>
      </c>
      <c r="J289" s="9"/>
      <c r="K289" s="7">
        <v>243.82</v>
      </c>
      <c r="L289" s="8">
        <f>IFERROR(K289/K444, "NA")</f>
        <v>2.320726451531968E-3</v>
      </c>
      <c r="M289" s="9"/>
      <c r="N289" s="10">
        <f t="shared" si="73"/>
        <v>25.75</v>
      </c>
      <c r="O289" s="8">
        <f>IFERROR(N289/N444, "NA")</f>
        <v>7.91549509654291E-4</v>
      </c>
      <c r="P289" s="9"/>
      <c r="Q289" s="7">
        <v>218.07</v>
      </c>
      <c r="R289" s="8">
        <f>IFERROR(Q289/Q444, "NA")</f>
        <v>1.5848909821469194E-3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-218.07</v>
      </c>
      <c r="X289" s="8">
        <f>IFERROR(W289/W444, "NA")</f>
        <v>-5.3270855440970405E-3</v>
      </c>
      <c r="Y289" s="9"/>
      <c r="Z289" s="7">
        <v>243.82</v>
      </c>
      <c r="AA289" s="8">
        <f>IFERROR(Z289/Z444, "NA")</f>
        <v>2.320726451531968E-3</v>
      </c>
      <c r="AB289" s="9"/>
      <c r="AC289" s="10">
        <f t="shared" si="75"/>
        <v>25.75</v>
      </c>
      <c r="AD289" s="8">
        <f>IFERROR(AC289/AC444, "NA")</f>
        <v>7.91549509654291E-4</v>
      </c>
    </row>
    <row r="290" spans="1:30" ht="16.5" customHeight="1" x14ac:dyDescent="0.45">
      <c r="A290" s="6" t="s">
        <v>263</v>
      </c>
      <c r="B290" s="7">
        <v>1265.3800000000001</v>
      </c>
      <c r="C290" s="8">
        <f>IFERROR(B290/B444, "NA")</f>
        <v>9.1965394184852067E-3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-1265.3800000000001</v>
      </c>
      <c r="I290" s="8">
        <f>IFERROR(H290/H444, "NA")</f>
        <v>-3.0911118016185235E-2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-1265.3800000000001</v>
      </c>
      <c r="O290" s="8">
        <f>IFERROR(N290/N444, "NA")</f>
        <v>-3.889751139908143E-2</v>
      </c>
      <c r="P290" s="9"/>
      <c r="Q290" s="7">
        <v>1265.3800000000001</v>
      </c>
      <c r="R290" s="8">
        <f>IFERROR(Q290/Q444, "NA")</f>
        <v>9.1965394184852067E-3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-1265.3800000000001</v>
      </c>
      <c r="X290" s="8">
        <f>IFERROR(W290/W444, "NA")</f>
        <v>-3.0911118016185235E-2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-1265.3800000000001</v>
      </c>
      <c r="AD290" s="8">
        <f>IFERROR(AC290/AC444, "NA")</f>
        <v>-3.889751139908143E-2</v>
      </c>
    </row>
    <row r="291" spans="1:30" ht="16.5" customHeight="1" x14ac:dyDescent="0.45">
      <c r="A291" s="6" t="s">
        <v>264</v>
      </c>
      <c r="B291" s="7">
        <v>2918.94</v>
      </c>
      <c r="C291" s="8">
        <f>IFERROR(B291/B444, "NA")</f>
        <v>2.1214296709441596E-2</v>
      </c>
      <c r="D291" s="9"/>
      <c r="E291" s="7">
        <v>1256.54</v>
      </c>
      <c r="F291" s="8">
        <f>IFERROR(E291/E444, "NA")</f>
        <v>1.2999992344060409E-2</v>
      </c>
      <c r="G291" s="9"/>
      <c r="H291" s="10">
        <f t="shared" si="72"/>
        <v>-1662.4</v>
      </c>
      <c r="I291" s="8">
        <f>IFERROR(H291/H444, "NA")</f>
        <v>-4.060965290276939E-2</v>
      </c>
      <c r="J291" s="9"/>
      <c r="K291" s="7">
        <v>484.2</v>
      </c>
      <c r="L291" s="8">
        <f>IFERROR(K291/K444, "NA")</f>
        <v>4.6087103101951398E-3</v>
      </c>
      <c r="M291" s="9"/>
      <c r="N291" s="10">
        <f t="shared" si="73"/>
        <v>-2434.7400000000002</v>
      </c>
      <c r="O291" s="8">
        <f>IFERROR(N291/N444, "NA")</f>
        <v>-7.484338847128888E-2</v>
      </c>
      <c r="P291" s="9"/>
      <c r="Q291" s="7">
        <v>2918.94</v>
      </c>
      <c r="R291" s="8">
        <f>IFERROR(Q291/Q444, "NA")</f>
        <v>2.1214296709441596E-2</v>
      </c>
      <c r="S291" s="9"/>
      <c r="T291" s="7">
        <v>1256.54</v>
      </c>
      <c r="U291" s="8">
        <f>IFERROR(T291/T444, "NA")</f>
        <v>1.2999992344060409E-2</v>
      </c>
      <c r="V291" s="9"/>
      <c r="W291" s="10">
        <f t="shared" si="74"/>
        <v>-1662.4</v>
      </c>
      <c r="X291" s="8">
        <f>IFERROR(W291/W444, "NA")</f>
        <v>-4.060965290276939E-2</v>
      </c>
      <c r="Y291" s="9"/>
      <c r="Z291" s="7">
        <v>484.2</v>
      </c>
      <c r="AA291" s="8">
        <f>IFERROR(Z291/Z444, "NA")</f>
        <v>4.6087103101951398E-3</v>
      </c>
      <c r="AB291" s="9"/>
      <c r="AC291" s="10">
        <f t="shared" si="75"/>
        <v>-2434.7400000000002</v>
      </c>
      <c r="AD291" s="8">
        <f>IFERROR(AC291/AC444, "NA")</f>
        <v>-7.484338847128888E-2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2.361965058412103E-3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-7.938962401871405E-3</v>
      </c>
      <c r="J294" s="9"/>
      <c r="K294" s="7">
        <v>244</v>
      </c>
      <c r="L294" s="8">
        <f>IFERROR(K294/K444, "NA")</f>
        <v>2.3224397267402191E-3</v>
      </c>
      <c r="M294" s="9"/>
      <c r="N294" s="10">
        <f t="shared" si="73"/>
        <v>-80.990000000000009</v>
      </c>
      <c r="O294" s="8">
        <f>IFERROR(N294/N444, "NA")</f>
        <v>-2.4896153315301373E-3</v>
      </c>
      <c r="P294" s="9"/>
      <c r="Q294" s="7">
        <v>324.99</v>
      </c>
      <c r="R294" s="8">
        <f>IFERROR(Q294/Q444, "NA")</f>
        <v>2.361965058412103E-3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-324.99</v>
      </c>
      <c r="X294" s="8">
        <f>IFERROR(W294/W444, "NA")</f>
        <v>-7.938962401871405E-3</v>
      </c>
      <c r="Y294" s="9"/>
      <c r="Z294" s="7">
        <v>244</v>
      </c>
      <c r="AA294" s="8">
        <f>IFERROR(Z294/Z444, "NA")</f>
        <v>2.3224397267402191E-3</v>
      </c>
      <c r="AB294" s="9"/>
      <c r="AC294" s="10">
        <f t="shared" si="75"/>
        <v>-80.990000000000009</v>
      </c>
      <c r="AD294" s="8">
        <f>IFERROR(AC294/AC444, "NA")</f>
        <v>-2.4896153315301373E-3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4872.03</v>
      </c>
      <c r="C295" s="15">
        <f>IFERROR(B295/B444, "NA")</f>
        <v>3.5408980656437175E-2</v>
      </c>
      <c r="D295" s="2"/>
      <c r="E295" s="14">
        <f>IFERROR(E286+E287+E288+E289+E290+E291+E292+E293+E294, "NA")</f>
        <v>1621.54</v>
      </c>
      <c r="F295" s="15">
        <f>IFERROR(E295/E444, "NA")</f>
        <v>1.6776232818364489E-2</v>
      </c>
      <c r="G295" s="2"/>
      <c r="H295" s="14">
        <f t="shared" si="72"/>
        <v>-3250.49</v>
      </c>
      <c r="I295" s="15">
        <f>IFERROR(H295/H444, "NA")</f>
        <v>-7.9404036732388633E-2</v>
      </c>
      <c r="J295" s="2"/>
      <c r="K295" s="14">
        <f>IFERROR(K286+K287+K288+K289+K290+K291+K292+K293+K294, "NA")</f>
        <v>1119.98</v>
      </c>
      <c r="L295" s="15">
        <f>IFERROR(K295/K444, "NA")</f>
        <v>1.0660188709649633E-2</v>
      </c>
      <c r="M295" s="2"/>
      <c r="N295" s="14">
        <f t="shared" si="73"/>
        <v>-3752.0499999999997</v>
      </c>
      <c r="O295" s="15">
        <f>IFERROR(N295/N444, "NA")</f>
        <v>-0.11533721699799543</v>
      </c>
      <c r="P295" s="2"/>
      <c r="Q295" s="14">
        <f>IFERROR(Q286+Q287+Q288+Q289+Q290+Q291+Q292+Q293+Q294, "NA")</f>
        <v>4872.03</v>
      </c>
      <c r="R295" s="15">
        <f>IFERROR(Q295/Q444, "NA")</f>
        <v>3.5408980656437175E-2</v>
      </c>
      <c r="S295" s="2"/>
      <c r="T295" s="14">
        <f>IFERROR(T286+T287+T288+T289+T290+T291+T292+T293+T294, "NA")</f>
        <v>1621.54</v>
      </c>
      <c r="U295" s="15">
        <f>IFERROR(T295/T444, "NA")</f>
        <v>1.6776232818364489E-2</v>
      </c>
      <c r="V295" s="2"/>
      <c r="W295" s="14">
        <f t="shared" si="74"/>
        <v>-3250.49</v>
      </c>
      <c r="X295" s="15">
        <f>IFERROR(W295/W444, "NA")</f>
        <v>-7.9404036732388633E-2</v>
      </c>
      <c r="Y295" s="2"/>
      <c r="Z295" s="14">
        <f>IFERROR(Z286+Z287+Z288+Z289+Z290+Z291+Z292+Z293+Z294, "NA")</f>
        <v>1119.98</v>
      </c>
      <c r="AA295" s="15">
        <f>IFERROR(Z295/Z444, "NA")</f>
        <v>1.0660188709649633E-2</v>
      </c>
      <c r="AB295" s="2"/>
      <c r="AC295" s="14">
        <f t="shared" si="75"/>
        <v>-3752.0499999999997</v>
      </c>
      <c r="AD295" s="15">
        <f>IFERROR(AC295/AC444, "NA")</f>
        <v>-0.11533721699799543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1256.54</v>
      </c>
      <c r="F297" s="8">
        <f>IFERROR(E297/E444, "NA")</f>
        <v>1.2999992344060409E-2</v>
      </c>
      <c r="G297" s="9"/>
      <c r="H297" s="10">
        <f t="shared" ref="H297:H325" si="76">IFERROR(-(B297-E297), "NA")</f>
        <v>1256.54</v>
      </c>
      <c r="I297" s="8">
        <f>IFERROR(H297/H444, "NA")</f>
        <v>3.0695171594349042E-2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1256.54</v>
      </c>
      <c r="U297" s="8">
        <f>IFERROR(T297/T444, "NA")</f>
        <v>1.2999992344060409E-2</v>
      </c>
      <c r="V297" s="9"/>
      <c r="W297" s="10">
        <f t="shared" ref="W297:W325" si="78">IFERROR(-(Q297-T297), "NA")</f>
        <v>1256.54</v>
      </c>
      <c r="X297" s="8">
        <f>IFERROR(W297/W444, "NA")</f>
        <v>3.0695171594349042E-2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907.11</v>
      </c>
      <c r="C299" s="8">
        <f>IFERROR(B299/B444, "NA")</f>
        <v>6.592701695855881E-3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-907.11</v>
      </c>
      <c r="I299" s="8">
        <f>IFERROR(H299/H444, "NA")</f>
        <v>-2.2159180849754056E-2</v>
      </c>
      <c r="J299" s="9"/>
      <c r="K299" s="7">
        <v>205.67</v>
      </c>
      <c r="L299" s="8">
        <f>IFERROR(K299/K444, "NA")</f>
        <v>1.957607289338774E-3</v>
      </c>
      <c r="M299" s="9"/>
      <c r="N299" s="10">
        <f t="shared" si="77"/>
        <v>-701.44</v>
      </c>
      <c r="O299" s="8">
        <f>IFERROR(N299/N444, "NA")</f>
        <v>-2.1562116040850714E-2</v>
      </c>
      <c r="P299" s="9"/>
      <c r="Q299" s="7">
        <v>907.11</v>
      </c>
      <c r="R299" s="8">
        <f>IFERROR(Q299/Q444, "NA")</f>
        <v>6.592701695855881E-3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-907.11</v>
      </c>
      <c r="X299" s="8">
        <f>IFERROR(W299/W444, "NA")</f>
        <v>-2.2159180849754056E-2</v>
      </c>
      <c r="Y299" s="9"/>
      <c r="Z299" s="7">
        <v>205.67</v>
      </c>
      <c r="AA299" s="8">
        <f>IFERROR(Z299/Z444, "NA")</f>
        <v>1.957607289338774E-3</v>
      </c>
      <c r="AB299" s="9"/>
      <c r="AC299" s="10">
        <f t="shared" si="79"/>
        <v>-701.44</v>
      </c>
      <c r="AD299" s="8">
        <f>IFERROR(AC299/AC444, "NA")</f>
        <v>-2.1562116040850714E-2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18.18</v>
      </c>
      <c r="L310" s="8">
        <f>IFERROR(K310/K444, "NA")</f>
        <v>1.7304079603334911E-4</v>
      </c>
      <c r="M310" s="9"/>
      <c r="N310" s="10">
        <f t="shared" si="77"/>
        <v>18.18</v>
      </c>
      <c r="O310" s="8">
        <f>IFERROR(N310/N444, "NA")</f>
        <v>5.5884932370932078E-4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18.18</v>
      </c>
      <c r="AA310" s="8">
        <f>IFERROR(Z310/Z444, "NA")</f>
        <v>1.7304079603334911E-4</v>
      </c>
      <c r="AB310" s="9"/>
      <c r="AC310" s="10">
        <f t="shared" si="79"/>
        <v>18.18</v>
      </c>
      <c r="AD310" s="8">
        <f>IFERROR(AC310/AC444, "NA")</f>
        <v>5.5884932370932078E-4</v>
      </c>
    </row>
    <row r="311" spans="1:30" ht="16.5" hidden="1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0</v>
      </c>
      <c r="AD311" s="8">
        <f>IFERROR(AC311/AC444, "NA")</f>
        <v>0</v>
      </c>
    </row>
    <row r="312" spans="1:30" ht="16.5" customHeight="1" x14ac:dyDescent="0.45">
      <c r="A312" s="6" t="s">
        <v>284</v>
      </c>
      <c r="B312" s="7">
        <v>171.31</v>
      </c>
      <c r="C312" s="8">
        <f>IFERROR(B312/B444, "NA")</f>
        <v>1.2450482604282513E-3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-171.31</v>
      </c>
      <c r="I312" s="8">
        <f>IFERROR(H312/H444, "NA")</f>
        <v>-4.1848169145653419E-3</v>
      </c>
      <c r="J312" s="9"/>
      <c r="K312" s="7">
        <v>228.17</v>
      </c>
      <c r="L312" s="8">
        <f>IFERROR(K312/K444, "NA")</f>
        <v>2.1717666903701464E-3</v>
      </c>
      <c r="M312" s="9"/>
      <c r="N312" s="10">
        <f t="shared" si="77"/>
        <v>56.859999999999985</v>
      </c>
      <c r="O312" s="8">
        <f>IFERROR(N312/N444, "NA")</f>
        <v>1.747864276463805E-3</v>
      </c>
      <c r="P312" s="9"/>
      <c r="Q312" s="7">
        <v>171.31</v>
      </c>
      <c r="R312" s="8">
        <f>IFERROR(Q312/Q444, "NA")</f>
        <v>1.2450482604282513E-3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-171.31</v>
      </c>
      <c r="X312" s="8">
        <f>IFERROR(W312/W444, "NA")</f>
        <v>-4.1848169145653419E-3</v>
      </c>
      <c r="Y312" s="9"/>
      <c r="Z312" s="7">
        <v>228.17</v>
      </c>
      <c r="AA312" s="8">
        <f>IFERROR(Z312/Z444, "NA")</f>
        <v>2.1717666903701464E-3</v>
      </c>
      <c r="AB312" s="9"/>
      <c r="AC312" s="10">
        <f t="shared" si="79"/>
        <v>56.859999999999985</v>
      </c>
      <c r="AD312" s="8">
        <f>IFERROR(AC312/AC444, "NA")</f>
        <v>1.747864276463805E-3</v>
      </c>
    </row>
    <row r="313" spans="1:30" ht="16.5" customHeight="1" x14ac:dyDescent="0.45">
      <c r="A313" s="6" t="s">
        <v>285</v>
      </c>
      <c r="B313" s="7">
        <v>248</v>
      </c>
      <c r="C313" s="8">
        <f>IFERROR(B313/B444, "NA")</f>
        <v>1.8024164881571788E-3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-248</v>
      </c>
      <c r="I313" s="8">
        <f>IFERROR(H313/H444, "NA")</f>
        <v>-6.0582254089790715E-3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-248</v>
      </c>
      <c r="O313" s="8">
        <f>IFERROR(N313/N444, "NA")</f>
        <v>-7.6234671221073469E-3</v>
      </c>
      <c r="P313" s="9"/>
      <c r="Q313" s="7">
        <v>248</v>
      </c>
      <c r="R313" s="8">
        <f>IFERROR(Q313/Q444, "NA")</f>
        <v>1.8024164881571788E-3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-248</v>
      </c>
      <c r="X313" s="8">
        <f>IFERROR(W313/W444, "NA")</f>
        <v>-6.0582254089790715E-3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-248</v>
      </c>
      <c r="AD313" s="8">
        <f>IFERROR(AC313/AC444, "NA")</f>
        <v>-7.6234671221073469E-3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7.1696839690211719E-3</v>
      </c>
      <c r="G318" s="9"/>
      <c r="H318" s="10">
        <f t="shared" si="76"/>
        <v>693</v>
      </c>
      <c r="I318" s="8">
        <f>IFERROR(H318/H444, "NA")</f>
        <v>1.6928831485574582E-2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693</v>
      </c>
      <c r="U318" s="8">
        <f>IFERROR(T318/T444, "NA")</f>
        <v>7.1696839690211719E-3</v>
      </c>
      <c r="V318" s="9"/>
      <c r="W318" s="10">
        <f t="shared" si="78"/>
        <v>693</v>
      </c>
      <c r="X318" s="8">
        <f>IFERROR(W318/W444, "NA")</f>
        <v>1.6928831485574582E-2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315.81</v>
      </c>
      <c r="C319" s="8">
        <f>IFERROR(B319/B444, "NA")</f>
        <v>2.2952465771166075E-3</v>
      </c>
      <c r="D319" s="9"/>
      <c r="E319" s="7">
        <v>294</v>
      </c>
      <c r="F319" s="8">
        <f>IFERROR(E319/E444, "NA")</f>
        <v>3.0416841080695882E-3</v>
      </c>
      <c r="G319" s="9"/>
      <c r="H319" s="10">
        <f t="shared" si="76"/>
        <v>-21.810000000000002</v>
      </c>
      <c r="I319" s="8">
        <f>IFERROR(H319/H444, "NA")</f>
        <v>-5.3278183939449019E-4</v>
      </c>
      <c r="J319" s="9"/>
      <c r="K319" s="7">
        <v>252.46</v>
      </c>
      <c r="L319" s="8">
        <f>IFERROR(K319/K444, "NA")</f>
        <v>2.4029636615280152E-3</v>
      </c>
      <c r="M319" s="9"/>
      <c r="N319" s="10">
        <f t="shared" si="77"/>
        <v>-63.349999999999994</v>
      </c>
      <c r="O319" s="8">
        <f>IFERROR(N319/N444, "NA")</f>
        <v>-1.9473654926834693E-3</v>
      </c>
      <c r="P319" s="9"/>
      <c r="Q319" s="7">
        <v>315.81</v>
      </c>
      <c r="R319" s="8">
        <f>IFERROR(Q319/Q444, "NA")</f>
        <v>2.2952465771166075E-3</v>
      </c>
      <c r="S319" s="9"/>
      <c r="T319" s="7">
        <v>294</v>
      </c>
      <c r="U319" s="8">
        <f>IFERROR(T319/T444, "NA")</f>
        <v>3.0416841080695882E-3</v>
      </c>
      <c r="V319" s="9"/>
      <c r="W319" s="10">
        <f t="shared" si="78"/>
        <v>-21.810000000000002</v>
      </c>
      <c r="X319" s="8">
        <f>IFERROR(W319/W444, "NA")</f>
        <v>-5.3278183939449019E-4</v>
      </c>
      <c r="Y319" s="9"/>
      <c r="Z319" s="7">
        <v>252.46</v>
      </c>
      <c r="AA319" s="8">
        <f>IFERROR(Z319/Z444, "NA")</f>
        <v>2.4029636615280152E-3</v>
      </c>
      <c r="AB319" s="9"/>
      <c r="AC319" s="10">
        <f t="shared" si="79"/>
        <v>-63.349999999999994</v>
      </c>
      <c r="AD319" s="8">
        <f>IFERROR(AC319/AC444, "NA")</f>
        <v>-1.9473654926834693E-3</v>
      </c>
    </row>
    <row r="320" spans="1:30" ht="16.5" customHeight="1" x14ac:dyDescent="0.45">
      <c r="A320" s="6" t="s">
        <v>292</v>
      </c>
      <c r="B320" s="7">
        <v>968.34</v>
      </c>
      <c r="C320" s="8">
        <f>IFERROR(B320/B444, "NA")</f>
        <v>7.0377096054117846E-3</v>
      </c>
      <c r="D320" s="9"/>
      <c r="E320" s="7">
        <v>833</v>
      </c>
      <c r="F320" s="8">
        <f>IFERROR(E320/E444, "NA")</f>
        <v>8.6181049728638326E-3</v>
      </c>
      <c r="G320" s="9"/>
      <c r="H320" s="10">
        <f t="shared" si="76"/>
        <v>-135.34000000000003</v>
      </c>
      <c r="I320" s="8">
        <f>IFERROR(H320/H444, "NA")</f>
        <v>-3.3061299469807569E-3</v>
      </c>
      <c r="J320" s="9"/>
      <c r="K320" s="7">
        <v>822.38</v>
      </c>
      <c r="L320" s="8">
        <f>IFERROR(K320/K444, "NA")</f>
        <v>7.827573698674678E-3</v>
      </c>
      <c r="M320" s="9"/>
      <c r="N320" s="10">
        <f t="shared" si="77"/>
        <v>-145.96000000000004</v>
      </c>
      <c r="O320" s="8">
        <f>IFERROR(N320/N444, "NA")</f>
        <v>-4.4867792788015667E-3</v>
      </c>
      <c r="P320" s="9"/>
      <c r="Q320" s="7">
        <v>968.34</v>
      </c>
      <c r="R320" s="8">
        <f>IFERROR(Q320/Q444, "NA")</f>
        <v>7.0377096054117846E-3</v>
      </c>
      <c r="S320" s="9"/>
      <c r="T320" s="7">
        <v>833</v>
      </c>
      <c r="U320" s="8">
        <f>IFERROR(T320/T444, "NA")</f>
        <v>8.6181049728638326E-3</v>
      </c>
      <c r="V320" s="9"/>
      <c r="W320" s="10">
        <f t="shared" si="78"/>
        <v>-135.34000000000003</v>
      </c>
      <c r="X320" s="8">
        <f>IFERROR(W320/W444, "NA")</f>
        <v>-3.3061299469807569E-3</v>
      </c>
      <c r="Y320" s="9"/>
      <c r="Z320" s="7">
        <v>822.38</v>
      </c>
      <c r="AA320" s="8">
        <f>IFERROR(Z320/Z444, "NA")</f>
        <v>7.827573698674678E-3</v>
      </c>
      <c r="AB320" s="9"/>
      <c r="AC320" s="10">
        <f t="shared" si="79"/>
        <v>-145.96000000000004</v>
      </c>
      <c r="AD320" s="8">
        <f>IFERROR(AC320/AC444, "NA")</f>
        <v>-4.4867792788015667E-3</v>
      </c>
    </row>
    <row r="321" spans="1:30" ht="16.5" customHeight="1" x14ac:dyDescent="0.45">
      <c r="A321" s="6" t="s">
        <v>293</v>
      </c>
      <c r="B321" s="7">
        <v>1992.47</v>
      </c>
      <c r="C321" s="8">
        <f>IFERROR(B321/B444, "NA")</f>
        <v>1.4480890242574734E-2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-1992.47</v>
      </c>
      <c r="I321" s="8">
        <f>IFERROR(H321/H444, "NA")</f>
        <v>-4.8672711212211818E-2</v>
      </c>
      <c r="J321" s="9"/>
      <c r="K321" s="7">
        <v>1849.24</v>
      </c>
      <c r="L321" s="8">
        <f>IFERROR(K321/K444, "NA")</f>
        <v>1.7601428033922471E-2</v>
      </c>
      <c r="M321" s="9"/>
      <c r="N321" s="10">
        <f t="shared" si="77"/>
        <v>-143.23000000000002</v>
      </c>
      <c r="O321" s="8">
        <f>IFERROR(N321/N444, "NA")</f>
        <v>-4.4028596608848202E-3</v>
      </c>
      <c r="P321" s="9"/>
      <c r="Q321" s="7">
        <v>1992.47</v>
      </c>
      <c r="R321" s="8">
        <f>IFERROR(Q321/Q444, "NA")</f>
        <v>1.4480890242574734E-2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-1992.47</v>
      </c>
      <c r="X321" s="8">
        <f>IFERROR(W321/W444, "NA")</f>
        <v>-4.8672711212211818E-2</v>
      </c>
      <c r="Y321" s="9"/>
      <c r="Z321" s="7">
        <v>1849.24</v>
      </c>
      <c r="AA321" s="8">
        <f>IFERROR(Z321/Z444, "NA")</f>
        <v>1.7601428033922471E-2</v>
      </c>
      <c r="AB321" s="9"/>
      <c r="AC321" s="10">
        <f t="shared" si="79"/>
        <v>-143.23000000000002</v>
      </c>
      <c r="AD321" s="8">
        <f>IFERROR(AC321/AC444, "NA")</f>
        <v>-4.4028596608848202E-3</v>
      </c>
    </row>
    <row r="322" spans="1:30" ht="16.5" customHeight="1" x14ac:dyDescent="0.45">
      <c r="A322" s="6" t="s">
        <v>294</v>
      </c>
      <c r="B322" s="7">
        <v>159.94999999999999</v>
      </c>
      <c r="C322" s="8">
        <f>IFERROR(B322/B444, "NA")</f>
        <v>1.1624859567771805E-3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-159.94999999999999</v>
      </c>
      <c r="I322" s="8">
        <f>IFERROR(H322/H444, "NA")</f>
        <v>-3.9073111055088804E-3</v>
      </c>
      <c r="J322" s="9"/>
      <c r="K322" s="7">
        <v>156.87</v>
      </c>
      <c r="L322" s="8">
        <f>IFERROR(K322/K444, "NA")</f>
        <v>1.4931193439907302E-3</v>
      </c>
      <c r="M322" s="9"/>
      <c r="N322" s="10">
        <f t="shared" si="77"/>
        <v>-3.0799999999999841</v>
      </c>
      <c r="O322" s="8">
        <f>IFERROR(N322/N444, "NA")</f>
        <v>-9.4678543290687521E-5</v>
      </c>
      <c r="P322" s="9"/>
      <c r="Q322" s="7">
        <v>159.94999999999999</v>
      </c>
      <c r="R322" s="8">
        <f>IFERROR(Q322/Q444, "NA")</f>
        <v>1.1624859567771805E-3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-159.94999999999999</v>
      </c>
      <c r="X322" s="8">
        <f>IFERROR(W322/W444, "NA")</f>
        <v>-3.9073111055088804E-3</v>
      </c>
      <c r="Y322" s="9"/>
      <c r="Z322" s="7">
        <v>156.87</v>
      </c>
      <c r="AA322" s="8">
        <f>IFERROR(Z322/Z444, "NA")</f>
        <v>1.4931193439907302E-3</v>
      </c>
      <c r="AB322" s="9"/>
      <c r="AC322" s="10">
        <f t="shared" si="79"/>
        <v>-3.0799999999999841</v>
      </c>
      <c r="AD322" s="8">
        <f>IFERROR(AC322/AC444, "NA")</f>
        <v>-9.4678543290687521E-5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4762.99</v>
      </c>
      <c r="C324" s="15">
        <f>IFERROR(B324/B444, "NA")</f>
        <v>3.4616498826321618E-2</v>
      </c>
      <c r="D324" s="2"/>
      <c r="E324" s="14">
        <f>IFERROR(E297+E298+E299+E300+E301+E302+E303+E304+E305+E306+E307+E308+E309+E310+E311+E312+E313+E314+E315+E316+E317+E318+E319+E320+E321+E322+E323, "NA")</f>
        <v>3076.54</v>
      </c>
      <c r="F324" s="15">
        <f>IFERROR(E324/E444, "NA")</f>
        <v>3.1829465394015002E-2</v>
      </c>
      <c r="G324" s="2"/>
      <c r="H324" s="14">
        <f t="shared" si="76"/>
        <v>-1686.4499999999998</v>
      </c>
      <c r="I324" s="15">
        <f>IFERROR(H324/H444, "NA")</f>
        <v>-4.1197154197470782E-2</v>
      </c>
      <c r="J324" s="2"/>
      <c r="K324" s="14">
        <f>IFERROR(K297+K298+K299+K300+K301+K302+K303+K304+K305+K306+K307+K308+K309+K310+K311+K312+K313+K314+K315+K316+K317+K318+K319+K320+K321+K322+K323, "NA")</f>
        <v>3532.9700000000003</v>
      </c>
      <c r="L324" s="15">
        <f>IFERROR(K324/K444, "NA")</f>
        <v>3.3627499513858163E-2</v>
      </c>
      <c r="M324" s="2"/>
      <c r="N324" s="14">
        <f t="shared" si="77"/>
        <v>-1230.0199999999995</v>
      </c>
      <c r="O324" s="15">
        <f>IFERROR(N324/N444, "NA")</f>
        <v>-3.7810552538445466E-2</v>
      </c>
      <c r="P324" s="2"/>
      <c r="Q324" s="14">
        <f>IFERROR(Q297+Q298+Q299+Q300+Q301+Q302+Q303+Q304+Q305+Q306+Q307+Q308+Q309+Q310+Q311+Q312+Q313+Q314+Q315+Q316+Q317+Q318+Q319+Q320+Q321+Q322+Q323, "NA")</f>
        <v>4762.99</v>
      </c>
      <c r="R324" s="15">
        <f>IFERROR(Q324/Q444, "NA")</f>
        <v>3.4616498826321618E-2</v>
      </c>
      <c r="S324" s="2"/>
      <c r="T324" s="14">
        <f>IFERROR(T297+T298+T299+T300+T301+T302+T303+T304+T305+T306+T307+T308+T309+T310+T311+T312+T313+T314+T315+T316+T317+T318+T319+T320+T321+T322+T323, "NA")</f>
        <v>3076.54</v>
      </c>
      <c r="U324" s="15">
        <f>IFERROR(T324/T444, "NA")</f>
        <v>3.1829465394015002E-2</v>
      </c>
      <c r="V324" s="2"/>
      <c r="W324" s="14">
        <f t="shared" si="78"/>
        <v>-1686.4499999999998</v>
      </c>
      <c r="X324" s="15">
        <f>IFERROR(W324/W444, "NA")</f>
        <v>-4.1197154197470782E-2</v>
      </c>
      <c r="Y324" s="2"/>
      <c r="Z324" s="14">
        <f>IFERROR(Z297+Z298+Z299+Z300+Z301+Z302+Z303+Z304+Z305+Z306+Z307+Z308+Z309+Z310+Z311+Z312+Z313+Z314+Z315+Z316+Z317+Z318+Z319+Z320+Z321+Z322+Z323, "NA")</f>
        <v>3532.9700000000003</v>
      </c>
      <c r="AA324" s="15">
        <f>IFERROR(Z324/Z444, "NA")</f>
        <v>3.3627499513858163E-2</v>
      </c>
      <c r="AB324" s="2"/>
      <c r="AC324" s="14">
        <f t="shared" si="79"/>
        <v>-1230.0199999999995</v>
      </c>
      <c r="AD324" s="15">
        <f>IFERROR(AC324/AC444, "NA")</f>
        <v>-3.7810552538445466E-2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40356.749999999993</v>
      </c>
      <c r="C325" s="15">
        <f>IFERROR(B325/B444, "NA")</f>
        <v>0.29330512745337589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26983.870000000006</v>
      </c>
      <c r="F325" s="15">
        <f>IFERROR(E325/E444, "NA")</f>
        <v>0.27917145766399909</v>
      </c>
      <c r="G325" s="2"/>
      <c r="H325" s="14">
        <f t="shared" si="76"/>
        <v>-13372.879999999986</v>
      </c>
      <c r="I325" s="15">
        <f>IFERROR(H325/H444, "NA")</f>
        <v>-0.32667710244849985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25018.959999999999</v>
      </c>
      <c r="L325" s="15">
        <f>IFERROR(K325/K444, "NA")</f>
        <v>0.23813535502346092</v>
      </c>
      <c r="M325" s="2"/>
      <c r="N325" s="14">
        <f t="shared" si="77"/>
        <v>-15337.789999999994</v>
      </c>
      <c r="O325" s="15">
        <f>IFERROR(N325/N444, "NA")</f>
        <v>-0.47148039431768868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40356.749999999993</v>
      </c>
      <c r="R325" s="15">
        <f>IFERROR(Q325/Q444, "NA")</f>
        <v>0.29330512745337589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26983.870000000006</v>
      </c>
      <c r="U325" s="15">
        <f>IFERROR(T325/T444, "NA")</f>
        <v>0.27917145766399909</v>
      </c>
      <c r="V325" s="2"/>
      <c r="W325" s="14">
        <f t="shared" si="78"/>
        <v>-13372.879999999986</v>
      </c>
      <c r="X325" s="15">
        <f>IFERROR(W325/W444, "NA")</f>
        <v>-0.32667710244849985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25018.959999999999</v>
      </c>
      <c r="AA325" s="15">
        <f>IFERROR(Z325/Z444, "NA")</f>
        <v>0.23813535502346092</v>
      </c>
      <c r="AB325" s="2"/>
      <c r="AC325" s="14">
        <f t="shared" si="79"/>
        <v>-15337.789999999994</v>
      </c>
      <c r="AD325" s="15">
        <f>IFERROR(AC325/AC444, "NA")</f>
        <v>-0.47148039431768868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7.3669413268372688E-2</v>
      </c>
      <c r="D329" s="9"/>
      <c r="E329" s="7">
        <v>9355</v>
      </c>
      <c r="F329" s="8">
        <f>IFERROR(E329/E444, "NA")</f>
        <v>9.6785560649629246E-2</v>
      </c>
      <c r="G329" s="9"/>
      <c r="H329" s="10">
        <f t="shared" si="80"/>
        <v>-781.39999999999964</v>
      </c>
      <c r="I329" s="8">
        <f>IFERROR(H329/H444, "NA")</f>
        <v>-1.908829570393647E-2</v>
      </c>
      <c r="J329" s="9"/>
      <c r="K329" s="7">
        <v>9841.17</v>
      </c>
      <c r="L329" s="8">
        <f>IFERROR(K329/K444, "NA")</f>
        <v>9.3670181006573941E-2</v>
      </c>
      <c r="M329" s="9"/>
      <c r="N329" s="10">
        <f t="shared" si="81"/>
        <v>-295.22999999999956</v>
      </c>
      <c r="O329" s="8">
        <f>IFERROR(N329/N444, "NA")</f>
        <v>-9.0753072518538255E-3</v>
      </c>
      <c r="P329" s="9"/>
      <c r="Q329" s="7">
        <v>10136.4</v>
      </c>
      <c r="R329" s="8">
        <f>IFERROR(Q329/Q444, "NA")</f>
        <v>7.3669413268372688E-2</v>
      </c>
      <c r="S329" s="9"/>
      <c r="T329" s="7">
        <v>9355</v>
      </c>
      <c r="U329" s="8">
        <f>IFERROR(T329/T444, "NA")</f>
        <v>9.6785560649629246E-2</v>
      </c>
      <c r="V329" s="9"/>
      <c r="W329" s="10">
        <f t="shared" si="82"/>
        <v>-781.39999999999964</v>
      </c>
      <c r="X329" s="8">
        <f>IFERROR(W329/W444, "NA")</f>
        <v>-1.908829570393647E-2</v>
      </c>
      <c r="Y329" s="9"/>
      <c r="Z329" s="7">
        <v>9841.17</v>
      </c>
      <c r="AA329" s="8">
        <f>IFERROR(Z329/Z444, "NA")</f>
        <v>9.3670181006573941E-2</v>
      </c>
      <c r="AB329" s="9"/>
      <c r="AC329" s="10">
        <f t="shared" si="83"/>
        <v>-295.22999999999956</v>
      </c>
      <c r="AD329" s="8">
        <f>IFERROR(AC329/AC444, "NA")</f>
        <v>-9.0753072518538255E-3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5.2956886052247113E-3</v>
      </c>
      <c r="D330" s="9"/>
      <c r="E330" s="7">
        <v>728</v>
      </c>
      <c r="F330" s="8">
        <f>IFERROR(E330/E444, "NA")</f>
        <v>7.5317892199818371E-3</v>
      </c>
      <c r="G330" s="9"/>
      <c r="H330" s="10">
        <f t="shared" si="80"/>
        <v>-0.64999999999997726</v>
      </c>
      <c r="I330" s="8">
        <f>IFERROR(H330/H444, "NA")</f>
        <v>-1.5878413370307496E-5</v>
      </c>
      <c r="J330" s="9"/>
      <c r="K330" s="7">
        <v>728.65</v>
      </c>
      <c r="L330" s="8">
        <f>IFERROR(K330/K444, "NA")</f>
        <v>6.9354332249559857E-3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728.65</v>
      </c>
      <c r="R330" s="8">
        <f>IFERROR(Q330/Q444, "NA")</f>
        <v>5.2956886052247113E-3</v>
      </c>
      <c r="S330" s="9"/>
      <c r="T330" s="7">
        <v>728</v>
      </c>
      <c r="U330" s="8">
        <f>IFERROR(T330/T444, "NA")</f>
        <v>7.5317892199818371E-3</v>
      </c>
      <c r="V330" s="9"/>
      <c r="W330" s="10">
        <f t="shared" si="82"/>
        <v>-0.64999999999997726</v>
      </c>
      <c r="X330" s="8">
        <f>IFERROR(W330/W444, "NA")</f>
        <v>-1.5878413370307496E-5</v>
      </c>
      <c r="Y330" s="9"/>
      <c r="Z330" s="7">
        <v>728.65</v>
      </c>
      <c r="AA330" s="8">
        <f>IFERROR(Z330/Z444, "NA")</f>
        <v>6.9354332249559857E-3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1.1017997564702755E-4</v>
      </c>
      <c r="D332" s="9"/>
      <c r="E332" s="7">
        <v>15</v>
      </c>
      <c r="F332" s="8">
        <f>IFERROR(E332/E444, "NA")</f>
        <v>1.5518796469742797E-4</v>
      </c>
      <c r="G332" s="9"/>
      <c r="H332" s="10">
        <f t="shared" si="80"/>
        <v>-0.16000000000000014</v>
      </c>
      <c r="I332" s="8">
        <f>IFERROR(H332/H444, "NA")</f>
        <v>-3.9085325219219848E-6</v>
      </c>
      <c r="J332" s="9"/>
      <c r="K332" s="7">
        <v>15.16</v>
      </c>
      <c r="L332" s="8">
        <f>IFERROR(K332/K444, "NA")</f>
        <v>1.4429584531713819E-4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15.16</v>
      </c>
      <c r="R332" s="8">
        <f>IFERROR(Q332/Q444, "NA")</f>
        <v>1.1017997564702755E-4</v>
      </c>
      <c r="S332" s="9"/>
      <c r="T332" s="7">
        <v>15</v>
      </c>
      <c r="U332" s="8">
        <f>IFERROR(T332/T444, "NA")</f>
        <v>1.5518796469742797E-4</v>
      </c>
      <c r="V332" s="9"/>
      <c r="W332" s="10">
        <f t="shared" si="82"/>
        <v>-0.16000000000000014</v>
      </c>
      <c r="X332" s="8">
        <f>IFERROR(W332/W444, "NA")</f>
        <v>-3.9085325219219848E-6</v>
      </c>
      <c r="Y332" s="9"/>
      <c r="Z332" s="7">
        <v>15.16</v>
      </c>
      <c r="AA332" s="8">
        <f>IFERROR(Z332/Z444, "NA")</f>
        <v>1.4429584531713819E-4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7.0071848100478323E-3</v>
      </c>
      <c r="D333" s="9"/>
      <c r="E333" s="7">
        <v>728</v>
      </c>
      <c r="F333" s="8">
        <f>IFERROR(E333/E444, "NA")</f>
        <v>7.5317892199818371E-3</v>
      </c>
      <c r="G333" s="9"/>
      <c r="H333" s="10">
        <f t="shared" si="80"/>
        <v>-236.14</v>
      </c>
      <c r="I333" s="8">
        <f>IFERROR(H333/H444, "NA")</f>
        <v>-5.7685054357916044E-3</v>
      </c>
      <c r="J333" s="9"/>
      <c r="K333" s="7">
        <v>964.14</v>
      </c>
      <c r="L333" s="8">
        <f>IFERROR(K333/K444, "NA")</f>
        <v>9.1768731071283395E-3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964.14</v>
      </c>
      <c r="R333" s="8">
        <f>IFERROR(Q333/Q444, "NA")</f>
        <v>7.0071848100478323E-3</v>
      </c>
      <c r="S333" s="9"/>
      <c r="T333" s="7">
        <v>728</v>
      </c>
      <c r="U333" s="8">
        <f>IFERROR(T333/T444, "NA")</f>
        <v>7.5317892199818371E-3</v>
      </c>
      <c r="V333" s="9"/>
      <c r="W333" s="10">
        <f t="shared" si="82"/>
        <v>-236.14</v>
      </c>
      <c r="X333" s="8">
        <f>IFERROR(W333/W444, "NA")</f>
        <v>-5.7685054357916044E-3</v>
      </c>
      <c r="Y333" s="9"/>
      <c r="Z333" s="7">
        <v>964.14</v>
      </c>
      <c r="AA333" s="8">
        <f>IFERROR(Z333/Z444, "NA")</f>
        <v>9.1768731071283395E-3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-5.6725244718011216E-3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1.9066310208500668E-2</v>
      </c>
      <c r="J334" s="9"/>
      <c r="K334" s="7">
        <v>-757.77</v>
      </c>
      <c r="L334" s="8">
        <f>IFERROR(K334/K444, "NA")</f>
        <v>-7.2126030808685893E-3</v>
      </c>
      <c r="M334" s="9"/>
      <c r="N334" s="10">
        <f t="shared" si="81"/>
        <v>22.730000000000018</v>
      </c>
      <c r="O334" s="8">
        <f>IFERROR(N334/N444, "NA")</f>
        <v>6.98715353570565E-4</v>
      </c>
      <c r="P334" s="9"/>
      <c r="Q334" s="7">
        <v>-780.5</v>
      </c>
      <c r="R334" s="8">
        <f>IFERROR(Q334/Q444, "NA")</f>
        <v>-5.6725244718011216E-3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780.5</v>
      </c>
      <c r="X334" s="8">
        <f>IFERROR(W334/W444, "NA")</f>
        <v>1.9066310208500668E-2</v>
      </c>
      <c r="Y334" s="9"/>
      <c r="Z334" s="7">
        <v>-757.77</v>
      </c>
      <c r="AA334" s="8">
        <f>IFERROR(Z334/Z444, "NA")</f>
        <v>-7.2126030808685893E-3</v>
      </c>
      <c r="AB334" s="9"/>
      <c r="AC334" s="10">
        <f t="shared" si="83"/>
        <v>22.730000000000018</v>
      </c>
      <c r="AD334" s="8">
        <f>IFERROR(AC334/AC444, "NA")</f>
        <v>6.98715353570565E-4</v>
      </c>
    </row>
    <row r="335" spans="1:30" ht="16.5" customHeight="1" x14ac:dyDescent="0.45">
      <c r="A335" s="6" t="s">
        <v>306</v>
      </c>
      <c r="B335" s="7">
        <v>1654.81</v>
      </c>
      <c r="C335" s="8">
        <f>IFERROR(B335/B444, "NA")</f>
        <v>1.2026842051481376E-2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-1654.81</v>
      </c>
      <c r="I335" s="8">
        <f>IFERROR(H335/H444, "NA")</f>
        <v>-4.0424241891260711E-2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-1654.81</v>
      </c>
      <c r="O335" s="8">
        <f>IFERROR(N335/N444, "NA")</f>
        <v>-5.0868506565864752E-2</v>
      </c>
      <c r="P335" s="9"/>
      <c r="Q335" s="7">
        <v>1654.81</v>
      </c>
      <c r="R335" s="8">
        <f>IFERROR(Q335/Q444, "NA")</f>
        <v>1.2026842051481376E-2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-1654.81</v>
      </c>
      <c r="X335" s="8">
        <f>IFERROR(W335/W444, "NA")</f>
        <v>-4.0424241891260711E-2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-1654.81</v>
      </c>
      <c r="AD335" s="8">
        <f>IFERROR(AC335/AC444, "NA")</f>
        <v>-5.0868506565864752E-2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4087.91</v>
      </c>
      <c r="F337" s="8">
        <f>IFERROR(E337/E444, "NA")</f>
        <v>4.2292962184417512E-2</v>
      </c>
      <c r="G337" s="9"/>
      <c r="H337" s="10">
        <f t="shared" ref="H337:H344" si="84">IFERROR(-(B337-E337), "NA")</f>
        <v>4087.91</v>
      </c>
      <c r="I337" s="8">
        <f>IFERROR(H337/H444, "NA")</f>
        <v>9.986080738556305E-2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4087.91</v>
      </c>
      <c r="U337" s="8">
        <f>IFERROR(T337/T444, "NA")</f>
        <v>4.2292962184417512E-2</v>
      </c>
      <c r="V337" s="9"/>
      <c r="W337" s="10">
        <f t="shared" ref="W337:W344" si="86">IFERROR(-(Q337-T337), "NA")</f>
        <v>4087.91</v>
      </c>
      <c r="X337" s="8">
        <f>IFERROR(W337/W444, "NA")</f>
        <v>9.986080738556305E-2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4773.37</v>
      </c>
      <c r="C338" s="8">
        <f>IFERROR(B338/B444, "NA")</f>
        <v>3.46919386777211E-2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-4773.37</v>
      </c>
      <c r="I338" s="8">
        <f>IFERROR(H338/H444, "NA")</f>
        <v>-0.11660544927604205</v>
      </c>
      <c r="J338" s="9"/>
      <c r="K338" s="7">
        <v>2618.61</v>
      </c>
      <c r="L338" s="8">
        <f>IFERROR(K338/K444, "NA")</f>
        <v>2.4924442183767236E-2</v>
      </c>
      <c r="M338" s="9"/>
      <c r="N338" s="10">
        <f t="shared" si="85"/>
        <v>-2154.7599999999998</v>
      </c>
      <c r="O338" s="8">
        <f>IFERROR(N338/N444, "NA")</f>
        <v>-6.6236862967871069E-2</v>
      </c>
      <c r="P338" s="9"/>
      <c r="Q338" s="7">
        <v>4773.37</v>
      </c>
      <c r="R338" s="8">
        <f>IFERROR(Q338/Q444, "NA")</f>
        <v>3.46919386777211E-2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-4773.37</v>
      </c>
      <c r="X338" s="8">
        <f>IFERROR(W338/W444, "NA")</f>
        <v>-0.11660544927604205</v>
      </c>
      <c r="Y338" s="9"/>
      <c r="Z338" s="7">
        <v>2618.61</v>
      </c>
      <c r="AA338" s="8">
        <f>IFERROR(Z338/Z444, "NA")</f>
        <v>2.4924442183767236E-2</v>
      </c>
      <c r="AB338" s="9"/>
      <c r="AC338" s="10">
        <f t="shared" si="87"/>
        <v>-2154.7599999999998</v>
      </c>
      <c r="AD338" s="8">
        <f>IFERROR(AC338/AC444, "NA")</f>
        <v>-6.6236862967871069E-2</v>
      </c>
    </row>
    <row r="339" spans="1:30" ht="16.5" customHeight="1" x14ac:dyDescent="0.45">
      <c r="A339" s="12" t="s">
        <v>309</v>
      </c>
      <c r="B339" s="7">
        <v>301.04000000000002</v>
      </c>
      <c r="C339" s="8">
        <f>IFERROR(B339/B444, "NA")</f>
        <v>2.1879010467533758E-3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-301.04000000000002</v>
      </c>
      <c r="I339" s="8">
        <f>IFERROR(H339/H444, "NA")</f>
        <v>-7.3539039399962087E-3</v>
      </c>
      <c r="J339" s="9"/>
      <c r="K339" s="7">
        <v>471.1</v>
      </c>
      <c r="L339" s="8">
        <f>IFERROR(K339/K444, "NA")</f>
        <v>4.484021947816874E-3</v>
      </c>
      <c r="M339" s="9"/>
      <c r="N339" s="10">
        <f t="shared" si="85"/>
        <v>170.06</v>
      </c>
      <c r="O339" s="8">
        <f>IFERROR(N339/N444, "NA")</f>
        <v>5.2276081402644172E-3</v>
      </c>
      <c r="P339" s="9"/>
      <c r="Q339" s="7">
        <v>301.04000000000002</v>
      </c>
      <c r="R339" s="8">
        <f>IFERROR(Q339/Q444, "NA")</f>
        <v>2.1879010467533758E-3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-301.04000000000002</v>
      </c>
      <c r="X339" s="8">
        <f>IFERROR(W339/W444, "NA")</f>
        <v>-7.3539039399962087E-3</v>
      </c>
      <c r="Y339" s="9"/>
      <c r="Z339" s="7">
        <v>471.1</v>
      </c>
      <c r="AA339" s="8">
        <f>IFERROR(Z339/Z444, "NA")</f>
        <v>4.484021947816874E-3</v>
      </c>
      <c r="AB339" s="9"/>
      <c r="AC339" s="10">
        <f t="shared" si="87"/>
        <v>170.06</v>
      </c>
      <c r="AD339" s="8">
        <f>IFERROR(AC339/AC444, "NA")</f>
        <v>5.2276081402644172E-3</v>
      </c>
    </row>
    <row r="340" spans="1:30" ht="16.5" customHeight="1" x14ac:dyDescent="0.45">
      <c r="A340" s="12" t="s">
        <v>310</v>
      </c>
      <c r="B340" s="7">
        <v>561.39</v>
      </c>
      <c r="C340" s="8">
        <f>IFERROR(B340/B444, "NA")</f>
        <v>4.0800749688974141E-3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-561.39</v>
      </c>
      <c r="I340" s="8">
        <f>IFERROR(H340/H444, "NA")</f>
        <v>-1.3713819203011133E-2</v>
      </c>
      <c r="J340" s="9"/>
      <c r="K340" s="7">
        <v>360.47</v>
      </c>
      <c r="L340" s="8">
        <f>IFERROR(K340/K444, "NA")</f>
        <v>3.4310239684346181E-3</v>
      </c>
      <c r="M340" s="9"/>
      <c r="N340" s="10">
        <f t="shared" si="85"/>
        <v>-200.91999999999996</v>
      </c>
      <c r="O340" s="8">
        <f>IFERROR(N340/N444, "NA")</f>
        <v>-6.1762379603782572E-3</v>
      </c>
      <c r="P340" s="9"/>
      <c r="Q340" s="7">
        <v>561.39</v>
      </c>
      <c r="R340" s="8">
        <f>IFERROR(Q340/Q444, "NA")</f>
        <v>4.0800749688974141E-3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-561.39</v>
      </c>
      <c r="X340" s="8">
        <f>IFERROR(W340/W444, "NA")</f>
        <v>-1.3713819203011133E-2</v>
      </c>
      <c r="Y340" s="9"/>
      <c r="Z340" s="7">
        <v>360.47</v>
      </c>
      <c r="AA340" s="8">
        <f>IFERROR(Z340/Z444, "NA")</f>
        <v>3.4310239684346181E-3</v>
      </c>
      <c r="AB340" s="9"/>
      <c r="AC340" s="10">
        <f t="shared" si="87"/>
        <v>-200.91999999999996</v>
      </c>
      <c r="AD340" s="8">
        <f>IFERROR(AC340/AC444, "NA")</f>
        <v>-6.1762379603782572E-3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2.7630027270270753E-3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-9.2869175553692493E-3</v>
      </c>
      <c r="J341" s="9"/>
      <c r="K341" s="7">
        <v>351.45</v>
      </c>
      <c r="L341" s="8">
        <f>IFERROR(K341/K444, "NA")</f>
        <v>3.3451698441100408E-3</v>
      </c>
      <c r="M341" s="9"/>
      <c r="N341" s="10">
        <f t="shared" si="85"/>
        <v>-28.720000000000027</v>
      </c>
      <c r="O341" s="8">
        <f>IFERROR(N341/N444, "NA")</f>
        <v>-8.8284667639888391E-4</v>
      </c>
      <c r="P341" s="9"/>
      <c r="Q341" s="7">
        <v>380.17</v>
      </c>
      <c r="R341" s="8">
        <f>IFERROR(Q341/Q444, "NA")</f>
        <v>2.7630027270270753E-3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-380.17</v>
      </c>
      <c r="X341" s="8">
        <f>IFERROR(W341/W444, "NA")</f>
        <v>-9.2869175553692493E-3</v>
      </c>
      <c r="Y341" s="9"/>
      <c r="Z341" s="7">
        <v>351.45</v>
      </c>
      <c r="AA341" s="8">
        <f>IFERROR(Z341/Z444, "NA")</f>
        <v>3.3451698441100408E-3</v>
      </c>
      <c r="AB341" s="9"/>
      <c r="AC341" s="10">
        <f t="shared" si="87"/>
        <v>-28.720000000000027</v>
      </c>
      <c r="AD341" s="8">
        <f>IFERROR(AC341/AC444, "NA")</f>
        <v>-8.8284667639888391E-4</v>
      </c>
    </row>
    <row r="342" spans="1:30" ht="16.5" customHeight="1" x14ac:dyDescent="0.45">
      <c r="A342" s="13" t="s">
        <v>312</v>
      </c>
      <c r="B342" s="14">
        <f>IFERROR(B337+B338+B339+B340+B341, "NA")</f>
        <v>6015.97</v>
      </c>
      <c r="C342" s="15">
        <f>IFERROR(B342/B444, "NA")</f>
        <v>4.3722917420398966E-2</v>
      </c>
      <c r="D342" s="2"/>
      <c r="E342" s="14">
        <f>IFERROR(E337+E338+E339+E340+E341, "NA")</f>
        <v>4087.91</v>
      </c>
      <c r="F342" s="15">
        <f>IFERROR(E342/E444, "NA")</f>
        <v>4.2292962184417512E-2</v>
      </c>
      <c r="G342" s="2"/>
      <c r="H342" s="14">
        <f t="shared" si="84"/>
        <v>-1928.0600000000004</v>
      </c>
      <c r="I342" s="15">
        <f>IFERROR(H342/H444, "NA")</f>
        <v>-4.7099282588855609E-2</v>
      </c>
      <c r="J342" s="2"/>
      <c r="K342" s="14">
        <f>IFERROR(K337+K338+K339+K340+K341, "NA")</f>
        <v>3801.63</v>
      </c>
      <c r="L342" s="15">
        <f>IFERROR(K342/K444, "NA")</f>
        <v>3.6184657944128763E-2</v>
      </c>
      <c r="M342" s="2"/>
      <c r="N342" s="14">
        <f t="shared" si="85"/>
        <v>-2214.34</v>
      </c>
      <c r="O342" s="15">
        <f>IFERROR(N342/N444, "NA")</f>
        <v>-6.8068339464383801E-2</v>
      </c>
      <c r="P342" s="2"/>
      <c r="Q342" s="14">
        <f>IFERROR(Q337+Q338+Q339+Q340+Q341, "NA")</f>
        <v>6015.97</v>
      </c>
      <c r="R342" s="15">
        <f>IFERROR(Q342/Q444, "NA")</f>
        <v>4.3722917420398966E-2</v>
      </c>
      <c r="S342" s="2"/>
      <c r="T342" s="14">
        <f>IFERROR(T337+T338+T339+T340+T341, "NA")</f>
        <v>4087.91</v>
      </c>
      <c r="U342" s="15">
        <f>IFERROR(T342/T444, "NA")</f>
        <v>4.2292962184417512E-2</v>
      </c>
      <c r="V342" s="2"/>
      <c r="W342" s="14">
        <f t="shared" si="86"/>
        <v>-1928.0600000000004</v>
      </c>
      <c r="X342" s="15">
        <f>IFERROR(W342/W444, "NA")</f>
        <v>-4.7099282588855609E-2</v>
      </c>
      <c r="Y342" s="2"/>
      <c r="Z342" s="14">
        <f>IFERROR(Z337+Z338+Z339+Z340+Z341, "NA")</f>
        <v>3801.63</v>
      </c>
      <c r="AA342" s="15">
        <f>IFERROR(Z342/Z444, "NA")</f>
        <v>3.6184657944128763E-2</v>
      </c>
      <c r="AB342" s="2"/>
      <c r="AC342" s="14">
        <f t="shared" si="87"/>
        <v>-2214.34</v>
      </c>
      <c r="AD342" s="15">
        <f>IFERROR(AC342/AC444, "NA")</f>
        <v>-6.8068339464383801E-2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18734.629999999997</v>
      </c>
      <c r="C343" s="15">
        <f>IFERROR(B343/B444, "NA")</f>
        <v>0.13615970165937147</v>
      </c>
      <c r="D343" s="2"/>
      <c r="E343" s="14">
        <f>IFERROR(E328+E329+E330+E331+E332+E333+E334+E335+E337+E338+E339+E340+E341, "NA")</f>
        <v>14913.91</v>
      </c>
      <c r="F343" s="15">
        <f>IFERROR(E343/E444, "NA")</f>
        <v>0.15429728923870786</v>
      </c>
      <c r="G343" s="2"/>
      <c r="H343" s="14">
        <f t="shared" si="84"/>
        <v>-3820.7199999999975</v>
      </c>
      <c r="I343" s="15">
        <f>IFERROR(H343/H444, "NA")</f>
        <v>-9.3333802357235901E-2</v>
      </c>
      <c r="J343" s="2"/>
      <c r="K343" s="14">
        <f>IFERROR(K328+K329+K330+K331+K332+K333+K334+K335+K337+K338+K339+K340+K341, "NA")</f>
        <v>14592.98</v>
      </c>
      <c r="L343" s="15">
        <f>IFERROR(K343/K444, "NA")</f>
        <v>0.13889883804723557</v>
      </c>
      <c r="M343" s="2"/>
      <c r="N343" s="14">
        <f t="shared" si="85"/>
        <v>-4141.6499999999978</v>
      </c>
      <c r="O343" s="15">
        <f>IFERROR(N343/N444, "NA")</f>
        <v>-0.12731343792853175</v>
      </c>
      <c r="P343" s="2"/>
      <c r="Q343" s="14">
        <f>IFERROR(Q328+Q329+Q330+Q331+Q332+Q333+Q334+Q335+Q337+Q338+Q339+Q340+Q341, "NA")</f>
        <v>18734.629999999997</v>
      </c>
      <c r="R343" s="15">
        <f>IFERROR(Q343/Q444, "NA")</f>
        <v>0.13615970165937147</v>
      </c>
      <c r="S343" s="2"/>
      <c r="T343" s="14">
        <f>IFERROR(T328+T329+T330+T331+T332+T333+T334+T335+T337+T338+T339+T340+T341, "NA")</f>
        <v>14913.91</v>
      </c>
      <c r="U343" s="15">
        <f>IFERROR(T343/T444, "NA")</f>
        <v>0.15429728923870786</v>
      </c>
      <c r="V343" s="2"/>
      <c r="W343" s="14">
        <f t="shared" si="86"/>
        <v>-3820.7199999999975</v>
      </c>
      <c r="X343" s="15">
        <f>IFERROR(W343/W444, "NA")</f>
        <v>-9.3333802357235901E-2</v>
      </c>
      <c r="Y343" s="2"/>
      <c r="Z343" s="14">
        <f>IFERROR(Z328+Z329+Z330+Z331+Z332+Z333+Z334+Z335+Z337+Z338+Z339+Z340+Z341, "NA")</f>
        <v>14592.98</v>
      </c>
      <c r="AA343" s="15">
        <f>IFERROR(Z343/Z444, "NA")</f>
        <v>0.13889883804723557</v>
      </c>
      <c r="AB343" s="2"/>
      <c r="AC343" s="14">
        <f t="shared" si="87"/>
        <v>-4141.6499999999978</v>
      </c>
      <c r="AD343" s="15">
        <f>IFERROR(AC343/AC444, "NA")</f>
        <v>-0.12731343792853175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18734.629999999997</v>
      </c>
      <c r="C344" s="15">
        <f>IFERROR(B344/B444, "NA")</f>
        <v>0.13615970165937147</v>
      </c>
      <c r="D344" s="2"/>
      <c r="E344" s="14">
        <f>IFERROR(E328+E329+E330+E331+E332+E333+E334+E335+E337+E338+E339+E340+E341, "NA")</f>
        <v>14913.91</v>
      </c>
      <c r="F344" s="15">
        <f>IFERROR(E344/E444, "NA")</f>
        <v>0.15429728923870786</v>
      </c>
      <c r="G344" s="2"/>
      <c r="H344" s="14">
        <f t="shared" si="84"/>
        <v>-3820.7199999999975</v>
      </c>
      <c r="I344" s="15">
        <f>IFERROR(H344/H444, "NA")</f>
        <v>-9.3333802357235901E-2</v>
      </c>
      <c r="J344" s="2"/>
      <c r="K344" s="14">
        <f>IFERROR(K328+K329+K330+K331+K332+K333+K334+K335+K337+K338+K339+K340+K341, "NA")</f>
        <v>14592.98</v>
      </c>
      <c r="L344" s="15">
        <f>IFERROR(K344/K444, "NA")</f>
        <v>0.13889883804723557</v>
      </c>
      <c r="M344" s="2"/>
      <c r="N344" s="14">
        <f t="shared" si="85"/>
        <v>-4141.6499999999978</v>
      </c>
      <c r="O344" s="15">
        <f>IFERROR(N344/N444, "NA")</f>
        <v>-0.12731343792853175</v>
      </c>
      <c r="P344" s="2"/>
      <c r="Q344" s="14">
        <f>IFERROR(Q328+Q329+Q330+Q331+Q332+Q333+Q334+Q335+Q337+Q338+Q339+Q340+Q341, "NA")</f>
        <v>18734.629999999997</v>
      </c>
      <c r="R344" s="15">
        <f>IFERROR(Q344/Q444, "NA")</f>
        <v>0.13615970165937147</v>
      </c>
      <c r="S344" s="2"/>
      <c r="T344" s="14">
        <f>IFERROR(T328+T329+T330+T331+T332+T333+T334+T335+T337+T338+T339+T340+T341, "NA")</f>
        <v>14913.91</v>
      </c>
      <c r="U344" s="15">
        <f>IFERROR(T344/T444, "NA")</f>
        <v>0.15429728923870786</v>
      </c>
      <c r="V344" s="2"/>
      <c r="W344" s="14">
        <f t="shared" si="86"/>
        <v>-3820.7199999999975</v>
      </c>
      <c r="X344" s="15">
        <f>IFERROR(W344/W444, "NA")</f>
        <v>-9.3333802357235901E-2</v>
      </c>
      <c r="Y344" s="2"/>
      <c r="Z344" s="14">
        <f>IFERROR(Z328+Z329+Z330+Z331+Z332+Z333+Z334+Z335+Z337+Z338+Z339+Z340+Z341, "NA")</f>
        <v>14592.98</v>
      </c>
      <c r="AA344" s="15">
        <f>IFERROR(Z344/Z444, "NA")</f>
        <v>0.13889883804723557</v>
      </c>
      <c r="AB344" s="2"/>
      <c r="AC344" s="14">
        <f t="shared" si="87"/>
        <v>-4141.6499999999978</v>
      </c>
      <c r="AD344" s="15">
        <f>IFERROR(AC344/AC444, "NA")</f>
        <v>-0.12731343792853175</v>
      </c>
    </row>
    <row r="345" spans="1:30" ht="16.5" customHeight="1" x14ac:dyDescent="0.45">
      <c r="A345" s="22" t="s">
        <v>315</v>
      </c>
      <c r="B345" s="23">
        <f>IFERROR(B198-B325-B344, "NA")</f>
        <v>4878.0700000000579</v>
      </c>
      <c r="C345" s="24">
        <f>IFERROR(B345/B444, "NA")</f>
        <v>3.5452878219294333E-2</v>
      </c>
      <c r="D345" s="25"/>
      <c r="E345" s="23">
        <f>IFERROR(E198-E325-E344, "NA")</f>
        <v>-6441.8199999999924</v>
      </c>
      <c r="F345" s="24">
        <f>IFERROR(E345/E444, "NA")</f>
        <v>-6.6646195649812279E-2</v>
      </c>
      <c r="G345" s="25"/>
      <c r="H345" s="23">
        <f>IFERROR(B345-E345, "NA")</f>
        <v>11319.89000000005</v>
      </c>
      <c r="I345" s="24">
        <f>IFERROR(H345/H444, "NA")</f>
        <v>0.27652598880987261</v>
      </c>
      <c r="J345" s="25"/>
      <c r="K345" s="23">
        <f>IFERROR(K198-K325-K344, "NA")</f>
        <v>6954.27</v>
      </c>
      <c r="L345" s="24">
        <f>IFERROR(K345/K444, "NA")</f>
        <v>6.6192102124908628E-2</v>
      </c>
      <c r="M345" s="25"/>
      <c r="N345" s="23">
        <f>IFERROR(B345-K345, "NA")</f>
        <v>-2076.1999999999425</v>
      </c>
      <c r="O345" s="24">
        <f>IFERROR(N345/N444, "NA")</f>
        <v>-6.3821945318221107E-2</v>
      </c>
      <c r="P345" s="25"/>
      <c r="Q345" s="23">
        <f>IFERROR(Q198-Q325-Q344, "NA")</f>
        <v>4878.0700000000579</v>
      </c>
      <c r="R345" s="24">
        <f>IFERROR(Q345/Q444, "NA")</f>
        <v>3.5452878219294333E-2</v>
      </c>
      <c r="S345" s="25"/>
      <c r="T345" s="23">
        <f>IFERROR(T198-T325-T344, "NA")</f>
        <v>-6441.8199999999924</v>
      </c>
      <c r="U345" s="24">
        <f>IFERROR(T345/T444, "NA")</f>
        <v>-6.6646195649812279E-2</v>
      </c>
      <c r="V345" s="25"/>
      <c r="W345" s="23">
        <f>IFERROR(Q345-T345, "NA")</f>
        <v>11319.89000000005</v>
      </c>
      <c r="X345" s="24">
        <f>IFERROR(W345/W444, "NA")</f>
        <v>0.27652598880987261</v>
      </c>
      <c r="Y345" s="25"/>
      <c r="Z345" s="23">
        <f>IFERROR(Z198-Z325-Z344, "NA")</f>
        <v>6954.27</v>
      </c>
      <c r="AA345" s="24">
        <f>IFERROR(Z345/Z444, "NA")</f>
        <v>6.6192102124908628E-2</v>
      </c>
      <c r="AB345" s="25"/>
      <c r="AC345" s="23">
        <f>IFERROR(Q345-Z345, "NA")</f>
        <v>-2076.1999999999425</v>
      </c>
      <c r="AD345" s="24">
        <f>IFERROR(AC345/AC444, "NA")</f>
        <v>-6.3821945318221107E-2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4878.0700000000579</v>
      </c>
      <c r="C404" s="24">
        <f>IFERROR(B404/B444, "NA")</f>
        <v>3.5452878219294333E-2</v>
      </c>
      <c r="D404" s="25"/>
      <c r="E404" s="23">
        <f>IFERROR(E345-E403, "NA")</f>
        <v>-6441.8199999999924</v>
      </c>
      <c r="F404" s="24">
        <f>IFERROR(E404/E444, "NA")</f>
        <v>-6.6646195649812279E-2</v>
      </c>
      <c r="G404" s="25"/>
      <c r="H404" s="23">
        <f>IFERROR(B404-E404, "NA")</f>
        <v>11319.89000000005</v>
      </c>
      <c r="I404" s="24">
        <f>IFERROR(H404/H444, "NA")</f>
        <v>0.27652598880987261</v>
      </c>
      <c r="J404" s="25"/>
      <c r="K404" s="23">
        <f>IFERROR(K345-K403, "NA")</f>
        <v>6954.27</v>
      </c>
      <c r="L404" s="24">
        <f>IFERROR(K404/K444, "NA")</f>
        <v>6.6192102124908628E-2</v>
      </c>
      <c r="M404" s="25"/>
      <c r="N404" s="23">
        <f>IFERROR(B404-K404, "NA")</f>
        <v>-2076.1999999999425</v>
      </c>
      <c r="O404" s="24">
        <f>IFERROR(N404/N444, "NA")</f>
        <v>-6.3821945318221107E-2</v>
      </c>
      <c r="P404" s="25"/>
      <c r="Q404" s="23">
        <f>IFERROR(Q345-Q403, "NA")</f>
        <v>4878.0700000000579</v>
      </c>
      <c r="R404" s="24">
        <f>IFERROR(Q404/Q444, "NA")</f>
        <v>3.5452878219294333E-2</v>
      </c>
      <c r="S404" s="25"/>
      <c r="T404" s="23">
        <f>IFERROR(T345-T403, "NA")</f>
        <v>-6441.8199999999924</v>
      </c>
      <c r="U404" s="24">
        <f>IFERROR(T404/T444, "NA")</f>
        <v>-6.6646195649812279E-2</v>
      </c>
      <c r="V404" s="25"/>
      <c r="W404" s="23">
        <f>IFERROR(Q404-T404, "NA")</f>
        <v>11319.89000000005</v>
      </c>
      <c r="X404" s="24">
        <f>IFERROR(W404/W444, "NA")</f>
        <v>0.27652598880987261</v>
      </c>
      <c r="Y404" s="25"/>
      <c r="Z404" s="23">
        <f>IFERROR(Z345-Z403, "NA")</f>
        <v>6954.27</v>
      </c>
      <c r="AA404" s="24">
        <f>IFERROR(Z404/Z444, "NA")</f>
        <v>6.6192102124908628E-2</v>
      </c>
      <c r="AB404" s="25"/>
      <c r="AC404" s="23">
        <f>IFERROR(Q404-Z404, "NA")</f>
        <v>-2076.1999999999425</v>
      </c>
      <c r="AD404" s="24">
        <f>IFERROR(AC404/AC444, "NA")</f>
        <v>-6.3821945318221107E-2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2999.43</v>
      </c>
      <c r="C410" s="8">
        <f>IFERROR(B410/B444, "NA")</f>
        <v>2.1799282609166477E-2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-2999.43</v>
      </c>
      <c r="I410" s="8">
        <f>IFERROR(H410/H444, "NA")</f>
        <v>-7.3271060638927799E-2</v>
      </c>
      <c r="J410" s="9"/>
      <c r="K410" s="7">
        <v>4503.9399999999996</v>
      </c>
      <c r="L410" s="8">
        <f>IFERROR(K410/K444, "NA")</f>
        <v>4.2869381896944017E-2</v>
      </c>
      <c r="M410" s="9"/>
      <c r="N410" s="10">
        <f t="shared" si="101"/>
        <v>1504.5099999999998</v>
      </c>
      <c r="O410" s="8">
        <f>IFERROR(N410/N444, "NA")</f>
        <v>4.6248316612426302E-2</v>
      </c>
      <c r="P410" s="9"/>
      <c r="Q410" s="7">
        <v>2999.43</v>
      </c>
      <c r="R410" s="8">
        <f>IFERROR(Q410/Q444, "NA")</f>
        <v>2.1799282609166477E-2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-2999.43</v>
      </c>
      <c r="X410" s="8">
        <f>IFERROR(W410/W444, "NA")</f>
        <v>-7.3271060638927799E-2</v>
      </c>
      <c r="Y410" s="9"/>
      <c r="Z410" s="7">
        <v>4503.9399999999996</v>
      </c>
      <c r="AA410" s="8">
        <f>IFERROR(Z410/Z444, "NA")</f>
        <v>4.2869381896944017E-2</v>
      </c>
      <c r="AB410" s="9"/>
      <c r="AC410" s="10">
        <f t="shared" si="103"/>
        <v>1504.5099999999998</v>
      </c>
      <c r="AD410" s="8">
        <f>IFERROR(AC410/AC444, "NA")</f>
        <v>4.6248316612426302E-2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3.82</v>
      </c>
      <c r="C417" s="8">
        <f>IFERROR(B417/B444, "NA")</f>
        <v>2.7763028164356543E-5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-3.82</v>
      </c>
      <c r="I417" s="8">
        <f>IFERROR(H417/H444, "NA")</f>
        <v>-9.3316213960887309E-5</v>
      </c>
      <c r="J417" s="9"/>
      <c r="K417" s="7">
        <v>-28.35</v>
      </c>
      <c r="L417" s="8">
        <f>IFERROR(K417/K444, "NA")</f>
        <v>-2.6984084529952957E-4</v>
      </c>
      <c r="M417" s="9"/>
      <c r="N417" s="10">
        <f t="shared" si="101"/>
        <v>-32.17</v>
      </c>
      <c r="O417" s="8">
        <f>IFERROR(N417/N444, "NA")</f>
        <v>-9.8889894079916664E-4</v>
      </c>
      <c r="P417" s="9"/>
      <c r="Q417" s="7">
        <v>3.82</v>
      </c>
      <c r="R417" s="8">
        <f>IFERROR(Q417/Q444, "NA")</f>
        <v>2.7763028164356543E-5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-3.82</v>
      </c>
      <c r="X417" s="8">
        <f>IFERROR(W417/W444, "NA")</f>
        <v>-9.3316213960887309E-5</v>
      </c>
      <c r="Y417" s="9"/>
      <c r="Z417" s="7">
        <v>-28.35</v>
      </c>
      <c r="AA417" s="8">
        <f>IFERROR(Z417/Z444, "NA")</f>
        <v>-2.6984084529952957E-4</v>
      </c>
      <c r="AB417" s="9"/>
      <c r="AC417" s="10">
        <f t="shared" si="103"/>
        <v>-32.17</v>
      </c>
      <c r="AD417" s="8">
        <f>IFERROR(AC417/AC444, "NA")</f>
        <v>-9.8889894079916664E-4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-20</v>
      </c>
      <c r="C421" s="8">
        <f>IFERROR(B421/B444, "NA")</f>
        <v>-1.453561683997725E-4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20</v>
      </c>
      <c r="I421" s="8">
        <f>IFERROR(H421/H444, "NA")</f>
        <v>4.8856656524024768E-4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20</v>
      </c>
      <c r="O421" s="8">
        <f>IFERROR(N421/N444, "NA")</f>
        <v>6.1479573565381826E-4</v>
      </c>
      <c r="P421" s="9"/>
      <c r="Q421" s="7">
        <v>-20</v>
      </c>
      <c r="R421" s="8">
        <f>IFERROR(Q421/Q444, "NA")</f>
        <v>-1.453561683997725E-4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20</v>
      </c>
      <c r="X421" s="8">
        <f>IFERROR(W421/W444, "NA")</f>
        <v>4.8856656524024768E-4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20</v>
      </c>
      <c r="AD421" s="8">
        <f>IFERROR(AC421/AC444, "NA")</f>
        <v>6.1479573565381826E-4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2983.25</v>
      </c>
      <c r="C428" s="15">
        <f>IFERROR(B428/B444, "NA")</f>
        <v>2.1681689468931065E-2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-2983.25</v>
      </c>
      <c r="I428" s="15">
        <f>IFERROR(H428/H444, "NA")</f>
        <v>-7.2875810287648446E-2</v>
      </c>
      <c r="J428" s="2"/>
      <c r="K428" s="14">
        <f>IFERROR(K407+K408+K409+K410+K411+K412+K413+K414+K415+K416+K417+K418+K419+K420+K421+K422+K423+K424+K425+K426+K427, "NA")</f>
        <v>4475.5899999999992</v>
      </c>
      <c r="L428" s="15">
        <f>IFERROR(K428/K444, "NA")</f>
        <v>4.2599541051644485E-2</v>
      </c>
      <c r="M428" s="2"/>
      <c r="N428" s="14">
        <f t="shared" si="101"/>
        <v>1492.3399999999992</v>
      </c>
      <c r="O428" s="15">
        <f>IFERROR(N428/N444, "NA")</f>
        <v>4.5874213407280935E-2</v>
      </c>
      <c r="P428" s="2"/>
      <c r="Q428" s="14">
        <f>IFERROR(Q407+Q408+Q409+Q410+Q411+Q412+Q413+Q414+Q415+Q416+Q417+Q418+Q419+Q420+Q421+Q422+Q423+Q424+Q425+Q426+Q427, "NA")</f>
        <v>2983.25</v>
      </c>
      <c r="R428" s="15">
        <f>IFERROR(Q428/Q444, "NA")</f>
        <v>2.1681689468931065E-2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-2983.25</v>
      </c>
      <c r="X428" s="15">
        <f>IFERROR(W428/W444, "NA")</f>
        <v>-7.2875810287648446E-2</v>
      </c>
      <c r="Y428" s="2"/>
      <c r="Z428" s="14">
        <f>IFERROR(Z407+Z408+Z409+Z410+Z411+Z412+Z413+Z414+Z415+Z416+Z417+Z418+Z419+Z420+Z421+Z422+Z423+Z424+Z425+Z426+Z427, "NA")</f>
        <v>4475.5899999999992</v>
      </c>
      <c r="AA428" s="15">
        <f>IFERROR(Z428/Z444, "NA")</f>
        <v>4.2599541051644485E-2</v>
      </c>
      <c r="AB428" s="2"/>
      <c r="AC428" s="14">
        <f t="shared" si="103"/>
        <v>1492.3399999999992</v>
      </c>
      <c r="AD428" s="15">
        <f>IFERROR(AC428/AC444, "NA")</f>
        <v>4.5874213407280935E-2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2983.25</v>
      </c>
      <c r="C429" s="15">
        <f>IFERROR(B429/B444, "NA")</f>
        <v>2.1681689468931065E-2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-2983.25</v>
      </c>
      <c r="I429" s="15">
        <f>IFERROR(H429/H444, "NA")</f>
        <v>-7.2875810287648446E-2</v>
      </c>
      <c r="J429" s="2"/>
      <c r="K429" s="14">
        <f>IFERROR(K407+K408+K409+K410+K411+K412+K413+K414+K415+K416+K417+K418+K419+K420+K421+K422+K423+K424+K425+K426+K427, "NA")</f>
        <v>4475.5899999999992</v>
      </c>
      <c r="L429" s="15">
        <f>IFERROR(K429/K444, "NA")</f>
        <v>4.2599541051644485E-2</v>
      </c>
      <c r="M429" s="2"/>
      <c r="N429" s="14">
        <f t="shared" si="101"/>
        <v>1492.3399999999992</v>
      </c>
      <c r="O429" s="15">
        <f>IFERROR(N429/N444, "NA")</f>
        <v>4.5874213407280935E-2</v>
      </c>
      <c r="P429" s="2"/>
      <c r="Q429" s="14">
        <f>IFERROR(Q407+Q408+Q409+Q410+Q411+Q412+Q413+Q414+Q415+Q416+Q417+Q418+Q419+Q420+Q421+Q422+Q423+Q424+Q425+Q426+Q427, "NA")</f>
        <v>2983.25</v>
      </c>
      <c r="R429" s="15">
        <f>IFERROR(Q429/Q444, "NA")</f>
        <v>2.1681689468931065E-2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-2983.25</v>
      </c>
      <c r="X429" s="15">
        <f>IFERROR(W429/W444, "NA")</f>
        <v>-7.2875810287648446E-2</v>
      </c>
      <c r="Y429" s="2"/>
      <c r="Z429" s="14">
        <f>IFERROR(Z407+Z408+Z409+Z410+Z411+Z412+Z413+Z414+Z415+Z416+Z417+Z418+Z419+Z420+Z421+Z422+Z423+Z424+Z425+Z426+Z427, "NA")</f>
        <v>4475.5899999999992</v>
      </c>
      <c r="AA429" s="15">
        <f>IFERROR(Z429/Z444, "NA")</f>
        <v>4.2599541051644485E-2</v>
      </c>
      <c r="AB429" s="2"/>
      <c r="AC429" s="14">
        <f t="shared" si="103"/>
        <v>1492.3399999999992</v>
      </c>
      <c r="AD429" s="15">
        <f>IFERROR(AC429/AC444, "NA")</f>
        <v>4.5874213407280935E-2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1894.8200000000579</v>
      </c>
      <c r="C443" s="24">
        <f>IFERROR(B443/B444, "NA")</f>
        <v>1.3771188750363266E-2</v>
      </c>
      <c r="D443" s="25"/>
      <c r="E443" s="23">
        <f>IFERROR(E404-E429-E442, "NA")</f>
        <v>-6441.8199999999924</v>
      </c>
      <c r="F443" s="24">
        <f>IFERROR(E443/E444, "NA")</f>
        <v>-6.6646195649812279E-2</v>
      </c>
      <c r="G443" s="25"/>
      <c r="H443" s="23">
        <f>IFERROR(B443-E443, "NA")</f>
        <v>8336.6400000000503</v>
      </c>
      <c r="I443" s="24">
        <f>IFERROR(H443/H444, "NA")</f>
        <v>0.20365017852222417</v>
      </c>
      <c r="J443" s="25"/>
      <c r="K443" s="23">
        <f>IFERROR(K404-K429-K442, "NA")</f>
        <v>2478.6800000000012</v>
      </c>
      <c r="L443" s="24">
        <f>IFERROR(K443/K444, "NA")</f>
        <v>2.3592561073264136E-2</v>
      </c>
      <c r="M443" s="25"/>
      <c r="N443" s="23">
        <f>IFERROR(B443-K443, "NA")</f>
        <v>-583.85999999994328</v>
      </c>
      <c r="O443" s="24">
        <f>IFERROR(N443/N444, "NA")</f>
        <v>-1.7947731910940172E-2</v>
      </c>
      <c r="P443" s="25"/>
      <c r="Q443" s="23">
        <f>IFERROR(Q404-Q429-Q442, "NA")</f>
        <v>1894.8200000000579</v>
      </c>
      <c r="R443" s="24">
        <f>IFERROR(Q443/Q444, "NA")</f>
        <v>1.3771188750363266E-2</v>
      </c>
      <c r="S443" s="25"/>
      <c r="T443" s="23">
        <f>IFERROR(T404-T429-T442, "NA")</f>
        <v>-6441.8199999999924</v>
      </c>
      <c r="U443" s="24">
        <f>IFERROR(T443/T444, "NA")</f>
        <v>-6.6646195649812279E-2</v>
      </c>
      <c r="V443" s="25"/>
      <c r="W443" s="23">
        <f>IFERROR(Q443-T443, "NA")</f>
        <v>8336.6400000000503</v>
      </c>
      <c r="X443" s="24">
        <f>IFERROR(W443/W444, "NA")</f>
        <v>0.20365017852222417</v>
      </c>
      <c r="Y443" s="25"/>
      <c r="Z443" s="23">
        <f>IFERROR(Z404-Z429-Z442, "NA")</f>
        <v>2478.6800000000012</v>
      </c>
      <c r="AA443" s="24">
        <f>IFERROR(Z443/Z444, "NA")</f>
        <v>2.3592561073264136E-2</v>
      </c>
      <c r="AB443" s="25"/>
      <c r="AC443" s="23">
        <f>IFERROR(Q443-Z443, "NA")</f>
        <v>-583.85999999994328</v>
      </c>
      <c r="AD443" s="24">
        <f>IFERROR(AC443/AC444, "NA")</f>
        <v>-1.7947731910940172E-2</v>
      </c>
    </row>
    <row r="444" spans="1:30" ht="15.75" hidden="1" x14ac:dyDescent="0.45">
      <c r="A444" s="26" t="s">
        <v>117</v>
      </c>
      <c r="B444" s="7">
        <v>137593.06</v>
      </c>
      <c r="C444" s="27"/>
      <c r="D444" s="9"/>
      <c r="E444" s="7">
        <v>96656.98</v>
      </c>
      <c r="F444" s="27"/>
      <c r="G444" s="9"/>
      <c r="H444" s="10">
        <f>IFERROR(B444-E444, "NA")</f>
        <v>40936.080000000002</v>
      </c>
      <c r="I444" s="27"/>
      <c r="J444" s="9"/>
      <c r="K444" s="7">
        <v>105061.93</v>
      </c>
      <c r="L444" s="27"/>
      <c r="M444" s="9"/>
      <c r="N444" s="10">
        <f>IFERROR(B444-K444, "NA")</f>
        <v>32531.130000000005</v>
      </c>
      <c r="O444" s="27"/>
      <c r="P444" s="9"/>
      <c r="Q444" s="7">
        <v>137593.06</v>
      </c>
      <c r="R444" s="27"/>
      <c r="S444" s="9"/>
      <c r="T444" s="7">
        <v>96656.98</v>
      </c>
      <c r="U444" s="27"/>
      <c r="V444" s="9"/>
      <c r="W444" s="10">
        <f>IFERROR(Q444-T444, "NA")</f>
        <v>40936.080000000002</v>
      </c>
      <c r="X444" s="27"/>
      <c r="Y444" s="9"/>
      <c r="Z444" s="7">
        <v>105061.93</v>
      </c>
      <c r="AA444" s="27"/>
      <c r="AB444" s="9"/>
      <c r="AC444" s="10">
        <f>IFERROR(Q444-Z444, "NA")</f>
        <v>32531.130000000005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27709.95</v>
      </c>
      <c r="F10" s="8">
        <f>IFERROR(E10/E444, "NA")</f>
        <v>0.49400005455225171</v>
      </c>
      <c r="G10" s="9"/>
      <c r="H10" s="10">
        <f t="shared" ref="H10:H19" si="0">IFERROR(B10-E10, "NA")</f>
        <v>-27709.95</v>
      </c>
      <c r="I10" s="8">
        <f>IFERROR(H10/H444, "NA")</f>
        <v>-2.8752605742022972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27709.95</v>
      </c>
      <c r="U10" s="8">
        <f>IFERROR(T10/T444, "NA")</f>
        <v>0.49400005455225171</v>
      </c>
      <c r="V10" s="9"/>
      <c r="W10" s="10">
        <f t="shared" ref="W10:W19" si="2">IFERROR(Q10-T10, "NA")</f>
        <v>-27709.95</v>
      </c>
      <c r="X10" s="8">
        <f>IFERROR(W10/W444, "NA")</f>
        <v>-2.8752605742022972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28219.49</v>
      </c>
      <c r="C11" s="8">
        <f>IFERROR(B11/B444, "NA")</f>
        <v>0.42932187521204046</v>
      </c>
      <c r="D11" s="9"/>
      <c r="E11" s="7">
        <v>0</v>
      </c>
      <c r="F11" s="8">
        <f>IFERROR(E11/E444, "NA")</f>
        <v>0</v>
      </c>
      <c r="G11" s="9"/>
      <c r="H11" s="10">
        <f t="shared" si="0"/>
        <v>28219.49</v>
      </c>
      <c r="I11" s="8">
        <f>IFERROR(H11/H444, "NA")</f>
        <v>2.9281318450988176</v>
      </c>
      <c r="J11" s="9"/>
      <c r="K11" s="7">
        <v>32170.080000000002</v>
      </c>
      <c r="L11" s="8">
        <f>IFERROR(K11/K444, "NA")</f>
        <v>0.60218876446222824</v>
      </c>
      <c r="M11" s="9"/>
      <c r="N11" s="10">
        <f t="shared" si="1"/>
        <v>-3950.59</v>
      </c>
      <c r="O11" s="8">
        <f>IFERROR(N11/N444, "NA")</f>
        <v>-0.32096541728209688</v>
      </c>
      <c r="P11" s="9"/>
      <c r="Q11" s="7">
        <v>28219.49</v>
      </c>
      <c r="R11" s="8">
        <f>IFERROR(Q11/Q444, "NA")</f>
        <v>0.42932187521204046</v>
      </c>
      <c r="S11" s="9"/>
      <c r="T11" s="7">
        <v>0</v>
      </c>
      <c r="U11" s="8">
        <f>IFERROR(T11/T444, "NA")</f>
        <v>0</v>
      </c>
      <c r="V11" s="9"/>
      <c r="W11" s="10">
        <f t="shared" si="2"/>
        <v>28219.49</v>
      </c>
      <c r="X11" s="8">
        <f>IFERROR(W11/W444, "NA")</f>
        <v>2.9281318450988176</v>
      </c>
      <c r="Y11" s="9"/>
      <c r="Z11" s="7">
        <v>32170.080000000002</v>
      </c>
      <c r="AA11" s="8">
        <f>IFERROR(Z11/Z444, "NA")</f>
        <v>0.60218876446222824</v>
      </c>
      <c r="AB11" s="9"/>
      <c r="AC11" s="10">
        <f t="shared" si="3"/>
        <v>-3950.59</v>
      </c>
      <c r="AD11" s="8">
        <f>IFERROR(AC11/AC444, "NA")</f>
        <v>-0.32096541728209688</v>
      </c>
    </row>
    <row r="12" spans="1:30" ht="16.5" customHeight="1" x14ac:dyDescent="0.45">
      <c r="A12" s="12" t="s">
        <v>14</v>
      </c>
      <c r="B12" s="7">
        <v>2368.65</v>
      </c>
      <c r="C12" s="8">
        <f>IFERROR(B12/B444, "NA")</f>
        <v>3.6035848263770875E-2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2368.65</v>
      </c>
      <c r="I12" s="8">
        <f>IFERROR(H12/H444, "NA")</f>
        <v>0.24577763435460084</v>
      </c>
      <c r="J12" s="9"/>
      <c r="K12" s="7">
        <v>2766.75</v>
      </c>
      <c r="L12" s="8">
        <f>IFERROR(K12/K444, "NA")</f>
        <v>5.1790538415691541E-2</v>
      </c>
      <c r="M12" s="9"/>
      <c r="N12" s="10">
        <f t="shared" si="1"/>
        <v>-398.09999999999991</v>
      </c>
      <c r="O12" s="8">
        <f>IFERROR(N12/N444, "NA")</f>
        <v>-3.2343607567477957E-2</v>
      </c>
      <c r="P12" s="9"/>
      <c r="Q12" s="7">
        <v>2368.65</v>
      </c>
      <c r="R12" s="8">
        <f>IFERROR(Q12/Q444, "NA")</f>
        <v>3.6035848263770875E-2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2368.65</v>
      </c>
      <c r="X12" s="8">
        <f>IFERROR(W12/W444, "NA")</f>
        <v>0.24577763435460084</v>
      </c>
      <c r="Y12" s="9"/>
      <c r="Z12" s="7">
        <v>2766.75</v>
      </c>
      <c r="AA12" s="8">
        <f>IFERROR(Z12/Z444, "NA")</f>
        <v>5.1790538415691541E-2</v>
      </c>
      <c r="AB12" s="9"/>
      <c r="AC12" s="10">
        <f t="shared" si="3"/>
        <v>-398.09999999999991</v>
      </c>
      <c r="AD12" s="8">
        <f>IFERROR(AC12/AC444, "NA")</f>
        <v>-3.2343607567477957E-2</v>
      </c>
    </row>
    <row r="13" spans="1:30" ht="16.5" customHeight="1" x14ac:dyDescent="0.45">
      <c r="A13" s="12" t="s">
        <v>15</v>
      </c>
      <c r="B13" s="7">
        <v>32.5</v>
      </c>
      <c r="C13" s="8">
        <f>IFERROR(B13/B444, "NA")</f>
        <v>4.9444412157665903E-4</v>
      </c>
      <c r="D13" s="9"/>
      <c r="E13" s="7">
        <v>0</v>
      </c>
      <c r="F13" s="8">
        <f>IFERROR(E13/E444, "NA")</f>
        <v>0</v>
      </c>
      <c r="G13" s="9"/>
      <c r="H13" s="10">
        <f t="shared" si="0"/>
        <v>32.5</v>
      </c>
      <c r="I13" s="8">
        <f>IFERROR(H13/H444, "NA")</f>
        <v>3.3722893278975478E-3</v>
      </c>
      <c r="J13" s="9"/>
      <c r="K13" s="7">
        <v>45.5</v>
      </c>
      <c r="L13" s="8">
        <f>IFERROR(K13/K444, "NA")</f>
        <v>8.5171030917645797E-4</v>
      </c>
      <c r="M13" s="9"/>
      <c r="N13" s="10">
        <f t="shared" si="1"/>
        <v>-13</v>
      </c>
      <c r="O13" s="8">
        <f>IFERROR(N13/N444, "NA")</f>
        <v>-1.0561841205154823E-3</v>
      </c>
      <c r="P13" s="9"/>
      <c r="Q13" s="7">
        <v>32.5</v>
      </c>
      <c r="R13" s="8">
        <f>IFERROR(Q13/Q444, "NA")</f>
        <v>4.9444412157665903E-4</v>
      </c>
      <c r="S13" s="9"/>
      <c r="T13" s="7">
        <v>0</v>
      </c>
      <c r="U13" s="8">
        <f>IFERROR(T13/T444, "NA")</f>
        <v>0</v>
      </c>
      <c r="V13" s="9"/>
      <c r="W13" s="10">
        <f t="shared" si="2"/>
        <v>32.5</v>
      </c>
      <c r="X13" s="8">
        <f>IFERROR(W13/W444, "NA")</f>
        <v>3.3722893278975478E-3</v>
      </c>
      <c r="Y13" s="9"/>
      <c r="Z13" s="7">
        <v>45.5</v>
      </c>
      <c r="AA13" s="8">
        <f>IFERROR(Z13/Z444, "NA")</f>
        <v>8.5171030917645797E-4</v>
      </c>
      <c r="AB13" s="9"/>
      <c r="AC13" s="10">
        <f t="shared" si="3"/>
        <v>-13</v>
      </c>
      <c r="AD13" s="8">
        <f>IFERROR(AC13/AC444, "NA")</f>
        <v>-1.0561841205154823E-3</v>
      </c>
    </row>
    <row r="14" spans="1:30" ht="16.5" customHeight="1" x14ac:dyDescent="0.45">
      <c r="A14" s="12" t="s">
        <v>16</v>
      </c>
      <c r="B14" s="7">
        <v>155</v>
      </c>
      <c r="C14" s="8">
        <f>IFERROR(B14/B444, "NA")</f>
        <v>2.3581181182886816E-3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155</v>
      </c>
      <c r="I14" s="8">
        <f>IFERROR(H14/H444, "NA")</f>
        <v>1.6083226025357535E-2</v>
      </c>
      <c r="J14" s="9"/>
      <c r="K14" s="7">
        <v>480</v>
      </c>
      <c r="L14" s="8">
        <f>IFERROR(K14/K444, "NA")</f>
        <v>8.9850757891142812E-3</v>
      </c>
      <c r="M14" s="9"/>
      <c r="N14" s="10">
        <f t="shared" si="1"/>
        <v>-325</v>
      </c>
      <c r="O14" s="8">
        <f>IFERROR(N14/N444, "NA")</f>
        <v>-2.6404603012887058E-2</v>
      </c>
      <c r="P14" s="9"/>
      <c r="Q14" s="7">
        <v>155</v>
      </c>
      <c r="R14" s="8">
        <f>IFERROR(Q14/Q444, "NA")</f>
        <v>2.3581181182886816E-3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155</v>
      </c>
      <c r="X14" s="8">
        <f>IFERROR(W14/W444, "NA")</f>
        <v>1.6083226025357535E-2</v>
      </c>
      <c r="Y14" s="9"/>
      <c r="Z14" s="7">
        <v>480</v>
      </c>
      <c r="AA14" s="8">
        <f>IFERROR(Z14/Z444, "NA")</f>
        <v>8.9850757891142812E-3</v>
      </c>
      <c r="AB14" s="9"/>
      <c r="AC14" s="10">
        <f t="shared" si="3"/>
        <v>-325</v>
      </c>
      <c r="AD14" s="8">
        <f>IFERROR(AC14/AC444, "NA")</f>
        <v>-2.6404603012887058E-2</v>
      </c>
    </row>
    <row r="15" spans="1:30" ht="16.5" customHeight="1" x14ac:dyDescent="0.45">
      <c r="A15" s="12" t="s">
        <v>17</v>
      </c>
      <c r="B15" s="7">
        <v>15.5</v>
      </c>
      <c r="C15" s="8">
        <f>IFERROR(B15/B444, "NA")</f>
        <v>2.3581181182886815E-4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15.5</v>
      </c>
      <c r="I15" s="8">
        <f>IFERROR(H15/H444, "NA")</f>
        <v>1.6083226025357536E-3</v>
      </c>
      <c r="J15" s="9"/>
      <c r="K15" s="7">
        <v>45</v>
      </c>
      <c r="L15" s="8">
        <f>IFERROR(K15/K444, "NA")</f>
        <v>8.4235085522946392E-4</v>
      </c>
      <c r="M15" s="9"/>
      <c r="N15" s="10">
        <f t="shared" si="1"/>
        <v>-29.5</v>
      </c>
      <c r="O15" s="8">
        <f>IFERROR(N15/N444, "NA")</f>
        <v>-2.3967255042466715E-3</v>
      </c>
      <c r="P15" s="9"/>
      <c r="Q15" s="7">
        <v>15.5</v>
      </c>
      <c r="R15" s="8">
        <f>IFERROR(Q15/Q444, "NA")</f>
        <v>2.3581181182886815E-4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15.5</v>
      </c>
      <c r="X15" s="8">
        <f>IFERROR(W15/W444, "NA")</f>
        <v>1.6083226025357536E-3</v>
      </c>
      <c r="Y15" s="9"/>
      <c r="Z15" s="7">
        <v>45</v>
      </c>
      <c r="AA15" s="8">
        <f>IFERROR(Z15/Z444, "NA")</f>
        <v>8.4235085522946392E-4</v>
      </c>
      <c r="AB15" s="9"/>
      <c r="AC15" s="10">
        <f t="shared" si="3"/>
        <v>-29.5</v>
      </c>
      <c r="AD15" s="8">
        <f>IFERROR(AC15/AC444, "NA")</f>
        <v>-2.3967255042466715E-3</v>
      </c>
    </row>
    <row r="16" spans="1:30" ht="16.5" customHeight="1" x14ac:dyDescent="0.45">
      <c r="A16" s="12" t="s">
        <v>18</v>
      </c>
      <c r="B16" s="7">
        <v>1.1000000000000001</v>
      </c>
      <c r="C16" s="8">
        <f>IFERROR(B16/B444, "NA")</f>
        <v>1.6735031807210001E-5</v>
      </c>
      <c r="D16" s="9"/>
      <c r="E16" s="7">
        <v>0</v>
      </c>
      <c r="F16" s="8">
        <f>IFERROR(E16/E444, "NA")</f>
        <v>0</v>
      </c>
      <c r="G16" s="9"/>
      <c r="H16" s="10">
        <f t="shared" si="0"/>
        <v>1.1000000000000001</v>
      </c>
      <c r="I16" s="8">
        <f>IFERROR(H16/H444, "NA")</f>
        <v>1.1413902340576317E-4</v>
      </c>
      <c r="J16" s="9"/>
      <c r="K16" s="7">
        <v>0</v>
      </c>
      <c r="L16" s="8">
        <f>IFERROR(K16/K444, "NA")</f>
        <v>0</v>
      </c>
      <c r="M16" s="9"/>
      <c r="N16" s="10">
        <f t="shared" si="1"/>
        <v>1.1000000000000001</v>
      </c>
      <c r="O16" s="8">
        <f>IFERROR(N16/N444, "NA")</f>
        <v>8.936942558207928E-5</v>
      </c>
      <c r="P16" s="9"/>
      <c r="Q16" s="7">
        <v>1.1000000000000001</v>
      </c>
      <c r="R16" s="8">
        <f>IFERROR(Q16/Q444, "NA")</f>
        <v>1.6735031807210001E-5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1.1413902340576317E-4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8.936942558207928E-5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30792.240000000002</v>
      </c>
      <c r="C18" s="15">
        <f>IFERROR(B18/B444, "NA")</f>
        <v>0.46846283255931276</v>
      </c>
      <c r="D18" s="2"/>
      <c r="E18" s="14">
        <f>IFERROR(E10+E11+E12+E13+E14+E15+E16+E17, "NA")</f>
        <v>27709.95</v>
      </c>
      <c r="F18" s="15">
        <f>IFERROR(E18/E444, "NA")</f>
        <v>0.49400005455225171</v>
      </c>
      <c r="G18" s="2"/>
      <c r="H18" s="14">
        <f t="shared" si="0"/>
        <v>3082.2900000000009</v>
      </c>
      <c r="I18" s="15">
        <f>IFERROR(H18/H444, "NA")</f>
        <v>0.31982688223031802</v>
      </c>
      <c r="J18" s="2"/>
      <c r="K18" s="14">
        <f>IFERROR(K10+K11+K12+K13+K14+K15+K16+K17, "NA")</f>
        <v>35507.33</v>
      </c>
      <c r="L18" s="15">
        <f>IFERROR(K18/K444, "NA")</f>
        <v>0.66465843983144002</v>
      </c>
      <c r="M18" s="2"/>
      <c r="N18" s="14">
        <f t="shared" si="1"/>
        <v>-4715.09</v>
      </c>
      <c r="O18" s="15">
        <f>IFERROR(N18/N444, "NA")</f>
        <v>-0.38307716806164199</v>
      </c>
      <c r="P18" s="2"/>
      <c r="Q18" s="14">
        <f>IFERROR(Q10+Q11+Q12+Q13+Q14+Q15+Q16+Q17, "NA")</f>
        <v>30792.240000000002</v>
      </c>
      <c r="R18" s="15">
        <f>IFERROR(Q18/Q444, "NA")</f>
        <v>0.46846283255931276</v>
      </c>
      <c r="S18" s="2"/>
      <c r="T18" s="14">
        <f>IFERROR(T10+T11+T12+T13+T14+T15+T16+T17, "NA")</f>
        <v>27709.95</v>
      </c>
      <c r="U18" s="15">
        <f>IFERROR(T18/T444, "NA")</f>
        <v>0.49400005455225171</v>
      </c>
      <c r="V18" s="2"/>
      <c r="W18" s="14">
        <f t="shared" si="2"/>
        <v>3082.2900000000009</v>
      </c>
      <c r="X18" s="15">
        <f>IFERROR(W18/W444, "NA")</f>
        <v>0.31982688223031802</v>
      </c>
      <c r="Y18" s="2"/>
      <c r="Z18" s="14">
        <f>IFERROR(Z10+Z11+Z12+Z13+Z14+Z15+Z16+Z17, "NA")</f>
        <v>35507.33</v>
      </c>
      <c r="AA18" s="15">
        <f>IFERROR(Z18/Z444, "NA")</f>
        <v>0.66465843983144002</v>
      </c>
      <c r="AB18" s="2"/>
      <c r="AC18" s="14">
        <f t="shared" si="3"/>
        <v>-4715.09</v>
      </c>
      <c r="AD18" s="15">
        <f>IFERROR(AC18/AC444, "NA")</f>
        <v>-0.38307716806164199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4375.26</v>
      </c>
      <c r="F21" s="8">
        <f>IFERROR(E21/E444, "NA")</f>
        <v>7.8000093059723483E-2</v>
      </c>
      <c r="G21" s="9"/>
      <c r="H21" s="10">
        <f t="shared" ref="H21:H29" si="4">IFERROR(B21-E21, "NA")</f>
        <v>-4375.26</v>
      </c>
      <c r="I21" s="8">
        <f>IFERROR(H21/H444, "NA")</f>
        <v>-0.4539890032239085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4375.26</v>
      </c>
      <c r="U21" s="8">
        <f>IFERROR(T21/T444, "NA")</f>
        <v>7.8000093059723483E-2</v>
      </c>
      <c r="V21" s="9"/>
      <c r="W21" s="10">
        <f t="shared" ref="W21:W29" si="6">IFERROR(Q21-T21, "NA")</f>
        <v>-4375.26</v>
      </c>
      <c r="X21" s="8">
        <f>IFERROR(W21/W444, "NA")</f>
        <v>-0.4539890032239085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4166.95</v>
      </c>
      <c r="C22" s="8">
        <f>IFERROR(B22/B444, "NA")</f>
        <v>6.3394582535503369E-2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4166.95</v>
      </c>
      <c r="I22" s="8">
        <f>IFERROR(H22/H444, "NA")</f>
        <v>0.43237418507331343</v>
      </c>
      <c r="J22" s="9"/>
      <c r="K22" s="7">
        <v>3486.96</v>
      </c>
      <c r="L22" s="8">
        <f>IFERROR(K22/K444, "NA")</f>
        <v>6.5272083070020692E-2</v>
      </c>
      <c r="M22" s="9"/>
      <c r="N22" s="10">
        <f t="shared" si="5"/>
        <v>679.98999999999978</v>
      </c>
      <c r="O22" s="8">
        <f>IFERROR(N22/N444, "NA")</f>
        <v>5.5245741546870966E-2</v>
      </c>
      <c r="P22" s="9"/>
      <c r="Q22" s="7">
        <v>4166.95</v>
      </c>
      <c r="R22" s="8">
        <f>IFERROR(Q22/Q444, "NA")</f>
        <v>6.3394582535503369E-2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4166.95</v>
      </c>
      <c r="X22" s="8">
        <f>IFERROR(W22/W444, "NA")</f>
        <v>0.43237418507331343</v>
      </c>
      <c r="Y22" s="9"/>
      <c r="Z22" s="7">
        <v>3486.96</v>
      </c>
      <c r="AA22" s="8">
        <f>IFERROR(Z22/Z444, "NA")</f>
        <v>6.5272083070020692E-2</v>
      </c>
      <c r="AB22" s="9"/>
      <c r="AC22" s="10">
        <f t="shared" si="7"/>
        <v>679.98999999999978</v>
      </c>
      <c r="AD22" s="8">
        <f>IFERROR(AC22/AC444, "NA")</f>
        <v>5.5245741546870966E-2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696.28</v>
      </c>
      <c r="C24" s="8">
        <f>IFERROR(B24/B444, "NA")</f>
        <v>1.0592970860658343E-2</v>
      </c>
      <c r="D24" s="9"/>
      <c r="E24" s="7">
        <v>0</v>
      </c>
      <c r="F24" s="8">
        <f>IFERROR(E24/E444, "NA")</f>
        <v>0</v>
      </c>
      <c r="G24" s="9"/>
      <c r="H24" s="10">
        <f t="shared" si="4"/>
        <v>696.28</v>
      </c>
      <c r="I24" s="8">
        <f>IFERROR(H24/H444, "NA")</f>
        <v>7.2247926560877057E-2</v>
      </c>
      <c r="J24" s="9"/>
      <c r="K24" s="7">
        <v>289.81</v>
      </c>
      <c r="L24" s="8">
        <f>IFERROR(K24/K444, "NA")</f>
        <v>5.4249266967566871E-3</v>
      </c>
      <c r="M24" s="9"/>
      <c r="N24" s="10">
        <f t="shared" si="5"/>
        <v>406.46999999999997</v>
      </c>
      <c r="O24" s="8">
        <f>IFERROR(N24/N444, "NA")</f>
        <v>3.3023627651225233E-2</v>
      </c>
      <c r="P24" s="9"/>
      <c r="Q24" s="7">
        <v>696.28</v>
      </c>
      <c r="R24" s="8">
        <f>IFERROR(Q24/Q444, "NA")</f>
        <v>1.0592970860658343E-2</v>
      </c>
      <c r="S24" s="9"/>
      <c r="T24" s="7">
        <v>0</v>
      </c>
      <c r="U24" s="8">
        <f>IFERROR(T24/T444, "NA")</f>
        <v>0</v>
      </c>
      <c r="V24" s="9"/>
      <c r="W24" s="10">
        <f t="shared" si="6"/>
        <v>696.28</v>
      </c>
      <c r="X24" s="8">
        <f>IFERROR(W24/W444, "NA")</f>
        <v>7.2247926560877057E-2</v>
      </c>
      <c r="Y24" s="9"/>
      <c r="Z24" s="7">
        <v>289.81</v>
      </c>
      <c r="AA24" s="8">
        <f>IFERROR(Z24/Z444, "NA")</f>
        <v>5.4249266967566871E-3</v>
      </c>
      <c r="AB24" s="9"/>
      <c r="AC24" s="10">
        <f t="shared" si="7"/>
        <v>406.46999999999997</v>
      </c>
      <c r="AD24" s="8">
        <f>IFERROR(AC24/AC444, "NA")</f>
        <v>3.3023627651225233E-2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214.9</v>
      </c>
      <c r="L27" s="8">
        <f>IFERROR(K27/K444, "NA")</f>
        <v>4.0226933064180402E-3</v>
      </c>
      <c r="M27" s="9"/>
      <c r="N27" s="10">
        <f t="shared" si="5"/>
        <v>-214.9</v>
      </c>
      <c r="O27" s="8">
        <f>IFERROR(N27/N444, "NA")</f>
        <v>-1.7459535961444395E-2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214.9</v>
      </c>
      <c r="AA27" s="8">
        <f>IFERROR(Z27/Z444, "NA")</f>
        <v>4.0226933064180402E-3</v>
      </c>
      <c r="AB27" s="9"/>
      <c r="AC27" s="10">
        <f t="shared" si="7"/>
        <v>-214.9</v>
      </c>
      <c r="AD27" s="8">
        <f>IFERROR(AC27/AC444, "NA")</f>
        <v>-1.7459535961444395E-2</v>
      </c>
    </row>
    <row r="28" spans="1:30" ht="16.5" customHeight="1" x14ac:dyDescent="0.45">
      <c r="A28" s="12" t="s">
        <v>29</v>
      </c>
      <c r="B28" s="7">
        <v>802.66</v>
      </c>
      <c r="C28" s="8">
        <f>IFERROR(B28/B444, "NA")</f>
        <v>1.2211400573068342E-2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802.66</v>
      </c>
      <c r="I28" s="8">
        <f>IFERROR(H28/H444, "NA")</f>
        <v>8.328620775169987E-2</v>
      </c>
      <c r="J28" s="9"/>
      <c r="K28" s="7">
        <v>0</v>
      </c>
      <c r="L28" s="8">
        <f>IFERROR(K28/K444, "NA")</f>
        <v>0</v>
      </c>
      <c r="M28" s="9"/>
      <c r="N28" s="10">
        <f t="shared" si="5"/>
        <v>802.66</v>
      </c>
      <c r="O28" s="8">
        <f>IFERROR(N28/N444, "NA")</f>
        <v>6.521205739791977E-2</v>
      </c>
      <c r="P28" s="9"/>
      <c r="Q28" s="7">
        <v>802.66</v>
      </c>
      <c r="R28" s="8">
        <f>IFERROR(Q28/Q444, "NA")</f>
        <v>1.2211400573068342E-2</v>
      </c>
      <c r="S28" s="9"/>
      <c r="T28" s="7">
        <v>0</v>
      </c>
      <c r="U28" s="8">
        <f>IFERROR(T28/T444, "NA")</f>
        <v>0</v>
      </c>
      <c r="V28" s="9"/>
      <c r="W28" s="10">
        <f t="shared" si="6"/>
        <v>802.66</v>
      </c>
      <c r="X28" s="8">
        <f>IFERROR(W28/W444, "NA")</f>
        <v>8.328620775169987E-2</v>
      </c>
      <c r="Y28" s="9"/>
      <c r="Z28" s="7">
        <v>0</v>
      </c>
      <c r="AA28" s="8">
        <f>IFERROR(Z28/Z444, "NA")</f>
        <v>0</v>
      </c>
      <c r="AB28" s="9"/>
      <c r="AC28" s="10">
        <f t="shared" si="7"/>
        <v>802.66</v>
      </c>
      <c r="AD28" s="8">
        <f>IFERROR(AC28/AC444, "NA")</f>
        <v>6.521205739791977E-2</v>
      </c>
    </row>
    <row r="29" spans="1:30" ht="16.5" customHeight="1" x14ac:dyDescent="0.45">
      <c r="A29" s="13" t="s">
        <v>30</v>
      </c>
      <c r="B29" s="14">
        <f>IFERROR(B21+B22+B23+B24+B25+B26+B27+B28, "NA")</f>
        <v>5665.8899999999994</v>
      </c>
      <c r="C29" s="15">
        <f>IFERROR(B29/B444, "NA")</f>
        <v>8.6198953969230038E-2</v>
      </c>
      <c r="D29" s="2"/>
      <c r="E29" s="14">
        <f>IFERROR(E21+E22+E23+E24+E25+E26+E27+E28, "NA")</f>
        <v>4375.26</v>
      </c>
      <c r="F29" s="15">
        <f>IFERROR(E29/E444, "NA")</f>
        <v>7.8000093059723483E-2</v>
      </c>
      <c r="G29" s="2"/>
      <c r="H29" s="14">
        <f t="shared" si="4"/>
        <v>1290.6299999999992</v>
      </c>
      <c r="I29" s="15">
        <f>IFERROR(H29/H444, "NA")</f>
        <v>0.13391931616198183</v>
      </c>
      <c r="J29" s="2"/>
      <c r="K29" s="14">
        <f>IFERROR(K21+K22+K23+K24+K25+K26+K27+K28, "NA")</f>
        <v>3991.67</v>
      </c>
      <c r="L29" s="15">
        <f>IFERROR(K29/K444, "NA")</f>
        <v>7.471970307319542E-2</v>
      </c>
      <c r="M29" s="2"/>
      <c r="N29" s="14">
        <f t="shared" si="5"/>
        <v>1674.2199999999993</v>
      </c>
      <c r="O29" s="15">
        <f>IFERROR(N29/N444, "NA")</f>
        <v>0.13602189063457154</v>
      </c>
      <c r="P29" s="2"/>
      <c r="Q29" s="14">
        <f>IFERROR(Q21+Q22+Q23+Q24+Q25+Q26+Q27+Q28, "NA")</f>
        <v>5665.8899999999994</v>
      </c>
      <c r="R29" s="15">
        <f>IFERROR(Q29/Q444, "NA")</f>
        <v>8.6198953969230038E-2</v>
      </c>
      <c r="S29" s="2"/>
      <c r="T29" s="14">
        <f>IFERROR(T21+T22+T23+T24+T25+T26+T27+T28, "NA")</f>
        <v>4375.26</v>
      </c>
      <c r="U29" s="15">
        <f>IFERROR(T29/T444, "NA")</f>
        <v>7.8000093059723483E-2</v>
      </c>
      <c r="V29" s="2"/>
      <c r="W29" s="14">
        <f t="shared" si="6"/>
        <v>1290.6299999999992</v>
      </c>
      <c r="X29" s="15">
        <f>IFERROR(W29/W444, "NA")</f>
        <v>0.13391931616198183</v>
      </c>
      <c r="Y29" s="2"/>
      <c r="Z29" s="14">
        <f>IFERROR(Z21+Z22+Z23+Z24+Z25+Z26+Z27+Z28, "NA")</f>
        <v>3991.67</v>
      </c>
      <c r="AA29" s="15">
        <f>IFERROR(Z29/Z444, "NA")</f>
        <v>7.471970307319542E-2</v>
      </c>
      <c r="AB29" s="2"/>
      <c r="AC29" s="14">
        <f t="shared" si="7"/>
        <v>1674.2199999999993</v>
      </c>
      <c r="AD29" s="15">
        <f>IFERROR(AC29/AC444, "NA")</f>
        <v>0.13602189063457154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13630.6</v>
      </c>
      <c r="F31" s="8">
        <f>IFERROR(E31/E444, "NA")</f>
        <v>0.24299997450662747</v>
      </c>
      <c r="G31" s="9"/>
      <c r="H31" s="10">
        <f t="shared" ref="H31:H40" si="8">IFERROR(B31-E31, "NA")</f>
        <v>-13630.6</v>
      </c>
      <c r="I31" s="8">
        <f>IFERROR(H31/H444, "NA")</f>
        <v>-1.4143485203950867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13630.6</v>
      </c>
      <c r="U31" s="8">
        <f>IFERROR(T31/T444, "NA")</f>
        <v>0.24299997450662747</v>
      </c>
      <c r="V31" s="9"/>
      <c r="W31" s="10">
        <f t="shared" ref="W31:W40" si="10">IFERROR(Q31-T31, "NA")</f>
        <v>-13630.6</v>
      </c>
      <c r="X31" s="8">
        <f>IFERROR(W31/W444, "NA")</f>
        <v>-1.4143485203950867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8366.34</v>
      </c>
      <c r="C33" s="8">
        <f>IFERROR(B33/B444, "NA")</f>
        <v>0.12728269637266665</v>
      </c>
      <c r="D33" s="9"/>
      <c r="E33" s="7">
        <v>0</v>
      </c>
      <c r="F33" s="8">
        <f>IFERROR(E33/E444, "NA")</f>
        <v>0</v>
      </c>
      <c r="G33" s="9"/>
      <c r="H33" s="10">
        <f t="shared" si="8"/>
        <v>8366.34</v>
      </c>
      <c r="I33" s="8">
        <f>IFERROR(H33/H444, "NA")</f>
        <v>0.86811443370961139</v>
      </c>
      <c r="J33" s="9"/>
      <c r="K33" s="7">
        <v>4243.3999999999996</v>
      </c>
      <c r="L33" s="8">
        <f>IFERROR(K33/K444, "NA")</f>
        <v>7.9431813757349035E-2</v>
      </c>
      <c r="M33" s="9"/>
      <c r="N33" s="10">
        <f t="shared" si="9"/>
        <v>4122.9400000000005</v>
      </c>
      <c r="O33" s="8">
        <f>IFERROR(N33/N444, "NA")</f>
        <v>0.33496798137216177</v>
      </c>
      <c r="P33" s="9"/>
      <c r="Q33" s="7">
        <v>8366.34</v>
      </c>
      <c r="R33" s="8">
        <f>IFERROR(Q33/Q444, "NA")</f>
        <v>0.12728269637266665</v>
      </c>
      <c r="S33" s="9"/>
      <c r="T33" s="7">
        <v>0</v>
      </c>
      <c r="U33" s="8">
        <f>IFERROR(T33/T444, "NA")</f>
        <v>0</v>
      </c>
      <c r="V33" s="9"/>
      <c r="W33" s="10">
        <f t="shared" si="10"/>
        <v>8366.34</v>
      </c>
      <c r="X33" s="8">
        <f>IFERROR(W33/W444, "NA")</f>
        <v>0.86811443370961139</v>
      </c>
      <c r="Y33" s="9"/>
      <c r="Z33" s="7">
        <v>4243.3999999999996</v>
      </c>
      <c r="AA33" s="8">
        <f>IFERROR(Z33/Z444, "NA")</f>
        <v>7.9431813757349035E-2</v>
      </c>
      <c r="AB33" s="9"/>
      <c r="AC33" s="10">
        <f t="shared" si="11"/>
        <v>4122.9400000000005</v>
      </c>
      <c r="AD33" s="8">
        <f>IFERROR(AC33/AC444, "NA")</f>
        <v>0.33496798137216177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1109.9100000000001</v>
      </c>
      <c r="C35" s="8">
        <f>IFERROR(B35/B444, "NA")</f>
        <v>1.6885799230127681E-2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1109.9100000000001</v>
      </c>
      <c r="I35" s="8">
        <f>IFERROR(H35/H444, "NA")</f>
        <v>0.11516731224390055</v>
      </c>
      <c r="J35" s="9"/>
      <c r="K35" s="7">
        <v>0</v>
      </c>
      <c r="L35" s="8">
        <f>IFERROR(K35/K444, "NA")</f>
        <v>0</v>
      </c>
      <c r="M35" s="9"/>
      <c r="N35" s="10">
        <f t="shared" si="9"/>
        <v>1109.9100000000001</v>
      </c>
      <c r="O35" s="8">
        <f>IFERROR(N35/N444, "NA")</f>
        <v>9.0174562861641466E-2</v>
      </c>
      <c r="P35" s="9"/>
      <c r="Q35" s="7">
        <v>1109.9100000000001</v>
      </c>
      <c r="R35" s="8">
        <f>IFERROR(Q35/Q444, "NA")</f>
        <v>1.6885799230127681E-2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1109.9100000000001</v>
      </c>
      <c r="X35" s="8">
        <f>IFERROR(W35/W444, "NA")</f>
        <v>0.11516731224390055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1109.9100000000001</v>
      </c>
      <c r="AD35" s="8">
        <f>IFERROR(AC35/AC444, "NA")</f>
        <v>9.0174562861641466E-2</v>
      </c>
    </row>
    <row r="36" spans="1:30" ht="16.5" customHeight="1" x14ac:dyDescent="0.45">
      <c r="A36" s="12" t="s">
        <v>36</v>
      </c>
      <c r="B36" s="7">
        <v>13071.22</v>
      </c>
      <c r="C36" s="8">
        <f>IFERROR(B36/B444, "NA")</f>
        <v>0.19886116587185407</v>
      </c>
      <c r="D36" s="9"/>
      <c r="E36" s="7">
        <v>0</v>
      </c>
      <c r="F36" s="8">
        <f>IFERROR(E36/E444, "NA")</f>
        <v>0</v>
      </c>
      <c r="G36" s="9"/>
      <c r="H36" s="10">
        <f t="shared" si="8"/>
        <v>13071.22</v>
      </c>
      <c r="I36" s="8">
        <f>IFERROR(H36/H444, "NA")</f>
        <v>1.3563057141107995</v>
      </c>
      <c r="J36" s="9"/>
      <c r="K36" s="7">
        <v>6165.08</v>
      </c>
      <c r="L36" s="8">
        <f>IFERROR(K36/K444, "NA")</f>
        <v>0.11540356467906807</v>
      </c>
      <c r="M36" s="9"/>
      <c r="N36" s="10">
        <f t="shared" si="9"/>
        <v>6906.1399999999994</v>
      </c>
      <c r="O36" s="8">
        <f>IFERROR(N36/N444, "NA")</f>
        <v>0.56108887708129174</v>
      </c>
      <c r="P36" s="9"/>
      <c r="Q36" s="7">
        <v>13071.22</v>
      </c>
      <c r="R36" s="8">
        <f>IFERROR(Q36/Q444, "NA")</f>
        <v>0.19886116587185407</v>
      </c>
      <c r="S36" s="9"/>
      <c r="T36" s="7">
        <v>0</v>
      </c>
      <c r="U36" s="8">
        <f>IFERROR(T36/T444, "NA")</f>
        <v>0</v>
      </c>
      <c r="V36" s="9"/>
      <c r="W36" s="10">
        <f t="shared" si="10"/>
        <v>13071.22</v>
      </c>
      <c r="X36" s="8">
        <f>IFERROR(W36/W444, "NA")</f>
        <v>1.3563057141107995</v>
      </c>
      <c r="Y36" s="9"/>
      <c r="Z36" s="7">
        <v>6165.08</v>
      </c>
      <c r="AA36" s="8">
        <f>IFERROR(Z36/Z444, "NA")</f>
        <v>0.11540356467906807</v>
      </c>
      <c r="AB36" s="9"/>
      <c r="AC36" s="10">
        <f t="shared" si="11"/>
        <v>6906.1399999999994</v>
      </c>
      <c r="AD36" s="8">
        <f>IFERROR(AC36/AC444, "NA")</f>
        <v>0.56108887708129174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621.65</v>
      </c>
      <c r="C39" s="8">
        <f>IFERROR(B39/B444, "NA")</f>
        <v>9.4575750208655412E-3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621.65</v>
      </c>
      <c r="I39" s="8">
        <f>IFERROR(H39/H444, "NA")</f>
        <v>6.4504112636538782E-2</v>
      </c>
      <c r="J39" s="9"/>
      <c r="K39" s="7">
        <v>811.55</v>
      </c>
      <c r="L39" s="8">
        <f>IFERROR(K39/K444, "NA")</f>
        <v>1.5191329701366031E-2</v>
      </c>
      <c r="M39" s="9"/>
      <c r="N39" s="10">
        <f t="shared" si="9"/>
        <v>-189.89999999999998</v>
      </c>
      <c r="O39" s="8">
        <f>IFERROR(N39/N444, "NA")</f>
        <v>-1.5428412652760775E-2</v>
      </c>
      <c r="P39" s="9"/>
      <c r="Q39" s="7">
        <v>621.65</v>
      </c>
      <c r="R39" s="8">
        <f>IFERROR(Q39/Q444, "NA")</f>
        <v>9.4575750208655412E-3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621.65</v>
      </c>
      <c r="X39" s="8">
        <f>IFERROR(W39/W444, "NA")</f>
        <v>6.4504112636538782E-2</v>
      </c>
      <c r="Y39" s="9"/>
      <c r="Z39" s="7">
        <v>811.55</v>
      </c>
      <c r="AA39" s="8">
        <f>IFERROR(Z39/Z444, "NA")</f>
        <v>1.5191329701366031E-2</v>
      </c>
      <c r="AB39" s="9"/>
      <c r="AC39" s="10">
        <f t="shared" si="11"/>
        <v>-189.89999999999998</v>
      </c>
      <c r="AD39" s="8">
        <f>IFERROR(AC39/AC444, "NA")</f>
        <v>-1.5428412652760775E-2</v>
      </c>
    </row>
    <row r="40" spans="1:30" ht="16.5" customHeight="1" x14ac:dyDescent="0.45">
      <c r="A40" s="13" t="s">
        <v>40</v>
      </c>
      <c r="B40" s="14">
        <f>IFERROR(B31+B32+B33+B34+B35+B36+B37+B38+B39, "NA")</f>
        <v>23169.120000000003</v>
      </c>
      <c r="C40" s="15">
        <f>IFERROR(B40/B444, "NA")</f>
        <v>0.35248723649551394</v>
      </c>
      <c r="D40" s="2"/>
      <c r="E40" s="14">
        <f>IFERROR(E31+E32+E33+E34+E35+E36+E37+E38+E39, "NA")</f>
        <v>13630.6</v>
      </c>
      <c r="F40" s="15">
        <f>IFERROR(E40/E444, "NA")</f>
        <v>0.24299997450662747</v>
      </c>
      <c r="G40" s="2"/>
      <c r="H40" s="14">
        <f t="shared" si="8"/>
        <v>9538.5200000000023</v>
      </c>
      <c r="I40" s="15">
        <f>IFERROR(H40/H444, "NA")</f>
        <v>0.98974305230576387</v>
      </c>
      <c r="J40" s="2"/>
      <c r="K40" s="14">
        <f>IFERROR(K31+K32+K33+K34+K35+K36+K37+K38+K39, "NA")</f>
        <v>11220.029999999999</v>
      </c>
      <c r="L40" s="15">
        <f>IFERROR(K40/K444, "NA")</f>
        <v>0.21002670813778312</v>
      </c>
      <c r="M40" s="2"/>
      <c r="N40" s="14">
        <f t="shared" si="9"/>
        <v>11949.090000000004</v>
      </c>
      <c r="O40" s="15">
        <f>IFERROR(N40/N444, "NA")</f>
        <v>0.97080300866233449</v>
      </c>
      <c r="P40" s="2"/>
      <c r="Q40" s="14">
        <f>IFERROR(Q31+Q32+Q33+Q34+Q35+Q36+Q37+Q38+Q39, "NA")</f>
        <v>23169.120000000003</v>
      </c>
      <c r="R40" s="15">
        <f>IFERROR(Q40/Q444, "NA")</f>
        <v>0.35248723649551394</v>
      </c>
      <c r="S40" s="2"/>
      <c r="T40" s="14">
        <f>IFERROR(T31+T32+T33+T34+T35+T36+T37+T38+T39, "NA")</f>
        <v>13630.6</v>
      </c>
      <c r="U40" s="15">
        <f>IFERROR(T40/T444, "NA")</f>
        <v>0.24299997450662747</v>
      </c>
      <c r="V40" s="2"/>
      <c r="W40" s="14">
        <f t="shared" si="10"/>
        <v>9538.5200000000023</v>
      </c>
      <c r="X40" s="15">
        <f>IFERROR(W40/W444, "NA")</f>
        <v>0.98974305230576387</v>
      </c>
      <c r="Y40" s="2"/>
      <c r="Z40" s="14">
        <f>IFERROR(Z31+Z32+Z33+Z34+Z35+Z36+Z37+Z38+Z39, "NA")</f>
        <v>11220.029999999999</v>
      </c>
      <c r="AA40" s="15">
        <f>IFERROR(Z40/Z444, "NA")</f>
        <v>0.21002670813778312</v>
      </c>
      <c r="AB40" s="2"/>
      <c r="AC40" s="14">
        <f t="shared" si="11"/>
        <v>11949.090000000004</v>
      </c>
      <c r="AD40" s="15">
        <f>IFERROR(AC40/AC444, "NA")</f>
        <v>0.97080300866233449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3272.1</v>
      </c>
      <c r="C43" s="8">
        <f>IFERROR(B43/B444, "NA")</f>
        <v>4.9780634160338032E-2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3272.1</v>
      </c>
      <c r="I43" s="8">
        <f>IFERROR(H43/H444, "NA")</f>
        <v>0.33952208953272511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3272.1</v>
      </c>
      <c r="O43" s="8">
        <f>IFERROR(N43/N444, "NA")</f>
        <v>0.26584154313374686</v>
      </c>
      <c r="P43" s="9"/>
      <c r="Q43" s="7">
        <v>3272.1</v>
      </c>
      <c r="R43" s="8">
        <f>IFERROR(Q43/Q444, "NA")</f>
        <v>4.9780634160338032E-2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3272.1</v>
      </c>
      <c r="X43" s="8">
        <f>IFERROR(W43/W444, "NA")</f>
        <v>0.33952208953272511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3272.1</v>
      </c>
      <c r="AD43" s="8">
        <f>IFERROR(AC43/AC444, "NA")</f>
        <v>0.26584154313374686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11386.88</v>
      </c>
      <c r="F46" s="8">
        <f>IFERROR(E46/E444, "NA")</f>
        <v>0.20299998163764074</v>
      </c>
      <c r="G46" s="9"/>
      <c r="H46" s="10">
        <f t="shared" ref="H46:H62" si="12">IFERROR(B46-E46, "NA")</f>
        <v>-11386.88</v>
      </c>
      <c r="I46" s="8">
        <f>IFERROR(H46/H444, "NA")</f>
        <v>-1.181533966216924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11386.88</v>
      </c>
      <c r="U46" s="8">
        <f>IFERROR(T46/T444, "NA")</f>
        <v>0.20299998163764074</v>
      </c>
      <c r="V46" s="9"/>
      <c r="W46" s="10">
        <f t="shared" ref="W46:W62" si="14">IFERROR(Q46-T46, "NA")</f>
        <v>-11386.88</v>
      </c>
      <c r="X46" s="8">
        <f>IFERROR(W46/W444, "NA")</f>
        <v>-1.181533966216924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4702.33</v>
      </c>
      <c r="C48" s="8">
        <f>IFERROR(B48/B444, "NA")</f>
        <v>7.153967465272526E-2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4702.33</v>
      </c>
      <c r="I48" s="8">
        <f>IFERROR(H48/H444, "NA")</f>
        <v>0.48792668539238387</v>
      </c>
      <c r="J48" s="9"/>
      <c r="K48" s="7">
        <v>7639.1</v>
      </c>
      <c r="L48" s="8">
        <f>IFERROR(K48/K444, "NA")</f>
        <v>0.1429956092929644</v>
      </c>
      <c r="M48" s="9"/>
      <c r="N48" s="10">
        <f t="shared" si="13"/>
        <v>-2936.7700000000004</v>
      </c>
      <c r="O48" s="8">
        <f>IFERROR(N48/N444, "NA")</f>
        <v>-0.23859767996971179</v>
      </c>
      <c r="P48" s="9"/>
      <c r="Q48" s="7">
        <v>4702.33</v>
      </c>
      <c r="R48" s="8">
        <f>IFERROR(Q48/Q444, "NA")</f>
        <v>7.153967465272526E-2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4702.33</v>
      </c>
      <c r="X48" s="8">
        <f>IFERROR(W48/W444, "NA")</f>
        <v>0.48792668539238387</v>
      </c>
      <c r="Y48" s="9"/>
      <c r="Z48" s="7">
        <v>7639.1</v>
      </c>
      <c r="AA48" s="8">
        <f>IFERROR(Z48/Z444, "NA")</f>
        <v>0.1429956092929644</v>
      </c>
      <c r="AB48" s="9"/>
      <c r="AC48" s="10">
        <f t="shared" si="15"/>
        <v>-2936.7700000000004</v>
      </c>
      <c r="AD48" s="8">
        <f>IFERROR(AC48/AC444, "NA")</f>
        <v>-0.23859767996971179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410.02</v>
      </c>
      <c r="L49" s="8">
        <f>IFERROR(K49/K444, "NA")</f>
        <v>7.6751266146929944E-3</v>
      </c>
      <c r="M49" s="9"/>
      <c r="N49" s="10">
        <f t="shared" si="13"/>
        <v>-410.02</v>
      </c>
      <c r="O49" s="8">
        <f>IFERROR(N49/N444, "NA")</f>
        <v>-3.331204716105831E-2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410.02</v>
      </c>
      <c r="AA49" s="8">
        <f>IFERROR(Z49/Z444, "NA")</f>
        <v>7.6751266146929944E-3</v>
      </c>
      <c r="AB49" s="9"/>
      <c r="AC49" s="10">
        <f t="shared" si="15"/>
        <v>-410.02</v>
      </c>
      <c r="AD49" s="8">
        <f>IFERROR(AC49/AC444, "NA")</f>
        <v>-3.331204716105831E-2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236.5</v>
      </c>
      <c r="L55" s="8">
        <f>IFERROR(K55/K444, "NA")</f>
        <v>4.4270217169281824E-3</v>
      </c>
      <c r="M55" s="9"/>
      <c r="N55" s="10">
        <f t="shared" si="13"/>
        <v>-236.5</v>
      </c>
      <c r="O55" s="8">
        <f>IFERROR(N55/N444, "NA")</f>
        <v>-1.9214426500147045E-2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236.5</v>
      </c>
      <c r="AA55" s="8">
        <f>IFERROR(Z55/Z444, "NA")</f>
        <v>4.4270217169281824E-3</v>
      </c>
      <c r="AB55" s="9"/>
      <c r="AC55" s="10">
        <f t="shared" si="15"/>
        <v>-236.5</v>
      </c>
      <c r="AD55" s="8">
        <f>IFERROR(AC55/AC444, "NA")</f>
        <v>-1.9214426500147045E-2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4702.33</v>
      </c>
      <c r="C61" s="15">
        <f>IFERROR(B61/B444, "NA")</f>
        <v>7.153967465272526E-2</v>
      </c>
      <c r="D61" s="2"/>
      <c r="E61" s="14">
        <f>IFERROR(E46+E47+E48+E49+E50+E51+E52+E53+E54+E55+E56+E57+E58+E59+E60, "NA")</f>
        <v>11386.88</v>
      </c>
      <c r="F61" s="15">
        <f>IFERROR(E61/E444, "NA")</f>
        <v>0.20299998163764074</v>
      </c>
      <c r="G61" s="2"/>
      <c r="H61" s="14">
        <f t="shared" si="12"/>
        <v>-6684.5499999999993</v>
      </c>
      <c r="I61" s="15">
        <f>IFERROR(H61/H444, "NA")</f>
        <v>-0.69360728082454004</v>
      </c>
      <c r="J61" s="2"/>
      <c r="K61" s="14">
        <f>IFERROR(K46+K47+K48+K49+K50+K51+K52+K53+K54+K55+K56+K57+K58+K59+K60, "NA")</f>
        <v>8285.6200000000008</v>
      </c>
      <c r="L61" s="15">
        <f>IFERROR(K61/K444, "NA")</f>
        <v>0.15509775762458558</v>
      </c>
      <c r="M61" s="2"/>
      <c r="N61" s="14">
        <f t="shared" si="13"/>
        <v>-3583.2900000000009</v>
      </c>
      <c r="O61" s="15">
        <f>IFERROR(N61/N444, "NA")</f>
        <v>-0.2911241536309172</v>
      </c>
      <c r="P61" s="2"/>
      <c r="Q61" s="14">
        <f>IFERROR(Q46+Q47+Q48+Q49+Q50+Q51+Q52+Q53+Q54+Q55+Q56+Q57+Q58+Q59+Q60, "NA")</f>
        <v>4702.33</v>
      </c>
      <c r="R61" s="15">
        <f>IFERROR(Q61/Q444, "NA")</f>
        <v>7.153967465272526E-2</v>
      </c>
      <c r="S61" s="2"/>
      <c r="T61" s="14">
        <f>IFERROR(T46+T47+T48+T49+T50+T51+T52+T53+T54+T55+T56+T57+T58+T59+T60, "NA")</f>
        <v>11386.88</v>
      </c>
      <c r="U61" s="15">
        <f>IFERROR(T61/T444, "NA")</f>
        <v>0.20299998163764074</v>
      </c>
      <c r="V61" s="2"/>
      <c r="W61" s="14">
        <f t="shared" si="14"/>
        <v>-6684.5499999999993</v>
      </c>
      <c r="X61" s="15">
        <f>IFERROR(W61/W444, "NA")</f>
        <v>-0.69360728082454004</v>
      </c>
      <c r="Y61" s="2"/>
      <c r="Z61" s="14">
        <f>IFERROR(Z46+Z47+Z48+Z49+Z50+Z51+Z52+Z53+Z54+Z55+Z56+Z57+Z58+Z59+Z60, "NA")</f>
        <v>8285.6200000000008</v>
      </c>
      <c r="AA61" s="15">
        <f>IFERROR(Z61/Z444, "NA")</f>
        <v>0.15509775762458558</v>
      </c>
      <c r="AB61" s="2"/>
      <c r="AC61" s="14">
        <f t="shared" si="15"/>
        <v>-3583.2900000000009</v>
      </c>
      <c r="AD61" s="15">
        <f>IFERROR(AC61/AC444, "NA")</f>
        <v>-0.2911241536309172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7974.43</v>
      </c>
      <c r="C62" s="15">
        <f>IFERROR(B62/B444, "NA")</f>
        <v>0.1213203088130633</v>
      </c>
      <c r="D62" s="2"/>
      <c r="E62" s="14">
        <f>IFERROR(E42+E43+E44+E46+E47+E48+E49+E50+E51+E52+E53+E54+E55+E56+E57+E58+E59+E60, "NA")</f>
        <v>11386.88</v>
      </c>
      <c r="F62" s="15">
        <f>IFERROR(E62/E444, "NA")</f>
        <v>0.20299998163764074</v>
      </c>
      <c r="G62" s="2"/>
      <c r="H62" s="14">
        <f t="shared" si="12"/>
        <v>-3412.4499999999989</v>
      </c>
      <c r="I62" s="15">
        <f>IFERROR(H62/H444, "NA")</f>
        <v>-0.35408519129181487</v>
      </c>
      <c r="J62" s="2"/>
      <c r="K62" s="14">
        <f>IFERROR(K42+K43+K44+K46+K47+K48+K49+K50+K51+K52+K53+K54+K55+K56+K57+K58+K59+K60, "NA")</f>
        <v>8285.6200000000008</v>
      </c>
      <c r="L62" s="15">
        <f>IFERROR(K62/K444, "NA")</f>
        <v>0.15509775762458558</v>
      </c>
      <c r="M62" s="2"/>
      <c r="N62" s="14">
        <f t="shared" si="13"/>
        <v>-311.19000000000051</v>
      </c>
      <c r="O62" s="15">
        <f>IFERROR(N62/N444, "NA")</f>
        <v>-2.5282610497170267E-2</v>
      </c>
      <c r="P62" s="2"/>
      <c r="Q62" s="14">
        <f>IFERROR(Q42+Q43+Q44+Q46+Q47+Q48+Q49+Q50+Q51+Q52+Q53+Q54+Q55+Q56+Q57+Q58+Q59+Q60, "NA")</f>
        <v>7974.43</v>
      </c>
      <c r="R62" s="15">
        <f>IFERROR(Q62/Q444, "NA")</f>
        <v>0.1213203088130633</v>
      </c>
      <c r="S62" s="2"/>
      <c r="T62" s="14">
        <f>IFERROR(T42+T43+T44+T46+T47+T48+T49+T50+T51+T52+T53+T54+T55+T56+T57+T58+T59+T60, "NA")</f>
        <v>11386.88</v>
      </c>
      <c r="U62" s="15">
        <f>IFERROR(T62/T444, "NA")</f>
        <v>0.20299998163764074</v>
      </c>
      <c r="V62" s="2"/>
      <c r="W62" s="14">
        <f t="shared" si="14"/>
        <v>-3412.4499999999989</v>
      </c>
      <c r="X62" s="15">
        <f>IFERROR(W62/W444, "NA")</f>
        <v>-0.35408519129181487</v>
      </c>
      <c r="Y62" s="2"/>
      <c r="Z62" s="14">
        <f>IFERROR(Z42+Z43+Z44+Z46+Z47+Z48+Z49+Z50+Z51+Z52+Z53+Z54+Z55+Z56+Z57+Z58+Z59+Z60, "NA")</f>
        <v>8285.6200000000008</v>
      </c>
      <c r="AA62" s="15">
        <f>IFERROR(Z62/Z444, "NA")</f>
        <v>0.15509775762458558</v>
      </c>
      <c r="AB62" s="2"/>
      <c r="AC62" s="14">
        <f t="shared" si="15"/>
        <v>-311.19000000000051</v>
      </c>
      <c r="AD62" s="15">
        <f>IFERROR(AC62/AC444, "NA")</f>
        <v>-2.5282610497170267E-2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2110.1999999999998</v>
      </c>
      <c r="C65" s="8">
        <f>IFERROR(B65/B444, "NA")</f>
        <v>3.210387647234049E-2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2110.1999999999998</v>
      </c>
      <c r="I65" s="8">
        <f>IFERROR(H65/H444, "NA")</f>
        <v>0.21896015199167401</v>
      </c>
      <c r="J65" s="9"/>
      <c r="K65" s="7">
        <v>0</v>
      </c>
      <c r="L65" s="8">
        <f>IFERROR(K65/K444, "NA")</f>
        <v>0</v>
      </c>
      <c r="M65" s="9"/>
      <c r="N65" s="10">
        <f t="shared" si="17"/>
        <v>2110.1999999999998</v>
      </c>
      <c r="O65" s="8">
        <f>IFERROR(N65/N444, "NA")</f>
        <v>0.17144305623936695</v>
      </c>
      <c r="P65" s="9"/>
      <c r="Q65" s="7">
        <v>2110.1999999999998</v>
      </c>
      <c r="R65" s="8">
        <f>IFERROR(Q65/Q444, "NA")</f>
        <v>3.210387647234049E-2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2110.1999999999998</v>
      </c>
      <c r="X65" s="8">
        <f>IFERROR(W65/W444, "NA")</f>
        <v>0.21896015199167401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2110.1999999999998</v>
      </c>
      <c r="AD65" s="8">
        <f>IFERROR(AC65/AC444, "NA")</f>
        <v>0.17144305623936695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2110.1999999999998</v>
      </c>
      <c r="C73" s="15">
        <f>IFERROR(B73/B444, "NA")</f>
        <v>3.210387647234049E-2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2110.1999999999998</v>
      </c>
      <c r="I73" s="15">
        <f>IFERROR(H73/H444, "NA")</f>
        <v>0.21896015199167401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2110.1999999999998</v>
      </c>
      <c r="O73" s="15">
        <f>IFERROR(N73/N444, "NA")</f>
        <v>0.17144305623936695</v>
      </c>
      <c r="P73" s="2"/>
      <c r="Q73" s="14">
        <f>IFERROR(Q64+Q65+Q66+Q67+Q68+Q69+Q70+Q71+Q72, "NA")</f>
        <v>2110.1999999999998</v>
      </c>
      <c r="R73" s="15">
        <f>IFERROR(Q73/Q444, "NA")</f>
        <v>3.210387647234049E-2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2110.1999999999998</v>
      </c>
      <c r="X73" s="15">
        <f>IFERROR(W73/W444, "NA")</f>
        <v>0.21896015199167401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2110.1999999999998</v>
      </c>
      <c r="AD73" s="15">
        <f>IFERROR(AC73/AC444, "NA")</f>
        <v>0.17144305623936695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953.58</v>
      </c>
      <c r="F75" s="8">
        <f>IFERROR(E75/E444, "NA")</f>
        <v>1.6999979141786116E-2</v>
      </c>
      <c r="G75" s="9"/>
      <c r="H75" s="10">
        <f t="shared" ref="H75:H92" si="20">IFERROR(B75-E75, "NA")</f>
        <v>-953.58</v>
      </c>
      <c r="I75" s="8">
        <f>IFERROR(H75/H444, "NA")</f>
        <v>-9.8946081762970581E-2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953.58</v>
      </c>
      <c r="U75" s="8">
        <f>IFERROR(T75/T444, "NA")</f>
        <v>1.6999979141786116E-2</v>
      </c>
      <c r="V75" s="9"/>
      <c r="W75" s="10">
        <f t="shared" ref="W75:W92" si="22">IFERROR(Q75-T75, "NA")</f>
        <v>-953.58</v>
      </c>
      <c r="X75" s="8">
        <f>IFERROR(W75/W444, "NA")</f>
        <v>-9.8946081762970581E-2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91.61</v>
      </c>
      <c r="C77" s="8">
        <f>IFERROR(B77/B444, "NA")</f>
        <v>1.3937238762350072E-3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91.61</v>
      </c>
      <c r="I77" s="8">
        <f>IFERROR(H77/H444, "NA")</f>
        <v>9.5057053947290564E-3</v>
      </c>
      <c r="J77" s="9"/>
      <c r="K77" s="7">
        <v>59.8</v>
      </c>
      <c r="L77" s="8">
        <f>IFERROR(K77/K444, "NA")</f>
        <v>1.1193906920604875E-3</v>
      </c>
      <c r="M77" s="9"/>
      <c r="N77" s="10">
        <f t="shared" si="21"/>
        <v>31.810000000000002</v>
      </c>
      <c r="O77" s="8">
        <f>IFERROR(N77/N444, "NA")</f>
        <v>2.584401297969038E-3</v>
      </c>
      <c r="P77" s="9"/>
      <c r="Q77" s="7">
        <v>91.61</v>
      </c>
      <c r="R77" s="8">
        <f>IFERROR(Q77/Q444, "NA")</f>
        <v>1.3937238762350072E-3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91.61</v>
      </c>
      <c r="X77" s="8">
        <f>IFERROR(W77/W444, "NA")</f>
        <v>9.5057053947290564E-3</v>
      </c>
      <c r="Y77" s="9"/>
      <c r="Z77" s="7">
        <v>59.8</v>
      </c>
      <c r="AA77" s="8">
        <f>IFERROR(Z77/Z444, "NA")</f>
        <v>1.1193906920604875E-3</v>
      </c>
      <c r="AB77" s="9"/>
      <c r="AC77" s="10">
        <f t="shared" si="23"/>
        <v>31.810000000000002</v>
      </c>
      <c r="AD77" s="8">
        <f>IFERROR(AC77/AC444, "NA")</f>
        <v>2.584401297969038E-3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17.940000000000001</v>
      </c>
      <c r="L79" s="8">
        <f>IFERROR(K79/K444, "NA")</f>
        <v>3.3581720761814628E-4</v>
      </c>
      <c r="M79" s="9"/>
      <c r="N79" s="10">
        <f t="shared" si="21"/>
        <v>-17.940000000000001</v>
      </c>
      <c r="O79" s="8">
        <f>IFERROR(N79/N444, "NA")</f>
        <v>-1.4575340863113657E-3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17.940000000000001</v>
      </c>
      <c r="AA79" s="8">
        <f>IFERROR(Z79/Z444, "NA")</f>
        <v>3.3581720761814628E-4</v>
      </c>
      <c r="AB79" s="9"/>
      <c r="AC79" s="10">
        <f t="shared" si="23"/>
        <v>-17.940000000000001</v>
      </c>
      <c r="AD79" s="8">
        <f>IFERROR(AC79/AC444, "NA")</f>
        <v>-1.4575340863113657E-3</v>
      </c>
    </row>
    <row r="80" spans="1:30" ht="16.5" customHeight="1" x14ac:dyDescent="0.45">
      <c r="A80" s="12" t="s">
        <v>76</v>
      </c>
      <c r="B80" s="7">
        <v>650.17999999999995</v>
      </c>
      <c r="C80" s="8">
        <f>IFERROR(B80/B444, "NA")</f>
        <v>9.8916208912834501E-3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650.17999999999995</v>
      </c>
      <c r="I80" s="8">
        <f>IFERROR(H80/H444, "NA")</f>
        <v>6.7464463852690074E-2</v>
      </c>
      <c r="J80" s="9"/>
      <c r="K80" s="7">
        <v>175</v>
      </c>
      <c r="L80" s="8">
        <f>IFERROR(K80/K444, "NA")</f>
        <v>3.2758088814479149E-3</v>
      </c>
      <c r="M80" s="9"/>
      <c r="N80" s="10">
        <f t="shared" si="21"/>
        <v>475.17999999999995</v>
      </c>
      <c r="O80" s="8">
        <f>IFERROR(N80/N444, "NA")</f>
        <v>3.8605966952811294E-2</v>
      </c>
      <c r="P80" s="9"/>
      <c r="Q80" s="7">
        <v>650.17999999999995</v>
      </c>
      <c r="R80" s="8">
        <f>IFERROR(Q80/Q444, "NA")</f>
        <v>9.8916208912834501E-3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650.17999999999995</v>
      </c>
      <c r="X80" s="8">
        <f>IFERROR(W80/W444, "NA")</f>
        <v>6.7464463852690074E-2</v>
      </c>
      <c r="Y80" s="9"/>
      <c r="Z80" s="7">
        <v>175</v>
      </c>
      <c r="AA80" s="8">
        <f>IFERROR(Z80/Z444, "NA")</f>
        <v>3.2758088814479149E-3</v>
      </c>
      <c r="AB80" s="9"/>
      <c r="AC80" s="10">
        <f t="shared" si="23"/>
        <v>475.17999999999995</v>
      </c>
      <c r="AD80" s="8">
        <f>IFERROR(AC80/AC444, "NA")</f>
        <v>3.8605966952811294E-2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741.79</v>
      </c>
      <c r="C88" s="15">
        <f>IFERROR(B88/B444, "NA")</f>
        <v>1.1285344767518458E-2</v>
      </c>
      <c r="D88" s="2"/>
      <c r="E88" s="14">
        <f>IFERROR(E75+E76+E77+E78+E79+E80+E81+E82+E83+E84+E85+E86+E87, "NA")</f>
        <v>953.58</v>
      </c>
      <c r="F88" s="15">
        <f>IFERROR(E88/E444, "NA")</f>
        <v>1.6999979141786116E-2</v>
      </c>
      <c r="G88" s="2"/>
      <c r="H88" s="14">
        <f t="shared" si="20"/>
        <v>-211.79000000000008</v>
      </c>
      <c r="I88" s="15">
        <f>IFERROR(H88/H444, "NA")</f>
        <v>-2.1975912515551446E-2</v>
      </c>
      <c r="J88" s="2"/>
      <c r="K88" s="14">
        <f>IFERROR(K75+K76+K77+K78+K79+K80+K81+K82+K83+K84+K85+K86+K87, "NA")</f>
        <v>252.74</v>
      </c>
      <c r="L88" s="15">
        <f>IFERROR(K88/K444, "NA")</f>
        <v>4.7310167811265491E-3</v>
      </c>
      <c r="M88" s="2"/>
      <c r="N88" s="14">
        <f t="shared" si="21"/>
        <v>489.04999999999995</v>
      </c>
      <c r="O88" s="15">
        <f>IFERROR(N88/N444, "NA")</f>
        <v>3.9732834164468968E-2</v>
      </c>
      <c r="P88" s="2"/>
      <c r="Q88" s="14">
        <f>IFERROR(Q75+Q76+Q77+Q78+Q79+Q80+Q81+Q82+Q83+Q84+Q85+Q86+Q87, "NA")</f>
        <v>741.79</v>
      </c>
      <c r="R88" s="15">
        <f>IFERROR(Q88/Q444, "NA")</f>
        <v>1.1285344767518458E-2</v>
      </c>
      <c r="S88" s="2"/>
      <c r="T88" s="14">
        <f>IFERROR(T75+T76+T77+T78+T79+T80+T81+T82+T83+T84+T85+T86+T87, "NA")</f>
        <v>953.58</v>
      </c>
      <c r="U88" s="15">
        <f>IFERROR(T88/T444, "NA")</f>
        <v>1.6999979141786116E-2</v>
      </c>
      <c r="V88" s="2"/>
      <c r="W88" s="14">
        <f t="shared" si="22"/>
        <v>-211.79000000000008</v>
      </c>
      <c r="X88" s="15">
        <f>IFERROR(W88/W444, "NA")</f>
        <v>-2.1975912515551446E-2</v>
      </c>
      <c r="Y88" s="2"/>
      <c r="Z88" s="14">
        <f>IFERROR(Z75+Z76+Z77+Z78+Z79+Z80+Z81+Z82+Z83+Z84+Z85+Z86+Z87, "NA")</f>
        <v>252.74</v>
      </c>
      <c r="AA88" s="15">
        <f>IFERROR(Z88/Z444, "NA")</f>
        <v>4.7310167811265491E-3</v>
      </c>
      <c r="AB88" s="2"/>
      <c r="AC88" s="14">
        <f t="shared" si="23"/>
        <v>489.04999999999995</v>
      </c>
      <c r="AD88" s="15">
        <f>IFERROR(AC88/AC444, "NA")</f>
        <v>3.9732834164468968E-2</v>
      </c>
    </row>
    <row r="89" spans="1:30" ht="16.5" customHeight="1" x14ac:dyDescent="0.45">
      <c r="A89" s="6" t="s">
        <v>85</v>
      </c>
      <c r="B89" s="7">
        <v>6.31</v>
      </c>
      <c r="C89" s="8">
        <f>IFERROR(B89/B444, "NA")</f>
        <v>9.5998227912268253E-5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6.31</v>
      </c>
      <c r="I89" s="8">
        <f>IFERROR(H89/H444, "NA")</f>
        <v>6.5474294335487776E-4</v>
      </c>
      <c r="J89" s="9"/>
      <c r="K89" s="7">
        <v>1623.16</v>
      </c>
      <c r="L89" s="8">
        <f>IFERROR(K89/K444, "NA")</f>
        <v>3.0383782537205705E-2</v>
      </c>
      <c r="M89" s="9"/>
      <c r="N89" s="10">
        <f t="shared" si="21"/>
        <v>-1616.8500000000001</v>
      </c>
      <c r="O89" s="8">
        <f>IFERROR(N89/N444, "NA")</f>
        <v>-0.13136086886580445</v>
      </c>
      <c r="P89" s="9"/>
      <c r="Q89" s="7">
        <v>6.31</v>
      </c>
      <c r="R89" s="8">
        <f>IFERROR(Q89/Q444, "NA")</f>
        <v>9.5998227912268253E-5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6.31</v>
      </c>
      <c r="X89" s="8">
        <f>IFERROR(W89/W444, "NA")</f>
        <v>6.5474294335487776E-4</v>
      </c>
      <c r="Y89" s="9"/>
      <c r="Z89" s="7">
        <v>1623.16</v>
      </c>
      <c r="AA89" s="8">
        <f>IFERROR(Z89/Z444, "NA")</f>
        <v>3.0383782537205705E-2</v>
      </c>
      <c r="AB89" s="9"/>
      <c r="AC89" s="10">
        <f t="shared" si="23"/>
        <v>-1616.8500000000001</v>
      </c>
      <c r="AD89" s="8">
        <f>IFERROR(AC89/AC444, "NA")</f>
        <v>-0.13136086886580445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-1963.26</v>
      </c>
      <c r="F94" s="8">
        <f>IFERROR(E94/E444, "NA")</f>
        <v>-3.5000082898029541E-2</v>
      </c>
      <c r="G94" s="9"/>
      <c r="H94" s="10">
        <f t="shared" ref="H94:H124" si="24">IFERROR(B94-E94, "NA")</f>
        <v>1963.26</v>
      </c>
      <c r="I94" s="8">
        <f>IFERROR(H94/H444, "NA")</f>
        <v>0.20371325371963508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-1963.26</v>
      </c>
      <c r="U94" s="8">
        <f>IFERROR(T94/T444, "NA")</f>
        <v>-3.5000082898029541E-2</v>
      </c>
      <c r="V94" s="9"/>
      <c r="W94" s="10">
        <f t="shared" ref="W94:W124" si="26">IFERROR(Q94-T94, "NA")</f>
        <v>1963.26</v>
      </c>
      <c r="X94" s="8">
        <f>IFERROR(W94/W444, "NA")</f>
        <v>0.20371325371963508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-1709.2</v>
      </c>
      <c r="C96" s="8">
        <f>IFERROR(B96/B444, "NA")</f>
        <v>-2.6003196695348483E-2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-1709.2</v>
      </c>
      <c r="I96" s="8">
        <f>IFERROR(H96/H444, "NA")</f>
        <v>-0.17735128982284581</v>
      </c>
      <c r="J96" s="9"/>
      <c r="K96" s="7">
        <v>-64.53</v>
      </c>
      <c r="L96" s="8">
        <f>IFERROR(K96/K444, "NA")</f>
        <v>-1.2079311263990511E-3</v>
      </c>
      <c r="M96" s="9"/>
      <c r="N96" s="10">
        <f t="shared" si="25"/>
        <v>-1644.67</v>
      </c>
      <c r="O96" s="8">
        <f>IFERROR(N96/N444, "NA")</f>
        <v>-0.13362110288370757</v>
      </c>
      <c r="P96" s="9"/>
      <c r="Q96" s="7">
        <v>-1709.2</v>
      </c>
      <c r="R96" s="8">
        <f>IFERROR(Q96/Q444, "NA")</f>
        <v>-2.6003196695348483E-2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-1709.2</v>
      </c>
      <c r="X96" s="8">
        <f>IFERROR(W96/W444, "NA")</f>
        <v>-0.17735128982284581</v>
      </c>
      <c r="Y96" s="9"/>
      <c r="Z96" s="7">
        <v>-64.53</v>
      </c>
      <c r="AA96" s="8">
        <f>IFERROR(Z96/Z444, "NA")</f>
        <v>-1.2079311263990511E-3</v>
      </c>
      <c r="AB96" s="9"/>
      <c r="AC96" s="10">
        <f t="shared" si="27"/>
        <v>-1644.67</v>
      </c>
      <c r="AD96" s="8">
        <f>IFERROR(AC96/AC444, "NA")</f>
        <v>-0.13362110288370757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-1178.2</v>
      </c>
      <c r="C98" s="8">
        <f>IFERROR(B98/B444, "NA")</f>
        <v>-1.7924740432049838E-2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-1178.2</v>
      </c>
      <c r="I98" s="8">
        <f>IFERROR(H98/H444, "NA")</f>
        <v>-0.12225327034242742</v>
      </c>
      <c r="J98" s="9"/>
      <c r="K98" s="7">
        <v>-872.94</v>
      </c>
      <c r="L98" s="8">
        <f>IFERROR(K98/K444, "NA")</f>
        <v>-1.6340483456977962E-2</v>
      </c>
      <c r="M98" s="9"/>
      <c r="N98" s="10">
        <f t="shared" si="25"/>
        <v>-305.26</v>
      </c>
      <c r="O98" s="8">
        <f>IFERROR(N98/N444, "NA")</f>
        <v>-2.480082804835047E-2</v>
      </c>
      <c r="P98" s="9"/>
      <c r="Q98" s="7">
        <v>-1178.2</v>
      </c>
      <c r="R98" s="8">
        <f>IFERROR(Q98/Q444, "NA")</f>
        <v>-1.7924740432049838E-2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-1178.2</v>
      </c>
      <c r="X98" s="8">
        <f>IFERROR(W98/W444, "NA")</f>
        <v>-0.12225327034242742</v>
      </c>
      <c r="Y98" s="9"/>
      <c r="Z98" s="7">
        <v>-872.94</v>
      </c>
      <c r="AA98" s="8">
        <f>IFERROR(Z98/Z444, "NA")</f>
        <v>-1.6340483456977962E-2</v>
      </c>
      <c r="AB98" s="9"/>
      <c r="AC98" s="10">
        <f t="shared" si="27"/>
        <v>-305.26</v>
      </c>
      <c r="AD98" s="8">
        <f>IFERROR(AC98/AC444, "NA")</f>
        <v>-2.480082804835047E-2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-691.5</v>
      </c>
      <c r="C100" s="8">
        <f>IFERROR(B100/B444, "NA")</f>
        <v>-1.0520249540623377E-2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-691.5</v>
      </c>
      <c r="I100" s="8">
        <f>IFERROR(H100/H444, "NA")</f>
        <v>-7.1751940622804752E-2</v>
      </c>
      <c r="J100" s="9"/>
      <c r="K100" s="7">
        <v>-4219.51</v>
      </c>
      <c r="L100" s="8">
        <f>IFERROR(K100/K444, "NA")</f>
        <v>-7.8984619047761676E-2</v>
      </c>
      <c r="M100" s="9"/>
      <c r="N100" s="10">
        <f t="shared" si="25"/>
        <v>3528.01</v>
      </c>
      <c r="O100" s="8">
        <f>IFERROR(N100/N444, "NA")</f>
        <v>0.28663293377075594</v>
      </c>
      <c r="P100" s="9"/>
      <c r="Q100" s="7">
        <v>-691.5</v>
      </c>
      <c r="R100" s="8">
        <f>IFERROR(Q100/Q444, "NA")</f>
        <v>-1.0520249540623377E-2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-691.5</v>
      </c>
      <c r="X100" s="8">
        <f>IFERROR(W100/W444, "NA")</f>
        <v>-7.1751940622804752E-2</v>
      </c>
      <c r="Y100" s="9"/>
      <c r="Z100" s="7">
        <v>-4219.51</v>
      </c>
      <c r="AA100" s="8">
        <f>IFERROR(Z100/Z444, "NA")</f>
        <v>-7.8984619047761676E-2</v>
      </c>
      <c r="AB100" s="9"/>
      <c r="AC100" s="10">
        <f t="shared" si="27"/>
        <v>3528.01</v>
      </c>
      <c r="AD100" s="8">
        <f>IFERROR(AC100/AC444, "NA")</f>
        <v>0.28663293377075594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-752.4</v>
      </c>
      <c r="C102" s="8">
        <f>IFERROR(B102/B444, "NA")</f>
        <v>-1.1446761756131638E-2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-752.4</v>
      </c>
      <c r="I102" s="8">
        <f>IFERROR(H102/H444, "NA")</f>
        <v>-7.8071092009542001E-2</v>
      </c>
      <c r="J102" s="9"/>
      <c r="K102" s="7">
        <v>-182</v>
      </c>
      <c r="L102" s="8">
        <f>IFERROR(K102/K444, "NA")</f>
        <v>-3.4068412367058319E-3</v>
      </c>
      <c r="M102" s="9"/>
      <c r="N102" s="10">
        <f t="shared" si="25"/>
        <v>-570.4</v>
      </c>
      <c r="O102" s="8">
        <f>IFERROR(N102/N444, "NA")</f>
        <v>-4.6342109410925467E-2</v>
      </c>
      <c r="P102" s="9"/>
      <c r="Q102" s="7">
        <v>-752.4</v>
      </c>
      <c r="R102" s="8">
        <f>IFERROR(Q102/Q444, "NA")</f>
        <v>-1.1446761756131638E-2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-752.4</v>
      </c>
      <c r="X102" s="8">
        <f>IFERROR(W102/W444, "NA")</f>
        <v>-7.8071092009542001E-2</v>
      </c>
      <c r="Y102" s="9"/>
      <c r="Z102" s="7">
        <v>-182</v>
      </c>
      <c r="AA102" s="8">
        <f>IFERROR(Z102/Z444, "NA")</f>
        <v>-3.4068412367058319E-3</v>
      </c>
      <c r="AB102" s="9"/>
      <c r="AC102" s="10">
        <f t="shared" si="27"/>
        <v>-570.4</v>
      </c>
      <c r="AD102" s="8">
        <f>IFERROR(AC102/AC444, "NA")</f>
        <v>-4.6342109410925467E-2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-398.3</v>
      </c>
      <c r="C104" s="8">
        <f>IFERROR(B104/B444, "NA")</f>
        <v>-6.0596028807379477E-3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-398.3</v>
      </c>
      <c r="I104" s="8">
        <f>IFERROR(H104/H444, "NA")</f>
        <v>-4.1328702747741336E-2</v>
      </c>
      <c r="J104" s="9"/>
      <c r="K104" s="7">
        <v>-2119.65</v>
      </c>
      <c r="L104" s="8">
        <f>IFERROR(K104/K444, "NA")</f>
        <v>-3.9677533117491851E-2</v>
      </c>
      <c r="M104" s="9"/>
      <c r="N104" s="10">
        <f t="shared" si="25"/>
        <v>1721.3500000000001</v>
      </c>
      <c r="O104" s="8">
        <f>IFERROR(N104/N444, "NA")</f>
        <v>0.13985096429610197</v>
      </c>
      <c r="P104" s="9"/>
      <c r="Q104" s="7">
        <v>-398.3</v>
      </c>
      <c r="R104" s="8">
        <f>IFERROR(Q104/Q444, "NA")</f>
        <v>-6.0596028807379477E-3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-398.3</v>
      </c>
      <c r="X104" s="8">
        <f>IFERROR(W104/W444, "NA")</f>
        <v>-4.1328702747741336E-2</v>
      </c>
      <c r="Y104" s="9"/>
      <c r="Z104" s="7">
        <v>-2119.65</v>
      </c>
      <c r="AA104" s="8">
        <f>IFERROR(Z104/Z444, "NA")</f>
        <v>-3.9677533117491851E-2</v>
      </c>
      <c r="AB104" s="9"/>
      <c r="AC104" s="10">
        <f t="shared" si="27"/>
        <v>1721.3500000000001</v>
      </c>
      <c r="AD104" s="8">
        <f>IFERROR(AC104/AC444, "NA")</f>
        <v>0.13985096429610197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hidden="1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0</v>
      </c>
      <c r="R106" s="8">
        <f>IFERROR(Q106/Q444, "NA")</f>
        <v>0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0</v>
      </c>
      <c r="X106" s="8">
        <f>IFERROR(W106/W444, "NA")</f>
        <v>0</v>
      </c>
      <c r="Y106" s="9"/>
      <c r="Z106" s="7">
        <v>0</v>
      </c>
      <c r="AA106" s="8">
        <f>IFERROR(Z106/Z444, "NA")</f>
        <v>0</v>
      </c>
      <c r="AB106" s="9"/>
      <c r="AC106" s="10">
        <f t="shared" si="27"/>
        <v>0</v>
      </c>
      <c r="AD106" s="8">
        <f>IFERROR(AC106/AC444, "NA")</f>
        <v>0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-4729.6000000000004</v>
      </c>
      <c r="C118" s="15">
        <f>IFERROR(B118/B444, "NA")</f>
        <v>-7.1954551304891284E-2</v>
      </c>
      <c r="D118" s="2"/>
      <c r="E118" s="14">
        <f>IFERROR(E94+E95+E96+E97+E98+E99+E100+E101+E102+E103+E104+E105+E106+E107+E108+E109+E110+E111+E112+E113+E114+E115+E116+E117, "NA")</f>
        <v>-1963.26</v>
      </c>
      <c r="F118" s="15">
        <f>IFERROR(E118/E444, "NA")</f>
        <v>-3.5000082898029541E-2</v>
      </c>
      <c r="G118" s="2"/>
      <c r="H118" s="14">
        <f t="shared" si="24"/>
        <v>-2766.34</v>
      </c>
      <c r="I118" s="15">
        <f>IFERROR(H118/H444, "NA")</f>
        <v>-0.28704304182572626</v>
      </c>
      <c r="J118" s="2"/>
      <c r="K118" s="14">
        <f>IFERROR(K94+K95+K96+K97+K98+K99+K100+K101+K102+K103+K104+K105+K106+K107+K108+K109+K110+K111+K112+K113+K114+K115+K116+K117, "NA")</f>
        <v>-7458.630000000001</v>
      </c>
      <c r="L118" s="15">
        <f>IFERROR(K118/K444, "NA")</f>
        <v>-0.13961740798533637</v>
      </c>
      <c r="M118" s="2"/>
      <c r="N118" s="14">
        <f t="shared" si="25"/>
        <v>2729.0300000000007</v>
      </c>
      <c r="O118" s="15">
        <f>IFERROR(N118/N444, "NA")</f>
        <v>0.22171985772387443</v>
      </c>
      <c r="P118" s="2"/>
      <c r="Q118" s="14">
        <f>IFERROR(Q94+Q95+Q96+Q97+Q98+Q99+Q100+Q101+Q102+Q103+Q104+Q105+Q106+Q107+Q108+Q109+Q110+Q111+Q112+Q113+Q114+Q115+Q116+Q117, "NA")</f>
        <v>-4729.6000000000004</v>
      </c>
      <c r="R118" s="15">
        <f>IFERROR(Q118/Q444, "NA")</f>
        <v>-7.1954551304891284E-2</v>
      </c>
      <c r="S118" s="2"/>
      <c r="T118" s="14">
        <f>IFERROR(T94+T95+T96+T97+T98+T99+T100+T101+T102+T103+T104+T105+T106+T107+T108+T109+T110+T111+T112+T113+T114+T115+T116+T117, "NA")</f>
        <v>-1963.26</v>
      </c>
      <c r="U118" s="15">
        <f>IFERROR(T118/T444, "NA")</f>
        <v>-3.5000082898029541E-2</v>
      </c>
      <c r="V118" s="2"/>
      <c r="W118" s="14">
        <f t="shared" si="26"/>
        <v>-2766.34</v>
      </c>
      <c r="X118" s="15">
        <f>IFERROR(W118/W444, "NA")</f>
        <v>-0.28704304182572626</v>
      </c>
      <c r="Y118" s="2"/>
      <c r="Z118" s="14">
        <f>IFERROR(Z94+Z95+Z96+Z97+Z98+Z99+Z100+Z101+Z102+Z103+Z104+Z105+Z106+Z107+Z108+Z109+Z110+Z111+Z112+Z113+Z114+Z115+Z116+Z117, "NA")</f>
        <v>-7458.630000000001</v>
      </c>
      <c r="AA118" s="15">
        <f>IFERROR(Z118/Z444, "NA")</f>
        <v>-0.13961740798533637</v>
      </c>
      <c r="AB118" s="2"/>
      <c r="AC118" s="14">
        <f t="shared" si="27"/>
        <v>2729.0300000000007</v>
      </c>
      <c r="AD118" s="15">
        <f>IFERROR(AC118/AC444, "NA")</f>
        <v>0.22171985772387443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65730.38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56093.009999999995</v>
      </c>
      <c r="F122" s="15">
        <f>IFERROR(E122/E444, "NA")</f>
        <v>0.99999999999999989</v>
      </c>
      <c r="G122" s="2"/>
      <c r="H122" s="14">
        <f t="shared" si="24"/>
        <v>9637.3700000000099</v>
      </c>
      <c r="I122" s="15">
        <f>IFERROR(H122/H444, "NA")</f>
        <v>1.0000000000000007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53421.920000000006</v>
      </c>
      <c r="L122" s="15">
        <f>IFERROR(K122/K444, "NA")</f>
        <v>1.0000000000000002</v>
      </c>
      <c r="M122" s="2"/>
      <c r="N122" s="14">
        <f t="shared" si="25"/>
        <v>12308.46</v>
      </c>
      <c r="O122" s="15">
        <f>IFERROR(N122/N444, "NA")</f>
        <v>0.99999999999999944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65730.38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56093.009999999995</v>
      </c>
      <c r="U122" s="15">
        <f>IFERROR(T122/T444, "NA")</f>
        <v>0.99999999999999989</v>
      </c>
      <c r="V122" s="2"/>
      <c r="W122" s="14">
        <f t="shared" si="26"/>
        <v>9637.3700000000099</v>
      </c>
      <c r="X122" s="15">
        <f>IFERROR(W122/W444, "NA")</f>
        <v>1.0000000000000007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53421.920000000006</v>
      </c>
      <c r="AA122" s="15">
        <f>IFERROR(Z122/Z444, "NA")</f>
        <v>1.0000000000000002</v>
      </c>
      <c r="AB122" s="2"/>
      <c r="AC122" s="14">
        <f t="shared" si="27"/>
        <v>12308.46</v>
      </c>
      <c r="AD122" s="15">
        <f>IFERROR(AC122/AC444, "NA")</f>
        <v>0.99999999999999944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65730.38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56093.009999999995</v>
      </c>
      <c r="F124" s="15">
        <f>IFERROR(E124/E444, "NA")</f>
        <v>0.99999999999999989</v>
      </c>
      <c r="G124" s="2"/>
      <c r="H124" s="14">
        <f t="shared" si="24"/>
        <v>9637.3700000000099</v>
      </c>
      <c r="I124" s="15">
        <f>IFERROR(H124/H444, "NA")</f>
        <v>1.0000000000000007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53421.920000000006</v>
      </c>
      <c r="L124" s="15">
        <f>IFERROR(K124/K444, "NA")</f>
        <v>1.0000000000000002</v>
      </c>
      <c r="M124" s="2"/>
      <c r="N124" s="14">
        <f t="shared" si="25"/>
        <v>12308.46</v>
      </c>
      <c r="O124" s="15">
        <f>IFERROR(N124/N444, "NA")</f>
        <v>0.99999999999999944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65730.38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56093.009999999995</v>
      </c>
      <c r="U124" s="15">
        <f>IFERROR(T124/T444, "NA")</f>
        <v>0.99999999999999989</v>
      </c>
      <c r="V124" s="2"/>
      <c r="W124" s="14">
        <f t="shared" si="26"/>
        <v>9637.3700000000099</v>
      </c>
      <c r="X124" s="15">
        <f>IFERROR(W124/W444, "NA")</f>
        <v>1.0000000000000007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53421.920000000006</v>
      </c>
      <c r="AA124" s="15">
        <f>IFERROR(Z124/Z444, "NA")</f>
        <v>1.0000000000000002</v>
      </c>
      <c r="AB124" s="2"/>
      <c r="AC124" s="14">
        <f t="shared" si="27"/>
        <v>12308.46</v>
      </c>
      <c r="AD124" s="15">
        <f>IFERROR(AC124/AC444, "NA")</f>
        <v>0.99999999999999944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14135.44</v>
      </c>
      <c r="F129" s="8">
        <f>IFERROR(E129/E444, "NA")</f>
        <v>0.25200002638474917</v>
      </c>
      <c r="G129" s="9"/>
      <c r="H129" s="10">
        <f t="shared" ref="H129:H141" si="28">IFERROR(-(B129-E129), "NA")</f>
        <v>14135.44</v>
      </c>
      <c r="I129" s="8">
        <f>IFERROR(H129/H444, "NA")</f>
        <v>1.4667321063734189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14135.44</v>
      </c>
      <c r="U129" s="8">
        <f>IFERROR(T129/T444, "NA")</f>
        <v>0.25200002638474917</v>
      </c>
      <c r="V129" s="9"/>
      <c r="W129" s="10">
        <f t="shared" ref="W129:W141" si="30">IFERROR(-(Q129-T129), "NA")</f>
        <v>14135.44</v>
      </c>
      <c r="X129" s="8">
        <f>IFERROR(W129/W444, "NA")</f>
        <v>1.4667321063734189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3831.62</v>
      </c>
      <c r="C130" s="8">
        <f>IFERROR(B130/B444, "NA")</f>
        <v>5.8292984157401792E-2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-3831.62</v>
      </c>
      <c r="I130" s="8">
        <f>IFERROR(H130/H444, "NA")</f>
        <v>-0.39757942260180928</v>
      </c>
      <c r="J130" s="9"/>
      <c r="K130" s="7">
        <v>3650.6</v>
      </c>
      <c r="L130" s="8">
        <f>IFERROR(K130/K444, "NA")</f>
        <v>6.8335245157792907E-2</v>
      </c>
      <c r="M130" s="9"/>
      <c r="N130" s="10">
        <f t="shared" si="29"/>
        <v>-181.01999999999998</v>
      </c>
      <c r="O130" s="8">
        <f>IFERROR(N130/N444, "NA")</f>
        <v>-1.4706957653516354E-2</v>
      </c>
      <c r="P130" s="9"/>
      <c r="Q130" s="7">
        <v>3831.62</v>
      </c>
      <c r="R130" s="8">
        <f>IFERROR(Q130/Q444, "NA")</f>
        <v>5.8292984157401792E-2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-3831.62</v>
      </c>
      <c r="X130" s="8">
        <f>IFERROR(W130/W444, "NA")</f>
        <v>-0.39757942260180928</v>
      </c>
      <c r="Y130" s="9"/>
      <c r="Z130" s="7">
        <v>3650.6</v>
      </c>
      <c r="AA130" s="8">
        <f>IFERROR(Z130/Z444, "NA")</f>
        <v>6.8335245157792907E-2</v>
      </c>
      <c r="AB130" s="9"/>
      <c r="AC130" s="10">
        <f t="shared" si="31"/>
        <v>-181.01999999999998</v>
      </c>
      <c r="AD130" s="8">
        <f>IFERROR(AC130/AC444, "NA")</f>
        <v>-1.4706957653516354E-2</v>
      </c>
    </row>
    <row r="131" spans="1:30" ht="16.5" customHeight="1" x14ac:dyDescent="0.45">
      <c r="A131" s="12" t="s">
        <v>123</v>
      </c>
      <c r="B131" s="7">
        <v>2017.83</v>
      </c>
      <c r="C131" s="8">
        <f>IFERROR(B131/B444, "NA")</f>
        <v>3.0698590210493228E-2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-2017.83</v>
      </c>
      <c r="I131" s="8">
        <f>IFERROR(H131/H444, "NA")</f>
        <v>-0.20937558690804642</v>
      </c>
      <c r="J131" s="9"/>
      <c r="K131" s="7">
        <v>1940.76</v>
      </c>
      <c r="L131" s="8">
        <f>IFERROR(K131/K444, "NA")</f>
        <v>3.6328907684336317E-2</v>
      </c>
      <c r="M131" s="9"/>
      <c r="N131" s="10">
        <f t="shared" si="29"/>
        <v>-77.069999999999936</v>
      </c>
      <c r="O131" s="8">
        <f>IFERROR(N131/N444, "NA")</f>
        <v>-6.2615469360098579E-3</v>
      </c>
      <c r="P131" s="9"/>
      <c r="Q131" s="7">
        <v>2017.83</v>
      </c>
      <c r="R131" s="8">
        <f>IFERROR(Q131/Q444, "NA")</f>
        <v>3.0698590210493228E-2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-2017.83</v>
      </c>
      <c r="X131" s="8">
        <f>IFERROR(W131/W444, "NA")</f>
        <v>-0.20937558690804642</v>
      </c>
      <c r="Y131" s="9"/>
      <c r="Z131" s="7">
        <v>1940.76</v>
      </c>
      <c r="AA131" s="8">
        <f>IFERROR(Z131/Z444, "NA")</f>
        <v>3.6328907684336317E-2</v>
      </c>
      <c r="AB131" s="9"/>
      <c r="AC131" s="10">
        <f t="shared" si="31"/>
        <v>-77.069999999999936</v>
      </c>
      <c r="AD131" s="8">
        <f>IFERROR(AC131/AC444, "NA")</f>
        <v>-6.2615469360098579E-3</v>
      </c>
    </row>
    <row r="132" spans="1:30" ht="16.5" customHeight="1" x14ac:dyDescent="0.45">
      <c r="A132" s="12" t="s">
        <v>124</v>
      </c>
      <c r="B132" s="7">
        <v>2422.54</v>
      </c>
      <c r="C132" s="8">
        <f>IFERROR(B132/B444, "NA")</f>
        <v>3.6855712685671373E-2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-2422.54</v>
      </c>
      <c r="I132" s="8">
        <f>IFERROR(H132/H444, "NA")</f>
        <v>-0.25136940887399772</v>
      </c>
      <c r="J132" s="9"/>
      <c r="K132" s="7">
        <v>1821.53</v>
      </c>
      <c r="L132" s="8">
        <f>IFERROR(K132/K444, "NA")</f>
        <v>3.4097052296136118E-2</v>
      </c>
      <c r="M132" s="9"/>
      <c r="N132" s="10">
        <f t="shared" si="29"/>
        <v>-601.01</v>
      </c>
      <c r="O132" s="8">
        <f>IFERROR(N132/N444, "NA")</f>
        <v>-4.8829016790077694E-2</v>
      </c>
      <c r="P132" s="9"/>
      <c r="Q132" s="7">
        <v>2422.54</v>
      </c>
      <c r="R132" s="8">
        <f>IFERROR(Q132/Q444, "NA")</f>
        <v>3.6855712685671373E-2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-2422.54</v>
      </c>
      <c r="X132" s="8">
        <f>IFERROR(W132/W444, "NA")</f>
        <v>-0.25136940887399772</v>
      </c>
      <c r="Y132" s="9"/>
      <c r="Z132" s="7">
        <v>1821.53</v>
      </c>
      <c r="AA132" s="8">
        <f>IFERROR(Z132/Z444, "NA")</f>
        <v>3.4097052296136118E-2</v>
      </c>
      <c r="AB132" s="9"/>
      <c r="AC132" s="10">
        <f t="shared" si="31"/>
        <v>-601.01</v>
      </c>
      <c r="AD132" s="8">
        <f>IFERROR(AC132/AC444, "NA")</f>
        <v>-4.8829016790077694E-2</v>
      </c>
    </row>
    <row r="133" spans="1:30" ht="16.5" customHeight="1" x14ac:dyDescent="0.45">
      <c r="A133" s="12" t="s">
        <v>125</v>
      </c>
      <c r="B133" s="7">
        <v>1583.78</v>
      </c>
      <c r="C133" s="8">
        <f>IFERROR(B133/B444, "NA")</f>
        <v>2.4095098796020956E-2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-1583.78</v>
      </c>
      <c r="I133" s="8">
        <f>IFERROR(H133/H444, "NA")</f>
        <v>-0.16433736589961778</v>
      </c>
      <c r="J133" s="9"/>
      <c r="K133" s="7">
        <v>1101.1199999999999</v>
      </c>
      <c r="L133" s="8">
        <f>IFERROR(K133/K444, "NA")</f>
        <v>2.0611763860228161E-2</v>
      </c>
      <c r="M133" s="9"/>
      <c r="N133" s="10">
        <f t="shared" si="29"/>
        <v>-482.66000000000008</v>
      </c>
      <c r="O133" s="8">
        <f>IFERROR(N133/N444, "NA")</f>
        <v>-3.9213679046769444E-2</v>
      </c>
      <c r="P133" s="9"/>
      <c r="Q133" s="7">
        <v>1583.78</v>
      </c>
      <c r="R133" s="8">
        <f>IFERROR(Q133/Q444, "NA")</f>
        <v>2.4095098796020956E-2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-1583.78</v>
      </c>
      <c r="X133" s="8">
        <f>IFERROR(W133/W444, "NA")</f>
        <v>-0.16433736589961778</v>
      </c>
      <c r="Y133" s="9"/>
      <c r="Z133" s="7">
        <v>1101.1199999999999</v>
      </c>
      <c r="AA133" s="8">
        <f>IFERROR(Z133/Z444, "NA")</f>
        <v>2.0611763860228161E-2</v>
      </c>
      <c r="AB133" s="9"/>
      <c r="AC133" s="10">
        <f t="shared" si="31"/>
        <v>-482.66000000000008</v>
      </c>
      <c r="AD133" s="8">
        <f>IFERROR(AC133/AC444, "NA")</f>
        <v>-3.9213679046769444E-2</v>
      </c>
    </row>
    <row r="134" spans="1:30" ht="16.5" customHeight="1" x14ac:dyDescent="0.45">
      <c r="A134" s="12" t="s">
        <v>126</v>
      </c>
      <c r="B134" s="7">
        <v>543.71</v>
      </c>
      <c r="C134" s="8">
        <f>IFERROR(B134/B444, "NA")</f>
        <v>8.2718219489983178E-3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-543.71</v>
      </c>
      <c r="I134" s="8">
        <f>IFERROR(H134/H444, "NA")</f>
        <v>-5.6416844014497716E-2</v>
      </c>
      <c r="J134" s="9"/>
      <c r="K134" s="7">
        <v>749.81</v>
      </c>
      <c r="L134" s="8">
        <f>IFERROR(K134/K444, "NA")</f>
        <v>1.4035624327991205E-2</v>
      </c>
      <c r="M134" s="9"/>
      <c r="N134" s="10">
        <f t="shared" si="29"/>
        <v>206.09999999999991</v>
      </c>
      <c r="O134" s="8">
        <f>IFERROR(N134/N444, "NA")</f>
        <v>1.6744580556787753E-2</v>
      </c>
      <c r="P134" s="9"/>
      <c r="Q134" s="7">
        <v>543.71</v>
      </c>
      <c r="R134" s="8">
        <f>IFERROR(Q134/Q444, "NA")</f>
        <v>8.2718219489983178E-3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-543.71</v>
      </c>
      <c r="X134" s="8">
        <f>IFERROR(W134/W444, "NA")</f>
        <v>-5.6416844014497716E-2</v>
      </c>
      <c r="Y134" s="9"/>
      <c r="Z134" s="7">
        <v>749.81</v>
      </c>
      <c r="AA134" s="8">
        <f>IFERROR(Z134/Z444, "NA")</f>
        <v>1.4035624327991205E-2</v>
      </c>
      <c r="AB134" s="9"/>
      <c r="AC134" s="10">
        <f t="shared" si="31"/>
        <v>206.09999999999991</v>
      </c>
      <c r="AD134" s="8">
        <f>IFERROR(AC134/AC444, "NA")</f>
        <v>1.6744580556787753E-2</v>
      </c>
    </row>
    <row r="135" spans="1:30" ht="16.5" customHeight="1" x14ac:dyDescent="0.45">
      <c r="A135" s="12" t="s">
        <v>127</v>
      </c>
      <c r="B135" s="7">
        <v>511.94</v>
      </c>
      <c r="C135" s="8">
        <f>IFERROR(B135/B444, "NA")</f>
        <v>7.7884838030755328E-3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-511.94</v>
      </c>
      <c r="I135" s="8">
        <f>IFERROR(H135/H444, "NA")</f>
        <v>-5.3120301493042171E-2</v>
      </c>
      <c r="J135" s="9"/>
      <c r="K135" s="7">
        <v>596.30999999999995</v>
      </c>
      <c r="L135" s="8">
        <f>IFERROR(K135/K444, "NA")</f>
        <v>1.1162271966264035E-2</v>
      </c>
      <c r="M135" s="9"/>
      <c r="N135" s="10">
        <f t="shared" si="29"/>
        <v>84.369999999999948</v>
      </c>
      <c r="O135" s="8">
        <f>IFERROR(N135/N444, "NA")</f>
        <v>6.8546349421454763E-3</v>
      </c>
      <c r="P135" s="9"/>
      <c r="Q135" s="7">
        <v>511.94</v>
      </c>
      <c r="R135" s="8">
        <f>IFERROR(Q135/Q444, "NA")</f>
        <v>7.7884838030755328E-3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-511.94</v>
      </c>
      <c r="X135" s="8">
        <f>IFERROR(W135/W444, "NA")</f>
        <v>-5.3120301493042171E-2</v>
      </c>
      <c r="Y135" s="9"/>
      <c r="Z135" s="7">
        <v>596.30999999999995</v>
      </c>
      <c r="AA135" s="8">
        <f>IFERROR(Z135/Z444, "NA")</f>
        <v>1.1162271966264035E-2</v>
      </c>
      <c r="AB135" s="9"/>
      <c r="AC135" s="10">
        <f t="shared" si="31"/>
        <v>84.369999999999948</v>
      </c>
      <c r="AD135" s="8">
        <f>IFERROR(AC135/AC444, "NA")</f>
        <v>6.8546349421454763E-3</v>
      </c>
    </row>
    <row r="136" spans="1:30" ht="16.5" customHeight="1" x14ac:dyDescent="0.45">
      <c r="A136" s="12" t="s">
        <v>128</v>
      </c>
      <c r="B136" s="7">
        <v>427.7</v>
      </c>
      <c r="C136" s="8">
        <f>IFERROR(B136/B444, "NA")</f>
        <v>6.5068846399488327E-3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-427.7</v>
      </c>
      <c r="I136" s="8">
        <f>IFERROR(H136/H444, "NA")</f>
        <v>-4.4379327555131728E-2</v>
      </c>
      <c r="J136" s="9"/>
      <c r="K136" s="7">
        <v>527.25</v>
      </c>
      <c r="L136" s="8">
        <f>IFERROR(K136/K444, "NA")</f>
        <v>9.8695441871052194E-3</v>
      </c>
      <c r="M136" s="9"/>
      <c r="N136" s="10">
        <f t="shared" si="29"/>
        <v>99.550000000000011</v>
      </c>
      <c r="O136" s="8">
        <f>IFERROR(N136/N444, "NA")</f>
        <v>8.087933015178175E-3</v>
      </c>
      <c r="P136" s="9"/>
      <c r="Q136" s="7">
        <v>427.7</v>
      </c>
      <c r="R136" s="8">
        <f>IFERROR(Q136/Q444, "NA")</f>
        <v>6.5068846399488327E-3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-427.7</v>
      </c>
      <c r="X136" s="8">
        <f>IFERROR(W136/W444, "NA")</f>
        <v>-4.4379327555131728E-2</v>
      </c>
      <c r="Y136" s="9"/>
      <c r="Z136" s="7">
        <v>527.25</v>
      </c>
      <c r="AA136" s="8">
        <f>IFERROR(Z136/Z444, "NA")</f>
        <v>9.8695441871052194E-3</v>
      </c>
      <c r="AB136" s="9"/>
      <c r="AC136" s="10">
        <f t="shared" si="31"/>
        <v>99.550000000000011</v>
      </c>
      <c r="AD136" s="8">
        <f>IFERROR(AC136/AC444, "NA")</f>
        <v>8.087933015178175E-3</v>
      </c>
    </row>
    <row r="137" spans="1:30" ht="16.5" customHeight="1" x14ac:dyDescent="0.45">
      <c r="A137" s="12" t="s">
        <v>129</v>
      </c>
      <c r="B137" s="7">
        <v>449.83</v>
      </c>
      <c r="C137" s="8">
        <f>IFERROR(B137/B444, "NA")</f>
        <v>6.8435630525793389E-3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-449.83</v>
      </c>
      <c r="I137" s="8">
        <f>IFERROR(H137/H444, "NA")</f>
        <v>-4.6675597180558581E-2</v>
      </c>
      <c r="J137" s="9"/>
      <c r="K137" s="7">
        <v>356.12</v>
      </c>
      <c r="L137" s="8">
        <f>IFERROR(K137/K444, "NA")</f>
        <v>6.6661774792070375E-3</v>
      </c>
      <c r="M137" s="9"/>
      <c r="N137" s="10">
        <f t="shared" si="29"/>
        <v>-93.70999999999998</v>
      </c>
      <c r="O137" s="8">
        <f>IFERROR(N137/N444, "NA")</f>
        <v>-7.6134626102696791E-3</v>
      </c>
      <c r="P137" s="9"/>
      <c r="Q137" s="7">
        <v>449.83</v>
      </c>
      <c r="R137" s="8">
        <f>IFERROR(Q137/Q444, "NA")</f>
        <v>6.8435630525793389E-3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-449.83</v>
      </c>
      <c r="X137" s="8">
        <f>IFERROR(W137/W444, "NA")</f>
        <v>-4.6675597180558581E-2</v>
      </c>
      <c r="Y137" s="9"/>
      <c r="Z137" s="7">
        <v>356.12</v>
      </c>
      <c r="AA137" s="8">
        <f>IFERROR(Z137/Z444, "NA")</f>
        <v>6.6661774792070375E-3</v>
      </c>
      <c r="AB137" s="9"/>
      <c r="AC137" s="10">
        <f t="shared" si="31"/>
        <v>-93.70999999999998</v>
      </c>
      <c r="AD137" s="8">
        <f>IFERROR(AC137/AC444, "NA")</f>
        <v>-7.6134626102696791E-3</v>
      </c>
    </row>
    <row r="138" spans="1:30" ht="16.5" customHeight="1" x14ac:dyDescent="0.45">
      <c r="A138" s="12" t="s">
        <v>130</v>
      </c>
      <c r="B138" s="7">
        <v>3773.12</v>
      </c>
      <c r="C138" s="8">
        <f>IFERROR(B138/B444, "NA")</f>
        <v>5.7402984738563805E-2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-3773.12</v>
      </c>
      <c r="I138" s="8">
        <f>IFERROR(H138/H444, "NA")</f>
        <v>-0.39150930181159371</v>
      </c>
      <c r="J138" s="9"/>
      <c r="K138" s="7">
        <v>2419.63</v>
      </c>
      <c r="L138" s="8">
        <f>IFERROR(K138/K444, "NA")</f>
        <v>4.5292831107530393E-2</v>
      </c>
      <c r="M138" s="9"/>
      <c r="N138" s="10">
        <f t="shared" si="29"/>
        <v>-1353.4899999999998</v>
      </c>
      <c r="O138" s="8">
        <f>IFERROR(N138/N444, "NA")</f>
        <v>-0.10996420348280768</v>
      </c>
      <c r="P138" s="9"/>
      <c r="Q138" s="7">
        <v>3773.12</v>
      </c>
      <c r="R138" s="8">
        <f>IFERROR(Q138/Q444, "NA")</f>
        <v>5.7402984738563805E-2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-3773.12</v>
      </c>
      <c r="X138" s="8">
        <f>IFERROR(W138/W444, "NA")</f>
        <v>-0.39150930181159371</v>
      </c>
      <c r="Y138" s="9"/>
      <c r="Z138" s="7">
        <v>2419.63</v>
      </c>
      <c r="AA138" s="8">
        <f>IFERROR(Z138/Z444, "NA")</f>
        <v>4.5292831107530393E-2</v>
      </c>
      <c r="AB138" s="9"/>
      <c r="AC138" s="10">
        <f t="shared" si="31"/>
        <v>-1353.4899999999998</v>
      </c>
      <c r="AD138" s="8">
        <f>IFERROR(AC138/AC444, "NA")</f>
        <v>-0.10996420348280768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20.079999999999998</v>
      </c>
      <c r="C140" s="8">
        <f>IFERROR(B140/B444, "NA")</f>
        <v>3.0549039880797883E-4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-20.079999999999998</v>
      </c>
      <c r="I140" s="8">
        <f>IFERROR(H140/H444, "NA")</f>
        <v>-2.0835559908979309E-3</v>
      </c>
      <c r="J140" s="9"/>
      <c r="K140" s="7">
        <v>11.88</v>
      </c>
      <c r="L140" s="8">
        <f>IFERROR(K140/K444, "NA")</f>
        <v>2.2238062578057847E-4</v>
      </c>
      <c r="M140" s="9"/>
      <c r="N140" s="10">
        <f t="shared" si="29"/>
        <v>-8.1999999999999975</v>
      </c>
      <c r="O140" s="8">
        <f>IFERROR(N140/N444, "NA")</f>
        <v>-6.6620844524822712E-4</v>
      </c>
      <c r="P140" s="9"/>
      <c r="Q140" s="7">
        <v>20.079999999999998</v>
      </c>
      <c r="R140" s="8">
        <f>IFERROR(Q140/Q444, "NA")</f>
        <v>3.0549039880797883E-4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-20.079999999999998</v>
      </c>
      <c r="X140" s="8">
        <f>IFERROR(W140/W444, "NA")</f>
        <v>-2.0835559908979309E-3</v>
      </c>
      <c r="Y140" s="9"/>
      <c r="Z140" s="7">
        <v>11.88</v>
      </c>
      <c r="AA140" s="8">
        <f>IFERROR(Z140/Z444, "NA")</f>
        <v>2.2238062578057847E-4</v>
      </c>
      <c r="AB140" s="9"/>
      <c r="AC140" s="10">
        <f t="shared" si="31"/>
        <v>-8.1999999999999975</v>
      </c>
      <c r="AD140" s="8">
        <f>IFERROR(AC140/AC444, "NA")</f>
        <v>-6.6620844524822712E-4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15582.15</v>
      </c>
      <c r="C141" s="15">
        <f>IFERROR(B141/B444, "NA")</f>
        <v>0.23706161443156115</v>
      </c>
      <c r="D141" s="2"/>
      <c r="E141" s="14">
        <f>IFERROR(E129+E130+E131+E132+E133+E134+E135+E136+E137+E138+E139+E140, "NA")</f>
        <v>14135.44</v>
      </c>
      <c r="F141" s="15">
        <f>IFERROR(E141/E444, "NA")</f>
        <v>0.25200002638474917</v>
      </c>
      <c r="G141" s="2"/>
      <c r="H141" s="14">
        <f t="shared" si="28"/>
        <v>-1446.7099999999991</v>
      </c>
      <c r="I141" s="15">
        <f>IFERROR(H141/H444, "NA")</f>
        <v>-0.15011460595577411</v>
      </c>
      <c r="J141" s="2"/>
      <c r="K141" s="14">
        <f>IFERROR(K129+K130+K131+K132+K133+K134+K135+K136+K137+K138+K139+K140, "NA")</f>
        <v>13175.009999999997</v>
      </c>
      <c r="L141" s="15">
        <f>IFERROR(K141/K444, "NA")</f>
        <v>0.24662179869237191</v>
      </c>
      <c r="M141" s="2"/>
      <c r="N141" s="14">
        <f t="shared" si="29"/>
        <v>-2407.1400000000031</v>
      </c>
      <c r="O141" s="15">
        <f>IFERROR(N141/N444, "NA")</f>
        <v>-0.19556792645058779</v>
      </c>
      <c r="P141" s="2"/>
      <c r="Q141" s="14">
        <f>IFERROR(Q129+Q130+Q131+Q132+Q133+Q134+Q135+Q136+Q137+Q138+Q139+Q140, "NA")</f>
        <v>15582.15</v>
      </c>
      <c r="R141" s="15">
        <f>IFERROR(Q141/Q444, "NA")</f>
        <v>0.23706161443156115</v>
      </c>
      <c r="S141" s="2"/>
      <c r="T141" s="14">
        <f>IFERROR(T129+T130+T131+T132+T133+T134+T135+T136+T137+T138+T139+T140, "NA")</f>
        <v>14135.44</v>
      </c>
      <c r="U141" s="15">
        <f>IFERROR(T141/T444, "NA")</f>
        <v>0.25200002638474917</v>
      </c>
      <c r="V141" s="2"/>
      <c r="W141" s="14">
        <f t="shared" si="30"/>
        <v>-1446.7099999999991</v>
      </c>
      <c r="X141" s="15">
        <f>IFERROR(W141/W444, "NA")</f>
        <v>-0.15011460595577411</v>
      </c>
      <c r="Y141" s="2"/>
      <c r="Z141" s="14">
        <f>IFERROR(Z129+Z130+Z131+Z132+Z133+Z134+Z135+Z136+Z137+Z138+Z139+Z140, "NA")</f>
        <v>13175.009999999997</v>
      </c>
      <c r="AA141" s="15">
        <f>IFERROR(Z141/Z444, "NA")</f>
        <v>0.24662179869237191</v>
      </c>
      <c r="AB141" s="2"/>
      <c r="AC141" s="14">
        <f t="shared" si="31"/>
        <v>-2407.1400000000031</v>
      </c>
      <c r="AD141" s="15">
        <f>IFERROR(AC141/AC444, "NA")</f>
        <v>-0.19556792645058779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693.68</v>
      </c>
      <c r="C144" s="8">
        <f>IFERROR(B144/B444, "NA")</f>
        <v>1.055341533093221E-2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-693.68</v>
      </c>
      <c r="I144" s="8">
        <f>IFERROR(H144/H444, "NA")</f>
        <v>-7.1978143414645257E-2</v>
      </c>
      <c r="J144" s="9"/>
      <c r="K144" s="7">
        <v>638.38</v>
      </c>
      <c r="L144" s="8">
        <f>IFERROR(K144/K444, "NA")</f>
        <v>1.1949776421364114E-2</v>
      </c>
      <c r="M144" s="9"/>
      <c r="N144" s="10">
        <f t="shared" si="33"/>
        <v>-55.299999999999955</v>
      </c>
      <c r="O144" s="8">
        <f>IFERROR(N144/N444, "NA")</f>
        <v>-4.4928447588081632E-3</v>
      </c>
      <c r="P144" s="9"/>
      <c r="Q144" s="7">
        <v>693.68</v>
      </c>
      <c r="R144" s="8">
        <f>IFERROR(Q144/Q444, "NA")</f>
        <v>1.055341533093221E-2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-693.68</v>
      </c>
      <c r="X144" s="8">
        <f>IFERROR(W144/W444, "NA")</f>
        <v>-7.1978143414645257E-2</v>
      </c>
      <c r="Y144" s="9"/>
      <c r="Z144" s="7">
        <v>638.38</v>
      </c>
      <c r="AA144" s="8">
        <f>IFERROR(Z144/Z444, "NA")</f>
        <v>1.1949776421364114E-2</v>
      </c>
      <c r="AB144" s="9"/>
      <c r="AC144" s="10">
        <f t="shared" si="35"/>
        <v>-55.299999999999955</v>
      </c>
      <c r="AD144" s="8">
        <f>IFERROR(AC144/AC444, "NA")</f>
        <v>-4.4928447588081632E-3</v>
      </c>
    </row>
    <row r="145" spans="1:30" ht="16.5" customHeight="1" x14ac:dyDescent="0.45">
      <c r="A145" s="12" t="s">
        <v>136</v>
      </c>
      <c r="B145" s="7">
        <v>7.99</v>
      </c>
      <c r="C145" s="8">
        <f>IFERROR(B145/B444, "NA")</f>
        <v>1.2155718558146171E-4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-7.99</v>
      </c>
      <c r="I145" s="8">
        <f>IFERROR(H145/H444, "NA")</f>
        <v>-8.2906436092004333E-4</v>
      </c>
      <c r="J145" s="9"/>
      <c r="K145" s="7">
        <v>11.18</v>
      </c>
      <c r="L145" s="8">
        <f>IFERROR(K145/K444, "NA")</f>
        <v>2.092773902547868E-4</v>
      </c>
      <c r="M145" s="9"/>
      <c r="N145" s="10">
        <f t="shared" si="33"/>
        <v>3.1899999999999995</v>
      </c>
      <c r="O145" s="8">
        <f>IFERROR(N145/N444, "NA")</f>
        <v>2.5917133418802983E-4</v>
      </c>
      <c r="P145" s="9"/>
      <c r="Q145" s="7">
        <v>7.99</v>
      </c>
      <c r="R145" s="8">
        <f>IFERROR(Q145/Q444, "NA")</f>
        <v>1.2155718558146171E-4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-7.99</v>
      </c>
      <c r="X145" s="8">
        <f>IFERROR(W145/W444, "NA")</f>
        <v>-8.2906436092004333E-4</v>
      </c>
      <c r="Y145" s="9"/>
      <c r="Z145" s="7">
        <v>11.18</v>
      </c>
      <c r="AA145" s="8">
        <f>IFERROR(Z145/Z444, "NA")</f>
        <v>2.092773902547868E-4</v>
      </c>
      <c r="AB145" s="9"/>
      <c r="AC145" s="10">
        <f t="shared" si="35"/>
        <v>3.1899999999999995</v>
      </c>
      <c r="AD145" s="8">
        <f>IFERROR(AC145/AC444, "NA")</f>
        <v>2.5917133418802983E-4</v>
      </c>
    </row>
    <row r="146" spans="1:30" ht="16.5" customHeight="1" x14ac:dyDescent="0.45">
      <c r="A146" s="12" t="s">
        <v>137</v>
      </c>
      <c r="B146" s="7">
        <v>69.25</v>
      </c>
      <c r="C146" s="8">
        <f>IFERROR(B146/B444, "NA")</f>
        <v>1.0535463205902657E-3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-69.25</v>
      </c>
      <c r="I146" s="8">
        <f>IFERROR(H146/H444, "NA")</f>
        <v>-7.1855703371355439E-3</v>
      </c>
      <c r="J146" s="9"/>
      <c r="K146" s="7">
        <v>365.72</v>
      </c>
      <c r="L146" s="8">
        <f>IFERROR(K146/K444, "NA")</f>
        <v>6.8458789949893233E-3</v>
      </c>
      <c r="M146" s="9"/>
      <c r="N146" s="10">
        <f t="shared" si="33"/>
        <v>296.47000000000003</v>
      </c>
      <c r="O146" s="8">
        <f>IFERROR(N146/N444, "NA")</f>
        <v>2.4086685093017313E-2</v>
      </c>
      <c r="P146" s="9"/>
      <c r="Q146" s="7">
        <v>69.25</v>
      </c>
      <c r="R146" s="8">
        <f>IFERROR(Q146/Q444, "NA")</f>
        <v>1.0535463205902657E-3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-69.25</v>
      </c>
      <c r="X146" s="8">
        <f>IFERROR(W146/W444, "NA")</f>
        <v>-7.1855703371355439E-3</v>
      </c>
      <c r="Y146" s="9"/>
      <c r="Z146" s="7">
        <v>365.72</v>
      </c>
      <c r="AA146" s="8">
        <f>IFERROR(Z146/Z444, "NA")</f>
        <v>6.8458789949893233E-3</v>
      </c>
      <c r="AB146" s="9"/>
      <c r="AC146" s="10">
        <f t="shared" si="35"/>
        <v>296.47000000000003</v>
      </c>
      <c r="AD146" s="8">
        <f>IFERROR(AC146/AC444, "NA")</f>
        <v>2.4086685093017313E-2</v>
      </c>
    </row>
    <row r="147" spans="1:30" ht="16.5" customHeight="1" x14ac:dyDescent="0.45">
      <c r="A147" s="12" t="s">
        <v>138</v>
      </c>
      <c r="B147" s="7">
        <v>4.7699999999999996</v>
      </c>
      <c r="C147" s="8">
        <f>IFERROR(B147/B444, "NA")</f>
        <v>7.2569183382174262E-5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-4.7699999999999996</v>
      </c>
      <c r="I147" s="8">
        <f>IFERROR(H147/H444, "NA")</f>
        <v>-4.9494831058680925E-4</v>
      </c>
      <c r="J147" s="9"/>
      <c r="K147" s="7">
        <v>-238.62</v>
      </c>
      <c r="L147" s="8">
        <f>IFERROR(K147/K444, "NA")</f>
        <v>-4.4667058016634375E-3</v>
      </c>
      <c r="M147" s="9"/>
      <c r="N147" s="10">
        <f t="shared" si="33"/>
        <v>-243.39000000000001</v>
      </c>
      <c r="O147" s="8">
        <f>IFERROR(N147/N444, "NA")</f>
        <v>-1.9774204084020249E-2</v>
      </c>
      <c r="P147" s="9"/>
      <c r="Q147" s="7">
        <v>4.7699999999999996</v>
      </c>
      <c r="R147" s="8">
        <f>IFERROR(Q147/Q444, "NA")</f>
        <v>7.2569183382174262E-5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-4.7699999999999996</v>
      </c>
      <c r="X147" s="8">
        <f>IFERROR(W147/W444, "NA")</f>
        <v>-4.9494831058680925E-4</v>
      </c>
      <c r="Y147" s="9"/>
      <c r="Z147" s="7">
        <v>-238.62</v>
      </c>
      <c r="AA147" s="8">
        <f>IFERROR(Z147/Z444, "NA")</f>
        <v>-4.4667058016634375E-3</v>
      </c>
      <c r="AB147" s="9"/>
      <c r="AC147" s="10">
        <f t="shared" si="35"/>
        <v>-243.39000000000001</v>
      </c>
      <c r="AD147" s="8">
        <f>IFERROR(AC147/AC444, "NA")</f>
        <v>-1.9774204084020249E-2</v>
      </c>
    </row>
    <row r="148" spans="1:30" ht="16.5" customHeight="1" x14ac:dyDescent="0.45">
      <c r="A148" s="13" t="s">
        <v>139</v>
      </c>
      <c r="B148" s="14">
        <f>IFERROR(B143+B144+B145+B146+B147, "NA")</f>
        <v>775.68999999999994</v>
      </c>
      <c r="C148" s="15">
        <f>IFERROR(B148/B444, "NA")</f>
        <v>1.1801088020486111E-2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-775.68999999999994</v>
      </c>
      <c r="I148" s="15">
        <f>IFERROR(H148/H444, "NA")</f>
        <v>-8.048772642328765E-2</v>
      </c>
      <c r="J148" s="2"/>
      <c r="K148" s="14">
        <f>IFERROR(K143+K144+K145+K146+K147, "NA")</f>
        <v>776.66</v>
      </c>
      <c r="L148" s="15">
        <f>IFERROR(K148/K444, "NA")</f>
        <v>1.4538227004944787E-2</v>
      </c>
      <c r="M148" s="2"/>
      <c r="N148" s="14">
        <f t="shared" si="33"/>
        <v>0.97000000000002728</v>
      </c>
      <c r="O148" s="15">
        <f>IFERROR(N148/N444, "NA")</f>
        <v>7.880758437692667E-5</v>
      </c>
      <c r="P148" s="2"/>
      <c r="Q148" s="14">
        <f>IFERROR(Q143+Q144+Q145+Q146+Q147, "NA")</f>
        <v>775.68999999999994</v>
      </c>
      <c r="R148" s="15">
        <f>IFERROR(Q148/Q444, "NA")</f>
        <v>1.1801088020486111E-2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-775.68999999999994</v>
      </c>
      <c r="X148" s="15">
        <f>IFERROR(W148/W444, "NA")</f>
        <v>-8.048772642328765E-2</v>
      </c>
      <c r="Y148" s="2"/>
      <c r="Z148" s="14">
        <f>IFERROR(Z143+Z144+Z145+Z146+Z147, "NA")</f>
        <v>776.66</v>
      </c>
      <c r="AA148" s="15">
        <f>IFERROR(Z148/Z444, "NA")</f>
        <v>1.4538227004944787E-2</v>
      </c>
      <c r="AB148" s="2"/>
      <c r="AC148" s="14">
        <f t="shared" si="35"/>
        <v>0.97000000000002728</v>
      </c>
      <c r="AD148" s="15">
        <f>IFERROR(AC148/AC444, "NA")</f>
        <v>7.880758437692667E-5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16357.84</v>
      </c>
      <c r="C149" s="15">
        <f>IFERROR(B149/B444, "NA")</f>
        <v>0.24886270245204728</v>
      </c>
      <c r="D149" s="2"/>
      <c r="E149" s="14">
        <f>IFERROR(E127+E129+E130+E131+E132+E133+E134+E135+E136+E137+E138+E139+E140+E143+E144+E145+E146+E147, "NA")</f>
        <v>14135.44</v>
      </c>
      <c r="F149" s="15">
        <f>IFERROR(E149/E444, "NA")</f>
        <v>0.25200002638474917</v>
      </c>
      <c r="G149" s="2"/>
      <c r="H149" s="14">
        <f t="shared" si="32"/>
        <v>-2222.3999999999996</v>
      </c>
      <c r="I149" s="15">
        <f>IFERROR(H149/H444, "NA")</f>
        <v>-0.23060233237906183</v>
      </c>
      <c r="J149" s="2"/>
      <c r="K149" s="14">
        <f>IFERROR(K127+K129+K130+K131+K132+K133+K134+K135+K136+K137+K138+K139+K140+K143+K144+K145+K146+K147, "NA")</f>
        <v>13951.669999999995</v>
      </c>
      <c r="L149" s="15">
        <f>IFERROR(K149/K444, "NA")</f>
        <v>0.26116002569731667</v>
      </c>
      <c r="M149" s="2"/>
      <c r="N149" s="14">
        <f t="shared" si="33"/>
        <v>-2406.1700000000055</v>
      </c>
      <c r="O149" s="15">
        <f>IFERROR(N149/N444, "NA")</f>
        <v>-0.19548911886621106</v>
      </c>
      <c r="P149" s="2"/>
      <c r="Q149" s="14">
        <f>IFERROR(Q127+Q129+Q130+Q131+Q132+Q133+Q134+Q135+Q136+Q137+Q138+Q139+Q140+Q143+Q144+Q145+Q146+Q147, "NA")</f>
        <v>16357.84</v>
      </c>
      <c r="R149" s="15">
        <f>IFERROR(Q149/Q444, "NA")</f>
        <v>0.24886270245204728</v>
      </c>
      <c r="S149" s="2"/>
      <c r="T149" s="14">
        <f>IFERROR(T127+T129+T130+T131+T132+T133+T134+T135+T136+T137+T138+T139+T140+T143+T144+T145+T146+T147, "NA")</f>
        <v>14135.44</v>
      </c>
      <c r="U149" s="15">
        <f>IFERROR(T149/T444, "NA")</f>
        <v>0.25200002638474917</v>
      </c>
      <c r="V149" s="2"/>
      <c r="W149" s="14">
        <f t="shared" si="34"/>
        <v>-2222.3999999999996</v>
      </c>
      <c r="X149" s="15">
        <f>IFERROR(W149/W444, "NA")</f>
        <v>-0.23060233237906183</v>
      </c>
      <c r="Y149" s="2"/>
      <c r="Z149" s="14">
        <f>IFERROR(Z127+Z129+Z130+Z131+Z132+Z133+Z134+Z135+Z136+Z137+Z138+Z139+Z140+Z143+Z144+Z145+Z146+Z147, "NA")</f>
        <v>13951.669999999995</v>
      </c>
      <c r="AA149" s="15">
        <f>IFERROR(Z149/Z444, "NA")</f>
        <v>0.26116002569731667</v>
      </c>
      <c r="AB149" s="2"/>
      <c r="AC149" s="14">
        <f t="shared" si="35"/>
        <v>-2406.1700000000055</v>
      </c>
      <c r="AD149" s="15">
        <f>IFERROR(AC149/AC444, "NA")</f>
        <v>-0.19548911886621106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1514.51</v>
      </c>
      <c r="F153" s="8">
        <f>IFERROR(E153/E444, "NA")</f>
        <v>2.6999977359032791E-2</v>
      </c>
      <c r="G153" s="9"/>
      <c r="H153" s="10">
        <f t="shared" ref="H153:H158" si="36">IFERROR(-(B153-E153), "NA")</f>
        <v>1514.51</v>
      </c>
      <c r="I153" s="8">
        <f>IFERROR(H153/H444, "NA")</f>
        <v>0.15714972030751123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1514.51</v>
      </c>
      <c r="U153" s="8">
        <f>IFERROR(T153/T444, "NA")</f>
        <v>2.6999977359032791E-2</v>
      </c>
      <c r="V153" s="9"/>
      <c r="W153" s="10">
        <f t="shared" ref="W153:W158" si="38">IFERROR(-(Q153-T153), "NA")</f>
        <v>1514.51</v>
      </c>
      <c r="X153" s="8">
        <f>IFERROR(W153/W444, "NA")</f>
        <v>0.15714972030751123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2259.9699999999998</v>
      </c>
      <c r="C154" s="8">
        <f>IFERROR(B154/B444, "NA")</f>
        <v>3.4382427121218521E-2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-2259.9699999999998</v>
      </c>
      <c r="I154" s="8">
        <f>IFERROR(H154/H444, "NA")</f>
        <v>-0.23450069884211142</v>
      </c>
      <c r="J154" s="9"/>
      <c r="K154" s="7">
        <v>2286.66</v>
      </c>
      <c r="L154" s="8">
        <f>IFERROR(K154/K444, "NA")</f>
        <v>4.2803777924866795E-2</v>
      </c>
      <c r="M154" s="9"/>
      <c r="N154" s="10">
        <f t="shared" si="37"/>
        <v>26.690000000000055</v>
      </c>
      <c r="O154" s="8">
        <f>IFERROR(N154/N444, "NA")</f>
        <v>2.1684272443506371E-3</v>
      </c>
      <c r="P154" s="9"/>
      <c r="Q154" s="7">
        <v>2259.9699999999998</v>
      </c>
      <c r="R154" s="8">
        <f>IFERROR(Q154/Q444, "NA")</f>
        <v>3.4382427121218521E-2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-2259.9699999999998</v>
      </c>
      <c r="X154" s="8">
        <f>IFERROR(W154/W444, "NA")</f>
        <v>-0.23450069884211142</v>
      </c>
      <c r="Y154" s="9"/>
      <c r="Z154" s="7">
        <v>2286.66</v>
      </c>
      <c r="AA154" s="8">
        <f>IFERROR(Z154/Z444, "NA")</f>
        <v>4.2803777924866795E-2</v>
      </c>
      <c r="AB154" s="9"/>
      <c r="AC154" s="10">
        <f t="shared" si="39"/>
        <v>26.690000000000055</v>
      </c>
      <c r="AD154" s="8">
        <f>IFERROR(AC154/AC444, "NA")</f>
        <v>2.1684272443506371E-3</v>
      </c>
    </row>
    <row r="155" spans="1:30" ht="16.5" customHeight="1" x14ac:dyDescent="0.45">
      <c r="A155" s="12" t="s">
        <v>144</v>
      </c>
      <c r="B155" s="7">
        <v>473.21</v>
      </c>
      <c r="C155" s="8">
        <f>IFERROR(B155/B444, "NA")</f>
        <v>7.199258546808948E-3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-473.21</v>
      </c>
      <c r="I155" s="8">
        <f>IFERROR(H155/H444, "NA")</f>
        <v>-4.9101570241673803E-2</v>
      </c>
      <c r="J155" s="9"/>
      <c r="K155" s="7">
        <v>726.67</v>
      </c>
      <c r="L155" s="8">
        <f>IFERROR(K155/K444, "NA")</f>
        <v>1.3602468799324322E-2</v>
      </c>
      <c r="M155" s="9"/>
      <c r="N155" s="10">
        <f t="shared" si="37"/>
        <v>253.45999999999998</v>
      </c>
      <c r="O155" s="8">
        <f>IFERROR(N155/N444, "NA")</f>
        <v>2.059234055275801E-2</v>
      </c>
      <c r="P155" s="9"/>
      <c r="Q155" s="7">
        <v>473.21</v>
      </c>
      <c r="R155" s="8">
        <f>IFERROR(Q155/Q444, "NA")</f>
        <v>7.199258546808948E-3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-473.21</v>
      </c>
      <c r="X155" s="8">
        <f>IFERROR(W155/W444, "NA")</f>
        <v>-4.9101570241673803E-2</v>
      </c>
      <c r="Y155" s="9"/>
      <c r="Z155" s="7">
        <v>726.67</v>
      </c>
      <c r="AA155" s="8">
        <f>IFERROR(Z155/Z444, "NA")</f>
        <v>1.3602468799324322E-2</v>
      </c>
      <c r="AB155" s="9"/>
      <c r="AC155" s="10">
        <f t="shared" si="39"/>
        <v>253.45999999999998</v>
      </c>
      <c r="AD155" s="8">
        <f>IFERROR(AC155/AC444, "NA")</f>
        <v>2.059234055275801E-2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131.03</v>
      </c>
      <c r="L156" s="8">
        <f>IFERROR(K156/K444, "NA")</f>
        <v>2.4527385013492589E-3</v>
      </c>
      <c r="M156" s="9"/>
      <c r="N156" s="10">
        <f t="shared" si="37"/>
        <v>131.03</v>
      </c>
      <c r="O156" s="8">
        <f>IFERROR(N156/N444, "NA")</f>
        <v>1.0645523485472588E-2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2.4527385013492589E-3</v>
      </c>
      <c r="AB156" s="9"/>
      <c r="AC156" s="10">
        <f t="shared" si="39"/>
        <v>131.03</v>
      </c>
      <c r="AD156" s="8">
        <f>IFERROR(AC156/AC444, "NA")</f>
        <v>1.0645523485472588E-2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2733.18</v>
      </c>
      <c r="C158" s="15">
        <f>IFERROR(B158/B444, "NA")</f>
        <v>4.1581685668027474E-2</v>
      </c>
      <c r="D158" s="2"/>
      <c r="E158" s="14">
        <f>IFERROR(E153+E154+E155+E156+E157, "NA")</f>
        <v>1514.51</v>
      </c>
      <c r="F158" s="15">
        <f>IFERROR(E158/E444, "NA")</f>
        <v>2.6999977359032791E-2</v>
      </c>
      <c r="G158" s="2"/>
      <c r="H158" s="14">
        <f t="shared" si="36"/>
        <v>-1218.6699999999998</v>
      </c>
      <c r="I158" s="15">
        <f>IFERROR(H158/H444, "NA")</f>
        <v>-0.12645254877627399</v>
      </c>
      <c r="J158" s="2"/>
      <c r="K158" s="14">
        <f>IFERROR(K153+K154+K155+K156+K157, "NA")</f>
        <v>3144.36</v>
      </c>
      <c r="L158" s="15">
        <f>IFERROR(K158/K444, "NA")</f>
        <v>5.8858985225540381E-2</v>
      </c>
      <c r="M158" s="2"/>
      <c r="N158" s="14">
        <f t="shared" si="37"/>
        <v>411.18000000000029</v>
      </c>
      <c r="O158" s="15">
        <f>IFERROR(N158/N444, "NA")</f>
        <v>3.3406291282581255E-2</v>
      </c>
      <c r="P158" s="2"/>
      <c r="Q158" s="14">
        <f>IFERROR(Q153+Q154+Q155+Q156+Q157, "NA")</f>
        <v>2733.18</v>
      </c>
      <c r="R158" s="15">
        <f>IFERROR(Q158/Q444, "NA")</f>
        <v>4.1581685668027474E-2</v>
      </c>
      <c r="S158" s="2"/>
      <c r="T158" s="14">
        <f>IFERROR(T153+T154+T155+T156+T157, "NA")</f>
        <v>1514.51</v>
      </c>
      <c r="U158" s="15">
        <f>IFERROR(T158/T444, "NA")</f>
        <v>2.6999977359032791E-2</v>
      </c>
      <c r="V158" s="2"/>
      <c r="W158" s="14">
        <f t="shared" si="38"/>
        <v>-1218.6699999999998</v>
      </c>
      <c r="X158" s="15">
        <f>IFERROR(W158/W444, "NA")</f>
        <v>-0.12645254877627399</v>
      </c>
      <c r="Y158" s="2"/>
      <c r="Z158" s="14">
        <f>IFERROR(Z153+Z154+Z155+Z156+Z157, "NA")</f>
        <v>3144.36</v>
      </c>
      <c r="AA158" s="15">
        <f>IFERROR(Z158/Z444, "NA")</f>
        <v>5.8858985225540381E-2</v>
      </c>
      <c r="AB158" s="2"/>
      <c r="AC158" s="14">
        <f t="shared" si="39"/>
        <v>411.18000000000029</v>
      </c>
      <c r="AD158" s="15">
        <f>IFERROR(AC158/AC444, "NA")</f>
        <v>3.3406291282581255E-2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260.7</v>
      </c>
      <c r="C161" s="8">
        <f>IFERROR(B161/B444, "NA")</f>
        <v>3.9662025383087694E-3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-260.7</v>
      </c>
      <c r="I161" s="8">
        <f>IFERROR(H161/H444, "NA")</f>
        <v>-2.7050948547165866E-2</v>
      </c>
      <c r="J161" s="9"/>
      <c r="K161" s="7">
        <v>328.96</v>
      </c>
      <c r="L161" s="8">
        <f>IFERROR(K161/K444, "NA")</f>
        <v>6.1577719408063203E-3</v>
      </c>
      <c r="M161" s="9"/>
      <c r="N161" s="10">
        <f t="shared" si="41"/>
        <v>68.259999999999991</v>
      </c>
      <c r="O161" s="8">
        <f>IFERROR(N161/N444, "NA")</f>
        <v>5.5457790820297552E-3</v>
      </c>
      <c r="P161" s="9"/>
      <c r="Q161" s="7">
        <v>260.7</v>
      </c>
      <c r="R161" s="8">
        <f>IFERROR(Q161/Q444, "NA")</f>
        <v>3.9662025383087694E-3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-260.7</v>
      </c>
      <c r="X161" s="8">
        <f>IFERROR(W161/W444, "NA")</f>
        <v>-2.7050948547165866E-2</v>
      </c>
      <c r="Y161" s="9"/>
      <c r="Z161" s="7">
        <v>328.96</v>
      </c>
      <c r="AA161" s="8">
        <f>IFERROR(Z161/Z444, "NA")</f>
        <v>6.1577719408063203E-3</v>
      </c>
      <c r="AB161" s="9"/>
      <c r="AC161" s="10">
        <f t="shared" si="43"/>
        <v>68.259999999999991</v>
      </c>
      <c r="AD161" s="8">
        <f>IFERROR(AC161/AC444, "NA")</f>
        <v>5.5457790820297552E-3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260.7</v>
      </c>
      <c r="C166" s="15">
        <f>IFERROR(B166/B444, "NA")</f>
        <v>3.9662025383087694E-3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-260.7</v>
      </c>
      <c r="I166" s="15">
        <f>IFERROR(H166/H444, "NA")</f>
        <v>-2.7050948547165866E-2</v>
      </c>
      <c r="J166" s="2"/>
      <c r="K166" s="14">
        <f>IFERROR(K160+K161+K162+K163+K164+K165, "NA")</f>
        <v>328.96</v>
      </c>
      <c r="L166" s="15">
        <f>IFERROR(K166/K444, "NA")</f>
        <v>6.1577719408063203E-3</v>
      </c>
      <c r="M166" s="2"/>
      <c r="N166" s="14">
        <f t="shared" si="41"/>
        <v>68.259999999999991</v>
      </c>
      <c r="O166" s="15">
        <f>IFERROR(N166/N444, "NA")</f>
        <v>5.5457790820297552E-3</v>
      </c>
      <c r="P166" s="2"/>
      <c r="Q166" s="14">
        <f>IFERROR(Q160+Q161+Q162+Q163+Q164+Q165, "NA")</f>
        <v>260.7</v>
      </c>
      <c r="R166" s="15">
        <f>IFERROR(Q166/Q444, "NA")</f>
        <v>3.9662025383087694E-3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-260.7</v>
      </c>
      <c r="X166" s="15">
        <f>IFERROR(W166/W444, "NA")</f>
        <v>-2.7050948547165866E-2</v>
      </c>
      <c r="Y166" s="2"/>
      <c r="Z166" s="14">
        <f>IFERROR(Z160+Z161+Z162+Z163+Z164+Z165, "NA")</f>
        <v>328.96</v>
      </c>
      <c r="AA166" s="15">
        <f>IFERROR(Z166/Z444, "NA")</f>
        <v>6.1577719408063203E-3</v>
      </c>
      <c r="AB166" s="2"/>
      <c r="AC166" s="14">
        <f t="shared" si="43"/>
        <v>68.259999999999991</v>
      </c>
      <c r="AD166" s="15">
        <f>IFERROR(AC166/AC444, "NA")</f>
        <v>5.5457790820297552E-3</v>
      </c>
    </row>
    <row r="167" spans="1:30" ht="16.5" customHeight="1" x14ac:dyDescent="0.45">
      <c r="A167" s="6" t="s">
        <v>155</v>
      </c>
      <c r="B167" s="7">
        <v>266.56</v>
      </c>
      <c r="C167" s="8">
        <f>IFERROR(B167/B444, "NA")</f>
        <v>4.055354616845361E-3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-266.56</v>
      </c>
      <c r="I167" s="8">
        <f>IFERROR(H167/H444, "NA")</f>
        <v>-2.7658998253672934E-2</v>
      </c>
      <c r="J167" s="9"/>
      <c r="K167" s="7">
        <v>352.93</v>
      </c>
      <c r="L167" s="8">
        <f>IFERROR(K167/K444, "NA")</f>
        <v>6.6064641630252151E-3</v>
      </c>
      <c r="M167" s="9"/>
      <c r="N167" s="10">
        <f t="shared" si="41"/>
        <v>86.37</v>
      </c>
      <c r="O167" s="8">
        <f>IFERROR(N167/N444, "NA")</f>
        <v>7.0171248068401698E-3</v>
      </c>
      <c r="P167" s="9"/>
      <c r="Q167" s="7">
        <v>266.56</v>
      </c>
      <c r="R167" s="8">
        <f>IFERROR(Q167/Q444, "NA")</f>
        <v>4.055354616845361E-3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-266.56</v>
      </c>
      <c r="X167" s="8">
        <f>IFERROR(W167/W444, "NA")</f>
        <v>-2.7658998253672934E-2</v>
      </c>
      <c r="Y167" s="9"/>
      <c r="Z167" s="7">
        <v>352.93</v>
      </c>
      <c r="AA167" s="8">
        <f>IFERROR(Z167/Z444, "NA")</f>
        <v>6.6064641630252151E-3</v>
      </c>
      <c r="AB167" s="9"/>
      <c r="AC167" s="10">
        <f t="shared" si="43"/>
        <v>86.37</v>
      </c>
      <c r="AD167" s="8">
        <f>IFERROR(AC167/AC444, "NA")</f>
        <v>7.0171248068401698E-3</v>
      </c>
    </row>
    <row r="168" spans="1:30" ht="16.5" customHeight="1" x14ac:dyDescent="0.45">
      <c r="A168" s="6" t="s">
        <v>156</v>
      </c>
      <c r="B168" s="7">
        <v>29.8</v>
      </c>
      <c r="C168" s="8">
        <f>IFERROR(B168/B444, "NA")</f>
        <v>4.5336722532259813E-4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-29.8</v>
      </c>
      <c r="I168" s="8">
        <f>IFERROR(H168/H444, "NA")</f>
        <v>-3.0921299068106746E-3</v>
      </c>
      <c r="J168" s="9"/>
      <c r="K168" s="7">
        <v>20.8</v>
      </c>
      <c r="L168" s="8">
        <f>IFERROR(K168/K444, "NA")</f>
        <v>3.8935328419495224E-4</v>
      </c>
      <c r="M168" s="9"/>
      <c r="N168" s="10">
        <f t="shared" si="41"/>
        <v>-9</v>
      </c>
      <c r="O168" s="8">
        <f>IFERROR(N168/N444, "NA")</f>
        <v>-7.3120439112610313E-4</v>
      </c>
      <c r="P168" s="9"/>
      <c r="Q168" s="7">
        <v>29.8</v>
      </c>
      <c r="R168" s="8">
        <f>IFERROR(Q168/Q444, "NA")</f>
        <v>4.5336722532259813E-4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-29.8</v>
      </c>
      <c r="X168" s="8">
        <f>IFERROR(W168/W444, "NA")</f>
        <v>-3.0921299068106746E-3</v>
      </c>
      <c r="Y168" s="9"/>
      <c r="Z168" s="7">
        <v>20.8</v>
      </c>
      <c r="AA168" s="8">
        <f>IFERROR(Z168/Z444, "NA")</f>
        <v>3.8935328419495224E-4</v>
      </c>
      <c r="AB168" s="9"/>
      <c r="AC168" s="10">
        <f t="shared" si="43"/>
        <v>-9</v>
      </c>
      <c r="AD168" s="8">
        <f>IFERROR(AC168/AC444, "NA")</f>
        <v>-7.3120439112610313E-4</v>
      </c>
    </row>
    <row r="169" spans="1:30" ht="16.5" customHeight="1" x14ac:dyDescent="0.45">
      <c r="A169" s="6" t="s">
        <v>157</v>
      </c>
      <c r="B169" s="7">
        <v>-2307.1799999999998</v>
      </c>
      <c r="C169" s="8">
        <f>IFERROR(B169/B444, "NA")</f>
        <v>-3.5100664259053421E-2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2307.1799999999998</v>
      </c>
      <c r="I169" s="8">
        <f>IFERROR(H169/H444, "NA")</f>
        <v>0.23939933820118967</v>
      </c>
      <c r="J169" s="9"/>
      <c r="K169" s="7">
        <v>-2902.62</v>
      </c>
      <c r="L169" s="8">
        <f>IFERROR(K169/K444, "NA")</f>
        <v>-5.43338764312477E-2</v>
      </c>
      <c r="M169" s="9"/>
      <c r="N169" s="10">
        <f t="shared" si="41"/>
        <v>-595.44000000000005</v>
      </c>
      <c r="O169" s="8">
        <f>IFERROR(N169/N444, "NA")</f>
        <v>-4.8376482516902984E-2</v>
      </c>
      <c r="P169" s="9"/>
      <c r="Q169" s="7">
        <v>-2307.1799999999998</v>
      </c>
      <c r="R169" s="8">
        <f>IFERROR(Q169/Q444, "NA")</f>
        <v>-3.5100664259053421E-2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2307.1799999999998</v>
      </c>
      <c r="X169" s="8">
        <f>IFERROR(W169/W444, "NA")</f>
        <v>0.23939933820118967</v>
      </c>
      <c r="Y169" s="9"/>
      <c r="Z169" s="7">
        <v>-2902.62</v>
      </c>
      <c r="AA169" s="8">
        <f>IFERROR(Z169/Z444, "NA")</f>
        <v>-5.43338764312477E-2</v>
      </c>
      <c r="AB169" s="9"/>
      <c r="AC169" s="10">
        <f t="shared" si="43"/>
        <v>-595.44000000000005</v>
      </c>
      <c r="AD169" s="8">
        <f>IFERROR(AC169/AC444, "NA")</f>
        <v>-4.8376482516902984E-2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983.06</v>
      </c>
      <c r="C170" s="15">
        <f>IFERROR(B170/B444, "NA")</f>
        <v>1.4955945789450783E-2</v>
      </c>
      <c r="D170" s="2"/>
      <c r="E170" s="14">
        <f>IFERROR(E151+E153+E154+E155+E156+E157+E160+E161+E162+E163+E164+E165+E167+E168+E169, "NA")</f>
        <v>1514.51</v>
      </c>
      <c r="F170" s="15">
        <f>IFERROR(E170/E444, "NA")</f>
        <v>2.6999977359032791E-2</v>
      </c>
      <c r="G170" s="2"/>
      <c r="H170" s="14">
        <f t="shared" si="40"/>
        <v>531.45000000000005</v>
      </c>
      <c r="I170" s="15">
        <f>IFERROR(H170/H444, "NA")</f>
        <v>5.5144712717266217E-2</v>
      </c>
      <c r="J170" s="2"/>
      <c r="K170" s="14">
        <f>IFERROR(K151+K153+K154+K155+K156+K157+K160+K161+K162+K163+K164+K165+K167+K168+K169, "NA")</f>
        <v>944.43000000000029</v>
      </c>
      <c r="L170" s="15">
        <f>IFERROR(K170/K444, "NA")</f>
        <v>1.7678698182319173E-2</v>
      </c>
      <c r="M170" s="2"/>
      <c r="N170" s="14">
        <f t="shared" si="41"/>
        <v>-38.629999999999654</v>
      </c>
      <c r="O170" s="15">
        <f>IFERROR(N170/N444, "NA")</f>
        <v>-3.1384917365779013E-3</v>
      </c>
      <c r="P170" s="2"/>
      <c r="Q170" s="14">
        <f>IFERROR(Q151+Q153+Q154+Q155+Q156+Q157+Q160+Q161+Q162+Q163+Q164+Q165+Q167+Q168+Q169, "NA")</f>
        <v>983.06</v>
      </c>
      <c r="R170" s="15">
        <f>IFERROR(Q170/Q444, "NA")</f>
        <v>1.4955945789450783E-2</v>
      </c>
      <c r="S170" s="2"/>
      <c r="T170" s="14">
        <f>IFERROR(T151+T153+T154+T155+T156+T157+T160+T161+T162+T163+T164+T165+T167+T168+T169, "NA")</f>
        <v>1514.51</v>
      </c>
      <c r="U170" s="15">
        <f>IFERROR(T170/T444, "NA")</f>
        <v>2.6999977359032791E-2</v>
      </c>
      <c r="V170" s="2"/>
      <c r="W170" s="14">
        <f t="shared" si="42"/>
        <v>531.45000000000005</v>
      </c>
      <c r="X170" s="15">
        <f>IFERROR(W170/W444, "NA")</f>
        <v>5.5144712717266217E-2</v>
      </c>
      <c r="Y170" s="2"/>
      <c r="Z170" s="14">
        <f>IFERROR(Z151+Z153+Z154+Z155+Z156+Z157+Z160+Z161+Z162+Z163+Z164+Z165+Z167+Z168+Z169, "NA")</f>
        <v>944.43000000000029</v>
      </c>
      <c r="AA170" s="15">
        <f>IFERROR(Z170/Z444, "NA")</f>
        <v>1.7678698182319173E-2</v>
      </c>
      <c r="AB170" s="2"/>
      <c r="AC170" s="14">
        <f t="shared" si="43"/>
        <v>-38.629999999999654</v>
      </c>
      <c r="AD170" s="15">
        <f>IFERROR(AC170/AC444, "NA")</f>
        <v>-3.1384917365779013E-3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17340.900000000001</v>
      </c>
      <c r="C171" s="15">
        <f>IFERROR(B171/B444, "NA")</f>
        <v>0.26381864824149809</v>
      </c>
      <c r="D171" s="2"/>
      <c r="E171" s="14">
        <f>IFERROR(E127+E129+E130+E131+E132+E133+E134+E135+E136+E137+E138+E139+E140+E143+E144+E145+E146+E147+E151+E153+E154+E155+E156+E157+E160+E161+E162+E163+E164+E165+E167+E168+E169, "NA")</f>
        <v>15649.95</v>
      </c>
      <c r="F171" s="15">
        <f>IFERROR(E171/E444, "NA")</f>
        <v>0.27900000374378198</v>
      </c>
      <c r="G171" s="2"/>
      <c r="H171" s="14">
        <f t="shared" si="40"/>
        <v>-1690.9500000000007</v>
      </c>
      <c r="I171" s="15">
        <f>IFERROR(H171/H444, "NA")</f>
        <v>-0.17545761966179574</v>
      </c>
      <c r="J171" s="2"/>
      <c r="K171" s="14">
        <f>IFERROR(K127+K129+K130+K131+K132+K133+K134+K135+K136+K137+K138+K139+K140+K143+K144+K145+K146+K147+K151+K153+K154+K155+K156+K157+K160+K161+K162+K163+K164+K165+K167+K168+K169, "NA")</f>
        <v>14896.099999999991</v>
      </c>
      <c r="L171" s="15">
        <f>IFERROR(K171/K444, "NA")</f>
        <v>0.27883872387963576</v>
      </c>
      <c r="M171" s="2"/>
      <c r="N171" s="14">
        <f t="shared" si="41"/>
        <v>-2444.8000000000102</v>
      </c>
      <c r="O171" s="15">
        <f>IFERROR(N171/N444, "NA")</f>
        <v>-0.19862761060278938</v>
      </c>
      <c r="P171" s="2"/>
      <c r="Q171" s="14">
        <f>IFERROR(Q127+Q129+Q130+Q131+Q132+Q133+Q134+Q135+Q136+Q137+Q138+Q139+Q140+Q143+Q144+Q145+Q146+Q147+Q151+Q153+Q154+Q155+Q156+Q157+Q160+Q161+Q162+Q163+Q164+Q165+Q167+Q168+Q169, "NA")</f>
        <v>17340.900000000001</v>
      </c>
      <c r="R171" s="15">
        <f>IFERROR(Q171/Q444, "NA")</f>
        <v>0.26381864824149809</v>
      </c>
      <c r="S171" s="2"/>
      <c r="T171" s="14">
        <f>IFERROR(T127+T129+T130+T131+T132+T133+T134+T135+T136+T137+T138+T139+T140+T143+T144+T145+T146+T147+T151+T153+T154+T155+T156+T157+T160+T161+T162+T163+T164+T165+T167+T168+T169, "NA")</f>
        <v>15649.95</v>
      </c>
      <c r="U171" s="15">
        <f>IFERROR(T171/T444, "NA")</f>
        <v>0.27900000374378198</v>
      </c>
      <c r="V171" s="2"/>
      <c r="W171" s="14">
        <f t="shared" si="42"/>
        <v>-1690.9500000000007</v>
      </c>
      <c r="X171" s="15">
        <f>IFERROR(W171/W444, "NA")</f>
        <v>-0.17545761966179574</v>
      </c>
      <c r="Y171" s="2"/>
      <c r="Z171" s="14">
        <f>IFERROR(Z127+Z129+Z130+Z131+Z132+Z133+Z134+Z135+Z136+Z137+Z138+Z139+Z140+Z143+Z144+Z145+Z146+Z147+Z151+Z153+Z154+Z155+Z156+Z157+Z160+Z161+Z162+Z163+Z164+Z165+Z167+Z168+Z169, "NA")</f>
        <v>14896.099999999991</v>
      </c>
      <c r="AA171" s="15">
        <f>IFERROR(Z171/Z444, "NA")</f>
        <v>0.27883872387963576</v>
      </c>
      <c r="AB171" s="2"/>
      <c r="AC171" s="14">
        <f t="shared" si="43"/>
        <v>-2444.8000000000102</v>
      </c>
      <c r="AD171" s="15">
        <f>IFERROR(AC171/AC444, "NA")</f>
        <v>-0.19862761060278938</v>
      </c>
    </row>
    <row r="172" spans="1:30" ht="16.5" customHeight="1" x14ac:dyDescent="0.45">
      <c r="A172" s="22" t="s">
        <v>160</v>
      </c>
      <c r="B172" s="23">
        <f>IFERROR(B124-B171, "NA")</f>
        <v>48389.48</v>
      </c>
      <c r="C172" s="24">
        <f>IFERROR(B172/B444, "NA")</f>
        <v>0.73618135175850197</v>
      </c>
      <c r="D172" s="25"/>
      <c r="E172" s="23">
        <f>IFERROR(E124-E171, "NA")</f>
        <v>40443.06</v>
      </c>
      <c r="F172" s="24">
        <f>IFERROR(E172/E444, "NA")</f>
        <v>0.72099999625621791</v>
      </c>
      <c r="G172" s="25"/>
      <c r="H172" s="23">
        <f>IFERROR(B172-E172, "NA")</f>
        <v>7946.4200000000055</v>
      </c>
      <c r="I172" s="24">
        <f>IFERROR(H172/H444, "NA")</f>
        <v>0.82454238033820471</v>
      </c>
      <c r="J172" s="25"/>
      <c r="K172" s="23">
        <f>IFERROR(K124-K171, "NA")</f>
        <v>38525.820000000014</v>
      </c>
      <c r="L172" s="24">
        <f>IFERROR(K172/K444, "NA")</f>
        <v>0.7211612761203644</v>
      </c>
      <c r="M172" s="25"/>
      <c r="N172" s="23">
        <f>IFERROR(B172-K172, "NA")</f>
        <v>9863.6599999999889</v>
      </c>
      <c r="O172" s="24">
        <f>IFERROR(N172/N444, "NA")</f>
        <v>0.80137238939721001</v>
      </c>
      <c r="P172" s="25"/>
      <c r="Q172" s="23">
        <f>IFERROR(Q124-Q171, "NA")</f>
        <v>48389.48</v>
      </c>
      <c r="R172" s="24">
        <f>IFERROR(Q172/Q444, "NA")</f>
        <v>0.73618135175850197</v>
      </c>
      <c r="S172" s="25"/>
      <c r="T172" s="23">
        <f>IFERROR(T124-T171, "NA")</f>
        <v>40443.06</v>
      </c>
      <c r="U172" s="24">
        <f>IFERROR(T172/T444, "NA")</f>
        <v>0.72099999625621791</v>
      </c>
      <c r="V172" s="25"/>
      <c r="W172" s="23">
        <f>IFERROR(Q172-T172, "NA")</f>
        <v>7946.4200000000055</v>
      </c>
      <c r="X172" s="24">
        <f>IFERROR(W172/W444, "NA")</f>
        <v>0.82454238033820471</v>
      </c>
      <c r="Y172" s="25"/>
      <c r="Z172" s="23">
        <f>IFERROR(Z124-Z171, "NA")</f>
        <v>38525.820000000014</v>
      </c>
      <c r="AA172" s="24">
        <f>IFERROR(Z172/Z444, "NA")</f>
        <v>0.7211612761203644</v>
      </c>
      <c r="AB172" s="25"/>
      <c r="AC172" s="23">
        <f>IFERROR(Q172-Z172, "NA")</f>
        <v>9863.6599999999889</v>
      </c>
      <c r="AD172" s="24">
        <f>IFERROR(AC172/AC444, "NA")</f>
        <v>0.80137238939721001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8.5805072175149447E-2</v>
      </c>
      <c r="D178" s="9"/>
      <c r="E178" s="7">
        <v>5576.92</v>
      </c>
      <c r="F178" s="8">
        <f>IFERROR(E178/E444, "NA")</f>
        <v>9.9422726646332574E-2</v>
      </c>
      <c r="G178" s="9"/>
      <c r="H178" s="10">
        <f t="shared" si="44"/>
        <v>-63.079999999999927</v>
      </c>
      <c r="I178" s="8">
        <f>IFERROR(H178/H444, "NA")</f>
        <v>-6.5453541785777565E-3</v>
      </c>
      <c r="J178" s="9"/>
      <c r="K178" s="7">
        <v>5423.08</v>
      </c>
      <c r="L178" s="8">
        <f>IFERROR(K178/K444, "NA")</f>
        <v>0.10151413502172892</v>
      </c>
      <c r="M178" s="9"/>
      <c r="N178" s="10">
        <f t="shared" si="45"/>
        <v>-216.92000000000007</v>
      </c>
      <c r="O178" s="8">
        <f>IFERROR(N178/N444, "NA")</f>
        <v>-1.7623650724786038E-2</v>
      </c>
      <c r="P178" s="9"/>
      <c r="Q178" s="7">
        <v>5640</v>
      </c>
      <c r="R178" s="8">
        <f>IFERROR(Q178/Q444, "NA")</f>
        <v>8.5805072175149447E-2</v>
      </c>
      <c r="S178" s="9"/>
      <c r="T178" s="7">
        <v>5576.92</v>
      </c>
      <c r="U178" s="8">
        <f>IFERROR(T178/T444, "NA")</f>
        <v>9.9422726646332574E-2</v>
      </c>
      <c r="V178" s="9"/>
      <c r="W178" s="10">
        <f t="shared" si="46"/>
        <v>-63.079999999999927</v>
      </c>
      <c r="X178" s="8">
        <f>IFERROR(W178/W444, "NA")</f>
        <v>-6.5453541785777565E-3</v>
      </c>
      <c r="Y178" s="9"/>
      <c r="Z178" s="7">
        <v>5423.08</v>
      </c>
      <c r="AA178" s="8">
        <f>IFERROR(Z178/Z444, "NA")</f>
        <v>0.10151413502172892</v>
      </c>
      <c r="AB178" s="9"/>
      <c r="AC178" s="10">
        <f t="shared" si="47"/>
        <v>-216.92000000000007</v>
      </c>
      <c r="AD178" s="8">
        <f>IFERROR(AC178/AC444, "NA")</f>
        <v>-1.7623650724786038E-2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14187.56</v>
      </c>
      <c r="C180" s="8">
        <f>IFERROR(B180/B444, "NA")</f>
        <v>0.21584478896972753</v>
      </c>
      <c r="D180" s="9"/>
      <c r="E180" s="7">
        <v>12677.02</v>
      </c>
      <c r="F180" s="8">
        <f>IFERROR(E180/E444, "NA")</f>
        <v>0.22599999536484136</v>
      </c>
      <c r="G180" s="9"/>
      <c r="H180" s="10">
        <f t="shared" si="44"/>
        <v>-1510.5399999999991</v>
      </c>
      <c r="I180" s="8">
        <f>IFERROR(H180/H444, "NA")</f>
        <v>-0.1567377821957649</v>
      </c>
      <c r="J180" s="9"/>
      <c r="K180" s="7">
        <v>12940.11</v>
      </c>
      <c r="L180" s="8">
        <f>IFERROR(K180/K444, "NA")</f>
        <v>0.2422247272280742</v>
      </c>
      <c r="M180" s="9"/>
      <c r="N180" s="10">
        <f t="shared" si="45"/>
        <v>-1247.4499999999989</v>
      </c>
      <c r="O180" s="8">
        <f>IFERROR(N180/N444, "NA")</f>
        <v>-0.10134899085669517</v>
      </c>
      <c r="P180" s="9"/>
      <c r="Q180" s="7">
        <v>14187.56</v>
      </c>
      <c r="R180" s="8">
        <f>IFERROR(Q180/Q444, "NA")</f>
        <v>0.21584478896972753</v>
      </c>
      <c r="S180" s="9"/>
      <c r="T180" s="7">
        <v>12677.02</v>
      </c>
      <c r="U180" s="8">
        <f>IFERROR(T180/T444, "NA")</f>
        <v>0.22599999536484136</v>
      </c>
      <c r="V180" s="9"/>
      <c r="W180" s="10">
        <f t="shared" si="46"/>
        <v>-1510.5399999999991</v>
      </c>
      <c r="X180" s="8">
        <f>IFERROR(W180/W444, "NA")</f>
        <v>-0.1567377821957649</v>
      </c>
      <c r="Y180" s="9"/>
      <c r="Z180" s="7">
        <v>12940.11</v>
      </c>
      <c r="AA180" s="8">
        <f>IFERROR(Z180/Z444, "NA")</f>
        <v>0.2422247272280742</v>
      </c>
      <c r="AB180" s="9"/>
      <c r="AC180" s="10">
        <f t="shared" si="47"/>
        <v>-1247.4499999999989</v>
      </c>
      <c r="AD180" s="8">
        <f>IFERROR(AC180/AC444, "NA")</f>
        <v>-0.10134899085669517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152.47</v>
      </c>
      <c r="L181" s="8">
        <f>IFERROR(K181/K444, "NA")</f>
        <v>2.8540718865963637E-3</v>
      </c>
      <c r="M181" s="9"/>
      <c r="N181" s="10">
        <f t="shared" si="45"/>
        <v>152.47</v>
      </c>
      <c r="O181" s="8">
        <f>IFERROR(N181/N444, "NA")</f>
        <v>1.2387414834999661E-2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152.47</v>
      </c>
      <c r="AA181" s="8">
        <f>IFERROR(Z181/Z444, "NA")</f>
        <v>2.8540718865963637E-3</v>
      </c>
      <c r="AB181" s="9"/>
      <c r="AC181" s="10">
        <f t="shared" si="47"/>
        <v>152.47</v>
      </c>
      <c r="AD181" s="8">
        <f>IFERROR(AC181/AC444, "NA")</f>
        <v>1.2387414834999661E-2</v>
      </c>
    </row>
    <row r="182" spans="1:30" ht="16.5" customHeight="1" x14ac:dyDescent="0.45">
      <c r="A182" s="13" t="s">
        <v>167</v>
      </c>
      <c r="B182" s="14">
        <f>IFERROR(B177+B178+B179+B180+B181, "NA")</f>
        <v>19827.559999999998</v>
      </c>
      <c r="C182" s="15">
        <f>IFERROR(B182/B444, "NA")</f>
        <v>0.30164986114487696</v>
      </c>
      <c r="D182" s="2"/>
      <c r="E182" s="14">
        <f>IFERROR(E177+E178+E179+E180+E181, "NA")</f>
        <v>18253.940000000002</v>
      </c>
      <c r="F182" s="15">
        <f>IFERROR(E182/E444, "NA")</f>
        <v>0.32542272201117395</v>
      </c>
      <c r="G182" s="2"/>
      <c r="H182" s="14">
        <f t="shared" si="44"/>
        <v>-1573.6199999999953</v>
      </c>
      <c r="I182" s="15">
        <f>IFERROR(H182/H444, "NA")</f>
        <v>-0.16328313637434227</v>
      </c>
      <c r="J182" s="2"/>
      <c r="K182" s="14">
        <f>IFERROR(K177+K178+K179+K180+K181, "NA")</f>
        <v>18515.660000000003</v>
      </c>
      <c r="L182" s="15">
        <f>IFERROR(K182/K444, "NA")</f>
        <v>0.34659293413639952</v>
      </c>
      <c r="M182" s="2"/>
      <c r="N182" s="14">
        <f t="shared" si="45"/>
        <v>-1311.8999999999942</v>
      </c>
      <c r="O182" s="15">
        <f>IFERROR(N182/N444, "NA")</f>
        <v>-0.10658522674648116</v>
      </c>
      <c r="P182" s="2"/>
      <c r="Q182" s="14">
        <f>IFERROR(Q177+Q178+Q179+Q180+Q181, "NA")</f>
        <v>19827.559999999998</v>
      </c>
      <c r="R182" s="15">
        <f>IFERROR(Q182/Q444, "NA")</f>
        <v>0.30164986114487696</v>
      </c>
      <c r="S182" s="2"/>
      <c r="T182" s="14">
        <f>IFERROR(T177+T178+T179+T180+T181, "NA")</f>
        <v>18253.940000000002</v>
      </c>
      <c r="U182" s="15">
        <f>IFERROR(T182/T444, "NA")</f>
        <v>0.32542272201117395</v>
      </c>
      <c r="V182" s="2"/>
      <c r="W182" s="14">
        <f t="shared" si="46"/>
        <v>-1573.6199999999953</v>
      </c>
      <c r="X182" s="15">
        <f>IFERROR(W182/W444, "NA")</f>
        <v>-0.16328313637434227</v>
      </c>
      <c r="Y182" s="2"/>
      <c r="Z182" s="14">
        <f>IFERROR(Z177+Z178+Z179+Z180+Z181, "NA")</f>
        <v>18515.660000000003</v>
      </c>
      <c r="AA182" s="15">
        <f>IFERROR(Z182/Z444, "NA")</f>
        <v>0.34659293413639952</v>
      </c>
      <c r="AB182" s="2"/>
      <c r="AC182" s="14">
        <f t="shared" si="47"/>
        <v>-1311.8999999999942</v>
      </c>
      <c r="AD182" s="15">
        <f>IFERROR(AC182/AC444, "NA")</f>
        <v>-0.10658522674648116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7.606832639640908E-3</v>
      </c>
      <c r="D184" s="9"/>
      <c r="E184" s="7">
        <v>500</v>
      </c>
      <c r="F184" s="8">
        <f>IFERROR(E184/E444, "NA")</f>
        <v>8.9137666172665712E-3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5.615672368196426E-3</v>
      </c>
      <c r="M184" s="9"/>
      <c r="N184" s="10">
        <f t="shared" si="45"/>
        <v>-200</v>
      </c>
      <c r="O184" s="8">
        <f>IFERROR(N184/N444, "NA")</f>
        <v>-1.6248986469468957E-2</v>
      </c>
      <c r="P184" s="9"/>
      <c r="Q184" s="7">
        <v>500</v>
      </c>
      <c r="R184" s="8">
        <f>IFERROR(Q184/Q444, "NA")</f>
        <v>7.606832639640908E-3</v>
      </c>
      <c r="S184" s="9"/>
      <c r="T184" s="7">
        <v>500</v>
      </c>
      <c r="U184" s="8">
        <f>IFERROR(T184/T444, "NA")</f>
        <v>8.9137666172665712E-3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300</v>
      </c>
      <c r="AA184" s="8">
        <f>IFERROR(Z184/Z444, "NA")</f>
        <v>5.615672368196426E-3</v>
      </c>
      <c r="AB184" s="9"/>
      <c r="AC184" s="10">
        <f t="shared" si="47"/>
        <v>-200</v>
      </c>
      <c r="AD184" s="8">
        <f>IFERROR(AC184/AC444, "NA")</f>
        <v>-1.6248986469468957E-2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1822.3</v>
      </c>
      <c r="C186" s="8">
        <f>IFERROR(B186/B444, "NA")</f>
        <v>2.7723862238435253E-2</v>
      </c>
      <c r="D186" s="9"/>
      <c r="E186" s="7">
        <v>2433.25</v>
      </c>
      <c r="F186" s="8">
        <f>IFERROR(E186/E444, "NA")</f>
        <v>4.3378845242927774E-2</v>
      </c>
      <c r="G186" s="9"/>
      <c r="H186" s="10">
        <f t="shared" ref="H186:H197" si="48">IFERROR(-(B186-E186), "NA")</f>
        <v>610.95000000000005</v>
      </c>
      <c r="I186" s="8">
        <f>IFERROR(H186/H444, "NA")</f>
        <v>6.3393851227046369E-2</v>
      </c>
      <c r="J186" s="9"/>
      <c r="K186" s="7">
        <v>1753.84</v>
      </c>
      <c r="L186" s="8">
        <f>IFERROR(K186/K444, "NA")</f>
        <v>3.2829969420792061E-2</v>
      </c>
      <c r="M186" s="9"/>
      <c r="N186" s="10">
        <f t="shared" ref="N186:N197" si="49">IFERROR(-(B186-K186), "NA")</f>
        <v>-68.460000000000036</v>
      </c>
      <c r="O186" s="8">
        <f>IFERROR(N186/N444, "NA")</f>
        <v>-5.5620280684992272E-3</v>
      </c>
      <c r="P186" s="9"/>
      <c r="Q186" s="7">
        <v>1822.3</v>
      </c>
      <c r="R186" s="8">
        <f>IFERROR(Q186/Q444, "NA")</f>
        <v>2.7723862238435253E-2</v>
      </c>
      <c r="S186" s="9"/>
      <c r="T186" s="7">
        <v>2433.25</v>
      </c>
      <c r="U186" s="8">
        <f>IFERROR(T186/T444, "NA")</f>
        <v>4.3378845242927774E-2</v>
      </c>
      <c r="V186" s="9"/>
      <c r="W186" s="10">
        <f t="shared" ref="W186:W197" si="50">IFERROR(-(Q186-T186), "NA")</f>
        <v>610.95000000000005</v>
      </c>
      <c r="X186" s="8">
        <f>IFERROR(W186/W444, "NA")</f>
        <v>6.3393851227046369E-2</v>
      </c>
      <c r="Y186" s="9"/>
      <c r="Z186" s="7">
        <v>1753.84</v>
      </c>
      <c r="AA186" s="8">
        <f>IFERROR(Z186/Z444, "NA")</f>
        <v>3.2829969420792061E-2</v>
      </c>
      <c r="AB186" s="9"/>
      <c r="AC186" s="10">
        <f t="shared" ref="AC186:AC197" si="51">IFERROR(-(Q186-Z186), "NA")</f>
        <v>-68.460000000000036</v>
      </c>
      <c r="AD186" s="8">
        <f>IFERROR(AC186/AC444, "NA")</f>
        <v>-5.5620280684992272E-3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0.01</v>
      </c>
      <c r="L187" s="8">
        <f>IFERROR(K187/K444, "NA")</f>
        <v>1.8718907893988088E-7</v>
      </c>
      <c r="M187" s="9"/>
      <c r="N187" s="10">
        <f t="shared" si="49"/>
        <v>0.01</v>
      </c>
      <c r="O187" s="8">
        <f>IFERROR(N187/N444, "NA")</f>
        <v>8.1244932347344793E-7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0.01</v>
      </c>
      <c r="AA187" s="8">
        <f>IFERROR(Z187/Z444, "NA")</f>
        <v>1.8718907893988088E-7</v>
      </c>
      <c r="AB187" s="9"/>
      <c r="AC187" s="10">
        <f t="shared" si="51"/>
        <v>0.01</v>
      </c>
      <c r="AD187" s="8">
        <f>IFERROR(AC187/AC444, "NA")</f>
        <v>8.1244932347344793E-7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1822.3</v>
      </c>
      <c r="C193" s="15">
        <f>IFERROR(B193/B444, "NA")</f>
        <v>2.7723862238435253E-2</v>
      </c>
      <c r="D193" s="2"/>
      <c r="E193" s="14">
        <f>IFERROR(E186+E187+E188+E189+E190+E191+E192, "NA")</f>
        <v>2433.25</v>
      </c>
      <c r="F193" s="15">
        <f>IFERROR(E193/E444, "NA")</f>
        <v>4.3378845242927774E-2</v>
      </c>
      <c r="G193" s="2"/>
      <c r="H193" s="14">
        <f t="shared" si="48"/>
        <v>610.95000000000005</v>
      </c>
      <c r="I193" s="15">
        <f>IFERROR(H193/H444, "NA")</f>
        <v>6.3393851227046369E-2</v>
      </c>
      <c r="J193" s="2"/>
      <c r="K193" s="14">
        <f>IFERROR(K186+K187+K188+K189+K190+K191+K192, "NA")</f>
        <v>1753.85</v>
      </c>
      <c r="L193" s="15">
        <f>IFERROR(K193/K444, "NA")</f>
        <v>3.2830156609871007E-2</v>
      </c>
      <c r="M193" s="2"/>
      <c r="N193" s="14">
        <f t="shared" si="49"/>
        <v>-68.450000000000045</v>
      </c>
      <c r="O193" s="15">
        <f>IFERROR(N193/N444, "NA")</f>
        <v>-5.5612156191757545E-3</v>
      </c>
      <c r="P193" s="2"/>
      <c r="Q193" s="14">
        <f>IFERROR(Q186+Q187+Q188+Q189+Q190+Q191+Q192, "NA")</f>
        <v>1822.3</v>
      </c>
      <c r="R193" s="15">
        <f>IFERROR(Q193/Q444, "NA")</f>
        <v>2.7723862238435253E-2</v>
      </c>
      <c r="S193" s="2"/>
      <c r="T193" s="14">
        <f>IFERROR(T186+T187+T188+T189+T190+T191+T192, "NA")</f>
        <v>2433.25</v>
      </c>
      <c r="U193" s="15">
        <f>IFERROR(T193/T444, "NA")</f>
        <v>4.3378845242927774E-2</v>
      </c>
      <c r="V193" s="2"/>
      <c r="W193" s="14">
        <f t="shared" si="50"/>
        <v>610.95000000000005</v>
      </c>
      <c r="X193" s="15">
        <f>IFERROR(W193/W444, "NA")</f>
        <v>6.3393851227046369E-2</v>
      </c>
      <c r="Y193" s="2"/>
      <c r="Z193" s="14">
        <f>IFERROR(Z186+Z187+Z188+Z189+Z190+Z191+Z192, "NA")</f>
        <v>1753.85</v>
      </c>
      <c r="AA193" s="15">
        <f>IFERROR(Z193/Z444, "NA")</f>
        <v>3.2830156609871007E-2</v>
      </c>
      <c r="AB193" s="2"/>
      <c r="AC193" s="14">
        <f t="shared" si="51"/>
        <v>-68.450000000000045</v>
      </c>
      <c r="AD193" s="15">
        <f>IFERROR(AC193/AC444, "NA")</f>
        <v>-5.5612156191757545E-3</v>
      </c>
    </row>
    <row r="194" spans="1:30" ht="16.5" customHeight="1" x14ac:dyDescent="0.45">
      <c r="A194" s="6" t="s">
        <v>178</v>
      </c>
      <c r="B194" s="7">
        <v>248</v>
      </c>
      <c r="C194" s="8">
        <f>IFERROR(B194/B444, "NA")</f>
        <v>3.7729889892618904E-3</v>
      </c>
      <c r="D194" s="9"/>
      <c r="E194" s="7">
        <v>150.03</v>
      </c>
      <c r="F194" s="8">
        <f>IFERROR(E194/E444, "NA")</f>
        <v>2.6746648111770077E-3</v>
      </c>
      <c r="G194" s="9"/>
      <c r="H194" s="10">
        <f t="shared" si="48"/>
        <v>-97.97</v>
      </c>
      <c r="I194" s="8">
        <f>IFERROR(H194/H444, "NA")</f>
        <v>-1.0165636475511469E-2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-248</v>
      </c>
      <c r="O194" s="8">
        <f>IFERROR(N194/N444, "NA")</f>
        <v>-2.0148743222141507E-2</v>
      </c>
      <c r="P194" s="9"/>
      <c r="Q194" s="7">
        <v>248</v>
      </c>
      <c r="R194" s="8">
        <f>IFERROR(Q194/Q444, "NA")</f>
        <v>3.7729889892618904E-3</v>
      </c>
      <c r="S194" s="9"/>
      <c r="T194" s="7">
        <v>150.03</v>
      </c>
      <c r="U194" s="8">
        <f>IFERROR(T194/T444, "NA")</f>
        <v>2.6746648111770077E-3</v>
      </c>
      <c r="V194" s="9"/>
      <c r="W194" s="10">
        <f t="shared" si="50"/>
        <v>-97.97</v>
      </c>
      <c r="X194" s="8">
        <f>IFERROR(W194/W444, "NA")</f>
        <v>-1.0165636475511469E-2</v>
      </c>
      <c r="Y194" s="9"/>
      <c r="Z194" s="7">
        <v>0</v>
      </c>
      <c r="AA194" s="8">
        <f>IFERROR(Z194/Z444, "NA")</f>
        <v>0</v>
      </c>
      <c r="AB194" s="9"/>
      <c r="AC194" s="10">
        <f t="shared" si="51"/>
        <v>-248</v>
      </c>
      <c r="AD194" s="8">
        <f>IFERROR(AC194/AC444, "NA")</f>
        <v>-2.0148743222141507E-2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22397.859999999997</v>
      </c>
      <c r="C196" s="15">
        <f>IFERROR(B196/B444, "NA")</f>
        <v>0.340753545012215</v>
      </c>
      <c r="D196" s="2"/>
      <c r="E196" s="14">
        <f>IFERROR(E175+E177+E178+E179+E180+E181+E183+E184+E186+E187+E188+E189+E190+E191+E192+E194+E195, "NA")</f>
        <v>21337.22</v>
      </c>
      <c r="F196" s="15">
        <f>IFERROR(E196/E444, "NA")</f>
        <v>0.38038999868254531</v>
      </c>
      <c r="G196" s="2"/>
      <c r="H196" s="14">
        <f t="shared" si="48"/>
        <v>-1060.6399999999958</v>
      </c>
      <c r="I196" s="15">
        <f>IFERROR(H196/H444, "NA")</f>
        <v>-0.11005492162280742</v>
      </c>
      <c r="J196" s="2"/>
      <c r="K196" s="14">
        <f>IFERROR(K175+K177+K178+K179+K180+K181+K183+K184+K186+K187+K188+K189+K190+K191+K192+K194+K195, "NA")</f>
        <v>20569.510000000002</v>
      </c>
      <c r="L196" s="15">
        <f>IFERROR(K196/K444, "NA")</f>
        <v>0.38503876311446694</v>
      </c>
      <c r="M196" s="2"/>
      <c r="N196" s="14">
        <f t="shared" si="49"/>
        <v>-1828.3499999999949</v>
      </c>
      <c r="O196" s="15">
        <f>IFERROR(N196/N444, "NA")</f>
        <v>-0.14854417205726744</v>
      </c>
      <c r="P196" s="2"/>
      <c r="Q196" s="14">
        <f>IFERROR(Q175+Q177+Q178+Q179+Q180+Q181+Q183+Q184+Q186+Q187+Q188+Q189+Q190+Q191+Q192+Q194+Q195, "NA")</f>
        <v>22397.859999999997</v>
      </c>
      <c r="R196" s="15">
        <f>IFERROR(Q196/Q444, "NA")</f>
        <v>0.340753545012215</v>
      </c>
      <c r="S196" s="2"/>
      <c r="T196" s="14">
        <f>IFERROR(T175+T177+T178+T179+T180+T181+T183+T184+T186+T187+T188+T189+T190+T191+T192+T194+T195, "NA")</f>
        <v>21337.22</v>
      </c>
      <c r="U196" s="15">
        <f>IFERROR(T196/T444, "NA")</f>
        <v>0.38038999868254531</v>
      </c>
      <c r="V196" s="2"/>
      <c r="W196" s="14">
        <f t="shared" si="50"/>
        <v>-1060.6399999999958</v>
      </c>
      <c r="X196" s="15">
        <f>IFERROR(W196/W444, "NA")</f>
        <v>-0.11005492162280742</v>
      </c>
      <c r="Y196" s="2"/>
      <c r="Z196" s="14">
        <f>IFERROR(Z175+Z177+Z178+Z179+Z180+Z181+Z183+Z184+Z186+Z187+Z188+Z189+Z190+Z191+Z192+Z194+Z195, "NA")</f>
        <v>20569.510000000002</v>
      </c>
      <c r="AA196" s="15">
        <f>IFERROR(Z196/Z444, "NA")</f>
        <v>0.38503876311446694</v>
      </c>
      <c r="AB196" s="2"/>
      <c r="AC196" s="14">
        <f t="shared" si="51"/>
        <v>-1828.3499999999949</v>
      </c>
      <c r="AD196" s="15">
        <f>IFERROR(AC196/AC444, "NA")</f>
        <v>-0.14854417205726744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22397.859999999997</v>
      </c>
      <c r="C197" s="15">
        <f>IFERROR(B197/B444, "NA")</f>
        <v>0.340753545012215</v>
      </c>
      <c r="D197" s="2"/>
      <c r="E197" s="14">
        <f>IFERROR(E175+E177+E178+E179+E180+E181+E183+E184+E186+E187+E188+E189+E190+E191+E192+E194+E195, "NA")</f>
        <v>21337.22</v>
      </c>
      <c r="F197" s="15">
        <f>IFERROR(E197/E444, "NA")</f>
        <v>0.38038999868254531</v>
      </c>
      <c r="G197" s="2"/>
      <c r="H197" s="14">
        <f t="shared" si="48"/>
        <v>-1060.6399999999958</v>
      </c>
      <c r="I197" s="15">
        <f>IFERROR(H197/H444, "NA")</f>
        <v>-0.11005492162280742</v>
      </c>
      <c r="J197" s="2"/>
      <c r="K197" s="14">
        <f>IFERROR(K175+K177+K178+K179+K180+K181+K183+K184+K186+K187+K188+K189+K190+K191+K192+K194+K195, "NA")</f>
        <v>20569.510000000002</v>
      </c>
      <c r="L197" s="15">
        <f>IFERROR(K197/K444, "NA")</f>
        <v>0.38503876311446694</v>
      </c>
      <c r="M197" s="2"/>
      <c r="N197" s="14">
        <f t="shared" si="49"/>
        <v>-1828.3499999999949</v>
      </c>
      <c r="O197" s="15">
        <f>IFERROR(N197/N444, "NA")</f>
        <v>-0.14854417205726744</v>
      </c>
      <c r="P197" s="2"/>
      <c r="Q197" s="14">
        <f>IFERROR(Q175+Q177+Q178+Q179+Q180+Q181+Q183+Q184+Q186+Q187+Q188+Q189+Q190+Q191+Q192+Q194+Q195, "NA")</f>
        <v>22397.859999999997</v>
      </c>
      <c r="R197" s="15">
        <f>IFERROR(Q197/Q444, "NA")</f>
        <v>0.340753545012215</v>
      </c>
      <c r="S197" s="2"/>
      <c r="T197" s="14">
        <f>IFERROR(T175+T177+T178+T179+T180+T181+T183+T184+T186+T187+T188+T189+T190+T191+T192+T194+T195, "NA")</f>
        <v>21337.22</v>
      </c>
      <c r="U197" s="15">
        <f>IFERROR(T197/T444, "NA")</f>
        <v>0.38038999868254531</v>
      </c>
      <c r="V197" s="2"/>
      <c r="W197" s="14">
        <f t="shared" si="50"/>
        <v>-1060.6399999999958</v>
      </c>
      <c r="X197" s="15">
        <f>IFERROR(W197/W444, "NA")</f>
        <v>-0.11005492162280742</v>
      </c>
      <c r="Y197" s="2"/>
      <c r="Z197" s="14">
        <f>IFERROR(Z175+Z177+Z178+Z179+Z180+Z181+Z183+Z184+Z186+Z187+Z188+Z189+Z190+Z191+Z192+Z194+Z195, "NA")</f>
        <v>20569.510000000002</v>
      </c>
      <c r="AA197" s="15">
        <f>IFERROR(Z197/Z444, "NA")</f>
        <v>0.38503876311446694</v>
      </c>
      <c r="AB197" s="2"/>
      <c r="AC197" s="14">
        <f t="shared" si="51"/>
        <v>-1828.3499999999949</v>
      </c>
      <c r="AD197" s="15">
        <f>IFERROR(AC197/AC444, "NA")</f>
        <v>-0.14854417205726744</v>
      </c>
    </row>
    <row r="198" spans="1:30" ht="16.5" customHeight="1" x14ac:dyDescent="0.45">
      <c r="A198" s="22" t="s">
        <v>181</v>
      </c>
      <c r="B198" s="23">
        <f>IFERROR(B172-B197, "NA")</f>
        <v>25991.620000000006</v>
      </c>
      <c r="C198" s="24">
        <f>IFERROR(B198/B444, "NA")</f>
        <v>0.39542780674628697</v>
      </c>
      <c r="D198" s="25"/>
      <c r="E198" s="23">
        <f>IFERROR(E172-E197, "NA")</f>
        <v>19105.839999999997</v>
      </c>
      <c r="F198" s="24">
        <f>IFERROR(E198/E444, "NA")</f>
        <v>0.34060999757367266</v>
      </c>
      <c r="G198" s="25"/>
      <c r="H198" s="23">
        <f>IFERROR(B198-E198, "NA")</f>
        <v>6885.7800000000097</v>
      </c>
      <c r="I198" s="24">
        <f>IFERROR(H198/H444, "NA")</f>
        <v>0.71448745871539721</v>
      </c>
      <c r="J198" s="25"/>
      <c r="K198" s="23">
        <f>IFERROR(K172-K197, "NA")</f>
        <v>17956.310000000012</v>
      </c>
      <c r="L198" s="24">
        <f>IFERROR(K198/K444, "NA")</f>
        <v>0.33612251300589746</v>
      </c>
      <c r="M198" s="25"/>
      <c r="N198" s="23">
        <f>IFERROR(B198-K198, "NA")</f>
        <v>8035.309999999994</v>
      </c>
      <c r="O198" s="24">
        <f>IFERROR(N198/N444, "NA")</f>
        <v>0.65282821733994256</v>
      </c>
      <c r="P198" s="25"/>
      <c r="Q198" s="23">
        <f>IFERROR(Q172-Q197, "NA")</f>
        <v>25991.620000000006</v>
      </c>
      <c r="R198" s="24">
        <f>IFERROR(Q198/Q444, "NA")</f>
        <v>0.39542780674628697</v>
      </c>
      <c r="S198" s="25"/>
      <c r="T198" s="23">
        <f>IFERROR(T172-T197, "NA")</f>
        <v>19105.839999999997</v>
      </c>
      <c r="U198" s="24">
        <f>IFERROR(T198/T444, "NA")</f>
        <v>0.34060999757367266</v>
      </c>
      <c r="V198" s="25"/>
      <c r="W198" s="23">
        <f>IFERROR(Q198-T198, "NA")</f>
        <v>6885.7800000000097</v>
      </c>
      <c r="X198" s="24">
        <f>IFERROR(W198/W444, "NA")</f>
        <v>0.71448745871539721</v>
      </c>
      <c r="Y198" s="25"/>
      <c r="Z198" s="23">
        <f>IFERROR(Z172-Z197, "NA")</f>
        <v>17956.310000000012</v>
      </c>
      <c r="AA198" s="24">
        <f>IFERROR(Z198/Z444, "NA")</f>
        <v>0.33612251300589746</v>
      </c>
      <c r="AB198" s="25"/>
      <c r="AC198" s="23">
        <f>IFERROR(Q198-Z198, "NA")</f>
        <v>8035.309999999994</v>
      </c>
      <c r="AD198" s="24">
        <f>IFERROR(AC198/AC444, "NA")</f>
        <v>0.65282821733994256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1121.8599999999999</v>
      </c>
      <c r="F201" s="8">
        <f>IFERROR(E201/E444, "NA")</f>
        <v>1.999999643449335E-2</v>
      </c>
      <c r="G201" s="9"/>
      <c r="H201" s="10">
        <f t="shared" ref="H201:H209" si="52">IFERROR(-(B201-E201), "NA")</f>
        <v>1121.8599999999999</v>
      </c>
      <c r="I201" s="8">
        <f>IFERROR(H201/H444, "NA")</f>
        <v>0.11640727708908132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1121.8599999999999</v>
      </c>
      <c r="U201" s="8">
        <f>IFERROR(T201/T444, "NA")</f>
        <v>1.999999643449335E-2</v>
      </c>
      <c r="V201" s="9"/>
      <c r="W201" s="10">
        <f t="shared" ref="W201:W209" si="54">IFERROR(-(Q201-T201), "NA")</f>
        <v>1121.8599999999999</v>
      </c>
      <c r="X201" s="8">
        <f>IFERROR(W201/W444, "NA")</f>
        <v>0.11640727708908132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820.18</v>
      </c>
      <c r="C202" s="8">
        <f>IFERROR(B202/B444, "NA")</f>
        <v>1.2477943988761359E-2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-820.18</v>
      </c>
      <c r="I202" s="8">
        <f>IFERROR(H202/H444, "NA")</f>
        <v>-8.5104131106308017E-2</v>
      </c>
      <c r="J202" s="9"/>
      <c r="K202" s="7">
        <v>948.51</v>
      </c>
      <c r="L202" s="8">
        <f>IFERROR(K202/K444, "NA")</f>
        <v>1.775507132652664E-2</v>
      </c>
      <c r="M202" s="9"/>
      <c r="N202" s="10">
        <f t="shared" si="53"/>
        <v>128.33000000000004</v>
      </c>
      <c r="O202" s="8">
        <f>IFERROR(N202/N444, "NA")</f>
        <v>1.0426162168134761E-2</v>
      </c>
      <c r="P202" s="9"/>
      <c r="Q202" s="7">
        <v>820.18</v>
      </c>
      <c r="R202" s="8">
        <f>IFERROR(Q202/Q444, "NA")</f>
        <v>1.2477943988761359E-2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-820.18</v>
      </c>
      <c r="X202" s="8">
        <f>IFERROR(W202/W444, "NA")</f>
        <v>-8.5104131106308017E-2</v>
      </c>
      <c r="Y202" s="9"/>
      <c r="Z202" s="7">
        <v>948.51</v>
      </c>
      <c r="AA202" s="8">
        <f>IFERROR(Z202/Z444, "NA")</f>
        <v>1.775507132652664E-2</v>
      </c>
      <c r="AB202" s="9"/>
      <c r="AC202" s="10">
        <f t="shared" si="55"/>
        <v>128.33000000000004</v>
      </c>
      <c r="AD202" s="8">
        <f>IFERROR(AC202/AC444, "NA")</f>
        <v>1.0426162168134761E-2</v>
      </c>
    </row>
    <row r="203" spans="1:30" ht="16.5" customHeight="1" x14ac:dyDescent="0.45">
      <c r="A203" s="6" t="s">
        <v>185</v>
      </c>
      <c r="B203" s="7">
        <v>396.46</v>
      </c>
      <c r="C203" s="8">
        <f>IFERROR(B203/B444, "NA")</f>
        <v>6.0316097366240684E-3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-396.46</v>
      </c>
      <c r="I203" s="8">
        <f>IFERROR(H203/H444, "NA")</f>
        <v>-4.1137779290408051E-2</v>
      </c>
      <c r="J203" s="9"/>
      <c r="K203" s="7">
        <v>297.45</v>
      </c>
      <c r="L203" s="8">
        <f>IFERROR(K203/K444, "NA")</f>
        <v>5.5679391530667564E-3</v>
      </c>
      <c r="M203" s="9"/>
      <c r="N203" s="10">
        <f t="shared" si="53"/>
        <v>-99.009999999999991</v>
      </c>
      <c r="O203" s="8">
        <f>IFERROR(N203/N444, "NA")</f>
        <v>-8.0440607517106074E-3</v>
      </c>
      <c r="P203" s="9"/>
      <c r="Q203" s="7">
        <v>396.46</v>
      </c>
      <c r="R203" s="8">
        <f>IFERROR(Q203/Q444, "NA")</f>
        <v>6.0316097366240684E-3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-396.46</v>
      </c>
      <c r="X203" s="8">
        <f>IFERROR(W203/W444, "NA")</f>
        <v>-4.1137779290408051E-2</v>
      </c>
      <c r="Y203" s="9"/>
      <c r="Z203" s="7">
        <v>297.45</v>
      </c>
      <c r="AA203" s="8">
        <f>IFERROR(Z203/Z444, "NA")</f>
        <v>5.5679391530667564E-3</v>
      </c>
      <c r="AB203" s="9"/>
      <c r="AC203" s="10">
        <f t="shared" si="55"/>
        <v>-99.009999999999991</v>
      </c>
      <c r="AD203" s="8">
        <f>IFERROR(AC203/AC444, "NA")</f>
        <v>-8.0440607517106074E-3</v>
      </c>
    </row>
    <row r="204" spans="1:30" ht="16.5" customHeight="1" x14ac:dyDescent="0.45">
      <c r="A204" s="6" t="s">
        <v>186</v>
      </c>
      <c r="B204" s="7">
        <v>8.43</v>
      </c>
      <c r="C204" s="8">
        <f>IFERROR(B204/B444, "NA")</f>
        <v>1.282511983043457E-4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-8.43</v>
      </c>
      <c r="I204" s="8">
        <f>IFERROR(H204/H444, "NA")</f>
        <v>-8.7471997028234854E-4</v>
      </c>
      <c r="J204" s="9"/>
      <c r="K204" s="7">
        <v>22.48</v>
      </c>
      <c r="L204" s="8">
        <f>IFERROR(K204/K444, "NA")</f>
        <v>4.2080104945685219E-4</v>
      </c>
      <c r="M204" s="9"/>
      <c r="N204" s="10">
        <f t="shared" si="53"/>
        <v>14.05</v>
      </c>
      <c r="O204" s="8">
        <f>IFERROR(N204/N444, "NA")</f>
        <v>1.1414912994801945E-3</v>
      </c>
      <c r="P204" s="9"/>
      <c r="Q204" s="7">
        <v>8.43</v>
      </c>
      <c r="R204" s="8">
        <f>IFERROR(Q204/Q444, "NA")</f>
        <v>1.282511983043457E-4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-8.43</v>
      </c>
      <c r="X204" s="8">
        <f>IFERROR(W204/W444, "NA")</f>
        <v>-8.7471997028234854E-4</v>
      </c>
      <c r="Y204" s="9"/>
      <c r="Z204" s="7">
        <v>22.48</v>
      </c>
      <c r="AA204" s="8">
        <f>IFERROR(Z204/Z444, "NA")</f>
        <v>4.2080104945685219E-4</v>
      </c>
      <c r="AB204" s="9"/>
      <c r="AC204" s="10">
        <f t="shared" si="55"/>
        <v>14.05</v>
      </c>
      <c r="AD204" s="8">
        <f>IFERROR(AC204/AC444, "NA")</f>
        <v>1.1414912994801945E-3</v>
      </c>
    </row>
    <row r="205" spans="1:30" ht="16.5" customHeight="1" x14ac:dyDescent="0.45">
      <c r="A205" s="6" t="s">
        <v>187</v>
      </c>
      <c r="B205" s="7">
        <v>344.02</v>
      </c>
      <c r="C205" s="8">
        <f>IFERROR(B205/B444, "NA")</f>
        <v>5.2338051293785307E-3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-344.02</v>
      </c>
      <c r="I205" s="8">
        <f>IFERROR(H205/H444, "NA")</f>
        <v>-3.569646075640967E-2</v>
      </c>
      <c r="J205" s="9"/>
      <c r="K205" s="7">
        <v>348.42</v>
      </c>
      <c r="L205" s="8">
        <f>IFERROR(K205/K444, "NA")</f>
        <v>6.522041888423329E-3</v>
      </c>
      <c r="M205" s="9"/>
      <c r="N205" s="10">
        <f t="shared" si="53"/>
        <v>4.4000000000000341</v>
      </c>
      <c r="O205" s="8">
        <f>IFERROR(N205/N444, "NA")</f>
        <v>3.5747770232831983E-4</v>
      </c>
      <c r="P205" s="9"/>
      <c r="Q205" s="7">
        <v>344.02</v>
      </c>
      <c r="R205" s="8">
        <f>IFERROR(Q205/Q444, "NA")</f>
        <v>5.2338051293785307E-3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-344.02</v>
      </c>
      <c r="X205" s="8">
        <f>IFERROR(W205/W444, "NA")</f>
        <v>-3.569646075640967E-2</v>
      </c>
      <c r="Y205" s="9"/>
      <c r="Z205" s="7">
        <v>348.42</v>
      </c>
      <c r="AA205" s="8">
        <f>IFERROR(Z205/Z444, "NA")</f>
        <v>6.522041888423329E-3</v>
      </c>
      <c r="AB205" s="9"/>
      <c r="AC205" s="10">
        <f t="shared" si="55"/>
        <v>4.4000000000000341</v>
      </c>
      <c r="AD205" s="8">
        <f>IFERROR(AC205/AC444, "NA")</f>
        <v>3.5747770232831983E-4</v>
      </c>
    </row>
    <row r="206" spans="1:30" ht="16.5" hidden="1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0</v>
      </c>
      <c r="R206" s="8">
        <f>IFERROR(Q206/Q444, "NA")</f>
        <v>0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0</v>
      </c>
      <c r="X206" s="8">
        <f>IFERROR(W206/W444, "NA")</f>
        <v>0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0</v>
      </c>
      <c r="AD206" s="8">
        <f>IFERROR(AC206/AC444, "NA")</f>
        <v>0</v>
      </c>
    </row>
    <row r="207" spans="1:30" ht="16.5" customHeight="1" x14ac:dyDescent="0.45">
      <c r="A207" s="6" t="s">
        <v>189</v>
      </c>
      <c r="B207" s="7">
        <v>99.6</v>
      </c>
      <c r="C207" s="8">
        <f>IFERROR(B207/B444, "NA")</f>
        <v>1.5152810618164689E-3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-99.6</v>
      </c>
      <c r="I207" s="8">
        <f>IFERROR(H207/H444, "NA")</f>
        <v>-1.0334769755649099E-2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-99.6</v>
      </c>
      <c r="O207" s="8">
        <f>IFERROR(N207/N444, "NA")</f>
        <v>-8.0919952617955412E-3</v>
      </c>
      <c r="P207" s="9"/>
      <c r="Q207" s="7">
        <v>99.6</v>
      </c>
      <c r="R207" s="8">
        <f>IFERROR(Q207/Q444, "NA")</f>
        <v>1.5152810618164689E-3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-1.0334769755649099E-2</v>
      </c>
      <c r="Y207" s="9"/>
      <c r="Z207" s="7">
        <v>0</v>
      </c>
      <c r="AA207" s="8">
        <f>IFERROR(Z207/Z444, "NA")</f>
        <v>0</v>
      </c>
      <c r="AB207" s="9"/>
      <c r="AC207" s="10">
        <f t="shared" si="55"/>
        <v>-99.6</v>
      </c>
      <c r="AD207" s="8">
        <f>IFERROR(AC207/AC444, "NA")</f>
        <v>-8.0919952617955412E-3</v>
      </c>
    </row>
    <row r="208" spans="1:30" ht="16.5" customHeight="1" x14ac:dyDescent="0.45">
      <c r="A208" s="6" t="s">
        <v>190</v>
      </c>
      <c r="B208" s="7">
        <v>109.76</v>
      </c>
      <c r="C208" s="8">
        <f>IFERROR(B208/B444, "NA")</f>
        <v>1.6698519010539723E-3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-109.76</v>
      </c>
      <c r="I208" s="8">
        <f>IFERROR(H208/H444, "NA")</f>
        <v>-1.1388999280924151E-2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-109.76</v>
      </c>
      <c r="O208" s="8">
        <f>IFERROR(N208/N444, "NA")</f>
        <v>-8.9174437744445646E-3</v>
      </c>
      <c r="P208" s="9"/>
      <c r="Q208" s="7">
        <v>109.76</v>
      </c>
      <c r="R208" s="8">
        <f>IFERROR(Q208/Q444, "NA")</f>
        <v>1.6698519010539723E-3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-109.76</v>
      </c>
      <c r="X208" s="8">
        <f>IFERROR(W208/W444, "NA")</f>
        <v>-1.1388999280924151E-2</v>
      </c>
      <c r="Y208" s="9"/>
      <c r="Z208" s="7">
        <v>0</v>
      </c>
      <c r="AA208" s="8">
        <f>IFERROR(Z208/Z444, "NA")</f>
        <v>0</v>
      </c>
      <c r="AB208" s="9"/>
      <c r="AC208" s="10">
        <f t="shared" si="55"/>
        <v>-109.76</v>
      </c>
      <c r="AD208" s="8">
        <f>IFERROR(AC208/AC444, "NA")</f>
        <v>-8.9174437744445646E-3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1778.4499999999998</v>
      </c>
      <c r="C209" s="15">
        <f>IFERROR(B209/B444, "NA")</f>
        <v>2.7056743015938745E-2</v>
      </c>
      <c r="D209" s="2"/>
      <c r="E209" s="14">
        <f>IFERROR(E201+E202+E203+E204+E205+E206+E207+E208, "NA")</f>
        <v>1121.8599999999999</v>
      </c>
      <c r="F209" s="15">
        <f>IFERROR(E209/E444, "NA")</f>
        <v>1.999999643449335E-2</v>
      </c>
      <c r="G209" s="2"/>
      <c r="H209" s="14">
        <f t="shared" si="52"/>
        <v>-656.58999999999992</v>
      </c>
      <c r="I209" s="15">
        <f>IFERROR(H209/H444, "NA")</f>
        <v>-6.8129583070900016E-2</v>
      </c>
      <c r="J209" s="2"/>
      <c r="K209" s="14">
        <f>IFERROR(K201+K202+K203+K204+K205+K206+K207+K208, "NA")</f>
        <v>1616.8600000000001</v>
      </c>
      <c r="L209" s="15">
        <f>IFERROR(K209/K444, "NA")</f>
        <v>3.0265853417473579E-2</v>
      </c>
      <c r="M209" s="2"/>
      <c r="N209" s="14">
        <f t="shared" si="53"/>
        <v>-161.58999999999969</v>
      </c>
      <c r="O209" s="15">
        <f>IFERROR(N209/N444, "NA")</f>
        <v>-1.3128368618007419E-2</v>
      </c>
      <c r="P209" s="2"/>
      <c r="Q209" s="14">
        <f>IFERROR(Q201+Q202+Q203+Q204+Q205+Q206+Q207+Q208, "NA")</f>
        <v>1778.4499999999998</v>
      </c>
      <c r="R209" s="15">
        <f>IFERROR(Q209/Q444, "NA")</f>
        <v>2.7056743015938745E-2</v>
      </c>
      <c r="S209" s="2"/>
      <c r="T209" s="14">
        <f>IFERROR(T201+T202+T203+T204+T205+T206+T207+T208, "NA")</f>
        <v>1121.8599999999999</v>
      </c>
      <c r="U209" s="15">
        <f>IFERROR(T209/T444, "NA")</f>
        <v>1.999999643449335E-2</v>
      </c>
      <c r="V209" s="2"/>
      <c r="W209" s="14">
        <f t="shared" si="54"/>
        <v>-656.58999999999992</v>
      </c>
      <c r="X209" s="15">
        <f>IFERROR(W209/W444, "NA")</f>
        <v>-6.8129583070900016E-2</v>
      </c>
      <c r="Y209" s="2"/>
      <c r="Z209" s="14">
        <f>IFERROR(Z201+Z202+Z203+Z204+Z205+Z206+Z207+Z208, "NA")</f>
        <v>1616.8600000000001</v>
      </c>
      <c r="AA209" s="15">
        <f>IFERROR(Z209/Z444, "NA")</f>
        <v>3.0265853417473579E-2</v>
      </c>
      <c r="AB209" s="2"/>
      <c r="AC209" s="14">
        <f t="shared" si="55"/>
        <v>-161.58999999999969</v>
      </c>
      <c r="AD209" s="15">
        <f>IFERROR(AC209/AC444, "NA")</f>
        <v>-1.3128368618007419E-2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2381.62</v>
      </c>
      <c r="F213" s="8">
        <f>IFERROR(E213/E444, "NA")</f>
        <v>4.2458409702028826E-2</v>
      </c>
      <c r="G213" s="9"/>
      <c r="H213" s="10">
        <f t="shared" ref="H213:H227" si="56">IFERROR(-(B213-E213), "NA")</f>
        <v>2381.62</v>
      </c>
      <c r="I213" s="8">
        <f>IFERROR(H213/H444, "NA")</f>
        <v>0.24712343720330332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2381.62</v>
      </c>
      <c r="U213" s="8">
        <f>IFERROR(T213/T444, "NA")</f>
        <v>4.2458409702028826E-2</v>
      </c>
      <c r="V213" s="9"/>
      <c r="W213" s="10">
        <f t="shared" ref="W213:W227" si="58">IFERROR(-(Q213-T213), "NA")</f>
        <v>2381.62</v>
      </c>
      <c r="X213" s="8">
        <f>IFERROR(W213/W444, "NA")</f>
        <v>0.24712343720330332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2527.11</v>
      </c>
      <c r="C214" s="8">
        <f>IFERROR(B214/B444, "NA")</f>
        <v>3.8446605663925874E-2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-2527.11</v>
      </c>
      <c r="I214" s="8">
        <f>IFERROR(H214/H444, "NA")</f>
        <v>-0.2622198794899438</v>
      </c>
      <c r="J214" s="9"/>
      <c r="K214" s="7">
        <v>260</v>
      </c>
      <c r="L214" s="8">
        <f>IFERROR(K214/K444, "NA")</f>
        <v>4.8669160524369027E-3</v>
      </c>
      <c r="M214" s="9"/>
      <c r="N214" s="10">
        <f t="shared" si="57"/>
        <v>-2267.11</v>
      </c>
      <c r="O214" s="8">
        <f>IFERROR(N214/N444, "NA")</f>
        <v>-0.18419119857398886</v>
      </c>
      <c r="P214" s="9"/>
      <c r="Q214" s="7">
        <v>2527.11</v>
      </c>
      <c r="R214" s="8">
        <f>IFERROR(Q214/Q444, "NA")</f>
        <v>3.8446605663925874E-2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-2527.11</v>
      </c>
      <c r="X214" s="8">
        <f>IFERROR(W214/W444, "NA")</f>
        <v>-0.2622198794899438</v>
      </c>
      <c r="Y214" s="9"/>
      <c r="Z214" s="7">
        <v>260</v>
      </c>
      <c r="AA214" s="8">
        <f>IFERROR(Z214/Z444, "NA")</f>
        <v>4.8669160524369027E-3</v>
      </c>
      <c r="AB214" s="9"/>
      <c r="AC214" s="10">
        <f t="shared" si="59"/>
        <v>-2267.11</v>
      </c>
      <c r="AD214" s="8">
        <f>IFERROR(AC214/AC444, "NA")</f>
        <v>-0.18419119857398886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2688</v>
      </c>
      <c r="C217" s="8">
        <f>IFERROR(B217/B444, "NA")</f>
        <v>4.0894332270709523E-2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-2688</v>
      </c>
      <c r="I217" s="8">
        <f>IFERROR(H217/H444, "NA")</f>
        <v>-0.2789142681042649</v>
      </c>
      <c r="J217" s="9"/>
      <c r="K217" s="7">
        <v>264.07</v>
      </c>
      <c r="L217" s="8">
        <f>IFERROR(K217/K444, "NA")</f>
        <v>4.943102007565434E-3</v>
      </c>
      <c r="M217" s="9"/>
      <c r="N217" s="10">
        <f t="shared" si="57"/>
        <v>-2423.9299999999998</v>
      </c>
      <c r="O217" s="8">
        <f>IFERROR(N217/N444, "NA")</f>
        <v>-0.19693202886469946</v>
      </c>
      <c r="P217" s="9"/>
      <c r="Q217" s="7">
        <v>2688</v>
      </c>
      <c r="R217" s="8">
        <f>IFERROR(Q217/Q444, "NA")</f>
        <v>4.0894332270709523E-2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-2688</v>
      </c>
      <c r="X217" s="8">
        <f>IFERROR(W217/W444, "NA")</f>
        <v>-0.2789142681042649</v>
      </c>
      <c r="Y217" s="9"/>
      <c r="Z217" s="7">
        <v>264.07</v>
      </c>
      <c r="AA217" s="8">
        <f>IFERROR(Z217/Z444, "NA")</f>
        <v>4.943102007565434E-3</v>
      </c>
      <c r="AB217" s="9"/>
      <c r="AC217" s="10">
        <f t="shared" si="59"/>
        <v>-2423.9299999999998</v>
      </c>
      <c r="AD217" s="8">
        <f>IFERROR(AC217/AC444, "NA")</f>
        <v>-0.19693202886469946</v>
      </c>
    </row>
    <row r="218" spans="1:30" ht="16.5" customHeight="1" x14ac:dyDescent="0.45">
      <c r="A218" s="13" t="s">
        <v>198</v>
      </c>
      <c r="B218" s="14">
        <f>IFERROR(B213+B214+B215+B216+B217, "NA")</f>
        <v>5215.1100000000006</v>
      </c>
      <c r="C218" s="15">
        <f>IFERROR(B218/B444, "NA")</f>
        <v>7.9340937934635397E-2</v>
      </c>
      <c r="D218" s="2"/>
      <c r="E218" s="14">
        <f>IFERROR(E213+E214+E215+E216+E217, "NA")</f>
        <v>2381.62</v>
      </c>
      <c r="F218" s="15">
        <f>IFERROR(E218/E444, "NA")</f>
        <v>4.2458409702028826E-2</v>
      </c>
      <c r="G218" s="2"/>
      <c r="H218" s="14">
        <f t="shared" si="56"/>
        <v>-2833.4900000000007</v>
      </c>
      <c r="I218" s="15">
        <f>IFERROR(H218/H444, "NA")</f>
        <v>-0.29401071039090537</v>
      </c>
      <c r="J218" s="2"/>
      <c r="K218" s="14">
        <f>IFERROR(K213+K214+K215+K216+K217, "NA")</f>
        <v>524.06999999999994</v>
      </c>
      <c r="L218" s="15">
        <f>IFERROR(K218/K444, "NA")</f>
        <v>9.8100180600023349E-3</v>
      </c>
      <c r="M218" s="2"/>
      <c r="N218" s="14">
        <f t="shared" si="57"/>
        <v>-4691.0400000000009</v>
      </c>
      <c r="O218" s="15">
        <f>IFERROR(N218/N444, "NA")</f>
        <v>-0.38112322743868837</v>
      </c>
      <c r="P218" s="2"/>
      <c r="Q218" s="14">
        <f>IFERROR(Q213+Q214+Q215+Q216+Q217, "NA")</f>
        <v>5215.1100000000006</v>
      </c>
      <c r="R218" s="15">
        <f>IFERROR(Q218/Q444, "NA")</f>
        <v>7.9340937934635397E-2</v>
      </c>
      <c r="S218" s="2"/>
      <c r="T218" s="14">
        <f>IFERROR(T213+T214+T215+T216+T217, "NA")</f>
        <v>2381.62</v>
      </c>
      <c r="U218" s="15">
        <f>IFERROR(T218/T444, "NA")</f>
        <v>4.2458409702028826E-2</v>
      </c>
      <c r="V218" s="2"/>
      <c r="W218" s="14">
        <f t="shared" si="58"/>
        <v>-2833.4900000000007</v>
      </c>
      <c r="X218" s="15">
        <f>IFERROR(W218/W444, "NA")</f>
        <v>-0.29401071039090537</v>
      </c>
      <c r="Y218" s="2"/>
      <c r="Z218" s="14">
        <f>IFERROR(Z213+Z214+Z215+Z216+Z217, "NA")</f>
        <v>524.06999999999994</v>
      </c>
      <c r="AA218" s="15">
        <f>IFERROR(Z218/Z444, "NA")</f>
        <v>9.8100180600023349E-3</v>
      </c>
      <c r="AB218" s="2"/>
      <c r="AC218" s="14">
        <f t="shared" si="59"/>
        <v>-4691.0400000000009</v>
      </c>
      <c r="AD218" s="15">
        <f>IFERROR(AC218/AC444, "NA")</f>
        <v>-0.38112322743868837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hidden="1" customHeight="1" x14ac:dyDescent="0.45">
      <c r="A222" s="6" t="s">
        <v>202</v>
      </c>
      <c r="B222" s="7">
        <v>0</v>
      </c>
      <c r="C222" s="8">
        <f>IFERROR(B222/B444, "NA")</f>
        <v>0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0</v>
      </c>
      <c r="I222" s="8">
        <f>IFERROR(H222/H444, "NA")</f>
        <v>0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0</v>
      </c>
      <c r="R222" s="8">
        <f>IFERROR(Q222/Q444, "NA")</f>
        <v>0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0</v>
      </c>
      <c r="X222" s="8">
        <f>IFERROR(W222/W444, "NA")</f>
        <v>0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0</v>
      </c>
      <c r="AD222" s="8">
        <f>IFERROR(AC222/AC444, "NA")</f>
        <v>0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56.09</v>
      </c>
      <c r="F226" s="8">
        <f>IFERROR(E226/E444, "NA")</f>
        <v>9.9994633912496404E-4</v>
      </c>
      <c r="G226" s="9"/>
      <c r="H226" s="10">
        <f t="shared" si="56"/>
        <v>56.09</v>
      </c>
      <c r="I226" s="8">
        <f>IFERROR(H226/H444, "NA")</f>
        <v>5.8200525662084144E-3</v>
      </c>
      <c r="J226" s="9"/>
      <c r="K226" s="7">
        <v>253.49</v>
      </c>
      <c r="L226" s="8">
        <f>IFERROR(K226/K444, "NA")</f>
        <v>4.7450559620470399E-3</v>
      </c>
      <c r="M226" s="9"/>
      <c r="N226" s="10">
        <f t="shared" si="57"/>
        <v>253.49</v>
      </c>
      <c r="O226" s="8">
        <f>IFERROR(N226/N444, "NA")</f>
        <v>2.0594777900728431E-2</v>
      </c>
      <c r="P226" s="9"/>
      <c r="Q226" s="7">
        <v>0</v>
      </c>
      <c r="R226" s="8">
        <f>IFERROR(Q226/Q444, "NA")</f>
        <v>0</v>
      </c>
      <c r="S226" s="9"/>
      <c r="T226" s="7">
        <v>56.09</v>
      </c>
      <c r="U226" s="8">
        <f>IFERROR(T226/T444, "NA")</f>
        <v>9.9994633912496404E-4</v>
      </c>
      <c r="V226" s="9"/>
      <c r="W226" s="10">
        <f t="shared" si="58"/>
        <v>56.09</v>
      </c>
      <c r="X226" s="8">
        <f>IFERROR(W226/W444, "NA")</f>
        <v>5.8200525662084144E-3</v>
      </c>
      <c r="Y226" s="9"/>
      <c r="Z226" s="7">
        <v>253.49</v>
      </c>
      <c r="AA226" s="8">
        <f>IFERROR(Z226/Z444, "NA")</f>
        <v>4.7450559620470399E-3</v>
      </c>
      <c r="AB226" s="9"/>
      <c r="AC226" s="10">
        <f t="shared" si="59"/>
        <v>253.49</v>
      </c>
      <c r="AD226" s="8">
        <f>IFERROR(AC226/AC444, "NA")</f>
        <v>2.0594777900728431E-2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5215.1100000000006</v>
      </c>
      <c r="C227" s="15">
        <f>IFERROR(B227/B444, "NA")</f>
        <v>7.9340937934635397E-2</v>
      </c>
      <c r="D227" s="2"/>
      <c r="E227" s="14">
        <f>IFERROR(E211+E213+E214+E215+E216+E217+E219+E220+E221+E222+E223+E224+E225+E226, "NA")</f>
        <v>2437.71</v>
      </c>
      <c r="F227" s="15">
        <f>IFERROR(E227/E444, "NA")</f>
        <v>4.3458356041153792E-2</v>
      </c>
      <c r="G227" s="2"/>
      <c r="H227" s="14">
        <f t="shared" si="56"/>
        <v>-2777.4000000000005</v>
      </c>
      <c r="I227" s="15">
        <f>IFERROR(H227/H444, "NA")</f>
        <v>-0.28819065782469694</v>
      </c>
      <c r="J227" s="2"/>
      <c r="K227" s="14">
        <f>IFERROR(K211+K213+K214+K215+K216+K217+K219+K220+K221+K222+K223+K224+K225+K226, "NA")</f>
        <v>777.56</v>
      </c>
      <c r="L227" s="15">
        <f>IFERROR(K227/K444, "NA")</f>
        <v>1.4555074022049376E-2</v>
      </c>
      <c r="M227" s="2"/>
      <c r="N227" s="14">
        <f t="shared" si="57"/>
        <v>-4437.5500000000011</v>
      </c>
      <c r="O227" s="15">
        <f>IFERROR(N227/N444, "NA")</f>
        <v>-0.36052844953795998</v>
      </c>
      <c r="P227" s="2"/>
      <c r="Q227" s="14">
        <f>IFERROR(Q211+Q213+Q214+Q215+Q216+Q217+Q219+Q220+Q221+Q222+Q223+Q224+Q225+Q226, "NA")</f>
        <v>5215.1100000000006</v>
      </c>
      <c r="R227" s="15">
        <f>IFERROR(Q227/Q444, "NA")</f>
        <v>7.9340937934635397E-2</v>
      </c>
      <c r="S227" s="2"/>
      <c r="T227" s="14">
        <f>IFERROR(T211+T213+T214+T215+T216+T217+T219+T220+T221+T222+T223+T224+T225+T226, "NA")</f>
        <v>2437.71</v>
      </c>
      <c r="U227" s="15">
        <f>IFERROR(T227/T444, "NA")</f>
        <v>4.3458356041153792E-2</v>
      </c>
      <c r="V227" s="2"/>
      <c r="W227" s="14">
        <f t="shared" si="58"/>
        <v>-2777.4000000000005</v>
      </c>
      <c r="X227" s="15">
        <f>IFERROR(W227/W444, "NA")</f>
        <v>-0.28819065782469694</v>
      </c>
      <c r="Y227" s="2"/>
      <c r="Z227" s="14">
        <f>IFERROR(Z211+Z213+Z214+Z215+Z216+Z217+Z219+Z220+Z221+Z222+Z223+Z224+Z225+Z226, "NA")</f>
        <v>777.56</v>
      </c>
      <c r="AA227" s="15">
        <f>IFERROR(Z227/Z444, "NA")</f>
        <v>1.4555074022049376E-2</v>
      </c>
      <c r="AB227" s="2"/>
      <c r="AC227" s="14">
        <f t="shared" si="59"/>
        <v>-4437.5500000000011</v>
      </c>
      <c r="AD227" s="15">
        <f>IFERROR(AC227/AC444, "NA")</f>
        <v>-0.36052844953795998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740.43</v>
      </c>
      <c r="F229" s="8">
        <f>IFERROR(E229/E444, "NA")</f>
        <v>1.3200040432845374E-2</v>
      </c>
      <c r="G229" s="9"/>
      <c r="H229" s="10">
        <f t="shared" ref="H229:H236" si="60">IFERROR(-(B229-E229), "NA")</f>
        <v>740.43</v>
      </c>
      <c r="I229" s="8">
        <f>IFERROR(H229/H444, "NA")</f>
        <v>7.6829051909390197E-2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740.43</v>
      </c>
      <c r="U229" s="8">
        <f>IFERROR(T229/T444, "NA")</f>
        <v>1.3200040432845374E-2</v>
      </c>
      <c r="V229" s="9"/>
      <c r="W229" s="10">
        <f t="shared" ref="W229:W236" si="62">IFERROR(-(Q229-T229), "NA")</f>
        <v>740.43</v>
      </c>
      <c r="X229" s="8">
        <f>IFERROR(W229/W444, "NA")</f>
        <v>7.6829051909390197E-2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-45</v>
      </c>
      <c r="L230" s="8">
        <f>IFERROR(K230/K444, "NA")</f>
        <v>-8.4235085522946392E-4</v>
      </c>
      <c r="M230" s="9"/>
      <c r="N230" s="10">
        <f t="shared" si="61"/>
        <v>-45</v>
      </c>
      <c r="O230" s="8">
        <f>IFERROR(N230/N444, "NA")</f>
        <v>-3.6560219556305154E-3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-8.4235085522946392E-4</v>
      </c>
      <c r="AB230" s="9"/>
      <c r="AC230" s="10">
        <f t="shared" si="63"/>
        <v>-45</v>
      </c>
      <c r="AD230" s="8">
        <f>IFERROR(AC230/AC444, "NA")</f>
        <v>-3.6560219556305154E-3</v>
      </c>
    </row>
    <row r="231" spans="1:30" ht="16.5" customHeight="1" x14ac:dyDescent="0.45">
      <c r="A231" s="6" t="s">
        <v>210</v>
      </c>
      <c r="B231" s="7">
        <v>184.25</v>
      </c>
      <c r="C231" s="8">
        <f>IFERROR(B231/B444, "NA")</f>
        <v>2.8031178277076749E-3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-184.25</v>
      </c>
      <c r="I231" s="8">
        <f>IFERROR(H231/H444, "NA")</f>
        <v>-1.9118286420465331E-2</v>
      </c>
      <c r="J231" s="9"/>
      <c r="K231" s="7">
        <v>87.15</v>
      </c>
      <c r="L231" s="8">
        <f>IFERROR(K231/K444, "NA")</f>
        <v>1.6313528229610619E-3</v>
      </c>
      <c r="M231" s="9"/>
      <c r="N231" s="10">
        <f t="shared" si="61"/>
        <v>-97.1</v>
      </c>
      <c r="O231" s="8">
        <f>IFERROR(N231/N444, "NA")</f>
        <v>-7.8888829309271789E-3</v>
      </c>
      <c r="P231" s="9"/>
      <c r="Q231" s="7">
        <v>184.25</v>
      </c>
      <c r="R231" s="8">
        <f>IFERROR(Q231/Q444, "NA")</f>
        <v>2.8031178277076749E-3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-184.25</v>
      </c>
      <c r="X231" s="8">
        <f>IFERROR(W231/W444, "NA")</f>
        <v>-1.9118286420465331E-2</v>
      </c>
      <c r="Y231" s="9"/>
      <c r="Z231" s="7">
        <v>87.15</v>
      </c>
      <c r="AA231" s="8">
        <f>IFERROR(Z231/Z444, "NA")</f>
        <v>1.6313528229610619E-3</v>
      </c>
      <c r="AB231" s="9"/>
      <c r="AC231" s="10">
        <f t="shared" si="63"/>
        <v>-97.1</v>
      </c>
      <c r="AD231" s="8">
        <f>IFERROR(AC231/AC444, "NA")</f>
        <v>-7.8888829309271789E-3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713.74</v>
      </c>
      <c r="C234" s="8">
        <f>IFERROR(B234/B444, "NA")</f>
        <v>1.0858601456434604E-2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-713.74</v>
      </c>
      <c r="I234" s="8">
        <f>IFERROR(H234/H444, "NA")</f>
        <v>-7.4059624150572184E-2</v>
      </c>
      <c r="J234" s="9"/>
      <c r="K234" s="7">
        <v>541.04</v>
      </c>
      <c r="L234" s="8">
        <f>IFERROR(K234/K444, "NA")</f>
        <v>1.0127677926963313E-2</v>
      </c>
      <c r="M234" s="9"/>
      <c r="N234" s="10">
        <f t="shared" si="61"/>
        <v>-172.70000000000005</v>
      </c>
      <c r="O234" s="8">
        <f>IFERROR(N234/N444, "NA")</f>
        <v>-1.4030999816386449E-2</v>
      </c>
      <c r="P234" s="9"/>
      <c r="Q234" s="7">
        <v>713.74</v>
      </c>
      <c r="R234" s="8">
        <f>IFERROR(Q234/Q444, "NA")</f>
        <v>1.0858601456434604E-2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-713.74</v>
      </c>
      <c r="X234" s="8">
        <f>IFERROR(W234/W444, "NA")</f>
        <v>-7.4059624150572184E-2</v>
      </c>
      <c r="Y234" s="9"/>
      <c r="Z234" s="7">
        <v>541.04</v>
      </c>
      <c r="AA234" s="8">
        <f>IFERROR(Z234/Z444, "NA")</f>
        <v>1.0127677926963313E-2</v>
      </c>
      <c r="AB234" s="9"/>
      <c r="AC234" s="10">
        <f t="shared" si="63"/>
        <v>-172.70000000000005</v>
      </c>
      <c r="AD234" s="8">
        <f>IFERROR(AC234/AC444, "NA")</f>
        <v>-1.4030999816386449E-2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897.99</v>
      </c>
      <c r="C236" s="15">
        <f>IFERROR(B236/B444, "NA")</f>
        <v>1.3661719284142278E-2</v>
      </c>
      <c r="D236" s="2"/>
      <c r="E236" s="14">
        <f>IFERROR(E229+E230+E231+E232+E233+E234+E235, "NA")</f>
        <v>740.43</v>
      </c>
      <c r="F236" s="15">
        <f>IFERROR(E236/E444, "NA")</f>
        <v>1.3200040432845374E-2</v>
      </c>
      <c r="G236" s="2"/>
      <c r="H236" s="14">
        <f t="shared" si="60"/>
        <v>-157.56000000000006</v>
      </c>
      <c r="I236" s="15">
        <f>IFERROR(H236/H444, "NA")</f>
        <v>-1.6348858661647318E-2</v>
      </c>
      <c r="J236" s="2"/>
      <c r="K236" s="14">
        <f>IFERROR(K229+K230+K231+K232+K233+K234+K235, "NA")</f>
        <v>583.18999999999994</v>
      </c>
      <c r="L236" s="15">
        <f>IFERROR(K236/K444, "NA")</f>
        <v>1.091667989469491E-2</v>
      </c>
      <c r="M236" s="2"/>
      <c r="N236" s="14">
        <f t="shared" si="61"/>
        <v>-314.80000000000007</v>
      </c>
      <c r="O236" s="15">
        <f>IFERROR(N236/N444, "NA")</f>
        <v>-2.5575904702944147E-2</v>
      </c>
      <c r="P236" s="2"/>
      <c r="Q236" s="14">
        <f>IFERROR(Q229+Q230+Q231+Q232+Q233+Q234+Q235, "NA")</f>
        <v>897.99</v>
      </c>
      <c r="R236" s="15">
        <f>IFERROR(Q236/Q444, "NA")</f>
        <v>1.3661719284142278E-2</v>
      </c>
      <c r="S236" s="2"/>
      <c r="T236" s="14">
        <f>IFERROR(T229+T230+T231+T232+T233+T234+T235, "NA")</f>
        <v>740.43</v>
      </c>
      <c r="U236" s="15">
        <f>IFERROR(T236/T444, "NA")</f>
        <v>1.3200040432845374E-2</v>
      </c>
      <c r="V236" s="2"/>
      <c r="W236" s="14">
        <f t="shared" si="62"/>
        <v>-157.56000000000006</v>
      </c>
      <c r="X236" s="15">
        <f>IFERROR(W236/W444, "NA")</f>
        <v>-1.6348858661647318E-2</v>
      </c>
      <c r="Y236" s="2"/>
      <c r="Z236" s="14">
        <f>IFERROR(Z229+Z230+Z231+Z232+Z233+Z234+Z235, "NA")</f>
        <v>583.18999999999994</v>
      </c>
      <c r="AA236" s="15">
        <f>IFERROR(Z236/Z444, "NA")</f>
        <v>1.091667989469491E-2</v>
      </c>
      <c r="AB236" s="2"/>
      <c r="AC236" s="14">
        <f t="shared" si="63"/>
        <v>-314.80000000000007</v>
      </c>
      <c r="AD236" s="15">
        <f>IFERROR(AC236/AC444, "NA")</f>
        <v>-2.5575904702944147E-2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3513.72</v>
      </c>
      <c r="F240" s="8">
        <f>IFERROR(E240/E444, "NA")</f>
        <v>6.2640960076843791E-2</v>
      </c>
      <c r="G240" s="9"/>
      <c r="H240" s="10">
        <f t="shared" ref="H240:H263" si="64">IFERROR(-(B240-E240), "NA")</f>
        <v>3513.72</v>
      </c>
      <c r="I240" s="8">
        <f>IFERROR(H240/H444, "NA")</f>
        <v>0.36459324483754374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3513.72</v>
      </c>
      <c r="U240" s="8">
        <f>IFERROR(T240/T444, "NA")</f>
        <v>6.2640960076843791E-2</v>
      </c>
      <c r="V240" s="9"/>
      <c r="W240" s="10">
        <f t="shared" ref="W240:W263" si="66">IFERROR(-(Q240-T240), "NA")</f>
        <v>3513.72</v>
      </c>
      <c r="X240" s="8">
        <f>IFERROR(W240/W444, "NA")</f>
        <v>0.36459324483754374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1036</v>
      </c>
      <c r="C242" s="8">
        <f>IFERROR(B242/B444, "NA")</f>
        <v>1.5761357229335964E-2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-1036</v>
      </c>
      <c r="I242" s="8">
        <f>IFERROR(H242/H444, "NA")</f>
        <v>-0.10749820749851875</v>
      </c>
      <c r="J242" s="9"/>
      <c r="K242" s="7">
        <v>649.53</v>
      </c>
      <c r="L242" s="8">
        <f>IFERROR(K242/K444, "NA")</f>
        <v>1.215849224438208E-2</v>
      </c>
      <c r="M242" s="9"/>
      <c r="N242" s="10">
        <f t="shared" si="65"/>
        <v>-386.47</v>
      </c>
      <c r="O242" s="8">
        <f>IFERROR(N242/N444, "NA")</f>
        <v>-3.1398729004278342E-2</v>
      </c>
      <c r="P242" s="9"/>
      <c r="Q242" s="7">
        <v>1036</v>
      </c>
      <c r="R242" s="8">
        <f>IFERROR(Q242/Q444, "NA")</f>
        <v>1.5761357229335964E-2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-1036</v>
      </c>
      <c r="X242" s="8">
        <f>IFERROR(W242/W444, "NA")</f>
        <v>-0.10749820749851875</v>
      </c>
      <c r="Y242" s="9"/>
      <c r="Z242" s="7">
        <v>649.53</v>
      </c>
      <c r="AA242" s="8">
        <f>IFERROR(Z242/Z444, "NA")</f>
        <v>1.215849224438208E-2</v>
      </c>
      <c r="AB242" s="9"/>
      <c r="AC242" s="10">
        <f t="shared" si="67"/>
        <v>-386.47</v>
      </c>
      <c r="AD242" s="8">
        <f>IFERROR(AC242/AC444, "NA")</f>
        <v>-3.1398729004278342E-2</v>
      </c>
    </row>
    <row r="243" spans="1:30" ht="16.5" customHeight="1" x14ac:dyDescent="0.45">
      <c r="A243" s="12" t="s">
        <v>220</v>
      </c>
      <c r="B243" s="7">
        <v>1072.78</v>
      </c>
      <c r="C243" s="8">
        <f>IFERROR(B243/B444, "NA")</f>
        <v>1.6320915838307946E-2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-1072.78</v>
      </c>
      <c r="I243" s="8">
        <f>IFERROR(H243/H444, "NA")</f>
        <v>-0.11131460139021328</v>
      </c>
      <c r="J243" s="9"/>
      <c r="K243" s="7">
        <v>81.34</v>
      </c>
      <c r="L243" s="8">
        <f>IFERROR(K243/K444, "NA")</f>
        <v>1.5225959680969911E-3</v>
      </c>
      <c r="M243" s="9"/>
      <c r="N243" s="10">
        <f t="shared" si="65"/>
        <v>-991.43999999999994</v>
      </c>
      <c r="O243" s="8">
        <f>IFERROR(N243/N444, "NA")</f>
        <v>-8.0549475726451519E-2</v>
      </c>
      <c r="P243" s="9"/>
      <c r="Q243" s="7">
        <v>1072.78</v>
      </c>
      <c r="R243" s="8">
        <f>IFERROR(Q243/Q444, "NA")</f>
        <v>1.6320915838307946E-2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-1072.78</v>
      </c>
      <c r="X243" s="8">
        <f>IFERROR(W243/W444, "NA")</f>
        <v>-0.11131460139021328</v>
      </c>
      <c r="Y243" s="9"/>
      <c r="Z243" s="7">
        <v>81.34</v>
      </c>
      <c r="AA243" s="8">
        <f>IFERROR(Z243/Z444, "NA")</f>
        <v>1.5225959680969911E-3</v>
      </c>
      <c r="AB243" s="9"/>
      <c r="AC243" s="10">
        <f t="shared" si="67"/>
        <v>-991.43999999999994</v>
      </c>
      <c r="AD243" s="8">
        <f>IFERROR(AC243/AC444, "NA")</f>
        <v>-8.0549475726451519E-2</v>
      </c>
    </row>
    <row r="244" spans="1:30" ht="16.5" customHeight="1" x14ac:dyDescent="0.45">
      <c r="A244" s="12" t="s">
        <v>221</v>
      </c>
      <c r="B244" s="7">
        <v>396.63</v>
      </c>
      <c r="C244" s="8">
        <f>IFERROR(B244/B444, "NA")</f>
        <v>6.0341960597215466E-3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-396.63</v>
      </c>
      <c r="I244" s="8">
        <f>IFERROR(H244/H444, "NA")</f>
        <v>-4.1155418957661671E-2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-396.63</v>
      </c>
      <c r="O244" s="8">
        <f>IFERROR(N244/N444, "NA")</f>
        <v>-3.2224177516927362E-2</v>
      </c>
      <c r="P244" s="9"/>
      <c r="Q244" s="7">
        <v>396.63</v>
      </c>
      <c r="R244" s="8">
        <f>IFERROR(Q244/Q444, "NA")</f>
        <v>6.0341960597215466E-3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-396.63</v>
      </c>
      <c r="X244" s="8">
        <f>IFERROR(W244/W444, "NA")</f>
        <v>-4.1155418957661671E-2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-396.63</v>
      </c>
      <c r="AD244" s="8">
        <f>IFERROR(AC244/AC444, "NA")</f>
        <v>-3.2224177516927362E-2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312.3</v>
      </c>
      <c r="C246" s="8">
        <f>IFERROR(B246/B444, "NA")</f>
        <v>4.7512276667197118E-3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-312.3</v>
      </c>
      <c r="I246" s="8">
        <f>IFERROR(H246/H444, "NA")</f>
        <v>-3.240510637238167E-2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-312.3</v>
      </c>
      <c r="O246" s="8">
        <f>IFERROR(N246/N444, "NA")</f>
        <v>-2.5372792372075778E-2</v>
      </c>
      <c r="P246" s="9"/>
      <c r="Q246" s="7">
        <v>312.3</v>
      </c>
      <c r="R246" s="8">
        <f>IFERROR(Q246/Q444, "NA")</f>
        <v>4.7512276667197118E-3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-312.3</v>
      </c>
      <c r="X246" s="8">
        <f>IFERROR(W246/W444, "NA")</f>
        <v>-3.240510637238167E-2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-312.3</v>
      </c>
      <c r="AD246" s="8">
        <f>IFERROR(AC246/AC444, "NA")</f>
        <v>-2.5372792372075778E-2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21.28</v>
      </c>
      <c r="L247" s="8">
        <f>IFERROR(K247/K444, "NA")</f>
        <v>3.9833835998406652E-4</v>
      </c>
      <c r="M247" s="9"/>
      <c r="N247" s="10">
        <f t="shared" si="65"/>
        <v>21.28</v>
      </c>
      <c r="O247" s="8">
        <f>IFERROR(N247/N444, "NA")</f>
        <v>1.7288921603514974E-3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21.28</v>
      </c>
      <c r="AA247" s="8">
        <f>IFERROR(Z247/Z444, "NA")</f>
        <v>3.9833835998406652E-4</v>
      </c>
      <c r="AB247" s="9"/>
      <c r="AC247" s="10">
        <f t="shared" si="67"/>
        <v>21.28</v>
      </c>
      <c r="AD247" s="8">
        <f>IFERROR(AC247/AC444, "NA")</f>
        <v>1.7288921603514974E-3</v>
      </c>
    </row>
    <row r="248" spans="1:30" ht="16.5" customHeight="1" x14ac:dyDescent="0.45">
      <c r="A248" s="12" t="s">
        <v>225</v>
      </c>
      <c r="B248" s="7">
        <v>239.86</v>
      </c>
      <c r="C248" s="8">
        <f>IFERROR(B248/B444, "NA")</f>
        <v>3.6491497538885366E-3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-239.86</v>
      </c>
      <c r="I248" s="8">
        <f>IFERROR(H248/H444, "NA")</f>
        <v>-2.488853286736941E-2</v>
      </c>
      <c r="J248" s="9"/>
      <c r="K248" s="7">
        <v>0</v>
      </c>
      <c r="L248" s="8">
        <f>IFERROR(K248/K444, "NA")</f>
        <v>0</v>
      </c>
      <c r="M248" s="9"/>
      <c r="N248" s="10">
        <f t="shared" si="65"/>
        <v>-239.86</v>
      </c>
      <c r="O248" s="8">
        <f>IFERROR(N248/N444, "NA")</f>
        <v>-1.9487409472834123E-2</v>
      </c>
      <c r="P248" s="9"/>
      <c r="Q248" s="7">
        <v>239.86</v>
      </c>
      <c r="R248" s="8">
        <f>IFERROR(Q248/Q444, "NA")</f>
        <v>3.6491497538885366E-3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-239.86</v>
      </c>
      <c r="X248" s="8">
        <f>IFERROR(W248/W444, "NA")</f>
        <v>-2.488853286736941E-2</v>
      </c>
      <c r="Y248" s="9"/>
      <c r="Z248" s="7">
        <v>0</v>
      </c>
      <c r="AA248" s="8">
        <f>IFERROR(Z248/Z444, "NA")</f>
        <v>0</v>
      </c>
      <c r="AB248" s="9"/>
      <c r="AC248" s="10">
        <f t="shared" si="67"/>
        <v>-239.86</v>
      </c>
      <c r="AD248" s="8">
        <f>IFERROR(AC248/AC444, "NA")</f>
        <v>-1.9487409472834123E-2</v>
      </c>
    </row>
    <row r="249" spans="1:30" ht="16.5" customHeight="1" x14ac:dyDescent="0.45">
      <c r="A249" s="12" t="s">
        <v>226</v>
      </c>
      <c r="B249" s="7">
        <v>1457.2</v>
      </c>
      <c r="C249" s="8">
        <f>IFERROR(B249/B444, "NA")</f>
        <v>2.2169353044969465E-2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-1457.2</v>
      </c>
      <c r="I249" s="8">
        <f>IFERROR(H249/H444, "NA")</f>
        <v>-0.15120307718807099</v>
      </c>
      <c r="J249" s="9"/>
      <c r="K249" s="7">
        <v>856.93</v>
      </c>
      <c r="L249" s="8">
        <f>IFERROR(K249/K444, "NA")</f>
        <v>1.604079374159521E-2</v>
      </c>
      <c r="M249" s="9"/>
      <c r="N249" s="10">
        <f t="shared" si="65"/>
        <v>-600.2700000000001</v>
      </c>
      <c r="O249" s="8">
        <f>IFERROR(N249/N444, "NA")</f>
        <v>-4.8768895540140668E-2</v>
      </c>
      <c r="P249" s="9"/>
      <c r="Q249" s="7">
        <v>1457.2</v>
      </c>
      <c r="R249" s="8">
        <f>IFERROR(Q249/Q444, "NA")</f>
        <v>2.2169353044969465E-2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-1457.2</v>
      </c>
      <c r="X249" s="8">
        <f>IFERROR(W249/W444, "NA")</f>
        <v>-0.15120307718807099</v>
      </c>
      <c r="Y249" s="9"/>
      <c r="Z249" s="7">
        <v>856.93</v>
      </c>
      <c r="AA249" s="8">
        <f>IFERROR(Z249/Z444, "NA")</f>
        <v>1.604079374159521E-2</v>
      </c>
      <c r="AB249" s="9"/>
      <c r="AC249" s="10">
        <f t="shared" si="67"/>
        <v>-600.2700000000001</v>
      </c>
      <c r="AD249" s="8">
        <f>IFERROR(AC249/AC444, "NA")</f>
        <v>-4.8768895540140668E-2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36.97</v>
      </c>
      <c r="C251" s="8">
        <f>IFERROR(B251/B444, "NA")</f>
        <v>5.624492053750487E-4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-36.97</v>
      </c>
      <c r="I251" s="8">
        <f>IFERROR(H251/H444, "NA")</f>
        <v>-3.8361088139191491E-3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-36.97</v>
      </c>
      <c r="O251" s="8">
        <f>IFERROR(N251/N444, "NA")</f>
        <v>-3.0036251488813367E-3</v>
      </c>
      <c r="P251" s="9"/>
      <c r="Q251" s="7">
        <v>36.97</v>
      </c>
      <c r="R251" s="8">
        <f>IFERROR(Q251/Q444, "NA")</f>
        <v>5.624492053750487E-4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-36.97</v>
      </c>
      <c r="X251" s="8">
        <f>IFERROR(W251/W444, "NA")</f>
        <v>-3.8361088139191491E-3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-36.97</v>
      </c>
      <c r="AD251" s="8">
        <f>IFERROR(AC251/AC444, "NA")</f>
        <v>-3.0036251488813367E-3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4551.7400000000007</v>
      </c>
      <c r="C262" s="15">
        <f>IFERROR(B262/B444, "NA")</f>
        <v>6.9248648798318227E-2</v>
      </c>
      <c r="D262" s="2"/>
      <c r="E262" s="14">
        <f>IFERROR(E240+E241+E242+E243+E244+E245+E246+E247+E248+E249+E250+E251+E252+E253+E254+E255+E256+E257+E258+E259+E260+E261, "NA")</f>
        <v>3513.72</v>
      </c>
      <c r="F262" s="15">
        <f>IFERROR(E262/E444, "NA")</f>
        <v>6.2640960076843791E-2</v>
      </c>
      <c r="G262" s="2"/>
      <c r="H262" s="14">
        <f t="shared" si="64"/>
        <v>-1038.0200000000009</v>
      </c>
      <c r="I262" s="15">
        <f>IFERROR(H262/H444, "NA")</f>
        <v>-0.10770780825059126</v>
      </c>
      <c r="J262" s="2"/>
      <c r="K262" s="14">
        <f>IFERROR(K240+K241+K242+K243+K244+K245+K246+K247+K248+K249+K250+K251+K252+K253+K254+K255+K256+K257+K258+K259+K260+K261, "NA")</f>
        <v>1609.08</v>
      </c>
      <c r="L262" s="15">
        <f>IFERROR(K262/K444, "NA")</f>
        <v>3.0120220314058348E-2</v>
      </c>
      <c r="M262" s="2"/>
      <c r="N262" s="14">
        <f t="shared" si="65"/>
        <v>-2942.6600000000008</v>
      </c>
      <c r="O262" s="15">
        <f>IFERROR(N262/N444, "NA")</f>
        <v>-0.23907621262123768</v>
      </c>
      <c r="P262" s="2"/>
      <c r="Q262" s="14">
        <f>IFERROR(Q240+Q241+Q242+Q243+Q244+Q245+Q246+Q247+Q248+Q249+Q250+Q251+Q252+Q253+Q254+Q255+Q256+Q257+Q258+Q259+Q260+Q261, "NA")</f>
        <v>4551.7400000000007</v>
      </c>
      <c r="R262" s="15">
        <f>IFERROR(Q262/Q444, "NA")</f>
        <v>6.9248648798318227E-2</v>
      </c>
      <c r="S262" s="2"/>
      <c r="T262" s="14">
        <f>IFERROR(T240+T241+T242+T243+T244+T245+T246+T247+T248+T249+T250+T251+T252+T253+T254+T255+T256+T257+T258+T259+T260+T261, "NA")</f>
        <v>3513.72</v>
      </c>
      <c r="U262" s="15">
        <f>IFERROR(T262/T444, "NA")</f>
        <v>6.2640960076843791E-2</v>
      </c>
      <c r="V262" s="2"/>
      <c r="W262" s="14">
        <f t="shared" si="66"/>
        <v>-1038.0200000000009</v>
      </c>
      <c r="X262" s="15">
        <f>IFERROR(W262/W444, "NA")</f>
        <v>-0.10770780825059126</v>
      </c>
      <c r="Y262" s="2"/>
      <c r="Z262" s="14">
        <f>IFERROR(Z240+Z241+Z242+Z243+Z244+Z245+Z246+Z247+Z248+Z249+Z250+Z251+Z252+Z253+Z254+Z255+Z256+Z257+Z258+Z259+Z260+Z261, "NA")</f>
        <v>1609.08</v>
      </c>
      <c r="AA262" s="15">
        <f>IFERROR(Z262/Z444, "NA")</f>
        <v>3.0120220314058348E-2</v>
      </c>
      <c r="AB262" s="2"/>
      <c r="AC262" s="14">
        <f t="shared" si="67"/>
        <v>-2942.6600000000008</v>
      </c>
      <c r="AD262" s="15">
        <f>IFERROR(AC262/AC444, "NA")</f>
        <v>-0.23907621262123768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4551.7400000000007</v>
      </c>
      <c r="C263" s="15">
        <f>IFERROR(B263/B444, "NA")</f>
        <v>6.9248648798318227E-2</v>
      </c>
      <c r="D263" s="2"/>
      <c r="E263" s="14">
        <f>IFERROR(E238+E240+E241+E242+E243+E244+E245+E246+E247+E248+E249+E250+E251+E252+E253+E254+E255+E256+E257+E258+E259+E260+E261, "NA")</f>
        <v>3513.72</v>
      </c>
      <c r="F263" s="15">
        <f>IFERROR(E263/E444, "NA")</f>
        <v>6.2640960076843791E-2</v>
      </c>
      <c r="G263" s="2"/>
      <c r="H263" s="14">
        <f t="shared" si="64"/>
        <v>-1038.0200000000009</v>
      </c>
      <c r="I263" s="15">
        <f>IFERROR(H263/H444, "NA")</f>
        <v>-0.10770780825059126</v>
      </c>
      <c r="J263" s="2"/>
      <c r="K263" s="14">
        <f>IFERROR(K238+K240+K241+K242+K243+K244+K245+K246+K247+K248+K249+K250+K251+K252+K253+K254+K255+K256+K257+K258+K259+K260+K261, "NA")</f>
        <v>1609.08</v>
      </c>
      <c r="L263" s="15">
        <f>IFERROR(K263/K444, "NA")</f>
        <v>3.0120220314058348E-2</v>
      </c>
      <c r="M263" s="2"/>
      <c r="N263" s="14">
        <f t="shared" si="65"/>
        <v>-2942.6600000000008</v>
      </c>
      <c r="O263" s="15">
        <f>IFERROR(N263/N444, "NA")</f>
        <v>-0.23907621262123768</v>
      </c>
      <c r="P263" s="2"/>
      <c r="Q263" s="14">
        <f>IFERROR(Q238+Q240+Q241+Q242+Q243+Q244+Q245+Q246+Q247+Q248+Q249+Q250+Q251+Q252+Q253+Q254+Q255+Q256+Q257+Q258+Q259+Q260+Q261, "NA")</f>
        <v>4551.7400000000007</v>
      </c>
      <c r="R263" s="15">
        <f>IFERROR(Q263/Q444, "NA")</f>
        <v>6.9248648798318227E-2</v>
      </c>
      <c r="S263" s="2"/>
      <c r="T263" s="14">
        <f>IFERROR(T238+T240+T241+T242+T243+T244+T245+T246+T247+T248+T249+T250+T251+T252+T253+T254+T255+T256+T257+T258+T259+T260+T261, "NA")</f>
        <v>3513.72</v>
      </c>
      <c r="U263" s="15">
        <f>IFERROR(T263/T444, "NA")</f>
        <v>6.2640960076843791E-2</v>
      </c>
      <c r="V263" s="2"/>
      <c r="W263" s="14">
        <f t="shared" si="66"/>
        <v>-1038.0200000000009</v>
      </c>
      <c r="X263" s="15">
        <f>IFERROR(W263/W444, "NA")</f>
        <v>-0.10770780825059126</v>
      </c>
      <c r="Y263" s="2"/>
      <c r="Z263" s="14">
        <f>IFERROR(Z238+Z240+Z241+Z242+Z243+Z244+Z245+Z246+Z247+Z248+Z249+Z250+Z251+Z252+Z253+Z254+Z255+Z256+Z257+Z258+Z259+Z260+Z261, "NA")</f>
        <v>1609.08</v>
      </c>
      <c r="AA263" s="15">
        <f>IFERROR(Z263/Z444, "NA")</f>
        <v>3.0120220314058348E-2</v>
      </c>
      <c r="AB263" s="2"/>
      <c r="AC263" s="14">
        <f t="shared" si="67"/>
        <v>-2942.6600000000008</v>
      </c>
      <c r="AD263" s="15">
        <f>IFERROR(AC263/AC444, "NA")</f>
        <v>-0.23907621262123768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1480.19</v>
      </c>
      <c r="C265" s="8">
        <f>IFERROR(B265/B444, "NA")</f>
        <v>2.2519115209740152E-2</v>
      </c>
      <c r="D265" s="9"/>
      <c r="E265" s="7">
        <v>1514.51</v>
      </c>
      <c r="F265" s="8">
        <f>IFERROR(E265/E444, "NA")</f>
        <v>2.6999977359032791E-2</v>
      </c>
      <c r="G265" s="9"/>
      <c r="H265" s="10">
        <f>IFERROR(-(B265-E265), "NA")</f>
        <v>34.319999999999936</v>
      </c>
      <c r="I265" s="8">
        <f>IFERROR(H265/H444, "NA")</f>
        <v>3.5611375302598038E-3</v>
      </c>
      <c r="J265" s="9"/>
      <c r="K265" s="7">
        <v>1300.03</v>
      </c>
      <c r="L265" s="8">
        <f>IFERROR(K265/K444, "NA")</f>
        <v>2.4335141829421331E-2</v>
      </c>
      <c r="M265" s="9"/>
      <c r="N265" s="10">
        <f>IFERROR(-(B265-K265), "NA")</f>
        <v>-180.16000000000008</v>
      </c>
      <c r="O265" s="8">
        <f>IFERROR(N265/N444, "NA")</f>
        <v>-1.4637087011697645E-2</v>
      </c>
      <c r="P265" s="9"/>
      <c r="Q265" s="7">
        <v>1480.19</v>
      </c>
      <c r="R265" s="8">
        <f>IFERROR(Q265/Q444, "NA")</f>
        <v>2.2519115209740152E-2</v>
      </c>
      <c r="S265" s="9"/>
      <c r="T265" s="7">
        <v>1514.51</v>
      </c>
      <c r="U265" s="8">
        <f>IFERROR(T265/T444, "NA")</f>
        <v>2.6999977359032791E-2</v>
      </c>
      <c r="V265" s="9"/>
      <c r="W265" s="10">
        <f>IFERROR(-(Q265-T265), "NA")</f>
        <v>34.319999999999936</v>
      </c>
      <c r="X265" s="8">
        <f>IFERROR(W265/W444, "NA")</f>
        <v>3.5611375302598038E-3</v>
      </c>
      <c r="Y265" s="9"/>
      <c r="Z265" s="7">
        <v>1300.03</v>
      </c>
      <c r="AA265" s="8">
        <f>IFERROR(Z265/Z444, "NA")</f>
        <v>2.4335141829421331E-2</v>
      </c>
      <c r="AB265" s="9"/>
      <c r="AC265" s="10">
        <f>IFERROR(-(Q265-Z265), "NA")</f>
        <v>-180.16000000000008</v>
      </c>
      <c r="AD265" s="8">
        <f>IFERROR(AC265/AC444, "NA")</f>
        <v>-1.4637087011697645E-2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1480.19</v>
      </c>
      <c r="C267" s="15">
        <f>IFERROR(B267/B444, "NA")</f>
        <v>2.2519115209740152E-2</v>
      </c>
      <c r="D267" s="2"/>
      <c r="E267" s="14">
        <f>IFERROR(E265+E266, "NA")</f>
        <v>1514.51</v>
      </c>
      <c r="F267" s="15">
        <f>IFERROR(E267/E444, "NA")</f>
        <v>2.6999977359032791E-2</v>
      </c>
      <c r="G267" s="2"/>
      <c r="H267" s="14">
        <f>IFERROR(-(B267-E267), "NA")</f>
        <v>34.319999999999936</v>
      </c>
      <c r="I267" s="15">
        <f>IFERROR(H267/H444, "NA")</f>
        <v>3.5611375302598038E-3</v>
      </c>
      <c r="J267" s="2"/>
      <c r="K267" s="14">
        <f>IFERROR(K265+K266, "NA")</f>
        <v>1300.03</v>
      </c>
      <c r="L267" s="15">
        <f>IFERROR(K267/K444, "NA")</f>
        <v>2.4335141829421331E-2</v>
      </c>
      <c r="M267" s="2"/>
      <c r="N267" s="14">
        <f>IFERROR(-(B267-K267), "NA")</f>
        <v>-180.16000000000008</v>
      </c>
      <c r="O267" s="15">
        <f>IFERROR(N267/N444, "NA")</f>
        <v>-1.4637087011697645E-2</v>
      </c>
      <c r="P267" s="2"/>
      <c r="Q267" s="14">
        <f>IFERROR(Q265+Q266, "NA")</f>
        <v>1480.19</v>
      </c>
      <c r="R267" s="15">
        <f>IFERROR(Q267/Q444, "NA")</f>
        <v>2.2519115209740152E-2</v>
      </c>
      <c r="S267" s="2"/>
      <c r="T267" s="14">
        <f>IFERROR(T265+T266, "NA")</f>
        <v>1514.51</v>
      </c>
      <c r="U267" s="15">
        <f>IFERROR(T267/T444, "NA")</f>
        <v>2.6999977359032791E-2</v>
      </c>
      <c r="V267" s="2"/>
      <c r="W267" s="14">
        <f>IFERROR(-(Q267-T267), "NA")</f>
        <v>34.319999999999936</v>
      </c>
      <c r="X267" s="15">
        <f>IFERROR(W267/W444, "NA")</f>
        <v>3.5611375302598038E-3</v>
      </c>
      <c r="Y267" s="2"/>
      <c r="Z267" s="14">
        <f>IFERROR(Z265+Z266, "NA")</f>
        <v>1300.03</v>
      </c>
      <c r="AA267" s="15">
        <f>IFERROR(Z267/Z444, "NA")</f>
        <v>2.4335141829421331E-2</v>
      </c>
      <c r="AB267" s="2"/>
      <c r="AC267" s="14">
        <f>IFERROR(-(Q267-Z267), "NA")</f>
        <v>-180.16000000000008</v>
      </c>
      <c r="AD267" s="15">
        <f>IFERROR(AC267/AC444, "NA")</f>
        <v>-1.4637087011697645E-2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342.25</v>
      </c>
      <c r="C270" s="8">
        <f>IFERROR(B270/B444, "NA")</f>
        <v>5.2068769418342018E-3</v>
      </c>
      <c r="D270" s="9"/>
      <c r="E270" s="7">
        <v>150.03</v>
      </c>
      <c r="F270" s="8">
        <f>IFERROR(E270/E444, "NA")</f>
        <v>2.6746648111770077E-3</v>
      </c>
      <c r="G270" s="9"/>
      <c r="H270" s="10">
        <f>IFERROR(-(B270-E270), "NA")</f>
        <v>-192.22</v>
      </c>
      <c r="I270" s="8">
        <f>IFERROR(H270/H444, "NA")</f>
        <v>-1.9945275526414358E-2</v>
      </c>
      <c r="J270" s="9"/>
      <c r="K270" s="7">
        <v>296.5</v>
      </c>
      <c r="L270" s="8">
        <f>IFERROR(K270/K444, "NA")</f>
        <v>5.5501561905674677E-3</v>
      </c>
      <c r="M270" s="9"/>
      <c r="N270" s="10">
        <f>IFERROR(-(B270-K270), "NA")</f>
        <v>-45.75</v>
      </c>
      <c r="O270" s="8">
        <f>IFERROR(N270/N444, "NA")</f>
        <v>-3.7169556548910243E-3</v>
      </c>
      <c r="P270" s="9"/>
      <c r="Q270" s="7">
        <v>342.25</v>
      </c>
      <c r="R270" s="8">
        <f>IFERROR(Q270/Q444, "NA")</f>
        <v>5.2068769418342018E-3</v>
      </c>
      <c r="S270" s="9"/>
      <c r="T270" s="7">
        <v>150.03</v>
      </c>
      <c r="U270" s="8">
        <f>IFERROR(T270/T444, "NA")</f>
        <v>2.6746648111770077E-3</v>
      </c>
      <c r="V270" s="9"/>
      <c r="W270" s="10">
        <f>IFERROR(-(Q270-T270), "NA")</f>
        <v>-192.22</v>
      </c>
      <c r="X270" s="8">
        <f>IFERROR(W270/W444, "NA")</f>
        <v>-1.9945275526414358E-2</v>
      </c>
      <c r="Y270" s="9"/>
      <c r="Z270" s="7">
        <v>296.5</v>
      </c>
      <c r="AA270" s="8">
        <f>IFERROR(Z270/Z444, "NA")</f>
        <v>5.5501561905674677E-3</v>
      </c>
      <c r="AB270" s="9"/>
      <c r="AC270" s="10">
        <f>IFERROR(-(Q270-Z270), "NA")</f>
        <v>-45.75</v>
      </c>
      <c r="AD270" s="8">
        <f>IFERROR(AC270/AC444, "NA")</f>
        <v>-3.7169556548910243E-3</v>
      </c>
    </row>
    <row r="271" spans="1:30" ht="16.5" customHeight="1" x14ac:dyDescent="0.45">
      <c r="A271" s="6" t="s">
        <v>246</v>
      </c>
      <c r="B271" s="7">
        <v>952.74</v>
      </c>
      <c r="C271" s="8">
        <f>IFERROR(B271/B444, "NA")</f>
        <v>1.4494667458182958E-2</v>
      </c>
      <c r="D271" s="9"/>
      <c r="E271" s="7">
        <v>336.56</v>
      </c>
      <c r="F271" s="8">
        <f>IFERROR(E271/E444, "NA")</f>
        <v>6.0000345854144752E-3</v>
      </c>
      <c r="G271" s="9"/>
      <c r="H271" s="10">
        <f>IFERROR(-(B271-E271), "NA")</f>
        <v>-616.18000000000006</v>
      </c>
      <c r="I271" s="8">
        <f>IFERROR(H271/H444, "NA")</f>
        <v>-6.3936530401966507E-2</v>
      </c>
      <c r="J271" s="9"/>
      <c r="K271" s="7">
        <v>762.02</v>
      </c>
      <c r="L271" s="8">
        <f>IFERROR(K271/K444, "NA")</f>
        <v>1.4264182193376801E-2</v>
      </c>
      <c r="M271" s="9"/>
      <c r="N271" s="10">
        <f>IFERROR(-(B271-K271), "NA")</f>
        <v>-190.72000000000003</v>
      </c>
      <c r="O271" s="8">
        <f>IFERROR(N271/N444, "NA")</f>
        <v>-1.5495033497285602E-2</v>
      </c>
      <c r="P271" s="9"/>
      <c r="Q271" s="7">
        <v>952.74</v>
      </c>
      <c r="R271" s="8">
        <f>IFERROR(Q271/Q444, "NA")</f>
        <v>1.4494667458182958E-2</v>
      </c>
      <c r="S271" s="9"/>
      <c r="T271" s="7">
        <v>336.56</v>
      </c>
      <c r="U271" s="8">
        <f>IFERROR(T271/T444, "NA")</f>
        <v>6.0000345854144752E-3</v>
      </c>
      <c r="V271" s="9"/>
      <c r="W271" s="10">
        <f>IFERROR(-(Q271-T271), "NA")</f>
        <v>-616.18000000000006</v>
      </c>
      <c r="X271" s="8">
        <f>IFERROR(W271/W444, "NA")</f>
        <v>-6.3936530401966507E-2</v>
      </c>
      <c r="Y271" s="9"/>
      <c r="Z271" s="7">
        <v>762.02</v>
      </c>
      <c r="AA271" s="8">
        <f>IFERROR(Z271/Z444, "NA")</f>
        <v>1.4264182193376801E-2</v>
      </c>
      <c r="AB271" s="9"/>
      <c r="AC271" s="10">
        <f>IFERROR(-(Q271-Z271), "NA")</f>
        <v>-190.72000000000003</v>
      </c>
      <c r="AD271" s="8">
        <f>IFERROR(AC271/AC444, "NA")</f>
        <v>-1.5495033497285602E-2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1294.99</v>
      </c>
      <c r="C273" s="15">
        <f>IFERROR(B273/B444, "NA")</f>
        <v>1.970154440001716E-2</v>
      </c>
      <c r="D273" s="2"/>
      <c r="E273" s="14">
        <f>IFERROR(E269+E270+E271+E272, "NA")</f>
        <v>486.59000000000003</v>
      </c>
      <c r="F273" s="15">
        <f>IFERROR(E273/E444, "NA")</f>
        <v>8.6746993965914829E-3</v>
      </c>
      <c r="G273" s="2"/>
      <c r="H273" s="14">
        <f>IFERROR(-(B273-E273), "NA")</f>
        <v>-808.4</v>
      </c>
      <c r="I273" s="15">
        <f>IFERROR(H273/H444, "NA")</f>
        <v>-8.3881805928380848E-2</v>
      </c>
      <c r="J273" s="2"/>
      <c r="K273" s="14">
        <f>IFERROR(K269+K270+K271+K272, "NA")</f>
        <v>1058.52</v>
      </c>
      <c r="L273" s="15">
        <f>IFERROR(K273/K444, "NA")</f>
        <v>1.981433838394427E-2</v>
      </c>
      <c r="M273" s="2"/>
      <c r="N273" s="14">
        <f>IFERROR(-(B273-K273), "NA")</f>
        <v>-236.47000000000003</v>
      </c>
      <c r="O273" s="15">
        <f>IFERROR(N273/N444, "NA")</f>
        <v>-1.9211989152176624E-2</v>
      </c>
      <c r="P273" s="2"/>
      <c r="Q273" s="14">
        <f>IFERROR(Q269+Q270+Q271+Q272, "NA")</f>
        <v>1294.99</v>
      </c>
      <c r="R273" s="15">
        <f>IFERROR(Q273/Q444, "NA")</f>
        <v>1.970154440001716E-2</v>
      </c>
      <c r="S273" s="2"/>
      <c r="T273" s="14">
        <f>IFERROR(T269+T270+T271+T272, "NA")</f>
        <v>486.59000000000003</v>
      </c>
      <c r="U273" s="15">
        <f>IFERROR(T273/T444, "NA")</f>
        <v>8.6746993965914829E-3</v>
      </c>
      <c r="V273" s="2"/>
      <c r="W273" s="14">
        <f>IFERROR(-(Q273-T273), "NA")</f>
        <v>-808.4</v>
      </c>
      <c r="X273" s="15">
        <f>IFERROR(W273/W444, "NA")</f>
        <v>-8.3881805928380848E-2</v>
      </c>
      <c r="Y273" s="2"/>
      <c r="Z273" s="14">
        <f>IFERROR(Z269+Z270+Z271+Z272, "NA")</f>
        <v>1058.52</v>
      </c>
      <c r="AA273" s="15">
        <f>IFERROR(Z273/Z444, "NA")</f>
        <v>1.981433838394427E-2</v>
      </c>
      <c r="AB273" s="2"/>
      <c r="AC273" s="14">
        <f>IFERROR(-(Q273-Z273), "NA")</f>
        <v>-236.47000000000003</v>
      </c>
      <c r="AD273" s="15">
        <f>IFERROR(AC273/AC444, "NA")</f>
        <v>-1.9211989152176624E-2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5.9009135006304709E-3</v>
      </c>
      <c r="G287" s="9"/>
      <c r="H287" s="10">
        <f t="shared" si="72"/>
        <v>331</v>
      </c>
      <c r="I287" s="8">
        <f>IFERROR(H287/H444, "NA")</f>
        <v>3.4345469770279642E-2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331</v>
      </c>
      <c r="U287" s="8">
        <f>IFERROR(T287/T444, "NA")</f>
        <v>5.9009135006304709E-3</v>
      </c>
      <c r="V287" s="9"/>
      <c r="W287" s="10">
        <f t="shared" si="74"/>
        <v>331</v>
      </c>
      <c r="X287" s="8">
        <f>IFERROR(W287/W444, "NA")</f>
        <v>3.4345469770279642E-2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2.0918789759012497E-3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-1.4267377925720396E-2</v>
      </c>
      <c r="J288" s="9"/>
      <c r="K288" s="7">
        <v>137.5</v>
      </c>
      <c r="L288" s="8">
        <f>IFERROR(K288/K444, "NA")</f>
        <v>2.573849835423362E-3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137.5</v>
      </c>
      <c r="R288" s="8">
        <f>IFERROR(Q288/Q444, "NA")</f>
        <v>2.0918789759012497E-3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-137.5</v>
      </c>
      <c r="X288" s="8">
        <f>IFERROR(W288/W444, "NA")</f>
        <v>-1.4267377925720396E-2</v>
      </c>
      <c r="Y288" s="9"/>
      <c r="Z288" s="7">
        <v>137.5</v>
      </c>
      <c r="AA288" s="8">
        <f>IFERROR(Z288/Z444, "NA")</f>
        <v>2.573849835423362E-3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217.97</v>
      </c>
      <c r="C289" s="8">
        <f>IFERROR(B289/B444, "NA")</f>
        <v>3.3161226209250574E-3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-217.97</v>
      </c>
      <c r="I289" s="8">
        <f>IFERROR(H289/H444, "NA")</f>
        <v>-2.2617166301594722E-2</v>
      </c>
      <c r="J289" s="9"/>
      <c r="K289" s="7">
        <v>198.58</v>
      </c>
      <c r="L289" s="8">
        <f>IFERROR(K289/K444, "NA")</f>
        <v>3.7172007295881546E-3</v>
      </c>
      <c r="M289" s="9"/>
      <c r="N289" s="10">
        <f t="shared" si="73"/>
        <v>-19.389999999999986</v>
      </c>
      <c r="O289" s="8">
        <f>IFERROR(N289/N444, "NA")</f>
        <v>-1.5753392382150144E-3</v>
      </c>
      <c r="P289" s="9"/>
      <c r="Q289" s="7">
        <v>217.97</v>
      </c>
      <c r="R289" s="8">
        <f>IFERROR(Q289/Q444, "NA")</f>
        <v>3.3161226209250574E-3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-217.97</v>
      </c>
      <c r="X289" s="8">
        <f>IFERROR(W289/W444, "NA")</f>
        <v>-2.2617166301594722E-2</v>
      </c>
      <c r="Y289" s="9"/>
      <c r="Z289" s="7">
        <v>198.58</v>
      </c>
      <c r="AA289" s="8">
        <f>IFERROR(Z289/Z444, "NA")</f>
        <v>3.7172007295881546E-3</v>
      </c>
      <c r="AB289" s="9"/>
      <c r="AC289" s="10">
        <f t="shared" si="75"/>
        <v>-19.389999999999986</v>
      </c>
      <c r="AD289" s="8">
        <f>IFERROR(AC289/AC444, "NA")</f>
        <v>-1.5753392382150144E-3</v>
      </c>
    </row>
    <row r="290" spans="1:30" ht="16.5" customHeight="1" x14ac:dyDescent="0.45">
      <c r="A290" s="6" t="s">
        <v>263</v>
      </c>
      <c r="B290" s="7">
        <v>477.43</v>
      </c>
      <c r="C290" s="8">
        <f>IFERROR(B290/B444, "NA")</f>
        <v>7.2634602142875176E-3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-477.43</v>
      </c>
      <c r="I290" s="8">
        <f>IFERROR(H290/H444, "NA")</f>
        <v>-4.953944904055773E-2</v>
      </c>
      <c r="J290" s="9"/>
      <c r="K290" s="7">
        <v>725</v>
      </c>
      <c r="L290" s="8">
        <f>IFERROR(K290/K444, "NA")</f>
        <v>1.3571208223141363E-2</v>
      </c>
      <c r="M290" s="9"/>
      <c r="N290" s="10">
        <f t="shared" si="73"/>
        <v>247.57</v>
      </c>
      <c r="O290" s="8">
        <f>IFERROR(N290/N444, "NA")</f>
        <v>2.0113807901232149E-2</v>
      </c>
      <c r="P290" s="9"/>
      <c r="Q290" s="7">
        <v>477.43</v>
      </c>
      <c r="R290" s="8">
        <f>IFERROR(Q290/Q444, "NA")</f>
        <v>7.2634602142875176E-3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-477.43</v>
      </c>
      <c r="X290" s="8">
        <f>IFERROR(W290/W444, "NA")</f>
        <v>-4.953944904055773E-2</v>
      </c>
      <c r="Y290" s="9"/>
      <c r="Z290" s="7">
        <v>725</v>
      </c>
      <c r="AA290" s="8">
        <f>IFERROR(Z290/Z444, "NA")</f>
        <v>1.3571208223141363E-2</v>
      </c>
      <c r="AB290" s="9"/>
      <c r="AC290" s="10">
        <f t="shared" si="75"/>
        <v>247.57</v>
      </c>
      <c r="AD290" s="8">
        <f>IFERROR(AC290/AC444, "NA")</f>
        <v>2.0113807901232149E-2</v>
      </c>
    </row>
    <row r="291" spans="1:30" ht="16.5" customHeight="1" x14ac:dyDescent="0.45">
      <c r="A291" s="6" t="s">
        <v>264</v>
      </c>
      <c r="B291" s="7">
        <v>1744.79</v>
      </c>
      <c r="C291" s="8">
        <f>IFERROR(B291/B444, "NA")</f>
        <v>2.6544651042638121E-2</v>
      </c>
      <c r="D291" s="9"/>
      <c r="E291" s="7">
        <v>673.12</v>
      </c>
      <c r="F291" s="8">
        <f>IFERROR(E291/E444, "NA")</f>
        <v>1.200006917082895E-2</v>
      </c>
      <c r="G291" s="9"/>
      <c r="H291" s="10">
        <f t="shared" si="72"/>
        <v>-1071.67</v>
      </c>
      <c r="I291" s="8">
        <f>IFERROR(H291/H444, "NA")</f>
        <v>-0.11119942473932201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-1744.79</v>
      </c>
      <c r="O291" s="8">
        <f>IFERROR(N291/N444, "NA")</f>
        <v>-0.1417553455103237</v>
      </c>
      <c r="P291" s="9"/>
      <c r="Q291" s="7">
        <v>1744.79</v>
      </c>
      <c r="R291" s="8">
        <f>IFERROR(Q291/Q444, "NA")</f>
        <v>2.6544651042638121E-2</v>
      </c>
      <c r="S291" s="9"/>
      <c r="T291" s="7">
        <v>673.12</v>
      </c>
      <c r="U291" s="8">
        <f>IFERROR(T291/T444, "NA")</f>
        <v>1.200006917082895E-2</v>
      </c>
      <c r="V291" s="9"/>
      <c r="W291" s="10">
        <f t="shared" si="74"/>
        <v>-1071.67</v>
      </c>
      <c r="X291" s="8">
        <f>IFERROR(W291/W444, "NA")</f>
        <v>-0.11119942473932201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-1744.79</v>
      </c>
      <c r="AD291" s="8">
        <f>IFERROR(AC291/AC444, "NA")</f>
        <v>-0.1417553455103237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4.9442890791137981E-3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-3.3721855651489975E-2</v>
      </c>
      <c r="J294" s="9"/>
      <c r="K294" s="7">
        <v>345</v>
      </c>
      <c r="L294" s="8">
        <f>IFERROR(K294/K444, "NA")</f>
        <v>6.45802322342589E-3</v>
      </c>
      <c r="M294" s="9"/>
      <c r="N294" s="10">
        <f t="shared" si="73"/>
        <v>20.009999999999991</v>
      </c>
      <c r="O294" s="8">
        <f>IFERROR(N294/N444, "NA")</f>
        <v>1.6257110962703686E-3</v>
      </c>
      <c r="P294" s="9"/>
      <c r="Q294" s="7">
        <v>324.99</v>
      </c>
      <c r="R294" s="8">
        <f>IFERROR(Q294/Q444, "NA")</f>
        <v>4.9442890791137981E-3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-324.99</v>
      </c>
      <c r="X294" s="8">
        <f>IFERROR(W294/W444, "NA")</f>
        <v>-3.3721855651489975E-2</v>
      </c>
      <c r="Y294" s="9"/>
      <c r="Z294" s="7">
        <v>345</v>
      </c>
      <c r="AA294" s="8">
        <f>IFERROR(Z294/Z444, "NA")</f>
        <v>6.45802322342589E-3</v>
      </c>
      <c r="AB294" s="9"/>
      <c r="AC294" s="10">
        <f t="shared" si="75"/>
        <v>20.009999999999991</v>
      </c>
      <c r="AD294" s="8">
        <f>IFERROR(AC294/AC444, "NA")</f>
        <v>1.6257110962703686E-3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2902.6800000000003</v>
      </c>
      <c r="C295" s="15">
        <f>IFERROR(B295/B444, "NA")</f>
        <v>4.4160401932865745E-2</v>
      </c>
      <c r="D295" s="2"/>
      <c r="E295" s="14">
        <f>IFERROR(E286+E287+E288+E289+E290+E291+E292+E293+E294, "NA")</f>
        <v>1004.12</v>
      </c>
      <c r="F295" s="15">
        <f>IFERROR(E295/E444, "NA")</f>
        <v>1.7900982671459419E-2</v>
      </c>
      <c r="G295" s="2"/>
      <c r="H295" s="14">
        <f t="shared" si="72"/>
        <v>-1898.5600000000004</v>
      </c>
      <c r="I295" s="15">
        <f>IFERROR(H295/H444, "NA")</f>
        <v>-0.19699980388840524</v>
      </c>
      <c r="J295" s="2"/>
      <c r="K295" s="14">
        <f>IFERROR(K286+K287+K288+K289+K290+K291+K292+K293+K294, "NA")</f>
        <v>1406.08</v>
      </c>
      <c r="L295" s="15">
        <f>IFERROR(K295/K444, "NA")</f>
        <v>2.6320282011578766E-2</v>
      </c>
      <c r="M295" s="2"/>
      <c r="N295" s="14">
        <f t="shared" si="73"/>
        <v>-1496.6000000000004</v>
      </c>
      <c r="O295" s="15">
        <f>IFERROR(N295/N444, "NA")</f>
        <v>-0.12159116575103625</v>
      </c>
      <c r="P295" s="2"/>
      <c r="Q295" s="14">
        <f>IFERROR(Q286+Q287+Q288+Q289+Q290+Q291+Q292+Q293+Q294, "NA")</f>
        <v>2902.6800000000003</v>
      </c>
      <c r="R295" s="15">
        <f>IFERROR(Q295/Q444, "NA")</f>
        <v>4.4160401932865745E-2</v>
      </c>
      <c r="S295" s="2"/>
      <c r="T295" s="14">
        <f>IFERROR(T286+T287+T288+T289+T290+T291+T292+T293+T294, "NA")</f>
        <v>1004.12</v>
      </c>
      <c r="U295" s="15">
        <f>IFERROR(T295/T444, "NA")</f>
        <v>1.7900982671459419E-2</v>
      </c>
      <c r="V295" s="2"/>
      <c r="W295" s="14">
        <f t="shared" si="74"/>
        <v>-1898.5600000000004</v>
      </c>
      <c r="X295" s="15">
        <f>IFERROR(W295/W444, "NA")</f>
        <v>-0.19699980388840524</v>
      </c>
      <c r="Y295" s="2"/>
      <c r="Z295" s="14">
        <f>IFERROR(Z286+Z287+Z288+Z289+Z290+Z291+Z292+Z293+Z294, "NA")</f>
        <v>1406.08</v>
      </c>
      <c r="AA295" s="15">
        <f>IFERROR(Z295/Z444, "NA")</f>
        <v>2.6320282011578766E-2</v>
      </c>
      <c r="AB295" s="2"/>
      <c r="AC295" s="14">
        <f t="shared" si="75"/>
        <v>-1496.6000000000004</v>
      </c>
      <c r="AD295" s="15">
        <f>IFERROR(AC295/AC444, "NA")</f>
        <v>-0.12159116575103625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729.21</v>
      </c>
      <c r="F297" s="8">
        <f>IFERROR(E297/E444, "NA")</f>
        <v>1.3000015509953914E-2</v>
      </c>
      <c r="G297" s="9"/>
      <c r="H297" s="10">
        <f t="shared" ref="H297:H325" si="76">IFERROR(-(B297-E297), "NA")</f>
        <v>729.21</v>
      </c>
      <c r="I297" s="8">
        <f>IFERROR(H297/H444, "NA")</f>
        <v>7.5664833870651413E-2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729.21</v>
      </c>
      <c r="U297" s="8">
        <f>IFERROR(T297/T444, "NA")</f>
        <v>1.3000015509953914E-2</v>
      </c>
      <c r="V297" s="9"/>
      <c r="W297" s="10">
        <f t="shared" ref="W297:W325" si="78">IFERROR(-(Q297-T297), "NA")</f>
        <v>729.21</v>
      </c>
      <c r="X297" s="8">
        <f>IFERROR(W297/W444, "NA")</f>
        <v>7.5664833870651413E-2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hidden="1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0</v>
      </c>
      <c r="R299" s="8">
        <f>IFERROR(Q299/Q444, "NA")</f>
        <v>0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0</v>
      </c>
      <c r="X299" s="8">
        <f>IFERROR(W299/W444, "NA")</f>
        <v>0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0</v>
      </c>
      <c r="AD299" s="8">
        <f>IFERROR(AC299/AC444, "NA")</f>
        <v>0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40.119999999999997</v>
      </c>
      <c r="L310" s="8">
        <f>IFERROR(K310/K444, "NA")</f>
        <v>7.5100258470680193E-4</v>
      </c>
      <c r="M310" s="9"/>
      <c r="N310" s="10">
        <f t="shared" si="77"/>
        <v>40.119999999999997</v>
      </c>
      <c r="O310" s="8">
        <f>IFERROR(N310/N444, "NA")</f>
        <v>3.2595466857754728E-3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40.119999999999997</v>
      </c>
      <c r="AA310" s="8">
        <f>IFERROR(Z310/Z444, "NA")</f>
        <v>7.5100258470680193E-4</v>
      </c>
      <c r="AB310" s="9"/>
      <c r="AC310" s="10">
        <f t="shared" si="79"/>
        <v>40.119999999999997</v>
      </c>
      <c r="AD310" s="8">
        <f>IFERROR(AC310/AC444, "NA")</f>
        <v>3.2595466857754728E-3</v>
      </c>
    </row>
    <row r="311" spans="1:30" ht="16.5" hidden="1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0</v>
      </c>
      <c r="AD311" s="8">
        <f>IFERROR(AC311/AC444, "NA")</f>
        <v>0</v>
      </c>
    </row>
    <row r="312" spans="1:30" ht="16.5" hidden="1" customHeight="1" x14ac:dyDescent="0.45">
      <c r="A312" s="6" t="s">
        <v>284</v>
      </c>
      <c r="B312" s="7">
        <v>0</v>
      </c>
      <c r="C312" s="8">
        <f>IFERROR(B312/B444, "NA")</f>
        <v>0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0</v>
      </c>
      <c r="I312" s="8">
        <f>IFERROR(H312/H444, "NA")</f>
        <v>0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0</v>
      </c>
      <c r="O312" s="8">
        <f>IFERROR(N312/N444, "NA")</f>
        <v>0</v>
      </c>
      <c r="P312" s="9"/>
      <c r="Q312" s="7">
        <v>0</v>
      </c>
      <c r="R312" s="8">
        <f>IFERROR(Q312/Q444, "NA")</f>
        <v>0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0</v>
      </c>
      <c r="X312" s="8">
        <f>IFERROR(W312/W444, "NA")</f>
        <v>0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0</v>
      </c>
      <c r="AD312" s="8">
        <f>IFERROR(AC312/AC444, "NA")</f>
        <v>0</v>
      </c>
    </row>
    <row r="313" spans="1:30" ht="16.5" hidden="1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0</v>
      </c>
      <c r="R313" s="8">
        <f>IFERROR(Q313/Q444, "NA")</f>
        <v>0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0</v>
      </c>
      <c r="X313" s="8">
        <f>IFERROR(W313/W444, "NA")</f>
        <v>0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0</v>
      </c>
      <c r="AD313" s="8">
        <f>IFERROR(AC313/AC444, "NA")</f>
        <v>0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455.52</v>
      </c>
      <c r="C315" s="8">
        <f>IFERROR(B315/B444, "NA")</f>
        <v>6.9301288080184532E-3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-455.52</v>
      </c>
      <c r="I315" s="8">
        <f>IFERROR(H315/H444, "NA")</f>
        <v>-4.7266007219812028E-2</v>
      </c>
      <c r="J315" s="9"/>
      <c r="K315" s="7">
        <v>605.44000000000005</v>
      </c>
      <c r="L315" s="8">
        <f>IFERROR(K315/K444, "NA")</f>
        <v>1.1333175595336148E-2</v>
      </c>
      <c r="M315" s="9"/>
      <c r="N315" s="10">
        <f t="shared" si="77"/>
        <v>149.92000000000007</v>
      </c>
      <c r="O315" s="8">
        <f>IFERROR(N315/N444, "NA")</f>
        <v>1.2180240257513937E-2</v>
      </c>
      <c r="P315" s="9"/>
      <c r="Q315" s="7">
        <v>455.52</v>
      </c>
      <c r="R315" s="8">
        <f>IFERROR(Q315/Q444, "NA")</f>
        <v>6.9301288080184532E-3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-455.52</v>
      </c>
      <c r="X315" s="8">
        <f>IFERROR(W315/W444, "NA")</f>
        <v>-4.7266007219812028E-2</v>
      </c>
      <c r="Y315" s="9"/>
      <c r="Z315" s="7">
        <v>605.44000000000005</v>
      </c>
      <c r="AA315" s="8">
        <f>IFERROR(Z315/Z444, "NA")</f>
        <v>1.1333175595336148E-2</v>
      </c>
      <c r="AB315" s="9"/>
      <c r="AC315" s="10">
        <f t="shared" si="79"/>
        <v>149.92000000000007</v>
      </c>
      <c r="AD315" s="8">
        <f>IFERROR(AC315/AC444, "NA")</f>
        <v>1.2180240257513937E-2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6.3072813514846553E-3</v>
      </c>
      <c r="D318" s="9"/>
      <c r="E318" s="7">
        <v>415</v>
      </c>
      <c r="F318" s="8">
        <f>IFERROR(E318/E444, "NA")</f>
        <v>7.3984262923312543E-3</v>
      </c>
      <c r="G318" s="9"/>
      <c r="H318" s="10">
        <f t="shared" si="76"/>
        <v>0.42000000000001592</v>
      </c>
      <c r="I318" s="8">
        <f>IFERROR(H318/H444, "NA")</f>
        <v>4.3580354391293038E-5</v>
      </c>
      <c r="J318" s="9"/>
      <c r="K318" s="7">
        <v>414.58</v>
      </c>
      <c r="L318" s="8">
        <f>IFERROR(K318/K444, "NA")</f>
        <v>7.7604848346895803E-3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414.58</v>
      </c>
      <c r="R318" s="8">
        <f>IFERROR(Q318/Q444, "NA")</f>
        <v>6.3072813514846553E-3</v>
      </c>
      <c r="S318" s="9"/>
      <c r="T318" s="7">
        <v>415</v>
      </c>
      <c r="U318" s="8">
        <f>IFERROR(T318/T444, "NA")</f>
        <v>7.3984262923312543E-3</v>
      </c>
      <c r="V318" s="9"/>
      <c r="W318" s="10">
        <f t="shared" si="78"/>
        <v>0.42000000000001592</v>
      </c>
      <c r="X318" s="8">
        <f>IFERROR(W318/W444, "NA")</f>
        <v>4.3580354391293038E-5</v>
      </c>
      <c r="Y318" s="9"/>
      <c r="Z318" s="7">
        <v>414.58</v>
      </c>
      <c r="AA318" s="8">
        <f>IFERROR(Z318/Z444, "NA")</f>
        <v>7.7604848346895803E-3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249.13</v>
      </c>
      <c r="C319" s="8">
        <f>IFERROR(B319/B444, "NA")</f>
        <v>3.7901804310274791E-3</v>
      </c>
      <c r="D319" s="9"/>
      <c r="E319" s="7">
        <v>249</v>
      </c>
      <c r="F319" s="8">
        <f>IFERROR(E319/E444, "NA")</f>
        <v>4.4390557753987529E-3</v>
      </c>
      <c r="G319" s="9"/>
      <c r="H319" s="10">
        <f t="shared" si="76"/>
        <v>-0.12999999999999545</v>
      </c>
      <c r="I319" s="8">
        <f>IFERROR(H319/H444, "NA")</f>
        <v>-1.348915731158972E-5</v>
      </c>
      <c r="J319" s="9"/>
      <c r="K319" s="7">
        <v>226.09</v>
      </c>
      <c r="L319" s="8">
        <f>IFERROR(K319/K444, "NA")</f>
        <v>4.2321578857517665E-3</v>
      </c>
      <c r="M319" s="9"/>
      <c r="N319" s="10">
        <f t="shared" si="77"/>
        <v>-23.039999999999992</v>
      </c>
      <c r="O319" s="8">
        <f>IFERROR(N319/N444, "NA")</f>
        <v>-1.8718832412828233E-3</v>
      </c>
      <c r="P319" s="9"/>
      <c r="Q319" s="7">
        <v>249.13</v>
      </c>
      <c r="R319" s="8">
        <f>IFERROR(Q319/Q444, "NA")</f>
        <v>3.7901804310274791E-3</v>
      </c>
      <c r="S319" s="9"/>
      <c r="T319" s="7">
        <v>249</v>
      </c>
      <c r="U319" s="8">
        <f>IFERROR(T319/T444, "NA")</f>
        <v>4.4390557753987529E-3</v>
      </c>
      <c r="V319" s="9"/>
      <c r="W319" s="10">
        <f t="shared" si="78"/>
        <v>-0.12999999999999545</v>
      </c>
      <c r="X319" s="8">
        <f>IFERROR(W319/W444, "NA")</f>
        <v>-1.348915731158972E-5</v>
      </c>
      <c r="Y319" s="9"/>
      <c r="Z319" s="7">
        <v>226.09</v>
      </c>
      <c r="AA319" s="8">
        <f>IFERROR(Z319/Z444, "NA")</f>
        <v>4.2321578857517665E-3</v>
      </c>
      <c r="AB319" s="9"/>
      <c r="AC319" s="10">
        <f t="shared" si="79"/>
        <v>-23.039999999999992</v>
      </c>
      <c r="AD319" s="8">
        <f>IFERROR(AC319/AC444, "NA")</f>
        <v>-1.8718832412828233E-3</v>
      </c>
    </row>
    <row r="320" spans="1:30" ht="16.5" customHeight="1" x14ac:dyDescent="0.45">
      <c r="A320" s="6" t="s">
        <v>292</v>
      </c>
      <c r="B320" s="7">
        <v>1056.07</v>
      </c>
      <c r="C320" s="8">
        <f>IFERROR(B320/B444, "NA")</f>
        <v>1.6066695491491149E-2</v>
      </c>
      <c r="D320" s="9"/>
      <c r="E320" s="7">
        <v>878</v>
      </c>
      <c r="F320" s="8">
        <f>IFERROR(E320/E444, "NA")</f>
        <v>1.5652574179920099E-2</v>
      </c>
      <c r="G320" s="9"/>
      <c r="H320" s="10">
        <f t="shared" si="76"/>
        <v>-178.06999999999994</v>
      </c>
      <c r="I320" s="8">
        <f>IFERROR(H320/H444, "NA")</f>
        <v>-1.8477032634422037E-2</v>
      </c>
      <c r="J320" s="9"/>
      <c r="K320" s="7">
        <v>894.4</v>
      </c>
      <c r="L320" s="8">
        <f>IFERROR(K320/K444, "NA")</f>
        <v>1.6742191220382945E-2</v>
      </c>
      <c r="M320" s="9"/>
      <c r="N320" s="10">
        <f t="shared" si="77"/>
        <v>-161.66999999999996</v>
      </c>
      <c r="O320" s="8">
        <f>IFERROR(N320/N444, "NA")</f>
        <v>-1.3134868212595229E-2</v>
      </c>
      <c r="P320" s="9"/>
      <c r="Q320" s="7">
        <v>1056.07</v>
      </c>
      <c r="R320" s="8">
        <f>IFERROR(Q320/Q444, "NA")</f>
        <v>1.6066695491491149E-2</v>
      </c>
      <c r="S320" s="9"/>
      <c r="T320" s="7">
        <v>878</v>
      </c>
      <c r="U320" s="8">
        <f>IFERROR(T320/T444, "NA")</f>
        <v>1.5652574179920099E-2</v>
      </c>
      <c r="V320" s="9"/>
      <c r="W320" s="10">
        <f t="shared" si="78"/>
        <v>-178.06999999999994</v>
      </c>
      <c r="X320" s="8">
        <f>IFERROR(W320/W444, "NA")</f>
        <v>-1.8477032634422037E-2</v>
      </c>
      <c r="Y320" s="9"/>
      <c r="Z320" s="7">
        <v>894.4</v>
      </c>
      <c r="AA320" s="8">
        <f>IFERROR(Z320/Z444, "NA")</f>
        <v>1.6742191220382945E-2</v>
      </c>
      <c r="AB320" s="9"/>
      <c r="AC320" s="10">
        <f t="shared" si="79"/>
        <v>-161.66999999999996</v>
      </c>
      <c r="AD320" s="8">
        <f>IFERROR(AC320/AC444, "NA")</f>
        <v>-1.3134868212595229E-2</v>
      </c>
    </row>
    <row r="321" spans="1:30" ht="16.5" customHeight="1" x14ac:dyDescent="0.45">
      <c r="A321" s="6" t="s">
        <v>293</v>
      </c>
      <c r="B321" s="7">
        <v>2307.1799999999998</v>
      </c>
      <c r="C321" s="8">
        <f>IFERROR(B321/B444, "NA")</f>
        <v>3.5100664259053421E-2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-2307.1799999999998</v>
      </c>
      <c r="I321" s="8">
        <f>IFERROR(H321/H444, "NA")</f>
        <v>-0.23939933820118967</v>
      </c>
      <c r="J321" s="9"/>
      <c r="K321" s="7">
        <v>2902.62</v>
      </c>
      <c r="L321" s="8">
        <f>IFERROR(K321/K444, "NA")</f>
        <v>5.43338764312477E-2</v>
      </c>
      <c r="M321" s="9"/>
      <c r="N321" s="10">
        <f t="shared" si="77"/>
        <v>595.44000000000005</v>
      </c>
      <c r="O321" s="8">
        <f>IFERROR(N321/N444, "NA")</f>
        <v>4.8376482516902984E-2</v>
      </c>
      <c r="P321" s="9"/>
      <c r="Q321" s="7">
        <v>2307.1799999999998</v>
      </c>
      <c r="R321" s="8">
        <f>IFERROR(Q321/Q444, "NA")</f>
        <v>3.5100664259053421E-2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-2307.1799999999998</v>
      </c>
      <c r="X321" s="8">
        <f>IFERROR(W321/W444, "NA")</f>
        <v>-0.23939933820118967</v>
      </c>
      <c r="Y321" s="9"/>
      <c r="Z321" s="7">
        <v>2902.62</v>
      </c>
      <c r="AA321" s="8">
        <f>IFERROR(Z321/Z444, "NA")</f>
        <v>5.43338764312477E-2</v>
      </c>
      <c r="AB321" s="9"/>
      <c r="AC321" s="10">
        <f t="shared" si="79"/>
        <v>595.44000000000005</v>
      </c>
      <c r="AD321" s="8">
        <f>IFERROR(AC321/AC444, "NA")</f>
        <v>4.8376482516902984E-2</v>
      </c>
    </row>
    <row r="322" spans="1:30" ht="16.5" customHeight="1" x14ac:dyDescent="0.45">
      <c r="A322" s="6" t="s">
        <v>294</v>
      </c>
      <c r="B322" s="7">
        <v>299.57</v>
      </c>
      <c r="C322" s="8">
        <f>IFERROR(B322/B444, "NA")</f>
        <v>4.5575577077144533E-3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-299.57</v>
      </c>
      <c r="I322" s="8">
        <f>IFERROR(H322/H444, "NA")</f>
        <v>-3.1084206583331334E-2</v>
      </c>
      <c r="J322" s="9"/>
      <c r="K322" s="7">
        <v>276.89999999999998</v>
      </c>
      <c r="L322" s="8">
        <f>IFERROR(K322/K444, "NA")</f>
        <v>5.1832655958453005E-3</v>
      </c>
      <c r="M322" s="9"/>
      <c r="N322" s="10">
        <f t="shared" si="77"/>
        <v>-22.670000000000016</v>
      </c>
      <c r="O322" s="8">
        <f>IFERROR(N322/N444, "NA")</f>
        <v>-1.8418226163143077E-3</v>
      </c>
      <c r="P322" s="9"/>
      <c r="Q322" s="7">
        <v>299.57</v>
      </c>
      <c r="R322" s="8">
        <f>IFERROR(Q322/Q444, "NA")</f>
        <v>4.5575577077144533E-3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-299.57</v>
      </c>
      <c r="X322" s="8">
        <f>IFERROR(W322/W444, "NA")</f>
        <v>-3.1084206583331334E-2</v>
      </c>
      <c r="Y322" s="9"/>
      <c r="Z322" s="7">
        <v>276.89999999999998</v>
      </c>
      <c r="AA322" s="8">
        <f>IFERROR(Z322/Z444, "NA")</f>
        <v>5.1832655958453005E-3</v>
      </c>
      <c r="AB322" s="9"/>
      <c r="AC322" s="10">
        <f t="shared" si="79"/>
        <v>-22.670000000000016</v>
      </c>
      <c r="AD322" s="8">
        <f>IFERROR(AC322/AC444, "NA")</f>
        <v>-1.8418226163143077E-3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4782.0499999999993</v>
      </c>
      <c r="C324" s="15">
        <f>IFERROR(B324/B444, "NA")</f>
        <v>7.2752508048789605E-2</v>
      </c>
      <c r="D324" s="2"/>
      <c r="E324" s="14">
        <f>IFERROR(E297+E298+E299+E300+E301+E302+E303+E304+E305+E306+E307+E308+E309+E310+E311+E312+E313+E314+E315+E316+E317+E318+E319+E320+E321+E322+E323, "NA")</f>
        <v>2271.21</v>
      </c>
      <c r="F324" s="15">
        <f>IFERROR(E324/E444, "NA")</f>
        <v>4.0490071757604024E-2</v>
      </c>
      <c r="G324" s="2"/>
      <c r="H324" s="14">
        <f t="shared" si="76"/>
        <v>-2510.8399999999992</v>
      </c>
      <c r="I324" s="15">
        <f>IFERROR(H324/H444, "NA")</f>
        <v>-0.26053165957102392</v>
      </c>
      <c r="J324" s="2"/>
      <c r="K324" s="14">
        <f>IFERROR(K297+K298+K299+K300+K301+K302+K303+K304+K305+K306+K307+K308+K309+K310+K311+K312+K313+K314+K315+K316+K317+K318+K319+K320+K321+K322+K323, "NA")</f>
        <v>5360.15</v>
      </c>
      <c r="L324" s="15">
        <f>IFERROR(K324/K444, "NA")</f>
        <v>0.10033615414796024</v>
      </c>
      <c r="M324" s="2"/>
      <c r="N324" s="14">
        <f t="shared" si="77"/>
        <v>578.10000000000036</v>
      </c>
      <c r="O324" s="15">
        <f>IFERROR(N324/N444, "NA")</f>
        <v>4.6967695390000057E-2</v>
      </c>
      <c r="P324" s="2"/>
      <c r="Q324" s="14">
        <f>IFERROR(Q297+Q298+Q299+Q300+Q301+Q302+Q303+Q304+Q305+Q306+Q307+Q308+Q309+Q310+Q311+Q312+Q313+Q314+Q315+Q316+Q317+Q318+Q319+Q320+Q321+Q322+Q323, "NA")</f>
        <v>4782.0499999999993</v>
      </c>
      <c r="R324" s="15">
        <f>IFERROR(Q324/Q444, "NA")</f>
        <v>7.2752508048789605E-2</v>
      </c>
      <c r="S324" s="2"/>
      <c r="T324" s="14">
        <f>IFERROR(T297+T298+T299+T300+T301+T302+T303+T304+T305+T306+T307+T308+T309+T310+T311+T312+T313+T314+T315+T316+T317+T318+T319+T320+T321+T322+T323, "NA")</f>
        <v>2271.21</v>
      </c>
      <c r="U324" s="15">
        <f>IFERROR(T324/T444, "NA")</f>
        <v>4.0490071757604024E-2</v>
      </c>
      <c r="V324" s="2"/>
      <c r="W324" s="14">
        <f t="shared" si="78"/>
        <v>-2510.8399999999992</v>
      </c>
      <c r="X324" s="15">
        <f>IFERROR(W324/W444, "NA")</f>
        <v>-0.26053165957102392</v>
      </c>
      <c r="Y324" s="2"/>
      <c r="Z324" s="14">
        <f>IFERROR(Z297+Z298+Z299+Z300+Z301+Z302+Z303+Z304+Z305+Z306+Z307+Z308+Z309+Z310+Z311+Z312+Z313+Z314+Z315+Z316+Z317+Z318+Z319+Z320+Z321+Z322+Z323, "NA")</f>
        <v>5360.15</v>
      </c>
      <c r="AA324" s="15">
        <f>IFERROR(Z324/Z444, "NA")</f>
        <v>0.10033615414796024</v>
      </c>
      <c r="AB324" s="2"/>
      <c r="AC324" s="14">
        <f t="shared" si="79"/>
        <v>578.10000000000036</v>
      </c>
      <c r="AD324" s="15">
        <f>IFERROR(AC324/AC444, "NA")</f>
        <v>4.6967695390000057E-2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22903.200000000004</v>
      </c>
      <c r="C325" s="15">
        <f>IFERROR(B325/B444, "NA")</f>
        <v>0.34844161862444739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13090.150000000001</v>
      </c>
      <c r="F325" s="15">
        <f>IFERROR(E325/E444, "NA")</f>
        <v>0.23336508417002405</v>
      </c>
      <c r="G325" s="2"/>
      <c r="H325" s="14">
        <f t="shared" si="76"/>
        <v>-9813.0500000000029</v>
      </c>
      <c r="I325" s="15">
        <f>IFERROR(H325/H444, "NA")</f>
        <v>-1.0182290396653859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13711.47</v>
      </c>
      <c r="L325" s="15">
        <f>IFERROR(K325/K444, "NA")</f>
        <v>0.25666374402118081</v>
      </c>
      <c r="M325" s="2"/>
      <c r="N325" s="14">
        <f t="shared" si="77"/>
        <v>-9191.730000000005</v>
      </c>
      <c r="O325" s="15">
        <f>IFERROR(N325/N444, "NA")</f>
        <v>-0.74678148200506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22903.200000000004</v>
      </c>
      <c r="R325" s="15">
        <f>IFERROR(Q325/Q444, "NA")</f>
        <v>0.34844161862444739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13090.150000000001</v>
      </c>
      <c r="U325" s="15">
        <f>IFERROR(T325/T444, "NA")</f>
        <v>0.23336508417002405</v>
      </c>
      <c r="V325" s="2"/>
      <c r="W325" s="14">
        <f t="shared" si="78"/>
        <v>-9813.0500000000029</v>
      </c>
      <c r="X325" s="15">
        <f>IFERROR(W325/W444, "NA")</f>
        <v>-1.0182290396653859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13711.47</v>
      </c>
      <c r="AA325" s="15">
        <f>IFERROR(Z325/Z444, "NA")</f>
        <v>0.25666374402118081</v>
      </c>
      <c r="AB325" s="2"/>
      <c r="AC325" s="14">
        <f t="shared" si="79"/>
        <v>-9191.730000000005</v>
      </c>
      <c r="AD325" s="15">
        <f>IFERROR(AC325/AC444, "NA")</f>
        <v>-0.74678148200506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5393.13</v>
      </c>
      <c r="C329" s="8">
        <f>IFERROR(B329/B444, "NA")</f>
        <v>8.2049274627653143E-2</v>
      </c>
      <c r="D329" s="9"/>
      <c r="E329" s="7">
        <v>4977</v>
      </c>
      <c r="F329" s="8">
        <f>IFERROR(E329/E444, "NA")</f>
        <v>8.8727632908271459E-2</v>
      </c>
      <c r="G329" s="9"/>
      <c r="H329" s="10">
        <f t="shared" si="80"/>
        <v>-416.13000000000011</v>
      </c>
      <c r="I329" s="8">
        <f>IFERROR(H329/H444, "NA")</f>
        <v>-4.3178792554400214E-2</v>
      </c>
      <c r="J329" s="9"/>
      <c r="K329" s="7">
        <v>4125.3</v>
      </c>
      <c r="L329" s="8">
        <f>IFERROR(K329/K444, "NA")</f>
        <v>7.7221110735069057E-2</v>
      </c>
      <c r="M329" s="9"/>
      <c r="N329" s="10">
        <f t="shared" si="81"/>
        <v>-1267.83</v>
      </c>
      <c r="O329" s="8">
        <f>IFERROR(N329/N444, "NA")</f>
        <v>-0.10300476257793414</v>
      </c>
      <c r="P329" s="9"/>
      <c r="Q329" s="7">
        <v>5393.13</v>
      </c>
      <c r="R329" s="8">
        <f>IFERROR(Q329/Q444, "NA")</f>
        <v>8.2049274627653143E-2</v>
      </c>
      <c r="S329" s="9"/>
      <c r="T329" s="7">
        <v>4977</v>
      </c>
      <c r="U329" s="8">
        <f>IFERROR(T329/T444, "NA")</f>
        <v>8.8727632908271459E-2</v>
      </c>
      <c r="V329" s="9"/>
      <c r="W329" s="10">
        <f t="shared" si="82"/>
        <v>-416.13000000000011</v>
      </c>
      <c r="X329" s="8">
        <f>IFERROR(W329/W444, "NA")</f>
        <v>-4.3178792554400214E-2</v>
      </c>
      <c r="Y329" s="9"/>
      <c r="Z329" s="7">
        <v>4125.3</v>
      </c>
      <c r="AA329" s="8">
        <f>IFERROR(Z329/Z444, "NA")</f>
        <v>7.7221110735069057E-2</v>
      </c>
      <c r="AB329" s="9"/>
      <c r="AC329" s="10">
        <f t="shared" si="83"/>
        <v>-1267.83</v>
      </c>
      <c r="AD329" s="8">
        <f>IFERROR(AC329/AC444, "NA")</f>
        <v>-0.10300476257793414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1.5615762452613235E-2</v>
      </c>
      <c r="D330" s="9"/>
      <c r="E330" s="7">
        <v>1117</v>
      </c>
      <c r="F330" s="8">
        <f>IFERROR(E330/E444, "NA")</f>
        <v>1.9913354622973521E-2</v>
      </c>
      <c r="G330" s="9"/>
      <c r="H330" s="10">
        <f t="shared" si="80"/>
        <v>90.569999999999936</v>
      </c>
      <c r="I330" s="8">
        <f>IFERROR(H330/H444, "NA")</f>
        <v>9.3977921362363298E-3</v>
      </c>
      <c r="J330" s="9"/>
      <c r="K330" s="7">
        <v>1117.48</v>
      </c>
      <c r="L330" s="8">
        <f>IFERROR(K330/K444, "NA")</f>
        <v>2.0918005193373806E-2</v>
      </c>
      <c r="M330" s="9"/>
      <c r="N330" s="10">
        <f t="shared" si="81"/>
        <v>91.049999999999955</v>
      </c>
      <c r="O330" s="8">
        <f>IFERROR(N330/N444, "NA")</f>
        <v>7.39735109022574E-3</v>
      </c>
      <c r="P330" s="9"/>
      <c r="Q330" s="7">
        <v>1026.43</v>
      </c>
      <c r="R330" s="8">
        <f>IFERROR(Q330/Q444, "NA")</f>
        <v>1.5615762452613235E-2</v>
      </c>
      <c r="S330" s="9"/>
      <c r="T330" s="7">
        <v>1117</v>
      </c>
      <c r="U330" s="8">
        <f>IFERROR(T330/T444, "NA")</f>
        <v>1.9913354622973521E-2</v>
      </c>
      <c r="V330" s="9"/>
      <c r="W330" s="10">
        <f t="shared" si="82"/>
        <v>90.569999999999936</v>
      </c>
      <c r="X330" s="8">
        <f>IFERROR(W330/W444, "NA")</f>
        <v>9.3977921362363298E-3</v>
      </c>
      <c r="Y330" s="9"/>
      <c r="Z330" s="7">
        <v>1117.48</v>
      </c>
      <c r="AA330" s="8">
        <f>IFERROR(Z330/Z444, "NA")</f>
        <v>2.0918005193373806E-2</v>
      </c>
      <c r="AB330" s="9"/>
      <c r="AC330" s="10">
        <f t="shared" si="83"/>
        <v>91.049999999999955</v>
      </c>
      <c r="AD330" s="8">
        <f>IFERROR(AC330/AC444, "NA")</f>
        <v>7.39735109022574E-3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1.3086186326627046E-2</v>
      </c>
      <c r="D333" s="9"/>
      <c r="E333" s="7">
        <v>726</v>
      </c>
      <c r="F333" s="8">
        <f>IFERROR(E333/E444, "NA")</f>
        <v>1.2942789128271062E-2</v>
      </c>
      <c r="G333" s="9"/>
      <c r="H333" s="10">
        <f t="shared" si="80"/>
        <v>-134.15999999999997</v>
      </c>
      <c r="I333" s="8">
        <f>IFERROR(H333/H444, "NA")</f>
        <v>-1.3920810345561075E-2</v>
      </c>
      <c r="J333" s="9"/>
      <c r="K333" s="7">
        <v>726.35</v>
      </c>
      <c r="L333" s="8">
        <f>IFERROR(K333/K444, "NA")</f>
        <v>1.3596478748798248E-2</v>
      </c>
      <c r="M333" s="9"/>
      <c r="N333" s="10">
        <f t="shared" si="81"/>
        <v>-133.80999999999995</v>
      </c>
      <c r="O333" s="8">
        <f>IFERROR(N333/N444, "NA")</f>
        <v>-1.0871384397398202E-2</v>
      </c>
      <c r="P333" s="9"/>
      <c r="Q333" s="7">
        <v>860.16</v>
      </c>
      <c r="R333" s="8">
        <f>IFERROR(Q333/Q444, "NA")</f>
        <v>1.3086186326627046E-2</v>
      </c>
      <c r="S333" s="9"/>
      <c r="T333" s="7">
        <v>726</v>
      </c>
      <c r="U333" s="8">
        <f>IFERROR(T333/T444, "NA")</f>
        <v>1.2942789128271062E-2</v>
      </c>
      <c r="V333" s="9"/>
      <c r="W333" s="10">
        <f t="shared" si="82"/>
        <v>-134.15999999999997</v>
      </c>
      <c r="X333" s="8">
        <f>IFERROR(W333/W444, "NA")</f>
        <v>-1.3920810345561075E-2</v>
      </c>
      <c r="Y333" s="9"/>
      <c r="Z333" s="7">
        <v>726.35</v>
      </c>
      <c r="AA333" s="8">
        <f>IFERROR(Z333/Z444, "NA")</f>
        <v>1.3596478748798248E-2</v>
      </c>
      <c r="AB333" s="9"/>
      <c r="AC333" s="10">
        <f t="shared" si="83"/>
        <v>-133.80999999999995</v>
      </c>
      <c r="AD333" s="8">
        <f>IFERROR(AC333/AC444, "NA")</f>
        <v>-1.0871384397398202E-2</v>
      </c>
    </row>
    <row r="334" spans="1:30" ht="16.5" customHeight="1" x14ac:dyDescent="0.45">
      <c r="A334" s="6" t="s">
        <v>305</v>
      </c>
      <c r="B334" s="7">
        <v>-415.27</v>
      </c>
      <c r="C334" s="8">
        <f>IFERROR(B334/B444, "NA")</f>
        <v>-6.3177787805273593E-3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415.27</v>
      </c>
      <c r="I334" s="8">
        <f>IFERROR(H334/H444, "NA")</f>
        <v>4.3089556590646602E-2</v>
      </c>
      <c r="J334" s="9"/>
      <c r="K334" s="7">
        <v>-317.64999999999998</v>
      </c>
      <c r="L334" s="8">
        <f>IFERROR(K334/K444, "NA")</f>
        <v>-5.9460610925253154E-3</v>
      </c>
      <c r="M334" s="9"/>
      <c r="N334" s="10">
        <f t="shared" si="81"/>
        <v>97.62</v>
      </c>
      <c r="O334" s="8">
        <f>IFERROR(N334/N444, "NA")</f>
        <v>7.9311302957477993E-3</v>
      </c>
      <c r="P334" s="9"/>
      <c r="Q334" s="7">
        <v>-415.27</v>
      </c>
      <c r="R334" s="8">
        <f>IFERROR(Q334/Q444, "NA")</f>
        <v>-6.3177787805273593E-3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415.27</v>
      </c>
      <c r="X334" s="8">
        <f>IFERROR(W334/W444, "NA")</f>
        <v>4.3089556590646602E-2</v>
      </c>
      <c r="Y334" s="9"/>
      <c r="Z334" s="7">
        <v>-317.64999999999998</v>
      </c>
      <c r="AA334" s="8">
        <f>IFERROR(Z334/Z444, "NA")</f>
        <v>-5.9460610925253154E-3</v>
      </c>
      <c r="AB334" s="9"/>
      <c r="AC334" s="10">
        <f t="shared" si="83"/>
        <v>97.62</v>
      </c>
      <c r="AD334" s="8">
        <f>IFERROR(AC334/AC444, "NA")</f>
        <v>7.9311302957477993E-3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1731.05</v>
      </c>
      <c r="F337" s="8">
        <f>IFERROR(E337/E444, "NA")</f>
        <v>3.0860351405638597E-2</v>
      </c>
      <c r="G337" s="9"/>
      <c r="H337" s="10">
        <f t="shared" ref="H337:H344" si="84">IFERROR(-(B337-E337), "NA")</f>
        <v>1731.05</v>
      </c>
      <c r="I337" s="8">
        <f>IFERROR(H337/H444, "NA")</f>
        <v>0.17961850587867847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1731.05</v>
      </c>
      <c r="U337" s="8">
        <f>IFERROR(T337/T444, "NA")</f>
        <v>3.0860351405638597E-2</v>
      </c>
      <c r="V337" s="9"/>
      <c r="W337" s="10">
        <f t="shared" ref="W337:W344" si="86">IFERROR(-(Q337-T337), "NA")</f>
        <v>1731.05</v>
      </c>
      <c r="X337" s="8">
        <f>IFERROR(W337/W444, "NA")</f>
        <v>0.17961850587867847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868.22</v>
      </c>
      <c r="C338" s="8">
        <f>IFERROR(B338/B444, "NA")</f>
        <v>1.3208808468778059E-2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-868.22</v>
      </c>
      <c r="I338" s="8">
        <f>IFERROR(H338/H444, "NA")</f>
        <v>-9.0088893546683355E-2</v>
      </c>
      <c r="J338" s="9"/>
      <c r="K338" s="7">
        <v>683.04</v>
      </c>
      <c r="L338" s="8">
        <f>IFERROR(K338/K444, "NA")</f>
        <v>1.2785762847909622E-2</v>
      </c>
      <c r="M338" s="9"/>
      <c r="N338" s="10">
        <f t="shared" si="85"/>
        <v>-185.18000000000006</v>
      </c>
      <c r="O338" s="8">
        <f>IFERROR(N338/N444, "NA")</f>
        <v>-1.5044936572081313E-2</v>
      </c>
      <c r="P338" s="9"/>
      <c r="Q338" s="7">
        <v>868.22</v>
      </c>
      <c r="R338" s="8">
        <f>IFERROR(Q338/Q444, "NA")</f>
        <v>1.3208808468778059E-2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-868.22</v>
      </c>
      <c r="X338" s="8">
        <f>IFERROR(W338/W444, "NA")</f>
        <v>-9.0088893546683355E-2</v>
      </c>
      <c r="Y338" s="9"/>
      <c r="Z338" s="7">
        <v>683.04</v>
      </c>
      <c r="AA338" s="8">
        <f>IFERROR(Z338/Z444, "NA")</f>
        <v>1.2785762847909622E-2</v>
      </c>
      <c r="AB338" s="9"/>
      <c r="AC338" s="10">
        <f t="shared" si="87"/>
        <v>-185.18000000000006</v>
      </c>
      <c r="AD338" s="8">
        <f>IFERROR(AC338/AC444, "NA")</f>
        <v>-1.5044936572081313E-2</v>
      </c>
    </row>
    <row r="339" spans="1:30" ht="16.5" customHeight="1" x14ac:dyDescent="0.45">
      <c r="A339" s="12" t="s">
        <v>309</v>
      </c>
      <c r="B339" s="7">
        <v>911.27</v>
      </c>
      <c r="C339" s="8">
        <f>IFERROR(B339/B444, "NA")</f>
        <v>1.3863756759051141E-2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-911.27</v>
      </c>
      <c r="I339" s="8">
        <f>IFERROR(H339/H444, "NA")</f>
        <v>-9.4555879871790718E-2</v>
      </c>
      <c r="J339" s="9"/>
      <c r="K339" s="7">
        <v>489.47</v>
      </c>
      <c r="L339" s="8">
        <f>IFERROR(K339/K444, "NA")</f>
        <v>9.1623438468703498E-3</v>
      </c>
      <c r="M339" s="9"/>
      <c r="N339" s="10">
        <f t="shared" si="85"/>
        <v>-421.79999999999995</v>
      </c>
      <c r="O339" s="8">
        <f>IFERROR(N339/N444, "NA")</f>
        <v>-3.4269112464110033E-2</v>
      </c>
      <c r="P339" s="9"/>
      <c r="Q339" s="7">
        <v>911.27</v>
      </c>
      <c r="R339" s="8">
        <f>IFERROR(Q339/Q444, "NA")</f>
        <v>1.3863756759051141E-2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-911.27</v>
      </c>
      <c r="X339" s="8">
        <f>IFERROR(W339/W444, "NA")</f>
        <v>-9.4555879871790718E-2</v>
      </c>
      <c r="Y339" s="9"/>
      <c r="Z339" s="7">
        <v>489.47</v>
      </c>
      <c r="AA339" s="8">
        <f>IFERROR(Z339/Z444, "NA")</f>
        <v>9.1623438468703498E-3</v>
      </c>
      <c r="AB339" s="9"/>
      <c r="AC339" s="10">
        <f t="shared" si="87"/>
        <v>-421.79999999999995</v>
      </c>
      <c r="AD339" s="8">
        <f>IFERROR(AC339/AC444, "NA")</f>
        <v>-3.4269112464110033E-2</v>
      </c>
    </row>
    <row r="340" spans="1:30" ht="16.5" customHeight="1" x14ac:dyDescent="0.45">
      <c r="A340" s="12" t="s">
        <v>310</v>
      </c>
      <c r="B340" s="7">
        <v>450</v>
      </c>
      <c r="C340" s="8">
        <f>IFERROR(B340/B444, "NA")</f>
        <v>6.8461493756768171E-3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-450</v>
      </c>
      <c r="I340" s="8">
        <f>IFERROR(H340/H444, "NA")</f>
        <v>-4.6693236847812201E-2</v>
      </c>
      <c r="J340" s="9"/>
      <c r="K340" s="7">
        <v>315.85000000000002</v>
      </c>
      <c r="L340" s="8">
        <f>IFERROR(K340/K444, "NA")</f>
        <v>5.9123670583161375E-3</v>
      </c>
      <c r="M340" s="9"/>
      <c r="N340" s="10">
        <f t="shared" si="85"/>
        <v>-134.14999999999998</v>
      </c>
      <c r="O340" s="8">
        <f>IFERROR(N340/N444, "NA")</f>
        <v>-1.0899007674396301E-2</v>
      </c>
      <c r="P340" s="9"/>
      <c r="Q340" s="7">
        <v>450</v>
      </c>
      <c r="R340" s="8">
        <f>IFERROR(Q340/Q444, "NA")</f>
        <v>6.8461493756768171E-3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-450</v>
      </c>
      <c r="X340" s="8">
        <f>IFERROR(W340/W444, "NA")</f>
        <v>-4.6693236847812201E-2</v>
      </c>
      <c r="Y340" s="9"/>
      <c r="Z340" s="7">
        <v>315.85000000000002</v>
      </c>
      <c r="AA340" s="8">
        <f>IFERROR(Z340/Z444, "NA")</f>
        <v>5.9123670583161375E-3</v>
      </c>
      <c r="AB340" s="9"/>
      <c r="AC340" s="10">
        <f t="shared" si="87"/>
        <v>-134.14999999999998</v>
      </c>
      <c r="AD340" s="8">
        <f>IFERROR(AC340/AC444, "NA")</f>
        <v>-1.0899007674396301E-2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2229.4899999999998</v>
      </c>
      <c r="C342" s="15">
        <f>IFERROR(B342/B444, "NA")</f>
        <v>3.3918714603506012E-2</v>
      </c>
      <c r="D342" s="2"/>
      <c r="E342" s="14">
        <f>IFERROR(E337+E338+E339+E340+E341, "NA")</f>
        <v>1731.05</v>
      </c>
      <c r="F342" s="15">
        <f>IFERROR(E342/E444, "NA")</f>
        <v>3.0860351405638597E-2</v>
      </c>
      <c r="G342" s="2"/>
      <c r="H342" s="14">
        <f t="shared" si="84"/>
        <v>-498.43999999999983</v>
      </c>
      <c r="I342" s="15">
        <f>IFERROR(H342/H444, "NA")</f>
        <v>-5.1719504387607793E-2</v>
      </c>
      <c r="J342" s="2"/>
      <c r="K342" s="14">
        <f>IFERROR(K337+K338+K339+K340+K341, "NA")</f>
        <v>1488.3600000000001</v>
      </c>
      <c r="L342" s="15">
        <f>IFERROR(K342/K444, "NA")</f>
        <v>2.786047375309611E-2</v>
      </c>
      <c r="M342" s="2"/>
      <c r="N342" s="14">
        <f t="shared" si="85"/>
        <v>-741.12999999999965</v>
      </c>
      <c r="O342" s="15">
        <f>IFERROR(N342/N444, "NA")</f>
        <v>-6.0213056710587617E-2</v>
      </c>
      <c r="P342" s="2"/>
      <c r="Q342" s="14">
        <f>IFERROR(Q337+Q338+Q339+Q340+Q341, "NA")</f>
        <v>2229.4899999999998</v>
      </c>
      <c r="R342" s="15">
        <f>IFERROR(Q342/Q444, "NA")</f>
        <v>3.3918714603506012E-2</v>
      </c>
      <c r="S342" s="2"/>
      <c r="T342" s="14">
        <f>IFERROR(T337+T338+T339+T340+T341, "NA")</f>
        <v>1731.05</v>
      </c>
      <c r="U342" s="15">
        <f>IFERROR(T342/T444, "NA")</f>
        <v>3.0860351405638597E-2</v>
      </c>
      <c r="V342" s="2"/>
      <c r="W342" s="14">
        <f t="shared" si="86"/>
        <v>-498.43999999999983</v>
      </c>
      <c r="X342" s="15">
        <f>IFERROR(W342/W444, "NA")</f>
        <v>-5.1719504387607793E-2</v>
      </c>
      <c r="Y342" s="2"/>
      <c r="Z342" s="14">
        <f>IFERROR(Z337+Z338+Z339+Z340+Z341, "NA")</f>
        <v>1488.3600000000001</v>
      </c>
      <c r="AA342" s="15">
        <f>IFERROR(Z342/Z444, "NA")</f>
        <v>2.786047375309611E-2</v>
      </c>
      <c r="AB342" s="2"/>
      <c r="AC342" s="14">
        <f t="shared" si="87"/>
        <v>-741.12999999999965</v>
      </c>
      <c r="AD342" s="15">
        <f>IFERROR(AC342/AC444, "NA")</f>
        <v>-6.0213056710587617E-2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9093.94</v>
      </c>
      <c r="C343" s="15">
        <f>IFERROR(B343/B444, "NA")</f>
        <v>0.1383521592298721</v>
      </c>
      <c r="D343" s="2"/>
      <c r="E343" s="14">
        <f>IFERROR(E328+E329+E330+E331+E332+E333+E334+E335+E337+E338+E339+E340+E341, "NA")</f>
        <v>8551.0499999999993</v>
      </c>
      <c r="F343" s="15">
        <f>IFERROR(E343/E444, "NA")</f>
        <v>0.15244412806515462</v>
      </c>
      <c r="G343" s="2"/>
      <c r="H343" s="14">
        <f t="shared" si="84"/>
        <v>-542.89000000000124</v>
      </c>
      <c r="I343" s="15">
        <f>IFERROR(H343/H444, "NA")</f>
        <v>-5.6331758560686278E-2</v>
      </c>
      <c r="J343" s="2"/>
      <c r="K343" s="14">
        <f>IFERROR(K328+K329+K330+K331+K332+K333+K334+K335+K337+K338+K339+K340+K341, "NA")</f>
        <v>7139.840000000002</v>
      </c>
      <c r="L343" s="15">
        <f>IFERROR(K343/K444, "NA")</f>
        <v>0.13365000733781193</v>
      </c>
      <c r="M343" s="2"/>
      <c r="N343" s="14">
        <f t="shared" si="85"/>
        <v>-1954.0999999999985</v>
      </c>
      <c r="O343" s="15">
        <f>IFERROR(N343/N444, "NA")</f>
        <v>-0.15876072229994634</v>
      </c>
      <c r="P343" s="2"/>
      <c r="Q343" s="14">
        <f>IFERROR(Q328+Q329+Q330+Q331+Q332+Q333+Q334+Q335+Q337+Q338+Q339+Q340+Q341, "NA")</f>
        <v>9093.94</v>
      </c>
      <c r="R343" s="15">
        <f>IFERROR(Q343/Q444, "NA")</f>
        <v>0.1383521592298721</v>
      </c>
      <c r="S343" s="2"/>
      <c r="T343" s="14">
        <f>IFERROR(T328+T329+T330+T331+T332+T333+T334+T335+T337+T338+T339+T340+T341, "NA")</f>
        <v>8551.0499999999993</v>
      </c>
      <c r="U343" s="15">
        <f>IFERROR(T343/T444, "NA")</f>
        <v>0.15244412806515462</v>
      </c>
      <c r="V343" s="2"/>
      <c r="W343" s="14">
        <f t="shared" si="86"/>
        <v>-542.89000000000124</v>
      </c>
      <c r="X343" s="15">
        <f>IFERROR(W343/W444, "NA")</f>
        <v>-5.6331758560686278E-2</v>
      </c>
      <c r="Y343" s="2"/>
      <c r="Z343" s="14">
        <f>IFERROR(Z328+Z329+Z330+Z331+Z332+Z333+Z334+Z335+Z337+Z338+Z339+Z340+Z341, "NA")</f>
        <v>7139.840000000002</v>
      </c>
      <c r="AA343" s="15">
        <f>IFERROR(Z343/Z444, "NA")</f>
        <v>0.13365000733781193</v>
      </c>
      <c r="AB343" s="2"/>
      <c r="AC343" s="14">
        <f t="shared" si="87"/>
        <v>-1954.0999999999985</v>
      </c>
      <c r="AD343" s="15">
        <f>IFERROR(AC343/AC444, "NA")</f>
        <v>-0.15876072229994634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9093.94</v>
      </c>
      <c r="C344" s="15">
        <f>IFERROR(B344/B444, "NA")</f>
        <v>0.1383521592298721</v>
      </c>
      <c r="D344" s="2"/>
      <c r="E344" s="14">
        <f>IFERROR(E328+E329+E330+E331+E332+E333+E334+E335+E337+E338+E339+E340+E341, "NA")</f>
        <v>8551.0499999999993</v>
      </c>
      <c r="F344" s="15">
        <f>IFERROR(E344/E444, "NA")</f>
        <v>0.15244412806515462</v>
      </c>
      <c r="G344" s="2"/>
      <c r="H344" s="14">
        <f t="shared" si="84"/>
        <v>-542.89000000000124</v>
      </c>
      <c r="I344" s="15">
        <f>IFERROR(H344/H444, "NA")</f>
        <v>-5.6331758560686278E-2</v>
      </c>
      <c r="J344" s="2"/>
      <c r="K344" s="14">
        <f>IFERROR(K328+K329+K330+K331+K332+K333+K334+K335+K337+K338+K339+K340+K341, "NA")</f>
        <v>7139.840000000002</v>
      </c>
      <c r="L344" s="15">
        <f>IFERROR(K344/K444, "NA")</f>
        <v>0.13365000733781193</v>
      </c>
      <c r="M344" s="2"/>
      <c r="N344" s="14">
        <f t="shared" si="85"/>
        <v>-1954.0999999999985</v>
      </c>
      <c r="O344" s="15">
        <f>IFERROR(N344/N444, "NA")</f>
        <v>-0.15876072229994634</v>
      </c>
      <c r="P344" s="2"/>
      <c r="Q344" s="14">
        <f>IFERROR(Q328+Q329+Q330+Q331+Q332+Q333+Q334+Q335+Q337+Q338+Q339+Q340+Q341, "NA")</f>
        <v>9093.94</v>
      </c>
      <c r="R344" s="15">
        <f>IFERROR(Q344/Q444, "NA")</f>
        <v>0.1383521592298721</v>
      </c>
      <c r="S344" s="2"/>
      <c r="T344" s="14">
        <f>IFERROR(T328+T329+T330+T331+T332+T333+T334+T335+T337+T338+T339+T340+T341, "NA")</f>
        <v>8551.0499999999993</v>
      </c>
      <c r="U344" s="15">
        <f>IFERROR(T344/T444, "NA")</f>
        <v>0.15244412806515462</v>
      </c>
      <c r="V344" s="2"/>
      <c r="W344" s="14">
        <f t="shared" si="86"/>
        <v>-542.89000000000124</v>
      </c>
      <c r="X344" s="15">
        <f>IFERROR(W344/W444, "NA")</f>
        <v>-5.6331758560686278E-2</v>
      </c>
      <c r="Y344" s="2"/>
      <c r="Z344" s="14">
        <f>IFERROR(Z328+Z329+Z330+Z331+Z332+Z333+Z334+Z335+Z337+Z338+Z339+Z340+Z341, "NA")</f>
        <v>7139.840000000002</v>
      </c>
      <c r="AA344" s="15">
        <f>IFERROR(Z344/Z444, "NA")</f>
        <v>0.13365000733781193</v>
      </c>
      <c r="AB344" s="2"/>
      <c r="AC344" s="14">
        <f t="shared" si="87"/>
        <v>-1954.0999999999985</v>
      </c>
      <c r="AD344" s="15">
        <f>IFERROR(AC344/AC444, "NA")</f>
        <v>-0.15876072229994634</v>
      </c>
    </row>
    <row r="345" spans="1:30" ht="16.5" customHeight="1" x14ac:dyDescent="0.45">
      <c r="A345" s="22" t="s">
        <v>315</v>
      </c>
      <c r="B345" s="23">
        <f>IFERROR(B198-B325-B344, "NA")</f>
        <v>-6005.5199999999986</v>
      </c>
      <c r="C345" s="24">
        <f>IFERROR(B345/B444, "NA")</f>
        <v>-9.1365971108032518E-2</v>
      </c>
      <c r="D345" s="25"/>
      <c r="E345" s="23">
        <f>IFERROR(E198-E325-E344, "NA")</f>
        <v>-2535.3600000000042</v>
      </c>
      <c r="F345" s="24">
        <f>IFERROR(E345/E444, "NA")</f>
        <v>-4.5199214661506025E-2</v>
      </c>
      <c r="G345" s="25"/>
      <c r="H345" s="23">
        <f>IFERROR(B345-E345, "NA")</f>
        <v>-3470.1599999999944</v>
      </c>
      <c r="I345" s="24">
        <f>IFERROR(H345/H444, "NA")</f>
        <v>-0.36007333951067494</v>
      </c>
      <c r="J345" s="25"/>
      <c r="K345" s="23">
        <f>IFERROR(K198-K325-K344, "NA")</f>
        <v>-2894.9999999999891</v>
      </c>
      <c r="L345" s="24">
        <f>IFERROR(K345/K444, "NA")</f>
        <v>-5.4191238353095306E-2</v>
      </c>
      <c r="M345" s="25"/>
      <c r="N345" s="23">
        <f>IFERROR(B345-K345, "NA")</f>
        <v>-3110.5200000000095</v>
      </c>
      <c r="O345" s="24">
        <f>IFERROR(N345/N444, "NA")</f>
        <v>-0.2527139869650637</v>
      </c>
      <c r="P345" s="25"/>
      <c r="Q345" s="23">
        <f>IFERROR(Q198-Q325-Q344, "NA")</f>
        <v>-6005.5199999999986</v>
      </c>
      <c r="R345" s="24">
        <f>IFERROR(Q345/Q444, "NA")</f>
        <v>-9.1365971108032518E-2</v>
      </c>
      <c r="S345" s="25"/>
      <c r="T345" s="23">
        <f>IFERROR(T198-T325-T344, "NA")</f>
        <v>-2535.3600000000042</v>
      </c>
      <c r="U345" s="24">
        <f>IFERROR(T345/T444, "NA")</f>
        <v>-4.5199214661506025E-2</v>
      </c>
      <c r="V345" s="25"/>
      <c r="W345" s="23">
        <f>IFERROR(Q345-T345, "NA")</f>
        <v>-3470.1599999999944</v>
      </c>
      <c r="X345" s="24">
        <f>IFERROR(W345/W444, "NA")</f>
        <v>-0.36007333951067494</v>
      </c>
      <c r="Y345" s="25"/>
      <c r="Z345" s="23">
        <f>IFERROR(Z198-Z325-Z344, "NA")</f>
        <v>-2894.9999999999891</v>
      </c>
      <c r="AA345" s="24">
        <f>IFERROR(Z345/Z444, "NA")</f>
        <v>-5.4191238353095306E-2</v>
      </c>
      <c r="AB345" s="25"/>
      <c r="AC345" s="23">
        <f>IFERROR(Q345-Z345, "NA")</f>
        <v>-3110.5200000000095</v>
      </c>
      <c r="AD345" s="24">
        <f>IFERROR(AC345/AC444, "NA")</f>
        <v>-0.2527139869650637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-6005.5199999999986</v>
      </c>
      <c r="C404" s="24">
        <f>IFERROR(B404/B444, "NA")</f>
        <v>-9.1365971108032518E-2</v>
      </c>
      <c r="D404" s="25"/>
      <c r="E404" s="23">
        <f>IFERROR(E345-E403, "NA")</f>
        <v>-2535.3600000000042</v>
      </c>
      <c r="F404" s="24">
        <f>IFERROR(E404/E444, "NA")</f>
        <v>-4.5199214661506025E-2</v>
      </c>
      <c r="G404" s="25"/>
      <c r="H404" s="23">
        <f>IFERROR(B404-E404, "NA")</f>
        <v>-3470.1599999999944</v>
      </c>
      <c r="I404" s="24">
        <f>IFERROR(H404/H444, "NA")</f>
        <v>-0.36007333951067494</v>
      </c>
      <c r="J404" s="25"/>
      <c r="K404" s="23">
        <f>IFERROR(K345-K403, "NA")</f>
        <v>-2894.9999999999891</v>
      </c>
      <c r="L404" s="24">
        <f>IFERROR(K404/K444, "NA")</f>
        <v>-5.4191238353095306E-2</v>
      </c>
      <c r="M404" s="25"/>
      <c r="N404" s="23">
        <f>IFERROR(B404-K404, "NA")</f>
        <v>-3110.5200000000095</v>
      </c>
      <c r="O404" s="24">
        <f>IFERROR(N404/N444, "NA")</f>
        <v>-0.2527139869650637</v>
      </c>
      <c r="P404" s="25"/>
      <c r="Q404" s="23">
        <f>IFERROR(Q345-Q403, "NA")</f>
        <v>-6005.5199999999986</v>
      </c>
      <c r="R404" s="24">
        <f>IFERROR(Q404/Q444, "NA")</f>
        <v>-9.1365971108032518E-2</v>
      </c>
      <c r="S404" s="25"/>
      <c r="T404" s="23">
        <f>IFERROR(T345-T403, "NA")</f>
        <v>-2535.3600000000042</v>
      </c>
      <c r="U404" s="24">
        <f>IFERROR(T404/T444, "NA")</f>
        <v>-4.5199214661506025E-2</v>
      </c>
      <c r="V404" s="25"/>
      <c r="W404" s="23">
        <f>IFERROR(Q404-T404, "NA")</f>
        <v>-3470.1599999999944</v>
      </c>
      <c r="X404" s="24">
        <f>IFERROR(W404/W444, "NA")</f>
        <v>-0.36007333951067494</v>
      </c>
      <c r="Y404" s="25"/>
      <c r="Z404" s="23">
        <f>IFERROR(Z345-Z403, "NA")</f>
        <v>-2894.9999999999891</v>
      </c>
      <c r="AA404" s="24">
        <f>IFERROR(Z404/Z444, "NA")</f>
        <v>-5.4191238353095306E-2</v>
      </c>
      <c r="AB404" s="25"/>
      <c r="AC404" s="23">
        <f>IFERROR(Q404-Z404, "NA")</f>
        <v>-3110.5200000000095</v>
      </c>
      <c r="AD404" s="24">
        <f>IFERROR(AC404/AC444, "NA")</f>
        <v>-0.2527139869650637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3009.38</v>
      </c>
      <c r="C410" s="8">
        <f>IFERROR(B410/B444, "NA")</f>
        <v>4.5783700018165112E-2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-3009.38</v>
      </c>
      <c r="I410" s="8">
        <f>IFERROR(H410/H444, "NA")</f>
        <v>-0.31226154023348685</v>
      </c>
      <c r="J410" s="9"/>
      <c r="K410" s="7">
        <v>7805.75</v>
      </c>
      <c r="L410" s="8">
        <f>IFERROR(K410/K444, "NA")</f>
        <v>0.14611511529349749</v>
      </c>
      <c r="M410" s="9"/>
      <c r="N410" s="10">
        <f t="shared" si="101"/>
        <v>4796.37</v>
      </c>
      <c r="O410" s="8">
        <f>IFERROR(N410/N444, "NA")</f>
        <v>0.38968075616283415</v>
      </c>
      <c r="P410" s="9"/>
      <c r="Q410" s="7">
        <v>3009.38</v>
      </c>
      <c r="R410" s="8">
        <f>IFERROR(Q410/Q444, "NA")</f>
        <v>4.5783700018165112E-2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-3009.38</v>
      </c>
      <c r="X410" s="8">
        <f>IFERROR(W410/W444, "NA")</f>
        <v>-0.31226154023348685</v>
      </c>
      <c r="Y410" s="9"/>
      <c r="Z410" s="7">
        <v>7805.75</v>
      </c>
      <c r="AA410" s="8">
        <f>IFERROR(Z410/Z444, "NA")</f>
        <v>0.14611511529349749</v>
      </c>
      <c r="AB410" s="9"/>
      <c r="AC410" s="10">
        <f t="shared" si="103"/>
        <v>4796.37</v>
      </c>
      <c r="AD410" s="8">
        <f>IFERROR(AC410/AC444, "NA")</f>
        <v>0.38968075616283415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-28.66</v>
      </c>
      <c r="C416" s="8">
        <f>IFERROR(B416/B444, "NA")</f>
        <v>-4.3602364690421689E-4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28.66</v>
      </c>
      <c r="I416" s="8">
        <f>IFERROR(H416/H444, "NA")</f>
        <v>2.9738403734628836E-3</v>
      </c>
      <c r="J416" s="9"/>
      <c r="K416" s="7">
        <v>-19.48</v>
      </c>
      <c r="L416" s="8">
        <f>IFERROR(K416/K444, "NA")</f>
        <v>-3.6464432577488793E-4</v>
      </c>
      <c r="M416" s="9"/>
      <c r="N416" s="10">
        <f t="shared" si="101"/>
        <v>9.18</v>
      </c>
      <c r="O416" s="8">
        <f>IFERROR(N416/N444, "NA")</f>
        <v>7.4582847894862515E-4</v>
      </c>
      <c r="P416" s="9"/>
      <c r="Q416" s="7">
        <v>-28.66</v>
      </c>
      <c r="R416" s="8">
        <f>IFERROR(Q416/Q444, "NA")</f>
        <v>-4.3602364690421689E-4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28.66</v>
      </c>
      <c r="X416" s="8">
        <f>IFERROR(W416/W444, "NA")</f>
        <v>2.9738403734628836E-3</v>
      </c>
      <c r="Y416" s="9"/>
      <c r="Z416" s="7">
        <v>-19.48</v>
      </c>
      <c r="AA416" s="8">
        <f>IFERROR(Z416/Z444, "NA")</f>
        <v>-3.6464432577488793E-4</v>
      </c>
      <c r="AB416" s="9"/>
      <c r="AC416" s="10">
        <f t="shared" si="103"/>
        <v>9.18</v>
      </c>
      <c r="AD416" s="8">
        <f>IFERROR(AC416/AC444, "NA")</f>
        <v>7.4582847894862515E-4</v>
      </c>
    </row>
    <row r="417" spans="1:30" ht="16.5" customHeight="1" x14ac:dyDescent="0.45">
      <c r="A417" s="6" t="s">
        <v>382</v>
      </c>
      <c r="B417" s="7">
        <v>14.25</v>
      </c>
      <c r="C417" s="8">
        <f>IFERROR(B417/B444, "NA")</f>
        <v>2.1679473022976589E-4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-14.25</v>
      </c>
      <c r="I417" s="8">
        <f>IFERROR(H417/H444, "NA")</f>
        <v>-1.4786191668473864E-3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-14.25</v>
      </c>
      <c r="O417" s="8">
        <f>IFERROR(N417/N444, "NA")</f>
        <v>-1.1577402859496632E-3</v>
      </c>
      <c r="P417" s="9"/>
      <c r="Q417" s="7">
        <v>14.25</v>
      </c>
      <c r="R417" s="8">
        <f>IFERROR(Q417/Q444, "NA")</f>
        <v>2.1679473022976589E-4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-14.25</v>
      </c>
      <c r="X417" s="8">
        <f>IFERROR(W417/W444, "NA")</f>
        <v>-1.4786191668473864E-3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-14.25</v>
      </c>
      <c r="AD417" s="8">
        <f>IFERROR(AC417/AC444, "NA")</f>
        <v>-1.1577402859496632E-3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2994.9700000000003</v>
      </c>
      <c r="C428" s="15">
        <f>IFERROR(B428/B444, "NA")</f>
        <v>4.5564471101490665E-2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-2994.9700000000003</v>
      </c>
      <c r="I428" s="15">
        <f>IFERROR(H428/H444, "NA")</f>
        <v>-0.31076631902687141</v>
      </c>
      <c r="J428" s="2"/>
      <c r="K428" s="14">
        <f>IFERROR(K407+K408+K409+K410+K411+K412+K413+K414+K415+K416+K417+K418+K419+K420+K421+K422+K423+K424+K425+K426+K427, "NA")</f>
        <v>7786.27</v>
      </c>
      <c r="L428" s="15">
        <f>IFERROR(K428/K444, "NA")</f>
        <v>0.14575047096772262</v>
      </c>
      <c r="M428" s="2"/>
      <c r="N428" s="14">
        <f t="shared" si="101"/>
        <v>4791.3</v>
      </c>
      <c r="O428" s="15">
        <f>IFERROR(N428/N444, "NA")</f>
        <v>0.38926884435583314</v>
      </c>
      <c r="P428" s="2"/>
      <c r="Q428" s="14">
        <f>IFERROR(Q407+Q408+Q409+Q410+Q411+Q412+Q413+Q414+Q415+Q416+Q417+Q418+Q419+Q420+Q421+Q422+Q423+Q424+Q425+Q426+Q427, "NA")</f>
        <v>2994.9700000000003</v>
      </c>
      <c r="R428" s="15">
        <f>IFERROR(Q428/Q444, "NA")</f>
        <v>4.5564471101490665E-2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-2994.9700000000003</v>
      </c>
      <c r="X428" s="15">
        <f>IFERROR(W428/W444, "NA")</f>
        <v>-0.31076631902687141</v>
      </c>
      <c r="Y428" s="2"/>
      <c r="Z428" s="14">
        <f>IFERROR(Z407+Z408+Z409+Z410+Z411+Z412+Z413+Z414+Z415+Z416+Z417+Z418+Z419+Z420+Z421+Z422+Z423+Z424+Z425+Z426+Z427, "NA")</f>
        <v>7786.27</v>
      </c>
      <c r="AA428" s="15">
        <f>IFERROR(Z428/Z444, "NA")</f>
        <v>0.14575047096772262</v>
      </c>
      <c r="AB428" s="2"/>
      <c r="AC428" s="14">
        <f t="shared" si="103"/>
        <v>4791.3</v>
      </c>
      <c r="AD428" s="15">
        <f>IFERROR(AC428/AC444, "NA")</f>
        <v>0.38926884435583314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2994.9700000000003</v>
      </c>
      <c r="C429" s="15">
        <f>IFERROR(B429/B444, "NA")</f>
        <v>4.5564471101490665E-2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-2994.9700000000003</v>
      </c>
      <c r="I429" s="15">
        <f>IFERROR(H429/H444, "NA")</f>
        <v>-0.31076631902687141</v>
      </c>
      <c r="J429" s="2"/>
      <c r="K429" s="14">
        <f>IFERROR(K407+K408+K409+K410+K411+K412+K413+K414+K415+K416+K417+K418+K419+K420+K421+K422+K423+K424+K425+K426+K427, "NA")</f>
        <v>7786.27</v>
      </c>
      <c r="L429" s="15">
        <f>IFERROR(K429/K444, "NA")</f>
        <v>0.14575047096772262</v>
      </c>
      <c r="M429" s="2"/>
      <c r="N429" s="14">
        <f t="shared" si="101"/>
        <v>4791.3</v>
      </c>
      <c r="O429" s="15">
        <f>IFERROR(N429/N444, "NA")</f>
        <v>0.38926884435583314</v>
      </c>
      <c r="P429" s="2"/>
      <c r="Q429" s="14">
        <f>IFERROR(Q407+Q408+Q409+Q410+Q411+Q412+Q413+Q414+Q415+Q416+Q417+Q418+Q419+Q420+Q421+Q422+Q423+Q424+Q425+Q426+Q427, "NA")</f>
        <v>2994.9700000000003</v>
      </c>
      <c r="R429" s="15">
        <f>IFERROR(Q429/Q444, "NA")</f>
        <v>4.5564471101490665E-2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-2994.9700000000003</v>
      </c>
      <c r="X429" s="15">
        <f>IFERROR(W429/W444, "NA")</f>
        <v>-0.31076631902687141</v>
      </c>
      <c r="Y429" s="2"/>
      <c r="Z429" s="14">
        <f>IFERROR(Z407+Z408+Z409+Z410+Z411+Z412+Z413+Z414+Z415+Z416+Z417+Z418+Z419+Z420+Z421+Z422+Z423+Z424+Z425+Z426+Z427, "NA")</f>
        <v>7786.27</v>
      </c>
      <c r="AA429" s="15">
        <f>IFERROR(Z429/Z444, "NA")</f>
        <v>0.14575047096772262</v>
      </c>
      <c r="AB429" s="2"/>
      <c r="AC429" s="14">
        <f t="shared" si="103"/>
        <v>4791.3</v>
      </c>
      <c r="AD429" s="15">
        <f>IFERROR(AC429/AC444, "NA")</f>
        <v>0.38926884435583314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-9000.489999999998</v>
      </c>
      <c r="C443" s="24">
        <f>IFERROR(B443/B444, "NA")</f>
        <v>-0.13693044220952316</v>
      </c>
      <c r="D443" s="25"/>
      <c r="E443" s="23">
        <f>IFERROR(E404-E429-E442, "NA")</f>
        <v>-2535.3600000000042</v>
      </c>
      <c r="F443" s="24">
        <f>IFERROR(E443/E444, "NA")</f>
        <v>-4.5199214661506025E-2</v>
      </c>
      <c r="G443" s="25"/>
      <c r="H443" s="23">
        <f>IFERROR(B443-E443, "NA")</f>
        <v>-6465.1299999999937</v>
      </c>
      <c r="I443" s="24">
        <f>IFERROR(H443/H444, "NA")</f>
        <v>-0.67083965853754624</v>
      </c>
      <c r="J443" s="25"/>
      <c r="K443" s="23">
        <f>IFERROR(K404-K429-K442, "NA")</f>
        <v>-10681.26999999999</v>
      </c>
      <c r="L443" s="24">
        <f>IFERROR(K443/K444, "NA")</f>
        <v>-0.19994170932081792</v>
      </c>
      <c r="M443" s="25"/>
      <c r="N443" s="23">
        <f>IFERROR(B443-K443, "NA")</f>
        <v>1680.7799999999916</v>
      </c>
      <c r="O443" s="24">
        <f>IFERROR(N443/N444, "NA")</f>
        <v>0.1365548573907695</v>
      </c>
      <c r="P443" s="25"/>
      <c r="Q443" s="23">
        <f>IFERROR(Q404-Q429-Q442, "NA")</f>
        <v>-9000.489999999998</v>
      </c>
      <c r="R443" s="24">
        <f>IFERROR(Q443/Q444, "NA")</f>
        <v>-0.13693044220952316</v>
      </c>
      <c r="S443" s="25"/>
      <c r="T443" s="23">
        <f>IFERROR(T404-T429-T442, "NA")</f>
        <v>-2535.3600000000042</v>
      </c>
      <c r="U443" s="24">
        <f>IFERROR(T443/T444, "NA")</f>
        <v>-4.5199214661506025E-2</v>
      </c>
      <c r="V443" s="25"/>
      <c r="W443" s="23">
        <f>IFERROR(Q443-T443, "NA")</f>
        <v>-6465.1299999999937</v>
      </c>
      <c r="X443" s="24">
        <f>IFERROR(W443/W444, "NA")</f>
        <v>-0.67083965853754624</v>
      </c>
      <c r="Y443" s="25"/>
      <c r="Z443" s="23">
        <f>IFERROR(Z404-Z429-Z442, "NA")</f>
        <v>-10681.26999999999</v>
      </c>
      <c r="AA443" s="24">
        <f>IFERROR(Z443/Z444, "NA")</f>
        <v>-0.19994170932081792</v>
      </c>
      <c r="AB443" s="25"/>
      <c r="AC443" s="23">
        <f>IFERROR(Q443-Z443, "NA")</f>
        <v>1680.7799999999916</v>
      </c>
      <c r="AD443" s="24">
        <f>IFERROR(AC443/AC444, "NA")</f>
        <v>0.1365548573907695</v>
      </c>
    </row>
    <row r="444" spans="1:30" ht="15.75" hidden="1" x14ac:dyDescent="0.45">
      <c r="A444" s="26" t="s">
        <v>117</v>
      </c>
      <c r="B444" s="7">
        <v>65730.38</v>
      </c>
      <c r="C444" s="27"/>
      <c r="D444" s="9"/>
      <c r="E444" s="7">
        <v>56093.01</v>
      </c>
      <c r="F444" s="27"/>
      <c r="G444" s="9"/>
      <c r="H444" s="10">
        <f>IFERROR(B444-E444, "NA")</f>
        <v>9637.3700000000026</v>
      </c>
      <c r="I444" s="27"/>
      <c r="J444" s="9"/>
      <c r="K444" s="7">
        <v>53421.919999999998</v>
      </c>
      <c r="L444" s="27"/>
      <c r="M444" s="9"/>
      <c r="N444" s="10">
        <f>IFERROR(B444-K444, "NA")</f>
        <v>12308.460000000006</v>
      </c>
      <c r="O444" s="27"/>
      <c r="P444" s="9"/>
      <c r="Q444" s="7">
        <v>65730.38</v>
      </c>
      <c r="R444" s="27"/>
      <c r="S444" s="9"/>
      <c r="T444" s="7">
        <v>56093.01</v>
      </c>
      <c r="U444" s="27"/>
      <c r="V444" s="9"/>
      <c r="W444" s="10">
        <f>IFERROR(Q444-T444, "NA")</f>
        <v>9637.3700000000026</v>
      </c>
      <c r="X444" s="27"/>
      <c r="Y444" s="9"/>
      <c r="Z444" s="7">
        <v>53421.919999999998</v>
      </c>
      <c r="AA444" s="27"/>
      <c r="AB444" s="9"/>
      <c r="AC444" s="10">
        <f>IFERROR(Q444-Z444, "NA")</f>
        <v>12308.460000000006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44017.02</v>
      </c>
      <c r="F10" s="8">
        <f>IFERROR(E10/E444, "NA")</f>
        <v>0.5889999423270873</v>
      </c>
      <c r="G10" s="9"/>
      <c r="H10" s="10">
        <f t="shared" ref="H10:H19" si="0">IFERROR(B10-E10, "NA")</f>
        <v>-44017.02</v>
      </c>
      <c r="I10" s="8">
        <f>IFERROR(H10/H444, "NA")</f>
        <v>24.294501079031495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44017.02</v>
      </c>
      <c r="U10" s="8">
        <f>IFERROR(T10/T444, "NA")</f>
        <v>0.5889999423270873</v>
      </c>
      <c r="V10" s="9"/>
      <c r="W10" s="10">
        <f t="shared" ref="W10:W19" si="2">IFERROR(Q10-T10, "NA")</f>
        <v>-44017.02</v>
      </c>
      <c r="X10" s="8">
        <f>IFERROR(W10/W444, "NA")</f>
        <v>24.294501079031495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33895.5</v>
      </c>
      <c r="C11" s="8">
        <f>IFERROR(B11/B444, "NA")</f>
        <v>0.46483144948750676</v>
      </c>
      <c r="D11" s="9"/>
      <c r="E11" s="7">
        <v>0</v>
      </c>
      <c r="F11" s="8">
        <f>IFERROR(E11/E444, "NA")</f>
        <v>0</v>
      </c>
      <c r="G11" s="9"/>
      <c r="H11" s="10">
        <f t="shared" si="0"/>
        <v>33895.5</v>
      </c>
      <c r="I11" s="8">
        <f>IFERROR(H11/H444, "NA")</f>
        <v>-18.708087492617903</v>
      </c>
      <c r="J11" s="9"/>
      <c r="K11" s="7">
        <v>39326.07</v>
      </c>
      <c r="L11" s="8">
        <f>IFERROR(K11/K444, "NA")</f>
        <v>0.55254096595161684</v>
      </c>
      <c r="M11" s="9"/>
      <c r="N11" s="10">
        <f t="shared" si="1"/>
        <v>-5430.57</v>
      </c>
      <c r="O11" s="8">
        <f>IFERROR(N11/N444, "NA")</f>
        <v>-3.1087786587285837</v>
      </c>
      <c r="P11" s="9"/>
      <c r="Q11" s="7">
        <v>33895.5</v>
      </c>
      <c r="R11" s="8">
        <f>IFERROR(Q11/Q444, "NA")</f>
        <v>0.46483144948750676</v>
      </c>
      <c r="S11" s="9"/>
      <c r="T11" s="7">
        <v>0</v>
      </c>
      <c r="U11" s="8">
        <f>IFERROR(T11/T444, "NA")</f>
        <v>0</v>
      </c>
      <c r="V11" s="9"/>
      <c r="W11" s="10">
        <f t="shared" si="2"/>
        <v>33895.5</v>
      </c>
      <c r="X11" s="8">
        <f>IFERROR(W11/W444, "NA")</f>
        <v>-18.708087492617903</v>
      </c>
      <c r="Y11" s="9"/>
      <c r="Z11" s="7">
        <v>39326.07</v>
      </c>
      <c r="AA11" s="8">
        <f>IFERROR(Z11/Z444, "NA")</f>
        <v>0.55254096595161684</v>
      </c>
      <c r="AB11" s="9"/>
      <c r="AC11" s="10">
        <f t="shared" si="3"/>
        <v>-5430.57</v>
      </c>
      <c r="AD11" s="8">
        <f>IFERROR(AC11/AC444, "NA")</f>
        <v>-3.1087786587285837</v>
      </c>
    </row>
    <row r="12" spans="1:30" ht="16.5" customHeight="1" x14ac:dyDescent="0.45">
      <c r="A12" s="12" t="s">
        <v>14</v>
      </c>
      <c r="B12" s="7">
        <v>3957.55</v>
      </c>
      <c r="C12" s="8">
        <f>IFERROR(B12/B444, "NA")</f>
        <v>5.4272505285931243E-2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3957.55</v>
      </c>
      <c r="I12" s="8">
        <f>IFERROR(H12/H444, "NA")</f>
        <v>-2.1843074053018832</v>
      </c>
      <c r="J12" s="9"/>
      <c r="K12" s="7">
        <v>3637.35</v>
      </c>
      <c r="L12" s="8">
        <f>IFERROR(K12/K444, "NA")</f>
        <v>5.1105663050086451E-2</v>
      </c>
      <c r="M12" s="9"/>
      <c r="N12" s="10">
        <f t="shared" si="1"/>
        <v>320.20000000000027</v>
      </c>
      <c r="O12" s="8">
        <f>IFERROR(N12/N444, "NA")</f>
        <v>0.18330137103930039</v>
      </c>
      <c r="P12" s="9"/>
      <c r="Q12" s="7">
        <v>3957.55</v>
      </c>
      <c r="R12" s="8">
        <f>IFERROR(Q12/Q444, "NA")</f>
        <v>5.4272505285931243E-2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3957.55</v>
      </c>
      <c r="X12" s="8">
        <f>IFERROR(W12/W444, "NA")</f>
        <v>-2.1843074053018832</v>
      </c>
      <c r="Y12" s="9"/>
      <c r="Z12" s="7">
        <v>3637.35</v>
      </c>
      <c r="AA12" s="8">
        <f>IFERROR(Z12/Z444, "NA")</f>
        <v>5.1105663050086451E-2</v>
      </c>
      <c r="AB12" s="9"/>
      <c r="AC12" s="10">
        <f t="shared" si="3"/>
        <v>320.20000000000027</v>
      </c>
      <c r="AD12" s="8">
        <f>IFERROR(AC12/AC444, "NA")</f>
        <v>0.18330137103930039</v>
      </c>
    </row>
    <row r="13" spans="1:30" ht="16.5" customHeight="1" x14ac:dyDescent="0.45">
      <c r="A13" s="12" t="s">
        <v>15</v>
      </c>
      <c r="B13" s="7">
        <v>108</v>
      </c>
      <c r="C13" s="8">
        <f>IFERROR(B13/B444, "NA")</f>
        <v>1.481075557069544E-3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108</v>
      </c>
      <c r="I13" s="8">
        <f>IFERROR(H13/H444, "NA")</f>
        <v>-5.9608899387904993E-2</v>
      </c>
      <c r="J13" s="9"/>
      <c r="K13" s="7">
        <v>101.5</v>
      </c>
      <c r="L13" s="8">
        <f>IFERROR(K13/K444, "NA")</f>
        <v>1.4260999902631793E-3</v>
      </c>
      <c r="M13" s="9"/>
      <c r="N13" s="10">
        <f t="shared" si="1"/>
        <v>6.5</v>
      </c>
      <c r="O13" s="8">
        <f>IFERROR(N13/N444, "NA")</f>
        <v>3.7209834845579369E-3</v>
      </c>
      <c r="P13" s="9"/>
      <c r="Q13" s="7">
        <v>108</v>
      </c>
      <c r="R13" s="8">
        <f>IFERROR(Q13/Q444, "NA")</f>
        <v>1.481075557069544E-3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108</v>
      </c>
      <c r="X13" s="8">
        <f>IFERROR(W13/W444, "NA")</f>
        <v>-5.9608899387904993E-2</v>
      </c>
      <c r="Y13" s="9"/>
      <c r="Z13" s="7">
        <v>101.5</v>
      </c>
      <c r="AA13" s="8">
        <f>IFERROR(Z13/Z444, "NA")</f>
        <v>1.4260999902631793E-3</v>
      </c>
      <c r="AB13" s="9"/>
      <c r="AC13" s="10">
        <f t="shared" si="3"/>
        <v>6.5</v>
      </c>
      <c r="AD13" s="8">
        <f>IFERROR(AC13/AC444, "NA")</f>
        <v>3.7209834845579369E-3</v>
      </c>
    </row>
    <row r="14" spans="1:30" ht="16.5" customHeight="1" x14ac:dyDescent="0.45">
      <c r="A14" s="12" t="s">
        <v>16</v>
      </c>
      <c r="B14" s="7">
        <v>285</v>
      </c>
      <c r="C14" s="8">
        <f>IFERROR(B14/B444, "NA")</f>
        <v>3.908393831155741E-3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285</v>
      </c>
      <c r="I14" s="8">
        <f>IFERROR(H14/H444, "NA")</f>
        <v>-0.15730126227363816</v>
      </c>
      <c r="J14" s="9"/>
      <c r="K14" s="7">
        <v>190</v>
      </c>
      <c r="L14" s="8">
        <f>IFERROR(K14/K444, "NA")</f>
        <v>2.6695467798029957E-3</v>
      </c>
      <c r="M14" s="9"/>
      <c r="N14" s="10">
        <f t="shared" si="1"/>
        <v>95</v>
      </c>
      <c r="O14" s="8">
        <f>IFERROR(N14/N444, "NA")</f>
        <v>5.4383604774308314E-2</v>
      </c>
      <c r="P14" s="9"/>
      <c r="Q14" s="7">
        <v>285</v>
      </c>
      <c r="R14" s="8">
        <f>IFERROR(Q14/Q444, "NA")</f>
        <v>3.908393831155741E-3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285</v>
      </c>
      <c r="X14" s="8">
        <f>IFERROR(W14/W444, "NA")</f>
        <v>-0.15730126227363816</v>
      </c>
      <c r="Y14" s="9"/>
      <c r="Z14" s="7">
        <v>190</v>
      </c>
      <c r="AA14" s="8">
        <f>IFERROR(Z14/Z444, "NA")</f>
        <v>2.6695467798029957E-3</v>
      </c>
      <c r="AB14" s="9"/>
      <c r="AC14" s="10">
        <f t="shared" si="3"/>
        <v>95</v>
      </c>
      <c r="AD14" s="8">
        <f>IFERROR(AC14/AC444, "NA")</f>
        <v>5.4383604774308314E-2</v>
      </c>
    </row>
    <row r="15" spans="1:30" ht="16.5" customHeight="1" x14ac:dyDescent="0.45">
      <c r="A15" s="12" t="s">
        <v>17</v>
      </c>
      <c r="B15" s="7">
        <v>21</v>
      </c>
      <c r="C15" s="8">
        <f>IFERROR(B15/B444, "NA")</f>
        <v>2.8798691387463358E-4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21</v>
      </c>
      <c r="I15" s="8">
        <f>IFERROR(H15/H444, "NA")</f>
        <v>-1.1590619325425971E-2</v>
      </c>
      <c r="J15" s="9"/>
      <c r="K15" s="7">
        <v>16</v>
      </c>
      <c r="L15" s="8">
        <f>IFERROR(K15/K444, "NA")</f>
        <v>2.2480393935183122E-4</v>
      </c>
      <c r="M15" s="9"/>
      <c r="N15" s="10">
        <f t="shared" si="1"/>
        <v>5</v>
      </c>
      <c r="O15" s="8">
        <f>IFERROR(N15/N444, "NA")</f>
        <v>2.86229498812149E-3</v>
      </c>
      <c r="P15" s="9"/>
      <c r="Q15" s="7">
        <v>21</v>
      </c>
      <c r="R15" s="8">
        <f>IFERROR(Q15/Q444, "NA")</f>
        <v>2.8798691387463358E-4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21</v>
      </c>
      <c r="X15" s="8">
        <f>IFERROR(W15/W444, "NA")</f>
        <v>-1.1590619325425971E-2</v>
      </c>
      <c r="Y15" s="9"/>
      <c r="Z15" s="7">
        <v>16</v>
      </c>
      <c r="AA15" s="8">
        <f>IFERROR(Z15/Z444, "NA")</f>
        <v>2.2480393935183122E-4</v>
      </c>
      <c r="AB15" s="9"/>
      <c r="AC15" s="10">
        <f t="shared" si="3"/>
        <v>5</v>
      </c>
      <c r="AD15" s="8">
        <f>IFERROR(AC15/AC444, "NA")</f>
        <v>2.86229498812149E-3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38267.050000000003</v>
      </c>
      <c r="C18" s="15">
        <f>IFERROR(B18/B444, "NA")</f>
        <v>0.52478141107553788</v>
      </c>
      <c r="D18" s="2"/>
      <c r="E18" s="14">
        <f>IFERROR(E10+E11+E12+E13+E14+E15+E16+E17, "NA")</f>
        <v>44017.02</v>
      </c>
      <c r="F18" s="15">
        <f>IFERROR(E18/E444, "NA")</f>
        <v>0.5889999423270873</v>
      </c>
      <c r="G18" s="2"/>
      <c r="H18" s="14">
        <f t="shared" si="0"/>
        <v>-5749.9699999999939</v>
      </c>
      <c r="I18" s="15">
        <f>IFERROR(H18/H444, "NA")</f>
        <v>3.173605400124738</v>
      </c>
      <c r="J18" s="2"/>
      <c r="K18" s="14">
        <f>IFERROR(K10+K11+K12+K13+K14+K15+K16+K17, "NA")</f>
        <v>43270.92</v>
      </c>
      <c r="L18" s="15">
        <f>IFERROR(K18/K444, "NA")</f>
        <v>0.60796707971112129</v>
      </c>
      <c r="M18" s="2"/>
      <c r="N18" s="14">
        <f t="shared" si="1"/>
        <v>-5003.8699999999953</v>
      </c>
      <c r="O18" s="15">
        <f>IFERROR(N18/N444, "NA")</f>
        <v>-2.8645104044422935</v>
      </c>
      <c r="P18" s="2"/>
      <c r="Q18" s="14">
        <f>IFERROR(Q10+Q11+Q12+Q13+Q14+Q15+Q16+Q17, "NA")</f>
        <v>38267.050000000003</v>
      </c>
      <c r="R18" s="15">
        <f>IFERROR(Q18/Q444, "NA")</f>
        <v>0.52478141107553788</v>
      </c>
      <c r="S18" s="2"/>
      <c r="T18" s="14">
        <f>IFERROR(T10+T11+T12+T13+T14+T15+T16+T17, "NA")</f>
        <v>44017.02</v>
      </c>
      <c r="U18" s="15">
        <f>IFERROR(T18/T444, "NA")</f>
        <v>0.5889999423270873</v>
      </c>
      <c r="V18" s="2"/>
      <c r="W18" s="14">
        <f t="shared" si="2"/>
        <v>-5749.9699999999939</v>
      </c>
      <c r="X18" s="15">
        <f>IFERROR(W18/W444, "NA")</f>
        <v>3.173605400124738</v>
      </c>
      <c r="Y18" s="2"/>
      <c r="Z18" s="14">
        <f>IFERROR(Z10+Z11+Z12+Z13+Z14+Z15+Z16+Z17, "NA")</f>
        <v>43270.92</v>
      </c>
      <c r="AA18" s="15">
        <f>IFERROR(Z18/Z444, "NA")</f>
        <v>0.60796707971112129</v>
      </c>
      <c r="AB18" s="2"/>
      <c r="AC18" s="14">
        <f t="shared" si="3"/>
        <v>-5003.8699999999953</v>
      </c>
      <c r="AD18" s="15">
        <f>IFERROR(AC18/AC444, "NA")</f>
        <v>-2.8645104044422935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6202.74</v>
      </c>
      <c r="F21" s="8">
        <f>IFERROR(E21/E444, "NA")</f>
        <v>8.3000019135096331E-2</v>
      </c>
      <c r="G21" s="9"/>
      <c r="H21" s="10">
        <f t="shared" ref="H21:H29" si="4">IFERROR(B21-E21, "NA")</f>
        <v>-6202.74</v>
      </c>
      <c r="I21" s="8">
        <f>IFERROR(H21/H444, "NA")</f>
        <v>3.4235046721234608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6202.74</v>
      </c>
      <c r="U21" s="8">
        <f>IFERROR(T21/T444, "NA")</f>
        <v>8.3000019135096331E-2</v>
      </c>
      <c r="V21" s="9"/>
      <c r="W21" s="10">
        <f t="shared" ref="W21:W29" si="6">IFERROR(Q21-T21, "NA")</f>
        <v>-6202.74</v>
      </c>
      <c r="X21" s="8">
        <f>IFERROR(W21/W444, "NA")</f>
        <v>3.4235046721234608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5276.05</v>
      </c>
      <c r="C22" s="8">
        <f>IFERROR(B22/B444, "NA")</f>
        <v>7.2353969378488592E-2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5276.05</v>
      </c>
      <c r="I22" s="8">
        <f>IFERROR(H22/H444, "NA")</f>
        <v>-2.912032718662557</v>
      </c>
      <c r="J22" s="9"/>
      <c r="K22" s="7">
        <v>5430.72</v>
      </c>
      <c r="L22" s="8">
        <f>IFERROR(K22/K444, "NA")</f>
        <v>7.6302953094798551E-2</v>
      </c>
      <c r="M22" s="9"/>
      <c r="N22" s="10">
        <f t="shared" si="5"/>
        <v>-154.67000000000007</v>
      </c>
      <c r="O22" s="8">
        <f>IFERROR(N22/N444, "NA")</f>
        <v>-8.8542233162550221E-2</v>
      </c>
      <c r="P22" s="9"/>
      <c r="Q22" s="7">
        <v>5276.05</v>
      </c>
      <c r="R22" s="8">
        <f>IFERROR(Q22/Q444, "NA")</f>
        <v>7.2353969378488592E-2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5276.05</v>
      </c>
      <c r="X22" s="8">
        <f>IFERROR(W22/W444, "NA")</f>
        <v>-2.912032718662557</v>
      </c>
      <c r="Y22" s="9"/>
      <c r="Z22" s="7">
        <v>5430.72</v>
      </c>
      <c r="AA22" s="8">
        <f>IFERROR(Z22/Z444, "NA")</f>
        <v>7.6302953094798551E-2</v>
      </c>
      <c r="AB22" s="9"/>
      <c r="AC22" s="10">
        <f t="shared" si="7"/>
        <v>-154.67000000000007</v>
      </c>
      <c r="AD22" s="8">
        <f>IFERROR(AC22/AC444, "NA")</f>
        <v>-8.8542233162550221E-2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645.64</v>
      </c>
      <c r="C24" s="8">
        <f>IFERROR(B24/B444, "NA")</f>
        <v>8.8540890987627817E-3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645.64</v>
      </c>
      <c r="I24" s="8">
        <f>IFERROR(H24/H444, "NA")</f>
        <v>-0.35635083148895347</v>
      </c>
      <c r="J24" s="9"/>
      <c r="K24" s="7">
        <v>293.58999999999997</v>
      </c>
      <c r="L24" s="8">
        <f>IFERROR(K24/K444, "NA")</f>
        <v>4.1250117846440074E-3</v>
      </c>
      <c r="M24" s="9"/>
      <c r="N24" s="10">
        <f t="shared" si="5"/>
        <v>352.05</v>
      </c>
      <c r="O24" s="8">
        <f>IFERROR(N24/N444, "NA")</f>
        <v>0.20153419011363413</v>
      </c>
      <c r="P24" s="9"/>
      <c r="Q24" s="7">
        <v>645.64</v>
      </c>
      <c r="R24" s="8">
        <f>IFERROR(Q24/Q444, "NA")</f>
        <v>8.8540890987627817E-3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645.64</v>
      </c>
      <c r="X24" s="8">
        <f>IFERROR(W24/W444, "NA")</f>
        <v>-0.35635083148895347</v>
      </c>
      <c r="Y24" s="9"/>
      <c r="Z24" s="7">
        <v>293.58999999999997</v>
      </c>
      <c r="AA24" s="8">
        <f>IFERROR(Z24/Z444, "NA")</f>
        <v>4.1250117846440074E-3</v>
      </c>
      <c r="AB24" s="9"/>
      <c r="AC24" s="10">
        <f t="shared" si="7"/>
        <v>352.05</v>
      </c>
      <c r="AD24" s="8">
        <f>IFERROR(AC24/AC444, "NA")</f>
        <v>0.20153419011363413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880.53</v>
      </c>
      <c r="C28" s="8">
        <f>IFERROR(B28/B444, "NA")</f>
        <v>1.2075291298763384E-2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880.53</v>
      </c>
      <c r="I28" s="8">
        <f>IFERROR(H28/H444, "NA")</f>
        <v>-0.4859946683151109</v>
      </c>
      <c r="J28" s="9"/>
      <c r="K28" s="7">
        <v>0</v>
      </c>
      <c r="L28" s="8">
        <f>IFERROR(K28/K444, "NA")</f>
        <v>0</v>
      </c>
      <c r="M28" s="9"/>
      <c r="N28" s="10">
        <f t="shared" si="5"/>
        <v>880.53</v>
      </c>
      <c r="O28" s="8">
        <f>IFERROR(N28/N444, "NA")</f>
        <v>0.50406732117812314</v>
      </c>
      <c r="P28" s="9"/>
      <c r="Q28" s="7">
        <v>880.53</v>
      </c>
      <c r="R28" s="8">
        <f>IFERROR(Q28/Q444, "NA")</f>
        <v>1.2075291298763384E-2</v>
      </c>
      <c r="S28" s="9"/>
      <c r="T28" s="7">
        <v>0</v>
      </c>
      <c r="U28" s="8">
        <f>IFERROR(T28/T444, "NA")</f>
        <v>0</v>
      </c>
      <c r="V28" s="9"/>
      <c r="W28" s="10">
        <f t="shared" si="6"/>
        <v>880.53</v>
      </c>
      <c r="X28" s="8">
        <f>IFERROR(W28/W444, "NA")</f>
        <v>-0.4859946683151109</v>
      </c>
      <c r="Y28" s="9"/>
      <c r="Z28" s="7">
        <v>0</v>
      </c>
      <c r="AA28" s="8">
        <f>IFERROR(Z28/Z444, "NA")</f>
        <v>0</v>
      </c>
      <c r="AB28" s="9"/>
      <c r="AC28" s="10">
        <f t="shared" si="7"/>
        <v>880.53</v>
      </c>
      <c r="AD28" s="8">
        <f>IFERROR(AC28/AC444, "NA")</f>
        <v>0.50406732117812314</v>
      </c>
    </row>
    <row r="29" spans="1:30" ht="16.5" customHeight="1" x14ac:dyDescent="0.45">
      <c r="A29" s="13" t="s">
        <v>30</v>
      </c>
      <c r="B29" s="14">
        <f>IFERROR(B21+B22+B23+B24+B25+B26+B27+B28, "NA")</f>
        <v>6802.22</v>
      </c>
      <c r="C29" s="15">
        <f>IFERROR(B29/B444, "NA")</f>
        <v>9.3283349776014754E-2</v>
      </c>
      <c r="D29" s="2"/>
      <c r="E29" s="14">
        <f>IFERROR(E21+E22+E23+E24+E25+E26+E27+E28, "NA")</f>
        <v>6202.74</v>
      </c>
      <c r="F29" s="15">
        <f>IFERROR(E29/E444, "NA")</f>
        <v>8.3000019135096331E-2</v>
      </c>
      <c r="G29" s="2"/>
      <c r="H29" s="14">
        <f t="shared" si="4"/>
        <v>599.48000000000047</v>
      </c>
      <c r="I29" s="15">
        <f>IFERROR(H29/H444, "NA")</f>
        <v>-0.3308735463431603</v>
      </c>
      <c r="J29" s="2"/>
      <c r="K29" s="14">
        <f>IFERROR(K21+K22+K23+K24+K25+K26+K27+K28, "NA")</f>
        <v>5724.31</v>
      </c>
      <c r="L29" s="15">
        <f>IFERROR(K29/K444, "NA")</f>
        <v>8.0427964879442565E-2</v>
      </c>
      <c r="M29" s="2"/>
      <c r="N29" s="14">
        <f t="shared" si="5"/>
        <v>1077.9099999999999</v>
      </c>
      <c r="O29" s="15">
        <f>IFERROR(N29/N444, "NA")</f>
        <v>0.61705927812920702</v>
      </c>
      <c r="P29" s="2"/>
      <c r="Q29" s="14">
        <f>IFERROR(Q21+Q22+Q23+Q24+Q25+Q26+Q27+Q28, "NA")</f>
        <v>6802.22</v>
      </c>
      <c r="R29" s="15">
        <f>IFERROR(Q29/Q444, "NA")</f>
        <v>9.3283349776014754E-2</v>
      </c>
      <c r="S29" s="2"/>
      <c r="T29" s="14">
        <f>IFERROR(T21+T22+T23+T24+T25+T26+T27+T28, "NA")</f>
        <v>6202.74</v>
      </c>
      <c r="U29" s="15">
        <f>IFERROR(T29/T444, "NA")</f>
        <v>8.3000019135096331E-2</v>
      </c>
      <c r="V29" s="2"/>
      <c r="W29" s="14">
        <f t="shared" si="6"/>
        <v>599.48000000000047</v>
      </c>
      <c r="X29" s="15">
        <f>IFERROR(W29/W444, "NA")</f>
        <v>-0.3308735463431603</v>
      </c>
      <c r="Y29" s="2"/>
      <c r="Z29" s="14">
        <f>IFERROR(Z21+Z22+Z23+Z24+Z25+Z26+Z27+Z28, "NA")</f>
        <v>5724.31</v>
      </c>
      <c r="AA29" s="15">
        <f>IFERROR(Z29/Z444, "NA")</f>
        <v>8.0427964879442565E-2</v>
      </c>
      <c r="AB29" s="2"/>
      <c r="AC29" s="14">
        <f t="shared" si="7"/>
        <v>1077.9099999999999</v>
      </c>
      <c r="AD29" s="15">
        <f>IFERROR(AC29/AC444, "NA")</f>
        <v>0.61705927812920702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11284.5</v>
      </c>
      <c r="F31" s="8">
        <f>IFERROR(E31/E444, "NA")</f>
        <v>0.150999996119456</v>
      </c>
      <c r="G31" s="9"/>
      <c r="H31" s="10">
        <f t="shared" ref="H31:H40" si="8">IFERROR(B31-E31, "NA")</f>
        <v>-11284.5</v>
      </c>
      <c r="I31" s="8">
        <f>IFERROR(H31/H444, "NA")</f>
        <v>6.2283020846556836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11284.5</v>
      </c>
      <c r="U31" s="8">
        <f>IFERROR(T31/T444, "NA")</f>
        <v>0.150999996119456</v>
      </c>
      <c r="V31" s="9"/>
      <c r="W31" s="10">
        <f t="shared" ref="W31:W40" si="10">IFERROR(Q31-T31, "NA")</f>
        <v>-11284.5</v>
      </c>
      <c r="X31" s="8">
        <f>IFERROR(W31/W444, "NA")</f>
        <v>6.2283020846556836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8169.92</v>
      </c>
      <c r="C33" s="8">
        <f>IFERROR(B33/B444, "NA")</f>
        <v>0.11203952606679267</v>
      </c>
      <c r="D33" s="9"/>
      <c r="E33" s="7">
        <v>0</v>
      </c>
      <c r="F33" s="8">
        <f>IFERROR(E33/E444, "NA")</f>
        <v>0</v>
      </c>
      <c r="G33" s="9"/>
      <c r="H33" s="10">
        <f t="shared" si="8"/>
        <v>8169.92</v>
      </c>
      <c r="I33" s="8">
        <f>IFERROR(H33/H444, "NA")</f>
        <v>-4.5092586971040065</v>
      </c>
      <c r="J33" s="9"/>
      <c r="K33" s="7">
        <v>5142.92</v>
      </c>
      <c r="L33" s="8">
        <f>IFERROR(K33/K444, "NA")</f>
        <v>7.2259292235707484E-2</v>
      </c>
      <c r="M33" s="9"/>
      <c r="N33" s="10">
        <f t="shared" si="9"/>
        <v>3027</v>
      </c>
      <c r="O33" s="8">
        <f>IFERROR(N33/N444, "NA")</f>
        <v>1.7328333858087501</v>
      </c>
      <c r="P33" s="9"/>
      <c r="Q33" s="7">
        <v>8169.92</v>
      </c>
      <c r="R33" s="8">
        <f>IFERROR(Q33/Q444, "NA")</f>
        <v>0.11203952606679267</v>
      </c>
      <c r="S33" s="9"/>
      <c r="T33" s="7">
        <v>0</v>
      </c>
      <c r="U33" s="8">
        <f>IFERROR(T33/T444, "NA")</f>
        <v>0</v>
      </c>
      <c r="V33" s="9"/>
      <c r="W33" s="10">
        <f t="shared" si="10"/>
        <v>8169.92</v>
      </c>
      <c r="X33" s="8">
        <f>IFERROR(W33/W444, "NA")</f>
        <v>-4.5092586971040065</v>
      </c>
      <c r="Y33" s="9"/>
      <c r="Z33" s="7">
        <v>5142.92</v>
      </c>
      <c r="AA33" s="8">
        <f>IFERROR(Z33/Z444, "NA")</f>
        <v>7.2259292235707484E-2</v>
      </c>
      <c r="AB33" s="9"/>
      <c r="AC33" s="10">
        <f t="shared" si="11"/>
        <v>3027</v>
      </c>
      <c r="AD33" s="8">
        <f>IFERROR(AC33/AC444, "NA")</f>
        <v>1.7328333858087501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967.85</v>
      </c>
      <c r="C35" s="8">
        <f>IFERROR(B35/B444, "NA")</f>
        <v>1.3272768313979243E-2</v>
      </c>
      <c r="D35" s="9"/>
      <c r="E35" s="7">
        <v>0</v>
      </c>
      <c r="F35" s="8">
        <f>IFERROR(E35/E444, "NA")</f>
        <v>0</v>
      </c>
      <c r="G35" s="9"/>
      <c r="H35" s="10">
        <f t="shared" si="8"/>
        <v>967.85</v>
      </c>
      <c r="I35" s="8">
        <f>IFERROR(H35/H444, "NA")</f>
        <v>-0.53418956733873935</v>
      </c>
      <c r="J35" s="9"/>
      <c r="K35" s="7">
        <v>0</v>
      </c>
      <c r="L35" s="8">
        <f>IFERROR(K35/K444, "NA")</f>
        <v>0</v>
      </c>
      <c r="M35" s="9"/>
      <c r="N35" s="10">
        <f t="shared" si="9"/>
        <v>967.85</v>
      </c>
      <c r="O35" s="8">
        <f>IFERROR(N35/N444, "NA")</f>
        <v>0.5540544408506769</v>
      </c>
      <c r="P35" s="9"/>
      <c r="Q35" s="7">
        <v>967.85</v>
      </c>
      <c r="R35" s="8">
        <f>IFERROR(Q35/Q444, "NA")</f>
        <v>1.3272768313979243E-2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967.85</v>
      </c>
      <c r="X35" s="8">
        <f>IFERROR(W35/W444, "NA")</f>
        <v>-0.53418956733873935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967.85</v>
      </c>
      <c r="AD35" s="8">
        <f>IFERROR(AC35/AC444, "NA")</f>
        <v>0.5540544408506769</v>
      </c>
    </row>
    <row r="36" spans="1:30" ht="16.5" customHeight="1" x14ac:dyDescent="0.45">
      <c r="A36" s="12" t="s">
        <v>36</v>
      </c>
      <c r="B36" s="7">
        <v>6312.56</v>
      </c>
      <c r="C36" s="8">
        <f>IFERROR(B36/B444, "NA")</f>
        <v>8.6568317764212227E-2</v>
      </c>
      <c r="D36" s="9"/>
      <c r="E36" s="7">
        <v>0</v>
      </c>
      <c r="F36" s="8">
        <f>IFERROR(E36/E444, "NA")</f>
        <v>0</v>
      </c>
      <c r="G36" s="9"/>
      <c r="H36" s="10">
        <f t="shared" si="8"/>
        <v>6312.56</v>
      </c>
      <c r="I36" s="8">
        <f>IFERROR(H36/H444, "NA")</f>
        <v>-3.4841180918529031</v>
      </c>
      <c r="J36" s="9"/>
      <c r="K36" s="7">
        <v>3777.98</v>
      </c>
      <c r="L36" s="8">
        <f>IFERROR(K36/K444, "NA")</f>
        <v>5.3081549174526954E-2</v>
      </c>
      <c r="M36" s="9"/>
      <c r="N36" s="10">
        <f t="shared" si="9"/>
        <v>2534.5800000000004</v>
      </c>
      <c r="O36" s="8">
        <f>IFERROR(N36/N444, "NA")</f>
        <v>1.4509431261985934</v>
      </c>
      <c r="P36" s="9"/>
      <c r="Q36" s="7">
        <v>6312.56</v>
      </c>
      <c r="R36" s="8">
        <f>IFERROR(Q36/Q444, "NA")</f>
        <v>8.6568317764212227E-2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6312.56</v>
      </c>
      <c r="X36" s="8">
        <f>IFERROR(W36/W444, "NA")</f>
        <v>-3.4841180918529031</v>
      </c>
      <c r="Y36" s="9"/>
      <c r="Z36" s="7">
        <v>3777.98</v>
      </c>
      <c r="AA36" s="8">
        <f>IFERROR(Z36/Z444, "NA")</f>
        <v>5.3081549174526954E-2</v>
      </c>
      <c r="AB36" s="9"/>
      <c r="AC36" s="10">
        <f t="shared" si="11"/>
        <v>2534.5800000000004</v>
      </c>
      <c r="AD36" s="8">
        <f>IFERROR(AC36/AC444, "NA")</f>
        <v>1.4509431261985934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766.75</v>
      </c>
      <c r="C39" s="8">
        <f>IFERROR(B39/B444, "NA")</f>
        <v>1.051495077206549E-2</v>
      </c>
      <c r="D39" s="9"/>
      <c r="E39" s="7">
        <v>0</v>
      </c>
      <c r="F39" s="8">
        <f>IFERROR(E39/E444, "NA")</f>
        <v>0</v>
      </c>
      <c r="G39" s="9"/>
      <c r="H39" s="10">
        <f t="shared" si="8"/>
        <v>766.75</v>
      </c>
      <c r="I39" s="8">
        <f>IFERROR(H39/H444, "NA")</f>
        <v>-0.42319558894144582</v>
      </c>
      <c r="J39" s="9"/>
      <c r="K39" s="7">
        <v>532.61</v>
      </c>
      <c r="L39" s="8">
        <f>IFERROR(K39/K444, "NA")</f>
        <v>7.4833016336361769E-3</v>
      </c>
      <c r="M39" s="9"/>
      <c r="N39" s="10">
        <f t="shared" si="9"/>
        <v>234.14</v>
      </c>
      <c r="O39" s="8">
        <f>IFERROR(N39/N444, "NA")</f>
        <v>0.13403554970375314</v>
      </c>
      <c r="P39" s="9"/>
      <c r="Q39" s="7">
        <v>766.75</v>
      </c>
      <c r="R39" s="8">
        <f>IFERROR(Q39/Q444, "NA")</f>
        <v>1.051495077206549E-2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766.75</v>
      </c>
      <c r="X39" s="8">
        <f>IFERROR(W39/W444, "NA")</f>
        <v>-0.42319558894144582</v>
      </c>
      <c r="Y39" s="9"/>
      <c r="Z39" s="7">
        <v>532.61</v>
      </c>
      <c r="AA39" s="8">
        <f>IFERROR(Z39/Z444, "NA")</f>
        <v>7.4833016336361769E-3</v>
      </c>
      <c r="AB39" s="9"/>
      <c r="AC39" s="10">
        <f t="shared" si="11"/>
        <v>234.14</v>
      </c>
      <c r="AD39" s="8">
        <f>IFERROR(AC39/AC444, "NA")</f>
        <v>0.13403554970375314</v>
      </c>
    </row>
    <row r="40" spans="1:30" ht="16.5" customHeight="1" x14ac:dyDescent="0.45">
      <c r="A40" s="13" t="s">
        <v>40</v>
      </c>
      <c r="B40" s="14">
        <f>IFERROR(B31+B32+B33+B34+B35+B36+B37+B38+B39, "NA")</f>
        <v>16217.080000000002</v>
      </c>
      <c r="C40" s="15">
        <f>IFERROR(B40/B444, "NA")</f>
        <v>0.22239556291704965</v>
      </c>
      <c r="D40" s="2"/>
      <c r="E40" s="14">
        <f>IFERROR(E31+E32+E33+E34+E35+E36+E37+E38+E39, "NA")</f>
        <v>11284.5</v>
      </c>
      <c r="F40" s="15">
        <f>IFERROR(E40/E444, "NA")</f>
        <v>0.150999996119456</v>
      </c>
      <c r="G40" s="2"/>
      <c r="H40" s="14">
        <f t="shared" si="8"/>
        <v>4932.5800000000017</v>
      </c>
      <c r="I40" s="15">
        <f>IFERROR(H40/H444, "NA")</f>
        <v>-2.7224598605814121</v>
      </c>
      <c r="J40" s="2"/>
      <c r="K40" s="14">
        <f>IFERROR(K31+K32+K33+K34+K35+K36+K37+K38+K39, "NA")</f>
        <v>9453.51</v>
      </c>
      <c r="L40" s="15">
        <f>IFERROR(K40/K444, "NA")</f>
        <v>0.13282414304387063</v>
      </c>
      <c r="M40" s="2"/>
      <c r="N40" s="14">
        <f t="shared" si="9"/>
        <v>6763.5700000000015</v>
      </c>
      <c r="O40" s="15">
        <f>IFERROR(N40/N444, "NA")</f>
        <v>3.8718665025617742</v>
      </c>
      <c r="P40" s="2"/>
      <c r="Q40" s="14">
        <f>IFERROR(Q31+Q32+Q33+Q34+Q35+Q36+Q37+Q38+Q39, "NA")</f>
        <v>16217.080000000002</v>
      </c>
      <c r="R40" s="15">
        <f>IFERROR(Q40/Q444, "NA")</f>
        <v>0.22239556291704965</v>
      </c>
      <c r="S40" s="2"/>
      <c r="T40" s="14">
        <f>IFERROR(T31+T32+T33+T34+T35+T36+T37+T38+T39, "NA")</f>
        <v>11284.5</v>
      </c>
      <c r="U40" s="15">
        <f>IFERROR(T40/T444, "NA")</f>
        <v>0.150999996119456</v>
      </c>
      <c r="V40" s="2"/>
      <c r="W40" s="14">
        <f t="shared" si="10"/>
        <v>4932.5800000000017</v>
      </c>
      <c r="X40" s="15">
        <f>IFERROR(W40/W444, "NA")</f>
        <v>-2.7224598605814121</v>
      </c>
      <c r="Y40" s="2"/>
      <c r="Z40" s="14">
        <f>IFERROR(Z31+Z32+Z33+Z34+Z35+Z36+Z37+Z38+Z39, "NA")</f>
        <v>9453.51</v>
      </c>
      <c r="AA40" s="15">
        <f>IFERROR(Z40/Z444, "NA")</f>
        <v>0.13282414304387063</v>
      </c>
      <c r="AB40" s="2"/>
      <c r="AC40" s="14">
        <f t="shared" si="11"/>
        <v>6763.5700000000015</v>
      </c>
      <c r="AD40" s="15">
        <f>IFERROR(AC40/AC444, "NA")</f>
        <v>3.8718665025617742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2591.14</v>
      </c>
      <c r="C43" s="8">
        <f>IFERROR(B43/B444, "NA")</f>
        <v>3.5534019619862758E-2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2591.14</v>
      </c>
      <c r="I43" s="8">
        <f>IFERROR(H43/H444, "NA")</f>
        <v>-1.4301389218516307</v>
      </c>
      <c r="J43" s="9"/>
      <c r="K43" s="7">
        <v>3225</v>
      </c>
      <c r="L43" s="8">
        <f>IFERROR(K43/K444, "NA")</f>
        <v>4.531204402560348E-2</v>
      </c>
      <c r="M43" s="9"/>
      <c r="N43" s="10">
        <f>IFERROR(B43-K43, "NA")</f>
        <v>-633.86000000000013</v>
      </c>
      <c r="O43" s="8">
        <f>IFERROR(N43/N444, "NA")</f>
        <v>-0.3628588602341376</v>
      </c>
      <c r="P43" s="9"/>
      <c r="Q43" s="7">
        <v>2591.14</v>
      </c>
      <c r="R43" s="8">
        <f>IFERROR(Q43/Q444, "NA")</f>
        <v>3.5534019619862758E-2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2591.14</v>
      </c>
      <c r="X43" s="8">
        <f>IFERROR(W43/W444, "NA")</f>
        <v>-1.4301389218516307</v>
      </c>
      <c r="Y43" s="9"/>
      <c r="Z43" s="7">
        <v>3225</v>
      </c>
      <c r="AA43" s="8">
        <f>IFERROR(Z43/Z444, "NA")</f>
        <v>4.531204402560348E-2</v>
      </c>
      <c r="AB43" s="9"/>
      <c r="AC43" s="10">
        <f>IFERROR(Q43-Z43, "NA")</f>
        <v>-633.86000000000013</v>
      </c>
      <c r="AD43" s="8">
        <f>IFERROR(AC43/AC444, "NA")</f>
        <v>-0.3628588602341376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14871.63</v>
      </c>
      <c r="F46" s="8">
        <f>IFERROR(E46/E444, "NA")</f>
        <v>0.19900005071469584</v>
      </c>
      <c r="G46" s="9"/>
      <c r="H46" s="10">
        <f t="shared" ref="H46:H62" si="12">IFERROR(B46-E46, "NA")</f>
        <v>-14871.63</v>
      </c>
      <c r="I46" s="8">
        <f>IFERROR(H46/H444, "NA")</f>
        <v>8.2081620037421246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14871.63</v>
      </c>
      <c r="U46" s="8">
        <f>IFERROR(T46/T444, "NA")</f>
        <v>0.19900005071469584</v>
      </c>
      <c r="V46" s="9"/>
      <c r="W46" s="10">
        <f t="shared" ref="W46:W62" si="14">IFERROR(Q46-T46, "NA")</f>
        <v>-14871.63</v>
      </c>
      <c r="X46" s="8">
        <f>IFERROR(W46/W444, "NA")</f>
        <v>8.2081620037421246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13090.46</v>
      </c>
      <c r="C48" s="8">
        <f>IFERROR(B48/B444, "NA")</f>
        <v>0.17951815126663501</v>
      </c>
      <c r="D48" s="9"/>
      <c r="E48" s="7">
        <v>0</v>
      </c>
      <c r="F48" s="8">
        <f>IFERROR(E48/E444, "NA")</f>
        <v>0</v>
      </c>
      <c r="G48" s="9"/>
      <c r="H48" s="10">
        <f t="shared" si="12"/>
        <v>13090.46</v>
      </c>
      <c r="I48" s="8">
        <f>IFERROR(H48/H444, "NA")</f>
        <v>-7.2250732692721735</v>
      </c>
      <c r="J48" s="9"/>
      <c r="K48" s="7">
        <v>11038.33</v>
      </c>
      <c r="L48" s="8">
        <f>IFERROR(K48/K444, "NA")</f>
        <v>0.1550912542415937</v>
      </c>
      <c r="M48" s="9"/>
      <c r="N48" s="10">
        <f t="shared" si="13"/>
        <v>2052.1299999999992</v>
      </c>
      <c r="O48" s="8">
        <f>IFERROR(N48/N444, "NA")</f>
        <v>1.1747602827947503</v>
      </c>
      <c r="P48" s="9"/>
      <c r="Q48" s="7">
        <v>13090.46</v>
      </c>
      <c r="R48" s="8">
        <f>IFERROR(Q48/Q444, "NA")</f>
        <v>0.17951815126663501</v>
      </c>
      <c r="S48" s="9"/>
      <c r="T48" s="7">
        <v>0</v>
      </c>
      <c r="U48" s="8">
        <f>IFERROR(T48/T444, "NA")</f>
        <v>0</v>
      </c>
      <c r="V48" s="9"/>
      <c r="W48" s="10">
        <f t="shared" si="14"/>
        <v>13090.46</v>
      </c>
      <c r="X48" s="8">
        <f>IFERROR(W48/W444, "NA")</f>
        <v>-7.2250732692721735</v>
      </c>
      <c r="Y48" s="9"/>
      <c r="Z48" s="7">
        <v>11038.33</v>
      </c>
      <c r="AA48" s="8">
        <f>IFERROR(Z48/Z444, "NA")</f>
        <v>0.1550912542415937</v>
      </c>
      <c r="AB48" s="9"/>
      <c r="AC48" s="10">
        <f t="shared" si="15"/>
        <v>2052.1299999999992</v>
      </c>
      <c r="AD48" s="8">
        <f>IFERROR(AC48/AC444, "NA")</f>
        <v>1.1747602827947503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13090.46</v>
      </c>
      <c r="C61" s="15">
        <f>IFERROR(B61/B444, "NA")</f>
        <v>0.17951815126663501</v>
      </c>
      <c r="D61" s="2"/>
      <c r="E61" s="14">
        <f>IFERROR(E46+E47+E48+E49+E50+E51+E52+E53+E54+E55+E56+E57+E58+E59+E60, "NA")</f>
        <v>14871.63</v>
      </c>
      <c r="F61" s="15">
        <f>IFERROR(E61/E444, "NA")</f>
        <v>0.19900005071469584</v>
      </c>
      <c r="G61" s="2"/>
      <c r="H61" s="14">
        <f t="shared" si="12"/>
        <v>-1781.17</v>
      </c>
      <c r="I61" s="15">
        <f>IFERROR(H61/H444, "NA")</f>
        <v>0.98308873446995126</v>
      </c>
      <c r="J61" s="2"/>
      <c r="K61" s="14">
        <f>IFERROR(K46+K47+K48+K49+K50+K51+K52+K53+K54+K55+K56+K57+K58+K59+K60, "NA")</f>
        <v>11038.33</v>
      </c>
      <c r="L61" s="15">
        <f>IFERROR(K61/K444, "NA")</f>
        <v>0.1550912542415937</v>
      </c>
      <c r="M61" s="2"/>
      <c r="N61" s="14">
        <f t="shared" si="13"/>
        <v>2052.1299999999992</v>
      </c>
      <c r="O61" s="15">
        <f>IFERROR(N61/N444, "NA")</f>
        <v>1.1747602827947503</v>
      </c>
      <c r="P61" s="2"/>
      <c r="Q61" s="14">
        <f>IFERROR(Q46+Q47+Q48+Q49+Q50+Q51+Q52+Q53+Q54+Q55+Q56+Q57+Q58+Q59+Q60, "NA")</f>
        <v>13090.46</v>
      </c>
      <c r="R61" s="15">
        <f>IFERROR(Q61/Q444, "NA")</f>
        <v>0.17951815126663501</v>
      </c>
      <c r="S61" s="2"/>
      <c r="T61" s="14">
        <f>IFERROR(T46+T47+T48+T49+T50+T51+T52+T53+T54+T55+T56+T57+T58+T59+T60, "NA")</f>
        <v>14871.63</v>
      </c>
      <c r="U61" s="15">
        <f>IFERROR(T61/T444, "NA")</f>
        <v>0.19900005071469584</v>
      </c>
      <c r="V61" s="2"/>
      <c r="W61" s="14">
        <f t="shared" si="14"/>
        <v>-1781.17</v>
      </c>
      <c r="X61" s="15">
        <f>IFERROR(W61/W444, "NA")</f>
        <v>0.98308873446995126</v>
      </c>
      <c r="Y61" s="2"/>
      <c r="Z61" s="14">
        <f>IFERROR(Z46+Z47+Z48+Z49+Z50+Z51+Z52+Z53+Z54+Z55+Z56+Z57+Z58+Z59+Z60, "NA")</f>
        <v>11038.33</v>
      </c>
      <c r="AA61" s="15">
        <f>IFERROR(Z61/Z444, "NA")</f>
        <v>0.1550912542415937</v>
      </c>
      <c r="AB61" s="2"/>
      <c r="AC61" s="14">
        <f t="shared" si="15"/>
        <v>2052.1299999999992</v>
      </c>
      <c r="AD61" s="15">
        <f>IFERROR(AC61/AC444, "NA")</f>
        <v>1.1747602827947503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15681.599999999999</v>
      </c>
      <c r="C62" s="15">
        <f>IFERROR(B62/B444, "NA")</f>
        <v>0.21505217088649778</v>
      </c>
      <c r="D62" s="2"/>
      <c r="E62" s="14">
        <f>IFERROR(E42+E43+E44+E46+E47+E48+E49+E50+E51+E52+E53+E54+E55+E56+E57+E58+E59+E60, "NA")</f>
        <v>14871.63</v>
      </c>
      <c r="F62" s="15">
        <f>IFERROR(E62/E444, "NA")</f>
        <v>0.19900005071469584</v>
      </c>
      <c r="G62" s="2"/>
      <c r="H62" s="14">
        <f t="shared" si="12"/>
        <v>809.96999999999935</v>
      </c>
      <c r="I62" s="15">
        <f>IFERROR(H62/H444, "NA")</f>
        <v>-0.44705018738167929</v>
      </c>
      <c r="J62" s="2"/>
      <c r="K62" s="14">
        <f>IFERROR(K42+K43+K44+K46+K47+K48+K49+K50+K51+K52+K53+K54+K55+K56+K57+K58+K59+K60, "NA")</f>
        <v>14263.33</v>
      </c>
      <c r="L62" s="15">
        <f>IFERROR(K62/K444, "NA")</f>
        <v>0.20040329826719716</v>
      </c>
      <c r="M62" s="2"/>
      <c r="N62" s="14">
        <f t="shared" si="13"/>
        <v>1418.2699999999986</v>
      </c>
      <c r="O62" s="15">
        <f>IFERROR(N62/N444, "NA")</f>
        <v>0.81190142256061237</v>
      </c>
      <c r="P62" s="2"/>
      <c r="Q62" s="14">
        <f>IFERROR(Q42+Q43+Q44+Q46+Q47+Q48+Q49+Q50+Q51+Q52+Q53+Q54+Q55+Q56+Q57+Q58+Q59+Q60, "NA")</f>
        <v>15681.599999999999</v>
      </c>
      <c r="R62" s="15">
        <f>IFERROR(Q62/Q444, "NA")</f>
        <v>0.21505217088649778</v>
      </c>
      <c r="S62" s="2"/>
      <c r="T62" s="14">
        <f>IFERROR(T42+T43+T44+T46+T47+T48+T49+T50+T51+T52+T53+T54+T55+T56+T57+T58+T59+T60, "NA")</f>
        <v>14871.63</v>
      </c>
      <c r="U62" s="15">
        <f>IFERROR(T62/T444, "NA")</f>
        <v>0.19900005071469584</v>
      </c>
      <c r="V62" s="2"/>
      <c r="W62" s="14">
        <f t="shared" si="14"/>
        <v>809.96999999999935</v>
      </c>
      <c r="X62" s="15">
        <f>IFERROR(W62/W444, "NA")</f>
        <v>-0.44705018738167929</v>
      </c>
      <c r="Y62" s="2"/>
      <c r="Z62" s="14">
        <f>IFERROR(Z42+Z43+Z44+Z46+Z47+Z48+Z49+Z50+Z51+Z52+Z53+Z54+Z55+Z56+Z57+Z58+Z59+Z60, "NA")</f>
        <v>14263.33</v>
      </c>
      <c r="AA62" s="15">
        <f>IFERROR(Z62/Z444, "NA")</f>
        <v>0.20040329826719716</v>
      </c>
      <c r="AB62" s="2"/>
      <c r="AC62" s="14">
        <f t="shared" si="15"/>
        <v>1418.2699999999986</v>
      </c>
      <c r="AD62" s="15">
        <f>IFERROR(AC62/AC444, "NA")</f>
        <v>0.81190142256061237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>
        <f>IFERROR(B73/B444, "NA")</f>
        <v>0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0</v>
      </c>
      <c r="I73" s="15">
        <f>IFERROR(H73/H444, "NA")</f>
        <v>0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0</v>
      </c>
      <c r="O73" s="15">
        <f>IFERROR(N73/N444, "NA")</f>
        <v>0</v>
      </c>
      <c r="P73" s="2"/>
      <c r="Q73" s="14">
        <f>IFERROR(Q64+Q65+Q66+Q67+Q68+Q69+Q70+Q71+Q72, "NA")</f>
        <v>0</v>
      </c>
      <c r="R73" s="15">
        <f>IFERROR(Q73/Q444, "NA")</f>
        <v>0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0</v>
      </c>
      <c r="X73" s="15">
        <f>IFERROR(W73/W444, "NA")</f>
        <v>0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0</v>
      </c>
      <c r="AD73" s="15">
        <f>IFERROR(AC73/AC444, "NA")</f>
        <v>0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971.51</v>
      </c>
      <c r="F75" s="8">
        <f>IFERROR(E75/E444, "NA")</f>
        <v>1.2999956243520999E-2</v>
      </c>
      <c r="G75" s="9"/>
      <c r="H75" s="10">
        <f t="shared" ref="H75:H92" si="20">IFERROR(B75-E75, "NA")</f>
        <v>-971.51</v>
      </c>
      <c r="I75" s="8">
        <f>IFERROR(H75/H444, "NA")</f>
        <v>0.53620964670688498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971.51</v>
      </c>
      <c r="U75" s="8">
        <f>IFERROR(T75/T444, "NA")</f>
        <v>1.2999956243520999E-2</v>
      </c>
      <c r="V75" s="9"/>
      <c r="W75" s="10">
        <f t="shared" ref="W75:W92" si="22">IFERROR(Q75-T75, "NA")</f>
        <v>-971.51</v>
      </c>
      <c r="X75" s="8">
        <f>IFERROR(W75/W444, "NA")</f>
        <v>0.53620964670688498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260.16000000000003</v>
      </c>
      <c r="C77" s="8">
        <f>IFERROR(B77/B444, "NA")</f>
        <v>3.5677464530297462E-3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260.16000000000003</v>
      </c>
      <c r="I77" s="8">
        <f>IFERROR(H77/H444, "NA")</f>
        <v>-0.14359121541442002</v>
      </c>
      <c r="J77" s="9"/>
      <c r="K77" s="7">
        <v>35.880000000000003</v>
      </c>
      <c r="L77" s="8">
        <f>IFERROR(K77/K444, "NA")</f>
        <v>5.0412283399648154E-4</v>
      </c>
      <c r="M77" s="9"/>
      <c r="N77" s="10">
        <f t="shared" si="21"/>
        <v>224.28000000000003</v>
      </c>
      <c r="O77" s="8">
        <f>IFERROR(N77/N444, "NA")</f>
        <v>0.12839110398717757</v>
      </c>
      <c r="P77" s="9"/>
      <c r="Q77" s="7">
        <v>260.16000000000003</v>
      </c>
      <c r="R77" s="8">
        <f>IFERROR(Q77/Q444, "NA")</f>
        <v>3.5677464530297462E-3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260.16000000000003</v>
      </c>
      <c r="X77" s="8">
        <f>IFERROR(W77/W444, "NA")</f>
        <v>-0.14359121541442002</v>
      </c>
      <c r="Y77" s="9"/>
      <c r="Z77" s="7">
        <v>35.880000000000003</v>
      </c>
      <c r="AA77" s="8">
        <f>IFERROR(Z77/Z444, "NA")</f>
        <v>5.0412283399648154E-4</v>
      </c>
      <c r="AB77" s="9"/>
      <c r="AC77" s="10">
        <f t="shared" si="23"/>
        <v>224.28000000000003</v>
      </c>
      <c r="AD77" s="8">
        <f>IFERROR(AC77/AC444, "NA")</f>
        <v>0.12839110398717757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1335.07</v>
      </c>
      <c r="C80" s="8">
        <f>IFERROR(B80/B444, "NA")</f>
        <v>1.8308699481267E-2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1335.07</v>
      </c>
      <c r="I80" s="8">
        <f>IFERROR(H80/H444, "NA")</f>
        <v>-0.73687086394268808</v>
      </c>
      <c r="J80" s="9"/>
      <c r="K80" s="7">
        <v>1295</v>
      </c>
      <c r="L80" s="8">
        <f>IFERROR(K80/K444, "NA")</f>
        <v>1.8195068841288839E-2</v>
      </c>
      <c r="M80" s="9"/>
      <c r="N80" s="10">
        <f t="shared" si="21"/>
        <v>40.069999999999936</v>
      </c>
      <c r="O80" s="8">
        <f>IFERROR(N80/N444, "NA")</f>
        <v>2.2938432034805584E-2</v>
      </c>
      <c r="P80" s="9"/>
      <c r="Q80" s="7">
        <v>1335.07</v>
      </c>
      <c r="R80" s="8">
        <f>IFERROR(Q80/Q444, "NA")</f>
        <v>1.8308699481267E-2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1335.07</v>
      </c>
      <c r="X80" s="8">
        <f>IFERROR(W80/W444, "NA")</f>
        <v>-0.73687086394268808</v>
      </c>
      <c r="Y80" s="9"/>
      <c r="Z80" s="7">
        <v>1295</v>
      </c>
      <c r="AA80" s="8">
        <f>IFERROR(Z80/Z444, "NA")</f>
        <v>1.8195068841288839E-2</v>
      </c>
      <c r="AB80" s="9"/>
      <c r="AC80" s="10">
        <f t="shared" si="23"/>
        <v>40.069999999999936</v>
      </c>
      <c r="AD80" s="8">
        <f>IFERROR(AC80/AC444, "NA")</f>
        <v>2.2938432034805584E-2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1595.23</v>
      </c>
      <c r="C88" s="15">
        <f>IFERROR(B88/B444, "NA")</f>
        <v>2.1876445934296745E-2</v>
      </c>
      <c r="D88" s="2"/>
      <c r="E88" s="14">
        <f>IFERROR(E75+E76+E77+E78+E79+E80+E81+E82+E83+E84+E85+E86+E87, "NA")</f>
        <v>971.51</v>
      </c>
      <c r="F88" s="15">
        <f>IFERROR(E88/E444, "NA")</f>
        <v>1.2999956243520999E-2</v>
      </c>
      <c r="G88" s="2"/>
      <c r="H88" s="14">
        <f t="shared" si="20"/>
        <v>623.72</v>
      </c>
      <c r="I88" s="15">
        <f>IFERROR(H88/H444, "NA")</f>
        <v>-0.34425243265022315</v>
      </c>
      <c r="J88" s="2"/>
      <c r="K88" s="14">
        <f>IFERROR(K75+K76+K77+K78+K79+K80+K81+K82+K83+K84+K85+K86+K87, "NA")</f>
        <v>1330.88</v>
      </c>
      <c r="L88" s="15">
        <f>IFERROR(K88/K444, "NA")</f>
        <v>1.8699191675285321E-2</v>
      </c>
      <c r="M88" s="2"/>
      <c r="N88" s="14">
        <f t="shared" si="21"/>
        <v>264.34999999999991</v>
      </c>
      <c r="O88" s="15">
        <f>IFERROR(N88/N444, "NA")</f>
        <v>0.15132953602198312</v>
      </c>
      <c r="P88" s="2"/>
      <c r="Q88" s="14">
        <f>IFERROR(Q75+Q76+Q77+Q78+Q79+Q80+Q81+Q82+Q83+Q84+Q85+Q86+Q87, "NA")</f>
        <v>1595.23</v>
      </c>
      <c r="R88" s="15">
        <f>IFERROR(Q88/Q444, "NA")</f>
        <v>2.1876445934296745E-2</v>
      </c>
      <c r="S88" s="2"/>
      <c r="T88" s="14">
        <f>IFERROR(T75+T76+T77+T78+T79+T80+T81+T82+T83+T84+T85+T86+T87, "NA")</f>
        <v>971.51</v>
      </c>
      <c r="U88" s="15">
        <f>IFERROR(T88/T444, "NA")</f>
        <v>1.2999956243520999E-2</v>
      </c>
      <c r="V88" s="2"/>
      <c r="W88" s="14">
        <f t="shared" si="22"/>
        <v>623.72</v>
      </c>
      <c r="X88" s="15">
        <f>IFERROR(W88/W444, "NA")</f>
        <v>-0.34425243265022315</v>
      </c>
      <c r="Y88" s="2"/>
      <c r="Z88" s="14">
        <f>IFERROR(Z75+Z76+Z77+Z78+Z79+Z80+Z81+Z82+Z83+Z84+Z85+Z86+Z87, "NA")</f>
        <v>1330.88</v>
      </c>
      <c r="AA88" s="15">
        <f>IFERROR(Z88/Z444, "NA")</f>
        <v>1.8699191675285321E-2</v>
      </c>
      <c r="AB88" s="2"/>
      <c r="AC88" s="14">
        <f t="shared" si="23"/>
        <v>264.34999999999991</v>
      </c>
      <c r="AD88" s="15">
        <f>IFERROR(AC88/AC444, "NA")</f>
        <v>0.15132953602198312</v>
      </c>
    </row>
    <row r="89" spans="1:30" ht="16.5" customHeight="1" x14ac:dyDescent="0.45">
      <c r="A89" s="6" t="s">
        <v>85</v>
      </c>
      <c r="B89" s="7">
        <v>-23.3</v>
      </c>
      <c r="C89" s="8">
        <f>IFERROR(B89/B444, "NA")</f>
        <v>-3.1952833777518865E-4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-23.3</v>
      </c>
      <c r="I89" s="8">
        <f>IFERROR(H89/H444, "NA")</f>
        <v>1.2860068108686911E-2</v>
      </c>
      <c r="J89" s="9"/>
      <c r="K89" s="7">
        <v>1835.81</v>
      </c>
      <c r="L89" s="8">
        <f>IFERROR(K89/K444, "NA")</f>
        <v>2.5793582493842827E-2</v>
      </c>
      <c r="M89" s="9"/>
      <c r="N89" s="10">
        <f t="shared" si="21"/>
        <v>-1859.11</v>
      </c>
      <c r="O89" s="8">
        <f>IFERROR(N89/N444, "NA")</f>
        <v>-1.0642642470733086</v>
      </c>
      <c r="P89" s="9"/>
      <c r="Q89" s="7">
        <v>-23.3</v>
      </c>
      <c r="R89" s="8">
        <f>IFERROR(Q89/Q444, "NA")</f>
        <v>-3.1952833777518865E-4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-23.3</v>
      </c>
      <c r="X89" s="8">
        <f>IFERROR(W89/W444, "NA")</f>
        <v>1.2860068108686911E-2</v>
      </c>
      <c r="Y89" s="9"/>
      <c r="Z89" s="7">
        <v>1835.81</v>
      </c>
      <c r="AA89" s="8">
        <f>IFERROR(Z89/Z444, "NA")</f>
        <v>2.5793582493842827E-2</v>
      </c>
      <c r="AB89" s="9"/>
      <c r="AC89" s="10">
        <f t="shared" si="23"/>
        <v>-1859.11</v>
      </c>
      <c r="AD89" s="8">
        <f>IFERROR(AC89/AC444, "NA")</f>
        <v>-1.0642642470733086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-2615.61</v>
      </c>
      <c r="F94" s="8">
        <f>IFERROR(E94/E444, "NA")</f>
        <v>-3.4999964539856473E-2</v>
      </c>
      <c r="G94" s="9"/>
      <c r="H94" s="10">
        <f t="shared" ref="H94:H124" si="24">IFERROR(B94-E94, "NA")</f>
        <v>2615.61</v>
      </c>
      <c r="I94" s="8">
        <f>IFERROR(H94/H444, "NA")</f>
        <v>-1.4436447530370202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-2615.61</v>
      </c>
      <c r="U94" s="8">
        <f>IFERROR(T94/T444, "NA")</f>
        <v>-3.4999964539856473E-2</v>
      </c>
      <c r="V94" s="9"/>
      <c r="W94" s="10">
        <f t="shared" ref="W94:W124" si="26">IFERROR(Q94-T94, "NA")</f>
        <v>2615.61</v>
      </c>
      <c r="X94" s="8">
        <f>IFERROR(W94/W444, "NA")</f>
        <v>-1.4436447530370202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-1030.82</v>
      </c>
      <c r="C96" s="8">
        <f>IFERROR(B96/B444, "NA")</f>
        <v>-1.4136317645726178E-2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-1030.82</v>
      </c>
      <c r="I96" s="8">
        <f>IFERROR(H96/H444, "NA")</f>
        <v>0.56894486728740945</v>
      </c>
      <c r="J96" s="9"/>
      <c r="K96" s="7">
        <v>-151.41999999999999</v>
      </c>
      <c r="L96" s="8">
        <f>IFERROR(K96/K444, "NA")</f>
        <v>-2.1274882810408927E-3</v>
      </c>
      <c r="M96" s="9"/>
      <c r="N96" s="10">
        <f t="shared" si="25"/>
        <v>-879.4</v>
      </c>
      <c r="O96" s="8">
        <f>IFERROR(N96/N444, "NA")</f>
        <v>-0.50342044251080764</v>
      </c>
      <c r="P96" s="9"/>
      <c r="Q96" s="7">
        <v>-1030.82</v>
      </c>
      <c r="R96" s="8">
        <f>IFERROR(Q96/Q444, "NA")</f>
        <v>-1.4136317645726178E-2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-1030.82</v>
      </c>
      <c r="X96" s="8">
        <f>IFERROR(W96/W444, "NA")</f>
        <v>0.56894486728740945</v>
      </c>
      <c r="Y96" s="9"/>
      <c r="Z96" s="7">
        <v>-151.41999999999999</v>
      </c>
      <c r="AA96" s="8">
        <f>IFERROR(Z96/Z444, "NA")</f>
        <v>-2.1274882810408927E-3</v>
      </c>
      <c r="AB96" s="9"/>
      <c r="AC96" s="10">
        <f t="shared" si="27"/>
        <v>-879.4</v>
      </c>
      <c r="AD96" s="8">
        <f>IFERROR(AC96/AC444, "NA")</f>
        <v>-0.50342044251080764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-1685.36</v>
      </c>
      <c r="C98" s="8">
        <f>IFERROR(B98/B444, "NA")</f>
        <v>-2.3112458341321543E-2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-1685.36</v>
      </c>
      <c r="I98" s="8">
        <f>IFERROR(H98/H444, "NA")</f>
        <v>0.93020791363332911</v>
      </c>
      <c r="J98" s="9"/>
      <c r="K98" s="7">
        <v>-1336.3</v>
      </c>
      <c r="L98" s="8">
        <f>IFERROR(K98/K444, "NA")</f>
        <v>-1.8775344009740753E-2</v>
      </c>
      <c r="M98" s="9"/>
      <c r="N98" s="10">
        <f t="shared" si="25"/>
        <v>-349.05999999999995</v>
      </c>
      <c r="O98" s="8">
        <f>IFERROR(N98/N444, "NA")</f>
        <v>-0.19982253771073744</v>
      </c>
      <c r="P98" s="9"/>
      <c r="Q98" s="7">
        <v>-1685.36</v>
      </c>
      <c r="R98" s="8">
        <f>IFERROR(Q98/Q444, "NA")</f>
        <v>-2.3112458341321543E-2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-1685.36</v>
      </c>
      <c r="X98" s="8">
        <f>IFERROR(W98/W444, "NA")</f>
        <v>0.93020791363332911</v>
      </c>
      <c r="Y98" s="9"/>
      <c r="Z98" s="7">
        <v>-1336.3</v>
      </c>
      <c r="AA98" s="8">
        <f>IFERROR(Z98/Z444, "NA")</f>
        <v>-1.8775344009740753E-2</v>
      </c>
      <c r="AB98" s="9"/>
      <c r="AC98" s="10">
        <f t="shared" si="27"/>
        <v>-349.05999999999995</v>
      </c>
      <c r="AD98" s="8">
        <f>IFERROR(AC98/AC444, "NA")</f>
        <v>-0.19982253771073744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0</v>
      </c>
      <c r="C100" s="8">
        <f>IFERROR(B100/B444, "NA")</f>
        <v>0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0</v>
      </c>
      <c r="I100" s="8">
        <f>IFERROR(H100/H444, "NA")</f>
        <v>0</v>
      </c>
      <c r="J100" s="9"/>
      <c r="K100" s="7">
        <v>-2206.3000000000002</v>
      </c>
      <c r="L100" s="8">
        <f>IFERROR(K100/K444, "NA")</f>
        <v>-3.0999058211996579E-2</v>
      </c>
      <c r="M100" s="9"/>
      <c r="N100" s="10">
        <f t="shared" si="25"/>
        <v>2206.3000000000002</v>
      </c>
      <c r="O100" s="8">
        <f>IFERROR(N100/N444, "NA")</f>
        <v>1.2630162864584888</v>
      </c>
      <c r="P100" s="9"/>
      <c r="Q100" s="7">
        <v>0</v>
      </c>
      <c r="R100" s="8">
        <f>IFERROR(Q100/Q444, "NA")</f>
        <v>0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0</v>
      </c>
      <c r="X100" s="8">
        <f>IFERROR(W100/W444, "NA")</f>
        <v>0</v>
      </c>
      <c r="Y100" s="9"/>
      <c r="Z100" s="7">
        <v>-2206.3000000000002</v>
      </c>
      <c r="AA100" s="8">
        <f>IFERROR(Z100/Z444, "NA")</f>
        <v>-3.0999058211996579E-2</v>
      </c>
      <c r="AB100" s="9"/>
      <c r="AC100" s="10">
        <f t="shared" si="27"/>
        <v>2206.3000000000002</v>
      </c>
      <c r="AD100" s="8">
        <f>IFERROR(AC100/AC444, "NA")</f>
        <v>1.2630162864584888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-1358.65</v>
      </c>
      <c r="C102" s="8">
        <f>IFERROR(B102/B444, "NA")</f>
        <v>-1.8632067644560518E-2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-1358.65</v>
      </c>
      <c r="I102" s="8">
        <f>IFERROR(H102/H444, "NA")</f>
        <v>0.74988547364238078</v>
      </c>
      <c r="J102" s="9"/>
      <c r="K102" s="7">
        <v>-95.48</v>
      </c>
      <c r="L102" s="8">
        <f>IFERROR(K102/K444, "NA")</f>
        <v>-1.3415175080820527E-3</v>
      </c>
      <c r="M102" s="9"/>
      <c r="N102" s="10">
        <f t="shared" si="25"/>
        <v>-1263.17</v>
      </c>
      <c r="O102" s="8">
        <f>IFERROR(N102/N444, "NA")</f>
        <v>-0.72311303202908461</v>
      </c>
      <c r="P102" s="9"/>
      <c r="Q102" s="7">
        <v>-1358.65</v>
      </c>
      <c r="R102" s="8">
        <f>IFERROR(Q102/Q444, "NA")</f>
        <v>-1.8632067644560518E-2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-1358.65</v>
      </c>
      <c r="X102" s="8">
        <f>IFERROR(W102/W444, "NA")</f>
        <v>0.74988547364238078</v>
      </c>
      <c r="Y102" s="9"/>
      <c r="Z102" s="7">
        <v>-95.48</v>
      </c>
      <c r="AA102" s="8">
        <f>IFERROR(Z102/Z444, "NA")</f>
        <v>-1.3415175080820527E-3</v>
      </c>
      <c r="AB102" s="9"/>
      <c r="AC102" s="10">
        <f t="shared" si="27"/>
        <v>-1263.17</v>
      </c>
      <c r="AD102" s="8">
        <f>IFERROR(AC102/AC444, "NA")</f>
        <v>-0.72311303202908461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-700.33</v>
      </c>
      <c r="C104" s="8">
        <f>IFERROR(B104/B444, "NA")</f>
        <v>-9.6040893044677198E-3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-700.33</v>
      </c>
      <c r="I104" s="8">
        <f>IFERROR(H104/H444, "NA")</f>
        <v>0.38653611581788427</v>
      </c>
      <c r="J104" s="9"/>
      <c r="K104" s="7">
        <v>-674.43</v>
      </c>
      <c r="L104" s="8">
        <f>IFERROR(K104/K444, "NA")</f>
        <v>-9.4759075510659693E-3</v>
      </c>
      <c r="M104" s="9"/>
      <c r="N104" s="10">
        <f t="shared" si="25"/>
        <v>-25.900000000000091</v>
      </c>
      <c r="O104" s="8">
        <f>IFERROR(N104/N444, "NA")</f>
        <v>-1.4826688038469371E-2</v>
      </c>
      <c r="P104" s="9"/>
      <c r="Q104" s="7">
        <v>-700.33</v>
      </c>
      <c r="R104" s="8">
        <f>IFERROR(Q104/Q444, "NA")</f>
        <v>-9.6040893044677198E-3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-700.33</v>
      </c>
      <c r="X104" s="8">
        <f>IFERROR(W104/W444, "NA")</f>
        <v>0.38653611581788427</v>
      </c>
      <c r="Y104" s="9"/>
      <c r="Z104" s="7">
        <v>-674.43</v>
      </c>
      <c r="AA104" s="8">
        <f>IFERROR(Z104/Z444, "NA")</f>
        <v>-9.4759075510659693E-3</v>
      </c>
      <c r="AB104" s="9"/>
      <c r="AC104" s="10">
        <f t="shared" si="27"/>
        <v>-25.900000000000091</v>
      </c>
      <c r="AD104" s="8">
        <f>IFERROR(AC104/AC444, "NA")</f>
        <v>-1.4826688038469371E-2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-844.74</v>
      </c>
      <c r="C106" s="8">
        <f>IFERROR(B106/B444, "NA")</f>
        <v>-1.1584479315545617E-2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-844.74</v>
      </c>
      <c r="I106" s="8">
        <f>IFERROR(H106/H444, "NA")</f>
        <v>0.46624094137906352</v>
      </c>
      <c r="J106" s="9"/>
      <c r="K106" s="7">
        <v>-241.7</v>
      </c>
      <c r="L106" s="8">
        <f>IFERROR(K106/K444, "NA")</f>
        <v>-3.3959445088336E-3</v>
      </c>
      <c r="M106" s="9"/>
      <c r="N106" s="10">
        <f t="shared" si="25"/>
        <v>-603.04</v>
      </c>
      <c r="O106" s="8">
        <f>IFERROR(N106/N444, "NA")</f>
        <v>-0.34521567392735664</v>
      </c>
      <c r="P106" s="9"/>
      <c r="Q106" s="7">
        <v>-844.74</v>
      </c>
      <c r="R106" s="8">
        <f>IFERROR(Q106/Q444, "NA")</f>
        <v>-1.1584479315545617E-2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-844.74</v>
      </c>
      <c r="X106" s="8">
        <f>IFERROR(W106/W444, "NA")</f>
        <v>0.46624094137906352</v>
      </c>
      <c r="Y106" s="9"/>
      <c r="Z106" s="7">
        <v>-241.7</v>
      </c>
      <c r="AA106" s="8">
        <f>IFERROR(Z106/Z444, "NA")</f>
        <v>-3.3959445088336E-3</v>
      </c>
      <c r="AB106" s="9"/>
      <c r="AC106" s="10">
        <f t="shared" si="27"/>
        <v>-603.04</v>
      </c>
      <c r="AD106" s="8">
        <f>IFERROR(AC106/AC444, "NA")</f>
        <v>-0.34521567392735664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-5619.9</v>
      </c>
      <c r="C118" s="15">
        <f>IFERROR(B118/B444, "NA")</f>
        <v>-7.7069412251621575E-2</v>
      </c>
      <c r="D118" s="2"/>
      <c r="E118" s="14">
        <f>IFERROR(E94+E95+E96+E97+E98+E99+E100+E101+E102+E103+E104+E105+E106+E107+E108+E109+E110+E111+E112+E113+E114+E115+E116+E117, "NA")</f>
        <v>-2615.61</v>
      </c>
      <c r="F118" s="15">
        <f>IFERROR(E118/E444, "NA")</f>
        <v>-3.4999964539856473E-2</v>
      </c>
      <c r="G118" s="2"/>
      <c r="H118" s="14">
        <f t="shared" si="24"/>
        <v>-3004.2899999999995</v>
      </c>
      <c r="I118" s="15">
        <f>IFERROR(H118/H444, "NA")</f>
        <v>1.6581705587230469</v>
      </c>
      <c r="J118" s="2"/>
      <c r="K118" s="14">
        <f>IFERROR(K94+K95+K96+K97+K98+K99+K100+K101+K102+K103+K104+K105+K106+K107+K108+K109+K110+K111+K112+K113+K114+K115+K116+K117, "NA")</f>
        <v>-4705.63</v>
      </c>
      <c r="L118" s="15">
        <f>IFERROR(K118/K444, "NA")</f>
        <v>-6.6115260070759851E-2</v>
      </c>
      <c r="M118" s="2"/>
      <c r="N118" s="14">
        <f t="shared" si="25"/>
        <v>-914.26999999999953</v>
      </c>
      <c r="O118" s="15">
        <f>IFERROR(N118/N444, "NA")</f>
        <v>-0.52338208775796669</v>
      </c>
      <c r="P118" s="2"/>
      <c r="Q118" s="14">
        <f>IFERROR(Q94+Q95+Q96+Q97+Q98+Q99+Q100+Q101+Q102+Q103+Q104+Q105+Q106+Q107+Q108+Q109+Q110+Q111+Q112+Q113+Q114+Q115+Q116+Q117, "NA")</f>
        <v>-5619.9</v>
      </c>
      <c r="R118" s="15">
        <f>IFERROR(Q118/Q444, "NA")</f>
        <v>-7.7069412251621575E-2</v>
      </c>
      <c r="S118" s="2"/>
      <c r="T118" s="14">
        <f>IFERROR(T94+T95+T96+T97+T98+T99+T100+T101+T102+T103+T104+T105+T106+T107+T108+T109+T110+T111+T112+T113+T114+T115+T116+T117, "NA")</f>
        <v>-2615.61</v>
      </c>
      <c r="U118" s="15">
        <f>IFERROR(T118/T444, "NA")</f>
        <v>-3.4999964539856473E-2</v>
      </c>
      <c r="V118" s="2"/>
      <c r="W118" s="14">
        <f t="shared" si="26"/>
        <v>-3004.2899999999995</v>
      </c>
      <c r="X118" s="15">
        <f>IFERROR(W118/W444, "NA")</f>
        <v>1.6581705587230469</v>
      </c>
      <c r="Y118" s="2"/>
      <c r="Z118" s="14">
        <f>IFERROR(Z94+Z95+Z96+Z97+Z98+Z99+Z100+Z101+Z102+Z103+Z104+Z105+Z106+Z107+Z108+Z109+Z110+Z111+Z112+Z113+Z114+Z115+Z116+Z117, "NA")</f>
        <v>-4705.63</v>
      </c>
      <c r="AA118" s="15">
        <f>IFERROR(Z118/Z444, "NA")</f>
        <v>-6.6115260070759851E-2</v>
      </c>
      <c r="AB118" s="2"/>
      <c r="AC118" s="14">
        <f t="shared" si="27"/>
        <v>-914.26999999999953</v>
      </c>
      <c r="AD118" s="15">
        <f>IFERROR(AC118/AC444, "NA")</f>
        <v>-0.52338208775796669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72919.98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74731.789999999994</v>
      </c>
      <c r="F122" s="15">
        <f>IFERROR(E122/E444, "NA")</f>
        <v>1</v>
      </c>
      <c r="G122" s="2"/>
      <c r="H122" s="14">
        <f t="shared" si="24"/>
        <v>-1811.8099999999977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71173.13</v>
      </c>
      <c r="L122" s="15">
        <f>IFERROR(K122/K444, "NA")</f>
        <v>1</v>
      </c>
      <c r="M122" s="2"/>
      <c r="N122" s="14">
        <f t="shared" si="25"/>
        <v>1746.8499999999913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72919.98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74731.789999999994</v>
      </c>
      <c r="U122" s="15">
        <f>IFERROR(T122/T444, "NA")</f>
        <v>1</v>
      </c>
      <c r="V122" s="2"/>
      <c r="W122" s="14">
        <f t="shared" si="26"/>
        <v>-1811.8099999999977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71173.13</v>
      </c>
      <c r="AA122" s="15">
        <f>IFERROR(Z122/Z444, "NA")</f>
        <v>1</v>
      </c>
      <c r="AB122" s="2"/>
      <c r="AC122" s="14">
        <f t="shared" si="27"/>
        <v>1746.8499999999913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72919.98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74731.789999999994</v>
      </c>
      <c r="F124" s="15">
        <f>IFERROR(E124/E444, "NA")</f>
        <v>1</v>
      </c>
      <c r="G124" s="2"/>
      <c r="H124" s="14">
        <f t="shared" si="24"/>
        <v>-1811.8099999999977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71173.13</v>
      </c>
      <c r="L124" s="15">
        <f>IFERROR(K124/K444, "NA")</f>
        <v>1</v>
      </c>
      <c r="M124" s="2"/>
      <c r="N124" s="14">
        <f t="shared" si="25"/>
        <v>1746.8499999999913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72919.98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74731.789999999994</v>
      </c>
      <c r="U124" s="15">
        <f>IFERROR(T124/T444, "NA")</f>
        <v>1</v>
      </c>
      <c r="V124" s="2"/>
      <c r="W124" s="14">
        <f t="shared" si="26"/>
        <v>-1811.8099999999977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71173.13</v>
      </c>
      <c r="AA124" s="15">
        <f>IFERROR(Z124/Z444, "NA")</f>
        <v>1</v>
      </c>
      <c r="AB124" s="2"/>
      <c r="AC124" s="14">
        <f t="shared" si="27"/>
        <v>1746.8499999999913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20028.12</v>
      </c>
      <c r="F129" s="8">
        <f>IFERROR(E129/E444, "NA")</f>
        <v>0.26800000374673216</v>
      </c>
      <c r="G129" s="9"/>
      <c r="H129" s="10">
        <f t="shared" ref="H129:H141" si="28">IFERROR(-(B129-E129), "NA")</f>
        <v>20028.12</v>
      </c>
      <c r="I129" s="8">
        <f>IFERROR(H129/H444, "NA")</f>
        <v>-11.054205463045255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20028.12</v>
      </c>
      <c r="U129" s="8">
        <f>IFERROR(T129/T444, "NA")</f>
        <v>0.26800000374673216</v>
      </c>
      <c r="V129" s="9"/>
      <c r="W129" s="10">
        <f t="shared" ref="W129:W141" si="30">IFERROR(-(Q129-T129), "NA")</f>
        <v>20028.12</v>
      </c>
      <c r="X129" s="8">
        <f>IFERROR(W129/W444, "NA")</f>
        <v>-11.054205463045255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4072.91</v>
      </c>
      <c r="C130" s="8">
        <f>IFERROR(B130/B444, "NA")</f>
        <v>5.585451339948256E-2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-4072.91</v>
      </c>
      <c r="I130" s="8">
        <f>IFERROR(H130/H444, "NA")</f>
        <v>2.2479785407962232</v>
      </c>
      <c r="J130" s="9"/>
      <c r="K130" s="7">
        <v>4281.29</v>
      </c>
      <c r="L130" s="8">
        <f>IFERROR(K130/K444, "NA")</f>
        <v>6.0153178594225094E-2</v>
      </c>
      <c r="M130" s="9"/>
      <c r="N130" s="10">
        <f t="shared" si="29"/>
        <v>208.38000000000011</v>
      </c>
      <c r="O130" s="8">
        <f>IFERROR(N130/N444, "NA")</f>
        <v>0.11928900592495129</v>
      </c>
      <c r="P130" s="9"/>
      <c r="Q130" s="7">
        <v>4072.91</v>
      </c>
      <c r="R130" s="8">
        <f>IFERROR(Q130/Q444, "NA")</f>
        <v>5.585451339948256E-2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-4072.91</v>
      </c>
      <c r="X130" s="8">
        <f>IFERROR(W130/W444, "NA")</f>
        <v>2.2479785407962232</v>
      </c>
      <c r="Y130" s="9"/>
      <c r="Z130" s="7">
        <v>4281.29</v>
      </c>
      <c r="AA130" s="8">
        <f>IFERROR(Z130/Z444, "NA")</f>
        <v>6.0153178594225094E-2</v>
      </c>
      <c r="AB130" s="9"/>
      <c r="AC130" s="10">
        <f t="shared" si="31"/>
        <v>208.38000000000011</v>
      </c>
      <c r="AD130" s="8">
        <f>IFERROR(AC130/AC444, "NA")</f>
        <v>0.11928900592495129</v>
      </c>
    </row>
    <row r="131" spans="1:30" ht="16.5" customHeight="1" x14ac:dyDescent="0.45">
      <c r="A131" s="12" t="s">
        <v>123</v>
      </c>
      <c r="B131" s="7">
        <v>2806.39</v>
      </c>
      <c r="C131" s="8">
        <f>IFERROR(B131/B444, "NA")</f>
        <v>3.8485885487077751E-2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-2806.39</v>
      </c>
      <c r="I131" s="8">
        <f>IFERROR(H131/H444, "NA")</f>
        <v>1.5489427699372469</v>
      </c>
      <c r="J131" s="9"/>
      <c r="K131" s="7">
        <v>2449.3000000000002</v>
      </c>
      <c r="L131" s="8">
        <f>IFERROR(K131/K444, "NA")</f>
        <v>3.4413268040902514E-2</v>
      </c>
      <c r="M131" s="9"/>
      <c r="N131" s="10">
        <f t="shared" si="29"/>
        <v>-357.08999999999969</v>
      </c>
      <c r="O131" s="8">
        <f>IFERROR(N131/N444, "NA")</f>
        <v>-0.20441938346166041</v>
      </c>
      <c r="P131" s="9"/>
      <c r="Q131" s="7">
        <v>2806.39</v>
      </c>
      <c r="R131" s="8">
        <f>IFERROR(Q131/Q444, "NA")</f>
        <v>3.8485885487077751E-2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-2806.39</v>
      </c>
      <c r="X131" s="8">
        <f>IFERROR(W131/W444, "NA")</f>
        <v>1.5489427699372469</v>
      </c>
      <c r="Y131" s="9"/>
      <c r="Z131" s="7">
        <v>2449.3000000000002</v>
      </c>
      <c r="AA131" s="8">
        <f>IFERROR(Z131/Z444, "NA")</f>
        <v>3.4413268040902514E-2</v>
      </c>
      <c r="AB131" s="9"/>
      <c r="AC131" s="10">
        <f t="shared" si="31"/>
        <v>-357.08999999999969</v>
      </c>
      <c r="AD131" s="8">
        <f>IFERROR(AC131/AC444, "NA")</f>
        <v>-0.20441938346166041</v>
      </c>
    </row>
    <row r="132" spans="1:30" ht="16.5" customHeight="1" x14ac:dyDescent="0.45">
      <c r="A132" s="12" t="s">
        <v>124</v>
      </c>
      <c r="B132" s="7">
        <v>2864.1</v>
      </c>
      <c r="C132" s="8">
        <f>IFERROR(B132/B444, "NA")</f>
        <v>3.927730095373038E-2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-2864.1</v>
      </c>
      <c r="I132" s="8">
        <f>IFERROR(H132/H444, "NA")</f>
        <v>1.5807948957120248</v>
      </c>
      <c r="J132" s="9"/>
      <c r="K132" s="7">
        <v>2345.08</v>
      </c>
      <c r="L132" s="8">
        <f>IFERROR(K132/K444, "NA")</f>
        <v>3.2948951380949519E-2</v>
      </c>
      <c r="M132" s="9"/>
      <c r="N132" s="10">
        <f t="shared" si="29"/>
        <v>-519.02</v>
      </c>
      <c r="O132" s="8">
        <f>IFERROR(N132/N444, "NA")</f>
        <v>-0.29711766894696318</v>
      </c>
      <c r="P132" s="9"/>
      <c r="Q132" s="7">
        <v>2864.1</v>
      </c>
      <c r="R132" s="8">
        <f>IFERROR(Q132/Q444, "NA")</f>
        <v>3.927730095373038E-2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-2864.1</v>
      </c>
      <c r="X132" s="8">
        <f>IFERROR(W132/W444, "NA")</f>
        <v>1.5807948957120248</v>
      </c>
      <c r="Y132" s="9"/>
      <c r="Z132" s="7">
        <v>2345.08</v>
      </c>
      <c r="AA132" s="8">
        <f>IFERROR(Z132/Z444, "NA")</f>
        <v>3.2948951380949519E-2</v>
      </c>
      <c r="AB132" s="9"/>
      <c r="AC132" s="10">
        <f t="shared" si="31"/>
        <v>-519.02</v>
      </c>
      <c r="AD132" s="8">
        <f>IFERROR(AC132/AC444, "NA")</f>
        <v>-0.29711766894696318</v>
      </c>
    </row>
    <row r="133" spans="1:30" ht="16.5" customHeight="1" x14ac:dyDescent="0.45">
      <c r="A133" s="12" t="s">
        <v>125</v>
      </c>
      <c r="B133" s="7">
        <v>1905.41</v>
      </c>
      <c r="C133" s="8">
        <f>IFERROR(B133/B444, "NA")</f>
        <v>2.613014978885074E-2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-1905.41</v>
      </c>
      <c r="I133" s="8">
        <f>IFERROR(H133/H444, "NA")</f>
        <v>1.0516610461361857</v>
      </c>
      <c r="J133" s="9"/>
      <c r="K133" s="7">
        <v>1446.3</v>
      </c>
      <c r="L133" s="8">
        <f>IFERROR(K133/K444, "NA")</f>
        <v>2.0320871092784593E-2</v>
      </c>
      <c r="M133" s="9"/>
      <c r="N133" s="10">
        <f t="shared" si="29"/>
        <v>-459.11000000000013</v>
      </c>
      <c r="O133" s="8">
        <f>IFERROR(N133/N444, "NA")</f>
        <v>-0.26282165039929156</v>
      </c>
      <c r="P133" s="9"/>
      <c r="Q133" s="7">
        <v>1905.41</v>
      </c>
      <c r="R133" s="8">
        <f>IFERROR(Q133/Q444, "NA")</f>
        <v>2.613014978885074E-2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-1905.41</v>
      </c>
      <c r="X133" s="8">
        <f>IFERROR(W133/W444, "NA")</f>
        <v>1.0516610461361857</v>
      </c>
      <c r="Y133" s="9"/>
      <c r="Z133" s="7">
        <v>1446.3</v>
      </c>
      <c r="AA133" s="8">
        <f>IFERROR(Z133/Z444, "NA")</f>
        <v>2.0320871092784593E-2</v>
      </c>
      <c r="AB133" s="9"/>
      <c r="AC133" s="10">
        <f t="shared" si="31"/>
        <v>-459.11000000000013</v>
      </c>
      <c r="AD133" s="8">
        <f>IFERROR(AC133/AC444, "NA")</f>
        <v>-0.26282165039929156</v>
      </c>
    </row>
    <row r="134" spans="1:30" ht="16.5" customHeight="1" x14ac:dyDescent="0.45">
      <c r="A134" s="12" t="s">
        <v>126</v>
      </c>
      <c r="B134" s="7">
        <v>591.07000000000005</v>
      </c>
      <c r="C134" s="8">
        <f>IFERROR(B134/B444, "NA")</f>
        <v>8.105734532565698E-3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-591.07000000000005</v>
      </c>
      <c r="I134" s="8">
        <f>IFERROR(H134/H444, "NA")</f>
        <v>0.32623177927045377</v>
      </c>
      <c r="J134" s="9"/>
      <c r="K134" s="7">
        <v>872.44</v>
      </c>
      <c r="L134" s="8">
        <f>IFERROR(K134/K444, "NA")</f>
        <v>1.2257996803006977E-2</v>
      </c>
      <c r="M134" s="9"/>
      <c r="N134" s="10">
        <f t="shared" si="29"/>
        <v>281.37</v>
      </c>
      <c r="O134" s="8">
        <f>IFERROR(N134/N444, "NA")</f>
        <v>0.16107278816154874</v>
      </c>
      <c r="P134" s="9"/>
      <c r="Q134" s="7">
        <v>591.07000000000005</v>
      </c>
      <c r="R134" s="8">
        <f>IFERROR(Q134/Q444, "NA")</f>
        <v>8.105734532565698E-3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-591.07000000000005</v>
      </c>
      <c r="X134" s="8">
        <f>IFERROR(W134/W444, "NA")</f>
        <v>0.32623177927045377</v>
      </c>
      <c r="Y134" s="9"/>
      <c r="Z134" s="7">
        <v>872.44</v>
      </c>
      <c r="AA134" s="8">
        <f>IFERROR(Z134/Z444, "NA")</f>
        <v>1.2257996803006977E-2</v>
      </c>
      <c r="AB134" s="9"/>
      <c r="AC134" s="10">
        <f t="shared" si="31"/>
        <v>281.37</v>
      </c>
      <c r="AD134" s="8">
        <f>IFERROR(AC134/AC444, "NA")</f>
        <v>0.16107278816154874</v>
      </c>
    </row>
    <row r="135" spans="1:30" ht="16.5" customHeight="1" x14ac:dyDescent="0.45">
      <c r="A135" s="12" t="s">
        <v>127</v>
      </c>
      <c r="B135" s="7">
        <v>506.27</v>
      </c>
      <c r="C135" s="8">
        <f>IFERROR(B135/B444, "NA")</f>
        <v>6.9428159470147962E-3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-506.27</v>
      </c>
      <c r="I135" s="8">
        <f>IFERROR(H135/H444, "NA")</f>
        <v>0.27942775456587648</v>
      </c>
      <c r="J135" s="9"/>
      <c r="K135" s="7">
        <v>473.55</v>
      </c>
      <c r="L135" s="8">
        <f>IFERROR(K135/K444, "NA")</f>
        <v>6.6534940925037298E-3</v>
      </c>
      <c r="M135" s="9"/>
      <c r="N135" s="10">
        <f t="shared" si="29"/>
        <v>-32.71999999999997</v>
      </c>
      <c r="O135" s="8">
        <f>IFERROR(N135/N444, "NA")</f>
        <v>-1.8730858402267014E-2</v>
      </c>
      <c r="P135" s="9"/>
      <c r="Q135" s="7">
        <v>506.27</v>
      </c>
      <c r="R135" s="8">
        <f>IFERROR(Q135/Q444, "NA")</f>
        <v>6.9428159470147962E-3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-506.27</v>
      </c>
      <c r="X135" s="8">
        <f>IFERROR(W135/W444, "NA")</f>
        <v>0.27942775456587648</v>
      </c>
      <c r="Y135" s="9"/>
      <c r="Z135" s="7">
        <v>473.55</v>
      </c>
      <c r="AA135" s="8">
        <f>IFERROR(Z135/Z444, "NA")</f>
        <v>6.6534940925037298E-3</v>
      </c>
      <c r="AB135" s="9"/>
      <c r="AC135" s="10">
        <f t="shared" si="31"/>
        <v>-32.71999999999997</v>
      </c>
      <c r="AD135" s="8">
        <f>IFERROR(AC135/AC444, "NA")</f>
        <v>-1.8730858402267014E-2</v>
      </c>
    </row>
    <row r="136" spans="1:30" ht="16.5" customHeight="1" x14ac:dyDescent="0.45">
      <c r="A136" s="12" t="s">
        <v>128</v>
      </c>
      <c r="B136" s="7">
        <v>499.97</v>
      </c>
      <c r="C136" s="8">
        <f>IFERROR(B136/B444, "NA")</f>
        <v>6.8564198728524066E-3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-499.97</v>
      </c>
      <c r="I136" s="8">
        <f>IFERROR(H136/H444, "NA")</f>
        <v>0.27595056876824869</v>
      </c>
      <c r="J136" s="9"/>
      <c r="K136" s="7">
        <v>709.64</v>
      </c>
      <c r="L136" s="8">
        <f>IFERROR(K136/K444, "NA")</f>
        <v>9.9706167201020941E-3</v>
      </c>
      <c r="M136" s="9"/>
      <c r="N136" s="10">
        <f t="shared" si="29"/>
        <v>209.66999999999996</v>
      </c>
      <c r="O136" s="8">
        <f>IFERROR(N136/N444, "NA")</f>
        <v>0.12002747803188654</v>
      </c>
      <c r="P136" s="9"/>
      <c r="Q136" s="7">
        <v>499.97</v>
      </c>
      <c r="R136" s="8">
        <f>IFERROR(Q136/Q444, "NA")</f>
        <v>6.8564198728524066E-3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-499.97</v>
      </c>
      <c r="X136" s="8">
        <f>IFERROR(W136/W444, "NA")</f>
        <v>0.27595056876824869</v>
      </c>
      <c r="Y136" s="9"/>
      <c r="Z136" s="7">
        <v>709.64</v>
      </c>
      <c r="AA136" s="8">
        <f>IFERROR(Z136/Z444, "NA")</f>
        <v>9.9706167201020941E-3</v>
      </c>
      <c r="AB136" s="9"/>
      <c r="AC136" s="10">
        <f t="shared" si="31"/>
        <v>209.66999999999996</v>
      </c>
      <c r="AD136" s="8">
        <f>IFERROR(AC136/AC444, "NA")</f>
        <v>0.12002747803188654</v>
      </c>
    </row>
    <row r="137" spans="1:30" ht="16.5" customHeight="1" x14ac:dyDescent="0.45">
      <c r="A137" s="12" t="s">
        <v>129</v>
      </c>
      <c r="B137" s="7">
        <v>320.88</v>
      </c>
      <c r="C137" s="8">
        <f>IFERROR(B137/B444, "NA")</f>
        <v>4.4004400440044002E-3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-320.88</v>
      </c>
      <c r="I137" s="8">
        <f>IFERROR(H137/H444, "NA")</f>
        <v>0.17710466329250882</v>
      </c>
      <c r="J137" s="9"/>
      <c r="K137" s="7">
        <v>492.19</v>
      </c>
      <c r="L137" s="8">
        <f>IFERROR(K137/K444, "NA")</f>
        <v>6.9153906818486127E-3</v>
      </c>
      <c r="M137" s="9"/>
      <c r="N137" s="10">
        <f t="shared" si="29"/>
        <v>171.31</v>
      </c>
      <c r="O137" s="8">
        <f>IFERROR(N137/N444, "NA")</f>
        <v>9.8067950883018493E-2</v>
      </c>
      <c r="P137" s="9"/>
      <c r="Q137" s="7">
        <v>320.88</v>
      </c>
      <c r="R137" s="8">
        <f>IFERROR(Q137/Q444, "NA")</f>
        <v>4.4004400440044002E-3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-320.88</v>
      </c>
      <c r="X137" s="8">
        <f>IFERROR(W137/W444, "NA")</f>
        <v>0.17710466329250882</v>
      </c>
      <c r="Y137" s="9"/>
      <c r="Z137" s="7">
        <v>492.19</v>
      </c>
      <c r="AA137" s="8">
        <f>IFERROR(Z137/Z444, "NA")</f>
        <v>6.9153906818486127E-3</v>
      </c>
      <c r="AB137" s="9"/>
      <c r="AC137" s="10">
        <f t="shared" si="31"/>
        <v>171.31</v>
      </c>
      <c r="AD137" s="8">
        <f>IFERROR(AC137/AC444, "NA")</f>
        <v>9.8067950883018493E-2</v>
      </c>
    </row>
    <row r="138" spans="1:30" ht="16.5" customHeight="1" x14ac:dyDescent="0.45">
      <c r="A138" s="12" t="s">
        <v>130</v>
      </c>
      <c r="B138" s="7">
        <v>4000.38</v>
      </c>
      <c r="C138" s="8">
        <f>IFERROR(B138/B444, "NA")</f>
        <v>5.485986145360984E-2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-4000.38</v>
      </c>
      <c r="I138" s="8">
        <f>IFERROR(H138/H444, "NA")</f>
        <v>2.2079467493832166</v>
      </c>
      <c r="J138" s="9"/>
      <c r="K138" s="7">
        <v>4188.53</v>
      </c>
      <c r="L138" s="8">
        <f>IFERROR(K138/K444, "NA")</f>
        <v>5.884987775583285E-2</v>
      </c>
      <c r="M138" s="9"/>
      <c r="N138" s="10">
        <f t="shared" si="29"/>
        <v>188.14999999999964</v>
      </c>
      <c r="O138" s="8">
        <f>IFERROR(N138/N444, "NA")</f>
        <v>0.10770816040301147</v>
      </c>
      <c r="P138" s="9"/>
      <c r="Q138" s="7">
        <v>4000.38</v>
      </c>
      <c r="R138" s="8">
        <f>IFERROR(Q138/Q444, "NA")</f>
        <v>5.485986145360984E-2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-4000.38</v>
      </c>
      <c r="X138" s="8">
        <f>IFERROR(W138/W444, "NA")</f>
        <v>2.2079467493832166</v>
      </c>
      <c r="Y138" s="9"/>
      <c r="Z138" s="7">
        <v>4188.53</v>
      </c>
      <c r="AA138" s="8">
        <f>IFERROR(Z138/Z444, "NA")</f>
        <v>5.884987775583285E-2</v>
      </c>
      <c r="AB138" s="9"/>
      <c r="AC138" s="10">
        <f t="shared" si="31"/>
        <v>188.14999999999964</v>
      </c>
      <c r="AD138" s="8">
        <f>IFERROR(AC138/AC444, "NA")</f>
        <v>0.10770816040301147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17567.379999999997</v>
      </c>
      <c r="C141" s="15">
        <f>IFERROR(B141/B444, "NA")</f>
        <v>0.24091312147918853</v>
      </c>
      <c r="D141" s="2"/>
      <c r="E141" s="14">
        <f>IFERROR(E129+E130+E131+E132+E133+E134+E135+E136+E137+E138+E139+E140, "NA")</f>
        <v>20028.12</v>
      </c>
      <c r="F141" s="15">
        <f>IFERROR(E141/E444, "NA")</f>
        <v>0.26800000374673216</v>
      </c>
      <c r="G141" s="2"/>
      <c r="H141" s="14">
        <f t="shared" si="28"/>
        <v>2460.7400000000016</v>
      </c>
      <c r="I141" s="15">
        <f>IFERROR(H141/H444, "NA")</f>
        <v>-1.3581666951832725</v>
      </c>
      <c r="J141" s="2"/>
      <c r="K141" s="14">
        <f>IFERROR(K129+K130+K131+K132+K133+K134+K135+K136+K137+K138+K139+K140, "NA")</f>
        <v>17258.32</v>
      </c>
      <c r="L141" s="15">
        <f>IFERROR(K141/K444, "NA")</f>
        <v>0.24248364516215598</v>
      </c>
      <c r="M141" s="2"/>
      <c r="N141" s="14">
        <f t="shared" si="29"/>
        <v>-309.05999999999767</v>
      </c>
      <c r="O141" s="15">
        <f>IFERROR(N141/N444, "NA")</f>
        <v>-0.17692417780576422</v>
      </c>
      <c r="P141" s="2"/>
      <c r="Q141" s="14">
        <f>IFERROR(Q129+Q130+Q131+Q132+Q133+Q134+Q135+Q136+Q137+Q138+Q139+Q140, "NA")</f>
        <v>17567.379999999997</v>
      </c>
      <c r="R141" s="15">
        <f>IFERROR(Q141/Q444, "NA")</f>
        <v>0.24091312147918853</v>
      </c>
      <c r="S141" s="2"/>
      <c r="T141" s="14">
        <f>IFERROR(T129+T130+T131+T132+T133+T134+T135+T136+T137+T138+T139+T140, "NA")</f>
        <v>20028.12</v>
      </c>
      <c r="U141" s="15">
        <f>IFERROR(T141/T444, "NA")</f>
        <v>0.26800000374673216</v>
      </c>
      <c r="V141" s="2"/>
      <c r="W141" s="14">
        <f t="shared" si="30"/>
        <v>2460.7400000000016</v>
      </c>
      <c r="X141" s="15">
        <f>IFERROR(W141/W444, "NA")</f>
        <v>-1.3581666951832725</v>
      </c>
      <c r="Y141" s="2"/>
      <c r="Z141" s="14">
        <f>IFERROR(Z129+Z130+Z131+Z132+Z133+Z134+Z135+Z136+Z137+Z138+Z139+Z140, "NA")</f>
        <v>17258.32</v>
      </c>
      <c r="AA141" s="15">
        <f>IFERROR(Z141/Z444, "NA")</f>
        <v>0.24248364516215598</v>
      </c>
      <c r="AB141" s="2"/>
      <c r="AC141" s="14">
        <f t="shared" si="31"/>
        <v>-309.05999999999767</v>
      </c>
      <c r="AD141" s="15">
        <f>IFERROR(AC141/AC444, "NA")</f>
        <v>-0.17692417780576422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1077.58</v>
      </c>
      <c r="C144" s="8">
        <f>IFERROR(B144/B444, "NA")</f>
        <v>1.4777568507287028E-2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-1077.58</v>
      </c>
      <c r="I144" s="8">
        <f>IFERROR(H144/H444, "NA")</f>
        <v>0.59475331298535794</v>
      </c>
      <c r="J144" s="9"/>
      <c r="K144" s="7">
        <v>446.01</v>
      </c>
      <c r="L144" s="8">
        <f>IFERROR(K144/K444, "NA")</f>
        <v>6.2665503118943897E-3</v>
      </c>
      <c r="M144" s="9"/>
      <c r="N144" s="10">
        <f t="shared" si="33"/>
        <v>-631.56999999999994</v>
      </c>
      <c r="O144" s="8">
        <f>IFERROR(N144/N444, "NA")</f>
        <v>-0.36154792912957784</v>
      </c>
      <c r="P144" s="9"/>
      <c r="Q144" s="7">
        <v>1077.58</v>
      </c>
      <c r="R144" s="8">
        <f>IFERROR(Q144/Q444, "NA")</f>
        <v>1.4777568507287028E-2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-1077.58</v>
      </c>
      <c r="X144" s="8">
        <f>IFERROR(W144/W444, "NA")</f>
        <v>0.59475331298535794</v>
      </c>
      <c r="Y144" s="9"/>
      <c r="Z144" s="7">
        <v>446.01</v>
      </c>
      <c r="AA144" s="8">
        <f>IFERROR(Z144/Z444, "NA")</f>
        <v>6.2665503118943897E-3</v>
      </c>
      <c r="AB144" s="9"/>
      <c r="AC144" s="10">
        <f t="shared" si="35"/>
        <v>-631.56999999999994</v>
      </c>
      <c r="AD144" s="8">
        <f>IFERROR(AC144/AC444, "NA")</f>
        <v>-0.36154792912957784</v>
      </c>
    </row>
    <row r="145" spans="1:30" ht="16.5" customHeight="1" x14ac:dyDescent="0.45">
      <c r="A145" s="12" t="s">
        <v>136</v>
      </c>
      <c r="B145" s="7">
        <v>45.57</v>
      </c>
      <c r="C145" s="8">
        <f>IFERROR(B145/B444, "NA")</f>
        <v>6.2493160310795486E-4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-45.57</v>
      </c>
      <c r="I145" s="8">
        <f>IFERROR(H145/H444, "NA")</f>
        <v>2.5151643936174355E-2</v>
      </c>
      <c r="J145" s="9"/>
      <c r="K145" s="7">
        <v>55.37</v>
      </c>
      <c r="L145" s="8">
        <f>IFERROR(K145/K444, "NA")</f>
        <v>7.7796213261943083E-4</v>
      </c>
      <c r="M145" s="9"/>
      <c r="N145" s="10">
        <f t="shared" si="33"/>
        <v>9.7999999999999972</v>
      </c>
      <c r="O145" s="8">
        <f>IFERROR(N145/N444, "NA")</f>
        <v>5.6100981767181193E-3</v>
      </c>
      <c r="P145" s="9"/>
      <c r="Q145" s="7">
        <v>45.57</v>
      </c>
      <c r="R145" s="8">
        <f>IFERROR(Q145/Q444, "NA")</f>
        <v>6.2493160310795486E-4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-45.57</v>
      </c>
      <c r="X145" s="8">
        <f>IFERROR(W145/W444, "NA")</f>
        <v>2.5151643936174355E-2</v>
      </c>
      <c r="Y145" s="9"/>
      <c r="Z145" s="7">
        <v>55.37</v>
      </c>
      <c r="AA145" s="8">
        <f>IFERROR(Z145/Z444, "NA")</f>
        <v>7.7796213261943083E-4</v>
      </c>
      <c r="AB145" s="9"/>
      <c r="AC145" s="10">
        <f t="shared" si="35"/>
        <v>9.7999999999999972</v>
      </c>
      <c r="AD145" s="8">
        <f>IFERROR(AC145/AC444, "NA")</f>
        <v>5.6100981767181193E-3</v>
      </c>
    </row>
    <row r="146" spans="1:30" ht="16.5" customHeight="1" x14ac:dyDescent="0.45">
      <c r="A146" s="12" t="s">
        <v>137</v>
      </c>
      <c r="B146" s="7">
        <v>18.899999999999999</v>
      </c>
      <c r="C146" s="8">
        <f>IFERROR(B146/B444, "NA")</f>
        <v>2.5918822248717017E-4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-18.899999999999999</v>
      </c>
      <c r="I146" s="8">
        <f>IFERROR(H146/H444, "NA")</f>
        <v>1.0431557392883373E-2</v>
      </c>
      <c r="J146" s="9"/>
      <c r="K146" s="7">
        <v>59.38</v>
      </c>
      <c r="L146" s="8">
        <f>IFERROR(K146/K444, "NA")</f>
        <v>8.3430361991948369E-4</v>
      </c>
      <c r="M146" s="9"/>
      <c r="N146" s="10">
        <f t="shared" si="33"/>
        <v>40.480000000000004</v>
      </c>
      <c r="O146" s="8">
        <f>IFERROR(N146/N444, "NA")</f>
        <v>2.3173140223831587E-2</v>
      </c>
      <c r="P146" s="9"/>
      <c r="Q146" s="7">
        <v>18.899999999999999</v>
      </c>
      <c r="R146" s="8">
        <f>IFERROR(Q146/Q444, "NA")</f>
        <v>2.5918822248717017E-4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-18.899999999999999</v>
      </c>
      <c r="X146" s="8">
        <f>IFERROR(W146/W444, "NA")</f>
        <v>1.0431557392883373E-2</v>
      </c>
      <c r="Y146" s="9"/>
      <c r="Z146" s="7">
        <v>59.38</v>
      </c>
      <c r="AA146" s="8">
        <f>IFERROR(Z146/Z444, "NA")</f>
        <v>8.3430361991948369E-4</v>
      </c>
      <c r="AB146" s="9"/>
      <c r="AC146" s="10">
        <f t="shared" si="35"/>
        <v>40.480000000000004</v>
      </c>
      <c r="AD146" s="8">
        <f>IFERROR(AC146/AC444, "NA")</f>
        <v>2.3173140223831587E-2</v>
      </c>
    </row>
    <row r="147" spans="1:30" ht="16.5" customHeight="1" x14ac:dyDescent="0.45">
      <c r="A147" s="12" t="s">
        <v>138</v>
      </c>
      <c r="B147" s="7">
        <v>6.67</v>
      </c>
      <c r="C147" s="8">
        <f>IFERROR(B147/B444, "NA")</f>
        <v>9.1470129311609804E-5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-6.67</v>
      </c>
      <c r="I147" s="8">
        <f>IFERROR(H147/H444, "NA")</f>
        <v>3.6814014714567247E-3</v>
      </c>
      <c r="J147" s="9"/>
      <c r="K147" s="7">
        <v>21.35</v>
      </c>
      <c r="L147" s="8">
        <f>IFERROR(K147/K444, "NA")</f>
        <v>2.9997275657259978E-4</v>
      </c>
      <c r="M147" s="9"/>
      <c r="N147" s="10">
        <f t="shared" si="33"/>
        <v>14.680000000000001</v>
      </c>
      <c r="O147" s="8">
        <f>IFERROR(N147/N444, "NA")</f>
        <v>8.4036980851246966E-3</v>
      </c>
      <c r="P147" s="9"/>
      <c r="Q147" s="7">
        <v>6.67</v>
      </c>
      <c r="R147" s="8">
        <f>IFERROR(Q147/Q444, "NA")</f>
        <v>9.1470129311609804E-5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-6.67</v>
      </c>
      <c r="X147" s="8">
        <f>IFERROR(W147/W444, "NA")</f>
        <v>3.6814014714567247E-3</v>
      </c>
      <c r="Y147" s="9"/>
      <c r="Z147" s="7">
        <v>21.35</v>
      </c>
      <c r="AA147" s="8">
        <f>IFERROR(Z147/Z444, "NA")</f>
        <v>2.9997275657259978E-4</v>
      </c>
      <c r="AB147" s="9"/>
      <c r="AC147" s="10">
        <f t="shared" si="35"/>
        <v>14.680000000000001</v>
      </c>
      <c r="AD147" s="8">
        <f>IFERROR(AC147/AC444, "NA")</f>
        <v>8.4036980851246966E-3</v>
      </c>
    </row>
    <row r="148" spans="1:30" ht="16.5" customHeight="1" x14ac:dyDescent="0.45">
      <c r="A148" s="13" t="s">
        <v>139</v>
      </c>
      <c r="B148" s="14">
        <f>IFERROR(B143+B144+B145+B146+B147, "NA")</f>
        <v>1148.72</v>
      </c>
      <c r="C148" s="15">
        <f>IFERROR(B148/B444, "NA")</f>
        <v>1.5753158462193766E-2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-1148.72</v>
      </c>
      <c r="I148" s="15">
        <f>IFERROR(H148/H444, "NA")</f>
        <v>0.63401791578587241</v>
      </c>
      <c r="J148" s="2"/>
      <c r="K148" s="14">
        <f>IFERROR(K143+K144+K145+K146+K147, "NA")</f>
        <v>582.11</v>
      </c>
      <c r="L148" s="15">
        <f>IFERROR(K148/K444, "NA")</f>
        <v>8.178788821005905E-3</v>
      </c>
      <c r="M148" s="2"/>
      <c r="N148" s="14">
        <f t="shared" si="33"/>
        <v>-566.61</v>
      </c>
      <c r="O148" s="15">
        <f>IFERROR(N148/N444, "NA")</f>
        <v>-0.3243609926439035</v>
      </c>
      <c r="P148" s="2"/>
      <c r="Q148" s="14">
        <f>IFERROR(Q143+Q144+Q145+Q146+Q147, "NA")</f>
        <v>1148.72</v>
      </c>
      <c r="R148" s="15">
        <f>IFERROR(Q148/Q444, "NA")</f>
        <v>1.5753158462193766E-2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-1148.72</v>
      </c>
      <c r="X148" s="15">
        <f>IFERROR(W148/W444, "NA")</f>
        <v>0.63401791578587241</v>
      </c>
      <c r="Y148" s="2"/>
      <c r="Z148" s="14">
        <f>IFERROR(Z143+Z144+Z145+Z146+Z147, "NA")</f>
        <v>582.11</v>
      </c>
      <c r="AA148" s="15">
        <f>IFERROR(Z148/Z444, "NA")</f>
        <v>8.178788821005905E-3</v>
      </c>
      <c r="AB148" s="2"/>
      <c r="AC148" s="14">
        <f t="shared" si="35"/>
        <v>-566.61</v>
      </c>
      <c r="AD148" s="15">
        <f>IFERROR(AC148/AC444, "NA")</f>
        <v>-0.3243609926439035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18716.099999999999</v>
      </c>
      <c r="C149" s="15">
        <f>IFERROR(B149/B444, "NA")</f>
        <v>0.2566662799413823</v>
      </c>
      <c r="D149" s="2"/>
      <c r="E149" s="14">
        <f>IFERROR(E127+E129+E130+E131+E132+E133+E134+E135+E136+E137+E138+E139+E140+E143+E144+E145+E146+E147, "NA")</f>
        <v>20028.12</v>
      </c>
      <c r="F149" s="15">
        <f>IFERROR(E149/E444, "NA")</f>
        <v>0.26800000374673216</v>
      </c>
      <c r="G149" s="2"/>
      <c r="H149" s="14">
        <f t="shared" si="32"/>
        <v>1312.0200000000004</v>
      </c>
      <c r="I149" s="15">
        <f>IFERROR(H149/H444, "NA")</f>
        <v>-0.7241487793973993</v>
      </c>
      <c r="J149" s="2"/>
      <c r="K149" s="14">
        <f>IFERROR(K127+K129+K130+K131+K132+K133+K134+K135+K136+K137+K138+K139+K140+K143+K144+K145+K146+K147, "NA")</f>
        <v>17840.429999999997</v>
      </c>
      <c r="L149" s="15">
        <f>IFERROR(K149/K444, "NA")</f>
        <v>0.25066243398316185</v>
      </c>
      <c r="M149" s="2"/>
      <c r="N149" s="14">
        <f t="shared" si="33"/>
        <v>-875.67000000000189</v>
      </c>
      <c r="O149" s="15">
        <f>IFERROR(N149/N444, "NA")</f>
        <v>-0.50128517044967014</v>
      </c>
      <c r="P149" s="2"/>
      <c r="Q149" s="14">
        <f>IFERROR(Q127+Q129+Q130+Q131+Q132+Q133+Q134+Q135+Q136+Q137+Q138+Q139+Q140+Q143+Q144+Q145+Q146+Q147, "NA")</f>
        <v>18716.099999999999</v>
      </c>
      <c r="R149" s="15">
        <f>IFERROR(Q149/Q444, "NA")</f>
        <v>0.2566662799413823</v>
      </c>
      <c r="S149" s="2"/>
      <c r="T149" s="14">
        <f>IFERROR(T127+T129+T130+T131+T132+T133+T134+T135+T136+T137+T138+T139+T140+T143+T144+T145+T146+T147, "NA")</f>
        <v>20028.12</v>
      </c>
      <c r="U149" s="15">
        <f>IFERROR(T149/T444, "NA")</f>
        <v>0.26800000374673216</v>
      </c>
      <c r="V149" s="2"/>
      <c r="W149" s="14">
        <f t="shared" si="34"/>
        <v>1312.0200000000004</v>
      </c>
      <c r="X149" s="15">
        <f>IFERROR(W149/W444, "NA")</f>
        <v>-0.7241487793973993</v>
      </c>
      <c r="Y149" s="2"/>
      <c r="Z149" s="14">
        <f>IFERROR(Z127+Z129+Z130+Z131+Z132+Z133+Z134+Z135+Z136+Z137+Z138+Z139+Z140+Z143+Z144+Z145+Z146+Z147, "NA")</f>
        <v>17840.429999999997</v>
      </c>
      <c r="AA149" s="15">
        <f>IFERROR(Z149/Z444, "NA")</f>
        <v>0.25066243398316185</v>
      </c>
      <c r="AB149" s="2"/>
      <c r="AC149" s="14">
        <f t="shared" si="35"/>
        <v>-875.67000000000189</v>
      </c>
      <c r="AD149" s="15">
        <f>IFERROR(AC149/AC444, "NA")</f>
        <v>-0.50128517044967014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1569.37</v>
      </c>
      <c r="F153" s="8">
        <f>IFERROR(E153/E444, "NA")</f>
        <v>2.1000032248658838E-2</v>
      </c>
      <c r="G153" s="9"/>
      <c r="H153" s="10">
        <f t="shared" ref="H153:H158" si="36">IFERROR(-(B153-E153), "NA")</f>
        <v>1569.37</v>
      </c>
      <c r="I153" s="8">
        <f>IFERROR(H153/H444, "NA")</f>
        <v>-0.86618905955922632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1569.37</v>
      </c>
      <c r="U153" s="8">
        <f>IFERROR(T153/T444, "NA")</f>
        <v>2.1000032248658838E-2</v>
      </c>
      <c r="V153" s="9"/>
      <c r="W153" s="10">
        <f t="shared" ref="W153:W158" si="38">IFERROR(-(Q153-T153), "NA")</f>
        <v>1569.37</v>
      </c>
      <c r="X153" s="8">
        <f>IFERROR(W153/W444, "NA")</f>
        <v>-0.86618905955922632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2399.42</v>
      </c>
      <c r="C154" s="8">
        <f>IFERROR(B154/B444, "NA")</f>
        <v>3.2904836232813012E-2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-2399.42</v>
      </c>
      <c r="I154" s="8">
        <f>IFERROR(H154/H444, "NA")</f>
        <v>1.3243220867530276</v>
      </c>
      <c r="J154" s="9"/>
      <c r="K154" s="7">
        <v>2578.04</v>
      </c>
      <c r="L154" s="8">
        <f>IFERROR(K154/K444, "NA")</f>
        <v>3.6222096737912185E-2</v>
      </c>
      <c r="M154" s="9"/>
      <c r="N154" s="10">
        <f t="shared" si="37"/>
        <v>178.61999999999989</v>
      </c>
      <c r="O154" s="8">
        <f>IFERROR(N154/N444, "NA")</f>
        <v>0.10225262615565205</v>
      </c>
      <c r="P154" s="9"/>
      <c r="Q154" s="7">
        <v>2399.42</v>
      </c>
      <c r="R154" s="8">
        <f>IFERROR(Q154/Q444, "NA")</f>
        <v>3.2904836232813012E-2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-2399.42</v>
      </c>
      <c r="X154" s="8">
        <f>IFERROR(W154/W444, "NA")</f>
        <v>1.3243220867530276</v>
      </c>
      <c r="Y154" s="9"/>
      <c r="Z154" s="7">
        <v>2578.04</v>
      </c>
      <c r="AA154" s="8">
        <f>IFERROR(Z154/Z444, "NA")</f>
        <v>3.6222096737912185E-2</v>
      </c>
      <c r="AB154" s="9"/>
      <c r="AC154" s="10">
        <f t="shared" si="39"/>
        <v>178.61999999999989</v>
      </c>
      <c r="AD154" s="8">
        <f>IFERROR(AC154/AC444, "NA")</f>
        <v>0.10225262615565205</v>
      </c>
    </row>
    <row r="155" spans="1:30" ht="16.5" customHeight="1" x14ac:dyDescent="0.45">
      <c r="A155" s="12" t="s">
        <v>144</v>
      </c>
      <c r="B155" s="7">
        <v>830.4</v>
      </c>
      <c r="C155" s="8">
        <f>IFERROR(B155/B444, "NA")</f>
        <v>1.1387825394356938E-2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-830.4</v>
      </c>
      <c r="I155" s="8">
        <f>IFERROR(H155/H444, "NA")</f>
        <v>0.45832620418255837</v>
      </c>
      <c r="J155" s="9"/>
      <c r="K155" s="7">
        <v>987.79</v>
      </c>
      <c r="L155" s="8">
        <f>IFERROR(K155/K444, "NA")</f>
        <v>1.3878692703271585E-2</v>
      </c>
      <c r="M155" s="9"/>
      <c r="N155" s="10">
        <f t="shared" si="37"/>
        <v>157.38999999999999</v>
      </c>
      <c r="O155" s="8">
        <f>IFERROR(N155/N444, "NA")</f>
        <v>9.0099321636088262E-2</v>
      </c>
      <c r="P155" s="9"/>
      <c r="Q155" s="7">
        <v>830.4</v>
      </c>
      <c r="R155" s="8">
        <f>IFERROR(Q155/Q444, "NA")</f>
        <v>1.1387825394356938E-2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-830.4</v>
      </c>
      <c r="X155" s="8">
        <f>IFERROR(W155/W444, "NA")</f>
        <v>0.45832620418255837</v>
      </c>
      <c r="Y155" s="9"/>
      <c r="Z155" s="7">
        <v>987.79</v>
      </c>
      <c r="AA155" s="8">
        <f>IFERROR(Z155/Z444, "NA")</f>
        <v>1.3878692703271585E-2</v>
      </c>
      <c r="AB155" s="9"/>
      <c r="AC155" s="10">
        <f t="shared" si="39"/>
        <v>157.38999999999999</v>
      </c>
      <c r="AD155" s="8">
        <f>IFERROR(AC155/AC444, "NA")</f>
        <v>9.0099321636088262E-2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18.489999999999998</v>
      </c>
      <c r="L156" s="8">
        <f>IFERROR(K156/K444, "NA")</f>
        <v>2.5978905241345993E-4</v>
      </c>
      <c r="M156" s="9"/>
      <c r="N156" s="10">
        <f t="shared" si="37"/>
        <v>18.489999999999998</v>
      </c>
      <c r="O156" s="8">
        <f>IFERROR(N156/N444, "NA")</f>
        <v>1.0584766866073269E-2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18.489999999999998</v>
      </c>
      <c r="AA156" s="8">
        <f>IFERROR(Z156/Z444, "NA")</f>
        <v>2.5978905241345993E-4</v>
      </c>
      <c r="AB156" s="9"/>
      <c r="AC156" s="10">
        <f t="shared" si="39"/>
        <v>18.489999999999998</v>
      </c>
      <c r="AD156" s="8">
        <f>IFERROR(AC156/AC444, "NA")</f>
        <v>1.0584766866073269E-2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3229.82</v>
      </c>
      <c r="C158" s="15">
        <f>IFERROR(B158/B444, "NA")</f>
        <v>4.4292661627169952E-2</v>
      </c>
      <c r="D158" s="2"/>
      <c r="E158" s="14">
        <f>IFERROR(E153+E154+E155+E156+E157, "NA")</f>
        <v>1569.37</v>
      </c>
      <c r="F158" s="15">
        <f>IFERROR(E158/E444, "NA")</f>
        <v>2.1000032248658838E-2</v>
      </c>
      <c r="G158" s="2"/>
      <c r="H158" s="14">
        <f t="shared" si="36"/>
        <v>-1660.4500000000003</v>
      </c>
      <c r="I158" s="15">
        <f>IFERROR(H158/H444, "NA")</f>
        <v>0.91645923137635976</v>
      </c>
      <c r="J158" s="2"/>
      <c r="K158" s="14">
        <f>IFERROR(K153+K154+K155+K156+K157, "NA")</f>
        <v>3584.3199999999997</v>
      </c>
      <c r="L158" s="15">
        <f>IFERROR(K158/K444, "NA")</f>
        <v>5.0360578493597222E-2</v>
      </c>
      <c r="M158" s="2"/>
      <c r="N158" s="14">
        <f t="shared" si="37"/>
        <v>354.49999999999955</v>
      </c>
      <c r="O158" s="15">
        <f>IFERROR(N158/N444, "NA")</f>
        <v>0.20293671465781338</v>
      </c>
      <c r="P158" s="2"/>
      <c r="Q158" s="14">
        <f>IFERROR(Q153+Q154+Q155+Q156+Q157, "NA")</f>
        <v>3229.82</v>
      </c>
      <c r="R158" s="15">
        <f>IFERROR(Q158/Q444, "NA")</f>
        <v>4.4292661627169952E-2</v>
      </c>
      <c r="S158" s="2"/>
      <c r="T158" s="14">
        <f>IFERROR(T153+T154+T155+T156+T157, "NA")</f>
        <v>1569.37</v>
      </c>
      <c r="U158" s="15">
        <f>IFERROR(T158/T444, "NA")</f>
        <v>2.1000032248658838E-2</v>
      </c>
      <c r="V158" s="2"/>
      <c r="W158" s="14">
        <f t="shared" si="38"/>
        <v>-1660.4500000000003</v>
      </c>
      <c r="X158" s="15">
        <f>IFERROR(W158/W444, "NA")</f>
        <v>0.91645923137635976</v>
      </c>
      <c r="Y158" s="2"/>
      <c r="Z158" s="14">
        <f>IFERROR(Z153+Z154+Z155+Z156+Z157, "NA")</f>
        <v>3584.3199999999997</v>
      </c>
      <c r="AA158" s="15">
        <f>IFERROR(Z158/Z444, "NA")</f>
        <v>5.0360578493597222E-2</v>
      </c>
      <c r="AB158" s="2"/>
      <c r="AC158" s="14">
        <f t="shared" si="39"/>
        <v>354.49999999999955</v>
      </c>
      <c r="AD158" s="15">
        <f>IFERROR(AC158/AC444, "NA")</f>
        <v>0.20293671465781338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316.11</v>
      </c>
      <c r="C161" s="8">
        <f>IFERROR(B161/B444, "NA")</f>
        <v>4.3350258735671623E-3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-316.11</v>
      </c>
      <c r="I161" s="8">
        <f>IFERROR(H161/H444, "NA")</f>
        <v>0.17447193690287635</v>
      </c>
      <c r="J161" s="9"/>
      <c r="K161" s="7">
        <v>370.61</v>
      </c>
      <c r="L161" s="8">
        <f>IFERROR(K161/K444, "NA")</f>
        <v>5.2071617476988855E-3</v>
      </c>
      <c r="M161" s="9"/>
      <c r="N161" s="10">
        <f t="shared" si="41"/>
        <v>54.5</v>
      </c>
      <c r="O161" s="8">
        <f>IFERROR(N161/N444, "NA")</f>
        <v>3.1199015370524243E-2</v>
      </c>
      <c r="P161" s="9"/>
      <c r="Q161" s="7">
        <v>316.11</v>
      </c>
      <c r="R161" s="8">
        <f>IFERROR(Q161/Q444, "NA")</f>
        <v>4.3350258735671623E-3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-316.11</v>
      </c>
      <c r="X161" s="8">
        <f>IFERROR(W161/W444, "NA")</f>
        <v>0.17447193690287635</v>
      </c>
      <c r="Y161" s="9"/>
      <c r="Z161" s="7">
        <v>370.61</v>
      </c>
      <c r="AA161" s="8">
        <f>IFERROR(Z161/Z444, "NA")</f>
        <v>5.2071617476988855E-3</v>
      </c>
      <c r="AB161" s="9"/>
      <c r="AC161" s="10">
        <f t="shared" si="43"/>
        <v>54.5</v>
      </c>
      <c r="AD161" s="8">
        <f>IFERROR(AC161/AC444, "NA")</f>
        <v>3.1199015370524243E-2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316.11</v>
      </c>
      <c r="C166" s="15">
        <f>IFERROR(B166/B444, "NA")</f>
        <v>4.3350258735671623E-3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-316.11</v>
      </c>
      <c r="I166" s="15">
        <f>IFERROR(H166/H444, "NA")</f>
        <v>0.17447193690287635</v>
      </c>
      <c r="J166" s="2"/>
      <c r="K166" s="14">
        <f>IFERROR(K160+K161+K162+K163+K164+K165, "NA")</f>
        <v>370.61</v>
      </c>
      <c r="L166" s="15">
        <f>IFERROR(K166/K444, "NA")</f>
        <v>5.2071617476988855E-3</v>
      </c>
      <c r="M166" s="2"/>
      <c r="N166" s="14">
        <f t="shared" si="41"/>
        <v>54.5</v>
      </c>
      <c r="O166" s="15">
        <f>IFERROR(N166/N444, "NA")</f>
        <v>3.1199015370524243E-2</v>
      </c>
      <c r="P166" s="2"/>
      <c r="Q166" s="14">
        <f>IFERROR(Q160+Q161+Q162+Q163+Q164+Q165, "NA")</f>
        <v>316.11</v>
      </c>
      <c r="R166" s="15">
        <f>IFERROR(Q166/Q444, "NA")</f>
        <v>4.3350258735671623E-3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-316.11</v>
      </c>
      <c r="X166" s="15">
        <f>IFERROR(W166/W444, "NA")</f>
        <v>0.17447193690287635</v>
      </c>
      <c r="Y166" s="2"/>
      <c r="Z166" s="14">
        <f>IFERROR(Z160+Z161+Z162+Z163+Z164+Z165, "NA")</f>
        <v>370.61</v>
      </c>
      <c r="AA166" s="15">
        <f>IFERROR(Z166/Z444, "NA")</f>
        <v>5.2071617476988855E-3</v>
      </c>
      <c r="AB166" s="2"/>
      <c r="AC166" s="14">
        <f t="shared" si="43"/>
        <v>54.5</v>
      </c>
      <c r="AD166" s="15">
        <f>IFERROR(AC166/AC444, "NA")</f>
        <v>3.1199015370524243E-2</v>
      </c>
    </row>
    <row r="167" spans="1:30" ht="16.5" customHeight="1" x14ac:dyDescent="0.45">
      <c r="A167" s="6" t="s">
        <v>155</v>
      </c>
      <c r="B167" s="7">
        <v>101.61</v>
      </c>
      <c r="C167" s="8">
        <f>IFERROR(B167/B444, "NA")</f>
        <v>1.3934452532762627E-3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-101.61</v>
      </c>
      <c r="I167" s="8">
        <f>IFERROR(H167/H444, "NA")</f>
        <v>5.6082039507453947E-2</v>
      </c>
      <c r="J167" s="9"/>
      <c r="K167" s="7">
        <v>141.69999999999999</v>
      </c>
      <c r="L167" s="8">
        <f>IFERROR(K167/K444, "NA")</f>
        <v>1.990919887884655E-3</v>
      </c>
      <c r="M167" s="9"/>
      <c r="N167" s="10">
        <f t="shared" si="41"/>
        <v>40.089999999999989</v>
      </c>
      <c r="O167" s="8">
        <f>IFERROR(N167/N444, "NA")</f>
        <v>2.2949881214758102E-2</v>
      </c>
      <c r="P167" s="9"/>
      <c r="Q167" s="7">
        <v>101.61</v>
      </c>
      <c r="R167" s="8">
        <f>IFERROR(Q167/Q444, "NA")</f>
        <v>1.3934452532762627E-3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-101.61</v>
      </c>
      <c r="X167" s="8">
        <f>IFERROR(W167/W444, "NA")</f>
        <v>5.6082039507453947E-2</v>
      </c>
      <c r="Y167" s="9"/>
      <c r="Z167" s="7">
        <v>141.69999999999999</v>
      </c>
      <c r="AA167" s="8">
        <f>IFERROR(Z167/Z444, "NA")</f>
        <v>1.990919887884655E-3</v>
      </c>
      <c r="AB167" s="9"/>
      <c r="AC167" s="10">
        <f t="shared" si="43"/>
        <v>40.089999999999989</v>
      </c>
      <c r="AD167" s="8">
        <f>IFERROR(AC167/AC444, "NA")</f>
        <v>2.2949881214758102E-2</v>
      </c>
    </row>
    <row r="168" spans="1:30" ht="16.5" customHeight="1" x14ac:dyDescent="0.45">
      <c r="A168" s="6" t="s">
        <v>156</v>
      </c>
      <c r="B168" s="7">
        <v>38.799999999999997</v>
      </c>
      <c r="C168" s="8">
        <f>IFERROR(B168/B444, "NA")</f>
        <v>5.3209010753979904E-4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-38.799999999999997</v>
      </c>
      <c r="I168" s="8">
        <f>IFERROR(H168/H444, "NA")</f>
        <v>2.1415049039358456E-2</v>
      </c>
      <c r="J168" s="9"/>
      <c r="K168" s="7">
        <v>39.700000000000003</v>
      </c>
      <c r="L168" s="8">
        <f>IFERROR(K168/K444, "NA")</f>
        <v>5.5779477451673126E-4</v>
      </c>
      <c r="M168" s="9"/>
      <c r="N168" s="10">
        <f t="shared" si="41"/>
        <v>0.90000000000000568</v>
      </c>
      <c r="O168" s="8">
        <f>IFERROR(N168/N444, "NA")</f>
        <v>5.1521309786187143E-4</v>
      </c>
      <c r="P168" s="9"/>
      <c r="Q168" s="7">
        <v>38.799999999999997</v>
      </c>
      <c r="R168" s="8">
        <f>IFERROR(Q168/Q444, "NA")</f>
        <v>5.3209010753979904E-4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-38.799999999999997</v>
      </c>
      <c r="X168" s="8">
        <f>IFERROR(W168/W444, "NA")</f>
        <v>2.1415049039358456E-2</v>
      </c>
      <c r="Y168" s="9"/>
      <c r="Z168" s="7">
        <v>39.700000000000003</v>
      </c>
      <c r="AA168" s="8">
        <f>IFERROR(Z168/Z444, "NA")</f>
        <v>5.5779477451673126E-4</v>
      </c>
      <c r="AB168" s="9"/>
      <c r="AC168" s="10">
        <f t="shared" si="43"/>
        <v>0.90000000000000568</v>
      </c>
      <c r="AD168" s="8">
        <f>IFERROR(AC168/AC444, "NA")</f>
        <v>5.1521309786187143E-4</v>
      </c>
    </row>
    <row r="169" spans="1:30" ht="16.5" customHeight="1" x14ac:dyDescent="0.45">
      <c r="A169" s="6" t="s">
        <v>157</v>
      </c>
      <c r="B169" s="7">
        <v>-2160.41</v>
      </c>
      <c r="C169" s="8">
        <f>IFERROR(B169/B444, "NA")</f>
        <v>-2.9627133743042714E-2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2160.41</v>
      </c>
      <c r="I169" s="8">
        <f>IFERROR(H169/H444, "NA")</f>
        <v>-1.1924042808020723</v>
      </c>
      <c r="J169" s="9"/>
      <c r="K169" s="7">
        <v>-2553.04</v>
      </c>
      <c r="L169" s="8">
        <f>IFERROR(K169/K444, "NA")</f>
        <v>-3.5870840582674951E-2</v>
      </c>
      <c r="M169" s="9"/>
      <c r="N169" s="10">
        <f t="shared" si="41"/>
        <v>-392.63000000000011</v>
      </c>
      <c r="O169" s="8">
        <f>IFERROR(N169/N444, "NA")</f>
        <v>-0.2247645762372282</v>
      </c>
      <c r="P169" s="9"/>
      <c r="Q169" s="7">
        <v>-2160.41</v>
      </c>
      <c r="R169" s="8">
        <f>IFERROR(Q169/Q444, "NA")</f>
        <v>-2.9627133743042714E-2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2160.41</v>
      </c>
      <c r="X169" s="8">
        <f>IFERROR(W169/W444, "NA")</f>
        <v>-1.1924042808020723</v>
      </c>
      <c r="Y169" s="9"/>
      <c r="Z169" s="7">
        <v>-2553.04</v>
      </c>
      <c r="AA169" s="8">
        <f>IFERROR(Z169/Z444, "NA")</f>
        <v>-3.5870840582674951E-2</v>
      </c>
      <c r="AB169" s="9"/>
      <c r="AC169" s="10">
        <f t="shared" si="43"/>
        <v>-392.63000000000011</v>
      </c>
      <c r="AD169" s="8">
        <f>IFERROR(AC169/AC444, "NA")</f>
        <v>-0.2247645762372282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1525.9300000000007</v>
      </c>
      <c r="C170" s="15">
        <f>IFERROR(B170/B444, "NA")</f>
        <v>2.0926089118510467E-2</v>
      </c>
      <c r="D170" s="2"/>
      <c r="E170" s="14">
        <f>IFERROR(E151+E153+E154+E155+E156+E157+E160+E161+E162+E163+E164+E165+E167+E168+E169, "NA")</f>
        <v>1569.37</v>
      </c>
      <c r="F170" s="15">
        <f>IFERROR(E170/E444, "NA")</f>
        <v>2.1000032248658838E-2</v>
      </c>
      <c r="G170" s="2"/>
      <c r="H170" s="14">
        <f t="shared" si="40"/>
        <v>43.439999999999145</v>
      </c>
      <c r="I170" s="15">
        <f>IFERROR(H170/H444, "NA")</f>
        <v>-2.3976023976023535E-2</v>
      </c>
      <c r="J170" s="2"/>
      <c r="K170" s="14">
        <f>IFERROR(K151+K153+K154+K155+K156+K157+K160+K161+K162+K163+K164+K165+K167+K168+K169, "NA")</f>
        <v>1583.29</v>
      </c>
      <c r="L170" s="15">
        <f>IFERROR(K170/K444, "NA")</f>
        <v>2.2245614321022553E-2</v>
      </c>
      <c r="M170" s="2"/>
      <c r="N170" s="14">
        <f t="shared" si="41"/>
        <v>57.359999999999218</v>
      </c>
      <c r="O170" s="15">
        <f>IFERROR(N170/N444, "NA")</f>
        <v>3.2836248103729287E-2</v>
      </c>
      <c r="P170" s="2"/>
      <c r="Q170" s="14">
        <f>IFERROR(Q151+Q153+Q154+Q155+Q156+Q157+Q160+Q161+Q162+Q163+Q164+Q165+Q167+Q168+Q169, "NA")</f>
        <v>1525.9300000000007</v>
      </c>
      <c r="R170" s="15">
        <f>IFERROR(Q170/Q444, "NA")</f>
        <v>2.0926089118510467E-2</v>
      </c>
      <c r="S170" s="2"/>
      <c r="T170" s="14">
        <f>IFERROR(T151+T153+T154+T155+T156+T157+T160+T161+T162+T163+T164+T165+T167+T168+T169, "NA")</f>
        <v>1569.37</v>
      </c>
      <c r="U170" s="15">
        <f>IFERROR(T170/T444, "NA")</f>
        <v>2.1000032248658838E-2</v>
      </c>
      <c r="V170" s="2"/>
      <c r="W170" s="14">
        <f t="shared" si="42"/>
        <v>43.439999999999145</v>
      </c>
      <c r="X170" s="15">
        <f>IFERROR(W170/W444, "NA")</f>
        <v>-2.3976023976023535E-2</v>
      </c>
      <c r="Y170" s="2"/>
      <c r="Z170" s="14">
        <f>IFERROR(Z151+Z153+Z154+Z155+Z156+Z157+Z160+Z161+Z162+Z163+Z164+Z165+Z167+Z168+Z169, "NA")</f>
        <v>1583.29</v>
      </c>
      <c r="AA170" s="15">
        <f>IFERROR(Z170/Z444, "NA")</f>
        <v>2.2245614321022553E-2</v>
      </c>
      <c r="AB170" s="2"/>
      <c r="AC170" s="14">
        <f t="shared" si="43"/>
        <v>57.359999999999218</v>
      </c>
      <c r="AD170" s="15">
        <f>IFERROR(AC170/AC444, "NA")</f>
        <v>3.2836248103729287E-2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20242.03</v>
      </c>
      <c r="C171" s="15">
        <f>IFERROR(B171/B444, "NA")</f>
        <v>0.27759236905989276</v>
      </c>
      <c r="D171" s="2"/>
      <c r="E171" s="14">
        <f>IFERROR(E127+E129+E130+E131+E132+E133+E134+E135+E136+E137+E138+E139+E140+E143+E144+E145+E146+E147+E151+E153+E154+E155+E156+E157+E160+E161+E162+E163+E164+E165+E167+E168+E169, "NA")</f>
        <v>21597.489999999998</v>
      </c>
      <c r="F171" s="15">
        <f>IFERROR(E171/E444, "NA")</f>
        <v>0.28900003599539098</v>
      </c>
      <c r="G171" s="2"/>
      <c r="H171" s="14">
        <f t="shared" si="40"/>
        <v>1355.4599999999991</v>
      </c>
      <c r="I171" s="15">
        <f>IFERROR(H171/H444, "NA")</f>
        <v>-0.74812480337342269</v>
      </c>
      <c r="J171" s="2"/>
      <c r="K171" s="14">
        <f>IFERROR(K127+K129+K130+K131+K132+K133+K134+K135+K136+K137+K138+K139+K140+K143+K144+K145+K146+K147+K151+K153+K154+K155+K156+K157+K160+K161+K162+K163+K164+K165+K167+K168+K169, "NA")</f>
        <v>19423.72</v>
      </c>
      <c r="L171" s="15">
        <f>IFERROR(K171/K444, "NA")</f>
        <v>0.27290804830418447</v>
      </c>
      <c r="M171" s="2"/>
      <c r="N171" s="14">
        <f t="shared" si="41"/>
        <v>-818.30999999999767</v>
      </c>
      <c r="O171" s="15">
        <f>IFERROR(N171/N444, "NA")</f>
        <v>-0.46844892234593799</v>
      </c>
      <c r="P171" s="2"/>
      <c r="Q171" s="14">
        <f>IFERROR(Q127+Q129+Q130+Q131+Q132+Q133+Q134+Q135+Q136+Q137+Q138+Q139+Q140+Q143+Q144+Q145+Q146+Q147+Q151+Q153+Q154+Q155+Q156+Q157+Q160+Q161+Q162+Q163+Q164+Q165+Q167+Q168+Q169, "NA")</f>
        <v>20242.03</v>
      </c>
      <c r="R171" s="15">
        <f>IFERROR(Q171/Q444, "NA")</f>
        <v>0.27759236905989276</v>
      </c>
      <c r="S171" s="2"/>
      <c r="T171" s="14">
        <f>IFERROR(T127+T129+T130+T131+T132+T133+T134+T135+T136+T137+T138+T139+T140+T143+T144+T145+T146+T147+T151+T153+T154+T155+T156+T157+T160+T161+T162+T163+T164+T165+T167+T168+T169, "NA")</f>
        <v>21597.489999999998</v>
      </c>
      <c r="U171" s="15">
        <f>IFERROR(T171/T444, "NA")</f>
        <v>0.28900003599539098</v>
      </c>
      <c r="V171" s="2"/>
      <c r="W171" s="14">
        <f t="shared" si="42"/>
        <v>1355.4599999999991</v>
      </c>
      <c r="X171" s="15">
        <f>IFERROR(W171/W444, "NA")</f>
        <v>-0.74812480337342269</v>
      </c>
      <c r="Y171" s="2"/>
      <c r="Z171" s="14">
        <f>IFERROR(Z127+Z129+Z130+Z131+Z132+Z133+Z134+Z135+Z136+Z137+Z138+Z139+Z140+Z143+Z144+Z145+Z146+Z147+Z151+Z153+Z154+Z155+Z156+Z157+Z160+Z161+Z162+Z163+Z164+Z165+Z167+Z168+Z169, "NA")</f>
        <v>19423.72</v>
      </c>
      <c r="AA171" s="15">
        <f>IFERROR(Z171/Z444, "NA")</f>
        <v>0.27290804830418447</v>
      </c>
      <c r="AB171" s="2"/>
      <c r="AC171" s="14">
        <f t="shared" si="43"/>
        <v>-818.30999999999767</v>
      </c>
      <c r="AD171" s="15">
        <f>IFERROR(AC171/AC444, "NA")</f>
        <v>-0.46844892234593799</v>
      </c>
    </row>
    <row r="172" spans="1:30" ht="16.5" customHeight="1" x14ac:dyDescent="0.45">
      <c r="A172" s="22" t="s">
        <v>160</v>
      </c>
      <c r="B172" s="23">
        <f>IFERROR(B124-B171, "NA")</f>
        <v>52677.95</v>
      </c>
      <c r="C172" s="24">
        <f>IFERROR(B172/B444, "NA")</f>
        <v>0.72240763094010718</v>
      </c>
      <c r="D172" s="25"/>
      <c r="E172" s="23">
        <f>IFERROR(E124-E171, "NA")</f>
        <v>53134.299999999996</v>
      </c>
      <c r="F172" s="24">
        <f>IFERROR(E172/E444, "NA")</f>
        <v>0.71099996400460896</v>
      </c>
      <c r="G172" s="25"/>
      <c r="H172" s="23">
        <f>IFERROR(B172-E172, "NA")</f>
        <v>-456.34999999999854</v>
      </c>
      <c r="I172" s="24">
        <f>IFERROR(H172/H444, "NA")</f>
        <v>0.25187519662657737</v>
      </c>
      <c r="J172" s="25"/>
      <c r="K172" s="23">
        <f>IFERROR(K124-K171, "NA")</f>
        <v>51749.41</v>
      </c>
      <c r="L172" s="24">
        <f>IFERROR(K172/K444, "NA")</f>
        <v>0.72709195169581553</v>
      </c>
      <c r="M172" s="25"/>
      <c r="N172" s="23">
        <f>IFERROR(B172-K172, "NA")</f>
        <v>928.5399999999936</v>
      </c>
      <c r="O172" s="24">
        <f>IFERROR(N172/N444, "NA")</f>
        <v>0.53155107765406207</v>
      </c>
      <c r="P172" s="25"/>
      <c r="Q172" s="23">
        <f>IFERROR(Q124-Q171, "NA")</f>
        <v>52677.95</v>
      </c>
      <c r="R172" s="24">
        <f>IFERROR(Q172/Q444, "NA")</f>
        <v>0.72240763094010718</v>
      </c>
      <c r="S172" s="25"/>
      <c r="T172" s="23">
        <f>IFERROR(T124-T171, "NA")</f>
        <v>53134.299999999996</v>
      </c>
      <c r="U172" s="24">
        <f>IFERROR(T172/T444, "NA")</f>
        <v>0.71099996400460896</v>
      </c>
      <c r="V172" s="25"/>
      <c r="W172" s="23">
        <f>IFERROR(Q172-T172, "NA")</f>
        <v>-456.34999999999854</v>
      </c>
      <c r="X172" s="24">
        <f>IFERROR(W172/W444, "NA")</f>
        <v>0.25187519662657737</v>
      </c>
      <c r="Y172" s="25"/>
      <c r="Z172" s="23">
        <f>IFERROR(Z124-Z171, "NA")</f>
        <v>51749.41</v>
      </c>
      <c r="AA172" s="24">
        <f>IFERROR(Z172/Z444, "NA")</f>
        <v>0.72709195169581553</v>
      </c>
      <c r="AB172" s="25"/>
      <c r="AC172" s="23">
        <f>IFERROR(Q172-Z172, "NA")</f>
        <v>928.5399999999936</v>
      </c>
      <c r="AD172" s="24">
        <f>IFERROR(AC172/AC444, "NA")</f>
        <v>0.53155107765406207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8.0172265543682272E-2</v>
      </c>
      <c r="D178" s="9"/>
      <c r="E178" s="7">
        <v>5692.31</v>
      </c>
      <c r="F178" s="8">
        <f>IFERROR(E178/E444, "NA")</f>
        <v>7.6169860242876572E-2</v>
      </c>
      <c r="G178" s="9"/>
      <c r="H178" s="10">
        <f t="shared" si="44"/>
        <v>-153.84999999999945</v>
      </c>
      <c r="I178" s="8">
        <f>IFERROR(H178/H444, "NA")</f>
        <v>8.4915084915084718E-2</v>
      </c>
      <c r="J178" s="9"/>
      <c r="K178" s="7">
        <v>5615.4</v>
      </c>
      <c r="L178" s="8">
        <f>IFERROR(K178/K444, "NA")</f>
        <v>7.8897752564767054E-2</v>
      </c>
      <c r="M178" s="9"/>
      <c r="N178" s="10">
        <f t="shared" si="45"/>
        <v>-230.76000000000022</v>
      </c>
      <c r="O178" s="8">
        <f>IFERROR(N178/N444, "NA")</f>
        <v>-0.13210063829178315</v>
      </c>
      <c r="P178" s="9"/>
      <c r="Q178" s="7">
        <v>5846.16</v>
      </c>
      <c r="R178" s="8">
        <f>IFERROR(Q178/Q444, "NA")</f>
        <v>8.0172265543682272E-2</v>
      </c>
      <c r="S178" s="9"/>
      <c r="T178" s="7">
        <v>5692.31</v>
      </c>
      <c r="U178" s="8">
        <f>IFERROR(T178/T444, "NA")</f>
        <v>7.6169860242876572E-2</v>
      </c>
      <c r="V178" s="9"/>
      <c r="W178" s="10">
        <f t="shared" si="46"/>
        <v>-153.84999999999945</v>
      </c>
      <c r="X178" s="8">
        <f>IFERROR(W178/W444, "NA")</f>
        <v>8.4915084915084718E-2</v>
      </c>
      <c r="Y178" s="9"/>
      <c r="Z178" s="7">
        <v>5615.4</v>
      </c>
      <c r="AA178" s="8">
        <f>IFERROR(Z178/Z444, "NA")</f>
        <v>7.8897752564767054E-2</v>
      </c>
      <c r="AB178" s="9"/>
      <c r="AC178" s="10">
        <f t="shared" si="47"/>
        <v>-230.76000000000022</v>
      </c>
      <c r="AD178" s="8">
        <f>IFERROR(AC178/AC444, "NA")</f>
        <v>-0.13210063829178315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14677.02</v>
      </c>
      <c r="C180" s="8">
        <f>IFERROR(B180/B444, "NA")</f>
        <v>0.20127569974648926</v>
      </c>
      <c r="D180" s="9"/>
      <c r="E180" s="7">
        <v>15992.6</v>
      </c>
      <c r="F180" s="8">
        <f>IFERROR(E180/E444, "NA")</f>
        <v>0.21399995905357014</v>
      </c>
      <c r="G180" s="9"/>
      <c r="H180" s="10">
        <f t="shared" si="44"/>
        <v>1315.58</v>
      </c>
      <c r="I180" s="8">
        <f>IFERROR(H180/H444, "NA")</f>
        <v>-0.72611366534018562</v>
      </c>
      <c r="J180" s="9"/>
      <c r="K180" s="7">
        <v>16137.73</v>
      </c>
      <c r="L180" s="8">
        <f>IFERROR(K180/K444, "NA")</f>
        <v>0.22673907976226421</v>
      </c>
      <c r="M180" s="9"/>
      <c r="N180" s="10">
        <f t="shared" si="45"/>
        <v>1460.7099999999991</v>
      </c>
      <c r="O180" s="8">
        <f>IFERROR(N180/N444, "NA")</f>
        <v>0.83619658241978789</v>
      </c>
      <c r="P180" s="9"/>
      <c r="Q180" s="7">
        <v>14677.02</v>
      </c>
      <c r="R180" s="8">
        <f>IFERROR(Q180/Q444, "NA")</f>
        <v>0.20127569974648926</v>
      </c>
      <c r="S180" s="9"/>
      <c r="T180" s="7">
        <v>15992.6</v>
      </c>
      <c r="U180" s="8">
        <f>IFERROR(T180/T444, "NA")</f>
        <v>0.21399995905357014</v>
      </c>
      <c r="V180" s="9"/>
      <c r="W180" s="10">
        <f t="shared" si="46"/>
        <v>1315.58</v>
      </c>
      <c r="X180" s="8">
        <f>IFERROR(W180/W444, "NA")</f>
        <v>-0.72611366534018562</v>
      </c>
      <c r="Y180" s="9"/>
      <c r="Z180" s="7">
        <v>16137.73</v>
      </c>
      <c r="AA180" s="8">
        <f>IFERROR(Z180/Z444, "NA")</f>
        <v>0.22673907976226421</v>
      </c>
      <c r="AB180" s="9"/>
      <c r="AC180" s="10">
        <f t="shared" si="47"/>
        <v>1460.7099999999991</v>
      </c>
      <c r="AD180" s="8">
        <f>IFERROR(AC180/AC444, "NA")</f>
        <v>0.83619658241978789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212.33</v>
      </c>
      <c r="L181" s="8">
        <f>IFERROR(K181/K444, "NA")</f>
        <v>2.9832887776608955E-3</v>
      </c>
      <c r="M181" s="9"/>
      <c r="N181" s="10">
        <f t="shared" si="45"/>
        <v>212.33</v>
      </c>
      <c r="O181" s="8">
        <f>IFERROR(N181/N444, "NA")</f>
        <v>0.12155021896556721</v>
      </c>
      <c r="P181" s="9"/>
      <c r="Q181" s="7">
        <v>0</v>
      </c>
      <c r="R181" s="8">
        <f>IFERROR(Q181/Q444, "NA")</f>
        <v>0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0</v>
      </c>
      <c r="X181" s="8">
        <f>IFERROR(W181/W444, "NA")</f>
        <v>0</v>
      </c>
      <c r="Y181" s="9"/>
      <c r="Z181" s="7">
        <v>212.33</v>
      </c>
      <c r="AA181" s="8">
        <f>IFERROR(Z181/Z444, "NA")</f>
        <v>2.9832887776608955E-3</v>
      </c>
      <c r="AB181" s="9"/>
      <c r="AC181" s="10">
        <f t="shared" si="47"/>
        <v>212.33</v>
      </c>
      <c r="AD181" s="8">
        <f>IFERROR(AC181/AC444, "NA")</f>
        <v>0.12155021896556721</v>
      </c>
    </row>
    <row r="182" spans="1:30" ht="16.5" customHeight="1" x14ac:dyDescent="0.45">
      <c r="A182" s="13" t="s">
        <v>167</v>
      </c>
      <c r="B182" s="14">
        <f>IFERROR(B177+B178+B179+B180+B181, "NA")</f>
        <v>20523.18</v>
      </c>
      <c r="C182" s="15">
        <f>IFERROR(B182/B444, "NA")</f>
        <v>0.28144796529017152</v>
      </c>
      <c r="D182" s="2"/>
      <c r="E182" s="14">
        <f>IFERROR(E177+E178+E179+E180+E181, "NA")</f>
        <v>21684.91</v>
      </c>
      <c r="F182" s="15">
        <f>IFERROR(E182/E444, "NA")</f>
        <v>0.2901698192964467</v>
      </c>
      <c r="G182" s="2"/>
      <c r="H182" s="14">
        <f t="shared" si="44"/>
        <v>1161.7299999999996</v>
      </c>
      <c r="I182" s="15">
        <f>IFERROR(H182/H444, "NA")</f>
        <v>-0.64119858042510036</v>
      </c>
      <c r="J182" s="2"/>
      <c r="K182" s="14">
        <f>IFERROR(K177+K178+K179+K180+K181, "NA")</f>
        <v>21965.46</v>
      </c>
      <c r="L182" s="15">
        <f>IFERROR(K182/K444, "NA")</f>
        <v>0.30862012110469217</v>
      </c>
      <c r="M182" s="2"/>
      <c r="N182" s="14">
        <f t="shared" si="45"/>
        <v>1442.2799999999988</v>
      </c>
      <c r="O182" s="15">
        <f>IFERROR(N182/N444, "NA")</f>
        <v>0.82564616309357186</v>
      </c>
      <c r="P182" s="2"/>
      <c r="Q182" s="14">
        <f>IFERROR(Q177+Q178+Q179+Q180+Q181, "NA")</f>
        <v>20523.18</v>
      </c>
      <c r="R182" s="15">
        <f>IFERROR(Q182/Q444, "NA")</f>
        <v>0.28144796529017152</v>
      </c>
      <c r="S182" s="2"/>
      <c r="T182" s="14">
        <f>IFERROR(T177+T178+T179+T180+T181, "NA")</f>
        <v>21684.91</v>
      </c>
      <c r="U182" s="15">
        <f>IFERROR(T182/T444, "NA")</f>
        <v>0.2901698192964467</v>
      </c>
      <c r="V182" s="2"/>
      <c r="W182" s="14">
        <f t="shared" si="46"/>
        <v>1161.7299999999996</v>
      </c>
      <c r="X182" s="15">
        <f>IFERROR(W182/W444, "NA")</f>
        <v>-0.64119858042510036</v>
      </c>
      <c r="Y182" s="2"/>
      <c r="Z182" s="14">
        <f>IFERROR(Z177+Z178+Z179+Z180+Z181, "NA")</f>
        <v>21965.46</v>
      </c>
      <c r="AA182" s="15">
        <f>IFERROR(Z182/Z444, "NA")</f>
        <v>0.30862012110469217</v>
      </c>
      <c r="AB182" s="2"/>
      <c r="AC182" s="14">
        <f t="shared" si="47"/>
        <v>1442.2799999999988</v>
      </c>
      <c r="AD182" s="15">
        <f>IFERROR(AC182/AC444, "NA")</f>
        <v>0.82564616309357186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6.8568312827293702E-3</v>
      </c>
      <c r="D184" s="9"/>
      <c r="E184" s="7">
        <v>500</v>
      </c>
      <c r="F184" s="8">
        <f>IFERROR(E184/E444, "NA")</f>
        <v>6.6905931197419471E-3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4.2150738628468354E-3</v>
      </c>
      <c r="M184" s="9"/>
      <c r="N184" s="10">
        <f t="shared" si="45"/>
        <v>-200</v>
      </c>
      <c r="O184" s="8">
        <f>IFERROR(N184/N444, "NA")</f>
        <v>-0.11449179952485961</v>
      </c>
      <c r="P184" s="9"/>
      <c r="Q184" s="7">
        <v>500</v>
      </c>
      <c r="R184" s="8">
        <f>IFERROR(Q184/Q444, "NA")</f>
        <v>6.8568312827293702E-3</v>
      </c>
      <c r="S184" s="9"/>
      <c r="T184" s="7">
        <v>500</v>
      </c>
      <c r="U184" s="8">
        <f>IFERROR(T184/T444, "NA")</f>
        <v>6.6905931197419471E-3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300</v>
      </c>
      <c r="AA184" s="8">
        <f>IFERROR(Z184/Z444, "NA")</f>
        <v>4.2150738628468354E-3</v>
      </c>
      <c r="AB184" s="9"/>
      <c r="AC184" s="10">
        <f t="shared" si="47"/>
        <v>-200</v>
      </c>
      <c r="AD184" s="8">
        <f>IFERROR(AC184/AC444, "NA")</f>
        <v>-0.11449179952485961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2381.5700000000002</v>
      </c>
      <c r="C186" s="8">
        <f>IFERROR(B186/B444, "NA")</f>
        <v>3.2660047356019573E-2</v>
      </c>
      <c r="D186" s="9"/>
      <c r="E186" s="7">
        <v>2878.4</v>
      </c>
      <c r="F186" s="8">
        <f>IFERROR(E186/E444, "NA")</f>
        <v>3.8516406471730442E-2</v>
      </c>
      <c r="G186" s="9"/>
      <c r="H186" s="10">
        <f t="shared" ref="H186:H197" si="48">IFERROR(-(B186-E186), "NA")</f>
        <v>496.82999999999993</v>
      </c>
      <c r="I186" s="8">
        <f>IFERROR(H186/H444, "NA")</f>
        <v>-0.27421749521197064</v>
      </c>
      <c r="J186" s="9"/>
      <c r="K186" s="7">
        <v>2742.57</v>
      </c>
      <c r="L186" s="8">
        <f>IFERROR(K186/K444, "NA")</f>
        <v>3.853378374675949E-2</v>
      </c>
      <c r="M186" s="9"/>
      <c r="N186" s="10">
        <f t="shared" ref="N186:N197" si="49">IFERROR(-(B186-K186), "NA")</f>
        <v>361</v>
      </c>
      <c r="O186" s="8">
        <f>IFERROR(N186/N444, "NA")</f>
        <v>0.20665769814237159</v>
      </c>
      <c r="P186" s="9"/>
      <c r="Q186" s="7">
        <v>2381.5700000000002</v>
      </c>
      <c r="R186" s="8">
        <f>IFERROR(Q186/Q444, "NA")</f>
        <v>3.2660047356019573E-2</v>
      </c>
      <c r="S186" s="9"/>
      <c r="T186" s="7">
        <v>2878.4</v>
      </c>
      <c r="U186" s="8">
        <f>IFERROR(T186/T444, "NA")</f>
        <v>3.8516406471730442E-2</v>
      </c>
      <c r="V186" s="9"/>
      <c r="W186" s="10">
        <f t="shared" ref="W186:W197" si="50">IFERROR(-(Q186-T186), "NA")</f>
        <v>496.82999999999993</v>
      </c>
      <c r="X186" s="8">
        <f>IFERROR(W186/W444, "NA")</f>
        <v>-0.27421749521197064</v>
      </c>
      <c r="Y186" s="9"/>
      <c r="Z186" s="7">
        <v>2742.57</v>
      </c>
      <c r="AA186" s="8">
        <f>IFERROR(Z186/Z444, "NA")</f>
        <v>3.853378374675949E-2</v>
      </c>
      <c r="AB186" s="9"/>
      <c r="AC186" s="10">
        <f t="shared" ref="AC186:AC197" si="51">IFERROR(-(Q186-Z186), "NA")</f>
        <v>361</v>
      </c>
      <c r="AD186" s="8">
        <f>IFERROR(AC186/AC444, "NA")</f>
        <v>0.20665769814237159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-0.01</v>
      </c>
      <c r="L187" s="8">
        <f>IFERROR(K187/K444, "NA")</f>
        <v>-1.4050246209489451E-7</v>
      </c>
      <c r="M187" s="9"/>
      <c r="N187" s="10">
        <f t="shared" si="49"/>
        <v>-0.01</v>
      </c>
      <c r="O187" s="8">
        <f>IFERROR(N187/N444, "NA")</f>
        <v>-5.7245899762429801E-6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-0.01</v>
      </c>
      <c r="AA187" s="8">
        <f>IFERROR(Z187/Z444, "NA")</f>
        <v>-1.4050246209489451E-7</v>
      </c>
      <c r="AB187" s="9"/>
      <c r="AC187" s="10">
        <f t="shared" si="51"/>
        <v>-0.01</v>
      </c>
      <c r="AD187" s="8">
        <f>IFERROR(AC187/AC444, "NA")</f>
        <v>-5.7245899762429801E-6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2381.5700000000002</v>
      </c>
      <c r="C193" s="15">
        <f>IFERROR(B193/B444, "NA")</f>
        <v>3.2660047356019573E-2</v>
      </c>
      <c r="D193" s="2"/>
      <c r="E193" s="14">
        <f>IFERROR(E186+E187+E188+E189+E190+E191+E192, "NA")</f>
        <v>2878.4</v>
      </c>
      <c r="F193" s="15">
        <f>IFERROR(E193/E444, "NA")</f>
        <v>3.8516406471730442E-2</v>
      </c>
      <c r="G193" s="2"/>
      <c r="H193" s="14">
        <f t="shared" si="48"/>
        <v>496.82999999999993</v>
      </c>
      <c r="I193" s="15">
        <f>IFERROR(H193/H444, "NA")</f>
        <v>-0.27421749521197064</v>
      </c>
      <c r="J193" s="2"/>
      <c r="K193" s="14">
        <f>IFERROR(K186+K187+K188+K189+K190+K191+K192, "NA")</f>
        <v>2742.56</v>
      </c>
      <c r="L193" s="15">
        <f>IFERROR(K193/K444, "NA")</f>
        <v>3.8533643244297387E-2</v>
      </c>
      <c r="M193" s="2"/>
      <c r="N193" s="14">
        <f t="shared" si="49"/>
        <v>360.98999999999978</v>
      </c>
      <c r="O193" s="15">
        <f>IFERROR(N193/N444, "NA")</f>
        <v>0.20665197355239523</v>
      </c>
      <c r="P193" s="2"/>
      <c r="Q193" s="14">
        <f>IFERROR(Q186+Q187+Q188+Q189+Q190+Q191+Q192, "NA")</f>
        <v>2381.5700000000002</v>
      </c>
      <c r="R193" s="15">
        <f>IFERROR(Q193/Q444, "NA")</f>
        <v>3.2660047356019573E-2</v>
      </c>
      <c r="S193" s="2"/>
      <c r="T193" s="14">
        <f>IFERROR(T186+T187+T188+T189+T190+T191+T192, "NA")</f>
        <v>2878.4</v>
      </c>
      <c r="U193" s="15">
        <f>IFERROR(T193/T444, "NA")</f>
        <v>3.8516406471730442E-2</v>
      </c>
      <c r="V193" s="2"/>
      <c r="W193" s="14">
        <f t="shared" si="50"/>
        <v>496.82999999999993</v>
      </c>
      <c r="X193" s="15">
        <f>IFERROR(W193/W444, "NA")</f>
        <v>-0.27421749521197064</v>
      </c>
      <c r="Y193" s="2"/>
      <c r="Z193" s="14">
        <f>IFERROR(Z186+Z187+Z188+Z189+Z190+Z191+Z192, "NA")</f>
        <v>2742.56</v>
      </c>
      <c r="AA193" s="15">
        <f>IFERROR(Z193/Z444, "NA")</f>
        <v>3.8533643244297387E-2</v>
      </c>
      <c r="AB193" s="2"/>
      <c r="AC193" s="14">
        <f t="shared" si="51"/>
        <v>360.98999999999978</v>
      </c>
      <c r="AD193" s="15">
        <f>IFERROR(AC193/AC444, "NA")</f>
        <v>0.20665197355239523</v>
      </c>
    </row>
    <row r="194" spans="1:30" ht="16.5" customHeight="1" x14ac:dyDescent="0.45">
      <c r="A194" s="6" t="s">
        <v>178</v>
      </c>
      <c r="B194" s="7">
        <v>212</v>
      </c>
      <c r="C194" s="8">
        <f>IFERROR(B194/B444, "NA")</f>
        <v>2.9072964638772532E-3</v>
      </c>
      <c r="D194" s="9"/>
      <c r="E194" s="7">
        <v>177.48</v>
      </c>
      <c r="F194" s="8">
        <f>IFERROR(E194/E444, "NA")</f>
        <v>2.3748929337836012E-3</v>
      </c>
      <c r="G194" s="9"/>
      <c r="H194" s="10">
        <f t="shared" si="48"/>
        <v>-34.52000000000001</v>
      </c>
      <c r="I194" s="8">
        <f>IFERROR(H194/H444, "NA")</f>
        <v>1.9052770433985934E-2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-212</v>
      </c>
      <c r="O194" s="8">
        <f>IFERROR(N194/N444, "NA")</f>
        <v>-0.12136130749635118</v>
      </c>
      <c r="P194" s="9"/>
      <c r="Q194" s="7">
        <v>212</v>
      </c>
      <c r="R194" s="8">
        <f>IFERROR(Q194/Q444, "NA")</f>
        <v>2.9072964638772532E-3</v>
      </c>
      <c r="S194" s="9"/>
      <c r="T194" s="7">
        <v>177.48</v>
      </c>
      <c r="U194" s="8">
        <f>IFERROR(T194/T444, "NA")</f>
        <v>2.3748929337836012E-3</v>
      </c>
      <c r="V194" s="9"/>
      <c r="W194" s="10">
        <f t="shared" si="50"/>
        <v>-34.52000000000001</v>
      </c>
      <c r="X194" s="8">
        <f>IFERROR(W194/W444, "NA")</f>
        <v>1.9052770433985934E-2</v>
      </c>
      <c r="Y194" s="9"/>
      <c r="Z194" s="7">
        <v>0</v>
      </c>
      <c r="AA194" s="8">
        <f>IFERROR(Z194/Z444, "NA")</f>
        <v>0</v>
      </c>
      <c r="AB194" s="9"/>
      <c r="AC194" s="10">
        <f t="shared" si="51"/>
        <v>-212</v>
      </c>
      <c r="AD194" s="8">
        <f>IFERROR(AC194/AC444, "NA")</f>
        <v>-0.12136130749635118</v>
      </c>
    </row>
    <row r="195" spans="1:30" ht="16.5" customHeight="1" x14ac:dyDescent="0.45">
      <c r="A195" s="6" t="s">
        <v>179</v>
      </c>
      <c r="B195" s="7">
        <v>211.58</v>
      </c>
      <c r="C195" s="8">
        <f>IFERROR(B195/B444, "NA")</f>
        <v>2.9015367255997605E-3</v>
      </c>
      <c r="D195" s="9"/>
      <c r="E195" s="7">
        <v>155.29</v>
      </c>
      <c r="F195" s="8">
        <f>IFERROR(E195/E444, "NA")</f>
        <v>2.0779644111294537E-3</v>
      </c>
      <c r="G195" s="9"/>
      <c r="H195" s="10">
        <f t="shared" si="48"/>
        <v>-56.29000000000002</v>
      </c>
      <c r="I195" s="8">
        <f>IFERROR(H195/H444, "NA")</f>
        <v>3.106837913467753E-2</v>
      </c>
      <c r="J195" s="9"/>
      <c r="K195" s="7">
        <v>217.85</v>
      </c>
      <c r="L195" s="8">
        <f>IFERROR(K195/K444, "NA")</f>
        <v>3.0608461367372768E-3</v>
      </c>
      <c r="M195" s="9"/>
      <c r="N195" s="10">
        <f t="shared" si="49"/>
        <v>6.2699999999999818</v>
      </c>
      <c r="O195" s="8">
        <f>IFERROR(N195/N444, "NA")</f>
        <v>3.5893179151043381E-3</v>
      </c>
      <c r="P195" s="9"/>
      <c r="Q195" s="7">
        <v>211.58</v>
      </c>
      <c r="R195" s="8">
        <f>IFERROR(Q195/Q444, "NA")</f>
        <v>2.9015367255997605E-3</v>
      </c>
      <c r="S195" s="9"/>
      <c r="T195" s="7">
        <v>155.29</v>
      </c>
      <c r="U195" s="8">
        <f>IFERROR(T195/T444, "NA")</f>
        <v>2.0779644111294537E-3</v>
      </c>
      <c r="V195" s="9"/>
      <c r="W195" s="10">
        <f t="shared" si="50"/>
        <v>-56.29000000000002</v>
      </c>
      <c r="X195" s="8">
        <f>IFERROR(W195/W444, "NA")</f>
        <v>3.106837913467753E-2</v>
      </c>
      <c r="Y195" s="9"/>
      <c r="Z195" s="7">
        <v>217.85</v>
      </c>
      <c r="AA195" s="8">
        <f>IFERROR(Z195/Z444, "NA")</f>
        <v>3.0608461367372768E-3</v>
      </c>
      <c r="AB195" s="9"/>
      <c r="AC195" s="10">
        <f t="shared" si="51"/>
        <v>6.2699999999999818</v>
      </c>
      <c r="AD195" s="8">
        <f>IFERROR(AC195/AC444, "NA")</f>
        <v>3.5893179151043381E-3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23828.33</v>
      </c>
      <c r="C196" s="15">
        <f>IFERROR(B196/B444, "NA")</f>
        <v>0.3267736771183975</v>
      </c>
      <c r="D196" s="2"/>
      <c r="E196" s="14">
        <f>IFERROR(E175+E177+E178+E179+E180+E181+E183+E184+E186+E187+E188+E189+E190+E191+E192+E194+E195, "NA")</f>
        <v>25396.080000000002</v>
      </c>
      <c r="F196" s="15">
        <f>IFERROR(E196/E444, "NA")</f>
        <v>0.33982967623283217</v>
      </c>
      <c r="G196" s="2"/>
      <c r="H196" s="14">
        <f t="shared" si="48"/>
        <v>1567.75</v>
      </c>
      <c r="I196" s="15">
        <f>IFERROR(H196/H444, "NA")</f>
        <v>-0.86529492606840785</v>
      </c>
      <c r="J196" s="2"/>
      <c r="K196" s="14">
        <f>IFERROR(K175+K177+K178+K179+K180+K181+K183+K184+K186+K187+K188+K189+K190+K191+K192+K194+K195, "NA")</f>
        <v>25225.87</v>
      </c>
      <c r="L196" s="15">
        <f>IFERROR(K196/K444, "NA")</f>
        <v>0.35442968434857364</v>
      </c>
      <c r="M196" s="2"/>
      <c r="N196" s="14">
        <f t="shared" si="49"/>
        <v>1397.5399999999972</v>
      </c>
      <c r="O196" s="15">
        <f>IFERROR(N196/N444, "NA")</f>
        <v>0.80003434753985991</v>
      </c>
      <c r="P196" s="2"/>
      <c r="Q196" s="14">
        <f>IFERROR(Q175+Q177+Q178+Q179+Q180+Q181+Q183+Q184+Q186+Q187+Q188+Q189+Q190+Q191+Q192+Q194+Q195, "NA")</f>
        <v>23828.33</v>
      </c>
      <c r="R196" s="15">
        <f>IFERROR(Q196/Q444, "NA")</f>
        <v>0.3267736771183975</v>
      </c>
      <c r="S196" s="2"/>
      <c r="T196" s="14">
        <f>IFERROR(T175+T177+T178+T179+T180+T181+T183+T184+T186+T187+T188+T189+T190+T191+T192+T194+T195, "NA")</f>
        <v>25396.080000000002</v>
      </c>
      <c r="U196" s="15">
        <f>IFERROR(T196/T444, "NA")</f>
        <v>0.33982967623283217</v>
      </c>
      <c r="V196" s="2"/>
      <c r="W196" s="14">
        <f t="shared" si="50"/>
        <v>1567.75</v>
      </c>
      <c r="X196" s="15">
        <f>IFERROR(W196/W444, "NA")</f>
        <v>-0.86529492606840785</v>
      </c>
      <c r="Y196" s="2"/>
      <c r="Z196" s="14">
        <f>IFERROR(Z175+Z177+Z178+Z179+Z180+Z181+Z183+Z184+Z186+Z187+Z188+Z189+Z190+Z191+Z192+Z194+Z195, "NA")</f>
        <v>25225.87</v>
      </c>
      <c r="AA196" s="15">
        <f>IFERROR(Z196/Z444, "NA")</f>
        <v>0.35442968434857364</v>
      </c>
      <c r="AB196" s="2"/>
      <c r="AC196" s="14">
        <f t="shared" si="51"/>
        <v>1397.5399999999972</v>
      </c>
      <c r="AD196" s="15">
        <f>IFERROR(AC196/AC444, "NA")</f>
        <v>0.80003434753985991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23828.33</v>
      </c>
      <c r="C197" s="15">
        <f>IFERROR(B197/B444, "NA")</f>
        <v>0.3267736771183975</v>
      </c>
      <c r="D197" s="2"/>
      <c r="E197" s="14">
        <f>IFERROR(E175+E177+E178+E179+E180+E181+E183+E184+E186+E187+E188+E189+E190+E191+E192+E194+E195, "NA")</f>
        <v>25396.080000000002</v>
      </c>
      <c r="F197" s="15">
        <f>IFERROR(E197/E444, "NA")</f>
        <v>0.33982967623283217</v>
      </c>
      <c r="G197" s="2"/>
      <c r="H197" s="14">
        <f t="shared" si="48"/>
        <v>1567.75</v>
      </c>
      <c r="I197" s="15">
        <f>IFERROR(H197/H444, "NA")</f>
        <v>-0.86529492606840785</v>
      </c>
      <c r="J197" s="2"/>
      <c r="K197" s="14">
        <f>IFERROR(K175+K177+K178+K179+K180+K181+K183+K184+K186+K187+K188+K189+K190+K191+K192+K194+K195, "NA")</f>
        <v>25225.87</v>
      </c>
      <c r="L197" s="15">
        <f>IFERROR(K197/K444, "NA")</f>
        <v>0.35442968434857364</v>
      </c>
      <c r="M197" s="2"/>
      <c r="N197" s="14">
        <f t="shared" si="49"/>
        <v>1397.5399999999972</v>
      </c>
      <c r="O197" s="15">
        <f>IFERROR(N197/N444, "NA")</f>
        <v>0.80003434753985991</v>
      </c>
      <c r="P197" s="2"/>
      <c r="Q197" s="14">
        <f>IFERROR(Q175+Q177+Q178+Q179+Q180+Q181+Q183+Q184+Q186+Q187+Q188+Q189+Q190+Q191+Q192+Q194+Q195, "NA")</f>
        <v>23828.33</v>
      </c>
      <c r="R197" s="15">
        <f>IFERROR(Q197/Q444, "NA")</f>
        <v>0.3267736771183975</v>
      </c>
      <c r="S197" s="2"/>
      <c r="T197" s="14">
        <f>IFERROR(T175+T177+T178+T179+T180+T181+T183+T184+T186+T187+T188+T189+T190+T191+T192+T194+T195, "NA")</f>
        <v>25396.080000000002</v>
      </c>
      <c r="U197" s="15">
        <f>IFERROR(T197/T444, "NA")</f>
        <v>0.33982967623283217</v>
      </c>
      <c r="V197" s="2"/>
      <c r="W197" s="14">
        <f t="shared" si="50"/>
        <v>1567.75</v>
      </c>
      <c r="X197" s="15">
        <f>IFERROR(W197/W444, "NA")</f>
        <v>-0.86529492606840785</v>
      </c>
      <c r="Y197" s="2"/>
      <c r="Z197" s="14">
        <f>IFERROR(Z175+Z177+Z178+Z179+Z180+Z181+Z183+Z184+Z186+Z187+Z188+Z189+Z190+Z191+Z192+Z194+Z195, "NA")</f>
        <v>25225.87</v>
      </c>
      <c r="AA197" s="15">
        <f>IFERROR(Z197/Z444, "NA")</f>
        <v>0.35442968434857364</v>
      </c>
      <c r="AB197" s="2"/>
      <c r="AC197" s="14">
        <f t="shared" si="51"/>
        <v>1397.5399999999972</v>
      </c>
      <c r="AD197" s="15">
        <f>IFERROR(AC197/AC444, "NA")</f>
        <v>0.80003434753985991</v>
      </c>
    </row>
    <row r="198" spans="1:30" ht="16.5" customHeight="1" x14ac:dyDescent="0.45">
      <c r="A198" s="22" t="s">
        <v>181</v>
      </c>
      <c r="B198" s="23">
        <f>IFERROR(B172-B197, "NA")</f>
        <v>28849.619999999995</v>
      </c>
      <c r="C198" s="24">
        <f>IFERROR(B198/B444, "NA")</f>
        <v>0.39563395382170974</v>
      </c>
      <c r="D198" s="25"/>
      <c r="E198" s="23">
        <f>IFERROR(E172-E197, "NA")</f>
        <v>27738.219999999994</v>
      </c>
      <c r="F198" s="24">
        <f>IFERROR(E198/E444, "NA")</f>
        <v>0.37117028777177685</v>
      </c>
      <c r="G198" s="25"/>
      <c r="H198" s="23">
        <f>IFERROR(B198-E198, "NA")</f>
        <v>1111.4000000000015</v>
      </c>
      <c r="I198" s="24">
        <f>IFERROR(H198/H444, "NA")</f>
        <v>-0.61341972944183043</v>
      </c>
      <c r="J198" s="25"/>
      <c r="K198" s="23">
        <f>IFERROR(K172-K197, "NA")</f>
        <v>26523.540000000005</v>
      </c>
      <c r="L198" s="24">
        <f>IFERROR(K198/K444, "NA")</f>
        <v>0.37266226734724189</v>
      </c>
      <c r="M198" s="25"/>
      <c r="N198" s="23">
        <f>IFERROR(B198-K198, "NA")</f>
        <v>2326.0799999999908</v>
      </c>
      <c r="O198" s="24">
        <f>IFERROR(N198/N444, "NA")</f>
        <v>1.3315854251939219</v>
      </c>
      <c r="P198" s="25"/>
      <c r="Q198" s="23">
        <f>IFERROR(Q172-Q197, "NA")</f>
        <v>28849.619999999995</v>
      </c>
      <c r="R198" s="24">
        <f>IFERROR(Q198/Q444, "NA")</f>
        <v>0.39563395382170974</v>
      </c>
      <c r="S198" s="25"/>
      <c r="T198" s="23">
        <f>IFERROR(T172-T197, "NA")</f>
        <v>27738.219999999994</v>
      </c>
      <c r="U198" s="24">
        <f>IFERROR(T198/T444, "NA")</f>
        <v>0.37117028777177685</v>
      </c>
      <c r="V198" s="25"/>
      <c r="W198" s="23">
        <f>IFERROR(Q198-T198, "NA")</f>
        <v>1111.4000000000015</v>
      </c>
      <c r="X198" s="24">
        <f>IFERROR(W198/W444, "NA")</f>
        <v>-0.61341972944183043</v>
      </c>
      <c r="Y198" s="25"/>
      <c r="Z198" s="23">
        <f>IFERROR(Z172-Z197, "NA")</f>
        <v>26523.540000000005</v>
      </c>
      <c r="AA198" s="24">
        <f>IFERROR(Z198/Z444, "NA")</f>
        <v>0.37266226734724189</v>
      </c>
      <c r="AB198" s="25"/>
      <c r="AC198" s="23">
        <f>IFERROR(Q198-Z198, "NA")</f>
        <v>2326.0799999999908</v>
      </c>
      <c r="AD198" s="24">
        <f>IFERROR(AC198/AC444, "NA")</f>
        <v>1.3315854251939219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1718.83</v>
      </c>
      <c r="F201" s="8">
        <f>IFERROR(E201/E444, "NA")</f>
        <v>2.2999984344012101E-2</v>
      </c>
      <c r="G201" s="9"/>
      <c r="H201" s="10">
        <f t="shared" ref="H201:H209" si="52">IFERROR(-(B201-E201), "NA")</f>
        <v>1718.83</v>
      </c>
      <c r="I201" s="8">
        <f>IFERROR(H201/H444, "NA")</f>
        <v>-0.94868115310104373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1718.83</v>
      </c>
      <c r="U201" s="8">
        <f>IFERROR(T201/T444, "NA")</f>
        <v>2.2999984344012101E-2</v>
      </c>
      <c r="V201" s="9"/>
      <c r="W201" s="10">
        <f t="shared" ref="W201:W209" si="54">IFERROR(-(Q201-T201), "NA")</f>
        <v>1718.83</v>
      </c>
      <c r="X201" s="8">
        <f>IFERROR(W201/W444, "NA")</f>
        <v>-0.94868115310104373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1305.17</v>
      </c>
      <c r="C202" s="8">
        <f>IFERROR(B202/B444, "NA")</f>
        <v>1.7898660970559786E-2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-1305.17</v>
      </c>
      <c r="I202" s="8">
        <f>IFERROR(H202/H444, "NA")</f>
        <v>0.7203680297602959</v>
      </c>
      <c r="J202" s="9"/>
      <c r="K202" s="7">
        <v>1003.01</v>
      </c>
      <c r="L202" s="8">
        <f>IFERROR(K202/K444, "NA")</f>
        <v>1.4092537450580015E-2</v>
      </c>
      <c r="M202" s="9"/>
      <c r="N202" s="10">
        <f t="shared" si="53"/>
        <v>-302.16000000000008</v>
      </c>
      <c r="O202" s="8">
        <f>IFERROR(N202/N444, "NA")</f>
        <v>-0.17297421072215793</v>
      </c>
      <c r="P202" s="9"/>
      <c r="Q202" s="7">
        <v>1305.17</v>
      </c>
      <c r="R202" s="8">
        <f>IFERROR(Q202/Q444, "NA")</f>
        <v>1.7898660970559786E-2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-1305.17</v>
      </c>
      <c r="X202" s="8">
        <f>IFERROR(W202/W444, "NA")</f>
        <v>0.7203680297602959</v>
      </c>
      <c r="Y202" s="9"/>
      <c r="Z202" s="7">
        <v>1003.01</v>
      </c>
      <c r="AA202" s="8">
        <f>IFERROR(Z202/Z444, "NA")</f>
        <v>1.4092537450580015E-2</v>
      </c>
      <c r="AB202" s="9"/>
      <c r="AC202" s="10">
        <f t="shared" si="55"/>
        <v>-302.16000000000008</v>
      </c>
      <c r="AD202" s="8">
        <f>IFERROR(AC202/AC444, "NA")</f>
        <v>-0.17297421072215793</v>
      </c>
    </row>
    <row r="203" spans="1:30" ht="16.5" customHeight="1" x14ac:dyDescent="0.45">
      <c r="A203" s="6" t="s">
        <v>185</v>
      </c>
      <c r="B203" s="7">
        <v>506.76</v>
      </c>
      <c r="C203" s="8">
        <f>IFERROR(B203/B444, "NA")</f>
        <v>6.9495356416718716E-3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-506.76</v>
      </c>
      <c r="I203" s="8">
        <f>IFERROR(H203/H444, "NA")</f>
        <v>0.27969820235013643</v>
      </c>
      <c r="J203" s="9"/>
      <c r="K203" s="7">
        <v>292.98</v>
      </c>
      <c r="L203" s="8">
        <f>IFERROR(K203/K444, "NA")</f>
        <v>4.1164411344562198E-3</v>
      </c>
      <c r="M203" s="9"/>
      <c r="N203" s="10">
        <f t="shared" si="53"/>
        <v>-213.77999999999997</v>
      </c>
      <c r="O203" s="8">
        <f>IFERROR(N203/N444, "NA")</f>
        <v>-0.12238028451212242</v>
      </c>
      <c r="P203" s="9"/>
      <c r="Q203" s="7">
        <v>506.76</v>
      </c>
      <c r="R203" s="8">
        <f>IFERROR(Q203/Q444, "NA")</f>
        <v>6.9495356416718716E-3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-506.76</v>
      </c>
      <c r="X203" s="8">
        <f>IFERROR(W203/W444, "NA")</f>
        <v>0.27969820235013643</v>
      </c>
      <c r="Y203" s="9"/>
      <c r="Z203" s="7">
        <v>292.98</v>
      </c>
      <c r="AA203" s="8">
        <f>IFERROR(Z203/Z444, "NA")</f>
        <v>4.1164411344562198E-3</v>
      </c>
      <c r="AB203" s="9"/>
      <c r="AC203" s="10">
        <f t="shared" si="55"/>
        <v>-213.77999999999997</v>
      </c>
      <c r="AD203" s="8">
        <f>IFERROR(AC203/AC444, "NA")</f>
        <v>-0.12238028451212242</v>
      </c>
    </row>
    <row r="204" spans="1:30" ht="16.5" customHeight="1" x14ac:dyDescent="0.45">
      <c r="A204" s="6" t="s">
        <v>186</v>
      </c>
      <c r="B204" s="7">
        <v>23.92</v>
      </c>
      <c r="C204" s="8">
        <f>IFERROR(B204/B444, "NA")</f>
        <v>3.2803080856577308E-4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-23.92</v>
      </c>
      <c r="I204" s="8">
        <f>IFERROR(H204/H444, "NA")</f>
        <v>1.3202267345913773E-2</v>
      </c>
      <c r="J204" s="9"/>
      <c r="K204" s="7">
        <v>217.64</v>
      </c>
      <c r="L204" s="8">
        <f>IFERROR(K204/K444, "NA")</f>
        <v>3.0578955850332841E-3</v>
      </c>
      <c r="M204" s="9"/>
      <c r="N204" s="10">
        <f t="shared" si="53"/>
        <v>193.71999999999997</v>
      </c>
      <c r="O204" s="8">
        <f>IFERROR(N204/N444, "NA")</f>
        <v>0.110896757019779</v>
      </c>
      <c r="P204" s="9"/>
      <c r="Q204" s="7">
        <v>23.92</v>
      </c>
      <c r="R204" s="8">
        <f>IFERROR(Q204/Q444, "NA")</f>
        <v>3.2803080856577308E-4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-23.92</v>
      </c>
      <c r="X204" s="8">
        <f>IFERROR(W204/W444, "NA")</f>
        <v>1.3202267345913773E-2</v>
      </c>
      <c r="Y204" s="9"/>
      <c r="Z204" s="7">
        <v>217.64</v>
      </c>
      <c r="AA204" s="8">
        <f>IFERROR(Z204/Z444, "NA")</f>
        <v>3.0578955850332841E-3</v>
      </c>
      <c r="AB204" s="9"/>
      <c r="AC204" s="10">
        <f t="shared" si="55"/>
        <v>193.71999999999997</v>
      </c>
      <c r="AD204" s="8">
        <f>IFERROR(AC204/AC444, "NA")</f>
        <v>0.110896757019779</v>
      </c>
    </row>
    <row r="205" spans="1:30" ht="16.5" customHeight="1" x14ac:dyDescent="0.45">
      <c r="A205" s="6" t="s">
        <v>187</v>
      </c>
      <c r="B205" s="7">
        <v>209.96</v>
      </c>
      <c r="C205" s="8">
        <f>IFERROR(B205/B444, "NA")</f>
        <v>2.8793205922437175E-3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-209.96</v>
      </c>
      <c r="I205" s="8">
        <f>IFERROR(H205/H444, "NA")</f>
        <v>0.11588411588411604</v>
      </c>
      <c r="J205" s="9"/>
      <c r="K205" s="7">
        <v>221.6</v>
      </c>
      <c r="L205" s="8">
        <f>IFERROR(K205/K444, "NA")</f>
        <v>3.1135345600228621E-3</v>
      </c>
      <c r="M205" s="9"/>
      <c r="N205" s="10">
        <f t="shared" si="53"/>
        <v>11.639999999999986</v>
      </c>
      <c r="O205" s="8">
        <f>IFERROR(N205/N444, "NA")</f>
        <v>6.6634227323468208E-3</v>
      </c>
      <c r="P205" s="9"/>
      <c r="Q205" s="7">
        <v>209.96</v>
      </c>
      <c r="R205" s="8">
        <f>IFERROR(Q205/Q444, "NA")</f>
        <v>2.8793205922437175E-3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-209.96</v>
      </c>
      <c r="X205" s="8">
        <f>IFERROR(W205/W444, "NA")</f>
        <v>0.11588411588411604</v>
      </c>
      <c r="Y205" s="9"/>
      <c r="Z205" s="7">
        <v>221.6</v>
      </c>
      <c r="AA205" s="8">
        <f>IFERROR(Z205/Z444, "NA")</f>
        <v>3.1135345600228621E-3</v>
      </c>
      <c r="AB205" s="9"/>
      <c r="AC205" s="10">
        <f t="shared" si="55"/>
        <v>11.639999999999986</v>
      </c>
      <c r="AD205" s="8">
        <f>IFERROR(AC205/AC444, "NA")</f>
        <v>6.6634227323468208E-3</v>
      </c>
    </row>
    <row r="206" spans="1:30" ht="16.5" hidden="1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0</v>
      </c>
      <c r="R206" s="8">
        <f>IFERROR(Q206/Q444, "NA")</f>
        <v>0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0</v>
      </c>
      <c r="X206" s="8">
        <f>IFERROR(W206/W444, "NA")</f>
        <v>0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0</v>
      </c>
      <c r="AD206" s="8">
        <f>IFERROR(AC206/AC444, "NA")</f>
        <v>0</v>
      </c>
    </row>
    <row r="207" spans="1:30" ht="16.5" customHeight="1" x14ac:dyDescent="0.45">
      <c r="A207" s="6" t="s">
        <v>189</v>
      </c>
      <c r="B207" s="7">
        <v>99.6</v>
      </c>
      <c r="C207" s="8">
        <f>IFERROR(B207/B444, "NA")</f>
        <v>1.3658807915196906E-3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-99.6</v>
      </c>
      <c r="I207" s="8">
        <f>IFERROR(H207/H444, "NA")</f>
        <v>5.49726516577346E-2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-99.6</v>
      </c>
      <c r="O207" s="8">
        <f>IFERROR(N207/N444, "NA")</f>
        <v>-5.7016916163380081E-2</v>
      </c>
      <c r="P207" s="9"/>
      <c r="Q207" s="7">
        <v>99.6</v>
      </c>
      <c r="R207" s="8">
        <f>IFERROR(Q207/Q444, "NA")</f>
        <v>1.3658807915196906E-3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5.49726516577346E-2</v>
      </c>
      <c r="Y207" s="9"/>
      <c r="Z207" s="7">
        <v>0</v>
      </c>
      <c r="AA207" s="8">
        <f>IFERROR(Z207/Z444, "NA")</f>
        <v>0</v>
      </c>
      <c r="AB207" s="9"/>
      <c r="AC207" s="10">
        <f t="shared" si="55"/>
        <v>-99.6</v>
      </c>
      <c r="AD207" s="8">
        <f>IFERROR(AC207/AC444, "NA")</f>
        <v>-5.7016916163380081E-2</v>
      </c>
    </row>
    <row r="208" spans="1:30" ht="16.5" customHeight="1" x14ac:dyDescent="0.45">
      <c r="A208" s="6" t="s">
        <v>190</v>
      </c>
      <c r="B208" s="7">
        <v>143.72</v>
      </c>
      <c r="C208" s="8">
        <f>IFERROR(B208/B444, "NA")</f>
        <v>1.9709275839077302E-3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-143.72</v>
      </c>
      <c r="I208" s="8">
        <f>IFERROR(H208/H444, "NA")</f>
        <v>7.9323990926200974E-2</v>
      </c>
      <c r="J208" s="9"/>
      <c r="K208" s="7">
        <v>0</v>
      </c>
      <c r="L208" s="8">
        <f>IFERROR(K208/K444, "NA")</f>
        <v>0</v>
      </c>
      <c r="M208" s="9"/>
      <c r="N208" s="10">
        <f t="shared" si="53"/>
        <v>-143.72</v>
      </c>
      <c r="O208" s="8">
        <f>IFERROR(N208/N444, "NA")</f>
        <v>-8.2273807138564109E-2</v>
      </c>
      <c r="P208" s="9"/>
      <c r="Q208" s="7">
        <v>143.72</v>
      </c>
      <c r="R208" s="8">
        <f>IFERROR(Q208/Q444, "NA")</f>
        <v>1.9709275839077302E-3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-143.72</v>
      </c>
      <c r="X208" s="8">
        <f>IFERROR(W208/W444, "NA")</f>
        <v>7.9323990926200974E-2</v>
      </c>
      <c r="Y208" s="9"/>
      <c r="Z208" s="7">
        <v>0</v>
      </c>
      <c r="AA208" s="8">
        <f>IFERROR(Z208/Z444, "NA")</f>
        <v>0</v>
      </c>
      <c r="AB208" s="9"/>
      <c r="AC208" s="10">
        <f t="shared" si="55"/>
        <v>-143.72</v>
      </c>
      <c r="AD208" s="8">
        <f>IFERROR(AC208/AC444, "NA")</f>
        <v>-8.2273807138564109E-2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2289.13</v>
      </c>
      <c r="C209" s="15">
        <f>IFERROR(B209/B444, "NA")</f>
        <v>3.1392356388468566E-2</v>
      </c>
      <c r="D209" s="2"/>
      <c r="E209" s="14">
        <f>IFERROR(E201+E202+E203+E204+E205+E206+E207+E208, "NA")</f>
        <v>1718.83</v>
      </c>
      <c r="F209" s="15">
        <f>IFERROR(E209/E444, "NA")</f>
        <v>2.2999984344012101E-2</v>
      </c>
      <c r="G209" s="2"/>
      <c r="H209" s="14">
        <f t="shared" si="52"/>
        <v>-570.30000000000018</v>
      </c>
      <c r="I209" s="15">
        <f>IFERROR(H209/H444, "NA")</f>
        <v>0.31476810482335393</v>
      </c>
      <c r="J209" s="2"/>
      <c r="K209" s="14">
        <f>IFERROR(K201+K202+K203+K204+K205+K206+K207+K208, "NA")</f>
        <v>1735.23</v>
      </c>
      <c r="L209" s="15">
        <f>IFERROR(K209/K444, "NA")</f>
        <v>2.4380408730092382E-2</v>
      </c>
      <c r="M209" s="2"/>
      <c r="N209" s="14">
        <f t="shared" si="53"/>
        <v>-553.90000000000009</v>
      </c>
      <c r="O209" s="15">
        <f>IFERROR(N209/N444, "NA")</f>
        <v>-0.31708503878409872</v>
      </c>
      <c r="P209" s="2"/>
      <c r="Q209" s="14">
        <f>IFERROR(Q201+Q202+Q203+Q204+Q205+Q206+Q207+Q208, "NA")</f>
        <v>2289.13</v>
      </c>
      <c r="R209" s="15">
        <f>IFERROR(Q209/Q444, "NA")</f>
        <v>3.1392356388468566E-2</v>
      </c>
      <c r="S209" s="2"/>
      <c r="T209" s="14">
        <f>IFERROR(T201+T202+T203+T204+T205+T206+T207+T208, "NA")</f>
        <v>1718.83</v>
      </c>
      <c r="U209" s="15">
        <f>IFERROR(T209/T444, "NA")</f>
        <v>2.2999984344012101E-2</v>
      </c>
      <c r="V209" s="2"/>
      <c r="W209" s="14">
        <f t="shared" si="54"/>
        <v>-570.30000000000018</v>
      </c>
      <c r="X209" s="15">
        <f>IFERROR(W209/W444, "NA")</f>
        <v>0.31476810482335393</v>
      </c>
      <c r="Y209" s="2"/>
      <c r="Z209" s="14">
        <f>IFERROR(Z201+Z202+Z203+Z204+Z205+Z206+Z207+Z208, "NA")</f>
        <v>1735.23</v>
      </c>
      <c r="AA209" s="15">
        <f>IFERROR(Z209/Z444, "NA")</f>
        <v>2.4380408730092382E-2</v>
      </c>
      <c r="AB209" s="2"/>
      <c r="AC209" s="14">
        <f t="shared" si="55"/>
        <v>-553.90000000000009</v>
      </c>
      <c r="AD209" s="15">
        <f>IFERROR(AC209/AC444, "NA")</f>
        <v>-0.31708503878409872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1911.73</v>
      </c>
      <c r="F213" s="8">
        <f>IFERROR(E213/E444, "NA")</f>
        <v>2.5581215169608547E-2</v>
      </c>
      <c r="G213" s="9"/>
      <c r="H213" s="10">
        <f t="shared" ref="H213:H227" si="56">IFERROR(-(B213-E213), "NA")</f>
        <v>1911.73</v>
      </c>
      <c r="I213" s="8">
        <f>IFERROR(H213/H444, "NA")</f>
        <v>-1.0551492706188852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1911.73</v>
      </c>
      <c r="U213" s="8">
        <f>IFERROR(T213/T444, "NA")</f>
        <v>2.5581215169608547E-2</v>
      </c>
      <c r="V213" s="9"/>
      <c r="W213" s="10">
        <f t="shared" ref="W213:W227" si="58">IFERROR(-(Q213-T213), "NA")</f>
        <v>1911.73</v>
      </c>
      <c r="X213" s="8">
        <f>IFERROR(W213/W444, "NA")</f>
        <v>-1.0551492706188852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2284.0500000000002</v>
      </c>
      <c r="C214" s="8">
        <f>IFERROR(B214/B444, "NA")</f>
        <v>3.1322690982636042E-2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-2284.0500000000002</v>
      </c>
      <c r="I214" s="8">
        <f>IFERROR(H214/H444, "NA")</f>
        <v>1.260645431916152</v>
      </c>
      <c r="J214" s="9"/>
      <c r="K214" s="7">
        <v>365</v>
      </c>
      <c r="L214" s="8">
        <f>IFERROR(K214/K444, "NA")</f>
        <v>5.1283398664636499E-3</v>
      </c>
      <c r="M214" s="9"/>
      <c r="N214" s="10">
        <f t="shared" si="57"/>
        <v>-1919.0500000000002</v>
      </c>
      <c r="O214" s="8">
        <f>IFERROR(N214/N444, "NA")</f>
        <v>-1.0985774393909091</v>
      </c>
      <c r="P214" s="9"/>
      <c r="Q214" s="7">
        <v>2284.0500000000002</v>
      </c>
      <c r="R214" s="8">
        <f>IFERROR(Q214/Q444, "NA")</f>
        <v>3.1322690982636042E-2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-2284.0500000000002</v>
      </c>
      <c r="X214" s="8">
        <f>IFERROR(W214/W444, "NA")</f>
        <v>1.260645431916152</v>
      </c>
      <c r="Y214" s="9"/>
      <c r="Z214" s="7">
        <v>365</v>
      </c>
      <c r="AA214" s="8">
        <f>IFERROR(Z214/Z444, "NA")</f>
        <v>5.1283398664636499E-3</v>
      </c>
      <c r="AB214" s="9"/>
      <c r="AC214" s="10">
        <f t="shared" si="59"/>
        <v>-1919.0500000000002</v>
      </c>
      <c r="AD214" s="8">
        <f>IFERROR(AC214/AC444, "NA")</f>
        <v>-1.0985774393909091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1457.54</v>
      </c>
      <c r="C217" s="8">
        <f>IFERROR(B217/B444, "NA")</f>
        <v>1.9988211735658731E-2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-1457.54</v>
      </c>
      <c r="I217" s="8">
        <f>IFERROR(H217/H444, "NA")</f>
        <v>0.80446625198006516</v>
      </c>
      <c r="J217" s="9"/>
      <c r="K217" s="7">
        <v>212.84</v>
      </c>
      <c r="L217" s="8">
        <f>IFERROR(K217/K444, "NA")</f>
        <v>2.9904544032277347E-3</v>
      </c>
      <c r="M217" s="9"/>
      <c r="N217" s="10">
        <f t="shared" si="57"/>
        <v>-1244.7</v>
      </c>
      <c r="O217" s="8">
        <f>IFERROR(N217/N444, "NA")</f>
        <v>-0.71253971434296381</v>
      </c>
      <c r="P217" s="9"/>
      <c r="Q217" s="7">
        <v>1457.54</v>
      </c>
      <c r="R217" s="8">
        <f>IFERROR(Q217/Q444, "NA")</f>
        <v>1.9988211735658731E-2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-1457.54</v>
      </c>
      <c r="X217" s="8">
        <f>IFERROR(W217/W444, "NA")</f>
        <v>0.80446625198006516</v>
      </c>
      <c r="Y217" s="9"/>
      <c r="Z217" s="7">
        <v>212.84</v>
      </c>
      <c r="AA217" s="8">
        <f>IFERROR(Z217/Z444, "NA")</f>
        <v>2.9904544032277347E-3</v>
      </c>
      <c r="AB217" s="9"/>
      <c r="AC217" s="10">
        <f t="shared" si="59"/>
        <v>-1244.7</v>
      </c>
      <c r="AD217" s="8">
        <f>IFERROR(AC217/AC444, "NA")</f>
        <v>-0.71253971434296381</v>
      </c>
    </row>
    <row r="218" spans="1:30" ht="16.5" customHeight="1" x14ac:dyDescent="0.45">
      <c r="A218" s="13" t="s">
        <v>198</v>
      </c>
      <c r="B218" s="14">
        <f>IFERROR(B213+B214+B215+B216+B217, "NA")</f>
        <v>3741.59</v>
      </c>
      <c r="C218" s="15">
        <f>IFERROR(B218/B444, "NA")</f>
        <v>5.1310902718294769E-2</v>
      </c>
      <c r="D218" s="2"/>
      <c r="E218" s="14">
        <f>IFERROR(E213+E214+E215+E216+E217, "NA")</f>
        <v>1911.73</v>
      </c>
      <c r="F218" s="15">
        <f>IFERROR(E218/E444, "NA")</f>
        <v>2.5581215169608547E-2</v>
      </c>
      <c r="G218" s="2"/>
      <c r="H218" s="14">
        <f t="shared" si="56"/>
        <v>-1829.8600000000001</v>
      </c>
      <c r="I218" s="15">
        <f>IFERROR(H218/H444, "NA")</f>
        <v>1.0099624132773317</v>
      </c>
      <c r="J218" s="2"/>
      <c r="K218" s="14">
        <f>IFERROR(K213+K214+K215+K216+K217, "NA")</f>
        <v>577.84</v>
      </c>
      <c r="L218" s="15">
        <f>IFERROR(K218/K444, "NA")</f>
        <v>8.1187942696913842E-3</v>
      </c>
      <c r="M218" s="2"/>
      <c r="N218" s="14">
        <f t="shared" si="57"/>
        <v>-3163.75</v>
      </c>
      <c r="O218" s="15">
        <f>IFERROR(N218/N444, "NA")</f>
        <v>-1.8111171537338728</v>
      </c>
      <c r="P218" s="2"/>
      <c r="Q218" s="14">
        <f>IFERROR(Q213+Q214+Q215+Q216+Q217, "NA")</f>
        <v>3741.59</v>
      </c>
      <c r="R218" s="15">
        <f>IFERROR(Q218/Q444, "NA")</f>
        <v>5.1310902718294769E-2</v>
      </c>
      <c r="S218" s="2"/>
      <c r="T218" s="14">
        <f>IFERROR(T213+T214+T215+T216+T217, "NA")</f>
        <v>1911.73</v>
      </c>
      <c r="U218" s="15">
        <f>IFERROR(T218/T444, "NA")</f>
        <v>2.5581215169608547E-2</v>
      </c>
      <c r="V218" s="2"/>
      <c r="W218" s="14">
        <f t="shared" si="58"/>
        <v>-1829.8600000000001</v>
      </c>
      <c r="X218" s="15">
        <f>IFERROR(W218/W444, "NA")</f>
        <v>1.0099624132773317</v>
      </c>
      <c r="Y218" s="2"/>
      <c r="Z218" s="14">
        <f>IFERROR(Z213+Z214+Z215+Z216+Z217, "NA")</f>
        <v>577.84</v>
      </c>
      <c r="AA218" s="15">
        <f>IFERROR(Z218/Z444, "NA")</f>
        <v>8.1187942696913842E-3</v>
      </c>
      <c r="AB218" s="2"/>
      <c r="AC218" s="14">
        <f t="shared" si="59"/>
        <v>-3163.75</v>
      </c>
      <c r="AD218" s="15">
        <f>IFERROR(AC218/AC444, "NA")</f>
        <v>-1.8111171537338728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171.82</v>
      </c>
      <c r="C222" s="8">
        <f>IFERROR(B222/B444, "NA")</f>
        <v>2.3562815019971205E-3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-171.82</v>
      </c>
      <c r="I222" s="8">
        <f>IFERROR(H222/H444, "NA")</f>
        <v>9.4833343452128099E-2</v>
      </c>
      <c r="J222" s="9"/>
      <c r="K222" s="7">
        <v>150</v>
      </c>
      <c r="L222" s="8">
        <f>IFERROR(K222/K444, "NA")</f>
        <v>2.1075369314234177E-3</v>
      </c>
      <c r="M222" s="9"/>
      <c r="N222" s="10">
        <f t="shared" si="57"/>
        <v>-21.819999999999993</v>
      </c>
      <c r="O222" s="8">
        <f>IFERROR(N222/N444, "NA")</f>
        <v>-1.2491055328162179E-2</v>
      </c>
      <c r="P222" s="9"/>
      <c r="Q222" s="7">
        <v>171.82</v>
      </c>
      <c r="R222" s="8">
        <f>IFERROR(Q222/Q444, "NA")</f>
        <v>2.3562815019971205E-3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-171.82</v>
      </c>
      <c r="X222" s="8">
        <f>IFERROR(W222/W444, "NA")</f>
        <v>9.4833343452128099E-2</v>
      </c>
      <c r="Y222" s="9"/>
      <c r="Z222" s="7">
        <v>150</v>
      </c>
      <c r="AA222" s="8">
        <f>IFERROR(Z222/Z444, "NA")</f>
        <v>2.1075369314234177E-3</v>
      </c>
      <c r="AB222" s="9"/>
      <c r="AC222" s="10">
        <f t="shared" si="59"/>
        <v>-21.819999999999993</v>
      </c>
      <c r="AD222" s="8">
        <f>IFERROR(AC222/AC444, "NA")</f>
        <v>-1.2491055328162179E-2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74.73</v>
      </c>
      <c r="F226" s="8">
        <f>IFERROR(E226/E444, "NA")</f>
        <v>9.9997604767663138E-4</v>
      </c>
      <c r="G226" s="9"/>
      <c r="H226" s="10">
        <f t="shared" si="56"/>
        <v>74.73</v>
      </c>
      <c r="I226" s="8">
        <f>IFERROR(H226/H444, "NA")</f>
        <v>-4.1246046770908706E-2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74.73</v>
      </c>
      <c r="U226" s="8">
        <f>IFERROR(T226/T444, "NA")</f>
        <v>9.9997604767663138E-4</v>
      </c>
      <c r="V226" s="9"/>
      <c r="W226" s="10">
        <f t="shared" si="58"/>
        <v>74.73</v>
      </c>
      <c r="X226" s="8">
        <f>IFERROR(W226/W444, "NA")</f>
        <v>-4.1246046770908706E-2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3913.4100000000003</v>
      </c>
      <c r="C227" s="15">
        <f>IFERROR(B227/B444, "NA")</f>
        <v>5.3667184220291896E-2</v>
      </c>
      <c r="D227" s="2"/>
      <c r="E227" s="14">
        <f>IFERROR(E211+E213+E214+E215+E216+E217+E219+E220+E221+E222+E223+E224+E225+E226, "NA")</f>
        <v>1986.46</v>
      </c>
      <c r="F227" s="15">
        <f>IFERROR(E227/E444, "NA")</f>
        <v>2.6581191217285177E-2</v>
      </c>
      <c r="G227" s="2"/>
      <c r="H227" s="14">
        <f t="shared" si="56"/>
        <v>-1926.9500000000003</v>
      </c>
      <c r="I227" s="15">
        <f>IFERROR(H227/H444, "NA")</f>
        <v>1.0635497099585514</v>
      </c>
      <c r="J227" s="2"/>
      <c r="K227" s="14">
        <f>IFERROR(K211+K213+K214+K215+K216+K217+K219+K220+K221+K222+K223+K224+K225+K226, "NA")</f>
        <v>727.84</v>
      </c>
      <c r="L227" s="15">
        <f>IFERROR(K227/K444, "NA")</f>
        <v>1.0226331201114802E-2</v>
      </c>
      <c r="M227" s="2"/>
      <c r="N227" s="14">
        <f t="shared" si="57"/>
        <v>-3185.57</v>
      </c>
      <c r="O227" s="15">
        <f>IFERROR(N227/N444, "NA")</f>
        <v>-1.8236082090620351</v>
      </c>
      <c r="P227" s="2"/>
      <c r="Q227" s="14">
        <f>IFERROR(Q211+Q213+Q214+Q215+Q216+Q217+Q219+Q220+Q221+Q222+Q223+Q224+Q225+Q226, "NA")</f>
        <v>3913.4100000000003</v>
      </c>
      <c r="R227" s="15">
        <f>IFERROR(Q227/Q444, "NA")</f>
        <v>5.3667184220291896E-2</v>
      </c>
      <c r="S227" s="2"/>
      <c r="T227" s="14">
        <f>IFERROR(T211+T213+T214+T215+T216+T217+T219+T220+T221+T222+T223+T224+T225+T226, "NA")</f>
        <v>1986.46</v>
      </c>
      <c r="U227" s="15">
        <f>IFERROR(T227/T444, "NA")</f>
        <v>2.6581191217285177E-2</v>
      </c>
      <c r="V227" s="2"/>
      <c r="W227" s="14">
        <f t="shared" si="58"/>
        <v>-1926.9500000000003</v>
      </c>
      <c r="X227" s="15">
        <f>IFERROR(W227/W444, "NA")</f>
        <v>1.0635497099585514</v>
      </c>
      <c r="Y227" s="2"/>
      <c r="Z227" s="14">
        <f>IFERROR(Z211+Z213+Z214+Z215+Z216+Z217+Z219+Z220+Z221+Z222+Z223+Z224+Z225+Z226, "NA")</f>
        <v>727.84</v>
      </c>
      <c r="AA227" s="15">
        <f>IFERROR(Z227/Z444, "NA")</f>
        <v>1.0226331201114802E-2</v>
      </c>
      <c r="AB227" s="2"/>
      <c r="AC227" s="14">
        <f t="shared" si="59"/>
        <v>-3185.57</v>
      </c>
      <c r="AD227" s="15">
        <f>IFERROR(AC227/AC444, "NA")</f>
        <v>-1.8236082090620351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896.78</v>
      </c>
      <c r="F229" s="8">
        <f>IFERROR(E229/E444, "NA")</f>
        <v>1.1999980195844365E-2</v>
      </c>
      <c r="G229" s="9"/>
      <c r="H229" s="10">
        <f t="shared" ref="H229:H236" si="60">IFERROR(-(B229-E229), "NA")</f>
        <v>896.78</v>
      </c>
      <c r="I229" s="8">
        <f>IFERROR(H229/H444, "NA")</f>
        <v>-0.49496359993597627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896.78</v>
      </c>
      <c r="U229" s="8">
        <f>IFERROR(T229/T444, "NA")</f>
        <v>1.1999980195844365E-2</v>
      </c>
      <c r="V229" s="9"/>
      <c r="W229" s="10">
        <f t="shared" ref="W229:W236" si="62">IFERROR(-(Q229-T229), "NA")</f>
        <v>896.78</v>
      </c>
      <c r="X229" s="8">
        <f>IFERROR(W229/W444, "NA")</f>
        <v>-0.49496359993597627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216.37</v>
      </c>
      <c r="C231" s="8">
        <f>IFERROR(B231/B444, "NA")</f>
        <v>2.9672251692883077E-3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-216.37</v>
      </c>
      <c r="I231" s="8">
        <f>IFERROR(H231/H444, "NA")</f>
        <v>0.11942201444963892</v>
      </c>
      <c r="J231" s="9"/>
      <c r="K231" s="7">
        <v>1.42</v>
      </c>
      <c r="L231" s="8">
        <f>IFERROR(K231/K444, "NA")</f>
        <v>1.9951349617475018E-5</v>
      </c>
      <c r="M231" s="9"/>
      <c r="N231" s="10">
        <f t="shared" si="61"/>
        <v>-214.95000000000002</v>
      </c>
      <c r="O231" s="8">
        <f>IFERROR(N231/N444, "NA")</f>
        <v>-0.12305006153934286</v>
      </c>
      <c r="P231" s="9"/>
      <c r="Q231" s="7">
        <v>216.37</v>
      </c>
      <c r="R231" s="8">
        <f>IFERROR(Q231/Q444, "NA")</f>
        <v>2.9672251692883077E-3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-216.37</v>
      </c>
      <c r="X231" s="8">
        <f>IFERROR(W231/W444, "NA")</f>
        <v>0.11942201444963892</v>
      </c>
      <c r="Y231" s="9"/>
      <c r="Z231" s="7">
        <v>1.42</v>
      </c>
      <c r="AA231" s="8">
        <f>IFERROR(Z231/Z444, "NA")</f>
        <v>1.9951349617475018E-5</v>
      </c>
      <c r="AB231" s="9"/>
      <c r="AC231" s="10">
        <f t="shared" si="63"/>
        <v>-214.95000000000002</v>
      </c>
      <c r="AD231" s="8">
        <f>IFERROR(AC231/AC444, "NA")</f>
        <v>-0.12305006153934286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1241.8800000000001</v>
      </c>
      <c r="C234" s="8">
        <f>IFERROR(B234/B444, "NA")</f>
        <v>1.7030723266791902E-2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-1241.8800000000001</v>
      </c>
      <c r="I234" s="8">
        <f>IFERROR(H234/H444, "NA")</f>
        <v>0.6854361108504764</v>
      </c>
      <c r="J234" s="9"/>
      <c r="K234" s="7">
        <v>776.62</v>
      </c>
      <c r="L234" s="8">
        <f>IFERROR(K234/K444, "NA")</f>
        <v>1.0911702211213698E-2</v>
      </c>
      <c r="M234" s="9"/>
      <c r="N234" s="10">
        <f t="shared" si="61"/>
        <v>-465.2600000000001</v>
      </c>
      <c r="O234" s="8">
        <f>IFERROR(N234/N444, "NA")</f>
        <v>-0.26634227323468096</v>
      </c>
      <c r="P234" s="9"/>
      <c r="Q234" s="7">
        <v>1241.8800000000001</v>
      </c>
      <c r="R234" s="8">
        <f>IFERROR(Q234/Q444, "NA")</f>
        <v>1.7030723266791902E-2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-1241.8800000000001</v>
      </c>
      <c r="X234" s="8">
        <f>IFERROR(W234/W444, "NA")</f>
        <v>0.6854361108504764</v>
      </c>
      <c r="Y234" s="9"/>
      <c r="Z234" s="7">
        <v>776.62</v>
      </c>
      <c r="AA234" s="8">
        <f>IFERROR(Z234/Z444, "NA")</f>
        <v>1.0911702211213698E-2</v>
      </c>
      <c r="AB234" s="9"/>
      <c r="AC234" s="10">
        <f t="shared" si="63"/>
        <v>-465.2600000000001</v>
      </c>
      <c r="AD234" s="8">
        <f>IFERROR(AC234/AC444, "NA")</f>
        <v>-0.26634227323468096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1458.25</v>
      </c>
      <c r="C236" s="15">
        <f>IFERROR(B236/B444, "NA")</f>
        <v>1.9997948436080208E-2</v>
      </c>
      <c r="D236" s="2"/>
      <c r="E236" s="14">
        <f>IFERROR(E229+E230+E231+E232+E233+E234+E235, "NA")</f>
        <v>896.78</v>
      </c>
      <c r="F236" s="15">
        <f>IFERROR(E236/E444, "NA")</f>
        <v>1.1999980195844365E-2</v>
      </c>
      <c r="G236" s="2"/>
      <c r="H236" s="14">
        <f t="shared" si="60"/>
        <v>-561.47</v>
      </c>
      <c r="I236" s="15">
        <f>IFERROR(H236/H444, "NA")</f>
        <v>0.30989452536413903</v>
      </c>
      <c r="J236" s="2"/>
      <c r="K236" s="14">
        <f>IFERROR(K229+K230+K231+K232+K233+K234+K235, "NA")</f>
        <v>778.04</v>
      </c>
      <c r="L236" s="15">
        <f>IFERROR(K236/K444, "NA")</f>
        <v>1.0931653560831173E-2</v>
      </c>
      <c r="M236" s="2"/>
      <c r="N236" s="14">
        <f t="shared" si="61"/>
        <v>-680.21</v>
      </c>
      <c r="O236" s="15">
        <f>IFERROR(N236/N444, "NA")</f>
        <v>-0.3893923347740238</v>
      </c>
      <c r="P236" s="2"/>
      <c r="Q236" s="14">
        <f>IFERROR(Q229+Q230+Q231+Q232+Q233+Q234+Q235, "NA")</f>
        <v>1458.25</v>
      </c>
      <c r="R236" s="15">
        <f>IFERROR(Q236/Q444, "NA")</f>
        <v>1.9997948436080208E-2</v>
      </c>
      <c r="S236" s="2"/>
      <c r="T236" s="14">
        <f>IFERROR(T229+T230+T231+T232+T233+T234+T235, "NA")</f>
        <v>896.78</v>
      </c>
      <c r="U236" s="15">
        <f>IFERROR(T236/T444, "NA")</f>
        <v>1.1999980195844365E-2</v>
      </c>
      <c r="V236" s="2"/>
      <c r="W236" s="14">
        <f t="shared" si="62"/>
        <v>-561.47</v>
      </c>
      <c r="X236" s="15">
        <f>IFERROR(W236/W444, "NA")</f>
        <v>0.30989452536413903</v>
      </c>
      <c r="Y236" s="2"/>
      <c r="Z236" s="14">
        <f>IFERROR(Z229+Z230+Z231+Z232+Z233+Z234+Z235, "NA")</f>
        <v>778.04</v>
      </c>
      <c r="AA236" s="15">
        <f>IFERROR(Z236/Z444, "NA")</f>
        <v>1.0931653560831173E-2</v>
      </c>
      <c r="AB236" s="2"/>
      <c r="AC236" s="14">
        <f t="shared" si="63"/>
        <v>-680.21</v>
      </c>
      <c r="AD236" s="15">
        <f>IFERROR(AC236/AC444, "NA")</f>
        <v>-0.3893923347740238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3620.01</v>
      </c>
      <c r="F240" s="8">
        <f>IFERROR(E240/E444, "NA")</f>
        <v>4.8440027998794093E-2</v>
      </c>
      <c r="G240" s="9"/>
      <c r="H240" s="10">
        <f t="shared" ref="H240:H263" si="64">IFERROR(-(B240-E240), "NA")</f>
        <v>3620.01</v>
      </c>
      <c r="I240" s="8">
        <f>IFERROR(H240/H444, "NA")</f>
        <v>-1.9980075173445366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3620.01</v>
      </c>
      <c r="U240" s="8">
        <f>IFERROR(T240/T444, "NA")</f>
        <v>4.8440027998794093E-2</v>
      </c>
      <c r="V240" s="9"/>
      <c r="W240" s="10">
        <f t="shared" ref="W240:W263" si="66">IFERROR(-(Q240-T240), "NA")</f>
        <v>3620.01</v>
      </c>
      <c r="X240" s="8">
        <f>IFERROR(W240/W444, "NA")</f>
        <v>-1.9980075173445366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1018.13</v>
      </c>
      <c r="C242" s="8">
        <f>IFERROR(B242/B444, "NA")</f>
        <v>1.3962291267770507E-2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-1018.13</v>
      </c>
      <c r="I242" s="8">
        <f>IFERROR(H242/H444, "NA")</f>
        <v>0.56194082160933057</v>
      </c>
      <c r="J242" s="9"/>
      <c r="K242" s="7">
        <v>796.66</v>
      </c>
      <c r="L242" s="8">
        <f>IFERROR(K242/K444, "NA")</f>
        <v>1.1193269145251865E-2</v>
      </c>
      <c r="M242" s="9"/>
      <c r="N242" s="10">
        <f t="shared" si="65"/>
        <v>-221.47000000000003</v>
      </c>
      <c r="O242" s="8">
        <f>IFERROR(N242/N444, "NA")</f>
        <v>-0.12678249420385329</v>
      </c>
      <c r="P242" s="9"/>
      <c r="Q242" s="7">
        <v>1018.13</v>
      </c>
      <c r="R242" s="8">
        <f>IFERROR(Q242/Q444, "NA")</f>
        <v>1.3962291267770507E-2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-1018.13</v>
      </c>
      <c r="X242" s="8">
        <f>IFERROR(W242/W444, "NA")</f>
        <v>0.56194082160933057</v>
      </c>
      <c r="Y242" s="9"/>
      <c r="Z242" s="7">
        <v>796.66</v>
      </c>
      <c r="AA242" s="8">
        <f>IFERROR(Z242/Z444, "NA")</f>
        <v>1.1193269145251865E-2</v>
      </c>
      <c r="AB242" s="9"/>
      <c r="AC242" s="10">
        <f t="shared" si="67"/>
        <v>-221.47000000000003</v>
      </c>
      <c r="AD242" s="8">
        <f>IFERROR(AC242/AC444, "NA")</f>
        <v>-0.12678249420385329</v>
      </c>
    </row>
    <row r="243" spans="1:30" ht="16.5" customHeight="1" x14ac:dyDescent="0.45">
      <c r="A243" s="12" t="s">
        <v>220</v>
      </c>
      <c r="B243" s="7">
        <v>2094.56</v>
      </c>
      <c r="C243" s="8">
        <f>IFERROR(B243/B444, "NA")</f>
        <v>2.872408906310726E-2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-2094.56</v>
      </c>
      <c r="I243" s="8">
        <f>IFERROR(H243/H444, "NA")</f>
        <v>1.1560594102030581</v>
      </c>
      <c r="J243" s="9"/>
      <c r="K243" s="7">
        <v>1710.95</v>
      </c>
      <c r="L243" s="8">
        <f>IFERROR(K243/K444, "NA")</f>
        <v>2.4039268752125979E-2</v>
      </c>
      <c r="M243" s="9"/>
      <c r="N243" s="10">
        <f t="shared" si="65"/>
        <v>-383.6099999999999</v>
      </c>
      <c r="O243" s="8">
        <f>IFERROR(N243/N444, "NA")</f>
        <v>-0.21960099607865691</v>
      </c>
      <c r="P243" s="9"/>
      <c r="Q243" s="7">
        <v>2094.56</v>
      </c>
      <c r="R243" s="8">
        <f>IFERROR(Q243/Q444, "NA")</f>
        <v>2.872408906310726E-2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-2094.56</v>
      </c>
      <c r="X243" s="8">
        <f>IFERROR(W243/W444, "NA")</f>
        <v>1.1560594102030581</v>
      </c>
      <c r="Y243" s="9"/>
      <c r="Z243" s="7">
        <v>1710.95</v>
      </c>
      <c r="AA243" s="8">
        <f>IFERROR(Z243/Z444, "NA")</f>
        <v>2.4039268752125979E-2</v>
      </c>
      <c r="AB243" s="9"/>
      <c r="AC243" s="10">
        <f t="shared" si="67"/>
        <v>-383.6099999999999</v>
      </c>
      <c r="AD243" s="8">
        <f>IFERROR(AC243/AC444, "NA")</f>
        <v>-0.21960099607865691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285.70999999999998</v>
      </c>
      <c r="C246" s="8">
        <f>IFERROR(B246/B444, "NA")</f>
        <v>3.9181305315772168E-3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-285.70999999999998</v>
      </c>
      <c r="I246" s="8">
        <f>IFERROR(H246/H444, "NA")</f>
        <v>0.15769313559368828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-285.70999999999998</v>
      </c>
      <c r="O246" s="8">
        <f>IFERROR(N246/N444, "NA")</f>
        <v>-0.16355726021123818</v>
      </c>
      <c r="P246" s="9"/>
      <c r="Q246" s="7">
        <v>285.70999999999998</v>
      </c>
      <c r="R246" s="8">
        <f>IFERROR(Q246/Q444, "NA")</f>
        <v>3.9181305315772168E-3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-285.70999999999998</v>
      </c>
      <c r="X246" s="8">
        <f>IFERROR(W246/W444, "NA")</f>
        <v>0.15769313559368828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-285.70999999999998</v>
      </c>
      <c r="AD246" s="8">
        <f>IFERROR(AC246/AC444, "NA")</f>
        <v>-0.16355726021123818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263.13</v>
      </c>
      <c r="C248" s="8">
        <f>IFERROR(B248/B444, "NA")</f>
        <v>3.6084760308491585E-3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-263.13</v>
      </c>
      <c r="I248" s="8">
        <f>IFERROR(H248/H444, "NA")</f>
        <v>0.14523046014758739</v>
      </c>
      <c r="J248" s="9"/>
      <c r="K248" s="7">
        <v>0</v>
      </c>
      <c r="L248" s="8">
        <f>IFERROR(K248/K444, "NA")</f>
        <v>0</v>
      </c>
      <c r="M248" s="9"/>
      <c r="N248" s="10">
        <f t="shared" si="65"/>
        <v>-263.13</v>
      </c>
      <c r="O248" s="8">
        <f>IFERROR(N248/N444, "NA")</f>
        <v>-0.15063113604488154</v>
      </c>
      <c r="P248" s="9"/>
      <c r="Q248" s="7">
        <v>263.13</v>
      </c>
      <c r="R248" s="8">
        <f>IFERROR(Q248/Q444, "NA")</f>
        <v>3.6084760308491585E-3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-263.13</v>
      </c>
      <c r="X248" s="8">
        <f>IFERROR(W248/W444, "NA")</f>
        <v>0.14523046014758739</v>
      </c>
      <c r="Y248" s="9"/>
      <c r="Z248" s="7">
        <v>0</v>
      </c>
      <c r="AA248" s="8">
        <f>IFERROR(Z248/Z444, "NA")</f>
        <v>0</v>
      </c>
      <c r="AB248" s="9"/>
      <c r="AC248" s="10">
        <f t="shared" si="67"/>
        <v>-263.13</v>
      </c>
      <c r="AD248" s="8">
        <f>IFERROR(AC248/AC444, "NA")</f>
        <v>-0.15063113604488154</v>
      </c>
    </row>
    <row r="249" spans="1:30" ht="16.5" customHeight="1" x14ac:dyDescent="0.45">
      <c r="A249" s="12" t="s">
        <v>226</v>
      </c>
      <c r="B249" s="7">
        <v>780.46</v>
      </c>
      <c r="C249" s="8">
        <f>IFERROR(B249/B444, "NA")</f>
        <v>1.0702965085837929E-2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-780.46</v>
      </c>
      <c r="I249" s="8">
        <f>IFERROR(H249/H444, "NA")</f>
        <v>0.43076260755818824</v>
      </c>
      <c r="J249" s="9"/>
      <c r="K249" s="7">
        <v>602.71</v>
      </c>
      <c r="L249" s="8">
        <f>IFERROR(K249/K444, "NA")</f>
        <v>8.4682238929213883E-3</v>
      </c>
      <c r="M249" s="9"/>
      <c r="N249" s="10">
        <f t="shared" si="65"/>
        <v>-177.75</v>
      </c>
      <c r="O249" s="8">
        <f>IFERROR(N249/N444, "NA")</f>
        <v>-0.10175458682771897</v>
      </c>
      <c r="P249" s="9"/>
      <c r="Q249" s="7">
        <v>780.46</v>
      </c>
      <c r="R249" s="8">
        <f>IFERROR(Q249/Q444, "NA")</f>
        <v>1.0702965085837929E-2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-780.46</v>
      </c>
      <c r="X249" s="8">
        <f>IFERROR(W249/W444, "NA")</f>
        <v>0.43076260755818824</v>
      </c>
      <c r="Y249" s="9"/>
      <c r="Z249" s="7">
        <v>602.71</v>
      </c>
      <c r="AA249" s="8">
        <f>IFERROR(Z249/Z444, "NA")</f>
        <v>8.4682238929213883E-3</v>
      </c>
      <c r="AB249" s="9"/>
      <c r="AC249" s="10">
        <f t="shared" si="67"/>
        <v>-177.75</v>
      </c>
      <c r="AD249" s="8">
        <f>IFERROR(AC249/AC444, "NA")</f>
        <v>-0.10175458682771897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4441.99</v>
      </c>
      <c r="C262" s="15">
        <f>IFERROR(B262/B444, "NA")</f>
        <v>6.0915951979142069E-2</v>
      </c>
      <c r="D262" s="2"/>
      <c r="E262" s="14">
        <f>IFERROR(E240+E241+E242+E243+E244+E245+E246+E247+E248+E249+E250+E251+E252+E253+E254+E255+E256+E257+E258+E259+E260+E261, "NA")</f>
        <v>3620.01</v>
      </c>
      <c r="F262" s="15">
        <f>IFERROR(E262/E444, "NA")</f>
        <v>4.8440027998794093E-2</v>
      </c>
      <c r="G262" s="2"/>
      <c r="H262" s="14">
        <f t="shared" si="64"/>
        <v>-821.97999999999956</v>
      </c>
      <c r="I262" s="15">
        <f>IFERROR(H262/H444, "NA")</f>
        <v>0.45367891776731589</v>
      </c>
      <c r="J262" s="2"/>
      <c r="K262" s="14">
        <f>IFERROR(K240+K241+K242+K243+K244+K245+K246+K247+K248+K249+K250+K251+K252+K253+K254+K255+K256+K257+K258+K259+K260+K261, "NA")</f>
        <v>3110.32</v>
      </c>
      <c r="L262" s="15">
        <f>IFERROR(K262/K444, "NA")</f>
        <v>4.3700761790299233E-2</v>
      </c>
      <c r="M262" s="2"/>
      <c r="N262" s="14">
        <f t="shared" si="65"/>
        <v>-1331.6699999999996</v>
      </c>
      <c r="O262" s="15">
        <f>IFERROR(N262/N444, "NA")</f>
        <v>-0.76232647336634873</v>
      </c>
      <c r="P262" s="2"/>
      <c r="Q262" s="14">
        <f>IFERROR(Q240+Q241+Q242+Q243+Q244+Q245+Q246+Q247+Q248+Q249+Q250+Q251+Q252+Q253+Q254+Q255+Q256+Q257+Q258+Q259+Q260+Q261, "NA")</f>
        <v>4441.99</v>
      </c>
      <c r="R262" s="15">
        <f>IFERROR(Q262/Q444, "NA")</f>
        <v>6.0915951979142069E-2</v>
      </c>
      <c r="S262" s="2"/>
      <c r="T262" s="14">
        <f>IFERROR(T240+T241+T242+T243+T244+T245+T246+T247+T248+T249+T250+T251+T252+T253+T254+T255+T256+T257+T258+T259+T260+T261, "NA")</f>
        <v>3620.01</v>
      </c>
      <c r="U262" s="15">
        <f>IFERROR(T262/T444, "NA")</f>
        <v>4.8440027998794093E-2</v>
      </c>
      <c r="V262" s="2"/>
      <c r="W262" s="14">
        <f t="shared" si="66"/>
        <v>-821.97999999999956</v>
      </c>
      <c r="X262" s="15">
        <f>IFERROR(W262/W444, "NA")</f>
        <v>0.45367891776731589</v>
      </c>
      <c r="Y262" s="2"/>
      <c r="Z262" s="14">
        <f>IFERROR(Z240+Z241+Z242+Z243+Z244+Z245+Z246+Z247+Z248+Z249+Z250+Z251+Z252+Z253+Z254+Z255+Z256+Z257+Z258+Z259+Z260+Z261, "NA")</f>
        <v>3110.32</v>
      </c>
      <c r="AA262" s="15">
        <f>IFERROR(Z262/Z444, "NA")</f>
        <v>4.3700761790299233E-2</v>
      </c>
      <c r="AB262" s="2"/>
      <c r="AC262" s="14">
        <f t="shared" si="67"/>
        <v>-1331.6699999999996</v>
      </c>
      <c r="AD262" s="15">
        <f>IFERROR(AC262/AC444, "NA")</f>
        <v>-0.76232647336634873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4441.99</v>
      </c>
      <c r="C263" s="15">
        <f>IFERROR(B263/B444, "NA")</f>
        <v>6.0915951979142069E-2</v>
      </c>
      <c r="D263" s="2"/>
      <c r="E263" s="14">
        <f>IFERROR(E238+E240+E241+E242+E243+E244+E245+E246+E247+E248+E249+E250+E251+E252+E253+E254+E255+E256+E257+E258+E259+E260+E261, "NA")</f>
        <v>3620.01</v>
      </c>
      <c r="F263" s="15">
        <f>IFERROR(E263/E444, "NA")</f>
        <v>4.8440027998794093E-2</v>
      </c>
      <c r="G263" s="2"/>
      <c r="H263" s="14">
        <f t="shared" si="64"/>
        <v>-821.97999999999956</v>
      </c>
      <c r="I263" s="15">
        <f>IFERROR(H263/H444, "NA")</f>
        <v>0.45367891776731589</v>
      </c>
      <c r="J263" s="2"/>
      <c r="K263" s="14">
        <f>IFERROR(K238+K240+K241+K242+K243+K244+K245+K246+K247+K248+K249+K250+K251+K252+K253+K254+K255+K256+K257+K258+K259+K260+K261, "NA")</f>
        <v>3110.32</v>
      </c>
      <c r="L263" s="15">
        <f>IFERROR(K263/K444, "NA")</f>
        <v>4.3700761790299233E-2</v>
      </c>
      <c r="M263" s="2"/>
      <c r="N263" s="14">
        <f t="shared" si="65"/>
        <v>-1331.6699999999996</v>
      </c>
      <c r="O263" s="15">
        <f>IFERROR(N263/N444, "NA")</f>
        <v>-0.76232647336634873</v>
      </c>
      <c r="P263" s="2"/>
      <c r="Q263" s="14">
        <f>IFERROR(Q238+Q240+Q241+Q242+Q243+Q244+Q245+Q246+Q247+Q248+Q249+Q250+Q251+Q252+Q253+Q254+Q255+Q256+Q257+Q258+Q259+Q260+Q261, "NA")</f>
        <v>4441.99</v>
      </c>
      <c r="R263" s="15">
        <f>IFERROR(Q263/Q444, "NA")</f>
        <v>6.0915951979142069E-2</v>
      </c>
      <c r="S263" s="2"/>
      <c r="T263" s="14">
        <f>IFERROR(T238+T240+T241+T242+T243+T244+T245+T246+T247+T248+T249+T250+T251+T252+T253+T254+T255+T256+T257+T258+T259+T260+T261, "NA")</f>
        <v>3620.01</v>
      </c>
      <c r="U263" s="15">
        <f>IFERROR(T263/T444, "NA")</f>
        <v>4.8440027998794093E-2</v>
      </c>
      <c r="V263" s="2"/>
      <c r="W263" s="14">
        <f t="shared" si="66"/>
        <v>-821.97999999999956</v>
      </c>
      <c r="X263" s="15">
        <f>IFERROR(W263/W444, "NA")</f>
        <v>0.45367891776731589</v>
      </c>
      <c r="Y263" s="2"/>
      <c r="Z263" s="14">
        <f>IFERROR(Z238+Z240+Z241+Z242+Z243+Z244+Z245+Z246+Z247+Z248+Z249+Z250+Z251+Z252+Z253+Z254+Z255+Z256+Z257+Z258+Z259+Z260+Z261, "NA")</f>
        <v>3110.32</v>
      </c>
      <c r="AA263" s="15">
        <f>IFERROR(Z263/Z444, "NA")</f>
        <v>4.3700761790299233E-2</v>
      </c>
      <c r="AB263" s="2"/>
      <c r="AC263" s="14">
        <f t="shared" si="67"/>
        <v>-1331.6699999999996</v>
      </c>
      <c r="AD263" s="15">
        <f>IFERROR(AC263/AC444, "NA")</f>
        <v>-0.76232647336634873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1981.9</v>
      </c>
      <c r="C265" s="8">
        <f>IFERROR(B265/B444, "NA")</f>
        <v>2.717910783848268E-2</v>
      </c>
      <c r="D265" s="9"/>
      <c r="E265" s="7">
        <v>2167.2199999999998</v>
      </c>
      <c r="F265" s="8">
        <f>IFERROR(E265/E444, "NA")</f>
        <v>2.8999974441934282E-2</v>
      </c>
      <c r="G265" s="9"/>
      <c r="H265" s="10">
        <f>IFERROR(-(B265-E265), "NA")</f>
        <v>185.31999999999971</v>
      </c>
      <c r="I265" s="8">
        <f>IFERROR(H265/H444, "NA")</f>
        <v>-0.10228445587561606</v>
      </c>
      <c r="J265" s="9"/>
      <c r="K265" s="7">
        <v>2027.34</v>
      </c>
      <c r="L265" s="8">
        <f>IFERROR(K265/K444, "NA")</f>
        <v>2.8484626150346342E-2</v>
      </c>
      <c r="M265" s="9"/>
      <c r="N265" s="10">
        <f>IFERROR(-(B265-K265), "NA")</f>
        <v>45.439999999999827</v>
      </c>
      <c r="O265" s="8">
        <f>IFERROR(N265/N444, "NA")</f>
        <v>2.6012536852048004E-2</v>
      </c>
      <c r="P265" s="9"/>
      <c r="Q265" s="7">
        <v>1981.9</v>
      </c>
      <c r="R265" s="8">
        <f>IFERROR(Q265/Q444, "NA")</f>
        <v>2.717910783848268E-2</v>
      </c>
      <c r="S265" s="9"/>
      <c r="T265" s="7">
        <v>2167.2199999999998</v>
      </c>
      <c r="U265" s="8">
        <f>IFERROR(T265/T444, "NA")</f>
        <v>2.8999974441934282E-2</v>
      </c>
      <c r="V265" s="9"/>
      <c r="W265" s="10">
        <f>IFERROR(-(Q265-T265), "NA")</f>
        <v>185.31999999999971</v>
      </c>
      <c r="X265" s="8">
        <f>IFERROR(W265/W444, "NA")</f>
        <v>-0.10228445587561606</v>
      </c>
      <c r="Y265" s="9"/>
      <c r="Z265" s="7">
        <v>2027.34</v>
      </c>
      <c r="AA265" s="8">
        <f>IFERROR(Z265/Z444, "NA")</f>
        <v>2.8484626150346342E-2</v>
      </c>
      <c r="AB265" s="9"/>
      <c r="AC265" s="10">
        <f>IFERROR(-(Q265-Z265), "NA")</f>
        <v>45.439999999999827</v>
      </c>
      <c r="AD265" s="8">
        <f>IFERROR(AC265/AC444, "NA")</f>
        <v>2.6012536852048004E-2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1981.9</v>
      </c>
      <c r="C267" s="15">
        <f>IFERROR(B267/B444, "NA")</f>
        <v>2.717910783848268E-2</v>
      </c>
      <c r="D267" s="2"/>
      <c r="E267" s="14">
        <f>IFERROR(E265+E266, "NA")</f>
        <v>2167.2199999999998</v>
      </c>
      <c r="F267" s="15">
        <f>IFERROR(E267/E444, "NA")</f>
        <v>2.8999974441934282E-2</v>
      </c>
      <c r="G267" s="2"/>
      <c r="H267" s="14">
        <f>IFERROR(-(B267-E267), "NA")</f>
        <v>185.31999999999971</v>
      </c>
      <c r="I267" s="15">
        <f>IFERROR(H267/H444, "NA")</f>
        <v>-0.10228445587561606</v>
      </c>
      <c r="J267" s="2"/>
      <c r="K267" s="14">
        <f>IFERROR(K265+K266, "NA")</f>
        <v>2027.34</v>
      </c>
      <c r="L267" s="15">
        <f>IFERROR(K267/K444, "NA")</f>
        <v>2.8484626150346342E-2</v>
      </c>
      <c r="M267" s="2"/>
      <c r="N267" s="14">
        <f>IFERROR(-(B267-K267), "NA")</f>
        <v>45.439999999999827</v>
      </c>
      <c r="O267" s="15">
        <f>IFERROR(N267/N444, "NA")</f>
        <v>2.6012536852048004E-2</v>
      </c>
      <c r="P267" s="2"/>
      <c r="Q267" s="14">
        <f>IFERROR(Q265+Q266, "NA")</f>
        <v>1981.9</v>
      </c>
      <c r="R267" s="15">
        <f>IFERROR(Q267/Q444, "NA")</f>
        <v>2.717910783848268E-2</v>
      </c>
      <c r="S267" s="2"/>
      <c r="T267" s="14">
        <f>IFERROR(T265+T266, "NA")</f>
        <v>2167.2199999999998</v>
      </c>
      <c r="U267" s="15">
        <f>IFERROR(T267/T444, "NA")</f>
        <v>2.8999974441934282E-2</v>
      </c>
      <c r="V267" s="2"/>
      <c r="W267" s="14">
        <f>IFERROR(-(Q267-T267), "NA")</f>
        <v>185.31999999999971</v>
      </c>
      <c r="X267" s="15">
        <f>IFERROR(W267/W444, "NA")</f>
        <v>-0.10228445587561606</v>
      </c>
      <c r="Y267" s="2"/>
      <c r="Z267" s="14">
        <f>IFERROR(Z265+Z266, "NA")</f>
        <v>2027.34</v>
      </c>
      <c r="AA267" s="15">
        <f>IFERROR(Z267/Z444, "NA")</f>
        <v>2.8484626150346342E-2</v>
      </c>
      <c r="AB267" s="2"/>
      <c r="AC267" s="14">
        <f>IFERROR(-(Q267-Z267), "NA")</f>
        <v>45.439999999999827</v>
      </c>
      <c r="AD267" s="15">
        <f>IFERROR(AC267/AC444, "NA")</f>
        <v>2.6012536852048004E-2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201.73</v>
      </c>
      <c r="C270" s="8">
        <f>IFERROR(B270/B444, "NA")</f>
        <v>2.7664571493299915E-3</v>
      </c>
      <c r="D270" s="9"/>
      <c r="E270" s="7">
        <v>177.48</v>
      </c>
      <c r="F270" s="8">
        <f>IFERROR(E270/E444, "NA")</f>
        <v>2.3748929337836012E-3</v>
      </c>
      <c r="G270" s="9"/>
      <c r="H270" s="10">
        <f>IFERROR(-(B270-E270), "NA")</f>
        <v>-24.25</v>
      </c>
      <c r="I270" s="8">
        <f>IFERROR(H270/H444, "NA")</f>
        <v>1.3384405649599036E-2</v>
      </c>
      <c r="J270" s="9"/>
      <c r="K270" s="7">
        <v>81.94</v>
      </c>
      <c r="L270" s="8">
        <f>IFERROR(K270/K444, "NA")</f>
        <v>1.1512771744055655E-3</v>
      </c>
      <c r="M270" s="9"/>
      <c r="N270" s="10">
        <f>IFERROR(-(B270-K270), "NA")</f>
        <v>-119.78999999999999</v>
      </c>
      <c r="O270" s="8">
        <f>IFERROR(N270/N444, "NA")</f>
        <v>-6.8574863325414653E-2</v>
      </c>
      <c r="P270" s="9"/>
      <c r="Q270" s="7">
        <v>201.73</v>
      </c>
      <c r="R270" s="8">
        <f>IFERROR(Q270/Q444, "NA")</f>
        <v>2.7664571493299915E-3</v>
      </c>
      <c r="S270" s="9"/>
      <c r="T270" s="7">
        <v>177.48</v>
      </c>
      <c r="U270" s="8">
        <f>IFERROR(T270/T444, "NA")</f>
        <v>2.3748929337836012E-3</v>
      </c>
      <c r="V270" s="9"/>
      <c r="W270" s="10">
        <f>IFERROR(-(Q270-T270), "NA")</f>
        <v>-24.25</v>
      </c>
      <c r="X270" s="8">
        <f>IFERROR(W270/W444, "NA")</f>
        <v>1.3384405649599036E-2</v>
      </c>
      <c r="Y270" s="9"/>
      <c r="Z270" s="7">
        <v>81.94</v>
      </c>
      <c r="AA270" s="8">
        <f>IFERROR(Z270/Z444, "NA")</f>
        <v>1.1512771744055655E-3</v>
      </c>
      <c r="AB270" s="9"/>
      <c r="AC270" s="10">
        <f>IFERROR(-(Q270-Z270), "NA")</f>
        <v>-119.78999999999999</v>
      </c>
      <c r="AD270" s="8">
        <f>IFERROR(AC270/AC444, "NA")</f>
        <v>-6.8574863325414653E-2</v>
      </c>
    </row>
    <row r="271" spans="1:30" ht="16.5" customHeight="1" x14ac:dyDescent="0.45">
      <c r="A271" s="6" t="s">
        <v>246</v>
      </c>
      <c r="B271" s="7">
        <v>778.58</v>
      </c>
      <c r="C271" s="8">
        <f>IFERROR(B271/B444, "NA")</f>
        <v>1.0677183400214866E-2</v>
      </c>
      <c r="D271" s="9"/>
      <c r="E271" s="7">
        <v>448.39</v>
      </c>
      <c r="F271" s="8">
        <f>IFERROR(E271/E444, "NA")</f>
        <v>5.9999900979221827E-3</v>
      </c>
      <c r="G271" s="9"/>
      <c r="H271" s="10">
        <f>IFERROR(-(B271-E271), "NA")</f>
        <v>-330.19000000000005</v>
      </c>
      <c r="I271" s="8">
        <f>IFERROR(H271/H444, "NA")</f>
        <v>0.18224317119344771</v>
      </c>
      <c r="J271" s="9"/>
      <c r="K271" s="7">
        <v>551.80999999999995</v>
      </c>
      <c r="L271" s="8">
        <f>IFERROR(K271/K444, "NA")</f>
        <v>7.753066360858373E-3</v>
      </c>
      <c r="M271" s="9"/>
      <c r="N271" s="10">
        <f>IFERROR(-(B271-K271), "NA")</f>
        <v>-226.7700000000001</v>
      </c>
      <c r="O271" s="8">
        <f>IFERROR(N271/N444, "NA")</f>
        <v>-0.12981652689126211</v>
      </c>
      <c r="P271" s="9"/>
      <c r="Q271" s="7">
        <v>778.58</v>
      </c>
      <c r="R271" s="8">
        <f>IFERROR(Q271/Q444, "NA")</f>
        <v>1.0677183400214866E-2</v>
      </c>
      <c r="S271" s="9"/>
      <c r="T271" s="7">
        <v>448.39</v>
      </c>
      <c r="U271" s="8">
        <f>IFERROR(T271/T444, "NA")</f>
        <v>5.9999900979221827E-3</v>
      </c>
      <c r="V271" s="9"/>
      <c r="W271" s="10">
        <f>IFERROR(-(Q271-T271), "NA")</f>
        <v>-330.19000000000005</v>
      </c>
      <c r="X271" s="8">
        <f>IFERROR(W271/W444, "NA")</f>
        <v>0.18224317119344771</v>
      </c>
      <c r="Y271" s="9"/>
      <c r="Z271" s="7">
        <v>551.80999999999995</v>
      </c>
      <c r="AA271" s="8">
        <f>IFERROR(Z271/Z444, "NA")</f>
        <v>7.753066360858373E-3</v>
      </c>
      <c r="AB271" s="9"/>
      <c r="AC271" s="10">
        <f>IFERROR(-(Q271-Z271), "NA")</f>
        <v>-226.7700000000001</v>
      </c>
      <c r="AD271" s="8">
        <f>IFERROR(AC271/AC444, "NA")</f>
        <v>-0.12981652689126211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980.31000000000006</v>
      </c>
      <c r="C273" s="15">
        <f>IFERROR(B273/B444, "NA")</f>
        <v>1.3443640549544859E-2</v>
      </c>
      <c r="D273" s="2"/>
      <c r="E273" s="14">
        <f>IFERROR(E269+E270+E271+E272, "NA")</f>
        <v>625.87</v>
      </c>
      <c r="F273" s="15">
        <f>IFERROR(E273/E444, "NA")</f>
        <v>8.3748830317057852E-3</v>
      </c>
      <c r="G273" s="2"/>
      <c r="H273" s="14">
        <f>IFERROR(-(B273-E273), "NA")</f>
        <v>-354.44000000000005</v>
      </c>
      <c r="I273" s="15">
        <f>IFERROR(H273/H444, "NA")</f>
        <v>0.19562757684304674</v>
      </c>
      <c r="J273" s="2"/>
      <c r="K273" s="14">
        <f>IFERROR(K269+K270+K271+K272, "NA")</f>
        <v>633.75</v>
      </c>
      <c r="L273" s="15">
        <f>IFERROR(K273/K444, "NA")</f>
        <v>8.9043435352639394E-3</v>
      </c>
      <c r="M273" s="2"/>
      <c r="N273" s="14">
        <f>IFERROR(-(B273-K273), "NA")</f>
        <v>-346.56000000000006</v>
      </c>
      <c r="O273" s="15">
        <f>IFERROR(N273/N444, "NA")</f>
        <v>-0.19839139021667676</v>
      </c>
      <c r="P273" s="2"/>
      <c r="Q273" s="14">
        <f>IFERROR(Q269+Q270+Q271+Q272, "NA")</f>
        <v>980.31000000000006</v>
      </c>
      <c r="R273" s="15">
        <f>IFERROR(Q273/Q444, "NA")</f>
        <v>1.3443640549544859E-2</v>
      </c>
      <c r="S273" s="2"/>
      <c r="T273" s="14">
        <f>IFERROR(T269+T270+T271+T272, "NA")</f>
        <v>625.87</v>
      </c>
      <c r="U273" s="15">
        <f>IFERROR(T273/T444, "NA")</f>
        <v>8.3748830317057852E-3</v>
      </c>
      <c r="V273" s="2"/>
      <c r="W273" s="14">
        <f>IFERROR(-(Q273-T273), "NA")</f>
        <v>-354.44000000000005</v>
      </c>
      <c r="X273" s="15">
        <f>IFERROR(W273/W444, "NA")</f>
        <v>0.19562757684304674</v>
      </c>
      <c r="Y273" s="2"/>
      <c r="Z273" s="14">
        <f>IFERROR(Z269+Z270+Z271+Z272, "NA")</f>
        <v>633.75</v>
      </c>
      <c r="AA273" s="15">
        <f>IFERROR(Z273/Z444, "NA")</f>
        <v>8.9043435352639394E-3</v>
      </c>
      <c r="AB273" s="2"/>
      <c r="AC273" s="14">
        <f>IFERROR(-(Q273-Z273), "NA")</f>
        <v>-346.56000000000006</v>
      </c>
      <c r="AD273" s="15">
        <f>IFERROR(AC273/AC444, "NA")</f>
        <v>-0.19839139021667676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4.0143558718451679E-3</v>
      </c>
      <c r="G287" s="9"/>
      <c r="H287" s="10">
        <f t="shared" si="72"/>
        <v>300</v>
      </c>
      <c r="I287" s="8">
        <f>IFERROR(H287/H444, "NA")</f>
        <v>-0.16558027607751385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300</v>
      </c>
      <c r="U287" s="8">
        <f>IFERROR(T287/T444, "NA")</f>
        <v>4.0143558718451679E-3</v>
      </c>
      <c r="V287" s="9"/>
      <c r="W287" s="10">
        <f t="shared" si="74"/>
        <v>300</v>
      </c>
      <c r="X287" s="8">
        <f>IFERROR(W287/W444, "NA")</f>
        <v>-0.16558027607751385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1.8856286027505768E-3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7.5890959868860519E-2</v>
      </c>
      <c r="J288" s="9"/>
      <c r="K288" s="7">
        <v>137.5</v>
      </c>
      <c r="L288" s="8">
        <f>IFERROR(K288/K444, "NA")</f>
        <v>1.9319088538047996E-3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137.5</v>
      </c>
      <c r="R288" s="8">
        <f>IFERROR(Q288/Q444, "NA")</f>
        <v>1.8856286027505768E-3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-137.5</v>
      </c>
      <c r="X288" s="8">
        <f>IFERROR(W288/W444, "NA")</f>
        <v>7.5890959868860519E-2</v>
      </c>
      <c r="Y288" s="9"/>
      <c r="Z288" s="7">
        <v>137.5</v>
      </c>
      <c r="AA288" s="8">
        <f>IFERROR(Z288/Z444, "NA")</f>
        <v>1.9319088538047996E-3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140.88999999999999</v>
      </c>
      <c r="C289" s="8">
        <f>IFERROR(B289/B444, "NA")</f>
        <v>1.9321179188474817E-3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-140.88999999999999</v>
      </c>
      <c r="I289" s="8">
        <f>IFERROR(H289/H444, "NA")</f>
        <v>7.7762016988536423E-2</v>
      </c>
      <c r="J289" s="9"/>
      <c r="K289" s="7">
        <v>136.93</v>
      </c>
      <c r="L289" s="8">
        <f>IFERROR(K289/K444, "NA")</f>
        <v>1.9239002134653906E-3</v>
      </c>
      <c r="M289" s="9"/>
      <c r="N289" s="10">
        <f t="shared" si="73"/>
        <v>-3.9599999999999795</v>
      </c>
      <c r="O289" s="8">
        <f>IFERROR(N289/N444, "NA")</f>
        <v>-2.2669376305922083E-3</v>
      </c>
      <c r="P289" s="9"/>
      <c r="Q289" s="7">
        <v>140.88999999999999</v>
      </c>
      <c r="R289" s="8">
        <f>IFERROR(Q289/Q444, "NA")</f>
        <v>1.9321179188474817E-3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-140.88999999999999</v>
      </c>
      <c r="X289" s="8">
        <f>IFERROR(W289/W444, "NA")</f>
        <v>7.7762016988536423E-2</v>
      </c>
      <c r="Y289" s="9"/>
      <c r="Z289" s="7">
        <v>136.93</v>
      </c>
      <c r="AA289" s="8">
        <f>IFERROR(Z289/Z444, "NA")</f>
        <v>1.9239002134653906E-3</v>
      </c>
      <c r="AB289" s="9"/>
      <c r="AC289" s="10">
        <f t="shared" si="75"/>
        <v>-3.9599999999999795</v>
      </c>
      <c r="AD289" s="8">
        <f>IFERROR(AC289/AC444, "NA")</f>
        <v>-2.2669376305922083E-3</v>
      </c>
    </row>
    <row r="290" spans="1:30" ht="16.5" customHeight="1" x14ac:dyDescent="0.45">
      <c r="A290" s="6" t="s">
        <v>263</v>
      </c>
      <c r="B290" s="7">
        <v>809.63</v>
      </c>
      <c r="C290" s="8">
        <f>IFERROR(B290/B444, "NA")</f>
        <v>1.110299262287236E-2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-809.63</v>
      </c>
      <c r="I290" s="8">
        <f>IFERROR(H290/H444, "NA")</f>
        <v>0.44686252973545848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-809.63</v>
      </c>
      <c r="O290" s="8">
        <f>IFERROR(N290/N444, "NA")</f>
        <v>-0.4634799782465604</v>
      </c>
      <c r="P290" s="9"/>
      <c r="Q290" s="7">
        <v>809.63</v>
      </c>
      <c r="R290" s="8">
        <f>IFERROR(Q290/Q444, "NA")</f>
        <v>1.110299262287236E-2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-809.63</v>
      </c>
      <c r="X290" s="8">
        <f>IFERROR(W290/W444, "NA")</f>
        <v>0.44686252973545848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-809.63</v>
      </c>
      <c r="AD290" s="8">
        <f>IFERROR(AC290/AC444, "NA")</f>
        <v>-0.4634799782465604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896.78</v>
      </c>
      <c r="F291" s="8">
        <f>IFERROR(E291/E444, "NA")</f>
        <v>1.1999980195844365E-2</v>
      </c>
      <c r="G291" s="9"/>
      <c r="H291" s="10">
        <f t="shared" si="72"/>
        <v>896.78</v>
      </c>
      <c r="I291" s="8">
        <f>IFERROR(H291/H444, "NA")</f>
        <v>-0.49496359993597627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0</v>
      </c>
      <c r="R291" s="8">
        <f>IFERROR(Q291/Q444, "NA")</f>
        <v>0</v>
      </c>
      <c r="S291" s="9"/>
      <c r="T291" s="7">
        <v>896.78</v>
      </c>
      <c r="U291" s="8">
        <f>IFERROR(T291/T444, "NA")</f>
        <v>1.1999980195844365E-2</v>
      </c>
      <c r="V291" s="9"/>
      <c r="W291" s="10">
        <f t="shared" si="74"/>
        <v>896.78</v>
      </c>
      <c r="X291" s="8">
        <f>IFERROR(W291/W444, "NA")</f>
        <v>-0.49496359993597627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0</v>
      </c>
      <c r="AD291" s="8">
        <f>IFERROR(AC291/AC444, "NA")</f>
        <v>0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369.93</v>
      </c>
      <c r="C293" s="8">
        <f>IFERROR(B293/B444, "NA")</f>
        <v>5.0730951928401524E-3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-369.93</v>
      </c>
      <c r="I293" s="8">
        <f>IFERROR(H293/H444, "NA")</f>
        <v>0.20417703843118234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-369.93</v>
      </c>
      <c r="O293" s="8">
        <f>IFERROR(N293/N444, "NA")</f>
        <v>-0.21176975699115658</v>
      </c>
      <c r="P293" s="9"/>
      <c r="Q293" s="7">
        <v>369.93</v>
      </c>
      <c r="R293" s="8">
        <f>IFERROR(Q293/Q444, "NA")</f>
        <v>5.0730951928401524E-3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0.20417703843118234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-0.21176975699115658</v>
      </c>
    </row>
    <row r="294" spans="1:30" ht="16.5" customHeight="1" x14ac:dyDescent="0.45">
      <c r="A294" s="6" t="s">
        <v>267</v>
      </c>
      <c r="B294" s="7">
        <v>319.99</v>
      </c>
      <c r="C294" s="8">
        <f>IFERROR(B294/B444, "NA")</f>
        <v>4.3882348843211428E-3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-319.99</v>
      </c>
      <c r="I294" s="8">
        <f>IFERROR(H294/H444, "NA")</f>
        <v>0.17661344180681221</v>
      </c>
      <c r="J294" s="9"/>
      <c r="K294" s="7">
        <v>169.1</v>
      </c>
      <c r="L294" s="8">
        <f>IFERROR(K294/K444, "NA")</f>
        <v>2.3758966340246663E-3</v>
      </c>
      <c r="M294" s="9"/>
      <c r="N294" s="10">
        <f t="shared" si="73"/>
        <v>-150.89000000000001</v>
      </c>
      <c r="O294" s="8">
        <f>IFERROR(N294/N444, "NA")</f>
        <v>-8.6378338151530343E-2</v>
      </c>
      <c r="P294" s="9"/>
      <c r="Q294" s="7">
        <v>319.99</v>
      </c>
      <c r="R294" s="8">
        <f>IFERROR(Q294/Q444, "NA")</f>
        <v>4.3882348843211428E-3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-319.99</v>
      </c>
      <c r="X294" s="8">
        <f>IFERROR(W294/W444, "NA")</f>
        <v>0.17661344180681221</v>
      </c>
      <c r="Y294" s="9"/>
      <c r="Z294" s="7">
        <v>169.1</v>
      </c>
      <c r="AA294" s="8">
        <f>IFERROR(Z294/Z444, "NA")</f>
        <v>2.3758966340246663E-3</v>
      </c>
      <c r="AB294" s="9"/>
      <c r="AC294" s="10">
        <f t="shared" si="75"/>
        <v>-150.89000000000001</v>
      </c>
      <c r="AD294" s="8">
        <f>IFERROR(AC294/AC444, "NA")</f>
        <v>-8.6378338151530343E-2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1777.94</v>
      </c>
      <c r="C295" s="15">
        <f>IFERROR(B295/B444, "NA")</f>
        <v>2.4382069221631716E-2</v>
      </c>
      <c r="D295" s="2"/>
      <c r="E295" s="14">
        <f>IFERROR(E286+E287+E288+E289+E290+E291+E292+E293+E294, "NA")</f>
        <v>1196.78</v>
      </c>
      <c r="F295" s="15">
        <f>IFERROR(E295/E444, "NA")</f>
        <v>1.6014336067689535E-2</v>
      </c>
      <c r="G295" s="2"/>
      <c r="H295" s="14">
        <f t="shared" si="72"/>
        <v>-581.16000000000008</v>
      </c>
      <c r="I295" s="15">
        <f>IFERROR(H295/H444, "NA")</f>
        <v>0.32076211081735989</v>
      </c>
      <c r="J295" s="2"/>
      <c r="K295" s="14">
        <f>IFERROR(K286+K287+K288+K289+K290+K291+K292+K293+K294, "NA")</f>
        <v>443.53</v>
      </c>
      <c r="L295" s="15">
        <f>IFERROR(K295/K444, "NA")</f>
        <v>6.2317057012948561E-3</v>
      </c>
      <c r="M295" s="2"/>
      <c r="N295" s="14">
        <f t="shared" si="73"/>
        <v>-1334.41</v>
      </c>
      <c r="O295" s="15">
        <f>IFERROR(N295/N444, "NA")</f>
        <v>-0.76389501101983959</v>
      </c>
      <c r="P295" s="2"/>
      <c r="Q295" s="14">
        <f>IFERROR(Q286+Q287+Q288+Q289+Q290+Q291+Q292+Q293+Q294, "NA")</f>
        <v>1777.94</v>
      </c>
      <c r="R295" s="15">
        <f>IFERROR(Q295/Q444, "NA")</f>
        <v>2.4382069221631716E-2</v>
      </c>
      <c r="S295" s="2"/>
      <c r="T295" s="14">
        <f>IFERROR(T286+T287+T288+T289+T290+T291+T292+T293+T294, "NA")</f>
        <v>1196.78</v>
      </c>
      <c r="U295" s="15">
        <f>IFERROR(T295/T444, "NA")</f>
        <v>1.6014336067689535E-2</v>
      </c>
      <c r="V295" s="2"/>
      <c r="W295" s="14">
        <f t="shared" si="74"/>
        <v>-581.16000000000008</v>
      </c>
      <c r="X295" s="15">
        <f>IFERROR(W295/W444, "NA")</f>
        <v>0.32076211081735989</v>
      </c>
      <c r="Y295" s="2"/>
      <c r="Z295" s="14">
        <f>IFERROR(Z286+Z287+Z288+Z289+Z290+Z291+Z292+Z293+Z294, "NA")</f>
        <v>443.53</v>
      </c>
      <c r="AA295" s="15">
        <f>IFERROR(Z295/Z444, "NA")</f>
        <v>6.2317057012948561E-3</v>
      </c>
      <c r="AB295" s="2"/>
      <c r="AC295" s="14">
        <f t="shared" si="75"/>
        <v>-1334.41</v>
      </c>
      <c r="AD295" s="15">
        <f>IFERROR(AC295/AC444, "NA")</f>
        <v>-0.76389501101983959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971.51</v>
      </c>
      <c r="F297" s="8">
        <f>IFERROR(E297/E444, "NA")</f>
        <v>1.2999956243520999E-2</v>
      </c>
      <c r="G297" s="9"/>
      <c r="H297" s="10">
        <f t="shared" ref="H297:H325" si="76">IFERROR(-(B297-E297), "NA")</f>
        <v>971.51</v>
      </c>
      <c r="I297" s="8">
        <f>IFERROR(H297/H444, "NA")</f>
        <v>-0.53620964670688498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971.51</v>
      </c>
      <c r="U297" s="8">
        <f>IFERROR(T297/T444, "NA")</f>
        <v>1.2999956243520999E-2</v>
      </c>
      <c r="V297" s="9"/>
      <c r="W297" s="10">
        <f t="shared" ref="W297:W325" si="78">IFERROR(-(Q297-T297), "NA")</f>
        <v>971.51</v>
      </c>
      <c r="X297" s="8">
        <f>IFERROR(W297/W444, "NA")</f>
        <v>-0.53620964670688498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194.06</v>
      </c>
      <c r="C299" s="8">
        <f>IFERROR(B299/B444, "NA")</f>
        <v>2.6612733574529232E-3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-194.06</v>
      </c>
      <c r="I299" s="8">
        <f>IFERROR(H299/H444, "NA")</f>
        <v>0.1071083612520078</v>
      </c>
      <c r="J299" s="9"/>
      <c r="K299" s="7">
        <v>184.72</v>
      </c>
      <c r="L299" s="8">
        <f>IFERROR(K299/K444, "NA")</f>
        <v>2.5953614798168915E-3</v>
      </c>
      <c r="M299" s="9"/>
      <c r="N299" s="10">
        <f t="shared" si="77"/>
        <v>-9.3400000000000034</v>
      </c>
      <c r="O299" s="8">
        <f>IFERROR(N299/N444, "NA")</f>
        <v>-5.3467670378109459E-3</v>
      </c>
      <c r="P299" s="9"/>
      <c r="Q299" s="7">
        <v>194.06</v>
      </c>
      <c r="R299" s="8">
        <f>IFERROR(Q299/Q444, "NA")</f>
        <v>2.6612733574529232E-3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-194.06</v>
      </c>
      <c r="X299" s="8">
        <f>IFERROR(W299/W444, "NA")</f>
        <v>0.1071083612520078</v>
      </c>
      <c r="Y299" s="9"/>
      <c r="Z299" s="7">
        <v>184.72</v>
      </c>
      <c r="AA299" s="8">
        <f>IFERROR(Z299/Z444, "NA")</f>
        <v>2.5953614798168915E-3</v>
      </c>
      <c r="AB299" s="9"/>
      <c r="AC299" s="10">
        <f t="shared" si="79"/>
        <v>-9.3400000000000034</v>
      </c>
      <c r="AD299" s="8">
        <f>IFERROR(AC299/AC444, "NA")</f>
        <v>-5.3467670378109459E-3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31.57</v>
      </c>
      <c r="C310" s="8">
        <f>IFERROR(B310/B444, "NA")</f>
        <v>4.3294032719153242E-4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-31.57</v>
      </c>
      <c r="I310" s="8">
        <f>IFERROR(H310/H444, "NA")</f>
        <v>1.7424564385890375E-2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-31.57</v>
      </c>
      <c r="O310" s="8">
        <f>IFERROR(N310/N444, "NA")</f>
        <v>-1.8072530554999088E-2</v>
      </c>
      <c r="P310" s="9"/>
      <c r="Q310" s="7">
        <v>31.57</v>
      </c>
      <c r="R310" s="8">
        <f>IFERROR(Q310/Q444, "NA")</f>
        <v>4.3294032719153242E-4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-31.57</v>
      </c>
      <c r="X310" s="8">
        <f>IFERROR(W310/W444, "NA")</f>
        <v>1.7424564385890375E-2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-31.57</v>
      </c>
      <c r="AD310" s="8">
        <f>IFERROR(AC310/AC444, "NA")</f>
        <v>-1.8072530554999088E-2</v>
      </c>
    </row>
    <row r="311" spans="1:30" ht="16.5" hidden="1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0</v>
      </c>
      <c r="AD311" s="8">
        <f>IFERROR(AC311/AC444, "NA")</f>
        <v>0</v>
      </c>
    </row>
    <row r="312" spans="1:30" ht="16.5" customHeight="1" x14ac:dyDescent="0.45">
      <c r="A312" s="6" t="s">
        <v>284</v>
      </c>
      <c r="B312" s="7">
        <v>29.03</v>
      </c>
      <c r="C312" s="8">
        <f>IFERROR(B312/B444, "NA")</f>
        <v>3.9810762427526725E-4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-29.03</v>
      </c>
      <c r="I312" s="8">
        <f>IFERROR(H312/H444, "NA")</f>
        <v>1.6022651381767426E-2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-29.03</v>
      </c>
      <c r="O312" s="8">
        <f>IFERROR(N312/N444, "NA")</f>
        <v>-1.6618484701033373E-2</v>
      </c>
      <c r="P312" s="9"/>
      <c r="Q312" s="7">
        <v>29.03</v>
      </c>
      <c r="R312" s="8">
        <f>IFERROR(Q312/Q444, "NA")</f>
        <v>3.9810762427526725E-4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-29.03</v>
      </c>
      <c r="X312" s="8">
        <f>IFERROR(W312/W444, "NA")</f>
        <v>1.6022651381767426E-2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-29.03</v>
      </c>
      <c r="AD312" s="8">
        <f>IFERROR(AC312/AC444, "NA")</f>
        <v>-1.6618484701033373E-2</v>
      </c>
    </row>
    <row r="313" spans="1:30" ht="16.5" customHeight="1" x14ac:dyDescent="0.45">
      <c r="A313" s="6" t="s">
        <v>285</v>
      </c>
      <c r="B313" s="7">
        <v>18</v>
      </c>
      <c r="C313" s="8">
        <f>IFERROR(B313/B444, "NA")</f>
        <v>2.4684592617825734E-4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-18</v>
      </c>
      <c r="I313" s="8">
        <f>IFERROR(H313/H444, "NA")</f>
        <v>9.9348165646508321E-3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-18</v>
      </c>
      <c r="O313" s="8">
        <f>IFERROR(N313/N444, "NA")</f>
        <v>-1.0304261957237364E-2</v>
      </c>
      <c r="P313" s="9"/>
      <c r="Q313" s="7">
        <v>18</v>
      </c>
      <c r="R313" s="8">
        <f>IFERROR(Q313/Q444, "NA")</f>
        <v>2.4684592617825734E-4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-18</v>
      </c>
      <c r="X313" s="8">
        <f>IFERROR(W313/W444, "NA")</f>
        <v>9.9348165646508321E-3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-18</v>
      </c>
      <c r="AD313" s="8">
        <f>IFERROR(AC313/AC444, "NA")</f>
        <v>-1.0304261957237364E-2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1.089015657985644E-2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0.4382965101197151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-0.45459541460343134</v>
      </c>
      <c r="P315" s="9"/>
      <c r="Q315" s="7">
        <v>794.11</v>
      </c>
      <c r="R315" s="8">
        <f>IFERROR(Q315/Q444, "NA")</f>
        <v>1.089015657985644E-2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-794.11</v>
      </c>
      <c r="X315" s="8">
        <f>IFERROR(W315/W444, "NA")</f>
        <v>0.4382965101197151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-794.11</v>
      </c>
      <c r="AD315" s="8">
        <f>IFERROR(AC315/AC444, "NA")</f>
        <v>-0.45459541460343134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6.7279228546140582E-3</v>
      </c>
      <c r="D318" s="9"/>
      <c r="E318" s="7">
        <v>718</v>
      </c>
      <c r="F318" s="8">
        <f>IFERROR(E318/E444, "NA")</f>
        <v>9.6076917199494367E-3</v>
      </c>
      <c r="G318" s="9"/>
      <c r="H318" s="10">
        <f t="shared" si="76"/>
        <v>227.39999999999998</v>
      </c>
      <c r="I318" s="8">
        <f>IFERROR(H318/H444, "NA")</f>
        <v>-0.12550984926675549</v>
      </c>
      <c r="J318" s="9"/>
      <c r="K318" s="7">
        <v>490.6</v>
      </c>
      <c r="L318" s="8">
        <f>IFERROR(K318/K444, "NA")</f>
        <v>6.893050790375525E-3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490.6</v>
      </c>
      <c r="R318" s="8">
        <f>IFERROR(Q318/Q444, "NA")</f>
        <v>6.7279228546140582E-3</v>
      </c>
      <c r="S318" s="9"/>
      <c r="T318" s="7">
        <v>718</v>
      </c>
      <c r="U318" s="8">
        <f>IFERROR(T318/T444, "NA")</f>
        <v>9.6076917199494367E-3</v>
      </c>
      <c r="V318" s="9"/>
      <c r="W318" s="10">
        <f t="shared" si="78"/>
        <v>227.39999999999998</v>
      </c>
      <c r="X318" s="8">
        <f>IFERROR(W318/W444, "NA")</f>
        <v>-0.12550984926675549</v>
      </c>
      <c r="Y318" s="9"/>
      <c r="Z318" s="7">
        <v>490.6</v>
      </c>
      <c r="AA318" s="8">
        <f>IFERROR(Z318/Z444, "NA")</f>
        <v>6.893050790375525E-3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160.16</v>
      </c>
      <c r="C319" s="8">
        <f>IFERROR(B319/B444, "NA")</f>
        <v>2.1963801964838717E-3</v>
      </c>
      <c r="D319" s="9"/>
      <c r="E319" s="7">
        <v>160</v>
      </c>
      <c r="F319" s="8">
        <f>IFERROR(E319/E444, "NA")</f>
        <v>2.1409897983174233E-3</v>
      </c>
      <c r="G319" s="9"/>
      <c r="H319" s="10">
        <f t="shared" si="76"/>
        <v>-0.15999999999999659</v>
      </c>
      <c r="I319" s="8">
        <f>IFERROR(H319/H444, "NA")</f>
        <v>8.8309480574672177E-5</v>
      </c>
      <c r="J319" s="9"/>
      <c r="K319" s="7">
        <v>159.85</v>
      </c>
      <c r="L319" s="8">
        <f>IFERROR(K319/K444, "NA")</f>
        <v>2.2459318565868887E-3</v>
      </c>
      <c r="M319" s="9"/>
      <c r="N319" s="10">
        <f t="shared" si="77"/>
        <v>-0.31000000000000227</v>
      </c>
      <c r="O319" s="8">
        <f>IFERROR(N319/N444, "NA")</f>
        <v>-1.774622892635337E-4</v>
      </c>
      <c r="P319" s="9"/>
      <c r="Q319" s="7">
        <v>160.16</v>
      </c>
      <c r="R319" s="8">
        <f>IFERROR(Q319/Q444, "NA")</f>
        <v>2.1963801964838717E-3</v>
      </c>
      <c r="S319" s="9"/>
      <c r="T319" s="7">
        <v>160</v>
      </c>
      <c r="U319" s="8">
        <f>IFERROR(T319/T444, "NA")</f>
        <v>2.1409897983174233E-3</v>
      </c>
      <c r="V319" s="9"/>
      <c r="W319" s="10">
        <f t="shared" si="78"/>
        <v>-0.15999999999999659</v>
      </c>
      <c r="X319" s="8">
        <f>IFERROR(W319/W444, "NA")</f>
        <v>8.8309480574672177E-5</v>
      </c>
      <c r="Y319" s="9"/>
      <c r="Z319" s="7">
        <v>159.85</v>
      </c>
      <c r="AA319" s="8">
        <f>IFERROR(Z319/Z444, "NA")</f>
        <v>2.2459318565868887E-3</v>
      </c>
      <c r="AB319" s="9"/>
      <c r="AC319" s="10">
        <f t="shared" si="79"/>
        <v>-0.31000000000000227</v>
      </c>
      <c r="AD319" s="8">
        <f>IFERROR(AC319/AC444, "NA")</f>
        <v>-1.774622892635337E-4</v>
      </c>
    </row>
    <row r="320" spans="1:30" ht="16.5" customHeight="1" x14ac:dyDescent="0.45">
      <c r="A320" s="6" t="s">
        <v>292</v>
      </c>
      <c r="B320" s="7">
        <v>1031.07</v>
      </c>
      <c r="C320" s="8">
        <f>IFERROR(B320/B444, "NA")</f>
        <v>1.4139746061367543E-2</v>
      </c>
      <c r="D320" s="9"/>
      <c r="E320" s="7">
        <v>827</v>
      </c>
      <c r="F320" s="8">
        <f>IFERROR(E320/E444, "NA")</f>
        <v>1.1066241020053181E-2</v>
      </c>
      <c r="G320" s="9"/>
      <c r="H320" s="10">
        <f t="shared" si="76"/>
        <v>-204.06999999999994</v>
      </c>
      <c r="I320" s="8">
        <f>IFERROR(H320/H444, "NA")</f>
        <v>0.11263322313046081</v>
      </c>
      <c r="J320" s="9"/>
      <c r="K320" s="7">
        <v>899.4</v>
      </c>
      <c r="L320" s="8">
        <f>IFERROR(K320/K444, "NA")</f>
        <v>1.2636791440814811E-2</v>
      </c>
      <c r="M320" s="9"/>
      <c r="N320" s="10">
        <f t="shared" si="77"/>
        <v>-131.66999999999996</v>
      </c>
      <c r="O320" s="8">
        <f>IFERROR(N320/N444, "NA")</f>
        <v>-7.5375676217191295E-2</v>
      </c>
      <c r="P320" s="9"/>
      <c r="Q320" s="7">
        <v>1031.07</v>
      </c>
      <c r="R320" s="8">
        <f>IFERROR(Q320/Q444, "NA")</f>
        <v>1.4139746061367543E-2</v>
      </c>
      <c r="S320" s="9"/>
      <c r="T320" s="7">
        <v>827</v>
      </c>
      <c r="U320" s="8">
        <f>IFERROR(T320/T444, "NA")</f>
        <v>1.1066241020053181E-2</v>
      </c>
      <c r="V320" s="9"/>
      <c r="W320" s="10">
        <f t="shared" si="78"/>
        <v>-204.06999999999994</v>
      </c>
      <c r="X320" s="8">
        <f>IFERROR(W320/W444, "NA")</f>
        <v>0.11263322313046081</v>
      </c>
      <c r="Y320" s="9"/>
      <c r="Z320" s="7">
        <v>899.4</v>
      </c>
      <c r="AA320" s="8">
        <f>IFERROR(Z320/Z444, "NA")</f>
        <v>1.2636791440814811E-2</v>
      </c>
      <c r="AB320" s="9"/>
      <c r="AC320" s="10">
        <f t="shared" si="79"/>
        <v>-131.66999999999996</v>
      </c>
      <c r="AD320" s="8">
        <f>IFERROR(AC320/AC444, "NA")</f>
        <v>-7.5375676217191295E-2</v>
      </c>
    </row>
    <row r="321" spans="1:30" ht="16.5" customHeight="1" x14ac:dyDescent="0.45">
      <c r="A321" s="6" t="s">
        <v>293</v>
      </c>
      <c r="B321" s="7">
        <v>2160.41</v>
      </c>
      <c r="C321" s="8">
        <f>IFERROR(B321/B444, "NA")</f>
        <v>2.9627133743042714E-2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-2160.41</v>
      </c>
      <c r="I321" s="8">
        <f>IFERROR(H321/H444, "NA")</f>
        <v>1.1924042808020723</v>
      </c>
      <c r="J321" s="9"/>
      <c r="K321" s="7">
        <v>2553.04</v>
      </c>
      <c r="L321" s="8">
        <f>IFERROR(K321/K444, "NA")</f>
        <v>3.5870840582674951E-2</v>
      </c>
      <c r="M321" s="9"/>
      <c r="N321" s="10">
        <f t="shared" si="77"/>
        <v>392.63000000000011</v>
      </c>
      <c r="O321" s="8">
        <f>IFERROR(N321/N444, "NA")</f>
        <v>0.2247645762372282</v>
      </c>
      <c r="P321" s="9"/>
      <c r="Q321" s="7">
        <v>2160.41</v>
      </c>
      <c r="R321" s="8">
        <f>IFERROR(Q321/Q444, "NA")</f>
        <v>2.9627133743042714E-2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-2160.41</v>
      </c>
      <c r="X321" s="8">
        <f>IFERROR(W321/W444, "NA")</f>
        <v>1.1924042808020723</v>
      </c>
      <c r="Y321" s="9"/>
      <c r="Z321" s="7">
        <v>2553.04</v>
      </c>
      <c r="AA321" s="8">
        <f>IFERROR(Z321/Z444, "NA")</f>
        <v>3.5870840582674951E-2</v>
      </c>
      <c r="AB321" s="9"/>
      <c r="AC321" s="10">
        <f t="shared" si="79"/>
        <v>392.63000000000011</v>
      </c>
      <c r="AD321" s="8">
        <f>IFERROR(AC321/AC444, "NA")</f>
        <v>0.2247645762372282</v>
      </c>
    </row>
    <row r="322" spans="1:30" ht="16.5" customHeight="1" x14ac:dyDescent="0.45">
      <c r="A322" s="6" t="s">
        <v>294</v>
      </c>
      <c r="B322" s="7">
        <v>185.11</v>
      </c>
      <c r="C322" s="8">
        <f>IFERROR(B322/B444, "NA")</f>
        <v>2.5385360774920675E-3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-185.11</v>
      </c>
      <c r="I322" s="8">
        <f>IFERROR(H322/H444, "NA")</f>
        <v>0.10216854968236197</v>
      </c>
      <c r="J322" s="9"/>
      <c r="K322" s="7">
        <v>505.97</v>
      </c>
      <c r="L322" s="8">
        <f>IFERROR(K322/K444, "NA")</f>
        <v>7.1090030746153781E-3</v>
      </c>
      <c r="M322" s="9"/>
      <c r="N322" s="10">
        <f t="shared" si="77"/>
        <v>320.86</v>
      </c>
      <c r="O322" s="8">
        <f>IFERROR(N322/N444, "NA")</f>
        <v>0.18367919397773227</v>
      </c>
      <c r="P322" s="9"/>
      <c r="Q322" s="7">
        <v>185.11</v>
      </c>
      <c r="R322" s="8">
        <f>IFERROR(Q322/Q444, "NA")</f>
        <v>2.5385360774920675E-3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-185.11</v>
      </c>
      <c r="X322" s="8">
        <f>IFERROR(W322/W444, "NA")</f>
        <v>0.10216854968236197</v>
      </c>
      <c r="Y322" s="9"/>
      <c r="Z322" s="7">
        <v>505.97</v>
      </c>
      <c r="AA322" s="8">
        <f>IFERROR(Z322/Z444, "NA")</f>
        <v>7.1090030746153781E-3</v>
      </c>
      <c r="AB322" s="9"/>
      <c r="AC322" s="10">
        <f t="shared" si="79"/>
        <v>320.86</v>
      </c>
      <c r="AD322" s="8">
        <f>IFERROR(AC322/AC444, "NA")</f>
        <v>0.18367919397773227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5094.12</v>
      </c>
      <c r="C324" s="15">
        <f>IFERROR(B324/B444, "NA")</f>
        <v>6.985904274795468E-2</v>
      </c>
      <c r="D324" s="2"/>
      <c r="E324" s="14">
        <f>IFERROR(E297+E298+E299+E300+E301+E302+E303+E304+E305+E306+E307+E308+E309+E310+E311+E312+E313+E314+E315+E316+E317+E318+E319+E320+E321+E322+E323, "NA")</f>
        <v>2676.51</v>
      </c>
      <c r="F324" s="15">
        <f>IFERROR(E324/E444, "NA")</f>
        <v>3.5814878781841038E-2</v>
      </c>
      <c r="G324" s="2"/>
      <c r="H324" s="14">
        <f t="shared" si="76"/>
        <v>-2417.6099999999997</v>
      </c>
      <c r="I324" s="15">
        <f>IFERROR(H324/H444, "NA")</f>
        <v>1.3343617708258608</v>
      </c>
      <c r="J324" s="2"/>
      <c r="K324" s="14">
        <f>IFERROR(K297+K298+K299+K300+K301+K302+K303+K304+K305+K306+K307+K308+K309+K310+K311+K312+K313+K314+K315+K316+K317+K318+K319+K320+K321+K322+K323, "NA")</f>
        <v>4793.5800000000008</v>
      </c>
      <c r="L324" s="15">
        <f>IFERROR(K324/K444, "NA")</f>
        <v>6.735097922488445E-2</v>
      </c>
      <c r="M324" s="2"/>
      <c r="N324" s="14">
        <f t="shared" si="77"/>
        <v>-300.53999999999905</v>
      </c>
      <c r="O324" s="15">
        <f>IFERROR(N324/N444, "NA")</f>
        <v>-0.172046827146006</v>
      </c>
      <c r="P324" s="2"/>
      <c r="Q324" s="14">
        <f>IFERROR(Q297+Q298+Q299+Q300+Q301+Q302+Q303+Q304+Q305+Q306+Q307+Q308+Q309+Q310+Q311+Q312+Q313+Q314+Q315+Q316+Q317+Q318+Q319+Q320+Q321+Q322+Q323, "NA")</f>
        <v>5094.12</v>
      </c>
      <c r="R324" s="15">
        <f>IFERROR(Q324/Q444, "NA")</f>
        <v>6.985904274795468E-2</v>
      </c>
      <c r="S324" s="2"/>
      <c r="T324" s="14">
        <f>IFERROR(T297+T298+T299+T300+T301+T302+T303+T304+T305+T306+T307+T308+T309+T310+T311+T312+T313+T314+T315+T316+T317+T318+T319+T320+T321+T322+T323, "NA")</f>
        <v>2676.51</v>
      </c>
      <c r="U324" s="15">
        <f>IFERROR(T324/T444, "NA")</f>
        <v>3.5814878781841038E-2</v>
      </c>
      <c r="V324" s="2"/>
      <c r="W324" s="14">
        <f t="shared" si="78"/>
        <v>-2417.6099999999997</v>
      </c>
      <c r="X324" s="15">
        <f>IFERROR(W324/W444, "NA")</f>
        <v>1.3343617708258608</v>
      </c>
      <c r="Y324" s="2"/>
      <c r="Z324" s="14">
        <f>IFERROR(Z297+Z298+Z299+Z300+Z301+Z302+Z303+Z304+Z305+Z306+Z307+Z308+Z309+Z310+Z311+Z312+Z313+Z314+Z315+Z316+Z317+Z318+Z319+Z320+Z321+Z322+Z323, "NA")</f>
        <v>4793.5800000000008</v>
      </c>
      <c r="AA324" s="15">
        <f>IFERROR(Z324/Z444, "NA")</f>
        <v>6.735097922488445E-2</v>
      </c>
      <c r="AB324" s="2"/>
      <c r="AC324" s="14">
        <f t="shared" si="79"/>
        <v>-300.53999999999905</v>
      </c>
      <c r="AD324" s="15">
        <f>IFERROR(AC324/AC444, "NA")</f>
        <v>-0.172046827146006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21937.049999999996</v>
      </c>
      <c r="C325" s="15">
        <f>IFERROR(B325/B444, "NA")</f>
        <v>0.30083730138159659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14888.46</v>
      </c>
      <c r="F325" s="15">
        <f>IFERROR(E325/E444, "NA")</f>
        <v>0.19922525607910638</v>
      </c>
      <c r="G325" s="2"/>
      <c r="H325" s="14">
        <f t="shared" si="76"/>
        <v>-7048.5899999999965</v>
      </c>
      <c r="I325" s="15">
        <f>IFERROR(H325/H444, "NA")</f>
        <v>3.8903582605240095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14249.63</v>
      </c>
      <c r="L325" s="15">
        <f>IFERROR(K325/K444, "NA")</f>
        <v>0.20021080989412715</v>
      </c>
      <c r="M325" s="2"/>
      <c r="N325" s="14">
        <f t="shared" si="77"/>
        <v>-7687.4199999999964</v>
      </c>
      <c r="O325" s="15">
        <f>IFERROR(N325/N444, "NA")</f>
        <v>-4.4007327475169786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21937.049999999996</v>
      </c>
      <c r="R325" s="15">
        <f>IFERROR(Q325/Q444, "NA")</f>
        <v>0.30083730138159659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14888.46</v>
      </c>
      <c r="U325" s="15">
        <f>IFERROR(T325/T444, "NA")</f>
        <v>0.19922525607910638</v>
      </c>
      <c r="V325" s="2"/>
      <c r="W325" s="14">
        <f t="shared" si="78"/>
        <v>-7048.5899999999965</v>
      </c>
      <c r="X325" s="15">
        <f>IFERROR(W325/W444, "NA")</f>
        <v>3.8903582605240095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14249.63</v>
      </c>
      <c r="AA325" s="15">
        <f>IFERROR(Z325/Z444, "NA")</f>
        <v>0.20021080989412715</v>
      </c>
      <c r="AB325" s="2"/>
      <c r="AC325" s="14">
        <f t="shared" si="79"/>
        <v>-7687.4199999999964</v>
      </c>
      <c r="AD325" s="15">
        <f>IFERROR(AC325/AC444, "NA")</f>
        <v>-4.4007327475169786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13132.5</v>
      </c>
      <c r="C329" s="8">
        <f>IFERROR(B329/B444, "NA")</f>
        <v>0.18009467364088691</v>
      </c>
      <c r="D329" s="9"/>
      <c r="E329" s="7">
        <v>12121</v>
      </c>
      <c r="F329" s="8">
        <f>IFERROR(E329/E444, "NA")</f>
        <v>0.16219335840878429</v>
      </c>
      <c r="G329" s="9"/>
      <c r="H329" s="10">
        <f t="shared" si="80"/>
        <v>-1011.5</v>
      </c>
      <c r="I329" s="8">
        <f>IFERROR(H329/H444, "NA")</f>
        <v>0.55828149750801759</v>
      </c>
      <c r="J329" s="9"/>
      <c r="K329" s="7">
        <v>12750</v>
      </c>
      <c r="L329" s="8">
        <f>IFERROR(K329/K444, "NA")</f>
        <v>0.17914063917099049</v>
      </c>
      <c r="M329" s="9"/>
      <c r="N329" s="10">
        <f t="shared" si="81"/>
        <v>-382.5</v>
      </c>
      <c r="O329" s="8">
        <f>IFERROR(N329/N444, "NA")</f>
        <v>-0.21896556659129399</v>
      </c>
      <c r="P329" s="9"/>
      <c r="Q329" s="7">
        <v>13132.5</v>
      </c>
      <c r="R329" s="8">
        <f>IFERROR(Q329/Q444, "NA")</f>
        <v>0.18009467364088691</v>
      </c>
      <c r="S329" s="9"/>
      <c r="T329" s="7">
        <v>12121</v>
      </c>
      <c r="U329" s="8">
        <f>IFERROR(T329/T444, "NA")</f>
        <v>0.16219335840878429</v>
      </c>
      <c r="V329" s="9"/>
      <c r="W329" s="10">
        <f t="shared" si="82"/>
        <v>-1011.5</v>
      </c>
      <c r="X329" s="8">
        <f>IFERROR(W329/W444, "NA")</f>
        <v>0.55828149750801759</v>
      </c>
      <c r="Y329" s="9"/>
      <c r="Z329" s="7">
        <v>12750</v>
      </c>
      <c r="AA329" s="8">
        <f>IFERROR(Z329/Z444, "NA")</f>
        <v>0.17914063917099049</v>
      </c>
      <c r="AB329" s="9"/>
      <c r="AC329" s="10">
        <f t="shared" si="83"/>
        <v>-382.5</v>
      </c>
      <c r="AD329" s="8">
        <f>IFERROR(AC329/AC444, "NA")</f>
        <v>-0.21896556659129399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2.9155246614165284E-2</v>
      </c>
      <c r="D330" s="9"/>
      <c r="E330" s="7">
        <v>1875</v>
      </c>
      <c r="F330" s="8">
        <f>IFERROR(E330/E444, "NA")</f>
        <v>2.5089724199032302E-2</v>
      </c>
      <c r="G330" s="9"/>
      <c r="H330" s="10">
        <f t="shared" si="80"/>
        <v>-251</v>
      </c>
      <c r="I330" s="8">
        <f>IFERROR(H330/H444, "NA")</f>
        <v>0.13853549765151993</v>
      </c>
      <c r="J330" s="9"/>
      <c r="K330" s="7">
        <v>1875</v>
      </c>
      <c r="L330" s="8">
        <f>IFERROR(K330/K444, "NA")</f>
        <v>2.6344211642792721E-2</v>
      </c>
      <c r="M330" s="9"/>
      <c r="N330" s="10">
        <f t="shared" si="81"/>
        <v>-251</v>
      </c>
      <c r="O330" s="8">
        <f>IFERROR(N330/N444, "NA")</f>
        <v>-0.14368720840369881</v>
      </c>
      <c r="P330" s="9"/>
      <c r="Q330" s="7">
        <v>2126</v>
      </c>
      <c r="R330" s="8">
        <f>IFERROR(Q330/Q444, "NA")</f>
        <v>2.9155246614165284E-2</v>
      </c>
      <c r="S330" s="9"/>
      <c r="T330" s="7">
        <v>1875</v>
      </c>
      <c r="U330" s="8">
        <f>IFERROR(T330/T444, "NA")</f>
        <v>2.5089724199032302E-2</v>
      </c>
      <c r="V330" s="9"/>
      <c r="W330" s="10">
        <f t="shared" si="82"/>
        <v>-251</v>
      </c>
      <c r="X330" s="8">
        <f>IFERROR(W330/W444, "NA")</f>
        <v>0.13853549765151993</v>
      </c>
      <c r="Y330" s="9"/>
      <c r="Z330" s="7">
        <v>1875</v>
      </c>
      <c r="AA330" s="8">
        <f>IFERROR(Z330/Z444, "NA")</f>
        <v>2.6344211642792721E-2</v>
      </c>
      <c r="AB330" s="9"/>
      <c r="AC330" s="10">
        <f t="shared" si="83"/>
        <v>-251</v>
      </c>
      <c r="AD330" s="8">
        <f>IFERROR(AC330/AC444, "NA")</f>
        <v>-0.14368720840369881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2.4684592617825732E-3</v>
      </c>
      <c r="D332" s="9"/>
      <c r="E332" s="7">
        <v>180</v>
      </c>
      <c r="F332" s="8">
        <f>IFERROR(E332/E444, "NA")</f>
        <v>2.408613523107101E-3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2.5290443177081014E-3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180</v>
      </c>
      <c r="R332" s="8">
        <f>IFERROR(Q332/Q444, "NA")</f>
        <v>2.4684592617825732E-3</v>
      </c>
      <c r="S332" s="9"/>
      <c r="T332" s="7">
        <v>180</v>
      </c>
      <c r="U332" s="8">
        <f>IFERROR(T332/T444, "NA")</f>
        <v>2.408613523107101E-3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180</v>
      </c>
      <c r="AA332" s="8">
        <f>IFERROR(Z332/Z444, "NA")</f>
        <v>2.5290443177081014E-3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1024.69</v>
      </c>
      <c r="C333" s="8">
        <f>IFERROR(B333/B444, "NA")</f>
        <v>1.4052252894199918E-2</v>
      </c>
      <c r="D333" s="9"/>
      <c r="E333" s="7">
        <v>1254</v>
      </c>
      <c r="F333" s="8">
        <f>IFERROR(E333/E444, "NA")</f>
        <v>1.6780007544312803E-2</v>
      </c>
      <c r="G333" s="9"/>
      <c r="H333" s="10">
        <f t="shared" si="80"/>
        <v>229.30999999999995</v>
      </c>
      <c r="I333" s="8">
        <f>IFERROR(H333/H444, "NA")</f>
        <v>-0.12656404369111565</v>
      </c>
      <c r="J333" s="9"/>
      <c r="K333" s="7">
        <v>1254</v>
      </c>
      <c r="L333" s="8">
        <f>IFERROR(K333/K444, "NA")</f>
        <v>1.761900874669977E-2</v>
      </c>
      <c r="M333" s="9"/>
      <c r="N333" s="10">
        <f t="shared" si="81"/>
        <v>229.30999999999995</v>
      </c>
      <c r="O333" s="8">
        <f>IFERROR(N333/N444, "NA")</f>
        <v>0.13127057274522774</v>
      </c>
      <c r="P333" s="9"/>
      <c r="Q333" s="7">
        <v>1024.69</v>
      </c>
      <c r="R333" s="8">
        <f>IFERROR(Q333/Q444, "NA")</f>
        <v>1.4052252894199918E-2</v>
      </c>
      <c r="S333" s="9"/>
      <c r="T333" s="7">
        <v>1254</v>
      </c>
      <c r="U333" s="8">
        <f>IFERROR(T333/T444, "NA")</f>
        <v>1.6780007544312803E-2</v>
      </c>
      <c r="V333" s="9"/>
      <c r="W333" s="10">
        <f t="shared" si="82"/>
        <v>229.30999999999995</v>
      </c>
      <c r="X333" s="8">
        <f>IFERROR(W333/W444, "NA")</f>
        <v>-0.12656404369111565</v>
      </c>
      <c r="Y333" s="9"/>
      <c r="Z333" s="7">
        <v>1254</v>
      </c>
      <c r="AA333" s="8">
        <f>IFERROR(Z333/Z444, "NA")</f>
        <v>1.761900874669977E-2</v>
      </c>
      <c r="AB333" s="9"/>
      <c r="AC333" s="10">
        <f t="shared" si="83"/>
        <v>229.30999999999995</v>
      </c>
      <c r="AD333" s="8">
        <f>IFERROR(AC333/AC444, "NA")</f>
        <v>0.13127057274522774</v>
      </c>
    </row>
    <row r="334" spans="1:30" ht="16.5" customHeight="1" x14ac:dyDescent="0.45">
      <c r="A334" s="6" t="s">
        <v>305</v>
      </c>
      <c r="B334" s="7">
        <v>-1011.2</v>
      </c>
      <c r="C334" s="8">
        <f>IFERROR(B334/B444, "NA")</f>
        <v>-1.386725558619188E-2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1011.2</v>
      </c>
      <c r="I334" s="8">
        <f>IFERROR(H334/H444, "NA")</f>
        <v>-0.5581159172319401</v>
      </c>
      <c r="J334" s="9"/>
      <c r="K334" s="7">
        <v>-981.75</v>
      </c>
      <c r="L334" s="8">
        <f>IFERROR(K334/K444, "NA")</f>
        <v>-1.3793829216166269E-2</v>
      </c>
      <c r="M334" s="9"/>
      <c r="N334" s="10">
        <f t="shared" si="81"/>
        <v>29.450000000000045</v>
      </c>
      <c r="O334" s="8">
        <f>IFERROR(N334/N444, "NA")</f>
        <v>1.6858917480035603E-2</v>
      </c>
      <c r="P334" s="9"/>
      <c r="Q334" s="7">
        <v>-1011.2</v>
      </c>
      <c r="R334" s="8">
        <f>IFERROR(Q334/Q444, "NA")</f>
        <v>-1.386725558619188E-2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1011.2</v>
      </c>
      <c r="X334" s="8">
        <f>IFERROR(W334/W444, "NA")</f>
        <v>-0.5581159172319401</v>
      </c>
      <c r="Y334" s="9"/>
      <c r="Z334" s="7">
        <v>-981.75</v>
      </c>
      <c r="AA334" s="8">
        <f>IFERROR(Z334/Z444, "NA")</f>
        <v>-1.3793829216166269E-2</v>
      </c>
      <c r="AB334" s="9"/>
      <c r="AC334" s="10">
        <f t="shared" si="83"/>
        <v>29.450000000000045</v>
      </c>
      <c r="AD334" s="8">
        <f>IFERROR(AC334/AC444, "NA")</f>
        <v>1.6858917480035603E-2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1801.49</v>
      </c>
      <c r="F337" s="8">
        <f>IFERROR(E337/E444, "NA")</f>
        <v>2.4106073198567841E-2</v>
      </c>
      <c r="G337" s="9"/>
      <c r="H337" s="10">
        <f t="shared" ref="H337:H344" si="84">IFERROR(-(B337-E337), "NA")</f>
        <v>1801.49</v>
      </c>
      <c r="I337" s="8">
        <f>IFERROR(H337/H444, "NA")</f>
        <v>-0.99430403850293481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1801.49</v>
      </c>
      <c r="U337" s="8">
        <f>IFERROR(T337/T444, "NA")</f>
        <v>2.4106073198567841E-2</v>
      </c>
      <c r="V337" s="9"/>
      <c r="W337" s="10">
        <f t="shared" ref="W337:W344" si="86">IFERROR(-(Q337-T337), "NA")</f>
        <v>1801.49</v>
      </c>
      <c r="X337" s="8">
        <f>IFERROR(W337/W444, "NA")</f>
        <v>-0.99430403850293481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486.26</v>
      </c>
      <c r="C338" s="8">
        <f>IFERROR(B338/B444, "NA")</f>
        <v>6.6684055590799669E-3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-486.26</v>
      </c>
      <c r="I338" s="8">
        <f>IFERROR(H338/H444, "NA")</f>
        <v>0.26838355015150628</v>
      </c>
      <c r="J338" s="9"/>
      <c r="K338" s="7">
        <v>400</v>
      </c>
      <c r="L338" s="8">
        <f>IFERROR(K338/K444, "NA")</f>
        <v>5.6200984837957808E-3</v>
      </c>
      <c r="M338" s="9"/>
      <c r="N338" s="10">
        <f t="shared" si="85"/>
        <v>-86.259999999999991</v>
      </c>
      <c r="O338" s="8">
        <f>IFERROR(N338/N444, "NA")</f>
        <v>-4.9380313135071942E-2</v>
      </c>
      <c r="P338" s="9"/>
      <c r="Q338" s="7">
        <v>486.26</v>
      </c>
      <c r="R338" s="8">
        <f>IFERROR(Q338/Q444, "NA")</f>
        <v>6.6684055590799669E-3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-486.26</v>
      </c>
      <c r="X338" s="8">
        <f>IFERROR(W338/W444, "NA")</f>
        <v>0.26838355015150628</v>
      </c>
      <c r="Y338" s="9"/>
      <c r="Z338" s="7">
        <v>400</v>
      </c>
      <c r="AA338" s="8">
        <f>IFERROR(Z338/Z444, "NA")</f>
        <v>5.6200984837957808E-3</v>
      </c>
      <c r="AB338" s="9"/>
      <c r="AC338" s="10">
        <f t="shared" si="87"/>
        <v>-86.259999999999991</v>
      </c>
      <c r="AD338" s="8">
        <f>IFERROR(AC338/AC444, "NA")</f>
        <v>-4.9380313135071942E-2</v>
      </c>
    </row>
    <row r="339" spans="1:30" ht="16.5" customHeight="1" x14ac:dyDescent="0.45">
      <c r="A339" s="12" t="s">
        <v>309</v>
      </c>
      <c r="B339" s="7">
        <v>366.74</v>
      </c>
      <c r="C339" s="8">
        <f>IFERROR(B339/B444, "NA")</f>
        <v>5.0293486092563384E-3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-366.74</v>
      </c>
      <c r="I339" s="8">
        <f>IFERROR(H339/H444, "NA")</f>
        <v>0.20241636816222477</v>
      </c>
      <c r="J339" s="9"/>
      <c r="K339" s="7">
        <v>275.58999999999997</v>
      </c>
      <c r="L339" s="8">
        <f>IFERROR(K339/K444, "NA")</f>
        <v>3.8721073528731973E-3</v>
      </c>
      <c r="M339" s="9"/>
      <c r="N339" s="10">
        <f t="shared" si="85"/>
        <v>-91.150000000000034</v>
      </c>
      <c r="O339" s="8">
        <f>IFERROR(N339/N444, "NA")</f>
        <v>-5.2179637633454783E-2</v>
      </c>
      <c r="P339" s="9"/>
      <c r="Q339" s="7">
        <v>366.74</v>
      </c>
      <c r="R339" s="8">
        <f>IFERROR(Q339/Q444, "NA")</f>
        <v>5.0293486092563384E-3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-366.74</v>
      </c>
      <c r="X339" s="8">
        <f>IFERROR(W339/W444, "NA")</f>
        <v>0.20241636816222477</v>
      </c>
      <c r="Y339" s="9"/>
      <c r="Z339" s="7">
        <v>275.58999999999997</v>
      </c>
      <c r="AA339" s="8">
        <f>IFERROR(Z339/Z444, "NA")</f>
        <v>3.8721073528731973E-3</v>
      </c>
      <c r="AB339" s="9"/>
      <c r="AC339" s="10">
        <f t="shared" si="87"/>
        <v>-91.150000000000034</v>
      </c>
      <c r="AD339" s="8">
        <f>IFERROR(AC339/AC444, "NA")</f>
        <v>-5.2179637633454783E-2</v>
      </c>
    </row>
    <row r="340" spans="1:30" ht="16.5" customHeight="1" x14ac:dyDescent="0.45">
      <c r="A340" s="12" t="s">
        <v>310</v>
      </c>
      <c r="B340" s="7">
        <v>509.18</v>
      </c>
      <c r="C340" s="8">
        <f>IFERROR(B340/B444, "NA")</f>
        <v>6.9827227050802817E-3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-509.18</v>
      </c>
      <c r="I340" s="8">
        <f>IFERROR(H340/H444, "NA")</f>
        <v>0.28103388324382839</v>
      </c>
      <c r="J340" s="9"/>
      <c r="K340" s="7">
        <v>375</v>
      </c>
      <c r="L340" s="8">
        <f>IFERROR(K340/K444, "NA")</f>
        <v>5.2688423285585442E-3</v>
      </c>
      <c r="M340" s="9"/>
      <c r="N340" s="10">
        <f t="shared" si="85"/>
        <v>-134.18</v>
      </c>
      <c r="O340" s="8">
        <f>IFERROR(N340/N444, "NA")</f>
        <v>-7.6812548301228314E-2</v>
      </c>
      <c r="P340" s="9"/>
      <c r="Q340" s="7">
        <v>509.18</v>
      </c>
      <c r="R340" s="8">
        <f>IFERROR(Q340/Q444, "NA")</f>
        <v>6.9827227050802817E-3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-509.18</v>
      </c>
      <c r="X340" s="8">
        <f>IFERROR(W340/W444, "NA")</f>
        <v>0.28103388324382839</v>
      </c>
      <c r="Y340" s="9"/>
      <c r="Z340" s="7">
        <v>375</v>
      </c>
      <c r="AA340" s="8">
        <f>IFERROR(Z340/Z444, "NA")</f>
        <v>5.2688423285585442E-3</v>
      </c>
      <c r="AB340" s="9"/>
      <c r="AC340" s="10">
        <f t="shared" si="87"/>
        <v>-134.18</v>
      </c>
      <c r="AD340" s="8">
        <f>IFERROR(AC340/AC444, "NA")</f>
        <v>-7.6812548301228314E-2</v>
      </c>
    </row>
    <row r="341" spans="1:30" ht="16.5" customHeight="1" x14ac:dyDescent="0.45">
      <c r="A341" s="12" t="s">
        <v>311</v>
      </c>
      <c r="B341" s="7">
        <v>470.95</v>
      </c>
      <c r="C341" s="8">
        <f>IFERROR(B341/B444, "NA")</f>
        <v>6.4584493852027939E-3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-470.95</v>
      </c>
      <c r="I341" s="8">
        <f>IFERROR(H341/H444, "NA")</f>
        <v>0.25993343672901714</v>
      </c>
      <c r="J341" s="9"/>
      <c r="K341" s="7">
        <v>439.78</v>
      </c>
      <c r="L341" s="8">
        <f>IFERROR(K341/K444, "NA")</f>
        <v>6.1790172780092703E-3</v>
      </c>
      <c r="M341" s="9"/>
      <c r="N341" s="10">
        <f t="shared" si="85"/>
        <v>-31.170000000000016</v>
      </c>
      <c r="O341" s="8">
        <f>IFERROR(N341/N444, "NA")</f>
        <v>-1.7843546955949377E-2</v>
      </c>
      <c r="P341" s="9"/>
      <c r="Q341" s="7">
        <v>470.95</v>
      </c>
      <c r="R341" s="8">
        <f>IFERROR(Q341/Q444, "NA")</f>
        <v>6.4584493852027939E-3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-470.95</v>
      </c>
      <c r="X341" s="8">
        <f>IFERROR(W341/W444, "NA")</f>
        <v>0.25993343672901714</v>
      </c>
      <c r="Y341" s="9"/>
      <c r="Z341" s="7">
        <v>439.78</v>
      </c>
      <c r="AA341" s="8">
        <f>IFERROR(Z341/Z444, "NA")</f>
        <v>6.1790172780092703E-3</v>
      </c>
      <c r="AB341" s="9"/>
      <c r="AC341" s="10">
        <f t="shared" si="87"/>
        <v>-31.170000000000016</v>
      </c>
      <c r="AD341" s="8">
        <f>IFERROR(AC341/AC444, "NA")</f>
        <v>-1.7843546955949377E-2</v>
      </c>
    </row>
    <row r="342" spans="1:30" ht="16.5" customHeight="1" x14ac:dyDescent="0.45">
      <c r="A342" s="13" t="s">
        <v>312</v>
      </c>
      <c r="B342" s="14">
        <f>IFERROR(B337+B338+B339+B340+B341, "NA")</f>
        <v>1833.13</v>
      </c>
      <c r="C342" s="15">
        <f>IFERROR(B342/B444, "NA")</f>
        <v>2.5138926258619382E-2</v>
      </c>
      <c r="D342" s="2"/>
      <c r="E342" s="14">
        <f>IFERROR(E337+E338+E339+E340+E341, "NA")</f>
        <v>1801.49</v>
      </c>
      <c r="F342" s="15">
        <f>IFERROR(E342/E444, "NA")</f>
        <v>2.4106073198567841E-2</v>
      </c>
      <c r="G342" s="2"/>
      <c r="H342" s="14">
        <f t="shared" si="84"/>
        <v>-31.6400000000001</v>
      </c>
      <c r="I342" s="15">
        <f>IFERROR(H342/H444, "NA")</f>
        <v>1.7463199783641851E-2</v>
      </c>
      <c r="J342" s="2"/>
      <c r="K342" s="14">
        <f>IFERROR(K337+K338+K339+K340+K341, "NA")</f>
        <v>1490.37</v>
      </c>
      <c r="L342" s="15">
        <f>IFERROR(K342/K444, "NA")</f>
        <v>2.0940065443236792E-2</v>
      </c>
      <c r="M342" s="2"/>
      <c r="N342" s="14">
        <f t="shared" si="85"/>
        <v>-342.76000000000022</v>
      </c>
      <c r="O342" s="15">
        <f>IFERROR(N342/N444, "NA")</f>
        <v>-0.19621604602570453</v>
      </c>
      <c r="P342" s="2"/>
      <c r="Q342" s="14">
        <f>IFERROR(Q337+Q338+Q339+Q340+Q341, "NA")</f>
        <v>1833.13</v>
      </c>
      <c r="R342" s="15">
        <f>IFERROR(Q342/Q444, "NA")</f>
        <v>2.5138926258619382E-2</v>
      </c>
      <c r="S342" s="2"/>
      <c r="T342" s="14">
        <f>IFERROR(T337+T338+T339+T340+T341, "NA")</f>
        <v>1801.49</v>
      </c>
      <c r="U342" s="15">
        <f>IFERROR(T342/T444, "NA")</f>
        <v>2.4106073198567841E-2</v>
      </c>
      <c r="V342" s="2"/>
      <c r="W342" s="14">
        <f t="shared" si="86"/>
        <v>-31.6400000000001</v>
      </c>
      <c r="X342" s="15">
        <f>IFERROR(W342/W444, "NA")</f>
        <v>1.7463199783641851E-2</v>
      </c>
      <c r="Y342" s="2"/>
      <c r="Z342" s="14">
        <f>IFERROR(Z337+Z338+Z339+Z340+Z341, "NA")</f>
        <v>1490.37</v>
      </c>
      <c r="AA342" s="15">
        <f>IFERROR(Z342/Z444, "NA")</f>
        <v>2.0940065443236792E-2</v>
      </c>
      <c r="AB342" s="2"/>
      <c r="AC342" s="14">
        <f t="shared" si="87"/>
        <v>-342.76000000000022</v>
      </c>
      <c r="AD342" s="15">
        <f>IFERROR(AC342/AC444, "NA")</f>
        <v>-0.19621604602570453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17285.12</v>
      </c>
      <c r="C343" s="15">
        <f>IFERROR(B343/B444, "NA")</f>
        <v>0.23704230308346216</v>
      </c>
      <c r="D343" s="2"/>
      <c r="E343" s="14">
        <f>IFERROR(E328+E329+E330+E331+E332+E333+E334+E335+E337+E338+E339+E340+E341, "NA")</f>
        <v>17231.490000000002</v>
      </c>
      <c r="F343" s="15">
        <f>IFERROR(E343/E444, "NA")</f>
        <v>0.23057777687380435</v>
      </c>
      <c r="G343" s="2"/>
      <c r="H343" s="14">
        <f t="shared" si="84"/>
        <v>-53.629999999997381</v>
      </c>
      <c r="I343" s="15">
        <f>IFERROR(H343/H444, "NA")</f>
        <v>2.9600234020122115E-2</v>
      </c>
      <c r="J343" s="2"/>
      <c r="K343" s="14">
        <f>IFERROR(K328+K329+K330+K331+K332+K333+K334+K335+K337+K338+K339+K340+K341, "NA")</f>
        <v>16567.62</v>
      </c>
      <c r="L343" s="15">
        <f>IFERROR(K343/K444, "NA")</f>
        <v>0.2327791401052616</v>
      </c>
      <c r="M343" s="2"/>
      <c r="N343" s="14">
        <f t="shared" si="85"/>
        <v>-717.5</v>
      </c>
      <c r="O343" s="15">
        <f>IFERROR(N343/N444, "NA")</f>
        <v>-0.41073933079543384</v>
      </c>
      <c r="P343" s="2"/>
      <c r="Q343" s="14">
        <f>IFERROR(Q328+Q329+Q330+Q331+Q332+Q333+Q334+Q335+Q337+Q338+Q339+Q340+Q341, "NA")</f>
        <v>17285.12</v>
      </c>
      <c r="R343" s="15">
        <f>IFERROR(Q343/Q444, "NA")</f>
        <v>0.23704230308346216</v>
      </c>
      <c r="S343" s="2"/>
      <c r="T343" s="14">
        <f>IFERROR(T328+T329+T330+T331+T332+T333+T334+T335+T337+T338+T339+T340+T341, "NA")</f>
        <v>17231.490000000002</v>
      </c>
      <c r="U343" s="15">
        <f>IFERROR(T343/T444, "NA")</f>
        <v>0.23057777687380435</v>
      </c>
      <c r="V343" s="2"/>
      <c r="W343" s="14">
        <f t="shared" si="86"/>
        <v>-53.629999999997381</v>
      </c>
      <c r="X343" s="15">
        <f>IFERROR(W343/W444, "NA")</f>
        <v>2.9600234020122115E-2</v>
      </c>
      <c r="Y343" s="2"/>
      <c r="Z343" s="14">
        <f>IFERROR(Z328+Z329+Z330+Z331+Z332+Z333+Z334+Z335+Z337+Z338+Z339+Z340+Z341, "NA")</f>
        <v>16567.62</v>
      </c>
      <c r="AA343" s="15">
        <f>IFERROR(Z343/Z444, "NA")</f>
        <v>0.2327791401052616</v>
      </c>
      <c r="AB343" s="2"/>
      <c r="AC343" s="14">
        <f t="shared" si="87"/>
        <v>-717.5</v>
      </c>
      <c r="AD343" s="15">
        <f>IFERROR(AC343/AC444, "NA")</f>
        <v>-0.41073933079543384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17285.12</v>
      </c>
      <c r="C344" s="15">
        <f>IFERROR(B344/B444, "NA")</f>
        <v>0.23704230308346216</v>
      </c>
      <c r="D344" s="2"/>
      <c r="E344" s="14">
        <f>IFERROR(E328+E329+E330+E331+E332+E333+E334+E335+E337+E338+E339+E340+E341, "NA")</f>
        <v>17231.490000000002</v>
      </c>
      <c r="F344" s="15">
        <f>IFERROR(E344/E444, "NA")</f>
        <v>0.23057777687380435</v>
      </c>
      <c r="G344" s="2"/>
      <c r="H344" s="14">
        <f t="shared" si="84"/>
        <v>-53.629999999997381</v>
      </c>
      <c r="I344" s="15">
        <f>IFERROR(H344/H444, "NA")</f>
        <v>2.9600234020122115E-2</v>
      </c>
      <c r="J344" s="2"/>
      <c r="K344" s="14">
        <f>IFERROR(K328+K329+K330+K331+K332+K333+K334+K335+K337+K338+K339+K340+K341, "NA")</f>
        <v>16567.62</v>
      </c>
      <c r="L344" s="15">
        <f>IFERROR(K344/K444, "NA")</f>
        <v>0.2327791401052616</v>
      </c>
      <c r="M344" s="2"/>
      <c r="N344" s="14">
        <f t="shared" si="85"/>
        <v>-717.5</v>
      </c>
      <c r="O344" s="15">
        <f>IFERROR(N344/N444, "NA")</f>
        <v>-0.41073933079543384</v>
      </c>
      <c r="P344" s="2"/>
      <c r="Q344" s="14">
        <f>IFERROR(Q328+Q329+Q330+Q331+Q332+Q333+Q334+Q335+Q337+Q338+Q339+Q340+Q341, "NA")</f>
        <v>17285.12</v>
      </c>
      <c r="R344" s="15">
        <f>IFERROR(Q344/Q444, "NA")</f>
        <v>0.23704230308346216</v>
      </c>
      <c r="S344" s="2"/>
      <c r="T344" s="14">
        <f>IFERROR(T328+T329+T330+T331+T332+T333+T334+T335+T337+T338+T339+T340+T341, "NA")</f>
        <v>17231.490000000002</v>
      </c>
      <c r="U344" s="15">
        <f>IFERROR(T344/T444, "NA")</f>
        <v>0.23057777687380435</v>
      </c>
      <c r="V344" s="2"/>
      <c r="W344" s="14">
        <f t="shared" si="86"/>
        <v>-53.629999999997381</v>
      </c>
      <c r="X344" s="15">
        <f>IFERROR(W344/W444, "NA")</f>
        <v>2.9600234020122115E-2</v>
      </c>
      <c r="Y344" s="2"/>
      <c r="Z344" s="14">
        <f>IFERROR(Z328+Z329+Z330+Z331+Z332+Z333+Z334+Z335+Z337+Z338+Z339+Z340+Z341, "NA")</f>
        <v>16567.62</v>
      </c>
      <c r="AA344" s="15">
        <f>IFERROR(Z344/Z444, "NA")</f>
        <v>0.2327791401052616</v>
      </c>
      <c r="AB344" s="2"/>
      <c r="AC344" s="14">
        <f t="shared" si="87"/>
        <v>-717.5</v>
      </c>
      <c r="AD344" s="15">
        <f>IFERROR(AC344/AC444, "NA")</f>
        <v>-0.41073933079543384</v>
      </c>
    </row>
    <row r="345" spans="1:30" ht="16.5" customHeight="1" x14ac:dyDescent="0.45">
      <c r="A345" s="22" t="s">
        <v>315</v>
      </c>
      <c r="B345" s="23">
        <f>IFERROR(B198-B325-B344, "NA")</f>
        <v>-10372.549999999999</v>
      </c>
      <c r="C345" s="24">
        <f>IFERROR(B345/B444, "NA")</f>
        <v>-0.14224565064334904</v>
      </c>
      <c r="D345" s="25"/>
      <c r="E345" s="23">
        <f>IFERROR(E198-E325-E344, "NA")</f>
        <v>-4381.7300000000068</v>
      </c>
      <c r="F345" s="24">
        <f>IFERROR(E345/E444, "NA")</f>
        <v>-5.8632745181133858E-2</v>
      </c>
      <c r="G345" s="25"/>
      <c r="H345" s="23">
        <f>IFERROR(B345-E345, "NA")</f>
        <v>-5990.8199999999924</v>
      </c>
      <c r="I345" s="24">
        <f>IFERROR(H345/H444, "NA")</f>
        <v>3.3065387651023013</v>
      </c>
      <c r="J345" s="25"/>
      <c r="K345" s="23">
        <f>IFERROR(K198-K325-K344, "NA")</f>
        <v>-4293.7099999999937</v>
      </c>
      <c r="L345" s="24">
        <f>IFERROR(K345/K444, "NA")</f>
        <v>-6.0327682652146865E-2</v>
      </c>
      <c r="M345" s="25"/>
      <c r="N345" s="23">
        <f>IFERROR(B345-K345, "NA")</f>
        <v>-6078.8400000000056</v>
      </c>
      <c r="O345" s="24">
        <f>IFERROR(N345/N444, "NA")</f>
        <v>-3.4798866531184909</v>
      </c>
      <c r="P345" s="25"/>
      <c r="Q345" s="23">
        <f>IFERROR(Q198-Q325-Q344, "NA")</f>
        <v>-10372.549999999999</v>
      </c>
      <c r="R345" s="24">
        <f>IFERROR(Q345/Q444, "NA")</f>
        <v>-0.14224565064334904</v>
      </c>
      <c r="S345" s="25"/>
      <c r="T345" s="23">
        <f>IFERROR(T198-T325-T344, "NA")</f>
        <v>-4381.7300000000068</v>
      </c>
      <c r="U345" s="24">
        <f>IFERROR(T345/T444, "NA")</f>
        <v>-5.8632745181133858E-2</v>
      </c>
      <c r="V345" s="25"/>
      <c r="W345" s="23">
        <f>IFERROR(Q345-T345, "NA")</f>
        <v>-5990.8199999999924</v>
      </c>
      <c r="X345" s="24">
        <f>IFERROR(W345/W444, "NA")</f>
        <v>3.3065387651023013</v>
      </c>
      <c r="Y345" s="25"/>
      <c r="Z345" s="23">
        <f>IFERROR(Z198-Z325-Z344, "NA")</f>
        <v>-4293.7099999999937</v>
      </c>
      <c r="AA345" s="24">
        <f>IFERROR(Z345/Z444, "NA")</f>
        <v>-6.0327682652146865E-2</v>
      </c>
      <c r="AB345" s="25"/>
      <c r="AC345" s="23">
        <f>IFERROR(Q345-Z345, "NA")</f>
        <v>-6078.8400000000056</v>
      </c>
      <c r="AD345" s="24">
        <f>IFERROR(AC345/AC444, "NA")</f>
        <v>-3.4798866531184909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-10372.549999999999</v>
      </c>
      <c r="C404" s="24">
        <f>IFERROR(B404/B444, "NA")</f>
        <v>-0.14224565064334904</v>
      </c>
      <c r="D404" s="25"/>
      <c r="E404" s="23">
        <f>IFERROR(E345-E403, "NA")</f>
        <v>-4381.7300000000068</v>
      </c>
      <c r="F404" s="24">
        <f>IFERROR(E404/E444, "NA")</f>
        <v>-5.8632745181133858E-2</v>
      </c>
      <c r="G404" s="25"/>
      <c r="H404" s="23">
        <f>IFERROR(B404-E404, "NA")</f>
        <v>-5990.8199999999924</v>
      </c>
      <c r="I404" s="24">
        <f>IFERROR(H404/H444, "NA")</f>
        <v>3.3065387651023013</v>
      </c>
      <c r="J404" s="25"/>
      <c r="K404" s="23">
        <f>IFERROR(K345-K403, "NA")</f>
        <v>-4293.7099999999937</v>
      </c>
      <c r="L404" s="24">
        <f>IFERROR(K404/K444, "NA")</f>
        <v>-6.0327682652146865E-2</v>
      </c>
      <c r="M404" s="25"/>
      <c r="N404" s="23">
        <f>IFERROR(B404-K404, "NA")</f>
        <v>-6078.8400000000056</v>
      </c>
      <c r="O404" s="24">
        <f>IFERROR(N404/N444, "NA")</f>
        <v>-3.4798866531184909</v>
      </c>
      <c r="P404" s="25"/>
      <c r="Q404" s="23">
        <f>IFERROR(Q345-Q403, "NA")</f>
        <v>-10372.549999999999</v>
      </c>
      <c r="R404" s="24">
        <f>IFERROR(Q404/Q444, "NA")</f>
        <v>-0.14224565064334904</v>
      </c>
      <c r="S404" s="25"/>
      <c r="T404" s="23">
        <f>IFERROR(T345-T403, "NA")</f>
        <v>-4381.7300000000068</v>
      </c>
      <c r="U404" s="24">
        <f>IFERROR(T404/T444, "NA")</f>
        <v>-5.8632745181133858E-2</v>
      </c>
      <c r="V404" s="25"/>
      <c r="W404" s="23">
        <f>IFERROR(Q404-T404, "NA")</f>
        <v>-5990.8199999999924</v>
      </c>
      <c r="X404" s="24">
        <f>IFERROR(W404/W444, "NA")</f>
        <v>3.3065387651023013</v>
      </c>
      <c r="Y404" s="25"/>
      <c r="Z404" s="23">
        <f>IFERROR(Z345-Z403, "NA")</f>
        <v>-4293.7099999999937</v>
      </c>
      <c r="AA404" s="24">
        <f>IFERROR(Z404/Z444, "NA")</f>
        <v>-6.0327682652146865E-2</v>
      </c>
      <c r="AB404" s="25"/>
      <c r="AC404" s="23">
        <f>IFERROR(Q404-Z404, "NA")</f>
        <v>-6078.8400000000056</v>
      </c>
      <c r="AD404" s="24">
        <f>IFERROR(AC404/AC444, "NA")</f>
        <v>-3.4798866531184909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8002</v>
      </c>
      <c r="C410" s="8">
        <f>IFERROR(B410/B444, "NA")</f>
        <v>0.10973672784880084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-8002</v>
      </c>
      <c r="I410" s="8">
        <f>IFERROR(H410/H444, "NA")</f>
        <v>4.4165778972408862</v>
      </c>
      <c r="J410" s="9"/>
      <c r="K410" s="7">
        <v>8357.0499999999993</v>
      </c>
      <c r="L410" s="8">
        <f>IFERROR(K410/K444, "NA")</f>
        <v>0.11741861008501381</v>
      </c>
      <c r="M410" s="9"/>
      <c r="N410" s="10">
        <f t="shared" si="101"/>
        <v>355.04999999999927</v>
      </c>
      <c r="O410" s="8">
        <f>IFERROR(N410/N444, "NA")</f>
        <v>0.2032515671065066</v>
      </c>
      <c r="P410" s="9"/>
      <c r="Q410" s="7">
        <v>8002</v>
      </c>
      <c r="R410" s="8">
        <f>IFERROR(Q410/Q444, "NA")</f>
        <v>0.10973672784880084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-8002</v>
      </c>
      <c r="X410" s="8">
        <f>IFERROR(W410/W444, "NA")</f>
        <v>4.4165778972408862</v>
      </c>
      <c r="Y410" s="9"/>
      <c r="Z410" s="7">
        <v>8357.0499999999993</v>
      </c>
      <c r="AA410" s="8">
        <f>IFERROR(Z410/Z444, "NA")</f>
        <v>0.11741861008501381</v>
      </c>
      <c r="AB410" s="9"/>
      <c r="AC410" s="10">
        <f t="shared" si="103"/>
        <v>355.04999999999927</v>
      </c>
      <c r="AD410" s="8">
        <f>IFERROR(AC410/AC444, "NA")</f>
        <v>0.2032515671065066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-29.31</v>
      </c>
      <c r="C416" s="8">
        <f>IFERROR(B416/B444, "NA")</f>
        <v>-4.0194744979359564E-4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29.31</v>
      </c>
      <c r="I416" s="8">
        <f>IFERROR(H416/H444, "NA")</f>
        <v>-1.6177192972773105E-2</v>
      </c>
      <c r="J416" s="9"/>
      <c r="K416" s="7">
        <v>-24.65</v>
      </c>
      <c r="L416" s="8">
        <f>IFERROR(K416/K444, "NA")</f>
        <v>-3.4633856906391493E-4</v>
      </c>
      <c r="M416" s="9"/>
      <c r="N416" s="10">
        <f t="shared" si="101"/>
        <v>4.66</v>
      </c>
      <c r="O416" s="8">
        <f>IFERROR(N416/N444, "NA")</f>
        <v>2.6676589289292289E-3</v>
      </c>
      <c r="P416" s="9"/>
      <c r="Q416" s="7">
        <v>-29.31</v>
      </c>
      <c r="R416" s="8">
        <f>IFERROR(Q416/Q444, "NA")</f>
        <v>-4.0194744979359564E-4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29.31</v>
      </c>
      <c r="X416" s="8">
        <f>IFERROR(W416/W444, "NA")</f>
        <v>-1.6177192972773105E-2</v>
      </c>
      <c r="Y416" s="9"/>
      <c r="Z416" s="7">
        <v>-24.65</v>
      </c>
      <c r="AA416" s="8">
        <f>IFERROR(Z416/Z444, "NA")</f>
        <v>-3.4633856906391493E-4</v>
      </c>
      <c r="AB416" s="9"/>
      <c r="AC416" s="10">
        <f t="shared" si="103"/>
        <v>4.66</v>
      </c>
      <c r="AD416" s="8">
        <f>IFERROR(AC416/AC444, "NA")</f>
        <v>2.6676589289292289E-3</v>
      </c>
    </row>
    <row r="417" spans="1:30" ht="16.5" customHeight="1" x14ac:dyDescent="0.45">
      <c r="A417" s="6" t="s">
        <v>382</v>
      </c>
      <c r="B417" s="7">
        <v>70.599999999999994</v>
      </c>
      <c r="C417" s="8">
        <f>IFERROR(B417/B444, "NA")</f>
        <v>9.68184577121387E-4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-70.599999999999994</v>
      </c>
      <c r="I417" s="8">
        <f>IFERROR(H417/H444, "NA")</f>
        <v>3.8966558303574927E-2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-70.599999999999994</v>
      </c>
      <c r="O417" s="8">
        <f>IFERROR(N417/N444, "NA")</f>
        <v>-4.0415605232275435E-2</v>
      </c>
      <c r="P417" s="9"/>
      <c r="Q417" s="7">
        <v>70.599999999999994</v>
      </c>
      <c r="R417" s="8">
        <f>IFERROR(Q417/Q444, "NA")</f>
        <v>9.68184577121387E-4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-70.599999999999994</v>
      </c>
      <c r="X417" s="8">
        <f>IFERROR(W417/W444, "NA")</f>
        <v>3.8966558303574927E-2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-70.599999999999994</v>
      </c>
      <c r="AD417" s="8">
        <f>IFERROR(AC417/AC444, "NA")</f>
        <v>-4.0415605232275435E-2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8043.29</v>
      </c>
      <c r="C428" s="15">
        <f>IFERROR(B428/B444, "NA")</f>
        <v>0.11030296497612864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-8043.29</v>
      </c>
      <c r="I428" s="15">
        <f>IFERROR(H428/H444, "NA")</f>
        <v>4.4393672625716878</v>
      </c>
      <c r="J428" s="2"/>
      <c r="K428" s="14">
        <f>IFERROR(K407+K408+K409+K410+K411+K412+K413+K414+K415+K416+K417+K418+K419+K420+K421+K422+K423+K424+K425+K426+K427, "NA")</f>
        <v>8332.4</v>
      </c>
      <c r="L428" s="15">
        <f>IFERROR(K428/K444, "NA")</f>
        <v>0.1170722715159499</v>
      </c>
      <c r="M428" s="2"/>
      <c r="N428" s="14">
        <f t="shared" si="101"/>
        <v>289.10999999999967</v>
      </c>
      <c r="O428" s="15">
        <f>IFERROR(N428/N444, "NA")</f>
        <v>0.16550362080316061</v>
      </c>
      <c r="P428" s="2"/>
      <c r="Q428" s="14">
        <f>IFERROR(Q407+Q408+Q409+Q410+Q411+Q412+Q413+Q414+Q415+Q416+Q417+Q418+Q419+Q420+Q421+Q422+Q423+Q424+Q425+Q426+Q427, "NA")</f>
        <v>8043.29</v>
      </c>
      <c r="R428" s="15">
        <f>IFERROR(Q428/Q444, "NA")</f>
        <v>0.11030296497612864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-8043.29</v>
      </c>
      <c r="X428" s="15">
        <f>IFERROR(W428/W444, "NA")</f>
        <v>4.4393672625716878</v>
      </c>
      <c r="Y428" s="2"/>
      <c r="Z428" s="14">
        <f>IFERROR(Z407+Z408+Z409+Z410+Z411+Z412+Z413+Z414+Z415+Z416+Z417+Z418+Z419+Z420+Z421+Z422+Z423+Z424+Z425+Z426+Z427, "NA")</f>
        <v>8332.4</v>
      </c>
      <c r="AA428" s="15">
        <f>IFERROR(Z428/Z444, "NA")</f>
        <v>0.1170722715159499</v>
      </c>
      <c r="AB428" s="2"/>
      <c r="AC428" s="14">
        <f t="shared" si="103"/>
        <v>289.10999999999967</v>
      </c>
      <c r="AD428" s="15">
        <f>IFERROR(AC428/AC444, "NA")</f>
        <v>0.16550362080316061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8043.29</v>
      </c>
      <c r="C429" s="15">
        <f>IFERROR(B429/B444, "NA")</f>
        <v>0.11030296497612864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-8043.29</v>
      </c>
      <c r="I429" s="15">
        <f>IFERROR(H429/H444, "NA")</f>
        <v>4.4393672625716878</v>
      </c>
      <c r="J429" s="2"/>
      <c r="K429" s="14">
        <f>IFERROR(K407+K408+K409+K410+K411+K412+K413+K414+K415+K416+K417+K418+K419+K420+K421+K422+K423+K424+K425+K426+K427, "NA")</f>
        <v>8332.4</v>
      </c>
      <c r="L429" s="15">
        <f>IFERROR(K429/K444, "NA")</f>
        <v>0.1170722715159499</v>
      </c>
      <c r="M429" s="2"/>
      <c r="N429" s="14">
        <f t="shared" si="101"/>
        <v>289.10999999999967</v>
      </c>
      <c r="O429" s="15">
        <f>IFERROR(N429/N444, "NA")</f>
        <v>0.16550362080316061</v>
      </c>
      <c r="P429" s="2"/>
      <c r="Q429" s="14">
        <f>IFERROR(Q407+Q408+Q409+Q410+Q411+Q412+Q413+Q414+Q415+Q416+Q417+Q418+Q419+Q420+Q421+Q422+Q423+Q424+Q425+Q426+Q427, "NA")</f>
        <v>8043.29</v>
      </c>
      <c r="R429" s="15">
        <f>IFERROR(Q429/Q444, "NA")</f>
        <v>0.11030296497612864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-8043.29</v>
      </c>
      <c r="X429" s="15">
        <f>IFERROR(W429/W444, "NA")</f>
        <v>4.4393672625716878</v>
      </c>
      <c r="Y429" s="2"/>
      <c r="Z429" s="14">
        <f>IFERROR(Z407+Z408+Z409+Z410+Z411+Z412+Z413+Z414+Z415+Z416+Z417+Z418+Z419+Z420+Z421+Z422+Z423+Z424+Z425+Z426+Z427, "NA")</f>
        <v>8332.4</v>
      </c>
      <c r="AA429" s="15">
        <f>IFERROR(Z429/Z444, "NA")</f>
        <v>0.1170722715159499</v>
      </c>
      <c r="AB429" s="2"/>
      <c r="AC429" s="14">
        <f t="shared" si="103"/>
        <v>289.10999999999967</v>
      </c>
      <c r="AD429" s="15">
        <f>IFERROR(AC429/AC444, "NA")</f>
        <v>0.16550362080316061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-18415.84</v>
      </c>
      <c r="C443" s="24">
        <f>IFERROR(B443/B444, "NA")</f>
        <v>-0.25254861561947772</v>
      </c>
      <c r="D443" s="25"/>
      <c r="E443" s="23">
        <f>IFERROR(E404-E429-E442, "NA")</f>
        <v>-4381.7300000000068</v>
      </c>
      <c r="F443" s="24">
        <f>IFERROR(E443/E444, "NA")</f>
        <v>-5.8632745181133858E-2</v>
      </c>
      <c r="G443" s="25"/>
      <c r="H443" s="23">
        <f>IFERROR(B443-E443, "NA")</f>
        <v>-14034.109999999993</v>
      </c>
      <c r="I443" s="24">
        <f>IFERROR(H443/H444, "NA")</f>
        <v>7.7459060276739899</v>
      </c>
      <c r="J443" s="25"/>
      <c r="K443" s="23">
        <f>IFERROR(K404-K429-K442, "NA")</f>
        <v>-12626.109999999993</v>
      </c>
      <c r="L443" s="24">
        <f>IFERROR(K443/K444, "NA")</f>
        <v>-0.17739995416809676</v>
      </c>
      <c r="M443" s="25"/>
      <c r="N443" s="23">
        <f>IFERROR(B443-K443, "NA")</f>
        <v>-5789.7300000000068</v>
      </c>
      <c r="O443" s="24">
        <f>IFERROR(N443/N444, "NA")</f>
        <v>-3.3143830323153307</v>
      </c>
      <c r="P443" s="25"/>
      <c r="Q443" s="23">
        <f>IFERROR(Q404-Q429-Q442, "NA")</f>
        <v>-18415.84</v>
      </c>
      <c r="R443" s="24">
        <f>IFERROR(Q443/Q444, "NA")</f>
        <v>-0.25254861561947772</v>
      </c>
      <c r="S443" s="25"/>
      <c r="T443" s="23">
        <f>IFERROR(T404-T429-T442, "NA")</f>
        <v>-4381.7300000000068</v>
      </c>
      <c r="U443" s="24">
        <f>IFERROR(T443/T444, "NA")</f>
        <v>-5.8632745181133858E-2</v>
      </c>
      <c r="V443" s="25"/>
      <c r="W443" s="23">
        <f>IFERROR(Q443-T443, "NA")</f>
        <v>-14034.109999999993</v>
      </c>
      <c r="X443" s="24">
        <f>IFERROR(W443/W444, "NA")</f>
        <v>7.7459060276739899</v>
      </c>
      <c r="Y443" s="25"/>
      <c r="Z443" s="23">
        <f>IFERROR(Z404-Z429-Z442, "NA")</f>
        <v>-12626.109999999993</v>
      </c>
      <c r="AA443" s="24">
        <f>IFERROR(Z443/Z444, "NA")</f>
        <v>-0.17739995416809676</v>
      </c>
      <c r="AB443" s="25"/>
      <c r="AC443" s="23">
        <f>IFERROR(Q443-Z443, "NA")</f>
        <v>-5789.7300000000068</v>
      </c>
      <c r="AD443" s="24">
        <f>IFERROR(AC443/AC444, "NA")</f>
        <v>-3.3143830323153307</v>
      </c>
    </row>
    <row r="444" spans="1:30" ht="15.75" hidden="1" x14ac:dyDescent="0.45">
      <c r="A444" s="26" t="s">
        <v>117</v>
      </c>
      <c r="B444" s="7">
        <v>72919.98</v>
      </c>
      <c r="C444" s="27"/>
      <c r="D444" s="9"/>
      <c r="E444" s="7">
        <v>74731.789999999994</v>
      </c>
      <c r="F444" s="27"/>
      <c r="G444" s="9"/>
      <c r="H444" s="10">
        <f>IFERROR(B444-E444, "NA")</f>
        <v>-1811.8099999999977</v>
      </c>
      <c r="I444" s="27"/>
      <c r="J444" s="9"/>
      <c r="K444" s="7">
        <v>71173.13</v>
      </c>
      <c r="L444" s="27"/>
      <c r="M444" s="9"/>
      <c r="N444" s="10">
        <f>IFERROR(B444-K444, "NA")</f>
        <v>1746.8499999999913</v>
      </c>
      <c r="O444" s="27"/>
      <c r="P444" s="9"/>
      <c r="Q444" s="7">
        <v>72919.98</v>
      </c>
      <c r="R444" s="27"/>
      <c r="S444" s="9"/>
      <c r="T444" s="7">
        <v>74731.789999999994</v>
      </c>
      <c r="U444" s="27"/>
      <c r="V444" s="9"/>
      <c r="W444" s="10">
        <f>IFERROR(Q444-T444, "NA")</f>
        <v>-1811.8099999999977</v>
      </c>
      <c r="X444" s="27"/>
      <c r="Y444" s="9"/>
      <c r="Z444" s="7">
        <v>71173.13</v>
      </c>
      <c r="AA444" s="27"/>
      <c r="AB444" s="9"/>
      <c r="AC444" s="10">
        <f>IFERROR(Q444-Z444, "NA")</f>
        <v>1746.8499999999913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41331.519999999997</v>
      </c>
      <c r="F10" s="8">
        <f>IFERROR(E10/E444, "NA")</f>
        <v>0.5340000012919921</v>
      </c>
      <c r="G10" s="9"/>
      <c r="H10" s="10">
        <f t="shared" ref="H10:H19" si="0">IFERROR(B10-E10, "NA")</f>
        <v>-41331.519999999997</v>
      </c>
      <c r="I10" s="8">
        <f>IFERROR(H10/H444, "NA")</f>
        <v>-2.2846719242222155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41331.519999999997</v>
      </c>
      <c r="U10" s="8">
        <f>IFERROR(T10/T444, "NA")</f>
        <v>0.5340000012919921</v>
      </c>
      <c r="V10" s="9"/>
      <c r="W10" s="10">
        <f t="shared" ref="W10:W19" si="2">IFERROR(Q10-T10, "NA")</f>
        <v>-41331.519999999997</v>
      </c>
      <c r="X10" s="8">
        <f>IFERROR(W10/W444, "NA")</f>
        <v>-2.2846719242222155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41210.6</v>
      </c>
      <c r="C11" s="8">
        <f>IFERROR(B11/B444, "NA")</f>
        <v>0.43156690540559783</v>
      </c>
      <c r="D11" s="9"/>
      <c r="E11" s="7">
        <v>0</v>
      </c>
      <c r="F11" s="8">
        <f>IFERROR(E11/E444, "NA")</f>
        <v>0</v>
      </c>
      <c r="G11" s="9"/>
      <c r="H11" s="10">
        <f t="shared" si="0"/>
        <v>41210.6</v>
      </c>
      <c r="I11" s="8">
        <f>IFERROR(H11/H444, "NA")</f>
        <v>2.2779878601210899</v>
      </c>
      <c r="J11" s="9"/>
      <c r="K11" s="7">
        <v>42147.839999999997</v>
      </c>
      <c r="L11" s="8">
        <f>IFERROR(K11/K444, "NA")</f>
        <v>0.58811051686191584</v>
      </c>
      <c r="M11" s="9"/>
      <c r="N11" s="10">
        <f t="shared" si="1"/>
        <v>-937.23999999999796</v>
      </c>
      <c r="O11" s="8">
        <f>IFERROR(N11/N444, "NA")</f>
        <v>-3.9339979541733058E-2</v>
      </c>
      <c r="P11" s="9"/>
      <c r="Q11" s="7">
        <v>41210.6</v>
      </c>
      <c r="R11" s="8">
        <f>IFERROR(Q11/Q444, "NA")</f>
        <v>0.43156690540559783</v>
      </c>
      <c r="S11" s="9"/>
      <c r="T11" s="7">
        <v>0</v>
      </c>
      <c r="U11" s="8">
        <f>IFERROR(T11/T444, "NA")</f>
        <v>0</v>
      </c>
      <c r="V11" s="9"/>
      <c r="W11" s="10">
        <f t="shared" si="2"/>
        <v>41210.6</v>
      </c>
      <c r="X11" s="8">
        <f>IFERROR(W11/W444, "NA")</f>
        <v>2.2779878601210899</v>
      </c>
      <c r="Y11" s="9"/>
      <c r="Z11" s="7">
        <v>42147.839999999997</v>
      </c>
      <c r="AA11" s="8">
        <f>IFERROR(Z11/Z444, "NA")</f>
        <v>0.58811051686191584</v>
      </c>
      <c r="AB11" s="9"/>
      <c r="AC11" s="10">
        <f t="shared" si="3"/>
        <v>-937.23999999999796</v>
      </c>
      <c r="AD11" s="8">
        <f>IFERROR(AC11/AC444, "NA")</f>
        <v>-3.9339979541733058E-2</v>
      </c>
    </row>
    <row r="12" spans="1:30" ht="16.5" customHeight="1" x14ac:dyDescent="0.45">
      <c r="A12" s="12" t="s">
        <v>14</v>
      </c>
      <c r="B12" s="7">
        <v>4275.05</v>
      </c>
      <c r="C12" s="8">
        <f>IFERROR(B12/B444, "NA")</f>
        <v>4.4769309327071218E-2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4275.05</v>
      </c>
      <c r="I12" s="8">
        <f>IFERROR(H12/H444, "NA")</f>
        <v>0.23631085209656413</v>
      </c>
      <c r="J12" s="9"/>
      <c r="K12" s="7">
        <v>3963.35</v>
      </c>
      <c r="L12" s="8">
        <f>IFERROR(K12/K444, "NA")</f>
        <v>5.5302663600428258E-2</v>
      </c>
      <c r="M12" s="9"/>
      <c r="N12" s="10">
        <f t="shared" si="1"/>
        <v>311.70000000000027</v>
      </c>
      <c r="O12" s="8">
        <f>IFERROR(N12/N444, "NA")</f>
        <v>1.3083384856769057E-2</v>
      </c>
      <c r="P12" s="9"/>
      <c r="Q12" s="7">
        <v>4275.05</v>
      </c>
      <c r="R12" s="8">
        <f>IFERROR(Q12/Q444, "NA")</f>
        <v>4.4769309327071218E-2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4275.05</v>
      </c>
      <c r="X12" s="8">
        <f>IFERROR(W12/W444, "NA")</f>
        <v>0.23631085209656413</v>
      </c>
      <c r="Y12" s="9"/>
      <c r="Z12" s="7">
        <v>3963.35</v>
      </c>
      <c r="AA12" s="8">
        <f>IFERROR(Z12/Z444, "NA")</f>
        <v>5.5302663600428258E-2</v>
      </c>
      <c r="AB12" s="9"/>
      <c r="AC12" s="10">
        <f t="shared" si="3"/>
        <v>311.70000000000027</v>
      </c>
      <c r="AD12" s="8">
        <f>IFERROR(AC12/AC444, "NA")</f>
        <v>1.3083384856769057E-2</v>
      </c>
    </row>
    <row r="13" spans="1:30" ht="16.5" customHeight="1" x14ac:dyDescent="0.45">
      <c r="A13" s="12" t="s">
        <v>15</v>
      </c>
      <c r="B13" s="7">
        <v>77</v>
      </c>
      <c r="C13" s="8">
        <f>IFERROR(B13/B444, "NA")</f>
        <v>8.0636175440859962E-4</v>
      </c>
      <c r="D13" s="9"/>
      <c r="E13" s="7">
        <v>0</v>
      </c>
      <c r="F13" s="8">
        <f>IFERROR(E13/E444, "NA")</f>
        <v>0</v>
      </c>
      <c r="G13" s="9"/>
      <c r="H13" s="10">
        <f t="shared" si="0"/>
        <v>77</v>
      </c>
      <c r="I13" s="8">
        <f>IFERROR(H13/H444, "NA")</f>
        <v>4.2563094259565242E-3</v>
      </c>
      <c r="J13" s="9"/>
      <c r="K13" s="7">
        <v>137</v>
      </c>
      <c r="L13" s="8">
        <f>IFERROR(K13/K444, "NA")</f>
        <v>1.9116315524136582E-3</v>
      </c>
      <c r="M13" s="9"/>
      <c r="N13" s="10">
        <f t="shared" si="1"/>
        <v>-60</v>
      </c>
      <c r="O13" s="8">
        <f>IFERROR(N13/N444, "NA")</f>
        <v>-2.5184571427851869E-3</v>
      </c>
      <c r="P13" s="9"/>
      <c r="Q13" s="7">
        <v>77</v>
      </c>
      <c r="R13" s="8">
        <f>IFERROR(Q13/Q444, "NA")</f>
        <v>8.0636175440859962E-4</v>
      </c>
      <c r="S13" s="9"/>
      <c r="T13" s="7">
        <v>0</v>
      </c>
      <c r="U13" s="8">
        <f>IFERROR(T13/T444, "NA")</f>
        <v>0</v>
      </c>
      <c r="V13" s="9"/>
      <c r="W13" s="10">
        <f t="shared" si="2"/>
        <v>77</v>
      </c>
      <c r="X13" s="8">
        <f>IFERROR(W13/W444, "NA")</f>
        <v>4.2563094259565242E-3</v>
      </c>
      <c r="Y13" s="9"/>
      <c r="Z13" s="7">
        <v>137</v>
      </c>
      <c r="AA13" s="8">
        <f>IFERROR(Z13/Z444, "NA")</f>
        <v>1.9116315524136582E-3</v>
      </c>
      <c r="AB13" s="9"/>
      <c r="AC13" s="10">
        <f t="shared" si="3"/>
        <v>-60</v>
      </c>
      <c r="AD13" s="8">
        <f>IFERROR(AC13/AC444, "NA")</f>
        <v>-2.5184571427851869E-3</v>
      </c>
    </row>
    <row r="14" spans="1:30" ht="16.5" customHeight="1" x14ac:dyDescent="0.45">
      <c r="A14" s="12" t="s">
        <v>16</v>
      </c>
      <c r="B14" s="7">
        <v>300</v>
      </c>
      <c r="C14" s="8">
        <f>IFERROR(B14/B444, "NA")</f>
        <v>3.1416691730205182E-3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300</v>
      </c>
      <c r="I14" s="8">
        <f>IFERROR(H14/H444, "NA")</f>
        <v>1.6583023737492951E-2</v>
      </c>
      <c r="J14" s="9"/>
      <c r="K14" s="7">
        <v>375</v>
      </c>
      <c r="L14" s="8">
        <f>IFERROR(K14/K444, "NA")</f>
        <v>5.2325681179205968E-3</v>
      </c>
      <c r="M14" s="9"/>
      <c r="N14" s="10">
        <f t="shared" si="1"/>
        <v>-75</v>
      </c>
      <c r="O14" s="8">
        <f>IFERROR(N14/N444, "NA")</f>
        <v>-3.1480714284814835E-3</v>
      </c>
      <c r="P14" s="9"/>
      <c r="Q14" s="7">
        <v>300</v>
      </c>
      <c r="R14" s="8">
        <f>IFERROR(Q14/Q444, "NA")</f>
        <v>3.1416691730205182E-3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300</v>
      </c>
      <c r="X14" s="8">
        <f>IFERROR(W14/W444, "NA")</f>
        <v>1.6583023737492951E-2</v>
      </c>
      <c r="Y14" s="9"/>
      <c r="Z14" s="7">
        <v>375</v>
      </c>
      <c r="AA14" s="8">
        <f>IFERROR(Z14/Z444, "NA")</f>
        <v>5.2325681179205968E-3</v>
      </c>
      <c r="AB14" s="9"/>
      <c r="AC14" s="10">
        <f t="shared" si="3"/>
        <v>-75</v>
      </c>
      <c r="AD14" s="8">
        <f>IFERROR(AC14/AC444, "NA")</f>
        <v>-3.1480714284814835E-3</v>
      </c>
    </row>
    <row r="15" spans="1:30" ht="16.5" customHeight="1" x14ac:dyDescent="0.45">
      <c r="A15" s="12" t="s">
        <v>17</v>
      </c>
      <c r="B15" s="7">
        <v>54</v>
      </c>
      <c r="C15" s="8">
        <f>IFERROR(B15/B444, "NA")</f>
        <v>5.6550045114369329E-4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54</v>
      </c>
      <c r="I15" s="8">
        <f>IFERROR(H15/H444, "NA")</f>
        <v>2.9849442727487314E-3</v>
      </c>
      <c r="J15" s="9"/>
      <c r="K15" s="7">
        <v>176</v>
      </c>
      <c r="L15" s="8">
        <f>IFERROR(K15/K444, "NA")</f>
        <v>2.4558186366774003E-3</v>
      </c>
      <c r="M15" s="9"/>
      <c r="N15" s="10">
        <f t="shared" si="1"/>
        <v>-122</v>
      </c>
      <c r="O15" s="8">
        <f>IFERROR(N15/N444, "NA")</f>
        <v>-5.120862856996547E-3</v>
      </c>
      <c r="P15" s="9"/>
      <c r="Q15" s="7">
        <v>54</v>
      </c>
      <c r="R15" s="8">
        <f>IFERROR(Q15/Q444, "NA")</f>
        <v>5.6550045114369329E-4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54</v>
      </c>
      <c r="X15" s="8">
        <f>IFERROR(W15/W444, "NA")</f>
        <v>2.9849442727487314E-3</v>
      </c>
      <c r="Y15" s="9"/>
      <c r="Z15" s="7">
        <v>176</v>
      </c>
      <c r="AA15" s="8">
        <f>IFERROR(Z15/Z444, "NA")</f>
        <v>2.4558186366774003E-3</v>
      </c>
      <c r="AB15" s="9"/>
      <c r="AC15" s="10">
        <f t="shared" si="3"/>
        <v>-122</v>
      </c>
      <c r="AD15" s="8">
        <f>IFERROR(AC15/AC444, "NA")</f>
        <v>-5.120862856996547E-3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45916.65</v>
      </c>
      <c r="C18" s="15">
        <f>IFERROR(B18/B444, "NA")</f>
        <v>0.48084974611124193</v>
      </c>
      <c r="D18" s="2"/>
      <c r="E18" s="14">
        <f>IFERROR(E10+E11+E12+E13+E14+E15+E16+E17, "NA")</f>
        <v>41331.519999999997</v>
      </c>
      <c r="F18" s="15">
        <f>IFERROR(E18/E444, "NA")</f>
        <v>0.5340000012919921</v>
      </c>
      <c r="G18" s="2"/>
      <c r="H18" s="14">
        <f t="shared" si="0"/>
        <v>4585.1300000000047</v>
      </c>
      <c r="I18" s="15">
        <f>IFERROR(H18/H444, "NA")</f>
        <v>0.25345106543163709</v>
      </c>
      <c r="J18" s="2"/>
      <c r="K18" s="14">
        <f>IFERROR(K10+K11+K12+K13+K14+K15+K16+K17, "NA")</f>
        <v>46799.189999999995</v>
      </c>
      <c r="L18" s="15">
        <f>IFERROR(K18/K444, "NA")</f>
        <v>0.65301319876935571</v>
      </c>
      <c r="M18" s="2"/>
      <c r="N18" s="14">
        <f t="shared" si="1"/>
        <v>-882.5399999999936</v>
      </c>
      <c r="O18" s="15">
        <f>IFERROR(N18/N444, "NA")</f>
        <v>-3.7043986113227047E-2</v>
      </c>
      <c r="P18" s="2"/>
      <c r="Q18" s="14">
        <f>IFERROR(Q10+Q11+Q12+Q13+Q14+Q15+Q16+Q17, "NA")</f>
        <v>45916.65</v>
      </c>
      <c r="R18" s="15">
        <f>IFERROR(Q18/Q444, "NA")</f>
        <v>0.48084974611124193</v>
      </c>
      <c r="S18" s="2"/>
      <c r="T18" s="14">
        <f>IFERROR(T10+T11+T12+T13+T14+T15+T16+T17, "NA")</f>
        <v>41331.519999999997</v>
      </c>
      <c r="U18" s="15">
        <f>IFERROR(T18/T444, "NA")</f>
        <v>0.5340000012919921</v>
      </c>
      <c r="V18" s="2"/>
      <c r="W18" s="14">
        <f t="shared" si="2"/>
        <v>4585.1300000000047</v>
      </c>
      <c r="X18" s="15">
        <f>IFERROR(W18/W444, "NA")</f>
        <v>0.25345106543163709</v>
      </c>
      <c r="Y18" s="2"/>
      <c r="Z18" s="14">
        <f>IFERROR(Z10+Z11+Z12+Z13+Z14+Z15+Z16+Z17, "NA")</f>
        <v>46799.189999999995</v>
      </c>
      <c r="AA18" s="15">
        <f>IFERROR(Z18/Z444, "NA")</f>
        <v>0.65301319876935571</v>
      </c>
      <c r="AB18" s="2"/>
      <c r="AC18" s="14">
        <f t="shared" si="3"/>
        <v>-882.5399999999936</v>
      </c>
      <c r="AD18" s="15">
        <f>IFERROR(AC18/AC444, "NA")</f>
        <v>-3.7043986113227047E-2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8204.3799999999992</v>
      </c>
      <c r="F21" s="8">
        <f>IFERROR(E21/E444, "NA")</f>
        <v>0.10599994702832109</v>
      </c>
      <c r="G21" s="9"/>
      <c r="H21" s="10">
        <f t="shared" ref="H21:H29" si="4">IFERROR(B21-E21, "NA")</f>
        <v>-8204.3799999999992</v>
      </c>
      <c r="I21" s="8">
        <f>IFERROR(H21/H444, "NA")</f>
        <v>-0.45351142763804136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8204.3799999999992</v>
      </c>
      <c r="U21" s="8">
        <f>IFERROR(T21/T444, "NA")</f>
        <v>0.10599994702832109</v>
      </c>
      <c r="V21" s="9"/>
      <c r="W21" s="10">
        <f t="shared" ref="W21:W29" si="6">IFERROR(Q21-T21, "NA")</f>
        <v>-8204.3799999999992</v>
      </c>
      <c r="X21" s="8">
        <f>IFERROR(W21/W444, "NA")</f>
        <v>-0.45351142763804136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7744.8</v>
      </c>
      <c r="C22" s="8">
        <f>IFERROR(B22/B444, "NA")</f>
        <v>8.1105331370697697E-2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7744.8</v>
      </c>
      <c r="I22" s="8">
        <f>IFERROR(H22/H444, "NA")</f>
        <v>0.42810734080711804</v>
      </c>
      <c r="J22" s="9"/>
      <c r="K22" s="7">
        <v>8448.25</v>
      </c>
      <c r="L22" s="8">
        <f>IFERROR(K22/K444, "NA")</f>
        <v>0.11788278293926049</v>
      </c>
      <c r="M22" s="9"/>
      <c r="N22" s="10">
        <f t="shared" si="5"/>
        <v>-703.44999999999982</v>
      </c>
      <c r="O22" s="8">
        <f>IFERROR(N22/N444, "NA")</f>
        <v>-2.9526811284870655E-2</v>
      </c>
      <c r="P22" s="9"/>
      <c r="Q22" s="7">
        <v>7744.8</v>
      </c>
      <c r="R22" s="8">
        <f>IFERROR(Q22/Q444, "NA")</f>
        <v>8.1105331370697697E-2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7744.8</v>
      </c>
      <c r="X22" s="8">
        <f>IFERROR(W22/W444, "NA")</f>
        <v>0.42810734080711804</v>
      </c>
      <c r="Y22" s="9"/>
      <c r="Z22" s="7">
        <v>8448.25</v>
      </c>
      <c r="AA22" s="8">
        <f>IFERROR(Z22/Z444, "NA")</f>
        <v>0.11788278293926049</v>
      </c>
      <c r="AB22" s="9"/>
      <c r="AC22" s="10">
        <f t="shared" si="7"/>
        <v>-703.44999999999982</v>
      </c>
      <c r="AD22" s="8">
        <f>IFERROR(AC22/AC444, "NA")</f>
        <v>-2.9526811284870655E-2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1089.1300000000001</v>
      </c>
      <c r="C24" s="8">
        <f>IFERROR(B24/B444, "NA")</f>
        <v>1.1405620488039458E-2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1089.1300000000001</v>
      </c>
      <c r="I24" s="8">
        <f>IFERROR(H24/H444, "NA")</f>
        <v>6.0203562144052335E-2</v>
      </c>
      <c r="J24" s="9"/>
      <c r="K24" s="7">
        <v>315.38</v>
      </c>
      <c r="L24" s="8">
        <f>IFERROR(K24/K444, "NA")</f>
        <v>4.4006595547461278E-3</v>
      </c>
      <c r="M24" s="9"/>
      <c r="N24" s="10">
        <f t="shared" si="5"/>
        <v>773.75000000000011</v>
      </c>
      <c r="O24" s="8">
        <f>IFERROR(N24/N444, "NA")</f>
        <v>3.2477603570500641E-2</v>
      </c>
      <c r="P24" s="9"/>
      <c r="Q24" s="7">
        <v>1089.1300000000001</v>
      </c>
      <c r="R24" s="8">
        <f>IFERROR(Q24/Q444, "NA")</f>
        <v>1.1405620488039458E-2</v>
      </c>
      <c r="S24" s="9"/>
      <c r="T24" s="7">
        <v>0</v>
      </c>
      <c r="U24" s="8">
        <f>IFERROR(T24/T444, "NA")</f>
        <v>0</v>
      </c>
      <c r="V24" s="9"/>
      <c r="W24" s="10">
        <f t="shared" si="6"/>
        <v>1089.1300000000001</v>
      </c>
      <c r="X24" s="8">
        <f>IFERROR(W24/W444, "NA")</f>
        <v>6.0203562144052335E-2</v>
      </c>
      <c r="Y24" s="9"/>
      <c r="Z24" s="7">
        <v>315.38</v>
      </c>
      <c r="AA24" s="8">
        <f>IFERROR(Z24/Z444, "NA")</f>
        <v>4.4006595547461278E-3</v>
      </c>
      <c r="AB24" s="9"/>
      <c r="AC24" s="10">
        <f t="shared" si="7"/>
        <v>773.75000000000011</v>
      </c>
      <c r="AD24" s="8">
        <f>IFERROR(AC24/AC444, "NA")</f>
        <v>3.2477603570500641E-2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838.6</v>
      </c>
      <c r="C28" s="8">
        <f>IFERROR(B28/B444, "NA")</f>
        <v>8.7820125616500221E-3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838.6</v>
      </c>
      <c r="I28" s="8">
        <f>IFERROR(H28/H444, "NA")</f>
        <v>4.6355079020871964E-2</v>
      </c>
      <c r="J28" s="9"/>
      <c r="K28" s="7">
        <v>0</v>
      </c>
      <c r="L28" s="8">
        <f>IFERROR(K28/K444, "NA")</f>
        <v>0</v>
      </c>
      <c r="M28" s="9"/>
      <c r="N28" s="10">
        <f t="shared" si="5"/>
        <v>838.6</v>
      </c>
      <c r="O28" s="8">
        <f>IFERROR(N28/N444, "NA")</f>
        <v>3.5199635998994297E-2</v>
      </c>
      <c r="P28" s="9"/>
      <c r="Q28" s="7">
        <v>838.6</v>
      </c>
      <c r="R28" s="8">
        <f>IFERROR(Q28/Q444, "NA")</f>
        <v>8.7820125616500221E-3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838.6</v>
      </c>
      <c r="X28" s="8">
        <f>IFERROR(W28/W444, "NA")</f>
        <v>4.6355079020871964E-2</v>
      </c>
      <c r="Y28" s="9"/>
      <c r="Z28" s="7">
        <v>0</v>
      </c>
      <c r="AA28" s="8">
        <f>IFERROR(Z28/Z444, "NA")</f>
        <v>0</v>
      </c>
      <c r="AB28" s="9"/>
      <c r="AC28" s="10">
        <f t="shared" si="7"/>
        <v>838.6</v>
      </c>
      <c r="AD28" s="8">
        <f>IFERROR(AC28/AC444, "NA")</f>
        <v>3.5199635998994297E-2</v>
      </c>
    </row>
    <row r="29" spans="1:30" ht="16.5" customHeight="1" x14ac:dyDescent="0.45">
      <c r="A29" s="13" t="s">
        <v>30</v>
      </c>
      <c r="B29" s="14">
        <f>IFERROR(B21+B22+B23+B24+B25+B26+B27+B28, "NA")</f>
        <v>9672.5300000000007</v>
      </c>
      <c r="C29" s="15">
        <f>IFERROR(B29/B444, "NA")</f>
        <v>0.10129296442038718</v>
      </c>
      <c r="D29" s="2"/>
      <c r="E29" s="14">
        <f>IFERROR(E21+E22+E23+E24+E25+E26+E27+E28, "NA")</f>
        <v>8204.3799999999992</v>
      </c>
      <c r="F29" s="15">
        <f>IFERROR(E29/E444, "NA")</f>
        <v>0.10599994702832109</v>
      </c>
      <c r="G29" s="2"/>
      <c r="H29" s="14">
        <f t="shared" si="4"/>
        <v>1468.1500000000015</v>
      </c>
      <c r="I29" s="15">
        <f>IFERROR(H29/H444, "NA")</f>
        <v>8.1154554334000997E-2</v>
      </c>
      <c r="J29" s="2"/>
      <c r="K29" s="14">
        <f>IFERROR(K21+K22+K23+K24+K25+K26+K27+K28, "NA")</f>
        <v>8763.6299999999992</v>
      </c>
      <c r="L29" s="15">
        <f>IFERROR(K29/K444, "NA")</f>
        <v>0.12228344249400661</v>
      </c>
      <c r="M29" s="2"/>
      <c r="N29" s="14">
        <f t="shared" si="5"/>
        <v>908.90000000000146</v>
      </c>
      <c r="O29" s="15">
        <f>IFERROR(N29/N444, "NA")</f>
        <v>3.8150428284624331E-2</v>
      </c>
      <c r="P29" s="2"/>
      <c r="Q29" s="14">
        <f>IFERROR(Q21+Q22+Q23+Q24+Q25+Q26+Q27+Q28, "NA")</f>
        <v>9672.5300000000007</v>
      </c>
      <c r="R29" s="15">
        <f>IFERROR(Q29/Q444, "NA")</f>
        <v>0.10129296442038718</v>
      </c>
      <c r="S29" s="2"/>
      <c r="T29" s="14">
        <f>IFERROR(T21+T22+T23+T24+T25+T26+T27+T28, "NA")</f>
        <v>8204.3799999999992</v>
      </c>
      <c r="U29" s="15">
        <f>IFERROR(T29/T444, "NA")</f>
        <v>0.10599994702832109</v>
      </c>
      <c r="V29" s="2"/>
      <c r="W29" s="14">
        <f t="shared" si="6"/>
        <v>1468.1500000000015</v>
      </c>
      <c r="X29" s="15">
        <f>IFERROR(W29/W444, "NA")</f>
        <v>8.1154554334000997E-2</v>
      </c>
      <c r="Y29" s="2"/>
      <c r="Z29" s="14">
        <f>IFERROR(Z21+Z22+Z23+Z24+Z25+Z26+Z27+Z28, "NA")</f>
        <v>8763.6299999999992</v>
      </c>
      <c r="AA29" s="15">
        <f>IFERROR(Z29/Z444, "NA")</f>
        <v>0.12228344249400661</v>
      </c>
      <c r="AB29" s="2"/>
      <c r="AC29" s="14">
        <f t="shared" si="7"/>
        <v>908.90000000000146</v>
      </c>
      <c r="AD29" s="15">
        <f>IFERROR(AC29/AC444, "NA")</f>
        <v>3.8150428284624331E-2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14783.37</v>
      </c>
      <c r="F31" s="8">
        <f>IFERROR(E31/E444, "NA")</f>
        <v>0.19099998255810574</v>
      </c>
      <c r="G31" s="9"/>
      <c r="H31" s="10">
        <f t="shared" ref="H31:H40" si="8">IFERROR(B31-E31, "NA")</f>
        <v>-14783.37</v>
      </c>
      <c r="I31" s="8">
        <f>IFERROR(H31/H444, "NA")</f>
        <v>-0.81717658543380389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14783.37</v>
      </c>
      <c r="U31" s="8">
        <f>IFERROR(T31/T444, "NA")</f>
        <v>0.19099998255810574</v>
      </c>
      <c r="V31" s="9"/>
      <c r="W31" s="10">
        <f t="shared" ref="W31:W40" si="10">IFERROR(Q31-T31, "NA")</f>
        <v>-14783.37</v>
      </c>
      <c r="X31" s="8">
        <f>IFERROR(W31/W444, "NA")</f>
        <v>-0.81717658543380389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6554.99</v>
      </c>
      <c r="C33" s="8">
        <f>IFERROR(B33/B444, "NA")</f>
        <v>6.8645366708192546E-2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6554.99</v>
      </c>
      <c r="I33" s="8">
        <f>IFERROR(H33/H444, "NA")</f>
        <v>0.36233851589676308</v>
      </c>
      <c r="J33" s="9"/>
      <c r="K33" s="7">
        <v>4278.47</v>
      </c>
      <c r="L33" s="8">
        <f>IFERROR(K33/K444, "NA")</f>
        <v>5.9699695241279299E-2</v>
      </c>
      <c r="M33" s="9"/>
      <c r="N33" s="10">
        <f t="shared" si="9"/>
        <v>2276.5199999999995</v>
      </c>
      <c r="O33" s="8">
        <f>IFERROR(N33/N444, "NA")</f>
        <v>9.5555300911555535E-2</v>
      </c>
      <c r="P33" s="9"/>
      <c r="Q33" s="7">
        <v>6554.99</v>
      </c>
      <c r="R33" s="8">
        <f>IFERROR(Q33/Q444, "NA")</f>
        <v>6.8645366708192546E-2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6554.99</v>
      </c>
      <c r="X33" s="8">
        <f>IFERROR(W33/W444, "NA")</f>
        <v>0.36233851589676308</v>
      </c>
      <c r="Y33" s="9"/>
      <c r="Z33" s="7">
        <v>4278.47</v>
      </c>
      <c r="AA33" s="8">
        <f>IFERROR(Z33/Z444, "NA")</f>
        <v>5.9699695241279299E-2</v>
      </c>
      <c r="AB33" s="9"/>
      <c r="AC33" s="10">
        <f t="shared" si="11"/>
        <v>2276.5199999999995</v>
      </c>
      <c r="AD33" s="8">
        <f>IFERROR(AC33/AC444, "NA")</f>
        <v>9.5555300911555535E-2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809.79</v>
      </c>
      <c r="C35" s="8">
        <f>IFERROR(B35/B444, "NA")</f>
        <v>8.4803075987342838E-3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809.79</v>
      </c>
      <c r="I35" s="8">
        <f>IFERROR(H35/H444, "NA")</f>
        <v>4.4762555974614718E-2</v>
      </c>
      <c r="J35" s="9"/>
      <c r="K35" s="7">
        <v>0</v>
      </c>
      <c r="L35" s="8">
        <f>IFERROR(K35/K444, "NA")</f>
        <v>0</v>
      </c>
      <c r="M35" s="9"/>
      <c r="N35" s="10">
        <f t="shared" si="9"/>
        <v>809.79</v>
      </c>
      <c r="O35" s="8">
        <f>IFERROR(N35/N444, "NA")</f>
        <v>3.3990356827600272E-2</v>
      </c>
      <c r="P35" s="9"/>
      <c r="Q35" s="7">
        <v>809.79</v>
      </c>
      <c r="R35" s="8">
        <f>IFERROR(Q35/Q444, "NA")</f>
        <v>8.4803075987342838E-3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809.79</v>
      </c>
      <c r="X35" s="8">
        <f>IFERROR(W35/W444, "NA")</f>
        <v>4.4762555974614718E-2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809.79</v>
      </c>
      <c r="AD35" s="8">
        <f>IFERROR(AC35/AC444, "NA")</f>
        <v>3.3990356827600272E-2</v>
      </c>
    </row>
    <row r="36" spans="1:30" ht="16.5" customHeight="1" x14ac:dyDescent="0.45">
      <c r="A36" s="12" t="s">
        <v>36</v>
      </c>
      <c r="B36" s="7">
        <v>8777.9599999999991</v>
      </c>
      <c r="C36" s="8">
        <f>IFERROR(B36/B444, "NA")</f>
        <v>9.1924821113357286E-2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8777.9599999999991</v>
      </c>
      <c r="I36" s="8">
        <f>IFERROR(H36/H444, "NA")</f>
        <v>0.48521706348921206</v>
      </c>
      <c r="J36" s="9"/>
      <c r="K36" s="7">
        <v>7333.76</v>
      </c>
      <c r="L36" s="8">
        <f>IFERROR(K36/K444, "NA")</f>
        <v>0.10233173002795029</v>
      </c>
      <c r="M36" s="9"/>
      <c r="N36" s="10">
        <f t="shared" si="9"/>
        <v>1444.1999999999989</v>
      </c>
      <c r="O36" s="8">
        <f>IFERROR(N36/N444, "NA")</f>
        <v>6.0619263426839404E-2</v>
      </c>
      <c r="P36" s="9"/>
      <c r="Q36" s="7">
        <v>8777.9599999999991</v>
      </c>
      <c r="R36" s="8">
        <f>IFERROR(Q36/Q444, "NA")</f>
        <v>9.1924821113357286E-2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8777.9599999999991</v>
      </c>
      <c r="X36" s="8">
        <f>IFERROR(W36/W444, "NA")</f>
        <v>0.48521706348921206</v>
      </c>
      <c r="Y36" s="9"/>
      <c r="Z36" s="7">
        <v>7333.76</v>
      </c>
      <c r="AA36" s="8">
        <f>IFERROR(Z36/Z444, "NA")</f>
        <v>0.10233173002795029</v>
      </c>
      <c r="AB36" s="9"/>
      <c r="AC36" s="10">
        <f t="shared" si="11"/>
        <v>1444.1999999999989</v>
      </c>
      <c r="AD36" s="8">
        <f>IFERROR(AC36/AC444, "NA")</f>
        <v>6.0619263426839404E-2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919.25</v>
      </c>
      <c r="C39" s="8">
        <f>IFERROR(B39/B444, "NA")</f>
        <v>9.6265979576637042E-3</v>
      </c>
      <c r="D39" s="9"/>
      <c r="E39" s="7">
        <v>0</v>
      </c>
      <c r="F39" s="8">
        <f>IFERROR(E39/E444, "NA")</f>
        <v>0</v>
      </c>
      <c r="G39" s="9"/>
      <c r="H39" s="10">
        <f t="shared" si="8"/>
        <v>919.25</v>
      </c>
      <c r="I39" s="8">
        <f>IFERROR(H39/H444, "NA")</f>
        <v>5.0813148568967986E-2</v>
      </c>
      <c r="J39" s="9"/>
      <c r="K39" s="7">
        <v>636.64</v>
      </c>
      <c r="L39" s="8">
        <f>IFERROR(K39/K444, "NA")</f>
        <v>8.8833657775812501E-3</v>
      </c>
      <c r="M39" s="9"/>
      <c r="N39" s="10">
        <f t="shared" si="9"/>
        <v>282.61</v>
      </c>
      <c r="O39" s="8">
        <f>IFERROR(N39/N444, "NA")</f>
        <v>1.1862352885375361E-2</v>
      </c>
      <c r="P39" s="9"/>
      <c r="Q39" s="7">
        <v>919.25</v>
      </c>
      <c r="R39" s="8">
        <f>IFERROR(Q39/Q444, "NA")</f>
        <v>9.6265979576637042E-3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919.25</v>
      </c>
      <c r="X39" s="8">
        <f>IFERROR(W39/W444, "NA")</f>
        <v>5.0813148568967986E-2</v>
      </c>
      <c r="Y39" s="9"/>
      <c r="Z39" s="7">
        <v>636.64</v>
      </c>
      <c r="AA39" s="8">
        <f>IFERROR(Z39/Z444, "NA")</f>
        <v>8.8833657775812501E-3</v>
      </c>
      <c r="AB39" s="9"/>
      <c r="AC39" s="10">
        <f t="shared" si="11"/>
        <v>282.61</v>
      </c>
      <c r="AD39" s="8">
        <f>IFERROR(AC39/AC444, "NA")</f>
        <v>1.1862352885375361E-2</v>
      </c>
    </row>
    <row r="40" spans="1:30" ht="16.5" customHeight="1" x14ac:dyDescent="0.45">
      <c r="A40" s="13" t="s">
        <v>40</v>
      </c>
      <c r="B40" s="14">
        <f>IFERROR(B31+B32+B33+B34+B35+B36+B37+B38+B39, "NA")</f>
        <v>17061.989999999998</v>
      </c>
      <c r="C40" s="15">
        <f>IFERROR(B40/B444, "NA")</f>
        <v>0.17867709337794782</v>
      </c>
      <c r="D40" s="2"/>
      <c r="E40" s="14">
        <f>IFERROR(E31+E32+E33+E34+E35+E36+E37+E38+E39, "NA")</f>
        <v>14783.37</v>
      </c>
      <c r="F40" s="15">
        <f>IFERROR(E40/E444, "NA")</f>
        <v>0.19099998255810574</v>
      </c>
      <c r="G40" s="2"/>
      <c r="H40" s="14">
        <f t="shared" si="8"/>
        <v>2278.6199999999972</v>
      </c>
      <c r="I40" s="15">
        <f>IFERROR(H40/H444, "NA")</f>
        <v>0.1259546984957538</v>
      </c>
      <c r="J40" s="2"/>
      <c r="K40" s="14">
        <f>IFERROR(K31+K32+K33+K34+K35+K36+K37+K38+K39, "NA")</f>
        <v>12248.869999999999</v>
      </c>
      <c r="L40" s="15">
        <f>IFERROR(K40/K444, "NA")</f>
        <v>0.17091479104681082</v>
      </c>
      <c r="M40" s="2"/>
      <c r="N40" s="14">
        <f t="shared" si="9"/>
        <v>4813.119999999999</v>
      </c>
      <c r="O40" s="15">
        <f>IFERROR(N40/N444, "NA")</f>
        <v>0.20202727405137061</v>
      </c>
      <c r="P40" s="2"/>
      <c r="Q40" s="14">
        <f>IFERROR(Q31+Q32+Q33+Q34+Q35+Q36+Q37+Q38+Q39, "NA")</f>
        <v>17061.989999999998</v>
      </c>
      <c r="R40" s="15">
        <f>IFERROR(Q40/Q444, "NA")</f>
        <v>0.17867709337794782</v>
      </c>
      <c r="S40" s="2"/>
      <c r="T40" s="14">
        <f>IFERROR(T31+T32+T33+T34+T35+T36+T37+T38+T39, "NA")</f>
        <v>14783.37</v>
      </c>
      <c r="U40" s="15">
        <f>IFERROR(T40/T444, "NA")</f>
        <v>0.19099998255810574</v>
      </c>
      <c r="V40" s="2"/>
      <c r="W40" s="14">
        <f t="shared" si="10"/>
        <v>2278.6199999999972</v>
      </c>
      <c r="X40" s="15">
        <f>IFERROR(W40/W444, "NA")</f>
        <v>0.1259546984957538</v>
      </c>
      <c r="Y40" s="2"/>
      <c r="Z40" s="14">
        <f>IFERROR(Z31+Z32+Z33+Z34+Z35+Z36+Z37+Z38+Z39, "NA")</f>
        <v>12248.869999999999</v>
      </c>
      <c r="AA40" s="15">
        <f>IFERROR(Z40/Z444, "NA")</f>
        <v>0.17091479104681082</v>
      </c>
      <c r="AB40" s="2"/>
      <c r="AC40" s="14">
        <f t="shared" si="11"/>
        <v>4813.119999999999</v>
      </c>
      <c r="AD40" s="15">
        <f>IFERROR(AC40/AC444, "NA")</f>
        <v>0.20202727405137061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2626.25</v>
      </c>
      <c r="C43" s="8">
        <f>IFERROR(B43/B444, "NA")</f>
        <v>2.7502695552150451E-2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2626.25</v>
      </c>
      <c r="I43" s="8">
        <f>IFERROR(H43/H444, "NA")</f>
        <v>0.14517055363530287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2626.25</v>
      </c>
      <c r="O43" s="8">
        <f>IFERROR(N43/N444, "NA")</f>
        <v>0.11023496785399328</v>
      </c>
      <c r="P43" s="9"/>
      <c r="Q43" s="7">
        <v>2626.25</v>
      </c>
      <c r="R43" s="8">
        <f>IFERROR(Q43/Q444, "NA")</f>
        <v>2.7502695552150451E-2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2626.25</v>
      </c>
      <c r="X43" s="8">
        <f>IFERROR(W43/W444, "NA")</f>
        <v>0.14517055363530287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2626.25</v>
      </c>
      <c r="AD43" s="8">
        <f>IFERROR(AC43/AC444, "NA")</f>
        <v>0.11023496785399328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15247.77</v>
      </c>
      <c r="F46" s="8">
        <f>IFERROR(E46/E444, "NA")</f>
        <v>0.19699999418603523</v>
      </c>
      <c r="G46" s="9"/>
      <c r="H46" s="10">
        <f t="shared" ref="H46:H62" si="12">IFERROR(B46-E46, "NA")</f>
        <v>-15247.77</v>
      </c>
      <c r="I46" s="8">
        <f>IFERROR(H46/H444, "NA")</f>
        <v>-0.84284710617944303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15247.77</v>
      </c>
      <c r="U46" s="8">
        <f>IFERROR(T46/T444, "NA")</f>
        <v>0.19699999418603523</v>
      </c>
      <c r="V46" s="9"/>
      <c r="W46" s="10">
        <f t="shared" ref="W46:W62" si="14">IFERROR(Q46-T46, "NA")</f>
        <v>-15247.77</v>
      </c>
      <c r="X46" s="8">
        <f>IFERROR(W46/W444, "NA")</f>
        <v>-0.84284710617944303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17293.09</v>
      </c>
      <c r="C48" s="8">
        <f>IFERROR(B48/B444, "NA")</f>
        <v>0.1810972258642313</v>
      </c>
      <c r="D48" s="9"/>
      <c r="E48" s="7">
        <v>0</v>
      </c>
      <c r="F48" s="8">
        <f>IFERROR(E48/E444, "NA")</f>
        <v>0</v>
      </c>
      <c r="G48" s="9"/>
      <c r="H48" s="10">
        <f t="shared" si="12"/>
        <v>17293.09</v>
      </c>
      <c r="I48" s="8">
        <f>IFERROR(H48/H444, "NA")</f>
        <v>0.95590573988200656</v>
      </c>
      <c r="J48" s="9"/>
      <c r="K48" s="7">
        <v>8573.57</v>
      </c>
      <c r="L48" s="8">
        <f>IFERROR(K48/K444, "NA")</f>
        <v>0.11963143743669465</v>
      </c>
      <c r="M48" s="9"/>
      <c r="N48" s="10">
        <f t="shared" si="13"/>
        <v>8719.52</v>
      </c>
      <c r="O48" s="8">
        <f>IFERROR(N48/N444, "NA")</f>
        <v>0.36599562376097156</v>
      </c>
      <c r="P48" s="9"/>
      <c r="Q48" s="7">
        <v>17293.09</v>
      </c>
      <c r="R48" s="8">
        <f>IFERROR(Q48/Q444, "NA")</f>
        <v>0.1810972258642313</v>
      </c>
      <c r="S48" s="9"/>
      <c r="T48" s="7">
        <v>0</v>
      </c>
      <c r="U48" s="8">
        <f>IFERROR(T48/T444, "NA")</f>
        <v>0</v>
      </c>
      <c r="V48" s="9"/>
      <c r="W48" s="10">
        <f t="shared" si="14"/>
        <v>17293.09</v>
      </c>
      <c r="X48" s="8">
        <f>IFERROR(W48/W444, "NA")</f>
        <v>0.95590573988200656</v>
      </c>
      <c r="Y48" s="9"/>
      <c r="Z48" s="7">
        <v>8573.57</v>
      </c>
      <c r="AA48" s="8">
        <f>IFERROR(Z48/Z444, "NA")</f>
        <v>0.11963143743669465</v>
      </c>
      <c r="AB48" s="9"/>
      <c r="AC48" s="10">
        <f t="shared" si="15"/>
        <v>8719.52</v>
      </c>
      <c r="AD48" s="8">
        <f>IFERROR(AC48/AC444, "NA")</f>
        <v>0.36599562376097156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17293.09</v>
      </c>
      <c r="C61" s="15">
        <f>IFERROR(B61/B444, "NA")</f>
        <v>0.1810972258642313</v>
      </c>
      <c r="D61" s="2"/>
      <c r="E61" s="14">
        <f>IFERROR(E46+E47+E48+E49+E50+E51+E52+E53+E54+E55+E56+E57+E58+E59+E60, "NA")</f>
        <v>15247.77</v>
      </c>
      <c r="F61" s="15">
        <f>IFERROR(E61/E444, "NA")</f>
        <v>0.19699999418603523</v>
      </c>
      <c r="G61" s="2"/>
      <c r="H61" s="14">
        <f t="shared" si="12"/>
        <v>2045.3199999999997</v>
      </c>
      <c r="I61" s="15">
        <f>IFERROR(H61/H444, "NA")</f>
        <v>0.1130586337025636</v>
      </c>
      <c r="J61" s="2"/>
      <c r="K61" s="14">
        <f>IFERROR(K46+K47+K48+K49+K50+K51+K52+K53+K54+K55+K56+K57+K58+K59+K60, "NA")</f>
        <v>8573.57</v>
      </c>
      <c r="L61" s="15">
        <f>IFERROR(K61/K444, "NA")</f>
        <v>0.11963143743669465</v>
      </c>
      <c r="M61" s="2"/>
      <c r="N61" s="14">
        <f t="shared" si="13"/>
        <v>8719.52</v>
      </c>
      <c r="O61" s="15">
        <f>IFERROR(N61/N444, "NA")</f>
        <v>0.36599562376097156</v>
      </c>
      <c r="P61" s="2"/>
      <c r="Q61" s="14">
        <f>IFERROR(Q46+Q47+Q48+Q49+Q50+Q51+Q52+Q53+Q54+Q55+Q56+Q57+Q58+Q59+Q60, "NA")</f>
        <v>17293.09</v>
      </c>
      <c r="R61" s="15">
        <f>IFERROR(Q61/Q444, "NA")</f>
        <v>0.1810972258642313</v>
      </c>
      <c r="S61" s="2"/>
      <c r="T61" s="14">
        <f>IFERROR(T46+T47+T48+T49+T50+T51+T52+T53+T54+T55+T56+T57+T58+T59+T60, "NA")</f>
        <v>15247.77</v>
      </c>
      <c r="U61" s="15">
        <f>IFERROR(T61/T444, "NA")</f>
        <v>0.19699999418603523</v>
      </c>
      <c r="V61" s="2"/>
      <c r="W61" s="14">
        <f t="shared" si="14"/>
        <v>2045.3199999999997</v>
      </c>
      <c r="X61" s="15">
        <f>IFERROR(W61/W444, "NA")</f>
        <v>0.1130586337025636</v>
      </c>
      <c r="Y61" s="2"/>
      <c r="Z61" s="14">
        <f>IFERROR(Z46+Z47+Z48+Z49+Z50+Z51+Z52+Z53+Z54+Z55+Z56+Z57+Z58+Z59+Z60, "NA")</f>
        <v>8573.57</v>
      </c>
      <c r="AA61" s="15">
        <f>IFERROR(Z61/Z444, "NA")</f>
        <v>0.11963143743669465</v>
      </c>
      <c r="AB61" s="2"/>
      <c r="AC61" s="14">
        <f t="shared" si="15"/>
        <v>8719.52</v>
      </c>
      <c r="AD61" s="15">
        <f>IFERROR(AC61/AC444, "NA")</f>
        <v>0.36599562376097156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19919.34</v>
      </c>
      <c r="C62" s="15">
        <f>IFERROR(B62/B444, "NA")</f>
        <v>0.20859992141638176</v>
      </c>
      <c r="D62" s="2"/>
      <c r="E62" s="14">
        <f>IFERROR(E42+E43+E44+E46+E47+E48+E49+E50+E51+E52+E53+E54+E55+E56+E57+E58+E59+E60, "NA")</f>
        <v>15247.77</v>
      </c>
      <c r="F62" s="15">
        <f>IFERROR(E62/E444, "NA")</f>
        <v>0.19699999418603523</v>
      </c>
      <c r="G62" s="2"/>
      <c r="H62" s="14">
        <f t="shared" si="12"/>
        <v>4671.57</v>
      </c>
      <c r="I62" s="15">
        <f>IFERROR(H62/H444, "NA")</f>
        <v>0.25822918733786648</v>
      </c>
      <c r="J62" s="2"/>
      <c r="K62" s="14">
        <f>IFERROR(K42+K43+K44+K46+K47+K48+K49+K50+K51+K52+K53+K54+K55+K56+K57+K58+K59+K60, "NA")</f>
        <v>8573.57</v>
      </c>
      <c r="L62" s="15">
        <f>IFERROR(K62/K444, "NA")</f>
        <v>0.11963143743669465</v>
      </c>
      <c r="M62" s="2"/>
      <c r="N62" s="14">
        <f t="shared" si="13"/>
        <v>11345.77</v>
      </c>
      <c r="O62" s="15">
        <f>IFERROR(N62/N444, "NA")</f>
        <v>0.47623059161496484</v>
      </c>
      <c r="P62" s="2"/>
      <c r="Q62" s="14">
        <f>IFERROR(Q42+Q43+Q44+Q46+Q47+Q48+Q49+Q50+Q51+Q52+Q53+Q54+Q55+Q56+Q57+Q58+Q59+Q60, "NA")</f>
        <v>19919.34</v>
      </c>
      <c r="R62" s="15">
        <f>IFERROR(Q62/Q444, "NA")</f>
        <v>0.20859992141638176</v>
      </c>
      <c r="S62" s="2"/>
      <c r="T62" s="14">
        <f>IFERROR(T42+T43+T44+T46+T47+T48+T49+T50+T51+T52+T53+T54+T55+T56+T57+T58+T59+T60, "NA")</f>
        <v>15247.77</v>
      </c>
      <c r="U62" s="15">
        <f>IFERROR(T62/T444, "NA")</f>
        <v>0.19699999418603523</v>
      </c>
      <c r="V62" s="2"/>
      <c r="W62" s="14">
        <f t="shared" si="14"/>
        <v>4671.57</v>
      </c>
      <c r="X62" s="15">
        <f>IFERROR(W62/W444, "NA")</f>
        <v>0.25822918733786648</v>
      </c>
      <c r="Y62" s="2"/>
      <c r="Z62" s="14">
        <f>IFERROR(Z42+Z43+Z44+Z46+Z47+Z48+Z49+Z50+Z51+Z52+Z53+Z54+Z55+Z56+Z57+Z58+Z59+Z60, "NA")</f>
        <v>8573.57</v>
      </c>
      <c r="AA62" s="15">
        <f>IFERROR(Z62/Z444, "NA")</f>
        <v>0.11963143743669465</v>
      </c>
      <c r="AB62" s="2"/>
      <c r="AC62" s="14">
        <f t="shared" si="15"/>
        <v>11345.77</v>
      </c>
      <c r="AD62" s="15">
        <f>IFERROR(AC62/AC444, "NA")</f>
        <v>0.47623059161496484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hidden="1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0</v>
      </c>
      <c r="R65" s="8">
        <f>IFERROR(Q65/Q444, "NA")</f>
        <v>0</v>
      </c>
      <c r="S65" s="9"/>
      <c r="T65" s="7">
        <v>0</v>
      </c>
      <c r="U65" s="8">
        <f>IFERROR(T65/T444, "NA")</f>
        <v>0</v>
      </c>
      <c r="V65" s="9"/>
      <c r="W65" s="10">
        <f t="shared" si="18"/>
        <v>0</v>
      </c>
      <c r="X65" s="8">
        <f>IFERROR(W65/W444, "NA")</f>
        <v>0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0</v>
      </c>
      <c r="AD65" s="8">
        <f>IFERROR(AC65/AC444, "NA")</f>
        <v>0</v>
      </c>
    </row>
    <row r="66" spans="1:30" ht="16.5" customHeight="1" x14ac:dyDescent="0.45">
      <c r="A66" s="12" t="s">
        <v>63</v>
      </c>
      <c r="B66" s="7">
        <v>5885.22</v>
      </c>
      <c r="C66" s="8">
        <f>IFERROR(B66/B444, "NA")</f>
        <v>6.1631380834812712E-2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5885.22</v>
      </c>
      <c r="I66" s="8">
        <f>IFERROR(H66/H444, "NA")</f>
        <v>0.32531580986789421</v>
      </c>
      <c r="J66" s="9"/>
      <c r="K66" s="7">
        <v>0</v>
      </c>
      <c r="L66" s="8">
        <f>IFERROR(K66/K444, "NA")</f>
        <v>0</v>
      </c>
      <c r="M66" s="9"/>
      <c r="N66" s="10">
        <f t="shared" si="17"/>
        <v>5885.22</v>
      </c>
      <c r="O66" s="8">
        <f>IFERROR(N66/N444, "NA")</f>
        <v>0.24702790576437064</v>
      </c>
      <c r="P66" s="9"/>
      <c r="Q66" s="7">
        <v>5885.22</v>
      </c>
      <c r="R66" s="8">
        <f>IFERROR(Q66/Q444, "NA")</f>
        <v>6.1631380834812712E-2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5885.22</v>
      </c>
      <c r="X66" s="8">
        <f>IFERROR(W66/W444, "NA")</f>
        <v>0.32531580986789421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5885.22</v>
      </c>
      <c r="AD66" s="8">
        <f>IFERROR(AC66/AC444, "NA")</f>
        <v>0.24702790576437064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5885.22</v>
      </c>
      <c r="C73" s="15">
        <f>IFERROR(B73/B444, "NA")</f>
        <v>6.1631380834812712E-2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5885.22</v>
      </c>
      <c r="I73" s="15">
        <f>IFERROR(H73/H444, "NA")</f>
        <v>0.32531580986789421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5885.22</v>
      </c>
      <c r="O73" s="15">
        <f>IFERROR(N73/N444, "NA")</f>
        <v>0.24702790576437064</v>
      </c>
      <c r="P73" s="2"/>
      <c r="Q73" s="14">
        <f>IFERROR(Q64+Q65+Q66+Q67+Q68+Q69+Q70+Q71+Q72, "NA")</f>
        <v>5885.22</v>
      </c>
      <c r="R73" s="15">
        <f>IFERROR(Q73/Q444, "NA")</f>
        <v>6.1631380834812712E-2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5885.22</v>
      </c>
      <c r="X73" s="15">
        <f>IFERROR(W73/W444, "NA")</f>
        <v>0.32531580986789421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5885.22</v>
      </c>
      <c r="AD73" s="15">
        <f>IFERROR(AC73/AC444, "NA")</f>
        <v>0.24702790576437064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1161</v>
      </c>
      <c r="F75" s="8">
        <f>IFERROR(E75/E444, "NA")</f>
        <v>1.5000029069823777E-2</v>
      </c>
      <c r="G75" s="9"/>
      <c r="H75" s="10">
        <f t="shared" ref="H75:H92" si="20">IFERROR(B75-E75, "NA")</f>
        <v>-1161</v>
      </c>
      <c r="I75" s="8">
        <f>IFERROR(H75/H444, "NA")</f>
        <v>-6.4176301864097715E-2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1161</v>
      </c>
      <c r="U75" s="8">
        <f>IFERROR(T75/T444, "NA")</f>
        <v>1.5000029069823777E-2</v>
      </c>
      <c r="V75" s="9"/>
      <c r="W75" s="10">
        <f t="shared" ref="W75:W92" si="22">IFERROR(Q75-T75, "NA")</f>
        <v>-1161</v>
      </c>
      <c r="X75" s="8">
        <f>IFERROR(W75/W444, "NA")</f>
        <v>-6.4176301864097715E-2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141.74</v>
      </c>
      <c r="C77" s="8">
        <f>IFERROR(B77/B444, "NA")</f>
        <v>1.4843339619464275E-3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141.74</v>
      </c>
      <c r="I77" s="8">
        <f>IFERROR(H77/H444, "NA")</f>
        <v>7.834925948507503E-3</v>
      </c>
      <c r="J77" s="9"/>
      <c r="K77" s="7">
        <v>50.83</v>
      </c>
      <c r="L77" s="8">
        <f>IFERROR(K77/K444, "NA")</f>
        <v>7.0925716649041046E-4</v>
      </c>
      <c r="M77" s="9"/>
      <c r="N77" s="10">
        <f t="shared" si="21"/>
        <v>90.910000000000011</v>
      </c>
      <c r="O77" s="8">
        <f>IFERROR(N77/N444, "NA")</f>
        <v>3.8158823141766895E-3</v>
      </c>
      <c r="P77" s="9"/>
      <c r="Q77" s="7">
        <v>141.74</v>
      </c>
      <c r="R77" s="8">
        <f>IFERROR(Q77/Q444, "NA")</f>
        <v>1.4843339619464275E-3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141.74</v>
      </c>
      <c r="X77" s="8">
        <f>IFERROR(W77/W444, "NA")</f>
        <v>7.834925948507503E-3</v>
      </c>
      <c r="Y77" s="9"/>
      <c r="Z77" s="7">
        <v>50.83</v>
      </c>
      <c r="AA77" s="8">
        <f>IFERROR(Z77/Z444, "NA")</f>
        <v>7.0925716649041046E-4</v>
      </c>
      <c r="AB77" s="9"/>
      <c r="AC77" s="10">
        <f t="shared" si="23"/>
        <v>90.910000000000011</v>
      </c>
      <c r="AD77" s="8">
        <f>IFERROR(AC77/AC444, "NA")</f>
        <v>3.8158823141766895E-3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11.96</v>
      </c>
      <c r="L79" s="8">
        <f>IFERROR(K79/K444, "NA")</f>
        <v>1.6688403917421426E-4</v>
      </c>
      <c r="M79" s="9"/>
      <c r="N79" s="10">
        <f t="shared" si="21"/>
        <v>-11.96</v>
      </c>
      <c r="O79" s="8">
        <f>IFERROR(N79/N444, "NA")</f>
        <v>-5.02012457128514E-4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11.96</v>
      </c>
      <c r="AA79" s="8">
        <f>IFERROR(Z79/Z444, "NA")</f>
        <v>1.6688403917421426E-4</v>
      </c>
      <c r="AB79" s="9"/>
      <c r="AC79" s="10">
        <f t="shared" si="23"/>
        <v>-11.96</v>
      </c>
      <c r="AD79" s="8">
        <f>IFERROR(AC79/AC444, "NA")</f>
        <v>-5.02012457128514E-4</v>
      </c>
    </row>
    <row r="80" spans="1:30" ht="16.5" customHeight="1" x14ac:dyDescent="0.45">
      <c r="A80" s="12" t="s">
        <v>76</v>
      </c>
      <c r="B80" s="7">
        <v>1584.77</v>
      </c>
      <c r="C80" s="8">
        <f>IFERROR(B80/B444, "NA")</f>
        <v>1.659607685109242E-2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1584.77</v>
      </c>
      <c r="I80" s="8">
        <f>IFERROR(H80/H444, "NA")</f>
        <v>8.7600928428222341E-2</v>
      </c>
      <c r="J80" s="9"/>
      <c r="K80" s="7">
        <v>630</v>
      </c>
      <c r="L80" s="8">
        <f>IFERROR(K80/K444, "NA")</f>
        <v>8.7907144381066029E-3</v>
      </c>
      <c r="M80" s="9"/>
      <c r="N80" s="10">
        <f t="shared" si="21"/>
        <v>954.77</v>
      </c>
      <c r="O80" s="8">
        <f>IFERROR(N80/N444, "NA")</f>
        <v>4.0075788770283546E-2</v>
      </c>
      <c r="P80" s="9"/>
      <c r="Q80" s="7">
        <v>1584.77</v>
      </c>
      <c r="R80" s="8">
        <f>IFERROR(Q80/Q444, "NA")</f>
        <v>1.659607685109242E-2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1584.77</v>
      </c>
      <c r="X80" s="8">
        <f>IFERROR(W80/W444, "NA")</f>
        <v>8.7600928428222341E-2</v>
      </c>
      <c r="Y80" s="9"/>
      <c r="Z80" s="7">
        <v>630</v>
      </c>
      <c r="AA80" s="8">
        <f>IFERROR(Z80/Z444, "NA")</f>
        <v>8.7907144381066029E-3</v>
      </c>
      <c r="AB80" s="9"/>
      <c r="AC80" s="10">
        <f t="shared" si="23"/>
        <v>954.77</v>
      </c>
      <c r="AD80" s="8">
        <f>IFERROR(AC80/AC444, "NA")</f>
        <v>4.0075788770283546E-2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1726.51</v>
      </c>
      <c r="C88" s="15">
        <f>IFERROR(B88/B444, "NA")</f>
        <v>1.808041081303885E-2</v>
      </c>
      <c r="D88" s="2"/>
      <c r="E88" s="14">
        <f>IFERROR(E75+E76+E77+E78+E79+E80+E81+E82+E83+E84+E85+E86+E87, "NA")</f>
        <v>1161</v>
      </c>
      <c r="F88" s="15">
        <f>IFERROR(E88/E444, "NA")</f>
        <v>1.5000029069823777E-2</v>
      </c>
      <c r="G88" s="2"/>
      <c r="H88" s="14">
        <f t="shared" si="20"/>
        <v>565.51</v>
      </c>
      <c r="I88" s="15">
        <f>IFERROR(H88/H444, "NA")</f>
        <v>3.1259552512632127E-2</v>
      </c>
      <c r="J88" s="2"/>
      <c r="K88" s="14">
        <f>IFERROR(K75+K76+K77+K78+K79+K80+K81+K82+K83+K84+K85+K86+K87, "NA")</f>
        <v>692.79</v>
      </c>
      <c r="L88" s="15">
        <f>IFERROR(K88/K444, "NA")</f>
        <v>9.6668556437712275E-3</v>
      </c>
      <c r="M88" s="2"/>
      <c r="N88" s="14">
        <f t="shared" si="21"/>
        <v>1033.72</v>
      </c>
      <c r="O88" s="15">
        <f>IFERROR(N88/N444, "NA")</f>
        <v>4.3389658627331726E-2</v>
      </c>
      <c r="P88" s="2"/>
      <c r="Q88" s="14">
        <f>IFERROR(Q75+Q76+Q77+Q78+Q79+Q80+Q81+Q82+Q83+Q84+Q85+Q86+Q87, "NA")</f>
        <v>1726.51</v>
      </c>
      <c r="R88" s="15">
        <f>IFERROR(Q88/Q444, "NA")</f>
        <v>1.808041081303885E-2</v>
      </c>
      <c r="S88" s="2"/>
      <c r="T88" s="14">
        <f>IFERROR(T75+T76+T77+T78+T79+T80+T81+T82+T83+T84+T85+T86+T87, "NA")</f>
        <v>1161</v>
      </c>
      <c r="U88" s="15">
        <f>IFERROR(T88/T444, "NA")</f>
        <v>1.5000029069823777E-2</v>
      </c>
      <c r="V88" s="2"/>
      <c r="W88" s="14">
        <f t="shared" si="22"/>
        <v>565.51</v>
      </c>
      <c r="X88" s="15">
        <f>IFERROR(W88/W444, "NA")</f>
        <v>3.1259552512632127E-2</v>
      </c>
      <c r="Y88" s="2"/>
      <c r="Z88" s="14">
        <f>IFERROR(Z75+Z76+Z77+Z78+Z79+Z80+Z81+Z82+Z83+Z84+Z85+Z86+Z87, "NA")</f>
        <v>692.79</v>
      </c>
      <c r="AA88" s="15">
        <f>IFERROR(Z88/Z444, "NA")</f>
        <v>9.6668556437712275E-3</v>
      </c>
      <c r="AB88" s="2"/>
      <c r="AC88" s="14">
        <f t="shared" si="23"/>
        <v>1033.72</v>
      </c>
      <c r="AD88" s="15">
        <f>IFERROR(AC88/AC444, "NA")</f>
        <v>4.3389658627331726E-2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-401.12</v>
      </c>
      <c r="L89" s="8">
        <f>IFERROR(K89/K444, "NA")</f>
        <v>-5.5970339292274931E-3</v>
      </c>
      <c r="M89" s="9"/>
      <c r="N89" s="10">
        <f t="shared" si="21"/>
        <v>401.12</v>
      </c>
      <c r="O89" s="8">
        <f>IFERROR(N89/N444, "NA")</f>
        <v>1.6836725485233236E-2</v>
      </c>
      <c r="P89" s="9"/>
      <c r="Q89" s="7">
        <v>0</v>
      </c>
      <c r="R89" s="8">
        <f>IFERROR(Q89/Q444, "NA")</f>
        <v>0</v>
      </c>
      <c r="S89" s="9"/>
      <c r="T89" s="7">
        <v>0</v>
      </c>
      <c r="U89" s="8">
        <f>IFERROR(T89/T444, "NA")</f>
        <v>0</v>
      </c>
      <c r="V89" s="9"/>
      <c r="W89" s="10">
        <f t="shared" si="22"/>
        <v>0</v>
      </c>
      <c r="X89" s="8">
        <f>IFERROR(W89/W444, "NA")</f>
        <v>0</v>
      </c>
      <c r="Y89" s="9"/>
      <c r="Z89" s="7">
        <v>-401.12</v>
      </c>
      <c r="AA89" s="8">
        <f>IFERROR(Z89/Z444, "NA")</f>
        <v>-5.5970339292274931E-3</v>
      </c>
      <c r="AB89" s="9"/>
      <c r="AC89" s="10">
        <f t="shared" si="23"/>
        <v>401.12</v>
      </c>
      <c r="AD89" s="8">
        <f>IFERROR(AC89/AC444, "NA")</f>
        <v>1.6836725485233236E-2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-3328.19</v>
      </c>
      <c r="F94" s="8">
        <f>IFERROR(E94/E444, "NA")</f>
        <v>-4.2999954134278033E-2</v>
      </c>
      <c r="G94" s="9"/>
      <c r="H94" s="10">
        <f t="shared" ref="H94:H124" si="24">IFERROR(B94-E94, "NA")</f>
        <v>3328.19</v>
      </c>
      <c r="I94" s="8">
        <f>IFERROR(H94/H444, "NA")</f>
        <v>0.18397151257628888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-3328.19</v>
      </c>
      <c r="U94" s="8">
        <f>IFERROR(T94/T444, "NA")</f>
        <v>-4.2999954134278033E-2</v>
      </c>
      <c r="V94" s="9"/>
      <c r="W94" s="10">
        <f t="shared" ref="W94:W124" si="26">IFERROR(Q94-T94, "NA")</f>
        <v>3328.19</v>
      </c>
      <c r="X94" s="8">
        <f>IFERROR(W94/W444, "NA")</f>
        <v>0.18397151257628888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-1493.15</v>
      </c>
      <c r="C96" s="8">
        <f>IFERROR(B96/B444, "NA")</f>
        <v>-1.5636611085651956E-2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-1493.15</v>
      </c>
      <c r="I96" s="8">
        <f>IFERROR(H96/H444, "NA")</f>
        <v>-8.2536472978792005E-2</v>
      </c>
      <c r="J96" s="9"/>
      <c r="K96" s="7">
        <v>-1105.93</v>
      </c>
      <c r="L96" s="8">
        <f>IFERROR(K96/K444, "NA")</f>
        <v>-1.5431610823071804E-2</v>
      </c>
      <c r="M96" s="9"/>
      <c r="N96" s="10">
        <f t="shared" si="25"/>
        <v>-387.22</v>
      </c>
      <c r="O96" s="8">
        <f>IFERROR(N96/N444, "NA")</f>
        <v>-1.6253282913821335E-2</v>
      </c>
      <c r="P96" s="9"/>
      <c r="Q96" s="7">
        <v>-1493.15</v>
      </c>
      <c r="R96" s="8">
        <f>IFERROR(Q96/Q444, "NA")</f>
        <v>-1.5636611085651956E-2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-1493.15</v>
      </c>
      <c r="X96" s="8">
        <f>IFERROR(W96/W444, "NA")</f>
        <v>-8.2536472978792005E-2</v>
      </c>
      <c r="Y96" s="9"/>
      <c r="Z96" s="7">
        <v>-1105.93</v>
      </c>
      <c r="AA96" s="8">
        <f>IFERROR(Z96/Z444, "NA")</f>
        <v>-1.5431610823071804E-2</v>
      </c>
      <c r="AB96" s="9"/>
      <c r="AC96" s="10">
        <f t="shared" si="27"/>
        <v>-387.22</v>
      </c>
      <c r="AD96" s="8">
        <f>IFERROR(AC96/AC444, "NA")</f>
        <v>-1.6253282913821335E-2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-2036.77</v>
      </c>
      <c r="C98" s="8">
        <f>IFERROR(B98/B444, "NA")</f>
        <v>-2.132952507177667E-2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-2036.77</v>
      </c>
      <c r="I98" s="8">
        <f>IFERROR(H98/H444, "NA")</f>
        <v>-0.11258601752604507</v>
      </c>
      <c r="J98" s="9"/>
      <c r="K98" s="7">
        <v>-1996.79</v>
      </c>
      <c r="L98" s="8">
        <f>IFERROR(K98/K444, "NA")</f>
        <v>-2.7862239179153783E-2</v>
      </c>
      <c r="M98" s="9"/>
      <c r="N98" s="10">
        <f t="shared" si="25"/>
        <v>-39.980000000000018</v>
      </c>
      <c r="O98" s="8">
        <f>IFERROR(N98/N444, "NA")</f>
        <v>-1.6781319428091971E-3</v>
      </c>
      <c r="P98" s="9"/>
      <c r="Q98" s="7">
        <v>-2036.77</v>
      </c>
      <c r="R98" s="8">
        <f>IFERROR(Q98/Q444, "NA")</f>
        <v>-2.132952507177667E-2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-2036.77</v>
      </c>
      <c r="X98" s="8">
        <f>IFERROR(W98/W444, "NA")</f>
        <v>-0.11258601752604507</v>
      </c>
      <c r="Y98" s="9"/>
      <c r="Z98" s="7">
        <v>-1996.79</v>
      </c>
      <c r="AA98" s="8">
        <f>IFERROR(Z98/Z444, "NA")</f>
        <v>-2.7862239179153783E-2</v>
      </c>
      <c r="AB98" s="9"/>
      <c r="AC98" s="10">
        <f t="shared" si="27"/>
        <v>-39.980000000000018</v>
      </c>
      <c r="AD98" s="8">
        <f>IFERROR(AC98/AC444, "NA")</f>
        <v>-1.6781319428091971E-3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-361.33</v>
      </c>
      <c r="C100" s="8">
        <f>IFERROR(B100/B444, "NA")</f>
        <v>-3.7839310742916791E-3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-361.33</v>
      </c>
      <c r="I100" s="8">
        <f>IFERROR(H100/H444, "NA")</f>
        <v>-1.9973146556894427E-2</v>
      </c>
      <c r="J100" s="9"/>
      <c r="K100" s="7">
        <v>-82.44</v>
      </c>
      <c r="L100" s="8">
        <f>IFERROR(K100/K444, "NA")</f>
        <v>-1.150327775043664E-3</v>
      </c>
      <c r="M100" s="9"/>
      <c r="N100" s="10">
        <f t="shared" si="25"/>
        <v>-278.89</v>
      </c>
      <c r="O100" s="8">
        <f>IFERROR(N100/N444, "NA")</f>
        <v>-1.1706208542522679E-2</v>
      </c>
      <c r="P100" s="9"/>
      <c r="Q100" s="7">
        <v>-361.33</v>
      </c>
      <c r="R100" s="8">
        <f>IFERROR(Q100/Q444, "NA")</f>
        <v>-3.7839310742916791E-3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-361.33</v>
      </c>
      <c r="X100" s="8">
        <f>IFERROR(W100/W444, "NA")</f>
        <v>-1.9973146556894427E-2</v>
      </c>
      <c r="Y100" s="9"/>
      <c r="Z100" s="7">
        <v>-82.44</v>
      </c>
      <c r="AA100" s="8">
        <f>IFERROR(Z100/Z444, "NA")</f>
        <v>-1.150327775043664E-3</v>
      </c>
      <c r="AB100" s="9"/>
      <c r="AC100" s="10">
        <f t="shared" si="27"/>
        <v>-278.89</v>
      </c>
      <c r="AD100" s="8">
        <f>IFERROR(AC100/AC444, "NA")</f>
        <v>-1.1706208542522679E-2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-223.62</v>
      </c>
      <c r="C102" s="8">
        <f>IFERROR(B102/B444, "NA")</f>
        <v>-2.3418002015694944E-3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-223.62</v>
      </c>
      <c r="I102" s="8">
        <f>IFERROR(H102/H444, "NA")</f>
        <v>-1.2360985893927246E-2</v>
      </c>
      <c r="J102" s="9"/>
      <c r="K102" s="7">
        <v>-814.15</v>
      </c>
      <c r="L102" s="8">
        <f>IFERROR(K102/K444, "NA")</f>
        <v>-1.1360254221880145E-2</v>
      </c>
      <c r="M102" s="9"/>
      <c r="N102" s="10">
        <f t="shared" si="25"/>
        <v>590.53</v>
      </c>
      <c r="O102" s="8">
        <f>IFERROR(N102/N444, "NA")</f>
        <v>2.4787074942148938E-2</v>
      </c>
      <c r="P102" s="9"/>
      <c r="Q102" s="7">
        <v>-223.62</v>
      </c>
      <c r="R102" s="8">
        <f>IFERROR(Q102/Q444, "NA")</f>
        <v>-2.3418002015694944E-3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-223.62</v>
      </c>
      <c r="X102" s="8">
        <f>IFERROR(W102/W444, "NA")</f>
        <v>-1.2360985893927246E-2</v>
      </c>
      <c r="Y102" s="9"/>
      <c r="Z102" s="7">
        <v>-814.15</v>
      </c>
      <c r="AA102" s="8">
        <f>IFERROR(Z102/Z444, "NA")</f>
        <v>-1.1360254221880145E-2</v>
      </c>
      <c r="AB102" s="9"/>
      <c r="AC102" s="10">
        <f t="shared" si="27"/>
        <v>590.53</v>
      </c>
      <c r="AD102" s="8">
        <f>IFERROR(AC102/AC444, "NA")</f>
        <v>2.4787074942148938E-2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-571.73</v>
      </c>
      <c r="C104" s="8">
        <f>IFERROR(B104/B444, "NA")</f>
        <v>-5.9872883876367364E-3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-571.73</v>
      </c>
      <c r="I104" s="8">
        <f>IFERROR(H104/H444, "NA")</f>
        <v>-3.1603373871456154E-2</v>
      </c>
      <c r="J104" s="9"/>
      <c r="K104" s="7">
        <v>-599.79</v>
      </c>
      <c r="L104" s="8">
        <f>IFERROR(K104/K444, "NA")</f>
        <v>-8.3691787505269198E-3</v>
      </c>
      <c r="M104" s="9"/>
      <c r="N104" s="10">
        <f t="shared" si="25"/>
        <v>28.059999999999945</v>
      </c>
      <c r="O104" s="8">
        <f>IFERROR(N104/N444, "NA")</f>
        <v>1.1777984571092034E-3</v>
      </c>
      <c r="P104" s="9"/>
      <c r="Q104" s="7">
        <v>-571.73</v>
      </c>
      <c r="R104" s="8">
        <f>IFERROR(Q104/Q444, "NA")</f>
        <v>-5.9872883876367364E-3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-571.73</v>
      </c>
      <c r="X104" s="8">
        <f>IFERROR(W104/W444, "NA")</f>
        <v>-3.1603373871456154E-2</v>
      </c>
      <c r="Y104" s="9"/>
      <c r="Z104" s="7">
        <v>-599.79</v>
      </c>
      <c r="AA104" s="8">
        <f>IFERROR(Z104/Z444, "NA")</f>
        <v>-8.3691787505269198E-3</v>
      </c>
      <c r="AB104" s="9"/>
      <c r="AC104" s="10">
        <f t="shared" si="27"/>
        <v>28.059999999999945</v>
      </c>
      <c r="AD104" s="8">
        <f>IFERROR(AC104/AC444, "NA")</f>
        <v>1.1777984571092034E-3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-5</v>
      </c>
      <c r="C106" s="8">
        <f>IFERROR(B106/B444, "NA")</f>
        <v>-5.2361152883675299E-5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-5</v>
      </c>
      <c r="I106" s="8">
        <f>IFERROR(H106/H444, "NA")</f>
        <v>-2.7638372895821584E-4</v>
      </c>
      <c r="J106" s="9"/>
      <c r="K106" s="7">
        <v>-411.3</v>
      </c>
      <c r="L106" s="8">
        <f>IFERROR(K106/K444, "NA")</f>
        <v>-5.739080711735311E-3</v>
      </c>
      <c r="M106" s="9"/>
      <c r="N106" s="10">
        <f t="shared" si="25"/>
        <v>406.3</v>
      </c>
      <c r="O106" s="8">
        <f>IFERROR(N106/N444, "NA")</f>
        <v>1.7054152285227026E-2</v>
      </c>
      <c r="P106" s="9"/>
      <c r="Q106" s="7">
        <v>-5</v>
      </c>
      <c r="R106" s="8">
        <f>IFERROR(Q106/Q444, "NA")</f>
        <v>-5.2361152883675299E-5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-5</v>
      </c>
      <c r="X106" s="8">
        <f>IFERROR(W106/W444, "NA")</f>
        <v>-2.7638372895821584E-4</v>
      </c>
      <c r="Y106" s="9"/>
      <c r="Z106" s="7">
        <v>-411.3</v>
      </c>
      <c r="AA106" s="8">
        <f>IFERROR(Z106/Z444, "NA")</f>
        <v>-5.739080711735311E-3</v>
      </c>
      <c r="AB106" s="9"/>
      <c r="AC106" s="10">
        <f t="shared" si="27"/>
        <v>406.3</v>
      </c>
      <c r="AD106" s="8">
        <f>IFERROR(AC106/AC444, "NA")</f>
        <v>1.7054152285227026E-2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-4691.6000000000004</v>
      </c>
      <c r="C118" s="15">
        <f>IFERROR(B118/B444, "NA")</f>
        <v>-4.9131516973810213E-2</v>
      </c>
      <c r="D118" s="2"/>
      <c r="E118" s="14">
        <f>IFERROR(E94+E95+E96+E97+E98+E99+E100+E101+E102+E103+E104+E105+E106+E107+E108+E109+E110+E111+E112+E113+E114+E115+E116+E117, "NA")</f>
        <v>-3328.19</v>
      </c>
      <c r="F118" s="15">
        <f>IFERROR(E118/E444, "NA")</f>
        <v>-4.2999954134278033E-2</v>
      </c>
      <c r="G118" s="2"/>
      <c r="H118" s="14">
        <f t="shared" si="24"/>
        <v>-1363.4100000000003</v>
      </c>
      <c r="I118" s="15">
        <f>IFERROR(H118/H444, "NA")</f>
        <v>-7.5364867979784228E-2</v>
      </c>
      <c r="J118" s="2"/>
      <c r="K118" s="14">
        <f>IFERROR(K94+K95+K96+K97+K98+K99+K100+K101+K102+K103+K104+K105+K106+K107+K108+K109+K110+K111+K112+K113+K114+K115+K116+K117, "NA")</f>
        <v>-5010.4000000000005</v>
      </c>
      <c r="L118" s="15">
        <f>IFERROR(K118/K444, "NA")</f>
        <v>-6.991269146141163E-2</v>
      </c>
      <c r="M118" s="2"/>
      <c r="N118" s="14">
        <f t="shared" si="25"/>
        <v>318.80000000000018</v>
      </c>
      <c r="O118" s="15">
        <f>IFERROR(N118/N444, "NA")</f>
        <v>1.3381402285331967E-2</v>
      </c>
      <c r="P118" s="2"/>
      <c r="Q118" s="14">
        <f>IFERROR(Q94+Q95+Q96+Q97+Q98+Q99+Q100+Q101+Q102+Q103+Q104+Q105+Q106+Q107+Q108+Q109+Q110+Q111+Q112+Q113+Q114+Q115+Q116+Q117, "NA")</f>
        <v>-4691.6000000000004</v>
      </c>
      <c r="R118" s="15">
        <f>IFERROR(Q118/Q444, "NA")</f>
        <v>-4.9131516973810213E-2</v>
      </c>
      <c r="S118" s="2"/>
      <c r="T118" s="14">
        <f>IFERROR(T94+T95+T96+T97+T98+T99+T100+T101+T102+T103+T104+T105+T106+T107+T108+T109+T110+T111+T112+T113+T114+T115+T116+T117, "NA")</f>
        <v>-3328.19</v>
      </c>
      <c r="U118" s="15">
        <f>IFERROR(T118/T444, "NA")</f>
        <v>-4.2999954134278033E-2</v>
      </c>
      <c r="V118" s="2"/>
      <c r="W118" s="14">
        <f t="shared" si="26"/>
        <v>-1363.4100000000003</v>
      </c>
      <c r="X118" s="15">
        <f>IFERROR(W118/W444, "NA")</f>
        <v>-7.5364867979784228E-2</v>
      </c>
      <c r="Y118" s="2"/>
      <c r="Z118" s="14">
        <f>IFERROR(Z94+Z95+Z96+Z97+Z98+Z99+Z100+Z101+Z102+Z103+Z104+Z105+Z106+Z107+Z108+Z109+Z110+Z111+Z112+Z113+Z114+Z115+Z116+Z117, "NA")</f>
        <v>-5010.4000000000005</v>
      </c>
      <c r="AA118" s="15">
        <f>IFERROR(Z118/Z444, "NA")</f>
        <v>-6.991269146141163E-2</v>
      </c>
      <c r="AB118" s="2"/>
      <c r="AC118" s="14">
        <f t="shared" si="27"/>
        <v>318.80000000000018</v>
      </c>
      <c r="AD118" s="15">
        <f>IFERROR(AC118/AC444, "NA")</f>
        <v>1.3381402285331967E-2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95490.640000000014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77399.849999999991</v>
      </c>
      <c r="F122" s="15">
        <f>IFERROR(E122/E444, "NA")</f>
        <v>0.99999999999999978</v>
      </c>
      <c r="G122" s="2"/>
      <c r="H122" s="14">
        <f t="shared" si="24"/>
        <v>18090.790000000023</v>
      </c>
      <c r="I122" s="15">
        <f>IFERROR(H122/H444, "NA")</f>
        <v>1.0000000000000016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71666.530000000013</v>
      </c>
      <c r="L122" s="15">
        <f>IFERROR(K122/K444, "NA")</f>
        <v>1.0000000000000002</v>
      </c>
      <c r="M122" s="2"/>
      <c r="N122" s="14">
        <f t="shared" si="25"/>
        <v>23824.11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95490.640000000014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77399.849999999991</v>
      </c>
      <c r="U122" s="15">
        <f>IFERROR(T122/T444, "NA")</f>
        <v>0.99999999999999978</v>
      </c>
      <c r="V122" s="2"/>
      <c r="W122" s="14">
        <f t="shared" si="26"/>
        <v>18090.790000000023</v>
      </c>
      <c r="X122" s="15">
        <f>IFERROR(W122/W444, "NA")</f>
        <v>1.0000000000000016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71666.530000000013</v>
      </c>
      <c r="AA122" s="15">
        <f>IFERROR(Z122/Z444, "NA")</f>
        <v>1.0000000000000002</v>
      </c>
      <c r="AB122" s="2"/>
      <c r="AC122" s="14">
        <f t="shared" si="27"/>
        <v>23824.11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95490.640000000014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77399.849999999991</v>
      </c>
      <c r="F124" s="15">
        <f>IFERROR(E124/E444, "NA")</f>
        <v>0.99999999999999978</v>
      </c>
      <c r="G124" s="2"/>
      <c r="H124" s="14">
        <f t="shared" si="24"/>
        <v>18090.790000000023</v>
      </c>
      <c r="I124" s="15">
        <f>IFERROR(H124/H444, "NA")</f>
        <v>1.0000000000000016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71666.530000000013</v>
      </c>
      <c r="L124" s="15">
        <f>IFERROR(K124/K444, "NA")</f>
        <v>1.0000000000000002</v>
      </c>
      <c r="M124" s="2"/>
      <c r="N124" s="14">
        <f t="shared" si="25"/>
        <v>23824.11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95490.640000000014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77399.849999999991</v>
      </c>
      <c r="U124" s="15">
        <f>IFERROR(T124/T444, "NA")</f>
        <v>0.99999999999999978</v>
      </c>
      <c r="V124" s="2"/>
      <c r="W124" s="14">
        <f t="shared" si="26"/>
        <v>18090.790000000023</v>
      </c>
      <c r="X124" s="15">
        <f>IFERROR(W124/W444, "NA")</f>
        <v>1.0000000000000016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71666.530000000013</v>
      </c>
      <c r="AA124" s="15">
        <f>IFERROR(Z124/Z444, "NA")</f>
        <v>1.0000000000000002</v>
      </c>
      <c r="AB124" s="2"/>
      <c r="AC124" s="14">
        <f t="shared" si="27"/>
        <v>23824.11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20201.36</v>
      </c>
      <c r="F129" s="8">
        <f>IFERROR(E129/E444, "NA")</f>
        <v>0.26099998901806654</v>
      </c>
      <c r="G129" s="9"/>
      <c r="H129" s="10">
        <f t="shared" ref="H129:H141" si="28">IFERROR(-(B129-E129), "NA")</f>
        <v>20201.36</v>
      </c>
      <c r="I129" s="8">
        <f>IFERROR(H129/H444, "NA")</f>
        <v>1.1166654413654686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20201.36</v>
      </c>
      <c r="U129" s="8">
        <f>IFERROR(T129/T444, "NA")</f>
        <v>0.26099998901806654</v>
      </c>
      <c r="V129" s="9"/>
      <c r="W129" s="10">
        <f t="shared" ref="W129:W141" si="30">IFERROR(-(Q129-T129), "NA")</f>
        <v>20201.36</v>
      </c>
      <c r="X129" s="8">
        <f>IFERROR(W129/W444, "NA")</f>
        <v>1.1166654413654686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5755.29</v>
      </c>
      <c r="C130" s="8">
        <f>IFERROR(B130/B444, "NA")</f>
        <v>6.0270723915977521E-2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-5755.29</v>
      </c>
      <c r="I130" s="8">
        <f>IFERROR(H130/H444, "NA")</f>
        <v>-0.31813370228718602</v>
      </c>
      <c r="J130" s="9"/>
      <c r="K130" s="7">
        <v>5518.3</v>
      </c>
      <c r="L130" s="8">
        <f>IFERROR(K130/K444, "NA")</f>
        <v>7.6999681720323288E-2</v>
      </c>
      <c r="M130" s="9"/>
      <c r="N130" s="10">
        <f t="shared" si="29"/>
        <v>-236.98999999999978</v>
      </c>
      <c r="O130" s="8">
        <f>IFERROR(N130/N444, "NA")</f>
        <v>-9.9474859711443479E-3</v>
      </c>
      <c r="P130" s="9"/>
      <c r="Q130" s="7">
        <v>5755.29</v>
      </c>
      <c r="R130" s="8">
        <f>IFERROR(Q130/Q444, "NA")</f>
        <v>6.0270723915977521E-2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-5755.29</v>
      </c>
      <c r="X130" s="8">
        <f>IFERROR(W130/W444, "NA")</f>
        <v>-0.31813370228718602</v>
      </c>
      <c r="Y130" s="9"/>
      <c r="Z130" s="7">
        <v>5518.3</v>
      </c>
      <c r="AA130" s="8">
        <f>IFERROR(Z130/Z444, "NA")</f>
        <v>7.6999681720323288E-2</v>
      </c>
      <c r="AB130" s="9"/>
      <c r="AC130" s="10">
        <f t="shared" si="31"/>
        <v>-236.98999999999978</v>
      </c>
      <c r="AD130" s="8">
        <f>IFERROR(AC130/AC444, "NA")</f>
        <v>-9.9474859711443479E-3</v>
      </c>
    </row>
    <row r="131" spans="1:30" ht="16.5" customHeight="1" x14ac:dyDescent="0.45">
      <c r="A131" s="12" t="s">
        <v>123</v>
      </c>
      <c r="B131" s="7">
        <v>2963.09</v>
      </c>
      <c r="C131" s="8">
        <f>IFERROR(B131/B444, "NA")</f>
        <v>3.1030161699617892E-2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-2963.09</v>
      </c>
      <c r="I131" s="8">
        <f>IFERROR(H131/H444, "NA")</f>
        <v>-0.16378997268775997</v>
      </c>
      <c r="J131" s="9"/>
      <c r="K131" s="7">
        <v>2575.2199999999998</v>
      </c>
      <c r="L131" s="8">
        <f>IFERROR(K131/K444, "NA")</f>
        <v>3.593337084968394E-2</v>
      </c>
      <c r="M131" s="9"/>
      <c r="N131" s="10">
        <f t="shared" si="29"/>
        <v>-387.87000000000035</v>
      </c>
      <c r="O131" s="8">
        <f>IFERROR(N131/N444, "NA")</f>
        <v>-1.6280566199534854E-2</v>
      </c>
      <c r="P131" s="9"/>
      <c r="Q131" s="7">
        <v>2963.09</v>
      </c>
      <c r="R131" s="8">
        <f>IFERROR(Q131/Q444, "NA")</f>
        <v>3.1030161699617892E-2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-2963.09</v>
      </c>
      <c r="X131" s="8">
        <f>IFERROR(W131/W444, "NA")</f>
        <v>-0.16378997268775997</v>
      </c>
      <c r="Y131" s="9"/>
      <c r="Z131" s="7">
        <v>2575.2199999999998</v>
      </c>
      <c r="AA131" s="8">
        <f>IFERROR(Z131/Z444, "NA")</f>
        <v>3.593337084968394E-2</v>
      </c>
      <c r="AB131" s="9"/>
      <c r="AC131" s="10">
        <f t="shared" si="31"/>
        <v>-387.87000000000035</v>
      </c>
      <c r="AD131" s="8">
        <f>IFERROR(AC131/AC444, "NA")</f>
        <v>-1.6280566199534854E-2</v>
      </c>
    </row>
    <row r="132" spans="1:30" ht="16.5" customHeight="1" x14ac:dyDescent="0.45">
      <c r="A132" s="12" t="s">
        <v>124</v>
      </c>
      <c r="B132" s="7">
        <v>3674.66</v>
      </c>
      <c r="C132" s="8">
        <f>IFERROR(B132/B444, "NA")</f>
        <v>3.8481886811105252E-2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-3674.66</v>
      </c>
      <c r="I132" s="8">
        <f>IFERROR(H132/H444, "NA")</f>
        <v>-0.20312324669071949</v>
      </c>
      <c r="J132" s="9"/>
      <c r="K132" s="7">
        <v>2388.96</v>
      </c>
      <c r="L132" s="8">
        <f>IFERROR(K132/K444, "NA")</f>
        <v>3.3334389149300238E-2</v>
      </c>
      <c r="M132" s="9"/>
      <c r="N132" s="10">
        <f t="shared" si="29"/>
        <v>-1285.6999999999998</v>
      </c>
      <c r="O132" s="8">
        <f>IFERROR(N132/N444, "NA")</f>
        <v>-5.3966339141315239E-2</v>
      </c>
      <c r="P132" s="9"/>
      <c r="Q132" s="7">
        <v>3674.66</v>
      </c>
      <c r="R132" s="8">
        <f>IFERROR(Q132/Q444, "NA")</f>
        <v>3.8481886811105252E-2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-3674.66</v>
      </c>
      <c r="X132" s="8">
        <f>IFERROR(W132/W444, "NA")</f>
        <v>-0.20312324669071949</v>
      </c>
      <c r="Y132" s="9"/>
      <c r="Z132" s="7">
        <v>2388.96</v>
      </c>
      <c r="AA132" s="8">
        <f>IFERROR(Z132/Z444, "NA")</f>
        <v>3.3334389149300238E-2</v>
      </c>
      <c r="AB132" s="9"/>
      <c r="AC132" s="10">
        <f t="shared" si="31"/>
        <v>-1285.6999999999998</v>
      </c>
      <c r="AD132" s="8">
        <f>IFERROR(AC132/AC444, "NA")</f>
        <v>-5.3966339141315239E-2</v>
      </c>
    </row>
    <row r="133" spans="1:30" ht="16.5" customHeight="1" x14ac:dyDescent="0.45">
      <c r="A133" s="12" t="s">
        <v>125</v>
      </c>
      <c r="B133" s="7">
        <v>2372</v>
      </c>
      <c r="C133" s="8">
        <f>IFERROR(B133/B444, "NA")</f>
        <v>2.4840130928015562E-2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-2372</v>
      </c>
      <c r="I133" s="8">
        <f>IFERROR(H133/H444, "NA")</f>
        <v>-0.13111644101777761</v>
      </c>
      <c r="J133" s="9"/>
      <c r="K133" s="7">
        <v>1386.75</v>
      </c>
      <c r="L133" s="8">
        <f>IFERROR(K133/K444, "NA")</f>
        <v>1.9350036900070366E-2</v>
      </c>
      <c r="M133" s="9"/>
      <c r="N133" s="10">
        <f t="shared" si="29"/>
        <v>-985.25</v>
      </c>
      <c r="O133" s="8">
        <f>IFERROR(N133/N444, "NA")</f>
        <v>-4.1355164998818424E-2</v>
      </c>
      <c r="P133" s="9"/>
      <c r="Q133" s="7">
        <v>2372</v>
      </c>
      <c r="R133" s="8">
        <f>IFERROR(Q133/Q444, "NA")</f>
        <v>2.4840130928015562E-2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-2372</v>
      </c>
      <c r="X133" s="8">
        <f>IFERROR(W133/W444, "NA")</f>
        <v>-0.13111644101777761</v>
      </c>
      <c r="Y133" s="9"/>
      <c r="Z133" s="7">
        <v>1386.75</v>
      </c>
      <c r="AA133" s="8">
        <f>IFERROR(Z133/Z444, "NA")</f>
        <v>1.9350036900070366E-2</v>
      </c>
      <c r="AB133" s="9"/>
      <c r="AC133" s="10">
        <f t="shared" si="31"/>
        <v>-985.25</v>
      </c>
      <c r="AD133" s="8">
        <f>IFERROR(AC133/AC444, "NA")</f>
        <v>-4.1355164998818424E-2</v>
      </c>
    </row>
    <row r="134" spans="1:30" ht="16.5" customHeight="1" x14ac:dyDescent="0.45">
      <c r="A134" s="12" t="s">
        <v>126</v>
      </c>
      <c r="B134" s="7">
        <v>926.46</v>
      </c>
      <c r="C134" s="8">
        <f>IFERROR(B134/B444, "NA")</f>
        <v>9.7021027401219644E-3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-926.46</v>
      </c>
      <c r="I134" s="8">
        <f>IFERROR(H134/H444, "NA")</f>
        <v>-5.1211693906125733E-2</v>
      </c>
      <c r="J134" s="9"/>
      <c r="K134" s="7">
        <v>1010.4</v>
      </c>
      <c r="L134" s="8">
        <f>IFERROR(K134/K444, "NA")</f>
        <v>1.4098631536925256E-2</v>
      </c>
      <c r="M134" s="9"/>
      <c r="N134" s="10">
        <f t="shared" si="29"/>
        <v>83.939999999999941</v>
      </c>
      <c r="O134" s="8">
        <f>IFERROR(N134/N444, "NA")</f>
        <v>3.5233215427564741E-3</v>
      </c>
      <c r="P134" s="9"/>
      <c r="Q134" s="7">
        <v>926.46</v>
      </c>
      <c r="R134" s="8">
        <f>IFERROR(Q134/Q444, "NA")</f>
        <v>9.7021027401219644E-3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-926.46</v>
      </c>
      <c r="X134" s="8">
        <f>IFERROR(W134/W444, "NA")</f>
        <v>-5.1211693906125733E-2</v>
      </c>
      <c r="Y134" s="9"/>
      <c r="Z134" s="7">
        <v>1010.4</v>
      </c>
      <c r="AA134" s="8">
        <f>IFERROR(Z134/Z444, "NA")</f>
        <v>1.4098631536925256E-2</v>
      </c>
      <c r="AB134" s="9"/>
      <c r="AC134" s="10">
        <f t="shared" si="31"/>
        <v>83.939999999999941</v>
      </c>
      <c r="AD134" s="8">
        <f>IFERROR(AC134/AC444, "NA")</f>
        <v>3.5233215427564741E-3</v>
      </c>
    </row>
    <row r="135" spans="1:30" ht="16.5" customHeight="1" x14ac:dyDescent="0.45">
      <c r="A135" s="12" t="s">
        <v>127</v>
      </c>
      <c r="B135" s="7">
        <v>797.1</v>
      </c>
      <c r="C135" s="8">
        <f>IFERROR(B135/B444, "NA")</f>
        <v>8.3474149927155166E-3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-797.1</v>
      </c>
      <c r="I135" s="8">
        <f>IFERROR(H135/H444, "NA")</f>
        <v>-4.4061094070518773E-2</v>
      </c>
      <c r="J135" s="9"/>
      <c r="K135" s="7">
        <v>540.38</v>
      </c>
      <c r="L135" s="8">
        <f>IFERROR(K135/K444, "NA")</f>
        <v>7.5402004254984858E-3</v>
      </c>
      <c r="M135" s="9"/>
      <c r="N135" s="10">
        <f t="shared" si="29"/>
        <v>-256.72000000000003</v>
      </c>
      <c r="O135" s="8">
        <f>IFERROR(N135/N444, "NA")</f>
        <v>-1.0775638628263555E-2</v>
      </c>
      <c r="P135" s="9"/>
      <c r="Q135" s="7">
        <v>797.1</v>
      </c>
      <c r="R135" s="8">
        <f>IFERROR(Q135/Q444, "NA")</f>
        <v>8.3474149927155166E-3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-797.1</v>
      </c>
      <c r="X135" s="8">
        <f>IFERROR(W135/W444, "NA")</f>
        <v>-4.4061094070518773E-2</v>
      </c>
      <c r="Y135" s="9"/>
      <c r="Z135" s="7">
        <v>540.38</v>
      </c>
      <c r="AA135" s="8">
        <f>IFERROR(Z135/Z444, "NA")</f>
        <v>7.5402004254984858E-3</v>
      </c>
      <c r="AB135" s="9"/>
      <c r="AC135" s="10">
        <f t="shared" si="31"/>
        <v>-256.72000000000003</v>
      </c>
      <c r="AD135" s="8">
        <f>IFERROR(AC135/AC444, "NA")</f>
        <v>-1.0775638628263555E-2</v>
      </c>
    </row>
    <row r="136" spans="1:30" ht="16.5" customHeight="1" x14ac:dyDescent="0.45">
      <c r="A136" s="12" t="s">
        <v>128</v>
      </c>
      <c r="B136" s="7">
        <v>739.08</v>
      </c>
      <c r="C136" s="8">
        <f>IFERROR(B136/B444, "NA")</f>
        <v>7.7398161746533491E-3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-739.08</v>
      </c>
      <c r="I136" s="8">
        <f>IFERROR(H136/H444, "NA")</f>
        <v>-4.0853937279687634E-2</v>
      </c>
      <c r="J136" s="9"/>
      <c r="K136" s="7">
        <v>884.87</v>
      </c>
      <c r="L136" s="8">
        <f>IFERROR(K136/K444, "NA")</f>
        <v>1.2347046801345064E-2</v>
      </c>
      <c r="M136" s="9"/>
      <c r="N136" s="10">
        <f t="shared" si="29"/>
        <v>145.78999999999996</v>
      </c>
      <c r="O136" s="8">
        <f>IFERROR(N136/N444, "NA")</f>
        <v>6.1194311141108716E-3</v>
      </c>
      <c r="P136" s="9"/>
      <c r="Q136" s="7">
        <v>739.08</v>
      </c>
      <c r="R136" s="8">
        <f>IFERROR(Q136/Q444, "NA")</f>
        <v>7.7398161746533491E-3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-739.08</v>
      </c>
      <c r="X136" s="8">
        <f>IFERROR(W136/W444, "NA")</f>
        <v>-4.0853937279687634E-2</v>
      </c>
      <c r="Y136" s="9"/>
      <c r="Z136" s="7">
        <v>884.87</v>
      </c>
      <c r="AA136" s="8">
        <f>IFERROR(Z136/Z444, "NA")</f>
        <v>1.2347046801345064E-2</v>
      </c>
      <c r="AB136" s="9"/>
      <c r="AC136" s="10">
        <f t="shared" si="31"/>
        <v>145.78999999999996</v>
      </c>
      <c r="AD136" s="8">
        <f>IFERROR(AC136/AC444, "NA")</f>
        <v>6.1194311141108716E-3</v>
      </c>
    </row>
    <row r="137" spans="1:30" ht="16.5" customHeight="1" x14ac:dyDescent="0.45">
      <c r="A137" s="12" t="s">
        <v>129</v>
      </c>
      <c r="B137" s="7">
        <v>533.97</v>
      </c>
      <c r="C137" s="8">
        <f>IFERROR(B137/B444, "NA")</f>
        <v>5.5918569610592201E-3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-533.97</v>
      </c>
      <c r="I137" s="8">
        <f>IFERROR(H137/H444, "NA")</f>
        <v>-2.9516123950363706E-2</v>
      </c>
      <c r="J137" s="9"/>
      <c r="K137" s="7">
        <v>561.86</v>
      </c>
      <c r="L137" s="8">
        <f>IFERROR(K137/K444, "NA")</f>
        <v>7.8399219272929782E-3</v>
      </c>
      <c r="M137" s="9"/>
      <c r="N137" s="10">
        <f t="shared" si="29"/>
        <v>27.889999999999986</v>
      </c>
      <c r="O137" s="8">
        <f>IFERROR(N137/N444, "NA")</f>
        <v>1.1706628285379805E-3</v>
      </c>
      <c r="P137" s="9"/>
      <c r="Q137" s="7">
        <v>533.97</v>
      </c>
      <c r="R137" s="8">
        <f>IFERROR(Q137/Q444, "NA")</f>
        <v>5.5918569610592201E-3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-533.97</v>
      </c>
      <c r="X137" s="8">
        <f>IFERROR(W137/W444, "NA")</f>
        <v>-2.9516123950363706E-2</v>
      </c>
      <c r="Y137" s="9"/>
      <c r="Z137" s="7">
        <v>561.86</v>
      </c>
      <c r="AA137" s="8">
        <f>IFERROR(Z137/Z444, "NA")</f>
        <v>7.8399219272929782E-3</v>
      </c>
      <c r="AB137" s="9"/>
      <c r="AC137" s="10">
        <f t="shared" si="31"/>
        <v>27.889999999999986</v>
      </c>
      <c r="AD137" s="8">
        <f>IFERROR(AC137/AC444, "NA")</f>
        <v>1.1706628285379805E-3</v>
      </c>
    </row>
    <row r="138" spans="1:30" ht="16.5" customHeight="1" x14ac:dyDescent="0.45">
      <c r="A138" s="12" t="s">
        <v>130</v>
      </c>
      <c r="B138" s="7">
        <v>5136.96</v>
      </c>
      <c r="C138" s="8">
        <f>IFERROR(B138/B444, "NA")</f>
        <v>5.3795429583464935E-2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-5136.96</v>
      </c>
      <c r="I138" s="8">
        <f>IFERROR(H138/H444, "NA")</f>
        <v>-0.28395443206183929</v>
      </c>
      <c r="J138" s="9"/>
      <c r="K138" s="7">
        <v>4370.18</v>
      </c>
      <c r="L138" s="8">
        <f>IFERROR(K138/K444, "NA")</f>
        <v>6.0979372100197965E-2</v>
      </c>
      <c r="M138" s="9"/>
      <c r="N138" s="10">
        <f t="shared" si="29"/>
        <v>-766.77999999999975</v>
      </c>
      <c r="O138" s="8">
        <f>IFERROR(N138/N444, "NA")</f>
        <v>-3.2185042799080417E-2</v>
      </c>
      <c r="P138" s="9"/>
      <c r="Q138" s="7">
        <v>5136.96</v>
      </c>
      <c r="R138" s="8">
        <f>IFERROR(Q138/Q444, "NA")</f>
        <v>5.3795429583464935E-2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-5136.96</v>
      </c>
      <c r="X138" s="8">
        <f>IFERROR(W138/W444, "NA")</f>
        <v>-0.28395443206183929</v>
      </c>
      <c r="Y138" s="9"/>
      <c r="Z138" s="7">
        <v>4370.18</v>
      </c>
      <c r="AA138" s="8">
        <f>IFERROR(Z138/Z444, "NA")</f>
        <v>6.0979372100197965E-2</v>
      </c>
      <c r="AB138" s="9"/>
      <c r="AC138" s="10">
        <f t="shared" si="31"/>
        <v>-766.77999999999975</v>
      </c>
      <c r="AD138" s="8">
        <f>IFERROR(AC138/AC444, "NA")</f>
        <v>-3.2185042799080417E-2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22898.61</v>
      </c>
      <c r="C141" s="15">
        <f>IFERROR(B141/B444, "NA")</f>
        <v>0.23979952380673122</v>
      </c>
      <c r="D141" s="2"/>
      <c r="E141" s="14">
        <f>IFERROR(E129+E130+E131+E132+E133+E134+E135+E136+E137+E138+E139+E140, "NA")</f>
        <v>20201.36</v>
      </c>
      <c r="F141" s="15">
        <f>IFERROR(E141/E444, "NA")</f>
        <v>0.26099998901806654</v>
      </c>
      <c r="G141" s="2"/>
      <c r="H141" s="14">
        <f t="shared" si="28"/>
        <v>-2697.25</v>
      </c>
      <c r="I141" s="15">
        <f>IFERROR(H141/H444, "NA")</f>
        <v>-0.14909520258650955</v>
      </c>
      <c r="J141" s="2"/>
      <c r="K141" s="14">
        <f>IFERROR(K129+K130+K131+K132+K133+K134+K135+K136+K137+K138+K139+K140, "NA")</f>
        <v>19236.919999999998</v>
      </c>
      <c r="L141" s="15">
        <f>IFERROR(K141/K444, "NA")</f>
        <v>0.26842265141063754</v>
      </c>
      <c r="M141" s="2"/>
      <c r="N141" s="14">
        <f t="shared" si="29"/>
        <v>-3661.6900000000023</v>
      </c>
      <c r="O141" s="15">
        <f>IFERROR(N141/N444, "NA")</f>
        <v>-0.15369682225275161</v>
      </c>
      <c r="P141" s="2"/>
      <c r="Q141" s="14">
        <f>IFERROR(Q129+Q130+Q131+Q132+Q133+Q134+Q135+Q136+Q137+Q138+Q139+Q140, "NA")</f>
        <v>22898.61</v>
      </c>
      <c r="R141" s="15">
        <f>IFERROR(Q141/Q444, "NA")</f>
        <v>0.23979952380673122</v>
      </c>
      <c r="S141" s="2"/>
      <c r="T141" s="14">
        <f>IFERROR(T129+T130+T131+T132+T133+T134+T135+T136+T137+T138+T139+T140, "NA")</f>
        <v>20201.36</v>
      </c>
      <c r="U141" s="15">
        <f>IFERROR(T141/T444, "NA")</f>
        <v>0.26099998901806654</v>
      </c>
      <c r="V141" s="2"/>
      <c r="W141" s="14">
        <f t="shared" si="30"/>
        <v>-2697.25</v>
      </c>
      <c r="X141" s="15">
        <f>IFERROR(W141/W444, "NA")</f>
        <v>-0.14909520258650955</v>
      </c>
      <c r="Y141" s="2"/>
      <c r="Z141" s="14">
        <f>IFERROR(Z129+Z130+Z131+Z132+Z133+Z134+Z135+Z136+Z137+Z138+Z139+Z140, "NA")</f>
        <v>19236.919999999998</v>
      </c>
      <c r="AA141" s="15">
        <f>IFERROR(Z141/Z444, "NA")</f>
        <v>0.26842265141063754</v>
      </c>
      <c r="AB141" s="2"/>
      <c r="AC141" s="14">
        <f t="shared" si="31"/>
        <v>-3661.6900000000023</v>
      </c>
      <c r="AD141" s="15">
        <f>IFERROR(AC141/AC444, "NA")</f>
        <v>-0.15369682225275161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984.86</v>
      </c>
      <c r="C144" s="8">
        <f>IFERROR(B144/B444, "NA")</f>
        <v>1.0313681005803292E-2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-984.86</v>
      </c>
      <c r="I144" s="8">
        <f>IFERROR(H144/H444, "NA")</f>
        <v>-5.4439855860357697E-2</v>
      </c>
      <c r="J144" s="9"/>
      <c r="K144" s="7">
        <v>861.28</v>
      </c>
      <c r="L144" s="8">
        <f>IFERROR(K144/K444, "NA")</f>
        <v>1.2017883382940405E-2</v>
      </c>
      <c r="M144" s="9"/>
      <c r="N144" s="10">
        <f t="shared" si="33"/>
        <v>-123.58000000000004</v>
      </c>
      <c r="O144" s="8">
        <f>IFERROR(N144/N444, "NA")</f>
        <v>-5.187182228423225E-3</v>
      </c>
      <c r="P144" s="9"/>
      <c r="Q144" s="7">
        <v>984.86</v>
      </c>
      <c r="R144" s="8">
        <f>IFERROR(Q144/Q444, "NA")</f>
        <v>1.0313681005803292E-2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-984.86</v>
      </c>
      <c r="X144" s="8">
        <f>IFERROR(W144/W444, "NA")</f>
        <v>-5.4439855860357697E-2</v>
      </c>
      <c r="Y144" s="9"/>
      <c r="Z144" s="7">
        <v>861.28</v>
      </c>
      <c r="AA144" s="8">
        <f>IFERROR(Z144/Z444, "NA")</f>
        <v>1.2017883382940405E-2</v>
      </c>
      <c r="AB144" s="9"/>
      <c r="AC144" s="10">
        <f t="shared" si="35"/>
        <v>-123.58000000000004</v>
      </c>
      <c r="AD144" s="8">
        <f>IFERROR(AC144/AC444, "NA")</f>
        <v>-5.187182228423225E-3</v>
      </c>
    </row>
    <row r="145" spans="1:30" ht="16.5" customHeight="1" x14ac:dyDescent="0.45">
      <c r="A145" s="12" t="s">
        <v>136</v>
      </c>
      <c r="B145" s="7">
        <v>21.56</v>
      </c>
      <c r="C145" s="8">
        <f>IFERROR(B145/B444, "NA")</f>
        <v>2.2578129123440789E-4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-21.56</v>
      </c>
      <c r="I145" s="8">
        <f>IFERROR(H145/H444, "NA")</f>
        <v>-1.1917666392678267E-3</v>
      </c>
      <c r="J145" s="9"/>
      <c r="K145" s="7">
        <v>39.21</v>
      </c>
      <c r="L145" s="8">
        <f>IFERROR(K145/K444, "NA")</f>
        <v>5.4711732240977765E-4</v>
      </c>
      <c r="M145" s="9"/>
      <c r="N145" s="10">
        <f t="shared" si="33"/>
        <v>17.650000000000002</v>
      </c>
      <c r="O145" s="8">
        <f>IFERROR(N145/N444, "NA")</f>
        <v>7.4084614283597588E-4</v>
      </c>
      <c r="P145" s="9"/>
      <c r="Q145" s="7">
        <v>21.56</v>
      </c>
      <c r="R145" s="8">
        <f>IFERROR(Q145/Q444, "NA")</f>
        <v>2.2578129123440789E-4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-21.56</v>
      </c>
      <c r="X145" s="8">
        <f>IFERROR(W145/W444, "NA")</f>
        <v>-1.1917666392678267E-3</v>
      </c>
      <c r="Y145" s="9"/>
      <c r="Z145" s="7">
        <v>39.21</v>
      </c>
      <c r="AA145" s="8">
        <f>IFERROR(Z145/Z444, "NA")</f>
        <v>5.4711732240977765E-4</v>
      </c>
      <c r="AB145" s="9"/>
      <c r="AC145" s="10">
        <f t="shared" si="35"/>
        <v>17.650000000000002</v>
      </c>
      <c r="AD145" s="8">
        <f>IFERROR(AC145/AC444, "NA")</f>
        <v>7.4084614283597588E-4</v>
      </c>
    </row>
    <row r="146" spans="1:30" ht="16.5" customHeight="1" x14ac:dyDescent="0.45">
      <c r="A146" s="12" t="s">
        <v>137</v>
      </c>
      <c r="B146" s="7">
        <v>57.99</v>
      </c>
      <c r="C146" s="8">
        <f>IFERROR(B146/B444, "NA")</f>
        <v>6.0728465114486614E-4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-57.99</v>
      </c>
      <c r="I146" s="8">
        <f>IFERROR(H146/H444, "NA")</f>
        <v>-3.2054984884573876E-3</v>
      </c>
      <c r="J146" s="9"/>
      <c r="K146" s="7">
        <v>16.579999999999998</v>
      </c>
      <c r="L146" s="8">
        <f>IFERROR(K146/K444, "NA")</f>
        <v>2.3134927838699596E-4</v>
      </c>
      <c r="M146" s="9"/>
      <c r="N146" s="10">
        <f t="shared" si="33"/>
        <v>-41.410000000000004</v>
      </c>
      <c r="O146" s="8">
        <f>IFERROR(N146/N444, "NA")</f>
        <v>-1.7381551713789099E-3</v>
      </c>
      <c r="P146" s="9"/>
      <c r="Q146" s="7">
        <v>57.99</v>
      </c>
      <c r="R146" s="8">
        <f>IFERROR(Q146/Q444, "NA")</f>
        <v>6.0728465114486614E-4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-57.99</v>
      </c>
      <c r="X146" s="8">
        <f>IFERROR(W146/W444, "NA")</f>
        <v>-3.2054984884573876E-3</v>
      </c>
      <c r="Y146" s="9"/>
      <c r="Z146" s="7">
        <v>16.579999999999998</v>
      </c>
      <c r="AA146" s="8">
        <f>IFERROR(Z146/Z444, "NA")</f>
        <v>2.3134927838699596E-4</v>
      </c>
      <c r="AB146" s="9"/>
      <c r="AC146" s="10">
        <f t="shared" si="35"/>
        <v>-41.410000000000004</v>
      </c>
      <c r="AD146" s="8">
        <f>IFERROR(AC146/AC444, "NA")</f>
        <v>-1.7381551713789099E-3</v>
      </c>
    </row>
    <row r="147" spans="1:30" ht="16.5" customHeight="1" x14ac:dyDescent="0.45">
      <c r="A147" s="12" t="s">
        <v>138</v>
      </c>
      <c r="B147" s="7">
        <v>14.54</v>
      </c>
      <c r="C147" s="8">
        <f>IFERROR(B147/B444, "NA")</f>
        <v>1.5226623258572777E-4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-14.54</v>
      </c>
      <c r="I147" s="8">
        <f>IFERROR(H147/H444, "NA")</f>
        <v>-8.037238838104917E-4</v>
      </c>
      <c r="J147" s="9"/>
      <c r="K147" s="7">
        <v>48.49</v>
      </c>
      <c r="L147" s="8">
        <f>IFERROR(K147/K444, "NA")</f>
        <v>6.7660594143458604E-4</v>
      </c>
      <c r="M147" s="9"/>
      <c r="N147" s="10">
        <f t="shared" si="33"/>
        <v>33.950000000000003</v>
      </c>
      <c r="O147" s="8">
        <f>IFERROR(N147/N444, "NA")</f>
        <v>1.4250269999592851E-3</v>
      </c>
      <c r="P147" s="9"/>
      <c r="Q147" s="7">
        <v>14.54</v>
      </c>
      <c r="R147" s="8">
        <f>IFERROR(Q147/Q444, "NA")</f>
        <v>1.5226623258572777E-4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-14.54</v>
      </c>
      <c r="X147" s="8">
        <f>IFERROR(W147/W444, "NA")</f>
        <v>-8.037238838104917E-4</v>
      </c>
      <c r="Y147" s="9"/>
      <c r="Z147" s="7">
        <v>48.49</v>
      </c>
      <c r="AA147" s="8">
        <f>IFERROR(Z147/Z444, "NA")</f>
        <v>6.7660594143458604E-4</v>
      </c>
      <c r="AB147" s="9"/>
      <c r="AC147" s="10">
        <f t="shared" si="35"/>
        <v>33.950000000000003</v>
      </c>
      <c r="AD147" s="8">
        <f>IFERROR(AC147/AC444, "NA")</f>
        <v>1.4250269999592851E-3</v>
      </c>
    </row>
    <row r="148" spans="1:30" ht="16.5" customHeight="1" x14ac:dyDescent="0.45">
      <c r="A148" s="13" t="s">
        <v>139</v>
      </c>
      <c r="B148" s="14">
        <f>IFERROR(B143+B144+B145+B146+B147, "NA")</f>
        <v>1078.9499999999998</v>
      </c>
      <c r="C148" s="15">
        <f>IFERROR(B148/B444, "NA")</f>
        <v>1.1299013180768291E-2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-1078.9499999999998</v>
      </c>
      <c r="I148" s="15">
        <f>IFERROR(H148/H444, "NA")</f>
        <v>-5.9640844871893389E-2</v>
      </c>
      <c r="J148" s="2"/>
      <c r="K148" s="14">
        <f>IFERROR(K143+K144+K145+K146+K147, "NA")</f>
        <v>965.56000000000006</v>
      </c>
      <c r="L148" s="15">
        <f>IFERROR(K148/K444, "NA")</f>
        <v>1.3472955925171766E-2</v>
      </c>
      <c r="M148" s="2"/>
      <c r="N148" s="14">
        <f t="shared" si="33"/>
        <v>-113.38999999999976</v>
      </c>
      <c r="O148" s="15">
        <f>IFERROR(N148/N444, "NA")</f>
        <v>-4.7594642570068625E-3</v>
      </c>
      <c r="P148" s="2"/>
      <c r="Q148" s="14">
        <f>IFERROR(Q143+Q144+Q145+Q146+Q147, "NA")</f>
        <v>1078.9499999999998</v>
      </c>
      <c r="R148" s="15">
        <f>IFERROR(Q148/Q444, "NA")</f>
        <v>1.1299013180768291E-2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-1078.9499999999998</v>
      </c>
      <c r="X148" s="15">
        <f>IFERROR(W148/W444, "NA")</f>
        <v>-5.9640844871893389E-2</v>
      </c>
      <c r="Y148" s="2"/>
      <c r="Z148" s="14">
        <f>IFERROR(Z143+Z144+Z145+Z146+Z147, "NA")</f>
        <v>965.56000000000006</v>
      </c>
      <c r="AA148" s="15">
        <f>IFERROR(Z148/Z444, "NA")</f>
        <v>1.3472955925171766E-2</v>
      </c>
      <c r="AB148" s="2"/>
      <c r="AC148" s="14">
        <f t="shared" si="35"/>
        <v>-113.38999999999976</v>
      </c>
      <c r="AD148" s="15">
        <f>IFERROR(AC148/AC444, "NA")</f>
        <v>-4.7594642570068625E-3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23977.560000000005</v>
      </c>
      <c r="C149" s="15">
        <f>IFERROR(B149/B444, "NA")</f>
        <v>0.25109853698749957</v>
      </c>
      <c r="D149" s="2"/>
      <c r="E149" s="14">
        <f>IFERROR(E127+E129+E130+E131+E132+E133+E134+E135+E136+E137+E138+E139+E140+E143+E144+E145+E146+E147, "NA")</f>
        <v>20201.36</v>
      </c>
      <c r="F149" s="15">
        <f>IFERROR(E149/E444, "NA")</f>
        <v>0.26099998901806654</v>
      </c>
      <c r="G149" s="2"/>
      <c r="H149" s="14">
        <f t="shared" si="32"/>
        <v>-3776.2000000000044</v>
      </c>
      <c r="I149" s="15">
        <f>IFERROR(H149/H444, "NA")</f>
        <v>-0.20873604745840318</v>
      </c>
      <c r="J149" s="2"/>
      <c r="K149" s="14">
        <f>IFERROR(K127+K129+K130+K131+K132+K133+K134+K135+K136+K137+K138+K139+K140+K143+K144+K145+K146+K147, "NA")</f>
        <v>20202.48</v>
      </c>
      <c r="L149" s="15">
        <f>IFERROR(K149/K444, "NA")</f>
        <v>0.28189560733580932</v>
      </c>
      <c r="M149" s="2"/>
      <c r="N149" s="14">
        <f t="shared" si="33"/>
        <v>-3775.0800000000054</v>
      </c>
      <c r="O149" s="15">
        <f>IFERROR(N149/N444, "NA")</f>
        <v>-0.15845628650975863</v>
      </c>
      <c r="P149" s="2"/>
      <c r="Q149" s="14">
        <f>IFERROR(Q127+Q129+Q130+Q131+Q132+Q133+Q134+Q135+Q136+Q137+Q138+Q139+Q140+Q143+Q144+Q145+Q146+Q147, "NA")</f>
        <v>23977.560000000005</v>
      </c>
      <c r="R149" s="15">
        <f>IFERROR(Q149/Q444, "NA")</f>
        <v>0.25109853698749957</v>
      </c>
      <c r="S149" s="2"/>
      <c r="T149" s="14">
        <f>IFERROR(T127+T129+T130+T131+T132+T133+T134+T135+T136+T137+T138+T139+T140+T143+T144+T145+T146+T147, "NA")</f>
        <v>20201.36</v>
      </c>
      <c r="U149" s="15">
        <f>IFERROR(T149/T444, "NA")</f>
        <v>0.26099998901806654</v>
      </c>
      <c r="V149" s="2"/>
      <c r="W149" s="14">
        <f t="shared" si="34"/>
        <v>-3776.2000000000044</v>
      </c>
      <c r="X149" s="15">
        <f>IFERROR(W149/W444, "NA")</f>
        <v>-0.20873604745840318</v>
      </c>
      <c r="Y149" s="2"/>
      <c r="Z149" s="14">
        <f>IFERROR(Z127+Z129+Z130+Z131+Z132+Z133+Z134+Z135+Z136+Z137+Z138+Z139+Z140+Z143+Z144+Z145+Z146+Z147, "NA")</f>
        <v>20202.48</v>
      </c>
      <c r="AA149" s="15">
        <f>IFERROR(Z149/Z444, "NA")</f>
        <v>0.28189560733580932</v>
      </c>
      <c r="AB149" s="2"/>
      <c r="AC149" s="14">
        <f t="shared" si="35"/>
        <v>-3775.0800000000054</v>
      </c>
      <c r="AD149" s="15">
        <f>IFERROR(AC149/AC444, "NA")</f>
        <v>-0.15845628650975863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1548</v>
      </c>
      <c r="F153" s="8">
        <f>IFERROR(E153/E444, "NA")</f>
        <v>2.0000038759765037E-2</v>
      </c>
      <c r="G153" s="9"/>
      <c r="H153" s="10">
        <f t="shared" ref="H153:H158" si="36">IFERROR(-(B153-E153), "NA")</f>
        <v>1548</v>
      </c>
      <c r="I153" s="8">
        <f>IFERROR(H153/H444, "NA")</f>
        <v>8.5568402485463629E-2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1548</v>
      </c>
      <c r="U153" s="8">
        <f>IFERROR(T153/T444, "NA")</f>
        <v>2.0000038759765037E-2</v>
      </c>
      <c r="V153" s="9"/>
      <c r="W153" s="10">
        <f t="shared" ref="W153:W158" si="38">IFERROR(-(Q153-T153), "NA")</f>
        <v>1548</v>
      </c>
      <c r="X153" s="8">
        <f>IFERROR(W153/W444, "NA")</f>
        <v>8.5568402485463629E-2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2669.27</v>
      </c>
      <c r="C154" s="8">
        <f>IFERROR(B154/B444, "NA")</f>
        <v>2.7953210911561593E-2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-2669.27</v>
      </c>
      <c r="I154" s="8">
        <f>IFERROR(H154/H444, "NA")</f>
        <v>-0.14754855923925936</v>
      </c>
      <c r="J154" s="9"/>
      <c r="K154" s="7">
        <v>2886.16</v>
      </c>
      <c r="L154" s="8">
        <f>IFERROR(K154/K444, "NA")</f>
        <v>4.0272076797913892E-2</v>
      </c>
      <c r="M154" s="9"/>
      <c r="N154" s="10">
        <f t="shared" si="37"/>
        <v>216.88999999999987</v>
      </c>
      <c r="O154" s="8">
        <f>IFERROR(N154/N444, "NA")</f>
        <v>9.1038028283113148E-3</v>
      </c>
      <c r="P154" s="9"/>
      <c r="Q154" s="7">
        <v>2669.27</v>
      </c>
      <c r="R154" s="8">
        <f>IFERROR(Q154/Q444, "NA")</f>
        <v>2.7953210911561593E-2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-2669.27</v>
      </c>
      <c r="X154" s="8">
        <f>IFERROR(W154/W444, "NA")</f>
        <v>-0.14754855923925936</v>
      </c>
      <c r="Y154" s="9"/>
      <c r="Z154" s="7">
        <v>2886.16</v>
      </c>
      <c r="AA154" s="8">
        <f>IFERROR(Z154/Z444, "NA")</f>
        <v>4.0272076797913892E-2</v>
      </c>
      <c r="AB154" s="9"/>
      <c r="AC154" s="10">
        <f t="shared" si="39"/>
        <v>216.88999999999987</v>
      </c>
      <c r="AD154" s="8">
        <f>IFERROR(AC154/AC444, "NA")</f>
        <v>9.1038028283113148E-3</v>
      </c>
    </row>
    <row r="155" spans="1:30" ht="16.5" customHeight="1" x14ac:dyDescent="0.45">
      <c r="A155" s="12" t="s">
        <v>144</v>
      </c>
      <c r="B155" s="7">
        <v>880.71</v>
      </c>
      <c r="C155" s="8">
        <f>IFERROR(B155/B444, "NA")</f>
        <v>9.2229981912363354E-3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-880.71</v>
      </c>
      <c r="I155" s="8">
        <f>IFERROR(H155/H444, "NA")</f>
        <v>-4.8682782786158056E-2</v>
      </c>
      <c r="J155" s="9"/>
      <c r="K155" s="7">
        <v>796.66</v>
      </c>
      <c r="L155" s="8">
        <f>IFERROR(K155/K444, "NA")</f>
        <v>1.1116207244860328E-2</v>
      </c>
      <c r="M155" s="9"/>
      <c r="N155" s="10">
        <f t="shared" si="37"/>
        <v>-84.050000000000068</v>
      </c>
      <c r="O155" s="8">
        <f>IFERROR(N155/N444, "NA")</f>
        <v>-3.5279387141849187E-3</v>
      </c>
      <c r="P155" s="9"/>
      <c r="Q155" s="7">
        <v>880.71</v>
      </c>
      <c r="R155" s="8">
        <f>IFERROR(Q155/Q444, "NA")</f>
        <v>9.2229981912363354E-3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-880.71</v>
      </c>
      <c r="X155" s="8">
        <f>IFERROR(W155/W444, "NA")</f>
        <v>-4.8682782786158056E-2</v>
      </c>
      <c r="Y155" s="9"/>
      <c r="Z155" s="7">
        <v>796.66</v>
      </c>
      <c r="AA155" s="8">
        <f>IFERROR(Z155/Z444, "NA")</f>
        <v>1.1116207244860328E-2</v>
      </c>
      <c r="AB155" s="9"/>
      <c r="AC155" s="10">
        <f t="shared" si="39"/>
        <v>-84.050000000000068</v>
      </c>
      <c r="AD155" s="8">
        <f>IFERROR(AC155/AC444, "NA")</f>
        <v>-3.5279387141849187E-3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3549.98</v>
      </c>
      <c r="C158" s="15">
        <f>IFERROR(B158/B444, "NA")</f>
        <v>3.7176209102797932E-2</v>
      </c>
      <c r="D158" s="2"/>
      <c r="E158" s="14">
        <f>IFERROR(E153+E154+E155+E156+E157, "NA")</f>
        <v>1548</v>
      </c>
      <c r="F158" s="15">
        <f>IFERROR(E158/E444, "NA")</f>
        <v>2.0000038759765037E-2</v>
      </c>
      <c r="G158" s="2"/>
      <c r="H158" s="14">
        <f t="shared" si="36"/>
        <v>-2001.98</v>
      </c>
      <c r="I158" s="15">
        <f>IFERROR(H158/H444, "NA")</f>
        <v>-0.11066293953995379</v>
      </c>
      <c r="J158" s="2"/>
      <c r="K158" s="14">
        <f>IFERROR(K153+K154+K155+K156+K157, "NA")</f>
        <v>3682.8199999999997</v>
      </c>
      <c r="L158" s="15">
        <f>IFERROR(K158/K444, "NA")</f>
        <v>5.1388284042774221E-2</v>
      </c>
      <c r="M158" s="2"/>
      <c r="N158" s="14">
        <f t="shared" si="37"/>
        <v>132.83999999999969</v>
      </c>
      <c r="O158" s="15">
        <f>IFERROR(N158/N444, "NA")</f>
        <v>5.5758641141263905E-3</v>
      </c>
      <c r="P158" s="2"/>
      <c r="Q158" s="14">
        <f>IFERROR(Q153+Q154+Q155+Q156+Q157, "NA")</f>
        <v>3549.98</v>
      </c>
      <c r="R158" s="15">
        <f>IFERROR(Q158/Q444, "NA")</f>
        <v>3.7176209102797932E-2</v>
      </c>
      <c r="S158" s="2"/>
      <c r="T158" s="14">
        <f>IFERROR(T153+T154+T155+T156+T157, "NA")</f>
        <v>1548</v>
      </c>
      <c r="U158" s="15">
        <f>IFERROR(T158/T444, "NA")</f>
        <v>2.0000038759765037E-2</v>
      </c>
      <c r="V158" s="2"/>
      <c r="W158" s="14">
        <f t="shared" si="38"/>
        <v>-2001.98</v>
      </c>
      <c r="X158" s="15">
        <f>IFERROR(W158/W444, "NA")</f>
        <v>-0.11066293953995379</v>
      </c>
      <c r="Y158" s="2"/>
      <c r="Z158" s="14">
        <f>IFERROR(Z153+Z154+Z155+Z156+Z157, "NA")</f>
        <v>3682.8199999999997</v>
      </c>
      <c r="AA158" s="15">
        <f>IFERROR(Z158/Z444, "NA")</f>
        <v>5.1388284042774221E-2</v>
      </c>
      <c r="AB158" s="2"/>
      <c r="AC158" s="14">
        <f t="shared" si="39"/>
        <v>132.83999999999969</v>
      </c>
      <c r="AD158" s="15">
        <f>IFERROR(AC158/AC444, "NA")</f>
        <v>5.5758641141263905E-3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181.93</v>
      </c>
      <c r="C161" s="8">
        <f>IFERROR(B161/B444, "NA")</f>
        <v>1.9052129088254096E-3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-181.93</v>
      </c>
      <c r="I161" s="8">
        <f>IFERROR(H161/H444, "NA")</f>
        <v>-1.0056498361873643E-2</v>
      </c>
      <c r="J161" s="9"/>
      <c r="K161" s="7">
        <v>328.37</v>
      </c>
      <c r="L161" s="8">
        <f>IFERROR(K161/K444, "NA")</f>
        <v>4.5819157143508977E-3</v>
      </c>
      <c r="M161" s="9"/>
      <c r="N161" s="10">
        <f t="shared" si="41"/>
        <v>146.44</v>
      </c>
      <c r="O161" s="8">
        <f>IFERROR(N161/N444, "NA")</f>
        <v>6.1467143998243795E-3</v>
      </c>
      <c r="P161" s="9"/>
      <c r="Q161" s="7">
        <v>181.93</v>
      </c>
      <c r="R161" s="8">
        <f>IFERROR(Q161/Q444, "NA")</f>
        <v>1.9052129088254096E-3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-181.93</v>
      </c>
      <c r="X161" s="8">
        <f>IFERROR(W161/W444, "NA")</f>
        <v>-1.0056498361873643E-2</v>
      </c>
      <c r="Y161" s="9"/>
      <c r="Z161" s="7">
        <v>328.37</v>
      </c>
      <c r="AA161" s="8">
        <f>IFERROR(Z161/Z444, "NA")</f>
        <v>4.5819157143508977E-3</v>
      </c>
      <c r="AB161" s="9"/>
      <c r="AC161" s="10">
        <f t="shared" si="43"/>
        <v>146.44</v>
      </c>
      <c r="AD161" s="8">
        <f>IFERROR(AC161/AC444, "NA")</f>
        <v>6.1467143998243795E-3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181.93</v>
      </c>
      <c r="C166" s="15">
        <f>IFERROR(B166/B444, "NA")</f>
        <v>1.9052129088254096E-3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-181.93</v>
      </c>
      <c r="I166" s="15">
        <f>IFERROR(H166/H444, "NA")</f>
        <v>-1.0056498361873643E-2</v>
      </c>
      <c r="J166" s="2"/>
      <c r="K166" s="14">
        <f>IFERROR(K160+K161+K162+K163+K164+K165, "NA")</f>
        <v>328.37</v>
      </c>
      <c r="L166" s="15">
        <f>IFERROR(K166/K444, "NA")</f>
        <v>4.5819157143508977E-3</v>
      </c>
      <c r="M166" s="2"/>
      <c r="N166" s="14">
        <f t="shared" si="41"/>
        <v>146.44</v>
      </c>
      <c r="O166" s="15">
        <f>IFERROR(N166/N444, "NA")</f>
        <v>6.1467143998243795E-3</v>
      </c>
      <c r="P166" s="2"/>
      <c r="Q166" s="14">
        <f>IFERROR(Q160+Q161+Q162+Q163+Q164+Q165, "NA")</f>
        <v>181.93</v>
      </c>
      <c r="R166" s="15">
        <f>IFERROR(Q166/Q444, "NA")</f>
        <v>1.9052129088254096E-3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-181.93</v>
      </c>
      <c r="X166" s="15">
        <f>IFERROR(W166/W444, "NA")</f>
        <v>-1.0056498361873643E-2</v>
      </c>
      <c r="Y166" s="2"/>
      <c r="Z166" s="14">
        <f>IFERROR(Z160+Z161+Z162+Z163+Z164+Z165, "NA")</f>
        <v>328.37</v>
      </c>
      <c r="AA166" s="15">
        <f>IFERROR(Z166/Z444, "NA")</f>
        <v>4.5819157143508977E-3</v>
      </c>
      <c r="AB166" s="2"/>
      <c r="AC166" s="14">
        <f t="shared" si="43"/>
        <v>146.44</v>
      </c>
      <c r="AD166" s="15">
        <f>IFERROR(AC166/AC444, "NA")</f>
        <v>6.1467143998243795E-3</v>
      </c>
    </row>
    <row r="167" spans="1:30" ht="16.5" customHeight="1" x14ac:dyDescent="0.45">
      <c r="A167" s="6" t="s">
        <v>155</v>
      </c>
      <c r="B167" s="7">
        <v>102.46</v>
      </c>
      <c r="C167" s="8">
        <f>IFERROR(B167/B444, "NA")</f>
        <v>1.0729847448922743E-3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-102.46</v>
      </c>
      <c r="I167" s="8">
        <f>IFERROR(H167/H444, "NA")</f>
        <v>-5.6636553738117585E-3</v>
      </c>
      <c r="J167" s="9"/>
      <c r="K167" s="7">
        <v>146.24</v>
      </c>
      <c r="L167" s="8">
        <f>IFERROR(K167/K444, "NA")</f>
        <v>2.0405620308392219E-3</v>
      </c>
      <c r="M167" s="9"/>
      <c r="N167" s="10">
        <f t="shared" si="41"/>
        <v>43.780000000000015</v>
      </c>
      <c r="O167" s="8">
        <f>IFERROR(N167/N444, "NA")</f>
        <v>1.8376342285189252E-3</v>
      </c>
      <c r="P167" s="9"/>
      <c r="Q167" s="7">
        <v>102.46</v>
      </c>
      <c r="R167" s="8">
        <f>IFERROR(Q167/Q444, "NA")</f>
        <v>1.0729847448922743E-3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-102.46</v>
      </c>
      <c r="X167" s="8">
        <f>IFERROR(W167/W444, "NA")</f>
        <v>-5.6636553738117585E-3</v>
      </c>
      <c r="Y167" s="9"/>
      <c r="Z167" s="7">
        <v>146.24</v>
      </c>
      <c r="AA167" s="8">
        <f>IFERROR(Z167/Z444, "NA")</f>
        <v>2.0405620308392219E-3</v>
      </c>
      <c r="AB167" s="9"/>
      <c r="AC167" s="10">
        <f t="shared" si="43"/>
        <v>43.780000000000015</v>
      </c>
      <c r="AD167" s="8">
        <f>IFERROR(AC167/AC444, "NA")</f>
        <v>1.8376342285189252E-3</v>
      </c>
    </row>
    <row r="168" spans="1:30" ht="16.5" customHeight="1" x14ac:dyDescent="0.45">
      <c r="A168" s="6" t="s">
        <v>156</v>
      </c>
      <c r="B168" s="7">
        <v>45.8</v>
      </c>
      <c r="C168" s="8">
        <f>IFERROR(B168/B444, "NA")</f>
        <v>4.7962816041446574E-4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-45.8</v>
      </c>
      <c r="I168" s="8">
        <f>IFERROR(H168/H444, "NA")</f>
        <v>-2.5316749572572572E-3</v>
      </c>
      <c r="J168" s="9"/>
      <c r="K168" s="7">
        <v>45.9</v>
      </c>
      <c r="L168" s="8">
        <f>IFERROR(K168/K444, "NA")</f>
        <v>6.4046633763348109E-4</v>
      </c>
      <c r="M168" s="9"/>
      <c r="N168" s="10">
        <f t="shared" si="41"/>
        <v>0.10000000000000142</v>
      </c>
      <c r="O168" s="8">
        <f>IFERROR(N168/N444, "NA")</f>
        <v>4.1974285713087048E-6</v>
      </c>
      <c r="P168" s="9"/>
      <c r="Q168" s="7">
        <v>45.8</v>
      </c>
      <c r="R168" s="8">
        <f>IFERROR(Q168/Q444, "NA")</f>
        <v>4.7962816041446574E-4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-45.8</v>
      </c>
      <c r="X168" s="8">
        <f>IFERROR(W168/W444, "NA")</f>
        <v>-2.5316749572572572E-3</v>
      </c>
      <c r="Y168" s="9"/>
      <c r="Z168" s="7">
        <v>45.9</v>
      </c>
      <c r="AA168" s="8">
        <f>IFERROR(Z168/Z444, "NA")</f>
        <v>6.4046633763348109E-4</v>
      </c>
      <c r="AB168" s="9"/>
      <c r="AC168" s="10">
        <f t="shared" si="43"/>
        <v>0.10000000000000142</v>
      </c>
      <c r="AD168" s="8">
        <f>IFERROR(AC168/AC444, "NA")</f>
        <v>4.1974285713087048E-6</v>
      </c>
    </row>
    <row r="169" spans="1:30" ht="16.5" customHeight="1" x14ac:dyDescent="0.45">
      <c r="A169" s="6" t="s">
        <v>157</v>
      </c>
      <c r="B169" s="7">
        <v>-3914.42</v>
      </c>
      <c r="C169" s="8">
        <f>IFERROR(B169/B444, "NA")</f>
        <v>-4.0992708814183258E-2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3914.42</v>
      </c>
      <c r="I169" s="8">
        <f>IFERROR(H169/H444, "NA")</f>
        <v>0.21637639926172386</v>
      </c>
      <c r="J169" s="9"/>
      <c r="K169" s="7">
        <v>-2394.5500000000002</v>
      </c>
      <c r="L169" s="8">
        <f>IFERROR(K169/K444, "NA")</f>
        <v>-3.3412389298044708E-2</v>
      </c>
      <c r="M169" s="9"/>
      <c r="N169" s="10">
        <f t="shared" si="41"/>
        <v>1519.87</v>
      </c>
      <c r="O169" s="8">
        <f>IFERROR(N169/N444, "NA")</f>
        <v>6.3795457626748694E-2</v>
      </c>
      <c r="P169" s="9"/>
      <c r="Q169" s="7">
        <v>-3914.42</v>
      </c>
      <c r="R169" s="8">
        <f>IFERROR(Q169/Q444, "NA")</f>
        <v>-4.0992708814183258E-2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3914.42</v>
      </c>
      <c r="X169" s="8">
        <f>IFERROR(W169/W444, "NA")</f>
        <v>0.21637639926172386</v>
      </c>
      <c r="Y169" s="9"/>
      <c r="Z169" s="7">
        <v>-2394.5500000000002</v>
      </c>
      <c r="AA169" s="8">
        <f>IFERROR(Z169/Z444, "NA")</f>
        <v>-3.3412389298044708E-2</v>
      </c>
      <c r="AB169" s="9"/>
      <c r="AC169" s="10">
        <f t="shared" si="43"/>
        <v>1519.87</v>
      </c>
      <c r="AD169" s="8">
        <f>IFERROR(AC169/AC444, "NA")</f>
        <v>6.3795457626748694E-2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-34.25</v>
      </c>
      <c r="C170" s="15">
        <f>IFERROR(B170/B444, "NA")</f>
        <v>-3.5867389725317584E-4</v>
      </c>
      <c r="D170" s="2"/>
      <c r="E170" s="14">
        <f>IFERROR(E151+E153+E154+E155+E156+E157+E160+E161+E162+E163+E164+E165+E167+E168+E169, "NA")</f>
        <v>1548</v>
      </c>
      <c r="F170" s="15">
        <f>IFERROR(E170/E444, "NA")</f>
        <v>2.0000038759765037E-2</v>
      </c>
      <c r="G170" s="2"/>
      <c r="H170" s="14">
        <f t="shared" si="40"/>
        <v>1582.25</v>
      </c>
      <c r="I170" s="15">
        <f>IFERROR(H170/H444, "NA")</f>
        <v>8.7461631028827411E-2</v>
      </c>
      <c r="J170" s="2"/>
      <c r="K170" s="14">
        <f>IFERROR(K151+K153+K154+K155+K156+K157+K160+K161+K162+K163+K164+K165+K167+K168+K169, "NA")</f>
        <v>1808.7799999999988</v>
      </c>
      <c r="L170" s="15">
        <f>IFERROR(K170/K444, "NA")</f>
        <v>2.5238838827553099E-2</v>
      </c>
      <c r="M170" s="2"/>
      <c r="N170" s="14">
        <f t="shared" si="41"/>
        <v>1843.0299999999988</v>
      </c>
      <c r="O170" s="15">
        <f>IFERROR(N170/N444, "NA")</f>
        <v>7.7359867797789666E-2</v>
      </c>
      <c r="P170" s="2"/>
      <c r="Q170" s="14">
        <f>IFERROR(Q151+Q153+Q154+Q155+Q156+Q157+Q160+Q161+Q162+Q163+Q164+Q165+Q167+Q168+Q169, "NA")</f>
        <v>-34.25</v>
      </c>
      <c r="R170" s="15">
        <f>IFERROR(Q170/Q444, "NA")</f>
        <v>-3.5867389725317584E-4</v>
      </c>
      <c r="S170" s="2"/>
      <c r="T170" s="14">
        <f>IFERROR(T151+T153+T154+T155+T156+T157+T160+T161+T162+T163+T164+T165+T167+T168+T169, "NA")</f>
        <v>1548</v>
      </c>
      <c r="U170" s="15">
        <f>IFERROR(T170/T444, "NA")</f>
        <v>2.0000038759765037E-2</v>
      </c>
      <c r="V170" s="2"/>
      <c r="W170" s="14">
        <f t="shared" si="42"/>
        <v>1582.25</v>
      </c>
      <c r="X170" s="15">
        <f>IFERROR(W170/W444, "NA")</f>
        <v>8.7461631028827411E-2</v>
      </c>
      <c r="Y170" s="2"/>
      <c r="Z170" s="14">
        <f>IFERROR(Z151+Z153+Z154+Z155+Z156+Z157+Z160+Z161+Z162+Z163+Z164+Z165+Z167+Z168+Z169, "NA")</f>
        <v>1808.7799999999988</v>
      </c>
      <c r="AA170" s="15">
        <f>IFERROR(Z170/Z444, "NA")</f>
        <v>2.5238838827553099E-2</v>
      </c>
      <c r="AB170" s="2"/>
      <c r="AC170" s="14">
        <f t="shared" si="43"/>
        <v>1843.0299999999988</v>
      </c>
      <c r="AD170" s="15">
        <f>IFERROR(AC170/AC444, "NA")</f>
        <v>7.7359867797789666E-2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23943.310000000005</v>
      </c>
      <c r="C171" s="15">
        <f>IFERROR(B171/B444, "NA")</f>
        <v>0.25073986309024637</v>
      </c>
      <c r="D171" s="2"/>
      <c r="E171" s="14">
        <f>IFERROR(E127+E129+E130+E131+E132+E133+E134+E135+E136+E137+E138+E139+E140+E143+E144+E145+E146+E147+E151+E153+E154+E155+E156+E157+E160+E161+E162+E163+E164+E165+E167+E168+E169, "NA")</f>
        <v>21749.360000000001</v>
      </c>
      <c r="F171" s="15">
        <f>IFERROR(E171/E444, "NA")</f>
        <v>0.28100002777783162</v>
      </c>
      <c r="G171" s="2"/>
      <c r="H171" s="14">
        <f t="shared" si="40"/>
        <v>-2193.9500000000044</v>
      </c>
      <c r="I171" s="15">
        <f>IFERROR(H171/H444, "NA")</f>
        <v>-0.12127441642957577</v>
      </c>
      <c r="J171" s="2"/>
      <c r="K171" s="14">
        <f>IFERROR(K127+K129+K130+K131+K132+K133+K134+K135+K136+K137+K138+K139+K140+K143+K144+K145+K146+K147+K151+K153+K154+K155+K156+K157+K160+K161+K162+K163+K164+K165+K167+K168+K169, "NA")</f>
        <v>22011.260000000002</v>
      </c>
      <c r="L171" s="15">
        <f>IFERROR(K171/K444, "NA")</f>
        <v>0.3071344461633625</v>
      </c>
      <c r="M171" s="2"/>
      <c r="N171" s="14">
        <f t="shared" si="41"/>
        <v>-1932.0500000000029</v>
      </c>
      <c r="O171" s="15">
        <f>IFERROR(N171/N444, "NA")</f>
        <v>-8.1096418711968793E-2</v>
      </c>
      <c r="P171" s="2"/>
      <c r="Q171" s="14">
        <f>IFERROR(Q127+Q129+Q130+Q131+Q132+Q133+Q134+Q135+Q136+Q137+Q138+Q139+Q140+Q143+Q144+Q145+Q146+Q147+Q151+Q153+Q154+Q155+Q156+Q157+Q160+Q161+Q162+Q163+Q164+Q165+Q167+Q168+Q169, "NA")</f>
        <v>23943.310000000005</v>
      </c>
      <c r="R171" s="15">
        <f>IFERROR(Q171/Q444, "NA")</f>
        <v>0.25073986309024637</v>
      </c>
      <c r="S171" s="2"/>
      <c r="T171" s="14">
        <f>IFERROR(T127+T129+T130+T131+T132+T133+T134+T135+T136+T137+T138+T139+T140+T143+T144+T145+T146+T147+T151+T153+T154+T155+T156+T157+T160+T161+T162+T163+T164+T165+T167+T168+T169, "NA")</f>
        <v>21749.360000000001</v>
      </c>
      <c r="U171" s="15">
        <f>IFERROR(T171/T444, "NA")</f>
        <v>0.28100002777783162</v>
      </c>
      <c r="V171" s="2"/>
      <c r="W171" s="14">
        <f t="shared" si="42"/>
        <v>-2193.9500000000044</v>
      </c>
      <c r="X171" s="15">
        <f>IFERROR(W171/W444, "NA")</f>
        <v>-0.12127441642957577</v>
      </c>
      <c r="Y171" s="2"/>
      <c r="Z171" s="14">
        <f>IFERROR(Z127+Z129+Z130+Z131+Z132+Z133+Z134+Z135+Z136+Z137+Z138+Z139+Z140+Z143+Z144+Z145+Z146+Z147+Z151+Z153+Z154+Z155+Z156+Z157+Z160+Z161+Z162+Z163+Z164+Z165+Z167+Z168+Z169, "NA")</f>
        <v>22011.260000000002</v>
      </c>
      <c r="AA171" s="15">
        <f>IFERROR(Z171/Z444, "NA")</f>
        <v>0.3071344461633625</v>
      </c>
      <c r="AB171" s="2"/>
      <c r="AC171" s="14">
        <f t="shared" si="43"/>
        <v>-1932.0500000000029</v>
      </c>
      <c r="AD171" s="15">
        <f>IFERROR(AC171/AC444, "NA")</f>
        <v>-8.1096418711968793E-2</v>
      </c>
    </row>
    <row r="172" spans="1:30" ht="16.5" customHeight="1" x14ac:dyDescent="0.45">
      <c r="A172" s="22" t="s">
        <v>160</v>
      </c>
      <c r="B172" s="23">
        <f>IFERROR(B124-B171, "NA")</f>
        <v>71547.330000000016</v>
      </c>
      <c r="C172" s="24">
        <f>IFERROR(B172/B444, "NA")</f>
        <v>0.74926013690975379</v>
      </c>
      <c r="D172" s="25"/>
      <c r="E172" s="23">
        <f>IFERROR(E124-E171, "NA")</f>
        <v>55650.489999999991</v>
      </c>
      <c r="F172" s="24">
        <f>IFERROR(E172/E444, "NA")</f>
        <v>0.71899997222216816</v>
      </c>
      <c r="G172" s="25"/>
      <c r="H172" s="23">
        <f>IFERROR(B172-E172, "NA")</f>
        <v>15896.840000000026</v>
      </c>
      <c r="I172" s="24">
        <f>IFERROR(H172/H444, "NA")</f>
        <v>0.87872558357042618</v>
      </c>
      <c r="J172" s="25"/>
      <c r="K172" s="23">
        <f>IFERROR(K124-K171, "NA")</f>
        <v>49655.270000000011</v>
      </c>
      <c r="L172" s="24">
        <f>IFERROR(K172/K444, "NA")</f>
        <v>0.69286555383663773</v>
      </c>
      <c r="M172" s="25"/>
      <c r="N172" s="23">
        <f>IFERROR(B172-K172, "NA")</f>
        <v>21892.060000000005</v>
      </c>
      <c r="O172" s="24">
        <f>IFERROR(N172/N444, "NA")</f>
        <v>0.91890358128803151</v>
      </c>
      <c r="P172" s="25"/>
      <c r="Q172" s="23">
        <f>IFERROR(Q124-Q171, "NA")</f>
        <v>71547.330000000016</v>
      </c>
      <c r="R172" s="24">
        <f>IFERROR(Q172/Q444, "NA")</f>
        <v>0.74926013690975379</v>
      </c>
      <c r="S172" s="25"/>
      <c r="T172" s="23">
        <f>IFERROR(T124-T171, "NA")</f>
        <v>55650.489999999991</v>
      </c>
      <c r="U172" s="24">
        <f>IFERROR(T172/T444, "NA")</f>
        <v>0.71899997222216816</v>
      </c>
      <c r="V172" s="25"/>
      <c r="W172" s="23">
        <f>IFERROR(Q172-T172, "NA")</f>
        <v>15896.840000000026</v>
      </c>
      <c r="X172" s="24">
        <f>IFERROR(W172/W444, "NA")</f>
        <v>0.87872558357042618</v>
      </c>
      <c r="Y172" s="25"/>
      <c r="Z172" s="23">
        <f>IFERROR(Z124-Z171, "NA")</f>
        <v>49655.270000000011</v>
      </c>
      <c r="AA172" s="24">
        <f>IFERROR(Z172/Z444, "NA")</f>
        <v>0.69286555383663773</v>
      </c>
      <c r="AB172" s="25"/>
      <c r="AC172" s="23">
        <f>IFERROR(Q172-Z172, "NA")</f>
        <v>21892.060000000005</v>
      </c>
      <c r="AD172" s="24">
        <f>IFERROR(AC172/AC444, "NA")</f>
        <v>0.91890358128803151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5.4375172268192981E-2</v>
      </c>
      <c r="D178" s="9"/>
      <c r="E178" s="7">
        <v>5461.54</v>
      </c>
      <c r="F178" s="8">
        <f>IFERROR(E178/E444, "NA")</f>
        <v>7.0562669049100218E-2</v>
      </c>
      <c r="G178" s="9"/>
      <c r="H178" s="10">
        <f t="shared" si="44"/>
        <v>269.22000000000025</v>
      </c>
      <c r="I178" s="8">
        <f>IFERROR(H178/H444, "NA")</f>
        <v>1.4881605502026189E-2</v>
      </c>
      <c r="J178" s="9"/>
      <c r="K178" s="7">
        <v>5192.32</v>
      </c>
      <c r="L178" s="8">
        <f>IFERROR(K178/K444, "NA")</f>
        <v>7.2451114906777261E-2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5192.32</v>
      </c>
      <c r="R178" s="8">
        <f>IFERROR(Q178/Q444, "NA")</f>
        <v>5.4375172268192981E-2</v>
      </c>
      <c r="S178" s="9"/>
      <c r="T178" s="7">
        <v>5461.54</v>
      </c>
      <c r="U178" s="8">
        <f>IFERROR(T178/T444, "NA")</f>
        <v>7.0562669049100218E-2</v>
      </c>
      <c r="V178" s="9"/>
      <c r="W178" s="10">
        <f t="shared" si="46"/>
        <v>269.22000000000025</v>
      </c>
      <c r="X178" s="8">
        <f>IFERROR(W178/W444, "NA")</f>
        <v>1.4881605502026189E-2</v>
      </c>
      <c r="Y178" s="9"/>
      <c r="Z178" s="7">
        <v>5192.32</v>
      </c>
      <c r="AA178" s="8">
        <f>IFERROR(Z178/Z444, "NA")</f>
        <v>7.2451114906777261E-2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19974.47</v>
      </c>
      <c r="C180" s="8">
        <f>IFERROR(B180/B444, "NA")</f>
        <v>0.20917725548807717</v>
      </c>
      <c r="D180" s="9"/>
      <c r="E180" s="7">
        <v>18575.96</v>
      </c>
      <c r="F180" s="8">
        <f>IFERROR(E180/E444, "NA")</f>
        <v>0.23999994832031327</v>
      </c>
      <c r="G180" s="9"/>
      <c r="H180" s="10">
        <f t="shared" si="44"/>
        <v>-1398.510000000002</v>
      </c>
      <c r="I180" s="8">
        <f>IFERROR(H180/H444, "NA")</f>
        <v>-7.7305081757071001E-2</v>
      </c>
      <c r="J180" s="9"/>
      <c r="K180" s="7">
        <v>20867.439999999999</v>
      </c>
      <c r="L180" s="8">
        <f>IFERROR(K180/K444, "NA")</f>
        <v>0.29117413665765596</v>
      </c>
      <c r="M180" s="9"/>
      <c r="N180" s="10">
        <f t="shared" si="45"/>
        <v>892.96999999999753</v>
      </c>
      <c r="O180" s="8">
        <f>IFERROR(N180/N444, "NA")</f>
        <v>3.7481777913214699E-2</v>
      </c>
      <c r="P180" s="9"/>
      <c r="Q180" s="7">
        <v>19974.47</v>
      </c>
      <c r="R180" s="8">
        <f>IFERROR(Q180/Q444, "NA")</f>
        <v>0.20917725548807717</v>
      </c>
      <c r="S180" s="9"/>
      <c r="T180" s="7">
        <v>18575.96</v>
      </c>
      <c r="U180" s="8">
        <f>IFERROR(T180/T444, "NA")</f>
        <v>0.23999994832031327</v>
      </c>
      <c r="V180" s="9"/>
      <c r="W180" s="10">
        <f t="shared" si="46"/>
        <v>-1398.510000000002</v>
      </c>
      <c r="X180" s="8">
        <f>IFERROR(W180/W444, "NA")</f>
        <v>-7.7305081757071001E-2</v>
      </c>
      <c r="Y180" s="9"/>
      <c r="Z180" s="7">
        <v>20867.439999999999</v>
      </c>
      <c r="AA180" s="8">
        <f>IFERROR(Z180/Z444, "NA")</f>
        <v>0.29117413665765596</v>
      </c>
      <c r="AB180" s="9"/>
      <c r="AC180" s="10">
        <f t="shared" si="47"/>
        <v>892.96999999999753</v>
      </c>
      <c r="AD180" s="8">
        <f>IFERROR(AC180/AC444, "NA")</f>
        <v>3.7481777913214699E-2</v>
      </c>
    </row>
    <row r="181" spans="1:30" ht="16.5" customHeight="1" x14ac:dyDescent="0.45">
      <c r="A181" s="12" t="s">
        <v>166</v>
      </c>
      <c r="B181" s="7">
        <v>15.86</v>
      </c>
      <c r="C181" s="8">
        <f>IFERROR(B181/B444, "NA")</f>
        <v>1.6608957694701804E-4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-15.86</v>
      </c>
      <c r="I181" s="8">
        <f>IFERROR(H181/H444, "NA")</f>
        <v>-8.7668918825546064E-4</v>
      </c>
      <c r="J181" s="9"/>
      <c r="K181" s="7">
        <v>107.93</v>
      </c>
      <c r="L181" s="8">
        <f>IFERROR(K181/K444, "NA")</f>
        <v>1.5060028719124535E-3</v>
      </c>
      <c r="M181" s="9"/>
      <c r="N181" s="10">
        <f t="shared" si="45"/>
        <v>92.070000000000007</v>
      </c>
      <c r="O181" s="8">
        <f>IFERROR(N181/N444, "NA")</f>
        <v>3.8645724856038698E-3</v>
      </c>
      <c r="P181" s="9"/>
      <c r="Q181" s="7">
        <v>15.86</v>
      </c>
      <c r="R181" s="8">
        <f>IFERROR(Q181/Q444, "NA")</f>
        <v>1.6608957694701804E-4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-15.86</v>
      </c>
      <c r="X181" s="8">
        <f>IFERROR(W181/W444, "NA")</f>
        <v>-8.7668918825546064E-4</v>
      </c>
      <c r="Y181" s="9"/>
      <c r="Z181" s="7">
        <v>107.93</v>
      </c>
      <c r="AA181" s="8">
        <f>IFERROR(Z181/Z444, "NA")</f>
        <v>1.5060028719124535E-3</v>
      </c>
      <c r="AB181" s="9"/>
      <c r="AC181" s="10">
        <f t="shared" si="47"/>
        <v>92.070000000000007</v>
      </c>
      <c r="AD181" s="8">
        <f>IFERROR(AC181/AC444, "NA")</f>
        <v>3.8645724856038698E-3</v>
      </c>
    </row>
    <row r="182" spans="1:30" ht="16.5" customHeight="1" x14ac:dyDescent="0.45">
      <c r="A182" s="13" t="s">
        <v>167</v>
      </c>
      <c r="B182" s="14">
        <f>IFERROR(B177+B178+B179+B180+B181, "NA")</f>
        <v>25182.65</v>
      </c>
      <c r="C182" s="15">
        <f>IFERROR(B182/B444, "NA")</f>
        <v>0.26371851733321716</v>
      </c>
      <c r="D182" s="2"/>
      <c r="E182" s="14">
        <f>IFERROR(E177+E178+E179+E180+E181, "NA")</f>
        <v>24037.5</v>
      </c>
      <c r="F182" s="15">
        <f>IFERROR(E182/E444, "NA")</f>
        <v>0.31056261736941349</v>
      </c>
      <c r="G182" s="2"/>
      <c r="H182" s="14">
        <f t="shared" si="44"/>
        <v>-1145.1500000000015</v>
      </c>
      <c r="I182" s="15">
        <f>IFERROR(H182/H444, "NA")</f>
        <v>-6.3300165443300263E-2</v>
      </c>
      <c r="J182" s="2"/>
      <c r="K182" s="14">
        <f>IFERROR(K177+K178+K179+K180+K181, "NA")</f>
        <v>26167.69</v>
      </c>
      <c r="L182" s="15">
        <f>IFERROR(K182/K444, "NA")</f>
        <v>0.36513125443634564</v>
      </c>
      <c r="M182" s="2"/>
      <c r="N182" s="14">
        <f t="shared" si="45"/>
        <v>985.03999999999724</v>
      </c>
      <c r="O182" s="15">
        <f>IFERROR(N182/N444, "NA")</f>
        <v>4.1346350398818559E-2</v>
      </c>
      <c r="P182" s="2"/>
      <c r="Q182" s="14">
        <f>IFERROR(Q177+Q178+Q179+Q180+Q181, "NA")</f>
        <v>25182.65</v>
      </c>
      <c r="R182" s="15">
        <f>IFERROR(Q182/Q444, "NA")</f>
        <v>0.26371851733321716</v>
      </c>
      <c r="S182" s="2"/>
      <c r="T182" s="14">
        <f>IFERROR(T177+T178+T179+T180+T181, "NA")</f>
        <v>24037.5</v>
      </c>
      <c r="U182" s="15">
        <f>IFERROR(T182/T444, "NA")</f>
        <v>0.31056261736941349</v>
      </c>
      <c r="V182" s="2"/>
      <c r="W182" s="14">
        <f t="shared" si="46"/>
        <v>-1145.1500000000015</v>
      </c>
      <c r="X182" s="15">
        <f>IFERROR(W182/W444, "NA")</f>
        <v>-6.3300165443300263E-2</v>
      </c>
      <c r="Y182" s="2"/>
      <c r="Z182" s="14">
        <f>IFERROR(Z177+Z178+Z179+Z180+Z181, "NA")</f>
        <v>26167.69</v>
      </c>
      <c r="AA182" s="15">
        <f>IFERROR(Z182/Z444, "NA")</f>
        <v>0.36513125443634564</v>
      </c>
      <c r="AB182" s="2"/>
      <c r="AC182" s="14">
        <f t="shared" si="47"/>
        <v>985.03999999999724</v>
      </c>
      <c r="AD182" s="15">
        <f>IFERROR(AC182/AC444, "NA")</f>
        <v>4.1346350398818559E-2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5.2361152883675299E-3</v>
      </c>
      <c r="D184" s="9"/>
      <c r="E184" s="7">
        <v>500</v>
      </c>
      <c r="F184" s="8">
        <f>IFERROR(E184/E444, "NA")</f>
        <v>6.4599608397173892E-3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4.1860544943364778E-3</v>
      </c>
      <c r="M184" s="9"/>
      <c r="N184" s="10">
        <f t="shared" si="45"/>
        <v>-200</v>
      </c>
      <c r="O184" s="8">
        <f>IFERROR(N184/N444, "NA")</f>
        <v>-8.3948571426172899E-3</v>
      </c>
      <c r="P184" s="9"/>
      <c r="Q184" s="7">
        <v>500</v>
      </c>
      <c r="R184" s="8">
        <f>IFERROR(Q184/Q444, "NA")</f>
        <v>5.2361152883675299E-3</v>
      </c>
      <c r="S184" s="9"/>
      <c r="T184" s="7">
        <v>500</v>
      </c>
      <c r="U184" s="8">
        <f>IFERROR(T184/T444, "NA")</f>
        <v>6.4599608397173892E-3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300</v>
      </c>
      <c r="AA184" s="8">
        <f>IFERROR(Z184/Z444, "NA")</f>
        <v>4.1860544943364778E-3</v>
      </c>
      <c r="AB184" s="9"/>
      <c r="AC184" s="10">
        <f t="shared" si="47"/>
        <v>-200</v>
      </c>
      <c r="AD184" s="8">
        <f>IFERROR(AC184/AC444, "NA")</f>
        <v>-8.3948571426172899E-3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2545.1999999999998</v>
      </c>
      <c r="C186" s="8">
        <f>IFERROR(B186/B444, "NA")</f>
        <v>2.6653921263906075E-2</v>
      </c>
      <c r="D186" s="9"/>
      <c r="E186" s="7">
        <v>3183.64</v>
      </c>
      <c r="F186" s="8">
        <f>IFERROR(E186/E444, "NA")</f>
        <v>4.1132379455515733E-2</v>
      </c>
      <c r="G186" s="9"/>
      <c r="H186" s="10">
        <f t="shared" ref="H186:H197" si="48">IFERROR(-(B186-E186), "NA")</f>
        <v>638.44000000000005</v>
      </c>
      <c r="I186" s="8">
        <f>IFERROR(H186/H444, "NA")</f>
        <v>3.529088558321667E-2</v>
      </c>
      <c r="J186" s="9"/>
      <c r="K186" s="7">
        <v>3250.95</v>
      </c>
      <c r="L186" s="8">
        <f>IFERROR(K186/K444, "NA")</f>
        <v>4.5362179527877237E-2</v>
      </c>
      <c r="M186" s="9"/>
      <c r="N186" s="10">
        <f t="shared" ref="N186:N197" si="49">IFERROR(-(B186-K186), "NA")</f>
        <v>705.75</v>
      </c>
      <c r="O186" s="8">
        <f>IFERROR(N186/N444, "NA")</f>
        <v>2.9623352142010759E-2</v>
      </c>
      <c r="P186" s="9"/>
      <c r="Q186" s="7">
        <v>2545.1999999999998</v>
      </c>
      <c r="R186" s="8">
        <f>IFERROR(Q186/Q444, "NA")</f>
        <v>2.6653921263906075E-2</v>
      </c>
      <c r="S186" s="9"/>
      <c r="T186" s="7">
        <v>3183.64</v>
      </c>
      <c r="U186" s="8">
        <f>IFERROR(T186/T444, "NA")</f>
        <v>4.1132379455515733E-2</v>
      </c>
      <c r="V186" s="9"/>
      <c r="W186" s="10">
        <f t="shared" ref="W186:W197" si="50">IFERROR(-(Q186-T186), "NA")</f>
        <v>638.44000000000005</v>
      </c>
      <c r="X186" s="8">
        <f>IFERROR(W186/W444, "NA")</f>
        <v>3.529088558321667E-2</v>
      </c>
      <c r="Y186" s="9"/>
      <c r="Z186" s="7">
        <v>3250.95</v>
      </c>
      <c r="AA186" s="8">
        <f>IFERROR(Z186/Z444, "NA")</f>
        <v>4.5362179527877237E-2</v>
      </c>
      <c r="AB186" s="9"/>
      <c r="AC186" s="10">
        <f t="shared" ref="AC186:AC197" si="51">IFERROR(-(Q186-Z186), "NA")</f>
        <v>705.75</v>
      </c>
      <c r="AD186" s="8">
        <f>IFERROR(AC186/AC444, "NA")</f>
        <v>2.9623352142010759E-2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-0.02</v>
      </c>
      <c r="L187" s="8">
        <f>IFERROR(K187/K444, "NA")</f>
        <v>-2.7907029962243183E-7</v>
      </c>
      <c r="M187" s="9"/>
      <c r="N187" s="10">
        <f t="shared" si="49"/>
        <v>-0.02</v>
      </c>
      <c r="O187" s="8">
        <f>IFERROR(N187/N444, "NA")</f>
        <v>-8.3948571426172897E-7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-0.02</v>
      </c>
      <c r="AA187" s="8">
        <f>IFERROR(Z187/Z444, "NA")</f>
        <v>-2.7907029962243183E-7</v>
      </c>
      <c r="AB187" s="9"/>
      <c r="AC187" s="10">
        <f t="shared" si="51"/>
        <v>-0.02</v>
      </c>
      <c r="AD187" s="8">
        <f>IFERROR(AC187/AC444, "NA")</f>
        <v>-8.3948571426172897E-7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2545.1999999999998</v>
      </c>
      <c r="C193" s="15">
        <f>IFERROR(B193/B444, "NA")</f>
        <v>2.6653921263906075E-2</v>
      </c>
      <c r="D193" s="2"/>
      <c r="E193" s="14">
        <f>IFERROR(E186+E187+E188+E189+E190+E191+E192, "NA")</f>
        <v>3183.64</v>
      </c>
      <c r="F193" s="15">
        <f>IFERROR(E193/E444, "NA")</f>
        <v>4.1132379455515733E-2</v>
      </c>
      <c r="G193" s="2"/>
      <c r="H193" s="14">
        <f t="shared" si="48"/>
        <v>638.44000000000005</v>
      </c>
      <c r="I193" s="15">
        <f>IFERROR(H193/H444, "NA")</f>
        <v>3.529088558321667E-2</v>
      </c>
      <c r="J193" s="2"/>
      <c r="K193" s="14">
        <f>IFERROR(K186+K187+K188+K189+K190+K191+K192, "NA")</f>
        <v>3250.93</v>
      </c>
      <c r="L193" s="15">
        <f>IFERROR(K193/K444, "NA")</f>
        <v>4.5361900457577618E-2</v>
      </c>
      <c r="M193" s="2"/>
      <c r="N193" s="14">
        <f t="shared" si="49"/>
        <v>705.73</v>
      </c>
      <c r="O193" s="15">
        <f>IFERROR(N193/N444, "NA")</f>
        <v>2.96225126562965E-2</v>
      </c>
      <c r="P193" s="2"/>
      <c r="Q193" s="14">
        <f>IFERROR(Q186+Q187+Q188+Q189+Q190+Q191+Q192, "NA")</f>
        <v>2545.1999999999998</v>
      </c>
      <c r="R193" s="15">
        <f>IFERROR(Q193/Q444, "NA")</f>
        <v>2.6653921263906075E-2</v>
      </c>
      <c r="S193" s="2"/>
      <c r="T193" s="14">
        <f>IFERROR(T186+T187+T188+T189+T190+T191+T192, "NA")</f>
        <v>3183.64</v>
      </c>
      <c r="U193" s="15">
        <f>IFERROR(T193/T444, "NA")</f>
        <v>4.1132379455515733E-2</v>
      </c>
      <c r="V193" s="2"/>
      <c r="W193" s="14">
        <f t="shared" si="50"/>
        <v>638.44000000000005</v>
      </c>
      <c r="X193" s="15">
        <f>IFERROR(W193/W444, "NA")</f>
        <v>3.529088558321667E-2</v>
      </c>
      <c r="Y193" s="2"/>
      <c r="Z193" s="14">
        <f>IFERROR(Z186+Z187+Z188+Z189+Z190+Z191+Z192, "NA")</f>
        <v>3250.93</v>
      </c>
      <c r="AA193" s="15">
        <f>IFERROR(Z193/Z444, "NA")</f>
        <v>4.5361900457577618E-2</v>
      </c>
      <c r="AB193" s="2"/>
      <c r="AC193" s="14">
        <f t="shared" si="51"/>
        <v>705.73</v>
      </c>
      <c r="AD193" s="15">
        <f>IFERROR(AC193/AC444, "NA")</f>
        <v>2.96225126562965E-2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2.886146746948183E-3</v>
      </c>
      <c r="D194" s="9"/>
      <c r="E194" s="7">
        <v>196.3</v>
      </c>
      <c r="F194" s="8">
        <f>IFERROR(E194/E444, "NA")</f>
        <v>2.5361806256730471E-3</v>
      </c>
      <c r="G194" s="9"/>
      <c r="H194" s="10">
        <f t="shared" si="48"/>
        <v>-79.300000000000011</v>
      </c>
      <c r="I194" s="8">
        <f>IFERROR(H194/H444, "NA")</f>
        <v>-4.3834459412773041E-3</v>
      </c>
      <c r="J194" s="9"/>
      <c r="K194" s="7">
        <v>0</v>
      </c>
      <c r="L194" s="8">
        <f>IFERROR(K194/K444, "NA")</f>
        <v>0</v>
      </c>
      <c r="M194" s="9"/>
      <c r="N194" s="10">
        <f t="shared" si="49"/>
        <v>-275.60000000000002</v>
      </c>
      <c r="O194" s="8">
        <f>IFERROR(N194/N444, "NA")</f>
        <v>-1.1568113142526626E-2</v>
      </c>
      <c r="P194" s="9"/>
      <c r="Q194" s="7">
        <v>275.60000000000002</v>
      </c>
      <c r="R194" s="8">
        <f>IFERROR(Q194/Q444, "NA")</f>
        <v>2.886146746948183E-3</v>
      </c>
      <c r="S194" s="9"/>
      <c r="T194" s="7">
        <v>196.3</v>
      </c>
      <c r="U194" s="8">
        <f>IFERROR(T194/T444, "NA")</f>
        <v>2.5361806256730471E-3</v>
      </c>
      <c r="V194" s="9"/>
      <c r="W194" s="10">
        <f t="shared" si="50"/>
        <v>-79.300000000000011</v>
      </c>
      <c r="X194" s="8">
        <f>IFERROR(W194/W444, "NA")</f>
        <v>-4.3834459412773041E-3</v>
      </c>
      <c r="Y194" s="9"/>
      <c r="Z194" s="7">
        <v>0</v>
      </c>
      <c r="AA194" s="8">
        <f>IFERROR(Z194/Z444, "NA")</f>
        <v>0</v>
      </c>
      <c r="AB194" s="9"/>
      <c r="AC194" s="10">
        <f t="shared" si="51"/>
        <v>-275.60000000000002</v>
      </c>
      <c r="AD194" s="8">
        <f>IFERROR(AC194/AC444, "NA")</f>
        <v>-1.1568113142526626E-2</v>
      </c>
    </row>
    <row r="195" spans="1:30" ht="16.5" customHeight="1" x14ac:dyDescent="0.45">
      <c r="A195" s="6" t="s">
        <v>179</v>
      </c>
      <c r="B195" s="7">
        <v>895</v>
      </c>
      <c r="C195" s="8">
        <f>IFERROR(B195/B444, "NA")</f>
        <v>9.3726463661778781E-3</v>
      </c>
      <c r="D195" s="9"/>
      <c r="E195" s="7">
        <v>171.76</v>
      </c>
      <c r="F195" s="8">
        <f>IFERROR(E195/E444, "NA")</f>
        <v>2.2191257476597173E-3</v>
      </c>
      <c r="G195" s="9"/>
      <c r="H195" s="10">
        <f t="shared" si="48"/>
        <v>-723.24</v>
      </c>
      <c r="I195" s="8">
        <f>IFERROR(H195/H444, "NA")</f>
        <v>-3.9978353626348009E-2</v>
      </c>
      <c r="J195" s="9"/>
      <c r="K195" s="7">
        <v>807.33</v>
      </c>
      <c r="L195" s="8">
        <f>IFERROR(K195/K444, "NA")</f>
        <v>1.1265091249708896E-2</v>
      </c>
      <c r="M195" s="9"/>
      <c r="N195" s="10">
        <f t="shared" si="49"/>
        <v>-87.669999999999959</v>
      </c>
      <c r="O195" s="8">
        <f>IFERROR(N195/N444, "NA")</f>
        <v>-3.6798856284662872E-3</v>
      </c>
      <c r="P195" s="9"/>
      <c r="Q195" s="7">
        <v>895</v>
      </c>
      <c r="R195" s="8">
        <f>IFERROR(Q195/Q444, "NA")</f>
        <v>9.3726463661778781E-3</v>
      </c>
      <c r="S195" s="9"/>
      <c r="T195" s="7">
        <v>171.76</v>
      </c>
      <c r="U195" s="8">
        <f>IFERROR(T195/T444, "NA")</f>
        <v>2.2191257476597173E-3</v>
      </c>
      <c r="V195" s="9"/>
      <c r="W195" s="10">
        <f t="shared" si="50"/>
        <v>-723.24</v>
      </c>
      <c r="X195" s="8">
        <f>IFERROR(W195/W444, "NA")</f>
        <v>-3.9978353626348009E-2</v>
      </c>
      <c r="Y195" s="9"/>
      <c r="Z195" s="7">
        <v>807.33</v>
      </c>
      <c r="AA195" s="8">
        <f>IFERROR(Z195/Z444, "NA")</f>
        <v>1.1265091249708896E-2</v>
      </c>
      <c r="AB195" s="9"/>
      <c r="AC195" s="10">
        <f t="shared" si="51"/>
        <v>-87.669999999999959</v>
      </c>
      <c r="AD195" s="8">
        <f>IFERROR(AC195/AC444, "NA")</f>
        <v>-3.6798856284662872E-3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29398.45</v>
      </c>
      <c r="C196" s="15">
        <f>IFERROR(B196/B444, "NA")</f>
        <v>0.30786734699861684</v>
      </c>
      <c r="D196" s="2"/>
      <c r="E196" s="14">
        <f>IFERROR(E175+E177+E178+E179+E180+E181+E183+E184+E186+E187+E188+E189+E190+E191+E192+E194+E195, "NA")</f>
        <v>28089.199999999997</v>
      </c>
      <c r="F196" s="15">
        <f>IFERROR(E196/E444, "NA")</f>
        <v>0.36291026403797932</v>
      </c>
      <c r="G196" s="2"/>
      <c r="H196" s="14">
        <f t="shared" si="48"/>
        <v>-1309.2500000000036</v>
      </c>
      <c r="I196" s="15">
        <f>IFERROR(H196/H444, "NA")</f>
        <v>-7.2371079427709026E-2</v>
      </c>
      <c r="J196" s="2"/>
      <c r="K196" s="14">
        <f>IFERROR(K175+K177+K178+K179+K180+K181+K183+K184+K186+K187+K188+K189+K190+K191+K192+K194+K195, "NA")</f>
        <v>30525.95</v>
      </c>
      <c r="L196" s="15">
        <f>IFERROR(K196/K444, "NA")</f>
        <v>0.42594430063796868</v>
      </c>
      <c r="M196" s="2"/>
      <c r="N196" s="14">
        <f t="shared" si="49"/>
        <v>1127.5</v>
      </c>
      <c r="O196" s="15">
        <f>IFERROR(N196/N444, "NA")</f>
        <v>4.7326007141504971E-2</v>
      </c>
      <c r="P196" s="2"/>
      <c r="Q196" s="14">
        <f>IFERROR(Q175+Q177+Q178+Q179+Q180+Q181+Q183+Q184+Q186+Q187+Q188+Q189+Q190+Q191+Q192+Q194+Q195, "NA")</f>
        <v>29398.45</v>
      </c>
      <c r="R196" s="15">
        <f>IFERROR(Q196/Q444, "NA")</f>
        <v>0.30786734699861684</v>
      </c>
      <c r="S196" s="2"/>
      <c r="T196" s="14">
        <f>IFERROR(T175+T177+T178+T179+T180+T181+T183+T184+T186+T187+T188+T189+T190+T191+T192+T194+T195, "NA")</f>
        <v>28089.199999999997</v>
      </c>
      <c r="U196" s="15">
        <f>IFERROR(T196/T444, "NA")</f>
        <v>0.36291026403797932</v>
      </c>
      <c r="V196" s="2"/>
      <c r="W196" s="14">
        <f t="shared" si="50"/>
        <v>-1309.2500000000036</v>
      </c>
      <c r="X196" s="15">
        <f>IFERROR(W196/W444, "NA")</f>
        <v>-7.2371079427709026E-2</v>
      </c>
      <c r="Y196" s="2"/>
      <c r="Z196" s="14">
        <f>IFERROR(Z175+Z177+Z178+Z179+Z180+Z181+Z183+Z184+Z186+Z187+Z188+Z189+Z190+Z191+Z192+Z194+Z195, "NA")</f>
        <v>30525.95</v>
      </c>
      <c r="AA196" s="15">
        <f>IFERROR(Z196/Z444, "NA")</f>
        <v>0.42594430063796868</v>
      </c>
      <c r="AB196" s="2"/>
      <c r="AC196" s="14">
        <f t="shared" si="51"/>
        <v>1127.5</v>
      </c>
      <c r="AD196" s="15">
        <f>IFERROR(AC196/AC444, "NA")</f>
        <v>4.7326007141504971E-2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29398.45</v>
      </c>
      <c r="C197" s="15">
        <f>IFERROR(B197/B444, "NA")</f>
        <v>0.30786734699861684</v>
      </c>
      <c r="D197" s="2"/>
      <c r="E197" s="14">
        <f>IFERROR(E175+E177+E178+E179+E180+E181+E183+E184+E186+E187+E188+E189+E190+E191+E192+E194+E195, "NA")</f>
        <v>28089.199999999997</v>
      </c>
      <c r="F197" s="15">
        <f>IFERROR(E197/E444, "NA")</f>
        <v>0.36291026403797932</v>
      </c>
      <c r="G197" s="2"/>
      <c r="H197" s="14">
        <f t="shared" si="48"/>
        <v>-1309.2500000000036</v>
      </c>
      <c r="I197" s="15">
        <f>IFERROR(H197/H444, "NA")</f>
        <v>-7.2371079427709026E-2</v>
      </c>
      <c r="J197" s="2"/>
      <c r="K197" s="14">
        <f>IFERROR(K175+K177+K178+K179+K180+K181+K183+K184+K186+K187+K188+K189+K190+K191+K192+K194+K195, "NA")</f>
        <v>30525.95</v>
      </c>
      <c r="L197" s="15">
        <f>IFERROR(K197/K444, "NA")</f>
        <v>0.42594430063796868</v>
      </c>
      <c r="M197" s="2"/>
      <c r="N197" s="14">
        <f t="shared" si="49"/>
        <v>1127.5</v>
      </c>
      <c r="O197" s="15">
        <f>IFERROR(N197/N444, "NA")</f>
        <v>4.7326007141504971E-2</v>
      </c>
      <c r="P197" s="2"/>
      <c r="Q197" s="14">
        <f>IFERROR(Q175+Q177+Q178+Q179+Q180+Q181+Q183+Q184+Q186+Q187+Q188+Q189+Q190+Q191+Q192+Q194+Q195, "NA")</f>
        <v>29398.45</v>
      </c>
      <c r="R197" s="15">
        <f>IFERROR(Q197/Q444, "NA")</f>
        <v>0.30786734699861684</v>
      </c>
      <c r="S197" s="2"/>
      <c r="T197" s="14">
        <f>IFERROR(T175+T177+T178+T179+T180+T181+T183+T184+T186+T187+T188+T189+T190+T191+T192+T194+T195, "NA")</f>
        <v>28089.199999999997</v>
      </c>
      <c r="U197" s="15">
        <f>IFERROR(T197/T444, "NA")</f>
        <v>0.36291026403797932</v>
      </c>
      <c r="V197" s="2"/>
      <c r="W197" s="14">
        <f t="shared" si="50"/>
        <v>-1309.2500000000036</v>
      </c>
      <c r="X197" s="15">
        <f>IFERROR(W197/W444, "NA")</f>
        <v>-7.2371079427709026E-2</v>
      </c>
      <c r="Y197" s="2"/>
      <c r="Z197" s="14">
        <f>IFERROR(Z175+Z177+Z178+Z179+Z180+Z181+Z183+Z184+Z186+Z187+Z188+Z189+Z190+Z191+Z192+Z194+Z195, "NA")</f>
        <v>30525.95</v>
      </c>
      <c r="AA197" s="15">
        <f>IFERROR(Z197/Z444, "NA")</f>
        <v>0.42594430063796868</v>
      </c>
      <c r="AB197" s="2"/>
      <c r="AC197" s="14">
        <f t="shared" si="51"/>
        <v>1127.5</v>
      </c>
      <c r="AD197" s="15">
        <f>IFERROR(AC197/AC444, "NA")</f>
        <v>4.7326007141504971E-2</v>
      </c>
    </row>
    <row r="198" spans="1:30" ht="16.5" customHeight="1" x14ac:dyDescent="0.45">
      <c r="A198" s="22" t="s">
        <v>181</v>
      </c>
      <c r="B198" s="23">
        <f>IFERROR(B172-B197, "NA")</f>
        <v>42148.880000000019</v>
      </c>
      <c r="C198" s="24">
        <f>IFERROR(B198/B444, "NA")</f>
        <v>0.44139278991113706</v>
      </c>
      <c r="D198" s="25"/>
      <c r="E198" s="23">
        <f>IFERROR(E172-E197, "NA")</f>
        <v>27561.289999999994</v>
      </c>
      <c r="F198" s="24">
        <f>IFERROR(E198/E444, "NA")</f>
        <v>0.35608970818418889</v>
      </c>
      <c r="G198" s="25"/>
      <c r="H198" s="23">
        <f>IFERROR(B198-E198, "NA")</f>
        <v>14587.590000000026</v>
      </c>
      <c r="I198" s="24">
        <f>IFERROR(H198/H444, "NA")</f>
        <v>0.80635450414271737</v>
      </c>
      <c r="J198" s="25"/>
      <c r="K198" s="23">
        <f>IFERROR(K172-K197, "NA")</f>
        <v>19129.320000000011</v>
      </c>
      <c r="L198" s="24">
        <f>IFERROR(K198/K444, "NA")</f>
        <v>0.26692125319866905</v>
      </c>
      <c r="M198" s="25"/>
      <c r="N198" s="23">
        <f>IFERROR(B198-K198, "NA")</f>
        <v>23019.560000000009</v>
      </c>
      <c r="O198" s="24">
        <f>IFERROR(N198/N444, "NA")</f>
        <v>0.96622958842953666</v>
      </c>
      <c r="P198" s="25"/>
      <c r="Q198" s="23">
        <f>IFERROR(Q172-Q197, "NA")</f>
        <v>42148.880000000019</v>
      </c>
      <c r="R198" s="24">
        <f>IFERROR(Q198/Q444, "NA")</f>
        <v>0.44139278991113706</v>
      </c>
      <c r="S198" s="25"/>
      <c r="T198" s="23">
        <f>IFERROR(T172-T197, "NA")</f>
        <v>27561.289999999994</v>
      </c>
      <c r="U198" s="24">
        <f>IFERROR(T198/T444, "NA")</f>
        <v>0.35608970818418889</v>
      </c>
      <c r="V198" s="25"/>
      <c r="W198" s="23">
        <f>IFERROR(Q198-T198, "NA")</f>
        <v>14587.590000000026</v>
      </c>
      <c r="X198" s="24">
        <f>IFERROR(W198/W444, "NA")</f>
        <v>0.80635450414271737</v>
      </c>
      <c r="Y198" s="25"/>
      <c r="Z198" s="23">
        <f>IFERROR(Z172-Z197, "NA")</f>
        <v>19129.320000000011</v>
      </c>
      <c r="AA198" s="24">
        <f>IFERROR(Z198/Z444, "NA")</f>
        <v>0.26692125319866905</v>
      </c>
      <c r="AB198" s="25"/>
      <c r="AC198" s="23">
        <f>IFERROR(Q198-Z198, "NA")</f>
        <v>23019.560000000009</v>
      </c>
      <c r="AD198" s="24">
        <f>IFERROR(AC198/AC444, "NA")</f>
        <v>0.96622958842953666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1548</v>
      </c>
      <c r="F201" s="8">
        <f>IFERROR(E201/E444, "NA")</f>
        <v>2.0000038759765037E-2</v>
      </c>
      <c r="G201" s="9"/>
      <c r="H201" s="10">
        <f t="shared" ref="H201:H209" si="52">IFERROR(-(B201-E201), "NA")</f>
        <v>1548</v>
      </c>
      <c r="I201" s="8">
        <f>IFERROR(H201/H444, "NA")</f>
        <v>8.5568402485463629E-2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1548</v>
      </c>
      <c r="U201" s="8">
        <f>IFERROR(T201/T444, "NA")</f>
        <v>2.0000038759765037E-2</v>
      </c>
      <c r="V201" s="9"/>
      <c r="W201" s="10">
        <f t="shared" ref="W201:W209" si="54">IFERROR(-(Q201-T201), "NA")</f>
        <v>1548</v>
      </c>
      <c r="X201" s="8">
        <f>IFERROR(W201/W444, "NA")</f>
        <v>8.5568402485463629E-2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818.59</v>
      </c>
      <c r="C202" s="8">
        <f>IFERROR(B202/B444, "NA")</f>
        <v>8.5724632278095531E-3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-818.59</v>
      </c>
      <c r="I202" s="8">
        <f>IFERROR(H202/H444, "NA")</f>
        <v>-4.5248991337581188E-2</v>
      </c>
      <c r="J202" s="9"/>
      <c r="K202" s="7">
        <v>694.03</v>
      </c>
      <c r="L202" s="8">
        <f>IFERROR(K202/K444, "NA")</f>
        <v>9.6841580023478181E-3</v>
      </c>
      <c r="M202" s="9"/>
      <c r="N202" s="10">
        <f t="shared" si="53"/>
        <v>-124.56000000000006</v>
      </c>
      <c r="O202" s="8">
        <f>IFERROR(N202/N444, "NA")</f>
        <v>-5.2283170284220509E-3</v>
      </c>
      <c r="P202" s="9"/>
      <c r="Q202" s="7">
        <v>818.59</v>
      </c>
      <c r="R202" s="8">
        <f>IFERROR(Q202/Q444, "NA")</f>
        <v>8.5724632278095531E-3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-818.59</v>
      </c>
      <c r="X202" s="8">
        <f>IFERROR(W202/W444, "NA")</f>
        <v>-4.5248991337581188E-2</v>
      </c>
      <c r="Y202" s="9"/>
      <c r="Z202" s="7">
        <v>694.03</v>
      </c>
      <c r="AA202" s="8">
        <f>IFERROR(Z202/Z444, "NA")</f>
        <v>9.6841580023478181E-3</v>
      </c>
      <c r="AB202" s="9"/>
      <c r="AC202" s="10">
        <f t="shared" si="55"/>
        <v>-124.56000000000006</v>
      </c>
      <c r="AD202" s="8">
        <f>IFERROR(AC202/AC444, "NA")</f>
        <v>-5.2283170284220509E-3</v>
      </c>
    </row>
    <row r="203" spans="1:30" ht="16.5" customHeight="1" x14ac:dyDescent="0.45">
      <c r="A203" s="6" t="s">
        <v>185</v>
      </c>
      <c r="B203" s="7">
        <v>524.75</v>
      </c>
      <c r="C203" s="8">
        <f>IFERROR(B203/B444, "NA")</f>
        <v>5.495302995141723E-3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-524.75</v>
      </c>
      <c r="I203" s="8">
        <f>IFERROR(H203/H444, "NA")</f>
        <v>-2.9006472354164755E-2</v>
      </c>
      <c r="J203" s="9"/>
      <c r="K203" s="7">
        <v>424.93</v>
      </c>
      <c r="L203" s="8">
        <f>IFERROR(K203/K444, "NA")</f>
        <v>5.9292671209279979E-3</v>
      </c>
      <c r="M203" s="9"/>
      <c r="N203" s="10">
        <f t="shared" si="53"/>
        <v>-99.82</v>
      </c>
      <c r="O203" s="8">
        <f>IFERROR(N203/N444, "NA")</f>
        <v>-4.1898731998802887E-3</v>
      </c>
      <c r="P203" s="9"/>
      <c r="Q203" s="7">
        <v>524.75</v>
      </c>
      <c r="R203" s="8">
        <f>IFERROR(Q203/Q444, "NA")</f>
        <v>5.495302995141723E-3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-524.75</v>
      </c>
      <c r="X203" s="8">
        <f>IFERROR(W203/W444, "NA")</f>
        <v>-2.9006472354164755E-2</v>
      </c>
      <c r="Y203" s="9"/>
      <c r="Z203" s="7">
        <v>424.93</v>
      </c>
      <c r="AA203" s="8">
        <f>IFERROR(Z203/Z444, "NA")</f>
        <v>5.9292671209279979E-3</v>
      </c>
      <c r="AB203" s="9"/>
      <c r="AC203" s="10">
        <f t="shared" si="55"/>
        <v>-99.82</v>
      </c>
      <c r="AD203" s="8">
        <f>IFERROR(AC203/AC444, "NA")</f>
        <v>-4.1898731998802887E-3</v>
      </c>
    </row>
    <row r="204" spans="1:30" ht="16.5" customHeight="1" x14ac:dyDescent="0.45">
      <c r="A204" s="6" t="s">
        <v>186</v>
      </c>
      <c r="B204" s="7">
        <v>22.7</v>
      </c>
      <c r="C204" s="8">
        <f>IFERROR(B204/B444, "NA")</f>
        <v>2.3771963409188586E-4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-22.7</v>
      </c>
      <c r="I204" s="8">
        <f>IFERROR(H204/H444, "NA")</f>
        <v>-1.2547821294703E-3</v>
      </c>
      <c r="J204" s="9"/>
      <c r="K204" s="7">
        <v>43.44</v>
      </c>
      <c r="L204" s="8">
        <f>IFERROR(K204/K444, "NA")</f>
        <v>6.0614069077992189E-4</v>
      </c>
      <c r="M204" s="9"/>
      <c r="N204" s="10">
        <f t="shared" si="53"/>
        <v>20.74</v>
      </c>
      <c r="O204" s="8">
        <f>IFERROR(N204/N444, "NA")</f>
        <v>8.7054668568941284E-4</v>
      </c>
      <c r="P204" s="9"/>
      <c r="Q204" s="7">
        <v>22.7</v>
      </c>
      <c r="R204" s="8">
        <f>IFERROR(Q204/Q444, "NA")</f>
        <v>2.3771963409188586E-4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-22.7</v>
      </c>
      <c r="X204" s="8">
        <f>IFERROR(W204/W444, "NA")</f>
        <v>-1.2547821294703E-3</v>
      </c>
      <c r="Y204" s="9"/>
      <c r="Z204" s="7">
        <v>43.44</v>
      </c>
      <c r="AA204" s="8">
        <f>IFERROR(Z204/Z444, "NA")</f>
        <v>6.0614069077992189E-4</v>
      </c>
      <c r="AB204" s="9"/>
      <c r="AC204" s="10">
        <f t="shared" si="55"/>
        <v>20.74</v>
      </c>
      <c r="AD204" s="8">
        <f>IFERROR(AC204/AC444, "NA")</f>
        <v>8.7054668568941284E-4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3.8144052652699786E-3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-2.0134001887148111E-2</v>
      </c>
      <c r="J205" s="9"/>
      <c r="K205" s="7">
        <v>424.98</v>
      </c>
      <c r="L205" s="8">
        <f>IFERROR(K205/K444, "NA")</f>
        <v>5.9299647966770544E-3</v>
      </c>
      <c r="M205" s="9"/>
      <c r="N205" s="10">
        <f t="shared" si="53"/>
        <v>60.740000000000009</v>
      </c>
      <c r="O205" s="8">
        <f>IFERROR(N205/N444, "NA")</f>
        <v>2.5495181142128711E-3</v>
      </c>
      <c r="P205" s="9"/>
      <c r="Q205" s="7">
        <v>364.24</v>
      </c>
      <c r="R205" s="8">
        <f>IFERROR(Q205/Q444, "NA")</f>
        <v>3.8144052652699786E-3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-364.24</v>
      </c>
      <c r="X205" s="8">
        <f>IFERROR(W205/W444, "NA")</f>
        <v>-2.0134001887148111E-2</v>
      </c>
      <c r="Y205" s="9"/>
      <c r="Z205" s="7">
        <v>424.98</v>
      </c>
      <c r="AA205" s="8">
        <f>IFERROR(Z205/Z444, "NA")</f>
        <v>5.9299647966770544E-3</v>
      </c>
      <c r="AB205" s="9"/>
      <c r="AC205" s="10">
        <f t="shared" si="55"/>
        <v>60.740000000000009</v>
      </c>
      <c r="AD205" s="8">
        <f>IFERROR(AC205/AC444, "NA")</f>
        <v>2.5495181142128711E-3</v>
      </c>
    </row>
    <row r="206" spans="1:30" ht="16.5" hidden="1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0</v>
      </c>
      <c r="R206" s="8">
        <f>IFERROR(Q206/Q444, "NA")</f>
        <v>0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0</v>
      </c>
      <c r="X206" s="8">
        <f>IFERROR(W206/W444, "NA")</f>
        <v>0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0</v>
      </c>
      <c r="AD206" s="8">
        <f>IFERROR(AC206/AC444, "NA")</f>
        <v>0</v>
      </c>
    </row>
    <row r="207" spans="1:30" ht="16.5" customHeight="1" x14ac:dyDescent="0.45">
      <c r="A207" s="6" t="s">
        <v>189</v>
      </c>
      <c r="B207" s="7">
        <v>99.6</v>
      </c>
      <c r="C207" s="8">
        <f>IFERROR(B207/B444, "NA")</f>
        <v>1.043034165442812E-3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-99.6</v>
      </c>
      <c r="I207" s="8">
        <f>IFERROR(H207/H444, "NA")</f>
        <v>-5.5055638808476593E-3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-99.6</v>
      </c>
      <c r="O207" s="8">
        <f>IFERROR(N207/N444, "NA")</f>
        <v>-4.1806388570234101E-3</v>
      </c>
      <c r="P207" s="9"/>
      <c r="Q207" s="7">
        <v>99.6</v>
      </c>
      <c r="R207" s="8">
        <f>IFERROR(Q207/Q444, "NA")</f>
        <v>1.043034165442812E-3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-99.6</v>
      </c>
      <c r="X207" s="8">
        <f>IFERROR(W207/W444, "NA")</f>
        <v>-5.5055638808476593E-3</v>
      </c>
      <c r="Y207" s="9"/>
      <c r="Z207" s="7">
        <v>0</v>
      </c>
      <c r="AA207" s="8">
        <f>IFERROR(Z207/Z444, "NA")</f>
        <v>0</v>
      </c>
      <c r="AB207" s="9"/>
      <c r="AC207" s="10">
        <f t="shared" si="55"/>
        <v>-99.6</v>
      </c>
      <c r="AD207" s="8">
        <f>IFERROR(AC207/AC444, "NA")</f>
        <v>-4.1806388570234101E-3</v>
      </c>
    </row>
    <row r="208" spans="1:30" ht="16.5" customHeight="1" x14ac:dyDescent="0.45">
      <c r="A208" s="6" t="s">
        <v>190</v>
      </c>
      <c r="B208" s="7">
        <v>103.42</v>
      </c>
      <c r="C208" s="8">
        <f>IFERROR(B208/B444, "NA")</f>
        <v>1.08303808624594E-3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-103.42</v>
      </c>
      <c r="I208" s="8">
        <f>IFERROR(H208/H444, "NA")</f>
        <v>-5.7167210497717372E-3</v>
      </c>
      <c r="J208" s="9"/>
      <c r="K208" s="7">
        <v>68.88</v>
      </c>
      <c r="L208" s="8">
        <f>IFERROR(K208/K444, "NA")</f>
        <v>9.6111811189965519E-4</v>
      </c>
      <c r="M208" s="9"/>
      <c r="N208" s="10">
        <f t="shared" si="53"/>
        <v>-34.540000000000006</v>
      </c>
      <c r="O208" s="8">
        <f>IFERROR(N208/N444, "NA")</f>
        <v>-1.4497918285300061E-3</v>
      </c>
      <c r="P208" s="9"/>
      <c r="Q208" s="7">
        <v>103.42</v>
      </c>
      <c r="R208" s="8">
        <f>IFERROR(Q208/Q444, "NA")</f>
        <v>1.08303808624594E-3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-103.42</v>
      </c>
      <c r="X208" s="8">
        <f>IFERROR(W208/W444, "NA")</f>
        <v>-5.7167210497717372E-3</v>
      </c>
      <c r="Y208" s="9"/>
      <c r="Z208" s="7">
        <v>68.88</v>
      </c>
      <c r="AA208" s="8">
        <f>IFERROR(Z208/Z444, "NA")</f>
        <v>9.6111811189965519E-4</v>
      </c>
      <c r="AB208" s="9"/>
      <c r="AC208" s="10">
        <f t="shared" si="55"/>
        <v>-34.540000000000006</v>
      </c>
      <c r="AD208" s="8">
        <f>IFERROR(AC208/AC444, "NA")</f>
        <v>-1.4497918285300061E-3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1933.3000000000002</v>
      </c>
      <c r="C209" s="15">
        <f>IFERROR(B209/B444, "NA")</f>
        <v>2.0245963374001894E-2</v>
      </c>
      <c r="D209" s="2"/>
      <c r="E209" s="14">
        <f>IFERROR(E201+E202+E203+E204+E205+E206+E207+E208, "NA")</f>
        <v>1548</v>
      </c>
      <c r="F209" s="15">
        <f>IFERROR(E209/E444, "NA")</f>
        <v>2.0000038759765037E-2</v>
      </c>
      <c r="G209" s="2"/>
      <c r="H209" s="14">
        <f t="shared" si="52"/>
        <v>-385.30000000000018</v>
      </c>
      <c r="I209" s="15">
        <f>IFERROR(H209/H444, "NA")</f>
        <v>-2.1298130153520122E-2</v>
      </c>
      <c r="J209" s="2"/>
      <c r="K209" s="14">
        <f>IFERROR(K201+K202+K203+K204+K205+K206+K207+K208, "NA")</f>
        <v>1656.2600000000002</v>
      </c>
      <c r="L209" s="15">
        <f>IFERROR(K209/K444, "NA")</f>
        <v>2.3110648722632451E-2</v>
      </c>
      <c r="M209" s="2"/>
      <c r="N209" s="14">
        <f t="shared" si="53"/>
        <v>-277.03999999999996</v>
      </c>
      <c r="O209" s="15">
        <f>IFERROR(N209/N444, "NA")</f>
        <v>-1.1628556113953468E-2</v>
      </c>
      <c r="P209" s="2"/>
      <c r="Q209" s="14">
        <f>IFERROR(Q201+Q202+Q203+Q204+Q205+Q206+Q207+Q208, "NA")</f>
        <v>1933.3000000000002</v>
      </c>
      <c r="R209" s="15">
        <f>IFERROR(Q209/Q444, "NA")</f>
        <v>2.0245963374001894E-2</v>
      </c>
      <c r="S209" s="2"/>
      <c r="T209" s="14">
        <f>IFERROR(T201+T202+T203+T204+T205+T206+T207+T208, "NA")</f>
        <v>1548</v>
      </c>
      <c r="U209" s="15">
        <f>IFERROR(T209/T444, "NA")</f>
        <v>2.0000038759765037E-2</v>
      </c>
      <c r="V209" s="2"/>
      <c r="W209" s="14">
        <f t="shared" si="54"/>
        <v>-385.30000000000018</v>
      </c>
      <c r="X209" s="15">
        <f>IFERROR(W209/W444, "NA")</f>
        <v>-2.1298130153520122E-2</v>
      </c>
      <c r="Y209" s="2"/>
      <c r="Z209" s="14">
        <f>IFERROR(Z201+Z202+Z203+Z204+Z205+Z206+Z207+Z208, "NA")</f>
        <v>1656.2600000000002</v>
      </c>
      <c r="AA209" s="15">
        <f>IFERROR(Z209/Z444, "NA")</f>
        <v>2.3110648722632451E-2</v>
      </c>
      <c r="AB209" s="2"/>
      <c r="AC209" s="14">
        <f t="shared" si="55"/>
        <v>-277.03999999999996</v>
      </c>
      <c r="AD209" s="15">
        <f>IFERROR(AC209/AC444, "NA")</f>
        <v>-1.1628556113953468E-2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2172.0100000000002</v>
      </c>
      <c r="F213" s="8">
        <f>IFERROR(E213/E444, "NA")</f>
        <v>2.8062199086949135E-2</v>
      </c>
      <c r="G213" s="9"/>
      <c r="H213" s="10">
        <f t="shared" ref="H213:H227" si="56">IFERROR(-(B213-E213), "NA")</f>
        <v>2172.0100000000002</v>
      </c>
      <c r="I213" s="8">
        <f>IFERROR(H213/H444, "NA")</f>
        <v>0.1200616446269069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2172.0100000000002</v>
      </c>
      <c r="U213" s="8">
        <f>IFERROR(T213/T444, "NA")</f>
        <v>2.8062199086949135E-2</v>
      </c>
      <c r="V213" s="9"/>
      <c r="W213" s="10">
        <f t="shared" ref="W213:W227" si="58">IFERROR(-(Q213-T213), "NA")</f>
        <v>2172.0100000000002</v>
      </c>
      <c r="X213" s="8">
        <f>IFERROR(W213/W444, "NA")</f>
        <v>0.1200616446269069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1858.61</v>
      </c>
      <c r="C214" s="8">
        <f>IFERROR(B214/B444, "NA")</f>
        <v>1.9463792472225547E-2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-1858.61</v>
      </c>
      <c r="I214" s="8">
        <f>IFERROR(H214/H444, "NA")</f>
        <v>-0.10273791249580591</v>
      </c>
      <c r="J214" s="9"/>
      <c r="K214" s="7">
        <v>325</v>
      </c>
      <c r="L214" s="8">
        <f>IFERROR(K214/K444, "NA")</f>
        <v>4.5348923688645175E-3</v>
      </c>
      <c r="M214" s="9"/>
      <c r="N214" s="10">
        <f t="shared" si="57"/>
        <v>-1533.61</v>
      </c>
      <c r="O214" s="8">
        <f>IFERROR(N214/N444, "NA")</f>
        <v>-6.4372184312446498E-2</v>
      </c>
      <c r="P214" s="9"/>
      <c r="Q214" s="7">
        <v>1858.61</v>
      </c>
      <c r="R214" s="8">
        <f>IFERROR(Q214/Q444, "NA")</f>
        <v>1.9463792472225547E-2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-1858.61</v>
      </c>
      <c r="X214" s="8">
        <f>IFERROR(W214/W444, "NA")</f>
        <v>-0.10273791249580591</v>
      </c>
      <c r="Y214" s="9"/>
      <c r="Z214" s="7">
        <v>325</v>
      </c>
      <c r="AA214" s="8">
        <f>IFERROR(Z214/Z444, "NA")</f>
        <v>4.5348923688645175E-3</v>
      </c>
      <c r="AB214" s="9"/>
      <c r="AC214" s="10">
        <f t="shared" si="59"/>
        <v>-1533.61</v>
      </c>
      <c r="AD214" s="8">
        <f>IFERROR(AC214/AC444, "NA")</f>
        <v>-6.4372184312446498E-2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hidden="1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0</v>
      </c>
      <c r="R216" s="8">
        <f>IFERROR(Q216/Q444, "NA")</f>
        <v>0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0</v>
      </c>
      <c r="X216" s="8">
        <f>IFERROR(W216/W444, "NA")</f>
        <v>0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0</v>
      </c>
      <c r="AD216" s="8">
        <f>IFERROR(AC216/AC444, "NA")</f>
        <v>0</v>
      </c>
    </row>
    <row r="217" spans="1:30" ht="16.5" customHeight="1" x14ac:dyDescent="0.45">
      <c r="A217" s="12" t="s">
        <v>197</v>
      </c>
      <c r="B217" s="7">
        <v>1735.97</v>
      </c>
      <c r="C217" s="8">
        <f>IFERROR(B217/B444, "NA")</f>
        <v>1.8179478114294764E-2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-1735.97</v>
      </c>
      <c r="I217" s="8">
        <f>IFERROR(H217/H444, "NA")</f>
        <v>-9.5958772391918801E-2</v>
      </c>
      <c r="J217" s="9"/>
      <c r="K217" s="7">
        <v>425.56</v>
      </c>
      <c r="L217" s="8">
        <f>IFERROR(K217/K444, "NA")</f>
        <v>5.9380578353661045E-3</v>
      </c>
      <c r="M217" s="9"/>
      <c r="N217" s="10">
        <f t="shared" si="57"/>
        <v>-1310.4100000000001</v>
      </c>
      <c r="O217" s="8">
        <f>IFERROR(N217/N444, "NA")</f>
        <v>-5.5003523741285615E-2</v>
      </c>
      <c r="P217" s="9"/>
      <c r="Q217" s="7">
        <v>1735.97</v>
      </c>
      <c r="R217" s="8">
        <f>IFERROR(Q217/Q444, "NA")</f>
        <v>1.8179478114294764E-2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-1735.97</v>
      </c>
      <c r="X217" s="8">
        <f>IFERROR(W217/W444, "NA")</f>
        <v>-9.5958772391918801E-2</v>
      </c>
      <c r="Y217" s="9"/>
      <c r="Z217" s="7">
        <v>425.56</v>
      </c>
      <c r="AA217" s="8">
        <f>IFERROR(Z217/Z444, "NA")</f>
        <v>5.9380578353661045E-3</v>
      </c>
      <c r="AB217" s="9"/>
      <c r="AC217" s="10">
        <f t="shared" si="59"/>
        <v>-1310.4100000000001</v>
      </c>
      <c r="AD217" s="8">
        <f>IFERROR(AC217/AC444, "NA")</f>
        <v>-5.5003523741285615E-2</v>
      </c>
    </row>
    <row r="218" spans="1:30" ht="16.5" customHeight="1" x14ac:dyDescent="0.45">
      <c r="A218" s="13" t="s">
        <v>198</v>
      </c>
      <c r="B218" s="14">
        <f>IFERROR(B213+B214+B215+B216+B217, "NA")</f>
        <v>3594.58</v>
      </c>
      <c r="C218" s="15">
        <f>IFERROR(B218/B444, "NA")</f>
        <v>3.7643270586520311E-2</v>
      </c>
      <c r="D218" s="2"/>
      <c r="E218" s="14">
        <f>IFERROR(E213+E214+E215+E216+E217, "NA")</f>
        <v>2172.0100000000002</v>
      </c>
      <c r="F218" s="15">
        <f>IFERROR(E218/E444, "NA")</f>
        <v>2.8062199086949135E-2</v>
      </c>
      <c r="G218" s="2"/>
      <c r="H218" s="14">
        <f t="shared" si="56"/>
        <v>-1422.5699999999997</v>
      </c>
      <c r="I218" s="15">
        <f>IFERROR(H218/H444, "NA")</f>
        <v>-7.8635040260817815E-2</v>
      </c>
      <c r="J218" s="2"/>
      <c r="K218" s="14">
        <f>IFERROR(K213+K214+K215+K216+K217, "NA")</f>
        <v>750.56</v>
      </c>
      <c r="L218" s="15">
        <f>IFERROR(K218/K444, "NA")</f>
        <v>1.0472950204230622E-2</v>
      </c>
      <c r="M218" s="2"/>
      <c r="N218" s="14">
        <f t="shared" si="57"/>
        <v>-2844.02</v>
      </c>
      <c r="O218" s="15">
        <f>IFERROR(N218/N444, "NA")</f>
        <v>-0.11937570805373211</v>
      </c>
      <c r="P218" s="2"/>
      <c r="Q218" s="14">
        <f>IFERROR(Q213+Q214+Q215+Q216+Q217, "NA")</f>
        <v>3594.58</v>
      </c>
      <c r="R218" s="15">
        <f>IFERROR(Q218/Q444, "NA")</f>
        <v>3.7643270586520311E-2</v>
      </c>
      <c r="S218" s="2"/>
      <c r="T218" s="14">
        <f>IFERROR(T213+T214+T215+T216+T217, "NA")</f>
        <v>2172.0100000000002</v>
      </c>
      <c r="U218" s="15">
        <f>IFERROR(T218/T444, "NA")</f>
        <v>2.8062199086949135E-2</v>
      </c>
      <c r="V218" s="2"/>
      <c r="W218" s="14">
        <f t="shared" si="58"/>
        <v>-1422.5699999999997</v>
      </c>
      <c r="X218" s="15">
        <f>IFERROR(W218/W444, "NA")</f>
        <v>-7.8635040260817815E-2</v>
      </c>
      <c r="Y218" s="2"/>
      <c r="Z218" s="14">
        <f>IFERROR(Z213+Z214+Z215+Z216+Z217, "NA")</f>
        <v>750.56</v>
      </c>
      <c r="AA218" s="15">
        <f>IFERROR(Z218/Z444, "NA")</f>
        <v>1.0472950204230622E-2</v>
      </c>
      <c r="AB218" s="2"/>
      <c r="AC218" s="14">
        <f t="shared" si="59"/>
        <v>-2844.02</v>
      </c>
      <c r="AD218" s="15">
        <f>IFERROR(AC218/AC444, "NA")</f>
        <v>-0.11937570805373211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246.85</v>
      </c>
      <c r="C222" s="8">
        <f>IFERROR(B222/B444, "NA")</f>
        <v>2.5850701178670495E-3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-246.85</v>
      </c>
      <c r="I222" s="8">
        <f>IFERROR(H222/H444, "NA")</f>
        <v>-1.3645064698667116E-2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-246.85</v>
      </c>
      <c r="O222" s="8">
        <f>IFERROR(N222/N444, "NA")</f>
        <v>-1.036135242827539E-2</v>
      </c>
      <c r="P222" s="9"/>
      <c r="Q222" s="7">
        <v>246.85</v>
      </c>
      <c r="R222" s="8">
        <f>IFERROR(Q222/Q444, "NA")</f>
        <v>2.5850701178670495E-3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-246.85</v>
      </c>
      <c r="X222" s="8">
        <f>IFERROR(W222/W444, "NA")</f>
        <v>-1.3645064698667116E-2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-246.85</v>
      </c>
      <c r="AD222" s="8">
        <f>IFERROR(AC222/AC444, "NA")</f>
        <v>-1.036135242827539E-2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77.400000000000006</v>
      </c>
      <c r="F226" s="8">
        <f>IFERROR(E226/E444, "NA")</f>
        <v>1.0000019379882519E-3</v>
      </c>
      <c r="G226" s="9"/>
      <c r="H226" s="10">
        <f t="shared" si="56"/>
        <v>77.400000000000006</v>
      </c>
      <c r="I226" s="8">
        <f>IFERROR(H226/H444, "NA")</f>
        <v>4.2784201242731818E-3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77.400000000000006</v>
      </c>
      <c r="U226" s="8">
        <f>IFERROR(T226/T444, "NA")</f>
        <v>1.0000019379882519E-3</v>
      </c>
      <c r="V226" s="9"/>
      <c r="W226" s="10">
        <f t="shared" si="58"/>
        <v>77.400000000000006</v>
      </c>
      <c r="X226" s="8">
        <f>IFERROR(W226/W444, "NA")</f>
        <v>4.2784201242731818E-3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3841.43</v>
      </c>
      <c r="C227" s="15">
        <f>IFERROR(B227/B444, "NA")</f>
        <v>4.0228340704387362E-2</v>
      </c>
      <c r="D227" s="2"/>
      <c r="E227" s="14">
        <f>IFERROR(E211+E213+E214+E215+E216+E217+E219+E220+E221+E222+E223+E224+E225+E226, "NA")</f>
        <v>2249.4100000000003</v>
      </c>
      <c r="F227" s="15">
        <f>IFERROR(E227/E444, "NA")</f>
        <v>2.9062201024937388E-2</v>
      </c>
      <c r="G227" s="2"/>
      <c r="H227" s="14">
        <f t="shared" si="56"/>
        <v>-1592.0199999999995</v>
      </c>
      <c r="I227" s="15">
        <f>IFERROR(H227/H444, "NA")</f>
        <v>-8.800168483521173E-2</v>
      </c>
      <c r="J227" s="2"/>
      <c r="K227" s="14">
        <f>IFERROR(K211+K213+K214+K215+K216+K217+K219+K220+K221+K222+K223+K224+K225+K226, "NA")</f>
        <v>750.56</v>
      </c>
      <c r="L227" s="15">
        <f>IFERROR(K227/K444, "NA")</f>
        <v>1.0472950204230622E-2</v>
      </c>
      <c r="M227" s="2"/>
      <c r="N227" s="14">
        <f t="shared" si="57"/>
        <v>-3090.87</v>
      </c>
      <c r="O227" s="15">
        <f>IFERROR(N227/N444, "NA")</f>
        <v>-0.1297370604820075</v>
      </c>
      <c r="P227" s="2"/>
      <c r="Q227" s="14">
        <f>IFERROR(Q211+Q213+Q214+Q215+Q216+Q217+Q219+Q220+Q221+Q222+Q223+Q224+Q225+Q226, "NA")</f>
        <v>3841.43</v>
      </c>
      <c r="R227" s="15">
        <f>IFERROR(Q227/Q444, "NA")</f>
        <v>4.0228340704387362E-2</v>
      </c>
      <c r="S227" s="2"/>
      <c r="T227" s="14">
        <f>IFERROR(T211+T213+T214+T215+T216+T217+T219+T220+T221+T222+T223+T224+T225+T226, "NA")</f>
        <v>2249.4100000000003</v>
      </c>
      <c r="U227" s="15">
        <f>IFERROR(T227/T444, "NA")</f>
        <v>2.9062201024937388E-2</v>
      </c>
      <c r="V227" s="2"/>
      <c r="W227" s="14">
        <f t="shared" si="58"/>
        <v>-1592.0199999999995</v>
      </c>
      <c r="X227" s="15">
        <f>IFERROR(W227/W444, "NA")</f>
        <v>-8.800168483521173E-2</v>
      </c>
      <c r="Y227" s="2"/>
      <c r="Z227" s="14">
        <f>IFERROR(Z211+Z213+Z214+Z215+Z216+Z217+Z219+Z220+Z221+Z222+Z223+Z224+Z225+Z226, "NA")</f>
        <v>750.56</v>
      </c>
      <c r="AA227" s="15">
        <f>IFERROR(Z227/Z444, "NA")</f>
        <v>1.0472950204230622E-2</v>
      </c>
      <c r="AB227" s="2"/>
      <c r="AC227" s="14">
        <f t="shared" si="59"/>
        <v>-3090.87</v>
      </c>
      <c r="AD227" s="15">
        <f>IFERROR(AC227/AC444, "NA")</f>
        <v>-0.1297370604820075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1139.33</v>
      </c>
      <c r="F229" s="8">
        <f>IFERROR(E229/E444, "NA")</f>
        <v>1.4720054367030425E-2</v>
      </c>
      <c r="G229" s="9"/>
      <c r="H229" s="10">
        <f t="shared" ref="H229:H236" si="60">IFERROR(-(B229-E229), "NA")</f>
        <v>1139.33</v>
      </c>
      <c r="I229" s="8">
        <f>IFERROR(H229/H444, "NA")</f>
        <v>6.2978454782792806E-2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1139.33</v>
      </c>
      <c r="U229" s="8">
        <f>IFERROR(T229/T444, "NA")</f>
        <v>1.4720054367030425E-2</v>
      </c>
      <c r="V229" s="9"/>
      <c r="W229" s="10">
        <f t="shared" ref="W229:W236" si="62">IFERROR(-(Q229-T229), "NA")</f>
        <v>1139.33</v>
      </c>
      <c r="X229" s="8">
        <f>IFERROR(W229/W444, "NA")</f>
        <v>6.2978454782792806E-2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-257.66000000000003</v>
      </c>
      <c r="L230" s="8">
        <f>IFERROR(K230/K444, "NA")</f>
        <v>-3.59526267003579E-3</v>
      </c>
      <c r="M230" s="9"/>
      <c r="N230" s="10">
        <f t="shared" si="61"/>
        <v>-257.66000000000003</v>
      </c>
      <c r="O230" s="8">
        <f>IFERROR(N230/N444, "NA")</f>
        <v>-1.0815094456833855E-2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-3.59526267003579E-3</v>
      </c>
      <c r="AB230" s="9"/>
      <c r="AC230" s="10">
        <f t="shared" si="63"/>
        <v>-257.66000000000003</v>
      </c>
      <c r="AD230" s="8">
        <f>IFERROR(AC230/AC444, "NA")</f>
        <v>-1.0815094456833855E-2</v>
      </c>
    </row>
    <row r="231" spans="1:30" ht="16.5" customHeight="1" x14ac:dyDescent="0.45">
      <c r="A231" s="6" t="s">
        <v>210</v>
      </c>
      <c r="B231" s="7">
        <v>217.05</v>
      </c>
      <c r="C231" s="8">
        <f>IFERROR(B231/B444, "NA")</f>
        <v>2.2729976466803448E-3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-217.05</v>
      </c>
      <c r="I231" s="8">
        <f>IFERROR(H231/H444, "NA")</f>
        <v>-1.199781767407615E-2</v>
      </c>
      <c r="J231" s="9"/>
      <c r="K231" s="7">
        <v>45.45</v>
      </c>
      <c r="L231" s="8">
        <f>IFERROR(K231/K444, "NA")</f>
        <v>6.3418725589197637E-4</v>
      </c>
      <c r="M231" s="9"/>
      <c r="N231" s="10">
        <f t="shared" si="61"/>
        <v>-171.60000000000002</v>
      </c>
      <c r="O231" s="8">
        <f>IFERROR(N231/N444, "NA")</f>
        <v>-7.2027874283656351E-3</v>
      </c>
      <c r="P231" s="9"/>
      <c r="Q231" s="7">
        <v>217.05</v>
      </c>
      <c r="R231" s="8">
        <f>IFERROR(Q231/Q444, "NA")</f>
        <v>2.2729976466803448E-3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-217.05</v>
      </c>
      <c r="X231" s="8">
        <f>IFERROR(W231/W444, "NA")</f>
        <v>-1.199781767407615E-2</v>
      </c>
      <c r="Y231" s="9"/>
      <c r="Z231" s="7">
        <v>45.45</v>
      </c>
      <c r="AA231" s="8">
        <f>IFERROR(Z231/Z444, "NA")</f>
        <v>6.3418725589197637E-4</v>
      </c>
      <c r="AB231" s="9"/>
      <c r="AC231" s="10">
        <f t="shared" si="63"/>
        <v>-171.60000000000002</v>
      </c>
      <c r="AD231" s="8">
        <f>IFERROR(AC231/AC444, "NA")</f>
        <v>-7.2027874283656351E-3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1658.46</v>
      </c>
      <c r="C234" s="8">
        <f>IFERROR(B234/B444, "NA")</f>
        <v>1.7367775522292028E-2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-1658.46</v>
      </c>
      <c r="I234" s="8">
        <f>IFERROR(H234/H444, "NA")</f>
        <v>-9.1674271825608541E-2</v>
      </c>
      <c r="J234" s="9"/>
      <c r="K234" s="7">
        <v>580.91999999999996</v>
      </c>
      <c r="L234" s="8">
        <f>IFERROR(K234/K444, "NA")</f>
        <v>8.1058759228331539E-3</v>
      </c>
      <c r="M234" s="9"/>
      <c r="N234" s="10">
        <f t="shared" si="61"/>
        <v>-1077.54</v>
      </c>
      <c r="O234" s="8">
        <f>IFERROR(N234/N444, "NA")</f>
        <v>-4.5228971827279169E-2</v>
      </c>
      <c r="P234" s="9"/>
      <c r="Q234" s="7">
        <v>1658.46</v>
      </c>
      <c r="R234" s="8">
        <f>IFERROR(Q234/Q444, "NA")</f>
        <v>1.7367775522292028E-2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-1658.46</v>
      </c>
      <c r="X234" s="8">
        <f>IFERROR(W234/W444, "NA")</f>
        <v>-9.1674271825608541E-2</v>
      </c>
      <c r="Y234" s="9"/>
      <c r="Z234" s="7">
        <v>580.91999999999996</v>
      </c>
      <c r="AA234" s="8">
        <f>IFERROR(Z234/Z444, "NA")</f>
        <v>8.1058759228331539E-3</v>
      </c>
      <c r="AB234" s="9"/>
      <c r="AC234" s="10">
        <f t="shared" si="63"/>
        <v>-1077.54</v>
      </c>
      <c r="AD234" s="8">
        <f>IFERROR(AC234/AC444, "NA")</f>
        <v>-4.5228971827279169E-2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1875.51</v>
      </c>
      <c r="C236" s="15">
        <f>IFERROR(B236/B444, "NA")</f>
        <v>1.9640773168972371E-2</v>
      </c>
      <c r="D236" s="2"/>
      <c r="E236" s="14">
        <f>IFERROR(E229+E230+E231+E232+E233+E234+E235, "NA")</f>
        <v>1139.33</v>
      </c>
      <c r="F236" s="15">
        <f>IFERROR(E236/E444, "NA")</f>
        <v>1.4720054367030425E-2</v>
      </c>
      <c r="G236" s="2"/>
      <c r="H236" s="14">
        <f t="shared" si="60"/>
        <v>-736.18000000000006</v>
      </c>
      <c r="I236" s="15">
        <f>IFERROR(H236/H444, "NA")</f>
        <v>-4.0693634716891872E-2</v>
      </c>
      <c r="J236" s="2"/>
      <c r="K236" s="14">
        <f>IFERROR(K229+K230+K231+K232+K233+K234+K235, "NA")</f>
        <v>368.70999999999992</v>
      </c>
      <c r="L236" s="15">
        <f>IFERROR(K236/K444, "NA")</f>
        <v>5.1448005086893412E-3</v>
      </c>
      <c r="M236" s="2"/>
      <c r="N236" s="14">
        <f t="shared" si="61"/>
        <v>-1506.8000000000002</v>
      </c>
      <c r="O236" s="15">
        <f>IFERROR(N236/N444, "NA")</f>
        <v>-6.3246853712478665E-2</v>
      </c>
      <c r="P236" s="2"/>
      <c r="Q236" s="14">
        <f>IFERROR(Q229+Q230+Q231+Q232+Q233+Q234+Q235, "NA")</f>
        <v>1875.51</v>
      </c>
      <c r="R236" s="15">
        <f>IFERROR(Q236/Q444, "NA")</f>
        <v>1.9640773168972371E-2</v>
      </c>
      <c r="S236" s="2"/>
      <c r="T236" s="14">
        <f>IFERROR(T229+T230+T231+T232+T233+T234+T235, "NA")</f>
        <v>1139.33</v>
      </c>
      <c r="U236" s="15">
        <f>IFERROR(T236/T444, "NA")</f>
        <v>1.4720054367030425E-2</v>
      </c>
      <c r="V236" s="2"/>
      <c r="W236" s="14">
        <f t="shared" si="62"/>
        <v>-736.18000000000006</v>
      </c>
      <c r="X236" s="15">
        <f>IFERROR(W236/W444, "NA")</f>
        <v>-4.0693634716891872E-2</v>
      </c>
      <c r="Y236" s="2"/>
      <c r="Z236" s="14">
        <f>IFERROR(Z229+Z230+Z231+Z232+Z233+Z234+Z235, "NA")</f>
        <v>368.70999999999992</v>
      </c>
      <c r="AA236" s="15">
        <f>IFERROR(Z236/Z444, "NA")</f>
        <v>5.1448005086893412E-3</v>
      </c>
      <c r="AB236" s="2"/>
      <c r="AC236" s="14">
        <f t="shared" si="63"/>
        <v>-1506.8000000000002</v>
      </c>
      <c r="AD236" s="15">
        <f>IFERROR(AC236/AC444, "NA")</f>
        <v>-6.3246853712478665E-2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4210.8599999999997</v>
      </c>
      <c r="F240" s="8">
        <f>IFERROR(E240/E444, "NA")</f>
        <v>5.4403981403064725E-2</v>
      </c>
      <c r="G240" s="9"/>
      <c r="H240" s="10">
        <f t="shared" ref="H240:H263" si="64">IFERROR(-(B240-E240), "NA")</f>
        <v>4210.8599999999997</v>
      </c>
      <c r="I240" s="8">
        <f>IFERROR(H240/H444, "NA")</f>
        <v>0.23276263778419853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4210.8599999999997</v>
      </c>
      <c r="U240" s="8">
        <f>IFERROR(T240/T444, "NA")</f>
        <v>5.4403981403064725E-2</v>
      </c>
      <c r="V240" s="9"/>
      <c r="W240" s="10">
        <f t="shared" ref="W240:W263" si="66">IFERROR(-(Q240-T240), "NA")</f>
        <v>4210.8599999999997</v>
      </c>
      <c r="X240" s="8">
        <f>IFERROR(W240/W444, "NA")</f>
        <v>0.23276263778419853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916.7</v>
      </c>
      <c r="C242" s="8">
        <f>IFERROR(B242/B444, "NA")</f>
        <v>9.5998937696930298E-3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-916.7</v>
      </c>
      <c r="I242" s="8">
        <f>IFERROR(H242/H444, "NA")</f>
        <v>-5.0672192867199296E-2</v>
      </c>
      <c r="J242" s="9"/>
      <c r="K242" s="7">
        <v>676.2</v>
      </c>
      <c r="L242" s="8">
        <f>IFERROR(K242/K444, "NA")</f>
        <v>9.4353668302344217E-3</v>
      </c>
      <c r="M242" s="9"/>
      <c r="N242" s="10">
        <f t="shared" si="65"/>
        <v>-240.5</v>
      </c>
      <c r="O242" s="8">
        <f>IFERROR(N242/N444, "NA")</f>
        <v>-1.009481571399729E-2</v>
      </c>
      <c r="P242" s="9"/>
      <c r="Q242" s="7">
        <v>916.7</v>
      </c>
      <c r="R242" s="8">
        <f>IFERROR(Q242/Q444, "NA")</f>
        <v>9.5998937696930298E-3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-916.7</v>
      </c>
      <c r="X242" s="8">
        <f>IFERROR(W242/W444, "NA")</f>
        <v>-5.0672192867199296E-2</v>
      </c>
      <c r="Y242" s="9"/>
      <c r="Z242" s="7">
        <v>676.2</v>
      </c>
      <c r="AA242" s="8">
        <f>IFERROR(Z242/Z444, "NA")</f>
        <v>9.4353668302344217E-3</v>
      </c>
      <c r="AB242" s="9"/>
      <c r="AC242" s="10">
        <f t="shared" si="67"/>
        <v>-240.5</v>
      </c>
      <c r="AD242" s="8">
        <f>IFERROR(AC242/AC444, "NA")</f>
        <v>-1.009481571399729E-2</v>
      </c>
    </row>
    <row r="243" spans="1:30" ht="16.5" customHeight="1" x14ac:dyDescent="0.45">
      <c r="A243" s="12" t="s">
        <v>220</v>
      </c>
      <c r="B243" s="7">
        <v>3270.72</v>
      </c>
      <c r="C243" s="8">
        <f>IFERROR(B243/B444, "NA")</f>
        <v>3.4251733991938892E-2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-3270.72</v>
      </c>
      <c r="I243" s="8">
        <f>IFERROR(H243/H444, "NA")</f>
        <v>-0.18079475799564315</v>
      </c>
      <c r="J243" s="9"/>
      <c r="K243" s="7">
        <v>1449.1</v>
      </c>
      <c r="L243" s="8">
        <f>IFERROR(K243/K444, "NA")</f>
        <v>2.0220038559143297E-2</v>
      </c>
      <c r="M243" s="9"/>
      <c r="N243" s="10">
        <f t="shared" si="65"/>
        <v>-1821.62</v>
      </c>
      <c r="O243" s="8">
        <f>IFERROR(N243/N444, "NA")</f>
        <v>-7.6461198340672526E-2</v>
      </c>
      <c r="P243" s="9"/>
      <c r="Q243" s="7">
        <v>3270.72</v>
      </c>
      <c r="R243" s="8">
        <f>IFERROR(Q243/Q444, "NA")</f>
        <v>3.4251733991938892E-2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-3270.72</v>
      </c>
      <c r="X243" s="8">
        <f>IFERROR(W243/W444, "NA")</f>
        <v>-0.18079475799564315</v>
      </c>
      <c r="Y243" s="9"/>
      <c r="Z243" s="7">
        <v>1449.1</v>
      </c>
      <c r="AA243" s="8">
        <f>IFERROR(Z243/Z444, "NA")</f>
        <v>2.0220038559143297E-2</v>
      </c>
      <c r="AB243" s="9"/>
      <c r="AC243" s="10">
        <f t="shared" si="67"/>
        <v>-1821.62</v>
      </c>
      <c r="AD243" s="8">
        <f>IFERROR(AC243/AC444, "NA")</f>
        <v>-7.6461198340672526E-2</v>
      </c>
    </row>
    <row r="244" spans="1:30" ht="16.5" hidden="1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0</v>
      </c>
      <c r="R244" s="8">
        <f>IFERROR(Q244/Q444, "NA")</f>
        <v>0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0</v>
      </c>
      <c r="X244" s="8">
        <f>IFERROR(W244/W444, "NA")</f>
        <v>0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0</v>
      </c>
      <c r="AD244" s="8">
        <f>IFERROR(AC244/AC444, "NA")</f>
        <v>0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238.2</v>
      </c>
      <c r="C246" s="8">
        <f>IFERROR(B246/B444, "NA")</f>
        <v>2.494485323378291E-3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-238.2</v>
      </c>
      <c r="I246" s="8">
        <f>IFERROR(H246/H444, "NA")</f>
        <v>-1.3166920847569402E-2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-238.2</v>
      </c>
      <c r="O246" s="8">
        <f>IFERROR(N246/N444, "NA")</f>
        <v>-9.9982748568571908E-3</v>
      </c>
      <c r="P246" s="9"/>
      <c r="Q246" s="7">
        <v>238.2</v>
      </c>
      <c r="R246" s="8">
        <f>IFERROR(Q246/Q444, "NA")</f>
        <v>2.494485323378291E-3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-238.2</v>
      </c>
      <c r="X246" s="8">
        <f>IFERROR(W246/W444, "NA")</f>
        <v>-1.3166920847569402E-2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-238.2</v>
      </c>
      <c r="AD246" s="8">
        <f>IFERROR(AC246/AC444, "NA")</f>
        <v>-9.9982748568571908E-3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250.6</v>
      </c>
      <c r="C248" s="8">
        <f>IFERROR(B248/B444, "NA")</f>
        <v>2.624340982529806E-3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-250.6</v>
      </c>
      <c r="I248" s="8">
        <f>IFERROR(H248/H444, "NA")</f>
        <v>-1.3852352495385778E-2</v>
      </c>
      <c r="J248" s="9"/>
      <c r="K248" s="7">
        <v>0</v>
      </c>
      <c r="L248" s="8">
        <f>IFERROR(K248/K444, "NA")</f>
        <v>0</v>
      </c>
      <c r="M248" s="9"/>
      <c r="N248" s="10">
        <f t="shared" si="65"/>
        <v>-250.6</v>
      </c>
      <c r="O248" s="8">
        <f>IFERROR(N248/N444, "NA")</f>
        <v>-1.0518755999699463E-2</v>
      </c>
      <c r="P248" s="9"/>
      <c r="Q248" s="7">
        <v>250.6</v>
      </c>
      <c r="R248" s="8">
        <f>IFERROR(Q248/Q444, "NA")</f>
        <v>2.624340982529806E-3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-250.6</v>
      </c>
      <c r="X248" s="8">
        <f>IFERROR(W248/W444, "NA")</f>
        <v>-1.3852352495385778E-2</v>
      </c>
      <c r="Y248" s="9"/>
      <c r="Z248" s="7">
        <v>0</v>
      </c>
      <c r="AA248" s="8">
        <f>IFERROR(Z248/Z444, "NA")</f>
        <v>0</v>
      </c>
      <c r="AB248" s="9"/>
      <c r="AC248" s="10">
        <f t="shared" si="67"/>
        <v>-250.6</v>
      </c>
      <c r="AD248" s="8">
        <f>IFERROR(AC248/AC444, "NA")</f>
        <v>-1.0518755999699463E-2</v>
      </c>
    </row>
    <row r="249" spans="1:30" ht="16.5" customHeight="1" x14ac:dyDescent="0.45">
      <c r="A249" s="12" t="s">
        <v>226</v>
      </c>
      <c r="B249" s="7">
        <v>1142.67</v>
      </c>
      <c r="C249" s="8">
        <f>IFERROR(B249/B444, "NA")</f>
        <v>1.1966303713117852E-2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-1142.67</v>
      </c>
      <c r="I249" s="8">
        <f>IFERROR(H249/H444, "NA")</f>
        <v>-6.3163079113736906E-2</v>
      </c>
      <c r="J249" s="9"/>
      <c r="K249" s="7">
        <v>1195.75</v>
      </c>
      <c r="L249" s="8">
        <f>IFERROR(K249/K444, "NA")</f>
        <v>1.6684915538676143E-2</v>
      </c>
      <c r="M249" s="9"/>
      <c r="N249" s="10">
        <f t="shared" si="65"/>
        <v>53.079999999999927</v>
      </c>
      <c r="O249" s="8">
        <f>IFERROR(N249/N444, "NA")</f>
        <v>2.2279950856506255E-3</v>
      </c>
      <c r="P249" s="9"/>
      <c r="Q249" s="7">
        <v>1142.67</v>
      </c>
      <c r="R249" s="8">
        <f>IFERROR(Q249/Q444, "NA")</f>
        <v>1.1966303713117852E-2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-1142.67</v>
      </c>
      <c r="X249" s="8">
        <f>IFERROR(W249/W444, "NA")</f>
        <v>-6.3163079113736906E-2</v>
      </c>
      <c r="Y249" s="9"/>
      <c r="Z249" s="7">
        <v>1195.75</v>
      </c>
      <c r="AA249" s="8">
        <f>IFERROR(Z249/Z444, "NA")</f>
        <v>1.6684915538676143E-2</v>
      </c>
      <c r="AB249" s="9"/>
      <c r="AC249" s="10">
        <f t="shared" si="67"/>
        <v>53.079999999999927</v>
      </c>
      <c r="AD249" s="8">
        <f>IFERROR(AC249/AC444, "NA")</f>
        <v>2.2279950856506255E-3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1175.98</v>
      </c>
      <c r="C254" s="8">
        <f>IFERROR(B254/B444, "NA")</f>
        <v>1.2315133713628896E-2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-1175.98</v>
      </c>
      <c r="I254" s="8">
        <f>IFERROR(H254/H444, "NA")</f>
        <v>-6.5004347516056535E-2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-1175.98</v>
      </c>
      <c r="O254" s="8">
        <f>IFERROR(N254/N444, "NA")</f>
        <v>-4.9360920512875404E-2</v>
      </c>
      <c r="P254" s="9"/>
      <c r="Q254" s="7">
        <v>1175.98</v>
      </c>
      <c r="R254" s="8">
        <f>IFERROR(Q254/Q444, "NA")</f>
        <v>1.2315133713628896E-2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-1175.98</v>
      </c>
      <c r="X254" s="8">
        <f>IFERROR(W254/W444, "NA")</f>
        <v>-6.5004347516056535E-2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-1175.98</v>
      </c>
      <c r="AD254" s="8">
        <f>IFERROR(AC254/AC444, "NA")</f>
        <v>-4.9360920512875404E-2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6994.8700000000008</v>
      </c>
      <c r="C262" s="15">
        <f>IFERROR(B262/B444, "NA")</f>
        <v>7.3251891494286778E-2</v>
      </c>
      <c r="D262" s="2"/>
      <c r="E262" s="14">
        <f>IFERROR(E240+E241+E242+E243+E244+E245+E246+E247+E248+E249+E250+E251+E252+E253+E254+E255+E256+E257+E258+E259+E260+E261, "NA")</f>
        <v>4210.8599999999997</v>
      </c>
      <c r="F262" s="15">
        <f>IFERROR(E262/E444, "NA")</f>
        <v>5.4403981403064725E-2</v>
      </c>
      <c r="G262" s="2"/>
      <c r="H262" s="14">
        <f t="shared" si="64"/>
        <v>-2784.0100000000011</v>
      </c>
      <c r="I262" s="15">
        <f>IFERROR(H262/H444, "NA")</f>
        <v>-0.15389101305139258</v>
      </c>
      <c r="J262" s="2"/>
      <c r="K262" s="14">
        <f>IFERROR(K240+K241+K242+K243+K244+K245+K246+K247+K248+K249+K250+K251+K252+K253+K254+K255+K256+K257+K258+K259+K260+K261, "NA")</f>
        <v>3321.05</v>
      </c>
      <c r="L262" s="15">
        <f>IFERROR(K262/K444, "NA")</f>
        <v>4.6340320928053867E-2</v>
      </c>
      <c r="M262" s="2"/>
      <c r="N262" s="14">
        <f t="shared" si="65"/>
        <v>-3673.8200000000006</v>
      </c>
      <c r="O262" s="15">
        <f>IFERROR(N262/N444, "NA")</f>
        <v>-0.15420597033845129</v>
      </c>
      <c r="P262" s="2"/>
      <c r="Q262" s="14">
        <f>IFERROR(Q240+Q241+Q242+Q243+Q244+Q245+Q246+Q247+Q248+Q249+Q250+Q251+Q252+Q253+Q254+Q255+Q256+Q257+Q258+Q259+Q260+Q261, "NA")</f>
        <v>6994.8700000000008</v>
      </c>
      <c r="R262" s="15">
        <f>IFERROR(Q262/Q444, "NA")</f>
        <v>7.3251891494286778E-2</v>
      </c>
      <c r="S262" s="2"/>
      <c r="T262" s="14">
        <f>IFERROR(T240+T241+T242+T243+T244+T245+T246+T247+T248+T249+T250+T251+T252+T253+T254+T255+T256+T257+T258+T259+T260+T261, "NA")</f>
        <v>4210.8599999999997</v>
      </c>
      <c r="U262" s="15">
        <f>IFERROR(T262/T444, "NA")</f>
        <v>5.4403981403064725E-2</v>
      </c>
      <c r="V262" s="2"/>
      <c r="W262" s="14">
        <f t="shared" si="66"/>
        <v>-2784.0100000000011</v>
      </c>
      <c r="X262" s="15">
        <f>IFERROR(W262/W444, "NA")</f>
        <v>-0.15389101305139258</v>
      </c>
      <c r="Y262" s="2"/>
      <c r="Z262" s="14">
        <f>IFERROR(Z240+Z241+Z242+Z243+Z244+Z245+Z246+Z247+Z248+Z249+Z250+Z251+Z252+Z253+Z254+Z255+Z256+Z257+Z258+Z259+Z260+Z261, "NA")</f>
        <v>3321.05</v>
      </c>
      <c r="AA262" s="15">
        <f>IFERROR(Z262/Z444, "NA")</f>
        <v>4.6340320928053867E-2</v>
      </c>
      <c r="AB262" s="2"/>
      <c r="AC262" s="14">
        <f t="shared" si="67"/>
        <v>-3673.8200000000006</v>
      </c>
      <c r="AD262" s="15">
        <f>IFERROR(AC262/AC444, "NA")</f>
        <v>-0.15420597033845129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6994.8700000000008</v>
      </c>
      <c r="C263" s="15">
        <f>IFERROR(B263/B444, "NA")</f>
        <v>7.3251891494286778E-2</v>
      </c>
      <c r="D263" s="2"/>
      <c r="E263" s="14">
        <f>IFERROR(E238+E240+E241+E242+E243+E244+E245+E246+E247+E248+E249+E250+E251+E252+E253+E254+E255+E256+E257+E258+E259+E260+E261, "NA")</f>
        <v>4210.8599999999997</v>
      </c>
      <c r="F263" s="15">
        <f>IFERROR(E263/E444, "NA")</f>
        <v>5.4403981403064725E-2</v>
      </c>
      <c r="G263" s="2"/>
      <c r="H263" s="14">
        <f t="shared" si="64"/>
        <v>-2784.0100000000011</v>
      </c>
      <c r="I263" s="15">
        <f>IFERROR(H263/H444, "NA")</f>
        <v>-0.15389101305139258</v>
      </c>
      <c r="J263" s="2"/>
      <c r="K263" s="14">
        <f>IFERROR(K238+K240+K241+K242+K243+K244+K245+K246+K247+K248+K249+K250+K251+K252+K253+K254+K255+K256+K257+K258+K259+K260+K261, "NA")</f>
        <v>3321.05</v>
      </c>
      <c r="L263" s="15">
        <f>IFERROR(K263/K444, "NA")</f>
        <v>4.6340320928053867E-2</v>
      </c>
      <c r="M263" s="2"/>
      <c r="N263" s="14">
        <f t="shared" si="65"/>
        <v>-3673.8200000000006</v>
      </c>
      <c r="O263" s="15">
        <f>IFERROR(N263/N444, "NA")</f>
        <v>-0.15420597033845129</v>
      </c>
      <c r="P263" s="2"/>
      <c r="Q263" s="14">
        <f>IFERROR(Q238+Q240+Q241+Q242+Q243+Q244+Q245+Q246+Q247+Q248+Q249+Q250+Q251+Q252+Q253+Q254+Q255+Q256+Q257+Q258+Q259+Q260+Q261, "NA")</f>
        <v>6994.8700000000008</v>
      </c>
      <c r="R263" s="15">
        <f>IFERROR(Q263/Q444, "NA")</f>
        <v>7.3251891494286778E-2</v>
      </c>
      <c r="S263" s="2"/>
      <c r="T263" s="14">
        <f>IFERROR(T238+T240+T241+T242+T243+T244+T245+T246+T247+T248+T249+T250+T251+T252+T253+T254+T255+T256+T257+T258+T259+T260+T261, "NA")</f>
        <v>4210.8599999999997</v>
      </c>
      <c r="U263" s="15">
        <f>IFERROR(T263/T444, "NA")</f>
        <v>5.4403981403064725E-2</v>
      </c>
      <c r="V263" s="2"/>
      <c r="W263" s="14">
        <f t="shared" si="66"/>
        <v>-2784.0100000000011</v>
      </c>
      <c r="X263" s="15">
        <f>IFERROR(W263/W444, "NA")</f>
        <v>-0.15389101305139258</v>
      </c>
      <c r="Y263" s="2"/>
      <c r="Z263" s="14">
        <f>IFERROR(Z238+Z240+Z241+Z242+Z243+Z244+Z245+Z246+Z247+Z248+Z249+Z250+Z251+Z252+Z253+Z254+Z255+Z256+Z257+Z258+Z259+Z260+Z261, "NA")</f>
        <v>3321.05</v>
      </c>
      <c r="AA263" s="15">
        <f>IFERROR(Z263/Z444, "NA")</f>
        <v>4.6340320928053867E-2</v>
      </c>
      <c r="AB263" s="2"/>
      <c r="AC263" s="14">
        <f t="shared" si="67"/>
        <v>-3673.8200000000006</v>
      </c>
      <c r="AD263" s="15">
        <f>IFERROR(AC263/AC444, "NA")</f>
        <v>-0.15420597033845129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2537.1</v>
      </c>
      <c r="C265" s="8">
        <f>IFERROR(B265/B444, "NA")</f>
        <v>2.6569096196234519E-2</v>
      </c>
      <c r="D265" s="9"/>
      <c r="E265" s="7">
        <v>2244.6</v>
      </c>
      <c r="F265" s="8">
        <f>IFERROR(E265/E444, "NA")</f>
        <v>2.9000056201659304E-2</v>
      </c>
      <c r="G265" s="9"/>
      <c r="H265" s="10">
        <f>IFERROR(-(B265-E265), "NA")</f>
        <v>-292.5</v>
      </c>
      <c r="I265" s="8">
        <f>IFERROR(H265/H444, "NA")</f>
        <v>-1.6168448144055627E-2</v>
      </c>
      <c r="J265" s="9"/>
      <c r="K265" s="7">
        <v>1990.47</v>
      </c>
      <c r="L265" s="8">
        <f>IFERROR(K265/K444, "NA")</f>
        <v>2.7774052964473096E-2</v>
      </c>
      <c r="M265" s="9"/>
      <c r="N265" s="10">
        <f>IFERROR(-(B265-K265), "NA")</f>
        <v>-546.62999999999988</v>
      </c>
      <c r="O265" s="8">
        <f>IFERROR(N265/N444, "NA")</f>
        <v>-2.294440379934444E-2</v>
      </c>
      <c r="P265" s="9"/>
      <c r="Q265" s="7">
        <v>2537.1</v>
      </c>
      <c r="R265" s="8">
        <f>IFERROR(Q265/Q444, "NA")</f>
        <v>2.6569096196234519E-2</v>
      </c>
      <c r="S265" s="9"/>
      <c r="T265" s="7">
        <v>2244.6</v>
      </c>
      <c r="U265" s="8">
        <f>IFERROR(T265/T444, "NA")</f>
        <v>2.9000056201659304E-2</v>
      </c>
      <c r="V265" s="9"/>
      <c r="W265" s="10">
        <f>IFERROR(-(Q265-T265), "NA")</f>
        <v>-292.5</v>
      </c>
      <c r="X265" s="8">
        <f>IFERROR(W265/W444, "NA")</f>
        <v>-1.6168448144055627E-2</v>
      </c>
      <c r="Y265" s="9"/>
      <c r="Z265" s="7">
        <v>1990.47</v>
      </c>
      <c r="AA265" s="8">
        <f>IFERROR(Z265/Z444, "NA")</f>
        <v>2.7774052964473096E-2</v>
      </c>
      <c r="AB265" s="9"/>
      <c r="AC265" s="10">
        <f>IFERROR(-(Q265-Z265), "NA")</f>
        <v>-546.62999999999988</v>
      </c>
      <c r="AD265" s="8">
        <f>IFERROR(AC265/AC444, "NA")</f>
        <v>-2.294440379934444E-2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2537.1</v>
      </c>
      <c r="C267" s="15">
        <f>IFERROR(B267/B444, "NA")</f>
        <v>2.6569096196234519E-2</v>
      </c>
      <c r="D267" s="2"/>
      <c r="E267" s="14">
        <f>IFERROR(E265+E266, "NA")</f>
        <v>2244.6</v>
      </c>
      <c r="F267" s="15">
        <f>IFERROR(E267/E444, "NA")</f>
        <v>2.9000056201659304E-2</v>
      </c>
      <c r="G267" s="2"/>
      <c r="H267" s="14">
        <f>IFERROR(-(B267-E267), "NA")</f>
        <v>-292.5</v>
      </c>
      <c r="I267" s="15">
        <f>IFERROR(H267/H444, "NA")</f>
        <v>-1.6168448144055627E-2</v>
      </c>
      <c r="J267" s="2"/>
      <c r="K267" s="14">
        <f>IFERROR(K265+K266, "NA")</f>
        <v>1990.47</v>
      </c>
      <c r="L267" s="15">
        <f>IFERROR(K267/K444, "NA")</f>
        <v>2.7774052964473096E-2</v>
      </c>
      <c r="M267" s="2"/>
      <c r="N267" s="14">
        <f>IFERROR(-(B267-K267), "NA")</f>
        <v>-546.62999999999988</v>
      </c>
      <c r="O267" s="15">
        <f>IFERROR(N267/N444, "NA")</f>
        <v>-2.294440379934444E-2</v>
      </c>
      <c r="P267" s="2"/>
      <c r="Q267" s="14">
        <f>IFERROR(Q265+Q266, "NA")</f>
        <v>2537.1</v>
      </c>
      <c r="R267" s="15">
        <f>IFERROR(Q267/Q444, "NA")</f>
        <v>2.6569096196234519E-2</v>
      </c>
      <c r="S267" s="2"/>
      <c r="T267" s="14">
        <f>IFERROR(T265+T266, "NA")</f>
        <v>2244.6</v>
      </c>
      <c r="U267" s="15">
        <f>IFERROR(T267/T444, "NA")</f>
        <v>2.9000056201659304E-2</v>
      </c>
      <c r="V267" s="2"/>
      <c r="W267" s="14">
        <f>IFERROR(-(Q267-T267), "NA")</f>
        <v>-292.5</v>
      </c>
      <c r="X267" s="15">
        <f>IFERROR(W267/W444, "NA")</f>
        <v>-1.6168448144055627E-2</v>
      </c>
      <c r="Y267" s="2"/>
      <c r="Z267" s="14">
        <f>IFERROR(Z265+Z266, "NA")</f>
        <v>1990.47</v>
      </c>
      <c r="AA267" s="15">
        <f>IFERROR(Z267/Z444, "NA")</f>
        <v>2.7774052964473096E-2</v>
      </c>
      <c r="AB267" s="2"/>
      <c r="AC267" s="14">
        <f>IFERROR(-(Q267-Z267), "NA")</f>
        <v>-546.62999999999988</v>
      </c>
      <c r="AD267" s="15">
        <f>IFERROR(AC267/AC444, "NA")</f>
        <v>-2.294440379934444E-2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214.97</v>
      </c>
      <c r="C270" s="8">
        <f>IFERROR(B270/B444, "NA")</f>
        <v>2.2512154070807359E-3</v>
      </c>
      <c r="D270" s="9"/>
      <c r="E270" s="7">
        <v>196.3</v>
      </c>
      <c r="F270" s="8">
        <f>IFERROR(E270/E444, "NA")</f>
        <v>2.5361806256730471E-3</v>
      </c>
      <c r="G270" s="9"/>
      <c r="H270" s="10">
        <f>IFERROR(-(B270-E270), "NA")</f>
        <v>-18.669999999999987</v>
      </c>
      <c r="I270" s="8">
        <f>IFERROR(H270/H444, "NA")</f>
        <v>-1.0320168439299773E-3</v>
      </c>
      <c r="J270" s="9"/>
      <c r="K270" s="7">
        <v>204.08</v>
      </c>
      <c r="L270" s="8">
        <f>IFERROR(K270/K444, "NA")</f>
        <v>2.8476333373472947E-3</v>
      </c>
      <c r="M270" s="9"/>
      <c r="N270" s="10">
        <f>IFERROR(-(B270-K270), "NA")</f>
        <v>-10.889999999999986</v>
      </c>
      <c r="O270" s="8">
        <f>IFERROR(N270/N444, "NA")</f>
        <v>-4.5709997141551084E-4</v>
      </c>
      <c r="P270" s="9"/>
      <c r="Q270" s="7">
        <v>214.97</v>
      </c>
      <c r="R270" s="8">
        <f>IFERROR(Q270/Q444, "NA")</f>
        <v>2.2512154070807359E-3</v>
      </c>
      <c r="S270" s="9"/>
      <c r="T270" s="7">
        <v>196.3</v>
      </c>
      <c r="U270" s="8">
        <f>IFERROR(T270/T444, "NA")</f>
        <v>2.5361806256730471E-3</v>
      </c>
      <c r="V270" s="9"/>
      <c r="W270" s="10">
        <f>IFERROR(-(Q270-T270), "NA")</f>
        <v>-18.669999999999987</v>
      </c>
      <c r="X270" s="8">
        <f>IFERROR(W270/W444, "NA")</f>
        <v>-1.0320168439299773E-3</v>
      </c>
      <c r="Y270" s="9"/>
      <c r="Z270" s="7">
        <v>204.08</v>
      </c>
      <c r="AA270" s="8">
        <f>IFERROR(Z270/Z444, "NA")</f>
        <v>2.8476333373472947E-3</v>
      </c>
      <c r="AB270" s="9"/>
      <c r="AC270" s="10">
        <f>IFERROR(-(Q270-Z270), "NA")</f>
        <v>-10.889999999999986</v>
      </c>
      <c r="AD270" s="8">
        <f>IFERROR(AC270/AC444, "NA")</f>
        <v>-4.5709997141551084E-4</v>
      </c>
    </row>
    <row r="271" spans="1:30" ht="16.5" customHeight="1" x14ac:dyDescent="0.45">
      <c r="A271" s="6" t="s">
        <v>246</v>
      </c>
      <c r="B271" s="7">
        <v>806.54</v>
      </c>
      <c r="C271" s="8">
        <f>IFERROR(B271/B444, "NA")</f>
        <v>8.4462728493598944E-3</v>
      </c>
      <c r="D271" s="9"/>
      <c r="E271" s="7">
        <v>541.79999999999995</v>
      </c>
      <c r="F271" s="8">
        <f>IFERROR(E271/E444, "NA")</f>
        <v>7.0000135659177625E-3</v>
      </c>
      <c r="G271" s="9"/>
      <c r="H271" s="10">
        <f>IFERROR(-(B271-E271), "NA")</f>
        <v>-264.74</v>
      </c>
      <c r="I271" s="8">
        <f>IFERROR(H271/H444, "NA")</f>
        <v>-1.4633965680879614E-2</v>
      </c>
      <c r="J271" s="9"/>
      <c r="K271" s="7">
        <v>849.38</v>
      </c>
      <c r="L271" s="8">
        <f>IFERROR(K271/K444, "NA")</f>
        <v>1.1851836554665058E-2</v>
      </c>
      <c r="M271" s="9"/>
      <c r="N271" s="10">
        <f>IFERROR(-(B271-K271), "NA")</f>
        <v>42.840000000000032</v>
      </c>
      <c r="O271" s="8">
        <f>IFERROR(N271/N444, "NA")</f>
        <v>1.7981783999486247E-3</v>
      </c>
      <c r="P271" s="9"/>
      <c r="Q271" s="7">
        <v>806.54</v>
      </c>
      <c r="R271" s="8">
        <f>IFERROR(Q271/Q444, "NA")</f>
        <v>8.4462728493598944E-3</v>
      </c>
      <c r="S271" s="9"/>
      <c r="T271" s="7">
        <v>541.79999999999995</v>
      </c>
      <c r="U271" s="8">
        <f>IFERROR(T271/T444, "NA")</f>
        <v>7.0000135659177625E-3</v>
      </c>
      <c r="V271" s="9"/>
      <c r="W271" s="10">
        <f>IFERROR(-(Q271-T271), "NA")</f>
        <v>-264.74</v>
      </c>
      <c r="X271" s="8">
        <f>IFERROR(W271/W444, "NA")</f>
        <v>-1.4633965680879614E-2</v>
      </c>
      <c r="Y271" s="9"/>
      <c r="Z271" s="7">
        <v>849.38</v>
      </c>
      <c r="AA271" s="8">
        <f>IFERROR(Z271/Z444, "NA")</f>
        <v>1.1851836554665058E-2</v>
      </c>
      <c r="AB271" s="9"/>
      <c r="AC271" s="10">
        <f>IFERROR(-(Q271-Z271), "NA")</f>
        <v>42.840000000000032</v>
      </c>
      <c r="AD271" s="8">
        <f>IFERROR(AC271/AC444, "NA")</f>
        <v>1.7981783999486247E-3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1021.51</v>
      </c>
      <c r="C273" s="15">
        <f>IFERROR(B273/B444, "NA")</f>
        <v>1.0697488256440631E-2</v>
      </c>
      <c r="D273" s="2"/>
      <c r="E273" s="14">
        <f>IFERROR(E269+E270+E271+E272, "NA")</f>
        <v>738.09999999999991</v>
      </c>
      <c r="F273" s="15">
        <f>IFERROR(E273/E444, "NA")</f>
        <v>9.5361941915908088E-3</v>
      </c>
      <c r="G273" s="2"/>
      <c r="H273" s="14">
        <f>IFERROR(-(B273-E273), "NA")</f>
        <v>-283.41000000000008</v>
      </c>
      <c r="I273" s="15">
        <f>IFERROR(H273/H444, "NA")</f>
        <v>-1.5665982524809597E-2</v>
      </c>
      <c r="J273" s="2"/>
      <c r="K273" s="14">
        <f>IFERROR(K269+K270+K271+K272, "NA")</f>
        <v>1053.46</v>
      </c>
      <c r="L273" s="15">
        <f>IFERROR(K273/K444, "NA")</f>
        <v>1.4699469892012353E-2</v>
      </c>
      <c r="M273" s="2"/>
      <c r="N273" s="14">
        <f>IFERROR(-(B273-K273), "NA")</f>
        <v>31.950000000000045</v>
      </c>
      <c r="O273" s="15">
        <f>IFERROR(N273/N444, "NA")</f>
        <v>1.3410784285331138E-3</v>
      </c>
      <c r="P273" s="2"/>
      <c r="Q273" s="14">
        <f>IFERROR(Q269+Q270+Q271+Q272, "NA")</f>
        <v>1021.51</v>
      </c>
      <c r="R273" s="15">
        <f>IFERROR(Q273/Q444, "NA")</f>
        <v>1.0697488256440631E-2</v>
      </c>
      <c r="S273" s="2"/>
      <c r="T273" s="14">
        <f>IFERROR(T269+T270+T271+T272, "NA")</f>
        <v>738.09999999999991</v>
      </c>
      <c r="U273" s="15">
        <f>IFERROR(T273/T444, "NA")</f>
        <v>9.5361941915908088E-3</v>
      </c>
      <c r="V273" s="2"/>
      <c r="W273" s="14">
        <f>IFERROR(-(Q273-T273), "NA")</f>
        <v>-283.41000000000008</v>
      </c>
      <c r="X273" s="15">
        <f>IFERROR(W273/W444, "NA")</f>
        <v>-1.5665982524809597E-2</v>
      </c>
      <c r="Y273" s="2"/>
      <c r="Z273" s="14">
        <f>IFERROR(Z269+Z270+Z271+Z272, "NA")</f>
        <v>1053.46</v>
      </c>
      <c r="AA273" s="15">
        <f>IFERROR(Z273/Z444, "NA")</f>
        <v>1.4699469892012353E-2</v>
      </c>
      <c r="AB273" s="2"/>
      <c r="AC273" s="14">
        <f>IFERROR(-(Q273-Z273), "NA")</f>
        <v>31.950000000000045</v>
      </c>
      <c r="AD273" s="15">
        <f>IFERROR(AC273/AC444, "NA")</f>
        <v>1.3410784285331138E-3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4.6124120395582158E-3</v>
      </c>
      <c r="G287" s="9"/>
      <c r="H287" s="10">
        <f t="shared" si="72"/>
        <v>357</v>
      </c>
      <c r="I287" s="8">
        <f>IFERROR(H287/H444, "NA")</f>
        <v>1.9733798247616612E-2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357</v>
      </c>
      <c r="U287" s="8">
        <f>IFERROR(T287/T444, "NA")</f>
        <v>4.6124120395582158E-3</v>
      </c>
      <c r="V287" s="9"/>
      <c r="W287" s="10">
        <f t="shared" si="74"/>
        <v>357</v>
      </c>
      <c r="X287" s="8">
        <f>IFERROR(W287/W444, "NA")</f>
        <v>1.9733798247616612E-2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1.6580682672144621E-3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-8.7519671611908639E-3</v>
      </c>
      <c r="J288" s="9"/>
      <c r="K288" s="7">
        <v>158.33000000000001</v>
      </c>
      <c r="L288" s="8">
        <f>IFERROR(K288/K444, "NA")</f>
        <v>2.2092600269609818E-3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158.33000000000001</v>
      </c>
      <c r="R288" s="8">
        <f>IFERROR(Q288/Q444, "NA")</f>
        <v>1.6580682672144621E-3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-158.33000000000001</v>
      </c>
      <c r="X288" s="8">
        <f>IFERROR(W288/W444, "NA")</f>
        <v>-8.7519671611908639E-3</v>
      </c>
      <c r="Y288" s="9"/>
      <c r="Z288" s="7">
        <v>158.33000000000001</v>
      </c>
      <c r="AA288" s="8">
        <f>IFERROR(Z288/Z444, "NA")</f>
        <v>2.2092600269609818E-3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205.73</v>
      </c>
      <c r="C289" s="8">
        <f>IFERROR(B289/B444, "NA")</f>
        <v>2.1544519965517039E-3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-205.73</v>
      </c>
      <c r="I289" s="8">
        <f>IFERROR(H289/H444, "NA")</f>
        <v>-1.1372084911714748E-2</v>
      </c>
      <c r="J289" s="9"/>
      <c r="K289" s="7">
        <v>198.68</v>
      </c>
      <c r="L289" s="8">
        <f>IFERROR(K289/K444, "NA")</f>
        <v>2.772284356449238E-3</v>
      </c>
      <c r="M289" s="9"/>
      <c r="N289" s="10">
        <f t="shared" si="73"/>
        <v>-7.0499999999999829</v>
      </c>
      <c r="O289" s="8">
        <f>IFERROR(N289/N444, "NA")</f>
        <v>-2.9591871427725875E-4</v>
      </c>
      <c r="P289" s="9"/>
      <c r="Q289" s="7">
        <v>205.73</v>
      </c>
      <c r="R289" s="8">
        <f>IFERROR(Q289/Q444, "NA")</f>
        <v>2.1544519965517039E-3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-205.73</v>
      </c>
      <c r="X289" s="8">
        <f>IFERROR(W289/W444, "NA")</f>
        <v>-1.1372084911714748E-2</v>
      </c>
      <c r="Y289" s="9"/>
      <c r="Z289" s="7">
        <v>198.68</v>
      </c>
      <c r="AA289" s="8">
        <f>IFERROR(Z289/Z444, "NA")</f>
        <v>2.772284356449238E-3</v>
      </c>
      <c r="AB289" s="9"/>
      <c r="AC289" s="10">
        <f t="shared" si="75"/>
        <v>-7.0499999999999829</v>
      </c>
      <c r="AD289" s="8">
        <f>IFERROR(AC289/AC444, "NA")</f>
        <v>-2.9591871427725875E-4</v>
      </c>
    </row>
    <row r="290" spans="1:30" ht="16.5" hidden="1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0</v>
      </c>
      <c r="R290" s="8">
        <f>IFERROR(Q290/Q444, "NA")</f>
        <v>0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0</v>
      </c>
      <c r="X290" s="8">
        <f>IFERROR(W290/W444, "NA")</f>
        <v>0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0</v>
      </c>
      <c r="AD290" s="8">
        <f>IFERROR(AC290/AC444, "NA")</f>
        <v>0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774</v>
      </c>
      <c r="F291" s="8">
        <f>IFERROR(E291/E444, "NA")</f>
        <v>1.0000019379882518E-2</v>
      </c>
      <c r="G291" s="9"/>
      <c r="H291" s="10">
        <f t="shared" si="72"/>
        <v>774</v>
      </c>
      <c r="I291" s="8">
        <f>IFERROR(H291/H444, "NA")</f>
        <v>4.2784201242731815E-2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0</v>
      </c>
      <c r="R291" s="8">
        <f>IFERROR(Q291/Q444, "NA")</f>
        <v>0</v>
      </c>
      <c r="S291" s="9"/>
      <c r="T291" s="7">
        <v>774</v>
      </c>
      <c r="U291" s="8">
        <f>IFERROR(T291/T444, "NA")</f>
        <v>1.0000019379882518E-2</v>
      </c>
      <c r="V291" s="9"/>
      <c r="W291" s="10">
        <f t="shared" si="74"/>
        <v>774</v>
      </c>
      <c r="X291" s="8">
        <f>IFERROR(W291/W444, "NA")</f>
        <v>4.2784201242731815E-2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0</v>
      </c>
      <c r="AD291" s="8">
        <f>IFERROR(AC291/AC444, "NA")</f>
        <v>0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3.4033702151331272E-3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-1.7964389614826114E-2</v>
      </c>
      <c r="J294" s="9"/>
      <c r="K294" s="7">
        <v>124.25</v>
      </c>
      <c r="L294" s="8">
        <f>IFERROR(K294/K444, "NA")</f>
        <v>1.7337242364043578E-3</v>
      </c>
      <c r="M294" s="9"/>
      <c r="N294" s="10">
        <f t="shared" si="73"/>
        <v>-200.74</v>
      </c>
      <c r="O294" s="8">
        <f>IFERROR(N294/N444, "NA")</f>
        <v>-8.4259181140449741E-3</v>
      </c>
      <c r="P294" s="9"/>
      <c r="Q294" s="7">
        <v>324.99</v>
      </c>
      <c r="R294" s="8">
        <f>IFERROR(Q294/Q444, "NA")</f>
        <v>3.4033702151331272E-3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-324.99</v>
      </c>
      <c r="X294" s="8">
        <f>IFERROR(W294/W444, "NA")</f>
        <v>-1.7964389614826114E-2</v>
      </c>
      <c r="Y294" s="9"/>
      <c r="Z294" s="7">
        <v>124.25</v>
      </c>
      <c r="AA294" s="8">
        <f>IFERROR(Z294/Z444, "NA")</f>
        <v>1.7337242364043578E-3</v>
      </c>
      <c r="AB294" s="9"/>
      <c r="AC294" s="10">
        <f t="shared" si="75"/>
        <v>-200.74</v>
      </c>
      <c r="AD294" s="8">
        <f>IFERROR(AC294/AC444, "NA")</f>
        <v>-8.4259181140449741E-3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689.05</v>
      </c>
      <c r="C295" s="15">
        <f>IFERROR(B295/B444, "NA")</f>
        <v>7.2158904788992926E-3</v>
      </c>
      <c r="D295" s="2"/>
      <c r="E295" s="14">
        <f>IFERROR(E286+E287+E288+E289+E290+E291+E292+E293+E294, "NA")</f>
        <v>1131</v>
      </c>
      <c r="F295" s="15">
        <f>IFERROR(E295/E444, "NA")</f>
        <v>1.4612431419440734E-2</v>
      </c>
      <c r="G295" s="2"/>
      <c r="H295" s="14">
        <f t="shared" si="72"/>
        <v>441.95000000000005</v>
      </c>
      <c r="I295" s="15">
        <f>IFERROR(H295/H444, "NA")</f>
        <v>2.4429557802616703E-2</v>
      </c>
      <c r="J295" s="2"/>
      <c r="K295" s="14">
        <f>IFERROR(K286+K287+K288+K289+K290+K291+K292+K293+K294, "NA")</f>
        <v>481.26</v>
      </c>
      <c r="L295" s="15">
        <f>IFERROR(K295/K444, "NA")</f>
        <v>6.7152686198145772E-3</v>
      </c>
      <c r="M295" s="2"/>
      <c r="N295" s="14">
        <f t="shared" si="73"/>
        <v>-207.78999999999996</v>
      </c>
      <c r="O295" s="15">
        <f>IFERROR(N295/N444, "NA")</f>
        <v>-8.7218368283222322E-3</v>
      </c>
      <c r="P295" s="2"/>
      <c r="Q295" s="14">
        <f>IFERROR(Q286+Q287+Q288+Q289+Q290+Q291+Q292+Q293+Q294, "NA")</f>
        <v>689.05</v>
      </c>
      <c r="R295" s="15">
        <f>IFERROR(Q295/Q444, "NA")</f>
        <v>7.2158904788992926E-3</v>
      </c>
      <c r="S295" s="2"/>
      <c r="T295" s="14">
        <f>IFERROR(T286+T287+T288+T289+T290+T291+T292+T293+T294, "NA")</f>
        <v>1131</v>
      </c>
      <c r="U295" s="15">
        <f>IFERROR(T295/T444, "NA")</f>
        <v>1.4612431419440734E-2</v>
      </c>
      <c r="V295" s="2"/>
      <c r="W295" s="14">
        <f t="shared" si="74"/>
        <v>441.95000000000005</v>
      </c>
      <c r="X295" s="15">
        <f>IFERROR(W295/W444, "NA")</f>
        <v>2.4429557802616703E-2</v>
      </c>
      <c r="Y295" s="2"/>
      <c r="Z295" s="14">
        <f>IFERROR(Z286+Z287+Z288+Z289+Z290+Z291+Z292+Z293+Z294, "NA")</f>
        <v>481.26</v>
      </c>
      <c r="AA295" s="15">
        <f>IFERROR(Z295/Z444, "NA")</f>
        <v>6.7152686198145772E-3</v>
      </c>
      <c r="AB295" s="2"/>
      <c r="AC295" s="14">
        <f t="shared" si="75"/>
        <v>-207.78999999999996</v>
      </c>
      <c r="AD295" s="15">
        <f>IFERROR(AC295/AC444, "NA")</f>
        <v>-8.7218368283222322E-3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1006.2</v>
      </c>
      <c r="F297" s="8">
        <f>IFERROR(E297/E444, "NA")</f>
        <v>1.3000025193847275E-2</v>
      </c>
      <c r="G297" s="9"/>
      <c r="H297" s="10">
        <f t="shared" ref="H297:H325" si="76">IFERROR(-(B297-E297), "NA")</f>
        <v>1006.2</v>
      </c>
      <c r="I297" s="8">
        <f>IFERROR(H297/H444, "NA")</f>
        <v>5.5619461615551362E-2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1006.2</v>
      </c>
      <c r="U297" s="8">
        <f>IFERROR(T297/T444, "NA")</f>
        <v>1.3000025193847275E-2</v>
      </c>
      <c r="V297" s="9"/>
      <c r="W297" s="10">
        <f t="shared" ref="W297:W325" si="78">IFERROR(-(Q297-T297), "NA")</f>
        <v>1006.2</v>
      </c>
      <c r="X297" s="8">
        <f>IFERROR(W297/W444, "NA")</f>
        <v>5.5619461615551362E-2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4.9135705866040899E-3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-2.5935849125438976E-2</v>
      </c>
      <c r="J299" s="9"/>
      <c r="K299" s="7">
        <v>183.75</v>
      </c>
      <c r="L299" s="8">
        <f>IFERROR(K299/K444, "NA")</f>
        <v>2.5639583777810927E-3</v>
      </c>
      <c r="M299" s="9"/>
      <c r="N299" s="10">
        <f t="shared" si="77"/>
        <v>-285.45</v>
      </c>
      <c r="O299" s="8">
        <f>IFERROR(N299/N444, "NA")</f>
        <v>-1.1981559856800526E-2</v>
      </c>
      <c r="P299" s="9"/>
      <c r="Q299" s="7">
        <v>469.2</v>
      </c>
      <c r="R299" s="8">
        <f>IFERROR(Q299/Q444, "NA")</f>
        <v>4.9135705866040899E-3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-469.2</v>
      </c>
      <c r="X299" s="8">
        <f>IFERROR(W299/W444, "NA")</f>
        <v>-2.5935849125438976E-2</v>
      </c>
      <c r="Y299" s="9"/>
      <c r="Z299" s="7">
        <v>183.75</v>
      </c>
      <c r="AA299" s="8">
        <f>IFERROR(Z299/Z444, "NA")</f>
        <v>2.5639583777810927E-3</v>
      </c>
      <c r="AB299" s="9"/>
      <c r="AC299" s="10">
        <f t="shared" si="79"/>
        <v>-285.45</v>
      </c>
      <c r="AD299" s="8">
        <f>IFERROR(AC299/AC444, "NA")</f>
        <v>-1.1981559856800526E-2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18.61</v>
      </c>
      <c r="L310" s="8">
        <f>IFERROR(K310/K444, "NA")</f>
        <v>2.5967491379867285E-4</v>
      </c>
      <c r="M310" s="9"/>
      <c r="N310" s="10">
        <f t="shared" si="77"/>
        <v>18.61</v>
      </c>
      <c r="O310" s="8">
        <f>IFERROR(N310/N444, "NA")</f>
        <v>7.8114145712053875E-4</v>
      </c>
      <c r="P310" s="9"/>
      <c r="Q310" s="7">
        <v>0</v>
      </c>
      <c r="R310" s="8">
        <f>IFERROR(Q310/Q444, "NA")</f>
        <v>0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0</v>
      </c>
      <c r="X310" s="8">
        <f>IFERROR(W310/W444, "NA")</f>
        <v>0</v>
      </c>
      <c r="Y310" s="9"/>
      <c r="Z310" s="7">
        <v>18.61</v>
      </c>
      <c r="AA310" s="8">
        <f>IFERROR(Z310/Z444, "NA")</f>
        <v>2.5967491379867285E-4</v>
      </c>
      <c r="AB310" s="9"/>
      <c r="AC310" s="10">
        <f t="shared" si="79"/>
        <v>18.61</v>
      </c>
      <c r="AD310" s="8">
        <f>IFERROR(AC310/AC444, "NA")</f>
        <v>7.8114145712053875E-4</v>
      </c>
    </row>
    <row r="311" spans="1:30" ht="16.5" hidden="1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0</v>
      </c>
      <c r="AD311" s="8">
        <f>IFERROR(AC311/AC444, "NA")</f>
        <v>0</v>
      </c>
    </row>
    <row r="312" spans="1:30" ht="16.5" customHeight="1" x14ac:dyDescent="0.45">
      <c r="A312" s="6" t="s">
        <v>284</v>
      </c>
      <c r="B312" s="7">
        <v>176.65</v>
      </c>
      <c r="C312" s="8">
        <f>IFERROR(B312/B444, "NA")</f>
        <v>1.8499195313802484E-3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-176.65</v>
      </c>
      <c r="I312" s="8">
        <f>IFERROR(H312/H444, "NA")</f>
        <v>-9.7646371440937661E-3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-176.65</v>
      </c>
      <c r="O312" s="8">
        <f>IFERROR(N312/N444, "NA")</f>
        <v>-7.4147575712167216E-3</v>
      </c>
      <c r="P312" s="9"/>
      <c r="Q312" s="7">
        <v>176.65</v>
      </c>
      <c r="R312" s="8">
        <f>IFERROR(Q312/Q444, "NA")</f>
        <v>1.8499195313802484E-3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-176.65</v>
      </c>
      <c r="X312" s="8">
        <f>IFERROR(W312/W444, "NA")</f>
        <v>-9.7646371440937661E-3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-176.65</v>
      </c>
      <c r="AD312" s="8">
        <f>IFERROR(AC312/AC444, "NA")</f>
        <v>-7.4147575712167216E-3</v>
      </c>
    </row>
    <row r="313" spans="1:30" ht="16.5" customHeight="1" x14ac:dyDescent="0.45">
      <c r="A313" s="6" t="s">
        <v>285</v>
      </c>
      <c r="B313" s="7">
        <v>14</v>
      </c>
      <c r="C313" s="8">
        <f>IFERROR(B313/B444, "NA")</f>
        <v>1.4661122807429084E-4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-14</v>
      </c>
      <c r="I313" s="8">
        <f>IFERROR(H313/H444, "NA")</f>
        <v>-7.7387444108300435E-4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-14</v>
      </c>
      <c r="O313" s="8">
        <f>IFERROR(N313/N444, "NA")</f>
        <v>-5.8763999998321032E-4</v>
      </c>
      <c r="P313" s="9"/>
      <c r="Q313" s="7">
        <v>14</v>
      </c>
      <c r="R313" s="8">
        <f>IFERROR(Q313/Q444, "NA")</f>
        <v>1.4661122807429084E-4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-14</v>
      </c>
      <c r="X313" s="8">
        <f>IFERROR(W313/W444, "NA")</f>
        <v>-7.7387444108300435E-4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-14</v>
      </c>
      <c r="AD313" s="8">
        <f>IFERROR(AC313/AC444, "NA")</f>
        <v>-5.8763999998321032E-4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6.0594432676549107E-3</v>
      </c>
      <c r="G318" s="9"/>
      <c r="H318" s="10">
        <f t="shared" si="76"/>
        <v>469</v>
      </c>
      <c r="I318" s="8">
        <f>IFERROR(H318/H444, "NA")</f>
        <v>2.5924793776280645E-2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469</v>
      </c>
      <c r="U318" s="8">
        <f>IFERROR(T318/T444, "NA")</f>
        <v>6.0594432676549107E-3</v>
      </c>
      <c r="V318" s="9"/>
      <c r="W318" s="10">
        <f t="shared" si="78"/>
        <v>469</v>
      </c>
      <c r="X318" s="8">
        <f>IFERROR(W318/W444, "NA")</f>
        <v>2.5924793776280645E-2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245.82</v>
      </c>
      <c r="C319" s="8">
        <f>IFERROR(B319/B444, "NA")</f>
        <v>2.5742837203730122E-3</v>
      </c>
      <c r="D319" s="9"/>
      <c r="E319" s="7">
        <v>232</v>
      </c>
      <c r="F319" s="8">
        <f>IFERROR(E319/E444, "NA")</f>
        <v>2.9974218296288688E-3</v>
      </c>
      <c r="G319" s="9"/>
      <c r="H319" s="10">
        <f t="shared" si="76"/>
        <v>-13.819999999999993</v>
      </c>
      <c r="I319" s="8">
        <f>IFERROR(H319/H444, "NA")</f>
        <v>-7.6392462684050824E-4</v>
      </c>
      <c r="J319" s="9"/>
      <c r="K319" s="7">
        <v>216.32</v>
      </c>
      <c r="L319" s="8">
        <f>IFERROR(K319/K444, "NA")</f>
        <v>3.0184243607162225E-3</v>
      </c>
      <c r="M319" s="9"/>
      <c r="N319" s="10">
        <f t="shared" si="77"/>
        <v>-29.5</v>
      </c>
      <c r="O319" s="8">
        <f>IFERROR(N319/N444, "NA")</f>
        <v>-1.2382414285360501E-3</v>
      </c>
      <c r="P319" s="9"/>
      <c r="Q319" s="7">
        <v>245.82</v>
      </c>
      <c r="R319" s="8">
        <f>IFERROR(Q319/Q444, "NA")</f>
        <v>2.5742837203730122E-3</v>
      </c>
      <c r="S319" s="9"/>
      <c r="T319" s="7">
        <v>232</v>
      </c>
      <c r="U319" s="8">
        <f>IFERROR(T319/T444, "NA")</f>
        <v>2.9974218296288688E-3</v>
      </c>
      <c r="V319" s="9"/>
      <c r="W319" s="10">
        <f t="shared" si="78"/>
        <v>-13.819999999999993</v>
      </c>
      <c r="X319" s="8">
        <f>IFERROR(W319/W444, "NA")</f>
        <v>-7.6392462684050824E-4</v>
      </c>
      <c r="Y319" s="9"/>
      <c r="Z319" s="7">
        <v>216.32</v>
      </c>
      <c r="AA319" s="8">
        <f>IFERROR(Z319/Z444, "NA")</f>
        <v>3.0184243607162225E-3</v>
      </c>
      <c r="AB319" s="9"/>
      <c r="AC319" s="10">
        <f t="shared" si="79"/>
        <v>-29.5</v>
      </c>
      <c r="AD319" s="8">
        <f>IFERROR(AC319/AC444, "NA")</f>
        <v>-1.2382414285360501E-3</v>
      </c>
    </row>
    <row r="320" spans="1:30" ht="16.5" customHeight="1" x14ac:dyDescent="0.45">
      <c r="A320" s="6" t="s">
        <v>292</v>
      </c>
      <c r="B320" s="7">
        <v>1081.07</v>
      </c>
      <c r="C320" s="8">
        <f>IFERROR(B320/B444, "NA")</f>
        <v>1.132121430959097E-2</v>
      </c>
      <c r="D320" s="9"/>
      <c r="E320" s="7">
        <v>905</v>
      </c>
      <c r="F320" s="8">
        <f>IFERROR(E320/E444, "NA")</f>
        <v>1.1692529119888474E-2</v>
      </c>
      <c r="G320" s="9"/>
      <c r="H320" s="10">
        <f t="shared" si="76"/>
        <v>-176.06999999999994</v>
      </c>
      <c r="I320" s="8">
        <f>IFERROR(H320/H444, "NA")</f>
        <v>-9.7325766315346091E-3</v>
      </c>
      <c r="J320" s="9"/>
      <c r="K320" s="7">
        <v>977.72</v>
      </c>
      <c r="L320" s="8">
        <f>IFERROR(K320/K444, "NA")</f>
        <v>1.3642630667342203E-2</v>
      </c>
      <c r="M320" s="9"/>
      <c r="N320" s="10">
        <f t="shared" si="77"/>
        <v>-103.34999999999991</v>
      </c>
      <c r="O320" s="8">
        <f>IFERROR(N320/N444, "NA")</f>
        <v>-4.3380424284474809E-3</v>
      </c>
      <c r="P320" s="9"/>
      <c r="Q320" s="7">
        <v>1081.07</v>
      </c>
      <c r="R320" s="8">
        <f>IFERROR(Q320/Q444, "NA")</f>
        <v>1.132121430959097E-2</v>
      </c>
      <c r="S320" s="9"/>
      <c r="T320" s="7">
        <v>905</v>
      </c>
      <c r="U320" s="8">
        <f>IFERROR(T320/T444, "NA")</f>
        <v>1.1692529119888474E-2</v>
      </c>
      <c r="V320" s="9"/>
      <c r="W320" s="10">
        <f t="shared" si="78"/>
        <v>-176.06999999999994</v>
      </c>
      <c r="X320" s="8">
        <f>IFERROR(W320/W444, "NA")</f>
        <v>-9.7325766315346091E-3</v>
      </c>
      <c r="Y320" s="9"/>
      <c r="Z320" s="7">
        <v>977.72</v>
      </c>
      <c r="AA320" s="8">
        <f>IFERROR(Z320/Z444, "NA")</f>
        <v>1.3642630667342203E-2</v>
      </c>
      <c r="AB320" s="9"/>
      <c r="AC320" s="10">
        <f t="shared" si="79"/>
        <v>-103.34999999999991</v>
      </c>
      <c r="AD320" s="8">
        <f>IFERROR(AC320/AC444, "NA")</f>
        <v>-4.3380424284474809E-3</v>
      </c>
    </row>
    <row r="321" spans="1:30" ht="16.5" customHeight="1" x14ac:dyDescent="0.45">
      <c r="A321" s="6" t="s">
        <v>293</v>
      </c>
      <c r="B321" s="7">
        <v>3914.42</v>
      </c>
      <c r="C321" s="8">
        <f>IFERROR(B321/B444, "NA")</f>
        <v>4.0992708814183258E-2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-3914.42</v>
      </c>
      <c r="I321" s="8">
        <f>IFERROR(H321/H444, "NA")</f>
        <v>-0.21637639926172386</v>
      </c>
      <c r="J321" s="9"/>
      <c r="K321" s="7">
        <v>2394.5500000000002</v>
      </c>
      <c r="L321" s="8">
        <f>IFERROR(K321/K444, "NA")</f>
        <v>3.3412389298044708E-2</v>
      </c>
      <c r="M321" s="9"/>
      <c r="N321" s="10">
        <f t="shared" si="77"/>
        <v>-1519.87</v>
      </c>
      <c r="O321" s="8">
        <f>IFERROR(N321/N444, "NA")</f>
        <v>-6.3795457626748694E-2</v>
      </c>
      <c r="P321" s="9"/>
      <c r="Q321" s="7">
        <v>3914.42</v>
      </c>
      <c r="R321" s="8">
        <f>IFERROR(Q321/Q444, "NA")</f>
        <v>4.0992708814183258E-2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-3914.42</v>
      </c>
      <c r="X321" s="8">
        <f>IFERROR(W321/W444, "NA")</f>
        <v>-0.21637639926172386</v>
      </c>
      <c r="Y321" s="9"/>
      <c r="Z321" s="7">
        <v>2394.5500000000002</v>
      </c>
      <c r="AA321" s="8">
        <f>IFERROR(Z321/Z444, "NA")</f>
        <v>3.3412389298044708E-2</v>
      </c>
      <c r="AB321" s="9"/>
      <c r="AC321" s="10">
        <f t="shared" si="79"/>
        <v>-1519.87</v>
      </c>
      <c r="AD321" s="8">
        <f>IFERROR(AC321/AC444, "NA")</f>
        <v>-6.3795457626748694E-2</v>
      </c>
    </row>
    <row r="322" spans="1:30" ht="16.5" customHeight="1" x14ac:dyDescent="0.45">
      <c r="A322" s="6" t="s">
        <v>294</v>
      </c>
      <c r="B322" s="7">
        <v>269.2</v>
      </c>
      <c r="C322" s="8">
        <f>IFERROR(B322/B444, "NA")</f>
        <v>2.8191244712570782E-3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-269.2</v>
      </c>
      <c r="I322" s="8">
        <f>IFERROR(H322/H444, "NA")</f>
        <v>-1.4880499967110342E-2</v>
      </c>
      <c r="J322" s="9"/>
      <c r="K322" s="7">
        <v>208.33</v>
      </c>
      <c r="L322" s="8">
        <f>IFERROR(K322/K444, "NA")</f>
        <v>2.9069357760170616E-3</v>
      </c>
      <c r="M322" s="9"/>
      <c r="N322" s="10">
        <f t="shared" si="77"/>
        <v>-60.869999999999976</v>
      </c>
      <c r="O322" s="8">
        <f>IFERROR(N322/N444, "NA")</f>
        <v>-2.5549747713555712E-3</v>
      </c>
      <c r="P322" s="9"/>
      <c r="Q322" s="7">
        <v>269.2</v>
      </c>
      <c r="R322" s="8">
        <f>IFERROR(Q322/Q444, "NA")</f>
        <v>2.8191244712570782E-3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-269.2</v>
      </c>
      <c r="X322" s="8">
        <f>IFERROR(W322/W444, "NA")</f>
        <v>-1.4880499967110342E-2</v>
      </c>
      <c r="Y322" s="9"/>
      <c r="Z322" s="7">
        <v>208.33</v>
      </c>
      <c r="AA322" s="8">
        <f>IFERROR(Z322/Z444, "NA")</f>
        <v>2.9069357760170616E-3</v>
      </c>
      <c r="AB322" s="9"/>
      <c r="AC322" s="10">
        <f t="shared" si="79"/>
        <v>-60.869999999999976</v>
      </c>
      <c r="AD322" s="8">
        <f>IFERROR(AC322/AC444, "NA")</f>
        <v>-2.5549747713555712E-3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6170.36</v>
      </c>
      <c r="C324" s="15">
        <f>IFERROR(B324/B444, "NA")</f>
        <v>6.4617432661462942E-2</v>
      </c>
      <c r="D324" s="2"/>
      <c r="E324" s="14">
        <f>IFERROR(E297+E298+E299+E300+E301+E302+E303+E304+E305+E306+E307+E308+E309+E310+E311+E312+E313+E314+E315+E316+E317+E318+E319+E320+E321+E322+E323, "NA")</f>
        <v>2612.1999999999998</v>
      </c>
      <c r="F324" s="15">
        <f>IFERROR(E324/E444, "NA")</f>
        <v>3.3749419411019527E-2</v>
      </c>
      <c r="G324" s="2"/>
      <c r="H324" s="14">
        <f t="shared" si="76"/>
        <v>-3558.16</v>
      </c>
      <c r="I324" s="15">
        <f>IFERROR(H324/H444, "NA")</f>
        <v>-0.19668350580599306</v>
      </c>
      <c r="J324" s="2"/>
      <c r="K324" s="14">
        <f>IFERROR(K297+K298+K299+K300+K301+K302+K303+K304+K305+K306+K307+K308+K309+K310+K311+K312+K313+K314+K315+K316+K317+K318+K319+K320+K321+K322+K323, "NA")</f>
        <v>3999.28</v>
      </c>
      <c r="L324" s="15">
        <f>IFERROR(K324/K444, "NA")</f>
        <v>5.5804013393699961E-2</v>
      </c>
      <c r="M324" s="2"/>
      <c r="N324" s="14">
        <f t="shared" si="77"/>
        <v>-2171.0799999999995</v>
      </c>
      <c r="O324" s="15">
        <f>IFERROR(N324/N444, "NA")</f>
        <v>-9.1129532225967702E-2</v>
      </c>
      <c r="P324" s="2"/>
      <c r="Q324" s="14">
        <f>IFERROR(Q297+Q298+Q299+Q300+Q301+Q302+Q303+Q304+Q305+Q306+Q307+Q308+Q309+Q310+Q311+Q312+Q313+Q314+Q315+Q316+Q317+Q318+Q319+Q320+Q321+Q322+Q323, "NA")</f>
        <v>6170.36</v>
      </c>
      <c r="R324" s="15">
        <f>IFERROR(Q324/Q444, "NA")</f>
        <v>6.4617432661462942E-2</v>
      </c>
      <c r="S324" s="2"/>
      <c r="T324" s="14">
        <f>IFERROR(T297+T298+T299+T300+T301+T302+T303+T304+T305+T306+T307+T308+T309+T310+T311+T312+T313+T314+T315+T316+T317+T318+T319+T320+T321+T322+T323, "NA")</f>
        <v>2612.1999999999998</v>
      </c>
      <c r="U324" s="15">
        <f>IFERROR(T324/T444, "NA")</f>
        <v>3.3749419411019527E-2</v>
      </c>
      <c r="V324" s="2"/>
      <c r="W324" s="14">
        <f t="shared" si="78"/>
        <v>-3558.16</v>
      </c>
      <c r="X324" s="15">
        <f>IFERROR(W324/W444, "NA")</f>
        <v>-0.19668350580599306</v>
      </c>
      <c r="Y324" s="2"/>
      <c r="Z324" s="14">
        <f>IFERROR(Z297+Z298+Z299+Z300+Z301+Z302+Z303+Z304+Z305+Z306+Z307+Z308+Z309+Z310+Z311+Z312+Z313+Z314+Z315+Z316+Z317+Z318+Z319+Z320+Z321+Z322+Z323, "NA")</f>
        <v>3999.28</v>
      </c>
      <c r="AA324" s="15">
        <f>IFERROR(Z324/Z444, "NA")</f>
        <v>5.5804013393699961E-2</v>
      </c>
      <c r="AB324" s="2"/>
      <c r="AC324" s="14">
        <f t="shared" si="79"/>
        <v>-2171.0799999999995</v>
      </c>
      <c r="AD324" s="15">
        <f>IFERROR(AC324/AC444, "NA")</f>
        <v>-9.1129532225967702E-2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25063.130000000008</v>
      </c>
      <c r="C325" s="15">
        <f>IFERROR(B325/B444, "NA")</f>
        <v>0.26246687633468585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15873.499999999998</v>
      </c>
      <c r="F325" s="15">
        <f>IFERROR(E325/E444, "NA")</f>
        <v>0.20508437677850794</v>
      </c>
      <c r="G325" s="2"/>
      <c r="H325" s="14">
        <f t="shared" si="76"/>
        <v>-9189.6300000000101</v>
      </c>
      <c r="I325" s="15">
        <f>IFERROR(H325/H444, "NA")</f>
        <v>-0.50797284142925836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13621.050000000001</v>
      </c>
      <c r="L325" s="15">
        <f>IFERROR(K325/K444, "NA")</f>
        <v>0.19006152523360628</v>
      </c>
      <c r="M325" s="2"/>
      <c r="N325" s="14">
        <f t="shared" si="77"/>
        <v>-11442.080000000007</v>
      </c>
      <c r="O325" s="15">
        <f>IFERROR(N325/N444, "NA")</f>
        <v>-0.48027313507199249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25063.130000000008</v>
      </c>
      <c r="R325" s="15">
        <f>IFERROR(Q325/Q444, "NA")</f>
        <v>0.26246687633468585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15873.499999999998</v>
      </c>
      <c r="U325" s="15">
        <f>IFERROR(T325/T444, "NA")</f>
        <v>0.20508437677850794</v>
      </c>
      <c r="V325" s="2"/>
      <c r="W325" s="14">
        <f t="shared" si="78"/>
        <v>-9189.6300000000101</v>
      </c>
      <c r="X325" s="15">
        <f>IFERROR(W325/W444, "NA")</f>
        <v>-0.50797284142925836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13621.050000000001</v>
      </c>
      <c r="AA325" s="15">
        <f>IFERROR(Z325/Z444, "NA")</f>
        <v>0.19006152523360628</v>
      </c>
      <c r="AB325" s="2"/>
      <c r="AC325" s="14">
        <f t="shared" si="79"/>
        <v>-11442.080000000007</v>
      </c>
      <c r="AD325" s="15">
        <f>IFERROR(AC325/AC444, "NA")</f>
        <v>-0.48027313507199249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0.20493935321828402</v>
      </c>
      <c r="D329" s="9"/>
      <c r="E329" s="7">
        <v>18062</v>
      </c>
      <c r="F329" s="8">
        <f>IFERROR(E329/E444, "NA")</f>
        <v>0.23335962537395097</v>
      </c>
      <c r="G329" s="9"/>
      <c r="H329" s="10">
        <f t="shared" si="80"/>
        <v>-1507.7900000000009</v>
      </c>
      <c r="I329" s="8">
        <f>IFERROR(H329/H444, "NA")</f>
        <v>-8.3345724537181698E-2</v>
      </c>
      <c r="J329" s="9"/>
      <c r="K329" s="7">
        <v>19092.48</v>
      </c>
      <c r="L329" s="8">
        <f>IFERROR(K329/K444, "NA")</f>
        <v>0.26640720570676435</v>
      </c>
      <c r="M329" s="9"/>
      <c r="N329" s="10">
        <f t="shared" si="81"/>
        <v>-477.31000000000131</v>
      </c>
      <c r="O329" s="8">
        <f>IFERROR(N329/N444, "NA")</f>
        <v>-2.0034746313713346E-2</v>
      </c>
      <c r="P329" s="9"/>
      <c r="Q329" s="7">
        <v>19569.79</v>
      </c>
      <c r="R329" s="8">
        <f>IFERROR(Q329/Q444, "NA")</f>
        <v>0.20493935321828402</v>
      </c>
      <c r="S329" s="9"/>
      <c r="T329" s="7">
        <v>18062</v>
      </c>
      <c r="U329" s="8">
        <f>IFERROR(T329/T444, "NA")</f>
        <v>0.23335962537395097</v>
      </c>
      <c r="V329" s="9"/>
      <c r="W329" s="10">
        <f t="shared" si="82"/>
        <v>-1507.7900000000009</v>
      </c>
      <c r="X329" s="8">
        <f>IFERROR(W329/W444, "NA")</f>
        <v>-8.3345724537181698E-2</v>
      </c>
      <c r="Y329" s="9"/>
      <c r="Z329" s="7">
        <v>19092.48</v>
      </c>
      <c r="AA329" s="8">
        <f>IFERROR(Z329/Z444, "NA")</f>
        <v>0.26640720570676435</v>
      </c>
      <c r="AB329" s="9"/>
      <c r="AC329" s="10">
        <f t="shared" si="83"/>
        <v>-477.31000000000131</v>
      </c>
      <c r="AD329" s="8">
        <f>IFERROR(AC329/AC444, "NA")</f>
        <v>-2.0034746313713346E-2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6.8960685570858046E-3</v>
      </c>
      <c r="D330" s="9"/>
      <c r="E330" s="7">
        <v>659</v>
      </c>
      <c r="F330" s="8">
        <f>IFERROR(E330/E444, "NA")</f>
        <v>8.5142283867475181E-3</v>
      </c>
      <c r="G330" s="9"/>
      <c r="H330" s="10">
        <f t="shared" si="80"/>
        <v>0.49000000000000909</v>
      </c>
      <c r="I330" s="8">
        <f>IFERROR(H330/H444, "NA")</f>
        <v>2.7085605437905657E-5</v>
      </c>
      <c r="J330" s="9"/>
      <c r="K330" s="7">
        <v>684.38</v>
      </c>
      <c r="L330" s="8">
        <f>IFERROR(K330/K444, "NA")</f>
        <v>9.5495065827799954E-3</v>
      </c>
      <c r="M330" s="9"/>
      <c r="N330" s="10">
        <f t="shared" si="81"/>
        <v>25.870000000000005</v>
      </c>
      <c r="O330" s="8">
        <f>IFERROR(N330/N444, "NA")</f>
        <v>1.0858747713975467E-3</v>
      </c>
      <c r="P330" s="9"/>
      <c r="Q330" s="7">
        <v>658.51</v>
      </c>
      <c r="R330" s="8">
        <f>IFERROR(Q330/Q444, "NA")</f>
        <v>6.8960685570858046E-3</v>
      </c>
      <c r="S330" s="9"/>
      <c r="T330" s="7">
        <v>659</v>
      </c>
      <c r="U330" s="8">
        <f>IFERROR(T330/T444, "NA")</f>
        <v>8.5142283867475181E-3</v>
      </c>
      <c r="V330" s="9"/>
      <c r="W330" s="10">
        <f t="shared" si="82"/>
        <v>0.49000000000000909</v>
      </c>
      <c r="X330" s="8">
        <f>IFERROR(W330/W444, "NA")</f>
        <v>2.7085605437905657E-5</v>
      </c>
      <c r="Y330" s="9"/>
      <c r="Z330" s="7">
        <v>684.38</v>
      </c>
      <c r="AA330" s="8">
        <f>IFERROR(Z330/Z444, "NA")</f>
        <v>9.5495065827799954E-3</v>
      </c>
      <c r="AB330" s="9"/>
      <c r="AC330" s="10">
        <f t="shared" si="83"/>
        <v>25.870000000000005</v>
      </c>
      <c r="AD330" s="8">
        <f>IFERROR(AC330/AC444, "NA")</f>
        <v>1.0858747713975467E-3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760.64</v>
      </c>
      <c r="C333" s="8">
        <f>IFERROR(B333/B444, "NA")</f>
        <v>7.9655974658877568E-3</v>
      </c>
      <c r="D333" s="9"/>
      <c r="E333" s="7">
        <v>761</v>
      </c>
      <c r="F333" s="8">
        <f>IFERROR(E333/E444, "NA")</f>
        <v>9.8320603980498657E-3</v>
      </c>
      <c r="G333" s="9"/>
      <c r="H333" s="10">
        <f t="shared" si="80"/>
        <v>0.36000000000001364</v>
      </c>
      <c r="I333" s="8">
        <f>IFERROR(H333/H444, "NA")</f>
        <v>1.9899628484992297E-5</v>
      </c>
      <c r="J333" s="9"/>
      <c r="K333" s="7">
        <v>682.43</v>
      </c>
      <c r="L333" s="8">
        <f>IFERROR(K333/K444, "NA")</f>
        <v>9.5222972285668069E-3</v>
      </c>
      <c r="M333" s="9"/>
      <c r="N333" s="10">
        <f t="shared" si="81"/>
        <v>-78.210000000000036</v>
      </c>
      <c r="O333" s="8">
        <f>IFERROR(N333/N444, "NA")</f>
        <v>-3.2828088856204926E-3</v>
      </c>
      <c r="P333" s="9"/>
      <c r="Q333" s="7">
        <v>760.64</v>
      </c>
      <c r="R333" s="8">
        <f>IFERROR(Q333/Q444, "NA")</f>
        <v>7.9655974658877568E-3</v>
      </c>
      <c r="S333" s="9"/>
      <c r="T333" s="7">
        <v>761</v>
      </c>
      <c r="U333" s="8">
        <f>IFERROR(T333/T444, "NA")</f>
        <v>9.8320603980498657E-3</v>
      </c>
      <c r="V333" s="9"/>
      <c r="W333" s="10">
        <f t="shared" si="82"/>
        <v>0.36000000000001364</v>
      </c>
      <c r="X333" s="8">
        <f>IFERROR(W333/W444, "NA")</f>
        <v>1.9899628484992297E-5</v>
      </c>
      <c r="Y333" s="9"/>
      <c r="Z333" s="7">
        <v>682.43</v>
      </c>
      <c r="AA333" s="8">
        <f>IFERROR(Z333/Z444, "NA")</f>
        <v>9.5222972285668069E-3</v>
      </c>
      <c r="AB333" s="9"/>
      <c r="AC333" s="10">
        <f t="shared" si="83"/>
        <v>-78.210000000000036</v>
      </c>
      <c r="AD333" s="8">
        <f>IFERROR(AC333/AC444, "NA")</f>
        <v>-3.2828088856204926E-3</v>
      </c>
    </row>
    <row r="334" spans="1:30" ht="16.5" customHeight="1" x14ac:dyDescent="0.45">
      <c r="A334" s="6" t="s">
        <v>305</v>
      </c>
      <c r="B334" s="7">
        <v>-1506.87</v>
      </c>
      <c r="C334" s="8">
        <f>IFERROR(B334/B444, "NA")</f>
        <v>-1.5780290089164758E-2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1506.87</v>
      </c>
      <c r="I334" s="8">
        <f>IFERROR(H334/H444, "NA")</f>
        <v>8.3294869931053339E-2</v>
      </c>
      <c r="J334" s="9"/>
      <c r="K334" s="7">
        <v>-1470.12</v>
      </c>
      <c r="L334" s="8">
        <f>IFERROR(K334/K444, "NA")</f>
        <v>-2.0513341444046474E-2</v>
      </c>
      <c r="M334" s="9"/>
      <c r="N334" s="10">
        <f t="shared" si="81"/>
        <v>36.75</v>
      </c>
      <c r="O334" s="8">
        <f>IFERROR(N334/N444, "NA")</f>
        <v>1.5425549999559269E-3</v>
      </c>
      <c r="P334" s="9"/>
      <c r="Q334" s="7">
        <v>-1506.87</v>
      </c>
      <c r="R334" s="8">
        <f>IFERROR(Q334/Q444, "NA")</f>
        <v>-1.5780290089164758E-2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1506.87</v>
      </c>
      <c r="X334" s="8">
        <f>IFERROR(W334/W444, "NA")</f>
        <v>8.3294869931053339E-2</v>
      </c>
      <c r="Y334" s="9"/>
      <c r="Z334" s="7">
        <v>-1470.12</v>
      </c>
      <c r="AA334" s="8">
        <f>IFERROR(Z334/Z444, "NA")</f>
        <v>-2.0513341444046474E-2</v>
      </c>
      <c r="AB334" s="9"/>
      <c r="AC334" s="10">
        <f t="shared" si="83"/>
        <v>36.75</v>
      </c>
      <c r="AD334" s="8">
        <f>IFERROR(AC334/AC444, "NA")</f>
        <v>1.5425549999559269E-3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5176.8599999999997</v>
      </c>
      <c r="F337" s="8">
        <f>IFERROR(E337/E444, "NA")</f>
        <v>6.6884625745398718E-2</v>
      </c>
      <c r="G337" s="9"/>
      <c r="H337" s="10">
        <f t="shared" ref="H337:H344" si="84">IFERROR(-(B337-E337), "NA")</f>
        <v>5176.8599999999997</v>
      </c>
      <c r="I337" s="8">
        <f>IFERROR(H337/H444, "NA")</f>
        <v>0.28615997421892586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5176.8599999999997</v>
      </c>
      <c r="U337" s="8">
        <f>IFERROR(T337/T444, "NA")</f>
        <v>6.6884625745398718E-2</v>
      </c>
      <c r="V337" s="9"/>
      <c r="W337" s="10">
        <f t="shared" ref="W337:W344" si="86">IFERROR(-(Q337-T337), "NA")</f>
        <v>5176.8599999999997</v>
      </c>
      <c r="X337" s="8">
        <f>IFERROR(W337/W444, "NA")</f>
        <v>0.28615997421892586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1801.37</v>
      </c>
      <c r="C338" s="8">
        <f>IFERROR(B338/B444, "NA")</f>
        <v>1.8864361994013232E-2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-1801.37</v>
      </c>
      <c r="I338" s="8">
        <f>IFERROR(H338/H444, "NA")</f>
        <v>-9.9573871566692257E-2</v>
      </c>
      <c r="J338" s="9"/>
      <c r="K338" s="7">
        <v>1751.12</v>
      </c>
      <c r="L338" s="8">
        <f>IFERROR(K338/K444, "NA")</f>
        <v>2.4434279153741641E-2</v>
      </c>
      <c r="M338" s="9"/>
      <c r="N338" s="10">
        <f t="shared" si="85"/>
        <v>-50.25</v>
      </c>
      <c r="O338" s="8">
        <f>IFERROR(N338/N444, "NA")</f>
        <v>-2.1092078570825938E-3</v>
      </c>
      <c r="P338" s="9"/>
      <c r="Q338" s="7">
        <v>1801.37</v>
      </c>
      <c r="R338" s="8">
        <f>IFERROR(Q338/Q444, "NA")</f>
        <v>1.8864361994013232E-2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-1801.37</v>
      </c>
      <c r="X338" s="8">
        <f>IFERROR(W338/W444, "NA")</f>
        <v>-9.9573871566692257E-2</v>
      </c>
      <c r="Y338" s="9"/>
      <c r="Z338" s="7">
        <v>1751.12</v>
      </c>
      <c r="AA338" s="8">
        <f>IFERROR(Z338/Z444, "NA")</f>
        <v>2.4434279153741641E-2</v>
      </c>
      <c r="AB338" s="9"/>
      <c r="AC338" s="10">
        <f t="shared" si="87"/>
        <v>-50.25</v>
      </c>
      <c r="AD338" s="8">
        <f>IFERROR(AC338/AC444, "NA")</f>
        <v>-2.1092078570825938E-3</v>
      </c>
    </row>
    <row r="339" spans="1:30" ht="16.5" customHeight="1" x14ac:dyDescent="0.45">
      <c r="A339" s="12" t="s">
        <v>309</v>
      </c>
      <c r="B339" s="7">
        <v>1067.49</v>
      </c>
      <c r="C339" s="8">
        <f>IFERROR(B339/B444, "NA")</f>
        <v>1.1179001418358909E-2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-1067.49</v>
      </c>
      <c r="I339" s="8">
        <f>IFERROR(H339/H444, "NA")</f>
        <v>-5.9007373365121171E-2</v>
      </c>
      <c r="J339" s="9"/>
      <c r="K339" s="7">
        <v>1141.4000000000001</v>
      </c>
      <c r="L339" s="8">
        <f>IFERROR(K339/K444, "NA")</f>
        <v>1.5926541999452187E-2</v>
      </c>
      <c r="M339" s="9"/>
      <c r="N339" s="10">
        <f t="shared" si="85"/>
        <v>73.910000000000082</v>
      </c>
      <c r="O339" s="8">
        <f>IFERROR(N339/N444, "NA")</f>
        <v>3.1023194570542227E-3</v>
      </c>
      <c r="P339" s="9"/>
      <c r="Q339" s="7">
        <v>1067.49</v>
      </c>
      <c r="R339" s="8">
        <f>IFERROR(Q339/Q444, "NA")</f>
        <v>1.1179001418358909E-2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-1067.49</v>
      </c>
      <c r="X339" s="8">
        <f>IFERROR(W339/W444, "NA")</f>
        <v>-5.9007373365121171E-2</v>
      </c>
      <c r="Y339" s="9"/>
      <c r="Z339" s="7">
        <v>1141.4000000000001</v>
      </c>
      <c r="AA339" s="8">
        <f>IFERROR(Z339/Z444, "NA")</f>
        <v>1.5926541999452187E-2</v>
      </c>
      <c r="AB339" s="9"/>
      <c r="AC339" s="10">
        <f t="shared" si="87"/>
        <v>73.910000000000082</v>
      </c>
      <c r="AD339" s="8">
        <f>IFERROR(AC339/AC444, "NA")</f>
        <v>3.1023194570542227E-3</v>
      </c>
    </row>
    <row r="340" spans="1:30" ht="16.5" customHeight="1" x14ac:dyDescent="0.45">
      <c r="A340" s="12" t="s">
        <v>310</v>
      </c>
      <c r="B340" s="7">
        <v>980.57</v>
      </c>
      <c r="C340" s="8">
        <f>IFERROR(B340/B444, "NA")</f>
        <v>1.0268755136629098E-2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-980.57</v>
      </c>
      <c r="I340" s="8">
        <f>IFERROR(H340/H444, "NA")</f>
        <v>-5.4202718620911548E-2</v>
      </c>
      <c r="J340" s="9"/>
      <c r="K340" s="7">
        <v>902.09</v>
      </c>
      <c r="L340" s="8">
        <f>IFERROR(K340/K444, "NA")</f>
        <v>1.2587326329319977E-2</v>
      </c>
      <c r="M340" s="9"/>
      <c r="N340" s="10">
        <f t="shared" si="85"/>
        <v>-78.480000000000018</v>
      </c>
      <c r="O340" s="8">
        <f>IFERROR(N340/N444, "NA")</f>
        <v>-3.2941419427630252E-3</v>
      </c>
      <c r="P340" s="9"/>
      <c r="Q340" s="7">
        <v>980.57</v>
      </c>
      <c r="R340" s="8">
        <f>IFERROR(Q340/Q444, "NA")</f>
        <v>1.0268755136629098E-2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-980.57</v>
      </c>
      <c r="X340" s="8">
        <f>IFERROR(W340/W444, "NA")</f>
        <v>-5.4202718620911548E-2</v>
      </c>
      <c r="Y340" s="9"/>
      <c r="Z340" s="7">
        <v>902.09</v>
      </c>
      <c r="AA340" s="8">
        <f>IFERROR(Z340/Z444, "NA")</f>
        <v>1.2587326329319977E-2</v>
      </c>
      <c r="AB340" s="9"/>
      <c r="AC340" s="10">
        <f t="shared" si="87"/>
        <v>-78.480000000000018</v>
      </c>
      <c r="AD340" s="8">
        <f>IFERROR(AC340/AC444, "NA")</f>
        <v>-3.2941419427630252E-3</v>
      </c>
    </row>
    <row r="341" spans="1:30" ht="16.5" customHeight="1" x14ac:dyDescent="0.45">
      <c r="A341" s="12" t="s">
        <v>311</v>
      </c>
      <c r="B341" s="7">
        <v>1051.7</v>
      </c>
      <c r="C341" s="8">
        <f>IFERROR(B341/B444, "NA")</f>
        <v>1.1013644897552263E-2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-1051.7</v>
      </c>
      <c r="I341" s="8">
        <f>IFERROR(H341/H444, "NA")</f>
        <v>-5.8134553549071127E-2</v>
      </c>
      <c r="J341" s="9"/>
      <c r="K341" s="7">
        <v>957.58</v>
      </c>
      <c r="L341" s="8">
        <f>IFERROR(K341/K444, "NA")</f>
        <v>1.3361606875622415E-2</v>
      </c>
      <c r="M341" s="9"/>
      <c r="N341" s="10">
        <f t="shared" si="85"/>
        <v>-94.12</v>
      </c>
      <c r="O341" s="8">
        <f>IFERROR(N341/N444, "NA")</f>
        <v>-3.9506197713156969E-3</v>
      </c>
      <c r="P341" s="9"/>
      <c r="Q341" s="7">
        <v>1051.7</v>
      </c>
      <c r="R341" s="8">
        <f>IFERROR(Q341/Q444, "NA")</f>
        <v>1.1013644897552263E-2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-1051.7</v>
      </c>
      <c r="X341" s="8">
        <f>IFERROR(W341/W444, "NA")</f>
        <v>-5.8134553549071127E-2</v>
      </c>
      <c r="Y341" s="9"/>
      <c r="Z341" s="7">
        <v>957.58</v>
      </c>
      <c r="AA341" s="8">
        <f>IFERROR(Z341/Z444, "NA")</f>
        <v>1.3361606875622415E-2</v>
      </c>
      <c r="AB341" s="9"/>
      <c r="AC341" s="10">
        <f t="shared" si="87"/>
        <v>-94.12</v>
      </c>
      <c r="AD341" s="8">
        <f>IFERROR(AC341/AC444, "NA")</f>
        <v>-3.9506197713156969E-3</v>
      </c>
    </row>
    <row r="342" spans="1:30" ht="16.5" customHeight="1" x14ac:dyDescent="0.45">
      <c r="A342" s="13" t="s">
        <v>312</v>
      </c>
      <c r="B342" s="14">
        <f>IFERROR(B337+B338+B339+B340+B341, "NA")</f>
        <v>4901.13</v>
      </c>
      <c r="C342" s="15">
        <f>IFERROR(B342/B444, "NA")</f>
        <v>5.1325763446553506E-2</v>
      </c>
      <c r="D342" s="2"/>
      <c r="E342" s="14">
        <f>IFERROR(E337+E338+E339+E340+E341, "NA")</f>
        <v>5176.8599999999997</v>
      </c>
      <c r="F342" s="15">
        <f>IFERROR(E342/E444, "NA")</f>
        <v>6.6884625745398718E-2</v>
      </c>
      <c r="G342" s="2"/>
      <c r="H342" s="14">
        <f t="shared" si="84"/>
        <v>275.72999999999956</v>
      </c>
      <c r="I342" s="15">
        <f>IFERROR(H342/H444, "NA")</f>
        <v>1.5241457117129747E-2</v>
      </c>
      <c r="J342" s="2"/>
      <c r="K342" s="14">
        <f>IFERROR(K337+K338+K339+K340+K341, "NA")</f>
        <v>4752.1900000000005</v>
      </c>
      <c r="L342" s="15">
        <f>IFERROR(K342/K444, "NA")</f>
        <v>6.6309754358136228E-2</v>
      </c>
      <c r="M342" s="2"/>
      <c r="N342" s="14">
        <f t="shared" si="85"/>
        <v>-148.9399999999996</v>
      </c>
      <c r="O342" s="15">
        <f>IFERROR(N342/N444, "NA")</f>
        <v>-6.2516501141070789E-3</v>
      </c>
      <c r="P342" s="2"/>
      <c r="Q342" s="14">
        <f>IFERROR(Q337+Q338+Q339+Q340+Q341, "NA")</f>
        <v>4901.13</v>
      </c>
      <c r="R342" s="15">
        <f>IFERROR(Q342/Q444, "NA")</f>
        <v>5.1325763446553506E-2</v>
      </c>
      <c r="S342" s="2"/>
      <c r="T342" s="14">
        <f>IFERROR(T337+T338+T339+T340+T341, "NA")</f>
        <v>5176.8599999999997</v>
      </c>
      <c r="U342" s="15">
        <f>IFERROR(T342/T444, "NA")</f>
        <v>6.6884625745398718E-2</v>
      </c>
      <c r="V342" s="2"/>
      <c r="W342" s="14">
        <f t="shared" si="86"/>
        <v>275.72999999999956</v>
      </c>
      <c r="X342" s="15">
        <f>IFERROR(W342/W444, "NA")</f>
        <v>1.5241457117129747E-2</v>
      </c>
      <c r="Y342" s="2"/>
      <c r="Z342" s="14">
        <f>IFERROR(Z337+Z338+Z339+Z340+Z341, "NA")</f>
        <v>4752.1900000000005</v>
      </c>
      <c r="AA342" s="15">
        <f>IFERROR(Z342/Z444, "NA")</f>
        <v>6.6309754358136228E-2</v>
      </c>
      <c r="AB342" s="2"/>
      <c r="AC342" s="14">
        <f t="shared" si="87"/>
        <v>-148.9399999999996</v>
      </c>
      <c r="AD342" s="15">
        <f>IFERROR(AC342/AC444, "NA")</f>
        <v>-6.2516501141070789E-3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24383.200000000001</v>
      </c>
      <c r="C343" s="15">
        <f>IFERROR(B343/B444, "NA")</f>
        <v>0.25534649259864634</v>
      </c>
      <c r="D343" s="2"/>
      <c r="E343" s="14">
        <f>IFERROR(E328+E329+E330+E331+E332+E333+E334+E335+E337+E338+E339+E340+E341, "NA")</f>
        <v>24658.86</v>
      </c>
      <c r="F343" s="15">
        <f>IFERROR(E343/E444, "NA")</f>
        <v>0.3185905399041471</v>
      </c>
      <c r="G343" s="2"/>
      <c r="H343" s="14">
        <f t="shared" si="84"/>
        <v>275.65999999999985</v>
      </c>
      <c r="I343" s="15">
        <f>IFERROR(H343/H444, "NA")</f>
        <v>1.5237587744924348E-2</v>
      </c>
      <c r="J343" s="2"/>
      <c r="K343" s="14">
        <f>IFERROR(K328+K329+K330+K331+K332+K333+K334+K335+K337+K338+K339+K340+K341, "NA")</f>
        <v>23741.360000000004</v>
      </c>
      <c r="L343" s="15">
        <f>IFERROR(K343/K444, "NA")</f>
        <v>0.33127542243220098</v>
      </c>
      <c r="M343" s="2"/>
      <c r="N343" s="14">
        <f t="shared" si="85"/>
        <v>-641.83999999999651</v>
      </c>
      <c r="O343" s="15">
        <f>IFERROR(N343/N444, "NA")</f>
        <v>-2.6940775542087261E-2</v>
      </c>
      <c r="P343" s="2"/>
      <c r="Q343" s="14">
        <f>IFERROR(Q328+Q329+Q330+Q331+Q332+Q333+Q334+Q335+Q337+Q338+Q339+Q340+Q341, "NA")</f>
        <v>24383.200000000001</v>
      </c>
      <c r="R343" s="15">
        <f>IFERROR(Q343/Q444, "NA")</f>
        <v>0.25534649259864634</v>
      </c>
      <c r="S343" s="2"/>
      <c r="T343" s="14">
        <f>IFERROR(T328+T329+T330+T331+T332+T333+T334+T335+T337+T338+T339+T340+T341, "NA")</f>
        <v>24658.86</v>
      </c>
      <c r="U343" s="15">
        <f>IFERROR(T343/T444, "NA")</f>
        <v>0.3185905399041471</v>
      </c>
      <c r="V343" s="2"/>
      <c r="W343" s="14">
        <f t="shared" si="86"/>
        <v>275.65999999999985</v>
      </c>
      <c r="X343" s="15">
        <f>IFERROR(W343/W444, "NA")</f>
        <v>1.5237587744924348E-2</v>
      </c>
      <c r="Y343" s="2"/>
      <c r="Z343" s="14">
        <f>IFERROR(Z328+Z329+Z330+Z331+Z332+Z333+Z334+Z335+Z337+Z338+Z339+Z340+Z341, "NA")</f>
        <v>23741.360000000004</v>
      </c>
      <c r="AA343" s="15">
        <f>IFERROR(Z343/Z444, "NA")</f>
        <v>0.33127542243220098</v>
      </c>
      <c r="AB343" s="2"/>
      <c r="AC343" s="14">
        <f t="shared" si="87"/>
        <v>-641.83999999999651</v>
      </c>
      <c r="AD343" s="15">
        <f>IFERROR(AC343/AC444, "NA")</f>
        <v>-2.6940775542087261E-2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24383.200000000001</v>
      </c>
      <c r="C344" s="15">
        <f>IFERROR(B344/B444, "NA")</f>
        <v>0.25534649259864634</v>
      </c>
      <c r="D344" s="2"/>
      <c r="E344" s="14">
        <f>IFERROR(E328+E329+E330+E331+E332+E333+E334+E335+E337+E338+E339+E340+E341, "NA")</f>
        <v>24658.86</v>
      </c>
      <c r="F344" s="15">
        <f>IFERROR(E344/E444, "NA")</f>
        <v>0.3185905399041471</v>
      </c>
      <c r="G344" s="2"/>
      <c r="H344" s="14">
        <f t="shared" si="84"/>
        <v>275.65999999999985</v>
      </c>
      <c r="I344" s="15">
        <f>IFERROR(H344/H444, "NA")</f>
        <v>1.5237587744924348E-2</v>
      </c>
      <c r="J344" s="2"/>
      <c r="K344" s="14">
        <f>IFERROR(K328+K329+K330+K331+K332+K333+K334+K335+K337+K338+K339+K340+K341, "NA")</f>
        <v>23741.360000000004</v>
      </c>
      <c r="L344" s="15">
        <f>IFERROR(K344/K444, "NA")</f>
        <v>0.33127542243220098</v>
      </c>
      <c r="M344" s="2"/>
      <c r="N344" s="14">
        <f t="shared" si="85"/>
        <v>-641.83999999999651</v>
      </c>
      <c r="O344" s="15">
        <f>IFERROR(N344/N444, "NA")</f>
        <v>-2.6940775542087261E-2</v>
      </c>
      <c r="P344" s="2"/>
      <c r="Q344" s="14">
        <f>IFERROR(Q328+Q329+Q330+Q331+Q332+Q333+Q334+Q335+Q337+Q338+Q339+Q340+Q341, "NA")</f>
        <v>24383.200000000001</v>
      </c>
      <c r="R344" s="15">
        <f>IFERROR(Q344/Q444, "NA")</f>
        <v>0.25534649259864634</v>
      </c>
      <c r="S344" s="2"/>
      <c r="T344" s="14">
        <f>IFERROR(T328+T329+T330+T331+T332+T333+T334+T335+T337+T338+T339+T340+T341, "NA")</f>
        <v>24658.86</v>
      </c>
      <c r="U344" s="15">
        <f>IFERROR(T344/T444, "NA")</f>
        <v>0.3185905399041471</v>
      </c>
      <c r="V344" s="2"/>
      <c r="W344" s="14">
        <f t="shared" si="86"/>
        <v>275.65999999999985</v>
      </c>
      <c r="X344" s="15">
        <f>IFERROR(W344/W444, "NA")</f>
        <v>1.5237587744924348E-2</v>
      </c>
      <c r="Y344" s="2"/>
      <c r="Z344" s="14">
        <f>IFERROR(Z328+Z329+Z330+Z331+Z332+Z333+Z334+Z335+Z337+Z338+Z339+Z340+Z341, "NA")</f>
        <v>23741.360000000004</v>
      </c>
      <c r="AA344" s="15">
        <f>IFERROR(Z344/Z444, "NA")</f>
        <v>0.33127542243220098</v>
      </c>
      <c r="AB344" s="2"/>
      <c r="AC344" s="14">
        <f t="shared" si="87"/>
        <v>-641.83999999999651</v>
      </c>
      <c r="AD344" s="15">
        <f>IFERROR(AC344/AC444, "NA")</f>
        <v>-2.6940775542087261E-2</v>
      </c>
    </row>
    <row r="345" spans="1:30" ht="16.5" customHeight="1" x14ac:dyDescent="0.45">
      <c r="A345" s="22" t="s">
        <v>315</v>
      </c>
      <c r="B345" s="23">
        <f>IFERROR(B198-B325-B344, "NA")</f>
        <v>-7297.4499999999898</v>
      </c>
      <c r="C345" s="24">
        <f>IFERROR(B345/B444, "NA")</f>
        <v>-7.6420579022195165E-2</v>
      </c>
      <c r="D345" s="25"/>
      <c r="E345" s="23">
        <f>IFERROR(E198-E325-E344, "NA")</f>
        <v>-12971.070000000005</v>
      </c>
      <c r="F345" s="24">
        <f>IFERROR(E345/E444, "NA")</f>
        <v>-0.16758520849846614</v>
      </c>
      <c r="G345" s="25"/>
      <c r="H345" s="23">
        <f>IFERROR(B345-E345, "NA")</f>
        <v>5673.6200000000154</v>
      </c>
      <c r="I345" s="24">
        <f>IFERROR(H345/H444, "NA")</f>
        <v>0.31361925045838335</v>
      </c>
      <c r="J345" s="25"/>
      <c r="K345" s="23">
        <f>IFERROR(K198-K325-K344, "NA")</f>
        <v>-18233.089999999997</v>
      </c>
      <c r="L345" s="24">
        <f>IFERROR(K345/K444, "NA")</f>
        <v>-0.25441569446713824</v>
      </c>
      <c r="M345" s="25"/>
      <c r="N345" s="23">
        <f>IFERROR(B345-K345, "NA")</f>
        <v>10935.640000000007</v>
      </c>
      <c r="O345" s="24">
        <f>IFERROR(N345/N444, "NA")</f>
        <v>0.45901567781545699</v>
      </c>
      <c r="P345" s="25"/>
      <c r="Q345" s="23">
        <f>IFERROR(Q198-Q325-Q344, "NA")</f>
        <v>-7297.4499999999898</v>
      </c>
      <c r="R345" s="24">
        <f>IFERROR(Q345/Q444, "NA")</f>
        <v>-7.6420579022195165E-2</v>
      </c>
      <c r="S345" s="25"/>
      <c r="T345" s="23">
        <f>IFERROR(T198-T325-T344, "NA")</f>
        <v>-12971.070000000005</v>
      </c>
      <c r="U345" s="24">
        <f>IFERROR(T345/T444, "NA")</f>
        <v>-0.16758520849846614</v>
      </c>
      <c r="V345" s="25"/>
      <c r="W345" s="23">
        <f>IFERROR(Q345-T345, "NA")</f>
        <v>5673.6200000000154</v>
      </c>
      <c r="X345" s="24">
        <f>IFERROR(W345/W444, "NA")</f>
        <v>0.31361925045838335</v>
      </c>
      <c r="Y345" s="25"/>
      <c r="Z345" s="23">
        <f>IFERROR(Z198-Z325-Z344, "NA")</f>
        <v>-18233.089999999997</v>
      </c>
      <c r="AA345" s="24">
        <f>IFERROR(Z345/Z444, "NA")</f>
        <v>-0.25441569446713824</v>
      </c>
      <c r="AB345" s="25"/>
      <c r="AC345" s="23">
        <f>IFERROR(Q345-Z345, "NA")</f>
        <v>10935.640000000007</v>
      </c>
      <c r="AD345" s="24">
        <f>IFERROR(AC345/AC444, "NA")</f>
        <v>0.45901567781545699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-7297.4499999999898</v>
      </c>
      <c r="C404" s="24">
        <f>IFERROR(B404/B444, "NA")</f>
        <v>-7.6420579022195165E-2</v>
      </c>
      <c r="D404" s="25"/>
      <c r="E404" s="23">
        <f>IFERROR(E345-E403, "NA")</f>
        <v>-12971.070000000005</v>
      </c>
      <c r="F404" s="24">
        <f>IFERROR(E404/E444, "NA")</f>
        <v>-0.16758520849846614</v>
      </c>
      <c r="G404" s="25"/>
      <c r="H404" s="23">
        <f>IFERROR(B404-E404, "NA")</f>
        <v>5673.6200000000154</v>
      </c>
      <c r="I404" s="24">
        <f>IFERROR(H404/H444, "NA")</f>
        <v>0.31361925045838335</v>
      </c>
      <c r="J404" s="25"/>
      <c r="K404" s="23">
        <f>IFERROR(K345-K403, "NA")</f>
        <v>-18233.089999999997</v>
      </c>
      <c r="L404" s="24">
        <f>IFERROR(K404/K444, "NA")</f>
        <v>-0.25441569446713824</v>
      </c>
      <c r="M404" s="25"/>
      <c r="N404" s="23">
        <f>IFERROR(B404-K404, "NA")</f>
        <v>10935.640000000007</v>
      </c>
      <c r="O404" s="24">
        <f>IFERROR(N404/N444, "NA")</f>
        <v>0.45901567781545699</v>
      </c>
      <c r="P404" s="25"/>
      <c r="Q404" s="23">
        <f>IFERROR(Q345-Q403, "NA")</f>
        <v>-7297.4499999999898</v>
      </c>
      <c r="R404" s="24">
        <f>IFERROR(Q404/Q444, "NA")</f>
        <v>-7.6420579022195165E-2</v>
      </c>
      <c r="S404" s="25"/>
      <c r="T404" s="23">
        <f>IFERROR(T345-T403, "NA")</f>
        <v>-12971.070000000005</v>
      </c>
      <c r="U404" s="24">
        <f>IFERROR(T404/T444, "NA")</f>
        <v>-0.16758520849846614</v>
      </c>
      <c r="V404" s="25"/>
      <c r="W404" s="23">
        <f>IFERROR(Q404-T404, "NA")</f>
        <v>5673.6200000000154</v>
      </c>
      <c r="X404" s="24">
        <f>IFERROR(W404/W444, "NA")</f>
        <v>0.31361925045838335</v>
      </c>
      <c r="Y404" s="25"/>
      <c r="Z404" s="23">
        <f>IFERROR(Z345-Z403, "NA")</f>
        <v>-18233.089999999997</v>
      </c>
      <c r="AA404" s="24">
        <f>IFERROR(Z404/Z444, "NA")</f>
        <v>-0.25441569446713824</v>
      </c>
      <c r="AB404" s="25"/>
      <c r="AC404" s="23">
        <f>IFERROR(Q404-Z404, "NA")</f>
        <v>10935.640000000007</v>
      </c>
      <c r="AD404" s="24">
        <f>IFERROR(AC404/AC444, "NA")</f>
        <v>0.45901567781545699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9780.9</v>
      </c>
      <c r="C410" s="8">
        <f>IFERROR(B410/B444, "NA")</f>
        <v>0.10242784004798795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-9780.9</v>
      </c>
      <c r="I410" s="8">
        <f>IFERROR(H410/H444, "NA")</f>
        <v>-0.54065632291348265</v>
      </c>
      <c r="J410" s="9"/>
      <c r="K410" s="7">
        <v>9312.99</v>
      </c>
      <c r="L410" s="8">
        <f>IFERROR(K410/K444, "NA")</f>
        <v>0.12994894548403557</v>
      </c>
      <c r="M410" s="9"/>
      <c r="N410" s="10">
        <f t="shared" si="101"/>
        <v>-467.90999999999985</v>
      </c>
      <c r="O410" s="8">
        <f>IFERROR(N410/N444, "NA")</f>
        <v>-1.9640188028010274E-2</v>
      </c>
      <c r="P410" s="9"/>
      <c r="Q410" s="7">
        <v>9780.9</v>
      </c>
      <c r="R410" s="8">
        <f>IFERROR(Q410/Q444, "NA")</f>
        <v>0.10242784004798795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-9780.9</v>
      </c>
      <c r="X410" s="8">
        <f>IFERROR(W410/W444, "NA")</f>
        <v>-0.54065632291348265</v>
      </c>
      <c r="Y410" s="9"/>
      <c r="Z410" s="7">
        <v>9312.99</v>
      </c>
      <c r="AA410" s="8">
        <f>IFERROR(Z410/Z444, "NA")</f>
        <v>0.12994894548403557</v>
      </c>
      <c r="AB410" s="9"/>
      <c r="AC410" s="10">
        <f t="shared" si="103"/>
        <v>-467.90999999999985</v>
      </c>
      <c r="AD410" s="8">
        <f>IFERROR(AC410/AC444, "NA")</f>
        <v>-1.9640188028010274E-2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-51.75</v>
      </c>
      <c r="C416" s="8">
        <f>IFERROR(B416/B444, "NA")</f>
        <v>-5.4193793234603939E-4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51.75</v>
      </c>
      <c r="I416" s="8">
        <f>IFERROR(H416/H444, "NA")</f>
        <v>2.860571594717534E-3</v>
      </c>
      <c r="J416" s="9"/>
      <c r="K416" s="7">
        <v>-48.11</v>
      </c>
      <c r="L416" s="8">
        <f>IFERROR(K416/K444, "NA")</f>
        <v>-6.7130360574175975E-4</v>
      </c>
      <c r="M416" s="9"/>
      <c r="N416" s="10">
        <f t="shared" si="101"/>
        <v>3.6400000000000006</v>
      </c>
      <c r="O416" s="8">
        <f>IFERROR(N416/N444, "NA")</f>
        <v>1.527863999956347E-4</v>
      </c>
      <c r="P416" s="9"/>
      <c r="Q416" s="7">
        <v>-51.75</v>
      </c>
      <c r="R416" s="8">
        <f>IFERROR(Q416/Q444, "NA")</f>
        <v>-5.4193793234603939E-4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51.75</v>
      </c>
      <c r="X416" s="8">
        <f>IFERROR(W416/W444, "NA")</f>
        <v>2.860571594717534E-3</v>
      </c>
      <c r="Y416" s="9"/>
      <c r="Z416" s="7">
        <v>-48.11</v>
      </c>
      <c r="AA416" s="8">
        <f>IFERROR(Z416/Z444, "NA")</f>
        <v>-6.7130360574175975E-4</v>
      </c>
      <c r="AB416" s="9"/>
      <c r="AC416" s="10">
        <f t="shared" si="103"/>
        <v>3.6400000000000006</v>
      </c>
      <c r="AD416" s="8">
        <f>IFERROR(AC416/AC444, "NA")</f>
        <v>1.527863999956347E-4</v>
      </c>
    </row>
    <row r="417" spans="1:30" ht="16.5" customHeight="1" x14ac:dyDescent="0.45">
      <c r="A417" s="6" t="s">
        <v>382</v>
      </c>
      <c r="B417" s="7">
        <v>77.180000000000007</v>
      </c>
      <c r="C417" s="8">
        <f>IFERROR(B417/B444, "NA")</f>
        <v>8.0824675591241197E-4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-77.180000000000007</v>
      </c>
      <c r="I417" s="8">
        <f>IFERROR(H417/H444, "NA")</f>
        <v>-4.2662592401990201E-3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-77.180000000000007</v>
      </c>
      <c r="O417" s="8">
        <f>IFERROR(N417/N444, "NA")</f>
        <v>-3.2395753713360125E-3</v>
      </c>
      <c r="P417" s="9"/>
      <c r="Q417" s="7">
        <v>77.180000000000007</v>
      </c>
      <c r="R417" s="8">
        <f>IFERROR(Q417/Q444, "NA")</f>
        <v>8.0824675591241197E-4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-77.180000000000007</v>
      </c>
      <c r="X417" s="8">
        <f>IFERROR(W417/W444, "NA")</f>
        <v>-4.2662592401990201E-3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-77.180000000000007</v>
      </c>
      <c r="AD417" s="8">
        <f>IFERROR(AC417/AC444, "NA")</f>
        <v>-3.2395753713360125E-3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24.48</v>
      </c>
      <c r="L424" s="8">
        <f>IFERROR(K424/K444, "NA")</f>
        <v>3.4158204673785658E-4</v>
      </c>
      <c r="M424" s="9"/>
      <c r="N424" s="10">
        <f t="shared" si="101"/>
        <v>24.48</v>
      </c>
      <c r="O424" s="8">
        <f>IFERROR(N424/N444, "NA")</f>
        <v>1.0275305142563563E-3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3.4158204673785658E-4</v>
      </c>
      <c r="AB424" s="9"/>
      <c r="AC424" s="10">
        <f t="shared" si="103"/>
        <v>24.48</v>
      </c>
      <c r="AD424" s="8">
        <f>IFERROR(AC424/AC444, "NA")</f>
        <v>1.0275305142563563E-3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9806.33</v>
      </c>
      <c r="C428" s="15">
        <f>IFERROR(B428/B444, "NA")</f>
        <v>0.10269414887155433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-9806.33</v>
      </c>
      <c r="I428" s="15">
        <f>IFERROR(H428/H444, "NA")</f>
        <v>-0.54206201055896419</v>
      </c>
      <c r="J428" s="2"/>
      <c r="K428" s="14">
        <f>IFERROR(K407+K408+K409+K410+K411+K412+K413+K414+K415+K416+K417+K418+K419+K420+K421+K422+K423+K424+K425+K426+K427, "NA")</f>
        <v>9289.3599999999988</v>
      </c>
      <c r="L428" s="15">
        <f>IFERROR(K428/K444, "NA")</f>
        <v>0.12961922392503167</v>
      </c>
      <c r="M428" s="2"/>
      <c r="N428" s="14">
        <f t="shared" si="101"/>
        <v>-516.97000000000116</v>
      </c>
      <c r="O428" s="15">
        <f>IFERROR(N428/N444, "NA")</f>
        <v>-2.1699446485094351E-2</v>
      </c>
      <c r="P428" s="2"/>
      <c r="Q428" s="14">
        <f>IFERROR(Q407+Q408+Q409+Q410+Q411+Q412+Q413+Q414+Q415+Q416+Q417+Q418+Q419+Q420+Q421+Q422+Q423+Q424+Q425+Q426+Q427, "NA")</f>
        <v>9806.33</v>
      </c>
      <c r="R428" s="15">
        <f>IFERROR(Q428/Q444, "NA")</f>
        <v>0.10269414887155433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-9806.33</v>
      </c>
      <c r="X428" s="15">
        <f>IFERROR(W428/W444, "NA")</f>
        <v>-0.54206201055896419</v>
      </c>
      <c r="Y428" s="2"/>
      <c r="Z428" s="14">
        <f>IFERROR(Z407+Z408+Z409+Z410+Z411+Z412+Z413+Z414+Z415+Z416+Z417+Z418+Z419+Z420+Z421+Z422+Z423+Z424+Z425+Z426+Z427, "NA")</f>
        <v>9289.3599999999988</v>
      </c>
      <c r="AA428" s="15">
        <f>IFERROR(Z428/Z444, "NA")</f>
        <v>0.12961922392503167</v>
      </c>
      <c r="AB428" s="2"/>
      <c r="AC428" s="14">
        <f t="shared" si="103"/>
        <v>-516.97000000000116</v>
      </c>
      <c r="AD428" s="15">
        <f>IFERROR(AC428/AC444, "NA")</f>
        <v>-2.1699446485094351E-2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9806.33</v>
      </c>
      <c r="C429" s="15">
        <f>IFERROR(B429/B444, "NA")</f>
        <v>0.10269414887155433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-9806.33</v>
      </c>
      <c r="I429" s="15">
        <f>IFERROR(H429/H444, "NA")</f>
        <v>-0.54206201055896419</v>
      </c>
      <c r="J429" s="2"/>
      <c r="K429" s="14">
        <f>IFERROR(K407+K408+K409+K410+K411+K412+K413+K414+K415+K416+K417+K418+K419+K420+K421+K422+K423+K424+K425+K426+K427, "NA")</f>
        <v>9289.3599999999988</v>
      </c>
      <c r="L429" s="15">
        <f>IFERROR(K429/K444, "NA")</f>
        <v>0.12961922392503167</v>
      </c>
      <c r="M429" s="2"/>
      <c r="N429" s="14">
        <f t="shared" si="101"/>
        <v>-516.97000000000116</v>
      </c>
      <c r="O429" s="15">
        <f>IFERROR(N429/N444, "NA")</f>
        <v>-2.1699446485094351E-2</v>
      </c>
      <c r="P429" s="2"/>
      <c r="Q429" s="14">
        <f>IFERROR(Q407+Q408+Q409+Q410+Q411+Q412+Q413+Q414+Q415+Q416+Q417+Q418+Q419+Q420+Q421+Q422+Q423+Q424+Q425+Q426+Q427, "NA")</f>
        <v>9806.33</v>
      </c>
      <c r="R429" s="15">
        <f>IFERROR(Q429/Q444, "NA")</f>
        <v>0.10269414887155433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-9806.33</v>
      </c>
      <c r="X429" s="15">
        <f>IFERROR(W429/W444, "NA")</f>
        <v>-0.54206201055896419</v>
      </c>
      <c r="Y429" s="2"/>
      <c r="Z429" s="14">
        <f>IFERROR(Z407+Z408+Z409+Z410+Z411+Z412+Z413+Z414+Z415+Z416+Z417+Z418+Z419+Z420+Z421+Z422+Z423+Z424+Z425+Z426+Z427, "NA")</f>
        <v>9289.3599999999988</v>
      </c>
      <c r="AA429" s="15">
        <f>IFERROR(Z429/Z444, "NA")</f>
        <v>0.12961922392503167</v>
      </c>
      <c r="AB429" s="2"/>
      <c r="AC429" s="14">
        <f t="shared" si="103"/>
        <v>-516.97000000000116</v>
      </c>
      <c r="AD429" s="15">
        <f>IFERROR(AC429/AC444, "NA")</f>
        <v>-2.1699446485094351E-2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-17103.779999999992</v>
      </c>
      <c r="C443" s="24">
        <f>IFERROR(B443/B444, "NA")</f>
        <v>-0.17911472789374949</v>
      </c>
      <c r="D443" s="25"/>
      <c r="E443" s="23">
        <f>IFERROR(E404-E429-E442, "NA")</f>
        <v>-12971.070000000005</v>
      </c>
      <c r="F443" s="24">
        <f>IFERROR(E443/E444, "NA")</f>
        <v>-0.16758520849846614</v>
      </c>
      <c r="G443" s="25"/>
      <c r="H443" s="23">
        <f>IFERROR(B443-E443, "NA")</f>
        <v>-4132.7099999999864</v>
      </c>
      <c r="I443" s="24">
        <f>IFERROR(H443/H444, "NA")</f>
        <v>-0.2284427601005809</v>
      </c>
      <c r="J443" s="25"/>
      <c r="K443" s="23">
        <f>IFERROR(K404-K429-K442, "NA")</f>
        <v>-27522.449999999997</v>
      </c>
      <c r="L443" s="24">
        <f>IFERROR(K443/K444, "NA")</f>
        <v>-0.38403491839216991</v>
      </c>
      <c r="M443" s="25"/>
      <c r="N443" s="23">
        <f>IFERROR(B443-K443, "NA")</f>
        <v>10418.670000000006</v>
      </c>
      <c r="O443" s="24">
        <f>IFERROR(N443/N444, "NA")</f>
        <v>0.43731623133036263</v>
      </c>
      <c r="P443" s="25"/>
      <c r="Q443" s="23">
        <f>IFERROR(Q404-Q429-Q442, "NA")</f>
        <v>-17103.779999999992</v>
      </c>
      <c r="R443" s="24">
        <f>IFERROR(Q443/Q444, "NA")</f>
        <v>-0.17911472789374949</v>
      </c>
      <c r="S443" s="25"/>
      <c r="T443" s="23">
        <f>IFERROR(T404-T429-T442, "NA")</f>
        <v>-12971.070000000005</v>
      </c>
      <c r="U443" s="24">
        <f>IFERROR(T443/T444, "NA")</f>
        <v>-0.16758520849846614</v>
      </c>
      <c r="V443" s="25"/>
      <c r="W443" s="23">
        <f>IFERROR(Q443-T443, "NA")</f>
        <v>-4132.7099999999864</v>
      </c>
      <c r="X443" s="24">
        <f>IFERROR(W443/W444, "NA")</f>
        <v>-0.2284427601005809</v>
      </c>
      <c r="Y443" s="25"/>
      <c r="Z443" s="23">
        <f>IFERROR(Z404-Z429-Z442, "NA")</f>
        <v>-27522.449999999997</v>
      </c>
      <c r="AA443" s="24">
        <f>IFERROR(Z443/Z444, "NA")</f>
        <v>-0.38403491839216991</v>
      </c>
      <c r="AB443" s="25"/>
      <c r="AC443" s="23">
        <f>IFERROR(Q443-Z443, "NA")</f>
        <v>10418.670000000006</v>
      </c>
      <c r="AD443" s="24">
        <f>IFERROR(AC443/AC444, "NA")</f>
        <v>0.43731623133036263</v>
      </c>
    </row>
    <row r="444" spans="1:30" ht="15.75" hidden="1" x14ac:dyDescent="0.45">
      <c r="A444" s="26" t="s">
        <v>117</v>
      </c>
      <c r="B444" s="7">
        <v>95490.64</v>
      </c>
      <c r="C444" s="27"/>
      <c r="D444" s="9"/>
      <c r="E444" s="7">
        <v>77399.850000000006</v>
      </c>
      <c r="F444" s="27"/>
      <c r="G444" s="9"/>
      <c r="H444" s="10">
        <f>IFERROR(B444-E444, "NA")</f>
        <v>18090.789999999994</v>
      </c>
      <c r="I444" s="27"/>
      <c r="J444" s="9"/>
      <c r="K444" s="7">
        <v>71666.53</v>
      </c>
      <c r="L444" s="27"/>
      <c r="M444" s="9"/>
      <c r="N444" s="10">
        <f>IFERROR(B444-K444, "NA")</f>
        <v>23824.11</v>
      </c>
      <c r="O444" s="27"/>
      <c r="P444" s="9"/>
      <c r="Q444" s="7">
        <v>95490.64</v>
      </c>
      <c r="R444" s="27"/>
      <c r="S444" s="9"/>
      <c r="T444" s="7">
        <v>77399.850000000006</v>
      </c>
      <c r="U444" s="27"/>
      <c r="V444" s="9"/>
      <c r="W444" s="10">
        <f>IFERROR(Q444-T444, "NA")</f>
        <v>18090.789999999994</v>
      </c>
      <c r="X444" s="27"/>
      <c r="Y444" s="9"/>
      <c r="Z444" s="7">
        <v>71666.53</v>
      </c>
      <c r="AA444" s="27"/>
      <c r="AB444" s="9"/>
      <c r="AC444" s="10">
        <f>IFERROR(Q444-Z444, "NA")</f>
        <v>23824.11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Moats</dc:creator>
  <cp:lastModifiedBy>Trey Moats</cp:lastModifiedBy>
  <dcterms:created xsi:type="dcterms:W3CDTF">2026-04-07T01:47:39Z</dcterms:created>
  <dcterms:modified xsi:type="dcterms:W3CDTF">2026-04-07T01:49:16Z</dcterms:modified>
</cp:coreProperties>
</file>