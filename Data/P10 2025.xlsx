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EB85E743-7635-4A0D-9982-6D9BC2FA6ABC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I435" i="7" s="1"/>
  <c r="Z442" i="7"/>
  <c r="AA442" i="7" s="1"/>
  <c r="T442" i="7"/>
  <c r="Q442" i="7"/>
  <c r="R442" i="7" s="1"/>
  <c r="N442" i="7"/>
  <c r="O442" i="7" s="1"/>
  <c r="K442" i="7"/>
  <c r="L442" i="7" s="1"/>
  <c r="H442" i="7"/>
  <c r="I442" i="7" s="1"/>
  <c r="E442" i="7"/>
  <c r="F442" i="7" s="1"/>
  <c r="C442" i="7"/>
  <c r="B442" i="7"/>
  <c r="Z441" i="7"/>
  <c r="AA441" i="7" s="1"/>
  <c r="T441" i="7"/>
  <c r="U441" i="7" s="1"/>
  <c r="Q441" i="7"/>
  <c r="W441" i="7" s="1"/>
  <c r="X441" i="7" s="1"/>
  <c r="K441" i="7"/>
  <c r="L441" i="7" s="1"/>
  <c r="E441" i="7"/>
  <c r="H441" i="7" s="1"/>
  <c r="I441" i="7" s="1"/>
  <c r="B441" i="7"/>
  <c r="C441" i="7" s="1"/>
  <c r="AC440" i="7"/>
  <c r="AD440" i="7" s="1"/>
  <c r="AA440" i="7"/>
  <c r="W440" i="7"/>
  <c r="X440" i="7" s="1"/>
  <c r="U440" i="7"/>
  <c r="R440" i="7"/>
  <c r="O440" i="7"/>
  <c r="N440" i="7"/>
  <c r="L440" i="7"/>
  <c r="I440" i="7"/>
  <c r="H440" i="7"/>
  <c r="F440" i="7"/>
  <c r="C440" i="7"/>
  <c r="AC439" i="7"/>
  <c r="AD439" i="7" s="1"/>
  <c r="AA439" i="7"/>
  <c r="W439" i="7"/>
  <c r="X439" i="7" s="1"/>
  <c r="U439" i="7"/>
  <c r="R439" i="7"/>
  <c r="O439" i="7"/>
  <c r="N439" i="7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N438" i="7"/>
  <c r="O438" i="7" s="1"/>
  <c r="L438" i="7"/>
  <c r="H438" i="7"/>
  <c r="I438" i="7" s="1"/>
  <c r="F438" i="7"/>
  <c r="C438" i="7"/>
  <c r="AC437" i="7"/>
  <c r="AD437" i="7" s="1"/>
  <c r="AA437" i="7"/>
  <c r="X437" i="7"/>
  <c r="W437" i="7"/>
  <c r="U437" i="7"/>
  <c r="R437" i="7"/>
  <c r="N437" i="7"/>
  <c r="O437" i="7" s="1"/>
  <c r="L437" i="7"/>
  <c r="I437" i="7"/>
  <c r="H437" i="7"/>
  <c r="F437" i="7"/>
  <c r="C437" i="7"/>
  <c r="AD436" i="7"/>
  <c r="AC436" i="7"/>
  <c r="AA436" i="7"/>
  <c r="W436" i="7"/>
  <c r="X436" i="7" s="1"/>
  <c r="U436" i="7"/>
  <c r="R436" i="7"/>
  <c r="O436" i="7"/>
  <c r="N436" i="7"/>
  <c r="L436" i="7"/>
  <c r="I436" i="7"/>
  <c r="H436" i="7"/>
  <c r="F436" i="7"/>
  <c r="C436" i="7"/>
  <c r="AC435" i="7"/>
  <c r="AD435" i="7" s="1"/>
  <c r="AA435" i="7"/>
  <c r="W435" i="7"/>
  <c r="X435" i="7" s="1"/>
  <c r="U435" i="7"/>
  <c r="R435" i="7"/>
  <c r="O435" i="7"/>
  <c r="N435" i="7"/>
  <c r="L435" i="7"/>
  <c r="H435" i="7"/>
  <c r="F435" i="7"/>
  <c r="C435" i="7"/>
  <c r="AC434" i="7"/>
  <c r="AD434" i="7" s="1"/>
  <c r="AA434" i="7"/>
  <c r="X434" i="7"/>
  <c r="W434" i="7"/>
  <c r="U434" i="7"/>
  <c r="R434" i="7"/>
  <c r="N434" i="7"/>
  <c r="O434" i="7" s="1"/>
  <c r="L434" i="7"/>
  <c r="H434" i="7"/>
  <c r="I434" i="7" s="1"/>
  <c r="F434" i="7"/>
  <c r="C434" i="7"/>
  <c r="AD433" i="7"/>
  <c r="AC433" i="7"/>
  <c r="AA433" i="7"/>
  <c r="X433" i="7"/>
  <c r="W433" i="7"/>
  <c r="U433" i="7"/>
  <c r="R433" i="7"/>
  <c r="N433" i="7"/>
  <c r="O433" i="7" s="1"/>
  <c r="L433" i="7"/>
  <c r="I433" i="7"/>
  <c r="H433" i="7"/>
  <c r="F433" i="7"/>
  <c r="C433" i="7"/>
  <c r="AD432" i="7"/>
  <c r="AC432" i="7"/>
  <c r="AA432" i="7"/>
  <c r="X432" i="7"/>
  <c r="W432" i="7"/>
  <c r="U432" i="7"/>
  <c r="R432" i="7"/>
  <c r="O432" i="7"/>
  <c r="N432" i="7"/>
  <c r="L432" i="7"/>
  <c r="H432" i="7"/>
  <c r="I432" i="7" s="1"/>
  <c r="F432" i="7"/>
  <c r="C432" i="7"/>
  <c r="AC429" i="7"/>
  <c r="AD429" i="7" s="1"/>
  <c r="AA429" i="7"/>
  <c r="Z429" i="7"/>
  <c r="X429" i="7"/>
  <c r="W429" i="7"/>
  <c r="U429" i="7"/>
  <c r="T429" i="7"/>
  <c r="Q429" i="7"/>
  <c r="R429" i="7" s="1"/>
  <c r="K429" i="7"/>
  <c r="L429" i="7" s="1"/>
  <c r="H429" i="7"/>
  <c r="I429" i="7" s="1"/>
  <c r="E429" i="7"/>
  <c r="F429" i="7" s="1"/>
  <c r="C429" i="7"/>
  <c r="B429" i="7"/>
  <c r="AA428" i="7"/>
  <c r="Z428" i="7"/>
  <c r="AC428" i="7" s="1"/>
  <c r="AD428" i="7" s="1"/>
  <c r="W428" i="7"/>
  <c r="X428" i="7" s="1"/>
  <c r="T428" i="7"/>
  <c r="U428" i="7" s="1"/>
  <c r="R428" i="7"/>
  <c r="Q428" i="7"/>
  <c r="K428" i="7"/>
  <c r="L428" i="7" s="1"/>
  <c r="E428" i="7"/>
  <c r="F428" i="7" s="1"/>
  <c r="B428" i="7"/>
  <c r="AC427" i="7"/>
  <c r="AD427" i="7" s="1"/>
  <c r="AA427" i="7"/>
  <c r="W427" i="7"/>
  <c r="X427" i="7" s="1"/>
  <c r="U427" i="7"/>
  <c r="R427" i="7"/>
  <c r="O427" i="7"/>
  <c r="N427" i="7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N426" i="7"/>
  <c r="O426" i="7" s="1"/>
  <c r="L426" i="7"/>
  <c r="H426" i="7"/>
  <c r="I426" i="7" s="1"/>
  <c r="F426" i="7"/>
  <c r="C426" i="7"/>
  <c r="AD425" i="7"/>
  <c r="AC425" i="7"/>
  <c r="AA425" i="7"/>
  <c r="X425" i="7"/>
  <c r="W425" i="7"/>
  <c r="U425" i="7"/>
  <c r="R425" i="7"/>
  <c r="N425" i="7"/>
  <c r="O425" i="7" s="1"/>
  <c r="L425" i="7"/>
  <c r="H425" i="7"/>
  <c r="I425" i="7" s="1"/>
  <c r="F425" i="7"/>
  <c r="C425" i="7"/>
  <c r="AC424" i="7"/>
  <c r="AD424" i="7" s="1"/>
  <c r="AA424" i="7"/>
  <c r="X424" i="7"/>
  <c r="W424" i="7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W423" i="7"/>
  <c r="X423" i="7" s="1"/>
  <c r="U423" i="7"/>
  <c r="R423" i="7"/>
  <c r="O423" i="7"/>
  <c r="N423" i="7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N422" i="7"/>
  <c r="O422" i="7" s="1"/>
  <c r="L422" i="7"/>
  <c r="H422" i="7"/>
  <c r="I422" i="7" s="1"/>
  <c r="F422" i="7"/>
  <c r="C422" i="7"/>
  <c r="AC421" i="7"/>
  <c r="AD421" i="7" s="1"/>
  <c r="AA421" i="7"/>
  <c r="X421" i="7"/>
  <c r="W421" i="7"/>
  <c r="U421" i="7"/>
  <c r="R421" i="7"/>
  <c r="N421" i="7"/>
  <c r="O421" i="7" s="1"/>
  <c r="L421" i="7"/>
  <c r="I421" i="7"/>
  <c r="H421" i="7"/>
  <c r="F421" i="7"/>
  <c r="C421" i="7"/>
  <c r="AC420" i="7"/>
  <c r="AD420" i="7" s="1"/>
  <c r="AA420" i="7"/>
  <c r="W420" i="7"/>
  <c r="X420" i="7" s="1"/>
  <c r="U420" i="7"/>
  <c r="R420" i="7"/>
  <c r="O420" i="7"/>
  <c r="N420" i="7"/>
  <c r="L420" i="7"/>
  <c r="I420" i="7"/>
  <c r="H420" i="7"/>
  <c r="F420" i="7"/>
  <c r="C420" i="7"/>
  <c r="AC419" i="7"/>
  <c r="AD419" i="7" s="1"/>
  <c r="AA419" i="7"/>
  <c r="W419" i="7"/>
  <c r="X419" i="7" s="1"/>
  <c r="U419" i="7"/>
  <c r="R419" i="7"/>
  <c r="O419" i="7"/>
  <c r="N419" i="7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N418" i="7"/>
  <c r="O418" i="7" s="1"/>
  <c r="L418" i="7"/>
  <c r="H418" i="7"/>
  <c r="I418" i="7" s="1"/>
  <c r="F418" i="7"/>
  <c r="C418" i="7"/>
  <c r="AC417" i="7"/>
  <c r="AD417" i="7" s="1"/>
  <c r="AA417" i="7"/>
  <c r="X417" i="7"/>
  <c r="W417" i="7"/>
  <c r="U417" i="7"/>
  <c r="R417" i="7"/>
  <c r="N417" i="7"/>
  <c r="O417" i="7" s="1"/>
  <c r="L417" i="7"/>
  <c r="I417" i="7"/>
  <c r="H417" i="7"/>
  <c r="F417" i="7"/>
  <c r="C417" i="7"/>
  <c r="AC416" i="7"/>
  <c r="AD416" i="7" s="1"/>
  <c r="AA416" i="7"/>
  <c r="X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W415" i="7"/>
  <c r="X415" i="7" s="1"/>
  <c r="U415" i="7"/>
  <c r="R415" i="7"/>
  <c r="O415" i="7"/>
  <c r="N415" i="7"/>
  <c r="L415" i="7"/>
  <c r="H415" i="7"/>
  <c r="I415" i="7" s="1"/>
  <c r="F415" i="7"/>
  <c r="C415" i="7"/>
  <c r="AC414" i="7"/>
  <c r="AD414" i="7" s="1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X413" i="7"/>
  <c r="W413" i="7"/>
  <c r="U413" i="7"/>
  <c r="R413" i="7"/>
  <c r="N413" i="7"/>
  <c r="O413" i="7" s="1"/>
  <c r="L413" i="7"/>
  <c r="I413" i="7"/>
  <c r="H413" i="7"/>
  <c r="F413" i="7"/>
  <c r="C413" i="7"/>
  <c r="AC412" i="7"/>
  <c r="AD412" i="7" s="1"/>
  <c r="AA412" i="7"/>
  <c r="X412" i="7"/>
  <c r="W412" i="7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W411" i="7"/>
  <c r="X411" i="7" s="1"/>
  <c r="U411" i="7"/>
  <c r="R411" i="7"/>
  <c r="O411" i="7"/>
  <c r="N411" i="7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D409" i="7"/>
  <c r="AC409" i="7"/>
  <c r="AA409" i="7"/>
  <c r="X409" i="7"/>
  <c r="W409" i="7"/>
  <c r="U409" i="7"/>
  <c r="R409" i="7"/>
  <c r="N409" i="7"/>
  <c r="O409" i="7" s="1"/>
  <c r="L409" i="7"/>
  <c r="H409" i="7"/>
  <c r="I409" i="7" s="1"/>
  <c r="F409" i="7"/>
  <c r="C409" i="7"/>
  <c r="AC408" i="7"/>
  <c r="AD408" i="7" s="1"/>
  <c r="AA408" i="7"/>
  <c r="X408" i="7"/>
  <c r="W408" i="7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W407" i="7"/>
  <c r="X407" i="7" s="1"/>
  <c r="U407" i="7"/>
  <c r="R407" i="7"/>
  <c r="O407" i="7"/>
  <c r="N407" i="7"/>
  <c r="L407" i="7"/>
  <c r="H407" i="7"/>
  <c r="F407" i="7"/>
  <c r="C407" i="7"/>
  <c r="Z403" i="7"/>
  <c r="AA403" i="7" s="1"/>
  <c r="W403" i="7"/>
  <c r="X403" i="7" s="1"/>
  <c r="T403" i="7"/>
  <c r="U403" i="7" s="1"/>
  <c r="Q403" i="7"/>
  <c r="R403" i="7" s="1"/>
  <c r="K403" i="7"/>
  <c r="L403" i="7" s="1"/>
  <c r="H403" i="7"/>
  <c r="I403" i="7" s="1"/>
  <c r="E403" i="7"/>
  <c r="F403" i="7" s="1"/>
  <c r="B403" i="7"/>
  <c r="AD402" i="7"/>
  <c r="AC402" i="7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D401" i="7"/>
  <c r="AC401" i="7"/>
  <c r="AA401" i="7"/>
  <c r="X401" i="7"/>
  <c r="W401" i="7"/>
  <c r="U401" i="7"/>
  <c r="R401" i="7"/>
  <c r="N401" i="7"/>
  <c r="O401" i="7" s="1"/>
  <c r="L401" i="7"/>
  <c r="H401" i="7"/>
  <c r="I401" i="7" s="1"/>
  <c r="F401" i="7"/>
  <c r="C401" i="7"/>
  <c r="AC400" i="7"/>
  <c r="AD400" i="7" s="1"/>
  <c r="AA400" i="7"/>
  <c r="X400" i="7"/>
  <c r="W400" i="7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W399" i="7"/>
  <c r="X399" i="7" s="1"/>
  <c r="U399" i="7"/>
  <c r="R399" i="7"/>
  <c r="O399" i="7"/>
  <c r="N399" i="7"/>
  <c r="L399" i="7"/>
  <c r="H399" i="7"/>
  <c r="I399" i="7" s="1"/>
  <c r="F399" i="7"/>
  <c r="C399" i="7"/>
  <c r="AC398" i="7"/>
  <c r="AD398" i="7" s="1"/>
  <c r="AA398" i="7"/>
  <c r="X398" i="7"/>
  <c r="W398" i="7"/>
  <c r="U398" i="7"/>
  <c r="R398" i="7"/>
  <c r="N398" i="7"/>
  <c r="O398" i="7" s="1"/>
  <c r="L398" i="7"/>
  <c r="H398" i="7"/>
  <c r="I398" i="7" s="1"/>
  <c r="F398" i="7"/>
  <c r="C398" i="7"/>
  <c r="AD397" i="7"/>
  <c r="AC397" i="7"/>
  <c r="AA397" i="7"/>
  <c r="X397" i="7"/>
  <c r="W397" i="7"/>
  <c r="U397" i="7"/>
  <c r="R397" i="7"/>
  <c r="N397" i="7"/>
  <c r="O397" i="7" s="1"/>
  <c r="L397" i="7"/>
  <c r="I397" i="7"/>
  <c r="H397" i="7"/>
  <c r="F397" i="7"/>
  <c r="C397" i="7"/>
  <c r="AA396" i="7"/>
  <c r="Z396" i="7"/>
  <c r="W396" i="7"/>
  <c r="X396" i="7" s="1"/>
  <c r="T396" i="7"/>
  <c r="U396" i="7" s="1"/>
  <c r="Q396" i="7"/>
  <c r="R396" i="7" s="1"/>
  <c r="K396" i="7"/>
  <c r="N396" i="7" s="1"/>
  <c r="O396" i="7" s="1"/>
  <c r="H396" i="7"/>
  <c r="I396" i="7" s="1"/>
  <c r="E396" i="7"/>
  <c r="F396" i="7" s="1"/>
  <c r="C396" i="7"/>
  <c r="B396" i="7"/>
  <c r="AC395" i="7"/>
  <c r="AD395" i="7" s="1"/>
  <c r="AA395" i="7"/>
  <c r="X395" i="7"/>
  <c r="W395" i="7"/>
  <c r="U395" i="7"/>
  <c r="R395" i="7"/>
  <c r="N395" i="7"/>
  <c r="O395" i="7" s="1"/>
  <c r="L395" i="7"/>
  <c r="H395" i="7"/>
  <c r="I395" i="7" s="1"/>
  <c r="F395" i="7"/>
  <c r="C395" i="7"/>
  <c r="AD394" i="7"/>
  <c r="AC394" i="7"/>
  <c r="AA394" i="7"/>
  <c r="X394" i="7"/>
  <c r="W394" i="7"/>
  <c r="U394" i="7"/>
  <c r="R394" i="7"/>
  <c r="N394" i="7"/>
  <c r="O394" i="7" s="1"/>
  <c r="L394" i="7"/>
  <c r="I394" i="7"/>
  <c r="H394" i="7"/>
  <c r="F394" i="7"/>
  <c r="C394" i="7"/>
  <c r="AA393" i="7"/>
  <c r="Z393" i="7"/>
  <c r="W393" i="7"/>
  <c r="X393" i="7" s="1"/>
  <c r="T393" i="7"/>
  <c r="U393" i="7" s="1"/>
  <c r="Q393" i="7"/>
  <c r="R393" i="7" s="1"/>
  <c r="N393" i="7"/>
  <c r="O393" i="7" s="1"/>
  <c r="L393" i="7"/>
  <c r="K393" i="7"/>
  <c r="H393" i="7"/>
  <c r="I393" i="7" s="1"/>
  <c r="E393" i="7"/>
  <c r="F393" i="7" s="1"/>
  <c r="C393" i="7"/>
  <c r="B393" i="7"/>
  <c r="AC392" i="7"/>
  <c r="AD392" i="7" s="1"/>
  <c r="AA392" i="7"/>
  <c r="X392" i="7"/>
  <c r="W392" i="7"/>
  <c r="U392" i="7"/>
  <c r="R392" i="7"/>
  <c r="N392" i="7"/>
  <c r="O392" i="7" s="1"/>
  <c r="L392" i="7"/>
  <c r="H392" i="7"/>
  <c r="I392" i="7" s="1"/>
  <c r="F392" i="7"/>
  <c r="C392" i="7"/>
  <c r="AD391" i="7"/>
  <c r="AC391" i="7"/>
  <c r="AA391" i="7"/>
  <c r="X391" i="7"/>
  <c r="W391" i="7"/>
  <c r="U391" i="7"/>
  <c r="R391" i="7"/>
  <c r="N391" i="7"/>
  <c r="O391" i="7" s="1"/>
  <c r="L391" i="7"/>
  <c r="I391" i="7"/>
  <c r="H391" i="7"/>
  <c r="F391" i="7"/>
  <c r="C391" i="7"/>
  <c r="AC390" i="7"/>
  <c r="AD390" i="7" s="1"/>
  <c r="AA390" i="7"/>
  <c r="W390" i="7"/>
  <c r="X390" i="7" s="1"/>
  <c r="U390" i="7"/>
  <c r="R390" i="7"/>
  <c r="O390" i="7"/>
  <c r="N390" i="7"/>
  <c r="L390" i="7"/>
  <c r="I390" i="7"/>
  <c r="H390" i="7"/>
  <c r="F390" i="7"/>
  <c r="C390" i="7"/>
  <c r="AC389" i="7"/>
  <c r="AD389" i="7" s="1"/>
  <c r="AA389" i="7"/>
  <c r="W389" i="7"/>
  <c r="X389" i="7" s="1"/>
  <c r="U389" i="7"/>
  <c r="R389" i="7"/>
  <c r="O389" i="7"/>
  <c r="N389" i="7"/>
  <c r="L389" i="7"/>
  <c r="H389" i="7"/>
  <c r="I389" i="7" s="1"/>
  <c r="F389" i="7"/>
  <c r="C389" i="7"/>
  <c r="AC388" i="7"/>
  <c r="AD388" i="7" s="1"/>
  <c r="AA388" i="7"/>
  <c r="X388" i="7"/>
  <c r="W388" i="7"/>
  <c r="U388" i="7"/>
  <c r="R388" i="7"/>
  <c r="N388" i="7"/>
  <c r="O388" i="7" s="1"/>
  <c r="L388" i="7"/>
  <c r="H388" i="7"/>
  <c r="I388" i="7" s="1"/>
  <c r="F388" i="7"/>
  <c r="C388" i="7"/>
  <c r="AC386" i="7"/>
  <c r="AD386" i="7" s="1"/>
  <c r="AA386" i="7"/>
  <c r="X386" i="7"/>
  <c r="W386" i="7"/>
  <c r="U386" i="7"/>
  <c r="R386" i="7"/>
  <c r="N386" i="7"/>
  <c r="O386" i="7" s="1"/>
  <c r="L386" i="7"/>
  <c r="H386" i="7"/>
  <c r="I386" i="7" s="1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O383" i="7"/>
  <c r="N383" i="7"/>
  <c r="L383" i="7"/>
  <c r="H383" i="7"/>
  <c r="I383" i="7" s="1"/>
  <c r="F383" i="7"/>
  <c r="C383" i="7"/>
  <c r="AC382" i="7"/>
  <c r="AD382" i="7" s="1"/>
  <c r="AA382" i="7"/>
  <c r="X382" i="7"/>
  <c r="W382" i="7"/>
  <c r="U382" i="7"/>
  <c r="R382" i="7"/>
  <c r="O382" i="7"/>
  <c r="N382" i="7"/>
  <c r="L382" i="7"/>
  <c r="H382" i="7"/>
  <c r="I382" i="7" s="1"/>
  <c r="F382" i="7"/>
  <c r="C382" i="7"/>
  <c r="AC381" i="7"/>
  <c r="AD381" i="7" s="1"/>
  <c r="AA381" i="7"/>
  <c r="X381" i="7"/>
  <c r="W381" i="7"/>
  <c r="U381" i="7"/>
  <c r="R381" i="7"/>
  <c r="N381" i="7"/>
  <c r="O381" i="7" s="1"/>
  <c r="L381" i="7"/>
  <c r="I381" i="7"/>
  <c r="H381" i="7"/>
  <c r="F381" i="7"/>
  <c r="C381" i="7"/>
  <c r="AC380" i="7"/>
  <c r="AD380" i="7" s="1"/>
  <c r="AA380" i="7"/>
  <c r="W380" i="7"/>
  <c r="X380" i="7" s="1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W379" i="7"/>
  <c r="X379" i="7" s="1"/>
  <c r="U379" i="7"/>
  <c r="R379" i="7"/>
  <c r="O379" i="7"/>
  <c r="N379" i="7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O378" i="7"/>
  <c r="N378" i="7"/>
  <c r="L378" i="7"/>
  <c r="H378" i="7"/>
  <c r="I378" i="7" s="1"/>
  <c r="F378" i="7"/>
  <c r="C378" i="7"/>
  <c r="AD377" i="7"/>
  <c r="AC377" i="7"/>
  <c r="AA377" i="7"/>
  <c r="X377" i="7"/>
  <c r="W377" i="7"/>
  <c r="U377" i="7"/>
  <c r="R377" i="7"/>
  <c r="N377" i="7"/>
  <c r="O377" i="7" s="1"/>
  <c r="L377" i="7"/>
  <c r="H377" i="7"/>
  <c r="I377" i="7" s="1"/>
  <c r="F377" i="7"/>
  <c r="C377" i="7"/>
  <c r="AC376" i="7"/>
  <c r="AD376" i="7" s="1"/>
  <c r="AA376" i="7"/>
  <c r="W376" i="7"/>
  <c r="X376" i="7" s="1"/>
  <c r="U376" i="7"/>
  <c r="R376" i="7"/>
  <c r="O376" i="7"/>
  <c r="N376" i="7"/>
  <c r="L376" i="7"/>
  <c r="I376" i="7"/>
  <c r="H376" i="7"/>
  <c r="F376" i="7"/>
  <c r="C376" i="7"/>
  <c r="AC375" i="7"/>
  <c r="AD375" i="7" s="1"/>
  <c r="AA375" i="7"/>
  <c r="W375" i="7"/>
  <c r="X375" i="7" s="1"/>
  <c r="U375" i="7"/>
  <c r="R375" i="7"/>
  <c r="O375" i="7"/>
  <c r="N375" i="7"/>
  <c r="L375" i="7"/>
  <c r="H375" i="7"/>
  <c r="I375" i="7" s="1"/>
  <c r="F375" i="7"/>
  <c r="C375" i="7"/>
  <c r="AC374" i="7"/>
  <c r="AD374" i="7" s="1"/>
  <c r="AA374" i="7"/>
  <c r="X374" i="7"/>
  <c r="W374" i="7"/>
  <c r="U374" i="7"/>
  <c r="R374" i="7"/>
  <c r="N374" i="7"/>
  <c r="O374" i="7" s="1"/>
  <c r="L374" i="7"/>
  <c r="H374" i="7"/>
  <c r="I374" i="7" s="1"/>
  <c r="F374" i="7"/>
  <c r="C374" i="7"/>
  <c r="AD373" i="7"/>
  <c r="AC373" i="7"/>
  <c r="AA373" i="7"/>
  <c r="X373" i="7"/>
  <c r="W373" i="7"/>
  <c r="U373" i="7"/>
  <c r="R373" i="7"/>
  <c r="N373" i="7"/>
  <c r="O373" i="7" s="1"/>
  <c r="L373" i="7"/>
  <c r="I373" i="7"/>
  <c r="H373" i="7"/>
  <c r="F373" i="7"/>
  <c r="C373" i="7"/>
  <c r="AC372" i="7"/>
  <c r="AD372" i="7" s="1"/>
  <c r="AA372" i="7"/>
  <c r="W372" i="7"/>
  <c r="X372" i="7" s="1"/>
  <c r="U372" i="7"/>
  <c r="R372" i="7"/>
  <c r="O372" i="7"/>
  <c r="N372" i="7"/>
  <c r="L372" i="7"/>
  <c r="I372" i="7"/>
  <c r="H372" i="7"/>
  <c r="F372" i="7"/>
  <c r="C372" i="7"/>
  <c r="AC371" i="7"/>
  <c r="AD371" i="7" s="1"/>
  <c r="AA371" i="7"/>
  <c r="W371" i="7"/>
  <c r="X371" i="7" s="1"/>
  <c r="U371" i="7"/>
  <c r="R371" i="7"/>
  <c r="O371" i="7"/>
  <c r="N371" i="7"/>
  <c r="L371" i="7"/>
  <c r="H371" i="7"/>
  <c r="I371" i="7" s="1"/>
  <c r="F371" i="7"/>
  <c r="C371" i="7"/>
  <c r="AC370" i="7"/>
  <c r="AD370" i="7" s="1"/>
  <c r="AA370" i="7"/>
  <c r="X370" i="7"/>
  <c r="W370" i="7"/>
  <c r="U370" i="7"/>
  <c r="R370" i="7"/>
  <c r="N370" i="7"/>
  <c r="O370" i="7" s="1"/>
  <c r="L370" i="7"/>
  <c r="H370" i="7"/>
  <c r="I370" i="7" s="1"/>
  <c r="F370" i="7"/>
  <c r="C370" i="7"/>
  <c r="AC369" i="7"/>
  <c r="AD369" i="7" s="1"/>
  <c r="AA369" i="7"/>
  <c r="X369" i="7"/>
  <c r="W369" i="7"/>
  <c r="U369" i="7"/>
  <c r="R369" i="7"/>
  <c r="N369" i="7"/>
  <c r="O369" i="7" s="1"/>
  <c r="L369" i="7"/>
  <c r="I369" i="7"/>
  <c r="H369" i="7"/>
  <c r="F369" i="7"/>
  <c r="C369" i="7"/>
  <c r="AA368" i="7"/>
  <c r="Z368" i="7"/>
  <c r="T368" i="7"/>
  <c r="Q368" i="7"/>
  <c r="R368" i="7" s="1"/>
  <c r="K368" i="7"/>
  <c r="L368" i="7" s="1"/>
  <c r="E368" i="7"/>
  <c r="F368" i="7" s="1"/>
  <c r="B368" i="7"/>
  <c r="H368" i="7" s="1"/>
  <c r="I368" i="7" s="1"/>
  <c r="AC367" i="7"/>
  <c r="AD367" i="7" s="1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X366" i="7"/>
  <c r="W366" i="7"/>
  <c r="U366" i="7"/>
  <c r="R366" i="7"/>
  <c r="N366" i="7"/>
  <c r="O366" i="7" s="1"/>
  <c r="L366" i="7"/>
  <c r="I366" i="7"/>
  <c r="H366" i="7"/>
  <c r="F366" i="7"/>
  <c r="C366" i="7"/>
  <c r="AC365" i="7"/>
  <c r="AD365" i="7" s="1"/>
  <c r="AA365" i="7"/>
  <c r="X365" i="7"/>
  <c r="W365" i="7"/>
  <c r="U365" i="7"/>
  <c r="R365" i="7"/>
  <c r="O365" i="7"/>
  <c r="N365" i="7"/>
  <c r="L365" i="7"/>
  <c r="I365" i="7"/>
  <c r="H365" i="7"/>
  <c r="F365" i="7"/>
  <c r="C365" i="7"/>
  <c r="AC364" i="7"/>
  <c r="AD364" i="7" s="1"/>
  <c r="AA364" i="7"/>
  <c r="W364" i="7"/>
  <c r="X364" i="7" s="1"/>
  <c r="U364" i="7"/>
  <c r="R364" i="7"/>
  <c r="O364" i="7"/>
  <c r="N364" i="7"/>
  <c r="L364" i="7"/>
  <c r="H364" i="7"/>
  <c r="I364" i="7" s="1"/>
  <c r="F364" i="7"/>
  <c r="C364" i="7"/>
  <c r="AD363" i="7"/>
  <c r="AC363" i="7"/>
  <c r="AA363" i="7"/>
  <c r="X363" i="7"/>
  <c r="W363" i="7"/>
  <c r="U363" i="7"/>
  <c r="R363" i="7"/>
  <c r="N363" i="7"/>
  <c r="O363" i="7" s="1"/>
  <c r="L363" i="7"/>
  <c r="H363" i="7"/>
  <c r="I363" i="7" s="1"/>
  <c r="F363" i="7"/>
  <c r="C363" i="7"/>
  <c r="AC362" i="7"/>
  <c r="AD362" i="7" s="1"/>
  <c r="AA362" i="7"/>
  <c r="X362" i="7"/>
  <c r="W362" i="7"/>
  <c r="U362" i="7"/>
  <c r="R362" i="7"/>
  <c r="N362" i="7"/>
  <c r="O362" i="7" s="1"/>
  <c r="L362" i="7"/>
  <c r="I362" i="7"/>
  <c r="H362" i="7"/>
  <c r="F362" i="7"/>
  <c r="C362" i="7"/>
  <c r="AC361" i="7"/>
  <c r="AD361" i="7" s="1"/>
  <c r="AA361" i="7"/>
  <c r="X361" i="7"/>
  <c r="W361" i="7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O360" i="7"/>
  <c r="N360" i="7"/>
  <c r="L360" i="7"/>
  <c r="H360" i="7"/>
  <c r="I360" i="7" s="1"/>
  <c r="F360" i="7"/>
  <c r="C360" i="7"/>
  <c r="Z358" i="7"/>
  <c r="AA358" i="7" s="1"/>
  <c r="T358" i="7"/>
  <c r="U358" i="7" s="1"/>
  <c r="R358" i="7"/>
  <c r="Q358" i="7"/>
  <c r="N358" i="7"/>
  <c r="O358" i="7" s="1"/>
  <c r="K358" i="7"/>
  <c r="L358" i="7" s="1"/>
  <c r="H358" i="7"/>
  <c r="I358" i="7" s="1"/>
  <c r="E358" i="7"/>
  <c r="F358" i="7" s="1"/>
  <c r="B358" i="7"/>
  <c r="C358" i="7" s="1"/>
  <c r="AC357" i="7"/>
  <c r="AD357" i="7" s="1"/>
  <c r="AA357" i="7"/>
  <c r="X357" i="7"/>
  <c r="W357" i="7"/>
  <c r="U357" i="7"/>
  <c r="R357" i="7"/>
  <c r="O357" i="7"/>
  <c r="N357" i="7"/>
  <c r="L357" i="7"/>
  <c r="I357" i="7"/>
  <c r="H357" i="7"/>
  <c r="F357" i="7"/>
  <c r="C357" i="7"/>
  <c r="AC356" i="7"/>
  <c r="AD356" i="7" s="1"/>
  <c r="AA356" i="7"/>
  <c r="W356" i="7"/>
  <c r="X356" i="7" s="1"/>
  <c r="U356" i="7"/>
  <c r="R356" i="7"/>
  <c r="O356" i="7"/>
  <c r="N356" i="7"/>
  <c r="L356" i="7"/>
  <c r="H356" i="7"/>
  <c r="I356" i="7" s="1"/>
  <c r="F356" i="7"/>
  <c r="C356" i="7"/>
  <c r="AD355" i="7"/>
  <c r="AC355" i="7"/>
  <c r="AA355" i="7"/>
  <c r="X355" i="7"/>
  <c r="W355" i="7"/>
  <c r="U355" i="7"/>
  <c r="R355" i="7"/>
  <c r="N355" i="7"/>
  <c r="O355" i="7" s="1"/>
  <c r="L355" i="7"/>
  <c r="H355" i="7"/>
  <c r="I355" i="7" s="1"/>
  <c r="F355" i="7"/>
  <c r="C355" i="7"/>
  <c r="AC354" i="7"/>
  <c r="AD354" i="7" s="1"/>
  <c r="AA354" i="7"/>
  <c r="X354" i="7"/>
  <c r="W354" i="7"/>
  <c r="U354" i="7"/>
  <c r="R354" i="7"/>
  <c r="N354" i="7"/>
  <c r="O354" i="7" s="1"/>
  <c r="L354" i="7"/>
  <c r="H354" i="7"/>
  <c r="I354" i="7" s="1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W352" i="7"/>
  <c r="X352" i="7" s="1"/>
  <c r="U352" i="7"/>
  <c r="R352" i="7"/>
  <c r="O352" i="7"/>
  <c r="N352" i="7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O351" i="7"/>
  <c r="N351" i="7"/>
  <c r="L351" i="7"/>
  <c r="H351" i="7"/>
  <c r="I351" i="7" s="1"/>
  <c r="F351" i="7"/>
  <c r="C351" i="7"/>
  <c r="AC350" i="7"/>
  <c r="AD350" i="7" s="1"/>
  <c r="AA350" i="7"/>
  <c r="X350" i="7"/>
  <c r="W350" i="7"/>
  <c r="U350" i="7"/>
  <c r="R350" i="7"/>
  <c r="N350" i="7"/>
  <c r="O350" i="7" s="1"/>
  <c r="L350" i="7"/>
  <c r="H350" i="7"/>
  <c r="I350" i="7" s="1"/>
  <c r="F350" i="7"/>
  <c r="C350" i="7"/>
  <c r="AC349" i="7"/>
  <c r="AD349" i="7" s="1"/>
  <c r="AA349" i="7"/>
  <c r="W349" i="7"/>
  <c r="X349" i="7" s="1"/>
  <c r="U349" i="7"/>
  <c r="R349" i="7"/>
  <c r="O349" i="7"/>
  <c r="N349" i="7"/>
  <c r="L349" i="7"/>
  <c r="I349" i="7"/>
  <c r="H349" i="7"/>
  <c r="F349" i="7"/>
  <c r="C349" i="7"/>
  <c r="AC347" i="7"/>
  <c r="AD347" i="7" s="1"/>
  <c r="AA347" i="7"/>
  <c r="W347" i="7"/>
  <c r="X347" i="7" s="1"/>
  <c r="U347" i="7"/>
  <c r="R347" i="7"/>
  <c r="O347" i="7"/>
  <c r="N347" i="7"/>
  <c r="L347" i="7"/>
  <c r="H347" i="7"/>
  <c r="I347" i="7" s="1"/>
  <c r="F347" i="7"/>
  <c r="C347" i="7"/>
  <c r="AA344" i="7"/>
  <c r="Z344" i="7"/>
  <c r="W344" i="7"/>
  <c r="X344" i="7" s="1"/>
  <c r="T344" i="7"/>
  <c r="U344" i="7" s="1"/>
  <c r="Q344" i="7"/>
  <c r="R344" i="7" s="1"/>
  <c r="N344" i="7"/>
  <c r="O344" i="7" s="1"/>
  <c r="L344" i="7"/>
  <c r="K344" i="7"/>
  <c r="E344" i="7"/>
  <c r="F344" i="7" s="1"/>
  <c r="C344" i="7"/>
  <c r="B344" i="7"/>
  <c r="H344" i="7" s="1"/>
  <c r="I344" i="7" s="1"/>
  <c r="Z343" i="7"/>
  <c r="AA343" i="7" s="1"/>
  <c r="U343" i="7"/>
  <c r="T343" i="7"/>
  <c r="Q343" i="7"/>
  <c r="W343" i="7" s="1"/>
  <c r="X343" i="7" s="1"/>
  <c r="K343" i="7"/>
  <c r="L343" i="7" s="1"/>
  <c r="H343" i="7"/>
  <c r="I343" i="7" s="1"/>
  <c r="F343" i="7"/>
  <c r="E343" i="7"/>
  <c r="B343" i="7"/>
  <c r="C343" i="7" s="1"/>
  <c r="AA342" i="7"/>
  <c r="Z342" i="7"/>
  <c r="T342" i="7"/>
  <c r="U342" i="7" s="1"/>
  <c r="Q342" i="7"/>
  <c r="R342" i="7" s="1"/>
  <c r="K342" i="7"/>
  <c r="N342" i="7" s="1"/>
  <c r="O342" i="7" s="1"/>
  <c r="H342" i="7"/>
  <c r="I342" i="7" s="1"/>
  <c r="E342" i="7"/>
  <c r="F342" i="7" s="1"/>
  <c r="C342" i="7"/>
  <c r="B342" i="7"/>
  <c r="AC341" i="7"/>
  <c r="AD341" i="7" s="1"/>
  <c r="AA341" i="7"/>
  <c r="X341" i="7"/>
  <c r="W341" i="7"/>
  <c r="U341" i="7"/>
  <c r="R341" i="7"/>
  <c r="O341" i="7"/>
  <c r="N341" i="7"/>
  <c r="L341" i="7"/>
  <c r="H341" i="7"/>
  <c r="I341" i="7" s="1"/>
  <c r="F341" i="7"/>
  <c r="C341" i="7"/>
  <c r="AC340" i="7"/>
  <c r="AD340" i="7" s="1"/>
  <c r="AA340" i="7"/>
  <c r="X340" i="7"/>
  <c r="W340" i="7"/>
  <c r="U340" i="7"/>
  <c r="R340" i="7"/>
  <c r="N340" i="7"/>
  <c r="O340" i="7" s="1"/>
  <c r="L340" i="7"/>
  <c r="I340" i="7"/>
  <c r="H340" i="7"/>
  <c r="F340" i="7"/>
  <c r="C340" i="7"/>
  <c r="AC339" i="7"/>
  <c r="AD339" i="7" s="1"/>
  <c r="AA339" i="7"/>
  <c r="X339" i="7"/>
  <c r="W339" i="7"/>
  <c r="U339" i="7"/>
  <c r="R339" i="7"/>
  <c r="O339" i="7"/>
  <c r="N339" i="7"/>
  <c r="L339" i="7"/>
  <c r="H339" i="7"/>
  <c r="I339" i="7" s="1"/>
  <c r="F339" i="7"/>
  <c r="C339" i="7"/>
  <c r="AC338" i="7"/>
  <c r="AD338" i="7" s="1"/>
  <c r="AA338" i="7"/>
  <c r="W338" i="7"/>
  <c r="X338" i="7" s="1"/>
  <c r="U338" i="7"/>
  <c r="R338" i="7"/>
  <c r="O338" i="7"/>
  <c r="N338" i="7"/>
  <c r="L338" i="7"/>
  <c r="H338" i="7"/>
  <c r="I338" i="7" s="1"/>
  <c r="F338" i="7"/>
  <c r="C338" i="7"/>
  <c r="AC337" i="7"/>
  <c r="AD337" i="7" s="1"/>
  <c r="AA337" i="7"/>
  <c r="X337" i="7"/>
  <c r="W337" i="7"/>
  <c r="U337" i="7"/>
  <c r="R337" i="7"/>
  <c r="N337" i="7"/>
  <c r="O337" i="7" s="1"/>
  <c r="L337" i="7"/>
  <c r="H337" i="7"/>
  <c r="I337" i="7" s="1"/>
  <c r="F337" i="7"/>
  <c r="C337" i="7"/>
  <c r="AD335" i="7"/>
  <c r="AC335" i="7"/>
  <c r="AA335" i="7"/>
  <c r="X335" i="7"/>
  <c r="W335" i="7"/>
  <c r="U335" i="7"/>
  <c r="R335" i="7"/>
  <c r="N335" i="7"/>
  <c r="O335" i="7" s="1"/>
  <c r="L335" i="7"/>
  <c r="H335" i="7"/>
  <c r="I335" i="7" s="1"/>
  <c r="F335" i="7"/>
  <c r="C335" i="7"/>
  <c r="AC334" i="7"/>
  <c r="AD334" i="7" s="1"/>
  <c r="AA334" i="7"/>
  <c r="X334" i="7"/>
  <c r="W334" i="7"/>
  <c r="U334" i="7"/>
  <c r="R334" i="7"/>
  <c r="O334" i="7"/>
  <c r="N334" i="7"/>
  <c r="L334" i="7"/>
  <c r="I334" i="7"/>
  <c r="H334" i="7"/>
  <c r="F334" i="7"/>
  <c r="C334" i="7"/>
  <c r="AC333" i="7"/>
  <c r="AD333" i="7" s="1"/>
  <c r="AA333" i="7"/>
  <c r="W333" i="7"/>
  <c r="X333" i="7" s="1"/>
  <c r="U333" i="7"/>
  <c r="R333" i="7"/>
  <c r="O333" i="7"/>
  <c r="N333" i="7"/>
  <c r="L333" i="7"/>
  <c r="H333" i="7"/>
  <c r="I333" i="7" s="1"/>
  <c r="F333" i="7"/>
  <c r="C333" i="7"/>
  <c r="AC332" i="7"/>
  <c r="AD332" i="7" s="1"/>
  <c r="AA332" i="7"/>
  <c r="X332" i="7"/>
  <c r="W332" i="7"/>
  <c r="U332" i="7"/>
  <c r="R332" i="7"/>
  <c r="N332" i="7"/>
  <c r="O332" i="7" s="1"/>
  <c r="L332" i="7"/>
  <c r="H332" i="7"/>
  <c r="I332" i="7" s="1"/>
  <c r="F332" i="7"/>
  <c r="C332" i="7"/>
  <c r="AD331" i="7"/>
  <c r="AC331" i="7"/>
  <c r="AA331" i="7"/>
  <c r="X331" i="7"/>
  <c r="W331" i="7"/>
  <c r="U331" i="7"/>
  <c r="R331" i="7"/>
  <c r="N331" i="7"/>
  <c r="O331" i="7" s="1"/>
  <c r="L331" i="7"/>
  <c r="H331" i="7"/>
  <c r="I331" i="7" s="1"/>
  <c r="F331" i="7"/>
  <c r="C331" i="7"/>
  <c r="AC330" i="7"/>
  <c r="AD330" i="7" s="1"/>
  <c r="AA330" i="7"/>
  <c r="W330" i="7"/>
  <c r="X330" i="7" s="1"/>
  <c r="U330" i="7"/>
  <c r="R330" i="7"/>
  <c r="O330" i="7"/>
  <c r="N330" i="7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O329" i="7"/>
  <c r="N329" i="7"/>
  <c r="L329" i="7"/>
  <c r="H329" i="7"/>
  <c r="I329" i="7" s="1"/>
  <c r="F329" i="7"/>
  <c r="C329" i="7"/>
  <c r="AD328" i="7"/>
  <c r="AC328" i="7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AC325" i="7"/>
  <c r="AD325" i="7" s="1"/>
  <c r="AA325" i="7"/>
  <c r="Z325" i="7"/>
  <c r="U325" i="7"/>
  <c r="T325" i="7"/>
  <c r="R325" i="7"/>
  <c r="Q325" i="7"/>
  <c r="K325" i="7"/>
  <c r="L325" i="7" s="1"/>
  <c r="H325" i="7"/>
  <c r="I325" i="7" s="1"/>
  <c r="F325" i="7"/>
  <c r="E325" i="7"/>
  <c r="C325" i="7"/>
  <c r="B325" i="7"/>
  <c r="Z324" i="7"/>
  <c r="T324" i="7"/>
  <c r="W324" i="7" s="1"/>
  <c r="X324" i="7" s="1"/>
  <c r="Q324" i="7"/>
  <c r="R324" i="7" s="1"/>
  <c r="N324" i="7"/>
  <c r="O324" i="7" s="1"/>
  <c r="L324" i="7"/>
  <c r="K324" i="7"/>
  <c r="I324" i="7"/>
  <c r="H324" i="7"/>
  <c r="F324" i="7"/>
  <c r="E324" i="7"/>
  <c r="B324" i="7"/>
  <c r="C324" i="7" s="1"/>
  <c r="AC323" i="7"/>
  <c r="AD323" i="7" s="1"/>
  <c r="AA323" i="7"/>
  <c r="X323" i="7"/>
  <c r="W323" i="7"/>
  <c r="U323" i="7"/>
  <c r="R323" i="7"/>
  <c r="N323" i="7"/>
  <c r="O323" i="7" s="1"/>
  <c r="L323" i="7"/>
  <c r="H323" i="7"/>
  <c r="I323" i="7" s="1"/>
  <c r="F323" i="7"/>
  <c r="C323" i="7"/>
  <c r="AC322" i="7"/>
  <c r="AD322" i="7" s="1"/>
  <c r="AA322" i="7"/>
  <c r="W322" i="7"/>
  <c r="X322" i="7" s="1"/>
  <c r="U322" i="7"/>
  <c r="R322" i="7"/>
  <c r="O322" i="7"/>
  <c r="N322" i="7"/>
  <c r="L322" i="7"/>
  <c r="H322" i="7"/>
  <c r="I322" i="7" s="1"/>
  <c r="F322" i="7"/>
  <c r="C322" i="7"/>
  <c r="AD321" i="7"/>
  <c r="AC321" i="7"/>
  <c r="AA321" i="7"/>
  <c r="W321" i="7"/>
  <c r="X321" i="7" s="1"/>
  <c r="U321" i="7"/>
  <c r="R321" i="7"/>
  <c r="N321" i="7"/>
  <c r="O321" i="7" s="1"/>
  <c r="L321" i="7"/>
  <c r="H321" i="7"/>
  <c r="I321" i="7" s="1"/>
  <c r="F321" i="7"/>
  <c r="C321" i="7"/>
  <c r="AC320" i="7"/>
  <c r="AD320" i="7" s="1"/>
  <c r="AA320" i="7"/>
  <c r="X320" i="7"/>
  <c r="W320" i="7"/>
  <c r="U320" i="7"/>
  <c r="R320" i="7"/>
  <c r="N320" i="7"/>
  <c r="O320" i="7" s="1"/>
  <c r="L320" i="7"/>
  <c r="H320" i="7"/>
  <c r="I320" i="7" s="1"/>
  <c r="F320" i="7"/>
  <c r="C320" i="7"/>
  <c r="AC319" i="7"/>
  <c r="AD319" i="7" s="1"/>
  <c r="AA319" i="7"/>
  <c r="X319" i="7"/>
  <c r="W319" i="7"/>
  <c r="U319" i="7"/>
  <c r="R319" i="7"/>
  <c r="O319" i="7"/>
  <c r="N319" i="7"/>
  <c r="L319" i="7"/>
  <c r="I319" i="7"/>
  <c r="H319" i="7"/>
  <c r="F319" i="7"/>
  <c r="C319" i="7"/>
  <c r="AC318" i="7"/>
  <c r="AD318" i="7" s="1"/>
  <c r="AA318" i="7"/>
  <c r="W318" i="7"/>
  <c r="X318" i="7" s="1"/>
  <c r="U318" i="7"/>
  <c r="R318" i="7"/>
  <c r="O318" i="7"/>
  <c r="N318" i="7"/>
  <c r="L318" i="7"/>
  <c r="I318" i="7"/>
  <c r="H318" i="7"/>
  <c r="F318" i="7"/>
  <c r="C318" i="7"/>
  <c r="AD317" i="7"/>
  <c r="AC317" i="7"/>
  <c r="AA317" i="7"/>
  <c r="W317" i="7"/>
  <c r="X317" i="7" s="1"/>
  <c r="U317" i="7"/>
  <c r="R317" i="7"/>
  <c r="O317" i="7"/>
  <c r="N317" i="7"/>
  <c r="L317" i="7"/>
  <c r="H317" i="7"/>
  <c r="I317" i="7" s="1"/>
  <c r="F317" i="7"/>
  <c r="C317" i="7"/>
  <c r="AC316" i="7"/>
  <c r="AD316" i="7" s="1"/>
  <c r="AA316" i="7"/>
  <c r="X316" i="7"/>
  <c r="W316" i="7"/>
  <c r="U316" i="7"/>
  <c r="R316" i="7"/>
  <c r="O316" i="7"/>
  <c r="N316" i="7"/>
  <c r="L316" i="7"/>
  <c r="I316" i="7"/>
  <c r="H316" i="7"/>
  <c r="F316" i="7"/>
  <c r="C316" i="7"/>
  <c r="AC315" i="7"/>
  <c r="AD315" i="7" s="1"/>
  <c r="AA315" i="7"/>
  <c r="W315" i="7"/>
  <c r="X315" i="7" s="1"/>
  <c r="U315" i="7"/>
  <c r="R315" i="7"/>
  <c r="O315" i="7"/>
  <c r="N315" i="7"/>
  <c r="L315" i="7"/>
  <c r="H315" i="7"/>
  <c r="I315" i="7" s="1"/>
  <c r="F315" i="7"/>
  <c r="C315" i="7"/>
  <c r="AC314" i="7"/>
  <c r="AD314" i="7" s="1"/>
  <c r="AA314" i="7"/>
  <c r="W314" i="7"/>
  <c r="X314" i="7" s="1"/>
  <c r="U314" i="7"/>
  <c r="R314" i="7"/>
  <c r="O314" i="7"/>
  <c r="N314" i="7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H313" i="7"/>
  <c r="I313" i="7" s="1"/>
  <c r="F313" i="7"/>
  <c r="C313" i="7"/>
  <c r="AC312" i="7"/>
  <c r="AD312" i="7" s="1"/>
  <c r="AA312" i="7"/>
  <c r="X312" i="7"/>
  <c r="W312" i="7"/>
  <c r="U312" i="7"/>
  <c r="R312" i="7"/>
  <c r="O312" i="7"/>
  <c r="N312" i="7"/>
  <c r="L312" i="7"/>
  <c r="H312" i="7"/>
  <c r="I312" i="7" s="1"/>
  <c r="F312" i="7"/>
  <c r="C312" i="7"/>
  <c r="AC311" i="7"/>
  <c r="AD311" i="7" s="1"/>
  <c r="AA311" i="7"/>
  <c r="X311" i="7"/>
  <c r="W311" i="7"/>
  <c r="U311" i="7"/>
  <c r="R311" i="7"/>
  <c r="O311" i="7"/>
  <c r="N311" i="7"/>
  <c r="L311" i="7"/>
  <c r="H311" i="7"/>
  <c r="I311" i="7" s="1"/>
  <c r="F311" i="7"/>
  <c r="C311" i="7"/>
  <c r="AC310" i="7"/>
  <c r="AD310" i="7" s="1"/>
  <c r="AA310" i="7"/>
  <c r="W310" i="7"/>
  <c r="X310" i="7" s="1"/>
  <c r="U310" i="7"/>
  <c r="R310" i="7"/>
  <c r="O310" i="7"/>
  <c r="N310" i="7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H309" i="7"/>
  <c r="I309" i="7" s="1"/>
  <c r="F309" i="7"/>
  <c r="C309" i="7"/>
  <c r="AC308" i="7"/>
  <c r="AD308" i="7" s="1"/>
  <c r="AA308" i="7"/>
  <c r="X308" i="7"/>
  <c r="W308" i="7"/>
  <c r="U308" i="7"/>
  <c r="R308" i="7"/>
  <c r="O308" i="7"/>
  <c r="N308" i="7"/>
  <c r="L308" i="7"/>
  <c r="H308" i="7"/>
  <c r="I308" i="7" s="1"/>
  <c r="F308" i="7"/>
  <c r="C308" i="7"/>
  <c r="AD307" i="7"/>
  <c r="AC307" i="7"/>
  <c r="AA307" i="7"/>
  <c r="X307" i="7"/>
  <c r="W307" i="7"/>
  <c r="U307" i="7"/>
  <c r="R307" i="7"/>
  <c r="N307" i="7"/>
  <c r="O307" i="7" s="1"/>
  <c r="L307" i="7"/>
  <c r="H307" i="7"/>
  <c r="I307" i="7" s="1"/>
  <c r="F307" i="7"/>
  <c r="C307" i="7"/>
  <c r="AC306" i="7"/>
  <c r="AD306" i="7" s="1"/>
  <c r="AA306" i="7"/>
  <c r="W306" i="7"/>
  <c r="X306" i="7" s="1"/>
  <c r="U306" i="7"/>
  <c r="R306" i="7"/>
  <c r="O306" i="7"/>
  <c r="N306" i="7"/>
  <c r="L306" i="7"/>
  <c r="H306" i="7"/>
  <c r="I306" i="7" s="1"/>
  <c r="F306" i="7"/>
  <c r="C306" i="7"/>
  <c r="AD305" i="7"/>
  <c r="AC305" i="7"/>
  <c r="AA305" i="7"/>
  <c r="X305" i="7"/>
  <c r="W305" i="7"/>
  <c r="U305" i="7"/>
  <c r="R305" i="7"/>
  <c r="N305" i="7"/>
  <c r="O305" i="7" s="1"/>
  <c r="L305" i="7"/>
  <c r="H305" i="7"/>
  <c r="I305" i="7" s="1"/>
  <c r="F305" i="7"/>
  <c r="C305" i="7"/>
  <c r="AC304" i="7"/>
  <c r="AD304" i="7" s="1"/>
  <c r="AA304" i="7"/>
  <c r="X304" i="7"/>
  <c r="W304" i="7"/>
  <c r="U304" i="7"/>
  <c r="R304" i="7"/>
  <c r="N304" i="7"/>
  <c r="O304" i="7" s="1"/>
  <c r="L304" i="7"/>
  <c r="H304" i="7"/>
  <c r="I304" i="7" s="1"/>
  <c r="F304" i="7"/>
  <c r="C304" i="7"/>
  <c r="AC303" i="7"/>
  <c r="AD303" i="7" s="1"/>
  <c r="AA303" i="7"/>
  <c r="X303" i="7"/>
  <c r="W303" i="7"/>
  <c r="U303" i="7"/>
  <c r="R303" i="7"/>
  <c r="O303" i="7"/>
  <c r="N303" i="7"/>
  <c r="L303" i="7"/>
  <c r="H303" i="7"/>
  <c r="I303" i="7" s="1"/>
  <c r="F303" i="7"/>
  <c r="C303" i="7"/>
  <c r="AC302" i="7"/>
  <c r="AD302" i="7" s="1"/>
  <c r="AA302" i="7"/>
  <c r="W302" i="7"/>
  <c r="X302" i="7" s="1"/>
  <c r="U302" i="7"/>
  <c r="R302" i="7"/>
  <c r="O302" i="7"/>
  <c r="N302" i="7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O301" i="7"/>
  <c r="N301" i="7"/>
  <c r="L301" i="7"/>
  <c r="H301" i="7"/>
  <c r="I301" i="7" s="1"/>
  <c r="F301" i="7"/>
  <c r="C301" i="7"/>
  <c r="AC300" i="7"/>
  <c r="AD300" i="7" s="1"/>
  <c r="AA300" i="7"/>
  <c r="X300" i="7"/>
  <c r="W300" i="7"/>
  <c r="U300" i="7"/>
  <c r="R300" i="7"/>
  <c r="O300" i="7"/>
  <c r="N300" i="7"/>
  <c r="L300" i="7"/>
  <c r="H300" i="7"/>
  <c r="I300" i="7" s="1"/>
  <c r="F300" i="7"/>
  <c r="C300" i="7"/>
  <c r="AC299" i="7"/>
  <c r="AD299" i="7" s="1"/>
  <c r="AA299" i="7"/>
  <c r="W299" i="7"/>
  <c r="X299" i="7" s="1"/>
  <c r="U299" i="7"/>
  <c r="R299" i="7"/>
  <c r="O299" i="7"/>
  <c r="N299" i="7"/>
  <c r="L299" i="7"/>
  <c r="I299" i="7"/>
  <c r="H299" i="7"/>
  <c r="F299" i="7"/>
  <c r="C299" i="7"/>
  <c r="AC298" i="7"/>
  <c r="AD298" i="7" s="1"/>
  <c r="AA298" i="7"/>
  <c r="W298" i="7"/>
  <c r="X298" i="7" s="1"/>
  <c r="U298" i="7"/>
  <c r="R298" i="7"/>
  <c r="O298" i="7"/>
  <c r="N298" i="7"/>
  <c r="L298" i="7"/>
  <c r="I298" i="7"/>
  <c r="H298" i="7"/>
  <c r="F298" i="7"/>
  <c r="C298" i="7"/>
  <c r="AC297" i="7"/>
  <c r="AD297" i="7" s="1"/>
  <c r="AA297" i="7"/>
  <c r="W297" i="7"/>
  <c r="X297" i="7" s="1"/>
  <c r="U297" i="7"/>
  <c r="R297" i="7"/>
  <c r="O297" i="7"/>
  <c r="N297" i="7"/>
  <c r="L297" i="7"/>
  <c r="H297" i="7"/>
  <c r="I297" i="7" s="1"/>
  <c r="F297" i="7"/>
  <c r="C297" i="7"/>
  <c r="AC295" i="7"/>
  <c r="AD295" i="7" s="1"/>
  <c r="Z295" i="7"/>
  <c r="AA295" i="7" s="1"/>
  <c r="W295" i="7"/>
  <c r="X295" i="7" s="1"/>
  <c r="U295" i="7"/>
  <c r="T295" i="7"/>
  <c r="R295" i="7"/>
  <c r="Q295" i="7"/>
  <c r="K295" i="7"/>
  <c r="L295" i="7" s="1"/>
  <c r="H295" i="7"/>
  <c r="I295" i="7" s="1"/>
  <c r="E295" i="7"/>
  <c r="F295" i="7" s="1"/>
  <c r="B295" i="7"/>
  <c r="AC294" i="7"/>
  <c r="AD294" i="7" s="1"/>
  <c r="AA294" i="7"/>
  <c r="X294" i="7"/>
  <c r="W294" i="7"/>
  <c r="U294" i="7"/>
  <c r="R294" i="7"/>
  <c r="O294" i="7"/>
  <c r="N294" i="7"/>
  <c r="L294" i="7"/>
  <c r="H294" i="7"/>
  <c r="I294" i="7" s="1"/>
  <c r="F294" i="7"/>
  <c r="C294" i="7"/>
  <c r="AD293" i="7"/>
  <c r="AC293" i="7"/>
  <c r="AA293" i="7"/>
  <c r="W293" i="7"/>
  <c r="X293" i="7" s="1"/>
  <c r="U293" i="7"/>
  <c r="R293" i="7"/>
  <c r="N293" i="7"/>
  <c r="O293" i="7" s="1"/>
  <c r="L293" i="7"/>
  <c r="H293" i="7"/>
  <c r="I293" i="7" s="1"/>
  <c r="F293" i="7"/>
  <c r="C293" i="7"/>
  <c r="AC292" i="7"/>
  <c r="AD292" i="7" s="1"/>
  <c r="AA292" i="7"/>
  <c r="X292" i="7"/>
  <c r="W292" i="7"/>
  <c r="U292" i="7"/>
  <c r="R292" i="7"/>
  <c r="N292" i="7"/>
  <c r="O292" i="7" s="1"/>
  <c r="L292" i="7"/>
  <c r="H292" i="7"/>
  <c r="I292" i="7" s="1"/>
  <c r="F292" i="7"/>
  <c r="C292" i="7"/>
  <c r="AC291" i="7"/>
  <c r="AD291" i="7" s="1"/>
  <c r="AA291" i="7"/>
  <c r="X291" i="7"/>
  <c r="W291" i="7"/>
  <c r="U291" i="7"/>
  <c r="R291" i="7"/>
  <c r="O291" i="7"/>
  <c r="N291" i="7"/>
  <c r="L291" i="7"/>
  <c r="H291" i="7"/>
  <c r="I291" i="7" s="1"/>
  <c r="F291" i="7"/>
  <c r="C291" i="7"/>
  <c r="AC290" i="7"/>
  <c r="AD290" i="7" s="1"/>
  <c r="AA290" i="7"/>
  <c r="W290" i="7"/>
  <c r="X290" i="7" s="1"/>
  <c r="U290" i="7"/>
  <c r="R290" i="7"/>
  <c r="O290" i="7"/>
  <c r="N290" i="7"/>
  <c r="L290" i="7"/>
  <c r="I290" i="7"/>
  <c r="H290" i="7"/>
  <c r="F290" i="7"/>
  <c r="C290" i="7"/>
  <c r="AD289" i="7"/>
  <c r="AC289" i="7"/>
  <c r="AA289" i="7"/>
  <c r="W289" i="7"/>
  <c r="X289" i="7" s="1"/>
  <c r="U289" i="7"/>
  <c r="R289" i="7"/>
  <c r="O289" i="7"/>
  <c r="N289" i="7"/>
  <c r="L289" i="7"/>
  <c r="H289" i="7"/>
  <c r="I289" i="7" s="1"/>
  <c r="F289" i="7"/>
  <c r="C289" i="7"/>
  <c r="AD288" i="7"/>
  <c r="AC288" i="7"/>
  <c r="AA288" i="7"/>
  <c r="X288" i="7"/>
  <c r="W288" i="7"/>
  <c r="U288" i="7"/>
  <c r="R288" i="7"/>
  <c r="O288" i="7"/>
  <c r="N288" i="7"/>
  <c r="L288" i="7"/>
  <c r="I288" i="7"/>
  <c r="H288" i="7"/>
  <c r="F288" i="7"/>
  <c r="C288" i="7"/>
  <c r="AC287" i="7"/>
  <c r="AD287" i="7" s="1"/>
  <c r="AA287" i="7"/>
  <c r="W287" i="7"/>
  <c r="X287" i="7" s="1"/>
  <c r="U287" i="7"/>
  <c r="R287" i="7"/>
  <c r="O287" i="7"/>
  <c r="N287" i="7"/>
  <c r="L287" i="7"/>
  <c r="I287" i="7"/>
  <c r="H287" i="7"/>
  <c r="F287" i="7"/>
  <c r="C287" i="7"/>
  <c r="AC286" i="7"/>
  <c r="AD286" i="7" s="1"/>
  <c r="AA286" i="7"/>
  <c r="W286" i="7"/>
  <c r="X286" i="7" s="1"/>
  <c r="U286" i="7"/>
  <c r="R286" i="7"/>
  <c r="O286" i="7"/>
  <c r="N286" i="7"/>
  <c r="L286" i="7"/>
  <c r="I286" i="7"/>
  <c r="H286" i="7"/>
  <c r="F286" i="7"/>
  <c r="C286" i="7"/>
  <c r="AC284" i="7"/>
  <c r="AD284" i="7" s="1"/>
  <c r="Z284" i="7"/>
  <c r="AA284" i="7" s="1"/>
  <c r="W284" i="7"/>
  <c r="X284" i="7" s="1"/>
  <c r="T284" i="7"/>
  <c r="U284" i="7" s="1"/>
  <c r="R284" i="7"/>
  <c r="Q284" i="7"/>
  <c r="N284" i="7"/>
  <c r="O284" i="7" s="1"/>
  <c r="L284" i="7"/>
  <c r="K284" i="7"/>
  <c r="I284" i="7"/>
  <c r="H284" i="7"/>
  <c r="F284" i="7"/>
  <c r="E284" i="7"/>
  <c r="B284" i="7"/>
  <c r="C284" i="7" s="1"/>
  <c r="AC283" i="7"/>
  <c r="AD283" i="7" s="1"/>
  <c r="AA283" i="7"/>
  <c r="X283" i="7"/>
  <c r="W283" i="7"/>
  <c r="U283" i="7"/>
  <c r="R283" i="7"/>
  <c r="N283" i="7"/>
  <c r="O283" i="7" s="1"/>
  <c r="L283" i="7"/>
  <c r="H283" i="7"/>
  <c r="I283" i="7" s="1"/>
  <c r="F283" i="7"/>
  <c r="C283" i="7"/>
  <c r="AC282" i="7"/>
  <c r="AD282" i="7" s="1"/>
  <c r="AA282" i="7"/>
  <c r="W282" i="7"/>
  <c r="X282" i="7" s="1"/>
  <c r="U282" i="7"/>
  <c r="R282" i="7"/>
  <c r="O282" i="7"/>
  <c r="N282" i="7"/>
  <c r="L282" i="7"/>
  <c r="H282" i="7"/>
  <c r="I282" i="7" s="1"/>
  <c r="F282" i="7"/>
  <c r="C282" i="7"/>
  <c r="AD281" i="7"/>
  <c r="AC281" i="7"/>
  <c r="AA281" i="7"/>
  <c r="X281" i="7"/>
  <c r="W281" i="7"/>
  <c r="U281" i="7"/>
  <c r="R281" i="7"/>
  <c r="N281" i="7"/>
  <c r="O281" i="7" s="1"/>
  <c r="L281" i="7"/>
  <c r="H281" i="7"/>
  <c r="I281" i="7" s="1"/>
  <c r="F281" i="7"/>
  <c r="C281" i="7"/>
  <c r="AD280" i="7"/>
  <c r="AC280" i="7"/>
  <c r="AA280" i="7"/>
  <c r="X280" i="7"/>
  <c r="W280" i="7"/>
  <c r="U280" i="7"/>
  <c r="R280" i="7"/>
  <c r="N280" i="7"/>
  <c r="O280" i="7" s="1"/>
  <c r="L280" i="7"/>
  <c r="H280" i="7"/>
  <c r="I280" i="7" s="1"/>
  <c r="F280" i="7"/>
  <c r="C280" i="7"/>
  <c r="AD279" i="7"/>
  <c r="AC279" i="7"/>
  <c r="AA279" i="7"/>
  <c r="X279" i="7"/>
  <c r="W279" i="7"/>
  <c r="U279" i="7"/>
  <c r="R279" i="7"/>
  <c r="O279" i="7"/>
  <c r="N279" i="7"/>
  <c r="L279" i="7"/>
  <c r="I279" i="7"/>
  <c r="H279" i="7"/>
  <c r="F279" i="7"/>
  <c r="C279" i="7"/>
  <c r="AC278" i="7"/>
  <c r="AD278" i="7" s="1"/>
  <c r="AA278" i="7"/>
  <c r="X278" i="7"/>
  <c r="W278" i="7"/>
  <c r="U278" i="7"/>
  <c r="R278" i="7"/>
  <c r="O278" i="7"/>
  <c r="N278" i="7"/>
  <c r="L278" i="7"/>
  <c r="I278" i="7"/>
  <c r="H278" i="7"/>
  <c r="F278" i="7"/>
  <c r="C278" i="7"/>
  <c r="AD277" i="7"/>
  <c r="AC277" i="7"/>
  <c r="AA277" i="7"/>
  <c r="W277" i="7"/>
  <c r="X277" i="7" s="1"/>
  <c r="U277" i="7"/>
  <c r="R277" i="7"/>
  <c r="O277" i="7"/>
  <c r="N277" i="7"/>
  <c r="L277" i="7"/>
  <c r="H277" i="7"/>
  <c r="I277" i="7" s="1"/>
  <c r="F277" i="7"/>
  <c r="C277" i="7"/>
  <c r="AD276" i="7"/>
  <c r="AC276" i="7"/>
  <c r="AA276" i="7"/>
  <c r="X276" i="7"/>
  <c r="W276" i="7"/>
  <c r="U276" i="7"/>
  <c r="R276" i="7"/>
  <c r="O276" i="7"/>
  <c r="N276" i="7"/>
  <c r="L276" i="7"/>
  <c r="I276" i="7"/>
  <c r="H276" i="7"/>
  <c r="F276" i="7"/>
  <c r="C276" i="7"/>
  <c r="AC275" i="7"/>
  <c r="AD275" i="7" s="1"/>
  <c r="AA275" i="7"/>
  <c r="W275" i="7"/>
  <c r="X275" i="7" s="1"/>
  <c r="U275" i="7"/>
  <c r="R275" i="7"/>
  <c r="O275" i="7"/>
  <c r="N275" i="7"/>
  <c r="L275" i="7"/>
  <c r="I275" i="7"/>
  <c r="H275" i="7"/>
  <c r="F275" i="7"/>
  <c r="C275" i="7"/>
  <c r="AA273" i="7"/>
  <c r="Z273" i="7"/>
  <c r="T273" i="7"/>
  <c r="U273" i="7" s="1"/>
  <c r="Q273" i="7"/>
  <c r="K273" i="7"/>
  <c r="L273" i="7" s="1"/>
  <c r="E273" i="7"/>
  <c r="F273" i="7" s="1"/>
  <c r="C273" i="7"/>
  <c r="B273" i="7"/>
  <c r="AD272" i="7"/>
  <c r="AC272" i="7"/>
  <c r="AA272" i="7"/>
  <c r="X272" i="7"/>
  <c r="W272" i="7"/>
  <c r="U272" i="7"/>
  <c r="R272" i="7"/>
  <c r="N272" i="7"/>
  <c r="O272" i="7" s="1"/>
  <c r="L272" i="7"/>
  <c r="I272" i="7"/>
  <c r="H272" i="7"/>
  <c r="F272" i="7"/>
  <c r="C272" i="7"/>
  <c r="AD271" i="7"/>
  <c r="AC271" i="7"/>
  <c r="AA271" i="7"/>
  <c r="W271" i="7"/>
  <c r="X271" i="7" s="1"/>
  <c r="U271" i="7"/>
  <c r="R271" i="7"/>
  <c r="N271" i="7"/>
  <c r="O271" i="7" s="1"/>
  <c r="L271" i="7"/>
  <c r="I271" i="7"/>
  <c r="H271" i="7"/>
  <c r="F271" i="7"/>
  <c r="C271" i="7"/>
  <c r="AC270" i="7"/>
  <c r="AD270" i="7" s="1"/>
  <c r="AA270" i="7"/>
  <c r="X270" i="7"/>
  <c r="W270" i="7"/>
  <c r="U270" i="7"/>
  <c r="R270" i="7"/>
  <c r="O270" i="7"/>
  <c r="N270" i="7"/>
  <c r="L270" i="7"/>
  <c r="H270" i="7"/>
  <c r="I270" i="7" s="1"/>
  <c r="F270" i="7"/>
  <c r="C270" i="7"/>
  <c r="AC269" i="7"/>
  <c r="AD269" i="7" s="1"/>
  <c r="AA269" i="7"/>
  <c r="W269" i="7"/>
  <c r="X269" i="7" s="1"/>
  <c r="U269" i="7"/>
  <c r="R269" i="7"/>
  <c r="O269" i="7"/>
  <c r="N269" i="7"/>
  <c r="L269" i="7"/>
  <c r="H269" i="7"/>
  <c r="I269" i="7" s="1"/>
  <c r="F269" i="7"/>
  <c r="C269" i="7"/>
  <c r="AD267" i="7"/>
  <c r="AA267" i="7"/>
  <c r="Z267" i="7"/>
  <c r="W267" i="7"/>
  <c r="X267" i="7" s="1"/>
  <c r="T267" i="7"/>
  <c r="U267" i="7" s="1"/>
  <c r="R267" i="7"/>
  <c r="Q267" i="7"/>
  <c r="AC267" i="7" s="1"/>
  <c r="N267" i="7"/>
  <c r="O267" i="7" s="1"/>
  <c r="K267" i="7"/>
  <c r="L267" i="7" s="1"/>
  <c r="E267" i="7"/>
  <c r="F267" i="7" s="1"/>
  <c r="C267" i="7"/>
  <c r="B267" i="7"/>
  <c r="AC266" i="7"/>
  <c r="AD266" i="7" s="1"/>
  <c r="AA266" i="7"/>
  <c r="X266" i="7"/>
  <c r="W266" i="7"/>
  <c r="U266" i="7"/>
  <c r="R266" i="7"/>
  <c r="O266" i="7"/>
  <c r="N266" i="7"/>
  <c r="L266" i="7"/>
  <c r="H266" i="7"/>
  <c r="I266" i="7" s="1"/>
  <c r="F266" i="7"/>
  <c r="C266" i="7"/>
  <c r="AC265" i="7"/>
  <c r="AD265" i="7" s="1"/>
  <c r="AA265" i="7"/>
  <c r="X265" i="7"/>
  <c r="W265" i="7"/>
  <c r="U265" i="7"/>
  <c r="R265" i="7"/>
  <c r="N265" i="7"/>
  <c r="O265" i="7" s="1"/>
  <c r="L265" i="7"/>
  <c r="H265" i="7"/>
  <c r="I265" i="7" s="1"/>
  <c r="F265" i="7"/>
  <c r="C265" i="7"/>
  <c r="Z263" i="7"/>
  <c r="AA263" i="7" s="1"/>
  <c r="T263" i="7"/>
  <c r="U263" i="7" s="1"/>
  <c r="Q263" i="7"/>
  <c r="K263" i="7"/>
  <c r="L263" i="7" s="1"/>
  <c r="I263" i="7"/>
  <c r="F263" i="7"/>
  <c r="E263" i="7"/>
  <c r="H263" i="7" s="1"/>
  <c r="C263" i="7"/>
  <c r="B263" i="7"/>
  <c r="Z262" i="7"/>
  <c r="AA262" i="7" s="1"/>
  <c r="W262" i="7"/>
  <c r="X262" i="7" s="1"/>
  <c r="T262" i="7"/>
  <c r="U262" i="7" s="1"/>
  <c r="Q262" i="7"/>
  <c r="R262" i="7" s="1"/>
  <c r="N262" i="7"/>
  <c r="O262" i="7" s="1"/>
  <c r="L262" i="7"/>
  <c r="K262" i="7"/>
  <c r="E262" i="7"/>
  <c r="C262" i="7"/>
  <c r="B262" i="7"/>
  <c r="AD261" i="7"/>
  <c r="AC261" i="7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D260" i="7"/>
  <c r="AC260" i="7"/>
  <c r="AA260" i="7"/>
  <c r="X260" i="7"/>
  <c r="W260" i="7"/>
  <c r="U260" i="7"/>
  <c r="R260" i="7"/>
  <c r="O260" i="7"/>
  <c r="N260" i="7"/>
  <c r="L260" i="7"/>
  <c r="I260" i="7"/>
  <c r="H260" i="7"/>
  <c r="F260" i="7"/>
  <c r="C260" i="7"/>
  <c r="AC259" i="7"/>
  <c r="AD259" i="7" s="1"/>
  <c r="AA259" i="7"/>
  <c r="X259" i="7"/>
  <c r="W259" i="7"/>
  <c r="U259" i="7"/>
  <c r="R259" i="7"/>
  <c r="O259" i="7"/>
  <c r="N259" i="7"/>
  <c r="L259" i="7"/>
  <c r="I259" i="7"/>
  <c r="H259" i="7"/>
  <c r="F259" i="7"/>
  <c r="C259" i="7"/>
  <c r="AD258" i="7"/>
  <c r="AC258" i="7"/>
  <c r="AA258" i="7"/>
  <c r="W258" i="7"/>
  <c r="X258" i="7" s="1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O257" i="7"/>
  <c r="N257" i="7"/>
  <c r="L257" i="7"/>
  <c r="I257" i="7"/>
  <c r="H257" i="7"/>
  <c r="F257" i="7"/>
  <c r="C257" i="7"/>
  <c r="AC256" i="7"/>
  <c r="AD256" i="7" s="1"/>
  <c r="AA256" i="7"/>
  <c r="W256" i="7"/>
  <c r="X256" i="7" s="1"/>
  <c r="U256" i="7"/>
  <c r="R256" i="7"/>
  <c r="O256" i="7"/>
  <c r="N256" i="7"/>
  <c r="L256" i="7"/>
  <c r="I256" i="7"/>
  <c r="H256" i="7"/>
  <c r="F256" i="7"/>
  <c r="C256" i="7"/>
  <c r="AC255" i="7"/>
  <c r="AD255" i="7" s="1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O254" i="7"/>
  <c r="N254" i="7"/>
  <c r="L254" i="7"/>
  <c r="H254" i="7"/>
  <c r="I254" i="7" s="1"/>
  <c r="F254" i="7"/>
  <c r="C254" i="7"/>
  <c r="AC253" i="7"/>
  <c r="AD253" i="7" s="1"/>
  <c r="AA253" i="7"/>
  <c r="W253" i="7"/>
  <c r="X253" i="7" s="1"/>
  <c r="U253" i="7"/>
  <c r="R253" i="7"/>
  <c r="O253" i="7"/>
  <c r="N253" i="7"/>
  <c r="L253" i="7"/>
  <c r="I253" i="7"/>
  <c r="H253" i="7"/>
  <c r="F253" i="7"/>
  <c r="C253" i="7"/>
  <c r="AC252" i="7"/>
  <c r="AD252" i="7" s="1"/>
  <c r="AA252" i="7"/>
  <c r="X252" i="7"/>
  <c r="W252" i="7"/>
  <c r="U252" i="7"/>
  <c r="R252" i="7"/>
  <c r="O252" i="7"/>
  <c r="N252" i="7"/>
  <c r="L252" i="7"/>
  <c r="H252" i="7"/>
  <c r="I252" i="7" s="1"/>
  <c r="F252" i="7"/>
  <c r="C252" i="7"/>
  <c r="AC251" i="7"/>
  <c r="AD251" i="7" s="1"/>
  <c r="AA251" i="7"/>
  <c r="X251" i="7"/>
  <c r="W251" i="7"/>
  <c r="U251" i="7"/>
  <c r="R251" i="7"/>
  <c r="N251" i="7"/>
  <c r="O251" i="7" s="1"/>
  <c r="L251" i="7"/>
  <c r="H251" i="7"/>
  <c r="I251" i="7" s="1"/>
  <c r="F251" i="7"/>
  <c r="C251" i="7"/>
  <c r="AC250" i="7"/>
  <c r="AD250" i="7" s="1"/>
  <c r="AA250" i="7"/>
  <c r="X250" i="7"/>
  <c r="W250" i="7"/>
  <c r="U250" i="7"/>
  <c r="R250" i="7"/>
  <c r="O250" i="7"/>
  <c r="N250" i="7"/>
  <c r="L250" i="7"/>
  <c r="I250" i="7"/>
  <c r="H250" i="7"/>
  <c r="F250" i="7"/>
  <c r="C250" i="7"/>
  <c r="AC249" i="7"/>
  <c r="AD249" i="7" s="1"/>
  <c r="AA249" i="7"/>
  <c r="W249" i="7"/>
  <c r="X249" i="7" s="1"/>
  <c r="U249" i="7"/>
  <c r="R249" i="7"/>
  <c r="O249" i="7"/>
  <c r="N249" i="7"/>
  <c r="L249" i="7"/>
  <c r="H249" i="7"/>
  <c r="I249" i="7" s="1"/>
  <c r="F249" i="7"/>
  <c r="C249" i="7"/>
  <c r="AC248" i="7"/>
  <c r="AD248" i="7" s="1"/>
  <c r="AA248" i="7"/>
  <c r="X248" i="7"/>
  <c r="W248" i="7"/>
  <c r="U248" i="7"/>
  <c r="R248" i="7"/>
  <c r="O248" i="7"/>
  <c r="N248" i="7"/>
  <c r="L248" i="7"/>
  <c r="H248" i="7"/>
  <c r="I248" i="7" s="1"/>
  <c r="F248" i="7"/>
  <c r="C248" i="7"/>
  <c r="AC247" i="7"/>
  <c r="AD247" i="7" s="1"/>
  <c r="AA247" i="7"/>
  <c r="X247" i="7"/>
  <c r="W247" i="7"/>
  <c r="U247" i="7"/>
  <c r="R247" i="7"/>
  <c r="N247" i="7"/>
  <c r="O247" i="7" s="1"/>
  <c r="L247" i="7"/>
  <c r="H247" i="7"/>
  <c r="I247" i="7" s="1"/>
  <c r="F247" i="7"/>
  <c r="C247" i="7"/>
  <c r="AC246" i="7"/>
  <c r="AD246" i="7" s="1"/>
  <c r="AA246" i="7"/>
  <c r="X246" i="7"/>
  <c r="W246" i="7"/>
  <c r="U246" i="7"/>
  <c r="R246" i="7"/>
  <c r="O246" i="7"/>
  <c r="N246" i="7"/>
  <c r="L246" i="7"/>
  <c r="I246" i="7"/>
  <c r="H246" i="7"/>
  <c r="F246" i="7"/>
  <c r="C246" i="7"/>
  <c r="AC245" i="7"/>
  <c r="AD245" i="7" s="1"/>
  <c r="AA245" i="7"/>
  <c r="W245" i="7"/>
  <c r="X245" i="7" s="1"/>
  <c r="U245" i="7"/>
  <c r="R245" i="7"/>
  <c r="O245" i="7"/>
  <c r="N245" i="7"/>
  <c r="L245" i="7"/>
  <c r="H245" i="7"/>
  <c r="I245" i="7" s="1"/>
  <c r="F245" i="7"/>
  <c r="C245" i="7"/>
  <c r="AC244" i="7"/>
  <c r="AD244" i="7" s="1"/>
  <c r="AA244" i="7"/>
  <c r="X244" i="7"/>
  <c r="W244" i="7"/>
  <c r="U244" i="7"/>
  <c r="R244" i="7"/>
  <c r="O244" i="7"/>
  <c r="N244" i="7"/>
  <c r="L244" i="7"/>
  <c r="H244" i="7"/>
  <c r="I244" i="7" s="1"/>
  <c r="F244" i="7"/>
  <c r="C244" i="7"/>
  <c r="AC243" i="7"/>
  <c r="AD243" i="7" s="1"/>
  <c r="AA243" i="7"/>
  <c r="X243" i="7"/>
  <c r="W243" i="7"/>
  <c r="U243" i="7"/>
  <c r="R243" i="7"/>
  <c r="N243" i="7"/>
  <c r="O243" i="7" s="1"/>
  <c r="L243" i="7"/>
  <c r="H243" i="7"/>
  <c r="I243" i="7" s="1"/>
  <c r="F243" i="7"/>
  <c r="C243" i="7"/>
  <c r="AC242" i="7"/>
  <c r="AD242" i="7" s="1"/>
  <c r="AA242" i="7"/>
  <c r="X242" i="7"/>
  <c r="W242" i="7"/>
  <c r="U242" i="7"/>
  <c r="R242" i="7"/>
  <c r="O242" i="7"/>
  <c r="N242" i="7"/>
  <c r="L242" i="7"/>
  <c r="I242" i="7"/>
  <c r="H242" i="7"/>
  <c r="F242" i="7"/>
  <c r="C242" i="7"/>
  <c r="AC241" i="7"/>
  <c r="AD241" i="7" s="1"/>
  <c r="AA241" i="7"/>
  <c r="W241" i="7"/>
  <c r="X241" i="7" s="1"/>
  <c r="U241" i="7"/>
  <c r="R241" i="7"/>
  <c r="O241" i="7"/>
  <c r="N241" i="7"/>
  <c r="L241" i="7"/>
  <c r="H241" i="7"/>
  <c r="I241" i="7" s="1"/>
  <c r="F241" i="7"/>
  <c r="C241" i="7"/>
  <c r="AC240" i="7"/>
  <c r="AD240" i="7" s="1"/>
  <c r="AA240" i="7"/>
  <c r="X240" i="7"/>
  <c r="W240" i="7"/>
  <c r="U240" i="7"/>
  <c r="R240" i="7"/>
  <c r="O240" i="7"/>
  <c r="N240" i="7"/>
  <c r="L240" i="7"/>
  <c r="H240" i="7"/>
  <c r="I240" i="7" s="1"/>
  <c r="F240" i="7"/>
  <c r="C240" i="7"/>
  <c r="AC238" i="7"/>
  <c r="AD238" i="7" s="1"/>
  <c r="AA238" i="7"/>
  <c r="X238" i="7"/>
  <c r="W238" i="7"/>
  <c r="U238" i="7"/>
  <c r="R238" i="7"/>
  <c r="N238" i="7"/>
  <c r="O238" i="7" s="1"/>
  <c r="L238" i="7"/>
  <c r="H238" i="7"/>
  <c r="I238" i="7" s="1"/>
  <c r="F238" i="7"/>
  <c r="C238" i="7"/>
  <c r="AA236" i="7"/>
  <c r="Z236" i="7"/>
  <c r="T236" i="7"/>
  <c r="U236" i="7" s="1"/>
  <c r="Q236" i="7"/>
  <c r="R236" i="7" s="1"/>
  <c r="K236" i="7"/>
  <c r="L236" i="7" s="1"/>
  <c r="H236" i="7"/>
  <c r="I236" i="7" s="1"/>
  <c r="E236" i="7"/>
  <c r="F236" i="7" s="1"/>
  <c r="B236" i="7"/>
  <c r="C236" i="7" s="1"/>
  <c r="AC235" i="7"/>
  <c r="AD235" i="7" s="1"/>
  <c r="AA235" i="7"/>
  <c r="X235" i="7"/>
  <c r="W235" i="7"/>
  <c r="U235" i="7"/>
  <c r="R235" i="7"/>
  <c r="O235" i="7"/>
  <c r="N235" i="7"/>
  <c r="L235" i="7"/>
  <c r="H235" i="7"/>
  <c r="I235" i="7" s="1"/>
  <c r="F235" i="7"/>
  <c r="C235" i="7"/>
  <c r="AD234" i="7"/>
  <c r="AC234" i="7"/>
  <c r="AA234" i="7"/>
  <c r="X234" i="7"/>
  <c r="W234" i="7"/>
  <c r="U234" i="7"/>
  <c r="R234" i="7"/>
  <c r="N234" i="7"/>
  <c r="O234" i="7" s="1"/>
  <c r="L234" i="7"/>
  <c r="H234" i="7"/>
  <c r="I234" i="7" s="1"/>
  <c r="F234" i="7"/>
  <c r="C234" i="7"/>
  <c r="AC233" i="7"/>
  <c r="AD233" i="7" s="1"/>
  <c r="AA233" i="7"/>
  <c r="X233" i="7"/>
  <c r="W233" i="7"/>
  <c r="U233" i="7"/>
  <c r="R233" i="7"/>
  <c r="O233" i="7"/>
  <c r="N233" i="7"/>
  <c r="L233" i="7"/>
  <c r="I233" i="7"/>
  <c r="H233" i="7"/>
  <c r="F233" i="7"/>
  <c r="C233" i="7"/>
  <c r="AC232" i="7"/>
  <c r="AD232" i="7" s="1"/>
  <c r="AA232" i="7"/>
  <c r="W232" i="7"/>
  <c r="X232" i="7" s="1"/>
  <c r="U232" i="7"/>
  <c r="R232" i="7"/>
  <c r="O232" i="7"/>
  <c r="N232" i="7"/>
  <c r="L232" i="7"/>
  <c r="H232" i="7"/>
  <c r="I232" i="7" s="1"/>
  <c r="F232" i="7"/>
  <c r="C232" i="7"/>
  <c r="AC231" i="7"/>
  <c r="AD231" i="7" s="1"/>
  <c r="AA231" i="7"/>
  <c r="X231" i="7"/>
  <c r="W231" i="7"/>
  <c r="U231" i="7"/>
  <c r="R231" i="7"/>
  <c r="O231" i="7"/>
  <c r="N231" i="7"/>
  <c r="L231" i="7"/>
  <c r="H231" i="7"/>
  <c r="I231" i="7" s="1"/>
  <c r="F231" i="7"/>
  <c r="C231" i="7"/>
  <c r="AD230" i="7"/>
  <c r="AC230" i="7"/>
  <c r="AA230" i="7"/>
  <c r="X230" i="7"/>
  <c r="W230" i="7"/>
  <c r="U230" i="7"/>
  <c r="R230" i="7"/>
  <c r="N230" i="7"/>
  <c r="O230" i="7" s="1"/>
  <c r="L230" i="7"/>
  <c r="H230" i="7"/>
  <c r="I230" i="7" s="1"/>
  <c r="F230" i="7"/>
  <c r="C230" i="7"/>
  <c r="AC229" i="7"/>
  <c r="AD229" i="7" s="1"/>
  <c r="AA229" i="7"/>
  <c r="X229" i="7"/>
  <c r="W229" i="7"/>
  <c r="U229" i="7"/>
  <c r="R229" i="7"/>
  <c r="O229" i="7"/>
  <c r="N229" i="7"/>
  <c r="L229" i="7"/>
  <c r="I229" i="7"/>
  <c r="H229" i="7"/>
  <c r="F229" i="7"/>
  <c r="C229" i="7"/>
  <c r="Z227" i="7"/>
  <c r="AA227" i="7" s="1"/>
  <c r="T227" i="7"/>
  <c r="U227" i="7" s="1"/>
  <c r="Q227" i="7"/>
  <c r="K227" i="7"/>
  <c r="L227" i="7" s="1"/>
  <c r="H227" i="7"/>
  <c r="I227" i="7" s="1"/>
  <c r="E227" i="7"/>
  <c r="F227" i="7" s="1"/>
  <c r="B227" i="7"/>
  <c r="C227" i="7" s="1"/>
  <c r="AC226" i="7"/>
  <c r="AD226" i="7" s="1"/>
  <c r="AA226" i="7"/>
  <c r="X226" i="7"/>
  <c r="W226" i="7"/>
  <c r="U226" i="7"/>
  <c r="R226" i="7"/>
  <c r="N226" i="7"/>
  <c r="O226" i="7" s="1"/>
  <c r="L226" i="7"/>
  <c r="H226" i="7"/>
  <c r="I226" i="7" s="1"/>
  <c r="F226" i="7"/>
  <c r="C226" i="7"/>
  <c r="AC225" i="7"/>
  <c r="AD225" i="7" s="1"/>
  <c r="AA225" i="7"/>
  <c r="X225" i="7"/>
  <c r="W225" i="7"/>
  <c r="U225" i="7"/>
  <c r="R225" i="7"/>
  <c r="O225" i="7"/>
  <c r="N225" i="7"/>
  <c r="L225" i="7"/>
  <c r="I225" i="7"/>
  <c r="H225" i="7"/>
  <c r="F225" i="7"/>
  <c r="C225" i="7"/>
  <c r="AC224" i="7"/>
  <c r="AD224" i="7" s="1"/>
  <c r="AA224" i="7"/>
  <c r="W224" i="7"/>
  <c r="X224" i="7" s="1"/>
  <c r="U224" i="7"/>
  <c r="R224" i="7"/>
  <c r="O224" i="7"/>
  <c r="N224" i="7"/>
  <c r="L224" i="7"/>
  <c r="H224" i="7"/>
  <c r="I224" i="7" s="1"/>
  <c r="F224" i="7"/>
  <c r="C224" i="7"/>
  <c r="AC223" i="7"/>
  <c r="AD223" i="7" s="1"/>
  <c r="AA223" i="7"/>
  <c r="X223" i="7"/>
  <c r="W223" i="7"/>
  <c r="U223" i="7"/>
  <c r="R223" i="7"/>
  <c r="O223" i="7"/>
  <c r="N223" i="7"/>
  <c r="L223" i="7"/>
  <c r="H223" i="7"/>
  <c r="I223" i="7" s="1"/>
  <c r="F223" i="7"/>
  <c r="C223" i="7"/>
  <c r="AC222" i="7"/>
  <c r="AD222" i="7" s="1"/>
  <c r="AA222" i="7"/>
  <c r="X222" i="7"/>
  <c r="W222" i="7"/>
  <c r="U222" i="7"/>
  <c r="R222" i="7"/>
  <c r="N222" i="7"/>
  <c r="O222" i="7" s="1"/>
  <c r="L222" i="7"/>
  <c r="H222" i="7"/>
  <c r="I222" i="7" s="1"/>
  <c r="F222" i="7"/>
  <c r="C222" i="7"/>
  <c r="AC221" i="7"/>
  <c r="AD221" i="7" s="1"/>
  <c r="AA221" i="7"/>
  <c r="X221" i="7"/>
  <c r="W221" i="7"/>
  <c r="U221" i="7"/>
  <c r="R221" i="7"/>
  <c r="O221" i="7"/>
  <c r="N221" i="7"/>
  <c r="L221" i="7"/>
  <c r="I221" i="7"/>
  <c r="H221" i="7"/>
  <c r="F221" i="7"/>
  <c r="C221" i="7"/>
  <c r="AC220" i="7"/>
  <c r="AD220" i="7" s="1"/>
  <c r="AA220" i="7"/>
  <c r="W220" i="7"/>
  <c r="X220" i="7" s="1"/>
  <c r="U220" i="7"/>
  <c r="R220" i="7"/>
  <c r="O220" i="7"/>
  <c r="N220" i="7"/>
  <c r="L220" i="7"/>
  <c r="H220" i="7"/>
  <c r="I220" i="7" s="1"/>
  <c r="F220" i="7"/>
  <c r="C220" i="7"/>
  <c r="AC219" i="7"/>
  <c r="AD219" i="7" s="1"/>
  <c r="AA219" i="7"/>
  <c r="X219" i="7"/>
  <c r="W219" i="7"/>
  <c r="U219" i="7"/>
  <c r="R219" i="7"/>
  <c r="O219" i="7"/>
  <c r="N219" i="7"/>
  <c r="L219" i="7"/>
  <c r="H219" i="7"/>
  <c r="I219" i="7" s="1"/>
  <c r="F219" i="7"/>
  <c r="C219" i="7"/>
  <c r="Z218" i="7"/>
  <c r="AA218" i="7" s="1"/>
  <c r="W218" i="7"/>
  <c r="X218" i="7" s="1"/>
  <c r="T218" i="7"/>
  <c r="U218" i="7" s="1"/>
  <c r="R218" i="7"/>
  <c r="Q218" i="7"/>
  <c r="K218" i="7"/>
  <c r="L218" i="7" s="1"/>
  <c r="F218" i="7"/>
  <c r="E218" i="7"/>
  <c r="B218" i="7"/>
  <c r="AC217" i="7"/>
  <c r="AD217" i="7" s="1"/>
  <c r="AA217" i="7"/>
  <c r="W217" i="7"/>
  <c r="X217" i="7" s="1"/>
  <c r="U217" i="7"/>
  <c r="R217" i="7"/>
  <c r="O217" i="7"/>
  <c r="N217" i="7"/>
  <c r="L217" i="7"/>
  <c r="H217" i="7"/>
  <c r="I217" i="7" s="1"/>
  <c r="F217" i="7"/>
  <c r="C217" i="7"/>
  <c r="AC216" i="7"/>
  <c r="AD216" i="7" s="1"/>
  <c r="AA216" i="7"/>
  <c r="X216" i="7"/>
  <c r="W216" i="7"/>
  <c r="U216" i="7"/>
  <c r="R216" i="7"/>
  <c r="O216" i="7"/>
  <c r="N216" i="7"/>
  <c r="L216" i="7"/>
  <c r="H216" i="7"/>
  <c r="I216" i="7" s="1"/>
  <c r="F216" i="7"/>
  <c r="C216" i="7"/>
  <c r="AC215" i="7"/>
  <c r="AD215" i="7" s="1"/>
  <c r="AA215" i="7"/>
  <c r="X215" i="7"/>
  <c r="W215" i="7"/>
  <c r="U215" i="7"/>
  <c r="R215" i="7"/>
  <c r="N215" i="7"/>
  <c r="O215" i="7" s="1"/>
  <c r="L215" i="7"/>
  <c r="H215" i="7"/>
  <c r="I215" i="7" s="1"/>
  <c r="F215" i="7"/>
  <c r="C215" i="7"/>
  <c r="AC214" i="7"/>
  <c r="AD214" i="7" s="1"/>
  <c r="AA214" i="7"/>
  <c r="X214" i="7"/>
  <c r="W214" i="7"/>
  <c r="U214" i="7"/>
  <c r="R214" i="7"/>
  <c r="O214" i="7"/>
  <c r="N214" i="7"/>
  <c r="L214" i="7"/>
  <c r="H214" i="7"/>
  <c r="I214" i="7" s="1"/>
  <c r="F214" i="7"/>
  <c r="C214" i="7"/>
  <c r="AC213" i="7"/>
  <c r="AD213" i="7" s="1"/>
  <c r="AA213" i="7"/>
  <c r="W213" i="7"/>
  <c r="X213" i="7" s="1"/>
  <c r="U213" i="7"/>
  <c r="R213" i="7"/>
  <c r="O213" i="7"/>
  <c r="N213" i="7"/>
  <c r="L213" i="7"/>
  <c r="H213" i="7"/>
  <c r="I213" i="7" s="1"/>
  <c r="F213" i="7"/>
  <c r="C213" i="7"/>
  <c r="AC211" i="7"/>
  <c r="AD211" i="7" s="1"/>
  <c r="AA211" i="7"/>
  <c r="X211" i="7"/>
  <c r="W211" i="7"/>
  <c r="U211" i="7"/>
  <c r="R211" i="7"/>
  <c r="O211" i="7"/>
  <c r="N211" i="7"/>
  <c r="L211" i="7"/>
  <c r="H211" i="7"/>
  <c r="I211" i="7" s="1"/>
  <c r="F211" i="7"/>
  <c r="C211" i="7"/>
  <c r="Z209" i="7"/>
  <c r="AA209" i="7" s="1"/>
  <c r="T209" i="7"/>
  <c r="U209" i="7" s="1"/>
  <c r="Q209" i="7"/>
  <c r="K209" i="7"/>
  <c r="L209" i="7" s="1"/>
  <c r="F209" i="7"/>
  <c r="E209" i="7"/>
  <c r="B209" i="7"/>
  <c r="AC208" i="7"/>
  <c r="AD208" i="7" s="1"/>
  <c r="AA208" i="7"/>
  <c r="W208" i="7"/>
  <c r="X208" i="7" s="1"/>
  <c r="U208" i="7"/>
  <c r="R208" i="7"/>
  <c r="O208" i="7"/>
  <c r="N208" i="7"/>
  <c r="L208" i="7"/>
  <c r="H208" i="7"/>
  <c r="I208" i="7" s="1"/>
  <c r="F208" i="7"/>
  <c r="C208" i="7"/>
  <c r="AC207" i="7"/>
  <c r="AD207" i="7" s="1"/>
  <c r="AA207" i="7"/>
  <c r="X207" i="7"/>
  <c r="W207" i="7"/>
  <c r="U207" i="7"/>
  <c r="R207" i="7"/>
  <c r="O207" i="7"/>
  <c r="N207" i="7"/>
  <c r="L207" i="7"/>
  <c r="H207" i="7"/>
  <c r="I207" i="7" s="1"/>
  <c r="F207" i="7"/>
  <c r="C207" i="7"/>
  <c r="AC206" i="7"/>
  <c r="AD206" i="7" s="1"/>
  <c r="AA206" i="7"/>
  <c r="X206" i="7"/>
  <c r="W206" i="7"/>
  <c r="U206" i="7"/>
  <c r="R206" i="7"/>
  <c r="N206" i="7"/>
  <c r="O206" i="7" s="1"/>
  <c r="L206" i="7"/>
  <c r="H206" i="7"/>
  <c r="I206" i="7" s="1"/>
  <c r="F206" i="7"/>
  <c r="C206" i="7"/>
  <c r="AC205" i="7"/>
  <c r="AD205" i="7" s="1"/>
  <c r="AA205" i="7"/>
  <c r="X205" i="7"/>
  <c r="W205" i="7"/>
  <c r="U205" i="7"/>
  <c r="R205" i="7"/>
  <c r="O205" i="7"/>
  <c r="N205" i="7"/>
  <c r="L205" i="7"/>
  <c r="H205" i="7"/>
  <c r="I205" i="7" s="1"/>
  <c r="F205" i="7"/>
  <c r="C205" i="7"/>
  <c r="AC204" i="7"/>
  <c r="AD204" i="7" s="1"/>
  <c r="AA204" i="7"/>
  <c r="W204" i="7"/>
  <c r="X204" i="7" s="1"/>
  <c r="U204" i="7"/>
  <c r="R204" i="7"/>
  <c r="O204" i="7"/>
  <c r="N204" i="7"/>
  <c r="L204" i="7"/>
  <c r="H204" i="7"/>
  <c r="I204" i="7" s="1"/>
  <c r="F204" i="7"/>
  <c r="C204" i="7"/>
  <c r="AC203" i="7"/>
  <c r="AD203" i="7" s="1"/>
  <c r="AA203" i="7"/>
  <c r="X203" i="7"/>
  <c r="W203" i="7"/>
  <c r="U203" i="7"/>
  <c r="R203" i="7"/>
  <c r="O203" i="7"/>
  <c r="N203" i="7"/>
  <c r="L203" i="7"/>
  <c r="H203" i="7"/>
  <c r="I203" i="7" s="1"/>
  <c r="F203" i="7"/>
  <c r="C203" i="7"/>
  <c r="AD202" i="7"/>
  <c r="AC202" i="7"/>
  <c r="AA202" i="7"/>
  <c r="X202" i="7"/>
  <c r="W202" i="7"/>
  <c r="U202" i="7"/>
  <c r="R202" i="7"/>
  <c r="N202" i="7"/>
  <c r="O202" i="7" s="1"/>
  <c r="L202" i="7"/>
  <c r="H202" i="7"/>
  <c r="I202" i="7" s="1"/>
  <c r="F202" i="7"/>
  <c r="C202" i="7"/>
  <c r="AC201" i="7"/>
  <c r="AD201" i="7" s="1"/>
  <c r="AA201" i="7"/>
  <c r="X201" i="7"/>
  <c r="W201" i="7"/>
  <c r="U201" i="7"/>
  <c r="R201" i="7"/>
  <c r="O201" i="7"/>
  <c r="N201" i="7"/>
  <c r="L201" i="7"/>
  <c r="I201" i="7"/>
  <c r="H201" i="7"/>
  <c r="F201" i="7"/>
  <c r="C201" i="7"/>
  <c r="Z197" i="7"/>
  <c r="AA197" i="7" s="1"/>
  <c r="T197" i="7"/>
  <c r="U197" i="7" s="1"/>
  <c r="R197" i="7"/>
  <c r="Q197" i="7"/>
  <c r="L197" i="7"/>
  <c r="K197" i="7"/>
  <c r="F197" i="7"/>
  <c r="E197" i="7"/>
  <c r="B197" i="7"/>
  <c r="N197" i="7" s="1"/>
  <c r="O197" i="7" s="1"/>
  <c r="AD196" i="7"/>
  <c r="AC196" i="7"/>
  <c r="Z196" i="7"/>
  <c r="AA196" i="7" s="1"/>
  <c r="T196" i="7"/>
  <c r="U196" i="7" s="1"/>
  <c r="Q196" i="7"/>
  <c r="K196" i="7"/>
  <c r="L196" i="7" s="1"/>
  <c r="H196" i="7"/>
  <c r="I196" i="7" s="1"/>
  <c r="F196" i="7"/>
  <c r="E196" i="7"/>
  <c r="B196" i="7"/>
  <c r="C196" i="7" s="1"/>
  <c r="AC195" i="7"/>
  <c r="AD195" i="7" s="1"/>
  <c r="AA195" i="7"/>
  <c r="W195" i="7"/>
  <c r="X195" i="7" s="1"/>
  <c r="U195" i="7"/>
  <c r="R195" i="7"/>
  <c r="N195" i="7"/>
  <c r="O195" i="7" s="1"/>
  <c r="L195" i="7"/>
  <c r="H195" i="7"/>
  <c r="I195" i="7" s="1"/>
  <c r="F195" i="7"/>
  <c r="C195" i="7"/>
  <c r="AC194" i="7"/>
  <c r="AD194" i="7" s="1"/>
  <c r="AA194" i="7"/>
  <c r="X194" i="7"/>
  <c r="W194" i="7"/>
  <c r="U194" i="7"/>
  <c r="R194" i="7"/>
  <c r="O194" i="7"/>
  <c r="N194" i="7"/>
  <c r="L194" i="7"/>
  <c r="I194" i="7"/>
  <c r="H194" i="7"/>
  <c r="F194" i="7"/>
  <c r="C194" i="7"/>
  <c r="AD193" i="7"/>
  <c r="AC193" i="7"/>
  <c r="Z193" i="7"/>
  <c r="AA193" i="7" s="1"/>
  <c r="X193" i="7"/>
  <c r="W193" i="7"/>
  <c r="T193" i="7"/>
  <c r="U193" i="7" s="1"/>
  <c r="R193" i="7"/>
  <c r="Q193" i="7"/>
  <c r="L193" i="7"/>
  <c r="K193" i="7"/>
  <c r="H193" i="7"/>
  <c r="I193" i="7" s="1"/>
  <c r="F193" i="7"/>
  <c r="E193" i="7"/>
  <c r="B193" i="7"/>
  <c r="C193" i="7" s="1"/>
  <c r="AD192" i="7"/>
  <c r="AC192" i="7"/>
  <c r="AA192" i="7"/>
  <c r="W192" i="7"/>
  <c r="X192" i="7" s="1"/>
  <c r="U192" i="7"/>
  <c r="R192" i="7"/>
  <c r="N192" i="7"/>
  <c r="O192" i="7" s="1"/>
  <c r="L192" i="7"/>
  <c r="H192" i="7"/>
  <c r="I192" i="7" s="1"/>
  <c r="F192" i="7"/>
  <c r="C192" i="7"/>
  <c r="AC191" i="7"/>
  <c r="AD191" i="7" s="1"/>
  <c r="AA191" i="7"/>
  <c r="X191" i="7"/>
  <c r="W191" i="7"/>
  <c r="U191" i="7"/>
  <c r="R191" i="7"/>
  <c r="O191" i="7"/>
  <c r="N191" i="7"/>
  <c r="L191" i="7"/>
  <c r="I191" i="7"/>
  <c r="H191" i="7"/>
  <c r="F191" i="7"/>
  <c r="C191" i="7"/>
  <c r="AC190" i="7"/>
  <c r="AD190" i="7" s="1"/>
  <c r="AA190" i="7"/>
  <c r="W190" i="7"/>
  <c r="X190" i="7" s="1"/>
  <c r="U190" i="7"/>
  <c r="R190" i="7"/>
  <c r="N190" i="7"/>
  <c r="O190" i="7" s="1"/>
  <c r="L190" i="7"/>
  <c r="H190" i="7"/>
  <c r="I190" i="7" s="1"/>
  <c r="F190" i="7"/>
  <c r="C190" i="7"/>
  <c r="AC189" i="7"/>
  <c r="AD189" i="7" s="1"/>
  <c r="AA189" i="7"/>
  <c r="X189" i="7"/>
  <c r="W189" i="7"/>
  <c r="U189" i="7"/>
  <c r="R189" i="7"/>
  <c r="O189" i="7"/>
  <c r="N189" i="7"/>
  <c r="L189" i="7"/>
  <c r="I189" i="7"/>
  <c r="H189" i="7"/>
  <c r="F189" i="7"/>
  <c r="C189" i="7"/>
  <c r="AC188" i="7"/>
  <c r="AD188" i="7" s="1"/>
  <c r="AA188" i="7"/>
  <c r="X188" i="7"/>
  <c r="W188" i="7"/>
  <c r="U188" i="7"/>
  <c r="R188" i="7"/>
  <c r="N188" i="7"/>
  <c r="O188" i="7" s="1"/>
  <c r="L188" i="7"/>
  <c r="H188" i="7"/>
  <c r="I188" i="7" s="1"/>
  <c r="F188" i="7"/>
  <c r="C188" i="7"/>
  <c r="AC187" i="7"/>
  <c r="AD187" i="7" s="1"/>
  <c r="AA187" i="7"/>
  <c r="W187" i="7"/>
  <c r="X187" i="7" s="1"/>
  <c r="U187" i="7"/>
  <c r="R187" i="7"/>
  <c r="O187" i="7"/>
  <c r="N187" i="7"/>
  <c r="L187" i="7"/>
  <c r="I187" i="7"/>
  <c r="H187" i="7"/>
  <c r="F187" i="7"/>
  <c r="C187" i="7"/>
  <c r="AC186" i="7"/>
  <c r="AD186" i="7" s="1"/>
  <c r="AA186" i="7"/>
  <c r="W186" i="7"/>
  <c r="X186" i="7" s="1"/>
  <c r="U186" i="7"/>
  <c r="R186" i="7"/>
  <c r="N186" i="7"/>
  <c r="O186" i="7" s="1"/>
  <c r="L186" i="7"/>
  <c r="H186" i="7"/>
  <c r="I186" i="7" s="1"/>
  <c r="F186" i="7"/>
  <c r="C186" i="7"/>
  <c r="AC184" i="7"/>
  <c r="AD184" i="7" s="1"/>
  <c r="AA184" i="7"/>
  <c r="X184" i="7"/>
  <c r="W184" i="7"/>
  <c r="U184" i="7"/>
  <c r="R184" i="7"/>
  <c r="O184" i="7"/>
  <c r="N184" i="7"/>
  <c r="L184" i="7"/>
  <c r="H184" i="7"/>
  <c r="I184" i="7" s="1"/>
  <c r="F184" i="7"/>
  <c r="C184" i="7"/>
  <c r="AC183" i="7"/>
  <c r="AD183" i="7" s="1"/>
  <c r="AA183" i="7"/>
  <c r="W183" i="7"/>
  <c r="X183" i="7" s="1"/>
  <c r="U183" i="7"/>
  <c r="R183" i="7"/>
  <c r="O183" i="7"/>
  <c r="N183" i="7"/>
  <c r="L183" i="7"/>
  <c r="H183" i="7"/>
  <c r="I183" i="7" s="1"/>
  <c r="F183" i="7"/>
  <c r="C183" i="7"/>
  <c r="AC182" i="7"/>
  <c r="AD182" i="7" s="1"/>
  <c r="AA182" i="7"/>
  <c r="Z182" i="7"/>
  <c r="T182" i="7"/>
  <c r="U182" i="7" s="1"/>
  <c r="Q182" i="7"/>
  <c r="K182" i="7"/>
  <c r="L182" i="7" s="1"/>
  <c r="H182" i="7"/>
  <c r="I182" i="7" s="1"/>
  <c r="E182" i="7"/>
  <c r="F182" i="7" s="1"/>
  <c r="C182" i="7"/>
  <c r="B182" i="7"/>
  <c r="N182" i="7" s="1"/>
  <c r="O182" i="7" s="1"/>
  <c r="AD181" i="7"/>
  <c r="AC181" i="7"/>
  <c r="AA181" i="7"/>
  <c r="X181" i="7"/>
  <c r="W181" i="7"/>
  <c r="U181" i="7"/>
  <c r="R181" i="7"/>
  <c r="O181" i="7"/>
  <c r="N181" i="7"/>
  <c r="L181" i="7"/>
  <c r="I181" i="7"/>
  <c r="H181" i="7"/>
  <c r="F181" i="7"/>
  <c r="C181" i="7"/>
  <c r="AD180" i="7"/>
  <c r="AC180" i="7"/>
  <c r="AA180" i="7"/>
  <c r="W180" i="7"/>
  <c r="X180" i="7" s="1"/>
  <c r="U180" i="7"/>
  <c r="R180" i="7"/>
  <c r="N180" i="7"/>
  <c r="O180" i="7" s="1"/>
  <c r="L180" i="7"/>
  <c r="I180" i="7"/>
  <c r="H180" i="7"/>
  <c r="F180" i="7"/>
  <c r="C180" i="7"/>
  <c r="AC179" i="7"/>
  <c r="AD179" i="7" s="1"/>
  <c r="AA179" i="7"/>
  <c r="X179" i="7"/>
  <c r="W179" i="7"/>
  <c r="U179" i="7"/>
  <c r="R179" i="7"/>
  <c r="O179" i="7"/>
  <c r="N179" i="7"/>
  <c r="L179" i="7"/>
  <c r="H179" i="7"/>
  <c r="I179" i="7" s="1"/>
  <c r="F179" i="7"/>
  <c r="C179" i="7"/>
  <c r="AC178" i="7"/>
  <c r="AD178" i="7" s="1"/>
  <c r="AA178" i="7"/>
  <c r="W178" i="7"/>
  <c r="X178" i="7" s="1"/>
  <c r="U178" i="7"/>
  <c r="R178" i="7"/>
  <c r="O178" i="7"/>
  <c r="N178" i="7"/>
  <c r="L178" i="7"/>
  <c r="H178" i="7"/>
  <c r="I178" i="7" s="1"/>
  <c r="F178" i="7"/>
  <c r="C178" i="7"/>
  <c r="AC177" i="7"/>
  <c r="AD177" i="7" s="1"/>
  <c r="AA177" i="7"/>
  <c r="X177" i="7"/>
  <c r="W177" i="7"/>
  <c r="U177" i="7"/>
  <c r="R177" i="7"/>
  <c r="N177" i="7"/>
  <c r="O177" i="7" s="1"/>
  <c r="L177" i="7"/>
  <c r="I177" i="7"/>
  <c r="H177" i="7"/>
  <c r="F177" i="7"/>
  <c r="C177" i="7"/>
  <c r="AC175" i="7"/>
  <c r="AD175" i="7" s="1"/>
  <c r="AA175" i="7"/>
  <c r="X175" i="7"/>
  <c r="W175" i="7"/>
  <c r="U175" i="7"/>
  <c r="R175" i="7"/>
  <c r="N175" i="7"/>
  <c r="O175" i="7" s="1"/>
  <c r="L175" i="7"/>
  <c r="H175" i="7"/>
  <c r="I175" i="7" s="1"/>
  <c r="F175" i="7"/>
  <c r="C175" i="7"/>
  <c r="Z172" i="7"/>
  <c r="Z198" i="7" s="1"/>
  <c r="B172" i="7"/>
  <c r="AA171" i="7"/>
  <c r="Z171" i="7"/>
  <c r="T171" i="7"/>
  <c r="U171" i="7" s="1"/>
  <c r="Q171" i="7"/>
  <c r="W171" i="7" s="1"/>
  <c r="X171" i="7" s="1"/>
  <c r="L171" i="7"/>
  <c r="K171" i="7"/>
  <c r="E171" i="7"/>
  <c r="H171" i="7" s="1"/>
  <c r="I171" i="7" s="1"/>
  <c r="C171" i="7"/>
  <c r="B171" i="7"/>
  <c r="N171" i="7" s="1"/>
  <c r="O171" i="7" s="1"/>
  <c r="AA170" i="7"/>
  <c r="Z170" i="7"/>
  <c r="W170" i="7"/>
  <c r="X170" i="7" s="1"/>
  <c r="U170" i="7"/>
  <c r="T170" i="7"/>
  <c r="R170" i="7"/>
  <c r="Q170" i="7"/>
  <c r="AC170" i="7" s="1"/>
  <c r="AD170" i="7" s="1"/>
  <c r="K170" i="7"/>
  <c r="L170" i="7" s="1"/>
  <c r="F170" i="7"/>
  <c r="E170" i="7"/>
  <c r="B170" i="7"/>
  <c r="H170" i="7" s="1"/>
  <c r="I170" i="7" s="1"/>
  <c r="AD169" i="7"/>
  <c r="AC169" i="7"/>
  <c r="AA169" i="7"/>
  <c r="W169" i="7"/>
  <c r="X169" i="7" s="1"/>
  <c r="U169" i="7"/>
  <c r="R169" i="7"/>
  <c r="N169" i="7"/>
  <c r="O169" i="7" s="1"/>
  <c r="L169" i="7"/>
  <c r="I169" i="7"/>
  <c r="H169" i="7"/>
  <c r="F169" i="7"/>
  <c r="C169" i="7"/>
  <c r="AD168" i="7"/>
  <c r="AC168" i="7"/>
  <c r="AA168" i="7"/>
  <c r="X168" i="7"/>
  <c r="W168" i="7"/>
  <c r="U168" i="7"/>
  <c r="R168" i="7"/>
  <c r="N168" i="7"/>
  <c r="O168" i="7" s="1"/>
  <c r="L168" i="7"/>
  <c r="H168" i="7"/>
  <c r="I168" i="7" s="1"/>
  <c r="F168" i="7"/>
  <c r="C168" i="7"/>
  <c r="AD167" i="7"/>
  <c r="AC167" i="7"/>
  <c r="AA167" i="7"/>
  <c r="X167" i="7"/>
  <c r="W167" i="7"/>
  <c r="U167" i="7"/>
  <c r="R167" i="7"/>
  <c r="N167" i="7"/>
  <c r="O167" i="7" s="1"/>
  <c r="L167" i="7"/>
  <c r="I167" i="7"/>
  <c r="H167" i="7"/>
  <c r="F167" i="7"/>
  <c r="C167" i="7"/>
  <c r="AA166" i="7"/>
  <c r="Z166" i="7"/>
  <c r="U166" i="7"/>
  <c r="T166" i="7"/>
  <c r="W166" i="7" s="1"/>
  <c r="X166" i="7" s="1"/>
  <c r="R166" i="7"/>
  <c r="Q166" i="7"/>
  <c r="AC166" i="7" s="1"/>
  <c r="AD166" i="7" s="1"/>
  <c r="L166" i="7"/>
  <c r="K166" i="7"/>
  <c r="H166" i="7"/>
  <c r="I166" i="7" s="1"/>
  <c r="F166" i="7"/>
  <c r="E166" i="7"/>
  <c r="C166" i="7"/>
  <c r="B166" i="7"/>
  <c r="N166" i="7" s="1"/>
  <c r="O166" i="7" s="1"/>
  <c r="AD165" i="7"/>
  <c r="AC165" i="7"/>
  <c r="AA165" i="7"/>
  <c r="X165" i="7"/>
  <c r="W165" i="7"/>
  <c r="U165" i="7"/>
  <c r="R165" i="7"/>
  <c r="N165" i="7"/>
  <c r="O165" i="7" s="1"/>
  <c r="L165" i="7"/>
  <c r="I165" i="7"/>
  <c r="H165" i="7"/>
  <c r="F165" i="7"/>
  <c r="C165" i="7"/>
  <c r="AD164" i="7"/>
  <c r="AC164" i="7"/>
  <c r="AA164" i="7"/>
  <c r="X164" i="7"/>
  <c r="W164" i="7"/>
  <c r="U164" i="7"/>
  <c r="R164" i="7"/>
  <c r="N164" i="7"/>
  <c r="O164" i="7" s="1"/>
  <c r="L164" i="7"/>
  <c r="I164" i="7"/>
  <c r="H164" i="7"/>
  <c r="F164" i="7"/>
  <c r="C164" i="7"/>
  <c r="AD163" i="7"/>
  <c r="AC163" i="7"/>
  <c r="AA163" i="7"/>
  <c r="W163" i="7"/>
  <c r="X163" i="7" s="1"/>
  <c r="U163" i="7"/>
  <c r="R163" i="7"/>
  <c r="O163" i="7"/>
  <c r="N163" i="7"/>
  <c r="L163" i="7"/>
  <c r="I163" i="7"/>
  <c r="H163" i="7"/>
  <c r="F163" i="7"/>
  <c r="C163" i="7"/>
  <c r="AC162" i="7"/>
  <c r="AD162" i="7" s="1"/>
  <c r="AA162" i="7"/>
  <c r="W162" i="7"/>
  <c r="X162" i="7" s="1"/>
  <c r="U162" i="7"/>
  <c r="R162" i="7"/>
  <c r="N162" i="7"/>
  <c r="O162" i="7" s="1"/>
  <c r="L162" i="7"/>
  <c r="I162" i="7"/>
  <c r="H162" i="7"/>
  <c r="F162" i="7"/>
  <c r="C162" i="7"/>
  <c r="AD161" i="7"/>
  <c r="AC161" i="7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D160" i="7"/>
  <c r="AC160" i="7"/>
  <c r="AA160" i="7"/>
  <c r="W160" i="7"/>
  <c r="X160" i="7" s="1"/>
  <c r="U160" i="7"/>
  <c r="R160" i="7"/>
  <c r="N160" i="7"/>
  <c r="O160" i="7" s="1"/>
  <c r="L160" i="7"/>
  <c r="H160" i="7"/>
  <c r="I160" i="7" s="1"/>
  <c r="F160" i="7"/>
  <c r="C160" i="7"/>
  <c r="AA158" i="7"/>
  <c r="Z158" i="7"/>
  <c r="T158" i="7"/>
  <c r="W158" i="7" s="1"/>
  <c r="X158" i="7" s="1"/>
  <c r="R158" i="7"/>
  <c r="Q158" i="7"/>
  <c r="AC158" i="7" s="1"/>
  <c r="AD158" i="7" s="1"/>
  <c r="K158" i="7"/>
  <c r="L158" i="7" s="1"/>
  <c r="I158" i="7"/>
  <c r="H158" i="7"/>
  <c r="F158" i="7"/>
  <c r="E158" i="7"/>
  <c r="C158" i="7"/>
  <c r="B158" i="7"/>
  <c r="AC157" i="7"/>
  <c r="AD157" i="7" s="1"/>
  <c r="AA157" i="7"/>
  <c r="W157" i="7"/>
  <c r="X157" i="7" s="1"/>
  <c r="U157" i="7"/>
  <c r="R157" i="7"/>
  <c r="N157" i="7"/>
  <c r="O157" i="7" s="1"/>
  <c r="L157" i="7"/>
  <c r="I157" i="7"/>
  <c r="H157" i="7"/>
  <c r="F157" i="7"/>
  <c r="C157" i="7"/>
  <c r="AD156" i="7"/>
  <c r="AC156" i="7"/>
  <c r="AA156" i="7"/>
  <c r="W156" i="7"/>
  <c r="X156" i="7" s="1"/>
  <c r="U156" i="7"/>
  <c r="R156" i="7"/>
  <c r="N156" i="7"/>
  <c r="O156" i="7" s="1"/>
  <c r="L156" i="7"/>
  <c r="H156" i="7"/>
  <c r="I156" i="7" s="1"/>
  <c r="F156" i="7"/>
  <c r="C156" i="7"/>
  <c r="AD155" i="7"/>
  <c r="AC155" i="7"/>
  <c r="AA155" i="7"/>
  <c r="W155" i="7"/>
  <c r="X155" i="7" s="1"/>
  <c r="U155" i="7"/>
  <c r="R155" i="7"/>
  <c r="N155" i="7"/>
  <c r="O155" i="7" s="1"/>
  <c r="L155" i="7"/>
  <c r="I155" i="7"/>
  <c r="H155" i="7"/>
  <c r="F155" i="7"/>
  <c r="C155" i="7"/>
  <c r="AD154" i="7"/>
  <c r="AC154" i="7"/>
  <c r="AA154" i="7"/>
  <c r="W154" i="7"/>
  <c r="X154" i="7" s="1"/>
  <c r="U154" i="7"/>
  <c r="R154" i="7"/>
  <c r="N154" i="7"/>
  <c r="O154" i="7" s="1"/>
  <c r="L154" i="7"/>
  <c r="I154" i="7"/>
  <c r="H154" i="7"/>
  <c r="F154" i="7"/>
  <c r="C154" i="7"/>
  <c r="AC153" i="7"/>
  <c r="AD153" i="7" s="1"/>
  <c r="AA153" i="7"/>
  <c r="X153" i="7"/>
  <c r="W153" i="7"/>
  <c r="U153" i="7"/>
  <c r="R153" i="7"/>
  <c r="N153" i="7"/>
  <c r="O153" i="7" s="1"/>
  <c r="L153" i="7"/>
  <c r="H153" i="7"/>
  <c r="I153" i="7" s="1"/>
  <c r="F153" i="7"/>
  <c r="C153" i="7"/>
  <c r="AD151" i="7"/>
  <c r="AC151" i="7"/>
  <c r="AA151" i="7"/>
  <c r="W151" i="7"/>
  <c r="X151" i="7" s="1"/>
  <c r="U151" i="7"/>
  <c r="R151" i="7"/>
  <c r="N151" i="7"/>
  <c r="O151" i="7" s="1"/>
  <c r="L151" i="7"/>
  <c r="I151" i="7"/>
  <c r="H151" i="7"/>
  <c r="F151" i="7"/>
  <c r="C151" i="7"/>
  <c r="AA149" i="7"/>
  <c r="Z149" i="7"/>
  <c r="T149" i="7"/>
  <c r="W149" i="7" s="1"/>
  <c r="X149" i="7" s="1"/>
  <c r="R149" i="7"/>
  <c r="Q149" i="7"/>
  <c r="AC149" i="7" s="1"/>
  <c r="AD149" i="7" s="1"/>
  <c r="L149" i="7"/>
  <c r="K149" i="7"/>
  <c r="I149" i="7"/>
  <c r="H149" i="7"/>
  <c r="F149" i="7"/>
  <c r="E149" i="7"/>
  <c r="C149" i="7"/>
  <c r="B149" i="7"/>
  <c r="N149" i="7" s="1"/>
  <c r="O149" i="7" s="1"/>
  <c r="AA148" i="7"/>
  <c r="Z148" i="7"/>
  <c r="U148" i="7"/>
  <c r="T148" i="7"/>
  <c r="Q148" i="7"/>
  <c r="W148" i="7" s="1"/>
  <c r="X148" i="7" s="1"/>
  <c r="N148" i="7"/>
  <c r="O148" i="7" s="1"/>
  <c r="L148" i="7"/>
  <c r="K148" i="7"/>
  <c r="E148" i="7"/>
  <c r="F148" i="7" s="1"/>
  <c r="B148" i="7"/>
  <c r="H148" i="7" s="1"/>
  <c r="I148" i="7" s="1"/>
  <c r="AD147" i="7"/>
  <c r="AC147" i="7"/>
  <c r="AA147" i="7"/>
  <c r="W147" i="7"/>
  <c r="X147" i="7" s="1"/>
  <c r="U147" i="7"/>
  <c r="R147" i="7"/>
  <c r="N147" i="7"/>
  <c r="O147" i="7" s="1"/>
  <c r="L147" i="7"/>
  <c r="I147" i="7"/>
  <c r="H147" i="7"/>
  <c r="F147" i="7"/>
  <c r="C147" i="7"/>
  <c r="AC146" i="7"/>
  <c r="AD146" i="7" s="1"/>
  <c r="AA146" i="7"/>
  <c r="W146" i="7"/>
  <c r="X146" i="7" s="1"/>
  <c r="U146" i="7"/>
  <c r="R146" i="7"/>
  <c r="N146" i="7"/>
  <c r="O146" i="7" s="1"/>
  <c r="L146" i="7"/>
  <c r="I146" i="7"/>
  <c r="H146" i="7"/>
  <c r="F146" i="7"/>
  <c r="C146" i="7"/>
  <c r="AD145" i="7"/>
  <c r="AC145" i="7"/>
  <c r="AA145" i="7"/>
  <c r="W145" i="7"/>
  <c r="X145" i="7" s="1"/>
  <c r="U145" i="7"/>
  <c r="R145" i="7"/>
  <c r="N145" i="7"/>
  <c r="O145" i="7" s="1"/>
  <c r="L145" i="7"/>
  <c r="H145" i="7"/>
  <c r="I145" i="7" s="1"/>
  <c r="F145" i="7"/>
  <c r="C145" i="7"/>
  <c r="AD144" i="7"/>
  <c r="AC144" i="7"/>
  <c r="AA144" i="7"/>
  <c r="X144" i="7"/>
  <c r="W144" i="7"/>
  <c r="U144" i="7"/>
  <c r="R144" i="7"/>
  <c r="N144" i="7"/>
  <c r="O144" i="7" s="1"/>
  <c r="L144" i="7"/>
  <c r="H144" i="7"/>
  <c r="I144" i="7" s="1"/>
  <c r="F144" i="7"/>
  <c r="C144" i="7"/>
  <c r="AD143" i="7"/>
  <c r="AC143" i="7"/>
  <c r="AA143" i="7"/>
  <c r="W143" i="7"/>
  <c r="X143" i="7" s="1"/>
  <c r="U143" i="7"/>
  <c r="R143" i="7"/>
  <c r="O143" i="7"/>
  <c r="N143" i="7"/>
  <c r="L143" i="7"/>
  <c r="I143" i="7"/>
  <c r="H143" i="7"/>
  <c r="F143" i="7"/>
  <c r="C143" i="7"/>
  <c r="AA141" i="7"/>
  <c r="Z141" i="7"/>
  <c r="T141" i="7"/>
  <c r="U141" i="7" s="1"/>
  <c r="R141" i="7"/>
  <c r="Q141" i="7"/>
  <c r="L141" i="7"/>
  <c r="K141" i="7"/>
  <c r="E141" i="7"/>
  <c r="H141" i="7" s="1"/>
  <c r="I141" i="7" s="1"/>
  <c r="C141" i="7"/>
  <c r="B141" i="7"/>
  <c r="N141" i="7" s="1"/>
  <c r="O141" i="7" s="1"/>
  <c r="AD140" i="7"/>
  <c r="AC140" i="7"/>
  <c r="AA140" i="7"/>
  <c r="W140" i="7"/>
  <c r="X140" i="7" s="1"/>
  <c r="U140" i="7"/>
  <c r="R140" i="7"/>
  <c r="N140" i="7"/>
  <c r="O140" i="7" s="1"/>
  <c r="L140" i="7"/>
  <c r="H140" i="7"/>
  <c r="I140" i="7" s="1"/>
  <c r="F140" i="7"/>
  <c r="C140" i="7"/>
  <c r="AD139" i="7"/>
  <c r="AC139" i="7"/>
  <c r="AA139" i="7"/>
  <c r="W139" i="7"/>
  <c r="X139" i="7" s="1"/>
  <c r="U139" i="7"/>
  <c r="R139" i="7"/>
  <c r="N139" i="7"/>
  <c r="O139" i="7" s="1"/>
  <c r="L139" i="7"/>
  <c r="I139" i="7"/>
  <c r="H139" i="7"/>
  <c r="F139" i="7"/>
  <c r="C139" i="7"/>
  <c r="AC138" i="7"/>
  <c r="AD138" i="7" s="1"/>
  <c r="AA138" i="7"/>
  <c r="W138" i="7"/>
  <c r="X138" i="7" s="1"/>
  <c r="U138" i="7"/>
  <c r="R138" i="7"/>
  <c r="O138" i="7"/>
  <c r="N138" i="7"/>
  <c r="L138" i="7"/>
  <c r="I138" i="7"/>
  <c r="H138" i="7"/>
  <c r="F138" i="7"/>
  <c r="C138" i="7"/>
  <c r="AD137" i="7"/>
  <c r="AC137" i="7"/>
  <c r="AA137" i="7"/>
  <c r="W137" i="7"/>
  <c r="X137" i="7" s="1"/>
  <c r="U137" i="7"/>
  <c r="R137" i="7"/>
  <c r="N137" i="7"/>
  <c r="O137" i="7" s="1"/>
  <c r="L137" i="7"/>
  <c r="I137" i="7"/>
  <c r="H137" i="7"/>
  <c r="F137" i="7"/>
  <c r="C137" i="7"/>
  <c r="AD136" i="7"/>
  <c r="AC136" i="7"/>
  <c r="AA136" i="7"/>
  <c r="X136" i="7"/>
  <c r="W136" i="7"/>
  <c r="U136" i="7"/>
  <c r="R136" i="7"/>
  <c r="N136" i="7"/>
  <c r="O136" i="7" s="1"/>
  <c r="L136" i="7"/>
  <c r="I136" i="7"/>
  <c r="H136" i="7"/>
  <c r="F136" i="7"/>
  <c r="C136" i="7"/>
  <c r="AD135" i="7"/>
  <c r="AC135" i="7"/>
  <c r="AA135" i="7"/>
  <c r="W135" i="7"/>
  <c r="X135" i="7" s="1"/>
  <c r="U135" i="7"/>
  <c r="R135" i="7"/>
  <c r="O135" i="7"/>
  <c r="N135" i="7"/>
  <c r="L135" i="7"/>
  <c r="I135" i="7"/>
  <c r="H135" i="7"/>
  <c r="F135" i="7"/>
  <c r="C135" i="7"/>
  <c r="AC134" i="7"/>
  <c r="AD134" i="7" s="1"/>
  <c r="AA134" i="7"/>
  <c r="W134" i="7"/>
  <c r="X134" i="7" s="1"/>
  <c r="U134" i="7"/>
  <c r="R134" i="7"/>
  <c r="N134" i="7"/>
  <c r="O134" i="7" s="1"/>
  <c r="L134" i="7"/>
  <c r="I134" i="7"/>
  <c r="H134" i="7"/>
  <c r="F134" i="7"/>
  <c r="C134" i="7"/>
  <c r="AC133" i="7"/>
  <c r="AD133" i="7" s="1"/>
  <c r="AA133" i="7"/>
  <c r="W133" i="7"/>
  <c r="X133" i="7" s="1"/>
  <c r="U133" i="7"/>
  <c r="R133" i="7"/>
  <c r="N133" i="7"/>
  <c r="O133" i="7" s="1"/>
  <c r="L133" i="7"/>
  <c r="H133" i="7"/>
  <c r="I133" i="7" s="1"/>
  <c r="F133" i="7"/>
  <c r="C133" i="7"/>
  <c r="AD132" i="7"/>
  <c r="AC132" i="7"/>
  <c r="AA132" i="7"/>
  <c r="W132" i="7"/>
  <c r="X132" i="7" s="1"/>
  <c r="U132" i="7"/>
  <c r="R132" i="7"/>
  <c r="N132" i="7"/>
  <c r="O132" i="7" s="1"/>
  <c r="L132" i="7"/>
  <c r="H132" i="7"/>
  <c r="I132" i="7" s="1"/>
  <c r="F132" i="7"/>
  <c r="C132" i="7"/>
  <c r="AD131" i="7"/>
  <c r="AC131" i="7"/>
  <c r="AA131" i="7"/>
  <c r="W131" i="7"/>
  <c r="X131" i="7" s="1"/>
  <c r="U131" i="7"/>
  <c r="R131" i="7"/>
  <c r="N131" i="7"/>
  <c r="O131" i="7" s="1"/>
  <c r="L131" i="7"/>
  <c r="I131" i="7"/>
  <c r="H131" i="7"/>
  <c r="F131" i="7"/>
  <c r="C131" i="7"/>
  <c r="AC130" i="7"/>
  <c r="AD130" i="7" s="1"/>
  <c r="AA130" i="7"/>
  <c r="W130" i="7"/>
  <c r="X130" i="7" s="1"/>
  <c r="U130" i="7"/>
  <c r="R130" i="7"/>
  <c r="O130" i="7"/>
  <c r="N130" i="7"/>
  <c r="L130" i="7"/>
  <c r="I130" i="7"/>
  <c r="H130" i="7"/>
  <c r="F130" i="7"/>
  <c r="C130" i="7"/>
  <c r="AD129" i="7"/>
  <c r="AC129" i="7"/>
  <c r="AA129" i="7"/>
  <c r="W129" i="7"/>
  <c r="X129" i="7" s="1"/>
  <c r="U129" i="7"/>
  <c r="R129" i="7"/>
  <c r="N129" i="7"/>
  <c r="O129" i="7" s="1"/>
  <c r="L129" i="7"/>
  <c r="I129" i="7"/>
  <c r="H129" i="7"/>
  <c r="F129" i="7"/>
  <c r="C129" i="7"/>
  <c r="AD127" i="7"/>
  <c r="AC127" i="7"/>
  <c r="AA127" i="7"/>
  <c r="X127" i="7"/>
  <c r="W127" i="7"/>
  <c r="U127" i="7"/>
  <c r="R127" i="7"/>
  <c r="N127" i="7"/>
  <c r="O127" i="7" s="1"/>
  <c r="L127" i="7"/>
  <c r="I127" i="7"/>
  <c r="H127" i="7"/>
  <c r="F127" i="7"/>
  <c r="C127" i="7"/>
  <c r="AA124" i="7"/>
  <c r="Z124" i="7"/>
  <c r="T124" i="7"/>
  <c r="R124" i="7"/>
  <c r="Q124" i="7"/>
  <c r="AC124" i="7" s="1"/>
  <c r="AD124" i="7" s="1"/>
  <c r="K124" i="7"/>
  <c r="L124" i="7" s="1"/>
  <c r="H124" i="7"/>
  <c r="I124" i="7" s="1"/>
  <c r="F124" i="7"/>
  <c r="E124" i="7"/>
  <c r="E172" i="7" s="1"/>
  <c r="C124" i="7"/>
  <c r="B124" i="7"/>
  <c r="AC123" i="7"/>
  <c r="AD123" i="7" s="1"/>
  <c r="AA123" i="7"/>
  <c r="X123" i="7"/>
  <c r="W123" i="7"/>
  <c r="U123" i="7"/>
  <c r="R123" i="7"/>
  <c r="N123" i="7"/>
  <c r="O123" i="7" s="1"/>
  <c r="L123" i="7"/>
  <c r="I123" i="7"/>
  <c r="H123" i="7"/>
  <c r="F123" i="7"/>
  <c r="C123" i="7"/>
  <c r="AA122" i="7"/>
  <c r="Z122" i="7"/>
  <c r="W122" i="7"/>
  <c r="X122" i="7" s="1"/>
  <c r="U122" i="7"/>
  <c r="T122" i="7"/>
  <c r="R122" i="7"/>
  <c r="Q122" i="7"/>
  <c r="AC122" i="7" s="1"/>
  <c r="AD122" i="7" s="1"/>
  <c r="K122" i="7"/>
  <c r="L122" i="7" s="1"/>
  <c r="F122" i="7"/>
  <c r="E122" i="7"/>
  <c r="B122" i="7"/>
  <c r="AD121" i="7"/>
  <c r="AC121" i="7"/>
  <c r="AA121" i="7"/>
  <c r="W121" i="7"/>
  <c r="X121" i="7" s="1"/>
  <c r="U121" i="7"/>
  <c r="R121" i="7"/>
  <c r="N121" i="7"/>
  <c r="O121" i="7" s="1"/>
  <c r="L121" i="7"/>
  <c r="I121" i="7"/>
  <c r="H121" i="7"/>
  <c r="F121" i="7"/>
  <c r="C121" i="7"/>
  <c r="AD120" i="7"/>
  <c r="AC120" i="7"/>
  <c r="AA120" i="7"/>
  <c r="X120" i="7"/>
  <c r="W120" i="7"/>
  <c r="U120" i="7"/>
  <c r="R120" i="7"/>
  <c r="N120" i="7"/>
  <c r="O120" i="7" s="1"/>
  <c r="L120" i="7"/>
  <c r="H120" i="7"/>
  <c r="I120" i="7" s="1"/>
  <c r="F120" i="7"/>
  <c r="C120" i="7"/>
  <c r="AD119" i="7"/>
  <c r="AC119" i="7"/>
  <c r="AA119" i="7"/>
  <c r="X119" i="7"/>
  <c r="W119" i="7"/>
  <c r="U119" i="7"/>
  <c r="R119" i="7"/>
  <c r="N119" i="7"/>
  <c r="O119" i="7" s="1"/>
  <c r="L119" i="7"/>
  <c r="I119" i="7"/>
  <c r="H119" i="7"/>
  <c r="F119" i="7"/>
  <c r="C119" i="7"/>
  <c r="AD118" i="7"/>
  <c r="AA118" i="7"/>
  <c r="Z118" i="7"/>
  <c r="T118" i="7"/>
  <c r="R118" i="7"/>
  <c r="Q118" i="7"/>
  <c r="AC118" i="7" s="1"/>
  <c r="L118" i="7"/>
  <c r="K118" i="7"/>
  <c r="H118" i="7"/>
  <c r="I118" i="7" s="1"/>
  <c r="F118" i="7"/>
  <c r="E118" i="7"/>
  <c r="C118" i="7"/>
  <c r="B118" i="7"/>
  <c r="N118" i="7" s="1"/>
  <c r="O118" i="7" s="1"/>
  <c r="AD117" i="7"/>
  <c r="AC117" i="7"/>
  <c r="AA117" i="7"/>
  <c r="X117" i="7"/>
  <c r="W117" i="7"/>
  <c r="U117" i="7"/>
  <c r="R117" i="7"/>
  <c r="N117" i="7"/>
  <c r="O117" i="7" s="1"/>
  <c r="L117" i="7"/>
  <c r="H117" i="7"/>
  <c r="I117" i="7" s="1"/>
  <c r="F117" i="7"/>
  <c r="C117" i="7"/>
  <c r="AD116" i="7"/>
  <c r="AC116" i="7"/>
  <c r="AA116" i="7"/>
  <c r="X116" i="7"/>
  <c r="W116" i="7"/>
  <c r="U116" i="7"/>
  <c r="R116" i="7"/>
  <c r="N116" i="7"/>
  <c r="O116" i="7" s="1"/>
  <c r="L116" i="7"/>
  <c r="H116" i="7"/>
  <c r="I116" i="7" s="1"/>
  <c r="F116" i="7"/>
  <c r="C116" i="7"/>
  <c r="AD115" i="7"/>
  <c r="AC115" i="7"/>
  <c r="AA115" i="7"/>
  <c r="W115" i="7"/>
  <c r="X115" i="7" s="1"/>
  <c r="U115" i="7"/>
  <c r="R115" i="7"/>
  <c r="O115" i="7"/>
  <c r="N115" i="7"/>
  <c r="L115" i="7"/>
  <c r="I115" i="7"/>
  <c r="H115" i="7"/>
  <c r="F115" i="7"/>
  <c r="C115" i="7"/>
  <c r="AD114" i="7"/>
  <c r="AC114" i="7"/>
  <c r="AA114" i="7"/>
  <c r="W114" i="7"/>
  <c r="X114" i="7" s="1"/>
  <c r="U114" i="7"/>
  <c r="R114" i="7"/>
  <c r="O114" i="7"/>
  <c r="N114" i="7"/>
  <c r="L114" i="7"/>
  <c r="I114" i="7"/>
  <c r="H114" i="7"/>
  <c r="F114" i="7"/>
  <c r="C114" i="7"/>
  <c r="AC113" i="7"/>
  <c r="AD113" i="7" s="1"/>
  <c r="AA113" i="7"/>
  <c r="X113" i="7"/>
  <c r="W113" i="7"/>
  <c r="U113" i="7"/>
  <c r="R113" i="7"/>
  <c r="N113" i="7"/>
  <c r="O113" i="7" s="1"/>
  <c r="L113" i="7"/>
  <c r="I113" i="7"/>
  <c r="H113" i="7"/>
  <c r="F113" i="7"/>
  <c r="C113" i="7"/>
  <c r="AD112" i="7"/>
  <c r="AC112" i="7"/>
  <c r="AA112" i="7"/>
  <c r="W112" i="7"/>
  <c r="X112" i="7" s="1"/>
  <c r="U112" i="7"/>
  <c r="R112" i="7"/>
  <c r="N112" i="7"/>
  <c r="O112" i="7" s="1"/>
  <c r="L112" i="7"/>
  <c r="H112" i="7"/>
  <c r="I112" i="7" s="1"/>
  <c r="F112" i="7"/>
  <c r="C112" i="7"/>
  <c r="AD111" i="7"/>
  <c r="AC111" i="7"/>
  <c r="AA111" i="7"/>
  <c r="W111" i="7"/>
  <c r="X111" i="7" s="1"/>
  <c r="U111" i="7"/>
  <c r="R111" i="7"/>
  <c r="N111" i="7"/>
  <c r="O111" i="7" s="1"/>
  <c r="L111" i="7"/>
  <c r="I111" i="7"/>
  <c r="H111" i="7"/>
  <c r="F111" i="7"/>
  <c r="C111" i="7"/>
  <c r="AC110" i="7"/>
  <c r="AD110" i="7" s="1"/>
  <c r="AA110" i="7"/>
  <c r="W110" i="7"/>
  <c r="X110" i="7" s="1"/>
  <c r="U110" i="7"/>
  <c r="R110" i="7"/>
  <c r="N110" i="7"/>
  <c r="O110" i="7" s="1"/>
  <c r="L110" i="7"/>
  <c r="I110" i="7"/>
  <c r="H110" i="7"/>
  <c r="F110" i="7"/>
  <c r="C110" i="7"/>
  <c r="AD109" i="7"/>
  <c r="AC109" i="7"/>
  <c r="AA109" i="7"/>
  <c r="X109" i="7"/>
  <c r="W109" i="7"/>
  <c r="U109" i="7"/>
  <c r="R109" i="7"/>
  <c r="N109" i="7"/>
  <c r="O109" i="7" s="1"/>
  <c r="L109" i="7"/>
  <c r="H109" i="7"/>
  <c r="I109" i="7" s="1"/>
  <c r="F109" i="7"/>
  <c r="C109" i="7"/>
  <c r="AD108" i="7"/>
  <c r="AC108" i="7"/>
  <c r="AA108" i="7"/>
  <c r="X108" i="7"/>
  <c r="W108" i="7"/>
  <c r="U108" i="7"/>
  <c r="R108" i="7"/>
  <c r="N108" i="7"/>
  <c r="O108" i="7" s="1"/>
  <c r="L108" i="7"/>
  <c r="H108" i="7"/>
  <c r="I108" i="7" s="1"/>
  <c r="F108" i="7"/>
  <c r="C108" i="7"/>
  <c r="AD107" i="7"/>
  <c r="AC107" i="7"/>
  <c r="AA107" i="7"/>
  <c r="W107" i="7"/>
  <c r="X107" i="7" s="1"/>
  <c r="U107" i="7"/>
  <c r="R107" i="7"/>
  <c r="O107" i="7"/>
  <c r="N107" i="7"/>
  <c r="L107" i="7"/>
  <c r="I107" i="7"/>
  <c r="H107" i="7"/>
  <c r="F107" i="7"/>
  <c r="C107" i="7"/>
  <c r="AD106" i="7"/>
  <c r="AC106" i="7"/>
  <c r="AA106" i="7"/>
  <c r="W106" i="7"/>
  <c r="X106" i="7" s="1"/>
  <c r="U106" i="7"/>
  <c r="R106" i="7"/>
  <c r="O106" i="7"/>
  <c r="N106" i="7"/>
  <c r="L106" i="7"/>
  <c r="I106" i="7"/>
  <c r="H106" i="7"/>
  <c r="F106" i="7"/>
  <c r="C106" i="7"/>
  <c r="AD105" i="7"/>
  <c r="AC105" i="7"/>
  <c r="AA105" i="7"/>
  <c r="X105" i="7"/>
  <c r="W105" i="7"/>
  <c r="U105" i="7"/>
  <c r="R105" i="7"/>
  <c r="N105" i="7"/>
  <c r="O105" i="7" s="1"/>
  <c r="L105" i="7"/>
  <c r="I105" i="7"/>
  <c r="H105" i="7"/>
  <c r="F105" i="7"/>
  <c r="C105" i="7"/>
  <c r="AD104" i="7"/>
  <c r="AC104" i="7"/>
  <c r="AA104" i="7"/>
  <c r="X104" i="7"/>
  <c r="W104" i="7"/>
  <c r="U104" i="7"/>
  <c r="R104" i="7"/>
  <c r="N104" i="7"/>
  <c r="O104" i="7" s="1"/>
  <c r="L104" i="7"/>
  <c r="H104" i="7"/>
  <c r="I104" i="7" s="1"/>
  <c r="F104" i="7"/>
  <c r="C104" i="7"/>
  <c r="AD103" i="7"/>
  <c r="AC103" i="7"/>
  <c r="AA103" i="7"/>
  <c r="W103" i="7"/>
  <c r="X103" i="7" s="1"/>
  <c r="U103" i="7"/>
  <c r="R103" i="7"/>
  <c r="N103" i="7"/>
  <c r="O103" i="7" s="1"/>
  <c r="L103" i="7"/>
  <c r="I103" i="7"/>
  <c r="H103" i="7"/>
  <c r="F103" i="7"/>
  <c r="C103" i="7"/>
  <c r="AC102" i="7"/>
  <c r="AD102" i="7" s="1"/>
  <c r="AA102" i="7"/>
  <c r="W102" i="7"/>
  <c r="X102" i="7" s="1"/>
  <c r="U102" i="7"/>
  <c r="R102" i="7"/>
  <c r="N102" i="7"/>
  <c r="O102" i="7" s="1"/>
  <c r="L102" i="7"/>
  <c r="I102" i="7"/>
  <c r="H102" i="7"/>
  <c r="F102" i="7"/>
  <c r="C102" i="7"/>
  <c r="AD101" i="7"/>
  <c r="AC101" i="7"/>
  <c r="AA101" i="7"/>
  <c r="W101" i="7"/>
  <c r="X101" i="7" s="1"/>
  <c r="U101" i="7"/>
  <c r="R101" i="7"/>
  <c r="N101" i="7"/>
  <c r="O101" i="7" s="1"/>
  <c r="L101" i="7"/>
  <c r="H101" i="7"/>
  <c r="I101" i="7" s="1"/>
  <c r="F101" i="7"/>
  <c r="C101" i="7"/>
  <c r="AD100" i="7"/>
  <c r="AC100" i="7"/>
  <c r="AA100" i="7"/>
  <c r="X100" i="7"/>
  <c r="W100" i="7"/>
  <c r="U100" i="7"/>
  <c r="R100" i="7"/>
  <c r="N100" i="7"/>
  <c r="O100" i="7" s="1"/>
  <c r="L100" i="7"/>
  <c r="H100" i="7"/>
  <c r="I100" i="7" s="1"/>
  <c r="F100" i="7"/>
  <c r="C100" i="7"/>
  <c r="AD99" i="7"/>
  <c r="AC99" i="7"/>
  <c r="AA99" i="7"/>
  <c r="W99" i="7"/>
  <c r="X99" i="7" s="1"/>
  <c r="U99" i="7"/>
  <c r="R99" i="7"/>
  <c r="O99" i="7"/>
  <c r="N99" i="7"/>
  <c r="L99" i="7"/>
  <c r="I99" i="7"/>
  <c r="H99" i="7"/>
  <c r="F99" i="7"/>
  <c r="C99" i="7"/>
  <c r="AD98" i="7"/>
  <c r="AC98" i="7"/>
  <c r="AA98" i="7"/>
  <c r="W98" i="7"/>
  <c r="X98" i="7" s="1"/>
  <c r="U98" i="7"/>
  <c r="R98" i="7"/>
  <c r="O98" i="7"/>
  <c r="N98" i="7"/>
  <c r="L98" i="7"/>
  <c r="I98" i="7"/>
  <c r="H98" i="7"/>
  <c r="F98" i="7"/>
  <c r="C98" i="7"/>
  <c r="AC97" i="7"/>
  <c r="AD97" i="7" s="1"/>
  <c r="AA97" i="7"/>
  <c r="X97" i="7"/>
  <c r="W97" i="7"/>
  <c r="U97" i="7"/>
  <c r="R97" i="7"/>
  <c r="N97" i="7"/>
  <c r="O97" i="7" s="1"/>
  <c r="L97" i="7"/>
  <c r="I97" i="7"/>
  <c r="H97" i="7"/>
  <c r="F97" i="7"/>
  <c r="C97" i="7"/>
  <c r="AD96" i="7"/>
  <c r="AC96" i="7"/>
  <c r="AA96" i="7"/>
  <c r="W96" i="7"/>
  <c r="X96" i="7" s="1"/>
  <c r="U96" i="7"/>
  <c r="R96" i="7"/>
  <c r="N96" i="7"/>
  <c r="O96" i="7" s="1"/>
  <c r="L96" i="7"/>
  <c r="H96" i="7"/>
  <c r="I96" i="7" s="1"/>
  <c r="F96" i="7"/>
  <c r="C96" i="7"/>
  <c r="AD95" i="7"/>
  <c r="AC95" i="7"/>
  <c r="AA95" i="7"/>
  <c r="W95" i="7"/>
  <c r="X95" i="7" s="1"/>
  <c r="U95" i="7"/>
  <c r="R95" i="7"/>
  <c r="O95" i="7"/>
  <c r="N95" i="7"/>
  <c r="L95" i="7"/>
  <c r="I95" i="7"/>
  <c r="H95" i="7"/>
  <c r="F95" i="7"/>
  <c r="C95" i="7"/>
  <c r="AC94" i="7"/>
  <c r="AD94" i="7" s="1"/>
  <c r="AA94" i="7"/>
  <c r="W94" i="7"/>
  <c r="X94" i="7" s="1"/>
  <c r="U94" i="7"/>
  <c r="R94" i="7"/>
  <c r="N94" i="7"/>
  <c r="O94" i="7" s="1"/>
  <c r="L94" i="7"/>
  <c r="I94" i="7"/>
  <c r="H94" i="7"/>
  <c r="F94" i="7"/>
  <c r="C94" i="7"/>
  <c r="AD92" i="7"/>
  <c r="AC92" i="7"/>
  <c r="AA92" i="7"/>
  <c r="X92" i="7"/>
  <c r="W92" i="7"/>
  <c r="U92" i="7"/>
  <c r="R92" i="7"/>
  <c r="N92" i="7"/>
  <c r="O92" i="7" s="1"/>
  <c r="L92" i="7"/>
  <c r="H92" i="7"/>
  <c r="I92" i="7" s="1"/>
  <c r="F92" i="7"/>
  <c r="C92" i="7"/>
  <c r="AD91" i="7"/>
  <c r="AC91" i="7"/>
  <c r="AA91" i="7"/>
  <c r="X91" i="7"/>
  <c r="W91" i="7"/>
  <c r="U91" i="7"/>
  <c r="R91" i="7"/>
  <c r="N91" i="7"/>
  <c r="O91" i="7" s="1"/>
  <c r="L91" i="7"/>
  <c r="H91" i="7"/>
  <c r="I91" i="7" s="1"/>
  <c r="F91" i="7"/>
  <c r="C91" i="7"/>
  <c r="AD90" i="7"/>
  <c r="AC90" i="7"/>
  <c r="AA90" i="7"/>
  <c r="W90" i="7"/>
  <c r="X90" i="7" s="1"/>
  <c r="U90" i="7"/>
  <c r="R90" i="7"/>
  <c r="O90" i="7"/>
  <c r="N90" i="7"/>
  <c r="L90" i="7"/>
  <c r="I90" i="7"/>
  <c r="H90" i="7"/>
  <c r="F90" i="7"/>
  <c r="C90" i="7"/>
  <c r="AD89" i="7"/>
  <c r="AC89" i="7"/>
  <c r="AA89" i="7"/>
  <c r="W89" i="7"/>
  <c r="X89" i="7" s="1"/>
  <c r="U89" i="7"/>
  <c r="R89" i="7"/>
  <c r="O89" i="7"/>
  <c r="N89" i="7"/>
  <c r="L89" i="7"/>
  <c r="I89" i="7"/>
  <c r="H89" i="7"/>
  <c r="F89" i="7"/>
  <c r="C89" i="7"/>
  <c r="AD88" i="7"/>
  <c r="AC88" i="7"/>
  <c r="Z88" i="7"/>
  <c r="AA88" i="7" s="1"/>
  <c r="U88" i="7"/>
  <c r="T88" i="7"/>
  <c r="Q88" i="7"/>
  <c r="W88" i="7" s="1"/>
  <c r="X88" i="7" s="1"/>
  <c r="L88" i="7"/>
  <c r="K88" i="7"/>
  <c r="E88" i="7"/>
  <c r="F88" i="7" s="1"/>
  <c r="C88" i="7"/>
  <c r="B88" i="7"/>
  <c r="AD87" i="7"/>
  <c r="AC87" i="7"/>
  <c r="AA87" i="7"/>
  <c r="W87" i="7"/>
  <c r="X87" i="7" s="1"/>
  <c r="U87" i="7"/>
  <c r="R87" i="7"/>
  <c r="O87" i="7"/>
  <c r="N87" i="7"/>
  <c r="L87" i="7"/>
  <c r="I87" i="7"/>
  <c r="H87" i="7"/>
  <c r="F87" i="7"/>
  <c r="C87" i="7"/>
  <c r="AC86" i="7"/>
  <c r="AD86" i="7" s="1"/>
  <c r="AA86" i="7"/>
  <c r="W86" i="7"/>
  <c r="X86" i="7" s="1"/>
  <c r="U86" i="7"/>
  <c r="R86" i="7"/>
  <c r="N86" i="7"/>
  <c r="O86" i="7" s="1"/>
  <c r="L86" i="7"/>
  <c r="I86" i="7"/>
  <c r="H86" i="7"/>
  <c r="F86" i="7"/>
  <c r="C86" i="7"/>
  <c r="AD85" i="7"/>
  <c r="AC85" i="7"/>
  <c r="AA85" i="7"/>
  <c r="X85" i="7"/>
  <c r="W85" i="7"/>
  <c r="U85" i="7"/>
  <c r="R85" i="7"/>
  <c r="N85" i="7"/>
  <c r="O85" i="7" s="1"/>
  <c r="L85" i="7"/>
  <c r="H85" i="7"/>
  <c r="I85" i="7" s="1"/>
  <c r="F85" i="7"/>
  <c r="C85" i="7"/>
  <c r="AD84" i="7"/>
  <c r="AC84" i="7"/>
  <c r="AA84" i="7"/>
  <c r="X84" i="7"/>
  <c r="W84" i="7"/>
  <c r="U84" i="7"/>
  <c r="R84" i="7"/>
  <c r="O84" i="7"/>
  <c r="N84" i="7"/>
  <c r="L84" i="7"/>
  <c r="I84" i="7"/>
  <c r="H84" i="7"/>
  <c r="F84" i="7"/>
  <c r="C84" i="7"/>
  <c r="AD83" i="7"/>
  <c r="AC83" i="7"/>
  <c r="AA83" i="7"/>
  <c r="W83" i="7"/>
  <c r="X83" i="7" s="1"/>
  <c r="U83" i="7"/>
  <c r="R83" i="7"/>
  <c r="N83" i="7"/>
  <c r="O83" i="7" s="1"/>
  <c r="L83" i="7"/>
  <c r="I83" i="7"/>
  <c r="H83" i="7"/>
  <c r="F83" i="7"/>
  <c r="C83" i="7"/>
  <c r="AD82" i="7"/>
  <c r="AC82" i="7"/>
  <c r="AA82" i="7"/>
  <c r="W82" i="7"/>
  <c r="X82" i="7" s="1"/>
  <c r="U82" i="7"/>
  <c r="R82" i="7"/>
  <c r="O82" i="7"/>
  <c r="N82" i="7"/>
  <c r="L82" i="7"/>
  <c r="H82" i="7"/>
  <c r="I82" i="7" s="1"/>
  <c r="F82" i="7"/>
  <c r="C82" i="7"/>
  <c r="AC81" i="7"/>
  <c r="AD81" i="7" s="1"/>
  <c r="AA81" i="7"/>
  <c r="W81" i="7"/>
  <c r="X81" i="7" s="1"/>
  <c r="U81" i="7"/>
  <c r="R81" i="7"/>
  <c r="N81" i="7"/>
  <c r="O81" i="7" s="1"/>
  <c r="L81" i="7"/>
  <c r="I81" i="7"/>
  <c r="H81" i="7"/>
  <c r="F81" i="7"/>
  <c r="C81" i="7"/>
  <c r="AD80" i="7"/>
  <c r="AC80" i="7"/>
  <c r="AA80" i="7"/>
  <c r="W80" i="7"/>
  <c r="X80" i="7" s="1"/>
  <c r="U80" i="7"/>
  <c r="R80" i="7"/>
  <c r="N80" i="7"/>
  <c r="O80" i="7" s="1"/>
  <c r="L80" i="7"/>
  <c r="I80" i="7"/>
  <c r="H80" i="7"/>
  <c r="F80" i="7"/>
  <c r="C80" i="7"/>
  <c r="AC79" i="7"/>
  <c r="AD79" i="7" s="1"/>
  <c r="AA79" i="7"/>
  <c r="W79" i="7"/>
  <c r="X79" i="7" s="1"/>
  <c r="U79" i="7"/>
  <c r="R79" i="7"/>
  <c r="O79" i="7"/>
  <c r="N79" i="7"/>
  <c r="L79" i="7"/>
  <c r="I79" i="7"/>
  <c r="H79" i="7"/>
  <c r="F79" i="7"/>
  <c r="C79" i="7"/>
  <c r="AC78" i="7"/>
  <c r="AD78" i="7" s="1"/>
  <c r="AA78" i="7"/>
  <c r="W78" i="7"/>
  <c r="X78" i="7" s="1"/>
  <c r="U78" i="7"/>
  <c r="R78" i="7"/>
  <c r="O78" i="7"/>
  <c r="N78" i="7"/>
  <c r="L78" i="7"/>
  <c r="I78" i="7"/>
  <c r="H78" i="7"/>
  <c r="F78" i="7"/>
  <c r="C78" i="7"/>
  <c r="AD77" i="7"/>
  <c r="AC77" i="7"/>
  <c r="AA77" i="7"/>
  <c r="X77" i="7"/>
  <c r="W77" i="7"/>
  <c r="U77" i="7"/>
  <c r="R77" i="7"/>
  <c r="N77" i="7"/>
  <c r="O77" i="7" s="1"/>
  <c r="L77" i="7"/>
  <c r="I77" i="7"/>
  <c r="H77" i="7"/>
  <c r="F77" i="7"/>
  <c r="C77" i="7"/>
  <c r="AD76" i="7"/>
  <c r="AC76" i="7"/>
  <c r="AA76" i="7"/>
  <c r="X76" i="7"/>
  <c r="W76" i="7"/>
  <c r="U76" i="7"/>
  <c r="R76" i="7"/>
  <c r="O76" i="7"/>
  <c r="N76" i="7"/>
  <c r="L76" i="7"/>
  <c r="H76" i="7"/>
  <c r="I76" i="7" s="1"/>
  <c r="F76" i="7"/>
  <c r="C76" i="7"/>
  <c r="AD75" i="7"/>
  <c r="AC75" i="7"/>
  <c r="AA75" i="7"/>
  <c r="W75" i="7"/>
  <c r="X75" i="7" s="1"/>
  <c r="U75" i="7"/>
  <c r="R75" i="7"/>
  <c r="O75" i="7"/>
  <c r="N75" i="7"/>
  <c r="L75" i="7"/>
  <c r="I75" i="7"/>
  <c r="H75" i="7"/>
  <c r="F75" i="7"/>
  <c r="C75" i="7"/>
  <c r="AD73" i="7"/>
  <c r="AC73" i="7"/>
  <c r="Z73" i="7"/>
  <c r="AA73" i="7" s="1"/>
  <c r="T73" i="7"/>
  <c r="U73" i="7" s="1"/>
  <c r="R73" i="7"/>
  <c r="Q73" i="7"/>
  <c r="W73" i="7" s="1"/>
  <c r="X73" i="7" s="1"/>
  <c r="L73" i="7"/>
  <c r="K73" i="7"/>
  <c r="F73" i="7"/>
  <c r="E73" i="7"/>
  <c r="C73" i="7"/>
  <c r="B73" i="7"/>
  <c r="H73" i="7" s="1"/>
  <c r="I73" i="7" s="1"/>
  <c r="AD72" i="7"/>
  <c r="AC72" i="7"/>
  <c r="AA72" i="7"/>
  <c r="W72" i="7"/>
  <c r="X72" i="7" s="1"/>
  <c r="U72" i="7"/>
  <c r="R72" i="7"/>
  <c r="N72" i="7"/>
  <c r="O72" i="7" s="1"/>
  <c r="L72" i="7"/>
  <c r="H72" i="7"/>
  <c r="I72" i="7" s="1"/>
  <c r="F72" i="7"/>
  <c r="C72" i="7"/>
  <c r="AD71" i="7"/>
  <c r="AC71" i="7"/>
  <c r="AA71" i="7"/>
  <c r="W71" i="7"/>
  <c r="X71" i="7" s="1"/>
  <c r="U71" i="7"/>
  <c r="R71" i="7"/>
  <c r="N71" i="7"/>
  <c r="O71" i="7" s="1"/>
  <c r="L71" i="7"/>
  <c r="I71" i="7"/>
  <c r="H71" i="7"/>
  <c r="F71" i="7"/>
  <c r="C71" i="7"/>
  <c r="AC70" i="7"/>
  <c r="AD70" i="7" s="1"/>
  <c r="AA70" i="7"/>
  <c r="X70" i="7"/>
  <c r="W70" i="7"/>
  <c r="U70" i="7"/>
  <c r="R70" i="7"/>
  <c r="N70" i="7"/>
  <c r="O70" i="7" s="1"/>
  <c r="L70" i="7"/>
  <c r="H70" i="7"/>
  <c r="I70" i="7" s="1"/>
  <c r="F70" i="7"/>
  <c r="C70" i="7"/>
  <c r="AD69" i="7"/>
  <c r="AC69" i="7"/>
  <c r="AA69" i="7"/>
  <c r="X69" i="7"/>
  <c r="W69" i="7"/>
  <c r="U69" i="7"/>
  <c r="R69" i="7"/>
  <c r="N69" i="7"/>
  <c r="O69" i="7" s="1"/>
  <c r="L69" i="7"/>
  <c r="H69" i="7"/>
  <c r="I69" i="7" s="1"/>
  <c r="F69" i="7"/>
  <c r="C69" i="7"/>
  <c r="AD68" i="7"/>
  <c r="AC68" i="7"/>
  <c r="AA68" i="7"/>
  <c r="X68" i="7"/>
  <c r="W68" i="7"/>
  <c r="U68" i="7"/>
  <c r="R68" i="7"/>
  <c r="O68" i="7"/>
  <c r="N68" i="7"/>
  <c r="L68" i="7"/>
  <c r="I68" i="7"/>
  <c r="H68" i="7"/>
  <c r="F68" i="7"/>
  <c r="C68" i="7"/>
  <c r="AD67" i="7"/>
  <c r="AC67" i="7"/>
  <c r="AA67" i="7"/>
  <c r="W67" i="7"/>
  <c r="X67" i="7" s="1"/>
  <c r="U67" i="7"/>
  <c r="R67" i="7"/>
  <c r="N67" i="7"/>
  <c r="O67" i="7" s="1"/>
  <c r="L67" i="7"/>
  <c r="I67" i="7"/>
  <c r="H67" i="7"/>
  <c r="F67" i="7"/>
  <c r="C67" i="7"/>
  <c r="AD66" i="7"/>
  <c r="AC66" i="7"/>
  <c r="AA66" i="7"/>
  <c r="W66" i="7"/>
  <c r="X66" i="7" s="1"/>
  <c r="U66" i="7"/>
  <c r="R66" i="7"/>
  <c r="O66" i="7"/>
  <c r="N66" i="7"/>
  <c r="L66" i="7"/>
  <c r="H66" i="7"/>
  <c r="I66" i="7" s="1"/>
  <c r="F66" i="7"/>
  <c r="C66" i="7"/>
  <c r="AC65" i="7"/>
  <c r="AD65" i="7" s="1"/>
  <c r="AA65" i="7"/>
  <c r="W65" i="7"/>
  <c r="X65" i="7" s="1"/>
  <c r="U65" i="7"/>
  <c r="R65" i="7"/>
  <c r="N65" i="7"/>
  <c r="O65" i="7" s="1"/>
  <c r="L65" i="7"/>
  <c r="I65" i="7"/>
  <c r="H65" i="7"/>
  <c r="F65" i="7"/>
  <c r="C65" i="7"/>
  <c r="AD64" i="7"/>
  <c r="AC64" i="7"/>
  <c r="AA64" i="7"/>
  <c r="W64" i="7"/>
  <c r="X64" i="7" s="1"/>
  <c r="U64" i="7"/>
  <c r="R64" i="7"/>
  <c r="N64" i="7"/>
  <c r="O64" i="7" s="1"/>
  <c r="L64" i="7"/>
  <c r="I64" i="7"/>
  <c r="H64" i="7"/>
  <c r="F64" i="7"/>
  <c r="C64" i="7"/>
  <c r="AA62" i="7"/>
  <c r="Z62" i="7"/>
  <c r="X62" i="7"/>
  <c r="W62" i="7"/>
  <c r="U62" i="7"/>
  <c r="T62" i="7"/>
  <c r="Q62" i="7"/>
  <c r="R62" i="7" s="1"/>
  <c r="L62" i="7"/>
  <c r="K62" i="7"/>
  <c r="F62" i="7"/>
  <c r="E62" i="7"/>
  <c r="B62" i="7"/>
  <c r="Z61" i="7"/>
  <c r="AA61" i="7" s="1"/>
  <c r="T61" i="7"/>
  <c r="U61" i="7" s="1"/>
  <c r="Q61" i="7"/>
  <c r="W61" i="7" s="1"/>
  <c r="X61" i="7" s="1"/>
  <c r="N61" i="7"/>
  <c r="O61" i="7" s="1"/>
  <c r="L61" i="7"/>
  <c r="K61" i="7"/>
  <c r="F61" i="7"/>
  <c r="E61" i="7"/>
  <c r="B61" i="7"/>
  <c r="C61" i="7" s="1"/>
  <c r="AD60" i="7"/>
  <c r="AC60" i="7"/>
  <c r="AA60" i="7"/>
  <c r="X60" i="7"/>
  <c r="W60" i="7"/>
  <c r="U60" i="7"/>
  <c r="R60" i="7"/>
  <c r="O60" i="7"/>
  <c r="N60" i="7"/>
  <c r="L60" i="7"/>
  <c r="H60" i="7"/>
  <c r="I60" i="7" s="1"/>
  <c r="F60" i="7"/>
  <c r="C60" i="7"/>
  <c r="AC59" i="7"/>
  <c r="AD59" i="7" s="1"/>
  <c r="AA59" i="7"/>
  <c r="W59" i="7"/>
  <c r="X59" i="7" s="1"/>
  <c r="U59" i="7"/>
  <c r="R59" i="7"/>
  <c r="O59" i="7"/>
  <c r="N59" i="7"/>
  <c r="L59" i="7"/>
  <c r="I59" i="7"/>
  <c r="H59" i="7"/>
  <c r="F59" i="7"/>
  <c r="C59" i="7"/>
  <c r="AC58" i="7"/>
  <c r="AD58" i="7" s="1"/>
  <c r="AA58" i="7"/>
  <c r="X58" i="7"/>
  <c r="W58" i="7"/>
  <c r="U58" i="7"/>
  <c r="R58" i="7"/>
  <c r="N58" i="7"/>
  <c r="O58" i="7" s="1"/>
  <c r="L58" i="7"/>
  <c r="H58" i="7"/>
  <c r="I58" i="7" s="1"/>
  <c r="F58" i="7"/>
  <c r="C58" i="7"/>
  <c r="AC57" i="7"/>
  <c r="AD57" i="7" s="1"/>
  <c r="AA57" i="7"/>
  <c r="X57" i="7"/>
  <c r="W57" i="7"/>
  <c r="U57" i="7"/>
  <c r="R57" i="7"/>
  <c r="N57" i="7"/>
  <c r="O57" i="7" s="1"/>
  <c r="L57" i="7"/>
  <c r="I57" i="7"/>
  <c r="H57" i="7"/>
  <c r="F57" i="7"/>
  <c r="C57" i="7"/>
  <c r="AD56" i="7"/>
  <c r="AC56" i="7"/>
  <c r="AA56" i="7"/>
  <c r="X56" i="7"/>
  <c r="W56" i="7"/>
  <c r="U56" i="7"/>
  <c r="R56" i="7"/>
  <c r="O56" i="7"/>
  <c r="N56" i="7"/>
  <c r="L56" i="7"/>
  <c r="H56" i="7"/>
  <c r="I56" i="7" s="1"/>
  <c r="F56" i="7"/>
  <c r="C56" i="7"/>
  <c r="AC55" i="7"/>
  <c r="AD55" i="7" s="1"/>
  <c r="AA55" i="7"/>
  <c r="W55" i="7"/>
  <c r="X55" i="7" s="1"/>
  <c r="U55" i="7"/>
  <c r="R55" i="7"/>
  <c r="O55" i="7"/>
  <c r="N55" i="7"/>
  <c r="L55" i="7"/>
  <c r="I55" i="7"/>
  <c r="H55" i="7"/>
  <c r="F55" i="7"/>
  <c r="C55" i="7"/>
  <c r="AD54" i="7"/>
  <c r="AC54" i="7"/>
  <c r="AA54" i="7"/>
  <c r="X54" i="7"/>
  <c r="W54" i="7"/>
  <c r="U54" i="7"/>
  <c r="R54" i="7"/>
  <c r="O54" i="7"/>
  <c r="N54" i="7"/>
  <c r="L54" i="7"/>
  <c r="H54" i="7"/>
  <c r="I54" i="7" s="1"/>
  <c r="F54" i="7"/>
  <c r="C54" i="7"/>
  <c r="AC53" i="7"/>
  <c r="AD53" i="7" s="1"/>
  <c r="AA53" i="7"/>
  <c r="X53" i="7"/>
  <c r="W53" i="7"/>
  <c r="U53" i="7"/>
  <c r="R53" i="7"/>
  <c r="N53" i="7"/>
  <c r="O53" i="7" s="1"/>
  <c r="L53" i="7"/>
  <c r="H53" i="7"/>
  <c r="I53" i="7" s="1"/>
  <c r="F53" i="7"/>
  <c r="C53" i="7"/>
  <c r="AD52" i="7"/>
  <c r="AC52" i="7"/>
  <c r="AA52" i="7"/>
  <c r="W52" i="7"/>
  <c r="X52" i="7" s="1"/>
  <c r="U52" i="7"/>
  <c r="R52" i="7"/>
  <c r="O52" i="7"/>
  <c r="N52" i="7"/>
  <c r="L52" i="7"/>
  <c r="H52" i="7"/>
  <c r="I52" i="7" s="1"/>
  <c r="F52" i="7"/>
  <c r="C52" i="7"/>
  <c r="AC51" i="7"/>
  <c r="AD51" i="7" s="1"/>
  <c r="AA51" i="7"/>
  <c r="W51" i="7"/>
  <c r="X51" i="7" s="1"/>
  <c r="U51" i="7"/>
  <c r="R51" i="7"/>
  <c r="O51" i="7"/>
  <c r="N51" i="7"/>
  <c r="L51" i="7"/>
  <c r="I51" i="7"/>
  <c r="H51" i="7"/>
  <c r="F51" i="7"/>
  <c r="C51" i="7"/>
  <c r="AD50" i="7"/>
  <c r="AC50" i="7"/>
  <c r="AA50" i="7"/>
  <c r="X50" i="7"/>
  <c r="W50" i="7"/>
  <c r="U50" i="7"/>
  <c r="R50" i="7"/>
  <c r="N50" i="7"/>
  <c r="O50" i="7" s="1"/>
  <c r="L50" i="7"/>
  <c r="H50" i="7"/>
  <c r="I50" i="7" s="1"/>
  <c r="F50" i="7"/>
  <c r="C50" i="7"/>
  <c r="AC49" i="7"/>
  <c r="AD49" i="7" s="1"/>
  <c r="AA49" i="7"/>
  <c r="X49" i="7"/>
  <c r="W49" i="7"/>
  <c r="U49" i="7"/>
  <c r="R49" i="7"/>
  <c r="N49" i="7"/>
  <c r="O49" i="7" s="1"/>
  <c r="L49" i="7"/>
  <c r="I49" i="7"/>
  <c r="H49" i="7"/>
  <c r="F49" i="7"/>
  <c r="C49" i="7"/>
  <c r="AD48" i="7"/>
  <c r="AC48" i="7"/>
  <c r="AA48" i="7"/>
  <c r="W48" i="7"/>
  <c r="X48" i="7" s="1"/>
  <c r="U48" i="7"/>
  <c r="R48" i="7"/>
  <c r="O48" i="7"/>
  <c r="N48" i="7"/>
  <c r="L48" i="7"/>
  <c r="H48" i="7"/>
  <c r="I48" i="7" s="1"/>
  <c r="F48" i="7"/>
  <c r="C48" i="7"/>
  <c r="AC47" i="7"/>
  <c r="AD47" i="7" s="1"/>
  <c r="AA47" i="7"/>
  <c r="W47" i="7"/>
  <c r="X47" i="7" s="1"/>
  <c r="U47" i="7"/>
  <c r="R47" i="7"/>
  <c r="O47" i="7"/>
  <c r="N47" i="7"/>
  <c r="L47" i="7"/>
  <c r="I47" i="7"/>
  <c r="H47" i="7"/>
  <c r="F47" i="7"/>
  <c r="C47" i="7"/>
  <c r="AC46" i="7"/>
  <c r="AD46" i="7" s="1"/>
  <c r="AA46" i="7"/>
  <c r="X46" i="7"/>
  <c r="W46" i="7"/>
  <c r="U46" i="7"/>
  <c r="R46" i="7"/>
  <c r="O46" i="7"/>
  <c r="N46" i="7"/>
  <c r="L46" i="7"/>
  <c r="H46" i="7"/>
  <c r="I46" i="7" s="1"/>
  <c r="F46" i="7"/>
  <c r="C46" i="7"/>
  <c r="AC44" i="7"/>
  <c r="AD44" i="7" s="1"/>
  <c r="AA44" i="7"/>
  <c r="X44" i="7"/>
  <c r="W44" i="7"/>
  <c r="U44" i="7"/>
  <c r="R44" i="7"/>
  <c r="N44" i="7"/>
  <c r="O44" i="7" s="1"/>
  <c r="L44" i="7"/>
  <c r="H44" i="7"/>
  <c r="I44" i="7" s="1"/>
  <c r="F44" i="7"/>
  <c r="C44" i="7"/>
  <c r="AD43" i="7"/>
  <c r="AC43" i="7"/>
  <c r="AA43" i="7"/>
  <c r="X43" i="7"/>
  <c r="W43" i="7"/>
  <c r="U43" i="7"/>
  <c r="R43" i="7"/>
  <c r="O43" i="7"/>
  <c r="N43" i="7"/>
  <c r="L43" i="7"/>
  <c r="H43" i="7"/>
  <c r="I43" i="7" s="1"/>
  <c r="F43" i="7"/>
  <c r="C43" i="7"/>
  <c r="AC42" i="7"/>
  <c r="AD42" i="7" s="1"/>
  <c r="AA42" i="7"/>
  <c r="W42" i="7"/>
  <c r="X42" i="7" s="1"/>
  <c r="U42" i="7"/>
  <c r="R42" i="7"/>
  <c r="O42" i="7"/>
  <c r="N42" i="7"/>
  <c r="L42" i="7"/>
  <c r="I42" i="7"/>
  <c r="H42" i="7"/>
  <c r="F42" i="7"/>
  <c r="C42" i="7"/>
  <c r="AC40" i="7"/>
  <c r="AD40" i="7" s="1"/>
  <c r="Z40" i="7"/>
  <c r="AA40" i="7" s="1"/>
  <c r="T40" i="7"/>
  <c r="U40" i="7" s="1"/>
  <c r="R40" i="7"/>
  <c r="Q40" i="7"/>
  <c r="W40" i="7" s="1"/>
  <c r="X40" i="7" s="1"/>
  <c r="L40" i="7"/>
  <c r="K40" i="7"/>
  <c r="H40" i="7"/>
  <c r="I40" i="7" s="1"/>
  <c r="F40" i="7"/>
  <c r="E40" i="7"/>
  <c r="B40" i="7"/>
  <c r="C40" i="7" s="1"/>
  <c r="AD39" i="7"/>
  <c r="AC39" i="7"/>
  <c r="AA39" i="7"/>
  <c r="W39" i="7"/>
  <c r="X39" i="7" s="1"/>
  <c r="U39" i="7"/>
  <c r="R39" i="7"/>
  <c r="O39" i="7"/>
  <c r="N39" i="7"/>
  <c r="L39" i="7"/>
  <c r="H39" i="7"/>
  <c r="I39" i="7" s="1"/>
  <c r="F39" i="7"/>
  <c r="C39" i="7"/>
  <c r="AC38" i="7"/>
  <c r="AD38" i="7" s="1"/>
  <c r="AA38" i="7"/>
  <c r="W38" i="7"/>
  <c r="X38" i="7" s="1"/>
  <c r="U38" i="7"/>
  <c r="R38" i="7"/>
  <c r="O38" i="7"/>
  <c r="N38" i="7"/>
  <c r="L38" i="7"/>
  <c r="I38" i="7"/>
  <c r="H38" i="7"/>
  <c r="F38" i="7"/>
  <c r="C38" i="7"/>
  <c r="AC37" i="7"/>
  <c r="AD37" i="7" s="1"/>
  <c r="AA37" i="7"/>
  <c r="X37" i="7"/>
  <c r="W37" i="7"/>
  <c r="U37" i="7"/>
  <c r="R37" i="7"/>
  <c r="O37" i="7"/>
  <c r="N37" i="7"/>
  <c r="L37" i="7"/>
  <c r="H37" i="7"/>
  <c r="I37" i="7" s="1"/>
  <c r="F37" i="7"/>
  <c r="C37" i="7"/>
  <c r="AC36" i="7"/>
  <c r="AD36" i="7" s="1"/>
  <c r="AA36" i="7"/>
  <c r="X36" i="7"/>
  <c r="W36" i="7"/>
  <c r="U36" i="7"/>
  <c r="R36" i="7"/>
  <c r="N36" i="7"/>
  <c r="O36" i="7" s="1"/>
  <c r="L36" i="7"/>
  <c r="H36" i="7"/>
  <c r="I36" i="7" s="1"/>
  <c r="F36" i="7"/>
  <c r="C36" i="7"/>
  <c r="AD35" i="7"/>
  <c r="AC35" i="7"/>
  <c r="AA35" i="7"/>
  <c r="X35" i="7"/>
  <c r="W35" i="7"/>
  <c r="U35" i="7"/>
  <c r="R35" i="7"/>
  <c r="O35" i="7"/>
  <c r="N35" i="7"/>
  <c r="L35" i="7"/>
  <c r="H35" i="7"/>
  <c r="I35" i="7" s="1"/>
  <c r="F35" i="7"/>
  <c r="C35" i="7"/>
  <c r="AC34" i="7"/>
  <c r="AD34" i="7" s="1"/>
  <c r="AA34" i="7"/>
  <c r="W34" i="7"/>
  <c r="X34" i="7" s="1"/>
  <c r="U34" i="7"/>
  <c r="R34" i="7"/>
  <c r="O34" i="7"/>
  <c r="N34" i="7"/>
  <c r="L34" i="7"/>
  <c r="I34" i="7"/>
  <c r="H34" i="7"/>
  <c r="F34" i="7"/>
  <c r="C34" i="7"/>
  <c r="AC33" i="7"/>
  <c r="AD33" i="7" s="1"/>
  <c r="AA33" i="7"/>
  <c r="X33" i="7"/>
  <c r="W33" i="7"/>
  <c r="U33" i="7"/>
  <c r="R33" i="7"/>
  <c r="N33" i="7"/>
  <c r="O33" i="7" s="1"/>
  <c r="L33" i="7"/>
  <c r="H33" i="7"/>
  <c r="I33" i="7" s="1"/>
  <c r="F33" i="7"/>
  <c r="C33" i="7"/>
  <c r="AC32" i="7"/>
  <c r="AD32" i="7" s="1"/>
  <c r="AA32" i="7"/>
  <c r="X32" i="7"/>
  <c r="W32" i="7"/>
  <c r="U32" i="7"/>
  <c r="R32" i="7"/>
  <c r="N32" i="7"/>
  <c r="O32" i="7" s="1"/>
  <c r="L32" i="7"/>
  <c r="I32" i="7"/>
  <c r="H32" i="7"/>
  <c r="F32" i="7"/>
  <c r="C32" i="7"/>
  <c r="AD31" i="7"/>
  <c r="AC31" i="7"/>
  <c r="AA31" i="7"/>
  <c r="X31" i="7"/>
  <c r="W31" i="7"/>
  <c r="U31" i="7"/>
  <c r="R31" i="7"/>
  <c r="O31" i="7"/>
  <c r="N31" i="7"/>
  <c r="L31" i="7"/>
  <c r="H31" i="7"/>
  <c r="I31" i="7" s="1"/>
  <c r="F31" i="7"/>
  <c r="C31" i="7"/>
  <c r="AA29" i="7"/>
  <c r="Z29" i="7"/>
  <c r="W29" i="7"/>
  <c r="X29" i="7" s="1"/>
  <c r="U29" i="7"/>
  <c r="T29" i="7"/>
  <c r="Q29" i="7"/>
  <c r="R29" i="7" s="1"/>
  <c r="K29" i="7"/>
  <c r="L29" i="7" s="1"/>
  <c r="E29" i="7"/>
  <c r="F29" i="7" s="1"/>
  <c r="C29" i="7"/>
  <c r="B29" i="7"/>
  <c r="N29" i="7" s="1"/>
  <c r="O29" i="7" s="1"/>
  <c r="AC28" i="7"/>
  <c r="AD28" i="7" s="1"/>
  <c r="AA28" i="7"/>
  <c r="X28" i="7"/>
  <c r="W28" i="7"/>
  <c r="U28" i="7"/>
  <c r="R28" i="7"/>
  <c r="N28" i="7"/>
  <c r="O28" i="7" s="1"/>
  <c r="L28" i="7"/>
  <c r="H28" i="7"/>
  <c r="I28" i="7" s="1"/>
  <c r="F28" i="7"/>
  <c r="C28" i="7"/>
  <c r="AD27" i="7"/>
  <c r="AC27" i="7"/>
  <c r="AA27" i="7"/>
  <c r="X27" i="7"/>
  <c r="W27" i="7"/>
  <c r="U27" i="7"/>
  <c r="R27" i="7"/>
  <c r="O27" i="7"/>
  <c r="N27" i="7"/>
  <c r="L27" i="7"/>
  <c r="H27" i="7"/>
  <c r="I27" i="7" s="1"/>
  <c r="F27" i="7"/>
  <c r="C27" i="7"/>
  <c r="AC26" i="7"/>
  <c r="AD26" i="7" s="1"/>
  <c r="AA26" i="7"/>
  <c r="W26" i="7"/>
  <c r="X26" i="7" s="1"/>
  <c r="U26" i="7"/>
  <c r="R26" i="7"/>
  <c r="O26" i="7"/>
  <c r="N26" i="7"/>
  <c r="L26" i="7"/>
  <c r="I26" i="7"/>
  <c r="H26" i="7"/>
  <c r="F26" i="7"/>
  <c r="C26" i="7"/>
  <c r="AC25" i="7"/>
  <c r="AD25" i="7" s="1"/>
  <c r="AA25" i="7"/>
  <c r="X25" i="7"/>
  <c r="W25" i="7"/>
  <c r="U25" i="7"/>
  <c r="R25" i="7"/>
  <c r="N25" i="7"/>
  <c r="O25" i="7" s="1"/>
  <c r="L25" i="7"/>
  <c r="H25" i="7"/>
  <c r="I25" i="7" s="1"/>
  <c r="F25" i="7"/>
  <c r="C25" i="7"/>
  <c r="AC24" i="7"/>
  <c r="AD24" i="7" s="1"/>
  <c r="AA24" i="7"/>
  <c r="X24" i="7"/>
  <c r="W24" i="7"/>
  <c r="U24" i="7"/>
  <c r="R24" i="7"/>
  <c r="N24" i="7"/>
  <c r="O24" i="7" s="1"/>
  <c r="L24" i="7"/>
  <c r="I24" i="7"/>
  <c r="H24" i="7"/>
  <c r="F24" i="7"/>
  <c r="C24" i="7"/>
  <c r="AD23" i="7"/>
  <c r="AC23" i="7"/>
  <c r="AA23" i="7"/>
  <c r="X23" i="7"/>
  <c r="W23" i="7"/>
  <c r="U23" i="7"/>
  <c r="R23" i="7"/>
  <c r="O23" i="7"/>
  <c r="N23" i="7"/>
  <c r="L23" i="7"/>
  <c r="H23" i="7"/>
  <c r="I23" i="7" s="1"/>
  <c r="F23" i="7"/>
  <c r="C23" i="7"/>
  <c r="AC22" i="7"/>
  <c r="AD22" i="7" s="1"/>
  <c r="AA22" i="7"/>
  <c r="W22" i="7"/>
  <c r="X22" i="7" s="1"/>
  <c r="U22" i="7"/>
  <c r="R22" i="7"/>
  <c r="O22" i="7"/>
  <c r="N22" i="7"/>
  <c r="L22" i="7"/>
  <c r="I22" i="7"/>
  <c r="H22" i="7"/>
  <c r="F22" i="7"/>
  <c r="C22" i="7"/>
  <c r="AD21" i="7"/>
  <c r="AC21" i="7"/>
  <c r="AA21" i="7"/>
  <c r="X21" i="7"/>
  <c r="W21" i="7"/>
  <c r="U21" i="7"/>
  <c r="R21" i="7"/>
  <c r="O21" i="7"/>
  <c r="N21" i="7"/>
  <c r="L21" i="7"/>
  <c r="H21" i="7"/>
  <c r="I21" i="7" s="1"/>
  <c r="F21" i="7"/>
  <c r="C21" i="7"/>
  <c r="AC19" i="7"/>
  <c r="AD19" i="7" s="1"/>
  <c r="AA19" i="7"/>
  <c r="X19" i="7"/>
  <c r="W19" i="7"/>
  <c r="U19" i="7"/>
  <c r="R19" i="7"/>
  <c r="N19" i="7"/>
  <c r="O19" i="7" s="1"/>
  <c r="L19" i="7"/>
  <c r="H19" i="7"/>
  <c r="I19" i="7" s="1"/>
  <c r="F19" i="7"/>
  <c r="C19" i="7"/>
  <c r="Z18" i="7"/>
  <c r="AA18" i="7" s="1"/>
  <c r="X18" i="7"/>
  <c r="W18" i="7"/>
  <c r="T18" i="7"/>
  <c r="U18" i="7" s="1"/>
  <c r="R18" i="7"/>
  <c r="Q18" i="7"/>
  <c r="AC18" i="7" s="1"/>
  <c r="AD18" i="7" s="1"/>
  <c r="N18" i="7"/>
  <c r="O18" i="7" s="1"/>
  <c r="L18" i="7"/>
  <c r="K18" i="7"/>
  <c r="F18" i="7"/>
  <c r="E18" i="7"/>
  <c r="B18" i="7"/>
  <c r="C18" i="7" s="1"/>
  <c r="AC17" i="7"/>
  <c r="AD17" i="7" s="1"/>
  <c r="AA17" i="7"/>
  <c r="X17" i="7"/>
  <c r="W17" i="7"/>
  <c r="U17" i="7"/>
  <c r="R17" i="7"/>
  <c r="N17" i="7"/>
  <c r="O17" i="7" s="1"/>
  <c r="L17" i="7"/>
  <c r="H17" i="7"/>
  <c r="I17" i="7" s="1"/>
  <c r="F17" i="7"/>
  <c r="C17" i="7"/>
  <c r="AC16" i="7"/>
  <c r="AD16" i="7" s="1"/>
  <c r="AA16" i="7"/>
  <c r="X16" i="7"/>
  <c r="W16" i="7"/>
  <c r="U16" i="7"/>
  <c r="R16" i="7"/>
  <c r="N16" i="7"/>
  <c r="O16" i="7" s="1"/>
  <c r="L16" i="7"/>
  <c r="I16" i="7"/>
  <c r="H16" i="7"/>
  <c r="F16" i="7"/>
  <c r="C16" i="7"/>
  <c r="AD15" i="7"/>
  <c r="AC15" i="7"/>
  <c r="AA15" i="7"/>
  <c r="X15" i="7"/>
  <c r="W15" i="7"/>
  <c r="U15" i="7"/>
  <c r="R15" i="7"/>
  <c r="O15" i="7"/>
  <c r="N15" i="7"/>
  <c r="L15" i="7"/>
  <c r="H15" i="7"/>
  <c r="I15" i="7" s="1"/>
  <c r="F15" i="7"/>
  <c r="C15" i="7"/>
  <c r="AC14" i="7"/>
  <c r="AD14" i="7" s="1"/>
  <c r="AA14" i="7"/>
  <c r="W14" i="7"/>
  <c r="X14" i="7" s="1"/>
  <c r="U14" i="7"/>
  <c r="R14" i="7"/>
  <c r="O14" i="7"/>
  <c r="N14" i="7"/>
  <c r="L14" i="7"/>
  <c r="I14" i="7"/>
  <c r="H14" i="7"/>
  <c r="F14" i="7"/>
  <c r="C14" i="7"/>
  <c r="AD13" i="7"/>
  <c r="AC13" i="7"/>
  <c r="AA13" i="7"/>
  <c r="X13" i="7"/>
  <c r="W13" i="7"/>
  <c r="U13" i="7"/>
  <c r="R13" i="7"/>
  <c r="O13" i="7"/>
  <c r="N13" i="7"/>
  <c r="L13" i="7"/>
  <c r="I13" i="7"/>
  <c r="H13" i="7"/>
  <c r="F13" i="7"/>
  <c r="C13" i="7"/>
  <c r="AC12" i="7"/>
  <c r="AD12" i="7" s="1"/>
  <c r="AA12" i="7"/>
  <c r="X12" i="7"/>
  <c r="W12" i="7"/>
  <c r="U12" i="7"/>
  <c r="R12" i="7"/>
  <c r="N12" i="7"/>
  <c r="O12" i="7" s="1"/>
  <c r="L12" i="7"/>
  <c r="H12" i="7"/>
  <c r="I12" i="7" s="1"/>
  <c r="F12" i="7"/>
  <c r="C12" i="7"/>
  <c r="AD11" i="7"/>
  <c r="AC11" i="7"/>
  <c r="AA11" i="7"/>
  <c r="W11" i="7"/>
  <c r="X11" i="7" s="1"/>
  <c r="U11" i="7"/>
  <c r="R11" i="7"/>
  <c r="O11" i="7"/>
  <c r="N11" i="7"/>
  <c r="L11" i="7"/>
  <c r="H11" i="7"/>
  <c r="I11" i="7" s="1"/>
  <c r="F11" i="7"/>
  <c r="C11" i="7"/>
  <c r="AD10" i="7"/>
  <c r="AC10" i="7"/>
  <c r="AA10" i="7"/>
  <c r="W10" i="7"/>
  <c r="X10" i="7" s="1"/>
  <c r="U10" i="7"/>
  <c r="R10" i="7"/>
  <c r="N10" i="7"/>
  <c r="O10" i="7" s="1"/>
  <c r="L10" i="7"/>
  <c r="I10" i="7"/>
  <c r="H10" i="7"/>
  <c r="F10" i="7"/>
  <c r="C10" i="7"/>
  <c r="AC8" i="7"/>
  <c r="AD8" i="7" s="1"/>
  <c r="AA8" i="7"/>
  <c r="X8" i="7"/>
  <c r="W8" i="7"/>
  <c r="U8" i="7"/>
  <c r="R8" i="7"/>
  <c r="O8" i="7"/>
  <c r="N8" i="7"/>
  <c r="L8" i="7"/>
  <c r="H8" i="7"/>
  <c r="I8" i="7" s="1"/>
  <c r="F8" i="7"/>
  <c r="C8" i="7"/>
  <c r="AC444" i="6"/>
  <c r="W444" i="6"/>
  <c r="X437" i="6" s="1"/>
  <c r="N444" i="6"/>
  <c r="H444" i="6"/>
  <c r="I398" i="6" s="1"/>
  <c r="AC442" i="6"/>
  <c r="AD442" i="6" s="1"/>
  <c r="AA442" i="6"/>
  <c r="Z442" i="6"/>
  <c r="W442" i="6"/>
  <c r="X442" i="6" s="1"/>
  <c r="U442" i="6"/>
  <c r="T442" i="6"/>
  <c r="Q442" i="6"/>
  <c r="R442" i="6" s="1"/>
  <c r="K442" i="6"/>
  <c r="L442" i="6" s="1"/>
  <c r="E442" i="6"/>
  <c r="F442" i="6" s="1"/>
  <c r="B442" i="6"/>
  <c r="AC441" i="6"/>
  <c r="AD441" i="6" s="1"/>
  <c r="AA441" i="6"/>
  <c r="Z441" i="6"/>
  <c r="T441" i="6"/>
  <c r="U441" i="6" s="1"/>
  <c r="R441" i="6"/>
  <c r="Q441" i="6"/>
  <c r="K441" i="6"/>
  <c r="L441" i="6" s="1"/>
  <c r="E441" i="6"/>
  <c r="H441" i="6" s="1"/>
  <c r="I441" i="6" s="1"/>
  <c r="C441" i="6"/>
  <c r="B441" i="6"/>
  <c r="N441" i="6" s="1"/>
  <c r="O441" i="6" s="1"/>
  <c r="AC440" i="6"/>
  <c r="AD440" i="6" s="1"/>
  <c r="AA440" i="6"/>
  <c r="X440" i="6"/>
  <c r="W440" i="6"/>
  <c r="U440" i="6"/>
  <c r="R440" i="6"/>
  <c r="N440" i="6"/>
  <c r="O440" i="6" s="1"/>
  <c r="L440" i="6"/>
  <c r="H440" i="6"/>
  <c r="I440" i="6" s="1"/>
  <c r="F440" i="6"/>
  <c r="C440" i="6"/>
  <c r="AD439" i="6"/>
  <c r="AC439" i="6"/>
  <c r="AA439" i="6"/>
  <c r="X439" i="6"/>
  <c r="W439" i="6"/>
  <c r="U439" i="6"/>
  <c r="R439" i="6"/>
  <c r="O439" i="6"/>
  <c r="N439" i="6"/>
  <c r="L439" i="6"/>
  <c r="H439" i="6"/>
  <c r="I439" i="6" s="1"/>
  <c r="F439" i="6"/>
  <c r="C439" i="6"/>
  <c r="AD438" i="6"/>
  <c r="AC438" i="6"/>
  <c r="AA438" i="6"/>
  <c r="W438" i="6"/>
  <c r="X438" i="6" s="1"/>
  <c r="U438" i="6"/>
  <c r="R438" i="6"/>
  <c r="O438" i="6"/>
  <c r="N438" i="6"/>
  <c r="L438" i="6"/>
  <c r="H438" i="6"/>
  <c r="F438" i="6"/>
  <c r="C438" i="6"/>
  <c r="AC437" i="6"/>
  <c r="AD437" i="6" s="1"/>
  <c r="AA437" i="6"/>
  <c r="W437" i="6"/>
  <c r="U437" i="6"/>
  <c r="R437" i="6"/>
  <c r="N437" i="6"/>
  <c r="O437" i="6" s="1"/>
  <c r="L437" i="6"/>
  <c r="I437" i="6"/>
  <c r="H437" i="6"/>
  <c r="F437" i="6"/>
  <c r="C437" i="6"/>
  <c r="AC436" i="6"/>
  <c r="AD436" i="6" s="1"/>
  <c r="AA436" i="6"/>
  <c r="X436" i="6"/>
  <c r="W436" i="6"/>
  <c r="U436" i="6"/>
  <c r="R436" i="6"/>
  <c r="N436" i="6"/>
  <c r="O436" i="6" s="1"/>
  <c r="L436" i="6"/>
  <c r="H436" i="6"/>
  <c r="I436" i="6" s="1"/>
  <c r="F436" i="6"/>
  <c r="C436" i="6"/>
  <c r="AD435" i="6"/>
  <c r="AC435" i="6"/>
  <c r="AA435" i="6"/>
  <c r="X435" i="6"/>
  <c r="W435" i="6"/>
  <c r="U435" i="6"/>
  <c r="R435" i="6"/>
  <c r="O435" i="6"/>
  <c r="N435" i="6"/>
  <c r="L435" i="6"/>
  <c r="H435" i="6"/>
  <c r="F435" i="6"/>
  <c r="C435" i="6"/>
  <c r="AC434" i="6"/>
  <c r="AD434" i="6" s="1"/>
  <c r="AA434" i="6"/>
  <c r="W434" i="6"/>
  <c r="X434" i="6" s="1"/>
  <c r="U434" i="6"/>
  <c r="R434" i="6"/>
  <c r="O434" i="6"/>
  <c r="N434" i="6"/>
  <c r="L434" i="6"/>
  <c r="H434" i="6"/>
  <c r="F434" i="6"/>
  <c r="C434" i="6"/>
  <c r="AC433" i="6"/>
  <c r="AD433" i="6" s="1"/>
  <c r="AA433" i="6"/>
  <c r="W433" i="6"/>
  <c r="X433" i="6" s="1"/>
  <c r="U433" i="6"/>
  <c r="R433" i="6"/>
  <c r="O433" i="6"/>
  <c r="N433" i="6"/>
  <c r="L433" i="6"/>
  <c r="H433" i="6"/>
  <c r="F433" i="6"/>
  <c r="C433" i="6"/>
  <c r="AC432" i="6"/>
  <c r="AD432" i="6" s="1"/>
  <c r="AA432" i="6"/>
  <c r="W432" i="6"/>
  <c r="X432" i="6" s="1"/>
  <c r="U432" i="6"/>
  <c r="R432" i="6"/>
  <c r="N432" i="6"/>
  <c r="O432" i="6" s="1"/>
  <c r="L432" i="6"/>
  <c r="H432" i="6"/>
  <c r="I432" i="6" s="1"/>
  <c r="F432" i="6"/>
  <c r="C432" i="6"/>
  <c r="Z429" i="6"/>
  <c r="AA429" i="6" s="1"/>
  <c r="W429" i="6"/>
  <c r="X429" i="6" s="1"/>
  <c r="U429" i="6"/>
  <c r="T429" i="6"/>
  <c r="R429" i="6"/>
  <c r="Q429" i="6"/>
  <c r="AC429" i="6" s="1"/>
  <c r="AD429" i="6" s="1"/>
  <c r="K429" i="6"/>
  <c r="L429" i="6" s="1"/>
  <c r="H429" i="6"/>
  <c r="I429" i="6" s="1"/>
  <c r="F429" i="6"/>
  <c r="E429" i="6"/>
  <c r="B429" i="6"/>
  <c r="C429" i="6" s="1"/>
  <c r="AA428" i="6"/>
  <c r="Z428" i="6"/>
  <c r="T428" i="6"/>
  <c r="U428" i="6" s="1"/>
  <c r="Q428" i="6"/>
  <c r="AC428" i="6" s="1"/>
  <c r="AD428" i="6" s="1"/>
  <c r="L428" i="6"/>
  <c r="K428" i="6"/>
  <c r="H428" i="6"/>
  <c r="I428" i="6" s="1"/>
  <c r="F428" i="6"/>
  <c r="E428" i="6"/>
  <c r="C428" i="6"/>
  <c r="B428" i="6"/>
  <c r="N428" i="6" s="1"/>
  <c r="O428" i="6" s="1"/>
  <c r="AD427" i="6"/>
  <c r="AC427" i="6"/>
  <c r="AA427" i="6"/>
  <c r="W427" i="6"/>
  <c r="X427" i="6" s="1"/>
  <c r="U427" i="6"/>
  <c r="R427" i="6"/>
  <c r="O427" i="6"/>
  <c r="N427" i="6"/>
  <c r="L427" i="6"/>
  <c r="H427" i="6"/>
  <c r="I427" i="6" s="1"/>
  <c r="F427" i="6"/>
  <c r="C427" i="6"/>
  <c r="AC426" i="6"/>
  <c r="AD426" i="6" s="1"/>
  <c r="AA426" i="6"/>
  <c r="W426" i="6"/>
  <c r="U426" i="6"/>
  <c r="R426" i="6"/>
  <c r="O426" i="6"/>
  <c r="N426" i="6"/>
  <c r="L426" i="6"/>
  <c r="H426" i="6"/>
  <c r="F426" i="6"/>
  <c r="C426" i="6"/>
  <c r="AC425" i="6"/>
  <c r="AD425" i="6" s="1"/>
  <c r="AA425" i="6"/>
  <c r="W425" i="6"/>
  <c r="X425" i="6" s="1"/>
  <c r="U425" i="6"/>
  <c r="R425" i="6"/>
  <c r="N425" i="6"/>
  <c r="O425" i="6" s="1"/>
  <c r="L425" i="6"/>
  <c r="I425" i="6"/>
  <c r="H425" i="6"/>
  <c r="F425" i="6"/>
  <c r="C425" i="6"/>
  <c r="AC424" i="6"/>
  <c r="AD424" i="6" s="1"/>
  <c r="AA424" i="6"/>
  <c r="X424" i="6"/>
  <c r="W424" i="6"/>
  <c r="U424" i="6"/>
  <c r="R424" i="6"/>
  <c r="N424" i="6"/>
  <c r="O424" i="6" s="1"/>
  <c r="L424" i="6"/>
  <c r="H424" i="6"/>
  <c r="I424" i="6" s="1"/>
  <c r="F424" i="6"/>
  <c r="C424" i="6"/>
  <c r="AD423" i="6"/>
  <c r="AC423" i="6"/>
  <c r="AA423" i="6"/>
  <c r="X423" i="6"/>
  <c r="W423" i="6"/>
  <c r="U423" i="6"/>
  <c r="R423" i="6"/>
  <c r="O423" i="6"/>
  <c r="N423" i="6"/>
  <c r="L423" i="6"/>
  <c r="H423" i="6"/>
  <c r="F423" i="6"/>
  <c r="C423" i="6"/>
  <c r="AC422" i="6"/>
  <c r="AD422" i="6" s="1"/>
  <c r="AA422" i="6"/>
  <c r="W422" i="6"/>
  <c r="X422" i="6" s="1"/>
  <c r="U422" i="6"/>
  <c r="R422" i="6"/>
  <c r="O422" i="6"/>
  <c r="N422" i="6"/>
  <c r="L422" i="6"/>
  <c r="I422" i="6"/>
  <c r="H422" i="6"/>
  <c r="F422" i="6"/>
  <c r="C422" i="6"/>
  <c r="AD421" i="6"/>
  <c r="AC421" i="6"/>
  <c r="AA421" i="6"/>
  <c r="W421" i="6"/>
  <c r="X421" i="6" s="1"/>
  <c r="U421" i="6"/>
  <c r="R421" i="6"/>
  <c r="N421" i="6"/>
  <c r="O421" i="6" s="1"/>
  <c r="L421" i="6"/>
  <c r="H421" i="6"/>
  <c r="I421" i="6" s="1"/>
  <c r="F421" i="6"/>
  <c r="C421" i="6"/>
  <c r="AC420" i="6"/>
  <c r="AD420" i="6" s="1"/>
  <c r="AA420" i="6"/>
  <c r="X420" i="6"/>
  <c r="W420" i="6"/>
  <c r="U420" i="6"/>
  <c r="R420" i="6"/>
  <c r="N420" i="6"/>
  <c r="O420" i="6" s="1"/>
  <c r="L420" i="6"/>
  <c r="I420" i="6"/>
  <c r="H420" i="6"/>
  <c r="F420" i="6"/>
  <c r="C420" i="6"/>
  <c r="AD419" i="6"/>
  <c r="AC419" i="6"/>
  <c r="AA419" i="6"/>
  <c r="W419" i="6"/>
  <c r="X419" i="6" s="1"/>
  <c r="U419" i="6"/>
  <c r="R419" i="6"/>
  <c r="O419" i="6"/>
  <c r="N419" i="6"/>
  <c r="L419" i="6"/>
  <c r="H419" i="6"/>
  <c r="I419" i="6" s="1"/>
  <c r="F419" i="6"/>
  <c r="C419" i="6"/>
  <c r="AC418" i="6"/>
  <c r="AD418" i="6" s="1"/>
  <c r="AA418" i="6"/>
  <c r="W418" i="6"/>
  <c r="U418" i="6"/>
  <c r="R418" i="6"/>
  <c r="O418" i="6"/>
  <c r="N418" i="6"/>
  <c r="L418" i="6"/>
  <c r="H418" i="6"/>
  <c r="F418" i="6"/>
  <c r="C418" i="6"/>
  <c r="AD417" i="6"/>
  <c r="AC417" i="6"/>
  <c r="AA417" i="6"/>
  <c r="W417" i="6"/>
  <c r="X417" i="6" s="1"/>
  <c r="U417" i="6"/>
  <c r="R417" i="6"/>
  <c r="N417" i="6"/>
  <c r="O417" i="6" s="1"/>
  <c r="L417" i="6"/>
  <c r="I417" i="6"/>
  <c r="H417" i="6"/>
  <c r="F417" i="6"/>
  <c r="C417" i="6"/>
  <c r="AC416" i="6"/>
  <c r="AD416" i="6" s="1"/>
  <c r="AA416" i="6"/>
  <c r="X416" i="6"/>
  <c r="W416" i="6"/>
  <c r="U416" i="6"/>
  <c r="R416" i="6"/>
  <c r="N416" i="6"/>
  <c r="O416" i="6" s="1"/>
  <c r="L416" i="6"/>
  <c r="H416" i="6"/>
  <c r="I416" i="6" s="1"/>
  <c r="F416" i="6"/>
  <c r="C416" i="6"/>
  <c r="AD415" i="6"/>
  <c r="AC415" i="6"/>
  <c r="AA415" i="6"/>
  <c r="X415" i="6"/>
  <c r="W415" i="6"/>
  <c r="U415" i="6"/>
  <c r="R415" i="6"/>
  <c r="O415" i="6"/>
  <c r="N415" i="6"/>
  <c r="L415" i="6"/>
  <c r="H415" i="6"/>
  <c r="F415" i="6"/>
  <c r="C415" i="6"/>
  <c r="AC414" i="6"/>
  <c r="AD414" i="6" s="1"/>
  <c r="AA414" i="6"/>
  <c r="W414" i="6"/>
  <c r="X414" i="6" s="1"/>
  <c r="U414" i="6"/>
  <c r="R414" i="6"/>
  <c r="O414" i="6"/>
  <c r="N414" i="6"/>
  <c r="L414" i="6"/>
  <c r="I414" i="6"/>
  <c r="H414" i="6"/>
  <c r="F414" i="6"/>
  <c r="C414" i="6"/>
  <c r="AD413" i="6"/>
  <c r="AC413" i="6"/>
  <c r="AA413" i="6"/>
  <c r="X413" i="6"/>
  <c r="W413" i="6"/>
  <c r="U413" i="6"/>
  <c r="R413" i="6"/>
  <c r="N413" i="6"/>
  <c r="O413" i="6" s="1"/>
  <c r="L413" i="6"/>
  <c r="H413" i="6"/>
  <c r="I413" i="6" s="1"/>
  <c r="F413" i="6"/>
  <c r="C413" i="6"/>
  <c r="AC412" i="6"/>
  <c r="AD412" i="6" s="1"/>
  <c r="AA412" i="6"/>
  <c r="X412" i="6"/>
  <c r="W412" i="6"/>
  <c r="U412" i="6"/>
  <c r="R412" i="6"/>
  <c r="N412" i="6"/>
  <c r="O412" i="6" s="1"/>
  <c r="L412" i="6"/>
  <c r="I412" i="6"/>
  <c r="H412" i="6"/>
  <c r="F412" i="6"/>
  <c r="C412" i="6"/>
  <c r="AD411" i="6"/>
  <c r="AC411" i="6"/>
  <c r="AA411" i="6"/>
  <c r="X411" i="6"/>
  <c r="W411" i="6"/>
  <c r="U411" i="6"/>
  <c r="R411" i="6"/>
  <c r="O411" i="6"/>
  <c r="N411" i="6"/>
  <c r="L411" i="6"/>
  <c r="H411" i="6"/>
  <c r="I411" i="6" s="1"/>
  <c r="F411" i="6"/>
  <c r="C411" i="6"/>
  <c r="AC410" i="6"/>
  <c r="AD410" i="6" s="1"/>
  <c r="AA410" i="6"/>
  <c r="W410" i="6"/>
  <c r="U410" i="6"/>
  <c r="R410" i="6"/>
  <c r="N410" i="6"/>
  <c r="O410" i="6" s="1"/>
  <c r="L410" i="6"/>
  <c r="H410" i="6"/>
  <c r="F410" i="6"/>
  <c r="C410" i="6"/>
  <c r="AD409" i="6"/>
  <c r="AC409" i="6"/>
  <c r="AA409" i="6"/>
  <c r="W409" i="6"/>
  <c r="X409" i="6" s="1"/>
  <c r="U409" i="6"/>
  <c r="R409" i="6"/>
  <c r="O409" i="6"/>
  <c r="N409" i="6"/>
  <c r="L409" i="6"/>
  <c r="I409" i="6"/>
  <c r="H409" i="6"/>
  <c r="F409" i="6"/>
  <c r="C409" i="6"/>
  <c r="AC408" i="6"/>
  <c r="AD408" i="6" s="1"/>
  <c r="AA408" i="6"/>
  <c r="W408" i="6"/>
  <c r="X408" i="6" s="1"/>
  <c r="U408" i="6"/>
  <c r="R408" i="6"/>
  <c r="N408" i="6"/>
  <c r="O408" i="6" s="1"/>
  <c r="L408" i="6"/>
  <c r="H408" i="6"/>
  <c r="I408" i="6" s="1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H407" i="6"/>
  <c r="F407" i="6"/>
  <c r="C407" i="6"/>
  <c r="AA403" i="6"/>
  <c r="Z403" i="6"/>
  <c r="W403" i="6"/>
  <c r="X403" i="6" s="1"/>
  <c r="U403" i="6"/>
  <c r="T403" i="6"/>
  <c r="Q403" i="6"/>
  <c r="R403" i="6" s="1"/>
  <c r="N403" i="6"/>
  <c r="O403" i="6" s="1"/>
  <c r="L403" i="6"/>
  <c r="K403" i="6"/>
  <c r="I403" i="6"/>
  <c r="E403" i="6"/>
  <c r="F403" i="6" s="1"/>
  <c r="C403" i="6"/>
  <c r="B403" i="6"/>
  <c r="H403" i="6" s="1"/>
  <c r="AC402" i="6"/>
  <c r="AD402" i="6" s="1"/>
  <c r="AA402" i="6"/>
  <c r="W402" i="6"/>
  <c r="X402" i="6" s="1"/>
  <c r="U402" i="6"/>
  <c r="R402" i="6"/>
  <c r="O402" i="6"/>
  <c r="N402" i="6"/>
  <c r="L402" i="6"/>
  <c r="I402" i="6"/>
  <c r="H402" i="6"/>
  <c r="F402" i="6"/>
  <c r="C402" i="6"/>
  <c r="AC401" i="6"/>
  <c r="AD401" i="6" s="1"/>
  <c r="AA401" i="6"/>
  <c r="W401" i="6"/>
  <c r="X401" i="6" s="1"/>
  <c r="U401" i="6"/>
  <c r="R401" i="6"/>
  <c r="O401" i="6"/>
  <c r="N401" i="6"/>
  <c r="L401" i="6"/>
  <c r="H401" i="6"/>
  <c r="F401" i="6"/>
  <c r="C401" i="6"/>
  <c r="AC400" i="6"/>
  <c r="AD400" i="6" s="1"/>
  <c r="AA400" i="6"/>
  <c r="W400" i="6"/>
  <c r="X400" i="6" s="1"/>
  <c r="U400" i="6"/>
  <c r="R400" i="6"/>
  <c r="N400" i="6"/>
  <c r="O400" i="6" s="1"/>
  <c r="L400" i="6"/>
  <c r="H400" i="6"/>
  <c r="I400" i="6" s="1"/>
  <c r="F400" i="6"/>
  <c r="C400" i="6"/>
  <c r="AD399" i="6"/>
  <c r="AC399" i="6"/>
  <c r="AA399" i="6"/>
  <c r="X399" i="6"/>
  <c r="W399" i="6"/>
  <c r="U399" i="6"/>
  <c r="R399" i="6"/>
  <c r="O399" i="6"/>
  <c r="N399" i="6"/>
  <c r="L399" i="6"/>
  <c r="H399" i="6"/>
  <c r="I399" i="6" s="1"/>
  <c r="F399" i="6"/>
  <c r="C399" i="6"/>
  <c r="AD398" i="6"/>
  <c r="AC398" i="6"/>
  <c r="AA398" i="6"/>
  <c r="W398" i="6"/>
  <c r="X398" i="6" s="1"/>
  <c r="U398" i="6"/>
  <c r="R398" i="6"/>
  <c r="O398" i="6"/>
  <c r="N398" i="6"/>
  <c r="L398" i="6"/>
  <c r="H398" i="6"/>
  <c r="F398" i="6"/>
  <c r="C398" i="6"/>
  <c r="AD397" i="6"/>
  <c r="AC397" i="6"/>
  <c r="AA397" i="6"/>
  <c r="X397" i="6"/>
  <c r="W397" i="6"/>
  <c r="U397" i="6"/>
  <c r="R397" i="6"/>
  <c r="N397" i="6"/>
  <c r="O397" i="6" s="1"/>
  <c r="L397" i="6"/>
  <c r="H397" i="6"/>
  <c r="I397" i="6" s="1"/>
  <c r="F397" i="6"/>
  <c r="C397" i="6"/>
  <c r="Z396" i="6"/>
  <c r="AA396" i="6" s="1"/>
  <c r="W396" i="6"/>
  <c r="X396" i="6" s="1"/>
  <c r="U396" i="6"/>
  <c r="T396" i="6"/>
  <c r="Q396" i="6"/>
  <c r="R396" i="6" s="1"/>
  <c r="K396" i="6"/>
  <c r="L396" i="6" s="1"/>
  <c r="E396" i="6"/>
  <c r="F396" i="6" s="1"/>
  <c r="B396" i="6"/>
  <c r="N396" i="6" s="1"/>
  <c r="O396" i="6" s="1"/>
  <c r="AD395" i="6"/>
  <c r="AC395" i="6"/>
  <c r="AA395" i="6"/>
  <c r="W395" i="6"/>
  <c r="X395" i="6" s="1"/>
  <c r="U395" i="6"/>
  <c r="R395" i="6"/>
  <c r="N395" i="6"/>
  <c r="O395" i="6" s="1"/>
  <c r="L395" i="6"/>
  <c r="H395" i="6"/>
  <c r="F395" i="6"/>
  <c r="C395" i="6"/>
  <c r="AD394" i="6"/>
  <c r="AC394" i="6"/>
  <c r="AA394" i="6"/>
  <c r="X394" i="6"/>
  <c r="W394" i="6"/>
  <c r="U394" i="6"/>
  <c r="R394" i="6"/>
  <c r="O394" i="6"/>
  <c r="N394" i="6"/>
  <c r="L394" i="6"/>
  <c r="H394" i="6"/>
  <c r="F394" i="6"/>
  <c r="C394" i="6"/>
  <c r="Z393" i="6"/>
  <c r="AA393" i="6" s="1"/>
  <c r="U393" i="6"/>
  <c r="T393" i="6"/>
  <c r="Q393" i="6"/>
  <c r="AC393" i="6" s="1"/>
  <c r="AD393" i="6" s="1"/>
  <c r="N393" i="6"/>
  <c r="O393" i="6" s="1"/>
  <c r="L393" i="6"/>
  <c r="K393" i="6"/>
  <c r="E393" i="6"/>
  <c r="F393" i="6" s="1"/>
  <c r="B393" i="6"/>
  <c r="AC392" i="6"/>
  <c r="AD392" i="6" s="1"/>
  <c r="AA392" i="6"/>
  <c r="W392" i="6"/>
  <c r="U392" i="6"/>
  <c r="R392" i="6"/>
  <c r="N392" i="6"/>
  <c r="O392" i="6" s="1"/>
  <c r="L392" i="6"/>
  <c r="I392" i="6"/>
  <c r="H392" i="6"/>
  <c r="F392" i="6"/>
  <c r="C392" i="6"/>
  <c r="AD391" i="6"/>
  <c r="AC391" i="6"/>
  <c r="AA391" i="6"/>
  <c r="X391" i="6"/>
  <c r="W391" i="6"/>
  <c r="U391" i="6"/>
  <c r="R391" i="6"/>
  <c r="O391" i="6"/>
  <c r="N391" i="6"/>
  <c r="L391" i="6"/>
  <c r="I391" i="6"/>
  <c r="H391" i="6"/>
  <c r="F391" i="6"/>
  <c r="C391" i="6"/>
  <c r="AC390" i="6"/>
  <c r="AD390" i="6" s="1"/>
  <c r="AA390" i="6"/>
  <c r="X390" i="6"/>
  <c r="W390" i="6"/>
  <c r="U390" i="6"/>
  <c r="R390" i="6"/>
  <c r="N390" i="6"/>
  <c r="O390" i="6" s="1"/>
  <c r="L390" i="6"/>
  <c r="H390" i="6"/>
  <c r="I390" i="6" s="1"/>
  <c r="F390" i="6"/>
  <c r="C390" i="6"/>
  <c r="AD389" i="6"/>
  <c r="AC389" i="6"/>
  <c r="AA389" i="6"/>
  <c r="X389" i="6"/>
  <c r="W389" i="6"/>
  <c r="U389" i="6"/>
  <c r="R389" i="6"/>
  <c r="N389" i="6"/>
  <c r="O389" i="6" s="1"/>
  <c r="L389" i="6"/>
  <c r="H389" i="6"/>
  <c r="I389" i="6" s="1"/>
  <c r="F389" i="6"/>
  <c r="C389" i="6"/>
  <c r="AD388" i="6"/>
  <c r="AC388" i="6"/>
  <c r="AA388" i="6"/>
  <c r="W388" i="6"/>
  <c r="X388" i="6" s="1"/>
  <c r="U388" i="6"/>
  <c r="R388" i="6"/>
  <c r="O388" i="6"/>
  <c r="N388" i="6"/>
  <c r="L388" i="6"/>
  <c r="H388" i="6"/>
  <c r="F388" i="6"/>
  <c r="C388" i="6"/>
  <c r="AC386" i="6"/>
  <c r="AD386" i="6" s="1"/>
  <c r="AA386" i="6"/>
  <c r="X386" i="6"/>
  <c r="W386" i="6"/>
  <c r="U386" i="6"/>
  <c r="R386" i="6"/>
  <c r="O386" i="6"/>
  <c r="N386" i="6"/>
  <c r="L386" i="6"/>
  <c r="H386" i="6"/>
  <c r="I386" i="6" s="1"/>
  <c r="F386" i="6"/>
  <c r="C386" i="6"/>
  <c r="AC385" i="6"/>
  <c r="AD385" i="6" s="1"/>
  <c r="AA385" i="6"/>
  <c r="X385" i="6"/>
  <c r="W385" i="6"/>
  <c r="U385" i="6"/>
  <c r="R385" i="6"/>
  <c r="N385" i="6"/>
  <c r="O385" i="6" s="1"/>
  <c r="L385" i="6"/>
  <c r="I385" i="6"/>
  <c r="H385" i="6"/>
  <c r="F385" i="6"/>
  <c r="C385" i="6"/>
  <c r="AD383" i="6"/>
  <c r="AC383" i="6"/>
  <c r="AA383" i="6"/>
  <c r="W383" i="6"/>
  <c r="X383" i="6" s="1"/>
  <c r="U383" i="6"/>
  <c r="R383" i="6"/>
  <c r="O383" i="6"/>
  <c r="N383" i="6"/>
  <c r="L383" i="6"/>
  <c r="H383" i="6"/>
  <c r="F383" i="6"/>
  <c r="C383" i="6"/>
  <c r="AC382" i="6"/>
  <c r="AD382" i="6" s="1"/>
  <c r="AA382" i="6"/>
  <c r="W382" i="6"/>
  <c r="X382" i="6" s="1"/>
  <c r="U382" i="6"/>
  <c r="R382" i="6"/>
  <c r="N382" i="6"/>
  <c r="O382" i="6" s="1"/>
  <c r="L382" i="6"/>
  <c r="I382" i="6"/>
  <c r="H382" i="6"/>
  <c r="F382" i="6"/>
  <c r="C382" i="6"/>
  <c r="AD381" i="6"/>
  <c r="AC381" i="6"/>
  <c r="AA381" i="6"/>
  <c r="W381" i="6"/>
  <c r="X381" i="6" s="1"/>
  <c r="U381" i="6"/>
  <c r="R381" i="6"/>
  <c r="O381" i="6"/>
  <c r="N381" i="6"/>
  <c r="L381" i="6"/>
  <c r="H381" i="6"/>
  <c r="I381" i="6" s="1"/>
  <c r="F381" i="6"/>
  <c r="C381" i="6"/>
  <c r="AC380" i="6"/>
  <c r="AD380" i="6" s="1"/>
  <c r="AA380" i="6"/>
  <c r="X380" i="6"/>
  <c r="W380" i="6"/>
  <c r="U380" i="6"/>
  <c r="R380" i="6"/>
  <c r="N380" i="6"/>
  <c r="O380" i="6" s="1"/>
  <c r="L380" i="6"/>
  <c r="H380" i="6"/>
  <c r="I380" i="6" s="1"/>
  <c r="F380" i="6"/>
  <c r="C380" i="6"/>
  <c r="AD379" i="6"/>
  <c r="AC379" i="6"/>
  <c r="AA379" i="6"/>
  <c r="X379" i="6"/>
  <c r="W379" i="6"/>
  <c r="U379" i="6"/>
  <c r="R379" i="6"/>
  <c r="N379" i="6"/>
  <c r="O379" i="6" s="1"/>
  <c r="L379" i="6"/>
  <c r="H379" i="6"/>
  <c r="I379" i="6" s="1"/>
  <c r="F379" i="6"/>
  <c r="C379" i="6"/>
  <c r="AD378" i="6"/>
  <c r="AC378" i="6"/>
  <c r="AA378" i="6"/>
  <c r="W378" i="6"/>
  <c r="X378" i="6" s="1"/>
  <c r="U378" i="6"/>
  <c r="R378" i="6"/>
  <c r="O378" i="6"/>
  <c r="N378" i="6"/>
  <c r="L378" i="6"/>
  <c r="H378" i="6"/>
  <c r="F378" i="6"/>
  <c r="C378" i="6"/>
  <c r="AC377" i="6"/>
  <c r="AD377" i="6" s="1"/>
  <c r="AA377" i="6"/>
  <c r="X377" i="6"/>
  <c r="W377" i="6"/>
  <c r="U377" i="6"/>
  <c r="R377" i="6"/>
  <c r="O377" i="6"/>
  <c r="N377" i="6"/>
  <c r="L377" i="6"/>
  <c r="H377" i="6"/>
  <c r="I377" i="6" s="1"/>
  <c r="F377" i="6"/>
  <c r="C377" i="6"/>
  <c r="AC376" i="6"/>
  <c r="AD376" i="6" s="1"/>
  <c r="AA376" i="6"/>
  <c r="X376" i="6"/>
  <c r="W376" i="6"/>
  <c r="U376" i="6"/>
  <c r="R376" i="6"/>
  <c r="N376" i="6"/>
  <c r="O376" i="6" s="1"/>
  <c r="L376" i="6"/>
  <c r="I376" i="6"/>
  <c r="H376" i="6"/>
  <c r="F376" i="6"/>
  <c r="C376" i="6"/>
  <c r="AD375" i="6"/>
  <c r="AC375" i="6"/>
  <c r="AA375" i="6"/>
  <c r="W375" i="6"/>
  <c r="X375" i="6" s="1"/>
  <c r="U375" i="6"/>
  <c r="R375" i="6"/>
  <c r="O375" i="6"/>
  <c r="N375" i="6"/>
  <c r="L375" i="6"/>
  <c r="H375" i="6"/>
  <c r="F375" i="6"/>
  <c r="C375" i="6"/>
  <c r="AD374" i="6"/>
  <c r="AC374" i="6"/>
  <c r="AA374" i="6"/>
  <c r="W374" i="6"/>
  <c r="X374" i="6" s="1"/>
  <c r="U374" i="6"/>
  <c r="R374" i="6"/>
  <c r="N374" i="6"/>
  <c r="O374" i="6" s="1"/>
  <c r="L374" i="6"/>
  <c r="I374" i="6"/>
  <c r="H374" i="6"/>
  <c r="F374" i="6"/>
  <c r="C374" i="6"/>
  <c r="AD373" i="6"/>
  <c r="AC373" i="6"/>
  <c r="AA373" i="6"/>
  <c r="X373" i="6"/>
  <c r="W373" i="6"/>
  <c r="U373" i="6"/>
  <c r="R373" i="6"/>
  <c r="O373" i="6"/>
  <c r="N373" i="6"/>
  <c r="L373" i="6"/>
  <c r="H373" i="6"/>
  <c r="I373" i="6" s="1"/>
  <c r="F373" i="6"/>
  <c r="C373" i="6"/>
  <c r="AC372" i="6"/>
  <c r="AD372" i="6" s="1"/>
  <c r="AA372" i="6"/>
  <c r="X372" i="6"/>
  <c r="W372" i="6"/>
  <c r="U372" i="6"/>
  <c r="R372" i="6"/>
  <c r="N372" i="6"/>
  <c r="O372" i="6" s="1"/>
  <c r="L372" i="6"/>
  <c r="H372" i="6"/>
  <c r="I372" i="6" s="1"/>
  <c r="F372" i="6"/>
  <c r="C372" i="6"/>
  <c r="AD371" i="6"/>
  <c r="AC371" i="6"/>
  <c r="AA371" i="6"/>
  <c r="X371" i="6"/>
  <c r="W371" i="6"/>
  <c r="U371" i="6"/>
  <c r="R371" i="6"/>
  <c r="N371" i="6"/>
  <c r="O371" i="6" s="1"/>
  <c r="L371" i="6"/>
  <c r="H371" i="6"/>
  <c r="I371" i="6" s="1"/>
  <c r="F371" i="6"/>
  <c r="C371" i="6"/>
  <c r="AD370" i="6"/>
  <c r="AC370" i="6"/>
  <c r="AA370" i="6"/>
  <c r="W370" i="6"/>
  <c r="X370" i="6" s="1"/>
  <c r="U370" i="6"/>
  <c r="R370" i="6"/>
  <c r="O370" i="6"/>
  <c r="N370" i="6"/>
  <c r="L370" i="6"/>
  <c r="H370" i="6"/>
  <c r="F370" i="6"/>
  <c r="C370" i="6"/>
  <c r="AC369" i="6"/>
  <c r="AD369" i="6" s="1"/>
  <c r="AA369" i="6"/>
  <c r="X369" i="6"/>
  <c r="W369" i="6"/>
  <c r="U369" i="6"/>
  <c r="R369" i="6"/>
  <c r="N369" i="6"/>
  <c r="O369" i="6" s="1"/>
  <c r="L369" i="6"/>
  <c r="H369" i="6"/>
  <c r="I369" i="6" s="1"/>
  <c r="F369" i="6"/>
  <c r="C369" i="6"/>
  <c r="AC368" i="6"/>
  <c r="AD368" i="6" s="1"/>
  <c r="Z368" i="6"/>
  <c r="AA368" i="6" s="1"/>
  <c r="X368" i="6"/>
  <c r="W368" i="6"/>
  <c r="U368" i="6"/>
  <c r="T368" i="6"/>
  <c r="Q368" i="6"/>
  <c r="R368" i="6" s="1"/>
  <c r="K368" i="6"/>
  <c r="N368" i="6" s="1"/>
  <c r="O368" i="6" s="1"/>
  <c r="E368" i="6"/>
  <c r="F368" i="6" s="1"/>
  <c r="C368" i="6"/>
  <c r="B368" i="6"/>
  <c r="AC367" i="6"/>
  <c r="AD367" i="6" s="1"/>
  <c r="AA367" i="6"/>
  <c r="W367" i="6"/>
  <c r="X367" i="6" s="1"/>
  <c r="U367" i="6"/>
  <c r="R367" i="6"/>
  <c r="O367" i="6"/>
  <c r="N367" i="6"/>
  <c r="L367" i="6"/>
  <c r="I367" i="6"/>
  <c r="H367" i="6"/>
  <c r="F367" i="6"/>
  <c r="C367" i="6"/>
  <c r="AD366" i="6"/>
  <c r="AC366" i="6"/>
  <c r="AA366" i="6"/>
  <c r="W366" i="6"/>
  <c r="X366" i="6" s="1"/>
  <c r="U366" i="6"/>
  <c r="R366" i="6"/>
  <c r="N366" i="6"/>
  <c r="O366" i="6" s="1"/>
  <c r="L366" i="6"/>
  <c r="H366" i="6"/>
  <c r="I366" i="6" s="1"/>
  <c r="F366" i="6"/>
  <c r="C366" i="6"/>
  <c r="AC365" i="6"/>
  <c r="AD365" i="6" s="1"/>
  <c r="AA365" i="6"/>
  <c r="X365" i="6"/>
  <c r="W365" i="6"/>
  <c r="U365" i="6"/>
  <c r="R365" i="6"/>
  <c r="N365" i="6"/>
  <c r="O365" i="6" s="1"/>
  <c r="L365" i="6"/>
  <c r="I365" i="6"/>
  <c r="H365" i="6"/>
  <c r="F365" i="6"/>
  <c r="C365" i="6"/>
  <c r="AD364" i="6"/>
  <c r="AC364" i="6"/>
  <c r="AA364" i="6"/>
  <c r="W364" i="6"/>
  <c r="X364" i="6" s="1"/>
  <c r="U364" i="6"/>
  <c r="R364" i="6"/>
  <c r="O364" i="6"/>
  <c r="N364" i="6"/>
  <c r="L364" i="6"/>
  <c r="H364" i="6"/>
  <c r="I364" i="6" s="1"/>
  <c r="F364" i="6"/>
  <c r="C364" i="6"/>
  <c r="AC363" i="6"/>
  <c r="AD363" i="6" s="1"/>
  <c r="AA363" i="6"/>
  <c r="W363" i="6"/>
  <c r="X363" i="6" s="1"/>
  <c r="U363" i="6"/>
  <c r="R363" i="6"/>
  <c r="O363" i="6"/>
  <c r="N363" i="6"/>
  <c r="L363" i="6"/>
  <c r="I363" i="6"/>
  <c r="H363" i="6"/>
  <c r="F363" i="6"/>
  <c r="C363" i="6"/>
  <c r="AD362" i="6"/>
  <c r="AC362" i="6"/>
  <c r="AA362" i="6"/>
  <c r="W362" i="6"/>
  <c r="X362" i="6" s="1"/>
  <c r="U362" i="6"/>
  <c r="R362" i="6"/>
  <c r="N362" i="6"/>
  <c r="O362" i="6" s="1"/>
  <c r="L362" i="6"/>
  <c r="I362" i="6"/>
  <c r="H362" i="6"/>
  <c r="F362" i="6"/>
  <c r="C362" i="6"/>
  <c r="AC361" i="6"/>
  <c r="AD361" i="6" s="1"/>
  <c r="AA361" i="6"/>
  <c r="W361" i="6"/>
  <c r="X361" i="6" s="1"/>
  <c r="U361" i="6"/>
  <c r="R361" i="6"/>
  <c r="N361" i="6"/>
  <c r="O361" i="6" s="1"/>
  <c r="L361" i="6"/>
  <c r="H361" i="6"/>
  <c r="I361" i="6" s="1"/>
  <c r="F361" i="6"/>
  <c r="C361" i="6"/>
  <c r="AD360" i="6"/>
  <c r="AC360" i="6"/>
  <c r="AA360" i="6"/>
  <c r="X360" i="6"/>
  <c r="W360" i="6"/>
  <c r="U360" i="6"/>
  <c r="R360" i="6"/>
  <c r="N360" i="6"/>
  <c r="O360" i="6" s="1"/>
  <c r="L360" i="6"/>
  <c r="H360" i="6"/>
  <c r="I360" i="6" s="1"/>
  <c r="F360" i="6"/>
  <c r="C360" i="6"/>
  <c r="AC358" i="6"/>
  <c r="AD358" i="6" s="1"/>
  <c r="AA358" i="6"/>
  <c r="Z358" i="6"/>
  <c r="W358" i="6"/>
  <c r="X358" i="6" s="1"/>
  <c r="U358" i="6"/>
  <c r="T358" i="6"/>
  <c r="Q358" i="6"/>
  <c r="R358" i="6" s="1"/>
  <c r="O358" i="6"/>
  <c r="L358" i="6"/>
  <c r="K358" i="6"/>
  <c r="E358" i="6"/>
  <c r="F358" i="6" s="1"/>
  <c r="C358" i="6"/>
  <c r="B358" i="6"/>
  <c r="N358" i="6" s="1"/>
  <c r="AD357" i="6"/>
  <c r="AC357" i="6"/>
  <c r="AA357" i="6"/>
  <c r="X357" i="6"/>
  <c r="W357" i="6"/>
  <c r="U357" i="6"/>
  <c r="R357" i="6"/>
  <c r="N357" i="6"/>
  <c r="O357" i="6" s="1"/>
  <c r="L357" i="6"/>
  <c r="H357" i="6"/>
  <c r="I357" i="6" s="1"/>
  <c r="F357" i="6"/>
  <c r="C357" i="6"/>
  <c r="AD356" i="6"/>
  <c r="AC356" i="6"/>
  <c r="AA356" i="6"/>
  <c r="X356" i="6"/>
  <c r="W356" i="6"/>
  <c r="U356" i="6"/>
  <c r="R356" i="6"/>
  <c r="N356" i="6"/>
  <c r="O356" i="6" s="1"/>
  <c r="L356" i="6"/>
  <c r="I356" i="6"/>
  <c r="H356" i="6"/>
  <c r="F356" i="6"/>
  <c r="C356" i="6"/>
  <c r="AD355" i="6"/>
  <c r="AC355" i="6"/>
  <c r="AA355" i="6"/>
  <c r="W355" i="6"/>
  <c r="X355" i="6" s="1"/>
  <c r="U355" i="6"/>
  <c r="R355" i="6"/>
  <c r="N355" i="6"/>
  <c r="O355" i="6" s="1"/>
  <c r="L355" i="6"/>
  <c r="H355" i="6"/>
  <c r="F355" i="6"/>
  <c r="C355" i="6"/>
  <c r="AD354" i="6"/>
  <c r="AC354" i="6"/>
  <c r="AA354" i="6"/>
  <c r="X354" i="6"/>
  <c r="W354" i="6"/>
  <c r="U354" i="6"/>
  <c r="R354" i="6"/>
  <c r="O354" i="6"/>
  <c r="N354" i="6"/>
  <c r="L354" i="6"/>
  <c r="H354" i="6"/>
  <c r="I354" i="6" s="1"/>
  <c r="F354" i="6"/>
  <c r="C354" i="6"/>
  <c r="AD353" i="6"/>
  <c r="AC353" i="6"/>
  <c r="AA353" i="6"/>
  <c r="W353" i="6"/>
  <c r="X353" i="6" s="1"/>
  <c r="U353" i="6"/>
  <c r="R353" i="6"/>
  <c r="N353" i="6"/>
  <c r="O353" i="6" s="1"/>
  <c r="L353" i="6"/>
  <c r="I353" i="6"/>
  <c r="H353" i="6"/>
  <c r="F353" i="6"/>
  <c r="C353" i="6"/>
  <c r="AD352" i="6"/>
  <c r="AC352" i="6"/>
  <c r="AA352" i="6"/>
  <c r="W352" i="6"/>
  <c r="X352" i="6" s="1"/>
  <c r="U352" i="6"/>
  <c r="R352" i="6"/>
  <c r="O352" i="6"/>
  <c r="N352" i="6"/>
  <c r="L352" i="6"/>
  <c r="I352" i="6"/>
  <c r="H352" i="6"/>
  <c r="F352" i="6"/>
  <c r="C352" i="6"/>
  <c r="AC351" i="6"/>
  <c r="AD351" i="6" s="1"/>
  <c r="AA351" i="6"/>
  <c r="W351" i="6"/>
  <c r="X351" i="6" s="1"/>
  <c r="U351" i="6"/>
  <c r="R351" i="6"/>
  <c r="N351" i="6"/>
  <c r="O351" i="6" s="1"/>
  <c r="L351" i="6"/>
  <c r="I351" i="6"/>
  <c r="H351" i="6"/>
  <c r="F351" i="6"/>
  <c r="C351" i="6"/>
  <c r="AD350" i="6"/>
  <c r="AC350" i="6"/>
  <c r="AA350" i="6"/>
  <c r="W350" i="6"/>
  <c r="X350" i="6" s="1"/>
  <c r="U350" i="6"/>
  <c r="R350" i="6"/>
  <c r="N350" i="6"/>
  <c r="O350" i="6" s="1"/>
  <c r="L350" i="6"/>
  <c r="I350" i="6"/>
  <c r="H350" i="6"/>
  <c r="F350" i="6"/>
  <c r="C350" i="6"/>
  <c r="AC349" i="6"/>
  <c r="AD349" i="6" s="1"/>
  <c r="AA349" i="6"/>
  <c r="W349" i="6"/>
  <c r="X349" i="6" s="1"/>
  <c r="U349" i="6"/>
  <c r="R349" i="6"/>
  <c r="N349" i="6"/>
  <c r="O349" i="6" s="1"/>
  <c r="L349" i="6"/>
  <c r="I349" i="6"/>
  <c r="H349" i="6"/>
  <c r="F349" i="6"/>
  <c r="C349" i="6"/>
  <c r="AD347" i="6"/>
  <c r="AC347" i="6"/>
  <c r="AA347" i="6"/>
  <c r="W347" i="6"/>
  <c r="X347" i="6" s="1"/>
  <c r="U347" i="6"/>
  <c r="R347" i="6"/>
  <c r="O347" i="6"/>
  <c r="N347" i="6"/>
  <c r="L347" i="6"/>
  <c r="I347" i="6"/>
  <c r="H347" i="6"/>
  <c r="F347" i="6"/>
  <c r="C347" i="6"/>
  <c r="Z344" i="6"/>
  <c r="AA344" i="6" s="1"/>
  <c r="W344" i="6"/>
  <c r="X344" i="6" s="1"/>
  <c r="U344" i="6"/>
  <c r="T344" i="6"/>
  <c r="R344" i="6"/>
  <c r="Q344" i="6"/>
  <c r="K344" i="6"/>
  <c r="L344" i="6" s="1"/>
  <c r="E344" i="6"/>
  <c r="F344" i="6" s="1"/>
  <c r="B344" i="6"/>
  <c r="AD343" i="6"/>
  <c r="AA343" i="6"/>
  <c r="Z343" i="6"/>
  <c r="T343" i="6"/>
  <c r="U343" i="6" s="1"/>
  <c r="R343" i="6"/>
  <c r="Q343" i="6"/>
  <c r="AC343" i="6" s="1"/>
  <c r="O343" i="6"/>
  <c r="L343" i="6"/>
  <c r="K343" i="6"/>
  <c r="I343" i="6"/>
  <c r="E343" i="6"/>
  <c r="H343" i="6" s="1"/>
  <c r="C343" i="6"/>
  <c r="B343" i="6"/>
  <c r="N343" i="6" s="1"/>
  <c r="AA342" i="6"/>
  <c r="Z342" i="6"/>
  <c r="U342" i="6"/>
  <c r="T342" i="6"/>
  <c r="R342" i="6"/>
  <c r="Q342" i="6"/>
  <c r="W342" i="6" s="1"/>
  <c r="X342" i="6" s="1"/>
  <c r="L342" i="6"/>
  <c r="K342" i="6"/>
  <c r="E342" i="6"/>
  <c r="F342" i="6" s="1"/>
  <c r="B342" i="6"/>
  <c r="AC341" i="6"/>
  <c r="AD341" i="6" s="1"/>
  <c r="AA341" i="6"/>
  <c r="W341" i="6"/>
  <c r="X341" i="6" s="1"/>
  <c r="U341" i="6"/>
  <c r="R341" i="6"/>
  <c r="O341" i="6"/>
  <c r="N341" i="6"/>
  <c r="L341" i="6"/>
  <c r="I341" i="6"/>
  <c r="H341" i="6"/>
  <c r="F341" i="6"/>
  <c r="C341" i="6"/>
  <c r="AC340" i="6"/>
  <c r="AD340" i="6" s="1"/>
  <c r="AA340" i="6"/>
  <c r="W340" i="6"/>
  <c r="X340" i="6" s="1"/>
  <c r="U340" i="6"/>
  <c r="R340" i="6"/>
  <c r="O340" i="6"/>
  <c r="N340" i="6"/>
  <c r="L340" i="6"/>
  <c r="I340" i="6"/>
  <c r="H340" i="6"/>
  <c r="F340" i="6"/>
  <c r="C340" i="6"/>
  <c r="AC339" i="6"/>
  <c r="AD339" i="6" s="1"/>
  <c r="AA339" i="6"/>
  <c r="W339" i="6"/>
  <c r="X339" i="6" s="1"/>
  <c r="U339" i="6"/>
  <c r="R339" i="6"/>
  <c r="N339" i="6"/>
  <c r="O339" i="6" s="1"/>
  <c r="L339" i="6"/>
  <c r="H339" i="6"/>
  <c r="I339" i="6" s="1"/>
  <c r="F339" i="6"/>
  <c r="C339" i="6"/>
  <c r="AD338" i="6"/>
  <c r="AC338" i="6"/>
  <c r="AA338" i="6"/>
  <c r="W338" i="6"/>
  <c r="X338" i="6" s="1"/>
  <c r="U338" i="6"/>
  <c r="R338" i="6"/>
  <c r="O338" i="6"/>
  <c r="N338" i="6"/>
  <c r="L338" i="6"/>
  <c r="I338" i="6"/>
  <c r="H338" i="6"/>
  <c r="F338" i="6"/>
  <c r="C338" i="6"/>
  <c r="AD337" i="6"/>
  <c r="AC337" i="6"/>
  <c r="AA337" i="6"/>
  <c r="W337" i="6"/>
  <c r="X337" i="6" s="1"/>
  <c r="U337" i="6"/>
  <c r="R337" i="6"/>
  <c r="O337" i="6"/>
  <c r="N337" i="6"/>
  <c r="L337" i="6"/>
  <c r="I337" i="6"/>
  <c r="H337" i="6"/>
  <c r="F337" i="6"/>
  <c r="C337" i="6"/>
  <c r="AC335" i="6"/>
  <c r="AD335" i="6" s="1"/>
  <c r="AA335" i="6"/>
  <c r="W335" i="6"/>
  <c r="X335" i="6" s="1"/>
  <c r="U335" i="6"/>
  <c r="R335" i="6"/>
  <c r="O335" i="6"/>
  <c r="N335" i="6"/>
  <c r="L335" i="6"/>
  <c r="I335" i="6"/>
  <c r="H335" i="6"/>
  <c r="F335" i="6"/>
  <c r="C335" i="6"/>
  <c r="AC334" i="6"/>
  <c r="AD334" i="6" s="1"/>
  <c r="AA334" i="6"/>
  <c r="X334" i="6"/>
  <c r="W334" i="6"/>
  <c r="U334" i="6"/>
  <c r="R334" i="6"/>
  <c r="N334" i="6"/>
  <c r="O334" i="6" s="1"/>
  <c r="L334" i="6"/>
  <c r="I334" i="6"/>
  <c r="H334" i="6"/>
  <c r="F334" i="6"/>
  <c r="C334" i="6"/>
  <c r="AD333" i="6"/>
  <c r="AC333" i="6"/>
  <c r="AA333" i="6"/>
  <c r="W333" i="6"/>
  <c r="X333" i="6" s="1"/>
  <c r="U333" i="6"/>
  <c r="R333" i="6"/>
  <c r="O333" i="6"/>
  <c r="N333" i="6"/>
  <c r="L333" i="6"/>
  <c r="H333" i="6"/>
  <c r="I333" i="6" s="1"/>
  <c r="F333" i="6"/>
  <c r="C333" i="6"/>
  <c r="AD332" i="6"/>
  <c r="AC332" i="6"/>
  <c r="AA332" i="6"/>
  <c r="W332" i="6"/>
  <c r="X332" i="6" s="1"/>
  <c r="U332" i="6"/>
  <c r="R332" i="6"/>
  <c r="O332" i="6"/>
  <c r="N332" i="6"/>
  <c r="L332" i="6"/>
  <c r="I332" i="6"/>
  <c r="H332" i="6"/>
  <c r="F332" i="6"/>
  <c r="C332" i="6"/>
  <c r="AC331" i="6"/>
  <c r="AD331" i="6" s="1"/>
  <c r="AA331" i="6"/>
  <c r="W331" i="6"/>
  <c r="X331" i="6" s="1"/>
  <c r="U331" i="6"/>
  <c r="R331" i="6"/>
  <c r="N331" i="6"/>
  <c r="O331" i="6" s="1"/>
  <c r="L331" i="6"/>
  <c r="H331" i="6"/>
  <c r="I331" i="6" s="1"/>
  <c r="F331" i="6"/>
  <c r="C331" i="6"/>
  <c r="AD330" i="6"/>
  <c r="AC330" i="6"/>
  <c r="AA330" i="6"/>
  <c r="X330" i="6"/>
  <c r="W330" i="6"/>
  <c r="U330" i="6"/>
  <c r="R330" i="6"/>
  <c r="N330" i="6"/>
  <c r="O330" i="6" s="1"/>
  <c r="L330" i="6"/>
  <c r="H330" i="6"/>
  <c r="I330" i="6" s="1"/>
  <c r="F330" i="6"/>
  <c r="C330" i="6"/>
  <c r="AD329" i="6"/>
  <c r="AC329" i="6"/>
  <c r="AA329" i="6"/>
  <c r="X329" i="6"/>
  <c r="W329" i="6"/>
  <c r="U329" i="6"/>
  <c r="R329" i="6"/>
  <c r="N329" i="6"/>
  <c r="O329" i="6" s="1"/>
  <c r="L329" i="6"/>
  <c r="H329" i="6"/>
  <c r="I329" i="6" s="1"/>
  <c r="F329" i="6"/>
  <c r="C329" i="6"/>
  <c r="AD328" i="6"/>
  <c r="AC328" i="6"/>
  <c r="AA328" i="6"/>
  <c r="W328" i="6"/>
  <c r="X328" i="6" s="1"/>
  <c r="U328" i="6"/>
  <c r="R328" i="6"/>
  <c r="N328" i="6"/>
  <c r="O328" i="6" s="1"/>
  <c r="L328" i="6"/>
  <c r="H328" i="6"/>
  <c r="F328" i="6"/>
  <c r="C328" i="6"/>
  <c r="Z325" i="6"/>
  <c r="AA325" i="6" s="1"/>
  <c r="T325" i="6"/>
  <c r="U325" i="6" s="1"/>
  <c r="R325" i="6"/>
  <c r="Q325" i="6"/>
  <c r="N325" i="6"/>
  <c r="O325" i="6" s="1"/>
  <c r="L325" i="6"/>
  <c r="K325" i="6"/>
  <c r="I325" i="6"/>
  <c r="H325" i="6"/>
  <c r="F325" i="6"/>
  <c r="E325" i="6"/>
  <c r="B325" i="6"/>
  <c r="C325" i="6" s="1"/>
  <c r="AD324" i="6"/>
  <c r="Z324" i="6"/>
  <c r="AA324" i="6" s="1"/>
  <c r="W324" i="6"/>
  <c r="X324" i="6" s="1"/>
  <c r="U324" i="6"/>
  <c r="T324" i="6"/>
  <c r="R324" i="6"/>
  <c r="Q324" i="6"/>
  <c r="AC324" i="6" s="1"/>
  <c r="N324" i="6"/>
  <c r="O324" i="6" s="1"/>
  <c r="K324" i="6"/>
  <c r="L324" i="6" s="1"/>
  <c r="F324" i="6"/>
  <c r="E324" i="6"/>
  <c r="B324" i="6"/>
  <c r="AC323" i="6"/>
  <c r="AD323" i="6" s="1"/>
  <c r="AA323" i="6"/>
  <c r="W323" i="6"/>
  <c r="X323" i="6" s="1"/>
  <c r="U323" i="6"/>
  <c r="R323" i="6"/>
  <c r="O323" i="6"/>
  <c r="N323" i="6"/>
  <c r="L323" i="6"/>
  <c r="I323" i="6"/>
  <c r="H323" i="6"/>
  <c r="F323" i="6"/>
  <c r="C323" i="6"/>
  <c r="AC322" i="6"/>
  <c r="AD322" i="6" s="1"/>
  <c r="AA322" i="6"/>
  <c r="X322" i="6"/>
  <c r="W322" i="6"/>
  <c r="U322" i="6"/>
  <c r="R322" i="6"/>
  <c r="N322" i="6"/>
  <c r="O322" i="6" s="1"/>
  <c r="L322" i="6"/>
  <c r="I322" i="6"/>
  <c r="H322" i="6"/>
  <c r="F322" i="6"/>
  <c r="C322" i="6"/>
  <c r="AD321" i="6"/>
  <c r="AC321" i="6"/>
  <c r="AA321" i="6"/>
  <c r="W321" i="6"/>
  <c r="X321" i="6" s="1"/>
  <c r="U321" i="6"/>
  <c r="R321" i="6"/>
  <c r="O321" i="6"/>
  <c r="N321" i="6"/>
  <c r="L321" i="6"/>
  <c r="I321" i="6"/>
  <c r="H321" i="6"/>
  <c r="F321" i="6"/>
  <c r="C321" i="6"/>
  <c r="AD320" i="6"/>
  <c r="AC320" i="6"/>
  <c r="AA320" i="6"/>
  <c r="W320" i="6"/>
  <c r="X320" i="6" s="1"/>
  <c r="U320" i="6"/>
  <c r="R320" i="6"/>
  <c r="O320" i="6"/>
  <c r="N320" i="6"/>
  <c r="L320" i="6"/>
  <c r="I320" i="6"/>
  <c r="H320" i="6"/>
  <c r="F320" i="6"/>
  <c r="C320" i="6"/>
  <c r="AC319" i="6"/>
  <c r="AD319" i="6" s="1"/>
  <c r="AA319" i="6"/>
  <c r="X319" i="6"/>
  <c r="W319" i="6"/>
  <c r="U319" i="6"/>
  <c r="R319" i="6"/>
  <c r="O319" i="6"/>
  <c r="N319" i="6"/>
  <c r="L319" i="6"/>
  <c r="I319" i="6"/>
  <c r="H319" i="6"/>
  <c r="F319" i="6"/>
  <c r="C319" i="6"/>
  <c r="AC318" i="6"/>
  <c r="AD318" i="6" s="1"/>
  <c r="AA318" i="6"/>
  <c r="W318" i="6"/>
  <c r="X318" i="6" s="1"/>
  <c r="U318" i="6"/>
  <c r="R318" i="6"/>
  <c r="N318" i="6"/>
  <c r="O318" i="6" s="1"/>
  <c r="L318" i="6"/>
  <c r="I318" i="6"/>
  <c r="H318" i="6"/>
  <c r="F318" i="6"/>
  <c r="C318" i="6"/>
  <c r="AD317" i="6"/>
  <c r="AC317" i="6"/>
  <c r="AA317" i="6"/>
  <c r="W317" i="6"/>
  <c r="X317" i="6" s="1"/>
  <c r="U317" i="6"/>
  <c r="R317" i="6"/>
  <c r="O317" i="6"/>
  <c r="N317" i="6"/>
  <c r="L317" i="6"/>
  <c r="H317" i="6"/>
  <c r="I317" i="6" s="1"/>
  <c r="F317" i="6"/>
  <c r="C317" i="6"/>
  <c r="AC316" i="6"/>
  <c r="AD316" i="6" s="1"/>
  <c r="AA316" i="6"/>
  <c r="W316" i="6"/>
  <c r="X316" i="6" s="1"/>
  <c r="U316" i="6"/>
  <c r="R316" i="6"/>
  <c r="O316" i="6"/>
  <c r="N316" i="6"/>
  <c r="L316" i="6"/>
  <c r="I316" i="6"/>
  <c r="H316" i="6"/>
  <c r="F316" i="6"/>
  <c r="C316" i="6"/>
  <c r="AD315" i="6"/>
  <c r="AC315" i="6"/>
  <c r="AA315" i="6"/>
  <c r="W315" i="6"/>
  <c r="X315" i="6" s="1"/>
  <c r="U315" i="6"/>
  <c r="R315" i="6"/>
  <c r="N315" i="6"/>
  <c r="O315" i="6" s="1"/>
  <c r="L315" i="6"/>
  <c r="H315" i="6"/>
  <c r="I315" i="6" s="1"/>
  <c r="F315" i="6"/>
  <c r="C315" i="6"/>
  <c r="AD314" i="6"/>
  <c r="AC314" i="6"/>
  <c r="AA314" i="6"/>
  <c r="X314" i="6"/>
  <c r="W314" i="6"/>
  <c r="U314" i="6"/>
  <c r="R314" i="6"/>
  <c r="N314" i="6"/>
  <c r="O314" i="6" s="1"/>
  <c r="L314" i="6"/>
  <c r="H314" i="6"/>
  <c r="I314" i="6" s="1"/>
  <c r="F314" i="6"/>
  <c r="C314" i="6"/>
  <c r="AD313" i="6"/>
  <c r="AC313" i="6"/>
  <c r="AA313" i="6"/>
  <c r="X313" i="6"/>
  <c r="W313" i="6"/>
  <c r="U313" i="6"/>
  <c r="R313" i="6"/>
  <c r="N313" i="6"/>
  <c r="O313" i="6" s="1"/>
  <c r="L313" i="6"/>
  <c r="H313" i="6"/>
  <c r="I313" i="6" s="1"/>
  <c r="F313" i="6"/>
  <c r="C313" i="6"/>
  <c r="AD312" i="6"/>
  <c r="AC312" i="6"/>
  <c r="AA312" i="6"/>
  <c r="W312" i="6"/>
  <c r="X312" i="6" s="1"/>
  <c r="U312" i="6"/>
  <c r="R312" i="6"/>
  <c r="N312" i="6"/>
  <c r="O312" i="6" s="1"/>
  <c r="L312" i="6"/>
  <c r="H312" i="6"/>
  <c r="F312" i="6"/>
  <c r="C312" i="6"/>
  <c r="AD311" i="6"/>
  <c r="AC311" i="6"/>
  <c r="AA311" i="6"/>
  <c r="X311" i="6"/>
  <c r="W311" i="6"/>
  <c r="U311" i="6"/>
  <c r="R311" i="6"/>
  <c r="O311" i="6"/>
  <c r="N311" i="6"/>
  <c r="L311" i="6"/>
  <c r="I311" i="6"/>
  <c r="H311" i="6"/>
  <c r="F311" i="6"/>
  <c r="C311" i="6"/>
  <c r="AD310" i="6"/>
  <c r="AC310" i="6"/>
  <c r="AA310" i="6"/>
  <c r="W310" i="6"/>
  <c r="X310" i="6" s="1"/>
  <c r="U310" i="6"/>
  <c r="R310" i="6"/>
  <c r="N310" i="6"/>
  <c r="O310" i="6" s="1"/>
  <c r="L310" i="6"/>
  <c r="I310" i="6"/>
  <c r="H310" i="6"/>
  <c r="F310" i="6"/>
  <c r="C310" i="6"/>
  <c r="AD309" i="6"/>
  <c r="AC309" i="6"/>
  <c r="AA309" i="6"/>
  <c r="W309" i="6"/>
  <c r="X309" i="6" s="1"/>
  <c r="U309" i="6"/>
  <c r="R309" i="6"/>
  <c r="N309" i="6"/>
  <c r="O309" i="6" s="1"/>
  <c r="L309" i="6"/>
  <c r="H309" i="6"/>
  <c r="I309" i="6" s="1"/>
  <c r="F309" i="6"/>
  <c r="C309" i="6"/>
  <c r="AC308" i="6"/>
  <c r="AD308" i="6" s="1"/>
  <c r="AA308" i="6"/>
  <c r="W308" i="6"/>
  <c r="X308" i="6" s="1"/>
  <c r="U308" i="6"/>
  <c r="R308" i="6"/>
  <c r="O308" i="6"/>
  <c r="N308" i="6"/>
  <c r="L308" i="6"/>
  <c r="I308" i="6"/>
  <c r="H308" i="6"/>
  <c r="F308" i="6"/>
  <c r="C308" i="6"/>
  <c r="AC307" i="6"/>
  <c r="AD307" i="6" s="1"/>
  <c r="AA307" i="6"/>
  <c r="W307" i="6"/>
  <c r="X307" i="6" s="1"/>
  <c r="U307" i="6"/>
  <c r="R307" i="6"/>
  <c r="O307" i="6"/>
  <c r="N307" i="6"/>
  <c r="L307" i="6"/>
  <c r="I307" i="6"/>
  <c r="H307" i="6"/>
  <c r="F307" i="6"/>
  <c r="C307" i="6"/>
  <c r="AC306" i="6"/>
  <c r="AD306" i="6" s="1"/>
  <c r="AA306" i="6"/>
  <c r="W306" i="6"/>
  <c r="X306" i="6" s="1"/>
  <c r="U306" i="6"/>
  <c r="R306" i="6"/>
  <c r="N306" i="6"/>
  <c r="O306" i="6" s="1"/>
  <c r="L306" i="6"/>
  <c r="H306" i="6"/>
  <c r="I306" i="6" s="1"/>
  <c r="F306" i="6"/>
  <c r="C306" i="6"/>
  <c r="AD305" i="6"/>
  <c r="AC305" i="6"/>
  <c r="AA305" i="6"/>
  <c r="W305" i="6"/>
  <c r="X305" i="6" s="1"/>
  <c r="U305" i="6"/>
  <c r="R305" i="6"/>
  <c r="O305" i="6"/>
  <c r="N305" i="6"/>
  <c r="L305" i="6"/>
  <c r="I305" i="6"/>
  <c r="H305" i="6"/>
  <c r="F305" i="6"/>
  <c r="C305" i="6"/>
  <c r="AD304" i="6"/>
  <c r="AC304" i="6"/>
  <c r="AA304" i="6"/>
  <c r="W304" i="6"/>
  <c r="X304" i="6" s="1"/>
  <c r="U304" i="6"/>
  <c r="R304" i="6"/>
  <c r="O304" i="6"/>
  <c r="N304" i="6"/>
  <c r="L304" i="6"/>
  <c r="I304" i="6"/>
  <c r="H304" i="6"/>
  <c r="F304" i="6"/>
  <c r="C304" i="6"/>
  <c r="AC303" i="6"/>
  <c r="AD303" i="6" s="1"/>
  <c r="AA303" i="6"/>
  <c r="W303" i="6"/>
  <c r="X303" i="6" s="1"/>
  <c r="U303" i="6"/>
  <c r="R303" i="6"/>
  <c r="O303" i="6"/>
  <c r="N303" i="6"/>
  <c r="L303" i="6"/>
  <c r="I303" i="6"/>
  <c r="H303" i="6"/>
  <c r="F303" i="6"/>
  <c r="C303" i="6"/>
  <c r="AC302" i="6"/>
  <c r="AD302" i="6" s="1"/>
  <c r="AA302" i="6"/>
  <c r="X302" i="6"/>
  <c r="W302" i="6"/>
  <c r="U302" i="6"/>
  <c r="R302" i="6"/>
  <c r="N302" i="6"/>
  <c r="O302" i="6" s="1"/>
  <c r="L302" i="6"/>
  <c r="I302" i="6"/>
  <c r="H302" i="6"/>
  <c r="F302" i="6"/>
  <c r="C302" i="6"/>
  <c r="AD301" i="6"/>
  <c r="AC301" i="6"/>
  <c r="AA301" i="6"/>
  <c r="W301" i="6"/>
  <c r="X301" i="6" s="1"/>
  <c r="U301" i="6"/>
  <c r="R301" i="6"/>
  <c r="O301" i="6"/>
  <c r="N301" i="6"/>
  <c r="L301" i="6"/>
  <c r="H301" i="6"/>
  <c r="I301" i="6" s="1"/>
  <c r="F301" i="6"/>
  <c r="C301" i="6"/>
  <c r="AD300" i="6"/>
  <c r="AC300" i="6"/>
  <c r="AA300" i="6"/>
  <c r="W300" i="6"/>
  <c r="X300" i="6" s="1"/>
  <c r="U300" i="6"/>
  <c r="R300" i="6"/>
  <c r="O300" i="6"/>
  <c r="N300" i="6"/>
  <c r="L300" i="6"/>
  <c r="I300" i="6"/>
  <c r="H300" i="6"/>
  <c r="F300" i="6"/>
  <c r="C300" i="6"/>
  <c r="AC299" i="6"/>
  <c r="AD299" i="6" s="1"/>
  <c r="AA299" i="6"/>
  <c r="W299" i="6"/>
  <c r="X299" i="6" s="1"/>
  <c r="U299" i="6"/>
  <c r="R299" i="6"/>
  <c r="N299" i="6"/>
  <c r="O299" i="6" s="1"/>
  <c r="L299" i="6"/>
  <c r="H299" i="6"/>
  <c r="I299" i="6" s="1"/>
  <c r="F299" i="6"/>
  <c r="C299" i="6"/>
  <c r="AD298" i="6"/>
  <c r="AC298" i="6"/>
  <c r="AA298" i="6"/>
  <c r="X298" i="6"/>
  <c r="W298" i="6"/>
  <c r="U298" i="6"/>
  <c r="R298" i="6"/>
  <c r="N298" i="6"/>
  <c r="O298" i="6" s="1"/>
  <c r="L298" i="6"/>
  <c r="H298" i="6"/>
  <c r="I298" i="6" s="1"/>
  <c r="F298" i="6"/>
  <c r="C298" i="6"/>
  <c r="AD297" i="6"/>
  <c r="AC297" i="6"/>
  <c r="AA297" i="6"/>
  <c r="X297" i="6"/>
  <c r="W297" i="6"/>
  <c r="U297" i="6"/>
  <c r="R297" i="6"/>
  <c r="N297" i="6"/>
  <c r="O297" i="6" s="1"/>
  <c r="L297" i="6"/>
  <c r="H297" i="6"/>
  <c r="I297" i="6" s="1"/>
  <c r="F297" i="6"/>
  <c r="C297" i="6"/>
  <c r="AA295" i="6"/>
  <c r="Z295" i="6"/>
  <c r="T295" i="6"/>
  <c r="R295" i="6"/>
  <c r="Q295" i="6"/>
  <c r="AC295" i="6" s="1"/>
  <c r="AD295" i="6" s="1"/>
  <c r="K295" i="6"/>
  <c r="L295" i="6" s="1"/>
  <c r="E295" i="6"/>
  <c r="C295" i="6"/>
  <c r="B295" i="6"/>
  <c r="AD294" i="6"/>
  <c r="AC294" i="6"/>
  <c r="AA294" i="6"/>
  <c r="W294" i="6"/>
  <c r="X294" i="6" s="1"/>
  <c r="U294" i="6"/>
  <c r="R294" i="6"/>
  <c r="N294" i="6"/>
  <c r="O294" i="6" s="1"/>
  <c r="L294" i="6"/>
  <c r="I294" i="6"/>
  <c r="H294" i="6"/>
  <c r="F294" i="6"/>
  <c r="C294" i="6"/>
  <c r="AD293" i="6"/>
  <c r="AC293" i="6"/>
  <c r="AA293" i="6"/>
  <c r="X293" i="6"/>
  <c r="W293" i="6"/>
  <c r="U293" i="6"/>
  <c r="R293" i="6"/>
  <c r="N293" i="6"/>
  <c r="O293" i="6" s="1"/>
  <c r="L293" i="6"/>
  <c r="H293" i="6"/>
  <c r="I293" i="6" s="1"/>
  <c r="F293" i="6"/>
  <c r="C293" i="6"/>
  <c r="AC292" i="6"/>
  <c r="AD292" i="6" s="1"/>
  <c r="AA292" i="6"/>
  <c r="W292" i="6"/>
  <c r="X292" i="6" s="1"/>
  <c r="U292" i="6"/>
  <c r="R292" i="6"/>
  <c r="O292" i="6"/>
  <c r="N292" i="6"/>
  <c r="L292" i="6"/>
  <c r="I292" i="6"/>
  <c r="H292" i="6"/>
  <c r="F292" i="6"/>
  <c r="C292" i="6"/>
  <c r="AC291" i="6"/>
  <c r="AD291" i="6" s="1"/>
  <c r="AA291" i="6"/>
  <c r="W291" i="6"/>
  <c r="X291" i="6" s="1"/>
  <c r="U291" i="6"/>
  <c r="R291" i="6"/>
  <c r="N291" i="6"/>
  <c r="O291" i="6" s="1"/>
  <c r="L291" i="6"/>
  <c r="I291" i="6"/>
  <c r="H291" i="6"/>
  <c r="F291" i="6"/>
  <c r="C291" i="6"/>
  <c r="AC290" i="6"/>
  <c r="AD290" i="6" s="1"/>
  <c r="AA290" i="6"/>
  <c r="W290" i="6"/>
  <c r="X290" i="6" s="1"/>
  <c r="U290" i="6"/>
  <c r="R290" i="6"/>
  <c r="N290" i="6"/>
  <c r="O290" i="6" s="1"/>
  <c r="L290" i="6"/>
  <c r="H290" i="6"/>
  <c r="I290" i="6" s="1"/>
  <c r="F290" i="6"/>
  <c r="C290" i="6"/>
  <c r="AD289" i="6"/>
  <c r="AC289" i="6"/>
  <c r="AA289" i="6"/>
  <c r="W289" i="6"/>
  <c r="X289" i="6" s="1"/>
  <c r="U289" i="6"/>
  <c r="R289" i="6"/>
  <c r="O289" i="6"/>
  <c r="N289" i="6"/>
  <c r="L289" i="6"/>
  <c r="I289" i="6"/>
  <c r="H289" i="6"/>
  <c r="F289" i="6"/>
  <c r="C289" i="6"/>
  <c r="AD288" i="6"/>
  <c r="AC288" i="6"/>
  <c r="AA288" i="6"/>
  <c r="W288" i="6"/>
  <c r="X288" i="6" s="1"/>
  <c r="U288" i="6"/>
  <c r="R288" i="6"/>
  <c r="N288" i="6"/>
  <c r="O288" i="6" s="1"/>
  <c r="L288" i="6"/>
  <c r="I288" i="6"/>
  <c r="H288" i="6"/>
  <c r="F288" i="6"/>
  <c r="C288" i="6"/>
  <c r="AC287" i="6"/>
  <c r="AD287" i="6" s="1"/>
  <c r="AA287" i="6"/>
  <c r="X287" i="6"/>
  <c r="W287" i="6"/>
  <c r="U287" i="6"/>
  <c r="R287" i="6"/>
  <c r="O287" i="6"/>
  <c r="N287" i="6"/>
  <c r="L287" i="6"/>
  <c r="H287" i="6"/>
  <c r="I287" i="6" s="1"/>
  <c r="F287" i="6"/>
  <c r="C287" i="6"/>
  <c r="AC286" i="6"/>
  <c r="AD286" i="6" s="1"/>
  <c r="AA286" i="6"/>
  <c r="W286" i="6"/>
  <c r="X286" i="6" s="1"/>
  <c r="U286" i="6"/>
  <c r="R286" i="6"/>
  <c r="N286" i="6"/>
  <c r="O286" i="6" s="1"/>
  <c r="L286" i="6"/>
  <c r="I286" i="6"/>
  <c r="H286" i="6"/>
  <c r="F286" i="6"/>
  <c r="C286" i="6"/>
  <c r="AA284" i="6"/>
  <c r="Z284" i="6"/>
  <c r="W284" i="6"/>
  <c r="X284" i="6" s="1"/>
  <c r="T284" i="6"/>
  <c r="U284" i="6" s="1"/>
  <c r="R284" i="6"/>
  <c r="Q284" i="6"/>
  <c r="AC284" i="6" s="1"/>
  <c r="AD284" i="6" s="1"/>
  <c r="K284" i="6"/>
  <c r="L284" i="6" s="1"/>
  <c r="F284" i="6"/>
  <c r="E284" i="6"/>
  <c r="C284" i="6"/>
  <c r="B284" i="6"/>
  <c r="H284" i="6" s="1"/>
  <c r="I284" i="6" s="1"/>
  <c r="AC283" i="6"/>
  <c r="AD283" i="6" s="1"/>
  <c r="AA283" i="6"/>
  <c r="W283" i="6"/>
  <c r="X283" i="6" s="1"/>
  <c r="U283" i="6"/>
  <c r="R283" i="6"/>
  <c r="O283" i="6"/>
  <c r="N283" i="6"/>
  <c r="L283" i="6"/>
  <c r="H283" i="6"/>
  <c r="I283" i="6" s="1"/>
  <c r="F283" i="6"/>
  <c r="C283" i="6"/>
  <c r="AD282" i="6"/>
  <c r="AC282" i="6"/>
  <c r="AA282" i="6"/>
  <c r="X282" i="6"/>
  <c r="W282" i="6"/>
  <c r="U282" i="6"/>
  <c r="R282" i="6"/>
  <c r="N282" i="6"/>
  <c r="O282" i="6" s="1"/>
  <c r="L282" i="6"/>
  <c r="I282" i="6"/>
  <c r="H282" i="6"/>
  <c r="F282" i="6"/>
  <c r="C282" i="6"/>
  <c r="AD281" i="6"/>
  <c r="AC281" i="6"/>
  <c r="AA281" i="6"/>
  <c r="X281" i="6"/>
  <c r="W281" i="6"/>
  <c r="U281" i="6"/>
  <c r="R281" i="6"/>
  <c r="N281" i="6"/>
  <c r="O281" i="6" s="1"/>
  <c r="L281" i="6"/>
  <c r="H281" i="6"/>
  <c r="I281" i="6" s="1"/>
  <c r="F281" i="6"/>
  <c r="C281" i="6"/>
  <c r="AD280" i="6"/>
  <c r="AC280" i="6"/>
  <c r="AA280" i="6"/>
  <c r="W280" i="6"/>
  <c r="X280" i="6" s="1"/>
  <c r="U280" i="6"/>
  <c r="R280" i="6"/>
  <c r="O280" i="6"/>
  <c r="N280" i="6"/>
  <c r="L280" i="6"/>
  <c r="I280" i="6"/>
  <c r="H280" i="6"/>
  <c r="F280" i="6"/>
  <c r="C280" i="6"/>
  <c r="AD279" i="6"/>
  <c r="AC279" i="6"/>
  <c r="AA279" i="6"/>
  <c r="X279" i="6"/>
  <c r="W279" i="6"/>
  <c r="U279" i="6"/>
  <c r="R279" i="6"/>
  <c r="N279" i="6"/>
  <c r="O279" i="6" s="1"/>
  <c r="L279" i="6"/>
  <c r="H279" i="6"/>
  <c r="I279" i="6" s="1"/>
  <c r="F279" i="6"/>
  <c r="C279" i="6"/>
  <c r="AD278" i="6"/>
  <c r="AC278" i="6"/>
  <c r="AA278" i="6"/>
  <c r="X278" i="6"/>
  <c r="W278" i="6"/>
  <c r="U278" i="6"/>
  <c r="R278" i="6"/>
  <c r="N278" i="6"/>
  <c r="O278" i="6" s="1"/>
  <c r="L278" i="6"/>
  <c r="I278" i="6"/>
  <c r="H278" i="6"/>
  <c r="F278" i="6"/>
  <c r="C278" i="6"/>
  <c r="AD277" i="6"/>
  <c r="AC277" i="6"/>
  <c r="AA277" i="6"/>
  <c r="X277" i="6"/>
  <c r="W277" i="6"/>
  <c r="U277" i="6"/>
  <c r="R277" i="6"/>
  <c r="N277" i="6"/>
  <c r="O277" i="6" s="1"/>
  <c r="L277" i="6"/>
  <c r="H277" i="6"/>
  <c r="I277" i="6" s="1"/>
  <c r="F277" i="6"/>
  <c r="C277" i="6"/>
  <c r="AD276" i="6"/>
  <c r="AC276" i="6"/>
  <c r="AA276" i="6"/>
  <c r="W276" i="6"/>
  <c r="X276" i="6" s="1"/>
  <c r="U276" i="6"/>
  <c r="R276" i="6"/>
  <c r="N276" i="6"/>
  <c r="O276" i="6" s="1"/>
  <c r="L276" i="6"/>
  <c r="I276" i="6"/>
  <c r="H276" i="6"/>
  <c r="F276" i="6"/>
  <c r="C276" i="6"/>
  <c r="AD275" i="6"/>
  <c r="AC275" i="6"/>
  <c r="AA275" i="6"/>
  <c r="X275" i="6"/>
  <c r="W275" i="6"/>
  <c r="U275" i="6"/>
  <c r="R275" i="6"/>
  <c r="N275" i="6"/>
  <c r="O275" i="6" s="1"/>
  <c r="L275" i="6"/>
  <c r="I275" i="6"/>
  <c r="H275" i="6"/>
  <c r="F275" i="6"/>
  <c r="C275" i="6"/>
  <c r="AA273" i="6"/>
  <c r="Z273" i="6"/>
  <c r="X273" i="6"/>
  <c r="W273" i="6"/>
  <c r="U273" i="6"/>
  <c r="T273" i="6"/>
  <c r="Q273" i="6"/>
  <c r="R273" i="6" s="1"/>
  <c r="L273" i="6"/>
  <c r="K273" i="6"/>
  <c r="F273" i="6"/>
  <c r="E273" i="6"/>
  <c r="B273" i="6"/>
  <c r="N273" i="6" s="1"/>
  <c r="O273" i="6" s="1"/>
  <c r="AC272" i="6"/>
  <c r="AD272" i="6" s="1"/>
  <c r="AA272" i="6"/>
  <c r="W272" i="6"/>
  <c r="X272" i="6" s="1"/>
  <c r="U272" i="6"/>
  <c r="R272" i="6"/>
  <c r="N272" i="6"/>
  <c r="O272" i="6" s="1"/>
  <c r="L272" i="6"/>
  <c r="I272" i="6"/>
  <c r="H272" i="6"/>
  <c r="F272" i="6"/>
  <c r="C272" i="6"/>
  <c r="AC271" i="6"/>
  <c r="AD271" i="6" s="1"/>
  <c r="AA271" i="6"/>
  <c r="X271" i="6"/>
  <c r="W271" i="6"/>
  <c r="U271" i="6"/>
  <c r="R271" i="6"/>
  <c r="N271" i="6"/>
  <c r="O271" i="6" s="1"/>
  <c r="L271" i="6"/>
  <c r="I271" i="6"/>
  <c r="H271" i="6"/>
  <c r="F271" i="6"/>
  <c r="C271" i="6"/>
  <c r="AD270" i="6"/>
  <c r="AC270" i="6"/>
  <c r="AA270" i="6"/>
  <c r="W270" i="6"/>
  <c r="X270" i="6" s="1"/>
  <c r="U270" i="6"/>
  <c r="R270" i="6"/>
  <c r="N270" i="6"/>
  <c r="O270" i="6" s="1"/>
  <c r="L270" i="6"/>
  <c r="H270" i="6"/>
  <c r="I270" i="6" s="1"/>
  <c r="F270" i="6"/>
  <c r="C270" i="6"/>
  <c r="AD269" i="6"/>
  <c r="AC269" i="6"/>
  <c r="AA269" i="6"/>
  <c r="W269" i="6"/>
  <c r="X269" i="6" s="1"/>
  <c r="U269" i="6"/>
  <c r="R269" i="6"/>
  <c r="O269" i="6"/>
  <c r="N269" i="6"/>
  <c r="L269" i="6"/>
  <c r="I269" i="6"/>
  <c r="H269" i="6"/>
  <c r="F269" i="6"/>
  <c r="C269" i="6"/>
  <c r="AA267" i="6"/>
  <c r="Z267" i="6"/>
  <c r="T267" i="6"/>
  <c r="U267" i="6" s="1"/>
  <c r="R267" i="6"/>
  <c r="Q267" i="6"/>
  <c r="AC267" i="6" s="1"/>
  <c r="AD267" i="6" s="1"/>
  <c r="L267" i="6"/>
  <c r="K267" i="6"/>
  <c r="H267" i="6"/>
  <c r="I267" i="6" s="1"/>
  <c r="F267" i="6"/>
  <c r="E267" i="6"/>
  <c r="C267" i="6"/>
  <c r="B267" i="6"/>
  <c r="N267" i="6" s="1"/>
  <c r="O267" i="6" s="1"/>
  <c r="AD266" i="6"/>
  <c r="AC266" i="6"/>
  <c r="AA266" i="6"/>
  <c r="W266" i="6"/>
  <c r="X266" i="6" s="1"/>
  <c r="U266" i="6"/>
  <c r="R266" i="6"/>
  <c r="N266" i="6"/>
  <c r="O266" i="6" s="1"/>
  <c r="L266" i="6"/>
  <c r="H266" i="6"/>
  <c r="I266" i="6" s="1"/>
  <c r="F266" i="6"/>
  <c r="C266" i="6"/>
  <c r="AD265" i="6"/>
  <c r="AC265" i="6"/>
  <c r="AA265" i="6"/>
  <c r="W265" i="6"/>
  <c r="X265" i="6" s="1"/>
  <c r="U265" i="6"/>
  <c r="R265" i="6"/>
  <c r="O265" i="6"/>
  <c r="N265" i="6"/>
  <c r="L265" i="6"/>
  <c r="I265" i="6"/>
  <c r="H265" i="6"/>
  <c r="F265" i="6"/>
  <c r="C265" i="6"/>
  <c r="AA263" i="6"/>
  <c r="Z263" i="6"/>
  <c r="T263" i="6"/>
  <c r="U263" i="6" s="1"/>
  <c r="R263" i="6"/>
  <c r="Q263" i="6"/>
  <c r="W263" i="6" s="1"/>
  <c r="X263" i="6" s="1"/>
  <c r="L263" i="6"/>
  <c r="K263" i="6"/>
  <c r="H263" i="6"/>
  <c r="I263" i="6" s="1"/>
  <c r="F263" i="6"/>
  <c r="E263" i="6"/>
  <c r="C263" i="6"/>
  <c r="B263" i="6"/>
  <c r="N263" i="6" s="1"/>
  <c r="O263" i="6" s="1"/>
  <c r="Z262" i="6"/>
  <c r="AA262" i="6" s="1"/>
  <c r="W262" i="6"/>
  <c r="X262" i="6" s="1"/>
  <c r="U262" i="6"/>
  <c r="T262" i="6"/>
  <c r="R262" i="6"/>
  <c r="Q262" i="6"/>
  <c r="AC262" i="6" s="1"/>
  <c r="AD262" i="6" s="1"/>
  <c r="N262" i="6"/>
  <c r="O262" i="6" s="1"/>
  <c r="L262" i="6"/>
  <c r="K262" i="6"/>
  <c r="F262" i="6"/>
  <c r="E262" i="6"/>
  <c r="B262" i="6"/>
  <c r="AC261" i="6"/>
  <c r="AD261" i="6" s="1"/>
  <c r="AA261" i="6"/>
  <c r="W261" i="6"/>
  <c r="X261" i="6" s="1"/>
  <c r="U261" i="6"/>
  <c r="R261" i="6"/>
  <c r="O261" i="6"/>
  <c r="N261" i="6"/>
  <c r="L261" i="6"/>
  <c r="I261" i="6"/>
  <c r="H261" i="6"/>
  <c r="F261" i="6"/>
  <c r="C261" i="6"/>
  <c r="AC260" i="6"/>
  <c r="AD260" i="6" s="1"/>
  <c r="AA260" i="6"/>
  <c r="X260" i="6"/>
  <c r="W260" i="6"/>
  <c r="U260" i="6"/>
  <c r="R260" i="6"/>
  <c r="N260" i="6"/>
  <c r="O260" i="6" s="1"/>
  <c r="L260" i="6"/>
  <c r="I260" i="6"/>
  <c r="H260" i="6"/>
  <c r="F260" i="6"/>
  <c r="C260" i="6"/>
  <c r="AD259" i="6"/>
  <c r="AC259" i="6"/>
  <c r="AA259" i="6"/>
  <c r="W259" i="6"/>
  <c r="X259" i="6" s="1"/>
  <c r="U259" i="6"/>
  <c r="R259" i="6"/>
  <c r="N259" i="6"/>
  <c r="O259" i="6" s="1"/>
  <c r="L259" i="6"/>
  <c r="H259" i="6"/>
  <c r="I259" i="6" s="1"/>
  <c r="F259" i="6"/>
  <c r="C259" i="6"/>
  <c r="AD258" i="6"/>
  <c r="AC258" i="6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C257" i="6"/>
  <c r="AD257" i="6" s="1"/>
  <c r="AA257" i="6"/>
  <c r="W257" i="6"/>
  <c r="X257" i="6" s="1"/>
  <c r="U257" i="6"/>
  <c r="R257" i="6"/>
  <c r="N257" i="6"/>
  <c r="O257" i="6" s="1"/>
  <c r="L257" i="6"/>
  <c r="I257" i="6"/>
  <c r="H257" i="6"/>
  <c r="F257" i="6"/>
  <c r="C257" i="6"/>
  <c r="AC256" i="6"/>
  <c r="AD256" i="6" s="1"/>
  <c r="AA256" i="6"/>
  <c r="X256" i="6"/>
  <c r="W256" i="6"/>
  <c r="U256" i="6"/>
  <c r="R256" i="6"/>
  <c r="N256" i="6"/>
  <c r="O256" i="6" s="1"/>
  <c r="L256" i="6"/>
  <c r="H256" i="6"/>
  <c r="I256" i="6" s="1"/>
  <c r="F256" i="6"/>
  <c r="C256" i="6"/>
  <c r="AD255" i="6"/>
  <c r="AC255" i="6"/>
  <c r="AA255" i="6"/>
  <c r="X255" i="6"/>
  <c r="W255" i="6"/>
  <c r="U255" i="6"/>
  <c r="R255" i="6"/>
  <c r="N255" i="6"/>
  <c r="O255" i="6" s="1"/>
  <c r="L255" i="6"/>
  <c r="H255" i="6"/>
  <c r="I255" i="6" s="1"/>
  <c r="F255" i="6"/>
  <c r="C255" i="6"/>
  <c r="AD254" i="6"/>
  <c r="AC254" i="6"/>
  <c r="AA254" i="6"/>
  <c r="W254" i="6"/>
  <c r="X254" i="6" s="1"/>
  <c r="U254" i="6"/>
  <c r="R254" i="6"/>
  <c r="O254" i="6"/>
  <c r="N254" i="6"/>
  <c r="L254" i="6"/>
  <c r="I254" i="6"/>
  <c r="H254" i="6"/>
  <c r="F254" i="6"/>
  <c r="C254" i="6"/>
  <c r="AC253" i="6"/>
  <c r="AD253" i="6" s="1"/>
  <c r="AA253" i="6"/>
  <c r="W253" i="6"/>
  <c r="X253" i="6" s="1"/>
  <c r="U253" i="6"/>
  <c r="R253" i="6"/>
  <c r="N253" i="6"/>
  <c r="O253" i="6" s="1"/>
  <c r="L253" i="6"/>
  <c r="I253" i="6"/>
  <c r="H253" i="6"/>
  <c r="F253" i="6"/>
  <c r="C253" i="6"/>
  <c r="AC252" i="6"/>
  <c r="AD252" i="6" s="1"/>
  <c r="AA252" i="6"/>
  <c r="X252" i="6"/>
  <c r="W252" i="6"/>
  <c r="U252" i="6"/>
  <c r="R252" i="6"/>
  <c r="N252" i="6"/>
  <c r="O252" i="6" s="1"/>
  <c r="L252" i="6"/>
  <c r="I252" i="6"/>
  <c r="H252" i="6"/>
  <c r="F252" i="6"/>
  <c r="C252" i="6"/>
  <c r="AD251" i="6"/>
  <c r="AC251" i="6"/>
  <c r="AA251" i="6"/>
  <c r="W251" i="6"/>
  <c r="X251" i="6" s="1"/>
  <c r="U251" i="6"/>
  <c r="R251" i="6"/>
  <c r="N251" i="6"/>
  <c r="O251" i="6" s="1"/>
  <c r="L251" i="6"/>
  <c r="H251" i="6"/>
  <c r="I251" i="6" s="1"/>
  <c r="F251" i="6"/>
  <c r="C251" i="6"/>
  <c r="AD250" i="6"/>
  <c r="AC250" i="6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D249" i="6"/>
  <c r="AC249" i="6"/>
  <c r="AA249" i="6"/>
  <c r="W249" i="6"/>
  <c r="X249" i="6" s="1"/>
  <c r="U249" i="6"/>
  <c r="R249" i="6"/>
  <c r="N249" i="6"/>
  <c r="O249" i="6" s="1"/>
  <c r="L249" i="6"/>
  <c r="I249" i="6"/>
  <c r="H249" i="6"/>
  <c r="F249" i="6"/>
  <c r="C249" i="6"/>
  <c r="AC248" i="6"/>
  <c r="AD248" i="6" s="1"/>
  <c r="AA248" i="6"/>
  <c r="X248" i="6"/>
  <c r="W248" i="6"/>
  <c r="U248" i="6"/>
  <c r="R248" i="6"/>
  <c r="N248" i="6"/>
  <c r="O248" i="6" s="1"/>
  <c r="L248" i="6"/>
  <c r="I248" i="6"/>
  <c r="H248" i="6"/>
  <c r="F248" i="6"/>
  <c r="C248" i="6"/>
  <c r="AD247" i="6"/>
  <c r="AC247" i="6"/>
  <c r="AA247" i="6"/>
  <c r="W247" i="6"/>
  <c r="X247" i="6" s="1"/>
  <c r="U247" i="6"/>
  <c r="R247" i="6"/>
  <c r="N247" i="6"/>
  <c r="O247" i="6" s="1"/>
  <c r="L247" i="6"/>
  <c r="H247" i="6"/>
  <c r="I247" i="6" s="1"/>
  <c r="F247" i="6"/>
  <c r="C247" i="6"/>
  <c r="AD246" i="6"/>
  <c r="AC246" i="6"/>
  <c r="AA246" i="6"/>
  <c r="W246" i="6"/>
  <c r="X246" i="6" s="1"/>
  <c r="U246" i="6"/>
  <c r="R246" i="6"/>
  <c r="O246" i="6"/>
  <c r="N246" i="6"/>
  <c r="L246" i="6"/>
  <c r="I246" i="6"/>
  <c r="H246" i="6"/>
  <c r="F246" i="6"/>
  <c r="C246" i="6"/>
  <c r="AC245" i="6"/>
  <c r="AD245" i="6" s="1"/>
  <c r="AA245" i="6"/>
  <c r="W245" i="6"/>
  <c r="X245" i="6" s="1"/>
  <c r="U245" i="6"/>
  <c r="R245" i="6"/>
  <c r="O245" i="6"/>
  <c r="N245" i="6"/>
  <c r="L245" i="6"/>
  <c r="I245" i="6"/>
  <c r="H245" i="6"/>
  <c r="F245" i="6"/>
  <c r="C245" i="6"/>
  <c r="AC244" i="6"/>
  <c r="AD244" i="6" s="1"/>
  <c r="AA244" i="6"/>
  <c r="X244" i="6"/>
  <c r="W244" i="6"/>
  <c r="U244" i="6"/>
  <c r="R244" i="6"/>
  <c r="N244" i="6"/>
  <c r="O244" i="6" s="1"/>
  <c r="L244" i="6"/>
  <c r="I244" i="6"/>
  <c r="H244" i="6"/>
  <c r="F244" i="6"/>
  <c r="C244" i="6"/>
  <c r="AD243" i="6"/>
  <c r="AC243" i="6"/>
  <c r="AA243" i="6"/>
  <c r="W243" i="6"/>
  <c r="X243" i="6" s="1"/>
  <c r="U243" i="6"/>
  <c r="R243" i="6"/>
  <c r="N243" i="6"/>
  <c r="O243" i="6" s="1"/>
  <c r="L243" i="6"/>
  <c r="H243" i="6"/>
  <c r="I243" i="6" s="1"/>
  <c r="F243" i="6"/>
  <c r="C243" i="6"/>
  <c r="AD242" i="6"/>
  <c r="AC242" i="6"/>
  <c r="AA242" i="6"/>
  <c r="W242" i="6"/>
  <c r="X242" i="6" s="1"/>
  <c r="U242" i="6"/>
  <c r="R242" i="6"/>
  <c r="O242" i="6"/>
  <c r="N242" i="6"/>
  <c r="L242" i="6"/>
  <c r="I242" i="6"/>
  <c r="H242" i="6"/>
  <c r="F242" i="6"/>
  <c r="C242" i="6"/>
  <c r="AC241" i="6"/>
  <c r="AD241" i="6" s="1"/>
  <c r="AA241" i="6"/>
  <c r="W241" i="6"/>
  <c r="X241" i="6" s="1"/>
  <c r="U241" i="6"/>
  <c r="R241" i="6"/>
  <c r="N241" i="6"/>
  <c r="O241" i="6" s="1"/>
  <c r="L241" i="6"/>
  <c r="I241" i="6"/>
  <c r="H241" i="6"/>
  <c r="F241" i="6"/>
  <c r="C241" i="6"/>
  <c r="AC240" i="6"/>
  <c r="AD240" i="6" s="1"/>
  <c r="AA240" i="6"/>
  <c r="X240" i="6"/>
  <c r="W240" i="6"/>
  <c r="U240" i="6"/>
  <c r="R240" i="6"/>
  <c r="N240" i="6"/>
  <c r="O240" i="6" s="1"/>
  <c r="L240" i="6"/>
  <c r="H240" i="6"/>
  <c r="I240" i="6" s="1"/>
  <c r="F240" i="6"/>
  <c r="C240" i="6"/>
  <c r="AD238" i="6"/>
  <c r="AC238" i="6"/>
  <c r="AA238" i="6"/>
  <c r="X238" i="6"/>
  <c r="W238" i="6"/>
  <c r="U238" i="6"/>
  <c r="R238" i="6"/>
  <c r="N238" i="6"/>
  <c r="O238" i="6" s="1"/>
  <c r="L238" i="6"/>
  <c r="H238" i="6"/>
  <c r="I238" i="6" s="1"/>
  <c r="F238" i="6"/>
  <c r="C238" i="6"/>
  <c r="AA236" i="6"/>
  <c r="Z236" i="6"/>
  <c r="W236" i="6"/>
  <c r="X236" i="6" s="1"/>
  <c r="U236" i="6"/>
  <c r="T236" i="6"/>
  <c r="R236" i="6"/>
  <c r="Q236" i="6"/>
  <c r="AC236" i="6" s="1"/>
  <c r="AD236" i="6" s="1"/>
  <c r="K236" i="6"/>
  <c r="L236" i="6" s="1"/>
  <c r="I236" i="6"/>
  <c r="H236" i="6"/>
  <c r="F236" i="6"/>
  <c r="E236" i="6"/>
  <c r="C236" i="6"/>
  <c r="B236" i="6"/>
  <c r="AC235" i="6"/>
  <c r="AD235" i="6" s="1"/>
  <c r="AA235" i="6"/>
  <c r="X235" i="6"/>
  <c r="W235" i="6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X234" i="6"/>
  <c r="W234" i="6"/>
  <c r="U234" i="6"/>
  <c r="R234" i="6"/>
  <c r="N234" i="6"/>
  <c r="O234" i="6" s="1"/>
  <c r="L234" i="6"/>
  <c r="H234" i="6"/>
  <c r="I234" i="6" s="1"/>
  <c r="F234" i="6"/>
  <c r="C234" i="6"/>
  <c r="AD233" i="6"/>
  <c r="AC233" i="6"/>
  <c r="AA233" i="6"/>
  <c r="W233" i="6"/>
  <c r="X233" i="6" s="1"/>
  <c r="U233" i="6"/>
  <c r="R233" i="6"/>
  <c r="O233" i="6"/>
  <c r="N233" i="6"/>
  <c r="L233" i="6"/>
  <c r="I233" i="6"/>
  <c r="H233" i="6"/>
  <c r="F233" i="6"/>
  <c r="C233" i="6"/>
  <c r="AC232" i="6"/>
  <c r="AD232" i="6" s="1"/>
  <c r="AA232" i="6"/>
  <c r="W232" i="6"/>
  <c r="X232" i="6" s="1"/>
  <c r="U232" i="6"/>
  <c r="R232" i="6"/>
  <c r="N232" i="6"/>
  <c r="O232" i="6" s="1"/>
  <c r="L232" i="6"/>
  <c r="I232" i="6"/>
  <c r="H232" i="6"/>
  <c r="F232" i="6"/>
  <c r="C232" i="6"/>
  <c r="AC231" i="6"/>
  <c r="AD231" i="6" s="1"/>
  <c r="AA231" i="6"/>
  <c r="X231" i="6"/>
  <c r="W231" i="6"/>
  <c r="U231" i="6"/>
  <c r="R231" i="6"/>
  <c r="N231" i="6"/>
  <c r="O231" i="6" s="1"/>
  <c r="L231" i="6"/>
  <c r="H231" i="6"/>
  <c r="I231" i="6" s="1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H230" i="6"/>
  <c r="I230" i="6" s="1"/>
  <c r="F230" i="6"/>
  <c r="C230" i="6"/>
  <c r="AD229" i="6"/>
  <c r="AC229" i="6"/>
  <c r="AA229" i="6"/>
  <c r="W229" i="6"/>
  <c r="X229" i="6" s="1"/>
  <c r="U229" i="6"/>
  <c r="R229" i="6"/>
  <c r="N229" i="6"/>
  <c r="O229" i="6" s="1"/>
  <c r="L229" i="6"/>
  <c r="I229" i="6"/>
  <c r="H229" i="6"/>
  <c r="F229" i="6"/>
  <c r="C229" i="6"/>
  <c r="AA227" i="6"/>
  <c r="Z227" i="6"/>
  <c r="T227" i="6"/>
  <c r="U227" i="6" s="1"/>
  <c r="Q227" i="6"/>
  <c r="AC227" i="6" s="1"/>
  <c r="AD227" i="6" s="1"/>
  <c r="L227" i="6"/>
  <c r="K227" i="6"/>
  <c r="H227" i="6"/>
  <c r="I227" i="6" s="1"/>
  <c r="F227" i="6"/>
  <c r="E227" i="6"/>
  <c r="C227" i="6"/>
  <c r="B227" i="6"/>
  <c r="N227" i="6" s="1"/>
  <c r="O227" i="6" s="1"/>
  <c r="AD226" i="6"/>
  <c r="AC226" i="6"/>
  <c r="AA226" i="6"/>
  <c r="X226" i="6"/>
  <c r="W226" i="6"/>
  <c r="U226" i="6"/>
  <c r="R226" i="6"/>
  <c r="N226" i="6"/>
  <c r="O226" i="6" s="1"/>
  <c r="L226" i="6"/>
  <c r="H226" i="6"/>
  <c r="I226" i="6" s="1"/>
  <c r="F226" i="6"/>
  <c r="C226" i="6"/>
  <c r="AD225" i="6"/>
  <c r="AC225" i="6"/>
  <c r="AA225" i="6"/>
  <c r="W225" i="6"/>
  <c r="X225" i="6" s="1"/>
  <c r="U225" i="6"/>
  <c r="R225" i="6"/>
  <c r="O225" i="6"/>
  <c r="N225" i="6"/>
  <c r="L225" i="6"/>
  <c r="I225" i="6"/>
  <c r="H225" i="6"/>
  <c r="F225" i="6"/>
  <c r="C225" i="6"/>
  <c r="AC224" i="6"/>
  <c r="AD224" i="6" s="1"/>
  <c r="AA224" i="6"/>
  <c r="W224" i="6"/>
  <c r="X224" i="6" s="1"/>
  <c r="U224" i="6"/>
  <c r="R224" i="6"/>
  <c r="O224" i="6"/>
  <c r="N224" i="6"/>
  <c r="L224" i="6"/>
  <c r="I224" i="6"/>
  <c r="H224" i="6"/>
  <c r="F224" i="6"/>
  <c r="C224" i="6"/>
  <c r="AC223" i="6"/>
  <c r="AD223" i="6" s="1"/>
  <c r="AA223" i="6"/>
  <c r="W223" i="6"/>
  <c r="X223" i="6" s="1"/>
  <c r="U223" i="6"/>
  <c r="R223" i="6"/>
  <c r="N223" i="6"/>
  <c r="O223" i="6" s="1"/>
  <c r="L223" i="6"/>
  <c r="I223" i="6"/>
  <c r="H223" i="6"/>
  <c r="F223" i="6"/>
  <c r="C223" i="6"/>
  <c r="AD222" i="6"/>
  <c r="AC222" i="6"/>
  <c r="AA222" i="6"/>
  <c r="W222" i="6"/>
  <c r="X222" i="6" s="1"/>
  <c r="U222" i="6"/>
  <c r="R222" i="6"/>
  <c r="N222" i="6"/>
  <c r="O222" i="6" s="1"/>
  <c r="L222" i="6"/>
  <c r="H222" i="6"/>
  <c r="I222" i="6" s="1"/>
  <c r="F222" i="6"/>
  <c r="C222" i="6"/>
  <c r="AD221" i="6"/>
  <c r="AC221" i="6"/>
  <c r="AA221" i="6"/>
  <c r="W221" i="6"/>
  <c r="X221" i="6" s="1"/>
  <c r="U221" i="6"/>
  <c r="R221" i="6"/>
  <c r="N221" i="6"/>
  <c r="O221" i="6" s="1"/>
  <c r="L221" i="6"/>
  <c r="I221" i="6"/>
  <c r="H221" i="6"/>
  <c r="F221" i="6"/>
  <c r="C221" i="6"/>
  <c r="AD220" i="6"/>
  <c r="AC220" i="6"/>
  <c r="AA220" i="6"/>
  <c r="W220" i="6"/>
  <c r="X220" i="6" s="1"/>
  <c r="U220" i="6"/>
  <c r="R220" i="6"/>
  <c r="N220" i="6"/>
  <c r="O220" i="6" s="1"/>
  <c r="L220" i="6"/>
  <c r="I220" i="6"/>
  <c r="H220" i="6"/>
  <c r="F220" i="6"/>
  <c r="C220" i="6"/>
  <c r="AD219" i="6"/>
  <c r="AC219" i="6"/>
  <c r="AA219" i="6"/>
  <c r="X219" i="6"/>
  <c r="W219" i="6"/>
  <c r="U219" i="6"/>
  <c r="R219" i="6"/>
  <c r="N219" i="6"/>
  <c r="O219" i="6" s="1"/>
  <c r="L219" i="6"/>
  <c r="H219" i="6"/>
  <c r="I219" i="6" s="1"/>
  <c r="F219" i="6"/>
  <c r="C219" i="6"/>
  <c r="AA218" i="6"/>
  <c r="Z218" i="6"/>
  <c r="X218" i="6"/>
  <c r="W218" i="6"/>
  <c r="U218" i="6"/>
  <c r="T218" i="6"/>
  <c r="R218" i="6"/>
  <c r="Q218" i="6"/>
  <c r="AC218" i="6" s="1"/>
  <c r="AD218" i="6" s="1"/>
  <c r="L218" i="6"/>
  <c r="K218" i="6"/>
  <c r="I218" i="6"/>
  <c r="F218" i="6"/>
  <c r="E218" i="6"/>
  <c r="C218" i="6"/>
  <c r="B218" i="6"/>
  <c r="H218" i="6" s="1"/>
  <c r="AC217" i="6"/>
  <c r="AD217" i="6" s="1"/>
  <c r="AA217" i="6"/>
  <c r="W217" i="6"/>
  <c r="X217" i="6" s="1"/>
  <c r="U217" i="6"/>
  <c r="R217" i="6"/>
  <c r="O217" i="6"/>
  <c r="N217" i="6"/>
  <c r="L217" i="6"/>
  <c r="I217" i="6"/>
  <c r="H217" i="6"/>
  <c r="F217" i="6"/>
  <c r="C217" i="6"/>
  <c r="AC216" i="6"/>
  <c r="AD216" i="6" s="1"/>
  <c r="AA216" i="6"/>
  <c r="W216" i="6"/>
  <c r="X216" i="6" s="1"/>
  <c r="U216" i="6"/>
  <c r="R216" i="6"/>
  <c r="N216" i="6"/>
  <c r="O216" i="6" s="1"/>
  <c r="L216" i="6"/>
  <c r="I216" i="6"/>
  <c r="H216" i="6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H215" i="6"/>
  <c r="I215" i="6" s="1"/>
  <c r="F215" i="6"/>
  <c r="C215" i="6"/>
  <c r="AD214" i="6"/>
  <c r="AC214" i="6"/>
  <c r="AA214" i="6"/>
  <c r="W214" i="6"/>
  <c r="X214" i="6" s="1"/>
  <c r="U214" i="6"/>
  <c r="R214" i="6"/>
  <c r="N214" i="6"/>
  <c r="O214" i="6" s="1"/>
  <c r="L214" i="6"/>
  <c r="I214" i="6"/>
  <c r="H214" i="6"/>
  <c r="F214" i="6"/>
  <c r="C214" i="6"/>
  <c r="AD213" i="6"/>
  <c r="AC213" i="6"/>
  <c r="AA213" i="6"/>
  <c r="W213" i="6"/>
  <c r="X213" i="6" s="1"/>
  <c r="U213" i="6"/>
  <c r="R213" i="6"/>
  <c r="N213" i="6"/>
  <c r="O213" i="6" s="1"/>
  <c r="L213" i="6"/>
  <c r="I213" i="6"/>
  <c r="H213" i="6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H211" i="6"/>
  <c r="I211" i="6" s="1"/>
  <c r="F211" i="6"/>
  <c r="C211" i="6"/>
  <c r="AA209" i="6"/>
  <c r="Z209" i="6"/>
  <c r="X209" i="6"/>
  <c r="W209" i="6"/>
  <c r="U209" i="6"/>
  <c r="T209" i="6"/>
  <c r="R209" i="6"/>
  <c r="Q209" i="6"/>
  <c r="AC209" i="6" s="1"/>
  <c r="AD209" i="6" s="1"/>
  <c r="L209" i="6"/>
  <c r="K209" i="6"/>
  <c r="I209" i="6"/>
  <c r="F209" i="6"/>
  <c r="E209" i="6"/>
  <c r="C209" i="6"/>
  <c r="B209" i="6"/>
  <c r="H209" i="6" s="1"/>
  <c r="AC208" i="6"/>
  <c r="AD208" i="6" s="1"/>
  <c r="AA208" i="6"/>
  <c r="W208" i="6"/>
  <c r="X208" i="6" s="1"/>
  <c r="U208" i="6"/>
  <c r="R208" i="6"/>
  <c r="N208" i="6"/>
  <c r="O208" i="6" s="1"/>
  <c r="L208" i="6"/>
  <c r="I208" i="6"/>
  <c r="H208" i="6"/>
  <c r="F208" i="6"/>
  <c r="C208" i="6"/>
  <c r="AC207" i="6"/>
  <c r="AD207" i="6" s="1"/>
  <c r="AA207" i="6"/>
  <c r="W207" i="6"/>
  <c r="X207" i="6" s="1"/>
  <c r="U207" i="6"/>
  <c r="R207" i="6"/>
  <c r="N207" i="6"/>
  <c r="O207" i="6" s="1"/>
  <c r="L207" i="6"/>
  <c r="H207" i="6"/>
  <c r="I207" i="6" s="1"/>
  <c r="F207" i="6"/>
  <c r="C207" i="6"/>
  <c r="AD206" i="6"/>
  <c r="AC206" i="6"/>
  <c r="AA206" i="6"/>
  <c r="W206" i="6"/>
  <c r="X206" i="6" s="1"/>
  <c r="U206" i="6"/>
  <c r="R206" i="6"/>
  <c r="N206" i="6"/>
  <c r="O206" i="6" s="1"/>
  <c r="L206" i="6"/>
  <c r="H206" i="6"/>
  <c r="I206" i="6" s="1"/>
  <c r="F206" i="6"/>
  <c r="C206" i="6"/>
  <c r="AD205" i="6"/>
  <c r="AC205" i="6"/>
  <c r="AA205" i="6"/>
  <c r="W205" i="6"/>
  <c r="X205" i="6" s="1"/>
  <c r="U205" i="6"/>
  <c r="R205" i="6"/>
  <c r="N205" i="6"/>
  <c r="O205" i="6" s="1"/>
  <c r="L205" i="6"/>
  <c r="I205" i="6"/>
  <c r="H205" i="6"/>
  <c r="F205" i="6"/>
  <c r="C205" i="6"/>
  <c r="AD204" i="6"/>
  <c r="AC204" i="6"/>
  <c r="AA204" i="6"/>
  <c r="W204" i="6"/>
  <c r="X204" i="6" s="1"/>
  <c r="U204" i="6"/>
  <c r="R204" i="6"/>
  <c r="O204" i="6"/>
  <c r="N204" i="6"/>
  <c r="L204" i="6"/>
  <c r="I204" i="6"/>
  <c r="H204" i="6"/>
  <c r="F204" i="6"/>
  <c r="C204" i="6"/>
  <c r="AD203" i="6"/>
  <c r="AC203" i="6"/>
  <c r="AA203" i="6"/>
  <c r="X203" i="6"/>
  <c r="W203" i="6"/>
  <c r="U203" i="6"/>
  <c r="R203" i="6"/>
  <c r="N203" i="6"/>
  <c r="O203" i="6" s="1"/>
  <c r="L203" i="6"/>
  <c r="I203" i="6"/>
  <c r="H203" i="6"/>
  <c r="F203" i="6"/>
  <c r="C203" i="6"/>
  <c r="AD202" i="6"/>
  <c r="AC202" i="6"/>
  <c r="AA202" i="6"/>
  <c r="X202" i="6"/>
  <c r="W202" i="6"/>
  <c r="U202" i="6"/>
  <c r="R202" i="6"/>
  <c r="N202" i="6"/>
  <c r="O202" i="6" s="1"/>
  <c r="L202" i="6"/>
  <c r="I202" i="6"/>
  <c r="H202" i="6"/>
  <c r="F202" i="6"/>
  <c r="C202" i="6"/>
  <c r="AD201" i="6"/>
  <c r="AC201" i="6"/>
  <c r="AA201" i="6"/>
  <c r="W201" i="6"/>
  <c r="X201" i="6" s="1"/>
  <c r="U201" i="6"/>
  <c r="R201" i="6"/>
  <c r="O201" i="6"/>
  <c r="N201" i="6"/>
  <c r="L201" i="6"/>
  <c r="I201" i="6"/>
  <c r="H201" i="6"/>
  <c r="F201" i="6"/>
  <c r="C201" i="6"/>
  <c r="Z197" i="6"/>
  <c r="AA197" i="6" s="1"/>
  <c r="X197" i="6"/>
  <c r="W197" i="6"/>
  <c r="U197" i="6"/>
  <c r="T197" i="6"/>
  <c r="R197" i="6"/>
  <c r="Q197" i="6"/>
  <c r="L197" i="6"/>
  <c r="K197" i="6"/>
  <c r="N197" i="6" s="1"/>
  <c r="O197" i="6" s="1"/>
  <c r="I197" i="6"/>
  <c r="F197" i="6"/>
  <c r="E197" i="6"/>
  <c r="C197" i="6"/>
  <c r="B197" i="6"/>
  <c r="H197" i="6" s="1"/>
  <c r="AC196" i="6"/>
  <c r="AD196" i="6" s="1"/>
  <c r="AA196" i="6"/>
  <c r="Z196" i="6"/>
  <c r="U196" i="6"/>
  <c r="T196" i="6"/>
  <c r="Q196" i="6"/>
  <c r="L196" i="6"/>
  <c r="K196" i="6"/>
  <c r="H196" i="6"/>
  <c r="I196" i="6" s="1"/>
  <c r="F196" i="6"/>
  <c r="E196" i="6"/>
  <c r="C196" i="6"/>
  <c r="B196" i="6"/>
  <c r="N196" i="6" s="1"/>
  <c r="O196" i="6" s="1"/>
  <c r="AD195" i="6"/>
  <c r="AC195" i="6"/>
  <c r="AA195" i="6"/>
  <c r="X195" i="6"/>
  <c r="W195" i="6"/>
  <c r="U195" i="6"/>
  <c r="R195" i="6"/>
  <c r="N195" i="6"/>
  <c r="O195" i="6" s="1"/>
  <c r="L195" i="6"/>
  <c r="I195" i="6"/>
  <c r="H195" i="6"/>
  <c r="F195" i="6"/>
  <c r="C195" i="6"/>
  <c r="AD194" i="6"/>
  <c r="AC194" i="6"/>
  <c r="AA194" i="6"/>
  <c r="W194" i="6"/>
  <c r="X194" i="6" s="1"/>
  <c r="U194" i="6"/>
  <c r="R194" i="6"/>
  <c r="O194" i="6"/>
  <c r="N194" i="6"/>
  <c r="L194" i="6"/>
  <c r="I194" i="6"/>
  <c r="H194" i="6"/>
  <c r="F194" i="6"/>
  <c r="C194" i="6"/>
  <c r="AC193" i="6"/>
  <c r="AD193" i="6" s="1"/>
  <c r="AA193" i="6"/>
  <c r="Z193" i="6"/>
  <c r="T193" i="6"/>
  <c r="U193" i="6" s="1"/>
  <c r="R193" i="6"/>
  <c r="Q193" i="6"/>
  <c r="L193" i="6"/>
  <c r="K193" i="6"/>
  <c r="E193" i="6"/>
  <c r="F193" i="6" s="1"/>
  <c r="C193" i="6"/>
  <c r="B193" i="6"/>
  <c r="N193" i="6" s="1"/>
  <c r="O193" i="6" s="1"/>
  <c r="AD192" i="6"/>
  <c r="AC192" i="6"/>
  <c r="AA192" i="6"/>
  <c r="X192" i="6"/>
  <c r="W192" i="6"/>
  <c r="U192" i="6"/>
  <c r="R192" i="6"/>
  <c r="N192" i="6"/>
  <c r="O192" i="6" s="1"/>
  <c r="L192" i="6"/>
  <c r="H192" i="6"/>
  <c r="I192" i="6" s="1"/>
  <c r="F192" i="6"/>
  <c r="C192" i="6"/>
  <c r="AD191" i="6"/>
  <c r="AC191" i="6"/>
  <c r="AA191" i="6"/>
  <c r="W191" i="6"/>
  <c r="X191" i="6" s="1"/>
  <c r="U191" i="6"/>
  <c r="R191" i="6"/>
  <c r="O191" i="6"/>
  <c r="N191" i="6"/>
  <c r="L191" i="6"/>
  <c r="I191" i="6"/>
  <c r="H191" i="6"/>
  <c r="F191" i="6"/>
  <c r="C191" i="6"/>
  <c r="AD190" i="6"/>
  <c r="AC190" i="6"/>
  <c r="AA190" i="6"/>
  <c r="W190" i="6"/>
  <c r="X190" i="6" s="1"/>
  <c r="U190" i="6"/>
  <c r="R190" i="6"/>
  <c r="O190" i="6"/>
  <c r="N190" i="6"/>
  <c r="L190" i="6"/>
  <c r="I190" i="6"/>
  <c r="H190" i="6"/>
  <c r="F190" i="6"/>
  <c r="C190" i="6"/>
  <c r="AC189" i="6"/>
  <c r="AD189" i="6" s="1"/>
  <c r="AA189" i="6"/>
  <c r="W189" i="6"/>
  <c r="X189" i="6" s="1"/>
  <c r="U189" i="6"/>
  <c r="R189" i="6"/>
  <c r="N189" i="6"/>
  <c r="O189" i="6" s="1"/>
  <c r="L189" i="6"/>
  <c r="I189" i="6"/>
  <c r="H189" i="6"/>
  <c r="F189" i="6"/>
  <c r="C189" i="6"/>
  <c r="AD188" i="6"/>
  <c r="AC188" i="6"/>
  <c r="AA188" i="6"/>
  <c r="W188" i="6"/>
  <c r="X188" i="6" s="1"/>
  <c r="U188" i="6"/>
  <c r="R188" i="6"/>
  <c r="N188" i="6"/>
  <c r="O188" i="6" s="1"/>
  <c r="L188" i="6"/>
  <c r="I188" i="6"/>
  <c r="H188" i="6"/>
  <c r="F188" i="6"/>
  <c r="C188" i="6"/>
  <c r="AD187" i="6"/>
  <c r="AC187" i="6"/>
  <c r="AA187" i="6"/>
  <c r="W187" i="6"/>
  <c r="X187" i="6" s="1"/>
  <c r="U187" i="6"/>
  <c r="R187" i="6"/>
  <c r="N187" i="6"/>
  <c r="O187" i="6" s="1"/>
  <c r="L187" i="6"/>
  <c r="I187" i="6"/>
  <c r="H187" i="6"/>
  <c r="F187" i="6"/>
  <c r="C187" i="6"/>
  <c r="AC186" i="6"/>
  <c r="AD186" i="6" s="1"/>
  <c r="AA186" i="6"/>
  <c r="W186" i="6"/>
  <c r="X186" i="6" s="1"/>
  <c r="U186" i="6"/>
  <c r="R186" i="6"/>
  <c r="N186" i="6"/>
  <c r="O186" i="6" s="1"/>
  <c r="L186" i="6"/>
  <c r="I186" i="6"/>
  <c r="H186" i="6"/>
  <c r="F186" i="6"/>
  <c r="C186" i="6"/>
  <c r="AC184" i="6"/>
  <c r="AD184" i="6" s="1"/>
  <c r="AA184" i="6"/>
  <c r="W184" i="6"/>
  <c r="X184" i="6" s="1"/>
  <c r="U184" i="6"/>
  <c r="R184" i="6"/>
  <c r="N184" i="6"/>
  <c r="O184" i="6" s="1"/>
  <c r="L184" i="6"/>
  <c r="H184" i="6"/>
  <c r="I184" i="6" s="1"/>
  <c r="F184" i="6"/>
  <c r="C184" i="6"/>
  <c r="AD183" i="6"/>
  <c r="AC183" i="6"/>
  <c r="AA183" i="6"/>
  <c r="X183" i="6"/>
  <c r="W183" i="6"/>
  <c r="U183" i="6"/>
  <c r="R183" i="6"/>
  <c r="N183" i="6"/>
  <c r="O183" i="6" s="1"/>
  <c r="L183" i="6"/>
  <c r="H183" i="6"/>
  <c r="I183" i="6" s="1"/>
  <c r="F183" i="6"/>
  <c r="C183" i="6"/>
  <c r="AD182" i="6"/>
  <c r="AA182" i="6"/>
  <c r="Z182" i="6"/>
  <c r="U182" i="6"/>
  <c r="T182" i="6"/>
  <c r="W182" i="6" s="1"/>
  <c r="X182" i="6" s="1"/>
  <c r="R182" i="6"/>
  <c r="Q182" i="6"/>
  <c r="AC182" i="6" s="1"/>
  <c r="K182" i="6"/>
  <c r="L182" i="6" s="1"/>
  <c r="H182" i="6"/>
  <c r="I182" i="6" s="1"/>
  <c r="F182" i="6"/>
  <c r="E182" i="6"/>
  <c r="C182" i="6"/>
  <c r="B182" i="6"/>
  <c r="AC181" i="6"/>
  <c r="AD181" i="6" s="1"/>
  <c r="AA181" i="6"/>
  <c r="X181" i="6"/>
  <c r="W181" i="6"/>
  <c r="U181" i="6"/>
  <c r="R181" i="6"/>
  <c r="N181" i="6"/>
  <c r="O181" i="6" s="1"/>
  <c r="L181" i="6"/>
  <c r="I181" i="6"/>
  <c r="H181" i="6"/>
  <c r="F181" i="6"/>
  <c r="C181" i="6"/>
  <c r="AD180" i="6"/>
  <c r="AC180" i="6"/>
  <c r="AA180" i="6"/>
  <c r="W180" i="6"/>
  <c r="X180" i="6" s="1"/>
  <c r="U180" i="6"/>
  <c r="R180" i="6"/>
  <c r="N180" i="6"/>
  <c r="O180" i="6" s="1"/>
  <c r="L180" i="6"/>
  <c r="I180" i="6"/>
  <c r="H180" i="6"/>
  <c r="F180" i="6"/>
  <c r="C180" i="6"/>
  <c r="AC179" i="6"/>
  <c r="AD179" i="6" s="1"/>
  <c r="AA179" i="6"/>
  <c r="W179" i="6"/>
  <c r="X179" i="6" s="1"/>
  <c r="U179" i="6"/>
  <c r="R179" i="6"/>
  <c r="N179" i="6"/>
  <c r="O179" i="6" s="1"/>
  <c r="L179" i="6"/>
  <c r="I179" i="6"/>
  <c r="H179" i="6"/>
  <c r="F179" i="6"/>
  <c r="C179" i="6"/>
  <c r="AC178" i="6"/>
  <c r="AD178" i="6" s="1"/>
  <c r="AA178" i="6"/>
  <c r="W178" i="6"/>
  <c r="X178" i="6" s="1"/>
  <c r="U178" i="6"/>
  <c r="R178" i="6"/>
  <c r="O178" i="6"/>
  <c r="N178" i="6"/>
  <c r="L178" i="6"/>
  <c r="I178" i="6"/>
  <c r="H178" i="6"/>
  <c r="F178" i="6"/>
  <c r="C178" i="6"/>
  <c r="AD177" i="6"/>
  <c r="AC177" i="6"/>
  <c r="AA177" i="6"/>
  <c r="W177" i="6"/>
  <c r="X177" i="6" s="1"/>
  <c r="U177" i="6"/>
  <c r="R177" i="6"/>
  <c r="N177" i="6"/>
  <c r="O177" i="6" s="1"/>
  <c r="L177" i="6"/>
  <c r="I177" i="6"/>
  <c r="H177" i="6"/>
  <c r="F177" i="6"/>
  <c r="C177" i="6"/>
  <c r="AD175" i="6"/>
  <c r="AC175" i="6"/>
  <c r="AA175" i="6"/>
  <c r="W175" i="6"/>
  <c r="X175" i="6" s="1"/>
  <c r="U175" i="6"/>
  <c r="R175" i="6"/>
  <c r="O175" i="6"/>
  <c r="N175" i="6"/>
  <c r="L175" i="6"/>
  <c r="I175" i="6"/>
  <c r="H175" i="6"/>
  <c r="F175" i="6"/>
  <c r="C175" i="6"/>
  <c r="K172" i="6"/>
  <c r="Z171" i="6"/>
  <c r="AA171" i="6" s="1"/>
  <c r="W171" i="6"/>
  <c r="X171" i="6" s="1"/>
  <c r="U171" i="6"/>
  <c r="T171" i="6"/>
  <c r="R171" i="6"/>
  <c r="Q171" i="6"/>
  <c r="K171" i="6"/>
  <c r="L171" i="6" s="1"/>
  <c r="E171" i="6"/>
  <c r="F171" i="6" s="1"/>
  <c r="B171" i="6"/>
  <c r="AA170" i="6"/>
  <c r="Z170" i="6"/>
  <c r="T170" i="6"/>
  <c r="U170" i="6" s="1"/>
  <c r="Q170" i="6"/>
  <c r="W170" i="6" s="1"/>
  <c r="X170" i="6" s="1"/>
  <c r="O170" i="6"/>
  <c r="K170" i="6"/>
  <c r="L170" i="6" s="1"/>
  <c r="F170" i="6"/>
  <c r="E170" i="6"/>
  <c r="H170" i="6" s="1"/>
  <c r="I170" i="6" s="1"/>
  <c r="C170" i="6"/>
  <c r="B170" i="6"/>
  <c r="N170" i="6" s="1"/>
  <c r="AC169" i="6"/>
  <c r="AD169" i="6" s="1"/>
  <c r="AA169" i="6"/>
  <c r="W169" i="6"/>
  <c r="X169" i="6" s="1"/>
  <c r="U169" i="6"/>
  <c r="R169" i="6"/>
  <c r="N169" i="6"/>
  <c r="O169" i="6" s="1"/>
  <c r="L169" i="6"/>
  <c r="H169" i="6"/>
  <c r="I169" i="6" s="1"/>
  <c r="F169" i="6"/>
  <c r="C169" i="6"/>
  <c r="AD168" i="6"/>
  <c r="AC168" i="6"/>
  <c r="AA168" i="6"/>
  <c r="W168" i="6"/>
  <c r="X168" i="6" s="1"/>
  <c r="U168" i="6"/>
  <c r="R168" i="6"/>
  <c r="N168" i="6"/>
  <c r="O168" i="6" s="1"/>
  <c r="L168" i="6"/>
  <c r="I168" i="6"/>
  <c r="H168" i="6"/>
  <c r="F168" i="6"/>
  <c r="C168" i="6"/>
  <c r="AC167" i="6"/>
  <c r="AD167" i="6" s="1"/>
  <c r="AA167" i="6"/>
  <c r="W167" i="6"/>
  <c r="X167" i="6" s="1"/>
  <c r="U167" i="6"/>
  <c r="R167" i="6"/>
  <c r="N167" i="6"/>
  <c r="O167" i="6" s="1"/>
  <c r="L167" i="6"/>
  <c r="I167" i="6"/>
  <c r="H167" i="6"/>
  <c r="F167" i="6"/>
  <c r="C167" i="6"/>
  <c r="AC166" i="6"/>
  <c r="AD166" i="6" s="1"/>
  <c r="AA166" i="6"/>
  <c r="Z166" i="6"/>
  <c r="U166" i="6"/>
  <c r="T166" i="6"/>
  <c r="R166" i="6"/>
  <c r="Q166" i="6"/>
  <c r="L166" i="6"/>
  <c r="K166" i="6"/>
  <c r="I166" i="6"/>
  <c r="H166" i="6"/>
  <c r="F166" i="6"/>
  <c r="E166" i="6"/>
  <c r="B166" i="6"/>
  <c r="C166" i="6" s="1"/>
  <c r="AD165" i="6"/>
  <c r="AC165" i="6"/>
  <c r="AA165" i="6"/>
  <c r="X165" i="6"/>
  <c r="W165" i="6"/>
  <c r="U165" i="6"/>
  <c r="R165" i="6"/>
  <c r="O165" i="6"/>
  <c r="N165" i="6"/>
  <c r="L165" i="6"/>
  <c r="I165" i="6"/>
  <c r="H165" i="6"/>
  <c r="F165" i="6"/>
  <c r="C165" i="6"/>
  <c r="AC164" i="6"/>
  <c r="AD164" i="6" s="1"/>
  <c r="AA164" i="6"/>
  <c r="W164" i="6"/>
  <c r="X164" i="6" s="1"/>
  <c r="U164" i="6"/>
  <c r="R164" i="6"/>
  <c r="O164" i="6"/>
  <c r="N164" i="6"/>
  <c r="L164" i="6"/>
  <c r="I164" i="6"/>
  <c r="H164" i="6"/>
  <c r="F164" i="6"/>
  <c r="C164" i="6"/>
  <c r="AD163" i="6"/>
  <c r="AC163" i="6"/>
  <c r="AA163" i="6"/>
  <c r="W163" i="6"/>
  <c r="X163" i="6" s="1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X162" i="6"/>
  <c r="W162" i="6"/>
  <c r="U162" i="6"/>
  <c r="R162" i="6"/>
  <c r="N162" i="6"/>
  <c r="O162" i="6" s="1"/>
  <c r="L162" i="6"/>
  <c r="I162" i="6"/>
  <c r="H162" i="6"/>
  <c r="F162" i="6"/>
  <c r="C162" i="6"/>
  <c r="AD161" i="6"/>
  <c r="AC161" i="6"/>
  <c r="AA161" i="6"/>
  <c r="W161" i="6"/>
  <c r="X161" i="6" s="1"/>
  <c r="U161" i="6"/>
  <c r="R161" i="6"/>
  <c r="O161" i="6"/>
  <c r="N161" i="6"/>
  <c r="L161" i="6"/>
  <c r="H161" i="6"/>
  <c r="I161" i="6" s="1"/>
  <c r="F161" i="6"/>
  <c r="C161" i="6"/>
  <c r="AD160" i="6"/>
  <c r="AC160" i="6"/>
  <c r="AA160" i="6"/>
  <c r="X160" i="6"/>
  <c r="W160" i="6"/>
  <c r="U160" i="6"/>
  <c r="R160" i="6"/>
  <c r="O160" i="6"/>
  <c r="N160" i="6"/>
  <c r="L160" i="6"/>
  <c r="H160" i="6"/>
  <c r="I160" i="6" s="1"/>
  <c r="F160" i="6"/>
  <c r="C160" i="6"/>
  <c r="AC158" i="6"/>
  <c r="AD158" i="6" s="1"/>
  <c r="AA158" i="6"/>
  <c r="Z158" i="6"/>
  <c r="T158" i="6"/>
  <c r="U158" i="6" s="1"/>
  <c r="R158" i="6"/>
  <c r="Q158" i="6"/>
  <c r="K158" i="6"/>
  <c r="L158" i="6" s="1"/>
  <c r="F158" i="6"/>
  <c r="E158" i="6"/>
  <c r="H158" i="6" s="1"/>
  <c r="I158" i="6" s="1"/>
  <c r="C158" i="6"/>
  <c r="B158" i="6"/>
  <c r="N158" i="6" s="1"/>
  <c r="O158" i="6" s="1"/>
  <c r="AC157" i="6"/>
  <c r="AD157" i="6" s="1"/>
  <c r="AA157" i="6"/>
  <c r="W157" i="6"/>
  <c r="X157" i="6" s="1"/>
  <c r="U157" i="6"/>
  <c r="R157" i="6"/>
  <c r="O157" i="6"/>
  <c r="N157" i="6"/>
  <c r="L157" i="6"/>
  <c r="H157" i="6"/>
  <c r="I157" i="6" s="1"/>
  <c r="F157" i="6"/>
  <c r="C157" i="6"/>
  <c r="AD156" i="6"/>
  <c r="AC156" i="6"/>
  <c r="AA156" i="6"/>
  <c r="X156" i="6"/>
  <c r="W156" i="6"/>
  <c r="U156" i="6"/>
  <c r="R156" i="6"/>
  <c r="N156" i="6"/>
  <c r="O156" i="6" s="1"/>
  <c r="L156" i="6"/>
  <c r="H156" i="6"/>
  <c r="I156" i="6" s="1"/>
  <c r="F156" i="6"/>
  <c r="C156" i="6"/>
  <c r="AD155" i="6"/>
  <c r="AC155" i="6"/>
  <c r="AA155" i="6"/>
  <c r="X155" i="6"/>
  <c r="W155" i="6"/>
  <c r="U155" i="6"/>
  <c r="R155" i="6"/>
  <c r="N155" i="6"/>
  <c r="O155" i="6" s="1"/>
  <c r="L155" i="6"/>
  <c r="I155" i="6"/>
  <c r="H155" i="6"/>
  <c r="F155" i="6"/>
  <c r="C155" i="6"/>
  <c r="AC154" i="6"/>
  <c r="AD154" i="6" s="1"/>
  <c r="AA154" i="6"/>
  <c r="X154" i="6"/>
  <c r="W154" i="6"/>
  <c r="U154" i="6"/>
  <c r="R154" i="6"/>
  <c r="O154" i="6"/>
  <c r="N154" i="6"/>
  <c r="L154" i="6"/>
  <c r="H154" i="6"/>
  <c r="I154" i="6" s="1"/>
  <c r="F154" i="6"/>
  <c r="C154" i="6"/>
  <c r="AC153" i="6"/>
  <c r="AD153" i="6" s="1"/>
  <c r="AA153" i="6"/>
  <c r="X153" i="6"/>
  <c r="W153" i="6"/>
  <c r="U153" i="6"/>
  <c r="R153" i="6"/>
  <c r="O153" i="6"/>
  <c r="N153" i="6"/>
  <c r="L153" i="6"/>
  <c r="H153" i="6"/>
  <c r="I153" i="6" s="1"/>
  <c r="F153" i="6"/>
  <c r="C153" i="6"/>
  <c r="AD151" i="6"/>
  <c r="AC151" i="6"/>
  <c r="AA151" i="6"/>
  <c r="X151" i="6"/>
  <c r="W151" i="6"/>
  <c r="U151" i="6"/>
  <c r="R151" i="6"/>
  <c r="O151" i="6"/>
  <c r="N151" i="6"/>
  <c r="L151" i="6"/>
  <c r="H151" i="6"/>
  <c r="I151" i="6" s="1"/>
  <c r="F151" i="6"/>
  <c r="C151" i="6"/>
  <c r="AA149" i="6"/>
  <c r="Z149" i="6"/>
  <c r="T149" i="6"/>
  <c r="U149" i="6" s="1"/>
  <c r="Q149" i="6"/>
  <c r="W149" i="6" s="1"/>
  <c r="X149" i="6" s="1"/>
  <c r="O149" i="6"/>
  <c r="K149" i="6"/>
  <c r="L149" i="6" s="1"/>
  <c r="H149" i="6"/>
  <c r="I149" i="6" s="1"/>
  <c r="F149" i="6"/>
  <c r="E149" i="6"/>
  <c r="C149" i="6"/>
  <c r="B149" i="6"/>
  <c r="N149" i="6" s="1"/>
  <c r="Z148" i="6"/>
  <c r="AA148" i="6" s="1"/>
  <c r="X148" i="6"/>
  <c r="W148" i="6"/>
  <c r="U148" i="6"/>
  <c r="T148" i="6"/>
  <c r="Q148" i="6"/>
  <c r="R148" i="6" s="1"/>
  <c r="K148" i="6"/>
  <c r="L148" i="6" s="1"/>
  <c r="E148" i="6"/>
  <c r="F148" i="6" s="1"/>
  <c r="B148" i="6"/>
  <c r="AD147" i="6"/>
  <c r="AC147" i="6"/>
  <c r="AA147" i="6"/>
  <c r="X147" i="6"/>
  <c r="W147" i="6"/>
  <c r="U147" i="6"/>
  <c r="R147" i="6"/>
  <c r="O147" i="6"/>
  <c r="N147" i="6"/>
  <c r="L147" i="6"/>
  <c r="I147" i="6"/>
  <c r="H147" i="6"/>
  <c r="F147" i="6"/>
  <c r="C147" i="6"/>
  <c r="AC146" i="6"/>
  <c r="AD146" i="6" s="1"/>
  <c r="AA146" i="6"/>
  <c r="X146" i="6"/>
  <c r="W146" i="6"/>
  <c r="U146" i="6"/>
  <c r="R146" i="6"/>
  <c r="O146" i="6"/>
  <c r="N146" i="6"/>
  <c r="L146" i="6"/>
  <c r="I146" i="6"/>
  <c r="H146" i="6"/>
  <c r="F146" i="6"/>
  <c r="C146" i="6"/>
  <c r="AC145" i="6"/>
  <c r="AD145" i="6" s="1"/>
  <c r="AA145" i="6"/>
  <c r="X145" i="6"/>
  <c r="W145" i="6"/>
  <c r="U145" i="6"/>
  <c r="R145" i="6"/>
  <c r="O145" i="6"/>
  <c r="N145" i="6"/>
  <c r="L145" i="6"/>
  <c r="H145" i="6"/>
  <c r="I145" i="6" s="1"/>
  <c r="F145" i="6"/>
  <c r="C145" i="6"/>
  <c r="AD144" i="6"/>
  <c r="AC144" i="6"/>
  <c r="AA144" i="6"/>
  <c r="X144" i="6"/>
  <c r="W144" i="6"/>
  <c r="U144" i="6"/>
  <c r="R144" i="6"/>
  <c r="N144" i="6"/>
  <c r="O144" i="6" s="1"/>
  <c r="L144" i="6"/>
  <c r="H144" i="6"/>
  <c r="I144" i="6" s="1"/>
  <c r="F144" i="6"/>
  <c r="C144" i="6"/>
  <c r="AC143" i="6"/>
  <c r="AD143" i="6" s="1"/>
  <c r="AA143" i="6"/>
  <c r="X143" i="6"/>
  <c r="W143" i="6"/>
  <c r="U143" i="6"/>
  <c r="R143" i="6"/>
  <c r="N143" i="6"/>
  <c r="O143" i="6" s="1"/>
  <c r="L143" i="6"/>
  <c r="I143" i="6"/>
  <c r="H143" i="6"/>
  <c r="F143" i="6"/>
  <c r="C143" i="6"/>
  <c r="Z141" i="6"/>
  <c r="AA141" i="6" s="1"/>
  <c r="T141" i="6"/>
  <c r="U141" i="6" s="1"/>
  <c r="Q141" i="6"/>
  <c r="L141" i="6"/>
  <c r="K141" i="6"/>
  <c r="E141" i="6"/>
  <c r="F141" i="6" s="1"/>
  <c r="B141" i="6"/>
  <c r="AD140" i="6"/>
  <c r="AC140" i="6"/>
  <c r="AA140" i="6"/>
  <c r="X140" i="6"/>
  <c r="W140" i="6"/>
  <c r="U140" i="6"/>
  <c r="R140" i="6"/>
  <c r="O140" i="6"/>
  <c r="N140" i="6"/>
  <c r="L140" i="6"/>
  <c r="H140" i="6"/>
  <c r="I140" i="6" s="1"/>
  <c r="F140" i="6"/>
  <c r="C140" i="6"/>
  <c r="AD139" i="6"/>
  <c r="AC139" i="6"/>
  <c r="AA139" i="6"/>
  <c r="X139" i="6"/>
  <c r="W139" i="6"/>
  <c r="U139" i="6"/>
  <c r="R139" i="6"/>
  <c r="N139" i="6"/>
  <c r="O139" i="6" s="1"/>
  <c r="L139" i="6"/>
  <c r="I139" i="6"/>
  <c r="H139" i="6"/>
  <c r="F139" i="6"/>
  <c r="C139" i="6"/>
  <c r="AC138" i="6"/>
  <c r="AD138" i="6" s="1"/>
  <c r="AA138" i="6"/>
  <c r="X138" i="6"/>
  <c r="W138" i="6"/>
  <c r="U138" i="6"/>
  <c r="R138" i="6"/>
  <c r="O138" i="6"/>
  <c r="N138" i="6"/>
  <c r="L138" i="6"/>
  <c r="H138" i="6"/>
  <c r="I138" i="6" s="1"/>
  <c r="F138" i="6"/>
  <c r="C138" i="6"/>
  <c r="AC137" i="6"/>
  <c r="AD137" i="6" s="1"/>
  <c r="AA137" i="6"/>
  <c r="W137" i="6"/>
  <c r="X137" i="6" s="1"/>
  <c r="U137" i="6"/>
  <c r="R137" i="6"/>
  <c r="O137" i="6"/>
  <c r="N137" i="6"/>
  <c r="L137" i="6"/>
  <c r="H137" i="6"/>
  <c r="I137" i="6" s="1"/>
  <c r="F137" i="6"/>
  <c r="C137" i="6"/>
  <c r="AD136" i="6"/>
  <c r="AC136" i="6"/>
  <c r="AA136" i="6"/>
  <c r="X136" i="6"/>
  <c r="W136" i="6"/>
  <c r="U136" i="6"/>
  <c r="R136" i="6"/>
  <c r="O136" i="6"/>
  <c r="N136" i="6"/>
  <c r="L136" i="6"/>
  <c r="H136" i="6"/>
  <c r="I136" i="6" s="1"/>
  <c r="F136" i="6"/>
  <c r="C136" i="6"/>
  <c r="AD135" i="6"/>
  <c r="AC135" i="6"/>
  <c r="AA135" i="6"/>
  <c r="X135" i="6"/>
  <c r="W135" i="6"/>
  <c r="U135" i="6"/>
  <c r="R135" i="6"/>
  <c r="O135" i="6"/>
  <c r="N135" i="6"/>
  <c r="L135" i="6"/>
  <c r="I135" i="6"/>
  <c r="H135" i="6"/>
  <c r="F135" i="6"/>
  <c r="C135" i="6"/>
  <c r="AC134" i="6"/>
  <c r="AD134" i="6" s="1"/>
  <c r="AA134" i="6"/>
  <c r="X134" i="6"/>
  <c r="W134" i="6"/>
  <c r="U134" i="6"/>
  <c r="R134" i="6"/>
  <c r="O134" i="6"/>
  <c r="N134" i="6"/>
  <c r="L134" i="6"/>
  <c r="I134" i="6"/>
  <c r="H134" i="6"/>
  <c r="F134" i="6"/>
  <c r="C134" i="6"/>
  <c r="AC133" i="6"/>
  <c r="AD133" i="6" s="1"/>
  <c r="AA133" i="6"/>
  <c r="W133" i="6"/>
  <c r="X133" i="6" s="1"/>
  <c r="U133" i="6"/>
  <c r="R133" i="6"/>
  <c r="O133" i="6"/>
  <c r="N133" i="6"/>
  <c r="L133" i="6"/>
  <c r="H133" i="6"/>
  <c r="I133" i="6" s="1"/>
  <c r="F133" i="6"/>
  <c r="C133" i="6"/>
  <c r="AD132" i="6"/>
  <c r="AC132" i="6"/>
  <c r="AA132" i="6"/>
  <c r="X132" i="6"/>
  <c r="W132" i="6"/>
  <c r="U132" i="6"/>
  <c r="R132" i="6"/>
  <c r="N132" i="6"/>
  <c r="O132" i="6" s="1"/>
  <c r="L132" i="6"/>
  <c r="H132" i="6"/>
  <c r="I132" i="6" s="1"/>
  <c r="F132" i="6"/>
  <c r="C132" i="6"/>
  <c r="AD131" i="6"/>
  <c r="AC131" i="6"/>
  <c r="AA131" i="6"/>
  <c r="X131" i="6"/>
  <c r="W131" i="6"/>
  <c r="U131" i="6"/>
  <c r="R131" i="6"/>
  <c r="N131" i="6"/>
  <c r="O131" i="6" s="1"/>
  <c r="L131" i="6"/>
  <c r="I131" i="6"/>
  <c r="H131" i="6"/>
  <c r="F131" i="6"/>
  <c r="C131" i="6"/>
  <c r="AC130" i="6"/>
  <c r="AD130" i="6" s="1"/>
  <c r="AA130" i="6"/>
  <c r="W130" i="6"/>
  <c r="X130" i="6" s="1"/>
  <c r="U130" i="6"/>
  <c r="R130" i="6"/>
  <c r="O130" i="6"/>
  <c r="N130" i="6"/>
  <c r="L130" i="6"/>
  <c r="H130" i="6"/>
  <c r="I130" i="6" s="1"/>
  <c r="F130" i="6"/>
  <c r="C130" i="6"/>
  <c r="AC129" i="6"/>
  <c r="AD129" i="6" s="1"/>
  <c r="AA129" i="6"/>
  <c r="W129" i="6"/>
  <c r="X129" i="6" s="1"/>
  <c r="U129" i="6"/>
  <c r="R129" i="6"/>
  <c r="O129" i="6"/>
  <c r="N129" i="6"/>
  <c r="L129" i="6"/>
  <c r="H129" i="6"/>
  <c r="I129" i="6" s="1"/>
  <c r="F129" i="6"/>
  <c r="C129" i="6"/>
  <c r="AD127" i="6"/>
  <c r="AC127" i="6"/>
  <c r="AA127" i="6"/>
  <c r="X127" i="6"/>
  <c r="W127" i="6"/>
  <c r="U127" i="6"/>
  <c r="R127" i="6"/>
  <c r="O127" i="6"/>
  <c r="N127" i="6"/>
  <c r="L127" i="6"/>
  <c r="H127" i="6"/>
  <c r="I127" i="6" s="1"/>
  <c r="F127" i="6"/>
  <c r="C127" i="6"/>
  <c r="AA124" i="6"/>
  <c r="Z124" i="6"/>
  <c r="Z172" i="6" s="1"/>
  <c r="T124" i="6"/>
  <c r="U124" i="6" s="1"/>
  <c r="Q124" i="6"/>
  <c r="Q172" i="6" s="1"/>
  <c r="K124" i="6"/>
  <c r="L124" i="6" s="1"/>
  <c r="E124" i="6"/>
  <c r="E172" i="6" s="1"/>
  <c r="E198" i="6" s="1"/>
  <c r="E345" i="6" s="1"/>
  <c r="B124" i="6"/>
  <c r="B172" i="6" s="1"/>
  <c r="AC123" i="6"/>
  <c r="AD123" i="6" s="1"/>
  <c r="AA123" i="6"/>
  <c r="X123" i="6"/>
  <c r="W123" i="6"/>
  <c r="U123" i="6"/>
  <c r="R123" i="6"/>
  <c r="O123" i="6"/>
  <c r="N123" i="6"/>
  <c r="L123" i="6"/>
  <c r="H123" i="6"/>
  <c r="I123" i="6" s="1"/>
  <c r="F123" i="6"/>
  <c r="C123" i="6"/>
  <c r="AC122" i="6"/>
  <c r="AD122" i="6" s="1"/>
  <c r="Z122" i="6"/>
  <c r="AA122" i="6" s="1"/>
  <c r="W122" i="6"/>
  <c r="X122" i="6" s="1"/>
  <c r="U122" i="6"/>
  <c r="T122" i="6"/>
  <c r="R122" i="6"/>
  <c r="Q122" i="6"/>
  <c r="K122" i="6"/>
  <c r="L122" i="6" s="1"/>
  <c r="H122" i="6"/>
  <c r="I122" i="6" s="1"/>
  <c r="F122" i="6"/>
  <c r="E122" i="6"/>
  <c r="B122" i="6"/>
  <c r="C122" i="6" s="1"/>
  <c r="AC121" i="6"/>
  <c r="AD121" i="6" s="1"/>
  <c r="AA121" i="6"/>
  <c r="X121" i="6"/>
  <c r="W121" i="6"/>
  <c r="U121" i="6"/>
  <c r="R121" i="6"/>
  <c r="O121" i="6"/>
  <c r="N121" i="6"/>
  <c r="L121" i="6"/>
  <c r="H121" i="6"/>
  <c r="I121" i="6" s="1"/>
  <c r="F121" i="6"/>
  <c r="C121" i="6"/>
  <c r="AC120" i="6"/>
  <c r="AD120" i="6" s="1"/>
  <c r="AA120" i="6"/>
  <c r="X120" i="6"/>
  <c r="W120" i="6"/>
  <c r="U120" i="6"/>
  <c r="R120" i="6"/>
  <c r="O120" i="6"/>
  <c r="N120" i="6"/>
  <c r="L120" i="6"/>
  <c r="H120" i="6"/>
  <c r="I120" i="6" s="1"/>
  <c r="F120" i="6"/>
  <c r="C120" i="6"/>
  <c r="AC119" i="6"/>
  <c r="AD119" i="6" s="1"/>
  <c r="AA119" i="6"/>
  <c r="X119" i="6"/>
  <c r="W119" i="6"/>
  <c r="U119" i="6"/>
  <c r="R119" i="6"/>
  <c r="N119" i="6"/>
  <c r="O119" i="6" s="1"/>
  <c r="L119" i="6"/>
  <c r="H119" i="6"/>
  <c r="I119" i="6" s="1"/>
  <c r="F119" i="6"/>
  <c r="C119" i="6"/>
  <c r="Z118" i="6"/>
  <c r="AC118" i="6" s="1"/>
  <c r="AD118" i="6" s="1"/>
  <c r="W118" i="6"/>
  <c r="X118" i="6" s="1"/>
  <c r="T118" i="6"/>
  <c r="U118" i="6" s="1"/>
  <c r="R118" i="6"/>
  <c r="Q118" i="6"/>
  <c r="N118" i="6"/>
  <c r="O118" i="6" s="1"/>
  <c r="K118" i="6"/>
  <c r="L118" i="6" s="1"/>
  <c r="F118" i="6"/>
  <c r="E118" i="6"/>
  <c r="H118" i="6" s="1"/>
  <c r="I118" i="6" s="1"/>
  <c r="C118" i="6"/>
  <c r="B118" i="6"/>
  <c r="AC117" i="6"/>
  <c r="AD117" i="6" s="1"/>
  <c r="AA117" i="6"/>
  <c r="W117" i="6"/>
  <c r="X117" i="6" s="1"/>
  <c r="U117" i="6"/>
  <c r="R117" i="6"/>
  <c r="O117" i="6"/>
  <c r="N117" i="6"/>
  <c r="L117" i="6"/>
  <c r="H117" i="6"/>
  <c r="I117" i="6" s="1"/>
  <c r="F117" i="6"/>
  <c r="C117" i="6"/>
  <c r="AD116" i="6"/>
  <c r="AC116" i="6"/>
  <c r="AA116" i="6"/>
  <c r="X116" i="6"/>
  <c r="W116" i="6"/>
  <c r="U116" i="6"/>
  <c r="R116" i="6"/>
  <c r="N116" i="6"/>
  <c r="O116" i="6" s="1"/>
  <c r="L116" i="6"/>
  <c r="H116" i="6"/>
  <c r="I116" i="6" s="1"/>
  <c r="F116" i="6"/>
  <c r="C116" i="6"/>
  <c r="AD115" i="6"/>
  <c r="AC115" i="6"/>
  <c r="AA115" i="6"/>
  <c r="X115" i="6"/>
  <c r="W115" i="6"/>
  <c r="U115" i="6"/>
  <c r="R115" i="6"/>
  <c r="N115" i="6"/>
  <c r="O115" i="6" s="1"/>
  <c r="L115" i="6"/>
  <c r="H115" i="6"/>
  <c r="I115" i="6" s="1"/>
  <c r="F115" i="6"/>
  <c r="C115" i="6"/>
  <c r="AC114" i="6"/>
  <c r="AD114" i="6" s="1"/>
  <c r="AA114" i="6"/>
  <c r="X114" i="6"/>
  <c r="W114" i="6"/>
  <c r="U114" i="6"/>
  <c r="R114" i="6"/>
  <c r="O114" i="6"/>
  <c r="N114" i="6"/>
  <c r="L114" i="6"/>
  <c r="H114" i="6"/>
  <c r="I114" i="6" s="1"/>
  <c r="F114" i="6"/>
  <c r="C114" i="6"/>
  <c r="AD113" i="6"/>
  <c r="AC113" i="6"/>
  <c r="AA113" i="6"/>
  <c r="X113" i="6"/>
  <c r="W113" i="6"/>
  <c r="U113" i="6"/>
  <c r="R113" i="6"/>
  <c r="N113" i="6"/>
  <c r="O113" i="6" s="1"/>
  <c r="L113" i="6"/>
  <c r="H113" i="6"/>
  <c r="I113" i="6" s="1"/>
  <c r="F113" i="6"/>
  <c r="C113" i="6"/>
  <c r="AD112" i="6"/>
  <c r="AC112" i="6"/>
  <c r="AA112" i="6"/>
  <c r="X112" i="6"/>
  <c r="W112" i="6"/>
  <c r="U112" i="6"/>
  <c r="R112" i="6"/>
  <c r="N112" i="6"/>
  <c r="O112" i="6" s="1"/>
  <c r="L112" i="6"/>
  <c r="H112" i="6"/>
  <c r="I112" i="6" s="1"/>
  <c r="F112" i="6"/>
  <c r="C112" i="6"/>
  <c r="AD111" i="6"/>
  <c r="AC111" i="6"/>
  <c r="AA111" i="6"/>
  <c r="W111" i="6"/>
  <c r="X111" i="6" s="1"/>
  <c r="U111" i="6"/>
  <c r="R111" i="6"/>
  <c r="O111" i="6"/>
  <c r="N111" i="6"/>
  <c r="L111" i="6"/>
  <c r="I111" i="6"/>
  <c r="H111" i="6"/>
  <c r="F111" i="6"/>
  <c r="C111" i="6"/>
  <c r="AC110" i="6"/>
  <c r="AD110" i="6" s="1"/>
  <c r="AA110" i="6"/>
  <c r="X110" i="6"/>
  <c r="W110" i="6"/>
  <c r="U110" i="6"/>
  <c r="R110" i="6"/>
  <c r="O110" i="6"/>
  <c r="N110" i="6"/>
  <c r="L110" i="6"/>
  <c r="I110" i="6"/>
  <c r="H110" i="6"/>
  <c r="F110" i="6"/>
  <c r="C110" i="6"/>
  <c r="AC109" i="6"/>
  <c r="AD109" i="6" s="1"/>
  <c r="AA109" i="6"/>
  <c r="W109" i="6"/>
  <c r="X109" i="6" s="1"/>
  <c r="U109" i="6"/>
  <c r="R109" i="6"/>
  <c r="O109" i="6"/>
  <c r="N109" i="6"/>
  <c r="L109" i="6"/>
  <c r="H109" i="6"/>
  <c r="I109" i="6" s="1"/>
  <c r="F109" i="6"/>
  <c r="C109" i="6"/>
  <c r="AD108" i="6"/>
  <c r="AC108" i="6"/>
  <c r="AA108" i="6"/>
  <c r="X108" i="6"/>
  <c r="W108" i="6"/>
  <c r="U108" i="6"/>
  <c r="R108" i="6"/>
  <c r="O108" i="6"/>
  <c r="N108" i="6"/>
  <c r="L108" i="6"/>
  <c r="I108" i="6"/>
  <c r="H108" i="6"/>
  <c r="F108" i="6"/>
  <c r="C108" i="6"/>
  <c r="AC107" i="6"/>
  <c r="AD107" i="6" s="1"/>
  <c r="AA107" i="6"/>
  <c r="W107" i="6"/>
  <c r="X107" i="6" s="1"/>
  <c r="U107" i="6"/>
  <c r="R107" i="6"/>
  <c r="O107" i="6"/>
  <c r="N107" i="6"/>
  <c r="L107" i="6"/>
  <c r="I107" i="6"/>
  <c r="H107" i="6"/>
  <c r="F107" i="6"/>
  <c r="C107" i="6"/>
  <c r="AC106" i="6"/>
  <c r="AD106" i="6" s="1"/>
  <c r="AA106" i="6"/>
  <c r="W106" i="6"/>
  <c r="X106" i="6" s="1"/>
  <c r="U106" i="6"/>
  <c r="R106" i="6"/>
  <c r="O106" i="6"/>
  <c r="N106" i="6"/>
  <c r="L106" i="6"/>
  <c r="I106" i="6"/>
  <c r="H106" i="6"/>
  <c r="F106" i="6"/>
  <c r="C106" i="6"/>
  <c r="AC105" i="6"/>
  <c r="AD105" i="6" s="1"/>
  <c r="AA105" i="6"/>
  <c r="W105" i="6"/>
  <c r="X105" i="6" s="1"/>
  <c r="U105" i="6"/>
  <c r="R105" i="6"/>
  <c r="O105" i="6"/>
  <c r="N105" i="6"/>
  <c r="L105" i="6"/>
  <c r="H105" i="6"/>
  <c r="I105" i="6" s="1"/>
  <c r="F105" i="6"/>
  <c r="C105" i="6"/>
  <c r="AC104" i="6"/>
  <c r="AD104" i="6" s="1"/>
  <c r="AA104" i="6"/>
  <c r="X104" i="6"/>
  <c r="W104" i="6"/>
  <c r="U104" i="6"/>
  <c r="R104" i="6"/>
  <c r="O104" i="6"/>
  <c r="N104" i="6"/>
  <c r="L104" i="6"/>
  <c r="I104" i="6"/>
  <c r="H104" i="6"/>
  <c r="F104" i="6"/>
  <c r="C104" i="6"/>
  <c r="AC103" i="6"/>
  <c r="AD103" i="6" s="1"/>
  <c r="AA103" i="6"/>
  <c r="X103" i="6"/>
  <c r="W103" i="6"/>
  <c r="U103" i="6"/>
  <c r="R103" i="6"/>
  <c r="N103" i="6"/>
  <c r="O103" i="6" s="1"/>
  <c r="L103" i="6"/>
  <c r="H103" i="6"/>
  <c r="I103" i="6" s="1"/>
  <c r="F103" i="6"/>
  <c r="C103" i="6"/>
  <c r="AC102" i="6"/>
  <c r="AD102" i="6" s="1"/>
  <c r="AA102" i="6"/>
  <c r="W102" i="6"/>
  <c r="X102" i="6" s="1"/>
  <c r="U102" i="6"/>
  <c r="R102" i="6"/>
  <c r="O102" i="6"/>
  <c r="N102" i="6"/>
  <c r="L102" i="6"/>
  <c r="H102" i="6"/>
  <c r="I102" i="6" s="1"/>
  <c r="F102" i="6"/>
  <c r="C102" i="6"/>
  <c r="AD101" i="6"/>
  <c r="AC101" i="6"/>
  <c r="AA101" i="6"/>
  <c r="X101" i="6"/>
  <c r="W101" i="6"/>
  <c r="U101" i="6"/>
  <c r="R101" i="6"/>
  <c r="N101" i="6"/>
  <c r="O101" i="6" s="1"/>
  <c r="L101" i="6"/>
  <c r="H101" i="6"/>
  <c r="I101" i="6" s="1"/>
  <c r="F101" i="6"/>
  <c r="C101" i="6"/>
  <c r="AC100" i="6"/>
  <c r="AD100" i="6" s="1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D99" i="6"/>
  <c r="AC99" i="6"/>
  <c r="AA99" i="6"/>
  <c r="X99" i="6"/>
  <c r="W99" i="6"/>
  <c r="U99" i="6"/>
  <c r="R99" i="6"/>
  <c r="N99" i="6"/>
  <c r="O99" i="6" s="1"/>
  <c r="L99" i="6"/>
  <c r="H99" i="6"/>
  <c r="I99" i="6" s="1"/>
  <c r="F99" i="6"/>
  <c r="C99" i="6"/>
  <c r="AC98" i="6"/>
  <c r="AD98" i="6" s="1"/>
  <c r="AA98" i="6"/>
  <c r="X98" i="6"/>
  <c r="W98" i="6"/>
  <c r="U98" i="6"/>
  <c r="R98" i="6"/>
  <c r="O98" i="6"/>
  <c r="N98" i="6"/>
  <c r="L98" i="6"/>
  <c r="H98" i="6"/>
  <c r="I98" i="6" s="1"/>
  <c r="F98" i="6"/>
  <c r="C98" i="6"/>
  <c r="AD97" i="6"/>
  <c r="AC97" i="6"/>
  <c r="AA97" i="6"/>
  <c r="X97" i="6"/>
  <c r="W97" i="6"/>
  <c r="U97" i="6"/>
  <c r="R97" i="6"/>
  <c r="N97" i="6"/>
  <c r="O97" i="6" s="1"/>
  <c r="L97" i="6"/>
  <c r="H97" i="6"/>
  <c r="I97" i="6" s="1"/>
  <c r="F97" i="6"/>
  <c r="C97" i="6"/>
  <c r="AD96" i="6"/>
  <c r="AC96" i="6"/>
  <c r="AA96" i="6"/>
  <c r="X96" i="6"/>
  <c r="W96" i="6"/>
  <c r="U96" i="6"/>
  <c r="R96" i="6"/>
  <c r="N96" i="6"/>
  <c r="O96" i="6" s="1"/>
  <c r="L96" i="6"/>
  <c r="H96" i="6"/>
  <c r="I96" i="6" s="1"/>
  <c r="F96" i="6"/>
  <c r="C96" i="6"/>
  <c r="AD95" i="6"/>
  <c r="AC95" i="6"/>
  <c r="AA95" i="6"/>
  <c r="W95" i="6"/>
  <c r="X95" i="6" s="1"/>
  <c r="U95" i="6"/>
  <c r="R95" i="6"/>
  <c r="O95" i="6"/>
  <c r="N95" i="6"/>
  <c r="L95" i="6"/>
  <c r="I95" i="6"/>
  <c r="H95" i="6"/>
  <c r="F95" i="6"/>
  <c r="C95" i="6"/>
  <c r="AC94" i="6"/>
  <c r="AD94" i="6" s="1"/>
  <c r="AA94" i="6"/>
  <c r="X94" i="6"/>
  <c r="W94" i="6"/>
  <c r="U94" i="6"/>
  <c r="R94" i="6"/>
  <c r="O94" i="6"/>
  <c r="N94" i="6"/>
  <c r="L94" i="6"/>
  <c r="I94" i="6"/>
  <c r="H94" i="6"/>
  <c r="F94" i="6"/>
  <c r="C94" i="6"/>
  <c r="AC92" i="6"/>
  <c r="AD92" i="6" s="1"/>
  <c r="AA92" i="6"/>
  <c r="W92" i="6"/>
  <c r="X92" i="6" s="1"/>
  <c r="U92" i="6"/>
  <c r="R92" i="6"/>
  <c r="O92" i="6"/>
  <c r="N92" i="6"/>
  <c r="L92" i="6"/>
  <c r="H92" i="6"/>
  <c r="I92" i="6" s="1"/>
  <c r="F92" i="6"/>
  <c r="C92" i="6"/>
  <c r="AD91" i="6"/>
  <c r="AC91" i="6"/>
  <c r="AA91" i="6"/>
  <c r="X91" i="6"/>
  <c r="W91" i="6"/>
  <c r="U91" i="6"/>
  <c r="R91" i="6"/>
  <c r="O91" i="6"/>
  <c r="N91" i="6"/>
  <c r="L91" i="6"/>
  <c r="I91" i="6"/>
  <c r="H91" i="6"/>
  <c r="F91" i="6"/>
  <c r="C91" i="6"/>
  <c r="AC90" i="6"/>
  <c r="AD90" i="6" s="1"/>
  <c r="AA90" i="6"/>
  <c r="W90" i="6"/>
  <c r="X90" i="6" s="1"/>
  <c r="U90" i="6"/>
  <c r="R90" i="6"/>
  <c r="O90" i="6"/>
  <c r="N90" i="6"/>
  <c r="L90" i="6"/>
  <c r="I90" i="6"/>
  <c r="H90" i="6"/>
  <c r="F90" i="6"/>
  <c r="C90" i="6"/>
  <c r="AC89" i="6"/>
  <c r="AD89" i="6" s="1"/>
  <c r="AA89" i="6"/>
  <c r="W89" i="6"/>
  <c r="X89" i="6" s="1"/>
  <c r="U89" i="6"/>
  <c r="R89" i="6"/>
  <c r="O89" i="6"/>
  <c r="N89" i="6"/>
  <c r="L89" i="6"/>
  <c r="I89" i="6"/>
  <c r="H89" i="6"/>
  <c r="F89" i="6"/>
  <c r="C89" i="6"/>
  <c r="AC88" i="6"/>
  <c r="AD88" i="6" s="1"/>
  <c r="Z88" i="6"/>
  <c r="AA88" i="6" s="1"/>
  <c r="W88" i="6"/>
  <c r="X88" i="6" s="1"/>
  <c r="T88" i="6"/>
  <c r="U88" i="6" s="1"/>
  <c r="R88" i="6"/>
  <c r="Q88" i="6"/>
  <c r="K88" i="6"/>
  <c r="N88" i="6" s="1"/>
  <c r="O88" i="6" s="1"/>
  <c r="I88" i="6"/>
  <c r="H88" i="6"/>
  <c r="F88" i="6"/>
  <c r="E88" i="6"/>
  <c r="B88" i="6"/>
  <c r="C88" i="6" s="1"/>
  <c r="AD87" i="6"/>
  <c r="AC87" i="6"/>
  <c r="AA87" i="6"/>
  <c r="X87" i="6"/>
  <c r="W87" i="6"/>
  <c r="U87" i="6"/>
  <c r="R87" i="6"/>
  <c r="N87" i="6"/>
  <c r="O87" i="6" s="1"/>
  <c r="L87" i="6"/>
  <c r="H87" i="6"/>
  <c r="I87" i="6" s="1"/>
  <c r="F87" i="6"/>
  <c r="C87" i="6"/>
  <c r="AC86" i="6"/>
  <c r="AD86" i="6" s="1"/>
  <c r="AA86" i="6"/>
  <c r="X86" i="6"/>
  <c r="W86" i="6"/>
  <c r="U86" i="6"/>
  <c r="R86" i="6"/>
  <c r="O86" i="6"/>
  <c r="N86" i="6"/>
  <c r="L86" i="6"/>
  <c r="H86" i="6"/>
  <c r="I86" i="6" s="1"/>
  <c r="F86" i="6"/>
  <c r="C86" i="6"/>
  <c r="AD85" i="6"/>
  <c r="AC85" i="6"/>
  <c r="AA85" i="6"/>
  <c r="X85" i="6"/>
  <c r="W85" i="6"/>
  <c r="U85" i="6"/>
  <c r="R85" i="6"/>
  <c r="N85" i="6"/>
  <c r="O85" i="6" s="1"/>
  <c r="L85" i="6"/>
  <c r="H85" i="6"/>
  <c r="I85" i="6" s="1"/>
  <c r="F85" i="6"/>
  <c r="C85" i="6"/>
  <c r="AD84" i="6"/>
  <c r="AC84" i="6"/>
  <c r="AA84" i="6"/>
  <c r="X84" i="6"/>
  <c r="W84" i="6"/>
  <c r="U84" i="6"/>
  <c r="R84" i="6"/>
  <c r="N84" i="6"/>
  <c r="O84" i="6" s="1"/>
  <c r="L84" i="6"/>
  <c r="H84" i="6"/>
  <c r="I84" i="6" s="1"/>
  <c r="F84" i="6"/>
  <c r="C84" i="6"/>
  <c r="AD83" i="6"/>
  <c r="AC83" i="6"/>
  <c r="AA83" i="6"/>
  <c r="W83" i="6"/>
  <c r="X83" i="6" s="1"/>
  <c r="U83" i="6"/>
  <c r="R83" i="6"/>
  <c r="O83" i="6"/>
  <c r="N83" i="6"/>
  <c r="L83" i="6"/>
  <c r="I83" i="6"/>
  <c r="H83" i="6"/>
  <c r="F83" i="6"/>
  <c r="C83" i="6"/>
  <c r="AC82" i="6"/>
  <c r="AD82" i="6" s="1"/>
  <c r="AA82" i="6"/>
  <c r="X82" i="6"/>
  <c r="W82" i="6"/>
  <c r="U82" i="6"/>
  <c r="R82" i="6"/>
  <c r="O82" i="6"/>
  <c r="N82" i="6"/>
  <c r="L82" i="6"/>
  <c r="I82" i="6"/>
  <c r="H82" i="6"/>
  <c r="F82" i="6"/>
  <c r="C82" i="6"/>
  <c r="AC81" i="6"/>
  <c r="AD81" i="6" s="1"/>
  <c r="AA81" i="6"/>
  <c r="W81" i="6"/>
  <c r="X81" i="6" s="1"/>
  <c r="U81" i="6"/>
  <c r="R81" i="6"/>
  <c r="O81" i="6"/>
  <c r="N81" i="6"/>
  <c r="L81" i="6"/>
  <c r="H81" i="6"/>
  <c r="I81" i="6" s="1"/>
  <c r="F81" i="6"/>
  <c r="C81" i="6"/>
  <c r="AD80" i="6"/>
  <c r="AC80" i="6"/>
  <c r="AA80" i="6"/>
  <c r="X80" i="6"/>
  <c r="W80" i="6"/>
  <c r="U80" i="6"/>
  <c r="R80" i="6"/>
  <c r="O80" i="6"/>
  <c r="N80" i="6"/>
  <c r="L80" i="6"/>
  <c r="I80" i="6"/>
  <c r="H80" i="6"/>
  <c r="F80" i="6"/>
  <c r="C80" i="6"/>
  <c r="AC79" i="6"/>
  <c r="AD79" i="6" s="1"/>
  <c r="AA79" i="6"/>
  <c r="W79" i="6"/>
  <c r="X79" i="6" s="1"/>
  <c r="U79" i="6"/>
  <c r="R79" i="6"/>
  <c r="O79" i="6"/>
  <c r="N79" i="6"/>
  <c r="L79" i="6"/>
  <c r="I79" i="6"/>
  <c r="H79" i="6"/>
  <c r="F79" i="6"/>
  <c r="C79" i="6"/>
  <c r="AC78" i="6"/>
  <c r="AD78" i="6" s="1"/>
  <c r="AA78" i="6"/>
  <c r="W78" i="6"/>
  <c r="X78" i="6" s="1"/>
  <c r="U78" i="6"/>
  <c r="R78" i="6"/>
  <c r="O78" i="6"/>
  <c r="N78" i="6"/>
  <c r="L78" i="6"/>
  <c r="I78" i="6"/>
  <c r="H78" i="6"/>
  <c r="F78" i="6"/>
  <c r="C78" i="6"/>
  <c r="AC77" i="6"/>
  <c r="AD77" i="6" s="1"/>
  <c r="AA77" i="6"/>
  <c r="W77" i="6"/>
  <c r="X77" i="6" s="1"/>
  <c r="U77" i="6"/>
  <c r="R77" i="6"/>
  <c r="O77" i="6"/>
  <c r="N77" i="6"/>
  <c r="L77" i="6"/>
  <c r="H77" i="6"/>
  <c r="I77" i="6" s="1"/>
  <c r="F77" i="6"/>
  <c r="C77" i="6"/>
  <c r="AC76" i="6"/>
  <c r="AD76" i="6" s="1"/>
  <c r="AA76" i="6"/>
  <c r="X76" i="6"/>
  <c r="W76" i="6"/>
  <c r="U76" i="6"/>
  <c r="R76" i="6"/>
  <c r="O76" i="6"/>
  <c r="N76" i="6"/>
  <c r="L76" i="6"/>
  <c r="I76" i="6"/>
  <c r="H76" i="6"/>
  <c r="F76" i="6"/>
  <c r="C76" i="6"/>
  <c r="AC75" i="6"/>
  <c r="AD75" i="6" s="1"/>
  <c r="AA75" i="6"/>
  <c r="X75" i="6"/>
  <c r="W75" i="6"/>
  <c r="U75" i="6"/>
  <c r="R75" i="6"/>
  <c r="N75" i="6"/>
  <c r="O75" i="6" s="1"/>
  <c r="L75" i="6"/>
  <c r="H75" i="6"/>
  <c r="I75" i="6" s="1"/>
  <c r="F75" i="6"/>
  <c r="C75" i="6"/>
  <c r="Z73" i="6"/>
  <c r="AC73" i="6" s="1"/>
  <c r="AD73" i="6" s="1"/>
  <c r="X73" i="6"/>
  <c r="W73" i="6"/>
  <c r="U73" i="6"/>
  <c r="T73" i="6"/>
  <c r="Q73" i="6"/>
  <c r="R73" i="6" s="1"/>
  <c r="K73" i="6"/>
  <c r="L73" i="6" s="1"/>
  <c r="H73" i="6"/>
  <c r="I73" i="6" s="1"/>
  <c r="E73" i="6"/>
  <c r="F73" i="6" s="1"/>
  <c r="B73" i="6"/>
  <c r="C73" i="6" s="1"/>
  <c r="AC72" i="6"/>
  <c r="AD72" i="6" s="1"/>
  <c r="AA72" i="6"/>
  <c r="X72" i="6"/>
  <c r="W72" i="6"/>
  <c r="U72" i="6"/>
  <c r="R72" i="6"/>
  <c r="O72" i="6"/>
  <c r="N72" i="6"/>
  <c r="L72" i="6"/>
  <c r="I72" i="6"/>
  <c r="H72" i="6"/>
  <c r="F72" i="6"/>
  <c r="C72" i="6"/>
  <c r="AC71" i="6"/>
  <c r="AD71" i="6" s="1"/>
  <c r="AA71" i="6"/>
  <c r="W71" i="6"/>
  <c r="X71" i="6" s="1"/>
  <c r="U71" i="6"/>
  <c r="R71" i="6"/>
  <c r="O71" i="6"/>
  <c r="N71" i="6"/>
  <c r="L71" i="6"/>
  <c r="H71" i="6"/>
  <c r="I71" i="6" s="1"/>
  <c r="F71" i="6"/>
  <c r="C71" i="6"/>
  <c r="AC70" i="6"/>
  <c r="AD70" i="6" s="1"/>
  <c r="AA70" i="6"/>
  <c r="W70" i="6"/>
  <c r="X70" i="6" s="1"/>
  <c r="U70" i="6"/>
  <c r="R70" i="6"/>
  <c r="O70" i="6"/>
  <c r="N70" i="6"/>
  <c r="L70" i="6"/>
  <c r="I70" i="6"/>
  <c r="H70" i="6"/>
  <c r="F70" i="6"/>
  <c r="C70" i="6"/>
  <c r="AC69" i="6"/>
  <c r="AD69" i="6" s="1"/>
  <c r="AA69" i="6"/>
  <c r="X69" i="6"/>
  <c r="W69" i="6"/>
  <c r="U69" i="6"/>
  <c r="R69" i="6"/>
  <c r="N69" i="6"/>
  <c r="O69" i="6" s="1"/>
  <c r="L69" i="6"/>
  <c r="H69" i="6"/>
  <c r="I69" i="6" s="1"/>
  <c r="F69" i="6"/>
  <c r="C69" i="6"/>
  <c r="AC68" i="6"/>
  <c r="AD68" i="6" s="1"/>
  <c r="AA68" i="6"/>
  <c r="X68" i="6"/>
  <c r="W68" i="6"/>
  <c r="U68" i="6"/>
  <c r="R68" i="6"/>
  <c r="O68" i="6"/>
  <c r="N68" i="6"/>
  <c r="L68" i="6"/>
  <c r="H68" i="6"/>
  <c r="I68" i="6" s="1"/>
  <c r="F68" i="6"/>
  <c r="C68" i="6"/>
  <c r="AD67" i="6"/>
  <c r="AC67" i="6"/>
  <c r="AA67" i="6"/>
  <c r="X67" i="6"/>
  <c r="W67" i="6"/>
  <c r="U67" i="6"/>
  <c r="R67" i="6"/>
  <c r="N67" i="6"/>
  <c r="O67" i="6" s="1"/>
  <c r="L67" i="6"/>
  <c r="H67" i="6"/>
  <c r="I67" i="6" s="1"/>
  <c r="F67" i="6"/>
  <c r="C67" i="6"/>
  <c r="AC66" i="6"/>
  <c r="AD66" i="6" s="1"/>
  <c r="AA66" i="6"/>
  <c r="X66" i="6"/>
  <c r="W66" i="6"/>
  <c r="U66" i="6"/>
  <c r="R66" i="6"/>
  <c r="O66" i="6"/>
  <c r="N66" i="6"/>
  <c r="L66" i="6"/>
  <c r="H66" i="6"/>
  <c r="I66" i="6" s="1"/>
  <c r="F66" i="6"/>
  <c r="C66" i="6"/>
  <c r="AD65" i="6"/>
  <c r="AC65" i="6"/>
  <c r="AA65" i="6"/>
  <c r="X65" i="6"/>
  <c r="W65" i="6"/>
  <c r="U65" i="6"/>
  <c r="R65" i="6"/>
  <c r="N65" i="6"/>
  <c r="O65" i="6" s="1"/>
  <c r="L65" i="6"/>
  <c r="H65" i="6"/>
  <c r="I65" i="6" s="1"/>
  <c r="F65" i="6"/>
  <c r="C65" i="6"/>
  <c r="AD64" i="6"/>
  <c r="AC64" i="6"/>
  <c r="AA64" i="6"/>
  <c r="X64" i="6"/>
  <c r="W64" i="6"/>
  <c r="U64" i="6"/>
  <c r="R64" i="6"/>
  <c r="N64" i="6"/>
  <c r="O64" i="6" s="1"/>
  <c r="L64" i="6"/>
  <c r="H64" i="6"/>
  <c r="I64" i="6" s="1"/>
  <c r="F64" i="6"/>
  <c r="C64" i="6"/>
  <c r="AA62" i="6"/>
  <c r="Z62" i="6"/>
  <c r="T62" i="6"/>
  <c r="U62" i="6" s="1"/>
  <c r="Q62" i="6"/>
  <c r="W62" i="6" s="1"/>
  <c r="X62" i="6" s="1"/>
  <c r="N62" i="6"/>
  <c r="O62" i="6" s="1"/>
  <c r="L62" i="6"/>
  <c r="K62" i="6"/>
  <c r="E62" i="6"/>
  <c r="F62" i="6" s="1"/>
  <c r="C62" i="6"/>
  <c r="B62" i="6"/>
  <c r="H62" i="6" s="1"/>
  <c r="I62" i="6" s="1"/>
  <c r="Z61" i="6"/>
  <c r="AA61" i="6" s="1"/>
  <c r="T61" i="6"/>
  <c r="U61" i="6" s="1"/>
  <c r="Q61" i="6"/>
  <c r="W61" i="6" s="1"/>
  <c r="X61" i="6" s="1"/>
  <c r="K61" i="6"/>
  <c r="L61" i="6" s="1"/>
  <c r="F61" i="6"/>
  <c r="E61" i="6"/>
  <c r="B61" i="6"/>
  <c r="C61" i="6" s="1"/>
  <c r="AD60" i="6"/>
  <c r="AC60" i="6"/>
  <c r="AA60" i="6"/>
  <c r="W60" i="6"/>
  <c r="X60" i="6" s="1"/>
  <c r="U60" i="6"/>
  <c r="R60" i="6"/>
  <c r="O60" i="6"/>
  <c r="N60" i="6"/>
  <c r="L60" i="6"/>
  <c r="I60" i="6"/>
  <c r="H60" i="6"/>
  <c r="F60" i="6"/>
  <c r="C60" i="6"/>
  <c r="AC59" i="6"/>
  <c r="AD59" i="6" s="1"/>
  <c r="AA59" i="6"/>
  <c r="X59" i="6"/>
  <c r="W59" i="6"/>
  <c r="U59" i="6"/>
  <c r="R59" i="6"/>
  <c r="O59" i="6"/>
  <c r="N59" i="6"/>
  <c r="L59" i="6"/>
  <c r="I59" i="6"/>
  <c r="H59" i="6"/>
  <c r="F59" i="6"/>
  <c r="C59" i="6"/>
  <c r="AC58" i="6"/>
  <c r="AD58" i="6" s="1"/>
  <c r="AA58" i="6"/>
  <c r="W58" i="6"/>
  <c r="X58" i="6" s="1"/>
  <c r="U58" i="6"/>
  <c r="R58" i="6"/>
  <c r="O58" i="6"/>
  <c r="N58" i="6"/>
  <c r="L58" i="6"/>
  <c r="H58" i="6"/>
  <c r="I58" i="6" s="1"/>
  <c r="F58" i="6"/>
  <c r="C58" i="6"/>
  <c r="AD57" i="6"/>
  <c r="AC57" i="6"/>
  <c r="AA57" i="6"/>
  <c r="X57" i="6"/>
  <c r="W57" i="6"/>
  <c r="U57" i="6"/>
  <c r="R57" i="6"/>
  <c r="O57" i="6"/>
  <c r="N57" i="6"/>
  <c r="L57" i="6"/>
  <c r="I57" i="6"/>
  <c r="H57" i="6"/>
  <c r="F57" i="6"/>
  <c r="C57" i="6"/>
  <c r="AC56" i="6"/>
  <c r="AD56" i="6" s="1"/>
  <c r="AA56" i="6"/>
  <c r="W56" i="6"/>
  <c r="X56" i="6" s="1"/>
  <c r="U56" i="6"/>
  <c r="R56" i="6"/>
  <c r="O56" i="6"/>
  <c r="N56" i="6"/>
  <c r="L56" i="6"/>
  <c r="I56" i="6"/>
  <c r="H56" i="6"/>
  <c r="F56" i="6"/>
  <c r="C56" i="6"/>
  <c r="AC55" i="6"/>
  <c r="AD55" i="6" s="1"/>
  <c r="AA55" i="6"/>
  <c r="W55" i="6"/>
  <c r="X55" i="6" s="1"/>
  <c r="U55" i="6"/>
  <c r="R55" i="6"/>
  <c r="O55" i="6"/>
  <c r="N55" i="6"/>
  <c r="L55" i="6"/>
  <c r="I55" i="6"/>
  <c r="H55" i="6"/>
  <c r="F55" i="6"/>
  <c r="C55" i="6"/>
  <c r="AC54" i="6"/>
  <c r="AD54" i="6" s="1"/>
  <c r="AA54" i="6"/>
  <c r="W54" i="6"/>
  <c r="X54" i="6" s="1"/>
  <c r="U54" i="6"/>
  <c r="R54" i="6"/>
  <c r="O54" i="6"/>
  <c r="N54" i="6"/>
  <c r="L54" i="6"/>
  <c r="H54" i="6"/>
  <c r="I54" i="6" s="1"/>
  <c r="F54" i="6"/>
  <c r="C54" i="6"/>
  <c r="AC53" i="6"/>
  <c r="AD53" i="6" s="1"/>
  <c r="AA53" i="6"/>
  <c r="X53" i="6"/>
  <c r="W53" i="6"/>
  <c r="U53" i="6"/>
  <c r="R53" i="6"/>
  <c r="O53" i="6"/>
  <c r="N53" i="6"/>
  <c r="L53" i="6"/>
  <c r="I53" i="6"/>
  <c r="H53" i="6"/>
  <c r="F53" i="6"/>
  <c r="C53" i="6"/>
  <c r="AC52" i="6"/>
  <c r="AD52" i="6" s="1"/>
  <c r="AA52" i="6"/>
  <c r="X52" i="6"/>
  <c r="W52" i="6"/>
  <c r="U52" i="6"/>
  <c r="R52" i="6"/>
  <c r="N52" i="6"/>
  <c r="O52" i="6" s="1"/>
  <c r="L52" i="6"/>
  <c r="H52" i="6"/>
  <c r="I52" i="6" s="1"/>
  <c r="F52" i="6"/>
  <c r="C52" i="6"/>
  <c r="AC51" i="6"/>
  <c r="AD51" i="6" s="1"/>
  <c r="AA51" i="6"/>
  <c r="W51" i="6"/>
  <c r="X51" i="6" s="1"/>
  <c r="U51" i="6"/>
  <c r="R51" i="6"/>
  <c r="O51" i="6"/>
  <c r="N51" i="6"/>
  <c r="L51" i="6"/>
  <c r="H51" i="6"/>
  <c r="I51" i="6" s="1"/>
  <c r="F51" i="6"/>
  <c r="C51" i="6"/>
  <c r="AD50" i="6"/>
  <c r="AC50" i="6"/>
  <c r="AA50" i="6"/>
  <c r="X50" i="6"/>
  <c r="W50" i="6"/>
  <c r="U50" i="6"/>
  <c r="R50" i="6"/>
  <c r="N50" i="6"/>
  <c r="O50" i="6" s="1"/>
  <c r="L50" i="6"/>
  <c r="H50" i="6"/>
  <c r="I50" i="6" s="1"/>
  <c r="F50" i="6"/>
  <c r="C50" i="6"/>
  <c r="AC49" i="6"/>
  <c r="AD49" i="6" s="1"/>
  <c r="AA49" i="6"/>
  <c r="X49" i="6"/>
  <c r="W49" i="6"/>
  <c r="U49" i="6"/>
  <c r="R49" i="6"/>
  <c r="N49" i="6"/>
  <c r="O49" i="6" s="1"/>
  <c r="L49" i="6"/>
  <c r="H49" i="6"/>
  <c r="I49" i="6" s="1"/>
  <c r="F49" i="6"/>
  <c r="C49" i="6"/>
  <c r="AD48" i="6"/>
  <c r="AC48" i="6"/>
  <c r="AA48" i="6"/>
  <c r="X48" i="6"/>
  <c r="W48" i="6"/>
  <c r="U48" i="6"/>
  <c r="R48" i="6"/>
  <c r="N48" i="6"/>
  <c r="O48" i="6" s="1"/>
  <c r="L48" i="6"/>
  <c r="H48" i="6"/>
  <c r="I48" i="6" s="1"/>
  <c r="F48" i="6"/>
  <c r="C48" i="6"/>
  <c r="AC47" i="6"/>
  <c r="AD47" i="6" s="1"/>
  <c r="AA47" i="6"/>
  <c r="X47" i="6"/>
  <c r="W47" i="6"/>
  <c r="U47" i="6"/>
  <c r="R47" i="6"/>
  <c r="O47" i="6"/>
  <c r="N47" i="6"/>
  <c r="L47" i="6"/>
  <c r="H47" i="6"/>
  <c r="I47" i="6" s="1"/>
  <c r="F47" i="6"/>
  <c r="C47" i="6"/>
  <c r="AD46" i="6"/>
  <c r="AC46" i="6"/>
  <c r="AA46" i="6"/>
  <c r="X46" i="6"/>
  <c r="W46" i="6"/>
  <c r="U46" i="6"/>
  <c r="R46" i="6"/>
  <c r="N46" i="6"/>
  <c r="O46" i="6" s="1"/>
  <c r="L46" i="6"/>
  <c r="H46" i="6"/>
  <c r="I46" i="6" s="1"/>
  <c r="F46" i="6"/>
  <c r="C46" i="6"/>
  <c r="AD44" i="6"/>
  <c r="AC44" i="6"/>
  <c r="AA44" i="6"/>
  <c r="X44" i="6"/>
  <c r="W44" i="6"/>
  <c r="U44" i="6"/>
  <c r="R44" i="6"/>
  <c r="N44" i="6"/>
  <c r="O44" i="6" s="1"/>
  <c r="L44" i="6"/>
  <c r="H44" i="6"/>
  <c r="I44" i="6" s="1"/>
  <c r="F44" i="6"/>
  <c r="C44" i="6"/>
  <c r="AD43" i="6"/>
  <c r="AC43" i="6"/>
  <c r="AA43" i="6"/>
  <c r="W43" i="6"/>
  <c r="X43" i="6" s="1"/>
  <c r="U43" i="6"/>
  <c r="R43" i="6"/>
  <c r="O43" i="6"/>
  <c r="N43" i="6"/>
  <c r="L43" i="6"/>
  <c r="I43" i="6"/>
  <c r="H43" i="6"/>
  <c r="F43" i="6"/>
  <c r="C43" i="6"/>
  <c r="AC42" i="6"/>
  <c r="AD42" i="6" s="1"/>
  <c r="AA42" i="6"/>
  <c r="X42" i="6"/>
  <c r="W42" i="6"/>
  <c r="U42" i="6"/>
  <c r="R42" i="6"/>
  <c r="O42" i="6"/>
  <c r="N42" i="6"/>
  <c r="L42" i="6"/>
  <c r="I42" i="6"/>
  <c r="H42" i="6"/>
  <c r="F42" i="6"/>
  <c r="C42" i="6"/>
  <c r="Z40" i="6"/>
  <c r="AA40" i="6" s="1"/>
  <c r="W40" i="6"/>
  <c r="X40" i="6" s="1"/>
  <c r="U40" i="6"/>
  <c r="T40" i="6"/>
  <c r="R40" i="6"/>
  <c r="Q40" i="6"/>
  <c r="K40" i="6"/>
  <c r="N40" i="6" s="1"/>
  <c r="O40" i="6" s="1"/>
  <c r="E40" i="6"/>
  <c r="F40" i="6" s="1"/>
  <c r="B40" i="6"/>
  <c r="C40" i="6" s="1"/>
  <c r="AC39" i="6"/>
  <c r="AD39" i="6" s="1"/>
  <c r="AA39" i="6"/>
  <c r="X39" i="6"/>
  <c r="W39" i="6"/>
  <c r="U39" i="6"/>
  <c r="R39" i="6"/>
  <c r="N39" i="6"/>
  <c r="O39" i="6" s="1"/>
  <c r="L39" i="6"/>
  <c r="H39" i="6"/>
  <c r="I39" i="6" s="1"/>
  <c r="F39" i="6"/>
  <c r="C39" i="6"/>
  <c r="AC38" i="6"/>
  <c r="AD38" i="6" s="1"/>
  <c r="AA38" i="6"/>
  <c r="X38" i="6"/>
  <c r="W38" i="6"/>
  <c r="U38" i="6"/>
  <c r="R38" i="6"/>
  <c r="O38" i="6"/>
  <c r="N38" i="6"/>
  <c r="L38" i="6"/>
  <c r="H38" i="6"/>
  <c r="I38" i="6" s="1"/>
  <c r="F38" i="6"/>
  <c r="C38" i="6"/>
  <c r="AD37" i="6"/>
  <c r="AC37" i="6"/>
  <c r="AA37" i="6"/>
  <c r="X37" i="6"/>
  <c r="W37" i="6"/>
  <c r="U37" i="6"/>
  <c r="R37" i="6"/>
  <c r="N37" i="6"/>
  <c r="O37" i="6" s="1"/>
  <c r="L37" i="6"/>
  <c r="H37" i="6"/>
  <c r="I37" i="6" s="1"/>
  <c r="F37" i="6"/>
  <c r="C37" i="6"/>
  <c r="AC36" i="6"/>
  <c r="AD36" i="6" s="1"/>
  <c r="AA36" i="6"/>
  <c r="X36" i="6"/>
  <c r="W36" i="6"/>
  <c r="U36" i="6"/>
  <c r="R36" i="6"/>
  <c r="N36" i="6"/>
  <c r="O36" i="6" s="1"/>
  <c r="L36" i="6"/>
  <c r="I36" i="6"/>
  <c r="H36" i="6"/>
  <c r="F36" i="6"/>
  <c r="C36" i="6"/>
  <c r="AD35" i="6"/>
  <c r="AC35" i="6"/>
  <c r="AA35" i="6"/>
  <c r="W35" i="6"/>
  <c r="X35" i="6" s="1"/>
  <c r="U35" i="6"/>
  <c r="R35" i="6"/>
  <c r="N35" i="6"/>
  <c r="O35" i="6" s="1"/>
  <c r="L35" i="6"/>
  <c r="I35" i="6"/>
  <c r="H35" i="6"/>
  <c r="F35" i="6"/>
  <c r="C35" i="6"/>
  <c r="AC34" i="6"/>
  <c r="AD34" i="6" s="1"/>
  <c r="AA34" i="6"/>
  <c r="X34" i="6"/>
  <c r="W34" i="6"/>
  <c r="U34" i="6"/>
  <c r="R34" i="6"/>
  <c r="O34" i="6"/>
  <c r="N34" i="6"/>
  <c r="L34" i="6"/>
  <c r="H34" i="6"/>
  <c r="I34" i="6" s="1"/>
  <c r="F34" i="6"/>
  <c r="C34" i="6"/>
  <c r="AD33" i="6"/>
  <c r="AC33" i="6"/>
  <c r="AA33" i="6"/>
  <c r="X33" i="6"/>
  <c r="W33" i="6"/>
  <c r="U33" i="6"/>
  <c r="R33" i="6"/>
  <c r="N33" i="6"/>
  <c r="O33" i="6" s="1"/>
  <c r="L33" i="6"/>
  <c r="H33" i="6"/>
  <c r="I33" i="6" s="1"/>
  <c r="F33" i="6"/>
  <c r="C33" i="6"/>
  <c r="AD32" i="6"/>
  <c r="AC32" i="6"/>
  <c r="AA32" i="6"/>
  <c r="X32" i="6"/>
  <c r="W32" i="6"/>
  <c r="U32" i="6"/>
  <c r="R32" i="6"/>
  <c r="N32" i="6"/>
  <c r="O32" i="6" s="1"/>
  <c r="L32" i="6"/>
  <c r="H32" i="6"/>
  <c r="I32" i="6" s="1"/>
  <c r="F32" i="6"/>
  <c r="C32" i="6"/>
  <c r="AD31" i="6"/>
  <c r="AC31" i="6"/>
  <c r="AA31" i="6"/>
  <c r="W31" i="6"/>
  <c r="X31" i="6" s="1"/>
  <c r="U31" i="6"/>
  <c r="R31" i="6"/>
  <c r="O31" i="6"/>
  <c r="N31" i="6"/>
  <c r="L31" i="6"/>
  <c r="I31" i="6"/>
  <c r="H31" i="6"/>
  <c r="F31" i="6"/>
  <c r="C31" i="6"/>
  <c r="AC29" i="6"/>
  <c r="AD29" i="6" s="1"/>
  <c r="AA29" i="6"/>
  <c r="Z29" i="6"/>
  <c r="T29" i="6"/>
  <c r="U29" i="6" s="1"/>
  <c r="Q29" i="6"/>
  <c r="N29" i="6"/>
  <c r="O29" i="6" s="1"/>
  <c r="L29" i="6"/>
  <c r="K29" i="6"/>
  <c r="E29" i="6"/>
  <c r="F29" i="6" s="1"/>
  <c r="B29" i="6"/>
  <c r="C29" i="6" s="1"/>
  <c r="AD28" i="6"/>
  <c r="AC28" i="6"/>
  <c r="AA28" i="6"/>
  <c r="X28" i="6"/>
  <c r="W28" i="6"/>
  <c r="U28" i="6"/>
  <c r="R28" i="6"/>
  <c r="O28" i="6"/>
  <c r="N28" i="6"/>
  <c r="L28" i="6"/>
  <c r="H28" i="6"/>
  <c r="I28" i="6" s="1"/>
  <c r="F28" i="6"/>
  <c r="C28" i="6"/>
  <c r="AD27" i="6"/>
  <c r="AC27" i="6"/>
  <c r="AA27" i="6"/>
  <c r="X27" i="6"/>
  <c r="W27" i="6"/>
  <c r="U27" i="6"/>
  <c r="R27" i="6"/>
  <c r="N27" i="6"/>
  <c r="O27" i="6" s="1"/>
  <c r="L27" i="6"/>
  <c r="I27" i="6"/>
  <c r="H27" i="6"/>
  <c r="F27" i="6"/>
  <c r="C27" i="6"/>
  <c r="AC26" i="6"/>
  <c r="AD26" i="6" s="1"/>
  <c r="AA26" i="6"/>
  <c r="X26" i="6"/>
  <c r="W26" i="6"/>
  <c r="U26" i="6"/>
  <c r="R26" i="6"/>
  <c r="O26" i="6"/>
  <c r="N26" i="6"/>
  <c r="L26" i="6"/>
  <c r="H26" i="6"/>
  <c r="I26" i="6" s="1"/>
  <c r="F26" i="6"/>
  <c r="C26" i="6"/>
  <c r="AD25" i="6"/>
  <c r="AC25" i="6"/>
  <c r="AA25" i="6"/>
  <c r="W25" i="6"/>
  <c r="X25" i="6" s="1"/>
  <c r="U25" i="6"/>
  <c r="R25" i="6"/>
  <c r="O25" i="6"/>
  <c r="N25" i="6"/>
  <c r="L25" i="6"/>
  <c r="H25" i="6"/>
  <c r="I25" i="6" s="1"/>
  <c r="F25" i="6"/>
  <c r="C25" i="6"/>
  <c r="AC24" i="6"/>
  <c r="AD24" i="6" s="1"/>
  <c r="AA24" i="6"/>
  <c r="X24" i="6"/>
  <c r="W24" i="6"/>
  <c r="U24" i="6"/>
  <c r="R24" i="6"/>
  <c r="N24" i="6"/>
  <c r="O24" i="6" s="1"/>
  <c r="L24" i="6"/>
  <c r="I24" i="6"/>
  <c r="H24" i="6"/>
  <c r="F24" i="6"/>
  <c r="C24" i="6"/>
  <c r="AC23" i="6"/>
  <c r="AD23" i="6" s="1"/>
  <c r="AA23" i="6"/>
  <c r="W23" i="6"/>
  <c r="X23" i="6" s="1"/>
  <c r="U23" i="6"/>
  <c r="R23" i="6"/>
  <c r="O23" i="6"/>
  <c r="N23" i="6"/>
  <c r="L23" i="6"/>
  <c r="H23" i="6"/>
  <c r="I23" i="6" s="1"/>
  <c r="F23" i="6"/>
  <c r="C23" i="6"/>
  <c r="AC22" i="6"/>
  <c r="AD22" i="6" s="1"/>
  <c r="AA22" i="6"/>
  <c r="W22" i="6"/>
  <c r="X22" i="6" s="1"/>
  <c r="U22" i="6"/>
  <c r="R22" i="6"/>
  <c r="O22" i="6"/>
  <c r="N22" i="6"/>
  <c r="L22" i="6"/>
  <c r="I22" i="6"/>
  <c r="H22" i="6"/>
  <c r="F22" i="6"/>
  <c r="C22" i="6"/>
  <c r="AC21" i="6"/>
  <c r="AD21" i="6" s="1"/>
  <c r="AA21" i="6"/>
  <c r="W21" i="6"/>
  <c r="X21" i="6" s="1"/>
  <c r="U21" i="6"/>
  <c r="R21" i="6"/>
  <c r="N21" i="6"/>
  <c r="O21" i="6" s="1"/>
  <c r="L21" i="6"/>
  <c r="H21" i="6"/>
  <c r="I21" i="6" s="1"/>
  <c r="F21" i="6"/>
  <c r="C21" i="6"/>
  <c r="AC19" i="6"/>
  <c r="AD19" i="6" s="1"/>
  <c r="AA19" i="6"/>
  <c r="X19" i="6"/>
  <c r="W19" i="6"/>
  <c r="U19" i="6"/>
  <c r="R19" i="6"/>
  <c r="O19" i="6"/>
  <c r="N19" i="6"/>
  <c r="L19" i="6"/>
  <c r="I19" i="6"/>
  <c r="H19" i="6"/>
  <c r="F19" i="6"/>
  <c r="C19" i="6"/>
  <c r="Z18" i="6"/>
  <c r="T18" i="6"/>
  <c r="U18" i="6" s="1"/>
  <c r="R18" i="6"/>
  <c r="Q18" i="6"/>
  <c r="K18" i="6"/>
  <c r="L18" i="6" s="1"/>
  <c r="H18" i="6"/>
  <c r="I18" i="6" s="1"/>
  <c r="F18" i="6"/>
  <c r="E18" i="6"/>
  <c r="B18" i="6"/>
  <c r="C18" i="6" s="1"/>
  <c r="AC17" i="6"/>
  <c r="AD17" i="6" s="1"/>
  <c r="AA17" i="6"/>
  <c r="W17" i="6"/>
  <c r="X17" i="6" s="1"/>
  <c r="U17" i="6"/>
  <c r="R17" i="6"/>
  <c r="O17" i="6"/>
  <c r="N17" i="6"/>
  <c r="L17" i="6"/>
  <c r="H17" i="6"/>
  <c r="I17" i="6" s="1"/>
  <c r="F17" i="6"/>
  <c r="C17" i="6"/>
  <c r="AD16" i="6"/>
  <c r="AC16" i="6"/>
  <c r="AA16" i="6"/>
  <c r="X16" i="6"/>
  <c r="W16" i="6"/>
  <c r="U16" i="6"/>
  <c r="R16" i="6"/>
  <c r="O16" i="6"/>
  <c r="N16" i="6"/>
  <c r="L16" i="6"/>
  <c r="I16" i="6"/>
  <c r="H16" i="6"/>
  <c r="F16" i="6"/>
  <c r="C16" i="6"/>
  <c r="AC15" i="6"/>
  <c r="AD15" i="6" s="1"/>
  <c r="AA15" i="6"/>
  <c r="W15" i="6"/>
  <c r="X15" i="6" s="1"/>
  <c r="U15" i="6"/>
  <c r="R15" i="6"/>
  <c r="O15" i="6"/>
  <c r="N15" i="6"/>
  <c r="L15" i="6"/>
  <c r="I15" i="6"/>
  <c r="H15" i="6"/>
  <c r="F15" i="6"/>
  <c r="C15" i="6"/>
  <c r="AC14" i="6"/>
  <c r="AD14" i="6" s="1"/>
  <c r="AA14" i="6"/>
  <c r="W14" i="6"/>
  <c r="X14" i="6" s="1"/>
  <c r="U14" i="6"/>
  <c r="R14" i="6"/>
  <c r="O14" i="6"/>
  <c r="N14" i="6"/>
  <c r="L14" i="6"/>
  <c r="I14" i="6"/>
  <c r="H14" i="6"/>
  <c r="F14" i="6"/>
  <c r="C14" i="6"/>
  <c r="AC13" i="6"/>
  <c r="AD13" i="6" s="1"/>
  <c r="AA13" i="6"/>
  <c r="W13" i="6"/>
  <c r="X13" i="6" s="1"/>
  <c r="U13" i="6"/>
  <c r="R13" i="6"/>
  <c r="O13" i="6"/>
  <c r="N13" i="6"/>
  <c r="L13" i="6"/>
  <c r="H13" i="6"/>
  <c r="I13" i="6" s="1"/>
  <c r="F13" i="6"/>
  <c r="C13" i="6"/>
  <c r="AD12" i="6"/>
  <c r="AC12" i="6"/>
  <c r="AA12" i="6"/>
  <c r="X12" i="6"/>
  <c r="W12" i="6"/>
  <c r="U12" i="6"/>
  <c r="R12" i="6"/>
  <c r="O12" i="6"/>
  <c r="N12" i="6"/>
  <c r="L12" i="6"/>
  <c r="I12" i="6"/>
  <c r="H12" i="6"/>
  <c r="F12" i="6"/>
  <c r="C12" i="6"/>
  <c r="AC11" i="6"/>
  <c r="AD11" i="6" s="1"/>
  <c r="AA11" i="6"/>
  <c r="X11" i="6"/>
  <c r="W11" i="6"/>
  <c r="U11" i="6"/>
  <c r="R11" i="6"/>
  <c r="N11" i="6"/>
  <c r="O11" i="6" s="1"/>
  <c r="L11" i="6"/>
  <c r="I11" i="6"/>
  <c r="H11" i="6"/>
  <c r="F11" i="6"/>
  <c r="C11" i="6"/>
  <c r="AC10" i="6"/>
  <c r="AD10" i="6" s="1"/>
  <c r="AA10" i="6"/>
  <c r="X10" i="6"/>
  <c r="W10" i="6"/>
  <c r="U10" i="6"/>
  <c r="R10" i="6"/>
  <c r="O10" i="6"/>
  <c r="N10" i="6"/>
  <c r="L10" i="6"/>
  <c r="H10" i="6"/>
  <c r="I10" i="6" s="1"/>
  <c r="F10" i="6"/>
  <c r="C10" i="6"/>
  <c r="AD8" i="6"/>
  <c r="AC8" i="6"/>
  <c r="AA8" i="6"/>
  <c r="X8" i="6"/>
  <c r="W8" i="6"/>
  <c r="U8" i="6"/>
  <c r="R8" i="6"/>
  <c r="N8" i="6"/>
  <c r="O8" i="6" s="1"/>
  <c r="L8" i="6"/>
  <c r="H8" i="6"/>
  <c r="I8" i="6" s="1"/>
  <c r="F8" i="6"/>
  <c r="C8" i="6"/>
  <c r="AC444" i="5"/>
  <c r="AD420" i="5" s="1"/>
  <c r="W444" i="5"/>
  <c r="X440" i="5" s="1"/>
  <c r="N444" i="5"/>
  <c r="H444" i="5"/>
  <c r="Z442" i="5"/>
  <c r="T442" i="5"/>
  <c r="W442" i="5" s="1"/>
  <c r="X442" i="5" s="1"/>
  <c r="R442" i="5"/>
  <c r="Q442" i="5"/>
  <c r="K442" i="5"/>
  <c r="L442" i="5" s="1"/>
  <c r="I442" i="5"/>
  <c r="H442" i="5"/>
  <c r="F442" i="5"/>
  <c r="E442" i="5"/>
  <c r="B442" i="5"/>
  <c r="C442" i="5" s="1"/>
  <c r="Z441" i="5"/>
  <c r="AA441" i="5" s="1"/>
  <c r="W441" i="5"/>
  <c r="X441" i="5" s="1"/>
  <c r="U441" i="5"/>
  <c r="T441" i="5"/>
  <c r="Q441" i="5"/>
  <c r="R441" i="5" s="1"/>
  <c r="K441" i="5"/>
  <c r="N441" i="5" s="1"/>
  <c r="O441" i="5" s="1"/>
  <c r="I441" i="5"/>
  <c r="H441" i="5"/>
  <c r="E441" i="5"/>
  <c r="F441" i="5" s="1"/>
  <c r="C441" i="5"/>
  <c r="B441" i="5"/>
  <c r="AC440" i="5"/>
  <c r="AD440" i="5" s="1"/>
  <c r="AA440" i="5"/>
  <c r="W440" i="5"/>
  <c r="U440" i="5"/>
  <c r="R440" i="5"/>
  <c r="N440" i="5"/>
  <c r="O440" i="5" s="1"/>
  <c r="L440" i="5"/>
  <c r="H440" i="5"/>
  <c r="I440" i="5" s="1"/>
  <c r="F440" i="5"/>
  <c r="C440" i="5"/>
  <c r="AC439" i="5"/>
  <c r="AA439" i="5"/>
  <c r="W439" i="5"/>
  <c r="X439" i="5" s="1"/>
  <c r="U439" i="5"/>
  <c r="R439" i="5"/>
  <c r="N439" i="5"/>
  <c r="O439" i="5" s="1"/>
  <c r="L439" i="5"/>
  <c r="I439" i="5"/>
  <c r="H439" i="5"/>
  <c r="F439" i="5"/>
  <c r="C439" i="5"/>
  <c r="AC438" i="5"/>
  <c r="AA438" i="5"/>
  <c r="W438" i="5"/>
  <c r="U438" i="5"/>
  <c r="R438" i="5"/>
  <c r="N438" i="5"/>
  <c r="L438" i="5"/>
  <c r="H438" i="5"/>
  <c r="I438" i="5" s="1"/>
  <c r="F438" i="5"/>
  <c r="C438" i="5"/>
  <c r="AC437" i="5"/>
  <c r="AD437" i="5" s="1"/>
  <c r="AA437" i="5"/>
  <c r="W437" i="5"/>
  <c r="U437" i="5"/>
  <c r="R437" i="5"/>
  <c r="O437" i="5"/>
  <c r="N437" i="5"/>
  <c r="L437" i="5"/>
  <c r="H437" i="5"/>
  <c r="I437" i="5" s="1"/>
  <c r="F437" i="5"/>
  <c r="C437" i="5"/>
  <c r="AC436" i="5"/>
  <c r="AA436" i="5"/>
  <c r="X436" i="5"/>
  <c r="W436" i="5"/>
  <c r="U436" i="5"/>
  <c r="R436" i="5"/>
  <c r="N436" i="5"/>
  <c r="L436" i="5"/>
  <c r="H436" i="5"/>
  <c r="I436" i="5" s="1"/>
  <c r="F436" i="5"/>
  <c r="C436" i="5"/>
  <c r="AC435" i="5"/>
  <c r="AA435" i="5"/>
  <c r="W435" i="5"/>
  <c r="U435" i="5"/>
  <c r="R435" i="5"/>
  <c r="O435" i="5"/>
  <c r="N435" i="5"/>
  <c r="L435" i="5"/>
  <c r="H435" i="5"/>
  <c r="F435" i="5"/>
  <c r="C435" i="5"/>
  <c r="AC434" i="5"/>
  <c r="AD434" i="5" s="1"/>
  <c r="AA434" i="5"/>
  <c r="W434" i="5"/>
  <c r="U434" i="5"/>
  <c r="R434" i="5"/>
  <c r="O434" i="5"/>
  <c r="N434" i="5"/>
  <c r="L434" i="5"/>
  <c r="I434" i="5"/>
  <c r="H434" i="5"/>
  <c r="F434" i="5"/>
  <c r="C434" i="5"/>
  <c r="AC433" i="5"/>
  <c r="AA433" i="5"/>
  <c r="W433" i="5"/>
  <c r="U433" i="5"/>
  <c r="R433" i="5"/>
  <c r="N433" i="5"/>
  <c r="L433" i="5"/>
  <c r="H433" i="5"/>
  <c r="I433" i="5" s="1"/>
  <c r="F433" i="5"/>
  <c r="C433" i="5"/>
  <c r="AC432" i="5"/>
  <c r="AA432" i="5"/>
  <c r="W432" i="5"/>
  <c r="U432" i="5"/>
  <c r="R432" i="5"/>
  <c r="O432" i="5"/>
  <c r="N432" i="5"/>
  <c r="L432" i="5"/>
  <c r="H432" i="5"/>
  <c r="F432" i="5"/>
  <c r="C432" i="5"/>
  <c r="AC429" i="5"/>
  <c r="AD429" i="5" s="1"/>
  <c r="AA429" i="5"/>
  <c r="Z429" i="5"/>
  <c r="T429" i="5"/>
  <c r="U429" i="5" s="1"/>
  <c r="Q429" i="5"/>
  <c r="W429" i="5" s="1"/>
  <c r="X429" i="5" s="1"/>
  <c r="K429" i="5"/>
  <c r="L429" i="5" s="1"/>
  <c r="F429" i="5"/>
  <c r="E429" i="5"/>
  <c r="B429" i="5"/>
  <c r="Z428" i="5"/>
  <c r="AA428" i="5" s="1"/>
  <c r="T428" i="5"/>
  <c r="W428" i="5" s="1"/>
  <c r="X428" i="5" s="1"/>
  <c r="R428" i="5"/>
  <c r="Q428" i="5"/>
  <c r="AC428" i="5" s="1"/>
  <c r="L428" i="5"/>
  <c r="K428" i="5"/>
  <c r="E428" i="5"/>
  <c r="H428" i="5" s="1"/>
  <c r="I428" i="5" s="1"/>
  <c r="B428" i="5"/>
  <c r="C428" i="5" s="1"/>
  <c r="AC427" i="5"/>
  <c r="AA427" i="5"/>
  <c r="W427" i="5"/>
  <c r="U427" i="5"/>
  <c r="R427" i="5"/>
  <c r="N427" i="5"/>
  <c r="L427" i="5"/>
  <c r="H427" i="5"/>
  <c r="I427" i="5" s="1"/>
  <c r="F427" i="5"/>
  <c r="C427" i="5"/>
  <c r="AC426" i="5"/>
  <c r="AA426" i="5"/>
  <c r="W426" i="5"/>
  <c r="X426" i="5" s="1"/>
  <c r="U426" i="5"/>
  <c r="R426" i="5"/>
  <c r="O426" i="5"/>
  <c r="N426" i="5"/>
  <c r="L426" i="5"/>
  <c r="H426" i="5"/>
  <c r="F426" i="5"/>
  <c r="C426" i="5"/>
  <c r="AC425" i="5"/>
  <c r="AD425" i="5" s="1"/>
  <c r="AA425" i="5"/>
  <c r="W425" i="5"/>
  <c r="U425" i="5"/>
  <c r="R425" i="5"/>
  <c r="N425" i="5"/>
  <c r="O425" i="5" s="1"/>
  <c r="L425" i="5"/>
  <c r="H425" i="5"/>
  <c r="I425" i="5" s="1"/>
  <c r="F425" i="5"/>
  <c r="C425" i="5"/>
  <c r="AC424" i="5"/>
  <c r="AA424" i="5"/>
  <c r="X424" i="5"/>
  <c r="W424" i="5"/>
  <c r="U424" i="5"/>
  <c r="R424" i="5"/>
  <c r="N424" i="5"/>
  <c r="L424" i="5"/>
  <c r="H424" i="5"/>
  <c r="I424" i="5" s="1"/>
  <c r="F424" i="5"/>
  <c r="C424" i="5"/>
  <c r="AD423" i="5"/>
  <c r="AC423" i="5"/>
  <c r="AA423" i="5"/>
  <c r="W423" i="5"/>
  <c r="U423" i="5"/>
  <c r="R423" i="5"/>
  <c r="N423" i="5"/>
  <c r="O423" i="5" s="1"/>
  <c r="L423" i="5"/>
  <c r="H423" i="5"/>
  <c r="I423" i="5" s="1"/>
  <c r="F423" i="5"/>
  <c r="C423" i="5"/>
  <c r="AC422" i="5"/>
  <c r="AA422" i="5"/>
  <c r="W422" i="5"/>
  <c r="U422" i="5"/>
  <c r="R422" i="5"/>
  <c r="N422" i="5"/>
  <c r="L422" i="5"/>
  <c r="H422" i="5"/>
  <c r="I422" i="5" s="1"/>
  <c r="F422" i="5"/>
  <c r="C422" i="5"/>
  <c r="AC421" i="5"/>
  <c r="AA421" i="5"/>
  <c r="X421" i="5"/>
  <c r="W421" i="5"/>
  <c r="U421" i="5"/>
  <c r="R421" i="5"/>
  <c r="N421" i="5"/>
  <c r="O421" i="5" s="1"/>
  <c r="L421" i="5"/>
  <c r="H421" i="5"/>
  <c r="I421" i="5" s="1"/>
  <c r="F421" i="5"/>
  <c r="C421" i="5"/>
  <c r="AC420" i="5"/>
  <c r="AA420" i="5"/>
  <c r="W420" i="5"/>
  <c r="U420" i="5"/>
  <c r="R420" i="5"/>
  <c r="N420" i="5"/>
  <c r="O420" i="5" s="1"/>
  <c r="L420" i="5"/>
  <c r="H420" i="5"/>
  <c r="I420" i="5" s="1"/>
  <c r="F420" i="5"/>
  <c r="C420" i="5"/>
  <c r="AC419" i="5"/>
  <c r="AD419" i="5" s="1"/>
  <c r="AA419" i="5"/>
  <c r="W419" i="5"/>
  <c r="U419" i="5"/>
  <c r="R419" i="5"/>
  <c r="O419" i="5"/>
  <c r="N419" i="5"/>
  <c r="L419" i="5"/>
  <c r="I419" i="5"/>
  <c r="H419" i="5"/>
  <c r="F419" i="5"/>
  <c r="C419" i="5"/>
  <c r="AC418" i="5"/>
  <c r="AA418" i="5"/>
  <c r="W418" i="5"/>
  <c r="X418" i="5" s="1"/>
  <c r="U418" i="5"/>
  <c r="R418" i="5"/>
  <c r="N418" i="5"/>
  <c r="L418" i="5"/>
  <c r="H418" i="5"/>
  <c r="I418" i="5" s="1"/>
  <c r="F418" i="5"/>
  <c r="C418" i="5"/>
  <c r="AC417" i="5"/>
  <c r="AA417" i="5"/>
  <c r="W417" i="5"/>
  <c r="X417" i="5" s="1"/>
  <c r="U417" i="5"/>
  <c r="R417" i="5"/>
  <c r="O417" i="5"/>
  <c r="N417" i="5"/>
  <c r="L417" i="5"/>
  <c r="H417" i="5"/>
  <c r="F417" i="5"/>
  <c r="C417" i="5"/>
  <c r="AC416" i="5"/>
  <c r="AA416" i="5"/>
  <c r="W416" i="5"/>
  <c r="U416" i="5"/>
  <c r="R416" i="5"/>
  <c r="N416" i="5"/>
  <c r="O416" i="5" s="1"/>
  <c r="L416" i="5"/>
  <c r="I416" i="5"/>
  <c r="H416" i="5"/>
  <c r="F416" i="5"/>
  <c r="C416" i="5"/>
  <c r="AC415" i="5"/>
  <c r="AD415" i="5" s="1"/>
  <c r="AA415" i="5"/>
  <c r="X415" i="5"/>
  <c r="W415" i="5"/>
  <c r="U415" i="5"/>
  <c r="R415" i="5"/>
  <c r="N415" i="5"/>
  <c r="L415" i="5"/>
  <c r="H415" i="5"/>
  <c r="I415" i="5" s="1"/>
  <c r="F415" i="5"/>
  <c r="C415" i="5"/>
  <c r="AC414" i="5"/>
  <c r="AA414" i="5"/>
  <c r="W414" i="5"/>
  <c r="U414" i="5"/>
  <c r="R414" i="5"/>
  <c r="O414" i="5"/>
  <c r="N414" i="5"/>
  <c r="L414" i="5"/>
  <c r="H414" i="5"/>
  <c r="F414" i="5"/>
  <c r="C414" i="5"/>
  <c r="AC413" i="5"/>
  <c r="AD413" i="5" s="1"/>
  <c r="AA413" i="5"/>
  <c r="W413" i="5"/>
  <c r="X413" i="5" s="1"/>
  <c r="U413" i="5"/>
  <c r="R413" i="5"/>
  <c r="O413" i="5"/>
  <c r="N413" i="5"/>
  <c r="L413" i="5"/>
  <c r="H413" i="5"/>
  <c r="F413" i="5"/>
  <c r="C413" i="5"/>
  <c r="AC412" i="5"/>
  <c r="AA412" i="5"/>
  <c r="W412" i="5"/>
  <c r="U412" i="5"/>
  <c r="R412" i="5"/>
  <c r="N412" i="5"/>
  <c r="L412" i="5"/>
  <c r="I412" i="5"/>
  <c r="H412" i="5"/>
  <c r="F412" i="5"/>
  <c r="C412" i="5"/>
  <c r="AC411" i="5"/>
  <c r="AD411" i="5" s="1"/>
  <c r="AA411" i="5"/>
  <c r="W411" i="5"/>
  <c r="X411" i="5" s="1"/>
  <c r="U411" i="5"/>
  <c r="R411" i="5"/>
  <c r="N411" i="5"/>
  <c r="L411" i="5"/>
  <c r="H411" i="5"/>
  <c r="I411" i="5" s="1"/>
  <c r="F411" i="5"/>
  <c r="C411" i="5"/>
  <c r="AC410" i="5"/>
  <c r="AD410" i="5" s="1"/>
  <c r="AA410" i="5"/>
  <c r="W410" i="5"/>
  <c r="U410" i="5"/>
  <c r="R410" i="5"/>
  <c r="O410" i="5"/>
  <c r="N410" i="5"/>
  <c r="L410" i="5"/>
  <c r="H410" i="5"/>
  <c r="F410" i="5"/>
  <c r="C410" i="5"/>
  <c r="AC409" i="5"/>
  <c r="AA409" i="5"/>
  <c r="X409" i="5"/>
  <c r="W409" i="5"/>
  <c r="U409" i="5"/>
  <c r="R409" i="5"/>
  <c r="N409" i="5"/>
  <c r="O409" i="5" s="1"/>
  <c r="L409" i="5"/>
  <c r="H409" i="5"/>
  <c r="I409" i="5" s="1"/>
  <c r="F409" i="5"/>
  <c r="C409" i="5"/>
  <c r="AC408" i="5"/>
  <c r="AD408" i="5" s="1"/>
  <c r="AA408" i="5"/>
  <c r="W408" i="5"/>
  <c r="U408" i="5"/>
  <c r="R408" i="5"/>
  <c r="N408" i="5"/>
  <c r="L408" i="5"/>
  <c r="H408" i="5"/>
  <c r="I408" i="5" s="1"/>
  <c r="F408" i="5"/>
  <c r="C408" i="5"/>
  <c r="AC407" i="5"/>
  <c r="AA407" i="5"/>
  <c r="W407" i="5"/>
  <c r="U407" i="5"/>
  <c r="R407" i="5"/>
  <c r="O407" i="5"/>
  <c r="N407" i="5"/>
  <c r="L407" i="5"/>
  <c r="H407" i="5"/>
  <c r="I407" i="5" s="1"/>
  <c r="F407" i="5"/>
  <c r="C407" i="5"/>
  <c r="AA403" i="5"/>
  <c r="Z403" i="5"/>
  <c r="T403" i="5"/>
  <c r="U403" i="5" s="1"/>
  <c r="Q403" i="5"/>
  <c r="W403" i="5" s="1"/>
  <c r="X403" i="5" s="1"/>
  <c r="K403" i="5"/>
  <c r="L403" i="5" s="1"/>
  <c r="F403" i="5"/>
  <c r="E403" i="5"/>
  <c r="B403" i="5"/>
  <c r="AC402" i="5"/>
  <c r="AA402" i="5"/>
  <c r="W402" i="5"/>
  <c r="U402" i="5"/>
  <c r="R402" i="5"/>
  <c r="O402" i="5"/>
  <c r="N402" i="5"/>
  <c r="L402" i="5"/>
  <c r="H402" i="5"/>
  <c r="I402" i="5" s="1"/>
  <c r="F402" i="5"/>
  <c r="C402" i="5"/>
  <c r="AC401" i="5"/>
  <c r="AD401" i="5" s="1"/>
  <c r="AA401" i="5"/>
  <c r="W401" i="5"/>
  <c r="U401" i="5"/>
  <c r="R401" i="5"/>
  <c r="O401" i="5"/>
  <c r="N401" i="5"/>
  <c r="L401" i="5"/>
  <c r="I401" i="5"/>
  <c r="H401" i="5"/>
  <c r="F401" i="5"/>
  <c r="C401" i="5"/>
  <c r="AC400" i="5"/>
  <c r="AA400" i="5"/>
  <c r="W400" i="5"/>
  <c r="X400" i="5" s="1"/>
  <c r="U400" i="5"/>
  <c r="R400" i="5"/>
  <c r="N400" i="5"/>
  <c r="L400" i="5"/>
  <c r="H400" i="5"/>
  <c r="I400" i="5" s="1"/>
  <c r="F400" i="5"/>
  <c r="C400" i="5"/>
  <c r="AC399" i="5"/>
  <c r="AD399" i="5" s="1"/>
  <c r="AA399" i="5"/>
  <c r="W399" i="5"/>
  <c r="X399" i="5" s="1"/>
  <c r="U399" i="5"/>
  <c r="R399" i="5"/>
  <c r="N399" i="5"/>
  <c r="L399" i="5"/>
  <c r="H399" i="5"/>
  <c r="I399" i="5" s="1"/>
  <c r="F399" i="5"/>
  <c r="C399" i="5"/>
  <c r="AC398" i="5"/>
  <c r="AA398" i="5"/>
  <c r="W398" i="5"/>
  <c r="U398" i="5"/>
  <c r="R398" i="5"/>
  <c r="O398" i="5"/>
  <c r="N398" i="5"/>
  <c r="L398" i="5"/>
  <c r="H398" i="5"/>
  <c r="I398" i="5" s="1"/>
  <c r="F398" i="5"/>
  <c r="C398" i="5"/>
  <c r="AC397" i="5"/>
  <c r="AD397" i="5" s="1"/>
  <c r="AA397" i="5"/>
  <c r="W397" i="5"/>
  <c r="U397" i="5"/>
  <c r="R397" i="5"/>
  <c r="O397" i="5"/>
  <c r="N397" i="5"/>
  <c r="L397" i="5"/>
  <c r="I397" i="5"/>
  <c r="H397" i="5"/>
  <c r="F397" i="5"/>
  <c r="C397" i="5"/>
  <c r="AA396" i="5"/>
  <c r="Z396" i="5"/>
  <c r="T396" i="5"/>
  <c r="U396" i="5" s="1"/>
  <c r="Q396" i="5"/>
  <c r="L396" i="5"/>
  <c r="K396" i="5"/>
  <c r="E396" i="5"/>
  <c r="F396" i="5" s="1"/>
  <c r="B396" i="5"/>
  <c r="H396" i="5" s="1"/>
  <c r="I396" i="5" s="1"/>
  <c r="AC395" i="5"/>
  <c r="AA395" i="5"/>
  <c r="W395" i="5"/>
  <c r="U395" i="5"/>
  <c r="R395" i="5"/>
  <c r="N395" i="5"/>
  <c r="O395" i="5" s="1"/>
  <c r="L395" i="5"/>
  <c r="H395" i="5"/>
  <c r="I395" i="5" s="1"/>
  <c r="F395" i="5"/>
  <c r="C395" i="5"/>
  <c r="AD394" i="5"/>
  <c r="AC394" i="5"/>
  <c r="AA394" i="5"/>
  <c r="W394" i="5"/>
  <c r="U394" i="5"/>
  <c r="R394" i="5"/>
  <c r="O394" i="5"/>
  <c r="N394" i="5"/>
  <c r="L394" i="5"/>
  <c r="I394" i="5"/>
  <c r="H394" i="5"/>
  <c r="F394" i="5"/>
  <c r="C394" i="5"/>
  <c r="AA393" i="5"/>
  <c r="Z393" i="5"/>
  <c r="T393" i="5"/>
  <c r="U393" i="5" s="1"/>
  <c r="Q393" i="5"/>
  <c r="L393" i="5"/>
  <c r="K393" i="5"/>
  <c r="E393" i="5"/>
  <c r="F393" i="5" s="1"/>
  <c r="C393" i="5"/>
  <c r="B393" i="5"/>
  <c r="H393" i="5" s="1"/>
  <c r="I393" i="5" s="1"/>
  <c r="AD392" i="5"/>
  <c r="AC392" i="5"/>
  <c r="AA392" i="5"/>
  <c r="W392" i="5"/>
  <c r="U392" i="5"/>
  <c r="R392" i="5"/>
  <c r="N392" i="5"/>
  <c r="O392" i="5" s="1"/>
  <c r="L392" i="5"/>
  <c r="H392" i="5"/>
  <c r="I392" i="5" s="1"/>
  <c r="F392" i="5"/>
  <c r="C392" i="5"/>
  <c r="AC391" i="5"/>
  <c r="AA391" i="5"/>
  <c r="W391" i="5"/>
  <c r="U391" i="5"/>
  <c r="R391" i="5"/>
  <c r="O391" i="5"/>
  <c r="N391" i="5"/>
  <c r="L391" i="5"/>
  <c r="I391" i="5"/>
  <c r="H391" i="5"/>
  <c r="F391" i="5"/>
  <c r="C391" i="5"/>
  <c r="AC390" i="5"/>
  <c r="AD390" i="5" s="1"/>
  <c r="AA390" i="5"/>
  <c r="W390" i="5"/>
  <c r="X390" i="5" s="1"/>
  <c r="U390" i="5"/>
  <c r="R390" i="5"/>
  <c r="N390" i="5"/>
  <c r="L390" i="5"/>
  <c r="I390" i="5"/>
  <c r="H390" i="5"/>
  <c r="F390" i="5"/>
  <c r="C390" i="5"/>
  <c r="AC389" i="5"/>
  <c r="AA389" i="5"/>
  <c r="X389" i="5"/>
  <c r="W389" i="5"/>
  <c r="U389" i="5"/>
  <c r="R389" i="5"/>
  <c r="N389" i="5"/>
  <c r="L389" i="5"/>
  <c r="H389" i="5"/>
  <c r="I389" i="5" s="1"/>
  <c r="F389" i="5"/>
  <c r="C389" i="5"/>
  <c r="AD388" i="5"/>
  <c r="AC388" i="5"/>
  <c r="AA388" i="5"/>
  <c r="W388" i="5"/>
  <c r="U388" i="5"/>
  <c r="R388" i="5"/>
  <c r="N388" i="5"/>
  <c r="O388" i="5" s="1"/>
  <c r="L388" i="5"/>
  <c r="H388" i="5"/>
  <c r="I388" i="5" s="1"/>
  <c r="F388" i="5"/>
  <c r="C388" i="5"/>
  <c r="AC386" i="5"/>
  <c r="AA386" i="5"/>
  <c r="W386" i="5"/>
  <c r="U386" i="5"/>
  <c r="R386" i="5"/>
  <c r="O386" i="5"/>
  <c r="N386" i="5"/>
  <c r="L386" i="5"/>
  <c r="I386" i="5"/>
  <c r="H386" i="5"/>
  <c r="F386" i="5"/>
  <c r="C386" i="5"/>
  <c r="AC385" i="5"/>
  <c r="AD385" i="5" s="1"/>
  <c r="AA385" i="5"/>
  <c r="W385" i="5"/>
  <c r="X385" i="5" s="1"/>
  <c r="U385" i="5"/>
  <c r="R385" i="5"/>
  <c r="N385" i="5"/>
  <c r="L385" i="5"/>
  <c r="I385" i="5"/>
  <c r="H385" i="5"/>
  <c r="F385" i="5"/>
  <c r="C385" i="5"/>
  <c r="AC383" i="5"/>
  <c r="AA383" i="5"/>
  <c r="X383" i="5"/>
  <c r="W383" i="5"/>
  <c r="U383" i="5"/>
  <c r="R383" i="5"/>
  <c r="N383" i="5"/>
  <c r="L383" i="5"/>
  <c r="H383" i="5"/>
  <c r="I383" i="5" s="1"/>
  <c r="F383" i="5"/>
  <c r="C383" i="5"/>
  <c r="AD382" i="5"/>
  <c r="AC382" i="5"/>
  <c r="AA382" i="5"/>
  <c r="W382" i="5"/>
  <c r="U382" i="5"/>
  <c r="R382" i="5"/>
  <c r="N382" i="5"/>
  <c r="O382" i="5" s="1"/>
  <c r="L382" i="5"/>
  <c r="H382" i="5"/>
  <c r="I382" i="5" s="1"/>
  <c r="F382" i="5"/>
  <c r="C382" i="5"/>
  <c r="AC381" i="5"/>
  <c r="AA381" i="5"/>
  <c r="W381" i="5"/>
  <c r="U381" i="5"/>
  <c r="R381" i="5"/>
  <c r="O381" i="5"/>
  <c r="N381" i="5"/>
  <c r="L381" i="5"/>
  <c r="I381" i="5"/>
  <c r="H381" i="5"/>
  <c r="F381" i="5"/>
  <c r="C381" i="5"/>
  <c r="AC380" i="5"/>
  <c r="AD380" i="5" s="1"/>
  <c r="AA380" i="5"/>
  <c r="W380" i="5"/>
  <c r="X380" i="5" s="1"/>
  <c r="U380" i="5"/>
  <c r="R380" i="5"/>
  <c r="N380" i="5"/>
  <c r="L380" i="5"/>
  <c r="I380" i="5"/>
  <c r="H380" i="5"/>
  <c r="F380" i="5"/>
  <c r="C380" i="5"/>
  <c r="AC379" i="5"/>
  <c r="AA379" i="5"/>
  <c r="W379" i="5"/>
  <c r="X379" i="5" s="1"/>
  <c r="U379" i="5"/>
  <c r="R379" i="5"/>
  <c r="N379" i="5"/>
  <c r="L379" i="5"/>
  <c r="H379" i="5"/>
  <c r="I379" i="5" s="1"/>
  <c r="F379" i="5"/>
  <c r="C379" i="5"/>
  <c r="AD378" i="5"/>
  <c r="AC378" i="5"/>
  <c r="AA378" i="5"/>
  <c r="W378" i="5"/>
  <c r="U378" i="5"/>
  <c r="R378" i="5"/>
  <c r="N378" i="5"/>
  <c r="O378" i="5" s="1"/>
  <c r="L378" i="5"/>
  <c r="H378" i="5"/>
  <c r="I378" i="5" s="1"/>
  <c r="F378" i="5"/>
  <c r="C378" i="5"/>
  <c r="AC377" i="5"/>
  <c r="AA377" i="5"/>
  <c r="W377" i="5"/>
  <c r="U377" i="5"/>
  <c r="R377" i="5"/>
  <c r="O377" i="5"/>
  <c r="N377" i="5"/>
  <c r="L377" i="5"/>
  <c r="I377" i="5"/>
  <c r="H377" i="5"/>
  <c r="F377" i="5"/>
  <c r="C377" i="5"/>
  <c r="AC376" i="5"/>
  <c r="AD376" i="5" s="1"/>
  <c r="AA376" i="5"/>
  <c r="W376" i="5"/>
  <c r="X376" i="5" s="1"/>
  <c r="U376" i="5"/>
  <c r="R376" i="5"/>
  <c r="N376" i="5"/>
  <c r="L376" i="5"/>
  <c r="I376" i="5"/>
  <c r="H376" i="5"/>
  <c r="F376" i="5"/>
  <c r="C376" i="5"/>
  <c r="AC375" i="5"/>
  <c r="AA375" i="5"/>
  <c r="W375" i="5"/>
  <c r="X375" i="5" s="1"/>
  <c r="U375" i="5"/>
  <c r="R375" i="5"/>
  <c r="N375" i="5"/>
  <c r="L375" i="5"/>
  <c r="H375" i="5"/>
  <c r="I375" i="5" s="1"/>
  <c r="F375" i="5"/>
  <c r="C375" i="5"/>
  <c r="AD374" i="5"/>
  <c r="AC374" i="5"/>
  <c r="AA374" i="5"/>
  <c r="W374" i="5"/>
  <c r="U374" i="5"/>
  <c r="R374" i="5"/>
  <c r="N374" i="5"/>
  <c r="O374" i="5" s="1"/>
  <c r="L374" i="5"/>
  <c r="H374" i="5"/>
  <c r="I374" i="5" s="1"/>
  <c r="F374" i="5"/>
  <c r="C374" i="5"/>
  <c r="AC373" i="5"/>
  <c r="AA373" i="5"/>
  <c r="W373" i="5"/>
  <c r="U373" i="5"/>
  <c r="R373" i="5"/>
  <c r="O373" i="5"/>
  <c r="N373" i="5"/>
  <c r="L373" i="5"/>
  <c r="I373" i="5"/>
  <c r="H373" i="5"/>
  <c r="F373" i="5"/>
  <c r="C373" i="5"/>
  <c r="AC372" i="5"/>
  <c r="AD372" i="5" s="1"/>
  <c r="AA372" i="5"/>
  <c r="W372" i="5"/>
  <c r="X372" i="5" s="1"/>
  <c r="U372" i="5"/>
  <c r="R372" i="5"/>
  <c r="N372" i="5"/>
  <c r="L372" i="5"/>
  <c r="I372" i="5"/>
  <c r="H372" i="5"/>
  <c r="F372" i="5"/>
  <c r="C372" i="5"/>
  <c r="AC371" i="5"/>
  <c r="AA371" i="5"/>
  <c r="W371" i="5"/>
  <c r="X371" i="5" s="1"/>
  <c r="U371" i="5"/>
  <c r="R371" i="5"/>
  <c r="N371" i="5"/>
  <c r="L371" i="5"/>
  <c r="H371" i="5"/>
  <c r="I371" i="5" s="1"/>
  <c r="F371" i="5"/>
  <c r="C371" i="5"/>
  <c r="AD370" i="5"/>
  <c r="AC370" i="5"/>
  <c r="AA370" i="5"/>
  <c r="W370" i="5"/>
  <c r="U370" i="5"/>
  <c r="R370" i="5"/>
  <c r="N370" i="5"/>
  <c r="O370" i="5" s="1"/>
  <c r="L370" i="5"/>
  <c r="H370" i="5"/>
  <c r="I370" i="5" s="1"/>
  <c r="F370" i="5"/>
  <c r="C370" i="5"/>
  <c r="AC369" i="5"/>
  <c r="AA369" i="5"/>
  <c r="W369" i="5"/>
  <c r="U369" i="5"/>
  <c r="R369" i="5"/>
  <c r="O369" i="5"/>
  <c r="N369" i="5"/>
  <c r="L369" i="5"/>
  <c r="I369" i="5"/>
  <c r="H369" i="5"/>
  <c r="F369" i="5"/>
  <c r="C369" i="5"/>
  <c r="AA368" i="5"/>
  <c r="Z368" i="5"/>
  <c r="T368" i="5"/>
  <c r="U368" i="5" s="1"/>
  <c r="Q368" i="5"/>
  <c r="AC368" i="5" s="1"/>
  <c r="AD368" i="5" s="1"/>
  <c r="N368" i="5"/>
  <c r="O368" i="5" s="1"/>
  <c r="L368" i="5"/>
  <c r="K368" i="5"/>
  <c r="E368" i="5"/>
  <c r="F368" i="5" s="1"/>
  <c r="C368" i="5"/>
  <c r="B368" i="5"/>
  <c r="AD367" i="5"/>
  <c r="AC367" i="5"/>
  <c r="AA367" i="5"/>
  <c r="W367" i="5"/>
  <c r="U367" i="5"/>
  <c r="R367" i="5"/>
  <c r="O367" i="5"/>
  <c r="N367" i="5"/>
  <c r="L367" i="5"/>
  <c r="H367" i="5"/>
  <c r="I367" i="5" s="1"/>
  <c r="F367" i="5"/>
  <c r="C367" i="5"/>
  <c r="AC366" i="5"/>
  <c r="AA366" i="5"/>
  <c r="W366" i="5"/>
  <c r="U366" i="5"/>
  <c r="R366" i="5"/>
  <c r="N366" i="5"/>
  <c r="O366" i="5" s="1"/>
  <c r="L366" i="5"/>
  <c r="I366" i="5"/>
  <c r="H366" i="5"/>
  <c r="F366" i="5"/>
  <c r="C366" i="5"/>
  <c r="AC365" i="5"/>
  <c r="AD365" i="5" s="1"/>
  <c r="AA365" i="5"/>
  <c r="X365" i="5"/>
  <c r="W365" i="5"/>
  <c r="U365" i="5"/>
  <c r="R365" i="5"/>
  <c r="N365" i="5"/>
  <c r="L365" i="5"/>
  <c r="H365" i="5"/>
  <c r="I365" i="5" s="1"/>
  <c r="F365" i="5"/>
  <c r="C365" i="5"/>
  <c r="AC364" i="5"/>
  <c r="AA364" i="5"/>
  <c r="W364" i="5"/>
  <c r="X364" i="5" s="1"/>
  <c r="U364" i="5"/>
  <c r="R364" i="5"/>
  <c r="N364" i="5"/>
  <c r="L364" i="5"/>
  <c r="H364" i="5"/>
  <c r="I364" i="5" s="1"/>
  <c r="F364" i="5"/>
  <c r="C364" i="5"/>
  <c r="AD363" i="5"/>
  <c r="AC363" i="5"/>
  <c r="AA363" i="5"/>
  <c r="W363" i="5"/>
  <c r="U363" i="5"/>
  <c r="R363" i="5"/>
  <c r="O363" i="5"/>
  <c r="N363" i="5"/>
  <c r="L363" i="5"/>
  <c r="H363" i="5"/>
  <c r="I363" i="5" s="1"/>
  <c r="F363" i="5"/>
  <c r="C363" i="5"/>
  <c r="AC362" i="5"/>
  <c r="AA362" i="5"/>
  <c r="W362" i="5"/>
  <c r="U362" i="5"/>
  <c r="R362" i="5"/>
  <c r="N362" i="5"/>
  <c r="O362" i="5" s="1"/>
  <c r="L362" i="5"/>
  <c r="I362" i="5"/>
  <c r="H362" i="5"/>
  <c r="F362" i="5"/>
  <c r="C362" i="5"/>
  <c r="AC361" i="5"/>
  <c r="AD361" i="5" s="1"/>
  <c r="AA361" i="5"/>
  <c r="X361" i="5"/>
  <c r="W361" i="5"/>
  <c r="U361" i="5"/>
  <c r="R361" i="5"/>
  <c r="N361" i="5"/>
  <c r="L361" i="5"/>
  <c r="I361" i="5"/>
  <c r="H361" i="5"/>
  <c r="F361" i="5"/>
  <c r="C361" i="5"/>
  <c r="AC360" i="5"/>
  <c r="AA360" i="5"/>
  <c r="W360" i="5"/>
  <c r="X360" i="5" s="1"/>
  <c r="U360" i="5"/>
  <c r="R360" i="5"/>
  <c r="N360" i="5"/>
  <c r="L360" i="5"/>
  <c r="H360" i="5"/>
  <c r="I360" i="5" s="1"/>
  <c r="F360" i="5"/>
  <c r="C360" i="5"/>
  <c r="AD358" i="5"/>
  <c r="Z358" i="5"/>
  <c r="AA358" i="5" s="1"/>
  <c r="W358" i="5"/>
  <c r="X358" i="5" s="1"/>
  <c r="U358" i="5"/>
  <c r="T358" i="5"/>
  <c r="R358" i="5"/>
  <c r="Q358" i="5"/>
  <c r="AC358" i="5" s="1"/>
  <c r="K358" i="5"/>
  <c r="L358" i="5" s="1"/>
  <c r="H358" i="5"/>
  <c r="I358" i="5" s="1"/>
  <c r="F358" i="5"/>
  <c r="E358" i="5"/>
  <c r="B358" i="5"/>
  <c r="C358" i="5" s="1"/>
  <c r="AC357" i="5"/>
  <c r="AA357" i="5"/>
  <c r="W357" i="5"/>
  <c r="X357" i="5" s="1"/>
  <c r="U357" i="5"/>
  <c r="R357" i="5"/>
  <c r="N357" i="5"/>
  <c r="L357" i="5"/>
  <c r="H357" i="5"/>
  <c r="I357" i="5" s="1"/>
  <c r="F357" i="5"/>
  <c r="C357" i="5"/>
  <c r="AC356" i="5"/>
  <c r="AD356" i="5" s="1"/>
  <c r="AA356" i="5"/>
  <c r="X356" i="5"/>
  <c r="W356" i="5"/>
  <c r="U356" i="5"/>
  <c r="R356" i="5"/>
  <c r="N356" i="5"/>
  <c r="L356" i="5"/>
  <c r="H356" i="5"/>
  <c r="I356" i="5" s="1"/>
  <c r="F356" i="5"/>
  <c r="C356" i="5"/>
  <c r="AC355" i="5"/>
  <c r="AA355" i="5"/>
  <c r="W355" i="5"/>
  <c r="U355" i="5"/>
  <c r="R355" i="5"/>
  <c r="N355" i="5"/>
  <c r="O355" i="5" s="1"/>
  <c r="L355" i="5"/>
  <c r="H355" i="5"/>
  <c r="I355" i="5" s="1"/>
  <c r="F355" i="5"/>
  <c r="C355" i="5"/>
  <c r="AC354" i="5"/>
  <c r="AD354" i="5" s="1"/>
  <c r="AA354" i="5"/>
  <c r="W354" i="5"/>
  <c r="U354" i="5"/>
  <c r="R354" i="5"/>
  <c r="O354" i="5"/>
  <c r="N354" i="5"/>
  <c r="L354" i="5"/>
  <c r="I354" i="5"/>
  <c r="H354" i="5"/>
  <c r="F354" i="5"/>
  <c r="C354" i="5"/>
  <c r="AC353" i="5"/>
  <c r="AA353" i="5"/>
  <c r="W353" i="5"/>
  <c r="X353" i="5" s="1"/>
  <c r="U353" i="5"/>
  <c r="R353" i="5"/>
  <c r="N353" i="5"/>
  <c r="L353" i="5"/>
  <c r="H353" i="5"/>
  <c r="I353" i="5" s="1"/>
  <c r="F353" i="5"/>
  <c r="C353" i="5"/>
  <c r="AC352" i="5"/>
  <c r="AD352" i="5" s="1"/>
  <c r="AA352" i="5"/>
  <c r="X352" i="5"/>
  <c r="W352" i="5"/>
  <c r="U352" i="5"/>
  <c r="R352" i="5"/>
  <c r="N352" i="5"/>
  <c r="L352" i="5"/>
  <c r="H352" i="5"/>
  <c r="I352" i="5" s="1"/>
  <c r="F352" i="5"/>
  <c r="C352" i="5"/>
  <c r="AC351" i="5"/>
  <c r="AA351" i="5"/>
  <c r="W351" i="5"/>
  <c r="U351" i="5"/>
  <c r="R351" i="5"/>
  <c r="N351" i="5"/>
  <c r="O351" i="5" s="1"/>
  <c r="L351" i="5"/>
  <c r="H351" i="5"/>
  <c r="I351" i="5" s="1"/>
  <c r="F351" i="5"/>
  <c r="C351" i="5"/>
  <c r="AC350" i="5"/>
  <c r="AD350" i="5" s="1"/>
  <c r="AA350" i="5"/>
  <c r="W350" i="5"/>
  <c r="U350" i="5"/>
  <c r="R350" i="5"/>
  <c r="O350" i="5"/>
  <c r="N350" i="5"/>
  <c r="L350" i="5"/>
  <c r="I350" i="5"/>
  <c r="H350" i="5"/>
  <c r="F350" i="5"/>
  <c r="C350" i="5"/>
  <c r="AC349" i="5"/>
  <c r="AA349" i="5"/>
  <c r="W349" i="5"/>
  <c r="X349" i="5" s="1"/>
  <c r="U349" i="5"/>
  <c r="R349" i="5"/>
  <c r="N349" i="5"/>
  <c r="L349" i="5"/>
  <c r="H349" i="5"/>
  <c r="I349" i="5" s="1"/>
  <c r="F349" i="5"/>
  <c r="C349" i="5"/>
  <c r="AC347" i="5"/>
  <c r="AD347" i="5" s="1"/>
  <c r="AA347" i="5"/>
  <c r="X347" i="5"/>
  <c r="W347" i="5"/>
  <c r="U347" i="5"/>
  <c r="R347" i="5"/>
  <c r="N347" i="5"/>
  <c r="L347" i="5"/>
  <c r="H347" i="5"/>
  <c r="I347" i="5" s="1"/>
  <c r="F347" i="5"/>
  <c r="C347" i="5"/>
  <c r="AA344" i="5"/>
  <c r="Z344" i="5"/>
  <c r="T344" i="5"/>
  <c r="U344" i="5" s="1"/>
  <c r="Q344" i="5"/>
  <c r="L344" i="5"/>
  <c r="K344" i="5"/>
  <c r="E344" i="5"/>
  <c r="F344" i="5" s="1"/>
  <c r="B344" i="5"/>
  <c r="H344" i="5" s="1"/>
  <c r="I344" i="5" s="1"/>
  <c r="AD343" i="5"/>
  <c r="Z343" i="5"/>
  <c r="AA343" i="5" s="1"/>
  <c r="W343" i="5"/>
  <c r="T343" i="5"/>
  <c r="U343" i="5" s="1"/>
  <c r="R343" i="5"/>
  <c r="Q343" i="5"/>
  <c r="AC343" i="5" s="1"/>
  <c r="K343" i="5"/>
  <c r="L343" i="5" s="1"/>
  <c r="I343" i="5"/>
  <c r="H343" i="5"/>
  <c r="F343" i="5"/>
  <c r="E343" i="5"/>
  <c r="B343" i="5"/>
  <c r="C343" i="5" s="1"/>
  <c r="Z342" i="5"/>
  <c r="AA342" i="5" s="1"/>
  <c r="T342" i="5"/>
  <c r="U342" i="5" s="1"/>
  <c r="Q342" i="5"/>
  <c r="L342" i="5"/>
  <c r="K342" i="5"/>
  <c r="E342" i="5"/>
  <c r="F342" i="5" s="1"/>
  <c r="C342" i="5"/>
  <c r="B342" i="5"/>
  <c r="AC341" i="5"/>
  <c r="AA341" i="5"/>
  <c r="W341" i="5"/>
  <c r="U341" i="5"/>
  <c r="R341" i="5"/>
  <c r="N341" i="5"/>
  <c r="O341" i="5" s="1"/>
  <c r="L341" i="5"/>
  <c r="H341" i="5"/>
  <c r="I341" i="5" s="1"/>
  <c r="F341" i="5"/>
  <c r="C341" i="5"/>
  <c r="AC340" i="5"/>
  <c r="AD340" i="5" s="1"/>
  <c r="AA340" i="5"/>
  <c r="W340" i="5"/>
  <c r="U340" i="5"/>
  <c r="R340" i="5"/>
  <c r="O340" i="5"/>
  <c r="N340" i="5"/>
  <c r="L340" i="5"/>
  <c r="I340" i="5"/>
  <c r="H340" i="5"/>
  <c r="F340" i="5"/>
  <c r="C340" i="5"/>
  <c r="AC339" i="5"/>
  <c r="AA339" i="5"/>
  <c r="W339" i="5"/>
  <c r="X339" i="5" s="1"/>
  <c r="U339" i="5"/>
  <c r="R339" i="5"/>
  <c r="O339" i="5"/>
  <c r="N339" i="5"/>
  <c r="L339" i="5"/>
  <c r="I339" i="5"/>
  <c r="H339" i="5"/>
  <c r="F339" i="5"/>
  <c r="C339" i="5"/>
  <c r="AC338" i="5"/>
  <c r="AD338" i="5" s="1"/>
  <c r="AA338" i="5"/>
  <c r="W338" i="5"/>
  <c r="U338" i="5"/>
  <c r="R338" i="5"/>
  <c r="N338" i="5"/>
  <c r="L338" i="5"/>
  <c r="H338" i="5"/>
  <c r="I338" i="5" s="1"/>
  <c r="F338" i="5"/>
  <c r="C338" i="5"/>
  <c r="AC337" i="5"/>
  <c r="AA337" i="5"/>
  <c r="X337" i="5"/>
  <c r="W337" i="5"/>
  <c r="U337" i="5"/>
  <c r="R337" i="5"/>
  <c r="O337" i="5"/>
  <c r="N337" i="5"/>
  <c r="L337" i="5"/>
  <c r="H337" i="5"/>
  <c r="I337" i="5" s="1"/>
  <c r="F337" i="5"/>
  <c r="C337" i="5"/>
  <c r="AD335" i="5"/>
  <c r="AC335" i="5"/>
  <c r="AA335" i="5"/>
  <c r="W335" i="5"/>
  <c r="U335" i="5"/>
  <c r="R335" i="5"/>
  <c r="N335" i="5"/>
  <c r="O335" i="5" s="1"/>
  <c r="L335" i="5"/>
  <c r="I335" i="5"/>
  <c r="H335" i="5"/>
  <c r="F335" i="5"/>
  <c r="C335" i="5"/>
  <c r="AC334" i="5"/>
  <c r="AA334" i="5"/>
  <c r="X334" i="5"/>
  <c r="W334" i="5"/>
  <c r="U334" i="5"/>
  <c r="R334" i="5"/>
  <c r="O334" i="5"/>
  <c r="N334" i="5"/>
  <c r="L334" i="5"/>
  <c r="H334" i="5"/>
  <c r="I334" i="5" s="1"/>
  <c r="F334" i="5"/>
  <c r="C334" i="5"/>
  <c r="AC333" i="5"/>
  <c r="AA333" i="5"/>
  <c r="W333" i="5"/>
  <c r="U333" i="5"/>
  <c r="R333" i="5"/>
  <c r="N333" i="5"/>
  <c r="L333" i="5"/>
  <c r="H333" i="5"/>
  <c r="I333" i="5" s="1"/>
  <c r="F333" i="5"/>
  <c r="C333" i="5"/>
  <c r="AC332" i="5"/>
  <c r="AA332" i="5"/>
  <c r="X332" i="5"/>
  <c r="W332" i="5"/>
  <c r="U332" i="5"/>
  <c r="R332" i="5"/>
  <c r="O332" i="5"/>
  <c r="N332" i="5"/>
  <c r="L332" i="5"/>
  <c r="H332" i="5"/>
  <c r="I332" i="5" s="1"/>
  <c r="F332" i="5"/>
  <c r="C332" i="5"/>
  <c r="AC331" i="5"/>
  <c r="AA331" i="5"/>
  <c r="W331" i="5"/>
  <c r="U331" i="5"/>
  <c r="R331" i="5"/>
  <c r="O331" i="5"/>
  <c r="N331" i="5"/>
  <c r="L331" i="5"/>
  <c r="I331" i="5"/>
  <c r="H331" i="5"/>
  <c r="F331" i="5"/>
  <c r="C331" i="5"/>
  <c r="AC330" i="5"/>
  <c r="AD330" i="5" s="1"/>
  <c r="AA330" i="5"/>
  <c r="X330" i="5"/>
  <c r="W330" i="5"/>
  <c r="U330" i="5"/>
  <c r="R330" i="5"/>
  <c r="O330" i="5"/>
  <c r="N330" i="5"/>
  <c r="L330" i="5"/>
  <c r="I330" i="5"/>
  <c r="H330" i="5"/>
  <c r="F330" i="5"/>
  <c r="C330" i="5"/>
  <c r="AC329" i="5"/>
  <c r="AA329" i="5"/>
  <c r="W329" i="5"/>
  <c r="X329" i="5" s="1"/>
  <c r="U329" i="5"/>
  <c r="R329" i="5"/>
  <c r="N329" i="5"/>
  <c r="L329" i="5"/>
  <c r="H329" i="5"/>
  <c r="I329" i="5" s="1"/>
  <c r="F329" i="5"/>
  <c r="C329" i="5"/>
  <c r="AD328" i="5"/>
  <c r="AC328" i="5"/>
  <c r="AA328" i="5"/>
  <c r="W328" i="5"/>
  <c r="U328" i="5"/>
  <c r="R328" i="5"/>
  <c r="N328" i="5"/>
  <c r="O328" i="5" s="1"/>
  <c r="L328" i="5"/>
  <c r="H328" i="5"/>
  <c r="I328" i="5" s="1"/>
  <c r="F328" i="5"/>
  <c r="C328" i="5"/>
  <c r="AA325" i="5"/>
  <c r="Z325" i="5"/>
  <c r="T325" i="5"/>
  <c r="U325" i="5" s="1"/>
  <c r="R325" i="5"/>
  <c r="Q325" i="5"/>
  <c r="AC325" i="5" s="1"/>
  <c r="AD325" i="5" s="1"/>
  <c r="K325" i="5"/>
  <c r="L325" i="5" s="1"/>
  <c r="E325" i="5"/>
  <c r="H325" i="5" s="1"/>
  <c r="I325" i="5" s="1"/>
  <c r="C325" i="5"/>
  <c r="B325" i="5"/>
  <c r="N325" i="5" s="1"/>
  <c r="O325" i="5" s="1"/>
  <c r="Z324" i="5"/>
  <c r="AA324" i="5" s="1"/>
  <c r="T324" i="5"/>
  <c r="W324" i="5" s="1"/>
  <c r="X324" i="5" s="1"/>
  <c r="Q324" i="5"/>
  <c r="R324" i="5" s="1"/>
  <c r="L324" i="5"/>
  <c r="K324" i="5"/>
  <c r="E324" i="5"/>
  <c r="F324" i="5" s="1"/>
  <c r="B324" i="5"/>
  <c r="C324" i="5" s="1"/>
  <c r="AD323" i="5"/>
  <c r="AC323" i="5"/>
  <c r="AA323" i="5"/>
  <c r="W323" i="5"/>
  <c r="U323" i="5"/>
  <c r="R323" i="5"/>
  <c r="O323" i="5"/>
  <c r="N323" i="5"/>
  <c r="L323" i="5"/>
  <c r="I323" i="5"/>
  <c r="H323" i="5"/>
  <c r="F323" i="5"/>
  <c r="C323" i="5"/>
  <c r="AC322" i="5"/>
  <c r="AD322" i="5" s="1"/>
  <c r="AA322" i="5"/>
  <c r="W322" i="5"/>
  <c r="U322" i="5"/>
  <c r="R322" i="5"/>
  <c r="O322" i="5"/>
  <c r="N322" i="5"/>
  <c r="L322" i="5"/>
  <c r="I322" i="5"/>
  <c r="H322" i="5"/>
  <c r="F322" i="5"/>
  <c r="C322" i="5"/>
  <c r="AC321" i="5"/>
  <c r="AA321" i="5"/>
  <c r="W321" i="5"/>
  <c r="X321" i="5" s="1"/>
  <c r="U321" i="5"/>
  <c r="R321" i="5"/>
  <c r="O321" i="5"/>
  <c r="N321" i="5"/>
  <c r="L321" i="5"/>
  <c r="H321" i="5"/>
  <c r="I321" i="5" s="1"/>
  <c r="F321" i="5"/>
  <c r="C321" i="5"/>
  <c r="AD320" i="5"/>
  <c r="AC320" i="5"/>
  <c r="AA320" i="5"/>
  <c r="W320" i="5"/>
  <c r="U320" i="5"/>
  <c r="R320" i="5"/>
  <c r="N320" i="5"/>
  <c r="O320" i="5" s="1"/>
  <c r="L320" i="5"/>
  <c r="H320" i="5"/>
  <c r="I320" i="5" s="1"/>
  <c r="F320" i="5"/>
  <c r="C320" i="5"/>
  <c r="AD319" i="5"/>
  <c r="AC319" i="5"/>
  <c r="AA319" i="5"/>
  <c r="X319" i="5"/>
  <c r="W319" i="5"/>
  <c r="U319" i="5"/>
  <c r="R319" i="5"/>
  <c r="N319" i="5"/>
  <c r="O319" i="5" s="1"/>
  <c r="L319" i="5"/>
  <c r="H319" i="5"/>
  <c r="I319" i="5" s="1"/>
  <c r="F319" i="5"/>
  <c r="C319" i="5"/>
  <c r="AC318" i="5"/>
  <c r="AD318" i="5" s="1"/>
  <c r="AA318" i="5"/>
  <c r="W318" i="5"/>
  <c r="X318" i="5" s="1"/>
  <c r="U318" i="5"/>
  <c r="R318" i="5"/>
  <c r="O318" i="5"/>
  <c r="N318" i="5"/>
  <c r="L318" i="5"/>
  <c r="H318" i="5"/>
  <c r="I318" i="5" s="1"/>
  <c r="F318" i="5"/>
  <c r="C318" i="5"/>
  <c r="AC317" i="5"/>
  <c r="AD317" i="5" s="1"/>
  <c r="AA317" i="5"/>
  <c r="W317" i="5"/>
  <c r="X317" i="5" s="1"/>
  <c r="U317" i="5"/>
  <c r="R317" i="5"/>
  <c r="O317" i="5"/>
  <c r="N317" i="5"/>
  <c r="L317" i="5"/>
  <c r="H317" i="5"/>
  <c r="I317" i="5" s="1"/>
  <c r="F317" i="5"/>
  <c r="C317" i="5"/>
  <c r="AC316" i="5"/>
  <c r="AD316" i="5" s="1"/>
  <c r="AA316" i="5"/>
  <c r="X316" i="5"/>
  <c r="W316" i="5"/>
  <c r="U316" i="5"/>
  <c r="R316" i="5"/>
  <c r="O316" i="5"/>
  <c r="N316" i="5"/>
  <c r="L316" i="5"/>
  <c r="H316" i="5"/>
  <c r="I316" i="5" s="1"/>
  <c r="F316" i="5"/>
  <c r="C316" i="5"/>
  <c r="AD315" i="5"/>
  <c r="AC315" i="5"/>
  <c r="AA315" i="5"/>
  <c r="W315" i="5"/>
  <c r="U315" i="5"/>
  <c r="R315" i="5"/>
  <c r="O315" i="5"/>
  <c r="N315" i="5"/>
  <c r="L315" i="5"/>
  <c r="I315" i="5"/>
  <c r="H315" i="5"/>
  <c r="F315" i="5"/>
  <c r="C315" i="5"/>
  <c r="AC314" i="5"/>
  <c r="AD314" i="5" s="1"/>
  <c r="AA314" i="5"/>
  <c r="X314" i="5"/>
  <c r="W314" i="5"/>
  <c r="U314" i="5"/>
  <c r="R314" i="5"/>
  <c r="O314" i="5"/>
  <c r="N314" i="5"/>
  <c r="L314" i="5"/>
  <c r="I314" i="5"/>
  <c r="H314" i="5"/>
  <c r="F314" i="5"/>
  <c r="C314" i="5"/>
  <c r="AC313" i="5"/>
  <c r="AA313" i="5"/>
  <c r="W313" i="5"/>
  <c r="X313" i="5" s="1"/>
  <c r="U313" i="5"/>
  <c r="R313" i="5"/>
  <c r="O313" i="5"/>
  <c r="N313" i="5"/>
  <c r="L313" i="5"/>
  <c r="H313" i="5"/>
  <c r="I313" i="5" s="1"/>
  <c r="F313" i="5"/>
  <c r="C313" i="5"/>
  <c r="AD312" i="5"/>
  <c r="AC312" i="5"/>
  <c r="AA312" i="5"/>
  <c r="W312" i="5"/>
  <c r="U312" i="5"/>
  <c r="R312" i="5"/>
  <c r="N312" i="5"/>
  <c r="O312" i="5" s="1"/>
  <c r="L312" i="5"/>
  <c r="H312" i="5"/>
  <c r="I312" i="5" s="1"/>
  <c r="F312" i="5"/>
  <c r="C312" i="5"/>
  <c r="AC311" i="5"/>
  <c r="AD311" i="5" s="1"/>
  <c r="AA311" i="5"/>
  <c r="X311" i="5"/>
  <c r="W311" i="5"/>
  <c r="U311" i="5"/>
  <c r="R311" i="5"/>
  <c r="N311" i="5"/>
  <c r="O311" i="5" s="1"/>
  <c r="L311" i="5"/>
  <c r="H311" i="5"/>
  <c r="I311" i="5" s="1"/>
  <c r="F311" i="5"/>
  <c r="C311" i="5"/>
  <c r="AC310" i="5"/>
  <c r="AD310" i="5" s="1"/>
  <c r="AA310" i="5"/>
  <c r="X310" i="5"/>
  <c r="W310" i="5"/>
  <c r="U310" i="5"/>
  <c r="R310" i="5"/>
  <c r="O310" i="5"/>
  <c r="N310" i="5"/>
  <c r="L310" i="5"/>
  <c r="H310" i="5"/>
  <c r="I310" i="5" s="1"/>
  <c r="F310" i="5"/>
  <c r="C310" i="5"/>
  <c r="AC309" i="5"/>
  <c r="AD309" i="5" s="1"/>
  <c r="AA309" i="5"/>
  <c r="W309" i="5"/>
  <c r="X309" i="5" s="1"/>
  <c r="U309" i="5"/>
  <c r="R309" i="5"/>
  <c r="O309" i="5"/>
  <c r="N309" i="5"/>
  <c r="L309" i="5"/>
  <c r="H309" i="5"/>
  <c r="I309" i="5" s="1"/>
  <c r="F309" i="5"/>
  <c r="C309" i="5"/>
  <c r="AC308" i="5"/>
  <c r="AD308" i="5" s="1"/>
  <c r="AA308" i="5"/>
  <c r="X308" i="5"/>
  <c r="W308" i="5"/>
  <c r="U308" i="5"/>
  <c r="R308" i="5"/>
  <c r="O308" i="5"/>
  <c r="N308" i="5"/>
  <c r="L308" i="5"/>
  <c r="H308" i="5"/>
  <c r="I308" i="5" s="1"/>
  <c r="F308" i="5"/>
  <c r="C308" i="5"/>
  <c r="AD307" i="5"/>
  <c r="AC307" i="5"/>
  <c r="AA307" i="5"/>
  <c r="W307" i="5"/>
  <c r="U307" i="5"/>
  <c r="R307" i="5"/>
  <c r="O307" i="5"/>
  <c r="N307" i="5"/>
  <c r="L307" i="5"/>
  <c r="I307" i="5"/>
  <c r="H307" i="5"/>
  <c r="F307" i="5"/>
  <c r="C307" i="5"/>
  <c r="AC306" i="5"/>
  <c r="AD306" i="5" s="1"/>
  <c r="AA306" i="5"/>
  <c r="X306" i="5"/>
  <c r="W306" i="5"/>
  <c r="U306" i="5"/>
  <c r="R306" i="5"/>
  <c r="O306" i="5"/>
  <c r="N306" i="5"/>
  <c r="L306" i="5"/>
  <c r="I306" i="5"/>
  <c r="H306" i="5"/>
  <c r="F306" i="5"/>
  <c r="C306" i="5"/>
  <c r="AC305" i="5"/>
  <c r="AD305" i="5" s="1"/>
  <c r="AA305" i="5"/>
  <c r="X305" i="5"/>
  <c r="W305" i="5"/>
  <c r="U305" i="5"/>
  <c r="R305" i="5"/>
  <c r="O305" i="5"/>
  <c r="N305" i="5"/>
  <c r="L305" i="5"/>
  <c r="H305" i="5"/>
  <c r="I305" i="5" s="1"/>
  <c r="F305" i="5"/>
  <c r="C305" i="5"/>
  <c r="AD304" i="5"/>
  <c r="AC304" i="5"/>
  <c r="AA304" i="5"/>
  <c r="X304" i="5"/>
  <c r="W304" i="5"/>
  <c r="U304" i="5"/>
  <c r="R304" i="5"/>
  <c r="N304" i="5"/>
  <c r="O304" i="5" s="1"/>
  <c r="L304" i="5"/>
  <c r="H304" i="5"/>
  <c r="I304" i="5" s="1"/>
  <c r="F304" i="5"/>
  <c r="C304" i="5"/>
  <c r="AC303" i="5"/>
  <c r="AD303" i="5" s="1"/>
  <c r="AA303" i="5"/>
  <c r="X303" i="5"/>
  <c r="W303" i="5"/>
  <c r="U303" i="5"/>
  <c r="R303" i="5"/>
  <c r="N303" i="5"/>
  <c r="O303" i="5" s="1"/>
  <c r="L303" i="5"/>
  <c r="H303" i="5"/>
  <c r="I303" i="5" s="1"/>
  <c r="F303" i="5"/>
  <c r="C303" i="5"/>
  <c r="AC302" i="5"/>
  <c r="AD302" i="5" s="1"/>
  <c r="AA302" i="5"/>
  <c r="W302" i="5"/>
  <c r="X302" i="5" s="1"/>
  <c r="U302" i="5"/>
  <c r="R302" i="5"/>
  <c r="O302" i="5"/>
  <c r="N302" i="5"/>
  <c r="L302" i="5"/>
  <c r="H302" i="5"/>
  <c r="I302" i="5" s="1"/>
  <c r="F302" i="5"/>
  <c r="C302" i="5"/>
  <c r="AC301" i="5"/>
  <c r="AD301" i="5" s="1"/>
  <c r="AA301" i="5"/>
  <c r="W301" i="5"/>
  <c r="X301" i="5" s="1"/>
  <c r="U301" i="5"/>
  <c r="R301" i="5"/>
  <c r="O301" i="5"/>
  <c r="N301" i="5"/>
  <c r="L301" i="5"/>
  <c r="H301" i="5"/>
  <c r="I301" i="5" s="1"/>
  <c r="F301" i="5"/>
  <c r="C301" i="5"/>
  <c r="AC300" i="5"/>
  <c r="AD300" i="5" s="1"/>
  <c r="AA300" i="5"/>
  <c r="X300" i="5"/>
  <c r="W300" i="5"/>
  <c r="U300" i="5"/>
  <c r="R300" i="5"/>
  <c r="O300" i="5"/>
  <c r="N300" i="5"/>
  <c r="L300" i="5"/>
  <c r="H300" i="5"/>
  <c r="I300" i="5" s="1"/>
  <c r="F300" i="5"/>
  <c r="C300" i="5"/>
  <c r="AD299" i="5"/>
  <c r="AC299" i="5"/>
  <c r="AA299" i="5"/>
  <c r="W299" i="5"/>
  <c r="U299" i="5"/>
  <c r="R299" i="5"/>
  <c r="O299" i="5"/>
  <c r="N299" i="5"/>
  <c r="L299" i="5"/>
  <c r="I299" i="5"/>
  <c r="H299" i="5"/>
  <c r="F299" i="5"/>
  <c r="C299" i="5"/>
  <c r="AC298" i="5"/>
  <c r="AD298" i="5" s="1"/>
  <c r="AA298" i="5"/>
  <c r="X298" i="5"/>
  <c r="W298" i="5"/>
  <c r="U298" i="5"/>
  <c r="R298" i="5"/>
  <c r="O298" i="5"/>
  <c r="N298" i="5"/>
  <c r="L298" i="5"/>
  <c r="I298" i="5"/>
  <c r="H298" i="5"/>
  <c r="F298" i="5"/>
  <c r="C298" i="5"/>
  <c r="AC297" i="5"/>
  <c r="AD297" i="5" s="1"/>
  <c r="AA297" i="5"/>
  <c r="X297" i="5"/>
  <c r="W297" i="5"/>
  <c r="U297" i="5"/>
  <c r="R297" i="5"/>
  <c r="O297" i="5"/>
  <c r="N297" i="5"/>
  <c r="L297" i="5"/>
  <c r="H297" i="5"/>
  <c r="I297" i="5" s="1"/>
  <c r="F297" i="5"/>
  <c r="C297" i="5"/>
  <c r="Z295" i="5"/>
  <c r="AA295" i="5" s="1"/>
  <c r="T295" i="5"/>
  <c r="U295" i="5" s="1"/>
  <c r="R295" i="5"/>
  <c r="Q295" i="5"/>
  <c r="W295" i="5" s="1"/>
  <c r="X295" i="5" s="1"/>
  <c r="K295" i="5"/>
  <c r="L295" i="5" s="1"/>
  <c r="E295" i="5"/>
  <c r="F295" i="5" s="1"/>
  <c r="B295" i="5"/>
  <c r="C295" i="5" s="1"/>
  <c r="AC294" i="5"/>
  <c r="AD294" i="5" s="1"/>
  <c r="AA294" i="5"/>
  <c r="X294" i="5"/>
  <c r="W294" i="5"/>
  <c r="U294" i="5"/>
  <c r="R294" i="5"/>
  <c r="O294" i="5"/>
  <c r="N294" i="5"/>
  <c r="L294" i="5"/>
  <c r="I294" i="5"/>
  <c r="H294" i="5"/>
  <c r="F294" i="5"/>
  <c r="C294" i="5"/>
  <c r="AC293" i="5"/>
  <c r="AD293" i="5" s="1"/>
  <c r="AA293" i="5"/>
  <c r="W293" i="5"/>
  <c r="X293" i="5" s="1"/>
  <c r="U293" i="5"/>
  <c r="R293" i="5"/>
  <c r="O293" i="5"/>
  <c r="N293" i="5"/>
  <c r="L293" i="5"/>
  <c r="H293" i="5"/>
  <c r="I293" i="5" s="1"/>
  <c r="F293" i="5"/>
  <c r="C293" i="5"/>
  <c r="AD292" i="5"/>
  <c r="AC292" i="5"/>
  <c r="AA292" i="5"/>
  <c r="X292" i="5"/>
  <c r="W292" i="5"/>
  <c r="U292" i="5"/>
  <c r="R292" i="5"/>
  <c r="O292" i="5"/>
  <c r="N292" i="5"/>
  <c r="L292" i="5"/>
  <c r="H292" i="5"/>
  <c r="I292" i="5" s="1"/>
  <c r="F292" i="5"/>
  <c r="C292" i="5"/>
  <c r="AD291" i="5"/>
  <c r="AC291" i="5"/>
  <c r="AA291" i="5"/>
  <c r="X291" i="5"/>
  <c r="W291" i="5"/>
  <c r="U291" i="5"/>
  <c r="R291" i="5"/>
  <c r="N291" i="5"/>
  <c r="O291" i="5" s="1"/>
  <c r="L291" i="5"/>
  <c r="H291" i="5"/>
  <c r="I291" i="5" s="1"/>
  <c r="F291" i="5"/>
  <c r="C291" i="5"/>
  <c r="AC290" i="5"/>
  <c r="AD290" i="5" s="1"/>
  <c r="AA290" i="5"/>
  <c r="X290" i="5"/>
  <c r="W290" i="5"/>
  <c r="U290" i="5"/>
  <c r="R290" i="5"/>
  <c r="O290" i="5"/>
  <c r="N290" i="5"/>
  <c r="L290" i="5"/>
  <c r="H290" i="5"/>
  <c r="I290" i="5" s="1"/>
  <c r="F290" i="5"/>
  <c r="C290" i="5"/>
  <c r="AC289" i="5"/>
  <c r="AD289" i="5" s="1"/>
  <c r="AA289" i="5"/>
  <c r="W289" i="5"/>
  <c r="X289" i="5" s="1"/>
  <c r="U289" i="5"/>
  <c r="R289" i="5"/>
  <c r="O289" i="5"/>
  <c r="N289" i="5"/>
  <c r="L289" i="5"/>
  <c r="I289" i="5"/>
  <c r="H289" i="5"/>
  <c r="F289" i="5"/>
  <c r="C289" i="5"/>
  <c r="AD288" i="5"/>
  <c r="AC288" i="5"/>
  <c r="AA288" i="5"/>
  <c r="X288" i="5"/>
  <c r="W288" i="5"/>
  <c r="U288" i="5"/>
  <c r="R288" i="5"/>
  <c r="N288" i="5"/>
  <c r="O288" i="5" s="1"/>
  <c r="L288" i="5"/>
  <c r="H288" i="5"/>
  <c r="I288" i="5" s="1"/>
  <c r="F288" i="5"/>
  <c r="C288" i="5"/>
  <c r="AC287" i="5"/>
  <c r="AD287" i="5" s="1"/>
  <c r="AA287" i="5"/>
  <c r="X287" i="5"/>
  <c r="W287" i="5"/>
  <c r="U287" i="5"/>
  <c r="R287" i="5"/>
  <c r="O287" i="5"/>
  <c r="N287" i="5"/>
  <c r="L287" i="5"/>
  <c r="H287" i="5"/>
  <c r="I287" i="5" s="1"/>
  <c r="F287" i="5"/>
  <c r="C287" i="5"/>
  <c r="AD286" i="5"/>
  <c r="AC286" i="5"/>
  <c r="AA286" i="5"/>
  <c r="X286" i="5"/>
  <c r="W286" i="5"/>
  <c r="U286" i="5"/>
  <c r="R286" i="5"/>
  <c r="N286" i="5"/>
  <c r="O286" i="5" s="1"/>
  <c r="L286" i="5"/>
  <c r="H286" i="5"/>
  <c r="I286" i="5" s="1"/>
  <c r="F286" i="5"/>
  <c r="C286" i="5"/>
  <c r="Z284" i="5"/>
  <c r="AA284" i="5" s="1"/>
  <c r="U284" i="5"/>
  <c r="T284" i="5"/>
  <c r="Q284" i="5"/>
  <c r="R284" i="5" s="1"/>
  <c r="L284" i="5"/>
  <c r="K284" i="5"/>
  <c r="E284" i="5"/>
  <c r="F284" i="5" s="1"/>
  <c r="C284" i="5"/>
  <c r="B284" i="5"/>
  <c r="H284" i="5" s="1"/>
  <c r="I284" i="5" s="1"/>
  <c r="AC283" i="5"/>
  <c r="AD283" i="5" s="1"/>
  <c r="AA283" i="5"/>
  <c r="X283" i="5"/>
  <c r="W283" i="5"/>
  <c r="U283" i="5"/>
  <c r="R283" i="5"/>
  <c r="O283" i="5"/>
  <c r="N283" i="5"/>
  <c r="L283" i="5"/>
  <c r="I283" i="5"/>
  <c r="H283" i="5"/>
  <c r="F283" i="5"/>
  <c r="C283" i="5"/>
  <c r="AD282" i="5"/>
  <c r="AC282" i="5"/>
  <c r="AA282" i="5"/>
  <c r="X282" i="5"/>
  <c r="W282" i="5"/>
  <c r="U282" i="5"/>
  <c r="R282" i="5"/>
  <c r="N282" i="5"/>
  <c r="O282" i="5" s="1"/>
  <c r="L282" i="5"/>
  <c r="H282" i="5"/>
  <c r="I282" i="5" s="1"/>
  <c r="F282" i="5"/>
  <c r="C282" i="5"/>
  <c r="AC281" i="5"/>
  <c r="AD281" i="5" s="1"/>
  <c r="AA281" i="5"/>
  <c r="X281" i="5"/>
  <c r="W281" i="5"/>
  <c r="U281" i="5"/>
  <c r="R281" i="5"/>
  <c r="O281" i="5"/>
  <c r="N281" i="5"/>
  <c r="L281" i="5"/>
  <c r="H281" i="5"/>
  <c r="I281" i="5" s="1"/>
  <c r="F281" i="5"/>
  <c r="C281" i="5"/>
  <c r="AD280" i="5"/>
  <c r="AC280" i="5"/>
  <c r="AA280" i="5"/>
  <c r="X280" i="5"/>
  <c r="W280" i="5"/>
  <c r="U280" i="5"/>
  <c r="R280" i="5"/>
  <c r="N280" i="5"/>
  <c r="O280" i="5" s="1"/>
  <c r="L280" i="5"/>
  <c r="H280" i="5"/>
  <c r="I280" i="5" s="1"/>
  <c r="F280" i="5"/>
  <c r="C280" i="5"/>
  <c r="AD279" i="5"/>
  <c r="AC279" i="5"/>
  <c r="AA279" i="5"/>
  <c r="X279" i="5"/>
  <c r="W279" i="5"/>
  <c r="U279" i="5"/>
  <c r="R279" i="5"/>
  <c r="N279" i="5"/>
  <c r="O279" i="5" s="1"/>
  <c r="L279" i="5"/>
  <c r="H279" i="5"/>
  <c r="I279" i="5" s="1"/>
  <c r="F279" i="5"/>
  <c r="C279" i="5"/>
  <c r="AD278" i="5"/>
  <c r="AC278" i="5"/>
  <c r="AA278" i="5"/>
  <c r="X278" i="5"/>
  <c r="W278" i="5"/>
  <c r="U278" i="5"/>
  <c r="R278" i="5"/>
  <c r="N278" i="5"/>
  <c r="O278" i="5" s="1"/>
  <c r="L278" i="5"/>
  <c r="I278" i="5"/>
  <c r="H278" i="5"/>
  <c r="F278" i="5"/>
  <c r="C278" i="5"/>
  <c r="AC277" i="5"/>
  <c r="AD277" i="5" s="1"/>
  <c r="AA277" i="5"/>
  <c r="X277" i="5"/>
  <c r="W277" i="5"/>
  <c r="U277" i="5"/>
  <c r="R277" i="5"/>
  <c r="O277" i="5"/>
  <c r="N277" i="5"/>
  <c r="L277" i="5"/>
  <c r="H277" i="5"/>
  <c r="I277" i="5" s="1"/>
  <c r="F277" i="5"/>
  <c r="C277" i="5"/>
  <c r="AD276" i="5"/>
  <c r="AC276" i="5"/>
  <c r="AA276" i="5"/>
  <c r="X276" i="5"/>
  <c r="W276" i="5"/>
  <c r="U276" i="5"/>
  <c r="R276" i="5"/>
  <c r="O276" i="5"/>
  <c r="N276" i="5"/>
  <c r="L276" i="5"/>
  <c r="H276" i="5"/>
  <c r="I276" i="5" s="1"/>
  <c r="F276" i="5"/>
  <c r="C276" i="5"/>
  <c r="AD275" i="5"/>
  <c r="AC275" i="5"/>
  <c r="AA275" i="5"/>
  <c r="X275" i="5"/>
  <c r="W275" i="5"/>
  <c r="U275" i="5"/>
  <c r="R275" i="5"/>
  <c r="N275" i="5"/>
  <c r="O275" i="5" s="1"/>
  <c r="L275" i="5"/>
  <c r="I275" i="5"/>
  <c r="H275" i="5"/>
  <c r="F275" i="5"/>
  <c r="C275" i="5"/>
  <c r="AA273" i="5"/>
  <c r="Z273" i="5"/>
  <c r="X273" i="5"/>
  <c r="W273" i="5"/>
  <c r="T273" i="5"/>
  <c r="U273" i="5" s="1"/>
  <c r="R273" i="5"/>
  <c r="Q273" i="5"/>
  <c r="AC273" i="5" s="1"/>
  <c r="AD273" i="5" s="1"/>
  <c r="L273" i="5"/>
  <c r="K273" i="5"/>
  <c r="H273" i="5"/>
  <c r="I273" i="5" s="1"/>
  <c r="F273" i="5"/>
  <c r="E273" i="5"/>
  <c r="C273" i="5"/>
  <c r="B273" i="5"/>
  <c r="N273" i="5" s="1"/>
  <c r="O273" i="5" s="1"/>
  <c r="AD272" i="5"/>
  <c r="AC272" i="5"/>
  <c r="AA272" i="5"/>
  <c r="X272" i="5"/>
  <c r="W272" i="5"/>
  <c r="U272" i="5"/>
  <c r="R272" i="5"/>
  <c r="N272" i="5"/>
  <c r="O272" i="5" s="1"/>
  <c r="L272" i="5"/>
  <c r="H272" i="5"/>
  <c r="I272" i="5" s="1"/>
  <c r="F272" i="5"/>
  <c r="C272" i="5"/>
  <c r="AD271" i="5"/>
  <c r="AC271" i="5"/>
  <c r="AA271" i="5"/>
  <c r="X271" i="5"/>
  <c r="W271" i="5"/>
  <c r="U271" i="5"/>
  <c r="R271" i="5"/>
  <c r="N271" i="5"/>
  <c r="O271" i="5" s="1"/>
  <c r="L271" i="5"/>
  <c r="I271" i="5"/>
  <c r="H271" i="5"/>
  <c r="F271" i="5"/>
  <c r="C271" i="5"/>
  <c r="AD270" i="5"/>
  <c r="AC270" i="5"/>
  <c r="AA270" i="5"/>
  <c r="W270" i="5"/>
  <c r="X270" i="5" s="1"/>
  <c r="U270" i="5"/>
  <c r="R270" i="5"/>
  <c r="O270" i="5"/>
  <c r="N270" i="5"/>
  <c r="L270" i="5"/>
  <c r="I270" i="5"/>
  <c r="H270" i="5"/>
  <c r="F270" i="5"/>
  <c r="C270" i="5"/>
  <c r="AC269" i="5"/>
  <c r="AD269" i="5" s="1"/>
  <c r="AA269" i="5"/>
  <c r="W269" i="5"/>
  <c r="X269" i="5" s="1"/>
  <c r="U269" i="5"/>
  <c r="R269" i="5"/>
  <c r="O269" i="5"/>
  <c r="N269" i="5"/>
  <c r="L269" i="5"/>
  <c r="I269" i="5"/>
  <c r="H269" i="5"/>
  <c r="F269" i="5"/>
  <c r="C269" i="5"/>
  <c r="Z267" i="5"/>
  <c r="AA267" i="5" s="1"/>
  <c r="U267" i="5"/>
  <c r="T267" i="5"/>
  <c r="R267" i="5"/>
  <c r="Q267" i="5"/>
  <c r="W267" i="5" s="1"/>
  <c r="X267" i="5" s="1"/>
  <c r="L267" i="5"/>
  <c r="K267" i="5"/>
  <c r="F267" i="5"/>
  <c r="E267" i="5"/>
  <c r="B267" i="5"/>
  <c r="H267" i="5" s="1"/>
  <c r="I267" i="5" s="1"/>
  <c r="AD266" i="5"/>
  <c r="AC266" i="5"/>
  <c r="AA266" i="5"/>
  <c r="W266" i="5"/>
  <c r="X266" i="5" s="1"/>
  <c r="U266" i="5"/>
  <c r="R266" i="5"/>
  <c r="O266" i="5"/>
  <c r="N266" i="5"/>
  <c r="L266" i="5"/>
  <c r="I266" i="5"/>
  <c r="H266" i="5"/>
  <c r="F266" i="5"/>
  <c r="C266" i="5"/>
  <c r="AC265" i="5"/>
  <c r="AD265" i="5" s="1"/>
  <c r="AA265" i="5"/>
  <c r="W265" i="5"/>
  <c r="X265" i="5" s="1"/>
  <c r="U265" i="5"/>
  <c r="R265" i="5"/>
  <c r="O265" i="5"/>
  <c r="N265" i="5"/>
  <c r="L265" i="5"/>
  <c r="I265" i="5"/>
  <c r="H265" i="5"/>
  <c r="F265" i="5"/>
  <c r="C265" i="5"/>
  <c r="Z263" i="5"/>
  <c r="AA263" i="5" s="1"/>
  <c r="U263" i="5"/>
  <c r="T263" i="5"/>
  <c r="R263" i="5"/>
  <c r="Q263" i="5"/>
  <c r="W263" i="5" s="1"/>
  <c r="X263" i="5" s="1"/>
  <c r="L263" i="5"/>
  <c r="K263" i="5"/>
  <c r="E263" i="5"/>
  <c r="F263" i="5" s="1"/>
  <c r="B263" i="5"/>
  <c r="H263" i="5" s="1"/>
  <c r="I263" i="5" s="1"/>
  <c r="AA262" i="5"/>
  <c r="Z262" i="5"/>
  <c r="T262" i="5"/>
  <c r="W262" i="5" s="1"/>
  <c r="X262" i="5" s="1"/>
  <c r="R262" i="5"/>
  <c r="Q262" i="5"/>
  <c r="AC262" i="5" s="1"/>
  <c r="AD262" i="5" s="1"/>
  <c r="K262" i="5"/>
  <c r="L262" i="5" s="1"/>
  <c r="H262" i="5"/>
  <c r="I262" i="5" s="1"/>
  <c r="F262" i="5"/>
  <c r="E262" i="5"/>
  <c r="C262" i="5"/>
  <c r="B262" i="5"/>
  <c r="N262" i="5" s="1"/>
  <c r="O262" i="5" s="1"/>
  <c r="AC261" i="5"/>
  <c r="AD261" i="5" s="1"/>
  <c r="AA261" i="5"/>
  <c r="X261" i="5"/>
  <c r="W261" i="5"/>
  <c r="U261" i="5"/>
  <c r="R261" i="5"/>
  <c r="N261" i="5"/>
  <c r="O261" i="5" s="1"/>
  <c r="L261" i="5"/>
  <c r="H261" i="5"/>
  <c r="I261" i="5" s="1"/>
  <c r="F261" i="5"/>
  <c r="C261" i="5"/>
  <c r="AD260" i="5"/>
  <c r="AC260" i="5"/>
  <c r="AA260" i="5"/>
  <c r="X260" i="5"/>
  <c r="W260" i="5"/>
  <c r="U260" i="5"/>
  <c r="R260" i="5"/>
  <c r="N260" i="5"/>
  <c r="O260" i="5" s="1"/>
  <c r="L260" i="5"/>
  <c r="H260" i="5"/>
  <c r="I260" i="5" s="1"/>
  <c r="F260" i="5"/>
  <c r="C260" i="5"/>
  <c r="AD259" i="5"/>
  <c r="AC259" i="5"/>
  <c r="AA259" i="5"/>
  <c r="W259" i="5"/>
  <c r="X259" i="5" s="1"/>
  <c r="U259" i="5"/>
  <c r="R259" i="5"/>
  <c r="O259" i="5"/>
  <c r="N259" i="5"/>
  <c r="L259" i="5"/>
  <c r="I259" i="5"/>
  <c r="H259" i="5"/>
  <c r="F259" i="5"/>
  <c r="C259" i="5"/>
  <c r="AC258" i="5"/>
  <c r="AD258" i="5" s="1"/>
  <c r="AA258" i="5"/>
  <c r="W258" i="5"/>
  <c r="X258" i="5" s="1"/>
  <c r="U258" i="5"/>
  <c r="R258" i="5"/>
  <c r="O258" i="5"/>
  <c r="N258" i="5"/>
  <c r="L258" i="5"/>
  <c r="I258" i="5"/>
  <c r="H258" i="5"/>
  <c r="F258" i="5"/>
  <c r="C258" i="5"/>
  <c r="AC257" i="5"/>
  <c r="AD257" i="5" s="1"/>
  <c r="AA257" i="5"/>
  <c r="X257" i="5"/>
  <c r="W257" i="5"/>
  <c r="U257" i="5"/>
  <c r="R257" i="5"/>
  <c r="N257" i="5"/>
  <c r="O257" i="5" s="1"/>
  <c r="L257" i="5"/>
  <c r="H257" i="5"/>
  <c r="I257" i="5" s="1"/>
  <c r="F257" i="5"/>
  <c r="C257" i="5"/>
  <c r="AD256" i="5"/>
  <c r="AC256" i="5"/>
  <c r="AA256" i="5"/>
  <c r="X256" i="5"/>
  <c r="W256" i="5"/>
  <c r="U256" i="5"/>
  <c r="R256" i="5"/>
  <c r="N256" i="5"/>
  <c r="O256" i="5" s="1"/>
  <c r="L256" i="5"/>
  <c r="H256" i="5"/>
  <c r="I256" i="5" s="1"/>
  <c r="F256" i="5"/>
  <c r="C256" i="5"/>
  <c r="AD255" i="5"/>
  <c r="AC255" i="5"/>
  <c r="AA255" i="5"/>
  <c r="W255" i="5"/>
  <c r="X255" i="5" s="1"/>
  <c r="U255" i="5"/>
  <c r="R255" i="5"/>
  <c r="O255" i="5"/>
  <c r="N255" i="5"/>
  <c r="L255" i="5"/>
  <c r="I255" i="5"/>
  <c r="H255" i="5"/>
  <c r="F255" i="5"/>
  <c r="C255" i="5"/>
  <c r="AC254" i="5"/>
  <c r="AD254" i="5" s="1"/>
  <c r="AA254" i="5"/>
  <c r="W254" i="5"/>
  <c r="X254" i="5" s="1"/>
  <c r="U254" i="5"/>
  <c r="R254" i="5"/>
  <c r="O254" i="5"/>
  <c r="N254" i="5"/>
  <c r="L254" i="5"/>
  <c r="I254" i="5"/>
  <c r="H254" i="5"/>
  <c r="F254" i="5"/>
  <c r="C254" i="5"/>
  <c r="AC253" i="5"/>
  <c r="AD253" i="5" s="1"/>
  <c r="AA253" i="5"/>
  <c r="X253" i="5"/>
  <c r="W253" i="5"/>
  <c r="U253" i="5"/>
  <c r="R253" i="5"/>
  <c r="N253" i="5"/>
  <c r="O253" i="5" s="1"/>
  <c r="L253" i="5"/>
  <c r="H253" i="5"/>
  <c r="I253" i="5" s="1"/>
  <c r="F253" i="5"/>
  <c r="C253" i="5"/>
  <c r="AD252" i="5"/>
  <c r="AC252" i="5"/>
  <c r="AA252" i="5"/>
  <c r="X252" i="5"/>
  <c r="W252" i="5"/>
  <c r="U252" i="5"/>
  <c r="R252" i="5"/>
  <c r="N252" i="5"/>
  <c r="O252" i="5" s="1"/>
  <c r="L252" i="5"/>
  <c r="H252" i="5"/>
  <c r="I252" i="5" s="1"/>
  <c r="F252" i="5"/>
  <c r="C252" i="5"/>
  <c r="AD251" i="5"/>
  <c r="AC251" i="5"/>
  <c r="AA251" i="5"/>
  <c r="W251" i="5"/>
  <c r="X251" i="5" s="1"/>
  <c r="U251" i="5"/>
  <c r="R251" i="5"/>
  <c r="O251" i="5"/>
  <c r="N251" i="5"/>
  <c r="L251" i="5"/>
  <c r="I251" i="5"/>
  <c r="H251" i="5"/>
  <c r="F251" i="5"/>
  <c r="C251" i="5"/>
  <c r="AC250" i="5"/>
  <c r="AD250" i="5" s="1"/>
  <c r="AA250" i="5"/>
  <c r="W250" i="5"/>
  <c r="X250" i="5" s="1"/>
  <c r="U250" i="5"/>
  <c r="R250" i="5"/>
  <c r="O250" i="5"/>
  <c r="N250" i="5"/>
  <c r="L250" i="5"/>
  <c r="I250" i="5"/>
  <c r="H250" i="5"/>
  <c r="F250" i="5"/>
  <c r="C250" i="5"/>
  <c r="AC249" i="5"/>
  <c r="AD249" i="5" s="1"/>
  <c r="AA249" i="5"/>
  <c r="X249" i="5"/>
  <c r="W249" i="5"/>
  <c r="U249" i="5"/>
  <c r="R249" i="5"/>
  <c r="N249" i="5"/>
  <c r="O249" i="5" s="1"/>
  <c r="L249" i="5"/>
  <c r="H249" i="5"/>
  <c r="I249" i="5" s="1"/>
  <c r="F249" i="5"/>
  <c r="C249" i="5"/>
  <c r="AD248" i="5"/>
  <c r="AC248" i="5"/>
  <c r="AA248" i="5"/>
  <c r="X248" i="5"/>
  <c r="W248" i="5"/>
  <c r="U248" i="5"/>
  <c r="R248" i="5"/>
  <c r="N248" i="5"/>
  <c r="O248" i="5" s="1"/>
  <c r="L248" i="5"/>
  <c r="H248" i="5"/>
  <c r="I248" i="5" s="1"/>
  <c r="F248" i="5"/>
  <c r="C248" i="5"/>
  <c r="AD247" i="5"/>
  <c r="AC247" i="5"/>
  <c r="AA247" i="5"/>
  <c r="W247" i="5"/>
  <c r="X247" i="5" s="1"/>
  <c r="U247" i="5"/>
  <c r="R247" i="5"/>
  <c r="O247" i="5"/>
  <c r="N247" i="5"/>
  <c r="L247" i="5"/>
  <c r="I247" i="5"/>
  <c r="H247" i="5"/>
  <c r="F247" i="5"/>
  <c r="C247" i="5"/>
  <c r="AC246" i="5"/>
  <c r="AD246" i="5" s="1"/>
  <c r="AA246" i="5"/>
  <c r="W246" i="5"/>
  <c r="X246" i="5" s="1"/>
  <c r="U246" i="5"/>
  <c r="R246" i="5"/>
  <c r="O246" i="5"/>
  <c r="N246" i="5"/>
  <c r="L246" i="5"/>
  <c r="I246" i="5"/>
  <c r="H246" i="5"/>
  <c r="F246" i="5"/>
  <c r="C246" i="5"/>
  <c r="AC245" i="5"/>
  <c r="AD245" i="5" s="1"/>
  <c r="AA245" i="5"/>
  <c r="X245" i="5"/>
  <c r="W245" i="5"/>
  <c r="U245" i="5"/>
  <c r="R245" i="5"/>
  <c r="N245" i="5"/>
  <c r="O245" i="5" s="1"/>
  <c r="L245" i="5"/>
  <c r="H245" i="5"/>
  <c r="I245" i="5" s="1"/>
  <c r="F245" i="5"/>
  <c r="C245" i="5"/>
  <c r="AD244" i="5"/>
  <c r="AC244" i="5"/>
  <c r="AA244" i="5"/>
  <c r="X244" i="5"/>
  <c r="W244" i="5"/>
  <c r="U244" i="5"/>
  <c r="R244" i="5"/>
  <c r="N244" i="5"/>
  <c r="O244" i="5" s="1"/>
  <c r="L244" i="5"/>
  <c r="H244" i="5"/>
  <c r="I244" i="5" s="1"/>
  <c r="F244" i="5"/>
  <c r="C244" i="5"/>
  <c r="AD243" i="5"/>
  <c r="AC243" i="5"/>
  <c r="AA243" i="5"/>
  <c r="W243" i="5"/>
  <c r="X243" i="5" s="1"/>
  <c r="U243" i="5"/>
  <c r="R243" i="5"/>
  <c r="O243" i="5"/>
  <c r="N243" i="5"/>
  <c r="L243" i="5"/>
  <c r="I243" i="5"/>
  <c r="H243" i="5"/>
  <c r="F243" i="5"/>
  <c r="C243" i="5"/>
  <c r="AC242" i="5"/>
  <c r="AD242" i="5" s="1"/>
  <c r="AA242" i="5"/>
  <c r="W242" i="5"/>
  <c r="X242" i="5" s="1"/>
  <c r="U242" i="5"/>
  <c r="R242" i="5"/>
  <c r="O242" i="5"/>
  <c r="N242" i="5"/>
  <c r="L242" i="5"/>
  <c r="I242" i="5"/>
  <c r="H242" i="5"/>
  <c r="F242" i="5"/>
  <c r="C242" i="5"/>
  <c r="AC241" i="5"/>
  <c r="AD241" i="5" s="1"/>
  <c r="AA241" i="5"/>
  <c r="X241" i="5"/>
  <c r="W241" i="5"/>
  <c r="U241" i="5"/>
  <c r="R241" i="5"/>
  <c r="N241" i="5"/>
  <c r="O241" i="5" s="1"/>
  <c r="L241" i="5"/>
  <c r="H241" i="5"/>
  <c r="I241" i="5" s="1"/>
  <c r="F241" i="5"/>
  <c r="C241" i="5"/>
  <c r="AD240" i="5"/>
  <c r="AC240" i="5"/>
  <c r="AA240" i="5"/>
  <c r="X240" i="5"/>
  <c r="W240" i="5"/>
  <c r="U240" i="5"/>
  <c r="R240" i="5"/>
  <c r="N240" i="5"/>
  <c r="O240" i="5" s="1"/>
  <c r="L240" i="5"/>
  <c r="H240" i="5"/>
  <c r="I240" i="5" s="1"/>
  <c r="F240" i="5"/>
  <c r="C240" i="5"/>
  <c r="AD238" i="5"/>
  <c r="AC238" i="5"/>
  <c r="AA238" i="5"/>
  <c r="W238" i="5"/>
  <c r="X238" i="5" s="1"/>
  <c r="U238" i="5"/>
  <c r="R238" i="5"/>
  <c r="O238" i="5"/>
  <c r="N238" i="5"/>
  <c r="L238" i="5"/>
  <c r="I238" i="5"/>
  <c r="H238" i="5"/>
  <c r="F238" i="5"/>
  <c r="C238" i="5"/>
  <c r="AA236" i="5"/>
  <c r="Z236" i="5"/>
  <c r="T236" i="5"/>
  <c r="U236" i="5" s="1"/>
  <c r="Q236" i="5"/>
  <c r="W236" i="5" s="1"/>
  <c r="X236" i="5" s="1"/>
  <c r="L236" i="5"/>
  <c r="K236" i="5"/>
  <c r="E236" i="5"/>
  <c r="H236" i="5" s="1"/>
  <c r="I236" i="5" s="1"/>
  <c r="C236" i="5"/>
  <c r="B236" i="5"/>
  <c r="N236" i="5" s="1"/>
  <c r="O236" i="5" s="1"/>
  <c r="AD235" i="5"/>
  <c r="AC235" i="5"/>
  <c r="AA235" i="5"/>
  <c r="X235" i="5"/>
  <c r="W235" i="5"/>
  <c r="U235" i="5"/>
  <c r="R235" i="5"/>
  <c r="N235" i="5"/>
  <c r="O235" i="5" s="1"/>
  <c r="L235" i="5"/>
  <c r="H235" i="5"/>
  <c r="I235" i="5" s="1"/>
  <c r="F235" i="5"/>
  <c r="C235" i="5"/>
  <c r="AD234" i="5"/>
  <c r="AC234" i="5"/>
  <c r="AA234" i="5"/>
  <c r="W234" i="5"/>
  <c r="X234" i="5" s="1"/>
  <c r="U234" i="5"/>
  <c r="R234" i="5"/>
  <c r="O234" i="5"/>
  <c r="N234" i="5"/>
  <c r="L234" i="5"/>
  <c r="I234" i="5"/>
  <c r="H234" i="5"/>
  <c r="F234" i="5"/>
  <c r="C234" i="5"/>
  <c r="AC233" i="5"/>
  <c r="AD233" i="5" s="1"/>
  <c r="AA233" i="5"/>
  <c r="W233" i="5"/>
  <c r="X233" i="5" s="1"/>
  <c r="U233" i="5"/>
  <c r="R233" i="5"/>
  <c r="O233" i="5"/>
  <c r="N233" i="5"/>
  <c r="L233" i="5"/>
  <c r="I233" i="5"/>
  <c r="H233" i="5"/>
  <c r="F233" i="5"/>
  <c r="C233" i="5"/>
  <c r="AC232" i="5"/>
  <c r="AD232" i="5" s="1"/>
  <c r="AA232" i="5"/>
  <c r="X232" i="5"/>
  <c r="W232" i="5"/>
  <c r="U232" i="5"/>
  <c r="R232" i="5"/>
  <c r="N232" i="5"/>
  <c r="O232" i="5" s="1"/>
  <c r="L232" i="5"/>
  <c r="H232" i="5"/>
  <c r="I232" i="5" s="1"/>
  <c r="F232" i="5"/>
  <c r="C232" i="5"/>
  <c r="AD231" i="5"/>
  <c r="AC231" i="5"/>
  <c r="AA231" i="5"/>
  <c r="X231" i="5"/>
  <c r="W231" i="5"/>
  <c r="U231" i="5"/>
  <c r="R231" i="5"/>
  <c r="N231" i="5"/>
  <c r="O231" i="5" s="1"/>
  <c r="L231" i="5"/>
  <c r="H231" i="5"/>
  <c r="I231" i="5" s="1"/>
  <c r="F231" i="5"/>
  <c r="C231" i="5"/>
  <c r="AD230" i="5"/>
  <c r="AC230" i="5"/>
  <c r="AA230" i="5"/>
  <c r="W230" i="5"/>
  <c r="X230" i="5" s="1"/>
  <c r="U230" i="5"/>
  <c r="R230" i="5"/>
  <c r="O230" i="5"/>
  <c r="N230" i="5"/>
  <c r="L230" i="5"/>
  <c r="I230" i="5"/>
  <c r="H230" i="5"/>
  <c r="F230" i="5"/>
  <c r="C230" i="5"/>
  <c r="AC229" i="5"/>
  <c r="AD229" i="5" s="1"/>
  <c r="AA229" i="5"/>
  <c r="W229" i="5"/>
  <c r="X229" i="5" s="1"/>
  <c r="U229" i="5"/>
  <c r="R229" i="5"/>
  <c r="O229" i="5"/>
  <c r="N229" i="5"/>
  <c r="L229" i="5"/>
  <c r="I229" i="5"/>
  <c r="H229" i="5"/>
  <c r="F229" i="5"/>
  <c r="C229" i="5"/>
  <c r="Z227" i="5"/>
  <c r="AA227" i="5" s="1"/>
  <c r="U227" i="5"/>
  <c r="T227" i="5"/>
  <c r="Q227" i="5"/>
  <c r="W227" i="5" s="1"/>
  <c r="X227" i="5" s="1"/>
  <c r="L227" i="5"/>
  <c r="K227" i="5"/>
  <c r="E227" i="5"/>
  <c r="F227" i="5" s="1"/>
  <c r="B227" i="5"/>
  <c r="H227" i="5" s="1"/>
  <c r="I227" i="5" s="1"/>
  <c r="AD226" i="5"/>
  <c r="AC226" i="5"/>
  <c r="AA226" i="5"/>
  <c r="W226" i="5"/>
  <c r="X226" i="5" s="1"/>
  <c r="U226" i="5"/>
  <c r="R226" i="5"/>
  <c r="O226" i="5"/>
  <c r="N226" i="5"/>
  <c r="L226" i="5"/>
  <c r="I226" i="5"/>
  <c r="H226" i="5"/>
  <c r="F226" i="5"/>
  <c r="C226" i="5"/>
  <c r="AC225" i="5"/>
  <c r="AD225" i="5" s="1"/>
  <c r="AA225" i="5"/>
  <c r="W225" i="5"/>
  <c r="X225" i="5" s="1"/>
  <c r="U225" i="5"/>
  <c r="R225" i="5"/>
  <c r="O225" i="5"/>
  <c r="N225" i="5"/>
  <c r="L225" i="5"/>
  <c r="I225" i="5"/>
  <c r="H225" i="5"/>
  <c r="F225" i="5"/>
  <c r="C225" i="5"/>
  <c r="AC224" i="5"/>
  <c r="AD224" i="5" s="1"/>
  <c r="AA224" i="5"/>
  <c r="X224" i="5"/>
  <c r="W224" i="5"/>
  <c r="U224" i="5"/>
  <c r="R224" i="5"/>
  <c r="N224" i="5"/>
  <c r="O224" i="5" s="1"/>
  <c r="L224" i="5"/>
  <c r="H224" i="5"/>
  <c r="I224" i="5" s="1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H223" i="5"/>
  <c r="I223" i="5" s="1"/>
  <c r="F223" i="5"/>
  <c r="C223" i="5"/>
  <c r="AD222" i="5"/>
  <c r="AC222" i="5"/>
  <c r="AA222" i="5"/>
  <c r="W222" i="5"/>
  <c r="X222" i="5" s="1"/>
  <c r="U222" i="5"/>
  <c r="R222" i="5"/>
  <c r="O222" i="5"/>
  <c r="N222" i="5"/>
  <c r="L222" i="5"/>
  <c r="I222" i="5"/>
  <c r="H222" i="5"/>
  <c r="F222" i="5"/>
  <c r="C222" i="5"/>
  <c r="AC221" i="5"/>
  <c r="AD221" i="5" s="1"/>
  <c r="AA221" i="5"/>
  <c r="W221" i="5"/>
  <c r="X221" i="5" s="1"/>
  <c r="U221" i="5"/>
  <c r="R221" i="5"/>
  <c r="O221" i="5"/>
  <c r="N221" i="5"/>
  <c r="L221" i="5"/>
  <c r="I221" i="5"/>
  <c r="H221" i="5"/>
  <c r="F221" i="5"/>
  <c r="C221" i="5"/>
  <c r="AC220" i="5"/>
  <c r="AD220" i="5" s="1"/>
  <c r="AA220" i="5"/>
  <c r="X220" i="5"/>
  <c r="W220" i="5"/>
  <c r="U220" i="5"/>
  <c r="R220" i="5"/>
  <c r="N220" i="5"/>
  <c r="O220" i="5" s="1"/>
  <c r="L220" i="5"/>
  <c r="H220" i="5"/>
  <c r="I220" i="5" s="1"/>
  <c r="F220" i="5"/>
  <c r="C220" i="5"/>
  <c r="AD219" i="5"/>
  <c r="AC219" i="5"/>
  <c r="AA219" i="5"/>
  <c r="W219" i="5"/>
  <c r="X219" i="5" s="1"/>
  <c r="U219" i="5"/>
  <c r="R219" i="5"/>
  <c r="N219" i="5"/>
  <c r="O219" i="5" s="1"/>
  <c r="L219" i="5"/>
  <c r="H219" i="5"/>
  <c r="I219" i="5" s="1"/>
  <c r="F219" i="5"/>
  <c r="C219" i="5"/>
  <c r="AA218" i="5"/>
  <c r="Z218" i="5"/>
  <c r="T218" i="5"/>
  <c r="U218" i="5" s="1"/>
  <c r="R218" i="5"/>
  <c r="Q218" i="5"/>
  <c r="AC218" i="5" s="1"/>
  <c r="AD218" i="5" s="1"/>
  <c r="L218" i="5"/>
  <c r="K218" i="5"/>
  <c r="I218" i="5"/>
  <c r="H218" i="5"/>
  <c r="F218" i="5"/>
  <c r="E218" i="5"/>
  <c r="C218" i="5"/>
  <c r="B218" i="5"/>
  <c r="N218" i="5" s="1"/>
  <c r="O218" i="5" s="1"/>
  <c r="AD217" i="5"/>
  <c r="AC217" i="5"/>
  <c r="AA217" i="5"/>
  <c r="X217" i="5"/>
  <c r="W217" i="5"/>
  <c r="U217" i="5"/>
  <c r="R217" i="5"/>
  <c r="N217" i="5"/>
  <c r="O217" i="5" s="1"/>
  <c r="L217" i="5"/>
  <c r="I217" i="5"/>
  <c r="H217" i="5"/>
  <c r="F217" i="5"/>
  <c r="C217" i="5"/>
  <c r="AD216" i="5"/>
  <c r="AC216" i="5"/>
  <c r="AA216" i="5"/>
  <c r="X216" i="5"/>
  <c r="W216" i="5"/>
  <c r="U216" i="5"/>
  <c r="R216" i="5"/>
  <c r="N216" i="5"/>
  <c r="O216" i="5" s="1"/>
  <c r="L216" i="5"/>
  <c r="H216" i="5"/>
  <c r="I216" i="5" s="1"/>
  <c r="F216" i="5"/>
  <c r="C216" i="5"/>
  <c r="AD215" i="5"/>
  <c r="AC215" i="5"/>
  <c r="AA215" i="5"/>
  <c r="W215" i="5"/>
  <c r="X215" i="5" s="1"/>
  <c r="U215" i="5"/>
  <c r="R215" i="5"/>
  <c r="O215" i="5"/>
  <c r="N215" i="5"/>
  <c r="L215" i="5"/>
  <c r="I215" i="5"/>
  <c r="H215" i="5"/>
  <c r="F215" i="5"/>
  <c r="C215" i="5"/>
  <c r="AD214" i="5"/>
  <c r="AC214" i="5"/>
  <c r="AA214" i="5"/>
  <c r="W214" i="5"/>
  <c r="X214" i="5" s="1"/>
  <c r="U214" i="5"/>
  <c r="R214" i="5"/>
  <c r="O214" i="5"/>
  <c r="N214" i="5"/>
  <c r="L214" i="5"/>
  <c r="I214" i="5"/>
  <c r="H214" i="5"/>
  <c r="F214" i="5"/>
  <c r="C214" i="5"/>
  <c r="AC213" i="5"/>
  <c r="AD213" i="5" s="1"/>
  <c r="AA213" i="5"/>
  <c r="X213" i="5"/>
  <c r="W213" i="5"/>
  <c r="U213" i="5"/>
  <c r="R213" i="5"/>
  <c r="N213" i="5"/>
  <c r="O213" i="5" s="1"/>
  <c r="L213" i="5"/>
  <c r="I213" i="5"/>
  <c r="H213" i="5"/>
  <c r="F213" i="5"/>
  <c r="C213" i="5"/>
  <c r="AD211" i="5"/>
  <c r="AC211" i="5"/>
  <c r="AA211" i="5"/>
  <c r="W211" i="5"/>
  <c r="X211" i="5" s="1"/>
  <c r="U211" i="5"/>
  <c r="R211" i="5"/>
  <c r="N211" i="5"/>
  <c r="O211" i="5" s="1"/>
  <c r="L211" i="5"/>
  <c r="I211" i="5"/>
  <c r="H211" i="5"/>
  <c r="F211" i="5"/>
  <c r="C211" i="5"/>
  <c r="AA209" i="5"/>
  <c r="Z209" i="5"/>
  <c r="X209" i="5"/>
  <c r="W209" i="5"/>
  <c r="U209" i="5"/>
  <c r="T209" i="5"/>
  <c r="R209" i="5"/>
  <c r="Q209" i="5"/>
  <c r="AC209" i="5" s="1"/>
  <c r="AD209" i="5" s="1"/>
  <c r="K209" i="5"/>
  <c r="L209" i="5" s="1"/>
  <c r="I209" i="5"/>
  <c r="H209" i="5"/>
  <c r="F209" i="5"/>
  <c r="E209" i="5"/>
  <c r="C209" i="5"/>
  <c r="B209" i="5"/>
  <c r="N209" i="5" s="1"/>
  <c r="O209" i="5" s="1"/>
  <c r="AC208" i="5"/>
  <c r="AD208" i="5" s="1"/>
  <c r="AA208" i="5"/>
  <c r="X208" i="5"/>
  <c r="W208" i="5"/>
  <c r="U208" i="5"/>
  <c r="R208" i="5"/>
  <c r="N208" i="5"/>
  <c r="O208" i="5" s="1"/>
  <c r="L208" i="5"/>
  <c r="I208" i="5"/>
  <c r="H208" i="5"/>
  <c r="F208" i="5"/>
  <c r="C208" i="5"/>
  <c r="AD207" i="5"/>
  <c r="AC207" i="5"/>
  <c r="AA207" i="5"/>
  <c r="W207" i="5"/>
  <c r="X207" i="5" s="1"/>
  <c r="U207" i="5"/>
  <c r="R207" i="5"/>
  <c r="N207" i="5"/>
  <c r="O207" i="5" s="1"/>
  <c r="L207" i="5"/>
  <c r="H207" i="5"/>
  <c r="I207" i="5" s="1"/>
  <c r="F207" i="5"/>
  <c r="C207" i="5"/>
  <c r="AD206" i="5"/>
  <c r="AC206" i="5"/>
  <c r="AA206" i="5"/>
  <c r="W206" i="5"/>
  <c r="X206" i="5" s="1"/>
  <c r="U206" i="5"/>
  <c r="R206" i="5"/>
  <c r="O206" i="5"/>
  <c r="N206" i="5"/>
  <c r="L206" i="5"/>
  <c r="I206" i="5"/>
  <c r="H206" i="5"/>
  <c r="F206" i="5"/>
  <c r="C206" i="5"/>
  <c r="AD205" i="5"/>
  <c r="AC205" i="5"/>
  <c r="AA205" i="5"/>
  <c r="W205" i="5"/>
  <c r="X205" i="5" s="1"/>
  <c r="U205" i="5"/>
  <c r="R205" i="5"/>
  <c r="N205" i="5"/>
  <c r="O205" i="5" s="1"/>
  <c r="L205" i="5"/>
  <c r="I205" i="5"/>
  <c r="H205" i="5"/>
  <c r="F205" i="5"/>
  <c r="C205" i="5"/>
  <c r="AD204" i="5"/>
  <c r="AC204" i="5"/>
  <c r="AA204" i="5"/>
  <c r="X204" i="5"/>
  <c r="W204" i="5"/>
  <c r="U204" i="5"/>
  <c r="R204" i="5"/>
  <c r="N204" i="5"/>
  <c r="O204" i="5" s="1"/>
  <c r="L204" i="5"/>
  <c r="H204" i="5"/>
  <c r="I204" i="5" s="1"/>
  <c r="F204" i="5"/>
  <c r="C204" i="5"/>
  <c r="AD203" i="5"/>
  <c r="AC203" i="5"/>
  <c r="AA203" i="5"/>
  <c r="X203" i="5"/>
  <c r="W203" i="5"/>
  <c r="U203" i="5"/>
  <c r="R203" i="5"/>
  <c r="N203" i="5"/>
  <c r="O203" i="5" s="1"/>
  <c r="L203" i="5"/>
  <c r="H203" i="5"/>
  <c r="I203" i="5" s="1"/>
  <c r="F203" i="5"/>
  <c r="C203" i="5"/>
  <c r="AD202" i="5"/>
  <c r="AC202" i="5"/>
  <c r="AA202" i="5"/>
  <c r="W202" i="5"/>
  <c r="X202" i="5" s="1"/>
  <c r="U202" i="5"/>
  <c r="R202" i="5"/>
  <c r="O202" i="5"/>
  <c r="N202" i="5"/>
  <c r="L202" i="5"/>
  <c r="I202" i="5"/>
  <c r="H202" i="5"/>
  <c r="F202" i="5"/>
  <c r="C202" i="5"/>
  <c r="AD201" i="5"/>
  <c r="AC201" i="5"/>
  <c r="AA201" i="5"/>
  <c r="W201" i="5"/>
  <c r="X201" i="5" s="1"/>
  <c r="U201" i="5"/>
  <c r="R201" i="5"/>
  <c r="N201" i="5"/>
  <c r="O201" i="5" s="1"/>
  <c r="L201" i="5"/>
  <c r="I201" i="5"/>
  <c r="H201" i="5"/>
  <c r="F201" i="5"/>
  <c r="C201" i="5"/>
  <c r="AA197" i="5"/>
  <c r="Z197" i="5"/>
  <c r="W197" i="5"/>
  <c r="X197" i="5" s="1"/>
  <c r="T197" i="5"/>
  <c r="U197" i="5" s="1"/>
  <c r="R197" i="5"/>
  <c r="Q197" i="5"/>
  <c r="AC197" i="5" s="1"/>
  <c r="AD197" i="5" s="1"/>
  <c r="L197" i="5"/>
  <c r="K197" i="5"/>
  <c r="H197" i="5"/>
  <c r="I197" i="5" s="1"/>
  <c r="F197" i="5"/>
  <c r="E197" i="5"/>
  <c r="C197" i="5"/>
  <c r="B197" i="5"/>
  <c r="N197" i="5" s="1"/>
  <c r="O197" i="5" s="1"/>
  <c r="Z196" i="5"/>
  <c r="AA196" i="5" s="1"/>
  <c r="U196" i="5"/>
  <c r="T196" i="5"/>
  <c r="Q196" i="5"/>
  <c r="W196" i="5" s="1"/>
  <c r="X196" i="5" s="1"/>
  <c r="L196" i="5"/>
  <c r="K196" i="5"/>
  <c r="E196" i="5"/>
  <c r="F196" i="5" s="1"/>
  <c r="B196" i="5"/>
  <c r="H196" i="5" s="1"/>
  <c r="I196" i="5" s="1"/>
  <c r="AD195" i="5"/>
  <c r="AC195" i="5"/>
  <c r="AA195" i="5"/>
  <c r="W195" i="5"/>
  <c r="X195" i="5" s="1"/>
  <c r="U195" i="5"/>
  <c r="R195" i="5"/>
  <c r="O195" i="5"/>
  <c r="N195" i="5"/>
  <c r="L195" i="5"/>
  <c r="I195" i="5"/>
  <c r="H195" i="5"/>
  <c r="F195" i="5"/>
  <c r="C195" i="5"/>
  <c r="AD194" i="5"/>
  <c r="AC194" i="5"/>
  <c r="AA194" i="5"/>
  <c r="W194" i="5"/>
  <c r="X194" i="5" s="1"/>
  <c r="U194" i="5"/>
  <c r="R194" i="5"/>
  <c r="O194" i="5"/>
  <c r="N194" i="5"/>
  <c r="L194" i="5"/>
  <c r="I194" i="5"/>
  <c r="H194" i="5"/>
  <c r="F194" i="5"/>
  <c r="C194" i="5"/>
  <c r="AC193" i="5"/>
  <c r="AD193" i="5" s="1"/>
  <c r="Z193" i="5"/>
  <c r="AA193" i="5" s="1"/>
  <c r="U193" i="5"/>
  <c r="T193" i="5"/>
  <c r="R193" i="5"/>
  <c r="Q193" i="5"/>
  <c r="W193" i="5" s="1"/>
  <c r="X193" i="5" s="1"/>
  <c r="N193" i="5"/>
  <c r="O193" i="5" s="1"/>
  <c r="L193" i="5"/>
  <c r="K193" i="5"/>
  <c r="E193" i="5"/>
  <c r="F193" i="5" s="1"/>
  <c r="C193" i="5"/>
  <c r="B193" i="5"/>
  <c r="AD192" i="5"/>
  <c r="AC192" i="5"/>
  <c r="AA192" i="5"/>
  <c r="W192" i="5"/>
  <c r="X192" i="5" s="1"/>
  <c r="U192" i="5"/>
  <c r="R192" i="5"/>
  <c r="O192" i="5"/>
  <c r="N192" i="5"/>
  <c r="L192" i="5"/>
  <c r="I192" i="5"/>
  <c r="H192" i="5"/>
  <c r="F192" i="5"/>
  <c r="C192" i="5"/>
  <c r="AD191" i="5"/>
  <c r="AC191" i="5"/>
  <c r="AA191" i="5"/>
  <c r="W191" i="5"/>
  <c r="X191" i="5" s="1"/>
  <c r="U191" i="5"/>
  <c r="R191" i="5"/>
  <c r="O191" i="5"/>
  <c r="N191" i="5"/>
  <c r="L191" i="5"/>
  <c r="I191" i="5"/>
  <c r="H191" i="5"/>
  <c r="F191" i="5"/>
  <c r="C191" i="5"/>
  <c r="AC190" i="5"/>
  <c r="AD190" i="5" s="1"/>
  <c r="AA190" i="5"/>
  <c r="X190" i="5"/>
  <c r="W190" i="5"/>
  <c r="U190" i="5"/>
  <c r="R190" i="5"/>
  <c r="N190" i="5"/>
  <c r="O190" i="5" s="1"/>
  <c r="L190" i="5"/>
  <c r="I190" i="5"/>
  <c r="H190" i="5"/>
  <c r="F190" i="5"/>
  <c r="C190" i="5"/>
  <c r="AD189" i="5"/>
  <c r="AC189" i="5"/>
  <c r="AA189" i="5"/>
  <c r="W189" i="5"/>
  <c r="X189" i="5" s="1"/>
  <c r="U189" i="5"/>
  <c r="R189" i="5"/>
  <c r="N189" i="5"/>
  <c r="O189" i="5" s="1"/>
  <c r="L189" i="5"/>
  <c r="H189" i="5"/>
  <c r="I189" i="5" s="1"/>
  <c r="F189" i="5"/>
  <c r="C189" i="5"/>
  <c r="AD188" i="5"/>
  <c r="AC188" i="5"/>
  <c r="AA188" i="5"/>
  <c r="W188" i="5"/>
  <c r="X188" i="5" s="1"/>
  <c r="U188" i="5"/>
  <c r="R188" i="5"/>
  <c r="O188" i="5"/>
  <c r="N188" i="5"/>
  <c r="L188" i="5"/>
  <c r="I188" i="5"/>
  <c r="H188" i="5"/>
  <c r="F188" i="5"/>
  <c r="C188" i="5"/>
  <c r="AC187" i="5"/>
  <c r="AD187" i="5" s="1"/>
  <c r="AA187" i="5"/>
  <c r="W187" i="5"/>
  <c r="X187" i="5" s="1"/>
  <c r="U187" i="5"/>
  <c r="R187" i="5"/>
  <c r="N187" i="5"/>
  <c r="O187" i="5" s="1"/>
  <c r="L187" i="5"/>
  <c r="I187" i="5"/>
  <c r="H187" i="5"/>
  <c r="F187" i="5"/>
  <c r="C187" i="5"/>
  <c r="AD186" i="5"/>
  <c r="AC186" i="5"/>
  <c r="AA186" i="5"/>
  <c r="X186" i="5"/>
  <c r="W186" i="5"/>
  <c r="U186" i="5"/>
  <c r="R186" i="5"/>
  <c r="N186" i="5"/>
  <c r="O186" i="5" s="1"/>
  <c r="L186" i="5"/>
  <c r="H186" i="5"/>
  <c r="I186" i="5" s="1"/>
  <c r="F186" i="5"/>
  <c r="C186" i="5"/>
  <c r="AD184" i="5"/>
  <c r="AC184" i="5"/>
  <c r="AA184" i="5"/>
  <c r="X184" i="5"/>
  <c r="W184" i="5"/>
  <c r="U184" i="5"/>
  <c r="R184" i="5"/>
  <c r="N184" i="5"/>
  <c r="O184" i="5" s="1"/>
  <c r="L184" i="5"/>
  <c r="H184" i="5"/>
  <c r="I184" i="5" s="1"/>
  <c r="F184" i="5"/>
  <c r="C184" i="5"/>
  <c r="AD183" i="5"/>
  <c r="AC183" i="5"/>
  <c r="AA183" i="5"/>
  <c r="W183" i="5"/>
  <c r="X183" i="5" s="1"/>
  <c r="U183" i="5"/>
  <c r="R183" i="5"/>
  <c r="O183" i="5"/>
  <c r="N183" i="5"/>
  <c r="L183" i="5"/>
  <c r="I183" i="5"/>
  <c r="H183" i="5"/>
  <c r="F183" i="5"/>
  <c r="C183" i="5"/>
  <c r="AA182" i="5"/>
  <c r="Z182" i="5"/>
  <c r="T182" i="5"/>
  <c r="U182" i="5" s="1"/>
  <c r="R182" i="5"/>
  <c r="Q182" i="5"/>
  <c r="AC182" i="5" s="1"/>
  <c r="AD182" i="5" s="1"/>
  <c r="L182" i="5"/>
  <c r="K182" i="5"/>
  <c r="E182" i="5"/>
  <c r="H182" i="5" s="1"/>
  <c r="I182" i="5" s="1"/>
  <c r="C182" i="5"/>
  <c r="B182" i="5"/>
  <c r="N182" i="5" s="1"/>
  <c r="O182" i="5" s="1"/>
  <c r="AD181" i="5"/>
  <c r="AC181" i="5"/>
  <c r="AA181" i="5"/>
  <c r="W181" i="5"/>
  <c r="X181" i="5" s="1"/>
  <c r="U181" i="5"/>
  <c r="R181" i="5"/>
  <c r="N181" i="5"/>
  <c r="O181" i="5" s="1"/>
  <c r="L181" i="5"/>
  <c r="H181" i="5"/>
  <c r="I181" i="5" s="1"/>
  <c r="F181" i="5"/>
  <c r="C181" i="5"/>
  <c r="AD180" i="5"/>
  <c r="AC180" i="5"/>
  <c r="AA180" i="5"/>
  <c r="W180" i="5"/>
  <c r="X180" i="5" s="1"/>
  <c r="U180" i="5"/>
  <c r="R180" i="5"/>
  <c r="O180" i="5"/>
  <c r="N180" i="5"/>
  <c r="L180" i="5"/>
  <c r="I180" i="5"/>
  <c r="H180" i="5"/>
  <c r="F180" i="5"/>
  <c r="C180" i="5"/>
  <c r="AD179" i="5"/>
  <c r="AC179" i="5"/>
  <c r="AA179" i="5"/>
  <c r="W179" i="5"/>
  <c r="X179" i="5" s="1"/>
  <c r="U179" i="5"/>
  <c r="R179" i="5"/>
  <c r="O179" i="5"/>
  <c r="N179" i="5"/>
  <c r="L179" i="5"/>
  <c r="I179" i="5"/>
  <c r="H179" i="5"/>
  <c r="F179" i="5"/>
  <c r="C179" i="5"/>
  <c r="AC178" i="5"/>
  <c r="AD178" i="5" s="1"/>
  <c r="AA178" i="5"/>
  <c r="X178" i="5"/>
  <c r="W178" i="5"/>
  <c r="U178" i="5"/>
  <c r="R178" i="5"/>
  <c r="N178" i="5"/>
  <c r="O178" i="5" s="1"/>
  <c r="L178" i="5"/>
  <c r="I178" i="5"/>
  <c r="H178" i="5"/>
  <c r="F178" i="5"/>
  <c r="C178" i="5"/>
  <c r="AD177" i="5"/>
  <c r="AC177" i="5"/>
  <c r="AA177" i="5"/>
  <c r="W177" i="5"/>
  <c r="X177" i="5" s="1"/>
  <c r="U177" i="5"/>
  <c r="R177" i="5"/>
  <c r="N177" i="5"/>
  <c r="O177" i="5" s="1"/>
  <c r="L177" i="5"/>
  <c r="I177" i="5"/>
  <c r="H177" i="5"/>
  <c r="F177" i="5"/>
  <c r="C177" i="5"/>
  <c r="AD175" i="5"/>
  <c r="AC175" i="5"/>
  <c r="AA175" i="5"/>
  <c r="W175" i="5"/>
  <c r="X175" i="5" s="1"/>
  <c r="U175" i="5"/>
  <c r="R175" i="5"/>
  <c r="O175" i="5"/>
  <c r="N175" i="5"/>
  <c r="L175" i="5"/>
  <c r="I175" i="5"/>
  <c r="H175" i="5"/>
  <c r="F175" i="5"/>
  <c r="C175" i="5"/>
  <c r="U172" i="5"/>
  <c r="T172" i="5"/>
  <c r="T198" i="5" s="1"/>
  <c r="AA171" i="5"/>
  <c r="Z171" i="5"/>
  <c r="X171" i="5"/>
  <c r="W171" i="5"/>
  <c r="U171" i="5"/>
  <c r="T171" i="5"/>
  <c r="R171" i="5"/>
  <c r="Q171" i="5"/>
  <c r="L171" i="5"/>
  <c r="K171" i="5"/>
  <c r="F171" i="5"/>
  <c r="E171" i="5"/>
  <c r="B171" i="5"/>
  <c r="H171" i="5" s="1"/>
  <c r="I171" i="5" s="1"/>
  <c r="AA170" i="5"/>
  <c r="Z170" i="5"/>
  <c r="T170" i="5"/>
  <c r="U170" i="5" s="1"/>
  <c r="Q170" i="5"/>
  <c r="AC170" i="5" s="1"/>
  <c r="AD170" i="5" s="1"/>
  <c r="L170" i="5"/>
  <c r="K170" i="5"/>
  <c r="I170" i="5"/>
  <c r="E170" i="5"/>
  <c r="H170" i="5" s="1"/>
  <c r="C170" i="5"/>
  <c r="B170" i="5"/>
  <c r="N170" i="5" s="1"/>
  <c r="O170" i="5" s="1"/>
  <c r="AD169" i="5"/>
  <c r="AC169" i="5"/>
  <c r="AA169" i="5"/>
  <c r="X169" i="5"/>
  <c r="W169" i="5"/>
  <c r="U169" i="5"/>
  <c r="R169" i="5"/>
  <c r="N169" i="5"/>
  <c r="O169" i="5" s="1"/>
  <c r="L169" i="5"/>
  <c r="H169" i="5"/>
  <c r="I169" i="5" s="1"/>
  <c r="F169" i="5"/>
  <c r="C169" i="5"/>
  <c r="AD168" i="5"/>
  <c r="AC168" i="5"/>
  <c r="AA168" i="5"/>
  <c r="W168" i="5"/>
  <c r="X168" i="5" s="1"/>
  <c r="U168" i="5"/>
  <c r="R168" i="5"/>
  <c r="O168" i="5"/>
  <c r="N168" i="5"/>
  <c r="L168" i="5"/>
  <c r="I168" i="5"/>
  <c r="H168" i="5"/>
  <c r="F168" i="5"/>
  <c r="C168" i="5"/>
  <c r="AD167" i="5"/>
  <c r="AC167" i="5"/>
  <c r="AA167" i="5"/>
  <c r="W167" i="5"/>
  <c r="X167" i="5" s="1"/>
  <c r="U167" i="5"/>
  <c r="R167" i="5"/>
  <c r="O167" i="5"/>
  <c r="N167" i="5"/>
  <c r="L167" i="5"/>
  <c r="I167" i="5"/>
  <c r="H167" i="5"/>
  <c r="F167" i="5"/>
  <c r="C167" i="5"/>
  <c r="Z166" i="5"/>
  <c r="U166" i="5"/>
  <c r="T166" i="5"/>
  <c r="R166" i="5"/>
  <c r="Q166" i="5"/>
  <c r="W166" i="5" s="1"/>
  <c r="X166" i="5" s="1"/>
  <c r="O166" i="5"/>
  <c r="N166" i="5"/>
  <c r="L166" i="5"/>
  <c r="K166" i="5"/>
  <c r="F166" i="5"/>
  <c r="E166" i="5"/>
  <c r="C166" i="5"/>
  <c r="B166" i="5"/>
  <c r="AD165" i="5"/>
  <c r="AC165" i="5"/>
  <c r="AA165" i="5"/>
  <c r="W165" i="5"/>
  <c r="X165" i="5" s="1"/>
  <c r="U165" i="5"/>
  <c r="R165" i="5"/>
  <c r="O165" i="5"/>
  <c r="N165" i="5"/>
  <c r="L165" i="5"/>
  <c r="I165" i="5"/>
  <c r="H165" i="5"/>
  <c r="F165" i="5"/>
  <c r="C165" i="5"/>
  <c r="AC164" i="5"/>
  <c r="AD164" i="5" s="1"/>
  <c r="AA164" i="5"/>
  <c r="W164" i="5"/>
  <c r="X164" i="5" s="1"/>
  <c r="U164" i="5"/>
  <c r="R164" i="5"/>
  <c r="O164" i="5"/>
  <c r="N164" i="5"/>
  <c r="L164" i="5"/>
  <c r="I164" i="5"/>
  <c r="H164" i="5"/>
  <c r="F164" i="5"/>
  <c r="C164" i="5"/>
  <c r="AC163" i="5"/>
  <c r="AD163" i="5" s="1"/>
  <c r="AA163" i="5"/>
  <c r="X163" i="5"/>
  <c r="W163" i="5"/>
  <c r="U163" i="5"/>
  <c r="R163" i="5"/>
  <c r="N163" i="5"/>
  <c r="O163" i="5" s="1"/>
  <c r="L163" i="5"/>
  <c r="I163" i="5"/>
  <c r="H163" i="5"/>
  <c r="F163" i="5"/>
  <c r="C163" i="5"/>
  <c r="AD162" i="5"/>
  <c r="AC162" i="5"/>
  <c r="AA162" i="5"/>
  <c r="W162" i="5"/>
  <c r="X162" i="5" s="1"/>
  <c r="U162" i="5"/>
  <c r="R162" i="5"/>
  <c r="N162" i="5"/>
  <c r="O162" i="5" s="1"/>
  <c r="L162" i="5"/>
  <c r="H162" i="5"/>
  <c r="I162" i="5" s="1"/>
  <c r="F162" i="5"/>
  <c r="C162" i="5"/>
  <c r="AD161" i="5"/>
  <c r="AC161" i="5"/>
  <c r="AA161" i="5"/>
  <c r="W161" i="5"/>
  <c r="X161" i="5" s="1"/>
  <c r="U161" i="5"/>
  <c r="R161" i="5"/>
  <c r="O161" i="5"/>
  <c r="N161" i="5"/>
  <c r="L161" i="5"/>
  <c r="I161" i="5"/>
  <c r="H161" i="5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Z158" i="5"/>
  <c r="AA158" i="5" s="1"/>
  <c r="U158" i="5"/>
  <c r="T158" i="5"/>
  <c r="R158" i="5"/>
  <c r="Q158" i="5"/>
  <c r="W158" i="5" s="1"/>
  <c r="X158" i="5" s="1"/>
  <c r="L158" i="5"/>
  <c r="K158" i="5"/>
  <c r="E158" i="5"/>
  <c r="F158" i="5" s="1"/>
  <c r="C158" i="5"/>
  <c r="B158" i="5"/>
  <c r="N158" i="5" s="1"/>
  <c r="O158" i="5" s="1"/>
  <c r="AD157" i="5"/>
  <c r="AC157" i="5"/>
  <c r="AA157" i="5"/>
  <c r="W157" i="5"/>
  <c r="X157" i="5" s="1"/>
  <c r="U157" i="5"/>
  <c r="R157" i="5"/>
  <c r="O157" i="5"/>
  <c r="N157" i="5"/>
  <c r="L157" i="5"/>
  <c r="I157" i="5"/>
  <c r="H157" i="5"/>
  <c r="F157" i="5"/>
  <c r="C157" i="5"/>
  <c r="AD156" i="5"/>
  <c r="AC156" i="5"/>
  <c r="AA156" i="5"/>
  <c r="W156" i="5"/>
  <c r="X156" i="5" s="1"/>
  <c r="U156" i="5"/>
  <c r="R156" i="5"/>
  <c r="O156" i="5"/>
  <c r="N156" i="5"/>
  <c r="L156" i="5"/>
  <c r="I156" i="5"/>
  <c r="H156" i="5"/>
  <c r="F156" i="5"/>
  <c r="C156" i="5"/>
  <c r="AC155" i="5"/>
  <c r="AD155" i="5" s="1"/>
  <c r="AA155" i="5"/>
  <c r="X155" i="5"/>
  <c r="W155" i="5"/>
  <c r="U155" i="5"/>
  <c r="R155" i="5"/>
  <c r="N155" i="5"/>
  <c r="O155" i="5" s="1"/>
  <c r="L155" i="5"/>
  <c r="I155" i="5"/>
  <c r="H155" i="5"/>
  <c r="F155" i="5"/>
  <c r="C155" i="5"/>
  <c r="AD154" i="5"/>
  <c r="AC154" i="5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D153" i="5"/>
  <c r="AC153" i="5"/>
  <c r="AA153" i="5"/>
  <c r="W153" i="5"/>
  <c r="X153" i="5" s="1"/>
  <c r="U153" i="5"/>
  <c r="R153" i="5"/>
  <c r="O153" i="5"/>
  <c r="N153" i="5"/>
  <c r="L153" i="5"/>
  <c r="I153" i="5"/>
  <c r="H153" i="5"/>
  <c r="F153" i="5"/>
  <c r="C153" i="5"/>
  <c r="AC151" i="5"/>
  <c r="AD151" i="5" s="1"/>
  <c r="AA151" i="5"/>
  <c r="W151" i="5"/>
  <c r="X151" i="5" s="1"/>
  <c r="U151" i="5"/>
  <c r="R151" i="5"/>
  <c r="N151" i="5"/>
  <c r="O151" i="5" s="1"/>
  <c r="L151" i="5"/>
  <c r="I151" i="5"/>
  <c r="H151" i="5"/>
  <c r="F151" i="5"/>
  <c r="C151" i="5"/>
  <c r="AA149" i="5"/>
  <c r="Z149" i="5"/>
  <c r="U149" i="5"/>
  <c r="T149" i="5"/>
  <c r="Q149" i="5"/>
  <c r="L149" i="5"/>
  <c r="K149" i="5"/>
  <c r="E149" i="5"/>
  <c r="F149" i="5" s="1"/>
  <c r="B149" i="5"/>
  <c r="AA148" i="5"/>
  <c r="Z148" i="5"/>
  <c r="T148" i="5"/>
  <c r="W148" i="5" s="1"/>
  <c r="X148" i="5" s="1"/>
  <c r="R148" i="5"/>
  <c r="Q148" i="5"/>
  <c r="AC148" i="5" s="1"/>
  <c r="AD148" i="5" s="1"/>
  <c r="L148" i="5"/>
  <c r="K148" i="5"/>
  <c r="I148" i="5"/>
  <c r="H148" i="5"/>
  <c r="F148" i="5"/>
  <c r="E148" i="5"/>
  <c r="C148" i="5"/>
  <c r="B148" i="5"/>
  <c r="N148" i="5" s="1"/>
  <c r="O148" i="5" s="1"/>
  <c r="AD147" i="5"/>
  <c r="AC147" i="5"/>
  <c r="AA147" i="5"/>
  <c r="X147" i="5"/>
  <c r="W147" i="5"/>
  <c r="U147" i="5"/>
  <c r="R147" i="5"/>
  <c r="N147" i="5"/>
  <c r="O147" i="5" s="1"/>
  <c r="L147" i="5"/>
  <c r="H147" i="5"/>
  <c r="I147" i="5" s="1"/>
  <c r="F147" i="5"/>
  <c r="C147" i="5"/>
  <c r="AD146" i="5"/>
  <c r="AC146" i="5"/>
  <c r="AA146" i="5"/>
  <c r="X146" i="5"/>
  <c r="W146" i="5"/>
  <c r="U146" i="5"/>
  <c r="R146" i="5"/>
  <c r="N146" i="5"/>
  <c r="O146" i="5" s="1"/>
  <c r="L146" i="5"/>
  <c r="H146" i="5"/>
  <c r="I146" i="5" s="1"/>
  <c r="F146" i="5"/>
  <c r="C146" i="5"/>
  <c r="AD145" i="5"/>
  <c r="AC145" i="5"/>
  <c r="AA145" i="5"/>
  <c r="W145" i="5"/>
  <c r="X145" i="5" s="1"/>
  <c r="U145" i="5"/>
  <c r="R145" i="5"/>
  <c r="O145" i="5"/>
  <c r="N145" i="5"/>
  <c r="L145" i="5"/>
  <c r="I145" i="5"/>
  <c r="H145" i="5"/>
  <c r="F145" i="5"/>
  <c r="C145" i="5"/>
  <c r="AD144" i="5"/>
  <c r="AC144" i="5"/>
  <c r="AA144" i="5"/>
  <c r="W144" i="5"/>
  <c r="X144" i="5" s="1"/>
  <c r="U144" i="5"/>
  <c r="R144" i="5"/>
  <c r="O144" i="5"/>
  <c r="N144" i="5"/>
  <c r="L144" i="5"/>
  <c r="I144" i="5"/>
  <c r="H144" i="5"/>
  <c r="F144" i="5"/>
  <c r="C144" i="5"/>
  <c r="AC143" i="5"/>
  <c r="AD143" i="5" s="1"/>
  <c r="AA143" i="5"/>
  <c r="X143" i="5"/>
  <c r="W143" i="5"/>
  <c r="U143" i="5"/>
  <c r="R143" i="5"/>
  <c r="N143" i="5"/>
  <c r="O143" i="5" s="1"/>
  <c r="L143" i="5"/>
  <c r="I143" i="5"/>
  <c r="H143" i="5"/>
  <c r="F143" i="5"/>
  <c r="C143" i="5"/>
  <c r="Z141" i="5"/>
  <c r="AA141" i="5" s="1"/>
  <c r="W141" i="5"/>
  <c r="X141" i="5" s="1"/>
  <c r="U141" i="5"/>
  <c r="T141" i="5"/>
  <c r="R141" i="5"/>
  <c r="Q141" i="5"/>
  <c r="N141" i="5"/>
  <c r="O141" i="5" s="1"/>
  <c r="K141" i="5"/>
  <c r="L141" i="5" s="1"/>
  <c r="F141" i="5"/>
  <c r="E141" i="5"/>
  <c r="C141" i="5"/>
  <c r="B141" i="5"/>
  <c r="H141" i="5" s="1"/>
  <c r="I141" i="5" s="1"/>
  <c r="AC140" i="5"/>
  <c r="AD140" i="5" s="1"/>
  <c r="AA140" i="5"/>
  <c r="W140" i="5"/>
  <c r="X140" i="5" s="1"/>
  <c r="U140" i="5"/>
  <c r="R140" i="5"/>
  <c r="O140" i="5"/>
  <c r="N140" i="5"/>
  <c r="L140" i="5"/>
  <c r="I140" i="5"/>
  <c r="H140" i="5"/>
  <c r="F140" i="5"/>
  <c r="C140" i="5"/>
  <c r="AC139" i="5"/>
  <c r="AD139" i="5" s="1"/>
  <c r="AA139" i="5"/>
  <c r="X139" i="5"/>
  <c r="W139" i="5"/>
  <c r="U139" i="5"/>
  <c r="R139" i="5"/>
  <c r="N139" i="5"/>
  <c r="O139" i="5" s="1"/>
  <c r="L139" i="5"/>
  <c r="I139" i="5"/>
  <c r="H139" i="5"/>
  <c r="F139" i="5"/>
  <c r="C139" i="5"/>
  <c r="AD138" i="5"/>
  <c r="AC138" i="5"/>
  <c r="AA138" i="5"/>
  <c r="W138" i="5"/>
  <c r="X138" i="5" s="1"/>
  <c r="U138" i="5"/>
  <c r="R138" i="5"/>
  <c r="N138" i="5"/>
  <c r="O138" i="5" s="1"/>
  <c r="L138" i="5"/>
  <c r="H138" i="5"/>
  <c r="I138" i="5" s="1"/>
  <c r="F138" i="5"/>
  <c r="C138" i="5"/>
  <c r="AD137" i="5"/>
  <c r="AC137" i="5"/>
  <c r="AA137" i="5"/>
  <c r="W137" i="5"/>
  <c r="X137" i="5" s="1"/>
  <c r="U137" i="5"/>
  <c r="R137" i="5"/>
  <c r="O137" i="5"/>
  <c r="N137" i="5"/>
  <c r="L137" i="5"/>
  <c r="I137" i="5"/>
  <c r="H137" i="5"/>
  <c r="F137" i="5"/>
  <c r="C137" i="5"/>
  <c r="AD136" i="5"/>
  <c r="AC136" i="5"/>
  <c r="AA136" i="5"/>
  <c r="W136" i="5"/>
  <c r="X136" i="5" s="1"/>
  <c r="U136" i="5"/>
  <c r="R136" i="5"/>
  <c r="O136" i="5"/>
  <c r="N136" i="5"/>
  <c r="L136" i="5"/>
  <c r="I136" i="5"/>
  <c r="H136" i="5"/>
  <c r="F136" i="5"/>
  <c r="C136" i="5"/>
  <c r="AD135" i="5"/>
  <c r="AC135" i="5"/>
  <c r="AA135" i="5"/>
  <c r="X135" i="5"/>
  <c r="W135" i="5"/>
  <c r="U135" i="5"/>
  <c r="R135" i="5"/>
  <c r="N135" i="5"/>
  <c r="O135" i="5" s="1"/>
  <c r="L135" i="5"/>
  <c r="H135" i="5"/>
  <c r="I135" i="5" s="1"/>
  <c r="F135" i="5"/>
  <c r="C135" i="5"/>
  <c r="AD134" i="5"/>
  <c r="AC134" i="5"/>
  <c r="AA134" i="5"/>
  <c r="X134" i="5"/>
  <c r="W134" i="5"/>
  <c r="U134" i="5"/>
  <c r="R134" i="5"/>
  <c r="N134" i="5"/>
  <c r="O134" i="5" s="1"/>
  <c r="L134" i="5"/>
  <c r="I134" i="5"/>
  <c r="H134" i="5"/>
  <c r="F134" i="5"/>
  <c r="C134" i="5"/>
  <c r="AD133" i="5"/>
  <c r="AC133" i="5"/>
  <c r="AA133" i="5"/>
  <c r="W133" i="5"/>
  <c r="X133" i="5" s="1"/>
  <c r="U133" i="5"/>
  <c r="R133" i="5"/>
  <c r="O133" i="5"/>
  <c r="N133" i="5"/>
  <c r="L133" i="5"/>
  <c r="I133" i="5"/>
  <c r="H133" i="5"/>
  <c r="F133" i="5"/>
  <c r="C133" i="5"/>
  <c r="AC132" i="5"/>
  <c r="AD132" i="5" s="1"/>
  <c r="AA132" i="5"/>
  <c r="W132" i="5"/>
  <c r="X132" i="5" s="1"/>
  <c r="U132" i="5"/>
  <c r="R132" i="5"/>
  <c r="O132" i="5"/>
  <c r="N132" i="5"/>
  <c r="L132" i="5"/>
  <c r="I132" i="5"/>
  <c r="H132" i="5"/>
  <c r="F132" i="5"/>
  <c r="C132" i="5"/>
  <c r="AC131" i="5"/>
  <c r="AD131" i="5" s="1"/>
  <c r="AA131" i="5"/>
  <c r="X131" i="5"/>
  <c r="W131" i="5"/>
  <c r="U131" i="5"/>
  <c r="R131" i="5"/>
  <c r="N131" i="5"/>
  <c r="O131" i="5" s="1"/>
  <c r="L131" i="5"/>
  <c r="I131" i="5"/>
  <c r="H131" i="5"/>
  <c r="F131" i="5"/>
  <c r="C131" i="5"/>
  <c r="AD130" i="5"/>
  <c r="AC130" i="5"/>
  <c r="AA130" i="5"/>
  <c r="W130" i="5"/>
  <c r="X130" i="5" s="1"/>
  <c r="U130" i="5"/>
  <c r="R130" i="5"/>
  <c r="N130" i="5"/>
  <c r="O130" i="5" s="1"/>
  <c r="L130" i="5"/>
  <c r="H130" i="5"/>
  <c r="I130" i="5" s="1"/>
  <c r="F130" i="5"/>
  <c r="C130" i="5"/>
  <c r="AD129" i="5"/>
  <c r="AC129" i="5"/>
  <c r="AA129" i="5"/>
  <c r="W129" i="5"/>
  <c r="X129" i="5" s="1"/>
  <c r="U129" i="5"/>
  <c r="R129" i="5"/>
  <c r="O129" i="5"/>
  <c r="N129" i="5"/>
  <c r="L129" i="5"/>
  <c r="I129" i="5"/>
  <c r="H129" i="5"/>
  <c r="F129" i="5"/>
  <c r="C129" i="5"/>
  <c r="AD127" i="5"/>
  <c r="AC127" i="5"/>
  <c r="AA127" i="5"/>
  <c r="W127" i="5"/>
  <c r="X127" i="5" s="1"/>
  <c r="U127" i="5"/>
  <c r="R127" i="5"/>
  <c r="N127" i="5"/>
  <c r="O127" i="5" s="1"/>
  <c r="L127" i="5"/>
  <c r="I127" i="5"/>
  <c r="H127" i="5"/>
  <c r="F127" i="5"/>
  <c r="C127" i="5"/>
  <c r="Z124" i="5"/>
  <c r="Z172" i="5" s="1"/>
  <c r="AA172" i="5" s="1"/>
  <c r="U124" i="5"/>
  <c r="T124" i="5"/>
  <c r="R124" i="5"/>
  <c r="Q124" i="5"/>
  <c r="W124" i="5" s="1"/>
  <c r="X124" i="5" s="1"/>
  <c r="L124" i="5"/>
  <c r="K124" i="5"/>
  <c r="E124" i="5"/>
  <c r="C124" i="5"/>
  <c r="B124" i="5"/>
  <c r="N124" i="5" s="1"/>
  <c r="O124" i="5" s="1"/>
  <c r="AD123" i="5"/>
  <c r="AC123" i="5"/>
  <c r="AA123" i="5"/>
  <c r="W123" i="5"/>
  <c r="X123" i="5" s="1"/>
  <c r="U123" i="5"/>
  <c r="R123" i="5"/>
  <c r="O123" i="5"/>
  <c r="N123" i="5"/>
  <c r="L123" i="5"/>
  <c r="I123" i="5"/>
  <c r="H123" i="5"/>
  <c r="F123" i="5"/>
  <c r="C123" i="5"/>
  <c r="AD122" i="5"/>
  <c r="AC122" i="5"/>
  <c r="AA122" i="5"/>
  <c r="Z122" i="5"/>
  <c r="T122" i="5"/>
  <c r="U122" i="5" s="1"/>
  <c r="R122" i="5"/>
  <c r="Q122" i="5"/>
  <c r="L122" i="5"/>
  <c r="K122" i="5"/>
  <c r="H122" i="5"/>
  <c r="I122" i="5" s="1"/>
  <c r="E122" i="5"/>
  <c r="F122" i="5" s="1"/>
  <c r="C122" i="5"/>
  <c r="B122" i="5"/>
  <c r="N122" i="5" s="1"/>
  <c r="O122" i="5" s="1"/>
  <c r="AD121" i="5"/>
  <c r="AC121" i="5"/>
  <c r="AA121" i="5"/>
  <c r="X121" i="5"/>
  <c r="W121" i="5"/>
  <c r="U121" i="5"/>
  <c r="R121" i="5"/>
  <c r="N121" i="5"/>
  <c r="O121" i="5" s="1"/>
  <c r="L121" i="5"/>
  <c r="I121" i="5"/>
  <c r="H121" i="5"/>
  <c r="F121" i="5"/>
  <c r="C121" i="5"/>
  <c r="AD120" i="5"/>
  <c r="AC120" i="5"/>
  <c r="AA120" i="5"/>
  <c r="W120" i="5"/>
  <c r="X120" i="5" s="1"/>
  <c r="U120" i="5"/>
  <c r="R120" i="5"/>
  <c r="O120" i="5"/>
  <c r="N120" i="5"/>
  <c r="L120" i="5"/>
  <c r="I120" i="5"/>
  <c r="H120" i="5"/>
  <c r="F120" i="5"/>
  <c r="C120" i="5"/>
  <c r="AC119" i="5"/>
  <c r="AD119" i="5" s="1"/>
  <c r="AA119" i="5"/>
  <c r="W119" i="5"/>
  <c r="X119" i="5" s="1"/>
  <c r="U119" i="5"/>
  <c r="R119" i="5"/>
  <c r="O119" i="5"/>
  <c r="N119" i="5"/>
  <c r="L119" i="5"/>
  <c r="I119" i="5"/>
  <c r="H119" i="5"/>
  <c r="F119" i="5"/>
  <c r="C119" i="5"/>
  <c r="AC118" i="5"/>
  <c r="AD118" i="5" s="1"/>
  <c r="AA118" i="5"/>
  <c r="Z118" i="5"/>
  <c r="U118" i="5"/>
  <c r="T118" i="5"/>
  <c r="R118" i="5"/>
  <c r="Q118" i="5"/>
  <c r="W118" i="5" s="1"/>
  <c r="X118" i="5" s="1"/>
  <c r="N118" i="5"/>
  <c r="O118" i="5" s="1"/>
  <c r="L118" i="5"/>
  <c r="K118" i="5"/>
  <c r="F118" i="5"/>
  <c r="E118" i="5"/>
  <c r="B118" i="5"/>
  <c r="H118" i="5" s="1"/>
  <c r="I118" i="5" s="1"/>
  <c r="AD117" i="5"/>
  <c r="AC117" i="5"/>
  <c r="AA117" i="5"/>
  <c r="W117" i="5"/>
  <c r="X117" i="5" s="1"/>
  <c r="U117" i="5"/>
  <c r="R117" i="5"/>
  <c r="O117" i="5"/>
  <c r="N117" i="5"/>
  <c r="L117" i="5"/>
  <c r="I117" i="5"/>
  <c r="H117" i="5"/>
  <c r="F117" i="5"/>
  <c r="C117" i="5"/>
  <c r="AC116" i="5"/>
  <c r="AD116" i="5" s="1"/>
  <c r="AA116" i="5"/>
  <c r="W116" i="5"/>
  <c r="X116" i="5" s="1"/>
  <c r="U116" i="5"/>
  <c r="R116" i="5"/>
  <c r="N116" i="5"/>
  <c r="O116" i="5" s="1"/>
  <c r="L116" i="5"/>
  <c r="I116" i="5"/>
  <c r="H116" i="5"/>
  <c r="F116" i="5"/>
  <c r="C116" i="5"/>
  <c r="AD115" i="5"/>
  <c r="AC115" i="5"/>
  <c r="AA115" i="5"/>
  <c r="X115" i="5"/>
  <c r="W115" i="5"/>
  <c r="U115" i="5"/>
  <c r="R115" i="5"/>
  <c r="N115" i="5"/>
  <c r="O115" i="5" s="1"/>
  <c r="L115" i="5"/>
  <c r="H115" i="5"/>
  <c r="I115" i="5" s="1"/>
  <c r="F115" i="5"/>
  <c r="C115" i="5"/>
  <c r="AD114" i="5"/>
  <c r="AC114" i="5"/>
  <c r="AA114" i="5"/>
  <c r="X114" i="5"/>
  <c r="W114" i="5"/>
  <c r="U114" i="5"/>
  <c r="R114" i="5"/>
  <c r="N114" i="5"/>
  <c r="O114" i="5" s="1"/>
  <c r="L114" i="5"/>
  <c r="H114" i="5"/>
  <c r="I114" i="5" s="1"/>
  <c r="F114" i="5"/>
  <c r="C114" i="5"/>
  <c r="AD113" i="5"/>
  <c r="AC113" i="5"/>
  <c r="AA113" i="5"/>
  <c r="W113" i="5"/>
  <c r="X113" i="5" s="1"/>
  <c r="U113" i="5"/>
  <c r="R113" i="5"/>
  <c r="O113" i="5"/>
  <c r="N113" i="5"/>
  <c r="L113" i="5"/>
  <c r="I113" i="5"/>
  <c r="H113" i="5"/>
  <c r="F113" i="5"/>
  <c r="C113" i="5"/>
  <c r="AD112" i="5"/>
  <c r="AC112" i="5"/>
  <c r="AA112" i="5"/>
  <c r="W112" i="5"/>
  <c r="X112" i="5" s="1"/>
  <c r="U112" i="5"/>
  <c r="R112" i="5"/>
  <c r="O112" i="5"/>
  <c r="N112" i="5"/>
  <c r="L112" i="5"/>
  <c r="I112" i="5"/>
  <c r="H112" i="5"/>
  <c r="F112" i="5"/>
  <c r="C112" i="5"/>
  <c r="AC111" i="5"/>
  <c r="AD111" i="5" s="1"/>
  <c r="AA111" i="5"/>
  <c r="X111" i="5"/>
  <c r="W111" i="5"/>
  <c r="U111" i="5"/>
  <c r="R111" i="5"/>
  <c r="N111" i="5"/>
  <c r="O111" i="5" s="1"/>
  <c r="L111" i="5"/>
  <c r="I111" i="5"/>
  <c r="H111" i="5"/>
  <c r="F111" i="5"/>
  <c r="C111" i="5"/>
  <c r="AD110" i="5"/>
  <c r="AC110" i="5"/>
  <c r="AA110" i="5"/>
  <c r="W110" i="5"/>
  <c r="X110" i="5" s="1"/>
  <c r="U110" i="5"/>
  <c r="R110" i="5"/>
  <c r="N110" i="5"/>
  <c r="O110" i="5" s="1"/>
  <c r="L110" i="5"/>
  <c r="I110" i="5"/>
  <c r="H110" i="5"/>
  <c r="F110" i="5"/>
  <c r="C110" i="5"/>
  <c r="AD109" i="5"/>
  <c r="AC109" i="5"/>
  <c r="AA109" i="5"/>
  <c r="W109" i="5"/>
  <c r="X109" i="5" s="1"/>
  <c r="U109" i="5"/>
  <c r="R109" i="5"/>
  <c r="O109" i="5"/>
  <c r="N109" i="5"/>
  <c r="L109" i="5"/>
  <c r="I109" i="5"/>
  <c r="H109" i="5"/>
  <c r="F109" i="5"/>
  <c r="C109" i="5"/>
  <c r="AC108" i="5"/>
  <c r="AD108" i="5" s="1"/>
  <c r="AA108" i="5"/>
  <c r="W108" i="5"/>
  <c r="X108" i="5" s="1"/>
  <c r="U108" i="5"/>
  <c r="R108" i="5"/>
  <c r="N108" i="5"/>
  <c r="O108" i="5" s="1"/>
  <c r="L108" i="5"/>
  <c r="I108" i="5"/>
  <c r="H108" i="5"/>
  <c r="F108" i="5"/>
  <c r="C108" i="5"/>
  <c r="AD107" i="5"/>
  <c r="AC107" i="5"/>
  <c r="AA107" i="5"/>
  <c r="X107" i="5"/>
  <c r="W107" i="5"/>
  <c r="U107" i="5"/>
  <c r="R107" i="5"/>
  <c r="N107" i="5"/>
  <c r="O107" i="5" s="1"/>
  <c r="L107" i="5"/>
  <c r="H107" i="5"/>
  <c r="I107" i="5" s="1"/>
  <c r="F107" i="5"/>
  <c r="C107" i="5"/>
  <c r="AD106" i="5"/>
  <c r="AC106" i="5"/>
  <c r="AA106" i="5"/>
  <c r="X106" i="5"/>
  <c r="W106" i="5"/>
  <c r="U106" i="5"/>
  <c r="R106" i="5"/>
  <c r="N106" i="5"/>
  <c r="O106" i="5" s="1"/>
  <c r="L106" i="5"/>
  <c r="H106" i="5"/>
  <c r="I106" i="5" s="1"/>
  <c r="F106" i="5"/>
  <c r="C106" i="5"/>
  <c r="AD105" i="5"/>
  <c r="AC105" i="5"/>
  <c r="AA105" i="5"/>
  <c r="W105" i="5"/>
  <c r="X105" i="5" s="1"/>
  <c r="U105" i="5"/>
  <c r="R105" i="5"/>
  <c r="O105" i="5"/>
  <c r="N105" i="5"/>
  <c r="L105" i="5"/>
  <c r="I105" i="5"/>
  <c r="H105" i="5"/>
  <c r="F105" i="5"/>
  <c r="C105" i="5"/>
  <c r="AD104" i="5"/>
  <c r="AC104" i="5"/>
  <c r="AA104" i="5"/>
  <c r="W104" i="5"/>
  <c r="X104" i="5" s="1"/>
  <c r="U104" i="5"/>
  <c r="R104" i="5"/>
  <c r="O104" i="5"/>
  <c r="N104" i="5"/>
  <c r="L104" i="5"/>
  <c r="I104" i="5"/>
  <c r="H104" i="5"/>
  <c r="F104" i="5"/>
  <c r="C104" i="5"/>
  <c r="AC103" i="5"/>
  <c r="AD103" i="5" s="1"/>
  <c r="AA103" i="5"/>
  <c r="X103" i="5"/>
  <c r="W103" i="5"/>
  <c r="U103" i="5"/>
  <c r="R103" i="5"/>
  <c r="N103" i="5"/>
  <c r="O103" i="5" s="1"/>
  <c r="L103" i="5"/>
  <c r="I103" i="5"/>
  <c r="H103" i="5"/>
  <c r="F103" i="5"/>
  <c r="C103" i="5"/>
  <c r="AD102" i="5"/>
  <c r="AC102" i="5"/>
  <c r="AA102" i="5"/>
  <c r="W102" i="5"/>
  <c r="X102" i="5" s="1"/>
  <c r="U102" i="5"/>
  <c r="R102" i="5"/>
  <c r="N102" i="5"/>
  <c r="O102" i="5" s="1"/>
  <c r="L102" i="5"/>
  <c r="I102" i="5"/>
  <c r="H102" i="5"/>
  <c r="F102" i="5"/>
  <c r="C102" i="5"/>
  <c r="AD101" i="5"/>
  <c r="AC101" i="5"/>
  <c r="AA101" i="5"/>
  <c r="W101" i="5"/>
  <c r="X101" i="5" s="1"/>
  <c r="U101" i="5"/>
  <c r="R101" i="5"/>
  <c r="O101" i="5"/>
  <c r="N101" i="5"/>
  <c r="L101" i="5"/>
  <c r="I101" i="5"/>
  <c r="H101" i="5"/>
  <c r="F101" i="5"/>
  <c r="C101" i="5"/>
  <c r="AC100" i="5"/>
  <c r="AD100" i="5" s="1"/>
  <c r="AA100" i="5"/>
  <c r="W100" i="5"/>
  <c r="X100" i="5" s="1"/>
  <c r="U100" i="5"/>
  <c r="R100" i="5"/>
  <c r="N100" i="5"/>
  <c r="O100" i="5" s="1"/>
  <c r="L100" i="5"/>
  <c r="I100" i="5"/>
  <c r="H100" i="5"/>
  <c r="F100" i="5"/>
  <c r="C100" i="5"/>
  <c r="AD99" i="5"/>
  <c r="AC99" i="5"/>
  <c r="AA99" i="5"/>
  <c r="X99" i="5"/>
  <c r="W99" i="5"/>
  <c r="U99" i="5"/>
  <c r="R99" i="5"/>
  <c r="N99" i="5"/>
  <c r="O99" i="5" s="1"/>
  <c r="L99" i="5"/>
  <c r="H99" i="5"/>
  <c r="I99" i="5" s="1"/>
  <c r="F99" i="5"/>
  <c r="C99" i="5"/>
  <c r="AD98" i="5"/>
  <c r="AC98" i="5"/>
  <c r="AA98" i="5"/>
  <c r="X98" i="5"/>
  <c r="W98" i="5"/>
  <c r="U98" i="5"/>
  <c r="R98" i="5"/>
  <c r="N98" i="5"/>
  <c r="O98" i="5" s="1"/>
  <c r="L98" i="5"/>
  <c r="H98" i="5"/>
  <c r="I98" i="5" s="1"/>
  <c r="F98" i="5"/>
  <c r="C98" i="5"/>
  <c r="AD97" i="5"/>
  <c r="AC97" i="5"/>
  <c r="AA97" i="5"/>
  <c r="W97" i="5"/>
  <c r="X97" i="5" s="1"/>
  <c r="U97" i="5"/>
  <c r="R97" i="5"/>
  <c r="O97" i="5"/>
  <c r="N97" i="5"/>
  <c r="L97" i="5"/>
  <c r="I97" i="5"/>
  <c r="H97" i="5"/>
  <c r="F97" i="5"/>
  <c r="C97" i="5"/>
  <c r="AD96" i="5"/>
  <c r="AC96" i="5"/>
  <c r="AA96" i="5"/>
  <c r="W96" i="5"/>
  <c r="X96" i="5" s="1"/>
  <c r="U96" i="5"/>
  <c r="R96" i="5"/>
  <c r="O96" i="5"/>
  <c r="N96" i="5"/>
  <c r="L96" i="5"/>
  <c r="I96" i="5"/>
  <c r="H96" i="5"/>
  <c r="F96" i="5"/>
  <c r="C96" i="5"/>
  <c r="AC95" i="5"/>
  <c r="AD95" i="5" s="1"/>
  <c r="AA95" i="5"/>
  <c r="X95" i="5"/>
  <c r="W95" i="5"/>
  <c r="U95" i="5"/>
  <c r="R95" i="5"/>
  <c r="N95" i="5"/>
  <c r="O95" i="5" s="1"/>
  <c r="L95" i="5"/>
  <c r="I95" i="5"/>
  <c r="H95" i="5"/>
  <c r="F95" i="5"/>
  <c r="C95" i="5"/>
  <c r="AD94" i="5"/>
  <c r="AC94" i="5"/>
  <c r="AA94" i="5"/>
  <c r="W94" i="5"/>
  <c r="X94" i="5" s="1"/>
  <c r="U94" i="5"/>
  <c r="R94" i="5"/>
  <c r="N94" i="5"/>
  <c r="O94" i="5" s="1"/>
  <c r="L94" i="5"/>
  <c r="I94" i="5"/>
  <c r="H94" i="5"/>
  <c r="F94" i="5"/>
  <c r="C94" i="5"/>
  <c r="AD92" i="5"/>
  <c r="AC92" i="5"/>
  <c r="AA92" i="5"/>
  <c r="W92" i="5"/>
  <c r="X92" i="5" s="1"/>
  <c r="U92" i="5"/>
  <c r="R92" i="5"/>
  <c r="O92" i="5"/>
  <c r="N92" i="5"/>
  <c r="L92" i="5"/>
  <c r="I92" i="5"/>
  <c r="H92" i="5"/>
  <c r="F92" i="5"/>
  <c r="C92" i="5"/>
  <c r="AC91" i="5"/>
  <c r="AD91" i="5" s="1"/>
  <c r="AA91" i="5"/>
  <c r="W91" i="5"/>
  <c r="X91" i="5" s="1"/>
  <c r="U91" i="5"/>
  <c r="R91" i="5"/>
  <c r="N91" i="5"/>
  <c r="O91" i="5" s="1"/>
  <c r="L91" i="5"/>
  <c r="I91" i="5"/>
  <c r="H91" i="5"/>
  <c r="F91" i="5"/>
  <c r="C91" i="5"/>
  <c r="AD90" i="5"/>
  <c r="AC90" i="5"/>
  <c r="AA90" i="5"/>
  <c r="X90" i="5"/>
  <c r="W90" i="5"/>
  <c r="U90" i="5"/>
  <c r="R90" i="5"/>
  <c r="N90" i="5"/>
  <c r="O90" i="5" s="1"/>
  <c r="L90" i="5"/>
  <c r="H90" i="5"/>
  <c r="I90" i="5" s="1"/>
  <c r="F90" i="5"/>
  <c r="C90" i="5"/>
  <c r="AD89" i="5"/>
  <c r="AC89" i="5"/>
  <c r="AA89" i="5"/>
  <c r="X89" i="5"/>
  <c r="W89" i="5"/>
  <c r="U89" i="5"/>
  <c r="R89" i="5"/>
  <c r="N89" i="5"/>
  <c r="O89" i="5" s="1"/>
  <c r="L89" i="5"/>
  <c r="H89" i="5"/>
  <c r="I89" i="5" s="1"/>
  <c r="F89" i="5"/>
  <c r="C89" i="5"/>
  <c r="AA88" i="5"/>
  <c r="Z88" i="5"/>
  <c r="T88" i="5"/>
  <c r="R88" i="5"/>
  <c r="Q88" i="5"/>
  <c r="AC88" i="5" s="1"/>
  <c r="AD88" i="5" s="1"/>
  <c r="L88" i="5"/>
  <c r="K88" i="5"/>
  <c r="H88" i="5"/>
  <c r="I88" i="5" s="1"/>
  <c r="F88" i="5"/>
  <c r="E88" i="5"/>
  <c r="C88" i="5"/>
  <c r="B88" i="5"/>
  <c r="N88" i="5" s="1"/>
  <c r="O88" i="5" s="1"/>
  <c r="AD87" i="5"/>
  <c r="AC87" i="5"/>
  <c r="AA87" i="5"/>
  <c r="X87" i="5"/>
  <c r="W87" i="5"/>
  <c r="U87" i="5"/>
  <c r="R87" i="5"/>
  <c r="N87" i="5"/>
  <c r="O87" i="5" s="1"/>
  <c r="L87" i="5"/>
  <c r="H87" i="5"/>
  <c r="I87" i="5" s="1"/>
  <c r="F87" i="5"/>
  <c r="C87" i="5"/>
  <c r="AD86" i="5"/>
  <c r="AC86" i="5"/>
  <c r="AA86" i="5"/>
  <c r="X86" i="5"/>
  <c r="W86" i="5"/>
  <c r="U86" i="5"/>
  <c r="R86" i="5"/>
  <c r="N86" i="5"/>
  <c r="O86" i="5" s="1"/>
  <c r="L86" i="5"/>
  <c r="I86" i="5"/>
  <c r="H86" i="5"/>
  <c r="F86" i="5"/>
  <c r="C86" i="5"/>
  <c r="AD85" i="5"/>
  <c r="AC85" i="5"/>
  <c r="AA85" i="5"/>
  <c r="W85" i="5"/>
  <c r="X85" i="5" s="1"/>
  <c r="U85" i="5"/>
  <c r="R85" i="5"/>
  <c r="O85" i="5"/>
  <c r="N85" i="5"/>
  <c r="L85" i="5"/>
  <c r="I85" i="5"/>
  <c r="H85" i="5"/>
  <c r="F85" i="5"/>
  <c r="C85" i="5"/>
  <c r="AC84" i="5"/>
  <c r="AD84" i="5" s="1"/>
  <c r="AA84" i="5"/>
  <c r="W84" i="5"/>
  <c r="X84" i="5" s="1"/>
  <c r="U84" i="5"/>
  <c r="R84" i="5"/>
  <c r="O84" i="5"/>
  <c r="N84" i="5"/>
  <c r="L84" i="5"/>
  <c r="I84" i="5"/>
  <c r="H84" i="5"/>
  <c r="F84" i="5"/>
  <c r="C84" i="5"/>
  <c r="AC83" i="5"/>
  <c r="AD83" i="5" s="1"/>
  <c r="AA83" i="5"/>
  <c r="X83" i="5"/>
  <c r="W83" i="5"/>
  <c r="U83" i="5"/>
  <c r="R83" i="5"/>
  <c r="N83" i="5"/>
  <c r="O83" i="5" s="1"/>
  <c r="L83" i="5"/>
  <c r="I83" i="5"/>
  <c r="H83" i="5"/>
  <c r="F83" i="5"/>
  <c r="C83" i="5"/>
  <c r="AD82" i="5"/>
  <c r="AC82" i="5"/>
  <c r="AA82" i="5"/>
  <c r="W82" i="5"/>
  <c r="X82" i="5" s="1"/>
  <c r="U82" i="5"/>
  <c r="R82" i="5"/>
  <c r="N82" i="5"/>
  <c r="O82" i="5" s="1"/>
  <c r="L82" i="5"/>
  <c r="H82" i="5"/>
  <c r="I82" i="5" s="1"/>
  <c r="F82" i="5"/>
  <c r="C82" i="5"/>
  <c r="AD81" i="5"/>
  <c r="AC81" i="5"/>
  <c r="AA81" i="5"/>
  <c r="W81" i="5"/>
  <c r="X81" i="5" s="1"/>
  <c r="U81" i="5"/>
  <c r="R81" i="5"/>
  <c r="N81" i="5"/>
  <c r="O81" i="5" s="1"/>
  <c r="L81" i="5"/>
  <c r="I81" i="5"/>
  <c r="H81" i="5"/>
  <c r="F81" i="5"/>
  <c r="C81" i="5"/>
  <c r="AD80" i="5"/>
  <c r="AC80" i="5"/>
  <c r="AA80" i="5"/>
  <c r="W80" i="5"/>
  <c r="X80" i="5" s="1"/>
  <c r="U80" i="5"/>
  <c r="R80" i="5"/>
  <c r="N80" i="5"/>
  <c r="O80" i="5" s="1"/>
  <c r="L80" i="5"/>
  <c r="I80" i="5"/>
  <c r="H80" i="5"/>
  <c r="F80" i="5"/>
  <c r="C80" i="5"/>
  <c r="AD79" i="5"/>
  <c r="AC79" i="5"/>
  <c r="AA79" i="5"/>
  <c r="X79" i="5"/>
  <c r="W79" i="5"/>
  <c r="U79" i="5"/>
  <c r="R79" i="5"/>
  <c r="N79" i="5"/>
  <c r="O79" i="5" s="1"/>
  <c r="L79" i="5"/>
  <c r="H79" i="5"/>
  <c r="I79" i="5" s="1"/>
  <c r="F79" i="5"/>
  <c r="C79" i="5"/>
  <c r="AD78" i="5"/>
  <c r="AC78" i="5"/>
  <c r="AA78" i="5"/>
  <c r="X78" i="5"/>
  <c r="W78" i="5"/>
  <c r="U78" i="5"/>
  <c r="R78" i="5"/>
  <c r="N78" i="5"/>
  <c r="O78" i="5" s="1"/>
  <c r="L78" i="5"/>
  <c r="I78" i="5"/>
  <c r="H78" i="5"/>
  <c r="F78" i="5"/>
  <c r="C78" i="5"/>
  <c r="AD77" i="5"/>
  <c r="AC77" i="5"/>
  <c r="AA77" i="5"/>
  <c r="W77" i="5"/>
  <c r="X77" i="5" s="1"/>
  <c r="U77" i="5"/>
  <c r="R77" i="5"/>
  <c r="O77" i="5"/>
  <c r="N77" i="5"/>
  <c r="L77" i="5"/>
  <c r="I77" i="5"/>
  <c r="H77" i="5"/>
  <c r="F77" i="5"/>
  <c r="C77" i="5"/>
  <c r="AC76" i="5"/>
  <c r="AD76" i="5" s="1"/>
  <c r="AA76" i="5"/>
  <c r="W76" i="5"/>
  <c r="X76" i="5" s="1"/>
  <c r="U76" i="5"/>
  <c r="R76" i="5"/>
  <c r="O76" i="5"/>
  <c r="N76" i="5"/>
  <c r="L76" i="5"/>
  <c r="I76" i="5"/>
  <c r="H76" i="5"/>
  <c r="F76" i="5"/>
  <c r="C76" i="5"/>
  <c r="AC75" i="5"/>
  <c r="AD75" i="5" s="1"/>
  <c r="AA75" i="5"/>
  <c r="W75" i="5"/>
  <c r="X75" i="5" s="1"/>
  <c r="U75" i="5"/>
  <c r="R75" i="5"/>
  <c r="N75" i="5"/>
  <c r="O75" i="5" s="1"/>
  <c r="L75" i="5"/>
  <c r="I75" i="5"/>
  <c r="H75" i="5"/>
  <c r="F75" i="5"/>
  <c r="C75" i="5"/>
  <c r="Z73" i="5"/>
  <c r="AA73" i="5" s="1"/>
  <c r="X73" i="5"/>
  <c r="W73" i="5"/>
  <c r="U73" i="5"/>
  <c r="T73" i="5"/>
  <c r="R73" i="5"/>
  <c r="Q73" i="5"/>
  <c r="AC73" i="5" s="1"/>
  <c r="AD73" i="5" s="1"/>
  <c r="L73" i="5"/>
  <c r="K73" i="5"/>
  <c r="I73" i="5"/>
  <c r="F73" i="5"/>
  <c r="E73" i="5"/>
  <c r="C73" i="5"/>
  <c r="B73" i="5"/>
  <c r="H73" i="5" s="1"/>
  <c r="AC72" i="5"/>
  <c r="AD72" i="5" s="1"/>
  <c r="AA72" i="5"/>
  <c r="W72" i="5"/>
  <c r="X72" i="5" s="1"/>
  <c r="U72" i="5"/>
  <c r="R72" i="5"/>
  <c r="O72" i="5"/>
  <c r="N72" i="5"/>
  <c r="L72" i="5"/>
  <c r="I72" i="5"/>
  <c r="H72" i="5"/>
  <c r="F72" i="5"/>
  <c r="C72" i="5"/>
  <c r="AC71" i="5"/>
  <c r="AD71" i="5" s="1"/>
  <c r="AA71" i="5"/>
  <c r="W71" i="5"/>
  <c r="X71" i="5" s="1"/>
  <c r="U71" i="5"/>
  <c r="R71" i="5"/>
  <c r="N71" i="5"/>
  <c r="O71" i="5" s="1"/>
  <c r="L71" i="5"/>
  <c r="I71" i="5"/>
  <c r="H71" i="5"/>
  <c r="F71" i="5"/>
  <c r="C71" i="5"/>
  <c r="AD70" i="5"/>
  <c r="AC70" i="5"/>
  <c r="AA70" i="5"/>
  <c r="W70" i="5"/>
  <c r="X70" i="5" s="1"/>
  <c r="U70" i="5"/>
  <c r="R70" i="5"/>
  <c r="N70" i="5"/>
  <c r="O70" i="5" s="1"/>
  <c r="L70" i="5"/>
  <c r="I70" i="5"/>
  <c r="H70" i="5"/>
  <c r="F70" i="5"/>
  <c r="C70" i="5"/>
  <c r="AD69" i="5"/>
  <c r="AC69" i="5"/>
  <c r="AA69" i="5"/>
  <c r="W69" i="5"/>
  <c r="X69" i="5" s="1"/>
  <c r="U69" i="5"/>
  <c r="R69" i="5"/>
  <c r="N69" i="5"/>
  <c r="O69" i="5" s="1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I68" i="5"/>
  <c r="H68" i="5"/>
  <c r="F68" i="5"/>
  <c r="C68" i="5"/>
  <c r="AC67" i="5"/>
  <c r="AD67" i="5" s="1"/>
  <c r="AA67" i="5"/>
  <c r="X67" i="5"/>
  <c r="W67" i="5"/>
  <c r="U67" i="5"/>
  <c r="R67" i="5"/>
  <c r="N67" i="5"/>
  <c r="O67" i="5" s="1"/>
  <c r="L67" i="5"/>
  <c r="H67" i="5"/>
  <c r="I67" i="5" s="1"/>
  <c r="F67" i="5"/>
  <c r="C67" i="5"/>
  <c r="AD66" i="5"/>
  <c r="AC66" i="5"/>
  <c r="AA66" i="5"/>
  <c r="W66" i="5"/>
  <c r="X66" i="5" s="1"/>
  <c r="U66" i="5"/>
  <c r="R66" i="5"/>
  <c r="N66" i="5"/>
  <c r="O66" i="5" s="1"/>
  <c r="L66" i="5"/>
  <c r="H66" i="5"/>
  <c r="I66" i="5" s="1"/>
  <c r="F66" i="5"/>
  <c r="C66" i="5"/>
  <c r="AD65" i="5"/>
  <c r="AC65" i="5"/>
  <c r="AA65" i="5"/>
  <c r="W65" i="5"/>
  <c r="X65" i="5" s="1"/>
  <c r="U65" i="5"/>
  <c r="R65" i="5"/>
  <c r="N65" i="5"/>
  <c r="O65" i="5" s="1"/>
  <c r="L65" i="5"/>
  <c r="I65" i="5"/>
  <c r="H65" i="5"/>
  <c r="F65" i="5"/>
  <c r="C65" i="5"/>
  <c r="AC64" i="5"/>
  <c r="AD64" i="5" s="1"/>
  <c r="AA64" i="5"/>
  <c r="W64" i="5"/>
  <c r="X64" i="5" s="1"/>
  <c r="U64" i="5"/>
  <c r="R64" i="5"/>
  <c r="O64" i="5"/>
  <c r="N64" i="5"/>
  <c r="L64" i="5"/>
  <c r="I64" i="5"/>
  <c r="H64" i="5"/>
  <c r="F64" i="5"/>
  <c r="C64" i="5"/>
  <c r="AC62" i="5"/>
  <c r="AD62" i="5" s="1"/>
  <c r="Z62" i="5"/>
  <c r="AA62" i="5" s="1"/>
  <c r="U62" i="5"/>
  <c r="T62" i="5"/>
  <c r="R62" i="5"/>
  <c r="Q62" i="5"/>
  <c r="W62" i="5" s="1"/>
  <c r="X62" i="5" s="1"/>
  <c r="L62" i="5"/>
  <c r="K62" i="5"/>
  <c r="E62" i="5"/>
  <c r="F62" i="5" s="1"/>
  <c r="C62" i="5"/>
  <c r="B62" i="5"/>
  <c r="N62" i="5" s="1"/>
  <c r="O62" i="5" s="1"/>
  <c r="AA61" i="5"/>
  <c r="Z61" i="5"/>
  <c r="U61" i="5"/>
  <c r="T61" i="5"/>
  <c r="W61" i="5" s="1"/>
  <c r="X61" i="5" s="1"/>
  <c r="R61" i="5"/>
  <c r="Q61" i="5"/>
  <c r="AC61" i="5" s="1"/>
  <c r="AD61" i="5" s="1"/>
  <c r="K61" i="5"/>
  <c r="L61" i="5" s="1"/>
  <c r="H61" i="5"/>
  <c r="I61" i="5" s="1"/>
  <c r="F61" i="5"/>
  <c r="E61" i="5"/>
  <c r="C61" i="5"/>
  <c r="B61" i="5"/>
  <c r="N61" i="5" s="1"/>
  <c r="O61" i="5" s="1"/>
  <c r="AC60" i="5"/>
  <c r="AD60" i="5" s="1"/>
  <c r="AA60" i="5"/>
  <c r="W60" i="5"/>
  <c r="X60" i="5" s="1"/>
  <c r="U60" i="5"/>
  <c r="R60" i="5"/>
  <c r="N60" i="5"/>
  <c r="O60" i="5" s="1"/>
  <c r="L60" i="5"/>
  <c r="I60" i="5"/>
  <c r="H60" i="5"/>
  <c r="F60" i="5"/>
  <c r="C60" i="5"/>
  <c r="AD59" i="5"/>
  <c r="AC59" i="5"/>
  <c r="AA59" i="5"/>
  <c r="W59" i="5"/>
  <c r="X59" i="5" s="1"/>
  <c r="U59" i="5"/>
  <c r="R59" i="5"/>
  <c r="N59" i="5"/>
  <c r="O59" i="5" s="1"/>
  <c r="L59" i="5"/>
  <c r="H59" i="5"/>
  <c r="I59" i="5" s="1"/>
  <c r="F59" i="5"/>
  <c r="C59" i="5"/>
  <c r="AD58" i="5"/>
  <c r="AC58" i="5"/>
  <c r="AA58" i="5"/>
  <c r="W58" i="5"/>
  <c r="X58" i="5" s="1"/>
  <c r="U58" i="5"/>
  <c r="R58" i="5"/>
  <c r="N58" i="5"/>
  <c r="O58" i="5" s="1"/>
  <c r="L58" i="5"/>
  <c r="I58" i="5"/>
  <c r="H58" i="5"/>
  <c r="F58" i="5"/>
  <c r="C58" i="5"/>
  <c r="AD57" i="5"/>
  <c r="AC57" i="5"/>
  <c r="AA57" i="5"/>
  <c r="W57" i="5"/>
  <c r="X57" i="5" s="1"/>
  <c r="U57" i="5"/>
  <c r="R57" i="5"/>
  <c r="O57" i="5"/>
  <c r="N57" i="5"/>
  <c r="L57" i="5"/>
  <c r="I57" i="5"/>
  <c r="H57" i="5"/>
  <c r="F57" i="5"/>
  <c r="C57" i="5"/>
  <c r="AD56" i="5"/>
  <c r="AC56" i="5"/>
  <c r="AA56" i="5"/>
  <c r="X56" i="5"/>
  <c r="W56" i="5"/>
  <c r="U56" i="5"/>
  <c r="R56" i="5"/>
  <c r="N56" i="5"/>
  <c r="O56" i="5" s="1"/>
  <c r="L56" i="5"/>
  <c r="I56" i="5"/>
  <c r="H56" i="5"/>
  <c r="F56" i="5"/>
  <c r="C56" i="5"/>
  <c r="AD55" i="5"/>
  <c r="AC55" i="5"/>
  <c r="AA55" i="5"/>
  <c r="X55" i="5"/>
  <c r="W55" i="5"/>
  <c r="U55" i="5"/>
  <c r="R55" i="5"/>
  <c r="N55" i="5"/>
  <c r="O55" i="5" s="1"/>
  <c r="L55" i="5"/>
  <c r="H55" i="5"/>
  <c r="I55" i="5" s="1"/>
  <c r="F55" i="5"/>
  <c r="C55" i="5"/>
  <c r="AD54" i="5"/>
  <c r="AC54" i="5"/>
  <c r="AA54" i="5"/>
  <c r="W54" i="5"/>
  <c r="X54" i="5" s="1"/>
  <c r="U54" i="5"/>
  <c r="R54" i="5"/>
  <c r="O54" i="5"/>
  <c r="N54" i="5"/>
  <c r="L54" i="5"/>
  <c r="I54" i="5"/>
  <c r="H54" i="5"/>
  <c r="F54" i="5"/>
  <c r="C54" i="5"/>
  <c r="AC53" i="5"/>
  <c r="AD53" i="5" s="1"/>
  <c r="AA53" i="5"/>
  <c r="W53" i="5"/>
  <c r="X53" i="5" s="1"/>
  <c r="U53" i="5"/>
  <c r="R53" i="5"/>
  <c r="O53" i="5"/>
  <c r="N53" i="5"/>
  <c r="L53" i="5"/>
  <c r="I53" i="5"/>
  <c r="H53" i="5"/>
  <c r="F53" i="5"/>
  <c r="C53" i="5"/>
  <c r="AC52" i="5"/>
  <c r="AD52" i="5" s="1"/>
  <c r="AA52" i="5"/>
  <c r="W52" i="5"/>
  <c r="X52" i="5" s="1"/>
  <c r="U52" i="5"/>
  <c r="R52" i="5"/>
  <c r="N52" i="5"/>
  <c r="O52" i="5" s="1"/>
  <c r="L52" i="5"/>
  <c r="H52" i="5"/>
  <c r="I52" i="5" s="1"/>
  <c r="F52" i="5"/>
  <c r="C52" i="5"/>
  <c r="AD51" i="5"/>
  <c r="AC51" i="5"/>
  <c r="AA51" i="5"/>
  <c r="W51" i="5"/>
  <c r="X51" i="5" s="1"/>
  <c r="U51" i="5"/>
  <c r="R51" i="5"/>
  <c r="N51" i="5"/>
  <c r="O51" i="5" s="1"/>
  <c r="L51" i="5"/>
  <c r="H51" i="5"/>
  <c r="I51" i="5" s="1"/>
  <c r="F51" i="5"/>
  <c r="C51" i="5"/>
  <c r="AD50" i="5"/>
  <c r="AC50" i="5"/>
  <c r="AA50" i="5"/>
  <c r="W50" i="5"/>
  <c r="X50" i="5" s="1"/>
  <c r="U50" i="5"/>
  <c r="R50" i="5"/>
  <c r="N50" i="5"/>
  <c r="O50" i="5" s="1"/>
  <c r="L50" i="5"/>
  <c r="I50" i="5"/>
  <c r="H50" i="5"/>
  <c r="F50" i="5"/>
  <c r="C50" i="5"/>
  <c r="AD49" i="5"/>
  <c r="AC49" i="5"/>
  <c r="AA49" i="5"/>
  <c r="W49" i="5"/>
  <c r="X49" i="5" s="1"/>
  <c r="U49" i="5"/>
  <c r="R49" i="5"/>
  <c r="O49" i="5"/>
  <c r="N49" i="5"/>
  <c r="L49" i="5"/>
  <c r="I49" i="5"/>
  <c r="H49" i="5"/>
  <c r="F49" i="5"/>
  <c r="C49" i="5"/>
  <c r="AD48" i="5"/>
  <c r="AC48" i="5"/>
  <c r="AA48" i="5"/>
  <c r="X48" i="5"/>
  <c r="W48" i="5"/>
  <c r="U48" i="5"/>
  <c r="R48" i="5"/>
  <c r="N48" i="5"/>
  <c r="O48" i="5" s="1"/>
  <c r="L48" i="5"/>
  <c r="I48" i="5"/>
  <c r="H48" i="5"/>
  <c r="F48" i="5"/>
  <c r="C48" i="5"/>
  <c r="AD47" i="5"/>
  <c r="AC47" i="5"/>
  <c r="AA47" i="5"/>
  <c r="X47" i="5"/>
  <c r="W47" i="5"/>
  <c r="U47" i="5"/>
  <c r="R47" i="5"/>
  <c r="N47" i="5"/>
  <c r="O47" i="5" s="1"/>
  <c r="L47" i="5"/>
  <c r="H47" i="5"/>
  <c r="I47" i="5" s="1"/>
  <c r="F47" i="5"/>
  <c r="C47" i="5"/>
  <c r="AD46" i="5"/>
  <c r="AC46" i="5"/>
  <c r="AA46" i="5"/>
  <c r="W46" i="5"/>
  <c r="X46" i="5" s="1"/>
  <c r="U46" i="5"/>
  <c r="R46" i="5"/>
  <c r="O46" i="5"/>
  <c r="N46" i="5"/>
  <c r="L46" i="5"/>
  <c r="I46" i="5"/>
  <c r="H46" i="5"/>
  <c r="F46" i="5"/>
  <c r="C46" i="5"/>
  <c r="AC44" i="5"/>
  <c r="AD44" i="5" s="1"/>
  <c r="AA44" i="5"/>
  <c r="W44" i="5"/>
  <c r="X44" i="5" s="1"/>
  <c r="U44" i="5"/>
  <c r="R44" i="5"/>
  <c r="N44" i="5"/>
  <c r="O44" i="5" s="1"/>
  <c r="L44" i="5"/>
  <c r="I44" i="5"/>
  <c r="H44" i="5"/>
  <c r="F44" i="5"/>
  <c r="C44" i="5"/>
  <c r="AC43" i="5"/>
  <c r="AD43" i="5" s="1"/>
  <c r="AA43" i="5"/>
  <c r="W43" i="5"/>
  <c r="X43" i="5" s="1"/>
  <c r="U43" i="5"/>
  <c r="R43" i="5"/>
  <c r="N43" i="5"/>
  <c r="O43" i="5" s="1"/>
  <c r="L43" i="5"/>
  <c r="H43" i="5"/>
  <c r="I43" i="5" s="1"/>
  <c r="F43" i="5"/>
  <c r="C43" i="5"/>
  <c r="AD42" i="5"/>
  <c r="AC42" i="5"/>
  <c r="AA42" i="5"/>
  <c r="W42" i="5"/>
  <c r="X42" i="5" s="1"/>
  <c r="U42" i="5"/>
  <c r="R42" i="5"/>
  <c r="N42" i="5"/>
  <c r="O42" i="5" s="1"/>
  <c r="L42" i="5"/>
  <c r="H42" i="5"/>
  <c r="I42" i="5" s="1"/>
  <c r="F42" i="5"/>
  <c r="C42" i="5"/>
  <c r="AA40" i="5"/>
  <c r="Z40" i="5"/>
  <c r="X40" i="5"/>
  <c r="W40" i="5"/>
  <c r="U40" i="5"/>
  <c r="T40" i="5"/>
  <c r="R40" i="5"/>
  <c r="Q40" i="5"/>
  <c r="AC40" i="5" s="1"/>
  <c r="AD40" i="5" s="1"/>
  <c r="K40" i="5"/>
  <c r="L40" i="5" s="1"/>
  <c r="I40" i="5"/>
  <c r="H40" i="5"/>
  <c r="F40" i="5"/>
  <c r="E40" i="5"/>
  <c r="C40" i="5"/>
  <c r="B40" i="5"/>
  <c r="AC39" i="5"/>
  <c r="AD39" i="5" s="1"/>
  <c r="AA39" i="5"/>
  <c r="W39" i="5"/>
  <c r="X39" i="5" s="1"/>
  <c r="U39" i="5"/>
  <c r="R39" i="5"/>
  <c r="N39" i="5"/>
  <c r="O39" i="5" s="1"/>
  <c r="L39" i="5"/>
  <c r="I39" i="5"/>
  <c r="H39" i="5"/>
  <c r="F39" i="5"/>
  <c r="C39" i="5"/>
  <c r="AD38" i="5"/>
  <c r="AC38" i="5"/>
  <c r="AA38" i="5"/>
  <c r="W38" i="5"/>
  <c r="X38" i="5" s="1"/>
  <c r="U38" i="5"/>
  <c r="R38" i="5"/>
  <c r="N38" i="5"/>
  <c r="O38" i="5" s="1"/>
  <c r="L38" i="5"/>
  <c r="H38" i="5"/>
  <c r="I38" i="5" s="1"/>
  <c r="F38" i="5"/>
  <c r="C38" i="5"/>
  <c r="AD37" i="5"/>
  <c r="AC37" i="5"/>
  <c r="AA37" i="5"/>
  <c r="W37" i="5"/>
  <c r="X37" i="5" s="1"/>
  <c r="U37" i="5"/>
  <c r="R37" i="5"/>
  <c r="N37" i="5"/>
  <c r="O37" i="5" s="1"/>
  <c r="L37" i="5"/>
  <c r="I37" i="5"/>
  <c r="H37" i="5"/>
  <c r="F37" i="5"/>
  <c r="C37" i="5"/>
  <c r="AD36" i="5"/>
  <c r="AC36" i="5"/>
  <c r="AA36" i="5"/>
  <c r="W36" i="5"/>
  <c r="X36" i="5" s="1"/>
  <c r="U36" i="5"/>
  <c r="R36" i="5"/>
  <c r="N36" i="5"/>
  <c r="O36" i="5" s="1"/>
  <c r="L36" i="5"/>
  <c r="I36" i="5"/>
  <c r="H36" i="5"/>
  <c r="F36" i="5"/>
  <c r="C36" i="5"/>
  <c r="AD35" i="5"/>
  <c r="AC35" i="5"/>
  <c r="AA35" i="5"/>
  <c r="X35" i="5"/>
  <c r="W35" i="5"/>
  <c r="U35" i="5"/>
  <c r="R35" i="5"/>
  <c r="N35" i="5"/>
  <c r="O35" i="5" s="1"/>
  <c r="L35" i="5"/>
  <c r="H35" i="5"/>
  <c r="I35" i="5" s="1"/>
  <c r="F35" i="5"/>
  <c r="C35" i="5"/>
  <c r="AD34" i="5"/>
  <c r="AC34" i="5"/>
  <c r="AA34" i="5"/>
  <c r="X34" i="5"/>
  <c r="W34" i="5"/>
  <c r="U34" i="5"/>
  <c r="R34" i="5"/>
  <c r="N34" i="5"/>
  <c r="O34" i="5" s="1"/>
  <c r="L34" i="5"/>
  <c r="I34" i="5"/>
  <c r="H34" i="5"/>
  <c r="F34" i="5"/>
  <c r="C34" i="5"/>
  <c r="AD33" i="5"/>
  <c r="AC33" i="5"/>
  <c r="AA33" i="5"/>
  <c r="W33" i="5"/>
  <c r="X33" i="5" s="1"/>
  <c r="U33" i="5"/>
  <c r="R33" i="5"/>
  <c r="O33" i="5"/>
  <c r="N33" i="5"/>
  <c r="L33" i="5"/>
  <c r="I33" i="5"/>
  <c r="H33" i="5"/>
  <c r="F33" i="5"/>
  <c r="C33" i="5"/>
  <c r="AC32" i="5"/>
  <c r="AD32" i="5" s="1"/>
  <c r="AA32" i="5"/>
  <c r="W32" i="5"/>
  <c r="X32" i="5" s="1"/>
  <c r="U32" i="5"/>
  <c r="R32" i="5"/>
  <c r="O32" i="5"/>
  <c r="N32" i="5"/>
  <c r="L32" i="5"/>
  <c r="I32" i="5"/>
  <c r="H32" i="5"/>
  <c r="F32" i="5"/>
  <c r="C32" i="5"/>
  <c r="AC31" i="5"/>
  <c r="AD31" i="5" s="1"/>
  <c r="AA31" i="5"/>
  <c r="W31" i="5"/>
  <c r="X31" i="5" s="1"/>
  <c r="U31" i="5"/>
  <c r="R31" i="5"/>
  <c r="N31" i="5"/>
  <c r="O31" i="5" s="1"/>
  <c r="L31" i="5"/>
  <c r="I31" i="5"/>
  <c r="H31" i="5"/>
  <c r="F31" i="5"/>
  <c r="C31" i="5"/>
  <c r="Z29" i="5"/>
  <c r="AA29" i="5" s="1"/>
  <c r="X29" i="5"/>
  <c r="W29" i="5"/>
  <c r="U29" i="5"/>
  <c r="T29" i="5"/>
  <c r="R29" i="5"/>
  <c r="Q29" i="5"/>
  <c r="AC29" i="5" s="1"/>
  <c r="AD29" i="5" s="1"/>
  <c r="N29" i="5"/>
  <c r="O29" i="5" s="1"/>
  <c r="L29" i="5"/>
  <c r="K29" i="5"/>
  <c r="I29" i="5"/>
  <c r="F29" i="5"/>
  <c r="E29" i="5"/>
  <c r="C29" i="5"/>
  <c r="B29" i="5"/>
  <c r="H29" i="5" s="1"/>
  <c r="AC28" i="5"/>
  <c r="AD28" i="5" s="1"/>
  <c r="AA28" i="5"/>
  <c r="W28" i="5"/>
  <c r="X28" i="5" s="1"/>
  <c r="U28" i="5"/>
  <c r="R28" i="5"/>
  <c r="O28" i="5"/>
  <c r="N28" i="5"/>
  <c r="L28" i="5"/>
  <c r="I28" i="5"/>
  <c r="H28" i="5"/>
  <c r="F28" i="5"/>
  <c r="C28" i="5"/>
  <c r="AC27" i="5"/>
  <c r="AD27" i="5" s="1"/>
  <c r="AA27" i="5"/>
  <c r="W27" i="5"/>
  <c r="X27" i="5" s="1"/>
  <c r="U27" i="5"/>
  <c r="R27" i="5"/>
  <c r="N27" i="5"/>
  <c r="O27" i="5" s="1"/>
  <c r="L27" i="5"/>
  <c r="I27" i="5"/>
  <c r="H27" i="5"/>
  <c r="F27" i="5"/>
  <c r="C27" i="5"/>
  <c r="AD26" i="5"/>
  <c r="AC26" i="5"/>
  <c r="AA26" i="5"/>
  <c r="W26" i="5"/>
  <c r="X26" i="5" s="1"/>
  <c r="U26" i="5"/>
  <c r="R26" i="5"/>
  <c r="N26" i="5"/>
  <c r="O26" i="5" s="1"/>
  <c r="L26" i="5"/>
  <c r="I26" i="5"/>
  <c r="H26" i="5"/>
  <c r="F26" i="5"/>
  <c r="C26" i="5"/>
  <c r="AD25" i="5"/>
  <c r="AC25" i="5"/>
  <c r="AA25" i="5"/>
  <c r="W25" i="5"/>
  <c r="X25" i="5" s="1"/>
  <c r="U25" i="5"/>
  <c r="R25" i="5"/>
  <c r="N25" i="5"/>
  <c r="O25" i="5" s="1"/>
  <c r="L25" i="5"/>
  <c r="I25" i="5"/>
  <c r="H25" i="5"/>
  <c r="F25" i="5"/>
  <c r="C25" i="5"/>
  <c r="AD24" i="5"/>
  <c r="AC24" i="5"/>
  <c r="AA24" i="5"/>
  <c r="W24" i="5"/>
  <c r="X24" i="5" s="1"/>
  <c r="U24" i="5"/>
  <c r="R24" i="5"/>
  <c r="N24" i="5"/>
  <c r="O24" i="5" s="1"/>
  <c r="L24" i="5"/>
  <c r="I24" i="5"/>
  <c r="H24" i="5"/>
  <c r="F24" i="5"/>
  <c r="C24" i="5"/>
  <c r="AC23" i="5"/>
  <c r="AD23" i="5" s="1"/>
  <c r="AA23" i="5"/>
  <c r="X23" i="5"/>
  <c r="W23" i="5"/>
  <c r="U23" i="5"/>
  <c r="R23" i="5"/>
  <c r="N23" i="5"/>
  <c r="O23" i="5" s="1"/>
  <c r="L23" i="5"/>
  <c r="H23" i="5"/>
  <c r="I23" i="5" s="1"/>
  <c r="F23" i="5"/>
  <c r="C23" i="5"/>
  <c r="AD22" i="5"/>
  <c r="AC22" i="5"/>
  <c r="AA22" i="5"/>
  <c r="W22" i="5"/>
  <c r="X22" i="5" s="1"/>
  <c r="U22" i="5"/>
  <c r="R22" i="5"/>
  <c r="N22" i="5"/>
  <c r="O22" i="5" s="1"/>
  <c r="L22" i="5"/>
  <c r="H22" i="5"/>
  <c r="I22" i="5" s="1"/>
  <c r="F22" i="5"/>
  <c r="C22" i="5"/>
  <c r="AD21" i="5"/>
  <c r="AC21" i="5"/>
  <c r="AA21" i="5"/>
  <c r="W21" i="5"/>
  <c r="X21" i="5" s="1"/>
  <c r="U21" i="5"/>
  <c r="R21" i="5"/>
  <c r="N21" i="5"/>
  <c r="O21" i="5" s="1"/>
  <c r="L21" i="5"/>
  <c r="I21" i="5"/>
  <c r="H21" i="5"/>
  <c r="F21" i="5"/>
  <c r="C21" i="5"/>
  <c r="AD19" i="5"/>
  <c r="AC19" i="5"/>
  <c r="AA19" i="5"/>
  <c r="W19" i="5"/>
  <c r="X19" i="5" s="1"/>
  <c r="U19" i="5"/>
  <c r="R19" i="5"/>
  <c r="O19" i="5"/>
  <c r="N19" i="5"/>
  <c r="L19" i="5"/>
  <c r="I19" i="5"/>
  <c r="H19" i="5"/>
  <c r="F19" i="5"/>
  <c r="C19" i="5"/>
  <c r="AC18" i="5"/>
  <c r="AD18" i="5" s="1"/>
  <c r="Z18" i="5"/>
  <c r="AA18" i="5" s="1"/>
  <c r="U18" i="5"/>
  <c r="T18" i="5"/>
  <c r="R18" i="5"/>
  <c r="Q18" i="5"/>
  <c r="W18" i="5" s="1"/>
  <c r="X18" i="5" s="1"/>
  <c r="L18" i="5"/>
  <c r="K18" i="5"/>
  <c r="E18" i="5"/>
  <c r="F18" i="5" s="1"/>
  <c r="C18" i="5"/>
  <c r="B18" i="5"/>
  <c r="N18" i="5" s="1"/>
  <c r="O18" i="5" s="1"/>
  <c r="AD17" i="5"/>
  <c r="AC17" i="5"/>
  <c r="AA17" i="5"/>
  <c r="W17" i="5"/>
  <c r="X17" i="5" s="1"/>
  <c r="U17" i="5"/>
  <c r="R17" i="5"/>
  <c r="O17" i="5"/>
  <c r="N17" i="5"/>
  <c r="L17" i="5"/>
  <c r="I17" i="5"/>
  <c r="H17" i="5"/>
  <c r="F17" i="5"/>
  <c r="C17" i="5"/>
  <c r="AD16" i="5"/>
  <c r="AC16" i="5"/>
  <c r="AA16" i="5"/>
  <c r="W16" i="5"/>
  <c r="X16" i="5" s="1"/>
  <c r="U16" i="5"/>
  <c r="R16" i="5"/>
  <c r="N16" i="5"/>
  <c r="O16" i="5" s="1"/>
  <c r="L16" i="5"/>
  <c r="I16" i="5"/>
  <c r="H16" i="5"/>
  <c r="F16" i="5"/>
  <c r="C16" i="5"/>
  <c r="AD15" i="5"/>
  <c r="AC15" i="5"/>
  <c r="AA15" i="5"/>
  <c r="X15" i="5"/>
  <c r="W15" i="5"/>
  <c r="U15" i="5"/>
  <c r="R15" i="5"/>
  <c r="N15" i="5"/>
  <c r="O15" i="5" s="1"/>
  <c r="L15" i="5"/>
  <c r="H15" i="5"/>
  <c r="I15" i="5" s="1"/>
  <c r="F15" i="5"/>
  <c r="C15" i="5"/>
  <c r="AD14" i="5"/>
  <c r="AC14" i="5"/>
  <c r="AA14" i="5"/>
  <c r="X14" i="5"/>
  <c r="W14" i="5"/>
  <c r="U14" i="5"/>
  <c r="R14" i="5"/>
  <c r="N14" i="5"/>
  <c r="O14" i="5" s="1"/>
  <c r="L14" i="5"/>
  <c r="I14" i="5"/>
  <c r="H14" i="5"/>
  <c r="F14" i="5"/>
  <c r="C14" i="5"/>
  <c r="AD13" i="5"/>
  <c r="AC13" i="5"/>
  <c r="AA13" i="5"/>
  <c r="W13" i="5"/>
  <c r="X13" i="5" s="1"/>
  <c r="U13" i="5"/>
  <c r="R13" i="5"/>
  <c r="O13" i="5"/>
  <c r="N13" i="5"/>
  <c r="L13" i="5"/>
  <c r="I13" i="5"/>
  <c r="H13" i="5"/>
  <c r="F13" i="5"/>
  <c r="C13" i="5"/>
  <c r="AC12" i="5"/>
  <c r="AD12" i="5" s="1"/>
  <c r="AA12" i="5"/>
  <c r="W12" i="5"/>
  <c r="X12" i="5" s="1"/>
  <c r="U12" i="5"/>
  <c r="R12" i="5"/>
  <c r="N12" i="5"/>
  <c r="O12" i="5" s="1"/>
  <c r="L12" i="5"/>
  <c r="I12" i="5"/>
  <c r="H12" i="5"/>
  <c r="F12" i="5"/>
  <c r="C12" i="5"/>
  <c r="AD11" i="5"/>
  <c r="AC11" i="5"/>
  <c r="AA11" i="5"/>
  <c r="W11" i="5"/>
  <c r="X11" i="5" s="1"/>
  <c r="U11" i="5"/>
  <c r="R11" i="5"/>
  <c r="N11" i="5"/>
  <c r="O11" i="5" s="1"/>
  <c r="L11" i="5"/>
  <c r="H11" i="5"/>
  <c r="I11" i="5" s="1"/>
  <c r="F11" i="5"/>
  <c r="C11" i="5"/>
  <c r="AD10" i="5"/>
  <c r="AC10" i="5"/>
  <c r="AA10" i="5"/>
  <c r="X10" i="5"/>
  <c r="W10" i="5"/>
  <c r="U10" i="5"/>
  <c r="R10" i="5"/>
  <c r="N10" i="5"/>
  <c r="O10" i="5" s="1"/>
  <c r="L10" i="5"/>
  <c r="H10" i="5"/>
  <c r="I10" i="5" s="1"/>
  <c r="F10" i="5"/>
  <c r="C10" i="5"/>
  <c r="AD8" i="5"/>
  <c r="AC8" i="5"/>
  <c r="AA8" i="5"/>
  <c r="W8" i="5"/>
  <c r="X8" i="5" s="1"/>
  <c r="U8" i="5"/>
  <c r="R8" i="5"/>
  <c r="O8" i="5"/>
  <c r="N8" i="5"/>
  <c r="L8" i="5"/>
  <c r="I8" i="5"/>
  <c r="H8" i="5"/>
  <c r="F8" i="5"/>
  <c r="C8" i="5"/>
  <c r="AC444" i="4"/>
  <c r="W444" i="4"/>
  <c r="N444" i="4"/>
  <c r="H444" i="4"/>
  <c r="AD442" i="4"/>
  <c r="AC442" i="4"/>
  <c r="AA442" i="4"/>
  <c r="Z442" i="4"/>
  <c r="T442" i="4"/>
  <c r="U442" i="4" s="1"/>
  <c r="R442" i="4"/>
  <c r="Q442" i="4"/>
  <c r="O442" i="4"/>
  <c r="L442" i="4"/>
  <c r="K442" i="4"/>
  <c r="E442" i="4"/>
  <c r="H442" i="4" s="1"/>
  <c r="I442" i="4" s="1"/>
  <c r="C442" i="4"/>
  <c r="B442" i="4"/>
  <c r="N442" i="4" s="1"/>
  <c r="Z441" i="4"/>
  <c r="AA441" i="4" s="1"/>
  <c r="W441" i="4"/>
  <c r="X441" i="4" s="1"/>
  <c r="U441" i="4"/>
  <c r="T441" i="4"/>
  <c r="R441" i="4"/>
  <c r="Q441" i="4"/>
  <c r="N441" i="4"/>
  <c r="O441" i="4" s="1"/>
  <c r="K441" i="4"/>
  <c r="L441" i="4" s="1"/>
  <c r="I441" i="4"/>
  <c r="F441" i="4"/>
  <c r="E441" i="4"/>
  <c r="C441" i="4"/>
  <c r="B441" i="4"/>
  <c r="H441" i="4" s="1"/>
  <c r="AD440" i="4"/>
  <c r="AC440" i="4"/>
  <c r="AA440" i="4"/>
  <c r="W440" i="4"/>
  <c r="U440" i="4"/>
  <c r="R440" i="4"/>
  <c r="O440" i="4"/>
  <c r="N440" i="4"/>
  <c r="L440" i="4"/>
  <c r="I440" i="4"/>
  <c r="H440" i="4"/>
  <c r="F440" i="4"/>
  <c r="C440" i="4"/>
  <c r="AD439" i="4"/>
  <c r="AC439" i="4"/>
  <c r="AA439" i="4"/>
  <c r="X439" i="4"/>
  <c r="W439" i="4"/>
  <c r="U439" i="4"/>
  <c r="R439" i="4"/>
  <c r="N439" i="4"/>
  <c r="L439" i="4"/>
  <c r="I439" i="4"/>
  <c r="H439" i="4"/>
  <c r="F439" i="4"/>
  <c r="C439" i="4"/>
  <c r="AC438" i="4"/>
  <c r="AA438" i="4"/>
  <c r="X438" i="4"/>
  <c r="W438" i="4"/>
  <c r="U438" i="4"/>
  <c r="R438" i="4"/>
  <c r="N438" i="4"/>
  <c r="L438" i="4"/>
  <c r="I438" i="4"/>
  <c r="H438" i="4"/>
  <c r="F438" i="4"/>
  <c r="C438" i="4"/>
  <c r="AC437" i="4"/>
  <c r="AA437" i="4"/>
  <c r="W437" i="4"/>
  <c r="U437" i="4"/>
  <c r="R437" i="4"/>
  <c r="O437" i="4"/>
  <c r="N437" i="4"/>
  <c r="L437" i="4"/>
  <c r="I437" i="4"/>
  <c r="H437" i="4"/>
  <c r="F437" i="4"/>
  <c r="C437" i="4"/>
  <c r="AC436" i="4"/>
  <c r="AD436" i="4" s="1"/>
  <c r="AA436" i="4"/>
  <c r="W436" i="4"/>
  <c r="U436" i="4"/>
  <c r="R436" i="4"/>
  <c r="N436" i="4"/>
  <c r="O436" i="4" s="1"/>
  <c r="L436" i="4"/>
  <c r="I436" i="4"/>
  <c r="H436" i="4"/>
  <c r="F436" i="4"/>
  <c r="C436" i="4"/>
  <c r="AC435" i="4"/>
  <c r="AD435" i="4" s="1"/>
  <c r="AA435" i="4"/>
  <c r="W435" i="4"/>
  <c r="X435" i="4" s="1"/>
  <c r="U435" i="4"/>
  <c r="R435" i="4"/>
  <c r="N435" i="4"/>
  <c r="O435" i="4" s="1"/>
  <c r="L435" i="4"/>
  <c r="H435" i="4"/>
  <c r="I435" i="4" s="1"/>
  <c r="F435" i="4"/>
  <c r="C435" i="4"/>
  <c r="AC434" i="4"/>
  <c r="AA434" i="4"/>
  <c r="W434" i="4"/>
  <c r="X434" i="4" s="1"/>
  <c r="U434" i="4"/>
  <c r="R434" i="4"/>
  <c r="N434" i="4"/>
  <c r="O434" i="4" s="1"/>
  <c r="L434" i="4"/>
  <c r="H434" i="4"/>
  <c r="I434" i="4" s="1"/>
  <c r="F434" i="4"/>
  <c r="C434" i="4"/>
  <c r="AC433" i="4"/>
  <c r="AA433" i="4"/>
  <c r="W433" i="4"/>
  <c r="X433" i="4" s="1"/>
  <c r="U433" i="4"/>
  <c r="R433" i="4"/>
  <c r="N433" i="4"/>
  <c r="O433" i="4" s="1"/>
  <c r="L433" i="4"/>
  <c r="I433" i="4"/>
  <c r="H433" i="4"/>
  <c r="F433" i="4"/>
  <c r="C433" i="4"/>
  <c r="AD432" i="4"/>
  <c r="AC432" i="4"/>
  <c r="AA432" i="4"/>
  <c r="W432" i="4"/>
  <c r="U432" i="4"/>
  <c r="R432" i="4"/>
  <c r="O432" i="4"/>
  <c r="N432" i="4"/>
  <c r="L432" i="4"/>
  <c r="I432" i="4"/>
  <c r="H432" i="4"/>
  <c r="F432" i="4"/>
  <c r="C432" i="4"/>
  <c r="Z429" i="4"/>
  <c r="AA429" i="4" s="1"/>
  <c r="U429" i="4"/>
  <c r="T429" i="4"/>
  <c r="Q429" i="4"/>
  <c r="L429" i="4"/>
  <c r="K429" i="4"/>
  <c r="F429" i="4"/>
  <c r="E429" i="4"/>
  <c r="C429" i="4"/>
  <c r="B429" i="4"/>
  <c r="H429" i="4" s="1"/>
  <c r="I429" i="4" s="1"/>
  <c r="AA428" i="4"/>
  <c r="Z428" i="4"/>
  <c r="T428" i="4"/>
  <c r="R428" i="4"/>
  <c r="Q428" i="4"/>
  <c r="AC428" i="4" s="1"/>
  <c r="AD428" i="4" s="1"/>
  <c r="K428" i="4"/>
  <c r="L428" i="4" s="1"/>
  <c r="I428" i="4"/>
  <c r="H428" i="4"/>
  <c r="F428" i="4"/>
  <c r="E428" i="4"/>
  <c r="C428" i="4"/>
  <c r="B428" i="4"/>
  <c r="N428" i="4" s="1"/>
  <c r="O428" i="4" s="1"/>
  <c r="AC427" i="4"/>
  <c r="AD427" i="4" s="1"/>
  <c r="AA427" i="4"/>
  <c r="W427" i="4"/>
  <c r="X427" i="4" s="1"/>
  <c r="U427" i="4"/>
  <c r="R427" i="4"/>
  <c r="N427" i="4"/>
  <c r="O427" i="4" s="1"/>
  <c r="L427" i="4"/>
  <c r="H427" i="4"/>
  <c r="I427" i="4" s="1"/>
  <c r="F427" i="4"/>
  <c r="C427" i="4"/>
  <c r="AC426" i="4"/>
  <c r="AA426" i="4"/>
  <c r="W426" i="4"/>
  <c r="X426" i="4" s="1"/>
  <c r="U426" i="4"/>
  <c r="R426" i="4"/>
  <c r="N426" i="4"/>
  <c r="O426" i="4" s="1"/>
  <c r="L426" i="4"/>
  <c r="H426" i="4"/>
  <c r="I426" i="4" s="1"/>
  <c r="F426" i="4"/>
  <c r="C426" i="4"/>
  <c r="AC425" i="4"/>
  <c r="AA425" i="4"/>
  <c r="W425" i="4"/>
  <c r="X425" i="4" s="1"/>
  <c r="U425" i="4"/>
  <c r="R425" i="4"/>
  <c r="N425" i="4"/>
  <c r="O425" i="4" s="1"/>
  <c r="L425" i="4"/>
  <c r="I425" i="4"/>
  <c r="H425" i="4"/>
  <c r="F425" i="4"/>
  <c r="C425" i="4"/>
  <c r="AD424" i="4"/>
  <c r="AC424" i="4"/>
  <c r="AA424" i="4"/>
  <c r="X424" i="4"/>
  <c r="W424" i="4"/>
  <c r="U424" i="4"/>
  <c r="R424" i="4"/>
  <c r="N424" i="4"/>
  <c r="O424" i="4" s="1"/>
  <c r="L424" i="4"/>
  <c r="H424" i="4"/>
  <c r="I424" i="4" s="1"/>
  <c r="F424" i="4"/>
  <c r="C424" i="4"/>
  <c r="AC423" i="4"/>
  <c r="AA423" i="4"/>
  <c r="W423" i="4"/>
  <c r="X423" i="4" s="1"/>
  <c r="U423" i="4"/>
  <c r="R423" i="4"/>
  <c r="N423" i="4"/>
  <c r="O423" i="4" s="1"/>
  <c r="L423" i="4"/>
  <c r="H423" i="4"/>
  <c r="I423" i="4" s="1"/>
  <c r="F423" i="4"/>
  <c r="C423" i="4"/>
  <c r="AC422" i="4"/>
  <c r="AA422" i="4"/>
  <c r="X422" i="4"/>
  <c r="W422" i="4"/>
  <c r="U422" i="4"/>
  <c r="R422" i="4"/>
  <c r="N422" i="4"/>
  <c r="O422" i="4" s="1"/>
  <c r="L422" i="4"/>
  <c r="I422" i="4"/>
  <c r="H422" i="4"/>
  <c r="F422" i="4"/>
  <c r="C422" i="4"/>
  <c r="AC421" i="4"/>
  <c r="AD421" i="4" s="1"/>
  <c r="AA421" i="4"/>
  <c r="W421" i="4"/>
  <c r="X421" i="4" s="1"/>
  <c r="U421" i="4"/>
  <c r="R421" i="4"/>
  <c r="N421" i="4"/>
  <c r="O421" i="4" s="1"/>
  <c r="L421" i="4"/>
  <c r="I421" i="4"/>
  <c r="H421" i="4"/>
  <c r="F421" i="4"/>
  <c r="C421" i="4"/>
  <c r="AC420" i="4"/>
  <c r="AA420" i="4"/>
  <c r="W420" i="4"/>
  <c r="X420" i="4" s="1"/>
  <c r="U420" i="4"/>
  <c r="R420" i="4"/>
  <c r="O420" i="4"/>
  <c r="N420" i="4"/>
  <c r="L420" i="4"/>
  <c r="I420" i="4"/>
  <c r="H420" i="4"/>
  <c r="F420" i="4"/>
  <c r="C420" i="4"/>
  <c r="AC419" i="4"/>
  <c r="AD419" i="4" s="1"/>
  <c r="AA419" i="4"/>
  <c r="W419" i="4"/>
  <c r="X419" i="4" s="1"/>
  <c r="U419" i="4"/>
  <c r="R419" i="4"/>
  <c r="N419" i="4"/>
  <c r="O419" i="4" s="1"/>
  <c r="L419" i="4"/>
  <c r="I419" i="4"/>
  <c r="H419" i="4"/>
  <c r="F419" i="4"/>
  <c r="C419" i="4"/>
  <c r="AC418" i="4"/>
  <c r="AA418" i="4"/>
  <c r="W418" i="4"/>
  <c r="X418" i="4" s="1"/>
  <c r="U418" i="4"/>
  <c r="R418" i="4"/>
  <c r="O418" i="4"/>
  <c r="N418" i="4"/>
  <c r="L418" i="4"/>
  <c r="I418" i="4"/>
  <c r="H418" i="4"/>
  <c r="F418" i="4"/>
  <c r="C418" i="4"/>
  <c r="AC417" i="4"/>
  <c r="AD417" i="4" s="1"/>
  <c r="AA417" i="4"/>
  <c r="W417" i="4"/>
  <c r="X417" i="4" s="1"/>
  <c r="U417" i="4"/>
  <c r="R417" i="4"/>
  <c r="N417" i="4"/>
  <c r="O417" i="4" s="1"/>
  <c r="L417" i="4"/>
  <c r="I417" i="4"/>
  <c r="H417" i="4"/>
  <c r="F417" i="4"/>
  <c r="C417" i="4"/>
  <c r="AC416" i="4"/>
  <c r="AD416" i="4" s="1"/>
  <c r="AA416" i="4"/>
  <c r="W416" i="4"/>
  <c r="X416" i="4" s="1"/>
  <c r="U416" i="4"/>
  <c r="R416" i="4"/>
  <c r="O416" i="4"/>
  <c r="N416" i="4"/>
  <c r="L416" i="4"/>
  <c r="I416" i="4"/>
  <c r="H416" i="4"/>
  <c r="F416" i="4"/>
  <c r="C416" i="4"/>
  <c r="AC415" i="4"/>
  <c r="AD415" i="4" s="1"/>
  <c r="AA415" i="4"/>
  <c r="W415" i="4"/>
  <c r="X415" i="4" s="1"/>
  <c r="U415" i="4"/>
  <c r="R415" i="4"/>
  <c r="N415" i="4"/>
  <c r="O415" i="4" s="1"/>
  <c r="L415" i="4"/>
  <c r="I415" i="4"/>
  <c r="H415" i="4"/>
  <c r="F415" i="4"/>
  <c r="C415" i="4"/>
  <c r="AC414" i="4"/>
  <c r="AA414" i="4"/>
  <c r="W414" i="4"/>
  <c r="X414" i="4" s="1"/>
  <c r="U414" i="4"/>
  <c r="R414" i="4"/>
  <c r="O414" i="4"/>
  <c r="N414" i="4"/>
  <c r="L414" i="4"/>
  <c r="H414" i="4"/>
  <c r="I414" i="4" s="1"/>
  <c r="F414" i="4"/>
  <c r="C414" i="4"/>
  <c r="AC413" i="4"/>
  <c r="AD413" i="4" s="1"/>
  <c r="AA413" i="4"/>
  <c r="W413" i="4"/>
  <c r="X413" i="4" s="1"/>
  <c r="U413" i="4"/>
  <c r="R413" i="4"/>
  <c r="O413" i="4"/>
  <c r="N413" i="4"/>
  <c r="L413" i="4"/>
  <c r="I413" i="4"/>
  <c r="H413" i="4"/>
  <c r="F413" i="4"/>
  <c r="C413" i="4"/>
  <c r="AC412" i="4"/>
  <c r="AD412" i="4" s="1"/>
  <c r="AA412" i="4"/>
  <c r="X412" i="4"/>
  <c r="W412" i="4"/>
  <c r="U412" i="4"/>
  <c r="R412" i="4"/>
  <c r="N412" i="4"/>
  <c r="O412" i="4" s="1"/>
  <c r="L412" i="4"/>
  <c r="H412" i="4"/>
  <c r="I412" i="4" s="1"/>
  <c r="F412" i="4"/>
  <c r="C412" i="4"/>
  <c r="AD411" i="4"/>
  <c r="AC411" i="4"/>
  <c r="AA411" i="4"/>
  <c r="X411" i="4"/>
  <c r="W411" i="4"/>
  <c r="U411" i="4"/>
  <c r="R411" i="4"/>
  <c r="N411" i="4"/>
  <c r="O411" i="4" s="1"/>
  <c r="L411" i="4"/>
  <c r="H411" i="4"/>
  <c r="I411" i="4" s="1"/>
  <c r="F411" i="4"/>
  <c r="C411" i="4"/>
  <c r="AD410" i="4"/>
  <c r="AC410" i="4"/>
  <c r="AA410" i="4"/>
  <c r="X410" i="4"/>
  <c r="W410" i="4"/>
  <c r="U410" i="4"/>
  <c r="R410" i="4"/>
  <c r="N410" i="4"/>
  <c r="O410" i="4" s="1"/>
  <c r="L410" i="4"/>
  <c r="H410" i="4"/>
  <c r="I410" i="4" s="1"/>
  <c r="F410" i="4"/>
  <c r="C410" i="4"/>
  <c r="AD409" i="4"/>
  <c r="AC409" i="4"/>
  <c r="AA409" i="4"/>
  <c r="W409" i="4"/>
  <c r="X409" i="4" s="1"/>
  <c r="U409" i="4"/>
  <c r="R409" i="4"/>
  <c r="N409" i="4"/>
  <c r="O409" i="4" s="1"/>
  <c r="L409" i="4"/>
  <c r="I409" i="4"/>
  <c r="H409" i="4"/>
  <c r="F409" i="4"/>
  <c r="C409" i="4"/>
  <c r="AD408" i="4"/>
  <c r="AC408" i="4"/>
  <c r="AA408" i="4"/>
  <c r="X408" i="4"/>
  <c r="W408" i="4"/>
  <c r="U408" i="4"/>
  <c r="R408" i="4"/>
  <c r="N408" i="4"/>
  <c r="O408" i="4" s="1"/>
  <c r="L408" i="4"/>
  <c r="H408" i="4"/>
  <c r="I408" i="4" s="1"/>
  <c r="F408" i="4"/>
  <c r="C408" i="4"/>
  <c r="AD407" i="4"/>
  <c r="AC407" i="4"/>
  <c r="AA407" i="4"/>
  <c r="W407" i="4"/>
  <c r="X407" i="4" s="1"/>
  <c r="U407" i="4"/>
  <c r="R407" i="4"/>
  <c r="N407" i="4"/>
  <c r="O407" i="4" s="1"/>
  <c r="L407" i="4"/>
  <c r="H407" i="4"/>
  <c r="I407" i="4" s="1"/>
  <c r="F407" i="4"/>
  <c r="C407" i="4"/>
  <c r="AC403" i="4"/>
  <c r="AD403" i="4" s="1"/>
  <c r="AA403" i="4"/>
  <c r="Z403" i="4"/>
  <c r="T403" i="4"/>
  <c r="U403" i="4" s="1"/>
  <c r="R403" i="4"/>
  <c r="Q403" i="4"/>
  <c r="W403" i="4" s="1"/>
  <c r="X403" i="4" s="1"/>
  <c r="L403" i="4"/>
  <c r="K403" i="4"/>
  <c r="E403" i="4"/>
  <c r="C403" i="4"/>
  <c r="B403" i="4"/>
  <c r="N403" i="4" s="1"/>
  <c r="O403" i="4" s="1"/>
  <c r="AC402" i="4"/>
  <c r="AA402" i="4"/>
  <c r="W402" i="4"/>
  <c r="X402" i="4" s="1"/>
  <c r="U402" i="4"/>
  <c r="R402" i="4"/>
  <c r="O402" i="4"/>
  <c r="N402" i="4"/>
  <c r="L402" i="4"/>
  <c r="H402" i="4"/>
  <c r="I402" i="4" s="1"/>
  <c r="F402" i="4"/>
  <c r="C402" i="4"/>
  <c r="AC401" i="4"/>
  <c r="AD401" i="4" s="1"/>
  <c r="AA401" i="4"/>
  <c r="W401" i="4"/>
  <c r="X401" i="4" s="1"/>
  <c r="U401" i="4"/>
  <c r="R401" i="4"/>
  <c r="N401" i="4"/>
  <c r="O401" i="4" s="1"/>
  <c r="L401" i="4"/>
  <c r="I401" i="4"/>
  <c r="H401" i="4"/>
  <c r="F401" i="4"/>
  <c r="C401" i="4"/>
  <c r="AD400" i="4"/>
  <c r="AC400" i="4"/>
  <c r="AA400" i="4"/>
  <c r="W400" i="4"/>
  <c r="X400" i="4" s="1"/>
  <c r="U400" i="4"/>
  <c r="R400" i="4"/>
  <c r="N400" i="4"/>
  <c r="O400" i="4" s="1"/>
  <c r="L400" i="4"/>
  <c r="H400" i="4"/>
  <c r="I400" i="4" s="1"/>
  <c r="F400" i="4"/>
  <c r="C400" i="4"/>
  <c r="AD399" i="4"/>
  <c r="AC399" i="4"/>
  <c r="AA399" i="4"/>
  <c r="X399" i="4"/>
  <c r="W399" i="4"/>
  <c r="U399" i="4"/>
  <c r="R399" i="4"/>
  <c r="N399" i="4"/>
  <c r="O399" i="4" s="1"/>
  <c r="L399" i="4"/>
  <c r="H399" i="4"/>
  <c r="I399" i="4" s="1"/>
  <c r="F399" i="4"/>
  <c r="C399" i="4"/>
  <c r="AD398" i="4"/>
  <c r="AC398" i="4"/>
  <c r="AA398" i="4"/>
  <c r="X398" i="4"/>
  <c r="W398" i="4"/>
  <c r="U398" i="4"/>
  <c r="R398" i="4"/>
  <c r="O398" i="4"/>
  <c r="N398" i="4"/>
  <c r="L398" i="4"/>
  <c r="H398" i="4"/>
  <c r="I398" i="4" s="1"/>
  <c r="F398" i="4"/>
  <c r="C398" i="4"/>
  <c r="AD397" i="4"/>
  <c r="AC397" i="4"/>
  <c r="AA397" i="4"/>
  <c r="W397" i="4"/>
  <c r="X397" i="4" s="1"/>
  <c r="U397" i="4"/>
  <c r="R397" i="4"/>
  <c r="N397" i="4"/>
  <c r="O397" i="4" s="1"/>
  <c r="L397" i="4"/>
  <c r="I397" i="4"/>
  <c r="H397" i="4"/>
  <c r="F397" i="4"/>
  <c r="C397" i="4"/>
  <c r="Z396" i="4"/>
  <c r="AA396" i="4" s="1"/>
  <c r="U396" i="4"/>
  <c r="T396" i="4"/>
  <c r="Q396" i="4"/>
  <c r="N396" i="4"/>
  <c r="O396" i="4" s="1"/>
  <c r="L396" i="4"/>
  <c r="K396" i="4"/>
  <c r="E396" i="4"/>
  <c r="F396" i="4" s="1"/>
  <c r="C396" i="4"/>
  <c r="B396" i="4"/>
  <c r="H396" i="4" s="1"/>
  <c r="I396" i="4" s="1"/>
  <c r="AD395" i="4"/>
  <c r="AC395" i="4"/>
  <c r="AA395" i="4"/>
  <c r="X395" i="4"/>
  <c r="W395" i="4"/>
  <c r="U395" i="4"/>
  <c r="R395" i="4"/>
  <c r="N395" i="4"/>
  <c r="O395" i="4" s="1"/>
  <c r="L395" i="4"/>
  <c r="H395" i="4"/>
  <c r="I395" i="4" s="1"/>
  <c r="F395" i="4"/>
  <c r="C395" i="4"/>
  <c r="AD394" i="4"/>
  <c r="AC394" i="4"/>
  <c r="AA394" i="4"/>
  <c r="W394" i="4"/>
  <c r="X394" i="4" s="1"/>
  <c r="U394" i="4"/>
  <c r="R394" i="4"/>
  <c r="N394" i="4"/>
  <c r="O394" i="4" s="1"/>
  <c r="L394" i="4"/>
  <c r="I394" i="4"/>
  <c r="H394" i="4"/>
  <c r="F394" i="4"/>
  <c r="C394" i="4"/>
  <c r="AA393" i="4"/>
  <c r="Z393" i="4"/>
  <c r="U393" i="4"/>
  <c r="T393" i="4"/>
  <c r="R393" i="4"/>
  <c r="Q393" i="4"/>
  <c r="N393" i="4"/>
  <c r="O393" i="4" s="1"/>
  <c r="L393" i="4"/>
  <c r="K393" i="4"/>
  <c r="E393" i="4"/>
  <c r="H393" i="4" s="1"/>
  <c r="I393" i="4" s="1"/>
  <c r="B393" i="4"/>
  <c r="C393" i="4" s="1"/>
  <c r="AD392" i="4"/>
  <c r="AC392" i="4"/>
  <c r="AA392" i="4"/>
  <c r="W392" i="4"/>
  <c r="X392" i="4" s="1"/>
  <c r="U392" i="4"/>
  <c r="R392" i="4"/>
  <c r="N392" i="4"/>
  <c r="O392" i="4" s="1"/>
  <c r="L392" i="4"/>
  <c r="I392" i="4"/>
  <c r="H392" i="4"/>
  <c r="F392" i="4"/>
  <c r="C392" i="4"/>
  <c r="AC391" i="4"/>
  <c r="AD391" i="4" s="1"/>
  <c r="AA391" i="4"/>
  <c r="W391" i="4"/>
  <c r="X391" i="4" s="1"/>
  <c r="U391" i="4"/>
  <c r="R391" i="4"/>
  <c r="N391" i="4"/>
  <c r="O391" i="4" s="1"/>
  <c r="L391" i="4"/>
  <c r="I391" i="4"/>
  <c r="H391" i="4"/>
  <c r="F391" i="4"/>
  <c r="C391" i="4"/>
  <c r="AD390" i="4"/>
  <c r="AC390" i="4"/>
  <c r="AA390" i="4"/>
  <c r="W390" i="4"/>
  <c r="X390" i="4" s="1"/>
  <c r="U390" i="4"/>
  <c r="R390" i="4"/>
  <c r="N390" i="4"/>
  <c r="O390" i="4" s="1"/>
  <c r="L390" i="4"/>
  <c r="I390" i="4"/>
  <c r="H390" i="4"/>
  <c r="F390" i="4"/>
  <c r="C390" i="4"/>
  <c r="AC389" i="4"/>
  <c r="AD389" i="4" s="1"/>
  <c r="AA389" i="4"/>
  <c r="X389" i="4"/>
  <c r="W389" i="4"/>
  <c r="U389" i="4"/>
  <c r="R389" i="4"/>
  <c r="N389" i="4"/>
  <c r="O389" i="4" s="1"/>
  <c r="L389" i="4"/>
  <c r="H389" i="4"/>
  <c r="I389" i="4" s="1"/>
  <c r="F389" i="4"/>
  <c r="C389" i="4"/>
  <c r="AC388" i="4"/>
  <c r="AA388" i="4"/>
  <c r="X388" i="4"/>
  <c r="W388" i="4"/>
  <c r="U388" i="4"/>
  <c r="R388" i="4"/>
  <c r="O388" i="4"/>
  <c r="N388" i="4"/>
  <c r="L388" i="4"/>
  <c r="H388" i="4"/>
  <c r="I388" i="4" s="1"/>
  <c r="F388" i="4"/>
  <c r="C388" i="4"/>
  <c r="AD386" i="4"/>
  <c r="AC386" i="4"/>
  <c r="AA386" i="4"/>
  <c r="W386" i="4"/>
  <c r="X386" i="4" s="1"/>
  <c r="U386" i="4"/>
  <c r="R386" i="4"/>
  <c r="N386" i="4"/>
  <c r="O386" i="4" s="1"/>
  <c r="L386" i="4"/>
  <c r="I386" i="4"/>
  <c r="H386" i="4"/>
  <c r="F386" i="4"/>
  <c r="C386" i="4"/>
  <c r="AD385" i="4"/>
  <c r="AC385" i="4"/>
  <c r="AA385" i="4"/>
  <c r="X385" i="4"/>
  <c r="W385" i="4"/>
  <c r="U385" i="4"/>
  <c r="R385" i="4"/>
  <c r="N385" i="4"/>
  <c r="O385" i="4" s="1"/>
  <c r="L385" i="4"/>
  <c r="H385" i="4"/>
  <c r="I385" i="4" s="1"/>
  <c r="F385" i="4"/>
  <c r="C385" i="4"/>
  <c r="AD383" i="4"/>
  <c r="AC383" i="4"/>
  <c r="AA383" i="4"/>
  <c r="W383" i="4"/>
  <c r="X383" i="4" s="1"/>
  <c r="U383" i="4"/>
  <c r="R383" i="4"/>
  <c r="N383" i="4"/>
  <c r="O383" i="4" s="1"/>
  <c r="L383" i="4"/>
  <c r="H383" i="4"/>
  <c r="I383" i="4" s="1"/>
  <c r="F383" i="4"/>
  <c r="C383" i="4"/>
  <c r="AD382" i="4"/>
  <c r="AC382" i="4"/>
  <c r="AA382" i="4"/>
  <c r="X382" i="4"/>
  <c r="W382" i="4"/>
  <c r="U382" i="4"/>
  <c r="R382" i="4"/>
  <c r="N382" i="4"/>
  <c r="O382" i="4" s="1"/>
  <c r="L382" i="4"/>
  <c r="H382" i="4"/>
  <c r="I382" i="4" s="1"/>
  <c r="F382" i="4"/>
  <c r="C382" i="4"/>
  <c r="AC381" i="4"/>
  <c r="AD381" i="4" s="1"/>
  <c r="AA381" i="4"/>
  <c r="W381" i="4"/>
  <c r="X381" i="4" s="1"/>
  <c r="U381" i="4"/>
  <c r="R381" i="4"/>
  <c r="N381" i="4"/>
  <c r="O381" i="4" s="1"/>
  <c r="L381" i="4"/>
  <c r="I381" i="4"/>
  <c r="H381" i="4"/>
  <c r="F381" i="4"/>
  <c r="C381" i="4"/>
  <c r="AD380" i="4"/>
  <c r="AC380" i="4"/>
  <c r="AA380" i="4"/>
  <c r="W380" i="4"/>
  <c r="X380" i="4" s="1"/>
  <c r="U380" i="4"/>
  <c r="R380" i="4"/>
  <c r="N380" i="4"/>
  <c r="O380" i="4" s="1"/>
  <c r="L380" i="4"/>
  <c r="I380" i="4"/>
  <c r="H380" i="4"/>
  <c r="F380" i="4"/>
  <c r="C380" i="4"/>
  <c r="AD379" i="4"/>
  <c r="AC379" i="4"/>
  <c r="AA379" i="4"/>
  <c r="W379" i="4"/>
  <c r="X379" i="4" s="1"/>
  <c r="U379" i="4"/>
  <c r="R379" i="4"/>
  <c r="N379" i="4"/>
  <c r="O379" i="4" s="1"/>
  <c r="L379" i="4"/>
  <c r="H379" i="4"/>
  <c r="I379" i="4" s="1"/>
  <c r="F379" i="4"/>
  <c r="C379" i="4"/>
  <c r="AD378" i="4"/>
  <c r="AC378" i="4"/>
  <c r="AA378" i="4"/>
  <c r="X378" i="4"/>
  <c r="W378" i="4"/>
  <c r="U378" i="4"/>
  <c r="R378" i="4"/>
  <c r="O378" i="4"/>
  <c r="N378" i="4"/>
  <c r="L378" i="4"/>
  <c r="I378" i="4"/>
  <c r="H378" i="4"/>
  <c r="F378" i="4"/>
  <c r="C378" i="4"/>
  <c r="AC377" i="4"/>
  <c r="AD377" i="4" s="1"/>
  <c r="AA377" i="4"/>
  <c r="W377" i="4"/>
  <c r="X377" i="4" s="1"/>
  <c r="U377" i="4"/>
  <c r="R377" i="4"/>
  <c r="N377" i="4"/>
  <c r="O377" i="4" s="1"/>
  <c r="L377" i="4"/>
  <c r="I377" i="4"/>
  <c r="H377" i="4"/>
  <c r="F377" i="4"/>
  <c r="C377" i="4"/>
  <c r="AD376" i="4"/>
  <c r="AC376" i="4"/>
  <c r="AA376" i="4"/>
  <c r="W376" i="4"/>
  <c r="X376" i="4" s="1"/>
  <c r="U376" i="4"/>
  <c r="R376" i="4"/>
  <c r="O376" i="4"/>
  <c r="N376" i="4"/>
  <c r="L376" i="4"/>
  <c r="H376" i="4"/>
  <c r="I376" i="4" s="1"/>
  <c r="F376" i="4"/>
  <c r="C376" i="4"/>
  <c r="AC375" i="4"/>
  <c r="AD375" i="4" s="1"/>
  <c r="AA375" i="4"/>
  <c r="W375" i="4"/>
  <c r="X375" i="4" s="1"/>
  <c r="U375" i="4"/>
  <c r="R375" i="4"/>
  <c r="N375" i="4"/>
  <c r="O375" i="4" s="1"/>
  <c r="L375" i="4"/>
  <c r="I375" i="4"/>
  <c r="H375" i="4"/>
  <c r="F375" i="4"/>
  <c r="C375" i="4"/>
  <c r="AD374" i="4"/>
  <c r="AC374" i="4"/>
  <c r="AA374" i="4"/>
  <c r="X374" i="4"/>
  <c r="W374" i="4"/>
  <c r="U374" i="4"/>
  <c r="R374" i="4"/>
  <c r="N374" i="4"/>
  <c r="O374" i="4" s="1"/>
  <c r="L374" i="4"/>
  <c r="H374" i="4"/>
  <c r="I374" i="4" s="1"/>
  <c r="F374" i="4"/>
  <c r="C374" i="4"/>
  <c r="AC373" i="4"/>
  <c r="AD373" i="4" s="1"/>
  <c r="AA373" i="4"/>
  <c r="W373" i="4"/>
  <c r="X373" i="4" s="1"/>
  <c r="U373" i="4"/>
  <c r="R373" i="4"/>
  <c r="O373" i="4"/>
  <c r="N373" i="4"/>
  <c r="L373" i="4"/>
  <c r="I373" i="4"/>
  <c r="H373" i="4"/>
  <c r="F373" i="4"/>
  <c r="C373" i="4"/>
  <c r="AC372" i="4"/>
  <c r="AD372" i="4" s="1"/>
  <c r="AA372" i="4"/>
  <c r="W372" i="4"/>
  <c r="X372" i="4" s="1"/>
  <c r="U372" i="4"/>
  <c r="R372" i="4"/>
  <c r="N372" i="4"/>
  <c r="O372" i="4" s="1"/>
  <c r="L372" i="4"/>
  <c r="I372" i="4"/>
  <c r="H372" i="4"/>
  <c r="F372" i="4"/>
  <c r="C372" i="4"/>
  <c r="AD371" i="4"/>
  <c r="AC371" i="4"/>
  <c r="AA371" i="4"/>
  <c r="X371" i="4"/>
  <c r="W371" i="4"/>
  <c r="U371" i="4"/>
  <c r="R371" i="4"/>
  <c r="N371" i="4"/>
  <c r="O371" i="4" s="1"/>
  <c r="L371" i="4"/>
  <c r="H371" i="4"/>
  <c r="I371" i="4" s="1"/>
  <c r="F371" i="4"/>
  <c r="C371" i="4"/>
  <c r="AD370" i="4"/>
  <c r="AC370" i="4"/>
  <c r="AA370" i="4"/>
  <c r="X370" i="4"/>
  <c r="W370" i="4"/>
  <c r="U370" i="4"/>
  <c r="R370" i="4"/>
  <c r="O370" i="4"/>
  <c r="N370" i="4"/>
  <c r="L370" i="4"/>
  <c r="H370" i="4"/>
  <c r="I370" i="4" s="1"/>
  <c r="F370" i="4"/>
  <c r="C370" i="4"/>
  <c r="AD369" i="4"/>
  <c r="AC369" i="4"/>
  <c r="AA369" i="4"/>
  <c r="W369" i="4"/>
  <c r="X369" i="4" s="1"/>
  <c r="U369" i="4"/>
  <c r="R369" i="4"/>
  <c r="N369" i="4"/>
  <c r="O369" i="4" s="1"/>
  <c r="L369" i="4"/>
  <c r="I369" i="4"/>
  <c r="H369" i="4"/>
  <c r="F369" i="4"/>
  <c r="C369" i="4"/>
  <c r="AA368" i="4"/>
  <c r="Z368" i="4"/>
  <c r="T368" i="4"/>
  <c r="U368" i="4" s="1"/>
  <c r="Q368" i="4"/>
  <c r="W368" i="4" s="1"/>
  <c r="X368" i="4" s="1"/>
  <c r="L368" i="4"/>
  <c r="K368" i="4"/>
  <c r="E368" i="4"/>
  <c r="F368" i="4" s="1"/>
  <c r="B368" i="4"/>
  <c r="AD367" i="4"/>
  <c r="AC367" i="4"/>
  <c r="AA367" i="4"/>
  <c r="W367" i="4"/>
  <c r="X367" i="4" s="1"/>
  <c r="U367" i="4"/>
  <c r="R367" i="4"/>
  <c r="N367" i="4"/>
  <c r="O367" i="4" s="1"/>
  <c r="L367" i="4"/>
  <c r="H367" i="4"/>
  <c r="I367" i="4" s="1"/>
  <c r="F367" i="4"/>
  <c r="C367" i="4"/>
  <c r="AC366" i="4"/>
  <c r="AD366" i="4" s="1"/>
  <c r="AA366" i="4"/>
  <c r="W366" i="4"/>
  <c r="X366" i="4" s="1"/>
  <c r="U366" i="4"/>
  <c r="R366" i="4"/>
  <c r="N366" i="4"/>
  <c r="O366" i="4" s="1"/>
  <c r="L366" i="4"/>
  <c r="I366" i="4"/>
  <c r="H366" i="4"/>
  <c r="F366" i="4"/>
  <c r="C366" i="4"/>
  <c r="AC365" i="4"/>
  <c r="AD365" i="4" s="1"/>
  <c r="AA365" i="4"/>
  <c r="W365" i="4"/>
  <c r="X365" i="4" s="1"/>
  <c r="U365" i="4"/>
  <c r="R365" i="4"/>
  <c r="N365" i="4"/>
  <c r="O365" i="4" s="1"/>
  <c r="L365" i="4"/>
  <c r="I365" i="4"/>
  <c r="H365" i="4"/>
  <c r="F365" i="4"/>
  <c r="C365" i="4"/>
  <c r="AD364" i="4"/>
  <c r="AC364" i="4"/>
  <c r="AA364" i="4"/>
  <c r="W364" i="4"/>
  <c r="X364" i="4" s="1"/>
  <c r="U364" i="4"/>
  <c r="R364" i="4"/>
  <c r="N364" i="4"/>
  <c r="O364" i="4" s="1"/>
  <c r="L364" i="4"/>
  <c r="H364" i="4"/>
  <c r="I364" i="4" s="1"/>
  <c r="F364" i="4"/>
  <c r="C364" i="4"/>
  <c r="AD363" i="4"/>
  <c r="AC363" i="4"/>
  <c r="AA363" i="4"/>
  <c r="X363" i="4"/>
  <c r="W363" i="4"/>
  <c r="U363" i="4"/>
  <c r="R363" i="4"/>
  <c r="O363" i="4"/>
  <c r="N363" i="4"/>
  <c r="L363" i="4"/>
  <c r="I363" i="4"/>
  <c r="H363" i="4"/>
  <c r="F363" i="4"/>
  <c r="C363" i="4"/>
  <c r="AC362" i="4"/>
  <c r="AD362" i="4" s="1"/>
  <c r="AA362" i="4"/>
  <c r="W362" i="4"/>
  <c r="X362" i="4" s="1"/>
  <c r="U362" i="4"/>
  <c r="R362" i="4"/>
  <c r="N362" i="4"/>
  <c r="O362" i="4" s="1"/>
  <c r="L362" i="4"/>
  <c r="I362" i="4"/>
  <c r="H362" i="4"/>
  <c r="F362" i="4"/>
  <c r="C362" i="4"/>
  <c r="AD361" i="4"/>
  <c r="AC361" i="4"/>
  <c r="AA361" i="4"/>
  <c r="W361" i="4"/>
  <c r="X361" i="4" s="1"/>
  <c r="U361" i="4"/>
  <c r="R361" i="4"/>
  <c r="O361" i="4"/>
  <c r="N361" i="4"/>
  <c r="L361" i="4"/>
  <c r="H361" i="4"/>
  <c r="I361" i="4" s="1"/>
  <c r="F361" i="4"/>
  <c r="C361" i="4"/>
  <c r="AC360" i="4"/>
  <c r="AD360" i="4" s="1"/>
  <c r="AA360" i="4"/>
  <c r="W360" i="4"/>
  <c r="X360" i="4" s="1"/>
  <c r="U360" i="4"/>
  <c r="R360" i="4"/>
  <c r="N360" i="4"/>
  <c r="O360" i="4" s="1"/>
  <c r="L360" i="4"/>
  <c r="I360" i="4"/>
  <c r="H360" i="4"/>
  <c r="F360" i="4"/>
  <c r="C360" i="4"/>
  <c r="AA358" i="4"/>
  <c r="Z358" i="4"/>
  <c r="X358" i="4"/>
  <c r="W358" i="4"/>
  <c r="U358" i="4"/>
  <c r="T358" i="4"/>
  <c r="R358" i="4"/>
  <c r="Q358" i="4"/>
  <c r="AC358" i="4" s="1"/>
  <c r="AD358" i="4" s="1"/>
  <c r="K358" i="4"/>
  <c r="L358" i="4" s="1"/>
  <c r="I358" i="4"/>
  <c r="H358" i="4"/>
  <c r="F358" i="4"/>
  <c r="E358" i="4"/>
  <c r="C358" i="4"/>
  <c r="B358" i="4"/>
  <c r="AC357" i="4"/>
  <c r="AD357" i="4" s="1"/>
  <c r="AA357" i="4"/>
  <c r="W357" i="4"/>
  <c r="X357" i="4" s="1"/>
  <c r="U357" i="4"/>
  <c r="R357" i="4"/>
  <c r="N357" i="4"/>
  <c r="O357" i="4" s="1"/>
  <c r="L357" i="4"/>
  <c r="I357" i="4"/>
  <c r="H357" i="4"/>
  <c r="F357" i="4"/>
  <c r="C357" i="4"/>
  <c r="AD356" i="4"/>
  <c r="AC356" i="4"/>
  <c r="AA356" i="4"/>
  <c r="X356" i="4"/>
  <c r="W356" i="4"/>
  <c r="U356" i="4"/>
  <c r="R356" i="4"/>
  <c r="N356" i="4"/>
  <c r="O356" i="4" s="1"/>
  <c r="L356" i="4"/>
  <c r="H356" i="4"/>
  <c r="I356" i="4" s="1"/>
  <c r="F356" i="4"/>
  <c r="C356" i="4"/>
  <c r="AD355" i="4"/>
  <c r="AC355" i="4"/>
  <c r="AA355" i="4"/>
  <c r="X355" i="4"/>
  <c r="W355" i="4"/>
  <c r="U355" i="4"/>
  <c r="R355" i="4"/>
  <c r="O355" i="4"/>
  <c r="N355" i="4"/>
  <c r="L355" i="4"/>
  <c r="H355" i="4"/>
  <c r="I355" i="4" s="1"/>
  <c r="F355" i="4"/>
  <c r="C355" i="4"/>
  <c r="AD354" i="4"/>
  <c r="AC354" i="4"/>
  <c r="AA354" i="4"/>
  <c r="W354" i="4"/>
  <c r="X354" i="4" s="1"/>
  <c r="U354" i="4"/>
  <c r="R354" i="4"/>
  <c r="N354" i="4"/>
  <c r="O354" i="4" s="1"/>
  <c r="L354" i="4"/>
  <c r="I354" i="4"/>
  <c r="H354" i="4"/>
  <c r="F354" i="4"/>
  <c r="C354" i="4"/>
  <c r="AD353" i="4"/>
  <c r="AC353" i="4"/>
  <c r="AA353" i="4"/>
  <c r="X353" i="4"/>
  <c r="W353" i="4"/>
  <c r="U353" i="4"/>
  <c r="R353" i="4"/>
  <c r="N353" i="4"/>
  <c r="O353" i="4" s="1"/>
  <c r="L353" i="4"/>
  <c r="I353" i="4"/>
  <c r="H353" i="4"/>
  <c r="F353" i="4"/>
  <c r="C353" i="4"/>
  <c r="AC352" i="4"/>
  <c r="AD352" i="4" s="1"/>
  <c r="AA352" i="4"/>
  <c r="W352" i="4"/>
  <c r="X352" i="4" s="1"/>
  <c r="U352" i="4"/>
  <c r="R352" i="4"/>
  <c r="N352" i="4"/>
  <c r="O352" i="4" s="1"/>
  <c r="L352" i="4"/>
  <c r="H352" i="4"/>
  <c r="I352" i="4" s="1"/>
  <c r="F352" i="4"/>
  <c r="C352" i="4"/>
  <c r="AD351" i="4"/>
  <c r="AC351" i="4"/>
  <c r="AA351" i="4"/>
  <c r="W351" i="4"/>
  <c r="X351" i="4" s="1"/>
  <c r="U351" i="4"/>
  <c r="R351" i="4"/>
  <c r="O351" i="4"/>
  <c r="N351" i="4"/>
  <c r="L351" i="4"/>
  <c r="H351" i="4"/>
  <c r="I351" i="4" s="1"/>
  <c r="F351" i="4"/>
  <c r="C351" i="4"/>
  <c r="AC350" i="4"/>
  <c r="AD350" i="4" s="1"/>
  <c r="AA350" i="4"/>
  <c r="W350" i="4"/>
  <c r="X350" i="4" s="1"/>
  <c r="U350" i="4"/>
  <c r="R350" i="4"/>
  <c r="N350" i="4"/>
  <c r="O350" i="4" s="1"/>
  <c r="L350" i="4"/>
  <c r="I350" i="4"/>
  <c r="H350" i="4"/>
  <c r="F350" i="4"/>
  <c r="C350" i="4"/>
  <c r="AC349" i="4"/>
  <c r="AD349" i="4" s="1"/>
  <c r="AA349" i="4"/>
  <c r="W349" i="4"/>
  <c r="X349" i="4" s="1"/>
  <c r="U349" i="4"/>
  <c r="R349" i="4"/>
  <c r="N349" i="4"/>
  <c r="O349" i="4" s="1"/>
  <c r="L349" i="4"/>
  <c r="I349" i="4"/>
  <c r="H349" i="4"/>
  <c r="F349" i="4"/>
  <c r="C349" i="4"/>
  <c r="AD347" i="4"/>
  <c r="AC347" i="4"/>
  <c r="AA347" i="4"/>
  <c r="W347" i="4"/>
  <c r="X347" i="4" s="1"/>
  <c r="U347" i="4"/>
  <c r="R347" i="4"/>
  <c r="O347" i="4"/>
  <c r="N347" i="4"/>
  <c r="L347" i="4"/>
  <c r="H347" i="4"/>
  <c r="I347" i="4" s="1"/>
  <c r="F347" i="4"/>
  <c r="C347" i="4"/>
  <c r="Q345" i="4"/>
  <c r="AA344" i="4"/>
  <c r="Z344" i="4"/>
  <c r="X344" i="4"/>
  <c r="W344" i="4"/>
  <c r="U344" i="4"/>
  <c r="T344" i="4"/>
  <c r="Q344" i="4"/>
  <c r="R344" i="4" s="1"/>
  <c r="L344" i="4"/>
  <c r="K344" i="4"/>
  <c r="E344" i="4"/>
  <c r="H344" i="4" s="1"/>
  <c r="I344" i="4" s="1"/>
  <c r="C344" i="4"/>
  <c r="B344" i="4"/>
  <c r="AC343" i="4"/>
  <c r="AD343" i="4" s="1"/>
  <c r="AA343" i="4"/>
  <c r="Z343" i="4"/>
  <c r="U343" i="4"/>
  <c r="T343" i="4"/>
  <c r="R343" i="4"/>
  <c r="Q343" i="4"/>
  <c r="W343" i="4" s="1"/>
  <c r="X343" i="4" s="1"/>
  <c r="K343" i="4"/>
  <c r="L343" i="4" s="1"/>
  <c r="E343" i="4"/>
  <c r="F343" i="4" s="1"/>
  <c r="C343" i="4"/>
  <c r="B343" i="4"/>
  <c r="N343" i="4" s="1"/>
  <c r="O343" i="4" s="1"/>
  <c r="AA342" i="4"/>
  <c r="Z342" i="4"/>
  <c r="W342" i="4"/>
  <c r="X342" i="4" s="1"/>
  <c r="U342" i="4"/>
  <c r="T342" i="4"/>
  <c r="Q342" i="4"/>
  <c r="R342" i="4" s="1"/>
  <c r="K342" i="4"/>
  <c r="L342" i="4" s="1"/>
  <c r="E342" i="4"/>
  <c r="H342" i="4" s="1"/>
  <c r="I342" i="4" s="1"/>
  <c r="C342" i="4"/>
  <c r="B342" i="4"/>
  <c r="N342" i="4" s="1"/>
  <c r="O342" i="4" s="1"/>
  <c r="AD341" i="4"/>
  <c r="AC341" i="4"/>
  <c r="AA341" i="4"/>
  <c r="W341" i="4"/>
  <c r="X341" i="4" s="1"/>
  <c r="U341" i="4"/>
  <c r="R341" i="4"/>
  <c r="N341" i="4"/>
  <c r="O341" i="4" s="1"/>
  <c r="L341" i="4"/>
  <c r="I341" i="4"/>
  <c r="H341" i="4"/>
  <c r="F341" i="4"/>
  <c r="C341" i="4"/>
  <c r="AD340" i="4"/>
  <c r="AC340" i="4"/>
  <c r="AA340" i="4"/>
  <c r="X340" i="4"/>
  <c r="W340" i="4"/>
  <c r="U340" i="4"/>
  <c r="R340" i="4"/>
  <c r="O340" i="4"/>
  <c r="N340" i="4"/>
  <c r="L340" i="4"/>
  <c r="H340" i="4"/>
  <c r="I340" i="4" s="1"/>
  <c r="F340" i="4"/>
  <c r="C340" i="4"/>
  <c r="AC339" i="4"/>
  <c r="AD339" i="4" s="1"/>
  <c r="AA339" i="4"/>
  <c r="W339" i="4"/>
  <c r="X339" i="4" s="1"/>
  <c r="U339" i="4"/>
  <c r="R339" i="4"/>
  <c r="N339" i="4"/>
  <c r="O339" i="4" s="1"/>
  <c r="L339" i="4"/>
  <c r="I339" i="4"/>
  <c r="H339" i="4"/>
  <c r="F339" i="4"/>
  <c r="C339" i="4"/>
  <c r="AD338" i="4"/>
  <c r="AC338" i="4"/>
  <c r="AA338" i="4"/>
  <c r="X338" i="4"/>
  <c r="W338" i="4"/>
  <c r="U338" i="4"/>
  <c r="R338" i="4"/>
  <c r="O338" i="4"/>
  <c r="N338" i="4"/>
  <c r="L338" i="4"/>
  <c r="H338" i="4"/>
  <c r="I338" i="4" s="1"/>
  <c r="F338" i="4"/>
  <c r="C338" i="4"/>
  <c r="AD337" i="4"/>
  <c r="AC337" i="4"/>
  <c r="AA337" i="4"/>
  <c r="W337" i="4"/>
  <c r="X337" i="4" s="1"/>
  <c r="U337" i="4"/>
  <c r="R337" i="4"/>
  <c r="N337" i="4"/>
  <c r="O337" i="4" s="1"/>
  <c r="L337" i="4"/>
  <c r="I337" i="4"/>
  <c r="H337" i="4"/>
  <c r="F337" i="4"/>
  <c r="C337" i="4"/>
  <c r="AD335" i="4"/>
  <c r="AC335" i="4"/>
  <c r="AA335" i="4"/>
  <c r="X335" i="4"/>
  <c r="W335" i="4"/>
  <c r="U335" i="4"/>
  <c r="R335" i="4"/>
  <c r="O335" i="4"/>
  <c r="N335" i="4"/>
  <c r="L335" i="4"/>
  <c r="I335" i="4"/>
  <c r="H335" i="4"/>
  <c r="F335" i="4"/>
  <c r="C335" i="4"/>
  <c r="AC334" i="4"/>
  <c r="AD334" i="4" s="1"/>
  <c r="AA334" i="4"/>
  <c r="W334" i="4"/>
  <c r="X334" i="4" s="1"/>
  <c r="U334" i="4"/>
  <c r="R334" i="4"/>
  <c r="N334" i="4"/>
  <c r="O334" i="4" s="1"/>
  <c r="L334" i="4"/>
  <c r="I334" i="4"/>
  <c r="H334" i="4"/>
  <c r="F334" i="4"/>
  <c r="C334" i="4"/>
  <c r="AD333" i="4"/>
  <c r="AC333" i="4"/>
  <c r="AA333" i="4"/>
  <c r="X333" i="4"/>
  <c r="W333" i="4"/>
  <c r="U333" i="4"/>
  <c r="R333" i="4"/>
  <c r="O333" i="4"/>
  <c r="N333" i="4"/>
  <c r="L333" i="4"/>
  <c r="H333" i="4"/>
  <c r="I333" i="4" s="1"/>
  <c r="F333" i="4"/>
  <c r="C333" i="4"/>
  <c r="AC332" i="4"/>
  <c r="AD332" i="4" s="1"/>
  <c r="AA332" i="4"/>
  <c r="W332" i="4"/>
  <c r="X332" i="4" s="1"/>
  <c r="U332" i="4"/>
  <c r="R332" i="4"/>
  <c r="N332" i="4"/>
  <c r="O332" i="4" s="1"/>
  <c r="L332" i="4"/>
  <c r="I332" i="4"/>
  <c r="H332" i="4"/>
  <c r="F332" i="4"/>
  <c r="C332" i="4"/>
  <c r="AD331" i="4"/>
  <c r="AC331" i="4"/>
  <c r="AA331" i="4"/>
  <c r="X331" i="4"/>
  <c r="W331" i="4"/>
  <c r="U331" i="4"/>
  <c r="R331" i="4"/>
  <c r="O331" i="4"/>
  <c r="N331" i="4"/>
  <c r="L331" i="4"/>
  <c r="I331" i="4"/>
  <c r="H331" i="4"/>
  <c r="F331" i="4"/>
  <c r="C331" i="4"/>
  <c r="AC330" i="4"/>
  <c r="AD330" i="4" s="1"/>
  <c r="AA330" i="4"/>
  <c r="W330" i="4"/>
  <c r="X330" i="4" s="1"/>
  <c r="U330" i="4"/>
  <c r="R330" i="4"/>
  <c r="N330" i="4"/>
  <c r="O330" i="4" s="1"/>
  <c r="L330" i="4"/>
  <c r="I330" i="4"/>
  <c r="H330" i="4"/>
  <c r="F330" i="4"/>
  <c r="C330" i="4"/>
  <c r="AD329" i="4"/>
  <c r="AC329" i="4"/>
  <c r="AA329" i="4"/>
  <c r="X329" i="4"/>
  <c r="W329" i="4"/>
  <c r="U329" i="4"/>
  <c r="R329" i="4"/>
  <c r="O329" i="4"/>
  <c r="N329" i="4"/>
  <c r="L329" i="4"/>
  <c r="H329" i="4"/>
  <c r="I329" i="4" s="1"/>
  <c r="F329" i="4"/>
  <c r="C329" i="4"/>
  <c r="AC328" i="4"/>
  <c r="AD328" i="4" s="1"/>
  <c r="AA328" i="4"/>
  <c r="W328" i="4"/>
  <c r="X328" i="4" s="1"/>
  <c r="U328" i="4"/>
  <c r="R328" i="4"/>
  <c r="N328" i="4"/>
  <c r="O328" i="4" s="1"/>
  <c r="L328" i="4"/>
  <c r="I328" i="4"/>
  <c r="H328" i="4"/>
  <c r="F328" i="4"/>
  <c r="C328" i="4"/>
  <c r="Z325" i="4"/>
  <c r="AA325" i="4" s="1"/>
  <c r="T325" i="4"/>
  <c r="W325" i="4" s="1"/>
  <c r="X325" i="4" s="1"/>
  <c r="R325" i="4"/>
  <c r="Q325" i="4"/>
  <c r="O325" i="4"/>
  <c r="N325" i="4"/>
  <c r="K325" i="4"/>
  <c r="L325" i="4" s="1"/>
  <c r="F325" i="4"/>
  <c r="E325" i="4"/>
  <c r="B325" i="4"/>
  <c r="H325" i="4" s="1"/>
  <c r="I325" i="4" s="1"/>
  <c r="Z324" i="4"/>
  <c r="AA324" i="4" s="1"/>
  <c r="T324" i="4"/>
  <c r="U324" i="4" s="1"/>
  <c r="Q324" i="4"/>
  <c r="R324" i="4" s="1"/>
  <c r="L324" i="4"/>
  <c r="K324" i="4"/>
  <c r="H324" i="4"/>
  <c r="I324" i="4" s="1"/>
  <c r="E324" i="4"/>
  <c r="F324" i="4" s="1"/>
  <c r="B324" i="4"/>
  <c r="C324" i="4" s="1"/>
  <c r="AD323" i="4"/>
  <c r="AC323" i="4"/>
  <c r="AA323" i="4"/>
  <c r="X323" i="4"/>
  <c r="W323" i="4"/>
  <c r="U323" i="4"/>
  <c r="R323" i="4"/>
  <c r="O323" i="4"/>
  <c r="N323" i="4"/>
  <c r="L323" i="4"/>
  <c r="H323" i="4"/>
  <c r="I323" i="4" s="1"/>
  <c r="F323" i="4"/>
  <c r="C323" i="4"/>
  <c r="AC322" i="4"/>
  <c r="AD322" i="4" s="1"/>
  <c r="AA322" i="4"/>
  <c r="W322" i="4"/>
  <c r="X322" i="4" s="1"/>
  <c r="U322" i="4"/>
  <c r="R322" i="4"/>
  <c r="N322" i="4"/>
  <c r="O322" i="4" s="1"/>
  <c r="L322" i="4"/>
  <c r="I322" i="4"/>
  <c r="H322" i="4"/>
  <c r="F322" i="4"/>
  <c r="C322" i="4"/>
  <c r="AC321" i="4"/>
  <c r="AD321" i="4" s="1"/>
  <c r="AA321" i="4"/>
  <c r="X321" i="4"/>
  <c r="W321" i="4"/>
  <c r="U321" i="4"/>
  <c r="R321" i="4"/>
  <c r="O321" i="4"/>
  <c r="N321" i="4"/>
  <c r="L321" i="4"/>
  <c r="H321" i="4"/>
  <c r="I321" i="4" s="1"/>
  <c r="F321" i="4"/>
  <c r="C321" i="4"/>
  <c r="AD320" i="4"/>
  <c r="AC320" i="4"/>
  <c r="AA320" i="4"/>
  <c r="W320" i="4"/>
  <c r="X320" i="4" s="1"/>
  <c r="U320" i="4"/>
  <c r="R320" i="4"/>
  <c r="N320" i="4"/>
  <c r="O320" i="4" s="1"/>
  <c r="L320" i="4"/>
  <c r="H320" i="4"/>
  <c r="I320" i="4" s="1"/>
  <c r="F320" i="4"/>
  <c r="C320" i="4"/>
  <c r="AD319" i="4"/>
  <c r="AC319" i="4"/>
  <c r="AA319" i="4"/>
  <c r="X319" i="4"/>
  <c r="W319" i="4"/>
  <c r="U319" i="4"/>
  <c r="R319" i="4"/>
  <c r="O319" i="4"/>
  <c r="N319" i="4"/>
  <c r="L319" i="4"/>
  <c r="H319" i="4"/>
  <c r="I319" i="4" s="1"/>
  <c r="F319" i="4"/>
  <c r="C319" i="4"/>
  <c r="AC318" i="4"/>
  <c r="AD318" i="4" s="1"/>
  <c r="AA318" i="4"/>
  <c r="W318" i="4"/>
  <c r="X318" i="4" s="1"/>
  <c r="U318" i="4"/>
  <c r="R318" i="4"/>
  <c r="N318" i="4"/>
  <c r="O318" i="4" s="1"/>
  <c r="L318" i="4"/>
  <c r="I318" i="4"/>
  <c r="H318" i="4"/>
  <c r="F318" i="4"/>
  <c r="C318" i="4"/>
  <c r="AC317" i="4"/>
  <c r="AD317" i="4" s="1"/>
  <c r="AA317" i="4"/>
  <c r="X317" i="4"/>
  <c r="W317" i="4"/>
  <c r="U317" i="4"/>
  <c r="R317" i="4"/>
  <c r="O317" i="4"/>
  <c r="N317" i="4"/>
  <c r="L317" i="4"/>
  <c r="H317" i="4"/>
  <c r="I317" i="4" s="1"/>
  <c r="F317" i="4"/>
  <c r="C317" i="4"/>
  <c r="AD316" i="4"/>
  <c r="AC316" i="4"/>
  <c r="AA316" i="4"/>
  <c r="W316" i="4"/>
  <c r="X316" i="4" s="1"/>
  <c r="U316" i="4"/>
  <c r="R316" i="4"/>
  <c r="N316" i="4"/>
  <c r="O316" i="4" s="1"/>
  <c r="L316" i="4"/>
  <c r="I316" i="4"/>
  <c r="H316" i="4"/>
  <c r="F316" i="4"/>
  <c r="C316" i="4"/>
  <c r="AD315" i="4"/>
  <c r="AC315" i="4"/>
  <c r="AA315" i="4"/>
  <c r="X315" i="4"/>
  <c r="W315" i="4"/>
  <c r="U315" i="4"/>
  <c r="R315" i="4"/>
  <c r="O315" i="4"/>
  <c r="N315" i="4"/>
  <c r="L315" i="4"/>
  <c r="H315" i="4"/>
  <c r="I315" i="4" s="1"/>
  <c r="F315" i="4"/>
  <c r="C315" i="4"/>
  <c r="AC314" i="4"/>
  <c r="AD314" i="4" s="1"/>
  <c r="AA314" i="4"/>
  <c r="W314" i="4"/>
  <c r="X314" i="4" s="1"/>
  <c r="U314" i="4"/>
  <c r="R314" i="4"/>
  <c r="N314" i="4"/>
  <c r="O314" i="4" s="1"/>
  <c r="L314" i="4"/>
  <c r="I314" i="4"/>
  <c r="H314" i="4"/>
  <c r="F314" i="4"/>
  <c r="C314" i="4"/>
  <c r="AD313" i="4"/>
  <c r="AC313" i="4"/>
  <c r="AA313" i="4"/>
  <c r="X313" i="4"/>
  <c r="W313" i="4"/>
  <c r="U313" i="4"/>
  <c r="R313" i="4"/>
  <c r="O313" i="4"/>
  <c r="N313" i="4"/>
  <c r="L313" i="4"/>
  <c r="H313" i="4"/>
  <c r="I313" i="4" s="1"/>
  <c r="F313" i="4"/>
  <c r="C313" i="4"/>
  <c r="AC312" i="4"/>
  <c r="AD312" i="4" s="1"/>
  <c r="AA312" i="4"/>
  <c r="W312" i="4"/>
  <c r="X312" i="4" s="1"/>
  <c r="U312" i="4"/>
  <c r="R312" i="4"/>
  <c r="N312" i="4"/>
  <c r="O312" i="4" s="1"/>
  <c r="L312" i="4"/>
  <c r="H312" i="4"/>
  <c r="I312" i="4" s="1"/>
  <c r="F312" i="4"/>
  <c r="C312" i="4"/>
  <c r="AD311" i="4"/>
  <c r="AC311" i="4"/>
  <c r="AA311" i="4"/>
  <c r="X311" i="4"/>
  <c r="W311" i="4"/>
  <c r="U311" i="4"/>
  <c r="R311" i="4"/>
  <c r="O311" i="4"/>
  <c r="N311" i="4"/>
  <c r="L311" i="4"/>
  <c r="H311" i="4"/>
  <c r="I311" i="4" s="1"/>
  <c r="F311" i="4"/>
  <c r="C311" i="4"/>
  <c r="AC310" i="4"/>
  <c r="AD310" i="4" s="1"/>
  <c r="AA310" i="4"/>
  <c r="W310" i="4"/>
  <c r="X310" i="4" s="1"/>
  <c r="U310" i="4"/>
  <c r="R310" i="4"/>
  <c r="N310" i="4"/>
  <c r="O310" i="4" s="1"/>
  <c r="L310" i="4"/>
  <c r="I310" i="4"/>
  <c r="H310" i="4"/>
  <c r="F310" i="4"/>
  <c r="C310" i="4"/>
  <c r="AD309" i="4"/>
  <c r="AC309" i="4"/>
  <c r="AA309" i="4"/>
  <c r="X309" i="4"/>
  <c r="W309" i="4"/>
  <c r="U309" i="4"/>
  <c r="R309" i="4"/>
  <c r="O309" i="4"/>
  <c r="N309" i="4"/>
  <c r="L309" i="4"/>
  <c r="H309" i="4"/>
  <c r="I309" i="4" s="1"/>
  <c r="F309" i="4"/>
  <c r="C309" i="4"/>
  <c r="AC308" i="4"/>
  <c r="AD308" i="4" s="1"/>
  <c r="AA308" i="4"/>
  <c r="W308" i="4"/>
  <c r="X308" i="4" s="1"/>
  <c r="U308" i="4"/>
  <c r="R308" i="4"/>
  <c r="N308" i="4"/>
  <c r="O308" i="4" s="1"/>
  <c r="L308" i="4"/>
  <c r="I308" i="4"/>
  <c r="H308" i="4"/>
  <c r="F308" i="4"/>
  <c r="C308" i="4"/>
  <c r="AD307" i="4"/>
  <c r="AC307" i="4"/>
  <c r="AA307" i="4"/>
  <c r="X307" i="4"/>
  <c r="W307" i="4"/>
  <c r="U307" i="4"/>
  <c r="R307" i="4"/>
  <c r="O307" i="4"/>
  <c r="N307" i="4"/>
  <c r="L307" i="4"/>
  <c r="H307" i="4"/>
  <c r="I307" i="4" s="1"/>
  <c r="F307" i="4"/>
  <c r="C307" i="4"/>
  <c r="AC306" i="4"/>
  <c r="AD306" i="4" s="1"/>
  <c r="AA306" i="4"/>
  <c r="W306" i="4"/>
  <c r="X306" i="4" s="1"/>
  <c r="U306" i="4"/>
  <c r="R306" i="4"/>
  <c r="N306" i="4"/>
  <c r="O306" i="4" s="1"/>
  <c r="L306" i="4"/>
  <c r="I306" i="4"/>
  <c r="H306" i="4"/>
  <c r="F306" i="4"/>
  <c r="C306" i="4"/>
  <c r="AD305" i="4"/>
  <c r="AC305" i="4"/>
  <c r="AA305" i="4"/>
  <c r="X305" i="4"/>
  <c r="W305" i="4"/>
  <c r="U305" i="4"/>
  <c r="R305" i="4"/>
  <c r="O305" i="4"/>
  <c r="N305" i="4"/>
  <c r="L305" i="4"/>
  <c r="H305" i="4"/>
  <c r="I305" i="4" s="1"/>
  <c r="F305" i="4"/>
  <c r="C305" i="4"/>
  <c r="AD304" i="4"/>
  <c r="AC304" i="4"/>
  <c r="AA304" i="4"/>
  <c r="W304" i="4"/>
  <c r="X304" i="4" s="1"/>
  <c r="U304" i="4"/>
  <c r="R304" i="4"/>
  <c r="N304" i="4"/>
  <c r="O304" i="4" s="1"/>
  <c r="L304" i="4"/>
  <c r="I304" i="4"/>
  <c r="H304" i="4"/>
  <c r="F304" i="4"/>
  <c r="C304" i="4"/>
  <c r="AD303" i="4"/>
  <c r="AC303" i="4"/>
  <c r="AA303" i="4"/>
  <c r="X303" i="4"/>
  <c r="W303" i="4"/>
  <c r="U303" i="4"/>
  <c r="R303" i="4"/>
  <c r="O303" i="4"/>
  <c r="N303" i="4"/>
  <c r="L303" i="4"/>
  <c r="H303" i="4"/>
  <c r="I303" i="4" s="1"/>
  <c r="F303" i="4"/>
  <c r="C303" i="4"/>
  <c r="AC302" i="4"/>
  <c r="AD302" i="4" s="1"/>
  <c r="AA302" i="4"/>
  <c r="W302" i="4"/>
  <c r="X302" i="4" s="1"/>
  <c r="U302" i="4"/>
  <c r="R302" i="4"/>
  <c r="N302" i="4"/>
  <c r="O302" i="4" s="1"/>
  <c r="L302" i="4"/>
  <c r="I302" i="4"/>
  <c r="H302" i="4"/>
  <c r="F302" i="4"/>
  <c r="C302" i="4"/>
  <c r="AD301" i="4"/>
  <c r="AC301" i="4"/>
  <c r="AA301" i="4"/>
  <c r="X301" i="4"/>
  <c r="W301" i="4"/>
  <c r="U301" i="4"/>
  <c r="R301" i="4"/>
  <c r="O301" i="4"/>
  <c r="N301" i="4"/>
  <c r="L301" i="4"/>
  <c r="H301" i="4"/>
  <c r="I301" i="4" s="1"/>
  <c r="F301" i="4"/>
  <c r="C301" i="4"/>
  <c r="AC300" i="4"/>
  <c r="AD300" i="4" s="1"/>
  <c r="AA300" i="4"/>
  <c r="W300" i="4"/>
  <c r="X300" i="4" s="1"/>
  <c r="U300" i="4"/>
  <c r="R300" i="4"/>
  <c r="N300" i="4"/>
  <c r="O300" i="4" s="1"/>
  <c r="L300" i="4"/>
  <c r="H300" i="4"/>
  <c r="I300" i="4" s="1"/>
  <c r="F300" i="4"/>
  <c r="C300" i="4"/>
  <c r="AD299" i="4"/>
  <c r="AC299" i="4"/>
  <c r="AA299" i="4"/>
  <c r="X299" i="4"/>
  <c r="W299" i="4"/>
  <c r="U299" i="4"/>
  <c r="R299" i="4"/>
  <c r="O299" i="4"/>
  <c r="N299" i="4"/>
  <c r="L299" i="4"/>
  <c r="I299" i="4"/>
  <c r="H299" i="4"/>
  <c r="F299" i="4"/>
  <c r="C299" i="4"/>
  <c r="AC298" i="4"/>
  <c r="AD298" i="4" s="1"/>
  <c r="AA298" i="4"/>
  <c r="W298" i="4"/>
  <c r="X298" i="4" s="1"/>
  <c r="U298" i="4"/>
  <c r="R298" i="4"/>
  <c r="N298" i="4"/>
  <c r="O298" i="4" s="1"/>
  <c r="L298" i="4"/>
  <c r="I298" i="4"/>
  <c r="H298" i="4"/>
  <c r="F298" i="4"/>
  <c r="C298" i="4"/>
  <c r="AD297" i="4"/>
  <c r="AC297" i="4"/>
  <c r="AA297" i="4"/>
  <c r="X297" i="4"/>
  <c r="W297" i="4"/>
  <c r="U297" i="4"/>
  <c r="R297" i="4"/>
  <c r="O297" i="4"/>
  <c r="N297" i="4"/>
  <c r="L297" i="4"/>
  <c r="H297" i="4"/>
  <c r="I297" i="4" s="1"/>
  <c r="F297" i="4"/>
  <c r="C297" i="4"/>
  <c r="AA295" i="4"/>
  <c r="Z295" i="4"/>
  <c r="U295" i="4"/>
  <c r="T295" i="4"/>
  <c r="Q295" i="4"/>
  <c r="W295" i="4" s="1"/>
  <c r="X295" i="4" s="1"/>
  <c r="K295" i="4"/>
  <c r="L295" i="4" s="1"/>
  <c r="E295" i="4"/>
  <c r="F295" i="4" s="1"/>
  <c r="B295" i="4"/>
  <c r="C295" i="4" s="1"/>
  <c r="AC294" i="4"/>
  <c r="AD294" i="4" s="1"/>
  <c r="AA294" i="4"/>
  <c r="W294" i="4"/>
  <c r="X294" i="4" s="1"/>
  <c r="U294" i="4"/>
  <c r="R294" i="4"/>
  <c r="N294" i="4"/>
  <c r="O294" i="4" s="1"/>
  <c r="L294" i="4"/>
  <c r="I294" i="4"/>
  <c r="H294" i="4"/>
  <c r="F294" i="4"/>
  <c r="C294" i="4"/>
  <c r="AC293" i="4"/>
  <c r="AD293" i="4" s="1"/>
  <c r="AA293" i="4"/>
  <c r="X293" i="4"/>
  <c r="W293" i="4"/>
  <c r="U293" i="4"/>
  <c r="R293" i="4"/>
  <c r="O293" i="4"/>
  <c r="N293" i="4"/>
  <c r="L293" i="4"/>
  <c r="H293" i="4"/>
  <c r="I293" i="4" s="1"/>
  <c r="F293" i="4"/>
  <c r="C293" i="4"/>
  <c r="AD292" i="4"/>
  <c r="AC292" i="4"/>
  <c r="AA292" i="4"/>
  <c r="W292" i="4"/>
  <c r="X292" i="4" s="1"/>
  <c r="U292" i="4"/>
  <c r="R292" i="4"/>
  <c r="N292" i="4"/>
  <c r="O292" i="4" s="1"/>
  <c r="L292" i="4"/>
  <c r="H292" i="4"/>
  <c r="I292" i="4" s="1"/>
  <c r="F292" i="4"/>
  <c r="C292" i="4"/>
  <c r="AD291" i="4"/>
  <c r="AC291" i="4"/>
  <c r="AA291" i="4"/>
  <c r="X291" i="4"/>
  <c r="W291" i="4"/>
  <c r="U291" i="4"/>
  <c r="R291" i="4"/>
  <c r="O291" i="4"/>
  <c r="N291" i="4"/>
  <c r="L291" i="4"/>
  <c r="I291" i="4"/>
  <c r="H291" i="4"/>
  <c r="F291" i="4"/>
  <c r="C291" i="4"/>
  <c r="AC290" i="4"/>
  <c r="AD290" i="4" s="1"/>
  <c r="AA290" i="4"/>
  <c r="W290" i="4"/>
  <c r="X290" i="4" s="1"/>
  <c r="U290" i="4"/>
  <c r="R290" i="4"/>
  <c r="N290" i="4"/>
  <c r="O290" i="4" s="1"/>
  <c r="L290" i="4"/>
  <c r="I290" i="4"/>
  <c r="H290" i="4"/>
  <c r="F290" i="4"/>
  <c r="C290" i="4"/>
  <c r="AD289" i="4"/>
  <c r="AC289" i="4"/>
  <c r="AA289" i="4"/>
  <c r="X289" i="4"/>
  <c r="W289" i="4"/>
  <c r="U289" i="4"/>
  <c r="R289" i="4"/>
  <c r="O289" i="4"/>
  <c r="N289" i="4"/>
  <c r="L289" i="4"/>
  <c r="H289" i="4"/>
  <c r="I289" i="4" s="1"/>
  <c r="F289" i="4"/>
  <c r="C289" i="4"/>
  <c r="AD288" i="4"/>
  <c r="AC288" i="4"/>
  <c r="AA288" i="4"/>
  <c r="W288" i="4"/>
  <c r="X288" i="4" s="1"/>
  <c r="U288" i="4"/>
  <c r="R288" i="4"/>
  <c r="N288" i="4"/>
  <c r="O288" i="4" s="1"/>
  <c r="L288" i="4"/>
  <c r="I288" i="4"/>
  <c r="H288" i="4"/>
  <c r="F288" i="4"/>
  <c r="C288" i="4"/>
  <c r="AD287" i="4"/>
  <c r="AC287" i="4"/>
  <c r="AA287" i="4"/>
  <c r="X287" i="4"/>
  <c r="W287" i="4"/>
  <c r="U287" i="4"/>
  <c r="R287" i="4"/>
  <c r="O287" i="4"/>
  <c r="N287" i="4"/>
  <c r="L287" i="4"/>
  <c r="I287" i="4"/>
  <c r="H287" i="4"/>
  <c r="F287" i="4"/>
  <c r="C287" i="4"/>
  <c r="AC286" i="4"/>
  <c r="AD286" i="4" s="1"/>
  <c r="AA286" i="4"/>
  <c r="W286" i="4"/>
  <c r="X286" i="4" s="1"/>
  <c r="U286" i="4"/>
  <c r="R286" i="4"/>
  <c r="N286" i="4"/>
  <c r="O286" i="4" s="1"/>
  <c r="L286" i="4"/>
  <c r="I286" i="4"/>
  <c r="H286" i="4"/>
  <c r="F286" i="4"/>
  <c r="C286" i="4"/>
  <c r="Z284" i="4"/>
  <c r="AA284" i="4" s="1"/>
  <c r="T284" i="4"/>
  <c r="U284" i="4" s="1"/>
  <c r="R284" i="4"/>
  <c r="Q284" i="4"/>
  <c r="AC284" i="4" s="1"/>
  <c r="AD284" i="4" s="1"/>
  <c r="L284" i="4"/>
  <c r="K284" i="4"/>
  <c r="I284" i="4"/>
  <c r="H284" i="4"/>
  <c r="F284" i="4"/>
  <c r="E284" i="4"/>
  <c r="B284" i="4"/>
  <c r="C284" i="4" s="1"/>
  <c r="AD283" i="4"/>
  <c r="AC283" i="4"/>
  <c r="AA283" i="4"/>
  <c r="X283" i="4"/>
  <c r="W283" i="4"/>
  <c r="U283" i="4"/>
  <c r="R283" i="4"/>
  <c r="O283" i="4"/>
  <c r="N283" i="4"/>
  <c r="L283" i="4"/>
  <c r="H283" i="4"/>
  <c r="I283" i="4" s="1"/>
  <c r="F283" i="4"/>
  <c r="C283" i="4"/>
  <c r="AC282" i="4"/>
  <c r="AD282" i="4" s="1"/>
  <c r="AA282" i="4"/>
  <c r="W282" i="4"/>
  <c r="X282" i="4" s="1"/>
  <c r="U282" i="4"/>
  <c r="R282" i="4"/>
  <c r="N282" i="4"/>
  <c r="O282" i="4" s="1"/>
  <c r="L282" i="4"/>
  <c r="I282" i="4"/>
  <c r="H282" i="4"/>
  <c r="F282" i="4"/>
  <c r="C282" i="4"/>
  <c r="AD281" i="4"/>
  <c r="AC281" i="4"/>
  <c r="AA281" i="4"/>
  <c r="X281" i="4"/>
  <c r="W281" i="4"/>
  <c r="U281" i="4"/>
  <c r="R281" i="4"/>
  <c r="O281" i="4"/>
  <c r="N281" i="4"/>
  <c r="L281" i="4"/>
  <c r="H281" i="4"/>
  <c r="I281" i="4" s="1"/>
  <c r="F281" i="4"/>
  <c r="C281" i="4"/>
  <c r="AC280" i="4"/>
  <c r="AD280" i="4" s="1"/>
  <c r="AA280" i="4"/>
  <c r="W280" i="4"/>
  <c r="X280" i="4" s="1"/>
  <c r="U280" i="4"/>
  <c r="R280" i="4"/>
  <c r="N280" i="4"/>
  <c r="O280" i="4" s="1"/>
  <c r="L280" i="4"/>
  <c r="I280" i="4"/>
  <c r="H280" i="4"/>
  <c r="F280" i="4"/>
  <c r="C280" i="4"/>
  <c r="AD279" i="4"/>
  <c r="AC279" i="4"/>
  <c r="AA279" i="4"/>
  <c r="X279" i="4"/>
  <c r="W279" i="4"/>
  <c r="U279" i="4"/>
  <c r="R279" i="4"/>
  <c r="O279" i="4"/>
  <c r="N279" i="4"/>
  <c r="L279" i="4"/>
  <c r="H279" i="4"/>
  <c r="I279" i="4" s="1"/>
  <c r="F279" i="4"/>
  <c r="C279" i="4"/>
  <c r="AC278" i="4"/>
  <c r="AD278" i="4" s="1"/>
  <c r="AA278" i="4"/>
  <c r="W278" i="4"/>
  <c r="X278" i="4" s="1"/>
  <c r="U278" i="4"/>
  <c r="R278" i="4"/>
  <c r="N278" i="4"/>
  <c r="O278" i="4" s="1"/>
  <c r="L278" i="4"/>
  <c r="I278" i="4"/>
  <c r="H278" i="4"/>
  <c r="F278" i="4"/>
  <c r="C278" i="4"/>
  <c r="AD277" i="4"/>
  <c r="AC277" i="4"/>
  <c r="AA277" i="4"/>
  <c r="X277" i="4"/>
  <c r="W277" i="4"/>
  <c r="U277" i="4"/>
  <c r="R277" i="4"/>
  <c r="O277" i="4"/>
  <c r="N277" i="4"/>
  <c r="L277" i="4"/>
  <c r="H277" i="4"/>
  <c r="I277" i="4" s="1"/>
  <c r="F277" i="4"/>
  <c r="C277" i="4"/>
  <c r="AD276" i="4"/>
  <c r="AC276" i="4"/>
  <c r="AA276" i="4"/>
  <c r="W276" i="4"/>
  <c r="X276" i="4" s="1"/>
  <c r="U276" i="4"/>
  <c r="R276" i="4"/>
  <c r="N276" i="4"/>
  <c r="O276" i="4" s="1"/>
  <c r="L276" i="4"/>
  <c r="I276" i="4"/>
  <c r="H276" i="4"/>
  <c r="F276" i="4"/>
  <c r="C276" i="4"/>
  <c r="AD275" i="4"/>
  <c r="AC275" i="4"/>
  <c r="AA275" i="4"/>
  <c r="X275" i="4"/>
  <c r="W275" i="4"/>
  <c r="U275" i="4"/>
  <c r="R275" i="4"/>
  <c r="O275" i="4"/>
  <c r="N275" i="4"/>
  <c r="L275" i="4"/>
  <c r="H275" i="4"/>
  <c r="I275" i="4" s="1"/>
  <c r="F275" i="4"/>
  <c r="C275" i="4"/>
  <c r="AA273" i="4"/>
  <c r="Z273" i="4"/>
  <c r="W273" i="4"/>
  <c r="X273" i="4" s="1"/>
  <c r="U273" i="4"/>
  <c r="T273" i="4"/>
  <c r="Q273" i="4"/>
  <c r="R273" i="4" s="1"/>
  <c r="K273" i="4"/>
  <c r="L273" i="4" s="1"/>
  <c r="E273" i="4"/>
  <c r="F273" i="4" s="1"/>
  <c r="C273" i="4"/>
  <c r="B273" i="4"/>
  <c r="H273" i="4" s="1"/>
  <c r="I273" i="4" s="1"/>
  <c r="AC272" i="4"/>
  <c r="AD272" i="4" s="1"/>
  <c r="AA272" i="4"/>
  <c r="W272" i="4"/>
  <c r="X272" i="4" s="1"/>
  <c r="U272" i="4"/>
  <c r="R272" i="4"/>
  <c r="N272" i="4"/>
  <c r="O272" i="4" s="1"/>
  <c r="L272" i="4"/>
  <c r="I272" i="4"/>
  <c r="H272" i="4"/>
  <c r="F272" i="4"/>
  <c r="C272" i="4"/>
  <c r="AD271" i="4"/>
  <c r="AC271" i="4"/>
  <c r="AA271" i="4"/>
  <c r="X271" i="4"/>
  <c r="W271" i="4"/>
  <c r="U271" i="4"/>
  <c r="R271" i="4"/>
  <c r="O271" i="4"/>
  <c r="N271" i="4"/>
  <c r="L271" i="4"/>
  <c r="H271" i="4"/>
  <c r="I271" i="4" s="1"/>
  <c r="F271" i="4"/>
  <c r="C271" i="4"/>
  <c r="AC270" i="4"/>
  <c r="AD270" i="4" s="1"/>
  <c r="AA270" i="4"/>
  <c r="W270" i="4"/>
  <c r="X270" i="4" s="1"/>
  <c r="U270" i="4"/>
  <c r="R270" i="4"/>
  <c r="N270" i="4"/>
  <c r="O270" i="4" s="1"/>
  <c r="L270" i="4"/>
  <c r="I270" i="4"/>
  <c r="H270" i="4"/>
  <c r="F270" i="4"/>
  <c r="C270" i="4"/>
  <c r="AD269" i="4"/>
  <c r="AC269" i="4"/>
  <c r="AA269" i="4"/>
  <c r="X269" i="4"/>
  <c r="W269" i="4"/>
  <c r="U269" i="4"/>
  <c r="R269" i="4"/>
  <c r="O269" i="4"/>
  <c r="N269" i="4"/>
  <c r="L269" i="4"/>
  <c r="H269" i="4"/>
  <c r="I269" i="4" s="1"/>
  <c r="F269" i="4"/>
  <c r="C269" i="4"/>
  <c r="AA267" i="4"/>
  <c r="Z267" i="4"/>
  <c r="U267" i="4"/>
  <c r="T267" i="4"/>
  <c r="Q267" i="4"/>
  <c r="K267" i="4"/>
  <c r="L267" i="4" s="1"/>
  <c r="E267" i="4"/>
  <c r="F267" i="4" s="1"/>
  <c r="C267" i="4"/>
  <c r="B267" i="4"/>
  <c r="N267" i="4" s="1"/>
  <c r="O267" i="4" s="1"/>
  <c r="AC266" i="4"/>
  <c r="AD266" i="4" s="1"/>
  <c r="AA266" i="4"/>
  <c r="W266" i="4"/>
  <c r="X266" i="4" s="1"/>
  <c r="U266" i="4"/>
  <c r="R266" i="4"/>
  <c r="N266" i="4"/>
  <c r="O266" i="4" s="1"/>
  <c r="L266" i="4"/>
  <c r="I266" i="4"/>
  <c r="H266" i="4"/>
  <c r="F266" i="4"/>
  <c r="C266" i="4"/>
  <c r="AD265" i="4"/>
  <c r="AC265" i="4"/>
  <c r="AA265" i="4"/>
  <c r="X265" i="4"/>
  <c r="W265" i="4"/>
  <c r="U265" i="4"/>
  <c r="R265" i="4"/>
  <c r="O265" i="4"/>
  <c r="N265" i="4"/>
  <c r="L265" i="4"/>
  <c r="H265" i="4"/>
  <c r="I265" i="4" s="1"/>
  <c r="F265" i="4"/>
  <c r="C265" i="4"/>
  <c r="AC263" i="4"/>
  <c r="AD263" i="4" s="1"/>
  <c r="AA263" i="4"/>
  <c r="Z263" i="4"/>
  <c r="U263" i="4"/>
  <c r="T263" i="4"/>
  <c r="R263" i="4"/>
  <c r="Q263" i="4"/>
  <c r="W263" i="4" s="1"/>
  <c r="X263" i="4" s="1"/>
  <c r="K263" i="4"/>
  <c r="L263" i="4" s="1"/>
  <c r="F263" i="4"/>
  <c r="E263" i="4"/>
  <c r="H263" i="4" s="1"/>
  <c r="I263" i="4" s="1"/>
  <c r="C263" i="4"/>
  <c r="B263" i="4"/>
  <c r="N263" i="4" s="1"/>
  <c r="O263" i="4" s="1"/>
  <c r="AA262" i="4"/>
  <c r="Z262" i="4"/>
  <c r="W262" i="4"/>
  <c r="X262" i="4" s="1"/>
  <c r="U262" i="4"/>
  <c r="T262" i="4"/>
  <c r="Q262" i="4"/>
  <c r="R262" i="4" s="1"/>
  <c r="K262" i="4"/>
  <c r="L262" i="4" s="1"/>
  <c r="E262" i="4"/>
  <c r="F262" i="4" s="1"/>
  <c r="C262" i="4"/>
  <c r="B262" i="4"/>
  <c r="H262" i="4" s="1"/>
  <c r="I262" i="4" s="1"/>
  <c r="AC261" i="4"/>
  <c r="AD261" i="4" s="1"/>
  <c r="AA261" i="4"/>
  <c r="W261" i="4"/>
  <c r="X261" i="4" s="1"/>
  <c r="U261" i="4"/>
  <c r="R261" i="4"/>
  <c r="N261" i="4"/>
  <c r="O261" i="4" s="1"/>
  <c r="L261" i="4"/>
  <c r="I261" i="4"/>
  <c r="H261" i="4"/>
  <c r="F261" i="4"/>
  <c r="C261" i="4"/>
  <c r="AD260" i="4"/>
  <c r="AC260" i="4"/>
  <c r="AA260" i="4"/>
  <c r="X260" i="4"/>
  <c r="W260" i="4"/>
  <c r="U260" i="4"/>
  <c r="R260" i="4"/>
  <c r="O260" i="4"/>
  <c r="N260" i="4"/>
  <c r="L260" i="4"/>
  <c r="H260" i="4"/>
  <c r="I260" i="4" s="1"/>
  <c r="F260" i="4"/>
  <c r="C260" i="4"/>
  <c r="AC259" i="4"/>
  <c r="AD259" i="4" s="1"/>
  <c r="AA259" i="4"/>
  <c r="W259" i="4"/>
  <c r="X259" i="4" s="1"/>
  <c r="U259" i="4"/>
  <c r="R259" i="4"/>
  <c r="N259" i="4"/>
  <c r="O259" i="4" s="1"/>
  <c r="L259" i="4"/>
  <c r="I259" i="4"/>
  <c r="H259" i="4"/>
  <c r="F259" i="4"/>
  <c r="C259" i="4"/>
  <c r="AD258" i="4"/>
  <c r="AC258" i="4"/>
  <c r="AA258" i="4"/>
  <c r="X258" i="4"/>
  <c r="W258" i="4"/>
  <c r="U258" i="4"/>
  <c r="R258" i="4"/>
  <c r="O258" i="4"/>
  <c r="N258" i="4"/>
  <c r="L258" i="4"/>
  <c r="H258" i="4"/>
  <c r="I258" i="4" s="1"/>
  <c r="F258" i="4"/>
  <c r="C258" i="4"/>
  <c r="AD257" i="4"/>
  <c r="AC257" i="4"/>
  <c r="AA257" i="4"/>
  <c r="W257" i="4"/>
  <c r="X257" i="4" s="1"/>
  <c r="U257" i="4"/>
  <c r="R257" i="4"/>
  <c r="N257" i="4"/>
  <c r="O257" i="4" s="1"/>
  <c r="L257" i="4"/>
  <c r="I257" i="4"/>
  <c r="H257" i="4"/>
  <c r="F257" i="4"/>
  <c r="C257" i="4"/>
  <c r="AD256" i="4"/>
  <c r="AC256" i="4"/>
  <c r="AA256" i="4"/>
  <c r="X256" i="4"/>
  <c r="W256" i="4"/>
  <c r="U256" i="4"/>
  <c r="R256" i="4"/>
  <c r="O256" i="4"/>
  <c r="N256" i="4"/>
  <c r="L256" i="4"/>
  <c r="H256" i="4"/>
  <c r="I256" i="4" s="1"/>
  <c r="F256" i="4"/>
  <c r="C256" i="4"/>
  <c r="AC255" i="4"/>
  <c r="AD255" i="4" s="1"/>
  <c r="AA255" i="4"/>
  <c r="W255" i="4"/>
  <c r="X255" i="4" s="1"/>
  <c r="U255" i="4"/>
  <c r="R255" i="4"/>
  <c r="N255" i="4"/>
  <c r="O255" i="4" s="1"/>
  <c r="L255" i="4"/>
  <c r="I255" i="4"/>
  <c r="H255" i="4"/>
  <c r="F255" i="4"/>
  <c r="C255" i="4"/>
  <c r="AD254" i="4"/>
  <c r="AC254" i="4"/>
  <c r="AA254" i="4"/>
  <c r="X254" i="4"/>
  <c r="W254" i="4"/>
  <c r="U254" i="4"/>
  <c r="R254" i="4"/>
  <c r="O254" i="4"/>
  <c r="N254" i="4"/>
  <c r="L254" i="4"/>
  <c r="H254" i="4"/>
  <c r="I254" i="4" s="1"/>
  <c r="F254" i="4"/>
  <c r="C254" i="4"/>
  <c r="AD253" i="4"/>
  <c r="AC253" i="4"/>
  <c r="AA253" i="4"/>
  <c r="W253" i="4"/>
  <c r="X253" i="4" s="1"/>
  <c r="U253" i="4"/>
  <c r="R253" i="4"/>
  <c r="N253" i="4"/>
  <c r="O253" i="4" s="1"/>
  <c r="L253" i="4"/>
  <c r="I253" i="4"/>
  <c r="H253" i="4"/>
  <c r="F253" i="4"/>
  <c r="C253" i="4"/>
  <c r="AD252" i="4"/>
  <c r="AC252" i="4"/>
  <c r="AA252" i="4"/>
  <c r="X252" i="4"/>
  <c r="W252" i="4"/>
  <c r="U252" i="4"/>
  <c r="R252" i="4"/>
  <c r="O252" i="4"/>
  <c r="N252" i="4"/>
  <c r="L252" i="4"/>
  <c r="I252" i="4"/>
  <c r="H252" i="4"/>
  <c r="F252" i="4"/>
  <c r="C252" i="4"/>
  <c r="AC251" i="4"/>
  <c r="AD251" i="4" s="1"/>
  <c r="AA251" i="4"/>
  <c r="W251" i="4"/>
  <c r="X251" i="4" s="1"/>
  <c r="U251" i="4"/>
  <c r="R251" i="4"/>
  <c r="N251" i="4"/>
  <c r="O251" i="4" s="1"/>
  <c r="L251" i="4"/>
  <c r="I251" i="4"/>
  <c r="H251" i="4"/>
  <c r="F251" i="4"/>
  <c r="C251" i="4"/>
  <c r="AD250" i="4"/>
  <c r="AC250" i="4"/>
  <c r="AA250" i="4"/>
  <c r="X250" i="4"/>
  <c r="W250" i="4"/>
  <c r="U250" i="4"/>
  <c r="R250" i="4"/>
  <c r="O250" i="4"/>
  <c r="N250" i="4"/>
  <c r="L250" i="4"/>
  <c r="H250" i="4"/>
  <c r="I250" i="4" s="1"/>
  <c r="F250" i="4"/>
  <c r="C250" i="4"/>
  <c r="AC249" i="4"/>
  <c r="AD249" i="4" s="1"/>
  <c r="AA249" i="4"/>
  <c r="W249" i="4"/>
  <c r="X249" i="4" s="1"/>
  <c r="U249" i="4"/>
  <c r="R249" i="4"/>
  <c r="N249" i="4"/>
  <c r="O249" i="4" s="1"/>
  <c r="L249" i="4"/>
  <c r="I249" i="4"/>
  <c r="H249" i="4"/>
  <c r="F249" i="4"/>
  <c r="C249" i="4"/>
  <c r="AD248" i="4"/>
  <c r="AC248" i="4"/>
  <c r="AA248" i="4"/>
  <c r="X248" i="4"/>
  <c r="W248" i="4"/>
  <c r="U248" i="4"/>
  <c r="R248" i="4"/>
  <c r="O248" i="4"/>
  <c r="N248" i="4"/>
  <c r="L248" i="4"/>
  <c r="I248" i="4"/>
  <c r="H248" i="4"/>
  <c r="F248" i="4"/>
  <c r="C248" i="4"/>
  <c r="AC247" i="4"/>
  <c r="AD247" i="4" s="1"/>
  <c r="AA247" i="4"/>
  <c r="W247" i="4"/>
  <c r="X247" i="4" s="1"/>
  <c r="U247" i="4"/>
  <c r="R247" i="4"/>
  <c r="N247" i="4"/>
  <c r="O247" i="4" s="1"/>
  <c r="L247" i="4"/>
  <c r="I247" i="4"/>
  <c r="H247" i="4"/>
  <c r="F247" i="4"/>
  <c r="C247" i="4"/>
  <c r="AD246" i="4"/>
  <c r="AC246" i="4"/>
  <c r="AA246" i="4"/>
  <c r="X246" i="4"/>
  <c r="W246" i="4"/>
  <c r="U246" i="4"/>
  <c r="R246" i="4"/>
  <c r="O246" i="4"/>
  <c r="N246" i="4"/>
  <c r="L246" i="4"/>
  <c r="H246" i="4"/>
  <c r="I246" i="4" s="1"/>
  <c r="F246" i="4"/>
  <c r="C246" i="4"/>
  <c r="AC245" i="4"/>
  <c r="AD245" i="4" s="1"/>
  <c r="AA245" i="4"/>
  <c r="W245" i="4"/>
  <c r="X245" i="4" s="1"/>
  <c r="U245" i="4"/>
  <c r="R245" i="4"/>
  <c r="N245" i="4"/>
  <c r="O245" i="4" s="1"/>
  <c r="L245" i="4"/>
  <c r="I245" i="4"/>
  <c r="H245" i="4"/>
  <c r="F245" i="4"/>
  <c r="C245" i="4"/>
  <c r="AD244" i="4"/>
  <c r="AC244" i="4"/>
  <c r="AA244" i="4"/>
  <c r="X244" i="4"/>
  <c r="W244" i="4"/>
  <c r="U244" i="4"/>
  <c r="R244" i="4"/>
  <c r="N244" i="4"/>
  <c r="O244" i="4" s="1"/>
  <c r="L244" i="4"/>
  <c r="H244" i="4"/>
  <c r="I244" i="4" s="1"/>
  <c r="F244" i="4"/>
  <c r="C244" i="4"/>
  <c r="AD243" i="4"/>
  <c r="AC243" i="4"/>
  <c r="AA243" i="4"/>
  <c r="W243" i="4"/>
  <c r="X243" i="4" s="1"/>
  <c r="U243" i="4"/>
  <c r="R243" i="4"/>
  <c r="N243" i="4"/>
  <c r="O243" i="4" s="1"/>
  <c r="L243" i="4"/>
  <c r="I243" i="4"/>
  <c r="H243" i="4"/>
  <c r="F243" i="4"/>
  <c r="C243" i="4"/>
  <c r="AD242" i="4"/>
  <c r="AC242" i="4"/>
  <c r="AA242" i="4"/>
  <c r="X242" i="4"/>
  <c r="W242" i="4"/>
  <c r="U242" i="4"/>
  <c r="R242" i="4"/>
  <c r="O242" i="4"/>
  <c r="N242" i="4"/>
  <c r="L242" i="4"/>
  <c r="H242" i="4"/>
  <c r="I242" i="4" s="1"/>
  <c r="F242" i="4"/>
  <c r="C242" i="4"/>
  <c r="AC241" i="4"/>
  <c r="AD241" i="4" s="1"/>
  <c r="AA241" i="4"/>
  <c r="W241" i="4"/>
  <c r="X241" i="4" s="1"/>
  <c r="U241" i="4"/>
  <c r="R241" i="4"/>
  <c r="N241" i="4"/>
  <c r="O241" i="4" s="1"/>
  <c r="L241" i="4"/>
  <c r="I241" i="4"/>
  <c r="H241" i="4"/>
  <c r="F241" i="4"/>
  <c r="C241" i="4"/>
  <c r="AD240" i="4"/>
  <c r="AC240" i="4"/>
  <c r="AA240" i="4"/>
  <c r="X240" i="4"/>
  <c r="W240" i="4"/>
  <c r="U240" i="4"/>
  <c r="R240" i="4"/>
  <c r="O240" i="4"/>
  <c r="N240" i="4"/>
  <c r="L240" i="4"/>
  <c r="I240" i="4"/>
  <c r="H240" i="4"/>
  <c r="F240" i="4"/>
  <c r="C240" i="4"/>
  <c r="AC238" i="4"/>
  <c r="AD238" i="4" s="1"/>
  <c r="AA238" i="4"/>
  <c r="W238" i="4"/>
  <c r="X238" i="4" s="1"/>
  <c r="U238" i="4"/>
  <c r="R238" i="4"/>
  <c r="N238" i="4"/>
  <c r="O238" i="4" s="1"/>
  <c r="L238" i="4"/>
  <c r="I238" i="4"/>
  <c r="H238" i="4"/>
  <c r="F238" i="4"/>
  <c r="C238" i="4"/>
  <c r="AA236" i="4"/>
  <c r="Z236" i="4"/>
  <c r="X236" i="4"/>
  <c r="U236" i="4"/>
  <c r="T236" i="4"/>
  <c r="W236" i="4" s="1"/>
  <c r="R236" i="4"/>
  <c r="Q236" i="4"/>
  <c r="AC236" i="4" s="1"/>
  <c r="AD236" i="4" s="1"/>
  <c r="L236" i="4"/>
  <c r="K236" i="4"/>
  <c r="F236" i="4"/>
  <c r="E236" i="4"/>
  <c r="C236" i="4"/>
  <c r="B236" i="4"/>
  <c r="N236" i="4" s="1"/>
  <c r="O236" i="4" s="1"/>
  <c r="AD235" i="4"/>
  <c r="AC235" i="4"/>
  <c r="AA235" i="4"/>
  <c r="X235" i="4"/>
  <c r="W235" i="4"/>
  <c r="U235" i="4"/>
  <c r="R235" i="4"/>
  <c r="O235" i="4"/>
  <c r="N235" i="4"/>
  <c r="L235" i="4"/>
  <c r="I235" i="4"/>
  <c r="H235" i="4"/>
  <c r="F235" i="4"/>
  <c r="C235" i="4"/>
  <c r="AD234" i="4"/>
  <c r="AC234" i="4"/>
  <c r="AA234" i="4"/>
  <c r="W234" i="4"/>
  <c r="X234" i="4" s="1"/>
  <c r="U234" i="4"/>
  <c r="R234" i="4"/>
  <c r="N234" i="4"/>
  <c r="O234" i="4" s="1"/>
  <c r="L234" i="4"/>
  <c r="I234" i="4"/>
  <c r="H234" i="4"/>
  <c r="F234" i="4"/>
  <c r="C234" i="4"/>
  <c r="AD233" i="4"/>
  <c r="AC233" i="4"/>
  <c r="AA233" i="4"/>
  <c r="W233" i="4"/>
  <c r="X233" i="4" s="1"/>
  <c r="U233" i="4"/>
  <c r="R233" i="4"/>
  <c r="O233" i="4"/>
  <c r="N233" i="4"/>
  <c r="L233" i="4"/>
  <c r="H233" i="4"/>
  <c r="I233" i="4" s="1"/>
  <c r="F233" i="4"/>
  <c r="C233" i="4"/>
  <c r="AC232" i="4"/>
  <c r="AD232" i="4" s="1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D231" i="4"/>
  <c r="AC231" i="4"/>
  <c r="AA231" i="4"/>
  <c r="X231" i="4"/>
  <c r="W231" i="4"/>
  <c r="U231" i="4"/>
  <c r="R231" i="4"/>
  <c r="N231" i="4"/>
  <c r="O231" i="4" s="1"/>
  <c r="L231" i="4"/>
  <c r="I231" i="4"/>
  <c r="H231" i="4"/>
  <c r="F231" i="4"/>
  <c r="C231" i="4"/>
  <c r="AD230" i="4"/>
  <c r="AC230" i="4"/>
  <c r="AA230" i="4"/>
  <c r="W230" i="4"/>
  <c r="X230" i="4" s="1"/>
  <c r="U230" i="4"/>
  <c r="R230" i="4"/>
  <c r="N230" i="4"/>
  <c r="O230" i="4" s="1"/>
  <c r="L230" i="4"/>
  <c r="I230" i="4"/>
  <c r="H230" i="4"/>
  <c r="F230" i="4"/>
  <c r="C230" i="4"/>
  <c r="AD229" i="4"/>
  <c r="AC229" i="4"/>
  <c r="AA229" i="4"/>
  <c r="W229" i="4"/>
  <c r="X229" i="4" s="1"/>
  <c r="U229" i="4"/>
  <c r="R229" i="4"/>
  <c r="O229" i="4"/>
  <c r="N229" i="4"/>
  <c r="L229" i="4"/>
  <c r="H229" i="4"/>
  <c r="I229" i="4" s="1"/>
  <c r="F229" i="4"/>
  <c r="C229" i="4"/>
  <c r="AA227" i="4"/>
  <c r="Z227" i="4"/>
  <c r="U227" i="4"/>
  <c r="T227" i="4"/>
  <c r="Q227" i="4"/>
  <c r="W227" i="4" s="1"/>
  <c r="X227" i="4" s="1"/>
  <c r="L227" i="4"/>
  <c r="K227" i="4"/>
  <c r="E227" i="4"/>
  <c r="H227" i="4" s="1"/>
  <c r="I227" i="4" s="1"/>
  <c r="C227" i="4"/>
  <c r="B227" i="4"/>
  <c r="N227" i="4" s="1"/>
  <c r="O227" i="4" s="1"/>
  <c r="AC226" i="4"/>
  <c r="AD226" i="4" s="1"/>
  <c r="AA226" i="4"/>
  <c r="W226" i="4"/>
  <c r="X226" i="4" s="1"/>
  <c r="U226" i="4"/>
  <c r="R226" i="4"/>
  <c r="N226" i="4"/>
  <c r="O226" i="4" s="1"/>
  <c r="L226" i="4"/>
  <c r="I226" i="4"/>
  <c r="H226" i="4"/>
  <c r="F226" i="4"/>
  <c r="C226" i="4"/>
  <c r="AD225" i="4"/>
  <c r="AC225" i="4"/>
  <c r="AA225" i="4"/>
  <c r="W225" i="4"/>
  <c r="X225" i="4" s="1"/>
  <c r="U225" i="4"/>
  <c r="R225" i="4"/>
  <c r="O225" i="4"/>
  <c r="N225" i="4"/>
  <c r="L225" i="4"/>
  <c r="H225" i="4"/>
  <c r="I225" i="4" s="1"/>
  <c r="F225" i="4"/>
  <c r="C225" i="4"/>
  <c r="AD224" i="4"/>
  <c r="AC224" i="4"/>
  <c r="AA224" i="4"/>
  <c r="W224" i="4"/>
  <c r="X224" i="4" s="1"/>
  <c r="U224" i="4"/>
  <c r="R224" i="4"/>
  <c r="N224" i="4"/>
  <c r="O224" i="4" s="1"/>
  <c r="L224" i="4"/>
  <c r="I224" i="4"/>
  <c r="H224" i="4"/>
  <c r="F224" i="4"/>
  <c r="C224" i="4"/>
  <c r="AD223" i="4"/>
  <c r="AC223" i="4"/>
  <c r="AA223" i="4"/>
  <c r="X223" i="4"/>
  <c r="W223" i="4"/>
  <c r="U223" i="4"/>
  <c r="R223" i="4"/>
  <c r="O223" i="4"/>
  <c r="N223" i="4"/>
  <c r="L223" i="4"/>
  <c r="H223" i="4"/>
  <c r="I223" i="4" s="1"/>
  <c r="F223" i="4"/>
  <c r="C223" i="4"/>
  <c r="AC222" i="4"/>
  <c r="AD222" i="4" s="1"/>
  <c r="AA222" i="4"/>
  <c r="W222" i="4"/>
  <c r="X222" i="4" s="1"/>
  <c r="U222" i="4"/>
  <c r="R222" i="4"/>
  <c r="N222" i="4"/>
  <c r="O222" i="4" s="1"/>
  <c r="L222" i="4"/>
  <c r="I222" i="4"/>
  <c r="H222" i="4"/>
  <c r="F222" i="4"/>
  <c r="C222" i="4"/>
  <c r="AD221" i="4"/>
  <c r="AC221" i="4"/>
  <c r="AA221" i="4"/>
  <c r="W221" i="4"/>
  <c r="X221" i="4" s="1"/>
  <c r="U221" i="4"/>
  <c r="R221" i="4"/>
  <c r="O221" i="4"/>
  <c r="N221" i="4"/>
  <c r="L221" i="4"/>
  <c r="I221" i="4"/>
  <c r="H221" i="4"/>
  <c r="F221" i="4"/>
  <c r="C221" i="4"/>
  <c r="AC220" i="4"/>
  <c r="AD220" i="4" s="1"/>
  <c r="AA220" i="4"/>
  <c r="W220" i="4"/>
  <c r="X220" i="4" s="1"/>
  <c r="U220" i="4"/>
  <c r="R220" i="4"/>
  <c r="N220" i="4"/>
  <c r="O220" i="4" s="1"/>
  <c r="L220" i="4"/>
  <c r="I220" i="4"/>
  <c r="H220" i="4"/>
  <c r="F220" i="4"/>
  <c r="C220" i="4"/>
  <c r="AD219" i="4"/>
  <c r="AC219" i="4"/>
  <c r="AA219" i="4"/>
  <c r="X219" i="4"/>
  <c r="W219" i="4"/>
  <c r="U219" i="4"/>
  <c r="R219" i="4"/>
  <c r="O219" i="4"/>
  <c r="N219" i="4"/>
  <c r="L219" i="4"/>
  <c r="H219" i="4"/>
  <c r="I219" i="4" s="1"/>
  <c r="F219" i="4"/>
  <c r="C219" i="4"/>
  <c r="AA218" i="4"/>
  <c r="Z218" i="4"/>
  <c r="U218" i="4"/>
  <c r="T218" i="4"/>
  <c r="Q218" i="4"/>
  <c r="W218" i="4" s="1"/>
  <c r="X218" i="4" s="1"/>
  <c r="K218" i="4"/>
  <c r="L218" i="4" s="1"/>
  <c r="F218" i="4"/>
  <c r="E218" i="4"/>
  <c r="C218" i="4"/>
  <c r="B218" i="4"/>
  <c r="H218" i="4" s="1"/>
  <c r="I218" i="4" s="1"/>
  <c r="AD217" i="4"/>
  <c r="AC217" i="4"/>
  <c r="AA217" i="4"/>
  <c r="W217" i="4"/>
  <c r="X217" i="4" s="1"/>
  <c r="U217" i="4"/>
  <c r="R217" i="4"/>
  <c r="N217" i="4"/>
  <c r="O217" i="4" s="1"/>
  <c r="L217" i="4"/>
  <c r="I217" i="4"/>
  <c r="H217" i="4"/>
  <c r="F217" i="4"/>
  <c r="C217" i="4"/>
  <c r="AD216" i="4"/>
  <c r="AC216" i="4"/>
  <c r="AA216" i="4"/>
  <c r="X216" i="4"/>
  <c r="W216" i="4"/>
  <c r="U216" i="4"/>
  <c r="R216" i="4"/>
  <c r="N216" i="4"/>
  <c r="O216" i="4" s="1"/>
  <c r="L216" i="4"/>
  <c r="I216" i="4"/>
  <c r="H216" i="4"/>
  <c r="F216" i="4"/>
  <c r="C216" i="4"/>
  <c r="AC215" i="4"/>
  <c r="AD215" i="4" s="1"/>
  <c r="AA215" i="4"/>
  <c r="W215" i="4"/>
  <c r="X215" i="4" s="1"/>
  <c r="U215" i="4"/>
  <c r="R215" i="4"/>
  <c r="N215" i="4"/>
  <c r="O215" i="4" s="1"/>
  <c r="L215" i="4"/>
  <c r="I215" i="4"/>
  <c r="H215" i="4"/>
  <c r="F215" i="4"/>
  <c r="C215" i="4"/>
  <c r="AD214" i="4"/>
  <c r="AC214" i="4"/>
  <c r="AA214" i="4"/>
  <c r="X214" i="4"/>
  <c r="W214" i="4"/>
  <c r="U214" i="4"/>
  <c r="R214" i="4"/>
  <c r="O214" i="4"/>
  <c r="N214" i="4"/>
  <c r="L214" i="4"/>
  <c r="I214" i="4"/>
  <c r="H214" i="4"/>
  <c r="F214" i="4"/>
  <c r="C214" i="4"/>
  <c r="AD213" i="4"/>
  <c r="AC213" i="4"/>
  <c r="AA213" i="4"/>
  <c r="W213" i="4"/>
  <c r="X213" i="4" s="1"/>
  <c r="U213" i="4"/>
  <c r="R213" i="4"/>
  <c r="N213" i="4"/>
  <c r="O213" i="4" s="1"/>
  <c r="L213" i="4"/>
  <c r="I213" i="4"/>
  <c r="H213" i="4"/>
  <c r="F213" i="4"/>
  <c r="C213" i="4"/>
  <c r="AD211" i="4"/>
  <c r="AC211" i="4"/>
  <c r="AA211" i="4"/>
  <c r="X211" i="4"/>
  <c r="W211" i="4"/>
  <c r="U211" i="4"/>
  <c r="R211" i="4"/>
  <c r="O211" i="4"/>
  <c r="N211" i="4"/>
  <c r="L211" i="4"/>
  <c r="H211" i="4"/>
  <c r="I211" i="4" s="1"/>
  <c r="F211" i="4"/>
  <c r="C211" i="4"/>
  <c r="AA209" i="4"/>
  <c r="Z209" i="4"/>
  <c r="U209" i="4"/>
  <c r="T209" i="4"/>
  <c r="Q209" i="4"/>
  <c r="W209" i="4" s="1"/>
  <c r="X209" i="4" s="1"/>
  <c r="L209" i="4"/>
  <c r="K209" i="4"/>
  <c r="E209" i="4"/>
  <c r="F209" i="4" s="1"/>
  <c r="C209" i="4"/>
  <c r="B209" i="4"/>
  <c r="H209" i="4" s="1"/>
  <c r="I209" i="4" s="1"/>
  <c r="AC208" i="4"/>
  <c r="AD208" i="4" s="1"/>
  <c r="AA208" i="4"/>
  <c r="W208" i="4"/>
  <c r="X208" i="4" s="1"/>
  <c r="U208" i="4"/>
  <c r="R208" i="4"/>
  <c r="N208" i="4"/>
  <c r="O208" i="4" s="1"/>
  <c r="L208" i="4"/>
  <c r="I208" i="4"/>
  <c r="H208" i="4"/>
  <c r="F208" i="4"/>
  <c r="C208" i="4"/>
  <c r="AD207" i="4"/>
  <c r="AC207" i="4"/>
  <c r="AA207" i="4"/>
  <c r="X207" i="4"/>
  <c r="W207" i="4"/>
  <c r="U207" i="4"/>
  <c r="R207" i="4"/>
  <c r="N207" i="4"/>
  <c r="O207" i="4" s="1"/>
  <c r="L207" i="4"/>
  <c r="H207" i="4"/>
  <c r="I207" i="4" s="1"/>
  <c r="F207" i="4"/>
  <c r="C207" i="4"/>
  <c r="AD206" i="4"/>
  <c r="AC206" i="4"/>
  <c r="AA206" i="4"/>
  <c r="W206" i="4"/>
  <c r="X206" i="4" s="1"/>
  <c r="U206" i="4"/>
  <c r="R206" i="4"/>
  <c r="N206" i="4"/>
  <c r="O206" i="4" s="1"/>
  <c r="L206" i="4"/>
  <c r="I206" i="4"/>
  <c r="H206" i="4"/>
  <c r="F206" i="4"/>
  <c r="C206" i="4"/>
  <c r="AC205" i="4"/>
  <c r="AD205" i="4" s="1"/>
  <c r="AA205" i="4"/>
  <c r="W205" i="4"/>
  <c r="X205" i="4" s="1"/>
  <c r="U205" i="4"/>
  <c r="R205" i="4"/>
  <c r="O205" i="4"/>
  <c r="N205" i="4"/>
  <c r="L205" i="4"/>
  <c r="I205" i="4"/>
  <c r="H205" i="4"/>
  <c r="F205" i="4"/>
  <c r="C205" i="4"/>
  <c r="AC204" i="4"/>
  <c r="AD204" i="4" s="1"/>
  <c r="AA204" i="4"/>
  <c r="W204" i="4"/>
  <c r="X204" i="4" s="1"/>
  <c r="U204" i="4"/>
  <c r="R204" i="4"/>
  <c r="N204" i="4"/>
  <c r="O204" i="4" s="1"/>
  <c r="L204" i="4"/>
  <c r="I204" i="4"/>
  <c r="H204" i="4"/>
  <c r="F204" i="4"/>
  <c r="C204" i="4"/>
  <c r="AD203" i="4"/>
  <c r="AC203" i="4"/>
  <c r="AA203" i="4"/>
  <c r="X203" i="4"/>
  <c r="W203" i="4"/>
  <c r="U203" i="4"/>
  <c r="R203" i="4"/>
  <c r="N203" i="4"/>
  <c r="O203" i="4" s="1"/>
  <c r="L203" i="4"/>
  <c r="I203" i="4"/>
  <c r="H203" i="4"/>
  <c r="F203" i="4"/>
  <c r="C203" i="4"/>
  <c r="AD202" i="4"/>
  <c r="AC202" i="4"/>
  <c r="AA202" i="4"/>
  <c r="W202" i="4"/>
  <c r="X202" i="4" s="1"/>
  <c r="U202" i="4"/>
  <c r="R202" i="4"/>
  <c r="N202" i="4"/>
  <c r="O202" i="4" s="1"/>
  <c r="L202" i="4"/>
  <c r="I202" i="4"/>
  <c r="H202" i="4"/>
  <c r="F202" i="4"/>
  <c r="C202" i="4"/>
  <c r="AD201" i="4"/>
  <c r="AC201" i="4"/>
  <c r="AA201" i="4"/>
  <c r="W201" i="4"/>
  <c r="X201" i="4" s="1"/>
  <c r="U201" i="4"/>
  <c r="R201" i="4"/>
  <c r="O201" i="4"/>
  <c r="N201" i="4"/>
  <c r="L201" i="4"/>
  <c r="H201" i="4"/>
  <c r="I201" i="4" s="1"/>
  <c r="F201" i="4"/>
  <c r="C201" i="4"/>
  <c r="Q198" i="4"/>
  <c r="AC197" i="4"/>
  <c r="AD197" i="4" s="1"/>
  <c r="AA197" i="4"/>
  <c r="Z197" i="4"/>
  <c r="W197" i="4"/>
  <c r="X197" i="4" s="1"/>
  <c r="T197" i="4"/>
  <c r="U197" i="4" s="1"/>
  <c r="Q197" i="4"/>
  <c r="R197" i="4" s="1"/>
  <c r="L197" i="4"/>
  <c r="K197" i="4"/>
  <c r="F197" i="4"/>
  <c r="E197" i="4"/>
  <c r="C197" i="4"/>
  <c r="B197" i="4"/>
  <c r="AC196" i="4"/>
  <c r="AD196" i="4" s="1"/>
  <c r="Z196" i="4"/>
  <c r="AA196" i="4" s="1"/>
  <c r="W196" i="4"/>
  <c r="X196" i="4" s="1"/>
  <c r="U196" i="4"/>
  <c r="T196" i="4"/>
  <c r="Q196" i="4"/>
  <c r="R196" i="4" s="1"/>
  <c r="K196" i="4"/>
  <c r="L196" i="4" s="1"/>
  <c r="E196" i="4"/>
  <c r="H196" i="4" s="1"/>
  <c r="I196" i="4" s="1"/>
  <c r="B196" i="4"/>
  <c r="C196" i="4" s="1"/>
  <c r="AC195" i="4"/>
  <c r="AD195" i="4" s="1"/>
  <c r="AA195" i="4"/>
  <c r="W195" i="4"/>
  <c r="X195" i="4" s="1"/>
  <c r="U195" i="4"/>
  <c r="R195" i="4"/>
  <c r="N195" i="4"/>
  <c r="O195" i="4" s="1"/>
  <c r="L195" i="4"/>
  <c r="I195" i="4"/>
  <c r="H195" i="4"/>
  <c r="F195" i="4"/>
  <c r="C195" i="4"/>
  <c r="AC194" i="4"/>
  <c r="AD194" i="4" s="1"/>
  <c r="AA194" i="4"/>
  <c r="W194" i="4"/>
  <c r="X194" i="4" s="1"/>
  <c r="U194" i="4"/>
  <c r="R194" i="4"/>
  <c r="O194" i="4"/>
  <c r="N194" i="4"/>
  <c r="L194" i="4"/>
  <c r="H194" i="4"/>
  <c r="I194" i="4" s="1"/>
  <c r="F194" i="4"/>
  <c r="C194" i="4"/>
  <c r="AC193" i="4"/>
  <c r="AD193" i="4" s="1"/>
  <c r="Z193" i="4"/>
  <c r="AA193" i="4" s="1"/>
  <c r="W193" i="4"/>
  <c r="X193" i="4" s="1"/>
  <c r="U193" i="4"/>
  <c r="T193" i="4"/>
  <c r="Q193" i="4"/>
  <c r="R193" i="4" s="1"/>
  <c r="K193" i="4"/>
  <c r="L193" i="4" s="1"/>
  <c r="E193" i="4"/>
  <c r="H193" i="4" s="1"/>
  <c r="I193" i="4" s="1"/>
  <c r="B193" i="4"/>
  <c r="C193" i="4" s="1"/>
  <c r="AC192" i="4"/>
  <c r="AD192" i="4" s="1"/>
  <c r="AA192" i="4"/>
  <c r="W192" i="4"/>
  <c r="X192" i="4" s="1"/>
  <c r="U192" i="4"/>
  <c r="R192" i="4"/>
  <c r="N192" i="4"/>
  <c r="O192" i="4" s="1"/>
  <c r="L192" i="4"/>
  <c r="I192" i="4"/>
  <c r="H192" i="4"/>
  <c r="F192" i="4"/>
  <c r="C192" i="4"/>
  <c r="AC191" i="4"/>
  <c r="AD191" i="4" s="1"/>
  <c r="AA191" i="4"/>
  <c r="W191" i="4"/>
  <c r="X191" i="4" s="1"/>
  <c r="U191" i="4"/>
  <c r="R191" i="4"/>
  <c r="O191" i="4"/>
  <c r="N191" i="4"/>
  <c r="L191" i="4"/>
  <c r="I191" i="4"/>
  <c r="H191" i="4"/>
  <c r="F191" i="4"/>
  <c r="C191" i="4"/>
  <c r="AC190" i="4"/>
  <c r="AD190" i="4" s="1"/>
  <c r="AA190" i="4"/>
  <c r="W190" i="4"/>
  <c r="X190" i="4" s="1"/>
  <c r="U190" i="4"/>
  <c r="R190" i="4"/>
  <c r="N190" i="4"/>
  <c r="O190" i="4" s="1"/>
  <c r="L190" i="4"/>
  <c r="H190" i="4"/>
  <c r="I190" i="4" s="1"/>
  <c r="F190" i="4"/>
  <c r="C190" i="4"/>
  <c r="AD189" i="4"/>
  <c r="AC189" i="4"/>
  <c r="AA189" i="4"/>
  <c r="X189" i="4"/>
  <c r="W189" i="4"/>
  <c r="U189" i="4"/>
  <c r="R189" i="4"/>
  <c r="O189" i="4"/>
  <c r="N189" i="4"/>
  <c r="L189" i="4"/>
  <c r="I189" i="4"/>
  <c r="H189" i="4"/>
  <c r="F189" i="4"/>
  <c r="C189" i="4"/>
  <c r="AC188" i="4"/>
  <c r="AD188" i="4" s="1"/>
  <c r="AA188" i="4"/>
  <c r="W188" i="4"/>
  <c r="X188" i="4" s="1"/>
  <c r="U188" i="4"/>
  <c r="R188" i="4"/>
  <c r="N188" i="4"/>
  <c r="O188" i="4" s="1"/>
  <c r="L188" i="4"/>
  <c r="I188" i="4"/>
  <c r="H188" i="4"/>
  <c r="F188" i="4"/>
  <c r="C188" i="4"/>
  <c r="AC187" i="4"/>
  <c r="AD187" i="4" s="1"/>
  <c r="AA187" i="4"/>
  <c r="W187" i="4"/>
  <c r="X187" i="4" s="1"/>
  <c r="U187" i="4"/>
  <c r="R187" i="4"/>
  <c r="O187" i="4"/>
  <c r="N187" i="4"/>
  <c r="L187" i="4"/>
  <c r="I187" i="4"/>
  <c r="H187" i="4"/>
  <c r="F187" i="4"/>
  <c r="C187" i="4"/>
  <c r="AD186" i="4"/>
  <c r="AC186" i="4"/>
  <c r="AA186" i="4"/>
  <c r="W186" i="4"/>
  <c r="X186" i="4" s="1"/>
  <c r="U186" i="4"/>
  <c r="R186" i="4"/>
  <c r="N186" i="4"/>
  <c r="O186" i="4" s="1"/>
  <c r="L186" i="4"/>
  <c r="H186" i="4"/>
  <c r="I186" i="4" s="1"/>
  <c r="F186" i="4"/>
  <c r="C186" i="4"/>
  <c r="AD184" i="4"/>
  <c r="AC184" i="4"/>
  <c r="AA184" i="4"/>
  <c r="X184" i="4"/>
  <c r="W184" i="4"/>
  <c r="U184" i="4"/>
  <c r="R184" i="4"/>
  <c r="O184" i="4"/>
  <c r="N184" i="4"/>
  <c r="L184" i="4"/>
  <c r="H184" i="4"/>
  <c r="I184" i="4" s="1"/>
  <c r="F184" i="4"/>
  <c r="C184" i="4"/>
  <c r="AC183" i="4"/>
  <c r="AD183" i="4" s="1"/>
  <c r="AA183" i="4"/>
  <c r="W183" i="4"/>
  <c r="X183" i="4" s="1"/>
  <c r="U183" i="4"/>
  <c r="R183" i="4"/>
  <c r="N183" i="4"/>
  <c r="O183" i="4" s="1"/>
  <c r="L183" i="4"/>
  <c r="I183" i="4"/>
  <c r="H183" i="4"/>
  <c r="F183" i="4"/>
  <c r="C183" i="4"/>
  <c r="Z182" i="4"/>
  <c r="AA182" i="4" s="1"/>
  <c r="X182" i="4"/>
  <c r="U182" i="4"/>
  <c r="T182" i="4"/>
  <c r="W182" i="4" s="1"/>
  <c r="Q182" i="4"/>
  <c r="R182" i="4" s="1"/>
  <c r="N182" i="4"/>
  <c r="O182" i="4" s="1"/>
  <c r="L182" i="4"/>
  <c r="K182" i="4"/>
  <c r="E182" i="4"/>
  <c r="F182" i="4" s="1"/>
  <c r="C182" i="4"/>
  <c r="B182" i="4"/>
  <c r="H182" i="4" s="1"/>
  <c r="I182" i="4" s="1"/>
  <c r="AD181" i="4"/>
  <c r="AC181" i="4"/>
  <c r="AA181" i="4"/>
  <c r="X181" i="4"/>
  <c r="W181" i="4"/>
  <c r="U181" i="4"/>
  <c r="R181" i="4"/>
  <c r="N181" i="4"/>
  <c r="O181" i="4" s="1"/>
  <c r="L181" i="4"/>
  <c r="H181" i="4"/>
  <c r="I181" i="4" s="1"/>
  <c r="F181" i="4"/>
  <c r="C181" i="4"/>
  <c r="AC180" i="4"/>
  <c r="AD180" i="4" s="1"/>
  <c r="AA180" i="4"/>
  <c r="W180" i="4"/>
  <c r="X180" i="4" s="1"/>
  <c r="U180" i="4"/>
  <c r="R180" i="4"/>
  <c r="N180" i="4"/>
  <c r="O180" i="4" s="1"/>
  <c r="L180" i="4"/>
  <c r="I180" i="4"/>
  <c r="H180" i="4"/>
  <c r="F180" i="4"/>
  <c r="C180" i="4"/>
  <c r="AC179" i="4"/>
  <c r="AD179" i="4" s="1"/>
  <c r="AA179" i="4"/>
  <c r="X179" i="4"/>
  <c r="W179" i="4"/>
  <c r="U179" i="4"/>
  <c r="R179" i="4"/>
  <c r="O179" i="4"/>
  <c r="N179" i="4"/>
  <c r="L179" i="4"/>
  <c r="H179" i="4"/>
  <c r="I179" i="4" s="1"/>
  <c r="F179" i="4"/>
  <c r="C179" i="4"/>
  <c r="AC178" i="4"/>
  <c r="AD178" i="4" s="1"/>
  <c r="AA178" i="4"/>
  <c r="W178" i="4"/>
  <c r="X178" i="4" s="1"/>
  <c r="U178" i="4"/>
  <c r="R178" i="4"/>
  <c r="N178" i="4"/>
  <c r="O178" i="4" s="1"/>
  <c r="L178" i="4"/>
  <c r="H178" i="4"/>
  <c r="I178" i="4" s="1"/>
  <c r="F178" i="4"/>
  <c r="C178" i="4"/>
  <c r="AD177" i="4"/>
  <c r="AC177" i="4"/>
  <c r="AA177" i="4"/>
  <c r="X177" i="4"/>
  <c r="W177" i="4"/>
  <c r="U177" i="4"/>
  <c r="R177" i="4"/>
  <c r="N177" i="4"/>
  <c r="O177" i="4" s="1"/>
  <c r="L177" i="4"/>
  <c r="I177" i="4"/>
  <c r="H177" i="4"/>
  <c r="F177" i="4"/>
  <c r="C177" i="4"/>
  <c r="AD175" i="4"/>
  <c r="AC175" i="4"/>
  <c r="AA175" i="4"/>
  <c r="W175" i="4"/>
  <c r="X175" i="4" s="1"/>
  <c r="U175" i="4"/>
  <c r="R175" i="4"/>
  <c r="N175" i="4"/>
  <c r="O175" i="4" s="1"/>
  <c r="L175" i="4"/>
  <c r="I175" i="4"/>
  <c r="H175" i="4"/>
  <c r="F175" i="4"/>
  <c r="C175" i="4"/>
  <c r="Z171" i="4"/>
  <c r="AA171" i="4" s="1"/>
  <c r="U171" i="4"/>
  <c r="T171" i="4"/>
  <c r="T172" i="4" s="1"/>
  <c r="R171" i="4"/>
  <c r="Q171" i="4"/>
  <c r="W171" i="4" s="1"/>
  <c r="X171" i="4" s="1"/>
  <c r="K171" i="4"/>
  <c r="L171" i="4" s="1"/>
  <c r="F171" i="4"/>
  <c r="E171" i="4"/>
  <c r="B171" i="4"/>
  <c r="AA170" i="4"/>
  <c r="Z170" i="4"/>
  <c r="T170" i="4"/>
  <c r="W170" i="4" s="1"/>
  <c r="X170" i="4" s="1"/>
  <c r="Q170" i="4"/>
  <c r="R170" i="4" s="1"/>
  <c r="N170" i="4"/>
  <c r="O170" i="4" s="1"/>
  <c r="L170" i="4"/>
  <c r="K170" i="4"/>
  <c r="E170" i="4"/>
  <c r="F170" i="4" s="1"/>
  <c r="B170" i="4"/>
  <c r="C170" i="4" s="1"/>
  <c r="AD169" i="4"/>
  <c r="AC169" i="4"/>
  <c r="AA169" i="4"/>
  <c r="X169" i="4"/>
  <c r="W169" i="4"/>
  <c r="U169" i="4"/>
  <c r="R169" i="4"/>
  <c r="O169" i="4"/>
  <c r="N169" i="4"/>
  <c r="L169" i="4"/>
  <c r="H169" i="4"/>
  <c r="I169" i="4" s="1"/>
  <c r="F169" i="4"/>
  <c r="C169" i="4"/>
  <c r="AC168" i="4"/>
  <c r="AD168" i="4" s="1"/>
  <c r="AA168" i="4"/>
  <c r="W168" i="4"/>
  <c r="X168" i="4" s="1"/>
  <c r="U168" i="4"/>
  <c r="R168" i="4"/>
  <c r="N168" i="4"/>
  <c r="O168" i="4" s="1"/>
  <c r="L168" i="4"/>
  <c r="I168" i="4"/>
  <c r="H168" i="4"/>
  <c r="F168" i="4"/>
  <c r="C168" i="4"/>
  <c r="AC167" i="4"/>
  <c r="AD167" i="4" s="1"/>
  <c r="AA167" i="4"/>
  <c r="X167" i="4"/>
  <c r="W167" i="4"/>
  <c r="U167" i="4"/>
  <c r="R167" i="4"/>
  <c r="O167" i="4"/>
  <c r="N167" i="4"/>
  <c r="L167" i="4"/>
  <c r="H167" i="4"/>
  <c r="I167" i="4" s="1"/>
  <c r="F167" i="4"/>
  <c r="C167" i="4"/>
  <c r="AC166" i="4"/>
  <c r="AD166" i="4" s="1"/>
  <c r="Z166" i="4"/>
  <c r="AA166" i="4" s="1"/>
  <c r="U166" i="4"/>
  <c r="T166" i="4"/>
  <c r="Q166" i="4"/>
  <c r="L166" i="4"/>
  <c r="K166" i="4"/>
  <c r="E166" i="4"/>
  <c r="B166" i="4"/>
  <c r="C166" i="4" s="1"/>
  <c r="AC165" i="4"/>
  <c r="AD165" i="4" s="1"/>
  <c r="AA165" i="4"/>
  <c r="W165" i="4"/>
  <c r="X165" i="4" s="1"/>
  <c r="U165" i="4"/>
  <c r="R165" i="4"/>
  <c r="N165" i="4"/>
  <c r="O165" i="4" s="1"/>
  <c r="L165" i="4"/>
  <c r="I165" i="4"/>
  <c r="H165" i="4"/>
  <c r="F165" i="4"/>
  <c r="C165" i="4"/>
  <c r="AC164" i="4"/>
  <c r="AD164" i="4" s="1"/>
  <c r="AA164" i="4"/>
  <c r="X164" i="4"/>
  <c r="W164" i="4"/>
  <c r="U164" i="4"/>
  <c r="R164" i="4"/>
  <c r="O164" i="4"/>
  <c r="N164" i="4"/>
  <c r="L164" i="4"/>
  <c r="H164" i="4"/>
  <c r="I164" i="4" s="1"/>
  <c r="F164" i="4"/>
  <c r="C164" i="4"/>
  <c r="AC163" i="4"/>
  <c r="AD163" i="4" s="1"/>
  <c r="AA163" i="4"/>
  <c r="W163" i="4"/>
  <c r="X163" i="4" s="1"/>
  <c r="U163" i="4"/>
  <c r="R163" i="4"/>
  <c r="N163" i="4"/>
  <c r="O163" i="4" s="1"/>
  <c r="L163" i="4"/>
  <c r="H163" i="4"/>
  <c r="I163" i="4" s="1"/>
  <c r="F163" i="4"/>
  <c r="C163" i="4"/>
  <c r="AD162" i="4"/>
  <c r="AC162" i="4"/>
  <c r="AA162" i="4"/>
  <c r="X162" i="4"/>
  <c r="W162" i="4"/>
  <c r="U162" i="4"/>
  <c r="R162" i="4"/>
  <c r="O162" i="4"/>
  <c r="N162" i="4"/>
  <c r="L162" i="4"/>
  <c r="H162" i="4"/>
  <c r="I162" i="4" s="1"/>
  <c r="F162" i="4"/>
  <c r="C162" i="4"/>
  <c r="AC161" i="4"/>
  <c r="AD161" i="4" s="1"/>
  <c r="AA161" i="4"/>
  <c r="W161" i="4"/>
  <c r="X161" i="4" s="1"/>
  <c r="U161" i="4"/>
  <c r="R161" i="4"/>
  <c r="N161" i="4"/>
  <c r="O161" i="4" s="1"/>
  <c r="L161" i="4"/>
  <c r="I161" i="4"/>
  <c r="H161" i="4"/>
  <c r="F161" i="4"/>
  <c r="C161" i="4"/>
  <c r="AC160" i="4"/>
  <c r="AD160" i="4" s="1"/>
  <c r="AA160" i="4"/>
  <c r="W160" i="4"/>
  <c r="X160" i="4" s="1"/>
  <c r="U160" i="4"/>
  <c r="R160" i="4"/>
  <c r="O160" i="4"/>
  <c r="N160" i="4"/>
  <c r="L160" i="4"/>
  <c r="I160" i="4"/>
  <c r="H160" i="4"/>
  <c r="F160" i="4"/>
  <c r="C160" i="4"/>
  <c r="AD158" i="4"/>
  <c r="Z158" i="4"/>
  <c r="AA158" i="4" s="1"/>
  <c r="U158" i="4"/>
  <c r="T158" i="4"/>
  <c r="Q158" i="4"/>
  <c r="AC158" i="4" s="1"/>
  <c r="L158" i="4"/>
  <c r="K158" i="4"/>
  <c r="F158" i="4"/>
  <c r="E158" i="4"/>
  <c r="B158" i="4"/>
  <c r="C158" i="4" s="1"/>
  <c r="AC157" i="4"/>
  <c r="AD157" i="4" s="1"/>
  <c r="AA157" i="4"/>
  <c r="W157" i="4"/>
  <c r="X157" i="4" s="1"/>
  <c r="U157" i="4"/>
  <c r="R157" i="4"/>
  <c r="N157" i="4"/>
  <c r="O157" i="4" s="1"/>
  <c r="L157" i="4"/>
  <c r="I157" i="4"/>
  <c r="H157" i="4"/>
  <c r="F157" i="4"/>
  <c r="C157" i="4"/>
  <c r="AC156" i="4"/>
  <c r="AD156" i="4" s="1"/>
  <c r="AA156" i="4"/>
  <c r="W156" i="4"/>
  <c r="X156" i="4" s="1"/>
  <c r="U156" i="4"/>
  <c r="R156" i="4"/>
  <c r="O156" i="4"/>
  <c r="N156" i="4"/>
  <c r="L156" i="4"/>
  <c r="I156" i="4"/>
  <c r="H156" i="4"/>
  <c r="F156" i="4"/>
  <c r="C156" i="4"/>
  <c r="AD155" i="4"/>
  <c r="AC155" i="4"/>
  <c r="AA155" i="4"/>
  <c r="W155" i="4"/>
  <c r="X155" i="4" s="1"/>
  <c r="U155" i="4"/>
  <c r="R155" i="4"/>
  <c r="N155" i="4"/>
  <c r="O155" i="4" s="1"/>
  <c r="L155" i="4"/>
  <c r="H155" i="4"/>
  <c r="I155" i="4" s="1"/>
  <c r="F155" i="4"/>
  <c r="C155" i="4"/>
  <c r="AD154" i="4"/>
  <c r="AC154" i="4"/>
  <c r="AA154" i="4"/>
  <c r="X154" i="4"/>
  <c r="W154" i="4"/>
  <c r="U154" i="4"/>
  <c r="R154" i="4"/>
  <c r="N154" i="4"/>
  <c r="O154" i="4" s="1"/>
  <c r="L154" i="4"/>
  <c r="H154" i="4"/>
  <c r="I154" i="4" s="1"/>
  <c r="F154" i="4"/>
  <c r="C154" i="4"/>
  <c r="AC153" i="4"/>
  <c r="AD153" i="4" s="1"/>
  <c r="AA153" i="4"/>
  <c r="W153" i="4"/>
  <c r="X153" i="4" s="1"/>
  <c r="U153" i="4"/>
  <c r="R153" i="4"/>
  <c r="N153" i="4"/>
  <c r="O153" i="4" s="1"/>
  <c r="L153" i="4"/>
  <c r="I153" i="4"/>
  <c r="H153" i="4"/>
  <c r="F153" i="4"/>
  <c r="C153" i="4"/>
  <c r="AC151" i="4"/>
  <c r="AD151" i="4" s="1"/>
  <c r="AA151" i="4"/>
  <c r="X151" i="4"/>
  <c r="W151" i="4"/>
  <c r="U151" i="4"/>
  <c r="R151" i="4"/>
  <c r="O151" i="4"/>
  <c r="N151" i="4"/>
  <c r="L151" i="4"/>
  <c r="I151" i="4"/>
  <c r="H151" i="4"/>
  <c r="F151" i="4"/>
  <c r="C151" i="4"/>
  <c r="AC149" i="4"/>
  <c r="AD149" i="4" s="1"/>
  <c r="Z149" i="4"/>
  <c r="AA149" i="4" s="1"/>
  <c r="W149" i="4"/>
  <c r="X149" i="4" s="1"/>
  <c r="U149" i="4"/>
  <c r="T149" i="4"/>
  <c r="Q149" i="4"/>
  <c r="R149" i="4" s="1"/>
  <c r="K149" i="4"/>
  <c r="L149" i="4" s="1"/>
  <c r="F149" i="4"/>
  <c r="E149" i="4"/>
  <c r="B149" i="4"/>
  <c r="C149" i="4" s="1"/>
  <c r="AA148" i="4"/>
  <c r="Z148" i="4"/>
  <c r="W148" i="4"/>
  <c r="X148" i="4" s="1"/>
  <c r="T148" i="4"/>
  <c r="U148" i="4" s="1"/>
  <c r="R148" i="4"/>
  <c r="Q148" i="4"/>
  <c r="AC148" i="4" s="1"/>
  <c r="AD148" i="4" s="1"/>
  <c r="K148" i="4"/>
  <c r="L148" i="4" s="1"/>
  <c r="E148" i="4"/>
  <c r="C148" i="4"/>
  <c r="B148" i="4"/>
  <c r="N148" i="4" s="1"/>
  <c r="O148" i="4" s="1"/>
  <c r="AC147" i="4"/>
  <c r="AD147" i="4" s="1"/>
  <c r="AA147" i="4"/>
  <c r="W147" i="4"/>
  <c r="X147" i="4" s="1"/>
  <c r="U147" i="4"/>
  <c r="R147" i="4"/>
  <c r="N147" i="4"/>
  <c r="O147" i="4" s="1"/>
  <c r="L147" i="4"/>
  <c r="H147" i="4"/>
  <c r="I147" i="4" s="1"/>
  <c r="F147" i="4"/>
  <c r="C147" i="4"/>
  <c r="AD146" i="4"/>
  <c r="AC146" i="4"/>
  <c r="AA146" i="4"/>
  <c r="X146" i="4"/>
  <c r="W146" i="4"/>
  <c r="U146" i="4"/>
  <c r="R146" i="4"/>
  <c r="N146" i="4"/>
  <c r="O146" i="4" s="1"/>
  <c r="L146" i="4"/>
  <c r="H146" i="4"/>
  <c r="I146" i="4" s="1"/>
  <c r="F146" i="4"/>
  <c r="C146" i="4"/>
  <c r="AC145" i="4"/>
  <c r="AD145" i="4" s="1"/>
  <c r="AA145" i="4"/>
  <c r="W145" i="4"/>
  <c r="X145" i="4" s="1"/>
  <c r="U145" i="4"/>
  <c r="R145" i="4"/>
  <c r="N145" i="4"/>
  <c r="O145" i="4" s="1"/>
  <c r="L145" i="4"/>
  <c r="I145" i="4"/>
  <c r="H145" i="4"/>
  <c r="F145" i="4"/>
  <c r="C145" i="4"/>
  <c r="AC144" i="4"/>
  <c r="AD144" i="4" s="1"/>
  <c r="AA144" i="4"/>
  <c r="X144" i="4"/>
  <c r="W144" i="4"/>
  <c r="U144" i="4"/>
  <c r="R144" i="4"/>
  <c r="O144" i="4"/>
  <c r="N144" i="4"/>
  <c r="L144" i="4"/>
  <c r="H144" i="4"/>
  <c r="I144" i="4" s="1"/>
  <c r="F144" i="4"/>
  <c r="C144" i="4"/>
  <c r="AC143" i="4"/>
  <c r="AD143" i="4" s="1"/>
  <c r="AA143" i="4"/>
  <c r="W143" i="4"/>
  <c r="X143" i="4" s="1"/>
  <c r="U143" i="4"/>
  <c r="R143" i="4"/>
  <c r="N143" i="4"/>
  <c r="O143" i="4" s="1"/>
  <c r="L143" i="4"/>
  <c r="H143" i="4"/>
  <c r="I143" i="4" s="1"/>
  <c r="F143" i="4"/>
  <c r="C143" i="4"/>
  <c r="Z141" i="4"/>
  <c r="AA141" i="4" s="1"/>
  <c r="T141" i="4"/>
  <c r="U141" i="4" s="1"/>
  <c r="R141" i="4"/>
  <c r="Q141" i="4"/>
  <c r="W141" i="4" s="1"/>
  <c r="X141" i="4" s="1"/>
  <c r="N141" i="4"/>
  <c r="O141" i="4" s="1"/>
  <c r="K141" i="4"/>
  <c r="L141" i="4" s="1"/>
  <c r="F141" i="4"/>
  <c r="E141" i="4"/>
  <c r="C141" i="4"/>
  <c r="B141" i="4"/>
  <c r="H141" i="4" s="1"/>
  <c r="I141" i="4" s="1"/>
  <c r="AC140" i="4"/>
  <c r="AD140" i="4" s="1"/>
  <c r="AA140" i="4"/>
  <c r="X140" i="4"/>
  <c r="W140" i="4"/>
  <c r="U140" i="4"/>
  <c r="R140" i="4"/>
  <c r="O140" i="4"/>
  <c r="N140" i="4"/>
  <c r="L140" i="4"/>
  <c r="I140" i="4"/>
  <c r="H140" i="4"/>
  <c r="F140" i="4"/>
  <c r="C140" i="4"/>
  <c r="AD139" i="4"/>
  <c r="AC139" i="4"/>
  <c r="AA139" i="4"/>
  <c r="W139" i="4"/>
  <c r="X139" i="4" s="1"/>
  <c r="U139" i="4"/>
  <c r="R139" i="4"/>
  <c r="N139" i="4"/>
  <c r="O139" i="4" s="1"/>
  <c r="L139" i="4"/>
  <c r="H139" i="4"/>
  <c r="I139" i="4" s="1"/>
  <c r="F139" i="4"/>
  <c r="C139" i="4"/>
  <c r="AD138" i="4"/>
  <c r="AC138" i="4"/>
  <c r="AA138" i="4"/>
  <c r="X138" i="4"/>
  <c r="W138" i="4"/>
  <c r="U138" i="4"/>
  <c r="R138" i="4"/>
  <c r="N138" i="4"/>
  <c r="O138" i="4" s="1"/>
  <c r="L138" i="4"/>
  <c r="I138" i="4"/>
  <c r="H138" i="4"/>
  <c r="F138" i="4"/>
  <c r="C138" i="4"/>
  <c r="AD137" i="4"/>
  <c r="AC137" i="4"/>
  <c r="AA137" i="4"/>
  <c r="W137" i="4"/>
  <c r="X137" i="4" s="1"/>
  <c r="U137" i="4"/>
  <c r="R137" i="4"/>
  <c r="N137" i="4"/>
  <c r="O137" i="4" s="1"/>
  <c r="L137" i="4"/>
  <c r="I137" i="4"/>
  <c r="H137" i="4"/>
  <c r="F137" i="4"/>
  <c r="C137" i="4"/>
  <c r="AC136" i="4"/>
  <c r="AD136" i="4" s="1"/>
  <c r="AA136" i="4"/>
  <c r="W136" i="4"/>
  <c r="X136" i="4" s="1"/>
  <c r="U136" i="4"/>
  <c r="R136" i="4"/>
  <c r="O136" i="4"/>
  <c r="N136" i="4"/>
  <c r="L136" i="4"/>
  <c r="I136" i="4"/>
  <c r="H136" i="4"/>
  <c r="F136" i="4"/>
  <c r="C136" i="4"/>
  <c r="AC135" i="4"/>
  <c r="AD135" i="4" s="1"/>
  <c r="AA135" i="4"/>
  <c r="W135" i="4"/>
  <c r="X135" i="4" s="1"/>
  <c r="U135" i="4"/>
  <c r="R135" i="4"/>
  <c r="N135" i="4"/>
  <c r="O135" i="4" s="1"/>
  <c r="L135" i="4"/>
  <c r="H135" i="4"/>
  <c r="I135" i="4" s="1"/>
  <c r="F135" i="4"/>
  <c r="C135" i="4"/>
  <c r="AD134" i="4"/>
  <c r="AC134" i="4"/>
  <c r="AA134" i="4"/>
  <c r="X134" i="4"/>
  <c r="W134" i="4"/>
  <c r="U134" i="4"/>
  <c r="R134" i="4"/>
  <c r="N134" i="4"/>
  <c r="O134" i="4" s="1"/>
  <c r="L134" i="4"/>
  <c r="H134" i="4"/>
  <c r="I134" i="4" s="1"/>
  <c r="F134" i="4"/>
  <c r="C134" i="4"/>
  <c r="AC133" i="4"/>
  <c r="AD133" i="4" s="1"/>
  <c r="AA133" i="4"/>
  <c r="W133" i="4"/>
  <c r="X133" i="4" s="1"/>
  <c r="U133" i="4"/>
  <c r="R133" i="4"/>
  <c r="N133" i="4"/>
  <c r="O133" i="4" s="1"/>
  <c r="L133" i="4"/>
  <c r="I133" i="4"/>
  <c r="H133" i="4"/>
  <c r="F133" i="4"/>
  <c r="C133" i="4"/>
  <c r="AC132" i="4"/>
  <c r="AD132" i="4" s="1"/>
  <c r="AA132" i="4"/>
  <c r="X132" i="4"/>
  <c r="W132" i="4"/>
  <c r="U132" i="4"/>
  <c r="R132" i="4"/>
  <c r="O132" i="4"/>
  <c r="N132" i="4"/>
  <c r="L132" i="4"/>
  <c r="H132" i="4"/>
  <c r="I132" i="4" s="1"/>
  <c r="F132" i="4"/>
  <c r="C132" i="4"/>
  <c r="AD131" i="4"/>
  <c r="AC131" i="4"/>
  <c r="AA131" i="4"/>
  <c r="W131" i="4"/>
  <c r="X131" i="4" s="1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N130" i="4"/>
  <c r="O130" i="4" s="1"/>
  <c r="L130" i="4"/>
  <c r="I130" i="4"/>
  <c r="H130" i="4"/>
  <c r="F130" i="4"/>
  <c r="C130" i="4"/>
  <c r="AD129" i="4"/>
  <c r="AC129" i="4"/>
  <c r="AA129" i="4"/>
  <c r="W129" i="4"/>
  <c r="X129" i="4" s="1"/>
  <c r="U129" i="4"/>
  <c r="R129" i="4"/>
  <c r="N129" i="4"/>
  <c r="O129" i="4" s="1"/>
  <c r="L129" i="4"/>
  <c r="I129" i="4"/>
  <c r="H129" i="4"/>
  <c r="F129" i="4"/>
  <c r="C129" i="4"/>
  <c r="AC127" i="4"/>
  <c r="AD127" i="4" s="1"/>
  <c r="AA127" i="4"/>
  <c r="W127" i="4"/>
  <c r="X127" i="4" s="1"/>
  <c r="U127" i="4"/>
  <c r="R127" i="4"/>
  <c r="O127" i="4"/>
  <c r="N127" i="4"/>
  <c r="L127" i="4"/>
  <c r="H127" i="4"/>
  <c r="I127" i="4" s="1"/>
  <c r="F127" i="4"/>
  <c r="C127" i="4"/>
  <c r="Z124" i="4"/>
  <c r="AA124" i="4" s="1"/>
  <c r="U124" i="4"/>
  <c r="T124" i="4"/>
  <c r="R124" i="4"/>
  <c r="Q124" i="4"/>
  <c r="Q172" i="4" s="1"/>
  <c r="K124" i="4"/>
  <c r="E124" i="4"/>
  <c r="B124" i="4"/>
  <c r="C124" i="4" s="1"/>
  <c r="AD123" i="4"/>
  <c r="AC123" i="4"/>
  <c r="AA123" i="4"/>
  <c r="W123" i="4"/>
  <c r="X123" i="4" s="1"/>
  <c r="U123" i="4"/>
  <c r="R123" i="4"/>
  <c r="N123" i="4"/>
  <c r="O123" i="4" s="1"/>
  <c r="L123" i="4"/>
  <c r="I123" i="4"/>
  <c r="H123" i="4"/>
  <c r="F123" i="4"/>
  <c r="C123" i="4"/>
  <c r="AA122" i="4"/>
  <c r="Z122" i="4"/>
  <c r="T122" i="4"/>
  <c r="U122" i="4" s="1"/>
  <c r="Q122" i="4"/>
  <c r="R122" i="4" s="1"/>
  <c r="N122" i="4"/>
  <c r="O122" i="4" s="1"/>
  <c r="L122" i="4"/>
  <c r="K122" i="4"/>
  <c r="H122" i="4"/>
  <c r="I122" i="4" s="1"/>
  <c r="E122" i="4"/>
  <c r="F122" i="4" s="1"/>
  <c r="B122" i="4"/>
  <c r="C122" i="4" s="1"/>
  <c r="AD121" i="4"/>
  <c r="AC121" i="4"/>
  <c r="AA121" i="4"/>
  <c r="X121" i="4"/>
  <c r="W121" i="4"/>
  <c r="U121" i="4"/>
  <c r="R121" i="4"/>
  <c r="N121" i="4"/>
  <c r="O121" i="4" s="1"/>
  <c r="L121" i="4"/>
  <c r="H121" i="4"/>
  <c r="I121" i="4" s="1"/>
  <c r="F121" i="4"/>
  <c r="C121" i="4"/>
  <c r="AC120" i="4"/>
  <c r="AD120" i="4" s="1"/>
  <c r="AA120" i="4"/>
  <c r="W120" i="4"/>
  <c r="X120" i="4" s="1"/>
  <c r="U120" i="4"/>
  <c r="R120" i="4"/>
  <c r="N120" i="4"/>
  <c r="O120" i="4" s="1"/>
  <c r="L120" i="4"/>
  <c r="I120" i="4"/>
  <c r="H120" i="4"/>
  <c r="F120" i="4"/>
  <c r="C120" i="4"/>
  <c r="AC119" i="4"/>
  <c r="AD119" i="4" s="1"/>
  <c r="AA119" i="4"/>
  <c r="X119" i="4"/>
  <c r="W119" i="4"/>
  <c r="U119" i="4"/>
  <c r="R119" i="4"/>
  <c r="O119" i="4"/>
  <c r="N119" i="4"/>
  <c r="L119" i="4"/>
  <c r="H119" i="4"/>
  <c r="I119" i="4" s="1"/>
  <c r="F119" i="4"/>
  <c r="C119" i="4"/>
  <c r="AC118" i="4"/>
  <c r="AD118" i="4" s="1"/>
  <c r="Z118" i="4"/>
  <c r="AA118" i="4" s="1"/>
  <c r="W118" i="4"/>
  <c r="X118" i="4" s="1"/>
  <c r="U118" i="4"/>
  <c r="T118" i="4"/>
  <c r="Q118" i="4"/>
  <c r="R118" i="4" s="1"/>
  <c r="L118" i="4"/>
  <c r="K118" i="4"/>
  <c r="E118" i="4"/>
  <c r="F118" i="4" s="1"/>
  <c r="B118" i="4"/>
  <c r="C118" i="4" s="1"/>
  <c r="AC117" i="4"/>
  <c r="AD117" i="4" s="1"/>
  <c r="AA117" i="4"/>
  <c r="W117" i="4"/>
  <c r="X117" i="4" s="1"/>
  <c r="U117" i="4"/>
  <c r="R117" i="4"/>
  <c r="N117" i="4"/>
  <c r="O117" i="4" s="1"/>
  <c r="L117" i="4"/>
  <c r="I117" i="4"/>
  <c r="H117" i="4"/>
  <c r="F117" i="4"/>
  <c r="C117" i="4"/>
  <c r="AC116" i="4"/>
  <c r="AD116" i="4" s="1"/>
  <c r="AA116" i="4"/>
  <c r="W116" i="4"/>
  <c r="X116" i="4" s="1"/>
  <c r="U116" i="4"/>
  <c r="R116" i="4"/>
  <c r="O116" i="4"/>
  <c r="N116" i="4"/>
  <c r="L116" i="4"/>
  <c r="I116" i="4"/>
  <c r="H116" i="4"/>
  <c r="F116" i="4"/>
  <c r="C116" i="4"/>
  <c r="AC115" i="4"/>
  <c r="AD115" i="4" s="1"/>
  <c r="AA115" i="4"/>
  <c r="W115" i="4"/>
  <c r="X115" i="4" s="1"/>
  <c r="U115" i="4"/>
  <c r="R115" i="4"/>
  <c r="N115" i="4"/>
  <c r="O115" i="4" s="1"/>
  <c r="L115" i="4"/>
  <c r="H115" i="4"/>
  <c r="I115" i="4" s="1"/>
  <c r="F115" i="4"/>
  <c r="C115" i="4"/>
  <c r="AD114" i="4"/>
  <c r="AC114" i="4"/>
  <c r="AA114" i="4"/>
  <c r="X114" i="4"/>
  <c r="W114" i="4"/>
  <c r="U114" i="4"/>
  <c r="R114" i="4"/>
  <c r="O114" i="4"/>
  <c r="N114" i="4"/>
  <c r="L114" i="4"/>
  <c r="H114" i="4"/>
  <c r="I114" i="4" s="1"/>
  <c r="F114" i="4"/>
  <c r="C114" i="4"/>
  <c r="AD113" i="4"/>
  <c r="AC113" i="4"/>
  <c r="AA113" i="4"/>
  <c r="W113" i="4"/>
  <c r="X113" i="4" s="1"/>
  <c r="U113" i="4"/>
  <c r="R113" i="4"/>
  <c r="N113" i="4"/>
  <c r="O113" i="4" s="1"/>
  <c r="L113" i="4"/>
  <c r="I113" i="4"/>
  <c r="H113" i="4"/>
  <c r="F113" i="4"/>
  <c r="C113" i="4"/>
  <c r="AC112" i="4"/>
  <c r="AD112" i="4" s="1"/>
  <c r="AA112" i="4"/>
  <c r="W112" i="4"/>
  <c r="X112" i="4" s="1"/>
  <c r="U112" i="4"/>
  <c r="R112" i="4"/>
  <c r="O112" i="4"/>
  <c r="N112" i="4"/>
  <c r="L112" i="4"/>
  <c r="I112" i="4"/>
  <c r="H112" i="4"/>
  <c r="F112" i="4"/>
  <c r="C112" i="4"/>
  <c r="AD111" i="4"/>
  <c r="AC111" i="4"/>
  <c r="AA111" i="4"/>
  <c r="W111" i="4"/>
  <c r="X111" i="4" s="1"/>
  <c r="U111" i="4"/>
  <c r="R111" i="4"/>
  <c r="N111" i="4"/>
  <c r="O111" i="4" s="1"/>
  <c r="L111" i="4"/>
  <c r="H111" i="4"/>
  <c r="I111" i="4" s="1"/>
  <c r="F111" i="4"/>
  <c r="C111" i="4"/>
  <c r="AD110" i="4"/>
  <c r="AC110" i="4"/>
  <c r="AA110" i="4"/>
  <c r="X110" i="4"/>
  <c r="W110" i="4"/>
  <c r="U110" i="4"/>
  <c r="R110" i="4"/>
  <c r="O110" i="4"/>
  <c r="N110" i="4"/>
  <c r="L110" i="4"/>
  <c r="H110" i="4"/>
  <c r="I110" i="4" s="1"/>
  <c r="F110" i="4"/>
  <c r="C110" i="4"/>
  <c r="AC109" i="4"/>
  <c r="AD109" i="4" s="1"/>
  <c r="AA109" i="4"/>
  <c r="W109" i="4"/>
  <c r="X109" i="4" s="1"/>
  <c r="U109" i="4"/>
  <c r="R109" i="4"/>
  <c r="N109" i="4"/>
  <c r="O109" i="4" s="1"/>
  <c r="L109" i="4"/>
  <c r="I109" i="4"/>
  <c r="H109" i="4"/>
  <c r="F109" i="4"/>
  <c r="C109" i="4"/>
  <c r="AC108" i="4"/>
  <c r="AD108" i="4" s="1"/>
  <c r="AA108" i="4"/>
  <c r="W108" i="4"/>
  <c r="X108" i="4" s="1"/>
  <c r="U108" i="4"/>
  <c r="R108" i="4"/>
  <c r="O108" i="4"/>
  <c r="N108" i="4"/>
  <c r="L108" i="4"/>
  <c r="H108" i="4"/>
  <c r="I108" i="4" s="1"/>
  <c r="F108" i="4"/>
  <c r="C108" i="4"/>
  <c r="AC107" i="4"/>
  <c r="AD107" i="4" s="1"/>
  <c r="AA107" i="4"/>
  <c r="W107" i="4"/>
  <c r="X107" i="4" s="1"/>
  <c r="U107" i="4"/>
  <c r="R107" i="4"/>
  <c r="N107" i="4"/>
  <c r="O107" i="4" s="1"/>
  <c r="L107" i="4"/>
  <c r="H107" i="4"/>
  <c r="I107" i="4" s="1"/>
  <c r="F107" i="4"/>
  <c r="C107" i="4"/>
  <c r="AD106" i="4"/>
  <c r="AC106" i="4"/>
  <c r="AA106" i="4"/>
  <c r="X106" i="4"/>
  <c r="W106" i="4"/>
  <c r="U106" i="4"/>
  <c r="R106" i="4"/>
  <c r="O106" i="4"/>
  <c r="N106" i="4"/>
  <c r="L106" i="4"/>
  <c r="H106" i="4"/>
  <c r="I106" i="4" s="1"/>
  <c r="F106" i="4"/>
  <c r="C106" i="4"/>
  <c r="AD105" i="4"/>
  <c r="AC105" i="4"/>
  <c r="AA105" i="4"/>
  <c r="W105" i="4"/>
  <c r="X105" i="4" s="1"/>
  <c r="U105" i="4"/>
  <c r="R105" i="4"/>
  <c r="N105" i="4"/>
  <c r="O105" i="4" s="1"/>
  <c r="L105" i="4"/>
  <c r="I105" i="4"/>
  <c r="H105" i="4"/>
  <c r="F105" i="4"/>
  <c r="C105" i="4"/>
  <c r="AC104" i="4"/>
  <c r="AD104" i="4" s="1"/>
  <c r="AA104" i="4"/>
  <c r="W104" i="4"/>
  <c r="X104" i="4" s="1"/>
  <c r="U104" i="4"/>
  <c r="R104" i="4"/>
  <c r="O104" i="4"/>
  <c r="N104" i="4"/>
  <c r="L104" i="4"/>
  <c r="I104" i="4"/>
  <c r="H104" i="4"/>
  <c r="F104" i="4"/>
  <c r="C104" i="4"/>
  <c r="AD103" i="4"/>
  <c r="AC103" i="4"/>
  <c r="AA103" i="4"/>
  <c r="W103" i="4"/>
  <c r="X103" i="4" s="1"/>
  <c r="U103" i="4"/>
  <c r="R103" i="4"/>
  <c r="N103" i="4"/>
  <c r="O103" i="4" s="1"/>
  <c r="L103" i="4"/>
  <c r="H103" i="4"/>
  <c r="I103" i="4" s="1"/>
  <c r="F103" i="4"/>
  <c r="C103" i="4"/>
  <c r="AD102" i="4"/>
  <c r="AC102" i="4"/>
  <c r="AA102" i="4"/>
  <c r="X102" i="4"/>
  <c r="W102" i="4"/>
  <c r="U102" i="4"/>
  <c r="R102" i="4"/>
  <c r="N102" i="4"/>
  <c r="O102" i="4" s="1"/>
  <c r="L102" i="4"/>
  <c r="H102" i="4"/>
  <c r="I102" i="4" s="1"/>
  <c r="F102" i="4"/>
  <c r="C102" i="4"/>
  <c r="AD101" i="4"/>
  <c r="AC101" i="4"/>
  <c r="AA101" i="4"/>
  <c r="W101" i="4"/>
  <c r="X101" i="4" s="1"/>
  <c r="U101" i="4"/>
  <c r="R101" i="4"/>
  <c r="N101" i="4"/>
  <c r="O101" i="4" s="1"/>
  <c r="L101" i="4"/>
  <c r="I101" i="4"/>
  <c r="H101" i="4"/>
  <c r="F101" i="4"/>
  <c r="C101" i="4"/>
  <c r="AC100" i="4"/>
  <c r="AD100" i="4" s="1"/>
  <c r="AA100" i="4"/>
  <c r="W100" i="4"/>
  <c r="X100" i="4" s="1"/>
  <c r="U100" i="4"/>
  <c r="R100" i="4"/>
  <c r="O100" i="4"/>
  <c r="N100" i="4"/>
  <c r="L100" i="4"/>
  <c r="I100" i="4"/>
  <c r="H100" i="4"/>
  <c r="F100" i="4"/>
  <c r="C100" i="4"/>
  <c r="AC99" i="4"/>
  <c r="AD99" i="4" s="1"/>
  <c r="AA99" i="4"/>
  <c r="W99" i="4"/>
  <c r="X99" i="4" s="1"/>
  <c r="U99" i="4"/>
  <c r="R99" i="4"/>
  <c r="N99" i="4"/>
  <c r="O99" i="4" s="1"/>
  <c r="L99" i="4"/>
  <c r="H99" i="4"/>
  <c r="I99" i="4" s="1"/>
  <c r="F99" i="4"/>
  <c r="C99" i="4"/>
  <c r="AD98" i="4"/>
  <c r="AC98" i="4"/>
  <c r="AA98" i="4"/>
  <c r="X98" i="4"/>
  <c r="W98" i="4"/>
  <c r="U98" i="4"/>
  <c r="R98" i="4"/>
  <c r="O98" i="4"/>
  <c r="N98" i="4"/>
  <c r="L98" i="4"/>
  <c r="H98" i="4"/>
  <c r="I98" i="4" s="1"/>
  <c r="F98" i="4"/>
  <c r="C98" i="4"/>
  <c r="AD97" i="4"/>
  <c r="AC97" i="4"/>
  <c r="AA97" i="4"/>
  <c r="W97" i="4"/>
  <c r="X97" i="4" s="1"/>
  <c r="U97" i="4"/>
  <c r="R97" i="4"/>
  <c r="N97" i="4"/>
  <c r="O97" i="4" s="1"/>
  <c r="L97" i="4"/>
  <c r="I97" i="4"/>
  <c r="H97" i="4"/>
  <c r="F97" i="4"/>
  <c r="C97" i="4"/>
  <c r="AC96" i="4"/>
  <c r="AD96" i="4" s="1"/>
  <c r="AA96" i="4"/>
  <c r="X96" i="4"/>
  <c r="W96" i="4"/>
  <c r="U96" i="4"/>
  <c r="R96" i="4"/>
  <c r="O96" i="4"/>
  <c r="N96" i="4"/>
  <c r="L96" i="4"/>
  <c r="I96" i="4"/>
  <c r="H96" i="4"/>
  <c r="F96" i="4"/>
  <c r="C96" i="4"/>
  <c r="AD95" i="4"/>
  <c r="AC95" i="4"/>
  <c r="AA95" i="4"/>
  <c r="W95" i="4"/>
  <c r="X95" i="4" s="1"/>
  <c r="U95" i="4"/>
  <c r="R95" i="4"/>
  <c r="N95" i="4"/>
  <c r="O95" i="4" s="1"/>
  <c r="L95" i="4"/>
  <c r="H95" i="4"/>
  <c r="I95" i="4" s="1"/>
  <c r="F95" i="4"/>
  <c r="C95" i="4"/>
  <c r="AD94" i="4"/>
  <c r="AC94" i="4"/>
  <c r="AA94" i="4"/>
  <c r="X94" i="4"/>
  <c r="W94" i="4"/>
  <c r="U94" i="4"/>
  <c r="R94" i="4"/>
  <c r="O94" i="4"/>
  <c r="N94" i="4"/>
  <c r="L94" i="4"/>
  <c r="I94" i="4"/>
  <c r="H94" i="4"/>
  <c r="F94" i="4"/>
  <c r="C94" i="4"/>
  <c r="AC92" i="4"/>
  <c r="AD92" i="4" s="1"/>
  <c r="AA92" i="4"/>
  <c r="W92" i="4"/>
  <c r="X92" i="4" s="1"/>
  <c r="U92" i="4"/>
  <c r="R92" i="4"/>
  <c r="N92" i="4"/>
  <c r="O92" i="4" s="1"/>
  <c r="L92" i="4"/>
  <c r="I92" i="4"/>
  <c r="H92" i="4"/>
  <c r="F92" i="4"/>
  <c r="C92" i="4"/>
  <c r="AC91" i="4"/>
  <c r="AD91" i="4" s="1"/>
  <c r="AA91" i="4"/>
  <c r="W91" i="4"/>
  <c r="X91" i="4" s="1"/>
  <c r="U91" i="4"/>
  <c r="R91" i="4"/>
  <c r="O91" i="4"/>
  <c r="N91" i="4"/>
  <c r="L91" i="4"/>
  <c r="H91" i="4"/>
  <c r="I91" i="4" s="1"/>
  <c r="F91" i="4"/>
  <c r="C91" i="4"/>
  <c r="AC90" i="4"/>
  <c r="AD90" i="4" s="1"/>
  <c r="AA90" i="4"/>
  <c r="W90" i="4"/>
  <c r="X90" i="4" s="1"/>
  <c r="U90" i="4"/>
  <c r="R90" i="4"/>
  <c r="N90" i="4"/>
  <c r="O90" i="4" s="1"/>
  <c r="L90" i="4"/>
  <c r="H90" i="4"/>
  <c r="I90" i="4" s="1"/>
  <c r="F90" i="4"/>
  <c r="C90" i="4"/>
  <c r="AD89" i="4"/>
  <c r="AC89" i="4"/>
  <c r="AA89" i="4"/>
  <c r="X89" i="4"/>
  <c r="W89" i="4"/>
  <c r="U89" i="4"/>
  <c r="R89" i="4"/>
  <c r="O89" i="4"/>
  <c r="N89" i="4"/>
  <c r="L89" i="4"/>
  <c r="I89" i="4"/>
  <c r="H89" i="4"/>
  <c r="F89" i="4"/>
  <c r="C89" i="4"/>
  <c r="AC88" i="4"/>
  <c r="AD88" i="4" s="1"/>
  <c r="AA88" i="4"/>
  <c r="Z88" i="4"/>
  <c r="T88" i="4"/>
  <c r="U88" i="4" s="1"/>
  <c r="Q88" i="4"/>
  <c r="L88" i="4"/>
  <c r="K88" i="4"/>
  <c r="H88" i="4"/>
  <c r="I88" i="4" s="1"/>
  <c r="F88" i="4"/>
  <c r="E88" i="4"/>
  <c r="C88" i="4"/>
  <c r="B88" i="4"/>
  <c r="N88" i="4" s="1"/>
  <c r="O88" i="4" s="1"/>
  <c r="AD87" i="4"/>
  <c r="AC87" i="4"/>
  <c r="AA87" i="4"/>
  <c r="X87" i="4"/>
  <c r="W87" i="4"/>
  <c r="U87" i="4"/>
  <c r="R87" i="4"/>
  <c r="N87" i="4"/>
  <c r="O87" i="4" s="1"/>
  <c r="L87" i="4"/>
  <c r="H87" i="4"/>
  <c r="I87" i="4" s="1"/>
  <c r="F87" i="4"/>
  <c r="C87" i="4"/>
  <c r="AD86" i="4"/>
  <c r="AC86" i="4"/>
  <c r="AA86" i="4"/>
  <c r="X86" i="4"/>
  <c r="W86" i="4"/>
  <c r="U86" i="4"/>
  <c r="R86" i="4"/>
  <c r="O86" i="4"/>
  <c r="N86" i="4"/>
  <c r="L86" i="4"/>
  <c r="H86" i="4"/>
  <c r="I86" i="4" s="1"/>
  <c r="F86" i="4"/>
  <c r="C86" i="4"/>
  <c r="AC85" i="4"/>
  <c r="AD85" i="4" s="1"/>
  <c r="AA85" i="4"/>
  <c r="W85" i="4"/>
  <c r="X85" i="4" s="1"/>
  <c r="U85" i="4"/>
  <c r="R85" i="4"/>
  <c r="O85" i="4"/>
  <c r="N85" i="4"/>
  <c r="L85" i="4"/>
  <c r="I85" i="4"/>
  <c r="H85" i="4"/>
  <c r="F85" i="4"/>
  <c r="C85" i="4"/>
  <c r="AC84" i="4"/>
  <c r="AD84" i="4" s="1"/>
  <c r="AA84" i="4"/>
  <c r="X84" i="4"/>
  <c r="W84" i="4"/>
  <c r="U84" i="4"/>
  <c r="R84" i="4"/>
  <c r="O84" i="4"/>
  <c r="N84" i="4"/>
  <c r="L84" i="4"/>
  <c r="I84" i="4"/>
  <c r="H84" i="4"/>
  <c r="F84" i="4"/>
  <c r="C84" i="4"/>
  <c r="AD83" i="4"/>
  <c r="AC83" i="4"/>
  <c r="AA83" i="4"/>
  <c r="W83" i="4"/>
  <c r="X83" i="4" s="1"/>
  <c r="U83" i="4"/>
  <c r="R83" i="4"/>
  <c r="N83" i="4"/>
  <c r="O83" i="4" s="1"/>
  <c r="L83" i="4"/>
  <c r="H83" i="4"/>
  <c r="I83" i="4" s="1"/>
  <c r="F83" i="4"/>
  <c r="C83" i="4"/>
  <c r="AD82" i="4"/>
  <c r="AC82" i="4"/>
  <c r="AA82" i="4"/>
  <c r="X82" i="4"/>
  <c r="W82" i="4"/>
  <c r="U82" i="4"/>
  <c r="R82" i="4"/>
  <c r="N82" i="4"/>
  <c r="O82" i="4" s="1"/>
  <c r="L82" i="4"/>
  <c r="H82" i="4"/>
  <c r="I82" i="4" s="1"/>
  <c r="F82" i="4"/>
  <c r="C82" i="4"/>
  <c r="AC81" i="4"/>
  <c r="AD81" i="4" s="1"/>
  <c r="AA81" i="4"/>
  <c r="W81" i="4"/>
  <c r="X81" i="4" s="1"/>
  <c r="U81" i="4"/>
  <c r="R81" i="4"/>
  <c r="O81" i="4"/>
  <c r="N81" i="4"/>
  <c r="L81" i="4"/>
  <c r="I81" i="4"/>
  <c r="H81" i="4"/>
  <c r="F81" i="4"/>
  <c r="C81" i="4"/>
  <c r="AC80" i="4"/>
  <c r="AD80" i="4" s="1"/>
  <c r="AA80" i="4"/>
  <c r="W80" i="4"/>
  <c r="X80" i="4" s="1"/>
  <c r="U80" i="4"/>
  <c r="R80" i="4"/>
  <c r="O80" i="4"/>
  <c r="N80" i="4"/>
  <c r="L80" i="4"/>
  <c r="I80" i="4"/>
  <c r="H80" i="4"/>
  <c r="F80" i="4"/>
  <c r="C80" i="4"/>
  <c r="AD79" i="4"/>
  <c r="AC79" i="4"/>
  <c r="AA79" i="4"/>
  <c r="X79" i="4"/>
  <c r="W79" i="4"/>
  <c r="U79" i="4"/>
  <c r="R79" i="4"/>
  <c r="N79" i="4"/>
  <c r="O79" i="4" s="1"/>
  <c r="L79" i="4"/>
  <c r="H79" i="4"/>
  <c r="I79" i="4" s="1"/>
  <c r="F79" i="4"/>
  <c r="C79" i="4"/>
  <c r="AD78" i="4"/>
  <c r="AC78" i="4"/>
  <c r="AA78" i="4"/>
  <c r="X78" i="4"/>
  <c r="W78" i="4"/>
  <c r="U78" i="4"/>
  <c r="R78" i="4"/>
  <c r="O78" i="4"/>
  <c r="N78" i="4"/>
  <c r="L78" i="4"/>
  <c r="I78" i="4"/>
  <c r="H78" i="4"/>
  <c r="F78" i="4"/>
  <c r="C78" i="4"/>
  <c r="AC77" i="4"/>
  <c r="AD77" i="4" s="1"/>
  <c r="AA77" i="4"/>
  <c r="W77" i="4"/>
  <c r="X77" i="4" s="1"/>
  <c r="U77" i="4"/>
  <c r="R77" i="4"/>
  <c r="O77" i="4"/>
  <c r="N77" i="4"/>
  <c r="L77" i="4"/>
  <c r="H77" i="4"/>
  <c r="I77" i="4" s="1"/>
  <c r="F77" i="4"/>
  <c r="C77" i="4"/>
  <c r="AC76" i="4"/>
  <c r="AD76" i="4" s="1"/>
  <c r="AA76" i="4"/>
  <c r="X76" i="4"/>
  <c r="W76" i="4"/>
  <c r="U76" i="4"/>
  <c r="R76" i="4"/>
  <c r="O76" i="4"/>
  <c r="N76" i="4"/>
  <c r="L76" i="4"/>
  <c r="I76" i="4"/>
  <c r="H76" i="4"/>
  <c r="F76" i="4"/>
  <c r="C76" i="4"/>
  <c r="AD75" i="4"/>
  <c r="AC75" i="4"/>
  <c r="AA75" i="4"/>
  <c r="X75" i="4"/>
  <c r="W75" i="4"/>
  <c r="U75" i="4"/>
  <c r="R75" i="4"/>
  <c r="N75" i="4"/>
  <c r="O75" i="4" s="1"/>
  <c r="L75" i="4"/>
  <c r="H75" i="4"/>
  <c r="I75" i="4" s="1"/>
  <c r="F75" i="4"/>
  <c r="C75" i="4"/>
  <c r="AA73" i="4"/>
  <c r="Z73" i="4"/>
  <c r="T73" i="4"/>
  <c r="U73" i="4" s="1"/>
  <c r="R73" i="4"/>
  <c r="Q73" i="4"/>
  <c r="AC73" i="4" s="1"/>
  <c r="AD73" i="4" s="1"/>
  <c r="N73" i="4"/>
  <c r="O73" i="4" s="1"/>
  <c r="K73" i="4"/>
  <c r="L73" i="4" s="1"/>
  <c r="E73" i="4"/>
  <c r="C73" i="4"/>
  <c r="B73" i="4"/>
  <c r="AC72" i="4"/>
  <c r="AD72" i="4" s="1"/>
  <c r="AA72" i="4"/>
  <c r="W72" i="4"/>
  <c r="X72" i="4" s="1"/>
  <c r="U72" i="4"/>
  <c r="R72" i="4"/>
  <c r="O72" i="4"/>
  <c r="N72" i="4"/>
  <c r="L72" i="4"/>
  <c r="I72" i="4"/>
  <c r="H72" i="4"/>
  <c r="F72" i="4"/>
  <c r="C72" i="4"/>
  <c r="AD71" i="4"/>
  <c r="AC71" i="4"/>
  <c r="AA71" i="4"/>
  <c r="W71" i="4"/>
  <c r="X71" i="4" s="1"/>
  <c r="U71" i="4"/>
  <c r="R71" i="4"/>
  <c r="O71" i="4"/>
  <c r="N71" i="4"/>
  <c r="L71" i="4"/>
  <c r="H71" i="4"/>
  <c r="I71" i="4" s="1"/>
  <c r="F71" i="4"/>
  <c r="C71" i="4"/>
  <c r="AC70" i="4"/>
  <c r="AD70" i="4" s="1"/>
  <c r="AA70" i="4"/>
  <c r="X70" i="4"/>
  <c r="W70" i="4"/>
  <c r="U70" i="4"/>
  <c r="R70" i="4"/>
  <c r="O70" i="4"/>
  <c r="N70" i="4"/>
  <c r="L70" i="4"/>
  <c r="H70" i="4"/>
  <c r="I70" i="4" s="1"/>
  <c r="F70" i="4"/>
  <c r="C70" i="4"/>
  <c r="AD69" i="4"/>
  <c r="AC69" i="4"/>
  <c r="AA69" i="4"/>
  <c r="X69" i="4"/>
  <c r="W69" i="4"/>
  <c r="U69" i="4"/>
  <c r="R69" i="4"/>
  <c r="N69" i="4"/>
  <c r="O69" i="4" s="1"/>
  <c r="L69" i="4"/>
  <c r="H69" i="4"/>
  <c r="I69" i="4" s="1"/>
  <c r="F69" i="4"/>
  <c r="C69" i="4"/>
  <c r="AC68" i="4"/>
  <c r="AD68" i="4" s="1"/>
  <c r="AA68" i="4"/>
  <c r="W68" i="4"/>
  <c r="X68" i="4" s="1"/>
  <c r="U68" i="4"/>
  <c r="R68" i="4"/>
  <c r="O68" i="4"/>
  <c r="N68" i="4"/>
  <c r="L68" i="4"/>
  <c r="H68" i="4"/>
  <c r="I68" i="4" s="1"/>
  <c r="F68" i="4"/>
  <c r="C68" i="4"/>
  <c r="AD67" i="4"/>
  <c r="AC67" i="4"/>
  <c r="AA67" i="4"/>
  <c r="X67" i="4"/>
  <c r="W67" i="4"/>
  <c r="U67" i="4"/>
  <c r="R67" i="4"/>
  <c r="N67" i="4"/>
  <c r="O67" i="4" s="1"/>
  <c r="L67" i="4"/>
  <c r="H67" i="4"/>
  <c r="I67" i="4" s="1"/>
  <c r="F67" i="4"/>
  <c r="C67" i="4"/>
  <c r="AC66" i="4"/>
  <c r="AD66" i="4" s="1"/>
  <c r="AA66" i="4"/>
  <c r="X66" i="4"/>
  <c r="W66" i="4"/>
  <c r="U66" i="4"/>
  <c r="R66" i="4"/>
  <c r="N66" i="4"/>
  <c r="O66" i="4" s="1"/>
  <c r="L66" i="4"/>
  <c r="H66" i="4"/>
  <c r="I66" i="4" s="1"/>
  <c r="F66" i="4"/>
  <c r="C66" i="4"/>
  <c r="AD65" i="4"/>
  <c r="AC65" i="4"/>
  <c r="AA65" i="4"/>
  <c r="X65" i="4"/>
  <c r="W65" i="4"/>
  <c r="U65" i="4"/>
  <c r="R65" i="4"/>
  <c r="O65" i="4"/>
  <c r="N65" i="4"/>
  <c r="L65" i="4"/>
  <c r="H65" i="4"/>
  <c r="I65" i="4" s="1"/>
  <c r="F65" i="4"/>
  <c r="C65" i="4"/>
  <c r="AC64" i="4"/>
  <c r="AD64" i="4" s="1"/>
  <c r="AA64" i="4"/>
  <c r="X64" i="4"/>
  <c r="W64" i="4"/>
  <c r="U64" i="4"/>
  <c r="R64" i="4"/>
  <c r="O64" i="4"/>
  <c r="N64" i="4"/>
  <c r="L64" i="4"/>
  <c r="I64" i="4"/>
  <c r="H64" i="4"/>
  <c r="F64" i="4"/>
  <c r="C64" i="4"/>
  <c r="Z62" i="4"/>
  <c r="AA62" i="4" s="1"/>
  <c r="U62" i="4"/>
  <c r="T62" i="4"/>
  <c r="Q62" i="4"/>
  <c r="W62" i="4" s="1"/>
  <c r="X62" i="4" s="1"/>
  <c r="K62" i="4"/>
  <c r="L62" i="4" s="1"/>
  <c r="E62" i="4"/>
  <c r="F62" i="4" s="1"/>
  <c r="B62" i="4"/>
  <c r="AC61" i="4"/>
  <c r="AD61" i="4" s="1"/>
  <c r="Z61" i="4"/>
  <c r="AA61" i="4" s="1"/>
  <c r="T61" i="4"/>
  <c r="U61" i="4" s="1"/>
  <c r="R61" i="4"/>
  <c r="Q61" i="4"/>
  <c r="N61" i="4"/>
  <c r="O61" i="4" s="1"/>
  <c r="L61" i="4"/>
  <c r="K61" i="4"/>
  <c r="E61" i="4"/>
  <c r="F61" i="4" s="1"/>
  <c r="B61" i="4"/>
  <c r="AD60" i="4"/>
  <c r="AC60" i="4"/>
  <c r="AA60" i="4"/>
  <c r="W60" i="4"/>
  <c r="X60" i="4" s="1"/>
  <c r="U60" i="4"/>
  <c r="R60" i="4"/>
  <c r="N60" i="4"/>
  <c r="O60" i="4" s="1"/>
  <c r="L60" i="4"/>
  <c r="H60" i="4"/>
  <c r="I60" i="4" s="1"/>
  <c r="F60" i="4"/>
  <c r="C60" i="4"/>
  <c r="AD59" i="4"/>
  <c r="AC59" i="4"/>
  <c r="AA59" i="4"/>
  <c r="X59" i="4"/>
  <c r="W59" i="4"/>
  <c r="U59" i="4"/>
  <c r="R59" i="4"/>
  <c r="O59" i="4"/>
  <c r="N59" i="4"/>
  <c r="L59" i="4"/>
  <c r="H59" i="4"/>
  <c r="I59" i="4" s="1"/>
  <c r="F59" i="4"/>
  <c r="C59" i="4"/>
  <c r="AC58" i="4"/>
  <c r="AD58" i="4" s="1"/>
  <c r="AA58" i="4"/>
  <c r="W58" i="4"/>
  <c r="X58" i="4" s="1"/>
  <c r="U58" i="4"/>
  <c r="R58" i="4"/>
  <c r="O58" i="4"/>
  <c r="N58" i="4"/>
  <c r="L58" i="4"/>
  <c r="I58" i="4"/>
  <c r="H58" i="4"/>
  <c r="F58" i="4"/>
  <c r="C58" i="4"/>
  <c r="AC57" i="4"/>
  <c r="AD57" i="4" s="1"/>
  <c r="AA57" i="4"/>
  <c r="W57" i="4"/>
  <c r="X57" i="4" s="1"/>
  <c r="U57" i="4"/>
  <c r="R57" i="4"/>
  <c r="O57" i="4"/>
  <c r="N57" i="4"/>
  <c r="L57" i="4"/>
  <c r="I57" i="4"/>
  <c r="H57" i="4"/>
  <c r="F57" i="4"/>
  <c r="C57" i="4"/>
  <c r="AC56" i="4"/>
  <c r="AD56" i="4" s="1"/>
  <c r="AA56" i="4"/>
  <c r="X56" i="4"/>
  <c r="W56" i="4"/>
  <c r="U56" i="4"/>
  <c r="R56" i="4"/>
  <c r="O56" i="4"/>
  <c r="N56" i="4"/>
  <c r="L56" i="4"/>
  <c r="H56" i="4"/>
  <c r="I56" i="4" s="1"/>
  <c r="F56" i="4"/>
  <c r="C56" i="4"/>
  <c r="AC55" i="4"/>
  <c r="AD55" i="4" s="1"/>
  <c r="AA55" i="4"/>
  <c r="X55" i="4"/>
  <c r="W55" i="4"/>
  <c r="U55" i="4"/>
  <c r="R55" i="4"/>
  <c r="O55" i="4"/>
  <c r="N55" i="4"/>
  <c r="L55" i="4"/>
  <c r="I55" i="4"/>
  <c r="H55" i="4"/>
  <c r="F55" i="4"/>
  <c r="C55" i="4"/>
  <c r="AD54" i="4"/>
  <c r="AC54" i="4"/>
  <c r="AA54" i="4"/>
  <c r="W54" i="4"/>
  <c r="X54" i="4" s="1"/>
  <c r="U54" i="4"/>
  <c r="R54" i="4"/>
  <c r="N54" i="4"/>
  <c r="O54" i="4" s="1"/>
  <c r="L54" i="4"/>
  <c r="H54" i="4"/>
  <c r="I54" i="4" s="1"/>
  <c r="F54" i="4"/>
  <c r="C54" i="4"/>
  <c r="AC53" i="4"/>
  <c r="AD53" i="4" s="1"/>
  <c r="AA53" i="4"/>
  <c r="X53" i="4"/>
  <c r="W53" i="4"/>
  <c r="U53" i="4"/>
  <c r="R53" i="4"/>
  <c r="O53" i="4"/>
  <c r="N53" i="4"/>
  <c r="L53" i="4"/>
  <c r="H53" i="4"/>
  <c r="I53" i="4" s="1"/>
  <c r="F53" i="4"/>
  <c r="C53" i="4"/>
  <c r="AC52" i="4"/>
  <c r="AD52" i="4" s="1"/>
  <c r="AA52" i="4"/>
  <c r="X52" i="4"/>
  <c r="W52" i="4"/>
  <c r="U52" i="4"/>
  <c r="R52" i="4"/>
  <c r="N52" i="4"/>
  <c r="O52" i="4" s="1"/>
  <c r="L52" i="4"/>
  <c r="H52" i="4"/>
  <c r="I52" i="4" s="1"/>
  <c r="F52" i="4"/>
  <c r="C52" i="4"/>
  <c r="AD51" i="4"/>
  <c r="AC51" i="4"/>
  <c r="AA51" i="4"/>
  <c r="X51" i="4"/>
  <c r="W51" i="4"/>
  <c r="U51" i="4"/>
  <c r="R51" i="4"/>
  <c r="O51" i="4"/>
  <c r="N51" i="4"/>
  <c r="L51" i="4"/>
  <c r="H51" i="4"/>
  <c r="I51" i="4" s="1"/>
  <c r="F51" i="4"/>
  <c r="C51" i="4"/>
  <c r="AC50" i="4"/>
  <c r="AD50" i="4" s="1"/>
  <c r="AA50" i="4"/>
  <c r="X50" i="4"/>
  <c r="W50" i="4"/>
  <c r="U50" i="4"/>
  <c r="R50" i="4"/>
  <c r="N50" i="4"/>
  <c r="O50" i="4" s="1"/>
  <c r="L50" i="4"/>
  <c r="I50" i="4"/>
  <c r="H50" i="4"/>
  <c r="F50" i="4"/>
  <c r="C50" i="4"/>
  <c r="AC49" i="4"/>
  <c r="AD49" i="4" s="1"/>
  <c r="AA49" i="4"/>
  <c r="W49" i="4"/>
  <c r="X49" i="4" s="1"/>
  <c r="U49" i="4"/>
  <c r="R49" i="4"/>
  <c r="O49" i="4"/>
  <c r="N49" i="4"/>
  <c r="L49" i="4"/>
  <c r="H49" i="4"/>
  <c r="I49" i="4" s="1"/>
  <c r="F49" i="4"/>
  <c r="C49" i="4"/>
  <c r="AD48" i="4"/>
  <c r="AC48" i="4"/>
  <c r="AA48" i="4"/>
  <c r="X48" i="4"/>
  <c r="W48" i="4"/>
  <c r="U48" i="4"/>
  <c r="R48" i="4"/>
  <c r="O48" i="4"/>
  <c r="N48" i="4"/>
  <c r="L48" i="4"/>
  <c r="H48" i="4"/>
  <c r="I48" i="4" s="1"/>
  <c r="F48" i="4"/>
  <c r="C48" i="4"/>
  <c r="AC47" i="4"/>
  <c r="AD47" i="4" s="1"/>
  <c r="AA47" i="4"/>
  <c r="X47" i="4"/>
  <c r="W47" i="4"/>
  <c r="U47" i="4"/>
  <c r="R47" i="4"/>
  <c r="N47" i="4"/>
  <c r="O47" i="4" s="1"/>
  <c r="L47" i="4"/>
  <c r="I47" i="4"/>
  <c r="H47" i="4"/>
  <c r="F47" i="4"/>
  <c r="C47" i="4"/>
  <c r="AD46" i="4"/>
  <c r="AC46" i="4"/>
  <c r="AA46" i="4"/>
  <c r="W46" i="4"/>
  <c r="X46" i="4" s="1"/>
  <c r="U46" i="4"/>
  <c r="R46" i="4"/>
  <c r="O46" i="4"/>
  <c r="N46" i="4"/>
  <c r="L46" i="4"/>
  <c r="I46" i="4"/>
  <c r="H46" i="4"/>
  <c r="F46" i="4"/>
  <c r="C46" i="4"/>
  <c r="AC44" i="4"/>
  <c r="AD44" i="4" s="1"/>
  <c r="AA44" i="4"/>
  <c r="X44" i="4"/>
  <c r="W44" i="4"/>
  <c r="U44" i="4"/>
  <c r="R44" i="4"/>
  <c r="O44" i="4"/>
  <c r="N44" i="4"/>
  <c r="L44" i="4"/>
  <c r="I44" i="4"/>
  <c r="H44" i="4"/>
  <c r="F44" i="4"/>
  <c r="C44" i="4"/>
  <c r="AC43" i="4"/>
  <c r="AD43" i="4" s="1"/>
  <c r="AA43" i="4"/>
  <c r="W43" i="4"/>
  <c r="X43" i="4" s="1"/>
  <c r="U43" i="4"/>
  <c r="R43" i="4"/>
  <c r="O43" i="4"/>
  <c r="N43" i="4"/>
  <c r="L43" i="4"/>
  <c r="H43" i="4"/>
  <c r="I43" i="4" s="1"/>
  <c r="F43" i="4"/>
  <c r="C43" i="4"/>
  <c r="AD42" i="4"/>
  <c r="AC42" i="4"/>
  <c r="AA42" i="4"/>
  <c r="X42" i="4"/>
  <c r="W42" i="4"/>
  <c r="U42" i="4"/>
  <c r="R42" i="4"/>
  <c r="N42" i="4"/>
  <c r="O42" i="4" s="1"/>
  <c r="L42" i="4"/>
  <c r="H42" i="4"/>
  <c r="I42" i="4" s="1"/>
  <c r="F42" i="4"/>
  <c r="C42" i="4"/>
  <c r="AC40" i="4"/>
  <c r="AD40" i="4" s="1"/>
  <c r="AA40" i="4"/>
  <c r="Z40" i="4"/>
  <c r="T40" i="4"/>
  <c r="U40" i="4" s="1"/>
  <c r="R40" i="4"/>
  <c r="Q40" i="4"/>
  <c r="K40" i="4"/>
  <c r="L40" i="4" s="1"/>
  <c r="F40" i="4"/>
  <c r="E40" i="4"/>
  <c r="B40" i="4"/>
  <c r="C40" i="4" s="1"/>
  <c r="AD39" i="4"/>
  <c r="AC39" i="4"/>
  <c r="AA39" i="4"/>
  <c r="X39" i="4"/>
  <c r="W39" i="4"/>
  <c r="U39" i="4"/>
  <c r="R39" i="4"/>
  <c r="O39" i="4"/>
  <c r="N39" i="4"/>
  <c r="L39" i="4"/>
  <c r="H39" i="4"/>
  <c r="I39" i="4" s="1"/>
  <c r="F39" i="4"/>
  <c r="C39" i="4"/>
  <c r="AD38" i="4"/>
  <c r="AC38" i="4"/>
  <c r="AA38" i="4"/>
  <c r="X38" i="4"/>
  <c r="W38" i="4"/>
  <c r="U38" i="4"/>
  <c r="R38" i="4"/>
  <c r="O38" i="4"/>
  <c r="N38" i="4"/>
  <c r="L38" i="4"/>
  <c r="H38" i="4"/>
  <c r="I38" i="4" s="1"/>
  <c r="F38" i="4"/>
  <c r="C38" i="4"/>
  <c r="AD37" i="4"/>
  <c r="AC37" i="4"/>
  <c r="AA37" i="4"/>
  <c r="W37" i="4"/>
  <c r="X37" i="4" s="1"/>
  <c r="U37" i="4"/>
  <c r="R37" i="4"/>
  <c r="N37" i="4"/>
  <c r="O37" i="4" s="1"/>
  <c r="L37" i="4"/>
  <c r="I37" i="4"/>
  <c r="H37" i="4"/>
  <c r="F37" i="4"/>
  <c r="C37" i="4"/>
  <c r="AC36" i="4"/>
  <c r="AD36" i="4" s="1"/>
  <c r="AA36" i="4"/>
  <c r="W36" i="4"/>
  <c r="X36" i="4" s="1"/>
  <c r="U36" i="4"/>
  <c r="R36" i="4"/>
  <c r="O36" i="4"/>
  <c r="N36" i="4"/>
  <c r="L36" i="4"/>
  <c r="H36" i="4"/>
  <c r="I36" i="4" s="1"/>
  <c r="F36" i="4"/>
  <c r="C36" i="4"/>
  <c r="AC35" i="4"/>
  <c r="AD35" i="4" s="1"/>
  <c r="AA35" i="4"/>
  <c r="W35" i="4"/>
  <c r="X35" i="4" s="1"/>
  <c r="U35" i="4"/>
  <c r="R35" i="4"/>
  <c r="O35" i="4"/>
  <c r="N35" i="4"/>
  <c r="L35" i="4"/>
  <c r="H35" i="4"/>
  <c r="I35" i="4" s="1"/>
  <c r="F35" i="4"/>
  <c r="C35" i="4"/>
  <c r="AC34" i="4"/>
  <c r="AD34" i="4" s="1"/>
  <c r="AA34" i="4"/>
  <c r="X34" i="4"/>
  <c r="W34" i="4"/>
  <c r="U34" i="4"/>
  <c r="R34" i="4"/>
  <c r="N34" i="4"/>
  <c r="O34" i="4" s="1"/>
  <c r="L34" i="4"/>
  <c r="I34" i="4"/>
  <c r="H34" i="4"/>
  <c r="F34" i="4"/>
  <c r="C34" i="4"/>
  <c r="AC33" i="4"/>
  <c r="AD33" i="4" s="1"/>
  <c r="AA33" i="4"/>
  <c r="X33" i="4"/>
  <c r="W33" i="4"/>
  <c r="U33" i="4"/>
  <c r="R33" i="4"/>
  <c r="O33" i="4"/>
  <c r="N33" i="4"/>
  <c r="L33" i="4"/>
  <c r="H33" i="4"/>
  <c r="I33" i="4" s="1"/>
  <c r="F33" i="4"/>
  <c r="C33" i="4"/>
  <c r="AD32" i="4"/>
  <c r="AC32" i="4"/>
  <c r="AA32" i="4"/>
  <c r="X32" i="4"/>
  <c r="W32" i="4"/>
  <c r="U32" i="4"/>
  <c r="R32" i="4"/>
  <c r="N32" i="4"/>
  <c r="O32" i="4" s="1"/>
  <c r="L32" i="4"/>
  <c r="H32" i="4"/>
  <c r="I32" i="4" s="1"/>
  <c r="F32" i="4"/>
  <c r="C32" i="4"/>
  <c r="AD31" i="4"/>
  <c r="AC31" i="4"/>
  <c r="AA31" i="4"/>
  <c r="X31" i="4"/>
  <c r="W31" i="4"/>
  <c r="U31" i="4"/>
  <c r="R31" i="4"/>
  <c r="O31" i="4"/>
  <c r="N31" i="4"/>
  <c r="L31" i="4"/>
  <c r="H31" i="4"/>
  <c r="I31" i="4" s="1"/>
  <c r="F31" i="4"/>
  <c r="C31" i="4"/>
  <c r="AA29" i="4"/>
  <c r="Z29" i="4"/>
  <c r="T29" i="4"/>
  <c r="U29" i="4" s="1"/>
  <c r="Q29" i="4"/>
  <c r="L29" i="4"/>
  <c r="K29" i="4"/>
  <c r="E29" i="4"/>
  <c r="H29" i="4" s="1"/>
  <c r="I29" i="4" s="1"/>
  <c r="C29" i="4"/>
  <c r="B29" i="4"/>
  <c r="AC28" i="4"/>
  <c r="AD28" i="4" s="1"/>
  <c r="AA28" i="4"/>
  <c r="W28" i="4"/>
  <c r="X28" i="4" s="1"/>
  <c r="U28" i="4"/>
  <c r="R28" i="4"/>
  <c r="N28" i="4"/>
  <c r="O28" i="4" s="1"/>
  <c r="L28" i="4"/>
  <c r="H28" i="4"/>
  <c r="I28" i="4" s="1"/>
  <c r="F28" i="4"/>
  <c r="C28" i="4"/>
  <c r="AD27" i="4"/>
  <c r="AC27" i="4"/>
  <c r="AA27" i="4"/>
  <c r="X27" i="4"/>
  <c r="W27" i="4"/>
  <c r="U27" i="4"/>
  <c r="R27" i="4"/>
  <c r="O27" i="4"/>
  <c r="N27" i="4"/>
  <c r="L27" i="4"/>
  <c r="I27" i="4"/>
  <c r="H27" i="4"/>
  <c r="F27" i="4"/>
  <c r="C27" i="4"/>
  <c r="AD26" i="4"/>
  <c r="AC26" i="4"/>
  <c r="AA26" i="4"/>
  <c r="W26" i="4"/>
  <c r="X26" i="4" s="1"/>
  <c r="U26" i="4"/>
  <c r="R26" i="4"/>
  <c r="N26" i="4"/>
  <c r="O26" i="4" s="1"/>
  <c r="L26" i="4"/>
  <c r="I26" i="4"/>
  <c r="H26" i="4"/>
  <c r="F26" i="4"/>
  <c r="C26" i="4"/>
  <c r="AC25" i="4"/>
  <c r="AD25" i="4" s="1"/>
  <c r="AA25" i="4"/>
  <c r="X25" i="4"/>
  <c r="W25" i="4"/>
  <c r="U25" i="4"/>
  <c r="R25" i="4"/>
  <c r="O25" i="4"/>
  <c r="N25" i="4"/>
  <c r="L25" i="4"/>
  <c r="H25" i="4"/>
  <c r="I25" i="4" s="1"/>
  <c r="F25" i="4"/>
  <c r="C25" i="4"/>
  <c r="AC24" i="4"/>
  <c r="AD24" i="4" s="1"/>
  <c r="AA24" i="4"/>
  <c r="W24" i="4"/>
  <c r="X24" i="4" s="1"/>
  <c r="U24" i="4"/>
  <c r="R24" i="4"/>
  <c r="N24" i="4"/>
  <c r="O24" i="4" s="1"/>
  <c r="L24" i="4"/>
  <c r="H24" i="4"/>
  <c r="I24" i="4" s="1"/>
  <c r="F24" i="4"/>
  <c r="C24" i="4"/>
  <c r="AD23" i="4"/>
  <c r="AC23" i="4"/>
  <c r="AA23" i="4"/>
  <c r="X23" i="4"/>
  <c r="W23" i="4"/>
  <c r="U23" i="4"/>
  <c r="R23" i="4"/>
  <c r="O23" i="4"/>
  <c r="N23" i="4"/>
  <c r="L23" i="4"/>
  <c r="I23" i="4"/>
  <c r="H23" i="4"/>
  <c r="F23" i="4"/>
  <c r="C23" i="4"/>
  <c r="AD22" i="4"/>
  <c r="AC22" i="4"/>
  <c r="AA22" i="4"/>
  <c r="W22" i="4"/>
  <c r="X22" i="4" s="1"/>
  <c r="U22" i="4"/>
  <c r="R22" i="4"/>
  <c r="N22" i="4"/>
  <c r="O22" i="4" s="1"/>
  <c r="L22" i="4"/>
  <c r="I22" i="4"/>
  <c r="H22" i="4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C19" i="4"/>
  <c r="AD19" i="4" s="1"/>
  <c r="AA19" i="4"/>
  <c r="W19" i="4"/>
  <c r="X19" i="4" s="1"/>
  <c r="U19" i="4"/>
  <c r="R19" i="4"/>
  <c r="N19" i="4"/>
  <c r="O19" i="4" s="1"/>
  <c r="L19" i="4"/>
  <c r="H19" i="4"/>
  <c r="I19" i="4" s="1"/>
  <c r="F19" i="4"/>
  <c r="C19" i="4"/>
  <c r="Z18" i="4"/>
  <c r="AA18" i="4" s="1"/>
  <c r="T18" i="4"/>
  <c r="R18" i="4"/>
  <c r="Q18" i="4"/>
  <c r="K18" i="4"/>
  <c r="L18" i="4" s="1"/>
  <c r="F18" i="4"/>
  <c r="E18" i="4"/>
  <c r="C18" i="4"/>
  <c r="B18" i="4"/>
  <c r="H18" i="4" s="1"/>
  <c r="I18" i="4" s="1"/>
  <c r="AC17" i="4"/>
  <c r="AD17" i="4" s="1"/>
  <c r="AA17" i="4"/>
  <c r="X17" i="4"/>
  <c r="W17" i="4"/>
  <c r="U17" i="4"/>
  <c r="R17" i="4"/>
  <c r="O17" i="4"/>
  <c r="N17" i="4"/>
  <c r="L17" i="4"/>
  <c r="I17" i="4"/>
  <c r="H17" i="4"/>
  <c r="F17" i="4"/>
  <c r="C17" i="4"/>
  <c r="AD16" i="4"/>
  <c r="AC16" i="4"/>
  <c r="AA16" i="4"/>
  <c r="W16" i="4"/>
  <c r="X16" i="4" s="1"/>
  <c r="U16" i="4"/>
  <c r="R16" i="4"/>
  <c r="N16" i="4"/>
  <c r="O16" i="4" s="1"/>
  <c r="L16" i="4"/>
  <c r="H16" i="4"/>
  <c r="I16" i="4" s="1"/>
  <c r="F16" i="4"/>
  <c r="C16" i="4"/>
  <c r="AD15" i="4"/>
  <c r="AC15" i="4"/>
  <c r="AA15" i="4"/>
  <c r="X15" i="4"/>
  <c r="W15" i="4"/>
  <c r="U15" i="4"/>
  <c r="R15" i="4"/>
  <c r="O15" i="4"/>
  <c r="N15" i="4"/>
  <c r="L15" i="4"/>
  <c r="H15" i="4"/>
  <c r="I15" i="4" s="1"/>
  <c r="F15" i="4"/>
  <c r="C15" i="4"/>
  <c r="AC14" i="4"/>
  <c r="AD14" i="4" s="1"/>
  <c r="AA14" i="4"/>
  <c r="W14" i="4"/>
  <c r="X14" i="4" s="1"/>
  <c r="U14" i="4"/>
  <c r="R14" i="4"/>
  <c r="O14" i="4"/>
  <c r="N14" i="4"/>
  <c r="L14" i="4"/>
  <c r="I14" i="4"/>
  <c r="H14" i="4"/>
  <c r="F14" i="4"/>
  <c r="C14" i="4"/>
  <c r="AC13" i="4"/>
  <c r="AD13" i="4" s="1"/>
  <c r="AA13" i="4"/>
  <c r="X13" i="4"/>
  <c r="W13" i="4"/>
  <c r="U13" i="4"/>
  <c r="R13" i="4"/>
  <c r="O13" i="4"/>
  <c r="N13" i="4"/>
  <c r="L13" i="4"/>
  <c r="I13" i="4"/>
  <c r="H13" i="4"/>
  <c r="F13" i="4"/>
  <c r="C13" i="4"/>
  <c r="AD12" i="4"/>
  <c r="AC12" i="4"/>
  <c r="AA12" i="4"/>
  <c r="W12" i="4"/>
  <c r="X12" i="4" s="1"/>
  <c r="U12" i="4"/>
  <c r="R12" i="4"/>
  <c r="N12" i="4"/>
  <c r="O12" i="4" s="1"/>
  <c r="L12" i="4"/>
  <c r="H12" i="4"/>
  <c r="I12" i="4" s="1"/>
  <c r="F12" i="4"/>
  <c r="C12" i="4"/>
  <c r="AD11" i="4"/>
  <c r="AC11" i="4"/>
  <c r="AA11" i="4"/>
  <c r="X11" i="4"/>
  <c r="W11" i="4"/>
  <c r="U11" i="4"/>
  <c r="R11" i="4"/>
  <c r="O11" i="4"/>
  <c r="N11" i="4"/>
  <c r="L11" i="4"/>
  <c r="H11" i="4"/>
  <c r="I11" i="4" s="1"/>
  <c r="F11" i="4"/>
  <c r="C11" i="4"/>
  <c r="AC10" i="4"/>
  <c r="AD10" i="4" s="1"/>
  <c r="AA10" i="4"/>
  <c r="W10" i="4"/>
  <c r="X10" i="4" s="1"/>
  <c r="U10" i="4"/>
  <c r="R10" i="4"/>
  <c r="O10" i="4"/>
  <c r="N10" i="4"/>
  <c r="L10" i="4"/>
  <c r="I10" i="4"/>
  <c r="H10" i="4"/>
  <c r="F10" i="4"/>
  <c r="C10" i="4"/>
  <c r="AC8" i="4"/>
  <c r="AD8" i="4" s="1"/>
  <c r="AA8" i="4"/>
  <c r="X8" i="4"/>
  <c r="W8" i="4"/>
  <c r="U8" i="4"/>
  <c r="R8" i="4"/>
  <c r="O8" i="4"/>
  <c r="N8" i="4"/>
  <c r="L8" i="4"/>
  <c r="I8" i="4"/>
  <c r="H8" i="4"/>
  <c r="F8" i="4"/>
  <c r="C8" i="4"/>
  <c r="AC444" i="3"/>
  <c r="AD438" i="3" s="1"/>
  <c r="W444" i="3"/>
  <c r="X437" i="3" s="1"/>
  <c r="N444" i="3"/>
  <c r="H444" i="3"/>
  <c r="Z442" i="3"/>
  <c r="AA442" i="3" s="1"/>
  <c r="U442" i="3"/>
  <c r="T442" i="3"/>
  <c r="R442" i="3"/>
  <c r="Q442" i="3"/>
  <c r="K442" i="3"/>
  <c r="N442" i="3" s="1"/>
  <c r="O442" i="3" s="1"/>
  <c r="F442" i="3"/>
  <c r="E442" i="3"/>
  <c r="B442" i="3"/>
  <c r="AA441" i="3"/>
  <c r="Z441" i="3"/>
  <c r="T441" i="3"/>
  <c r="U441" i="3" s="1"/>
  <c r="Q441" i="3"/>
  <c r="L441" i="3"/>
  <c r="K441" i="3"/>
  <c r="E441" i="3"/>
  <c r="H441" i="3" s="1"/>
  <c r="I441" i="3" s="1"/>
  <c r="C441" i="3"/>
  <c r="B441" i="3"/>
  <c r="AC440" i="3"/>
  <c r="AD440" i="3" s="1"/>
  <c r="AA440" i="3"/>
  <c r="W440" i="3"/>
  <c r="X440" i="3" s="1"/>
  <c r="U440" i="3"/>
  <c r="R440" i="3"/>
  <c r="N440" i="3"/>
  <c r="O440" i="3" s="1"/>
  <c r="L440" i="3"/>
  <c r="H440" i="3"/>
  <c r="I440" i="3" s="1"/>
  <c r="F440" i="3"/>
  <c r="C440" i="3"/>
  <c r="AC439" i="3"/>
  <c r="AA439" i="3"/>
  <c r="X439" i="3"/>
  <c r="W439" i="3"/>
  <c r="U439" i="3"/>
  <c r="R439" i="3"/>
  <c r="O439" i="3"/>
  <c r="N439" i="3"/>
  <c r="L439" i="3"/>
  <c r="I439" i="3"/>
  <c r="H439" i="3"/>
  <c r="F439" i="3"/>
  <c r="C439" i="3"/>
  <c r="AC438" i="3"/>
  <c r="AA438" i="3"/>
  <c r="W438" i="3"/>
  <c r="X438" i="3" s="1"/>
  <c r="U438" i="3"/>
  <c r="R438" i="3"/>
  <c r="N438" i="3"/>
  <c r="O438" i="3" s="1"/>
  <c r="L438" i="3"/>
  <c r="H438" i="3"/>
  <c r="F438" i="3"/>
  <c r="C438" i="3"/>
  <c r="AC437" i="3"/>
  <c r="AA437" i="3"/>
  <c r="W437" i="3"/>
  <c r="U437" i="3"/>
  <c r="R437" i="3"/>
  <c r="O437" i="3"/>
  <c r="N437" i="3"/>
  <c r="L437" i="3"/>
  <c r="I437" i="3"/>
  <c r="H437" i="3"/>
  <c r="F437" i="3"/>
  <c r="C437" i="3"/>
  <c r="AC436" i="3"/>
  <c r="AA436" i="3"/>
  <c r="X436" i="3"/>
  <c r="W436" i="3"/>
  <c r="U436" i="3"/>
  <c r="R436" i="3"/>
  <c r="N436" i="3"/>
  <c r="O436" i="3" s="1"/>
  <c r="L436" i="3"/>
  <c r="H436" i="3"/>
  <c r="F436" i="3"/>
  <c r="C436" i="3"/>
  <c r="AC435" i="3"/>
  <c r="AA435" i="3"/>
  <c r="X435" i="3"/>
  <c r="W435" i="3"/>
  <c r="U435" i="3"/>
  <c r="R435" i="3"/>
  <c r="O435" i="3"/>
  <c r="N435" i="3"/>
  <c r="L435" i="3"/>
  <c r="H435" i="3"/>
  <c r="I435" i="3" s="1"/>
  <c r="F435" i="3"/>
  <c r="C435" i="3"/>
  <c r="AC434" i="3"/>
  <c r="AD434" i="3" s="1"/>
  <c r="AA434" i="3"/>
  <c r="W434" i="3"/>
  <c r="X434" i="3" s="1"/>
  <c r="U434" i="3"/>
  <c r="R434" i="3"/>
  <c r="O434" i="3"/>
  <c r="N434" i="3"/>
  <c r="L434" i="3"/>
  <c r="H434" i="3"/>
  <c r="F434" i="3"/>
  <c r="C434" i="3"/>
  <c r="AC433" i="3"/>
  <c r="AA433" i="3"/>
  <c r="X433" i="3"/>
  <c r="W433" i="3"/>
  <c r="U433" i="3"/>
  <c r="R433" i="3"/>
  <c r="O433" i="3"/>
  <c r="N433" i="3"/>
  <c r="L433" i="3"/>
  <c r="I433" i="3"/>
  <c r="H433" i="3"/>
  <c r="F433" i="3"/>
  <c r="C433" i="3"/>
  <c r="AC432" i="3"/>
  <c r="AD432" i="3" s="1"/>
  <c r="AA432" i="3"/>
  <c r="W432" i="3"/>
  <c r="X432" i="3" s="1"/>
  <c r="U432" i="3"/>
  <c r="R432" i="3"/>
  <c r="N432" i="3"/>
  <c r="O432" i="3" s="1"/>
  <c r="L432" i="3"/>
  <c r="H432" i="3"/>
  <c r="I432" i="3" s="1"/>
  <c r="F432" i="3"/>
  <c r="C432" i="3"/>
  <c r="Z429" i="3"/>
  <c r="AA429" i="3" s="1"/>
  <c r="T429" i="3"/>
  <c r="W429" i="3" s="1"/>
  <c r="X429" i="3" s="1"/>
  <c r="R429" i="3"/>
  <c r="Q429" i="3"/>
  <c r="K429" i="3"/>
  <c r="L429" i="3" s="1"/>
  <c r="H429" i="3"/>
  <c r="F429" i="3"/>
  <c r="E429" i="3"/>
  <c r="C429" i="3"/>
  <c r="B429" i="3"/>
  <c r="AC428" i="3"/>
  <c r="AD428" i="3" s="1"/>
  <c r="AA428" i="3"/>
  <c r="Z428" i="3"/>
  <c r="T428" i="3"/>
  <c r="U428" i="3" s="1"/>
  <c r="Q428" i="3"/>
  <c r="L428" i="3"/>
  <c r="K428" i="3"/>
  <c r="E428" i="3"/>
  <c r="F428" i="3" s="1"/>
  <c r="C428" i="3"/>
  <c r="B428" i="3"/>
  <c r="H428" i="3" s="1"/>
  <c r="I428" i="3" s="1"/>
  <c r="AC427" i="3"/>
  <c r="AA427" i="3"/>
  <c r="X427" i="3"/>
  <c r="W427" i="3"/>
  <c r="U427" i="3"/>
  <c r="R427" i="3"/>
  <c r="O427" i="3"/>
  <c r="N427" i="3"/>
  <c r="L427" i="3"/>
  <c r="I427" i="3"/>
  <c r="H427" i="3"/>
  <c r="F427" i="3"/>
  <c r="C427" i="3"/>
  <c r="AC426" i="3"/>
  <c r="AA426" i="3"/>
  <c r="W426" i="3"/>
  <c r="U426" i="3"/>
  <c r="R426" i="3"/>
  <c r="O426" i="3"/>
  <c r="N426" i="3"/>
  <c r="L426" i="3"/>
  <c r="H426" i="3"/>
  <c r="F426" i="3"/>
  <c r="C426" i="3"/>
  <c r="AC425" i="3"/>
  <c r="AD425" i="3" s="1"/>
  <c r="AA425" i="3"/>
  <c r="X425" i="3"/>
  <c r="W425" i="3"/>
  <c r="U425" i="3"/>
  <c r="R425" i="3"/>
  <c r="O425" i="3"/>
  <c r="N425" i="3"/>
  <c r="L425" i="3"/>
  <c r="I425" i="3"/>
  <c r="H425" i="3"/>
  <c r="F425" i="3"/>
  <c r="C425" i="3"/>
  <c r="AC424" i="3"/>
  <c r="AA424" i="3"/>
  <c r="W424" i="3"/>
  <c r="X424" i="3" s="1"/>
  <c r="U424" i="3"/>
  <c r="R424" i="3"/>
  <c r="N424" i="3"/>
  <c r="O424" i="3" s="1"/>
  <c r="L424" i="3"/>
  <c r="H424" i="3"/>
  <c r="I424" i="3" s="1"/>
  <c r="F424" i="3"/>
  <c r="C424" i="3"/>
  <c r="AC423" i="3"/>
  <c r="AA423" i="3"/>
  <c r="X423" i="3"/>
  <c r="W423" i="3"/>
  <c r="U423" i="3"/>
  <c r="R423" i="3"/>
  <c r="O423" i="3"/>
  <c r="N423" i="3"/>
  <c r="L423" i="3"/>
  <c r="H423" i="3"/>
  <c r="F423" i="3"/>
  <c r="C423" i="3"/>
  <c r="AC422" i="3"/>
  <c r="AA422" i="3"/>
  <c r="W422" i="3"/>
  <c r="X422" i="3" s="1"/>
  <c r="U422" i="3"/>
  <c r="R422" i="3"/>
  <c r="O422" i="3"/>
  <c r="N422" i="3"/>
  <c r="L422" i="3"/>
  <c r="H422" i="3"/>
  <c r="F422" i="3"/>
  <c r="C422" i="3"/>
  <c r="AC421" i="3"/>
  <c r="AA421" i="3"/>
  <c r="X421" i="3"/>
  <c r="W421" i="3"/>
  <c r="U421" i="3"/>
  <c r="R421" i="3"/>
  <c r="O421" i="3"/>
  <c r="N421" i="3"/>
  <c r="L421" i="3"/>
  <c r="H421" i="3"/>
  <c r="I421" i="3" s="1"/>
  <c r="F421" i="3"/>
  <c r="C421" i="3"/>
  <c r="AC420" i="3"/>
  <c r="AD420" i="3" s="1"/>
  <c r="AA420" i="3"/>
  <c r="X420" i="3"/>
  <c r="W420" i="3"/>
  <c r="U420" i="3"/>
  <c r="R420" i="3"/>
  <c r="N420" i="3"/>
  <c r="O420" i="3" s="1"/>
  <c r="L420" i="3"/>
  <c r="H420" i="3"/>
  <c r="I420" i="3" s="1"/>
  <c r="F420" i="3"/>
  <c r="C420" i="3"/>
  <c r="AC419" i="3"/>
  <c r="AA419" i="3"/>
  <c r="X419" i="3"/>
  <c r="W419" i="3"/>
  <c r="U419" i="3"/>
  <c r="R419" i="3"/>
  <c r="O419" i="3"/>
  <c r="N419" i="3"/>
  <c r="L419" i="3"/>
  <c r="I419" i="3"/>
  <c r="H419" i="3"/>
  <c r="F419" i="3"/>
  <c r="C419" i="3"/>
  <c r="AC418" i="3"/>
  <c r="AD418" i="3" s="1"/>
  <c r="AA418" i="3"/>
  <c r="W418" i="3"/>
  <c r="X418" i="3" s="1"/>
  <c r="U418" i="3"/>
  <c r="R418" i="3"/>
  <c r="O418" i="3"/>
  <c r="N418" i="3"/>
  <c r="L418" i="3"/>
  <c r="H418" i="3"/>
  <c r="F418" i="3"/>
  <c r="C418" i="3"/>
  <c r="AC417" i="3"/>
  <c r="AA417" i="3"/>
  <c r="X417" i="3"/>
  <c r="W417" i="3"/>
  <c r="U417" i="3"/>
  <c r="R417" i="3"/>
  <c r="O417" i="3"/>
  <c r="N417" i="3"/>
  <c r="L417" i="3"/>
  <c r="I417" i="3"/>
  <c r="H417" i="3"/>
  <c r="F417" i="3"/>
  <c r="C417" i="3"/>
  <c r="AD416" i="3"/>
  <c r="AC416" i="3"/>
  <c r="AA416" i="3"/>
  <c r="X416" i="3"/>
  <c r="W416" i="3"/>
  <c r="U416" i="3"/>
  <c r="R416" i="3"/>
  <c r="N416" i="3"/>
  <c r="O416" i="3" s="1"/>
  <c r="L416" i="3"/>
  <c r="H416" i="3"/>
  <c r="F416" i="3"/>
  <c r="C416" i="3"/>
  <c r="AC415" i="3"/>
  <c r="AA415" i="3"/>
  <c r="W415" i="3"/>
  <c r="U415" i="3"/>
  <c r="R415" i="3"/>
  <c r="O415" i="3"/>
  <c r="N415" i="3"/>
  <c r="L415" i="3"/>
  <c r="I415" i="3"/>
  <c r="H415" i="3"/>
  <c r="F415" i="3"/>
  <c r="C415" i="3"/>
  <c r="AC414" i="3"/>
  <c r="AA414" i="3"/>
  <c r="W414" i="3"/>
  <c r="X414" i="3" s="1"/>
  <c r="U414" i="3"/>
  <c r="R414" i="3"/>
  <c r="O414" i="3"/>
  <c r="N414" i="3"/>
  <c r="L414" i="3"/>
  <c r="H414" i="3"/>
  <c r="F414" i="3"/>
  <c r="C414" i="3"/>
  <c r="AC413" i="3"/>
  <c r="AA413" i="3"/>
  <c r="X413" i="3"/>
  <c r="W413" i="3"/>
  <c r="U413" i="3"/>
  <c r="R413" i="3"/>
  <c r="O413" i="3"/>
  <c r="N413" i="3"/>
  <c r="L413" i="3"/>
  <c r="H413" i="3"/>
  <c r="I413" i="3" s="1"/>
  <c r="F413" i="3"/>
  <c r="C413" i="3"/>
  <c r="AC412" i="3"/>
  <c r="AD412" i="3" s="1"/>
  <c r="AA412" i="3"/>
  <c r="X412" i="3"/>
  <c r="W412" i="3"/>
  <c r="U412" i="3"/>
  <c r="R412" i="3"/>
  <c r="N412" i="3"/>
  <c r="O412" i="3" s="1"/>
  <c r="L412" i="3"/>
  <c r="H412" i="3"/>
  <c r="I412" i="3" s="1"/>
  <c r="F412" i="3"/>
  <c r="C412" i="3"/>
  <c r="AC411" i="3"/>
  <c r="AA411" i="3"/>
  <c r="X411" i="3"/>
  <c r="W411" i="3"/>
  <c r="U411" i="3"/>
  <c r="R411" i="3"/>
  <c r="O411" i="3"/>
  <c r="N411" i="3"/>
  <c r="L411" i="3"/>
  <c r="H411" i="3"/>
  <c r="I411" i="3" s="1"/>
  <c r="F411" i="3"/>
  <c r="C411" i="3"/>
  <c r="AC410" i="3"/>
  <c r="AA410" i="3"/>
  <c r="W410" i="3"/>
  <c r="U410" i="3"/>
  <c r="R410" i="3"/>
  <c r="O410" i="3"/>
  <c r="N410" i="3"/>
  <c r="L410" i="3"/>
  <c r="H410" i="3"/>
  <c r="F410" i="3"/>
  <c r="C410" i="3"/>
  <c r="AC409" i="3"/>
  <c r="AD409" i="3" s="1"/>
  <c r="AA409" i="3"/>
  <c r="X409" i="3"/>
  <c r="W409" i="3"/>
  <c r="U409" i="3"/>
  <c r="R409" i="3"/>
  <c r="O409" i="3"/>
  <c r="N409" i="3"/>
  <c r="L409" i="3"/>
  <c r="I409" i="3"/>
  <c r="H409" i="3"/>
  <c r="F409" i="3"/>
  <c r="C409" i="3"/>
  <c r="AC408" i="3"/>
  <c r="AD408" i="3" s="1"/>
  <c r="AA408" i="3"/>
  <c r="W408" i="3"/>
  <c r="X408" i="3" s="1"/>
  <c r="U408" i="3"/>
  <c r="R408" i="3"/>
  <c r="N408" i="3"/>
  <c r="O408" i="3" s="1"/>
  <c r="L408" i="3"/>
  <c r="H408" i="3"/>
  <c r="I408" i="3" s="1"/>
  <c r="F408" i="3"/>
  <c r="C408" i="3"/>
  <c r="AC407" i="3"/>
  <c r="AA407" i="3"/>
  <c r="X407" i="3"/>
  <c r="W407" i="3"/>
  <c r="U407" i="3"/>
  <c r="R407" i="3"/>
  <c r="O407" i="3"/>
  <c r="N407" i="3"/>
  <c r="L407" i="3"/>
  <c r="H407" i="3"/>
  <c r="F407" i="3"/>
  <c r="C407" i="3"/>
  <c r="Z403" i="3"/>
  <c r="AA403" i="3" s="1"/>
  <c r="T403" i="3"/>
  <c r="U403" i="3" s="1"/>
  <c r="Q403" i="3"/>
  <c r="K403" i="3"/>
  <c r="N403" i="3" s="1"/>
  <c r="O403" i="3" s="1"/>
  <c r="E403" i="3"/>
  <c r="F403" i="3" s="1"/>
  <c r="B403" i="3"/>
  <c r="AC402" i="3"/>
  <c r="AD402" i="3" s="1"/>
  <c r="AA402" i="3"/>
  <c r="W402" i="3"/>
  <c r="X402" i="3" s="1"/>
  <c r="U402" i="3"/>
  <c r="R402" i="3"/>
  <c r="O402" i="3"/>
  <c r="N402" i="3"/>
  <c r="L402" i="3"/>
  <c r="H402" i="3"/>
  <c r="I402" i="3" s="1"/>
  <c r="F402" i="3"/>
  <c r="C402" i="3"/>
  <c r="AC401" i="3"/>
  <c r="AA401" i="3"/>
  <c r="X401" i="3"/>
  <c r="W401" i="3"/>
  <c r="U401" i="3"/>
  <c r="R401" i="3"/>
  <c r="O401" i="3"/>
  <c r="N401" i="3"/>
  <c r="L401" i="3"/>
  <c r="H401" i="3"/>
  <c r="I401" i="3" s="1"/>
  <c r="F401" i="3"/>
  <c r="C401" i="3"/>
  <c r="AD400" i="3"/>
  <c r="AC400" i="3"/>
  <c r="AA400" i="3"/>
  <c r="X400" i="3"/>
  <c r="W400" i="3"/>
  <c r="U400" i="3"/>
  <c r="R400" i="3"/>
  <c r="N400" i="3"/>
  <c r="O400" i="3" s="1"/>
  <c r="L400" i="3"/>
  <c r="H400" i="3"/>
  <c r="F400" i="3"/>
  <c r="C400" i="3"/>
  <c r="AC399" i="3"/>
  <c r="AA399" i="3"/>
  <c r="W399" i="3"/>
  <c r="U399" i="3"/>
  <c r="R399" i="3"/>
  <c r="O399" i="3"/>
  <c r="N399" i="3"/>
  <c r="L399" i="3"/>
  <c r="I399" i="3"/>
  <c r="H399" i="3"/>
  <c r="F399" i="3"/>
  <c r="C399" i="3"/>
  <c r="AC398" i="3"/>
  <c r="AA398" i="3"/>
  <c r="W398" i="3"/>
  <c r="X398" i="3" s="1"/>
  <c r="U398" i="3"/>
  <c r="R398" i="3"/>
  <c r="N398" i="3"/>
  <c r="O398" i="3" s="1"/>
  <c r="L398" i="3"/>
  <c r="H398" i="3"/>
  <c r="F398" i="3"/>
  <c r="C398" i="3"/>
  <c r="AC397" i="3"/>
  <c r="AA397" i="3"/>
  <c r="X397" i="3"/>
  <c r="W397" i="3"/>
  <c r="U397" i="3"/>
  <c r="R397" i="3"/>
  <c r="O397" i="3"/>
  <c r="N397" i="3"/>
  <c r="L397" i="3"/>
  <c r="H397" i="3"/>
  <c r="I397" i="3" s="1"/>
  <c r="F397" i="3"/>
  <c r="C397" i="3"/>
  <c r="AC396" i="3"/>
  <c r="AD396" i="3" s="1"/>
  <c r="Z396" i="3"/>
  <c r="AA396" i="3" s="1"/>
  <c r="T396" i="3"/>
  <c r="U396" i="3" s="1"/>
  <c r="R396" i="3"/>
  <c r="Q396" i="3"/>
  <c r="W396" i="3" s="1"/>
  <c r="X396" i="3" s="1"/>
  <c r="L396" i="3"/>
  <c r="K396" i="3"/>
  <c r="F396" i="3"/>
  <c r="E396" i="3"/>
  <c r="B396" i="3"/>
  <c r="AD395" i="3"/>
  <c r="AC395" i="3"/>
  <c r="AA395" i="3"/>
  <c r="W395" i="3"/>
  <c r="X395" i="3" s="1"/>
  <c r="U395" i="3"/>
  <c r="R395" i="3"/>
  <c r="N395" i="3"/>
  <c r="O395" i="3" s="1"/>
  <c r="L395" i="3"/>
  <c r="H395" i="3"/>
  <c r="F395" i="3"/>
  <c r="C395" i="3"/>
  <c r="AC394" i="3"/>
  <c r="AA394" i="3"/>
  <c r="W394" i="3"/>
  <c r="U394" i="3"/>
  <c r="R394" i="3"/>
  <c r="O394" i="3"/>
  <c r="N394" i="3"/>
  <c r="L394" i="3"/>
  <c r="I394" i="3"/>
  <c r="H394" i="3"/>
  <c r="F394" i="3"/>
  <c r="C394" i="3"/>
  <c r="Z393" i="3"/>
  <c r="AA393" i="3" s="1"/>
  <c r="T393" i="3"/>
  <c r="U393" i="3" s="1"/>
  <c r="Q393" i="3"/>
  <c r="K393" i="3"/>
  <c r="N393" i="3" s="1"/>
  <c r="O393" i="3" s="1"/>
  <c r="E393" i="3"/>
  <c r="F393" i="3" s="1"/>
  <c r="B393" i="3"/>
  <c r="AD392" i="3"/>
  <c r="AC392" i="3"/>
  <c r="AA392" i="3"/>
  <c r="W392" i="3"/>
  <c r="X392" i="3" s="1"/>
  <c r="U392" i="3"/>
  <c r="R392" i="3"/>
  <c r="O392" i="3"/>
  <c r="N392" i="3"/>
  <c r="L392" i="3"/>
  <c r="H392" i="3"/>
  <c r="I392" i="3" s="1"/>
  <c r="F392" i="3"/>
  <c r="C392" i="3"/>
  <c r="AC391" i="3"/>
  <c r="AA391" i="3"/>
  <c r="X391" i="3"/>
  <c r="W391" i="3"/>
  <c r="U391" i="3"/>
  <c r="R391" i="3"/>
  <c r="O391" i="3"/>
  <c r="N391" i="3"/>
  <c r="L391" i="3"/>
  <c r="H391" i="3"/>
  <c r="I391" i="3" s="1"/>
  <c r="F391" i="3"/>
  <c r="C391" i="3"/>
  <c r="AD390" i="3"/>
  <c r="AC390" i="3"/>
  <c r="AA390" i="3"/>
  <c r="X390" i="3"/>
  <c r="W390" i="3"/>
  <c r="U390" i="3"/>
  <c r="R390" i="3"/>
  <c r="N390" i="3"/>
  <c r="O390" i="3" s="1"/>
  <c r="L390" i="3"/>
  <c r="H390" i="3"/>
  <c r="F390" i="3"/>
  <c r="C390" i="3"/>
  <c r="AC389" i="3"/>
  <c r="AA389" i="3"/>
  <c r="W389" i="3"/>
  <c r="U389" i="3"/>
  <c r="R389" i="3"/>
  <c r="O389" i="3"/>
  <c r="N389" i="3"/>
  <c r="L389" i="3"/>
  <c r="I389" i="3"/>
  <c r="H389" i="3"/>
  <c r="F389" i="3"/>
  <c r="C389" i="3"/>
  <c r="AC388" i="3"/>
  <c r="AA388" i="3"/>
  <c r="W388" i="3"/>
  <c r="X388" i="3" s="1"/>
  <c r="U388" i="3"/>
  <c r="R388" i="3"/>
  <c r="O388" i="3"/>
  <c r="N388" i="3"/>
  <c r="L388" i="3"/>
  <c r="H388" i="3"/>
  <c r="F388" i="3"/>
  <c r="C388" i="3"/>
  <c r="AC386" i="3"/>
  <c r="AA386" i="3"/>
  <c r="X386" i="3"/>
  <c r="W386" i="3"/>
  <c r="U386" i="3"/>
  <c r="R386" i="3"/>
  <c r="O386" i="3"/>
  <c r="N386" i="3"/>
  <c r="L386" i="3"/>
  <c r="H386" i="3"/>
  <c r="I386" i="3" s="1"/>
  <c r="F386" i="3"/>
  <c r="C386" i="3"/>
  <c r="AC385" i="3"/>
  <c r="AD385" i="3" s="1"/>
  <c r="AA385" i="3"/>
  <c r="X385" i="3"/>
  <c r="W385" i="3"/>
  <c r="U385" i="3"/>
  <c r="R385" i="3"/>
  <c r="N385" i="3"/>
  <c r="O385" i="3" s="1"/>
  <c r="L385" i="3"/>
  <c r="H385" i="3"/>
  <c r="I385" i="3" s="1"/>
  <c r="F385" i="3"/>
  <c r="C385" i="3"/>
  <c r="AC383" i="3"/>
  <c r="AA383" i="3"/>
  <c r="X383" i="3"/>
  <c r="W383" i="3"/>
  <c r="U383" i="3"/>
  <c r="R383" i="3"/>
  <c r="O383" i="3"/>
  <c r="N383" i="3"/>
  <c r="L383" i="3"/>
  <c r="H383" i="3"/>
  <c r="I383" i="3" s="1"/>
  <c r="F383" i="3"/>
  <c r="C383" i="3"/>
  <c r="AC382" i="3"/>
  <c r="AA382" i="3"/>
  <c r="W382" i="3"/>
  <c r="U382" i="3"/>
  <c r="R382" i="3"/>
  <c r="O382" i="3"/>
  <c r="N382" i="3"/>
  <c r="L382" i="3"/>
  <c r="H382" i="3"/>
  <c r="I382" i="3" s="1"/>
  <c r="F382" i="3"/>
  <c r="C382" i="3"/>
  <c r="AC381" i="3"/>
  <c r="AD381" i="3" s="1"/>
  <c r="AA381" i="3"/>
  <c r="X381" i="3"/>
  <c r="W381" i="3"/>
  <c r="U381" i="3"/>
  <c r="R381" i="3"/>
  <c r="O381" i="3"/>
  <c r="N381" i="3"/>
  <c r="L381" i="3"/>
  <c r="I381" i="3"/>
  <c r="H381" i="3"/>
  <c r="F381" i="3"/>
  <c r="C381" i="3"/>
  <c r="AC380" i="3"/>
  <c r="AD380" i="3" s="1"/>
  <c r="AA380" i="3"/>
  <c r="W380" i="3"/>
  <c r="X380" i="3" s="1"/>
  <c r="U380" i="3"/>
  <c r="R380" i="3"/>
  <c r="N380" i="3"/>
  <c r="O380" i="3" s="1"/>
  <c r="L380" i="3"/>
  <c r="H380" i="3"/>
  <c r="I380" i="3" s="1"/>
  <c r="F380" i="3"/>
  <c r="C380" i="3"/>
  <c r="AC379" i="3"/>
  <c r="AD379" i="3" s="1"/>
  <c r="AA379" i="3"/>
  <c r="X379" i="3"/>
  <c r="W379" i="3"/>
  <c r="U379" i="3"/>
  <c r="R379" i="3"/>
  <c r="O379" i="3"/>
  <c r="N379" i="3"/>
  <c r="L379" i="3"/>
  <c r="H379" i="3"/>
  <c r="F379" i="3"/>
  <c r="C379" i="3"/>
  <c r="AC378" i="3"/>
  <c r="AA378" i="3"/>
  <c r="W378" i="3"/>
  <c r="X378" i="3" s="1"/>
  <c r="U378" i="3"/>
  <c r="R378" i="3"/>
  <c r="O378" i="3"/>
  <c r="N378" i="3"/>
  <c r="L378" i="3"/>
  <c r="H378" i="3"/>
  <c r="F378" i="3"/>
  <c r="C378" i="3"/>
  <c r="AC377" i="3"/>
  <c r="AA377" i="3"/>
  <c r="X377" i="3"/>
  <c r="W377" i="3"/>
  <c r="U377" i="3"/>
  <c r="R377" i="3"/>
  <c r="O377" i="3"/>
  <c r="N377" i="3"/>
  <c r="L377" i="3"/>
  <c r="H377" i="3"/>
  <c r="I377" i="3" s="1"/>
  <c r="F377" i="3"/>
  <c r="C377" i="3"/>
  <c r="AC376" i="3"/>
  <c r="AD376" i="3" s="1"/>
  <c r="AA376" i="3"/>
  <c r="X376" i="3"/>
  <c r="W376" i="3"/>
  <c r="U376" i="3"/>
  <c r="R376" i="3"/>
  <c r="N376" i="3"/>
  <c r="O376" i="3" s="1"/>
  <c r="L376" i="3"/>
  <c r="H376" i="3"/>
  <c r="I376" i="3" s="1"/>
  <c r="F376" i="3"/>
  <c r="C376" i="3"/>
  <c r="AC375" i="3"/>
  <c r="AA375" i="3"/>
  <c r="X375" i="3"/>
  <c r="W375" i="3"/>
  <c r="U375" i="3"/>
  <c r="R375" i="3"/>
  <c r="O375" i="3"/>
  <c r="N375" i="3"/>
  <c r="L375" i="3"/>
  <c r="I375" i="3"/>
  <c r="H375" i="3"/>
  <c r="F375" i="3"/>
  <c r="C375" i="3"/>
  <c r="AD374" i="3"/>
  <c r="AC374" i="3"/>
  <c r="AA374" i="3"/>
  <c r="W374" i="3"/>
  <c r="X374" i="3" s="1"/>
  <c r="U374" i="3"/>
  <c r="R374" i="3"/>
  <c r="O374" i="3"/>
  <c r="N374" i="3"/>
  <c r="L374" i="3"/>
  <c r="H374" i="3"/>
  <c r="I374" i="3" s="1"/>
  <c r="F374" i="3"/>
  <c r="C374" i="3"/>
  <c r="AC373" i="3"/>
  <c r="AA373" i="3"/>
  <c r="X373" i="3"/>
  <c r="W373" i="3"/>
  <c r="U373" i="3"/>
  <c r="R373" i="3"/>
  <c r="O373" i="3"/>
  <c r="N373" i="3"/>
  <c r="L373" i="3"/>
  <c r="H373" i="3"/>
  <c r="I373" i="3" s="1"/>
  <c r="F373" i="3"/>
  <c r="C373" i="3"/>
  <c r="AD372" i="3"/>
  <c r="AC372" i="3"/>
  <c r="AA372" i="3"/>
  <c r="X372" i="3"/>
  <c r="W372" i="3"/>
  <c r="U372" i="3"/>
  <c r="R372" i="3"/>
  <c r="N372" i="3"/>
  <c r="O372" i="3" s="1"/>
  <c r="L372" i="3"/>
  <c r="H372" i="3"/>
  <c r="F372" i="3"/>
  <c r="C372" i="3"/>
  <c r="AC371" i="3"/>
  <c r="AA371" i="3"/>
  <c r="X371" i="3"/>
  <c r="W371" i="3"/>
  <c r="U371" i="3"/>
  <c r="R371" i="3"/>
  <c r="O371" i="3"/>
  <c r="N371" i="3"/>
  <c r="L371" i="3"/>
  <c r="I371" i="3"/>
  <c r="H371" i="3"/>
  <c r="F371" i="3"/>
  <c r="C371" i="3"/>
  <c r="AC370" i="3"/>
  <c r="AA370" i="3"/>
  <c r="W370" i="3"/>
  <c r="X370" i="3" s="1"/>
  <c r="U370" i="3"/>
  <c r="R370" i="3"/>
  <c r="N370" i="3"/>
  <c r="O370" i="3" s="1"/>
  <c r="L370" i="3"/>
  <c r="H370" i="3"/>
  <c r="F370" i="3"/>
  <c r="C370" i="3"/>
  <c r="AC369" i="3"/>
  <c r="AA369" i="3"/>
  <c r="X369" i="3"/>
  <c r="W369" i="3"/>
  <c r="U369" i="3"/>
  <c r="R369" i="3"/>
  <c r="O369" i="3"/>
  <c r="N369" i="3"/>
  <c r="L369" i="3"/>
  <c r="H369" i="3"/>
  <c r="I369" i="3" s="1"/>
  <c r="F369" i="3"/>
  <c r="C369" i="3"/>
  <c r="AC368" i="3"/>
  <c r="AD368" i="3" s="1"/>
  <c r="Z368" i="3"/>
  <c r="AA368" i="3" s="1"/>
  <c r="T368" i="3"/>
  <c r="U368" i="3" s="1"/>
  <c r="R368" i="3"/>
  <c r="Q368" i="3"/>
  <c r="W368" i="3" s="1"/>
  <c r="X368" i="3" s="1"/>
  <c r="L368" i="3"/>
  <c r="K368" i="3"/>
  <c r="F368" i="3"/>
  <c r="E368" i="3"/>
  <c r="B368" i="3"/>
  <c r="AD367" i="3"/>
  <c r="AC367" i="3"/>
  <c r="AA367" i="3"/>
  <c r="W367" i="3"/>
  <c r="X367" i="3" s="1"/>
  <c r="U367" i="3"/>
  <c r="R367" i="3"/>
  <c r="N367" i="3"/>
  <c r="O367" i="3" s="1"/>
  <c r="L367" i="3"/>
  <c r="H367" i="3"/>
  <c r="F367" i="3"/>
  <c r="C367" i="3"/>
  <c r="AC366" i="3"/>
  <c r="AA366" i="3"/>
  <c r="X366" i="3"/>
  <c r="W366" i="3"/>
  <c r="U366" i="3"/>
  <c r="R366" i="3"/>
  <c r="O366" i="3"/>
  <c r="N366" i="3"/>
  <c r="L366" i="3"/>
  <c r="I366" i="3"/>
  <c r="H366" i="3"/>
  <c r="F366" i="3"/>
  <c r="C366" i="3"/>
  <c r="AC365" i="3"/>
  <c r="AA365" i="3"/>
  <c r="X365" i="3"/>
  <c r="W365" i="3"/>
  <c r="U365" i="3"/>
  <c r="R365" i="3"/>
  <c r="N365" i="3"/>
  <c r="O365" i="3" s="1"/>
  <c r="L365" i="3"/>
  <c r="H365" i="3"/>
  <c r="F365" i="3"/>
  <c r="C365" i="3"/>
  <c r="AC364" i="3"/>
  <c r="AA364" i="3"/>
  <c r="X364" i="3"/>
  <c r="W364" i="3"/>
  <c r="U364" i="3"/>
  <c r="R364" i="3"/>
  <c r="O364" i="3"/>
  <c r="N364" i="3"/>
  <c r="L364" i="3"/>
  <c r="H364" i="3"/>
  <c r="I364" i="3" s="1"/>
  <c r="F364" i="3"/>
  <c r="C364" i="3"/>
  <c r="AC363" i="3"/>
  <c r="AD363" i="3" s="1"/>
  <c r="AA363" i="3"/>
  <c r="W363" i="3"/>
  <c r="X363" i="3" s="1"/>
  <c r="U363" i="3"/>
  <c r="R363" i="3"/>
  <c r="O363" i="3"/>
  <c r="N363" i="3"/>
  <c r="L363" i="3"/>
  <c r="H363" i="3"/>
  <c r="I363" i="3" s="1"/>
  <c r="F363" i="3"/>
  <c r="C363" i="3"/>
  <c r="AC362" i="3"/>
  <c r="AA362" i="3"/>
  <c r="X362" i="3"/>
  <c r="W362" i="3"/>
  <c r="U362" i="3"/>
  <c r="R362" i="3"/>
  <c r="O362" i="3"/>
  <c r="N362" i="3"/>
  <c r="L362" i="3"/>
  <c r="H362" i="3"/>
  <c r="I362" i="3" s="1"/>
  <c r="F362" i="3"/>
  <c r="C362" i="3"/>
  <c r="AC361" i="3"/>
  <c r="AD361" i="3" s="1"/>
  <c r="AA361" i="3"/>
  <c r="W361" i="3"/>
  <c r="X361" i="3" s="1"/>
  <c r="U361" i="3"/>
  <c r="R361" i="3"/>
  <c r="N361" i="3"/>
  <c r="O361" i="3" s="1"/>
  <c r="L361" i="3"/>
  <c r="H361" i="3"/>
  <c r="I361" i="3" s="1"/>
  <c r="F361" i="3"/>
  <c r="C361" i="3"/>
  <c r="AC360" i="3"/>
  <c r="AD360" i="3" s="1"/>
  <c r="AA360" i="3"/>
  <c r="X360" i="3"/>
  <c r="W360" i="3"/>
  <c r="U360" i="3"/>
  <c r="R360" i="3"/>
  <c r="O360" i="3"/>
  <c r="N360" i="3"/>
  <c r="L360" i="3"/>
  <c r="I360" i="3"/>
  <c r="H360" i="3"/>
  <c r="F360" i="3"/>
  <c r="C360" i="3"/>
  <c r="Z358" i="3"/>
  <c r="AA358" i="3" s="1"/>
  <c r="W358" i="3"/>
  <c r="X358" i="3" s="1"/>
  <c r="T358" i="3"/>
  <c r="U358" i="3" s="1"/>
  <c r="Q358" i="3"/>
  <c r="R358" i="3" s="1"/>
  <c r="K358" i="3"/>
  <c r="L358" i="3" s="1"/>
  <c r="F358" i="3"/>
  <c r="E358" i="3"/>
  <c r="H358" i="3" s="1"/>
  <c r="I358" i="3" s="1"/>
  <c r="B358" i="3"/>
  <c r="C358" i="3" s="1"/>
  <c r="AC357" i="3"/>
  <c r="AD357" i="3" s="1"/>
  <c r="AA357" i="3"/>
  <c r="X357" i="3"/>
  <c r="W357" i="3"/>
  <c r="U357" i="3"/>
  <c r="R357" i="3"/>
  <c r="N357" i="3"/>
  <c r="O357" i="3" s="1"/>
  <c r="L357" i="3"/>
  <c r="H357" i="3"/>
  <c r="I357" i="3" s="1"/>
  <c r="F357" i="3"/>
  <c r="C357" i="3"/>
  <c r="AC356" i="3"/>
  <c r="AA356" i="3"/>
  <c r="X356" i="3"/>
  <c r="W356" i="3"/>
  <c r="U356" i="3"/>
  <c r="R356" i="3"/>
  <c r="O356" i="3"/>
  <c r="N356" i="3"/>
  <c r="L356" i="3"/>
  <c r="H356" i="3"/>
  <c r="I356" i="3" s="1"/>
  <c r="F356" i="3"/>
  <c r="C356" i="3"/>
  <c r="AC355" i="3"/>
  <c r="AA355" i="3"/>
  <c r="W355" i="3"/>
  <c r="X355" i="3" s="1"/>
  <c r="U355" i="3"/>
  <c r="R355" i="3"/>
  <c r="O355" i="3"/>
  <c r="N355" i="3"/>
  <c r="L355" i="3"/>
  <c r="H355" i="3"/>
  <c r="I355" i="3" s="1"/>
  <c r="F355" i="3"/>
  <c r="C355" i="3"/>
  <c r="AC354" i="3"/>
  <c r="AD354" i="3" s="1"/>
  <c r="AA354" i="3"/>
  <c r="X354" i="3"/>
  <c r="W354" i="3"/>
  <c r="U354" i="3"/>
  <c r="R354" i="3"/>
  <c r="O354" i="3"/>
  <c r="N354" i="3"/>
  <c r="L354" i="3"/>
  <c r="I354" i="3"/>
  <c r="H354" i="3"/>
  <c r="F354" i="3"/>
  <c r="C354" i="3"/>
  <c r="AC353" i="3"/>
  <c r="AA353" i="3"/>
  <c r="X353" i="3"/>
  <c r="W353" i="3"/>
  <c r="U353" i="3"/>
  <c r="R353" i="3"/>
  <c r="N353" i="3"/>
  <c r="O353" i="3" s="1"/>
  <c r="L353" i="3"/>
  <c r="H353" i="3"/>
  <c r="F353" i="3"/>
  <c r="C353" i="3"/>
  <c r="AC352" i="3"/>
  <c r="AA352" i="3"/>
  <c r="X352" i="3"/>
  <c r="W352" i="3"/>
  <c r="U352" i="3"/>
  <c r="R352" i="3"/>
  <c r="O352" i="3"/>
  <c r="N352" i="3"/>
  <c r="L352" i="3"/>
  <c r="H352" i="3"/>
  <c r="I352" i="3" s="1"/>
  <c r="F352" i="3"/>
  <c r="C352" i="3"/>
  <c r="AD351" i="3"/>
  <c r="AC351" i="3"/>
  <c r="AA351" i="3"/>
  <c r="W351" i="3"/>
  <c r="X351" i="3" s="1"/>
  <c r="U351" i="3"/>
  <c r="R351" i="3"/>
  <c r="N351" i="3"/>
  <c r="O351" i="3" s="1"/>
  <c r="L351" i="3"/>
  <c r="H351" i="3"/>
  <c r="F351" i="3"/>
  <c r="C351" i="3"/>
  <c r="AC350" i="3"/>
  <c r="AA350" i="3"/>
  <c r="W350" i="3"/>
  <c r="X350" i="3" s="1"/>
  <c r="U350" i="3"/>
  <c r="R350" i="3"/>
  <c r="O350" i="3"/>
  <c r="N350" i="3"/>
  <c r="L350" i="3"/>
  <c r="H350" i="3"/>
  <c r="I350" i="3" s="1"/>
  <c r="F350" i="3"/>
  <c r="C350" i="3"/>
  <c r="AC349" i="3"/>
  <c r="AD349" i="3" s="1"/>
  <c r="AA349" i="3"/>
  <c r="X349" i="3"/>
  <c r="W349" i="3"/>
  <c r="U349" i="3"/>
  <c r="R349" i="3"/>
  <c r="O349" i="3"/>
  <c r="N349" i="3"/>
  <c r="L349" i="3"/>
  <c r="H349" i="3"/>
  <c r="I349" i="3" s="1"/>
  <c r="F349" i="3"/>
  <c r="C349" i="3"/>
  <c r="AD347" i="3"/>
  <c r="AC347" i="3"/>
  <c r="AA347" i="3"/>
  <c r="X347" i="3"/>
  <c r="W347" i="3"/>
  <c r="U347" i="3"/>
  <c r="R347" i="3"/>
  <c r="N347" i="3"/>
  <c r="O347" i="3" s="1"/>
  <c r="L347" i="3"/>
  <c r="H347" i="3"/>
  <c r="F347" i="3"/>
  <c r="C347" i="3"/>
  <c r="Z344" i="3"/>
  <c r="AA344" i="3" s="1"/>
  <c r="T344" i="3"/>
  <c r="U344" i="3" s="1"/>
  <c r="Q344" i="3"/>
  <c r="N344" i="3"/>
  <c r="O344" i="3" s="1"/>
  <c r="L344" i="3"/>
  <c r="K344" i="3"/>
  <c r="F344" i="3"/>
  <c r="E344" i="3"/>
  <c r="B344" i="3"/>
  <c r="Z343" i="3"/>
  <c r="AA343" i="3" s="1"/>
  <c r="T343" i="3"/>
  <c r="U343" i="3" s="1"/>
  <c r="Q343" i="3"/>
  <c r="K343" i="3"/>
  <c r="L343" i="3" s="1"/>
  <c r="E343" i="3"/>
  <c r="C343" i="3"/>
  <c r="B343" i="3"/>
  <c r="N343" i="3" s="1"/>
  <c r="O343" i="3" s="1"/>
  <c r="AC342" i="3"/>
  <c r="AD342" i="3" s="1"/>
  <c r="Z342" i="3"/>
  <c r="AA342" i="3" s="1"/>
  <c r="T342" i="3"/>
  <c r="U342" i="3" s="1"/>
  <c r="R342" i="3"/>
  <c r="Q342" i="3"/>
  <c r="N342" i="3"/>
  <c r="O342" i="3" s="1"/>
  <c r="L342" i="3"/>
  <c r="K342" i="3"/>
  <c r="H342" i="3"/>
  <c r="I342" i="3" s="1"/>
  <c r="F342" i="3"/>
  <c r="E342" i="3"/>
  <c r="B342" i="3"/>
  <c r="C342" i="3" s="1"/>
  <c r="AC341" i="3"/>
  <c r="AA341" i="3"/>
  <c r="W341" i="3"/>
  <c r="X341" i="3" s="1"/>
  <c r="U341" i="3"/>
  <c r="R341" i="3"/>
  <c r="N341" i="3"/>
  <c r="O341" i="3" s="1"/>
  <c r="L341" i="3"/>
  <c r="I341" i="3"/>
  <c r="H341" i="3"/>
  <c r="F341" i="3"/>
  <c r="C341" i="3"/>
  <c r="AC340" i="3"/>
  <c r="AA340" i="3"/>
  <c r="X340" i="3"/>
  <c r="W340" i="3"/>
  <c r="U340" i="3"/>
  <c r="R340" i="3"/>
  <c r="O340" i="3"/>
  <c r="N340" i="3"/>
  <c r="L340" i="3"/>
  <c r="I340" i="3"/>
  <c r="H340" i="3"/>
  <c r="F340" i="3"/>
  <c r="C340" i="3"/>
  <c r="AC339" i="3"/>
  <c r="AD339" i="3" s="1"/>
  <c r="AA339" i="3"/>
  <c r="W339" i="3"/>
  <c r="X339" i="3" s="1"/>
  <c r="U339" i="3"/>
  <c r="R339" i="3"/>
  <c r="N339" i="3"/>
  <c r="O339" i="3" s="1"/>
  <c r="L339" i="3"/>
  <c r="H339" i="3"/>
  <c r="F339" i="3"/>
  <c r="C339" i="3"/>
  <c r="AC338" i="3"/>
  <c r="AA338" i="3"/>
  <c r="X338" i="3"/>
  <c r="W338" i="3"/>
  <c r="U338" i="3"/>
  <c r="R338" i="3"/>
  <c r="O338" i="3"/>
  <c r="N338" i="3"/>
  <c r="L338" i="3"/>
  <c r="I338" i="3"/>
  <c r="H338" i="3"/>
  <c r="F338" i="3"/>
  <c r="C338" i="3"/>
  <c r="AC337" i="3"/>
  <c r="AA337" i="3"/>
  <c r="W337" i="3"/>
  <c r="X337" i="3" s="1"/>
  <c r="U337" i="3"/>
  <c r="R337" i="3"/>
  <c r="N337" i="3"/>
  <c r="O337" i="3" s="1"/>
  <c r="L337" i="3"/>
  <c r="I337" i="3"/>
  <c r="H337" i="3"/>
  <c r="F337" i="3"/>
  <c r="C337" i="3"/>
  <c r="AC335" i="3"/>
  <c r="AA335" i="3"/>
  <c r="X335" i="3"/>
  <c r="W335" i="3"/>
  <c r="U335" i="3"/>
  <c r="R335" i="3"/>
  <c r="O335" i="3"/>
  <c r="N335" i="3"/>
  <c r="L335" i="3"/>
  <c r="H335" i="3"/>
  <c r="I335" i="3" s="1"/>
  <c r="F335" i="3"/>
  <c r="C335" i="3"/>
  <c r="AD334" i="3"/>
  <c r="AC334" i="3"/>
  <c r="AA334" i="3"/>
  <c r="W334" i="3"/>
  <c r="X334" i="3" s="1"/>
  <c r="U334" i="3"/>
  <c r="R334" i="3"/>
  <c r="N334" i="3"/>
  <c r="O334" i="3" s="1"/>
  <c r="L334" i="3"/>
  <c r="H334" i="3"/>
  <c r="F334" i="3"/>
  <c r="C334" i="3"/>
  <c r="AC333" i="3"/>
  <c r="AA333" i="3"/>
  <c r="X333" i="3"/>
  <c r="W333" i="3"/>
  <c r="U333" i="3"/>
  <c r="R333" i="3"/>
  <c r="N333" i="3"/>
  <c r="O333" i="3" s="1"/>
  <c r="L333" i="3"/>
  <c r="H333" i="3"/>
  <c r="I333" i="3" s="1"/>
  <c r="F333" i="3"/>
  <c r="C333" i="3"/>
  <c r="AC332" i="3"/>
  <c r="AD332" i="3" s="1"/>
  <c r="AA332" i="3"/>
  <c r="W332" i="3"/>
  <c r="X332" i="3" s="1"/>
  <c r="U332" i="3"/>
  <c r="R332" i="3"/>
  <c r="N332" i="3"/>
  <c r="O332" i="3" s="1"/>
  <c r="L332" i="3"/>
  <c r="I332" i="3"/>
  <c r="H332" i="3"/>
  <c r="F332" i="3"/>
  <c r="C332" i="3"/>
  <c r="AC331" i="3"/>
  <c r="AA331" i="3"/>
  <c r="W331" i="3"/>
  <c r="X331" i="3" s="1"/>
  <c r="U331" i="3"/>
  <c r="R331" i="3"/>
  <c r="O331" i="3"/>
  <c r="N331" i="3"/>
  <c r="L331" i="3"/>
  <c r="H331" i="3"/>
  <c r="I331" i="3" s="1"/>
  <c r="F331" i="3"/>
  <c r="C331" i="3"/>
  <c r="AD330" i="3"/>
  <c r="AC330" i="3"/>
  <c r="AA330" i="3"/>
  <c r="W330" i="3"/>
  <c r="X330" i="3" s="1"/>
  <c r="U330" i="3"/>
  <c r="R330" i="3"/>
  <c r="N330" i="3"/>
  <c r="O330" i="3" s="1"/>
  <c r="L330" i="3"/>
  <c r="H330" i="3"/>
  <c r="F330" i="3"/>
  <c r="C330" i="3"/>
  <c r="AC329" i="3"/>
  <c r="AA329" i="3"/>
  <c r="X329" i="3"/>
  <c r="W329" i="3"/>
  <c r="U329" i="3"/>
  <c r="R329" i="3"/>
  <c r="N329" i="3"/>
  <c r="O329" i="3" s="1"/>
  <c r="L329" i="3"/>
  <c r="I329" i="3"/>
  <c r="H329" i="3"/>
  <c r="F329" i="3"/>
  <c r="C329" i="3"/>
  <c r="AC328" i="3"/>
  <c r="AD328" i="3" s="1"/>
  <c r="AA328" i="3"/>
  <c r="W328" i="3"/>
  <c r="X328" i="3" s="1"/>
  <c r="U328" i="3"/>
  <c r="R328" i="3"/>
  <c r="N328" i="3"/>
  <c r="O328" i="3" s="1"/>
  <c r="L328" i="3"/>
  <c r="I328" i="3"/>
  <c r="H328" i="3"/>
  <c r="F328" i="3"/>
  <c r="C328" i="3"/>
  <c r="Z325" i="3"/>
  <c r="AA325" i="3" s="1"/>
  <c r="U325" i="3"/>
  <c r="T325" i="3"/>
  <c r="R325" i="3"/>
  <c r="Q325" i="3"/>
  <c r="AC325" i="3" s="1"/>
  <c r="AD325" i="3" s="1"/>
  <c r="L325" i="3"/>
  <c r="K325" i="3"/>
  <c r="H325" i="3"/>
  <c r="I325" i="3" s="1"/>
  <c r="F325" i="3"/>
  <c r="E325" i="3"/>
  <c r="B325" i="3"/>
  <c r="C325" i="3" s="1"/>
  <c r="Z324" i="3"/>
  <c r="AA324" i="3" s="1"/>
  <c r="T324" i="3"/>
  <c r="W324" i="3" s="1"/>
  <c r="X324" i="3" s="1"/>
  <c r="R324" i="3"/>
  <c r="Q324" i="3"/>
  <c r="AC324" i="3" s="1"/>
  <c r="AD324" i="3" s="1"/>
  <c r="O324" i="3"/>
  <c r="N324" i="3"/>
  <c r="K324" i="3"/>
  <c r="L324" i="3" s="1"/>
  <c r="F324" i="3"/>
  <c r="E324" i="3"/>
  <c r="C324" i="3"/>
  <c r="B324" i="3"/>
  <c r="H324" i="3" s="1"/>
  <c r="I324" i="3" s="1"/>
  <c r="AC323" i="3"/>
  <c r="AD323" i="3" s="1"/>
  <c r="AA323" i="3"/>
  <c r="X323" i="3"/>
  <c r="W323" i="3"/>
  <c r="U323" i="3"/>
  <c r="R323" i="3"/>
  <c r="O323" i="3"/>
  <c r="N323" i="3"/>
  <c r="L323" i="3"/>
  <c r="H323" i="3"/>
  <c r="I323" i="3" s="1"/>
  <c r="F323" i="3"/>
  <c r="C323" i="3"/>
  <c r="AC322" i="3"/>
  <c r="AD322" i="3" s="1"/>
  <c r="AA322" i="3"/>
  <c r="W322" i="3"/>
  <c r="X322" i="3" s="1"/>
  <c r="U322" i="3"/>
  <c r="R322" i="3"/>
  <c r="N322" i="3"/>
  <c r="O322" i="3" s="1"/>
  <c r="L322" i="3"/>
  <c r="H322" i="3"/>
  <c r="I322" i="3" s="1"/>
  <c r="F322" i="3"/>
  <c r="C322" i="3"/>
  <c r="AC321" i="3"/>
  <c r="AA321" i="3"/>
  <c r="X321" i="3"/>
  <c r="W321" i="3"/>
  <c r="U321" i="3"/>
  <c r="R321" i="3"/>
  <c r="O321" i="3"/>
  <c r="N321" i="3"/>
  <c r="L321" i="3"/>
  <c r="H321" i="3"/>
  <c r="I321" i="3" s="1"/>
  <c r="F321" i="3"/>
  <c r="C321" i="3"/>
  <c r="AC320" i="3"/>
  <c r="AD320" i="3" s="1"/>
  <c r="AA320" i="3"/>
  <c r="W320" i="3"/>
  <c r="X320" i="3" s="1"/>
  <c r="U320" i="3"/>
  <c r="R320" i="3"/>
  <c r="N320" i="3"/>
  <c r="O320" i="3" s="1"/>
  <c r="L320" i="3"/>
  <c r="I320" i="3"/>
  <c r="H320" i="3"/>
  <c r="F320" i="3"/>
  <c r="C320" i="3"/>
  <c r="AC319" i="3"/>
  <c r="AD319" i="3" s="1"/>
  <c r="AA319" i="3"/>
  <c r="X319" i="3"/>
  <c r="W319" i="3"/>
  <c r="U319" i="3"/>
  <c r="R319" i="3"/>
  <c r="O319" i="3"/>
  <c r="N319" i="3"/>
  <c r="L319" i="3"/>
  <c r="H319" i="3"/>
  <c r="I319" i="3" s="1"/>
  <c r="F319" i="3"/>
  <c r="C319" i="3"/>
  <c r="AC318" i="3"/>
  <c r="AD318" i="3" s="1"/>
  <c r="AA318" i="3"/>
  <c r="W318" i="3"/>
  <c r="X318" i="3" s="1"/>
  <c r="U318" i="3"/>
  <c r="R318" i="3"/>
  <c r="N318" i="3"/>
  <c r="O318" i="3" s="1"/>
  <c r="L318" i="3"/>
  <c r="H318" i="3"/>
  <c r="F318" i="3"/>
  <c r="C318" i="3"/>
  <c r="AC317" i="3"/>
  <c r="AA317" i="3"/>
  <c r="X317" i="3"/>
  <c r="W317" i="3"/>
  <c r="U317" i="3"/>
  <c r="R317" i="3"/>
  <c r="O317" i="3"/>
  <c r="N317" i="3"/>
  <c r="L317" i="3"/>
  <c r="H317" i="3"/>
  <c r="I317" i="3" s="1"/>
  <c r="F317" i="3"/>
  <c r="C317" i="3"/>
  <c r="AC316" i="3"/>
  <c r="AD316" i="3" s="1"/>
  <c r="AA316" i="3"/>
  <c r="W316" i="3"/>
  <c r="X316" i="3" s="1"/>
  <c r="U316" i="3"/>
  <c r="R316" i="3"/>
  <c r="N316" i="3"/>
  <c r="O316" i="3" s="1"/>
  <c r="L316" i="3"/>
  <c r="I316" i="3"/>
  <c r="H316" i="3"/>
  <c r="F316" i="3"/>
  <c r="C316" i="3"/>
  <c r="AC315" i="3"/>
  <c r="AA315" i="3"/>
  <c r="X315" i="3"/>
  <c r="W315" i="3"/>
  <c r="U315" i="3"/>
  <c r="R315" i="3"/>
  <c r="O315" i="3"/>
  <c r="N315" i="3"/>
  <c r="L315" i="3"/>
  <c r="H315" i="3"/>
  <c r="I315" i="3" s="1"/>
  <c r="F315" i="3"/>
  <c r="C315" i="3"/>
  <c r="AD314" i="3"/>
  <c r="AC314" i="3"/>
  <c r="AA314" i="3"/>
  <c r="W314" i="3"/>
  <c r="X314" i="3" s="1"/>
  <c r="U314" i="3"/>
  <c r="R314" i="3"/>
  <c r="N314" i="3"/>
  <c r="O314" i="3" s="1"/>
  <c r="L314" i="3"/>
  <c r="H314" i="3"/>
  <c r="I314" i="3" s="1"/>
  <c r="F314" i="3"/>
  <c r="C314" i="3"/>
  <c r="AC313" i="3"/>
  <c r="AA313" i="3"/>
  <c r="X313" i="3"/>
  <c r="W313" i="3"/>
  <c r="U313" i="3"/>
  <c r="R313" i="3"/>
  <c r="O313" i="3"/>
  <c r="N313" i="3"/>
  <c r="L313" i="3"/>
  <c r="I313" i="3"/>
  <c r="H313" i="3"/>
  <c r="F313" i="3"/>
  <c r="C313" i="3"/>
  <c r="AC312" i="3"/>
  <c r="AD312" i="3" s="1"/>
  <c r="AA312" i="3"/>
  <c r="W312" i="3"/>
  <c r="X312" i="3" s="1"/>
  <c r="U312" i="3"/>
  <c r="R312" i="3"/>
  <c r="N312" i="3"/>
  <c r="O312" i="3" s="1"/>
  <c r="L312" i="3"/>
  <c r="I312" i="3"/>
  <c r="H312" i="3"/>
  <c r="F312" i="3"/>
  <c r="C312" i="3"/>
  <c r="AC311" i="3"/>
  <c r="AA311" i="3"/>
  <c r="X311" i="3"/>
  <c r="W311" i="3"/>
  <c r="U311" i="3"/>
  <c r="R311" i="3"/>
  <c r="O311" i="3"/>
  <c r="N311" i="3"/>
  <c r="L311" i="3"/>
  <c r="H311" i="3"/>
  <c r="I311" i="3" s="1"/>
  <c r="F311" i="3"/>
  <c r="C311" i="3"/>
  <c r="AD310" i="3"/>
  <c r="AC310" i="3"/>
  <c r="AA310" i="3"/>
  <c r="W310" i="3"/>
  <c r="X310" i="3" s="1"/>
  <c r="U310" i="3"/>
  <c r="R310" i="3"/>
  <c r="N310" i="3"/>
  <c r="O310" i="3" s="1"/>
  <c r="L310" i="3"/>
  <c r="H310" i="3"/>
  <c r="F310" i="3"/>
  <c r="C310" i="3"/>
  <c r="AC309" i="3"/>
  <c r="AA309" i="3"/>
  <c r="X309" i="3"/>
  <c r="W309" i="3"/>
  <c r="U309" i="3"/>
  <c r="R309" i="3"/>
  <c r="O309" i="3"/>
  <c r="N309" i="3"/>
  <c r="L309" i="3"/>
  <c r="H309" i="3"/>
  <c r="I309" i="3" s="1"/>
  <c r="F309" i="3"/>
  <c r="C309" i="3"/>
  <c r="AC308" i="3"/>
  <c r="AD308" i="3" s="1"/>
  <c r="AA308" i="3"/>
  <c r="W308" i="3"/>
  <c r="X308" i="3" s="1"/>
  <c r="U308" i="3"/>
  <c r="R308" i="3"/>
  <c r="N308" i="3"/>
  <c r="O308" i="3" s="1"/>
  <c r="L308" i="3"/>
  <c r="I308" i="3"/>
  <c r="H308" i="3"/>
  <c r="F308" i="3"/>
  <c r="C308" i="3"/>
  <c r="AC307" i="3"/>
  <c r="AA307" i="3"/>
  <c r="X307" i="3"/>
  <c r="W307" i="3"/>
  <c r="U307" i="3"/>
  <c r="R307" i="3"/>
  <c r="O307" i="3"/>
  <c r="N307" i="3"/>
  <c r="L307" i="3"/>
  <c r="H307" i="3"/>
  <c r="I307" i="3" s="1"/>
  <c r="F307" i="3"/>
  <c r="C307" i="3"/>
  <c r="AC306" i="3"/>
  <c r="AD306" i="3" s="1"/>
  <c r="AA306" i="3"/>
  <c r="W306" i="3"/>
  <c r="X306" i="3" s="1"/>
  <c r="U306" i="3"/>
  <c r="R306" i="3"/>
  <c r="N306" i="3"/>
  <c r="O306" i="3" s="1"/>
  <c r="L306" i="3"/>
  <c r="H306" i="3"/>
  <c r="F306" i="3"/>
  <c r="C306" i="3"/>
  <c r="AC305" i="3"/>
  <c r="AA305" i="3"/>
  <c r="X305" i="3"/>
  <c r="W305" i="3"/>
  <c r="U305" i="3"/>
  <c r="R305" i="3"/>
  <c r="O305" i="3"/>
  <c r="N305" i="3"/>
  <c r="L305" i="3"/>
  <c r="H305" i="3"/>
  <c r="I305" i="3" s="1"/>
  <c r="F305" i="3"/>
  <c r="C305" i="3"/>
  <c r="AC304" i="3"/>
  <c r="AD304" i="3" s="1"/>
  <c r="AA304" i="3"/>
  <c r="W304" i="3"/>
  <c r="X304" i="3" s="1"/>
  <c r="U304" i="3"/>
  <c r="R304" i="3"/>
  <c r="N304" i="3"/>
  <c r="O304" i="3" s="1"/>
  <c r="L304" i="3"/>
  <c r="I304" i="3"/>
  <c r="H304" i="3"/>
  <c r="F304" i="3"/>
  <c r="C304" i="3"/>
  <c r="AC303" i="3"/>
  <c r="AA303" i="3"/>
  <c r="X303" i="3"/>
  <c r="W303" i="3"/>
  <c r="U303" i="3"/>
  <c r="R303" i="3"/>
  <c r="O303" i="3"/>
  <c r="N303" i="3"/>
  <c r="L303" i="3"/>
  <c r="H303" i="3"/>
  <c r="I303" i="3" s="1"/>
  <c r="F303" i="3"/>
  <c r="C303" i="3"/>
  <c r="AC302" i="3"/>
  <c r="AD302" i="3" s="1"/>
  <c r="AA302" i="3"/>
  <c r="W302" i="3"/>
  <c r="X302" i="3" s="1"/>
  <c r="U302" i="3"/>
  <c r="R302" i="3"/>
  <c r="N302" i="3"/>
  <c r="O302" i="3" s="1"/>
  <c r="L302" i="3"/>
  <c r="H302" i="3"/>
  <c r="F302" i="3"/>
  <c r="C302" i="3"/>
  <c r="AC301" i="3"/>
  <c r="AA301" i="3"/>
  <c r="X301" i="3"/>
  <c r="W301" i="3"/>
  <c r="U301" i="3"/>
  <c r="R301" i="3"/>
  <c r="O301" i="3"/>
  <c r="N301" i="3"/>
  <c r="L301" i="3"/>
  <c r="H301" i="3"/>
  <c r="I301" i="3" s="1"/>
  <c r="F301" i="3"/>
  <c r="C301" i="3"/>
  <c r="AC300" i="3"/>
  <c r="AD300" i="3" s="1"/>
  <c r="AA300" i="3"/>
  <c r="W300" i="3"/>
  <c r="X300" i="3" s="1"/>
  <c r="U300" i="3"/>
  <c r="R300" i="3"/>
  <c r="N300" i="3"/>
  <c r="O300" i="3" s="1"/>
  <c r="L300" i="3"/>
  <c r="I300" i="3"/>
  <c r="H300" i="3"/>
  <c r="F300" i="3"/>
  <c r="C300" i="3"/>
  <c r="AC299" i="3"/>
  <c r="AA299" i="3"/>
  <c r="X299" i="3"/>
  <c r="W299" i="3"/>
  <c r="U299" i="3"/>
  <c r="R299" i="3"/>
  <c r="O299" i="3"/>
  <c r="N299" i="3"/>
  <c r="L299" i="3"/>
  <c r="H299" i="3"/>
  <c r="I299" i="3" s="1"/>
  <c r="F299" i="3"/>
  <c r="C299" i="3"/>
  <c r="AD298" i="3"/>
  <c r="AC298" i="3"/>
  <c r="AA298" i="3"/>
  <c r="W298" i="3"/>
  <c r="X298" i="3" s="1"/>
  <c r="U298" i="3"/>
  <c r="R298" i="3"/>
  <c r="N298" i="3"/>
  <c r="O298" i="3" s="1"/>
  <c r="L298" i="3"/>
  <c r="H298" i="3"/>
  <c r="F298" i="3"/>
  <c r="C298" i="3"/>
  <c r="AC297" i="3"/>
  <c r="AA297" i="3"/>
  <c r="X297" i="3"/>
  <c r="W297" i="3"/>
  <c r="U297" i="3"/>
  <c r="R297" i="3"/>
  <c r="O297" i="3"/>
  <c r="N297" i="3"/>
  <c r="L297" i="3"/>
  <c r="I297" i="3"/>
  <c r="H297" i="3"/>
  <c r="F297" i="3"/>
  <c r="C297" i="3"/>
  <c r="AA295" i="3"/>
  <c r="Z295" i="3"/>
  <c r="T295" i="3"/>
  <c r="U295" i="3" s="1"/>
  <c r="Q295" i="3"/>
  <c r="R295" i="3" s="1"/>
  <c r="K295" i="3"/>
  <c r="L295" i="3" s="1"/>
  <c r="E295" i="3"/>
  <c r="C295" i="3"/>
  <c r="B295" i="3"/>
  <c r="N295" i="3" s="1"/>
  <c r="O295" i="3" s="1"/>
  <c r="AD294" i="3"/>
  <c r="AC294" i="3"/>
  <c r="AA294" i="3"/>
  <c r="W294" i="3"/>
  <c r="X294" i="3" s="1"/>
  <c r="U294" i="3"/>
  <c r="R294" i="3"/>
  <c r="N294" i="3"/>
  <c r="O294" i="3" s="1"/>
  <c r="L294" i="3"/>
  <c r="H294" i="3"/>
  <c r="I294" i="3" s="1"/>
  <c r="F294" i="3"/>
  <c r="C294" i="3"/>
  <c r="AC293" i="3"/>
  <c r="AA293" i="3"/>
  <c r="X293" i="3"/>
  <c r="W293" i="3"/>
  <c r="U293" i="3"/>
  <c r="R293" i="3"/>
  <c r="O293" i="3"/>
  <c r="N293" i="3"/>
  <c r="L293" i="3"/>
  <c r="I293" i="3"/>
  <c r="H293" i="3"/>
  <c r="F293" i="3"/>
  <c r="C293" i="3"/>
  <c r="AC292" i="3"/>
  <c r="AD292" i="3" s="1"/>
  <c r="AA292" i="3"/>
  <c r="W292" i="3"/>
  <c r="X292" i="3" s="1"/>
  <c r="U292" i="3"/>
  <c r="R292" i="3"/>
  <c r="N292" i="3"/>
  <c r="O292" i="3" s="1"/>
  <c r="L292" i="3"/>
  <c r="I292" i="3"/>
  <c r="H292" i="3"/>
  <c r="F292" i="3"/>
  <c r="C292" i="3"/>
  <c r="AC291" i="3"/>
  <c r="AD291" i="3" s="1"/>
  <c r="AA291" i="3"/>
  <c r="X291" i="3"/>
  <c r="W291" i="3"/>
  <c r="U291" i="3"/>
  <c r="R291" i="3"/>
  <c r="O291" i="3"/>
  <c r="N291" i="3"/>
  <c r="L291" i="3"/>
  <c r="H291" i="3"/>
  <c r="I291" i="3" s="1"/>
  <c r="F291" i="3"/>
  <c r="C291" i="3"/>
  <c r="AD290" i="3"/>
  <c r="AC290" i="3"/>
  <c r="AA290" i="3"/>
  <c r="W290" i="3"/>
  <c r="X290" i="3" s="1"/>
  <c r="U290" i="3"/>
  <c r="R290" i="3"/>
  <c r="N290" i="3"/>
  <c r="O290" i="3" s="1"/>
  <c r="L290" i="3"/>
  <c r="H290" i="3"/>
  <c r="F290" i="3"/>
  <c r="C290" i="3"/>
  <c r="AC289" i="3"/>
  <c r="AA289" i="3"/>
  <c r="X289" i="3"/>
  <c r="W289" i="3"/>
  <c r="U289" i="3"/>
  <c r="R289" i="3"/>
  <c r="O289" i="3"/>
  <c r="N289" i="3"/>
  <c r="L289" i="3"/>
  <c r="H289" i="3"/>
  <c r="I289" i="3" s="1"/>
  <c r="F289" i="3"/>
  <c r="C289" i="3"/>
  <c r="AC288" i="3"/>
  <c r="AD288" i="3" s="1"/>
  <c r="AA288" i="3"/>
  <c r="W288" i="3"/>
  <c r="X288" i="3" s="1"/>
  <c r="U288" i="3"/>
  <c r="R288" i="3"/>
  <c r="N288" i="3"/>
  <c r="O288" i="3" s="1"/>
  <c r="L288" i="3"/>
  <c r="I288" i="3"/>
  <c r="H288" i="3"/>
  <c r="F288" i="3"/>
  <c r="C288" i="3"/>
  <c r="AC287" i="3"/>
  <c r="AD287" i="3" s="1"/>
  <c r="AA287" i="3"/>
  <c r="X287" i="3"/>
  <c r="W287" i="3"/>
  <c r="U287" i="3"/>
  <c r="R287" i="3"/>
  <c r="O287" i="3"/>
  <c r="N287" i="3"/>
  <c r="L287" i="3"/>
  <c r="H287" i="3"/>
  <c r="I287" i="3" s="1"/>
  <c r="F287" i="3"/>
  <c r="C287" i="3"/>
  <c r="AD286" i="3"/>
  <c r="AC286" i="3"/>
  <c r="AA286" i="3"/>
  <c r="W286" i="3"/>
  <c r="X286" i="3" s="1"/>
  <c r="U286" i="3"/>
  <c r="R286" i="3"/>
  <c r="N286" i="3"/>
  <c r="O286" i="3" s="1"/>
  <c r="L286" i="3"/>
  <c r="H286" i="3"/>
  <c r="F286" i="3"/>
  <c r="C286" i="3"/>
  <c r="Z284" i="3"/>
  <c r="AA284" i="3" s="1"/>
  <c r="T284" i="3"/>
  <c r="R284" i="3"/>
  <c r="Q284" i="3"/>
  <c r="N284" i="3"/>
  <c r="O284" i="3" s="1"/>
  <c r="K284" i="3"/>
  <c r="L284" i="3" s="1"/>
  <c r="H284" i="3"/>
  <c r="I284" i="3" s="1"/>
  <c r="F284" i="3"/>
  <c r="E284" i="3"/>
  <c r="C284" i="3"/>
  <c r="B284" i="3"/>
  <c r="AC283" i="3"/>
  <c r="AD283" i="3" s="1"/>
  <c r="AA283" i="3"/>
  <c r="X283" i="3"/>
  <c r="W283" i="3"/>
  <c r="U283" i="3"/>
  <c r="R283" i="3"/>
  <c r="O283" i="3"/>
  <c r="N283" i="3"/>
  <c r="L283" i="3"/>
  <c r="H283" i="3"/>
  <c r="I283" i="3" s="1"/>
  <c r="F283" i="3"/>
  <c r="C283" i="3"/>
  <c r="AC282" i="3"/>
  <c r="AD282" i="3" s="1"/>
  <c r="AA282" i="3"/>
  <c r="W282" i="3"/>
  <c r="X282" i="3" s="1"/>
  <c r="U282" i="3"/>
  <c r="R282" i="3"/>
  <c r="N282" i="3"/>
  <c r="O282" i="3" s="1"/>
  <c r="L282" i="3"/>
  <c r="H282" i="3"/>
  <c r="I282" i="3" s="1"/>
  <c r="F282" i="3"/>
  <c r="C282" i="3"/>
  <c r="AC281" i="3"/>
  <c r="AA281" i="3"/>
  <c r="X281" i="3"/>
  <c r="W281" i="3"/>
  <c r="U281" i="3"/>
  <c r="R281" i="3"/>
  <c r="O281" i="3"/>
  <c r="N281" i="3"/>
  <c r="L281" i="3"/>
  <c r="H281" i="3"/>
  <c r="I281" i="3" s="1"/>
  <c r="F281" i="3"/>
  <c r="C281" i="3"/>
  <c r="AC280" i="3"/>
  <c r="AD280" i="3" s="1"/>
  <c r="AA280" i="3"/>
  <c r="W280" i="3"/>
  <c r="X280" i="3" s="1"/>
  <c r="U280" i="3"/>
  <c r="R280" i="3"/>
  <c r="N280" i="3"/>
  <c r="O280" i="3" s="1"/>
  <c r="L280" i="3"/>
  <c r="I280" i="3"/>
  <c r="H280" i="3"/>
  <c r="F280" i="3"/>
  <c r="C280" i="3"/>
  <c r="AC279" i="3"/>
  <c r="AD279" i="3" s="1"/>
  <c r="AA279" i="3"/>
  <c r="X279" i="3"/>
  <c r="W279" i="3"/>
  <c r="U279" i="3"/>
  <c r="R279" i="3"/>
  <c r="O279" i="3"/>
  <c r="N279" i="3"/>
  <c r="L279" i="3"/>
  <c r="H279" i="3"/>
  <c r="I279" i="3" s="1"/>
  <c r="F279" i="3"/>
  <c r="C279" i="3"/>
  <c r="AC278" i="3"/>
  <c r="AD278" i="3" s="1"/>
  <c r="AA278" i="3"/>
  <c r="W278" i="3"/>
  <c r="X278" i="3" s="1"/>
  <c r="U278" i="3"/>
  <c r="R278" i="3"/>
  <c r="N278" i="3"/>
  <c r="O278" i="3" s="1"/>
  <c r="L278" i="3"/>
  <c r="H278" i="3"/>
  <c r="I278" i="3" s="1"/>
  <c r="F278" i="3"/>
  <c r="C278" i="3"/>
  <c r="AC277" i="3"/>
  <c r="AA277" i="3"/>
  <c r="X277" i="3"/>
  <c r="W277" i="3"/>
  <c r="U277" i="3"/>
  <c r="R277" i="3"/>
  <c r="O277" i="3"/>
  <c r="N277" i="3"/>
  <c r="L277" i="3"/>
  <c r="H277" i="3"/>
  <c r="I277" i="3" s="1"/>
  <c r="F277" i="3"/>
  <c r="C277" i="3"/>
  <c r="AC276" i="3"/>
  <c r="AD276" i="3" s="1"/>
  <c r="AA276" i="3"/>
  <c r="W276" i="3"/>
  <c r="X276" i="3" s="1"/>
  <c r="U276" i="3"/>
  <c r="R276" i="3"/>
  <c r="N276" i="3"/>
  <c r="O276" i="3" s="1"/>
  <c r="L276" i="3"/>
  <c r="I276" i="3"/>
  <c r="H276" i="3"/>
  <c r="F276" i="3"/>
  <c r="C276" i="3"/>
  <c r="AC275" i="3"/>
  <c r="AA275" i="3"/>
  <c r="X275" i="3"/>
  <c r="W275" i="3"/>
  <c r="U275" i="3"/>
  <c r="R275" i="3"/>
  <c r="O275" i="3"/>
  <c r="N275" i="3"/>
  <c r="L275" i="3"/>
  <c r="H275" i="3"/>
  <c r="I275" i="3" s="1"/>
  <c r="F275" i="3"/>
  <c r="C275" i="3"/>
  <c r="Z273" i="3"/>
  <c r="AA273" i="3" s="1"/>
  <c r="U273" i="3"/>
  <c r="T273" i="3"/>
  <c r="Q273" i="3"/>
  <c r="K273" i="3"/>
  <c r="L273" i="3" s="1"/>
  <c r="E273" i="3"/>
  <c r="F273" i="3" s="1"/>
  <c r="B273" i="3"/>
  <c r="C273" i="3" s="1"/>
  <c r="AC272" i="3"/>
  <c r="AD272" i="3" s="1"/>
  <c r="AA272" i="3"/>
  <c r="W272" i="3"/>
  <c r="X272" i="3" s="1"/>
  <c r="U272" i="3"/>
  <c r="R272" i="3"/>
  <c r="N272" i="3"/>
  <c r="O272" i="3" s="1"/>
  <c r="L272" i="3"/>
  <c r="I272" i="3"/>
  <c r="H272" i="3"/>
  <c r="F272" i="3"/>
  <c r="C272" i="3"/>
  <c r="AC271" i="3"/>
  <c r="AD271" i="3" s="1"/>
  <c r="AA271" i="3"/>
  <c r="X271" i="3"/>
  <c r="W271" i="3"/>
  <c r="U271" i="3"/>
  <c r="R271" i="3"/>
  <c r="O271" i="3"/>
  <c r="N271" i="3"/>
  <c r="L271" i="3"/>
  <c r="H271" i="3"/>
  <c r="I271" i="3" s="1"/>
  <c r="F271" i="3"/>
  <c r="C271" i="3"/>
  <c r="AC270" i="3"/>
  <c r="AD270" i="3" s="1"/>
  <c r="AA270" i="3"/>
  <c r="W270" i="3"/>
  <c r="X270" i="3" s="1"/>
  <c r="U270" i="3"/>
  <c r="R270" i="3"/>
  <c r="N270" i="3"/>
  <c r="O270" i="3" s="1"/>
  <c r="L270" i="3"/>
  <c r="H270" i="3"/>
  <c r="I270" i="3" s="1"/>
  <c r="F270" i="3"/>
  <c r="C270" i="3"/>
  <c r="AC269" i="3"/>
  <c r="AA269" i="3"/>
  <c r="X269" i="3"/>
  <c r="W269" i="3"/>
  <c r="U269" i="3"/>
  <c r="R269" i="3"/>
  <c r="O269" i="3"/>
  <c r="N269" i="3"/>
  <c r="L269" i="3"/>
  <c r="I269" i="3"/>
  <c r="H269" i="3"/>
  <c r="F269" i="3"/>
  <c r="C269" i="3"/>
  <c r="AC267" i="3"/>
  <c r="AD267" i="3" s="1"/>
  <c r="AA267" i="3"/>
  <c r="Z267" i="3"/>
  <c r="W267" i="3"/>
  <c r="X267" i="3" s="1"/>
  <c r="T267" i="3"/>
  <c r="U267" i="3" s="1"/>
  <c r="Q267" i="3"/>
  <c r="R267" i="3" s="1"/>
  <c r="K267" i="3"/>
  <c r="L267" i="3" s="1"/>
  <c r="E267" i="3"/>
  <c r="C267" i="3"/>
  <c r="B267" i="3"/>
  <c r="N267" i="3" s="1"/>
  <c r="O267" i="3" s="1"/>
  <c r="AD266" i="3"/>
  <c r="AC266" i="3"/>
  <c r="AA266" i="3"/>
  <c r="W266" i="3"/>
  <c r="X266" i="3" s="1"/>
  <c r="U266" i="3"/>
  <c r="R266" i="3"/>
  <c r="N266" i="3"/>
  <c r="O266" i="3" s="1"/>
  <c r="L266" i="3"/>
  <c r="H266" i="3"/>
  <c r="I266" i="3" s="1"/>
  <c r="F266" i="3"/>
  <c r="C266" i="3"/>
  <c r="AC265" i="3"/>
  <c r="AA265" i="3"/>
  <c r="X265" i="3"/>
  <c r="W265" i="3"/>
  <c r="U265" i="3"/>
  <c r="R265" i="3"/>
  <c r="O265" i="3"/>
  <c r="N265" i="3"/>
  <c r="L265" i="3"/>
  <c r="I265" i="3"/>
  <c r="H265" i="3"/>
  <c r="F265" i="3"/>
  <c r="C265" i="3"/>
  <c r="AC263" i="3"/>
  <c r="AD263" i="3" s="1"/>
  <c r="AA263" i="3"/>
  <c r="Z263" i="3"/>
  <c r="W263" i="3"/>
  <c r="X263" i="3" s="1"/>
  <c r="T263" i="3"/>
  <c r="U263" i="3" s="1"/>
  <c r="Q263" i="3"/>
  <c r="R263" i="3" s="1"/>
  <c r="K263" i="3"/>
  <c r="L263" i="3" s="1"/>
  <c r="E263" i="3"/>
  <c r="C263" i="3"/>
  <c r="B263" i="3"/>
  <c r="Z262" i="3"/>
  <c r="AA262" i="3" s="1"/>
  <c r="W262" i="3"/>
  <c r="X262" i="3" s="1"/>
  <c r="U262" i="3"/>
  <c r="T262" i="3"/>
  <c r="Q262" i="3"/>
  <c r="R262" i="3" s="1"/>
  <c r="K262" i="3"/>
  <c r="L262" i="3" s="1"/>
  <c r="F262" i="3"/>
  <c r="E262" i="3"/>
  <c r="B262" i="3"/>
  <c r="C262" i="3" s="1"/>
  <c r="AC261" i="3"/>
  <c r="AD261" i="3" s="1"/>
  <c r="AA261" i="3"/>
  <c r="W261" i="3"/>
  <c r="X261" i="3" s="1"/>
  <c r="U261" i="3"/>
  <c r="R261" i="3"/>
  <c r="N261" i="3"/>
  <c r="O261" i="3" s="1"/>
  <c r="L261" i="3"/>
  <c r="I261" i="3"/>
  <c r="H261" i="3"/>
  <c r="F261" i="3"/>
  <c r="C261" i="3"/>
  <c r="AC260" i="3"/>
  <c r="AD260" i="3" s="1"/>
  <c r="AA260" i="3"/>
  <c r="X260" i="3"/>
  <c r="W260" i="3"/>
  <c r="U260" i="3"/>
  <c r="R260" i="3"/>
  <c r="O260" i="3"/>
  <c r="N260" i="3"/>
  <c r="L260" i="3"/>
  <c r="H260" i="3"/>
  <c r="I260" i="3" s="1"/>
  <c r="F260" i="3"/>
  <c r="C260" i="3"/>
  <c r="AC259" i="3"/>
  <c r="AD259" i="3" s="1"/>
  <c r="AA259" i="3"/>
  <c r="W259" i="3"/>
  <c r="X259" i="3" s="1"/>
  <c r="U259" i="3"/>
  <c r="R259" i="3"/>
  <c r="N259" i="3"/>
  <c r="O259" i="3" s="1"/>
  <c r="L259" i="3"/>
  <c r="H259" i="3"/>
  <c r="I259" i="3" s="1"/>
  <c r="F259" i="3"/>
  <c r="C259" i="3"/>
  <c r="AC258" i="3"/>
  <c r="AA258" i="3"/>
  <c r="X258" i="3"/>
  <c r="W258" i="3"/>
  <c r="U258" i="3"/>
  <c r="R258" i="3"/>
  <c r="O258" i="3"/>
  <c r="N258" i="3"/>
  <c r="L258" i="3"/>
  <c r="H258" i="3"/>
  <c r="I258" i="3" s="1"/>
  <c r="F258" i="3"/>
  <c r="C258" i="3"/>
  <c r="AC257" i="3"/>
  <c r="AD257" i="3" s="1"/>
  <c r="AA257" i="3"/>
  <c r="W257" i="3"/>
  <c r="X257" i="3" s="1"/>
  <c r="U257" i="3"/>
  <c r="R257" i="3"/>
  <c r="N257" i="3"/>
  <c r="O257" i="3" s="1"/>
  <c r="L257" i="3"/>
  <c r="I257" i="3"/>
  <c r="H257" i="3"/>
  <c r="F257" i="3"/>
  <c r="C257" i="3"/>
  <c r="AC256" i="3"/>
  <c r="AD256" i="3" s="1"/>
  <c r="AA256" i="3"/>
  <c r="X256" i="3"/>
  <c r="W256" i="3"/>
  <c r="U256" i="3"/>
  <c r="R256" i="3"/>
  <c r="O256" i="3"/>
  <c r="N256" i="3"/>
  <c r="L256" i="3"/>
  <c r="H256" i="3"/>
  <c r="I256" i="3" s="1"/>
  <c r="F256" i="3"/>
  <c r="C256" i="3"/>
  <c r="AC255" i="3"/>
  <c r="AD255" i="3" s="1"/>
  <c r="AA255" i="3"/>
  <c r="W255" i="3"/>
  <c r="X255" i="3" s="1"/>
  <c r="U255" i="3"/>
  <c r="R255" i="3"/>
  <c r="N255" i="3"/>
  <c r="O255" i="3" s="1"/>
  <c r="L255" i="3"/>
  <c r="H255" i="3"/>
  <c r="I255" i="3" s="1"/>
  <c r="F255" i="3"/>
  <c r="C255" i="3"/>
  <c r="AC254" i="3"/>
  <c r="AA254" i="3"/>
  <c r="X254" i="3"/>
  <c r="W254" i="3"/>
  <c r="U254" i="3"/>
  <c r="R254" i="3"/>
  <c r="O254" i="3"/>
  <c r="N254" i="3"/>
  <c r="L254" i="3"/>
  <c r="H254" i="3"/>
  <c r="I254" i="3" s="1"/>
  <c r="F254" i="3"/>
  <c r="C254" i="3"/>
  <c r="AC253" i="3"/>
  <c r="AD253" i="3" s="1"/>
  <c r="AA253" i="3"/>
  <c r="W253" i="3"/>
  <c r="X253" i="3" s="1"/>
  <c r="U253" i="3"/>
  <c r="R253" i="3"/>
  <c r="N253" i="3"/>
  <c r="O253" i="3" s="1"/>
  <c r="L253" i="3"/>
  <c r="I253" i="3"/>
  <c r="H253" i="3"/>
  <c r="F253" i="3"/>
  <c r="C253" i="3"/>
  <c r="AC252" i="3"/>
  <c r="AD252" i="3" s="1"/>
  <c r="AA252" i="3"/>
  <c r="X252" i="3"/>
  <c r="W252" i="3"/>
  <c r="U252" i="3"/>
  <c r="R252" i="3"/>
  <c r="O252" i="3"/>
  <c r="N252" i="3"/>
  <c r="L252" i="3"/>
  <c r="H252" i="3"/>
  <c r="I252" i="3" s="1"/>
  <c r="F252" i="3"/>
  <c r="C252" i="3"/>
  <c r="AD251" i="3"/>
  <c r="AC251" i="3"/>
  <c r="AA251" i="3"/>
  <c r="W251" i="3"/>
  <c r="X251" i="3" s="1"/>
  <c r="U251" i="3"/>
  <c r="R251" i="3"/>
  <c r="N251" i="3"/>
  <c r="O251" i="3" s="1"/>
  <c r="L251" i="3"/>
  <c r="H251" i="3"/>
  <c r="I251" i="3" s="1"/>
  <c r="F251" i="3"/>
  <c r="C251" i="3"/>
  <c r="AC250" i="3"/>
  <c r="AA250" i="3"/>
  <c r="X250" i="3"/>
  <c r="W250" i="3"/>
  <c r="U250" i="3"/>
  <c r="R250" i="3"/>
  <c r="O250" i="3"/>
  <c r="N250" i="3"/>
  <c r="L250" i="3"/>
  <c r="I250" i="3"/>
  <c r="H250" i="3"/>
  <c r="F250" i="3"/>
  <c r="C250" i="3"/>
  <c r="AC249" i="3"/>
  <c r="AD249" i="3" s="1"/>
  <c r="AA249" i="3"/>
  <c r="W249" i="3"/>
  <c r="X249" i="3" s="1"/>
  <c r="U249" i="3"/>
  <c r="R249" i="3"/>
  <c r="N249" i="3"/>
  <c r="O249" i="3" s="1"/>
  <c r="L249" i="3"/>
  <c r="I249" i="3"/>
  <c r="H249" i="3"/>
  <c r="F249" i="3"/>
  <c r="C249" i="3"/>
  <c r="AC248" i="3"/>
  <c r="AD248" i="3" s="1"/>
  <c r="AA248" i="3"/>
  <c r="W248" i="3"/>
  <c r="X248" i="3" s="1"/>
  <c r="U248" i="3"/>
  <c r="R248" i="3"/>
  <c r="O248" i="3"/>
  <c r="N248" i="3"/>
  <c r="L248" i="3"/>
  <c r="I248" i="3"/>
  <c r="H248" i="3"/>
  <c r="F248" i="3"/>
  <c r="C248" i="3"/>
  <c r="AD247" i="3"/>
  <c r="AC247" i="3"/>
  <c r="AA247" i="3"/>
  <c r="W247" i="3"/>
  <c r="X247" i="3" s="1"/>
  <c r="U247" i="3"/>
  <c r="R247" i="3"/>
  <c r="N247" i="3"/>
  <c r="O247" i="3" s="1"/>
  <c r="L247" i="3"/>
  <c r="H247" i="3"/>
  <c r="I247" i="3" s="1"/>
  <c r="F247" i="3"/>
  <c r="C247" i="3"/>
  <c r="AD246" i="3"/>
  <c r="AC246" i="3"/>
  <c r="AA246" i="3"/>
  <c r="X246" i="3"/>
  <c r="W246" i="3"/>
  <c r="U246" i="3"/>
  <c r="R246" i="3"/>
  <c r="N246" i="3"/>
  <c r="O246" i="3" s="1"/>
  <c r="L246" i="3"/>
  <c r="H246" i="3"/>
  <c r="I246" i="3" s="1"/>
  <c r="F246" i="3"/>
  <c r="C246" i="3"/>
  <c r="AC245" i="3"/>
  <c r="AD245" i="3" s="1"/>
  <c r="AA245" i="3"/>
  <c r="W245" i="3"/>
  <c r="X245" i="3" s="1"/>
  <c r="U245" i="3"/>
  <c r="R245" i="3"/>
  <c r="N245" i="3"/>
  <c r="O245" i="3" s="1"/>
  <c r="L245" i="3"/>
  <c r="I245" i="3"/>
  <c r="H245" i="3"/>
  <c r="F245" i="3"/>
  <c r="C245" i="3"/>
  <c r="AC244" i="3"/>
  <c r="AD244" i="3" s="1"/>
  <c r="AA244" i="3"/>
  <c r="X244" i="3"/>
  <c r="W244" i="3"/>
  <c r="U244" i="3"/>
  <c r="R244" i="3"/>
  <c r="O244" i="3"/>
  <c r="N244" i="3"/>
  <c r="L244" i="3"/>
  <c r="H244" i="3"/>
  <c r="I244" i="3" s="1"/>
  <c r="F244" i="3"/>
  <c r="C244" i="3"/>
  <c r="AD243" i="3"/>
  <c r="AC243" i="3"/>
  <c r="AA243" i="3"/>
  <c r="W243" i="3"/>
  <c r="X243" i="3" s="1"/>
  <c r="U243" i="3"/>
  <c r="R243" i="3"/>
  <c r="N243" i="3"/>
  <c r="O243" i="3" s="1"/>
  <c r="L243" i="3"/>
  <c r="H243" i="3"/>
  <c r="I243" i="3" s="1"/>
  <c r="F243" i="3"/>
  <c r="C243" i="3"/>
  <c r="AD242" i="3"/>
  <c r="AC242" i="3"/>
  <c r="AA242" i="3"/>
  <c r="X242" i="3"/>
  <c r="W242" i="3"/>
  <c r="U242" i="3"/>
  <c r="R242" i="3"/>
  <c r="O242" i="3"/>
  <c r="N242" i="3"/>
  <c r="L242" i="3"/>
  <c r="H242" i="3"/>
  <c r="I242" i="3" s="1"/>
  <c r="F242" i="3"/>
  <c r="C242" i="3"/>
  <c r="AD241" i="3"/>
  <c r="AC241" i="3"/>
  <c r="AA241" i="3"/>
  <c r="W241" i="3"/>
  <c r="X241" i="3" s="1"/>
  <c r="U241" i="3"/>
  <c r="R241" i="3"/>
  <c r="N241" i="3"/>
  <c r="O241" i="3" s="1"/>
  <c r="L241" i="3"/>
  <c r="I241" i="3"/>
  <c r="H241" i="3"/>
  <c r="F241" i="3"/>
  <c r="C241" i="3"/>
  <c r="AC240" i="3"/>
  <c r="AD240" i="3" s="1"/>
  <c r="AA240" i="3"/>
  <c r="W240" i="3"/>
  <c r="X240" i="3" s="1"/>
  <c r="U240" i="3"/>
  <c r="R240" i="3"/>
  <c r="O240" i="3"/>
  <c r="N240" i="3"/>
  <c r="L240" i="3"/>
  <c r="I240" i="3"/>
  <c r="H240" i="3"/>
  <c r="F240" i="3"/>
  <c r="C240" i="3"/>
  <c r="AD238" i="3"/>
  <c r="AC238" i="3"/>
  <c r="AA238" i="3"/>
  <c r="W238" i="3"/>
  <c r="X238" i="3" s="1"/>
  <c r="U238" i="3"/>
  <c r="R238" i="3"/>
  <c r="N238" i="3"/>
  <c r="O238" i="3" s="1"/>
  <c r="L238" i="3"/>
  <c r="H238" i="3"/>
  <c r="I238" i="3" s="1"/>
  <c r="F238" i="3"/>
  <c r="C238" i="3"/>
  <c r="AD236" i="3"/>
  <c r="AA236" i="3"/>
  <c r="Z236" i="3"/>
  <c r="T236" i="3"/>
  <c r="R236" i="3"/>
  <c r="Q236" i="3"/>
  <c r="AC236" i="3" s="1"/>
  <c r="N236" i="3"/>
  <c r="O236" i="3" s="1"/>
  <c r="K236" i="3"/>
  <c r="L236" i="3" s="1"/>
  <c r="H236" i="3"/>
  <c r="I236" i="3" s="1"/>
  <c r="F236" i="3"/>
  <c r="E236" i="3"/>
  <c r="B236" i="3"/>
  <c r="C236" i="3" s="1"/>
  <c r="AC235" i="3"/>
  <c r="AD235" i="3" s="1"/>
  <c r="AA235" i="3"/>
  <c r="W235" i="3"/>
  <c r="X235" i="3" s="1"/>
  <c r="U235" i="3"/>
  <c r="R235" i="3"/>
  <c r="O235" i="3"/>
  <c r="N235" i="3"/>
  <c r="L235" i="3"/>
  <c r="I235" i="3"/>
  <c r="H235" i="3"/>
  <c r="F235" i="3"/>
  <c r="C235" i="3"/>
  <c r="AD234" i="3"/>
  <c r="AC234" i="3"/>
  <c r="AA234" i="3"/>
  <c r="W234" i="3"/>
  <c r="X234" i="3" s="1"/>
  <c r="U234" i="3"/>
  <c r="R234" i="3"/>
  <c r="N234" i="3"/>
  <c r="O234" i="3" s="1"/>
  <c r="L234" i="3"/>
  <c r="H234" i="3"/>
  <c r="F234" i="3"/>
  <c r="C234" i="3"/>
  <c r="AD233" i="3"/>
  <c r="AC233" i="3"/>
  <c r="AA233" i="3"/>
  <c r="X233" i="3"/>
  <c r="W233" i="3"/>
  <c r="U233" i="3"/>
  <c r="R233" i="3"/>
  <c r="N233" i="3"/>
  <c r="O233" i="3" s="1"/>
  <c r="L233" i="3"/>
  <c r="H233" i="3"/>
  <c r="I233" i="3" s="1"/>
  <c r="F233" i="3"/>
  <c r="C233" i="3"/>
  <c r="AC232" i="3"/>
  <c r="AD232" i="3" s="1"/>
  <c r="AA232" i="3"/>
  <c r="W232" i="3"/>
  <c r="X232" i="3" s="1"/>
  <c r="U232" i="3"/>
  <c r="R232" i="3"/>
  <c r="N232" i="3"/>
  <c r="O232" i="3" s="1"/>
  <c r="L232" i="3"/>
  <c r="I232" i="3"/>
  <c r="H232" i="3"/>
  <c r="F232" i="3"/>
  <c r="C232" i="3"/>
  <c r="AC231" i="3"/>
  <c r="AA231" i="3"/>
  <c r="X231" i="3"/>
  <c r="W231" i="3"/>
  <c r="U231" i="3"/>
  <c r="R231" i="3"/>
  <c r="O231" i="3"/>
  <c r="N231" i="3"/>
  <c r="L231" i="3"/>
  <c r="I231" i="3"/>
  <c r="H231" i="3"/>
  <c r="F231" i="3"/>
  <c r="C231" i="3"/>
  <c r="AC230" i="3"/>
  <c r="AD230" i="3" s="1"/>
  <c r="AA230" i="3"/>
  <c r="W230" i="3"/>
  <c r="X230" i="3" s="1"/>
  <c r="U230" i="3"/>
  <c r="R230" i="3"/>
  <c r="N230" i="3"/>
  <c r="O230" i="3" s="1"/>
  <c r="L230" i="3"/>
  <c r="H230" i="3"/>
  <c r="F230" i="3"/>
  <c r="C230" i="3"/>
  <c r="AD229" i="3"/>
  <c r="AC229" i="3"/>
  <c r="AA229" i="3"/>
  <c r="X229" i="3"/>
  <c r="W229" i="3"/>
  <c r="U229" i="3"/>
  <c r="R229" i="3"/>
  <c r="O229" i="3"/>
  <c r="N229" i="3"/>
  <c r="L229" i="3"/>
  <c r="I229" i="3"/>
  <c r="H229" i="3"/>
  <c r="F229" i="3"/>
  <c r="C229" i="3"/>
  <c r="AA227" i="3"/>
  <c r="Z227" i="3"/>
  <c r="T227" i="3"/>
  <c r="U227" i="3" s="1"/>
  <c r="Q227" i="3"/>
  <c r="W227" i="3" s="1"/>
  <c r="X227" i="3" s="1"/>
  <c r="K227" i="3"/>
  <c r="L227" i="3" s="1"/>
  <c r="F227" i="3"/>
  <c r="E227" i="3"/>
  <c r="H227" i="3" s="1"/>
  <c r="I227" i="3" s="1"/>
  <c r="C227" i="3"/>
  <c r="B227" i="3"/>
  <c r="AD226" i="3"/>
  <c r="AC226" i="3"/>
  <c r="AA226" i="3"/>
  <c r="W226" i="3"/>
  <c r="X226" i="3" s="1"/>
  <c r="U226" i="3"/>
  <c r="R226" i="3"/>
  <c r="N226" i="3"/>
  <c r="O226" i="3" s="1"/>
  <c r="L226" i="3"/>
  <c r="H226" i="3"/>
  <c r="F226" i="3"/>
  <c r="C226" i="3"/>
  <c r="AD225" i="3"/>
  <c r="AC225" i="3"/>
  <c r="AA225" i="3"/>
  <c r="X225" i="3"/>
  <c r="W225" i="3"/>
  <c r="U225" i="3"/>
  <c r="R225" i="3"/>
  <c r="N225" i="3"/>
  <c r="O225" i="3" s="1"/>
  <c r="L225" i="3"/>
  <c r="I225" i="3"/>
  <c r="H225" i="3"/>
  <c r="F225" i="3"/>
  <c r="C225" i="3"/>
  <c r="AD224" i="3"/>
  <c r="AC224" i="3"/>
  <c r="AA224" i="3"/>
  <c r="W224" i="3"/>
  <c r="X224" i="3" s="1"/>
  <c r="U224" i="3"/>
  <c r="R224" i="3"/>
  <c r="N224" i="3"/>
  <c r="O224" i="3" s="1"/>
  <c r="L224" i="3"/>
  <c r="I224" i="3"/>
  <c r="H224" i="3"/>
  <c r="F224" i="3"/>
  <c r="C224" i="3"/>
  <c r="AC223" i="3"/>
  <c r="AA223" i="3"/>
  <c r="W223" i="3"/>
  <c r="X223" i="3" s="1"/>
  <c r="U223" i="3"/>
  <c r="R223" i="3"/>
  <c r="O223" i="3"/>
  <c r="N223" i="3"/>
  <c r="L223" i="3"/>
  <c r="H223" i="3"/>
  <c r="I223" i="3" s="1"/>
  <c r="F223" i="3"/>
  <c r="C223" i="3"/>
  <c r="AC222" i="3"/>
  <c r="AD222" i="3" s="1"/>
  <c r="AA222" i="3"/>
  <c r="W222" i="3"/>
  <c r="X222" i="3" s="1"/>
  <c r="U222" i="3"/>
  <c r="R222" i="3"/>
  <c r="N222" i="3"/>
  <c r="O222" i="3" s="1"/>
  <c r="L222" i="3"/>
  <c r="H222" i="3"/>
  <c r="F222" i="3"/>
  <c r="C222" i="3"/>
  <c r="AD221" i="3"/>
  <c r="AC221" i="3"/>
  <c r="AA221" i="3"/>
  <c r="X221" i="3"/>
  <c r="W221" i="3"/>
  <c r="U221" i="3"/>
  <c r="R221" i="3"/>
  <c r="O221" i="3"/>
  <c r="N221" i="3"/>
  <c r="L221" i="3"/>
  <c r="H221" i="3"/>
  <c r="I221" i="3" s="1"/>
  <c r="F221" i="3"/>
  <c r="C221" i="3"/>
  <c r="AC220" i="3"/>
  <c r="AD220" i="3" s="1"/>
  <c r="AA220" i="3"/>
  <c r="W220" i="3"/>
  <c r="X220" i="3" s="1"/>
  <c r="U220" i="3"/>
  <c r="R220" i="3"/>
  <c r="N220" i="3"/>
  <c r="O220" i="3" s="1"/>
  <c r="L220" i="3"/>
  <c r="I220" i="3"/>
  <c r="H220" i="3"/>
  <c r="F220" i="3"/>
  <c r="C220" i="3"/>
  <c r="AC219" i="3"/>
  <c r="AA219" i="3"/>
  <c r="X219" i="3"/>
  <c r="W219" i="3"/>
  <c r="U219" i="3"/>
  <c r="R219" i="3"/>
  <c r="O219" i="3"/>
  <c r="N219" i="3"/>
  <c r="L219" i="3"/>
  <c r="I219" i="3"/>
  <c r="H219" i="3"/>
  <c r="F219" i="3"/>
  <c r="C219" i="3"/>
  <c r="AA218" i="3"/>
  <c r="Z218" i="3"/>
  <c r="X218" i="3"/>
  <c r="W218" i="3"/>
  <c r="U218" i="3"/>
  <c r="T218" i="3"/>
  <c r="R218" i="3"/>
  <c r="Q218" i="3"/>
  <c r="AC218" i="3" s="1"/>
  <c r="AD218" i="3" s="1"/>
  <c r="K218" i="3"/>
  <c r="L218" i="3" s="1"/>
  <c r="F218" i="3"/>
  <c r="E218" i="3"/>
  <c r="C218" i="3"/>
  <c r="B218" i="3"/>
  <c r="N218" i="3" s="1"/>
  <c r="O218" i="3" s="1"/>
  <c r="AD217" i="3"/>
  <c r="AC217" i="3"/>
  <c r="AA217" i="3"/>
  <c r="W217" i="3"/>
  <c r="X217" i="3" s="1"/>
  <c r="U217" i="3"/>
  <c r="R217" i="3"/>
  <c r="N217" i="3"/>
  <c r="O217" i="3" s="1"/>
  <c r="L217" i="3"/>
  <c r="I217" i="3"/>
  <c r="H217" i="3"/>
  <c r="F217" i="3"/>
  <c r="C217" i="3"/>
  <c r="AC216" i="3"/>
  <c r="AA216" i="3"/>
  <c r="X216" i="3"/>
  <c r="W216" i="3"/>
  <c r="U216" i="3"/>
  <c r="R216" i="3"/>
  <c r="O216" i="3"/>
  <c r="N216" i="3"/>
  <c r="L216" i="3"/>
  <c r="H216" i="3"/>
  <c r="I216" i="3" s="1"/>
  <c r="F216" i="3"/>
  <c r="C216" i="3"/>
  <c r="AC215" i="3"/>
  <c r="AD215" i="3" s="1"/>
  <c r="AA215" i="3"/>
  <c r="W215" i="3"/>
  <c r="X215" i="3" s="1"/>
  <c r="U215" i="3"/>
  <c r="R215" i="3"/>
  <c r="N215" i="3"/>
  <c r="O215" i="3" s="1"/>
  <c r="L215" i="3"/>
  <c r="H215" i="3"/>
  <c r="I215" i="3" s="1"/>
  <c r="F215" i="3"/>
  <c r="C215" i="3"/>
  <c r="AD214" i="3"/>
  <c r="AC214" i="3"/>
  <c r="AA214" i="3"/>
  <c r="X214" i="3"/>
  <c r="W214" i="3"/>
  <c r="U214" i="3"/>
  <c r="R214" i="3"/>
  <c r="O214" i="3"/>
  <c r="N214" i="3"/>
  <c r="L214" i="3"/>
  <c r="H214" i="3"/>
  <c r="I214" i="3" s="1"/>
  <c r="F214" i="3"/>
  <c r="C214" i="3"/>
  <c r="AC213" i="3"/>
  <c r="AD213" i="3" s="1"/>
  <c r="AA213" i="3"/>
  <c r="W213" i="3"/>
  <c r="X213" i="3" s="1"/>
  <c r="U213" i="3"/>
  <c r="R213" i="3"/>
  <c r="N213" i="3"/>
  <c r="O213" i="3" s="1"/>
  <c r="L213" i="3"/>
  <c r="I213" i="3"/>
  <c r="H213" i="3"/>
  <c r="F213" i="3"/>
  <c r="C213" i="3"/>
  <c r="AC211" i="3"/>
  <c r="AD211" i="3" s="1"/>
  <c r="AA211" i="3"/>
  <c r="X211" i="3"/>
  <c r="W211" i="3"/>
  <c r="U211" i="3"/>
  <c r="R211" i="3"/>
  <c r="O211" i="3"/>
  <c r="N211" i="3"/>
  <c r="L211" i="3"/>
  <c r="I211" i="3"/>
  <c r="H211" i="3"/>
  <c r="F211" i="3"/>
  <c r="C211" i="3"/>
  <c r="Z209" i="3"/>
  <c r="AA209" i="3" s="1"/>
  <c r="W209" i="3"/>
  <c r="X209" i="3" s="1"/>
  <c r="U209" i="3"/>
  <c r="T209" i="3"/>
  <c r="Q209" i="3"/>
  <c r="R209" i="3" s="1"/>
  <c r="L209" i="3"/>
  <c r="K209" i="3"/>
  <c r="F209" i="3"/>
  <c r="E209" i="3"/>
  <c r="B209" i="3"/>
  <c r="C209" i="3" s="1"/>
  <c r="AC208" i="3"/>
  <c r="AD208" i="3" s="1"/>
  <c r="AA208" i="3"/>
  <c r="W208" i="3"/>
  <c r="X208" i="3" s="1"/>
  <c r="U208" i="3"/>
  <c r="R208" i="3"/>
  <c r="N208" i="3"/>
  <c r="O208" i="3" s="1"/>
  <c r="L208" i="3"/>
  <c r="I208" i="3"/>
  <c r="H208" i="3"/>
  <c r="F208" i="3"/>
  <c r="C208" i="3"/>
  <c r="AC207" i="3"/>
  <c r="AD207" i="3" s="1"/>
  <c r="AA207" i="3"/>
  <c r="X207" i="3"/>
  <c r="W207" i="3"/>
  <c r="U207" i="3"/>
  <c r="R207" i="3"/>
  <c r="O207" i="3"/>
  <c r="N207" i="3"/>
  <c r="L207" i="3"/>
  <c r="I207" i="3"/>
  <c r="H207" i="3"/>
  <c r="F207" i="3"/>
  <c r="C207" i="3"/>
  <c r="AD206" i="3"/>
  <c r="AC206" i="3"/>
  <c r="AA206" i="3"/>
  <c r="W206" i="3"/>
  <c r="X206" i="3" s="1"/>
  <c r="U206" i="3"/>
  <c r="R206" i="3"/>
  <c r="N206" i="3"/>
  <c r="O206" i="3" s="1"/>
  <c r="L206" i="3"/>
  <c r="H206" i="3"/>
  <c r="I206" i="3" s="1"/>
  <c r="F206" i="3"/>
  <c r="C206" i="3"/>
  <c r="AD205" i="3"/>
  <c r="AC205" i="3"/>
  <c r="AA205" i="3"/>
  <c r="X205" i="3"/>
  <c r="W205" i="3"/>
  <c r="U205" i="3"/>
  <c r="R205" i="3"/>
  <c r="N205" i="3"/>
  <c r="O205" i="3" s="1"/>
  <c r="L205" i="3"/>
  <c r="I205" i="3"/>
  <c r="H205" i="3"/>
  <c r="F205" i="3"/>
  <c r="C205" i="3"/>
  <c r="AD204" i="3"/>
  <c r="AC204" i="3"/>
  <c r="AA204" i="3"/>
  <c r="W204" i="3"/>
  <c r="X204" i="3" s="1"/>
  <c r="U204" i="3"/>
  <c r="R204" i="3"/>
  <c r="N204" i="3"/>
  <c r="O204" i="3" s="1"/>
  <c r="L204" i="3"/>
  <c r="I204" i="3"/>
  <c r="H204" i="3"/>
  <c r="F204" i="3"/>
  <c r="C204" i="3"/>
  <c r="AC203" i="3"/>
  <c r="AA203" i="3"/>
  <c r="W203" i="3"/>
  <c r="X203" i="3" s="1"/>
  <c r="U203" i="3"/>
  <c r="R203" i="3"/>
  <c r="O203" i="3"/>
  <c r="N203" i="3"/>
  <c r="L203" i="3"/>
  <c r="H203" i="3"/>
  <c r="I203" i="3" s="1"/>
  <c r="F203" i="3"/>
  <c r="C203" i="3"/>
  <c r="AC202" i="3"/>
  <c r="AD202" i="3" s="1"/>
  <c r="AA202" i="3"/>
  <c r="W202" i="3"/>
  <c r="X202" i="3" s="1"/>
  <c r="U202" i="3"/>
  <c r="R202" i="3"/>
  <c r="N202" i="3"/>
  <c r="O202" i="3" s="1"/>
  <c r="L202" i="3"/>
  <c r="H202" i="3"/>
  <c r="F202" i="3"/>
  <c r="C202" i="3"/>
  <c r="AD201" i="3"/>
  <c r="AC201" i="3"/>
  <c r="AA201" i="3"/>
  <c r="X201" i="3"/>
  <c r="W201" i="3"/>
  <c r="U201" i="3"/>
  <c r="R201" i="3"/>
  <c r="O201" i="3"/>
  <c r="N201" i="3"/>
  <c r="L201" i="3"/>
  <c r="H201" i="3"/>
  <c r="I201" i="3" s="1"/>
  <c r="F201" i="3"/>
  <c r="C201" i="3"/>
  <c r="K198" i="3"/>
  <c r="Z197" i="3"/>
  <c r="AA197" i="3" s="1"/>
  <c r="X197" i="3"/>
  <c r="W197" i="3"/>
  <c r="U197" i="3"/>
  <c r="T197" i="3"/>
  <c r="Q197" i="3"/>
  <c r="R197" i="3" s="1"/>
  <c r="L197" i="3"/>
  <c r="K197" i="3"/>
  <c r="F197" i="3"/>
  <c r="E197" i="3"/>
  <c r="B197" i="3"/>
  <c r="C197" i="3" s="1"/>
  <c r="AC196" i="3"/>
  <c r="AD196" i="3" s="1"/>
  <c r="AA196" i="3"/>
  <c r="Z196" i="3"/>
  <c r="W196" i="3"/>
  <c r="X196" i="3" s="1"/>
  <c r="T196" i="3"/>
  <c r="U196" i="3" s="1"/>
  <c r="Q196" i="3"/>
  <c r="R196" i="3" s="1"/>
  <c r="O196" i="3"/>
  <c r="L196" i="3"/>
  <c r="K196" i="3"/>
  <c r="E196" i="3"/>
  <c r="C196" i="3"/>
  <c r="B196" i="3"/>
  <c r="N196" i="3" s="1"/>
  <c r="AC195" i="3"/>
  <c r="AD195" i="3" s="1"/>
  <c r="AA195" i="3"/>
  <c r="W195" i="3"/>
  <c r="X195" i="3" s="1"/>
  <c r="U195" i="3"/>
  <c r="R195" i="3"/>
  <c r="N195" i="3"/>
  <c r="O195" i="3" s="1"/>
  <c r="L195" i="3"/>
  <c r="H195" i="3"/>
  <c r="I195" i="3" s="1"/>
  <c r="F195" i="3"/>
  <c r="C195" i="3"/>
  <c r="AD194" i="3"/>
  <c r="AC194" i="3"/>
  <c r="AA194" i="3"/>
  <c r="X194" i="3"/>
  <c r="W194" i="3"/>
  <c r="U194" i="3"/>
  <c r="R194" i="3"/>
  <c r="O194" i="3"/>
  <c r="N194" i="3"/>
  <c r="L194" i="3"/>
  <c r="I194" i="3"/>
  <c r="H194" i="3"/>
  <c r="F194" i="3"/>
  <c r="C194" i="3"/>
  <c r="AA193" i="3"/>
  <c r="Z193" i="3"/>
  <c r="X193" i="3"/>
  <c r="T193" i="3"/>
  <c r="U193" i="3" s="1"/>
  <c r="Q193" i="3"/>
  <c r="W193" i="3" s="1"/>
  <c r="K193" i="3"/>
  <c r="L193" i="3" s="1"/>
  <c r="F193" i="3"/>
  <c r="E193" i="3"/>
  <c r="H193" i="3" s="1"/>
  <c r="I193" i="3" s="1"/>
  <c r="C193" i="3"/>
  <c r="B193" i="3"/>
  <c r="AD192" i="3"/>
  <c r="AC192" i="3"/>
  <c r="AA192" i="3"/>
  <c r="W192" i="3"/>
  <c r="X192" i="3" s="1"/>
  <c r="U192" i="3"/>
  <c r="R192" i="3"/>
  <c r="N192" i="3"/>
  <c r="O192" i="3" s="1"/>
  <c r="L192" i="3"/>
  <c r="H192" i="3"/>
  <c r="I192" i="3" s="1"/>
  <c r="F192" i="3"/>
  <c r="C192" i="3"/>
  <c r="AD191" i="3"/>
  <c r="AC191" i="3"/>
  <c r="AA191" i="3"/>
  <c r="X191" i="3"/>
  <c r="W191" i="3"/>
  <c r="U191" i="3"/>
  <c r="R191" i="3"/>
  <c r="N191" i="3"/>
  <c r="O191" i="3" s="1"/>
  <c r="L191" i="3"/>
  <c r="I191" i="3"/>
  <c r="H191" i="3"/>
  <c r="F191" i="3"/>
  <c r="C191" i="3"/>
  <c r="AD190" i="3"/>
  <c r="AC190" i="3"/>
  <c r="AA190" i="3"/>
  <c r="W190" i="3"/>
  <c r="X190" i="3" s="1"/>
  <c r="U190" i="3"/>
  <c r="R190" i="3"/>
  <c r="N190" i="3"/>
  <c r="O190" i="3" s="1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H189" i="3"/>
  <c r="I189" i="3" s="1"/>
  <c r="F189" i="3"/>
  <c r="C189" i="3"/>
  <c r="AC188" i="3"/>
  <c r="AD188" i="3" s="1"/>
  <c r="AA188" i="3"/>
  <c r="W188" i="3"/>
  <c r="X188" i="3" s="1"/>
  <c r="U188" i="3"/>
  <c r="R188" i="3"/>
  <c r="N188" i="3"/>
  <c r="O188" i="3" s="1"/>
  <c r="L188" i="3"/>
  <c r="H188" i="3"/>
  <c r="F188" i="3"/>
  <c r="C188" i="3"/>
  <c r="AD187" i="3"/>
  <c r="AC187" i="3"/>
  <c r="AA187" i="3"/>
  <c r="X187" i="3"/>
  <c r="W187" i="3"/>
  <c r="U187" i="3"/>
  <c r="R187" i="3"/>
  <c r="O187" i="3"/>
  <c r="N187" i="3"/>
  <c r="L187" i="3"/>
  <c r="H187" i="3"/>
  <c r="I187" i="3" s="1"/>
  <c r="F187" i="3"/>
  <c r="C187" i="3"/>
  <c r="AC186" i="3"/>
  <c r="AD186" i="3" s="1"/>
  <c r="AA186" i="3"/>
  <c r="W186" i="3"/>
  <c r="X186" i="3" s="1"/>
  <c r="U186" i="3"/>
  <c r="R186" i="3"/>
  <c r="N186" i="3"/>
  <c r="O186" i="3" s="1"/>
  <c r="L186" i="3"/>
  <c r="I186" i="3"/>
  <c r="H186" i="3"/>
  <c r="F186" i="3"/>
  <c r="C186" i="3"/>
  <c r="AC184" i="3"/>
  <c r="AA184" i="3"/>
  <c r="X184" i="3"/>
  <c r="W184" i="3"/>
  <c r="U184" i="3"/>
  <c r="R184" i="3"/>
  <c r="O184" i="3"/>
  <c r="N184" i="3"/>
  <c r="L184" i="3"/>
  <c r="I184" i="3"/>
  <c r="H184" i="3"/>
  <c r="F184" i="3"/>
  <c r="C184" i="3"/>
  <c r="AD183" i="3"/>
  <c r="AC183" i="3"/>
  <c r="AA183" i="3"/>
  <c r="W183" i="3"/>
  <c r="X183" i="3" s="1"/>
  <c r="U183" i="3"/>
  <c r="R183" i="3"/>
  <c r="N183" i="3"/>
  <c r="O183" i="3" s="1"/>
  <c r="L183" i="3"/>
  <c r="H183" i="3"/>
  <c r="F183" i="3"/>
  <c r="C183" i="3"/>
  <c r="AA182" i="3"/>
  <c r="Z182" i="3"/>
  <c r="T182" i="3"/>
  <c r="R182" i="3"/>
  <c r="Q182" i="3"/>
  <c r="L182" i="3"/>
  <c r="K182" i="3"/>
  <c r="H182" i="3"/>
  <c r="I182" i="3" s="1"/>
  <c r="F182" i="3"/>
  <c r="E182" i="3"/>
  <c r="B182" i="3"/>
  <c r="C182" i="3" s="1"/>
  <c r="AC181" i="3"/>
  <c r="AA181" i="3"/>
  <c r="W181" i="3"/>
  <c r="X181" i="3" s="1"/>
  <c r="U181" i="3"/>
  <c r="R181" i="3"/>
  <c r="O181" i="3"/>
  <c r="N181" i="3"/>
  <c r="L181" i="3"/>
  <c r="I181" i="3"/>
  <c r="H181" i="3"/>
  <c r="F181" i="3"/>
  <c r="C181" i="3"/>
  <c r="AD180" i="3"/>
  <c r="AC180" i="3"/>
  <c r="AA180" i="3"/>
  <c r="W180" i="3"/>
  <c r="X180" i="3" s="1"/>
  <c r="U180" i="3"/>
  <c r="R180" i="3"/>
  <c r="N180" i="3"/>
  <c r="O180" i="3" s="1"/>
  <c r="L180" i="3"/>
  <c r="H180" i="3"/>
  <c r="F180" i="3"/>
  <c r="C180" i="3"/>
  <c r="AD179" i="3"/>
  <c r="AC179" i="3"/>
  <c r="AA179" i="3"/>
  <c r="X179" i="3"/>
  <c r="W179" i="3"/>
  <c r="U179" i="3"/>
  <c r="R179" i="3"/>
  <c r="N179" i="3"/>
  <c r="O179" i="3" s="1"/>
  <c r="L179" i="3"/>
  <c r="H179" i="3"/>
  <c r="I179" i="3" s="1"/>
  <c r="F179" i="3"/>
  <c r="C179" i="3"/>
  <c r="AC178" i="3"/>
  <c r="AD178" i="3" s="1"/>
  <c r="AA178" i="3"/>
  <c r="W178" i="3"/>
  <c r="X178" i="3" s="1"/>
  <c r="U178" i="3"/>
  <c r="R178" i="3"/>
  <c r="N178" i="3"/>
  <c r="O178" i="3" s="1"/>
  <c r="L178" i="3"/>
  <c r="I178" i="3"/>
  <c r="H178" i="3"/>
  <c r="F178" i="3"/>
  <c r="C178" i="3"/>
  <c r="AC177" i="3"/>
  <c r="AA177" i="3"/>
  <c r="X177" i="3"/>
  <c r="W177" i="3"/>
  <c r="U177" i="3"/>
  <c r="R177" i="3"/>
  <c r="O177" i="3"/>
  <c r="N177" i="3"/>
  <c r="L177" i="3"/>
  <c r="I177" i="3"/>
  <c r="H177" i="3"/>
  <c r="F177" i="3"/>
  <c r="C177" i="3"/>
  <c r="AC175" i="3"/>
  <c r="AD175" i="3" s="1"/>
  <c r="AA175" i="3"/>
  <c r="W175" i="3"/>
  <c r="X175" i="3" s="1"/>
  <c r="U175" i="3"/>
  <c r="R175" i="3"/>
  <c r="N175" i="3"/>
  <c r="O175" i="3" s="1"/>
  <c r="L175" i="3"/>
  <c r="H175" i="3"/>
  <c r="I175" i="3" s="1"/>
  <c r="F175" i="3"/>
  <c r="C175" i="3"/>
  <c r="Z172" i="3"/>
  <c r="R172" i="3"/>
  <c r="Z171" i="3"/>
  <c r="AA171" i="3" s="1"/>
  <c r="T171" i="3"/>
  <c r="Q171" i="3"/>
  <c r="R171" i="3" s="1"/>
  <c r="L171" i="3"/>
  <c r="K171" i="3"/>
  <c r="E171" i="3"/>
  <c r="F171" i="3" s="1"/>
  <c r="C171" i="3"/>
  <c r="B171" i="3"/>
  <c r="B172" i="3" s="1"/>
  <c r="Z170" i="3"/>
  <c r="AA170" i="3" s="1"/>
  <c r="U170" i="3"/>
  <c r="T170" i="3"/>
  <c r="W170" i="3" s="1"/>
  <c r="X170" i="3" s="1"/>
  <c r="R170" i="3"/>
  <c r="Q170" i="3"/>
  <c r="AC170" i="3" s="1"/>
  <c r="AD170" i="3" s="1"/>
  <c r="K170" i="3"/>
  <c r="L170" i="3" s="1"/>
  <c r="I170" i="3"/>
  <c r="H170" i="3"/>
  <c r="F170" i="3"/>
  <c r="E170" i="3"/>
  <c r="C170" i="3"/>
  <c r="B170" i="3"/>
  <c r="N170" i="3" s="1"/>
  <c r="O170" i="3" s="1"/>
  <c r="AC169" i="3"/>
  <c r="AD169" i="3" s="1"/>
  <c r="AA169" i="3"/>
  <c r="X169" i="3"/>
  <c r="W169" i="3"/>
  <c r="U169" i="3"/>
  <c r="R169" i="3"/>
  <c r="O169" i="3"/>
  <c r="N169" i="3"/>
  <c r="L169" i="3"/>
  <c r="H169" i="3"/>
  <c r="I169" i="3" s="1"/>
  <c r="F169" i="3"/>
  <c r="C169" i="3"/>
  <c r="AC168" i="3"/>
  <c r="AD168" i="3" s="1"/>
  <c r="AA168" i="3"/>
  <c r="W168" i="3"/>
  <c r="X168" i="3" s="1"/>
  <c r="U168" i="3"/>
  <c r="R168" i="3"/>
  <c r="N168" i="3"/>
  <c r="O168" i="3" s="1"/>
  <c r="L168" i="3"/>
  <c r="H168" i="3"/>
  <c r="I168" i="3" s="1"/>
  <c r="F168" i="3"/>
  <c r="C168" i="3"/>
  <c r="AD167" i="3"/>
  <c r="AC167" i="3"/>
  <c r="AA167" i="3"/>
  <c r="X167" i="3"/>
  <c r="W167" i="3"/>
  <c r="U167" i="3"/>
  <c r="R167" i="3"/>
  <c r="O167" i="3"/>
  <c r="N167" i="3"/>
  <c r="L167" i="3"/>
  <c r="I167" i="3"/>
  <c r="H167" i="3"/>
  <c r="F167" i="3"/>
  <c r="C167" i="3"/>
  <c r="AA166" i="3"/>
  <c r="Z166" i="3"/>
  <c r="T166" i="3"/>
  <c r="U166" i="3" s="1"/>
  <c r="R166" i="3"/>
  <c r="Q166" i="3"/>
  <c r="K166" i="3"/>
  <c r="L166" i="3" s="1"/>
  <c r="F166" i="3"/>
  <c r="E166" i="3"/>
  <c r="H166" i="3" s="1"/>
  <c r="I166" i="3" s="1"/>
  <c r="C166" i="3"/>
  <c r="B166" i="3"/>
  <c r="N166" i="3" s="1"/>
  <c r="O166" i="3" s="1"/>
  <c r="AD165" i="3"/>
  <c r="AC165" i="3"/>
  <c r="AA165" i="3"/>
  <c r="W165" i="3"/>
  <c r="X165" i="3" s="1"/>
  <c r="U165" i="3"/>
  <c r="R165" i="3"/>
  <c r="N165" i="3"/>
  <c r="O165" i="3" s="1"/>
  <c r="L165" i="3"/>
  <c r="H165" i="3"/>
  <c r="I165" i="3" s="1"/>
  <c r="F165" i="3"/>
  <c r="C165" i="3"/>
  <c r="AD164" i="3"/>
  <c r="AC164" i="3"/>
  <c r="AA164" i="3"/>
  <c r="X164" i="3"/>
  <c r="W164" i="3"/>
  <c r="U164" i="3"/>
  <c r="R164" i="3"/>
  <c r="N164" i="3"/>
  <c r="O164" i="3" s="1"/>
  <c r="L164" i="3"/>
  <c r="I164" i="3"/>
  <c r="H164" i="3"/>
  <c r="F164" i="3"/>
  <c r="C164" i="3"/>
  <c r="AD163" i="3"/>
  <c r="AC163" i="3"/>
  <c r="AA163" i="3"/>
  <c r="W163" i="3"/>
  <c r="X163" i="3" s="1"/>
  <c r="U163" i="3"/>
  <c r="R163" i="3"/>
  <c r="N163" i="3"/>
  <c r="O163" i="3" s="1"/>
  <c r="L163" i="3"/>
  <c r="I163" i="3"/>
  <c r="H163" i="3"/>
  <c r="F163" i="3"/>
  <c r="C163" i="3"/>
  <c r="AC162" i="3"/>
  <c r="AD162" i="3" s="1"/>
  <c r="AA162" i="3"/>
  <c r="X162" i="3"/>
  <c r="W162" i="3"/>
  <c r="U162" i="3"/>
  <c r="R162" i="3"/>
  <c r="O162" i="3"/>
  <c r="N162" i="3"/>
  <c r="L162" i="3"/>
  <c r="H162" i="3"/>
  <c r="I162" i="3" s="1"/>
  <c r="F162" i="3"/>
  <c r="C162" i="3"/>
  <c r="AC161" i="3"/>
  <c r="AD161" i="3" s="1"/>
  <c r="AA161" i="3"/>
  <c r="W161" i="3"/>
  <c r="X161" i="3" s="1"/>
  <c r="U161" i="3"/>
  <c r="R161" i="3"/>
  <c r="N161" i="3"/>
  <c r="O161" i="3" s="1"/>
  <c r="L161" i="3"/>
  <c r="H161" i="3"/>
  <c r="I161" i="3" s="1"/>
  <c r="F161" i="3"/>
  <c r="C161" i="3"/>
  <c r="AD160" i="3"/>
  <c r="AC160" i="3"/>
  <c r="AA160" i="3"/>
  <c r="X160" i="3"/>
  <c r="W160" i="3"/>
  <c r="U160" i="3"/>
  <c r="R160" i="3"/>
  <c r="O160" i="3"/>
  <c r="N160" i="3"/>
  <c r="L160" i="3"/>
  <c r="H160" i="3"/>
  <c r="I160" i="3" s="1"/>
  <c r="F160" i="3"/>
  <c r="C160" i="3"/>
  <c r="AC158" i="3"/>
  <c r="AD158" i="3" s="1"/>
  <c r="AA158" i="3"/>
  <c r="Z158" i="3"/>
  <c r="W158" i="3"/>
  <c r="X158" i="3" s="1"/>
  <c r="T158" i="3"/>
  <c r="U158" i="3" s="1"/>
  <c r="Q158" i="3"/>
  <c r="R158" i="3" s="1"/>
  <c r="O158" i="3"/>
  <c r="L158" i="3"/>
  <c r="K158" i="3"/>
  <c r="E158" i="3"/>
  <c r="H158" i="3" s="1"/>
  <c r="I158" i="3" s="1"/>
  <c r="C158" i="3"/>
  <c r="B158" i="3"/>
  <c r="N158" i="3" s="1"/>
  <c r="AC157" i="3"/>
  <c r="AD157" i="3" s="1"/>
  <c r="AA157" i="3"/>
  <c r="W157" i="3"/>
  <c r="X157" i="3" s="1"/>
  <c r="U157" i="3"/>
  <c r="R157" i="3"/>
  <c r="N157" i="3"/>
  <c r="O157" i="3" s="1"/>
  <c r="L157" i="3"/>
  <c r="H157" i="3"/>
  <c r="I157" i="3" s="1"/>
  <c r="F157" i="3"/>
  <c r="C157" i="3"/>
  <c r="AD156" i="3"/>
  <c r="AC156" i="3"/>
  <c r="AA156" i="3"/>
  <c r="X156" i="3"/>
  <c r="W156" i="3"/>
  <c r="U156" i="3"/>
  <c r="R156" i="3"/>
  <c r="O156" i="3"/>
  <c r="N156" i="3"/>
  <c r="L156" i="3"/>
  <c r="I156" i="3"/>
  <c r="H156" i="3"/>
  <c r="F156" i="3"/>
  <c r="C156" i="3"/>
  <c r="AD155" i="3"/>
  <c r="AC155" i="3"/>
  <c r="AA155" i="3"/>
  <c r="W155" i="3"/>
  <c r="X155" i="3" s="1"/>
  <c r="U155" i="3"/>
  <c r="R155" i="3"/>
  <c r="N155" i="3"/>
  <c r="O155" i="3" s="1"/>
  <c r="L155" i="3"/>
  <c r="I155" i="3"/>
  <c r="H155" i="3"/>
  <c r="F155" i="3"/>
  <c r="C155" i="3"/>
  <c r="AC154" i="3"/>
  <c r="AD154" i="3" s="1"/>
  <c r="AA154" i="3"/>
  <c r="W154" i="3"/>
  <c r="X154" i="3" s="1"/>
  <c r="U154" i="3"/>
  <c r="R154" i="3"/>
  <c r="O154" i="3"/>
  <c r="N154" i="3"/>
  <c r="L154" i="3"/>
  <c r="I154" i="3"/>
  <c r="H154" i="3"/>
  <c r="F154" i="3"/>
  <c r="C154" i="3"/>
  <c r="AD153" i="3"/>
  <c r="AC153" i="3"/>
  <c r="AA153" i="3"/>
  <c r="W153" i="3"/>
  <c r="X153" i="3" s="1"/>
  <c r="U153" i="3"/>
  <c r="R153" i="3"/>
  <c r="N153" i="3"/>
  <c r="O153" i="3" s="1"/>
  <c r="L153" i="3"/>
  <c r="H153" i="3"/>
  <c r="I153" i="3" s="1"/>
  <c r="F153" i="3"/>
  <c r="C153" i="3"/>
  <c r="AD151" i="3"/>
  <c r="AC151" i="3"/>
  <c r="AA151" i="3"/>
  <c r="X151" i="3"/>
  <c r="W151" i="3"/>
  <c r="U151" i="3"/>
  <c r="R151" i="3"/>
  <c r="O151" i="3"/>
  <c r="N151" i="3"/>
  <c r="L151" i="3"/>
  <c r="H151" i="3"/>
  <c r="I151" i="3" s="1"/>
  <c r="F151" i="3"/>
  <c r="C151" i="3"/>
  <c r="AC149" i="3"/>
  <c r="AD149" i="3" s="1"/>
  <c r="AA149" i="3"/>
  <c r="Z149" i="3"/>
  <c r="W149" i="3"/>
  <c r="X149" i="3" s="1"/>
  <c r="T149" i="3"/>
  <c r="U149" i="3" s="1"/>
  <c r="R149" i="3"/>
  <c r="Q149" i="3"/>
  <c r="O149" i="3"/>
  <c r="L149" i="3"/>
  <c r="K149" i="3"/>
  <c r="E149" i="3"/>
  <c r="H149" i="3" s="1"/>
  <c r="I149" i="3" s="1"/>
  <c r="C149" i="3"/>
  <c r="B149" i="3"/>
  <c r="N149" i="3" s="1"/>
  <c r="AC148" i="3"/>
  <c r="AD148" i="3" s="1"/>
  <c r="Z148" i="3"/>
  <c r="AA148" i="3" s="1"/>
  <c r="X148" i="3"/>
  <c r="W148" i="3"/>
  <c r="U148" i="3"/>
  <c r="T148" i="3"/>
  <c r="R148" i="3"/>
  <c r="Q148" i="3"/>
  <c r="K148" i="3"/>
  <c r="L148" i="3" s="1"/>
  <c r="E148" i="3"/>
  <c r="F148" i="3" s="1"/>
  <c r="B148" i="3"/>
  <c r="C148" i="3" s="1"/>
  <c r="AD147" i="3"/>
  <c r="AC147" i="3"/>
  <c r="AA147" i="3"/>
  <c r="W147" i="3"/>
  <c r="X147" i="3" s="1"/>
  <c r="U147" i="3"/>
  <c r="R147" i="3"/>
  <c r="N147" i="3"/>
  <c r="O147" i="3" s="1"/>
  <c r="L147" i="3"/>
  <c r="I147" i="3"/>
  <c r="H147" i="3"/>
  <c r="F147" i="3"/>
  <c r="C147" i="3"/>
  <c r="AC146" i="3"/>
  <c r="AD146" i="3" s="1"/>
  <c r="AA146" i="3"/>
  <c r="X146" i="3"/>
  <c r="W146" i="3"/>
  <c r="U146" i="3"/>
  <c r="R146" i="3"/>
  <c r="O146" i="3"/>
  <c r="N146" i="3"/>
  <c r="L146" i="3"/>
  <c r="H146" i="3"/>
  <c r="I146" i="3" s="1"/>
  <c r="F146" i="3"/>
  <c r="C146" i="3"/>
  <c r="AC145" i="3"/>
  <c r="AD145" i="3" s="1"/>
  <c r="AA145" i="3"/>
  <c r="W145" i="3"/>
  <c r="X145" i="3" s="1"/>
  <c r="U145" i="3"/>
  <c r="R145" i="3"/>
  <c r="N145" i="3"/>
  <c r="O145" i="3" s="1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O144" i="3"/>
  <c r="N144" i="3"/>
  <c r="L144" i="3"/>
  <c r="I144" i="3"/>
  <c r="H144" i="3"/>
  <c r="F144" i="3"/>
  <c r="C144" i="3"/>
  <c r="AC143" i="3"/>
  <c r="AD143" i="3" s="1"/>
  <c r="AA143" i="3"/>
  <c r="W143" i="3"/>
  <c r="X143" i="3" s="1"/>
  <c r="U143" i="3"/>
  <c r="R143" i="3"/>
  <c r="N143" i="3"/>
  <c r="O143" i="3" s="1"/>
  <c r="L143" i="3"/>
  <c r="I143" i="3"/>
  <c r="H143" i="3"/>
  <c r="F143" i="3"/>
  <c r="C143" i="3"/>
  <c r="AA141" i="3"/>
  <c r="Z141" i="3"/>
  <c r="T141" i="3"/>
  <c r="U141" i="3" s="1"/>
  <c r="Q141" i="3"/>
  <c r="R141" i="3" s="1"/>
  <c r="L141" i="3"/>
  <c r="K141" i="3"/>
  <c r="E141" i="3"/>
  <c r="F141" i="3" s="1"/>
  <c r="C141" i="3"/>
  <c r="B141" i="3"/>
  <c r="N141" i="3" s="1"/>
  <c r="O141" i="3" s="1"/>
  <c r="AD140" i="3"/>
  <c r="AC140" i="3"/>
  <c r="AA140" i="3"/>
  <c r="X140" i="3"/>
  <c r="W140" i="3"/>
  <c r="U140" i="3"/>
  <c r="R140" i="3"/>
  <c r="O140" i="3"/>
  <c r="N140" i="3"/>
  <c r="L140" i="3"/>
  <c r="I140" i="3"/>
  <c r="H140" i="3"/>
  <c r="F140" i="3"/>
  <c r="C140" i="3"/>
  <c r="AD139" i="3"/>
  <c r="AC139" i="3"/>
  <c r="AA139" i="3"/>
  <c r="W139" i="3"/>
  <c r="X139" i="3" s="1"/>
  <c r="U139" i="3"/>
  <c r="R139" i="3"/>
  <c r="N139" i="3"/>
  <c r="O139" i="3" s="1"/>
  <c r="L139" i="3"/>
  <c r="I139" i="3"/>
  <c r="H139" i="3"/>
  <c r="F139" i="3"/>
  <c r="C139" i="3"/>
  <c r="AC138" i="3"/>
  <c r="AD138" i="3" s="1"/>
  <c r="AA138" i="3"/>
  <c r="W138" i="3"/>
  <c r="X138" i="3" s="1"/>
  <c r="U138" i="3"/>
  <c r="R138" i="3"/>
  <c r="O138" i="3"/>
  <c r="N138" i="3"/>
  <c r="L138" i="3"/>
  <c r="I138" i="3"/>
  <c r="H138" i="3"/>
  <c r="F138" i="3"/>
  <c r="C138" i="3"/>
  <c r="AD137" i="3"/>
  <c r="AC137" i="3"/>
  <c r="AA137" i="3"/>
  <c r="W137" i="3"/>
  <c r="X137" i="3" s="1"/>
  <c r="U137" i="3"/>
  <c r="R137" i="3"/>
  <c r="N137" i="3"/>
  <c r="O137" i="3" s="1"/>
  <c r="L137" i="3"/>
  <c r="H137" i="3"/>
  <c r="I137" i="3" s="1"/>
  <c r="F137" i="3"/>
  <c r="C137" i="3"/>
  <c r="AD136" i="3"/>
  <c r="AC136" i="3"/>
  <c r="AA136" i="3"/>
  <c r="X136" i="3"/>
  <c r="W136" i="3"/>
  <c r="U136" i="3"/>
  <c r="R136" i="3"/>
  <c r="N136" i="3"/>
  <c r="O136" i="3" s="1"/>
  <c r="L136" i="3"/>
  <c r="H136" i="3"/>
  <c r="I136" i="3" s="1"/>
  <c r="F136" i="3"/>
  <c r="C136" i="3"/>
  <c r="AC135" i="3"/>
  <c r="AD135" i="3" s="1"/>
  <c r="AA135" i="3"/>
  <c r="W135" i="3"/>
  <c r="X135" i="3" s="1"/>
  <c r="U135" i="3"/>
  <c r="R135" i="3"/>
  <c r="N135" i="3"/>
  <c r="O135" i="3" s="1"/>
  <c r="L135" i="3"/>
  <c r="I135" i="3"/>
  <c r="H135" i="3"/>
  <c r="F135" i="3"/>
  <c r="C135" i="3"/>
  <c r="AC134" i="3"/>
  <c r="AA134" i="3"/>
  <c r="X134" i="3"/>
  <c r="W134" i="3"/>
  <c r="U134" i="3"/>
  <c r="R134" i="3"/>
  <c r="O134" i="3"/>
  <c r="N134" i="3"/>
  <c r="L134" i="3"/>
  <c r="H134" i="3"/>
  <c r="I134" i="3" s="1"/>
  <c r="F134" i="3"/>
  <c r="C134" i="3"/>
  <c r="AC133" i="3"/>
  <c r="AD133" i="3" s="1"/>
  <c r="AA133" i="3"/>
  <c r="W133" i="3"/>
  <c r="X133" i="3" s="1"/>
  <c r="U133" i="3"/>
  <c r="R133" i="3"/>
  <c r="N133" i="3"/>
  <c r="O133" i="3" s="1"/>
  <c r="L133" i="3"/>
  <c r="H133" i="3"/>
  <c r="F133" i="3"/>
  <c r="C133" i="3"/>
  <c r="AD132" i="3"/>
  <c r="AC132" i="3"/>
  <c r="AA132" i="3"/>
  <c r="X132" i="3"/>
  <c r="W132" i="3"/>
  <c r="U132" i="3"/>
  <c r="R132" i="3"/>
  <c r="O132" i="3"/>
  <c r="N132" i="3"/>
  <c r="L132" i="3"/>
  <c r="I132" i="3"/>
  <c r="H132" i="3"/>
  <c r="F132" i="3"/>
  <c r="C132" i="3"/>
  <c r="AD131" i="3"/>
  <c r="AC131" i="3"/>
  <c r="AA131" i="3"/>
  <c r="W131" i="3"/>
  <c r="X131" i="3" s="1"/>
  <c r="U131" i="3"/>
  <c r="R131" i="3"/>
  <c r="N131" i="3"/>
  <c r="O131" i="3" s="1"/>
  <c r="L131" i="3"/>
  <c r="I131" i="3"/>
  <c r="H131" i="3"/>
  <c r="F131" i="3"/>
  <c r="C131" i="3"/>
  <c r="AC130" i="3"/>
  <c r="AA130" i="3"/>
  <c r="W130" i="3"/>
  <c r="X130" i="3" s="1"/>
  <c r="U130" i="3"/>
  <c r="R130" i="3"/>
  <c r="O130" i="3"/>
  <c r="N130" i="3"/>
  <c r="L130" i="3"/>
  <c r="I130" i="3"/>
  <c r="H130" i="3"/>
  <c r="F130" i="3"/>
  <c r="C130" i="3"/>
  <c r="AD129" i="3"/>
  <c r="AC129" i="3"/>
  <c r="AA129" i="3"/>
  <c r="W129" i="3"/>
  <c r="X129" i="3" s="1"/>
  <c r="U129" i="3"/>
  <c r="R129" i="3"/>
  <c r="N129" i="3"/>
  <c r="O129" i="3" s="1"/>
  <c r="L129" i="3"/>
  <c r="H129" i="3"/>
  <c r="F129" i="3"/>
  <c r="C129" i="3"/>
  <c r="AD127" i="3"/>
  <c r="AC127" i="3"/>
  <c r="AA127" i="3"/>
  <c r="X127" i="3"/>
  <c r="W127" i="3"/>
  <c r="U127" i="3"/>
  <c r="R127" i="3"/>
  <c r="N127" i="3"/>
  <c r="O127" i="3" s="1"/>
  <c r="L127" i="3"/>
  <c r="H127" i="3"/>
  <c r="I127" i="3" s="1"/>
  <c r="F127" i="3"/>
  <c r="C127" i="3"/>
  <c r="AC124" i="3"/>
  <c r="AD124" i="3" s="1"/>
  <c r="AA124" i="3"/>
  <c r="Z124" i="3"/>
  <c r="W124" i="3"/>
  <c r="X124" i="3" s="1"/>
  <c r="T124" i="3"/>
  <c r="U124" i="3" s="1"/>
  <c r="R124" i="3"/>
  <c r="Q124" i="3"/>
  <c r="Q172" i="3" s="1"/>
  <c r="O124" i="3"/>
  <c r="L124" i="3"/>
  <c r="K124" i="3"/>
  <c r="K172" i="3" s="1"/>
  <c r="L172" i="3" s="1"/>
  <c r="E124" i="3"/>
  <c r="C124" i="3"/>
  <c r="B124" i="3"/>
  <c r="N124" i="3" s="1"/>
  <c r="AC123" i="3"/>
  <c r="AD123" i="3" s="1"/>
  <c r="AA123" i="3"/>
  <c r="W123" i="3"/>
  <c r="X123" i="3" s="1"/>
  <c r="U123" i="3"/>
  <c r="R123" i="3"/>
  <c r="N123" i="3"/>
  <c r="O123" i="3" s="1"/>
  <c r="L123" i="3"/>
  <c r="H123" i="3"/>
  <c r="I123" i="3" s="1"/>
  <c r="F123" i="3"/>
  <c r="C123" i="3"/>
  <c r="Z122" i="3"/>
  <c r="AA122" i="3" s="1"/>
  <c r="T122" i="3"/>
  <c r="W122" i="3" s="1"/>
  <c r="X122" i="3" s="1"/>
  <c r="R122" i="3"/>
  <c r="Q122" i="3"/>
  <c r="AC122" i="3" s="1"/>
  <c r="AD122" i="3" s="1"/>
  <c r="K122" i="3"/>
  <c r="L122" i="3" s="1"/>
  <c r="F122" i="3"/>
  <c r="E122" i="3"/>
  <c r="C122" i="3"/>
  <c r="B122" i="3"/>
  <c r="AC121" i="3"/>
  <c r="AD121" i="3" s="1"/>
  <c r="AA121" i="3"/>
  <c r="X121" i="3"/>
  <c r="W121" i="3"/>
  <c r="U121" i="3"/>
  <c r="R121" i="3"/>
  <c r="O121" i="3"/>
  <c r="N121" i="3"/>
  <c r="L121" i="3"/>
  <c r="H121" i="3"/>
  <c r="I121" i="3" s="1"/>
  <c r="F121" i="3"/>
  <c r="C121" i="3"/>
  <c r="AC120" i="3"/>
  <c r="AD120" i="3" s="1"/>
  <c r="AA120" i="3"/>
  <c r="W120" i="3"/>
  <c r="X120" i="3" s="1"/>
  <c r="U120" i="3"/>
  <c r="R120" i="3"/>
  <c r="N120" i="3"/>
  <c r="O120" i="3" s="1"/>
  <c r="L120" i="3"/>
  <c r="H120" i="3"/>
  <c r="I120" i="3" s="1"/>
  <c r="F120" i="3"/>
  <c r="C120" i="3"/>
  <c r="AD119" i="3"/>
  <c r="AC119" i="3"/>
  <c r="AA119" i="3"/>
  <c r="X119" i="3"/>
  <c r="W119" i="3"/>
  <c r="U119" i="3"/>
  <c r="R119" i="3"/>
  <c r="O119" i="3"/>
  <c r="N119" i="3"/>
  <c r="L119" i="3"/>
  <c r="I119" i="3"/>
  <c r="H119" i="3"/>
  <c r="F119" i="3"/>
  <c r="C119" i="3"/>
  <c r="AA118" i="3"/>
  <c r="Z118" i="3"/>
  <c r="T118" i="3"/>
  <c r="U118" i="3" s="1"/>
  <c r="Q118" i="3"/>
  <c r="AC118" i="3" s="1"/>
  <c r="AD118" i="3" s="1"/>
  <c r="L118" i="3"/>
  <c r="K118" i="3"/>
  <c r="F118" i="3"/>
  <c r="E118" i="3"/>
  <c r="H118" i="3" s="1"/>
  <c r="I118" i="3" s="1"/>
  <c r="C118" i="3"/>
  <c r="B118" i="3"/>
  <c r="AC117" i="3"/>
  <c r="AD117" i="3" s="1"/>
  <c r="AA117" i="3"/>
  <c r="W117" i="3"/>
  <c r="X117" i="3" s="1"/>
  <c r="U117" i="3"/>
  <c r="R117" i="3"/>
  <c r="N117" i="3"/>
  <c r="O117" i="3" s="1"/>
  <c r="L117" i="3"/>
  <c r="H117" i="3"/>
  <c r="I117" i="3" s="1"/>
  <c r="F117" i="3"/>
  <c r="C117" i="3"/>
  <c r="AD116" i="3"/>
  <c r="AC116" i="3"/>
  <c r="AA116" i="3"/>
  <c r="X116" i="3"/>
  <c r="W116" i="3"/>
  <c r="U116" i="3"/>
  <c r="R116" i="3"/>
  <c r="O116" i="3"/>
  <c r="N116" i="3"/>
  <c r="L116" i="3"/>
  <c r="H116" i="3"/>
  <c r="I116" i="3" s="1"/>
  <c r="F116" i="3"/>
  <c r="C116" i="3"/>
  <c r="AD115" i="3"/>
  <c r="AC115" i="3"/>
  <c r="AA115" i="3"/>
  <c r="W115" i="3"/>
  <c r="X115" i="3" s="1"/>
  <c r="U115" i="3"/>
  <c r="R115" i="3"/>
  <c r="N115" i="3"/>
  <c r="O115" i="3" s="1"/>
  <c r="L115" i="3"/>
  <c r="I115" i="3"/>
  <c r="H115" i="3"/>
  <c r="F115" i="3"/>
  <c r="C115" i="3"/>
  <c r="AC114" i="3"/>
  <c r="AD114" i="3" s="1"/>
  <c r="AA114" i="3"/>
  <c r="W114" i="3"/>
  <c r="X114" i="3" s="1"/>
  <c r="U114" i="3"/>
  <c r="R114" i="3"/>
  <c r="O114" i="3"/>
  <c r="N114" i="3"/>
  <c r="L114" i="3"/>
  <c r="I114" i="3"/>
  <c r="H114" i="3"/>
  <c r="F114" i="3"/>
  <c r="C114" i="3"/>
  <c r="AD113" i="3"/>
  <c r="AC113" i="3"/>
  <c r="AA113" i="3"/>
  <c r="W113" i="3"/>
  <c r="X113" i="3" s="1"/>
  <c r="U113" i="3"/>
  <c r="R113" i="3"/>
  <c r="N113" i="3"/>
  <c r="O113" i="3" s="1"/>
  <c r="L113" i="3"/>
  <c r="H113" i="3"/>
  <c r="I113" i="3" s="1"/>
  <c r="F113" i="3"/>
  <c r="C113" i="3"/>
  <c r="AD112" i="3"/>
  <c r="AC112" i="3"/>
  <c r="AA112" i="3"/>
  <c r="X112" i="3"/>
  <c r="W112" i="3"/>
  <c r="U112" i="3"/>
  <c r="R112" i="3"/>
  <c r="O112" i="3"/>
  <c r="N112" i="3"/>
  <c r="L112" i="3"/>
  <c r="H112" i="3"/>
  <c r="I112" i="3" s="1"/>
  <c r="F112" i="3"/>
  <c r="C112" i="3"/>
  <c r="AC111" i="3"/>
  <c r="AD111" i="3" s="1"/>
  <c r="AA111" i="3"/>
  <c r="W111" i="3"/>
  <c r="X111" i="3" s="1"/>
  <c r="U111" i="3"/>
  <c r="R111" i="3"/>
  <c r="N111" i="3"/>
  <c r="O111" i="3" s="1"/>
  <c r="L111" i="3"/>
  <c r="I111" i="3"/>
  <c r="H111" i="3"/>
  <c r="F111" i="3"/>
  <c r="C111" i="3"/>
  <c r="AC110" i="3"/>
  <c r="AD110" i="3" s="1"/>
  <c r="AA110" i="3"/>
  <c r="X110" i="3"/>
  <c r="W110" i="3"/>
  <c r="U110" i="3"/>
  <c r="R110" i="3"/>
  <c r="O110" i="3"/>
  <c r="N110" i="3"/>
  <c r="L110" i="3"/>
  <c r="H110" i="3"/>
  <c r="I110" i="3" s="1"/>
  <c r="F110" i="3"/>
  <c r="C110" i="3"/>
  <c r="AD109" i="3"/>
  <c r="AC109" i="3"/>
  <c r="AA109" i="3"/>
  <c r="W109" i="3"/>
  <c r="X109" i="3" s="1"/>
  <c r="U109" i="3"/>
  <c r="R109" i="3"/>
  <c r="N109" i="3"/>
  <c r="O109" i="3" s="1"/>
  <c r="L109" i="3"/>
  <c r="H109" i="3"/>
  <c r="I109" i="3" s="1"/>
  <c r="F109" i="3"/>
  <c r="C109" i="3"/>
  <c r="AD108" i="3"/>
  <c r="AC108" i="3"/>
  <c r="AA108" i="3"/>
  <c r="X108" i="3"/>
  <c r="W108" i="3"/>
  <c r="U108" i="3"/>
  <c r="R108" i="3"/>
  <c r="O108" i="3"/>
  <c r="N108" i="3"/>
  <c r="L108" i="3"/>
  <c r="I108" i="3"/>
  <c r="H108" i="3"/>
  <c r="F108" i="3"/>
  <c r="C108" i="3"/>
  <c r="AC107" i="3"/>
  <c r="AD107" i="3" s="1"/>
  <c r="AA107" i="3"/>
  <c r="W107" i="3"/>
  <c r="X107" i="3" s="1"/>
  <c r="U107" i="3"/>
  <c r="R107" i="3"/>
  <c r="N107" i="3"/>
  <c r="O107" i="3" s="1"/>
  <c r="L107" i="3"/>
  <c r="I107" i="3"/>
  <c r="H107" i="3"/>
  <c r="F107" i="3"/>
  <c r="C107" i="3"/>
  <c r="AC106" i="3"/>
  <c r="AD106" i="3" s="1"/>
  <c r="AA106" i="3"/>
  <c r="W106" i="3"/>
  <c r="X106" i="3" s="1"/>
  <c r="U106" i="3"/>
  <c r="R106" i="3"/>
  <c r="O106" i="3"/>
  <c r="N106" i="3"/>
  <c r="L106" i="3"/>
  <c r="I106" i="3"/>
  <c r="H106" i="3"/>
  <c r="F106" i="3"/>
  <c r="C106" i="3"/>
  <c r="AD105" i="3"/>
  <c r="AC105" i="3"/>
  <c r="AA105" i="3"/>
  <c r="W105" i="3"/>
  <c r="X105" i="3" s="1"/>
  <c r="U105" i="3"/>
  <c r="R105" i="3"/>
  <c r="N105" i="3"/>
  <c r="O105" i="3" s="1"/>
  <c r="L105" i="3"/>
  <c r="H105" i="3"/>
  <c r="I105" i="3" s="1"/>
  <c r="F105" i="3"/>
  <c r="C105" i="3"/>
  <c r="AD104" i="3"/>
  <c r="AC104" i="3"/>
  <c r="AA104" i="3"/>
  <c r="X104" i="3"/>
  <c r="W104" i="3"/>
  <c r="U104" i="3"/>
  <c r="R104" i="3"/>
  <c r="N104" i="3"/>
  <c r="O104" i="3" s="1"/>
  <c r="L104" i="3"/>
  <c r="H104" i="3"/>
  <c r="I104" i="3" s="1"/>
  <c r="F104" i="3"/>
  <c r="C104" i="3"/>
  <c r="AC103" i="3"/>
  <c r="AD103" i="3" s="1"/>
  <c r="AA103" i="3"/>
  <c r="W103" i="3"/>
  <c r="X103" i="3" s="1"/>
  <c r="U103" i="3"/>
  <c r="R103" i="3"/>
  <c r="N103" i="3"/>
  <c r="O103" i="3" s="1"/>
  <c r="L103" i="3"/>
  <c r="I103" i="3"/>
  <c r="H103" i="3"/>
  <c r="F103" i="3"/>
  <c r="C103" i="3"/>
  <c r="AC102" i="3"/>
  <c r="AD102" i="3" s="1"/>
  <c r="AA102" i="3"/>
  <c r="W102" i="3"/>
  <c r="X102" i="3" s="1"/>
  <c r="U102" i="3"/>
  <c r="R102" i="3"/>
  <c r="O102" i="3"/>
  <c r="N102" i="3"/>
  <c r="L102" i="3"/>
  <c r="I102" i="3"/>
  <c r="H102" i="3"/>
  <c r="F102" i="3"/>
  <c r="C102" i="3"/>
  <c r="AC101" i="3"/>
  <c r="AD101" i="3" s="1"/>
  <c r="AA101" i="3"/>
  <c r="W101" i="3"/>
  <c r="X101" i="3" s="1"/>
  <c r="U101" i="3"/>
  <c r="R101" i="3"/>
  <c r="N101" i="3"/>
  <c r="O101" i="3" s="1"/>
  <c r="L101" i="3"/>
  <c r="H101" i="3"/>
  <c r="I101" i="3" s="1"/>
  <c r="F101" i="3"/>
  <c r="C101" i="3"/>
  <c r="AD100" i="3"/>
  <c r="AC100" i="3"/>
  <c r="AA100" i="3"/>
  <c r="X100" i="3"/>
  <c r="W100" i="3"/>
  <c r="U100" i="3"/>
  <c r="R100" i="3"/>
  <c r="O100" i="3"/>
  <c r="N100" i="3"/>
  <c r="L100" i="3"/>
  <c r="H100" i="3"/>
  <c r="I100" i="3" s="1"/>
  <c r="F100" i="3"/>
  <c r="C100" i="3"/>
  <c r="AD99" i="3"/>
  <c r="AC99" i="3"/>
  <c r="AA99" i="3"/>
  <c r="W99" i="3"/>
  <c r="X99" i="3" s="1"/>
  <c r="U99" i="3"/>
  <c r="R99" i="3"/>
  <c r="N99" i="3"/>
  <c r="O99" i="3" s="1"/>
  <c r="L99" i="3"/>
  <c r="I99" i="3"/>
  <c r="H99" i="3"/>
  <c r="F99" i="3"/>
  <c r="C99" i="3"/>
  <c r="AC98" i="3"/>
  <c r="AD98" i="3" s="1"/>
  <c r="AA98" i="3"/>
  <c r="W98" i="3"/>
  <c r="X98" i="3" s="1"/>
  <c r="U98" i="3"/>
  <c r="R98" i="3"/>
  <c r="O98" i="3"/>
  <c r="N98" i="3"/>
  <c r="L98" i="3"/>
  <c r="I98" i="3"/>
  <c r="H98" i="3"/>
  <c r="F98" i="3"/>
  <c r="C98" i="3"/>
  <c r="AD97" i="3"/>
  <c r="AC97" i="3"/>
  <c r="AA97" i="3"/>
  <c r="W97" i="3"/>
  <c r="X97" i="3" s="1"/>
  <c r="U97" i="3"/>
  <c r="R97" i="3"/>
  <c r="N97" i="3"/>
  <c r="O97" i="3" s="1"/>
  <c r="L97" i="3"/>
  <c r="H97" i="3"/>
  <c r="I97" i="3" s="1"/>
  <c r="F97" i="3"/>
  <c r="C97" i="3"/>
  <c r="AD96" i="3"/>
  <c r="AC96" i="3"/>
  <c r="AA96" i="3"/>
  <c r="X96" i="3"/>
  <c r="W96" i="3"/>
  <c r="U96" i="3"/>
  <c r="R96" i="3"/>
  <c r="N96" i="3"/>
  <c r="O96" i="3" s="1"/>
  <c r="L96" i="3"/>
  <c r="H96" i="3"/>
  <c r="I96" i="3" s="1"/>
  <c r="F96" i="3"/>
  <c r="C96" i="3"/>
  <c r="AC95" i="3"/>
  <c r="AD95" i="3" s="1"/>
  <c r="AA95" i="3"/>
  <c r="W95" i="3"/>
  <c r="X95" i="3" s="1"/>
  <c r="U95" i="3"/>
  <c r="R95" i="3"/>
  <c r="N95" i="3"/>
  <c r="O95" i="3" s="1"/>
  <c r="L95" i="3"/>
  <c r="I95" i="3"/>
  <c r="H95" i="3"/>
  <c r="F95" i="3"/>
  <c r="C95" i="3"/>
  <c r="AC94" i="3"/>
  <c r="AD94" i="3" s="1"/>
  <c r="AA94" i="3"/>
  <c r="X94" i="3"/>
  <c r="W94" i="3"/>
  <c r="U94" i="3"/>
  <c r="R94" i="3"/>
  <c r="O94" i="3"/>
  <c r="N94" i="3"/>
  <c r="L94" i="3"/>
  <c r="H94" i="3"/>
  <c r="I94" i="3" s="1"/>
  <c r="F94" i="3"/>
  <c r="C94" i="3"/>
  <c r="AC92" i="3"/>
  <c r="AD92" i="3" s="1"/>
  <c r="AA92" i="3"/>
  <c r="W92" i="3"/>
  <c r="X92" i="3" s="1"/>
  <c r="U92" i="3"/>
  <c r="R92" i="3"/>
  <c r="N92" i="3"/>
  <c r="O92" i="3" s="1"/>
  <c r="L92" i="3"/>
  <c r="H92" i="3"/>
  <c r="I92" i="3" s="1"/>
  <c r="F92" i="3"/>
  <c r="C92" i="3"/>
  <c r="AD91" i="3"/>
  <c r="AC91" i="3"/>
  <c r="AA91" i="3"/>
  <c r="X91" i="3"/>
  <c r="W91" i="3"/>
  <c r="U91" i="3"/>
  <c r="R91" i="3"/>
  <c r="O91" i="3"/>
  <c r="N91" i="3"/>
  <c r="L91" i="3"/>
  <c r="I91" i="3"/>
  <c r="H91" i="3"/>
  <c r="F91" i="3"/>
  <c r="C91" i="3"/>
  <c r="AC90" i="3"/>
  <c r="AD90" i="3" s="1"/>
  <c r="AA90" i="3"/>
  <c r="W90" i="3"/>
  <c r="X90" i="3" s="1"/>
  <c r="U90" i="3"/>
  <c r="R90" i="3"/>
  <c r="N90" i="3"/>
  <c r="O90" i="3" s="1"/>
  <c r="L90" i="3"/>
  <c r="I90" i="3"/>
  <c r="H90" i="3"/>
  <c r="F90" i="3"/>
  <c r="C90" i="3"/>
  <c r="AC89" i="3"/>
  <c r="AD89" i="3" s="1"/>
  <c r="AA89" i="3"/>
  <c r="W89" i="3"/>
  <c r="X89" i="3" s="1"/>
  <c r="U89" i="3"/>
  <c r="R89" i="3"/>
  <c r="O89" i="3"/>
  <c r="N89" i="3"/>
  <c r="L89" i="3"/>
  <c r="I89" i="3"/>
  <c r="H89" i="3"/>
  <c r="F89" i="3"/>
  <c r="C89" i="3"/>
  <c r="Z88" i="3"/>
  <c r="AA88" i="3" s="1"/>
  <c r="X88" i="3"/>
  <c r="U88" i="3"/>
  <c r="T88" i="3"/>
  <c r="Q88" i="3"/>
  <c r="W88" i="3" s="1"/>
  <c r="K88" i="3"/>
  <c r="L88" i="3" s="1"/>
  <c r="F88" i="3"/>
  <c r="E88" i="3"/>
  <c r="B88" i="3"/>
  <c r="C88" i="3" s="1"/>
  <c r="AC87" i="3"/>
  <c r="AD87" i="3" s="1"/>
  <c r="AA87" i="3"/>
  <c r="W87" i="3"/>
  <c r="X87" i="3" s="1"/>
  <c r="U87" i="3"/>
  <c r="R87" i="3"/>
  <c r="N87" i="3"/>
  <c r="O87" i="3" s="1"/>
  <c r="L87" i="3"/>
  <c r="I87" i="3"/>
  <c r="H87" i="3"/>
  <c r="F87" i="3"/>
  <c r="C87" i="3"/>
  <c r="AC86" i="3"/>
  <c r="AD86" i="3" s="1"/>
  <c r="AA86" i="3"/>
  <c r="W86" i="3"/>
  <c r="X86" i="3" s="1"/>
  <c r="U86" i="3"/>
  <c r="R86" i="3"/>
  <c r="O86" i="3"/>
  <c r="N86" i="3"/>
  <c r="L86" i="3"/>
  <c r="I86" i="3"/>
  <c r="H86" i="3"/>
  <c r="F86" i="3"/>
  <c r="C86" i="3"/>
  <c r="AD85" i="3"/>
  <c r="AC85" i="3"/>
  <c r="AA85" i="3"/>
  <c r="W85" i="3"/>
  <c r="X85" i="3" s="1"/>
  <c r="U85" i="3"/>
  <c r="R85" i="3"/>
  <c r="N85" i="3"/>
  <c r="O85" i="3" s="1"/>
  <c r="L85" i="3"/>
  <c r="H85" i="3"/>
  <c r="I85" i="3" s="1"/>
  <c r="F85" i="3"/>
  <c r="C85" i="3"/>
  <c r="AD84" i="3"/>
  <c r="AC84" i="3"/>
  <c r="AA84" i="3"/>
  <c r="X84" i="3"/>
  <c r="W84" i="3"/>
  <c r="U84" i="3"/>
  <c r="R84" i="3"/>
  <c r="N84" i="3"/>
  <c r="O84" i="3" s="1"/>
  <c r="L84" i="3"/>
  <c r="H84" i="3"/>
  <c r="I84" i="3" s="1"/>
  <c r="F84" i="3"/>
  <c r="C84" i="3"/>
  <c r="AC83" i="3"/>
  <c r="AD83" i="3" s="1"/>
  <c r="AA83" i="3"/>
  <c r="W83" i="3"/>
  <c r="X83" i="3" s="1"/>
  <c r="U83" i="3"/>
  <c r="R83" i="3"/>
  <c r="N83" i="3"/>
  <c r="O83" i="3" s="1"/>
  <c r="L83" i="3"/>
  <c r="I83" i="3"/>
  <c r="H83" i="3"/>
  <c r="F83" i="3"/>
  <c r="C83" i="3"/>
  <c r="AC82" i="3"/>
  <c r="AD82" i="3" s="1"/>
  <c r="AA82" i="3"/>
  <c r="W82" i="3"/>
  <c r="X82" i="3" s="1"/>
  <c r="U82" i="3"/>
  <c r="R82" i="3"/>
  <c r="O82" i="3"/>
  <c r="N82" i="3"/>
  <c r="L82" i="3"/>
  <c r="H82" i="3"/>
  <c r="I82" i="3" s="1"/>
  <c r="F82" i="3"/>
  <c r="C82" i="3"/>
  <c r="AC81" i="3"/>
  <c r="AD81" i="3" s="1"/>
  <c r="AA81" i="3"/>
  <c r="W81" i="3"/>
  <c r="X81" i="3" s="1"/>
  <c r="U81" i="3"/>
  <c r="R81" i="3"/>
  <c r="N81" i="3"/>
  <c r="O81" i="3" s="1"/>
  <c r="L81" i="3"/>
  <c r="H81" i="3"/>
  <c r="I81" i="3" s="1"/>
  <c r="F81" i="3"/>
  <c r="C81" i="3"/>
  <c r="AD80" i="3"/>
  <c r="AC80" i="3"/>
  <c r="AA80" i="3"/>
  <c r="X80" i="3"/>
  <c r="W80" i="3"/>
  <c r="U80" i="3"/>
  <c r="R80" i="3"/>
  <c r="O80" i="3"/>
  <c r="N80" i="3"/>
  <c r="L80" i="3"/>
  <c r="H80" i="3"/>
  <c r="I80" i="3" s="1"/>
  <c r="F80" i="3"/>
  <c r="C80" i="3"/>
  <c r="AD79" i="3"/>
  <c r="AC79" i="3"/>
  <c r="AA79" i="3"/>
  <c r="W79" i="3"/>
  <c r="X79" i="3" s="1"/>
  <c r="U79" i="3"/>
  <c r="R79" i="3"/>
  <c r="N79" i="3"/>
  <c r="O79" i="3" s="1"/>
  <c r="L79" i="3"/>
  <c r="I79" i="3"/>
  <c r="H79" i="3"/>
  <c r="F79" i="3"/>
  <c r="C79" i="3"/>
  <c r="AC78" i="3"/>
  <c r="AA78" i="3"/>
  <c r="W78" i="3"/>
  <c r="X78" i="3" s="1"/>
  <c r="U78" i="3"/>
  <c r="R78" i="3"/>
  <c r="O78" i="3"/>
  <c r="N78" i="3"/>
  <c r="L78" i="3"/>
  <c r="I78" i="3"/>
  <c r="H78" i="3"/>
  <c r="F78" i="3"/>
  <c r="C78" i="3"/>
  <c r="AD77" i="3"/>
  <c r="AC77" i="3"/>
  <c r="AA77" i="3"/>
  <c r="W77" i="3"/>
  <c r="X77" i="3" s="1"/>
  <c r="U77" i="3"/>
  <c r="R77" i="3"/>
  <c r="N77" i="3"/>
  <c r="O77" i="3" s="1"/>
  <c r="L77" i="3"/>
  <c r="I77" i="3"/>
  <c r="H77" i="3"/>
  <c r="F77" i="3"/>
  <c r="C77" i="3"/>
  <c r="AD76" i="3"/>
  <c r="AC76" i="3"/>
  <c r="AA76" i="3"/>
  <c r="X76" i="3"/>
  <c r="W76" i="3"/>
  <c r="U76" i="3"/>
  <c r="R76" i="3"/>
  <c r="N76" i="3"/>
  <c r="O76" i="3" s="1"/>
  <c r="L76" i="3"/>
  <c r="H76" i="3"/>
  <c r="I76" i="3" s="1"/>
  <c r="F76" i="3"/>
  <c r="C76" i="3"/>
  <c r="AC75" i="3"/>
  <c r="AD75" i="3" s="1"/>
  <c r="AA75" i="3"/>
  <c r="W75" i="3"/>
  <c r="X75" i="3" s="1"/>
  <c r="U75" i="3"/>
  <c r="R75" i="3"/>
  <c r="N75" i="3"/>
  <c r="O75" i="3" s="1"/>
  <c r="L75" i="3"/>
  <c r="I75" i="3"/>
  <c r="H75" i="3"/>
  <c r="F75" i="3"/>
  <c r="C75" i="3"/>
  <c r="Z73" i="3"/>
  <c r="AA73" i="3" s="1"/>
  <c r="T73" i="3"/>
  <c r="U73" i="3" s="1"/>
  <c r="R73" i="3"/>
  <c r="Q73" i="3"/>
  <c r="N73" i="3"/>
  <c r="O73" i="3" s="1"/>
  <c r="L73" i="3"/>
  <c r="K73" i="3"/>
  <c r="F73" i="3"/>
  <c r="E73" i="3"/>
  <c r="B73" i="3"/>
  <c r="AD72" i="3"/>
  <c r="AC72" i="3"/>
  <c r="AA72" i="3"/>
  <c r="X72" i="3"/>
  <c r="W72" i="3"/>
  <c r="U72" i="3"/>
  <c r="R72" i="3"/>
  <c r="O72" i="3"/>
  <c r="N72" i="3"/>
  <c r="L72" i="3"/>
  <c r="H72" i="3"/>
  <c r="I72" i="3" s="1"/>
  <c r="F72" i="3"/>
  <c r="C72" i="3"/>
  <c r="AC71" i="3"/>
  <c r="AD71" i="3" s="1"/>
  <c r="AA71" i="3"/>
  <c r="W71" i="3"/>
  <c r="X71" i="3" s="1"/>
  <c r="U71" i="3"/>
  <c r="R71" i="3"/>
  <c r="N71" i="3"/>
  <c r="O71" i="3" s="1"/>
  <c r="L71" i="3"/>
  <c r="I71" i="3"/>
  <c r="H71" i="3"/>
  <c r="F71" i="3"/>
  <c r="C71" i="3"/>
  <c r="AC70" i="3"/>
  <c r="AA70" i="3"/>
  <c r="W70" i="3"/>
  <c r="X70" i="3" s="1"/>
  <c r="U70" i="3"/>
  <c r="R70" i="3"/>
  <c r="O70" i="3"/>
  <c r="N70" i="3"/>
  <c r="L70" i="3"/>
  <c r="H70" i="3"/>
  <c r="I70" i="3" s="1"/>
  <c r="F70" i="3"/>
  <c r="C70" i="3"/>
  <c r="AD69" i="3"/>
  <c r="AC69" i="3"/>
  <c r="AA69" i="3"/>
  <c r="W69" i="3"/>
  <c r="X69" i="3" s="1"/>
  <c r="U69" i="3"/>
  <c r="R69" i="3"/>
  <c r="N69" i="3"/>
  <c r="O69" i="3" s="1"/>
  <c r="L69" i="3"/>
  <c r="I69" i="3"/>
  <c r="H69" i="3"/>
  <c r="F69" i="3"/>
  <c r="C69" i="3"/>
  <c r="AD68" i="3"/>
  <c r="AC68" i="3"/>
  <c r="AA68" i="3"/>
  <c r="X68" i="3"/>
  <c r="W68" i="3"/>
  <c r="U68" i="3"/>
  <c r="R68" i="3"/>
  <c r="N68" i="3"/>
  <c r="O68" i="3" s="1"/>
  <c r="L68" i="3"/>
  <c r="I68" i="3"/>
  <c r="H68" i="3"/>
  <c r="F68" i="3"/>
  <c r="C68" i="3"/>
  <c r="AD67" i="3"/>
  <c r="AC67" i="3"/>
  <c r="AA67" i="3"/>
  <c r="W67" i="3"/>
  <c r="X67" i="3" s="1"/>
  <c r="U67" i="3"/>
  <c r="R67" i="3"/>
  <c r="N67" i="3"/>
  <c r="O67" i="3" s="1"/>
  <c r="L67" i="3"/>
  <c r="I67" i="3"/>
  <c r="H67" i="3"/>
  <c r="F67" i="3"/>
  <c r="C67" i="3"/>
  <c r="AC66" i="3"/>
  <c r="AA66" i="3"/>
  <c r="W66" i="3"/>
  <c r="X66" i="3" s="1"/>
  <c r="U66" i="3"/>
  <c r="R66" i="3"/>
  <c r="O66" i="3"/>
  <c r="N66" i="3"/>
  <c r="L66" i="3"/>
  <c r="H66" i="3"/>
  <c r="I66" i="3" s="1"/>
  <c r="F66" i="3"/>
  <c r="C66" i="3"/>
  <c r="AC65" i="3"/>
  <c r="AD65" i="3" s="1"/>
  <c r="AA65" i="3"/>
  <c r="W65" i="3"/>
  <c r="X65" i="3" s="1"/>
  <c r="U65" i="3"/>
  <c r="R65" i="3"/>
  <c r="N65" i="3"/>
  <c r="O65" i="3" s="1"/>
  <c r="L65" i="3"/>
  <c r="I65" i="3"/>
  <c r="H65" i="3"/>
  <c r="F65" i="3"/>
  <c r="C65" i="3"/>
  <c r="AD64" i="3"/>
  <c r="AC64" i="3"/>
  <c r="AA64" i="3"/>
  <c r="X64" i="3"/>
  <c r="W64" i="3"/>
  <c r="U64" i="3"/>
  <c r="R64" i="3"/>
  <c r="O64" i="3"/>
  <c r="N64" i="3"/>
  <c r="L64" i="3"/>
  <c r="I64" i="3"/>
  <c r="H64" i="3"/>
  <c r="F64" i="3"/>
  <c r="C64" i="3"/>
  <c r="AA62" i="3"/>
  <c r="Z62" i="3"/>
  <c r="U62" i="3"/>
  <c r="T62" i="3"/>
  <c r="Q62" i="3"/>
  <c r="W62" i="3" s="1"/>
  <c r="X62" i="3" s="1"/>
  <c r="L62" i="3"/>
  <c r="K62" i="3"/>
  <c r="F62" i="3"/>
  <c r="E62" i="3"/>
  <c r="C62" i="3"/>
  <c r="B62" i="3"/>
  <c r="H62" i="3" s="1"/>
  <c r="I62" i="3" s="1"/>
  <c r="Z61" i="3"/>
  <c r="AA61" i="3" s="1"/>
  <c r="X61" i="3"/>
  <c r="U61" i="3"/>
  <c r="T61" i="3"/>
  <c r="Q61" i="3"/>
  <c r="W61" i="3" s="1"/>
  <c r="K61" i="3"/>
  <c r="L61" i="3" s="1"/>
  <c r="F61" i="3"/>
  <c r="E61" i="3"/>
  <c r="B61" i="3"/>
  <c r="C61" i="3" s="1"/>
  <c r="AC60" i="3"/>
  <c r="AD60" i="3" s="1"/>
  <c r="AA60" i="3"/>
  <c r="W60" i="3"/>
  <c r="X60" i="3" s="1"/>
  <c r="U60" i="3"/>
  <c r="R60" i="3"/>
  <c r="N60" i="3"/>
  <c r="O60" i="3" s="1"/>
  <c r="L60" i="3"/>
  <c r="I60" i="3"/>
  <c r="H60" i="3"/>
  <c r="F60" i="3"/>
  <c r="C60" i="3"/>
  <c r="AC59" i="3"/>
  <c r="AD59" i="3" s="1"/>
  <c r="AA59" i="3"/>
  <c r="W59" i="3"/>
  <c r="X59" i="3" s="1"/>
  <c r="U59" i="3"/>
  <c r="R59" i="3"/>
  <c r="O59" i="3"/>
  <c r="N59" i="3"/>
  <c r="L59" i="3"/>
  <c r="I59" i="3"/>
  <c r="H59" i="3"/>
  <c r="F59" i="3"/>
  <c r="C59" i="3"/>
  <c r="AD58" i="3"/>
  <c r="AC58" i="3"/>
  <c r="AA58" i="3"/>
  <c r="W58" i="3"/>
  <c r="X58" i="3" s="1"/>
  <c r="U58" i="3"/>
  <c r="R58" i="3"/>
  <c r="N58" i="3"/>
  <c r="O58" i="3" s="1"/>
  <c r="L58" i="3"/>
  <c r="H58" i="3"/>
  <c r="I58" i="3" s="1"/>
  <c r="F58" i="3"/>
  <c r="C58" i="3"/>
  <c r="AD57" i="3"/>
  <c r="AC57" i="3"/>
  <c r="AA57" i="3"/>
  <c r="X57" i="3"/>
  <c r="W57" i="3"/>
  <c r="U57" i="3"/>
  <c r="R57" i="3"/>
  <c r="N57" i="3"/>
  <c r="O57" i="3" s="1"/>
  <c r="L57" i="3"/>
  <c r="H57" i="3"/>
  <c r="I57" i="3" s="1"/>
  <c r="F57" i="3"/>
  <c r="C57" i="3"/>
  <c r="AC56" i="3"/>
  <c r="AD56" i="3" s="1"/>
  <c r="AA56" i="3"/>
  <c r="W56" i="3"/>
  <c r="X56" i="3" s="1"/>
  <c r="U56" i="3"/>
  <c r="R56" i="3"/>
  <c r="N56" i="3"/>
  <c r="O56" i="3" s="1"/>
  <c r="L56" i="3"/>
  <c r="I56" i="3"/>
  <c r="H56" i="3"/>
  <c r="F56" i="3"/>
  <c r="C56" i="3"/>
  <c r="AC55" i="3"/>
  <c r="AD55" i="3" s="1"/>
  <c r="AA55" i="3"/>
  <c r="W55" i="3"/>
  <c r="X55" i="3" s="1"/>
  <c r="U55" i="3"/>
  <c r="R55" i="3"/>
  <c r="O55" i="3"/>
  <c r="N55" i="3"/>
  <c r="L55" i="3"/>
  <c r="H55" i="3"/>
  <c r="I55" i="3" s="1"/>
  <c r="F55" i="3"/>
  <c r="C55" i="3"/>
  <c r="AD54" i="3"/>
  <c r="AC54" i="3"/>
  <c r="AA54" i="3"/>
  <c r="W54" i="3"/>
  <c r="X54" i="3" s="1"/>
  <c r="U54" i="3"/>
  <c r="R54" i="3"/>
  <c r="N54" i="3"/>
  <c r="O54" i="3" s="1"/>
  <c r="L54" i="3"/>
  <c r="H54" i="3"/>
  <c r="I54" i="3" s="1"/>
  <c r="F54" i="3"/>
  <c r="C54" i="3"/>
  <c r="AD53" i="3"/>
  <c r="AC53" i="3"/>
  <c r="AA53" i="3"/>
  <c r="X53" i="3"/>
  <c r="W53" i="3"/>
  <c r="U53" i="3"/>
  <c r="R53" i="3"/>
  <c r="O53" i="3"/>
  <c r="N53" i="3"/>
  <c r="L53" i="3"/>
  <c r="H53" i="3"/>
  <c r="I53" i="3" s="1"/>
  <c r="F53" i="3"/>
  <c r="C53" i="3"/>
  <c r="AD52" i="3"/>
  <c r="AC52" i="3"/>
  <c r="AA52" i="3"/>
  <c r="W52" i="3"/>
  <c r="X52" i="3" s="1"/>
  <c r="U52" i="3"/>
  <c r="R52" i="3"/>
  <c r="N52" i="3"/>
  <c r="O52" i="3" s="1"/>
  <c r="L52" i="3"/>
  <c r="I52" i="3"/>
  <c r="H52" i="3"/>
  <c r="F52" i="3"/>
  <c r="C52" i="3"/>
  <c r="AC51" i="3"/>
  <c r="AA51" i="3"/>
  <c r="W51" i="3"/>
  <c r="X51" i="3" s="1"/>
  <c r="U51" i="3"/>
  <c r="R51" i="3"/>
  <c r="O51" i="3"/>
  <c r="N51" i="3"/>
  <c r="L51" i="3"/>
  <c r="I51" i="3"/>
  <c r="H51" i="3"/>
  <c r="F51" i="3"/>
  <c r="C51" i="3"/>
  <c r="AD50" i="3"/>
  <c r="AC50" i="3"/>
  <c r="AA50" i="3"/>
  <c r="W50" i="3"/>
  <c r="X50" i="3" s="1"/>
  <c r="U50" i="3"/>
  <c r="R50" i="3"/>
  <c r="N50" i="3"/>
  <c r="O50" i="3" s="1"/>
  <c r="L50" i="3"/>
  <c r="I50" i="3"/>
  <c r="H50" i="3"/>
  <c r="F50" i="3"/>
  <c r="C50" i="3"/>
  <c r="AD49" i="3"/>
  <c r="AC49" i="3"/>
  <c r="AA49" i="3"/>
  <c r="X49" i="3"/>
  <c r="W49" i="3"/>
  <c r="U49" i="3"/>
  <c r="R49" i="3"/>
  <c r="N49" i="3"/>
  <c r="O49" i="3" s="1"/>
  <c r="L49" i="3"/>
  <c r="H49" i="3"/>
  <c r="I49" i="3" s="1"/>
  <c r="F49" i="3"/>
  <c r="C49" i="3"/>
  <c r="AC48" i="3"/>
  <c r="AD48" i="3" s="1"/>
  <c r="AA48" i="3"/>
  <c r="W48" i="3"/>
  <c r="X48" i="3" s="1"/>
  <c r="U48" i="3"/>
  <c r="R48" i="3"/>
  <c r="N48" i="3"/>
  <c r="O48" i="3" s="1"/>
  <c r="L48" i="3"/>
  <c r="I48" i="3"/>
  <c r="H48" i="3"/>
  <c r="F48" i="3"/>
  <c r="C48" i="3"/>
  <c r="AC47" i="3"/>
  <c r="AA47" i="3"/>
  <c r="X47" i="3"/>
  <c r="W47" i="3"/>
  <c r="U47" i="3"/>
  <c r="R47" i="3"/>
  <c r="O47" i="3"/>
  <c r="N47" i="3"/>
  <c r="L47" i="3"/>
  <c r="I47" i="3"/>
  <c r="H47" i="3"/>
  <c r="F47" i="3"/>
  <c r="C47" i="3"/>
  <c r="AC46" i="3"/>
  <c r="AD46" i="3" s="1"/>
  <c r="AA46" i="3"/>
  <c r="W46" i="3"/>
  <c r="X46" i="3" s="1"/>
  <c r="U46" i="3"/>
  <c r="R46" i="3"/>
  <c r="N46" i="3"/>
  <c r="O46" i="3" s="1"/>
  <c r="L46" i="3"/>
  <c r="I46" i="3"/>
  <c r="H46" i="3"/>
  <c r="F46" i="3"/>
  <c r="C46" i="3"/>
  <c r="AD44" i="3"/>
  <c r="AC44" i="3"/>
  <c r="AA44" i="3"/>
  <c r="X44" i="3"/>
  <c r="W44" i="3"/>
  <c r="U44" i="3"/>
  <c r="R44" i="3"/>
  <c r="O44" i="3"/>
  <c r="N44" i="3"/>
  <c r="L44" i="3"/>
  <c r="H44" i="3"/>
  <c r="I44" i="3" s="1"/>
  <c r="F44" i="3"/>
  <c r="C44" i="3"/>
  <c r="AC43" i="3"/>
  <c r="AD43" i="3" s="1"/>
  <c r="AA43" i="3"/>
  <c r="W43" i="3"/>
  <c r="X43" i="3" s="1"/>
  <c r="U43" i="3"/>
  <c r="R43" i="3"/>
  <c r="N43" i="3"/>
  <c r="O43" i="3" s="1"/>
  <c r="L43" i="3"/>
  <c r="I43" i="3"/>
  <c r="H43" i="3"/>
  <c r="F43" i="3"/>
  <c r="C43" i="3"/>
  <c r="AC42" i="3"/>
  <c r="AA42" i="3"/>
  <c r="X42" i="3"/>
  <c r="W42" i="3"/>
  <c r="U42" i="3"/>
  <c r="R42" i="3"/>
  <c r="O42" i="3"/>
  <c r="N42" i="3"/>
  <c r="L42" i="3"/>
  <c r="H42" i="3"/>
  <c r="I42" i="3" s="1"/>
  <c r="F42" i="3"/>
  <c r="C42" i="3"/>
  <c r="AA40" i="3"/>
  <c r="Z40" i="3"/>
  <c r="U40" i="3"/>
  <c r="T40" i="3"/>
  <c r="R40" i="3"/>
  <c r="Q40" i="3"/>
  <c r="W40" i="3" s="1"/>
  <c r="X40" i="3" s="1"/>
  <c r="L40" i="3"/>
  <c r="K40" i="3"/>
  <c r="E40" i="3"/>
  <c r="F40" i="3" s="1"/>
  <c r="B40" i="3"/>
  <c r="C40" i="3" s="1"/>
  <c r="AC39" i="3"/>
  <c r="AD39" i="3" s="1"/>
  <c r="AA39" i="3"/>
  <c r="W39" i="3"/>
  <c r="X39" i="3" s="1"/>
  <c r="U39" i="3"/>
  <c r="R39" i="3"/>
  <c r="N39" i="3"/>
  <c r="O39" i="3" s="1"/>
  <c r="L39" i="3"/>
  <c r="I39" i="3"/>
  <c r="H39" i="3"/>
  <c r="F39" i="3"/>
  <c r="C39" i="3"/>
  <c r="AC38" i="3"/>
  <c r="AA38" i="3"/>
  <c r="X38" i="3"/>
  <c r="W38" i="3"/>
  <c r="U38" i="3"/>
  <c r="R38" i="3"/>
  <c r="O38" i="3"/>
  <c r="N38" i="3"/>
  <c r="L38" i="3"/>
  <c r="H38" i="3"/>
  <c r="I38" i="3" s="1"/>
  <c r="F38" i="3"/>
  <c r="C38" i="3"/>
  <c r="AD37" i="3"/>
  <c r="AC37" i="3"/>
  <c r="AA37" i="3"/>
  <c r="W37" i="3"/>
  <c r="X37" i="3" s="1"/>
  <c r="U37" i="3"/>
  <c r="R37" i="3"/>
  <c r="N37" i="3"/>
  <c r="O37" i="3" s="1"/>
  <c r="L37" i="3"/>
  <c r="I37" i="3"/>
  <c r="H37" i="3"/>
  <c r="F37" i="3"/>
  <c r="C37" i="3"/>
  <c r="AD36" i="3"/>
  <c r="AC36" i="3"/>
  <c r="AA36" i="3"/>
  <c r="X36" i="3"/>
  <c r="W36" i="3"/>
  <c r="U36" i="3"/>
  <c r="R36" i="3"/>
  <c r="N36" i="3"/>
  <c r="O36" i="3" s="1"/>
  <c r="L36" i="3"/>
  <c r="H36" i="3"/>
  <c r="I36" i="3" s="1"/>
  <c r="F36" i="3"/>
  <c r="C36" i="3"/>
  <c r="AC35" i="3"/>
  <c r="AD35" i="3" s="1"/>
  <c r="AA35" i="3"/>
  <c r="W35" i="3"/>
  <c r="X35" i="3" s="1"/>
  <c r="U35" i="3"/>
  <c r="R35" i="3"/>
  <c r="N35" i="3"/>
  <c r="O35" i="3" s="1"/>
  <c r="L35" i="3"/>
  <c r="I35" i="3"/>
  <c r="H35" i="3"/>
  <c r="F35" i="3"/>
  <c r="C35" i="3"/>
  <c r="AC34" i="3"/>
  <c r="AA34" i="3"/>
  <c r="X34" i="3"/>
  <c r="W34" i="3"/>
  <c r="U34" i="3"/>
  <c r="R34" i="3"/>
  <c r="O34" i="3"/>
  <c r="N34" i="3"/>
  <c r="L34" i="3"/>
  <c r="I34" i="3"/>
  <c r="H34" i="3"/>
  <c r="F34" i="3"/>
  <c r="C34" i="3"/>
  <c r="AC33" i="3"/>
  <c r="AD33" i="3" s="1"/>
  <c r="AA33" i="3"/>
  <c r="W33" i="3"/>
  <c r="X33" i="3" s="1"/>
  <c r="U33" i="3"/>
  <c r="R33" i="3"/>
  <c r="N33" i="3"/>
  <c r="O33" i="3" s="1"/>
  <c r="L33" i="3"/>
  <c r="H33" i="3"/>
  <c r="I33" i="3" s="1"/>
  <c r="F33" i="3"/>
  <c r="C33" i="3"/>
  <c r="AD32" i="3"/>
  <c r="AC32" i="3"/>
  <c r="AA32" i="3"/>
  <c r="X32" i="3"/>
  <c r="W32" i="3"/>
  <c r="U32" i="3"/>
  <c r="R32" i="3"/>
  <c r="O32" i="3"/>
  <c r="N32" i="3"/>
  <c r="L32" i="3"/>
  <c r="I32" i="3"/>
  <c r="H32" i="3"/>
  <c r="F32" i="3"/>
  <c r="C32" i="3"/>
  <c r="AD31" i="3"/>
  <c r="AC31" i="3"/>
  <c r="AA31" i="3"/>
  <c r="W31" i="3"/>
  <c r="X31" i="3" s="1"/>
  <c r="U31" i="3"/>
  <c r="R31" i="3"/>
  <c r="N31" i="3"/>
  <c r="O31" i="3" s="1"/>
  <c r="L31" i="3"/>
  <c r="I31" i="3"/>
  <c r="H31" i="3"/>
  <c r="F31" i="3"/>
  <c r="C31" i="3"/>
  <c r="AA29" i="3"/>
  <c r="Z29" i="3"/>
  <c r="T29" i="3"/>
  <c r="U29" i="3" s="1"/>
  <c r="Q29" i="3"/>
  <c r="R29" i="3" s="1"/>
  <c r="N29" i="3"/>
  <c r="O29" i="3" s="1"/>
  <c r="L29" i="3"/>
  <c r="K29" i="3"/>
  <c r="H29" i="3"/>
  <c r="I29" i="3" s="1"/>
  <c r="E29" i="3"/>
  <c r="F29" i="3" s="1"/>
  <c r="C29" i="3"/>
  <c r="B29" i="3"/>
  <c r="AD28" i="3"/>
  <c r="AC28" i="3"/>
  <c r="AA28" i="3"/>
  <c r="X28" i="3"/>
  <c r="W28" i="3"/>
  <c r="U28" i="3"/>
  <c r="R28" i="3"/>
  <c r="N28" i="3"/>
  <c r="O28" i="3" s="1"/>
  <c r="L28" i="3"/>
  <c r="I28" i="3"/>
  <c r="H28" i="3"/>
  <c r="F28" i="3"/>
  <c r="C28" i="3"/>
  <c r="AD27" i="3"/>
  <c r="AC27" i="3"/>
  <c r="AA27" i="3"/>
  <c r="W27" i="3"/>
  <c r="X27" i="3" s="1"/>
  <c r="U27" i="3"/>
  <c r="R27" i="3"/>
  <c r="N27" i="3"/>
  <c r="O27" i="3" s="1"/>
  <c r="L27" i="3"/>
  <c r="I27" i="3"/>
  <c r="H27" i="3"/>
  <c r="F27" i="3"/>
  <c r="C27" i="3"/>
  <c r="AC26" i="3"/>
  <c r="AD26" i="3" s="1"/>
  <c r="AA26" i="3"/>
  <c r="W26" i="3"/>
  <c r="X26" i="3" s="1"/>
  <c r="U26" i="3"/>
  <c r="R26" i="3"/>
  <c r="O26" i="3"/>
  <c r="N26" i="3"/>
  <c r="L26" i="3"/>
  <c r="H26" i="3"/>
  <c r="I26" i="3" s="1"/>
  <c r="F26" i="3"/>
  <c r="C26" i="3"/>
  <c r="AC25" i="3"/>
  <c r="AD25" i="3" s="1"/>
  <c r="AA25" i="3"/>
  <c r="W25" i="3"/>
  <c r="X25" i="3" s="1"/>
  <c r="U25" i="3"/>
  <c r="R25" i="3"/>
  <c r="N25" i="3"/>
  <c r="O25" i="3" s="1"/>
  <c r="L25" i="3"/>
  <c r="H25" i="3"/>
  <c r="I25" i="3" s="1"/>
  <c r="F25" i="3"/>
  <c r="C25" i="3"/>
  <c r="AD24" i="3"/>
  <c r="AC24" i="3"/>
  <c r="AA24" i="3"/>
  <c r="X24" i="3"/>
  <c r="W24" i="3"/>
  <c r="U24" i="3"/>
  <c r="R24" i="3"/>
  <c r="O24" i="3"/>
  <c r="N24" i="3"/>
  <c r="L24" i="3"/>
  <c r="H24" i="3"/>
  <c r="I24" i="3" s="1"/>
  <c r="F24" i="3"/>
  <c r="C24" i="3"/>
  <c r="AC23" i="3"/>
  <c r="AD23" i="3" s="1"/>
  <c r="AA23" i="3"/>
  <c r="W23" i="3"/>
  <c r="X23" i="3" s="1"/>
  <c r="U23" i="3"/>
  <c r="R23" i="3"/>
  <c r="N23" i="3"/>
  <c r="O23" i="3" s="1"/>
  <c r="L23" i="3"/>
  <c r="I23" i="3"/>
  <c r="H23" i="3"/>
  <c r="F23" i="3"/>
  <c r="C23" i="3"/>
  <c r="AC22" i="3"/>
  <c r="AD22" i="3" s="1"/>
  <c r="AA22" i="3"/>
  <c r="X22" i="3"/>
  <c r="W22" i="3"/>
  <c r="U22" i="3"/>
  <c r="R22" i="3"/>
  <c r="O22" i="3"/>
  <c r="N22" i="3"/>
  <c r="L22" i="3"/>
  <c r="I22" i="3"/>
  <c r="H22" i="3"/>
  <c r="F22" i="3"/>
  <c r="C22" i="3"/>
  <c r="AD21" i="3"/>
  <c r="AC21" i="3"/>
  <c r="AA21" i="3"/>
  <c r="W21" i="3"/>
  <c r="X21" i="3" s="1"/>
  <c r="U21" i="3"/>
  <c r="R21" i="3"/>
  <c r="N21" i="3"/>
  <c r="O21" i="3" s="1"/>
  <c r="L21" i="3"/>
  <c r="I21" i="3"/>
  <c r="H21" i="3"/>
  <c r="F21" i="3"/>
  <c r="C21" i="3"/>
  <c r="AD19" i="3"/>
  <c r="AC19" i="3"/>
  <c r="AA19" i="3"/>
  <c r="X19" i="3"/>
  <c r="W19" i="3"/>
  <c r="U19" i="3"/>
  <c r="R19" i="3"/>
  <c r="N19" i="3"/>
  <c r="O19" i="3" s="1"/>
  <c r="L19" i="3"/>
  <c r="H19" i="3"/>
  <c r="I19" i="3" s="1"/>
  <c r="F19" i="3"/>
  <c r="C19" i="3"/>
  <c r="AC18" i="3"/>
  <c r="AD18" i="3" s="1"/>
  <c r="AA18" i="3"/>
  <c r="Z18" i="3"/>
  <c r="W18" i="3"/>
  <c r="X18" i="3" s="1"/>
  <c r="T18" i="3"/>
  <c r="U18" i="3" s="1"/>
  <c r="R18" i="3"/>
  <c r="Q18" i="3"/>
  <c r="L18" i="3"/>
  <c r="K18" i="3"/>
  <c r="E18" i="3"/>
  <c r="F18" i="3" s="1"/>
  <c r="C18" i="3"/>
  <c r="B18" i="3"/>
  <c r="AC17" i="3"/>
  <c r="AD17" i="3" s="1"/>
  <c r="AA17" i="3"/>
  <c r="W17" i="3"/>
  <c r="X17" i="3" s="1"/>
  <c r="U17" i="3"/>
  <c r="R17" i="3"/>
  <c r="N17" i="3"/>
  <c r="O17" i="3" s="1"/>
  <c r="L17" i="3"/>
  <c r="H17" i="3"/>
  <c r="I17" i="3" s="1"/>
  <c r="F17" i="3"/>
  <c r="C17" i="3"/>
  <c r="AD16" i="3"/>
  <c r="AC16" i="3"/>
  <c r="AA16" i="3"/>
  <c r="X16" i="3"/>
  <c r="W16" i="3"/>
  <c r="U16" i="3"/>
  <c r="R16" i="3"/>
  <c r="N16" i="3"/>
  <c r="O16" i="3" s="1"/>
  <c r="L16" i="3"/>
  <c r="H16" i="3"/>
  <c r="I16" i="3" s="1"/>
  <c r="F16" i="3"/>
  <c r="C16" i="3"/>
  <c r="AC15" i="3"/>
  <c r="AD15" i="3" s="1"/>
  <c r="AA15" i="3"/>
  <c r="W15" i="3"/>
  <c r="X15" i="3" s="1"/>
  <c r="U15" i="3"/>
  <c r="R15" i="3"/>
  <c r="N15" i="3"/>
  <c r="O15" i="3" s="1"/>
  <c r="L15" i="3"/>
  <c r="I15" i="3"/>
  <c r="H15" i="3"/>
  <c r="F15" i="3"/>
  <c r="C15" i="3"/>
  <c r="AC14" i="3"/>
  <c r="AD14" i="3" s="1"/>
  <c r="AA14" i="3"/>
  <c r="X14" i="3"/>
  <c r="W14" i="3"/>
  <c r="U14" i="3"/>
  <c r="R14" i="3"/>
  <c r="O14" i="3"/>
  <c r="N14" i="3"/>
  <c r="L14" i="3"/>
  <c r="I14" i="3"/>
  <c r="H14" i="3"/>
  <c r="F14" i="3"/>
  <c r="C14" i="3"/>
  <c r="AD13" i="3"/>
  <c r="AC13" i="3"/>
  <c r="AA13" i="3"/>
  <c r="W13" i="3"/>
  <c r="X13" i="3" s="1"/>
  <c r="U13" i="3"/>
  <c r="R13" i="3"/>
  <c r="N13" i="3"/>
  <c r="O13" i="3" s="1"/>
  <c r="L13" i="3"/>
  <c r="H13" i="3"/>
  <c r="I13" i="3" s="1"/>
  <c r="F13" i="3"/>
  <c r="C13" i="3"/>
  <c r="AD12" i="3"/>
  <c r="AC12" i="3"/>
  <c r="AA12" i="3"/>
  <c r="X12" i="3"/>
  <c r="W12" i="3"/>
  <c r="U12" i="3"/>
  <c r="R12" i="3"/>
  <c r="N12" i="3"/>
  <c r="O12" i="3" s="1"/>
  <c r="L12" i="3"/>
  <c r="I12" i="3"/>
  <c r="H12" i="3"/>
  <c r="F12" i="3"/>
  <c r="C12" i="3"/>
  <c r="AD11" i="3"/>
  <c r="AC11" i="3"/>
  <c r="AA11" i="3"/>
  <c r="W11" i="3"/>
  <c r="X11" i="3" s="1"/>
  <c r="U11" i="3"/>
  <c r="R11" i="3"/>
  <c r="N11" i="3"/>
  <c r="O11" i="3" s="1"/>
  <c r="L11" i="3"/>
  <c r="I11" i="3"/>
  <c r="H11" i="3"/>
  <c r="F11" i="3"/>
  <c r="C11" i="3"/>
  <c r="AC10" i="3"/>
  <c r="AA10" i="3"/>
  <c r="W10" i="3"/>
  <c r="X10" i="3" s="1"/>
  <c r="U10" i="3"/>
  <c r="R10" i="3"/>
  <c r="O10" i="3"/>
  <c r="N10" i="3"/>
  <c r="L10" i="3"/>
  <c r="H10" i="3"/>
  <c r="I10" i="3" s="1"/>
  <c r="F10" i="3"/>
  <c r="C10" i="3"/>
  <c r="AC8" i="3"/>
  <c r="AD8" i="3" s="1"/>
  <c r="AA8" i="3"/>
  <c r="W8" i="3"/>
  <c r="X8" i="3" s="1"/>
  <c r="U8" i="3"/>
  <c r="R8" i="3"/>
  <c r="N8" i="3"/>
  <c r="O8" i="3" s="1"/>
  <c r="L8" i="3"/>
  <c r="I8" i="3"/>
  <c r="H8" i="3"/>
  <c r="F8" i="3"/>
  <c r="C8" i="3"/>
  <c r="AC444" i="2"/>
  <c r="AD424" i="2" s="1"/>
  <c r="W444" i="2"/>
  <c r="N444" i="2"/>
  <c r="O438" i="2" s="1"/>
  <c r="H444" i="2"/>
  <c r="I435" i="2" s="1"/>
  <c r="Z442" i="2"/>
  <c r="AA442" i="2" s="1"/>
  <c r="U442" i="2"/>
  <c r="T442" i="2"/>
  <c r="R442" i="2"/>
  <c r="Q442" i="2"/>
  <c r="W442" i="2" s="1"/>
  <c r="X442" i="2" s="1"/>
  <c r="K442" i="2"/>
  <c r="L442" i="2" s="1"/>
  <c r="H442" i="2"/>
  <c r="I442" i="2" s="1"/>
  <c r="F442" i="2"/>
  <c r="E442" i="2"/>
  <c r="C442" i="2"/>
  <c r="B442" i="2"/>
  <c r="N442" i="2" s="1"/>
  <c r="O442" i="2" s="1"/>
  <c r="Z441" i="2"/>
  <c r="AA441" i="2" s="1"/>
  <c r="U441" i="2"/>
  <c r="T441" i="2"/>
  <c r="Q441" i="2"/>
  <c r="R441" i="2" s="1"/>
  <c r="L441" i="2"/>
  <c r="K441" i="2"/>
  <c r="E441" i="2"/>
  <c r="F441" i="2" s="1"/>
  <c r="B441" i="2"/>
  <c r="AD440" i="2"/>
  <c r="AC440" i="2"/>
  <c r="AA440" i="2"/>
  <c r="X440" i="2"/>
  <c r="W440" i="2"/>
  <c r="U440" i="2"/>
  <c r="R440" i="2"/>
  <c r="O440" i="2"/>
  <c r="N440" i="2"/>
  <c r="L440" i="2"/>
  <c r="I440" i="2"/>
  <c r="H440" i="2"/>
  <c r="F440" i="2"/>
  <c r="C440" i="2"/>
  <c r="AC439" i="2"/>
  <c r="AD439" i="2" s="1"/>
  <c r="AA439" i="2"/>
  <c r="W439" i="2"/>
  <c r="X439" i="2" s="1"/>
  <c r="U439" i="2"/>
  <c r="R439" i="2"/>
  <c r="N439" i="2"/>
  <c r="O439" i="2" s="1"/>
  <c r="L439" i="2"/>
  <c r="I439" i="2"/>
  <c r="H439" i="2"/>
  <c r="F439" i="2"/>
  <c r="C439" i="2"/>
  <c r="AC438" i="2"/>
  <c r="AD438" i="2" s="1"/>
  <c r="AA438" i="2"/>
  <c r="X438" i="2"/>
  <c r="W438" i="2"/>
  <c r="U438" i="2"/>
  <c r="R438" i="2"/>
  <c r="N438" i="2"/>
  <c r="L438" i="2"/>
  <c r="H438" i="2"/>
  <c r="I438" i="2" s="1"/>
  <c r="F438" i="2"/>
  <c r="C438" i="2"/>
  <c r="AD437" i="2"/>
  <c r="AC437" i="2"/>
  <c r="AA437" i="2"/>
  <c r="W437" i="2"/>
  <c r="X437" i="2" s="1"/>
  <c r="U437" i="2"/>
  <c r="R437" i="2"/>
  <c r="N437" i="2"/>
  <c r="L437" i="2"/>
  <c r="H437" i="2"/>
  <c r="I437" i="2" s="1"/>
  <c r="F437" i="2"/>
  <c r="C437" i="2"/>
  <c r="AD436" i="2"/>
  <c r="AC436" i="2"/>
  <c r="AA436" i="2"/>
  <c r="X436" i="2"/>
  <c r="W436" i="2"/>
  <c r="U436" i="2"/>
  <c r="R436" i="2"/>
  <c r="N436" i="2"/>
  <c r="O436" i="2" s="1"/>
  <c r="L436" i="2"/>
  <c r="I436" i="2"/>
  <c r="H436" i="2"/>
  <c r="F436" i="2"/>
  <c r="C436" i="2"/>
  <c r="AD435" i="2"/>
  <c r="AC435" i="2"/>
  <c r="AA435" i="2"/>
  <c r="W435" i="2"/>
  <c r="X435" i="2" s="1"/>
  <c r="U435" i="2"/>
  <c r="R435" i="2"/>
  <c r="N435" i="2"/>
  <c r="O435" i="2" s="1"/>
  <c r="L435" i="2"/>
  <c r="H435" i="2"/>
  <c r="F435" i="2"/>
  <c r="C435" i="2"/>
  <c r="AC434" i="2"/>
  <c r="AD434" i="2" s="1"/>
  <c r="AA434" i="2"/>
  <c r="X434" i="2"/>
  <c r="W434" i="2"/>
  <c r="U434" i="2"/>
  <c r="R434" i="2"/>
  <c r="O434" i="2"/>
  <c r="N434" i="2"/>
  <c r="L434" i="2"/>
  <c r="H434" i="2"/>
  <c r="I434" i="2" s="1"/>
  <c r="F434" i="2"/>
  <c r="C434" i="2"/>
  <c r="AC433" i="2"/>
  <c r="AD433" i="2" s="1"/>
  <c r="AA433" i="2"/>
  <c r="W433" i="2"/>
  <c r="X433" i="2" s="1"/>
  <c r="U433" i="2"/>
  <c r="R433" i="2"/>
  <c r="N433" i="2"/>
  <c r="O433" i="2" s="1"/>
  <c r="L433" i="2"/>
  <c r="H433" i="2"/>
  <c r="F433" i="2"/>
  <c r="C433" i="2"/>
  <c r="AD432" i="2"/>
  <c r="AC432" i="2"/>
  <c r="AA432" i="2"/>
  <c r="X432" i="2"/>
  <c r="W432" i="2"/>
  <c r="U432" i="2"/>
  <c r="R432" i="2"/>
  <c r="N432" i="2"/>
  <c r="O432" i="2" s="1"/>
  <c r="L432" i="2"/>
  <c r="H432" i="2"/>
  <c r="I432" i="2" s="1"/>
  <c r="F432" i="2"/>
  <c r="C432" i="2"/>
  <c r="AC429" i="2"/>
  <c r="AD429" i="2" s="1"/>
  <c r="AA429" i="2"/>
  <c r="Z429" i="2"/>
  <c r="W429" i="2"/>
  <c r="X429" i="2" s="1"/>
  <c r="T429" i="2"/>
  <c r="U429" i="2" s="1"/>
  <c r="Q429" i="2"/>
  <c r="R429" i="2" s="1"/>
  <c r="L429" i="2"/>
  <c r="K429" i="2"/>
  <c r="F429" i="2"/>
  <c r="E429" i="2"/>
  <c r="C429" i="2"/>
  <c r="B429" i="2"/>
  <c r="Z428" i="2"/>
  <c r="AA428" i="2" s="1"/>
  <c r="U428" i="2"/>
  <c r="T428" i="2"/>
  <c r="Q428" i="2"/>
  <c r="L428" i="2"/>
  <c r="K428" i="2"/>
  <c r="E428" i="2"/>
  <c r="H428" i="2" s="1"/>
  <c r="I428" i="2" s="1"/>
  <c r="B428" i="2"/>
  <c r="C428" i="2" s="1"/>
  <c r="AC427" i="2"/>
  <c r="AD427" i="2" s="1"/>
  <c r="AA427" i="2"/>
  <c r="W427" i="2"/>
  <c r="X427" i="2" s="1"/>
  <c r="U427" i="2"/>
  <c r="R427" i="2"/>
  <c r="N427" i="2"/>
  <c r="O427" i="2" s="1"/>
  <c r="L427" i="2"/>
  <c r="H427" i="2"/>
  <c r="F427" i="2"/>
  <c r="C427" i="2"/>
  <c r="AC426" i="2"/>
  <c r="AA426" i="2"/>
  <c r="X426" i="2"/>
  <c r="W426" i="2"/>
  <c r="U426" i="2"/>
  <c r="R426" i="2"/>
  <c r="O426" i="2"/>
  <c r="N426" i="2"/>
  <c r="L426" i="2"/>
  <c r="I426" i="2"/>
  <c r="H426" i="2"/>
  <c r="F426" i="2"/>
  <c r="C426" i="2"/>
  <c r="AC425" i="2"/>
  <c r="AD425" i="2" s="1"/>
  <c r="AA425" i="2"/>
  <c r="W425" i="2"/>
  <c r="X425" i="2" s="1"/>
  <c r="U425" i="2"/>
  <c r="R425" i="2"/>
  <c r="N425" i="2"/>
  <c r="L425" i="2"/>
  <c r="H425" i="2"/>
  <c r="I425" i="2" s="1"/>
  <c r="F425" i="2"/>
  <c r="C425" i="2"/>
  <c r="AC424" i="2"/>
  <c r="AA424" i="2"/>
  <c r="X424" i="2"/>
  <c r="W424" i="2"/>
  <c r="U424" i="2"/>
  <c r="R424" i="2"/>
  <c r="O424" i="2"/>
  <c r="N424" i="2"/>
  <c r="L424" i="2"/>
  <c r="I424" i="2"/>
  <c r="H424" i="2"/>
  <c r="F424" i="2"/>
  <c r="C424" i="2"/>
  <c r="AC423" i="2"/>
  <c r="AD423" i="2" s="1"/>
  <c r="AA423" i="2"/>
  <c r="W423" i="2"/>
  <c r="X423" i="2" s="1"/>
  <c r="U423" i="2"/>
  <c r="R423" i="2"/>
  <c r="N423" i="2"/>
  <c r="L423" i="2"/>
  <c r="I423" i="2"/>
  <c r="H423" i="2"/>
  <c r="F423" i="2"/>
  <c r="C423" i="2"/>
  <c r="AC422" i="2"/>
  <c r="AD422" i="2" s="1"/>
  <c r="AA422" i="2"/>
  <c r="W422" i="2"/>
  <c r="X422" i="2" s="1"/>
  <c r="U422" i="2"/>
  <c r="R422" i="2"/>
  <c r="N422" i="2"/>
  <c r="L422" i="2"/>
  <c r="H422" i="2"/>
  <c r="F422" i="2"/>
  <c r="C422" i="2"/>
  <c r="AD421" i="2"/>
  <c r="AC421" i="2"/>
  <c r="AA421" i="2"/>
  <c r="W421" i="2"/>
  <c r="X421" i="2" s="1"/>
  <c r="U421" i="2"/>
  <c r="R421" i="2"/>
  <c r="N421" i="2"/>
  <c r="O421" i="2" s="1"/>
  <c r="L421" i="2"/>
  <c r="H421" i="2"/>
  <c r="I421" i="2" s="1"/>
  <c r="F421" i="2"/>
  <c r="C421" i="2"/>
  <c r="AD420" i="2"/>
  <c r="AC420" i="2"/>
  <c r="AA420" i="2"/>
  <c r="X420" i="2"/>
  <c r="W420" i="2"/>
  <c r="U420" i="2"/>
  <c r="R420" i="2"/>
  <c r="N420" i="2"/>
  <c r="O420" i="2" s="1"/>
  <c r="L420" i="2"/>
  <c r="H420" i="2"/>
  <c r="I420" i="2" s="1"/>
  <c r="F420" i="2"/>
  <c r="C420" i="2"/>
  <c r="AC419" i="2"/>
  <c r="AD419" i="2" s="1"/>
  <c r="AA419" i="2"/>
  <c r="W419" i="2"/>
  <c r="X419" i="2" s="1"/>
  <c r="U419" i="2"/>
  <c r="R419" i="2"/>
  <c r="N419" i="2"/>
  <c r="O419" i="2" s="1"/>
  <c r="L419" i="2"/>
  <c r="H419" i="2"/>
  <c r="F419" i="2"/>
  <c r="C419" i="2"/>
  <c r="AC418" i="2"/>
  <c r="AD418" i="2" s="1"/>
  <c r="AA418" i="2"/>
  <c r="W418" i="2"/>
  <c r="X418" i="2" s="1"/>
  <c r="U418" i="2"/>
  <c r="R418" i="2"/>
  <c r="O418" i="2"/>
  <c r="N418" i="2"/>
  <c r="L418" i="2"/>
  <c r="I418" i="2"/>
  <c r="H418" i="2"/>
  <c r="F418" i="2"/>
  <c r="C418" i="2"/>
  <c r="AC417" i="2"/>
  <c r="AD417" i="2" s="1"/>
  <c r="AA417" i="2"/>
  <c r="W417" i="2"/>
  <c r="X417" i="2" s="1"/>
  <c r="U417" i="2"/>
  <c r="R417" i="2"/>
  <c r="N417" i="2"/>
  <c r="O417" i="2" s="1"/>
  <c r="L417" i="2"/>
  <c r="H417" i="2"/>
  <c r="I417" i="2" s="1"/>
  <c r="F417" i="2"/>
  <c r="C417" i="2"/>
  <c r="AD416" i="2"/>
  <c r="AC416" i="2"/>
  <c r="AA416" i="2"/>
  <c r="X416" i="2"/>
  <c r="W416" i="2"/>
  <c r="U416" i="2"/>
  <c r="R416" i="2"/>
  <c r="N416" i="2"/>
  <c r="L416" i="2"/>
  <c r="I416" i="2"/>
  <c r="H416" i="2"/>
  <c r="F416" i="2"/>
  <c r="C416" i="2"/>
  <c r="AD415" i="2"/>
  <c r="AC415" i="2"/>
  <c r="AA415" i="2"/>
  <c r="W415" i="2"/>
  <c r="X415" i="2" s="1"/>
  <c r="U415" i="2"/>
  <c r="R415" i="2"/>
  <c r="N415" i="2"/>
  <c r="L415" i="2"/>
  <c r="I415" i="2"/>
  <c r="H415" i="2"/>
  <c r="F415" i="2"/>
  <c r="C415" i="2"/>
  <c r="AC414" i="2"/>
  <c r="AD414" i="2" s="1"/>
  <c r="AA414" i="2"/>
  <c r="W414" i="2"/>
  <c r="X414" i="2" s="1"/>
  <c r="U414" i="2"/>
  <c r="R414" i="2"/>
  <c r="N414" i="2"/>
  <c r="L414" i="2"/>
  <c r="I414" i="2"/>
  <c r="H414" i="2"/>
  <c r="F414" i="2"/>
  <c r="C414" i="2"/>
  <c r="AD413" i="2"/>
  <c r="AC413" i="2"/>
  <c r="AA413" i="2"/>
  <c r="W413" i="2"/>
  <c r="X413" i="2" s="1"/>
  <c r="U413" i="2"/>
  <c r="R413" i="2"/>
  <c r="N413" i="2"/>
  <c r="O413" i="2" s="1"/>
  <c r="L413" i="2"/>
  <c r="H413" i="2"/>
  <c r="F413" i="2"/>
  <c r="C413" i="2"/>
  <c r="AD412" i="2"/>
  <c r="AC412" i="2"/>
  <c r="AA412" i="2"/>
  <c r="X412" i="2"/>
  <c r="W412" i="2"/>
  <c r="U412" i="2"/>
  <c r="R412" i="2"/>
  <c r="N412" i="2"/>
  <c r="O412" i="2" s="1"/>
  <c r="L412" i="2"/>
  <c r="H412" i="2"/>
  <c r="I412" i="2" s="1"/>
  <c r="F412" i="2"/>
  <c r="C412" i="2"/>
  <c r="AC411" i="2"/>
  <c r="AD411" i="2" s="1"/>
  <c r="AA411" i="2"/>
  <c r="W411" i="2"/>
  <c r="X411" i="2" s="1"/>
  <c r="U411" i="2"/>
  <c r="R411" i="2"/>
  <c r="N411" i="2"/>
  <c r="O411" i="2" s="1"/>
  <c r="L411" i="2"/>
  <c r="H411" i="2"/>
  <c r="F411" i="2"/>
  <c r="C411" i="2"/>
  <c r="AC410" i="2"/>
  <c r="AA410" i="2"/>
  <c r="X410" i="2"/>
  <c r="W410" i="2"/>
  <c r="U410" i="2"/>
  <c r="R410" i="2"/>
  <c r="O410" i="2"/>
  <c r="N410" i="2"/>
  <c r="L410" i="2"/>
  <c r="I410" i="2"/>
  <c r="H410" i="2"/>
  <c r="F410" i="2"/>
  <c r="C410" i="2"/>
  <c r="AC409" i="2"/>
  <c r="AD409" i="2" s="1"/>
  <c r="AA409" i="2"/>
  <c r="W409" i="2"/>
  <c r="X409" i="2" s="1"/>
  <c r="U409" i="2"/>
  <c r="R409" i="2"/>
  <c r="N409" i="2"/>
  <c r="L409" i="2"/>
  <c r="H409" i="2"/>
  <c r="I409" i="2" s="1"/>
  <c r="F409" i="2"/>
  <c r="C409" i="2"/>
  <c r="AD408" i="2"/>
  <c r="AC408" i="2"/>
  <c r="AA408" i="2"/>
  <c r="X408" i="2"/>
  <c r="W408" i="2"/>
  <c r="U408" i="2"/>
  <c r="R408" i="2"/>
  <c r="O408" i="2"/>
  <c r="N408" i="2"/>
  <c r="L408" i="2"/>
  <c r="I408" i="2"/>
  <c r="H408" i="2"/>
  <c r="F408" i="2"/>
  <c r="C408" i="2"/>
  <c r="AD407" i="2"/>
  <c r="AC407" i="2"/>
  <c r="AA407" i="2"/>
  <c r="W407" i="2"/>
  <c r="X407" i="2" s="1"/>
  <c r="U407" i="2"/>
  <c r="R407" i="2"/>
  <c r="N407" i="2"/>
  <c r="L407" i="2"/>
  <c r="I407" i="2"/>
  <c r="H407" i="2"/>
  <c r="F407" i="2"/>
  <c r="C407" i="2"/>
  <c r="AA403" i="2"/>
  <c r="Z403" i="2"/>
  <c r="T403" i="2"/>
  <c r="U403" i="2" s="1"/>
  <c r="R403" i="2"/>
  <c r="Q403" i="2"/>
  <c r="K403" i="2"/>
  <c r="L403" i="2" s="1"/>
  <c r="F403" i="2"/>
  <c r="E403" i="2"/>
  <c r="B403" i="2"/>
  <c r="AC402" i="2"/>
  <c r="AD402" i="2" s="1"/>
  <c r="AA402" i="2"/>
  <c r="W402" i="2"/>
  <c r="X402" i="2" s="1"/>
  <c r="U402" i="2"/>
  <c r="R402" i="2"/>
  <c r="N402" i="2"/>
  <c r="L402" i="2"/>
  <c r="I402" i="2"/>
  <c r="H402" i="2"/>
  <c r="F402" i="2"/>
  <c r="C402" i="2"/>
  <c r="AD401" i="2"/>
  <c r="AC401" i="2"/>
  <c r="AA401" i="2"/>
  <c r="W401" i="2"/>
  <c r="X401" i="2" s="1"/>
  <c r="U401" i="2"/>
  <c r="R401" i="2"/>
  <c r="N401" i="2"/>
  <c r="O401" i="2" s="1"/>
  <c r="L401" i="2"/>
  <c r="H401" i="2"/>
  <c r="F401" i="2"/>
  <c r="C401" i="2"/>
  <c r="AD400" i="2"/>
  <c r="AC400" i="2"/>
  <c r="AA400" i="2"/>
  <c r="X400" i="2"/>
  <c r="W400" i="2"/>
  <c r="U400" i="2"/>
  <c r="R400" i="2"/>
  <c r="N400" i="2"/>
  <c r="O400" i="2" s="1"/>
  <c r="L400" i="2"/>
  <c r="H400" i="2"/>
  <c r="I400" i="2" s="1"/>
  <c r="F400" i="2"/>
  <c r="C400" i="2"/>
  <c r="AC399" i="2"/>
  <c r="AD399" i="2" s="1"/>
  <c r="AA399" i="2"/>
  <c r="W399" i="2"/>
  <c r="X399" i="2" s="1"/>
  <c r="U399" i="2"/>
  <c r="R399" i="2"/>
  <c r="N399" i="2"/>
  <c r="O399" i="2" s="1"/>
  <c r="L399" i="2"/>
  <c r="H399" i="2"/>
  <c r="F399" i="2"/>
  <c r="C399" i="2"/>
  <c r="AC398" i="2"/>
  <c r="AD398" i="2" s="1"/>
  <c r="AA398" i="2"/>
  <c r="X398" i="2"/>
  <c r="W398" i="2"/>
  <c r="U398" i="2"/>
  <c r="R398" i="2"/>
  <c r="O398" i="2"/>
  <c r="N398" i="2"/>
  <c r="L398" i="2"/>
  <c r="I398" i="2"/>
  <c r="H398" i="2"/>
  <c r="F398" i="2"/>
  <c r="C398" i="2"/>
  <c r="AD397" i="2"/>
  <c r="AC397" i="2"/>
  <c r="AA397" i="2"/>
  <c r="W397" i="2"/>
  <c r="X397" i="2" s="1"/>
  <c r="U397" i="2"/>
  <c r="R397" i="2"/>
  <c r="N397" i="2"/>
  <c r="L397" i="2"/>
  <c r="H397" i="2"/>
  <c r="I397" i="2" s="1"/>
  <c r="F397" i="2"/>
  <c r="C397" i="2"/>
  <c r="Z396" i="2"/>
  <c r="AA396" i="2" s="1"/>
  <c r="U396" i="2"/>
  <c r="T396" i="2"/>
  <c r="R396" i="2"/>
  <c r="Q396" i="2"/>
  <c r="W396" i="2" s="1"/>
  <c r="X396" i="2" s="1"/>
  <c r="K396" i="2"/>
  <c r="L396" i="2" s="1"/>
  <c r="F396" i="2"/>
  <c r="E396" i="2"/>
  <c r="B396" i="2"/>
  <c r="AC395" i="2"/>
  <c r="AD395" i="2" s="1"/>
  <c r="AA395" i="2"/>
  <c r="X395" i="2"/>
  <c r="W395" i="2"/>
  <c r="U395" i="2"/>
  <c r="R395" i="2"/>
  <c r="O395" i="2"/>
  <c r="N395" i="2"/>
  <c r="L395" i="2"/>
  <c r="I395" i="2"/>
  <c r="H395" i="2"/>
  <c r="F395" i="2"/>
  <c r="C395" i="2"/>
  <c r="AD394" i="2"/>
  <c r="AC394" i="2"/>
  <c r="AA394" i="2"/>
  <c r="W394" i="2"/>
  <c r="X394" i="2" s="1"/>
  <c r="U394" i="2"/>
  <c r="R394" i="2"/>
  <c r="N394" i="2"/>
  <c r="L394" i="2"/>
  <c r="H394" i="2"/>
  <c r="I394" i="2" s="1"/>
  <c r="F394" i="2"/>
  <c r="C394" i="2"/>
  <c r="Z393" i="2"/>
  <c r="AA393" i="2" s="1"/>
  <c r="U393" i="2"/>
  <c r="T393" i="2"/>
  <c r="R393" i="2"/>
  <c r="Q393" i="2"/>
  <c r="W393" i="2" s="1"/>
  <c r="X393" i="2" s="1"/>
  <c r="K393" i="2"/>
  <c r="L393" i="2" s="1"/>
  <c r="F393" i="2"/>
  <c r="E393" i="2"/>
  <c r="B393" i="2"/>
  <c r="AC392" i="2"/>
  <c r="AD392" i="2" s="1"/>
  <c r="AA392" i="2"/>
  <c r="X392" i="2"/>
  <c r="W392" i="2"/>
  <c r="U392" i="2"/>
  <c r="R392" i="2"/>
  <c r="O392" i="2"/>
  <c r="N392" i="2"/>
  <c r="L392" i="2"/>
  <c r="H392" i="2"/>
  <c r="I392" i="2" s="1"/>
  <c r="F392" i="2"/>
  <c r="C392" i="2"/>
  <c r="AD391" i="2"/>
  <c r="AC391" i="2"/>
  <c r="AA391" i="2"/>
  <c r="W391" i="2"/>
  <c r="X391" i="2" s="1"/>
  <c r="U391" i="2"/>
  <c r="R391" i="2"/>
  <c r="N391" i="2"/>
  <c r="L391" i="2"/>
  <c r="H391" i="2"/>
  <c r="I391" i="2" s="1"/>
  <c r="F391" i="2"/>
  <c r="C391" i="2"/>
  <c r="AD390" i="2"/>
  <c r="AC390" i="2"/>
  <c r="AA390" i="2"/>
  <c r="X390" i="2"/>
  <c r="W390" i="2"/>
  <c r="U390" i="2"/>
  <c r="R390" i="2"/>
  <c r="O390" i="2"/>
  <c r="N390" i="2"/>
  <c r="L390" i="2"/>
  <c r="I390" i="2"/>
  <c r="H390" i="2"/>
  <c r="F390" i="2"/>
  <c r="C390" i="2"/>
  <c r="AC389" i="2"/>
  <c r="AD389" i="2" s="1"/>
  <c r="AA389" i="2"/>
  <c r="W389" i="2"/>
  <c r="X389" i="2" s="1"/>
  <c r="U389" i="2"/>
  <c r="R389" i="2"/>
  <c r="N389" i="2"/>
  <c r="L389" i="2"/>
  <c r="I389" i="2"/>
  <c r="H389" i="2"/>
  <c r="F389" i="2"/>
  <c r="C389" i="2"/>
  <c r="AC388" i="2"/>
  <c r="AD388" i="2" s="1"/>
  <c r="AA388" i="2"/>
  <c r="W388" i="2"/>
  <c r="X388" i="2" s="1"/>
  <c r="U388" i="2"/>
  <c r="R388" i="2"/>
  <c r="N388" i="2"/>
  <c r="L388" i="2"/>
  <c r="H388" i="2"/>
  <c r="F388" i="2"/>
  <c r="C388" i="2"/>
  <c r="AD386" i="2"/>
  <c r="AC386" i="2"/>
  <c r="AA386" i="2"/>
  <c r="W386" i="2"/>
  <c r="X386" i="2" s="1"/>
  <c r="U386" i="2"/>
  <c r="R386" i="2"/>
  <c r="N386" i="2"/>
  <c r="O386" i="2" s="1"/>
  <c r="L386" i="2"/>
  <c r="H386" i="2"/>
  <c r="I386" i="2" s="1"/>
  <c r="F386" i="2"/>
  <c r="C386" i="2"/>
  <c r="AD385" i="2"/>
  <c r="AC385" i="2"/>
  <c r="AA385" i="2"/>
  <c r="X385" i="2"/>
  <c r="W385" i="2"/>
  <c r="U385" i="2"/>
  <c r="R385" i="2"/>
  <c r="N385" i="2"/>
  <c r="O385" i="2" s="1"/>
  <c r="L385" i="2"/>
  <c r="H385" i="2"/>
  <c r="I385" i="2" s="1"/>
  <c r="F385" i="2"/>
  <c r="C385" i="2"/>
  <c r="AC383" i="2"/>
  <c r="AD383" i="2" s="1"/>
  <c r="AA383" i="2"/>
  <c r="W383" i="2"/>
  <c r="X383" i="2" s="1"/>
  <c r="U383" i="2"/>
  <c r="R383" i="2"/>
  <c r="N383" i="2"/>
  <c r="O383" i="2" s="1"/>
  <c r="L383" i="2"/>
  <c r="H383" i="2"/>
  <c r="F383" i="2"/>
  <c r="C383" i="2"/>
  <c r="AC382" i="2"/>
  <c r="AD382" i="2" s="1"/>
  <c r="AA382" i="2"/>
  <c r="X382" i="2"/>
  <c r="W382" i="2"/>
  <c r="U382" i="2"/>
  <c r="R382" i="2"/>
  <c r="O382" i="2"/>
  <c r="N382" i="2"/>
  <c r="L382" i="2"/>
  <c r="H382" i="2"/>
  <c r="I382" i="2" s="1"/>
  <c r="F382" i="2"/>
  <c r="C382" i="2"/>
  <c r="AC381" i="2"/>
  <c r="AD381" i="2" s="1"/>
  <c r="AA381" i="2"/>
  <c r="W381" i="2"/>
  <c r="X381" i="2" s="1"/>
  <c r="U381" i="2"/>
  <c r="R381" i="2"/>
  <c r="N381" i="2"/>
  <c r="O381" i="2" s="1"/>
  <c r="L381" i="2"/>
  <c r="H381" i="2"/>
  <c r="I381" i="2" s="1"/>
  <c r="F381" i="2"/>
  <c r="C381" i="2"/>
  <c r="AD380" i="2"/>
  <c r="AC380" i="2"/>
  <c r="AA380" i="2"/>
  <c r="X380" i="2"/>
  <c r="W380" i="2"/>
  <c r="U380" i="2"/>
  <c r="R380" i="2"/>
  <c r="N380" i="2"/>
  <c r="L380" i="2"/>
  <c r="I380" i="2"/>
  <c r="H380" i="2"/>
  <c r="F380" i="2"/>
  <c r="C380" i="2"/>
  <c r="AD379" i="2"/>
  <c r="AC379" i="2"/>
  <c r="AA379" i="2"/>
  <c r="W379" i="2"/>
  <c r="X379" i="2" s="1"/>
  <c r="U379" i="2"/>
  <c r="R379" i="2"/>
  <c r="N379" i="2"/>
  <c r="L379" i="2"/>
  <c r="I379" i="2"/>
  <c r="H379" i="2"/>
  <c r="F379" i="2"/>
  <c r="C379" i="2"/>
  <c r="AC378" i="2"/>
  <c r="AD378" i="2" s="1"/>
  <c r="AA378" i="2"/>
  <c r="W378" i="2"/>
  <c r="X378" i="2" s="1"/>
  <c r="U378" i="2"/>
  <c r="R378" i="2"/>
  <c r="N378" i="2"/>
  <c r="L378" i="2"/>
  <c r="I378" i="2"/>
  <c r="H378" i="2"/>
  <c r="F378" i="2"/>
  <c r="C378" i="2"/>
  <c r="AD377" i="2"/>
  <c r="AC377" i="2"/>
  <c r="AA377" i="2"/>
  <c r="W377" i="2"/>
  <c r="X377" i="2" s="1"/>
  <c r="U377" i="2"/>
  <c r="R377" i="2"/>
  <c r="N377" i="2"/>
  <c r="O377" i="2" s="1"/>
  <c r="L377" i="2"/>
  <c r="H377" i="2"/>
  <c r="F377" i="2"/>
  <c r="C377" i="2"/>
  <c r="AD376" i="2"/>
  <c r="AC376" i="2"/>
  <c r="AA376" i="2"/>
  <c r="X376" i="2"/>
  <c r="W376" i="2"/>
  <c r="U376" i="2"/>
  <c r="R376" i="2"/>
  <c r="O376" i="2"/>
  <c r="N376" i="2"/>
  <c r="L376" i="2"/>
  <c r="H376" i="2"/>
  <c r="I376" i="2" s="1"/>
  <c r="F376" i="2"/>
  <c r="C376" i="2"/>
  <c r="AC375" i="2"/>
  <c r="AD375" i="2" s="1"/>
  <c r="AA375" i="2"/>
  <c r="W375" i="2"/>
  <c r="X375" i="2" s="1"/>
  <c r="U375" i="2"/>
  <c r="R375" i="2"/>
  <c r="N375" i="2"/>
  <c r="O375" i="2" s="1"/>
  <c r="L375" i="2"/>
  <c r="H375" i="2"/>
  <c r="F375" i="2"/>
  <c r="C375" i="2"/>
  <c r="AC374" i="2"/>
  <c r="AD374" i="2" s="1"/>
  <c r="AA374" i="2"/>
  <c r="X374" i="2"/>
  <c r="W374" i="2"/>
  <c r="U374" i="2"/>
  <c r="R374" i="2"/>
  <c r="O374" i="2"/>
  <c r="N374" i="2"/>
  <c r="L374" i="2"/>
  <c r="I374" i="2"/>
  <c r="H374" i="2"/>
  <c r="F374" i="2"/>
  <c r="C374" i="2"/>
  <c r="AC373" i="2"/>
  <c r="AD373" i="2" s="1"/>
  <c r="AA373" i="2"/>
  <c r="W373" i="2"/>
  <c r="X373" i="2" s="1"/>
  <c r="U373" i="2"/>
  <c r="R373" i="2"/>
  <c r="N373" i="2"/>
  <c r="L373" i="2"/>
  <c r="H373" i="2"/>
  <c r="I373" i="2" s="1"/>
  <c r="F373" i="2"/>
  <c r="C373" i="2"/>
  <c r="AD372" i="2"/>
  <c r="AC372" i="2"/>
  <c r="AA372" i="2"/>
  <c r="X372" i="2"/>
  <c r="W372" i="2"/>
  <c r="U372" i="2"/>
  <c r="R372" i="2"/>
  <c r="O372" i="2"/>
  <c r="N372" i="2"/>
  <c r="L372" i="2"/>
  <c r="I372" i="2"/>
  <c r="H372" i="2"/>
  <c r="F372" i="2"/>
  <c r="C372" i="2"/>
  <c r="AC371" i="2"/>
  <c r="AD371" i="2" s="1"/>
  <c r="AA371" i="2"/>
  <c r="W371" i="2"/>
  <c r="X371" i="2" s="1"/>
  <c r="U371" i="2"/>
  <c r="R371" i="2"/>
  <c r="N371" i="2"/>
  <c r="L371" i="2"/>
  <c r="I371" i="2"/>
  <c r="H371" i="2"/>
  <c r="F371" i="2"/>
  <c r="C371" i="2"/>
  <c r="AC370" i="2"/>
  <c r="AD370" i="2" s="1"/>
  <c r="AA370" i="2"/>
  <c r="W370" i="2"/>
  <c r="X370" i="2" s="1"/>
  <c r="U370" i="2"/>
  <c r="R370" i="2"/>
  <c r="N370" i="2"/>
  <c r="L370" i="2"/>
  <c r="H370" i="2"/>
  <c r="F370" i="2"/>
  <c r="C370" i="2"/>
  <c r="AD369" i="2"/>
  <c r="AC369" i="2"/>
  <c r="AA369" i="2"/>
  <c r="W369" i="2"/>
  <c r="X369" i="2" s="1"/>
  <c r="U369" i="2"/>
  <c r="R369" i="2"/>
  <c r="N369" i="2"/>
  <c r="O369" i="2" s="1"/>
  <c r="L369" i="2"/>
  <c r="H369" i="2"/>
  <c r="I369" i="2" s="1"/>
  <c r="F369" i="2"/>
  <c r="C369" i="2"/>
  <c r="AA368" i="2"/>
  <c r="Z368" i="2"/>
  <c r="T368" i="2"/>
  <c r="U368" i="2" s="1"/>
  <c r="R368" i="2"/>
  <c r="Q368" i="2"/>
  <c r="K368" i="2"/>
  <c r="L368" i="2" s="1"/>
  <c r="F368" i="2"/>
  <c r="E368" i="2"/>
  <c r="B368" i="2"/>
  <c r="AC367" i="2"/>
  <c r="AD367" i="2" s="1"/>
  <c r="AA367" i="2"/>
  <c r="W367" i="2"/>
  <c r="X367" i="2" s="1"/>
  <c r="U367" i="2"/>
  <c r="R367" i="2"/>
  <c r="N367" i="2"/>
  <c r="L367" i="2"/>
  <c r="H367" i="2"/>
  <c r="F367" i="2"/>
  <c r="C367" i="2"/>
  <c r="AD366" i="2"/>
  <c r="AC366" i="2"/>
  <c r="AA366" i="2"/>
  <c r="W366" i="2"/>
  <c r="X366" i="2" s="1"/>
  <c r="U366" i="2"/>
  <c r="R366" i="2"/>
  <c r="N366" i="2"/>
  <c r="O366" i="2" s="1"/>
  <c r="L366" i="2"/>
  <c r="H366" i="2"/>
  <c r="I366" i="2" s="1"/>
  <c r="F366" i="2"/>
  <c r="C366" i="2"/>
  <c r="AD365" i="2"/>
  <c r="AC365" i="2"/>
  <c r="AA365" i="2"/>
  <c r="X365" i="2"/>
  <c r="W365" i="2"/>
  <c r="U365" i="2"/>
  <c r="R365" i="2"/>
  <c r="O365" i="2"/>
  <c r="N365" i="2"/>
  <c r="L365" i="2"/>
  <c r="H365" i="2"/>
  <c r="I365" i="2" s="1"/>
  <c r="F365" i="2"/>
  <c r="C365" i="2"/>
  <c r="AC364" i="2"/>
  <c r="AD364" i="2" s="1"/>
  <c r="AA364" i="2"/>
  <c r="W364" i="2"/>
  <c r="X364" i="2" s="1"/>
  <c r="U364" i="2"/>
  <c r="R364" i="2"/>
  <c r="N364" i="2"/>
  <c r="O364" i="2" s="1"/>
  <c r="L364" i="2"/>
  <c r="H364" i="2"/>
  <c r="F364" i="2"/>
  <c r="C364" i="2"/>
  <c r="AC363" i="2"/>
  <c r="AD363" i="2" s="1"/>
  <c r="AA363" i="2"/>
  <c r="W363" i="2"/>
  <c r="X363" i="2" s="1"/>
  <c r="U363" i="2"/>
  <c r="R363" i="2"/>
  <c r="O363" i="2"/>
  <c r="N363" i="2"/>
  <c r="L363" i="2"/>
  <c r="H363" i="2"/>
  <c r="I363" i="2" s="1"/>
  <c r="F363" i="2"/>
  <c r="C363" i="2"/>
  <c r="AC362" i="2"/>
  <c r="AD362" i="2" s="1"/>
  <c r="AA362" i="2"/>
  <c r="W362" i="2"/>
  <c r="X362" i="2" s="1"/>
  <c r="U362" i="2"/>
  <c r="R362" i="2"/>
  <c r="N362" i="2"/>
  <c r="O362" i="2" s="1"/>
  <c r="L362" i="2"/>
  <c r="H362" i="2"/>
  <c r="I362" i="2" s="1"/>
  <c r="F362" i="2"/>
  <c r="C362" i="2"/>
  <c r="AD361" i="2"/>
  <c r="AC361" i="2"/>
  <c r="AA361" i="2"/>
  <c r="X361" i="2"/>
  <c r="W361" i="2"/>
  <c r="U361" i="2"/>
  <c r="R361" i="2"/>
  <c r="N361" i="2"/>
  <c r="L361" i="2"/>
  <c r="H361" i="2"/>
  <c r="I361" i="2" s="1"/>
  <c r="F361" i="2"/>
  <c r="C361" i="2"/>
  <c r="AD360" i="2"/>
  <c r="AC360" i="2"/>
  <c r="AA360" i="2"/>
  <c r="W360" i="2"/>
  <c r="X360" i="2" s="1"/>
  <c r="U360" i="2"/>
  <c r="R360" i="2"/>
  <c r="N360" i="2"/>
  <c r="L360" i="2"/>
  <c r="I360" i="2"/>
  <c r="H360" i="2"/>
  <c r="F360" i="2"/>
  <c r="C360" i="2"/>
  <c r="Z358" i="2"/>
  <c r="AA358" i="2" s="1"/>
  <c r="U358" i="2"/>
  <c r="T358" i="2"/>
  <c r="W358" i="2" s="1"/>
  <c r="X358" i="2" s="1"/>
  <c r="Q358" i="2"/>
  <c r="R358" i="2" s="1"/>
  <c r="N358" i="2"/>
  <c r="O358" i="2" s="1"/>
  <c r="L358" i="2"/>
  <c r="K358" i="2"/>
  <c r="H358" i="2"/>
  <c r="I358" i="2" s="1"/>
  <c r="E358" i="2"/>
  <c r="F358" i="2" s="1"/>
  <c r="C358" i="2"/>
  <c r="B358" i="2"/>
  <c r="AD357" i="2"/>
  <c r="AC357" i="2"/>
  <c r="AA357" i="2"/>
  <c r="X357" i="2"/>
  <c r="W357" i="2"/>
  <c r="U357" i="2"/>
  <c r="R357" i="2"/>
  <c r="N357" i="2"/>
  <c r="O357" i="2" s="1"/>
  <c r="L357" i="2"/>
  <c r="I357" i="2"/>
  <c r="H357" i="2"/>
  <c r="F357" i="2"/>
  <c r="C357" i="2"/>
  <c r="AD356" i="2"/>
  <c r="AC356" i="2"/>
  <c r="AA356" i="2"/>
  <c r="W356" i="2"/>
  <c r="X356" i="2" s="1"/>
  <c r="U356" i="2"/>
  <c r="R356" i="2"/>
  <c r="N356" i="2"/>
  <c r="O356" i="2" s="1"/>
  <c r="L356" i="2"/>
  <c r="H356" i="2"/>
  <c r="F356" i="2"/>
  <c r="C356" i="2"/>
  <c r="AC355" i="2"/>
  <c r="AD355" i="2" s="1"/>
  <c r="AA355" i="2"/>
  <c r="W355" i="2"/>
  <c r="X355" i="2" s="1"/>
  <c r="U355" i="2"/>
  <c r="R355" i="2"/>
  <c r="O355" i="2"/>
  <c r="N355" i="2"/>
  <c r="L355" i="2"/>
  <c r="H355" i="2"/>
  <c r="I355" i="2" s="1"/>
  <c r="F355" i="2"/>
  <c r="C355" i="2"/>
  <c r="AC354" i="2"/>
  <c r="AD354" i="2" s="1"/>
  <c r="AA354" i="2"/>
  <c r="W354" i="2"/>
  <c r="X354" i="2" s="1"/>
  <c r="U354" i="2"/>
  <c r="R354" i="2"/>
  <c r="N354" i="2"/>
  <c r="O354" i="2" s="1"/>
  <c r="L354" i="2"/>
  <c r="H354" i="2"/>
  <c r="F354" i="2"/>
  <c r="C354" i="2"/>
  <c r="AD353" i="2"/>
  <c r="AC353" i="2"/>
  <c r="AA353" i="2"/>
  <c r="X353" i="2"/>
  <c r="W353" i="2"/>
  <c r="U353" i="2"/>
  <c r="R353" i="2"/>
  <c r="N353" i="2"/>
  <c r="O353" i="2" s="1"/>
  <c r="L353" i="2"/>
  <c r="H353" i="2"/>
  <c r="I353" i="2" s="1"/>
  <c r="F353" i="2"/>
  <c r="C353" i="2"/>
  <c r="AC352" i="2"/>
  <c r="AD352" i="2" s="1"/>
  <c r="AA352" i="2"/>
  <c r="W352" i="2"/>
  <c r="X352" i="2" s="1"/>
  <c r="U352" i="2"/>
  <c r="R352" i="2"/>
  <c r="N352" i="2"/>
  <c r="L352" i="2"/>
  <c r="H352" i="2"/>
  <c r="I352" i="2" s="1"/>
  <c r="F352" i="2"/>
  <c r="C352" i="2"/>
  <c r="AC351" i="2"/>
  <c r="AD351" i="2" s="1"/>
  <c r="AA351" i="2"/>
  <c r="W351" i="2"/>
  <c r="X351" i="2" s="1"/>
  <c r="U351" i="2"/>
  <c r="R351" i="2"/>
  <c r="N351" i="2"/>
  <c r="L351" i="2"/>
  <c r="H351" i="2"/>
  <c r="F351" i="2"/>
  <c r="C351" i="2"/>
  <c r="AD350" i="2"/>
  <c r="AC350" i="2"/>
  <c r="AA350" i="2"/>
  <c r="W350" i="2"/>
  <c r="X350" i="2" s="1"/>
  <c r="U350" i="2"/>
  <c r="R350" i="2"/>
  <c r="N350" i="2"/>
  <c r="O350" i="2" s="1"/>
  <c r="L350" i="2"/>
  <c r="H350" i="2"/>
  <c r="F350" i="2"/>
  <c r="C350" i="2"/>
  <c r="AD349" i="2"/>
  <c r="AC349" i="2"/>
  <c r="AA349" i="2"/>
  <c r="X349" i="2"/>
  <c r="W349" i="2"/>
  <c r="U349" i="2"/>
  <c r="R349" i="2"/>
  <c r="O349" i="2"/>
  <c r="N349" i="2"/>
  <c r="L349" i="2"/>
  <c r="H349" i="2"/>
  <c r="I349" i="2" s="1"/>
  <c r="F349" i="2"/>
  <c r="C349" i="2"/>
  <c r="AC347" i="2"/>
  <c r="AD347" i="2" s="1"/>
  <c r="AA347" i="2"/>
  <c r="W347" i="2"/>
  <c r="X347" i="2" s="1"/>
  <c r="U347" i="2"/>
  <c r="R347" i="2"/>
  <c r="N347" i="2"/>
  <c r="O347" i="2" s="1"/>
  <c r="L347" i="2"/>
  <c r="H347" i="2"/>
  <c r="F347" i="2"/>
  <c r="C347" i="2"/>
  <c r="AA344" i="2"/>
  <c r="Z344" i="2"/>
  <c r="U344" i="2"/>
  <c r="T344" i="2"/>
  <c r="Q344" i="2"/>
  <c r="W344" i="2" s="1"/>
  <c r="X344" i="2" s="1"/>
  <c r="K344" i="2"/>
  <c r="L344" i="2" s="1"/>
  <c r="F344" i="2"/>
  <c r="E344" i="2"/>
  <c r="C344" i="2"/>
  <c r="B344" i="2"/>
  <c r="AA343" i="2"/>
  <c r="Z343" i="2"/>
  <c r="X343" i="2"/>
  <c r="W343" i="2"/>
  <c r="U343" i="2"/>
  <c r="T343" i="2"/>
  <c r="R343" i="2"/>
  <c r="Q343" i="2"/>
  <c r="AC343" i="2" s="1"/>
  <c r="AD343" i="2" s="1"/>
  <c r="O343" i="2"/>
  <c r="L343" i="2"/>
  <c r="K343" i="2"/>
  <c r="E343" i="2"/>
  <c r="H343" i="2" s="1"/>
  <c r="I343" i="2" s="1"/>
  <c r="C343" i="2"/>
  <c r="B343" i="2"/>
  <c r="N343" i="2" s="1"/>
  <c r="AC342" i="2"/>
  <c r="AD342" i="2" s="1"/>
  <c r="AA342" i="2"/>
  <c r="Z342" i="2"/>
  <c r="U342" i="2"/>
  <c r="T342" i="2"/>
  <c r="Q342" i="2"/>
  <c r="L342" i="2"/>
  <c r="K342" i="2"/>
  <c r="F342" i="2"/>
  <c r="E342" i="2"/>
  <c r="C342" i="2"/>
  <c r="B342" i="2"/>
  <c r="AD341" i="2"/>
  <c r="AC341" i="2"/>
  <c r="AA341" i="2"/>
  <c r="W341" i="2"/>
  <c r="X341" i="2" s="1"/>
  <c r="U341" i="2"/>
  <c r="R341" i="2"/>
  <c r="N341" i="2"/>
  <c r="O341" i="2" s="1"/>
  <c r="L341" i="2"/>
  <c r="I341" i="2"/>
  <c r="H341" i="2"/>
  <c r="F341" i="2"/>
  <c r="C341" i="2"/>
  <c r="AD340" i="2"/>
  <c r="AC340" i="2"/>
  <c r="AA340" i="2"/>
  <c r="W340" i="2"/>
  <c r="X340" i="2" s="1"/>
  <c r="U340" i="2"/>
  <c r="R340" i="2"/>
  <c r="O340" i="2"/>
  <c r="N340" i="2"/>
  <c r="L340" i="2"/>
  <c r="I340" i="2"/>
  <c r="H340" i="2"/>
  <c r="F340" i="2"/>
  <c r="C340" i="2"/>
  <c r="AD339" i="2"/>
  <c r="AC339" i="2"/>
  <c r="AA339" i="2"/>
  <c r="W339" i="2"/>
  <c r="X339" i="2" s="1"/>
  <c r="U339" i="2"/>
  <c r="R339" i="2"/>
  <c r="N339" i="2"/>
  <c r="O339" i="2" s="1"/>
  <c r="L339" i="2"/>
  <c r="H339" i="2"/>
  <c r="F339" i="2"/>
  <c r="C339" i="2"/>
  <c r="AD338" i="2"/>
  <c r="AC338" i="2"/>
  <c r="AA338" i="2"/>
  <c r="X338" i="2"/>
  <c r="W338" i="2"/>
  <c r="U338" i="2"/>
  <c r="R338" i="2"/>
  <c r="O338" i="2"/>
  <c r="N338" i="2"/>
  <c r="L338" i="2"/>
  <c r="H338" i="2"/>
  <c r="I338" i="2" s="1"/>
  <c r="F338" i="2"/>
  <c r="C338" i="2"/>
  <c r="AC337" i="2"/>
  <c r="AD337" i="2" s="1"/>
  <c r="AA337" i="2"/>
  <c r="W337" i="2"/>
  <c r="X337" i="2" s="1"/>
  <c r="U337" i="2"/>
  <c r="R337" i="2"/>
  <c r="N337" i="2"/>
  <c r="O337" i="2" s="1"/>
  <c r="L337" i="2"/>
  <c r="I337" i="2"/>
  <c r="H337" i="2"/>
  <c r="F337" i="2"/>
  <c r="C337" i="2"/>
  <c r="AD335" i="2"/>
  <c r="AC335" i="2"/>
  <c r="AA335" i="2"/>
  <c r="X335" i="2"/>
  <c r="W335" i="2"/>
  <c r="U335" i="2"/>
  <c r="R335" i="2"/>
  <c r="O335" i="2"/>
  <c r="N335" i="2"/>
  <c r="L335" i="2"/>
  <c r="I335" i="2"/>
  <c r="H335" i="2"/>
  <c r="F335" i="2"/>
  <c r="C335" i="2"/>
  <c r="AC334" i="2"/>
  <c r="AD334" i="2" s="1"/>
  <c r="AA334" i="2"/>
  <c r="W334" i="2"/>
  <c r="X334" i="2" s="1"/>
  <c r="U334" i="2"/>
  <c r="R334" i="2"/>
  <c r="N334" i="2"/>
  <c r="O334" i="2" s="1"/>
  <c r="L334" i="2"/>
  <c r="H334" i="2"/>
  <c r="F334" i="2"/>
  <c r="C334" i="2"/>
  <c r="AD333" i="2"/>
  <c r="AC333" i="2"/>
  <c r="AA333" i="2"/>
  <c r="X333" i="2"/>
  <c r="W333" i="2"/>
  <c r="U333" i="2"/>
  <c r="R333" i="2"/>
  <c r="N333" i="2"/>
  <c r="O333" i="2" s="1"/>
  <c r="L333" i="2"/>
  <c r="I333" i="2"/>
  <c r="H333" i="2"/>
  <c r="F333" i="2"/>
  <c r="C333" i="2"/>
  <c r="AD332" i="2"/>
  <c r="AC332" i="2"/>
  <c r="AA332" i="2"/>
  <c r="W332" i="2"/>
  <c r="X332" i="2" s="1"/>
  <c r="U332" i="2"/>
  <c r="R332" i="2"/>
  <c r="N332" i="2"/>
  <c r="O332" i="2" s="1"/>
  <c r="L332" i="2"/>
  <c r="I332" i="2"/>
  <c r="H332" i="2"/>
  <c r="F332" i="2"/>
  <c r="C332" i="2"/>
  <c r="AD331" i="2"/>
  <c r="AC331" i="2"/>
  <c r="AA331" i="2"/>
  <c r="W331" i="2"/>
  <c r="X331" i="2" s="1"/>
  <c r="U331" i="2"/>
  <c r="R331" i="2"/>
  <c r="O331" i="2"/>
  <c r="N331" i="2"/>
  <c r="L331" i="2"/>
  <c r="I331" i="2"/>
  <c r="H331" i="2"/>
  <c r="F331" i="2"/>
  <c r="C331" i="2"/>
  <c r="AC330" i="2"/>
  <c r="AD330" i="2" s="1"/>
  <c r="AA330" i="2"/>
  <c r="W330" i="2"/>
  <c r="X330" i="2" s="1"/>
  <c r="U330" i="2"/>
  <c r="R330" i="2"/>
  <c r="N330" i="2"/>
  <c r="O330" i="2" s="1"/>
  <c r="L330" i="2"/>
  <c r="H330" i="2"/>
  <c r="F330" i="2"/>
  <c r="C330" i="2"/>
  <c r="AD329" i="2"/>
  <c r="AC329" i="2"/>
  <c r="AA329" i="2"/>
  <c r="X329" i="2"/>
  <c r="W329" i="2"/>
  <c r="U329" i="2"/>
  <c r="R329" i="2"/>
  <c r="O329" i="2"/>
  <c r="N329" i="2"/>
  <c r="L329" i="2"/>
  <c r="H329" i="2"/>
  <c r="I329" i="2" s="1"/>
  <c r="F329" i="2"/>
  <c r="C329" i="2"/>
  <c r="AD328" i="2"/>
  <c r="AC328" i="2"/>
  <c r="AA328" i="2"/>
  <c r="W328" i="2"/>
  <c r="X328" i="2" s="1"/>
  <c r="U328" i="2"/>
  <c r="R328" i="2"/>
  <c r="N328" i="2"/>
  <c r="O328" i="2" s="1"/>
  <c r="L328" i="2"/>
  <c r="I328" i="2"/>
  <c r="H328" i="2"/>
  <c r="F328" i="2"/>
  <c r="C328" i="2"/>
  <c r="Z325" i="2"/>
  <c r="AA325" i="2" s="1"/>
  <c r="T325" i="2"/>
  <c r="U325" i="2" s="1"/>
  <c r="R325" i="2"/>
  <c r="Q325" i="2"/>
  <c r="L325" i="2"/>
  <c r="K325" i="2"/>
  <c r="I325" i="2"/>
  <c r="H325" i="2"/>
  <c r="F325" i="2"/>
  <c r="E325" i="2"/>
  <c r="B325" i="2"/>
  <c r="C325" i="2" s="1"/>
  <c r="Z324" i="2"/>
  <c r="AA324" i="2" s="1"/>
  <c r="U324" i="2"/>
  <c r="T324" i="2"/>
  <c r="W324" i="2" s="1"/>
  <c r="X324" i="2" s="1"/>
  <c r="R324" i="2"/>
  <c r="Q324" i="2"/>
  <c r="L324" i="2"/>
  <c r="K324" i="2"/>
  <c r="F324" i="2"/>
  <c r="E324" i="2"/>
  <c r="B324" i="2"/>
  <c r="H324" i="2" s="1"/>
  <c r="I324" i="2" s="1"/>
  <c r="AD323" i="2"/>
  <c r="AC323" i="2"/>
  <c r="AA323" i="2"/>
  <c r="X323" i="2"/>
  <c r="W323" i="2"/>
  <c r="U323" i="2"/>
  <c r="R323" i="2"/>
  <c r="O323" i="2"/>
  <c r="N323" i="2"/>
  <c r="L323" i="2"/>
  <c r="I323" i="2"/>
  <c r="H323" i="2"/>
  <c r="F323" i="2"/>
  <c r="C323" i="2"/>
  <c r="AC322" i="2"/>
  <c r="AD322" i="2" s="1"/>
  <c r="AA322" i="2"/>
  <c r="W322" i="2"/>
  <c r="X322" i="2" s="1"/>
  <c r="U322" i="2"/>
  <c r="R322" i="2"/>
  <c r="N322" i="2"/>
  <c r="O322" i="2" s="1"/>
  <c r="L322" i="2"/>
  <c r="H322" i="2"/>
  <c r="F322" i="2"/>
  <c r="C322" i="2"/>
  <c r="AD321" i="2"/>
  <c r="AC321" i="2"/>
  <c r="AA321" i="2"/>
  <c r="X321" i="2"/>
  <c r="W321" i="2"/>
  <c r="U321" i="2"/>
  <c r="R321" i="2"/>
  <c r="N321" i="2"/>
  <c r="O321" i="2" s="1"/>
  <c r="L321" i="2"/>
  <c r="I321" i="2"/>
  <c r="H321" i="2"/>
  <c r="F321" i="2"/>
  <c r="C321" i="2"/>
  <c r="AD320" i="2"/>
  <c r="AC320" i="2"/>
  <c r="AA320" i="2"/>
  <c r="W320" i="2"/>
  <c r="X320" i="2" s="1"/>
  <c r="U320" i="2"/>
  <c r="R320" i="2"/>
  <c r="N320" i="2"/>
  <c r="O320" i="2" s="1"/>
  <c r="L320" i="2"/>
  <c r="I320" i="2"/>
  <c r="H320" i="2"/>
  <c r="F320" i="2"/>
  <c r="C320" i="2"/>
  <c r="AD319" i="2"/>
  <c r="AC319" i="2"/>
  <c r="AA319" i="2"/>
  <c r="W319" i="2"/>
  <c r="X319" i="2" s="1"/>
  <c r="U319" i="2"/>
  <c r="R319" i="2"/>
  <c r="O319" i="2"/>
  <c r="N319" i="2"/>
  <c r="L319" i="2"/>
  <c r="H319" i="2"/>
  <c r="I319" i="2" s="1"/>
  <c r="F319" i="2"/>
  <c r="C319" i="2"/>
  <c r="AC318" i="2"/>
  <c r="AD318" i="2" s="1"/>
  <c r="AA318" i="2"/>
  <c r="W318" i="2"/>
  <c r="X318" i="2" s="1"/>
  <c r="U318" i="2"/>
  <c r="R318" i="2"/>
  <c r="N318" i="2"/>
  <c r="O318" i="2" s="1"/>
  <c r="L318" i="2"/>
  <c r="H318" i="2"/>
  <c r="F318" i="2"/>
  <c r="C318" i="2"/>
  <c r="AD317" i="2"/>
  <c r="AC317" i="2"/>
  <c r="AA317" i="2"/>
  <c r="X317" i="2"/>
  <c r="W317" i="2"/>
  <c r="U317" i="2"/>
  <c r="R317" i="2"/>
  <c r="O317" i="2"/>
  <c r="N317" i="2"/>
  <c r="L317" i="2"/>
  <c r="H317" i="2"/>
  <c r="I317" i="2" s="1"/>
  <c r="F317" i="2"/>
  <c r="C317" i="2"/>
  <c r="AD316" i="2"/>
  <c r="AC316" i="2"/>
  <c r="AA316" i="2"/>
  <c r="W316" i="2"/>
  <c r="X316" i="2" s="1"/>
  <c r="U316" i="2"/>
  <c r="R316" i="2"/>
  <c r="N316" i="2"/>
  <c r="O316" i="2" s="1"/>
  <c r="L316" i="2"/>
  <c r="I316" i="2"/>
  <c r="H316" i="2"/>
  <c r="F316" i="2"/>
  <c r="C316" i="2"/>
  <c r="AD315" i="2"/>
  <c r="AC315" i="2"/>
  <c r="AA315" i="2"/>
  <c r="W315" i="2"/>
  <c r="X315" i="2" s="1"/>
  <c r="U315" i="2"/>
  <c r="R315" i="2"/>
  <c r="O315" i="2"/>
  <c r="N315" i="2"/>
  <c r="L315" i="2"/>
  <c r="H315" i="2"/>
  <c r="I315" i="2" s="1"/>
  <c r="F315" i="2"/>
  <c r="C315" i="2"/>
  <c r="AC314" i="2"/>
  <c r="AD314" i="2" s="1"/>
  <c r="AA314" i="2"/>
  <c r="W314" i="2"/>
  <c r="X314" i="2" s="1"/>
  <c r="U314" i="2"/>
  <c r="R314" i="2"/>
  <c r="N314" i="2"/>
  <c r="O314" i="2" s="1"/>
  <c r="L314" i="2"/>
  <c r="H314" i="2"/>
  <c r="F314" i="2"/>
  <c r="C314" i="2"/>
  <c r="AD313" i="2"/>
  <c r="AC313" i="2"/>
  <c r="AA313" i="2"/>
  <c r="X313" i="2"/>
  <c r="W313" i="2"/>
  <c r="U313" i="2"/>
  <c r="R313" i="2"/>
  <c r="N313" i="2"/>
  <c r="O313" i="2" s="1"/>
  <c r="L313" i="2"/>
  <c r="H313" i="2"/>
  <c r="I313" i="2" s="1"/>
  <c r="F313" i="2"/>
  <c r="C313" i="2"/>
  <c r="AC312" i="2"/>
  <c r="AD312" i="2" s="1"/>
  <c r="AA312" i="2"/>
  <c r="W312" i="2"/>
  <c r="X312" i="2" s="1"/>
  <c r="U312" i="2"/>
  <c r="R312" i="2"/>
  <c r="N312" i="2"/>
  <c r="O312" i="2" s="1"/>
  <c r="L312" i="2"/>
  <c r="I312" i="2"/>
  <c r="H312" i="2"/>
  <c r="F312" i="2"/>
  <c r="C312" i="2"/>
  <c r="AD311" i="2"/>
  <c r="AC311" i="2"/>
  <c r="AA311" i="2"/>
  <c r="W311" i="2"/>
  <c r="X311" i="2" s="1"/>
  <c r="U311" i="2"/>
  <c r="R311" i="2"/>
  <c r="O311" i="2"/>
  <c r="N311" i="2"/>
  <c r="L311" i="2"/>
  <c r="I311" i="2"/>
  <c r="H311" i="2"/>
  <c r="F311" i="2"/>
  <c r="C311" i="2"/>
  <c r="AD310" i="2"/>
  <c r="AC310" i="2"/>
  <c r="AA310" i="2"/>
  <c r="W310" i="2"/>
  <c r="X310" i="2" s="1"/>
  <c r="U310" i="2"/>
  <c r="R310" i="2"/>
  <c r="N310" i="2"/>
  <c r="O310" i="2" s="1"/>
  <c r="L310" i="2"/>
  <c r="H310" i="2"/>
  <c r="F310" i="2"/>
  <c r="C310" i="2"/>
  <c r="AD309" i="2"/>
  <c r="AC309" i="2"/>
  <c r="AA309" i="2"/>
  <c r="X309" i="2"/>
  <c r="W309" i="2"/>
  <c r="U309" i="2"/>
  <c r="R309" i="2"/>
  <c r="N309" i="2"/>
  <c r="O309" i="2" s="1"/>
  <c r="L309" i="2"/>
  <c r="H309" i="2"/>
  <c r="I309" i="2" s="1"/>
  <c r="F309" i="2"/>
  <c r="C309" i="2"/>
  <c r="AC308" i="2"/>
  <c r="AD308" i="2" s="1"/>
  <c r="AA308" i="2"/>
  <c r="W308" i="2"/>
  <c r="X308" i="2" s="1"/>
  <c r="U308" i="2"/>
  <c r="R308" i="2"/>
  <c r="N308" i="2"/>
  <c r="O308" i="2" s="1"/>
  <c r="L308" i="2"/>
  <c r="I308" i="2"/>
  <c r="H308" i="2"/>
  <c r="F308" i="2"/>
  <c r="C308" i="2"/>
  <c r="AD307" i="2"/>
  <c r="AC307" i="2"/>
  <c r="AA307" i="2"/>
  <c r="X307" i="2"/>
  <c r="W307" i="2"/>
  <c r="U307" i="2"/>
  <c r="R307" i="2"/>
  <c r="O307" i="2"/>
  <c r="N307" i="2"/>
  <c r="L307" i="2"/>
  <c r="H307" i="2"/>
  <c r="I307" i="2" s="1"/>
  <c r="F307" i="2"/>
  <c r="C307" i="2"/>
  <c r="AD306" i="2"/>
  <c r="AC306" i="2"/>
  <c r="AA306" i="2"/>
  <c r="W306" i="2"/>
  <c r="X306" i="2" s="1"/>
  <c r="U306" i="2"/>
  <c r="R306" i="2"/>
  <c r="N306" i="2"/>
  <c r="O306" i="2" s="1"/>
  <c r="L306" i="2"/>
  <c r="H306" i="2"/>
  <c r="F306" i="2"/>
  <c r="C306" i="2"/>
  <c r="AD305" i="2"/>
  <c r="AC305" i="2"/>
  <c r="AA305" i="2"/>
  <c r="X305" i="2"/>
  <c r="W305" i="2"/>
  <c r="U305" i="2"/>
  <c r="R305" i="2"/>
  <c r="N305" i="2"/>
  <c r="O305" i="2" s="1"/>
  <c r="L305" i="2"/>
  <c r="I305" i="2"/>
  <c r="H305" i="2"/>
  <c r="F305" i="2"/>
  <c r="C305" i="2"/>
  <c r="AD304" i="2"/>
  <c r="AC304" i="2"/>
  <c r="AA304" i="2"/>
  <c r="W304" i="2"/>
  <c r="X304" i="2" s="1"/>
  <c r="U304" i="2"/>
  <c r="R304" i="2"/>
  <c r="N304" i="2"/>
  <c r="O304" i="2" s="1"/>
  <c r="L304" i="2"/>
  <c r="I304" i="2"/>
  <c r="H304" i="2"/>
  <c r="F304" i="2"/>
  <c r="C304" i="2"/>
  <c r="AD303" i="2"/>
  <c r="AC303" i="2"/>
  <c r="AA303" i="2"/>
  <c r="X303" i="2"/>
  <c r="W303" i="2"/>
  <c r="U303" i="2"/>
  <c r="R303" i="2"/>
  <c r="O303" i="2"/>
  <c r="N303" i="2"/>
  <c r="L303" i="2"/>
  <c r="I303" i="2"/>
  <c r="H303" i="2"/>
  <c r="F303" i="2"/>
  <c r="C303" i="2"/>
  <c r="AC302" i="2"/>
  <c r="AD302" i="2" s="1"/>
  <c r="AA302" i="2"/>
  <c r="W302" i="2"/>
  <c r="X302" i="2" s="1"/>
  <c r="U302" i="2"/>
  <c r="R302" i="2"/>
  <c r="N302" i="2"/>
  <c r="O302" i="2" s="1"/>
  <c r="L302" i="2"/>
  <c r="H302" i="2"/>
  <c r="F302" i="2"/>
  <c r="C302" i="2"/>
  <c r="AD301" i="2"/>
  <c r="AC301" i="2"/>
  <c r="AA301" i="2"/>
  <c r="X301" i="2"/>
  <c r="W301" i="2"/>
  <c r="U301" i="2"/>
  <c r="R301" i="2"/>
  <c r="O301" i="2"/>
  <c r="N301" i="2"/>
  <c r="L301" i="2"/>
  <c r="I301" i="2"/>
  <c r="H301" i="2"/>
  <c r="F301" i="2"/>
  <c r="C301" i="2"/>
  <c r="AC300" i="2"/>
  <c r="AD300" i="2" s="1"/>
  <c r="AA300" i="2"/>
  <c r="W300" i="2"/>
  <c r="X300" i="2" s="1"/>
  <c r="U300" i="2"/>
  <c r="R300" i="2"/>
  <c r="N300" i="2"/>
  <c r="O300" i="2" s="1"/>
  <c r="L300" i="2"/>
  <c r="I300" i="2"/>
  <c r="H300" i="2"/>
  <c r="F300" i="2"/>
  <c r="C300" i="2"/>
  <c r="AD299" i="2"/>
  <c r="AC299" i="2"/>
  <c r="AA299" i="2"/>
  <c r="W299" i="2"/>
  <c r="X299" i="2" s="1"/>
  <c r="U299" i="2"/>
  <c r="R299" i="2"/>
  <c r="O299" i="2"/>
  <c r="N299" i="2"/>
  <c r="L299" i="2"/>
  <c r="H299" i="2"/>
  <c r="I299" i="2" s="1"/>
  <c r="F299" i="2"/>
  <c r="C299" i="2"/>
  <c r="AC298" i="2"/>
  <c r="AD298" i="2" s="1"/>
  <c r="AA298" i="2"/>
  <c r="W298" i="2"/>
  <c r="X298" i="2" s="1"/>
  <c r="U298" i="2"/>
  <c r="R298" i="2"/>
  <c r="N298" i="2"/>
  <c r="O298" i="2" s="1"/>
  <c r="L298" i="2"/>
  <c r="H298" i="2"/>
  <c r="F298" i="2"/>
  <c r="C298" i="2"/>
  <c r="AD297" i="2"/>
  <c r="AC297" i="2"/>
  <c r="AA297" i="2"/>
  <c r="X297" i="2"/>
  <c r="W297" i="2"/>
  <c r="U297" i="2"/>
  <c r="R297" i="2"/>
  <c r="O297" i="2"/>
  <c r="N297" i="2"/>
  <c r="L297" i="2"/>
  <c r="I297" i="2"/>
  <c r="H297" i="2"/>
  <c r="F297" i="2"/>
  <c r="C297" i="2"/>
  <c r="AA295" i="2"/>
  <c r="Z295" i="2"/>
  <c r="U295" i="2"/>
  <c r="T295" i="2"/>
  <c r="Q295" i="2"/>
  <c r="W295" i="2" s="1"/>
  <c r="X295" i="2" s="1"/>
  <c r="K295" i="2"/>
  <c r="L295" i="2" s="1"/>
  <c r="E295" i="2"/>
  <c r="H295" i="2" s="1"/>
  <c r="I295" i="2" s="1"/>
  <c r="C295" i="2"/>
  <c r="B295" i="2"/>
  <c r="N295" i="2" s="1"/>
  <c r="O295" i="2" s="1"/>
  <c r="AD294" i="2"/>
  <c r="AC294" i="2"/>
  <c r="AA294" i="2"/>
  <c r="W294" i="2"/>
  <c r="X294" i="2" s="1"/>
  <c r="U294" i="2"/>
  <c r="R294" i="2"/>
  <c r="N294" i="2"/>
  <c r="O294" i="2" s="1"/>
  <c r="L294" i="2"/>
  <c r="H294" i="2"/>
  <c r="F294" i="2"/>
  <c r="C294" i="2"/>
  <c r="AD293" i="2"/>
  <c r="AC293" i="2"/>
  <c r="AA293" i="2"/>
  <c r="X293" i="2"/>
  <c r="W293" i="2"/>
  <c r="U293" i="2"/>
  <c r="R293" i="2"/>
  <c r="N293" i="2"/>
  <c r="O293" i="2" s="1"/>
  <c r="L293" i="2"/>
  <c r="I293" i="2"/>
  <c r="H293" i="2"/>
  <c r="F293" i="2"/>
  <c r="C293" i="2"/>
  <c r="AD292" i="2"/>
  <c r="AC292" i="2"/>
  <c r="AA292" i="2"/>
  <c r="W292" i="2"/>
  <c r="X292" i="2" s="1"/>
  <c r="U292" i="2"/>
  <c r="R292" i="2"/>
  <c r="N292" i="2"/>
  <c r="O292" i="2" s="1"/>
  <c r="L292" i="2"/>
  <c r="I292" i="2"/>
  <c r="H292" i="2"/>
  <c r="F292" i="2"/>
  <c r="C292" i="2"/>
  <c r="AD291" i="2"/>
  <c r="AC291" i="2"/>
  <c r="AA291" i="2"/>
  <c r="X291" i="2"/>
  <c r="W291" i="2"/>
  <c r="U291" i="2"/>
  <c r="R291" i="2"/>
  <c r="O291" i="2"/>
  <c r="N291" i="2"/>
  <c r="L291" i="2"/>
  <c r="H291" i="2"/>
  <c r="I291" i="2" s="1"/>
  <c r="F291" i="2"/>
  <c r="C291" i="2"/>
  <c r="AD290" i="2"/>
  <c r="AC290" i="2"/>
  <c r="AA290" i="2"/>
  <c r="W290" i="2"/>
  <c r="X290" i="2" s="1"/>
  <c r="U290" i="2"/>
  <c r="R290" i="2"/>
  <c r="N290" i="2"/>
  <c r="O290" i="2" s="1"/>
  <c r="L290" i="2"/>
  <c r="H290" i="2"/>
  <c r="F290" i="2"/>
  <c r="C290" i="2"/>
  <c r="AD289" i="2"/>
  <c r="AC289" i="2"/>
  <c r="AA289" i="2"/>
  <c r="X289" i="2"/>
  <c r="W289" i="2"/>
  <c r="U289" i="2"/>
  <c r="R289" i="2"/>
  <c r="O289" i="2"/>
  <c r="N289" i="2"/>
  <c r="L289" i="2"/>
  <c r="I289" i="2"/>
  <c r="H289" i="2"/>
  <c r="F289" i="2"/>
  <c r="C289" i="2"/>
  <c r="AC288" i="2"/>
  <c r="AD288" i="2" s="1"/>
  <c r="AA288" i="2"/>
  <c r="W288" i="2"/>
  <c r="X288" i="2" s="1"/>
  <c r="U288" i="2"/>
  <c r="R288" i="2"/>
  <c r="N288" i="2"/>
  <c r="O288" i="2" s="1"/>
  <c r="L288" i="2"/>
  <c r="I288" i="2"/>
  <c r="H288" i="2"/>
  <c r="F288" i="2"/>
  <c r="C288" i="2"/>
  <c r="AD287" i="2"/>
  <c r="AC287" i="2"/>
  <c r="AA287" i="2"/>
  <c r="X287" i="2"/>
  <c r="W287" i="2"/>
  <c r="U287" i="2"/>
  <c r="R287" i="2"/>
  <c r="O287" i="2"/>
  <c r="N287" i="2"/>
  <c r="L287" i="2"/>
  <c r="H287" i="2"/>
  <c r="I287" i="2" s="1"/>
  <c r="F287" i="2"/>
  <c r="C287" i="2"/>
  <c r="AC286" i="2"/>
  <c r="AD286" i="2" s="1"/>
  <c r="AA286" i="2"/>
  <c r="W286" i="2"/>
  <c r="X286" i="2" s="1"/>
  <c r="U286" i="2"/>
  <c r="R286" i="2"/>
  <c r="N286" i="2"/>
  <c r="O286" i="2" s="1"/>
  <c r="L286" i="2"/>
  <c r="H286" i="2"/>
  <c r="F286" i="2"/>
  <c r="C286" i="2"/>
  <c r="Z284" i="2"/>
  <c r="AA284" i="2" s="1"/>
  <c r="T284" i="2"/>
  <c r="W284" i="2" s="1"/>
  <c r="X284" i="2" s="1"/>
  <c r="R284" i="2"/>
  <c r="Q284" i="2"/>
  <c r="AC284" i="2" s="1"/>
  <c r="AD284" i="2" s="1"/>
  <c r="L284" i="2"/>
  <c r="K284" i="2"/>
  <c r="H284" i="2"/>
  <c r="I284" i="2" s="1"/>
  <c r="F284" i="2"/>
  <c r="E284" i="2"/>
  <c r="C284" i="2"/>
  <c r="B284" i="2"/>
  <c r="N284" i="2" s="1"/>
  <c r="O284" i="2" s="1"/>
  <c r="AD283" i="2"/>
  <c r="AC283" i="2"/>
  <c r="AA283" i="2"/>
  <c r="X283" i="2"/>
  <c r="W283" i="2"/>
  <c r="U283" i="2"/>
  <c r="R283" i="2"/>
  <c r="O283" i="2"/>
  <c r="N283" i="2"/>
  <c r="L283" i="2"/>
  <c r="H283" i="2"/>
  <c r="I283" i="2" s="1"/>
  <c r="F283" i="2"/>
  <c r="C283" i="2"/>
  <c r="AD282" i="2"/>
  <c r="AC282" i="2"/>
  <c r="AA282" i="2"/>
  <c r="W282" i="2"/>
  <c r="X282" i="2" s="1"/>
  <c r="U282" i="2"/>
  <c r="R282" i="2"/>
  <c r="N282" i="2"/>
  <c r="O282" i="2" s="1"/>
  <c r="L282" i="2"/>
  <c r="H282" i="2"/>
  <c r="F282" i="2"/>
  <c r="C282" i="2"/>
  <c r="AD281" i="2"/>
  <c r="AC281" i="2"/>
  <c r="AA281" i="2"/>
  <c r="X281" i="2"/>
  <c r="W281" i="2"/>
  <c r="U281" i="2"/>
  <c r="R281" i="2"/>
  <c r="N281" i="2"/>
  <c r="O281" i="2" s="1"/>
  <c r="L281" i="2"/>
  <c r="I281" i="2"/>
  <c r="H281" i="2"/>
  <c r="F281" i="2"/>
  <c r="C281" i="2"/>
  <c r="AD280" i="2"/>
  <c r="AC280" i="2"/>
  <c r="AA280" i="2"/>
  <c r="W280" i="2"/>
  <c r="X280" i="2" s="1"/>
  <c r="U280" i="2"/>
  <c r="R280" i="2"/>
  <c r="N280" i="2"/>
  <c r="O280" i="2" s="1"/>
  <c r="L280" i="2"/>
  <c r="I280" i="2"/>
  <c r="H280" i="2"/>
  <c r="F280" i="2"/>
  <c r="C280" i="2"/>
  <c r="AD279" i="2"/>
  <c r="AC279" i="2"/>
  <c r="AA279" i="2"/>
  <c r="X279" i="2"/>
  <c r="W279" i="2"/>
  <c r="U279" i="2"/>
  <c r="R279" i="2"/>
  <c r="O279" i="2"/>
  <c r="N279" i="2"/>
  <c r="L279" i="2"/>
  <c r="H279" i="2"/>
  <c r="I279" i="2" s="1"/>
  <c r="F279" i="2"/>
  <c r="C279" i="2"/>
  <c r="AC278" i="2"/>
  <c r="AD278" i="2" s="1"/>
  <c r="AA278" i="2"/>
  <c r="W278" i="2"/>
  <c r="X278" i="2" s="1"/>
  <c r="U278" i="2"/>
  <c r="R278" i="2"/>
  <c r="N278" i="2"/>
  <c r="O278" i="2" s="1"/>
  <c r="L278" i="2"/>
  <c r="H278" i="2"/>
  <c r="F278" i="2"/>
  <c r="C278" i="2"/>
  <c r="AD277" i="2"/>
  <c r="AC277" i="2"/>
  <c r="AA277" i="2"/>
  <c r="X277" i="2"/>
  <c r="W277" i="2"/>
  <c r="U277" i="2"/>
  <c r="R277" i="2"/>
  <c r="O277" i="2"/>
  <c r="N277" i="2"/>
  <c r="L277" i="2"/>
  <c r="I277" i="2"/>
  <c r="H277" i="2"/>
  <c r="F277" i="2"/>
  <c r="C277" i="2"/>
  <c r="AD276" i="2"/>
  <c r="AC276" i="2"/>
  <c r="AA276" i="2"/>
  <c r="W276" i="2"/>
  <c r="X276" i="2" s="1"/>
  <c r="U276" i="2"/>
  <c r="R276" i="2"/>
  <c r="N276" i="2"/>
  <c r="O276" i="2" s="1"/>
  <c r="L276" i="2"/>
  <c r="I276" i="2"/>
  <c r="H276" i="2"/>
  <c r="F276" i="2"/>
  <c r="C276" i="2"/>
  <c r="AD275" i="2"/>
  <c r="AC275" i="2"/>
  <c r="AA275" i="2"/>
  <c r="W275" i="2"/>
  <c r="X275" i="2" s="1"/>
  <c r="U275" i="2"/>
  <c r="R275" i="2"/>
  <c r="O275" i="2"/>
  <c r="N275" i="2"/>
  <c r="L275" i="2"/>
  <c r="H275" i="2"/>
  <c r="I275" i="2" s="1"/>
  <c r="F275" i="2"/>
  <c r="C275" i="2"/>
  <c r="AA273" i="2"/>
  <c r="Z273" i="2"/>
  <c r="U273" i="2"/>
  <c r="T273" i="2"/>
  <c r="Q273" i="2"/>
  <c r="R273" i="2" s="1"/>
  <c r="L273" i="2"/>
  <c r="K273" i="2"/>
  <c r="E273" i="2"/>
  <c r="F273" i="2" s="1"/>
  <c r="C273" i="2"/>
  <c r="B273" i="2"/>
  <c r="AC272" i="2"/>
  <c r="AD272" i="2" s="1"/>
  <c r="AA272" i="2"/>
  <c r="W272" i="2"/>
  <c r="X272" i="2" s="1"/>
  <c r="U272" i="2"/>
  <c r="R272" i="2"/>
  <c r="N272" i="2"/>
  <c r="O272" i="2" s="1"/>
  <c r="L272" i="2"/>
  <c r="I272" i="2"/>
  <c r="H272" i="2"/>
  <c r="F272" i="2"/>
  <c r="C272" i="2"/>
  <c r="AD271" i="2"/>
  <c r="AC271" i="2"/>
  <c r="AA271" i="2"/>
  <c r="W271" i="2"/>
  <c r="X271" i="2" s="1"/>
  <c r="U271" i="2"/>
  <c r="R271" i="2"/>
  <c r="O271" i="2"/>
  <c r="N271" i="2"/>
  <c r="L271" i="2"/>
  <c r="I271" i="2"/>
  <c r="H271" i="2"/>
  <c r="F271" i="2"/>
  <c r="C271" i="2"/>
  <c r="AC270" i="2"/>
  <c r="AD270" i="2" s="1"/>
  <c r="AA270" i="2"/>
  <c r="W270" i="2"/>
  <c r="X270" i="2" s="1"/>
  <c r="U270" i="2"/>
  <c r="R270" i="2"/>
  <c r="N270" i="2"/>
  <c r="O270" i="2" s="1"/>
  <c r="L270" i="2"/>
  <c r="H270" i="2"/>
  <c r="F270" i="2"/>
  <c r="C270" i="2"/>
  <c r="AD269" i="2"/>
  <c r="AC269" i="2"/>
  <c r="AA269" i="2"/>
  <c r="X269" i="2"/>
  <c r="W269" i="2"/>
  <c r="U269" i="2"/>
  <c r="R269" i="2"/>
  <c r="O269" i="2"/>
  <c r="N269" i="2"/>
  <c r="L269" i="2"/>
  <c r="H269" i="2"/>
  <c r="I269" i="2" s="1"/>
  <c r="F269" i="2"/>
  <c r="C269" i="2"/>
  <c r="AA267" i="2"/>
  <c r="Z267" i="2"/>
  <c r="U267" i="2"/>
  <c r="T267" i="2"/>
  <c r="Q267" i="2"/>
  <c r="R267" i="2" s="1"/>
  <c r="O267" i="2"/>
  <c r="L267" i="2"/>
  <c r="K267" i="2"/>
  <c r="F267" i="2"/>
  <c r="E267" i="2"/>
  <c r="H267" i="2" s="1"/>
  <c r="I267" i="2" s="1"/>
  <c r="C267" i="2"/>
  <c r="B267" i="2"/>
  <c r="N267" i="2" s="1"/>
  <c r="AD266" i="2"/>
  <c r="AC266" i="2"/>
  <c r="AA266" i="2"/>
  <c r="W266" i="2"/>
  <c r="X266" i="2" s="1"/>
  <c r="U266" i="2"/>
  <c r="R266" i="2"/>
  <c r="N266" i="2"/>
  <c r="O266" i="2" s="1"/>
  <c r="L266" i="2"/>
  <c r="H266" i="2"/>
  <c r="F266" i="2"/>
  <c r="C266" i="2"/>
  <c r="AD265" i="2"/>
  <c r="AC265" i="2"/>
  <c r="AA265" i="2"/>
  <c r="X265" i="2"/>
  <c r="W265" i="2"/>
  <c r="U265" i="2"/>
  <c r="R265" i="2"/>
  <c r="O265" i="2"/>
  <c r="N265" i="2"/>
  <c r="L265" i="2"/>
  <c r="I265" i="2"/>
  <c r="H265" i="2"/>
  <c r="F265" i="2"/>
  <c r="C265" i="2"/>
  <c r="AA263" i="2"/>
  <c r="Z263" i="2"/>
  <c r="U263" i="2"/>
  <c r="T263" i="2"/>
  <c r="Q263" i="2"/>
  <c r="W263" i="2" s="1"/>
  <c r="X263" i="2" s="1"/>
  <c r="K263" i="2"/>
  <c r="L263" i="2" s="1"/>
  <c r="E263" i="2"/>
  <c r="H263" i="2" s="1"/>
  <c r="I263" i="2" s="1"/>
  <c r="C263" i="2"/>
  <c r="B263" i="2"/>
  <c r="AD262" i="2"/>
  <c r="AA262" i="2"/>
  <c r="Z262" i="2"/>
  <c r="W262" i="2"/>
  <c r="X262" i="2" s="1"/>
  <c r="U262" i="2"/>
  <c r="T262" i="2"/>
  <c r="R262" i="2"/>
  <c r="Q262" i="2"/>
  <c r="AC262" i="2" s="1"/>
  <c r="K262" i="2"/>
  <c r="L262" i="2" s="1"/>
  <c r="E262" i="2"/>
  <c r="F262" i="2" s="1"/>
  <c r="C262" i="2"/>
  <c r="B262" i="2"/>
  <c r="AC261" i="2"/>
  <c r="AD261" i="2" s="1"/>
  <c r="AA261" i="2"/>
  <c r="W261" i="2"/>
  <c r="X261" i="2" s="1"/>
  <c r="U261" i="2"/>
  <c r="R261" i="2"/>
  <c r="N261" i="2"/>
  <c r="O261" i="2" s="1"/>
  <c r="L261" i="2"/>
  <c r="I261" i="2"/>
  <c r="H261" i="2"/>
  <c r="F261" i="2"/>
  <c r="C261" i="2"/>
  <c r="AD260" i="2"/>
  <c r="AC260" i="2"/>
  <c r="AA260" i="2"/>
  <c r="X260" i="2"/>
  <c r="W260" i="2"/>
  <c r="U260" i="2"/>
  <c r="R260" i="2"/>
  <c r="O260" i="2"/>
  <c r="N260" i="2"/>
  <c r="L260" i="2"/>
  <c r="I260" i="2"/>
  <c r="H260" i="2"/>
  <c r="F260" i="2"/>
  <c r="C260" i="2"/>
  <c r="AD259" i="2"/>
  <c r="AC259" i="2"/>
  <c r="AA259" i="2"/>
  <c r="W259" i="2"/>
  <c r="X259" i="2" s="1"/>
  <c r="U259" i="2"/>
  <c r="R259" i="2"/>
  <c r="N259" i="2"/>
  <c r="O259" i="2" s="1"/>
  <c r="L259" i="2"/>
  <c r="H259" i="2"/>
  <c r="F259" i="2"/>
  <c r="C259" i="2"/>
  <c r="AD258" i="2"/>
  <c r="AC258" i="2"/>
  <c r="AA258" i="2"/>
  <c r="X258" i="2"/>
  <c r="W258" i="2"/>
  <c r="U258" i="2"/>
  <c r="R258" i="2"/>
  <c r="N258" i="2"/>
  <c r="O258" i="2" s="1"/>
  <c r="L258" i="2"/>
  <c r="I258" i="2"/>
  <c r="H258" i="2"/>
  <c r="F258" i="2"/>
  <c r="C258" i="2"/>
  <c r="AC257" i="2"/>
  <c r="AD257" i="2" s="1"/>
  <c r="AA257" i="2"/>
  <c r="W257" i="2"/>
  <c r="X257" i="2" s="1"/>
  <c r="U257" i="2"/>
  <c r="R257" i="2"/>
  <c r="N257" i="2"/>
  <c r="O257" i="2" s="1"/>
  <c r="L257" i="2"/>
  <c r="I257" i="2"/>
  <c r="H257" i="2"/>
  <c r="F257" i="2"/>
  <c r="C257" i="2"/>
  <c r="AD256" i="2"/>
  <c r="AC256" i="2"/>
  <c r="AA256" i="2"/>
  <c r="X256" i="2"/>
  <c r="W256" i="2"/>
  <c r="U256" i="2"/>
  <c r="R256" i="2"/>
  <c r="O256" i="2"/>
  <c r="N256" i="2"/>
  <c r="L256" i="2"/>
  <c r="H256" i="2"/>
  <c r="I256" i="2" s="1"/>
  <c r="F256" i="2"/>
  <c r="C256" i="2"/>
  <c r="AC255" i="2"/>
  <c r="AD255" i="2" s="1"/>
  <c r="AA255" i="2"/>
  <c r="W255" i="2"/>
  <c r="X255" i="2" s="1"/>
  <c r="U255" i="2"/>
  <c r="R255" i="2"/>
  <c r="N255" i="2"/>
  <c r="O255" i="2" s="1"/>
  <c r="L255" i="2"/>
  <c r="H255" i="2"/>
  <c r="F255" i="2"/>
  <c r="C255" i="2"/>
  <c r="AD254" i="2"/>
  <c r="AC254" i="2"/>
  <c r="AA254" i="2"/>
  <c r="X254" i="2"/>
  <c r="W254" i="2"/>
  <c r="U254" i="2"/>
  <c r="R254" i="2"/>
  <c r="O254" i="2"/>
  <c r="N254" i="2"/>
  <c r="L254" i="2"/>
  <c r="I254" i="2"/>
  <c r="H254" i="2"/>
  <c r="F254" i="2"/>
  <c r="C254" i="2"/>
  <c r="AD253" i="2"/>
  <c r="AC253" i="2"/>
  <c r="AA253" i="2"/>
  <c r="W253" i="2"/>
  <c r="X253" i="2" s="1"/>
  <c r="U253" i="2"/>
  <c r="R253" i="2"/>
  <c r="N253" i="2"/>
  <c r="O253" i="2" s="1"/>
  <c r="L253" i="2"/>
  <c r="I253" i="2"/>
  <c r="H253" i="2"/>
  <c r="F253" i="2"/>
  <c r="C253" i="2"/>
  <c r="AD252" i="2"/>
  <c r="AC252" i="2"/>
  <c r="AA252" i="2"/>
  <c r="W252" i="2"/>
  <c r="X252" i="2" s="1"/>
  <c r="U252" i="2"/>
  <c r="R252" i="2"/>
  <c r="O252" i="2"/>
  <c r="N252" i="2"/>
  <c r="L252" i="2"/>
  <c r="H252" i="2"/>
  <c r="I252" i="2" s="1"/>
  <c r="F252" i="2"/>
  <c r="C252" i="2"/>
  <c r="AC251" i="2"/>
  <c r="AD251" i="2" s="1"/>
  <c r="AA251" i="2"/>
  <c r="W251" i="2"/>
  <c r="X251" i="2" s="1"/>
  <c r="U251" i="2"/>
  <c r="R251" i="2"/>
  <c r="N251" i="2"/>
  <c r="O251" i="2" s="1"/>
  <c r="L251" i="2"/>
  <c r="H251" i="2"/>
  <c r="F251" i="2"/>
  <c r="C251" i="2"/>
  <c r="AD250" i="2"/>
  <c r="AC250" i="2"/>
  <c r="AA250" i="2"/>
  <c r="X250" i="2"/>
  <c r="W250" i="2"/>
  <c r="U250" i="2"/>
  <c r="R250" i="2"/>
  <c r="O250" i="2"/>
  <c r="N250" i="2"/>
  <c r="L250" i="2"/>
  <c r="I250" i="2"/>
  <c r="H250" i="2"/>
  <c r="F250" i="2"/>
  <c r="C250" i="2"/>
  <c r="AC249" i="2"/>
  <c r="AD249" i="2" s="1"/>
  <c r="AA249" i="2"/>
  <c r="W249" i="2"/>
  <c r="X249" i="2" s="1"/>
  <c r="U249" i="2"/>
  <c r="R249" i="2"/>
  <c r="N249" i="2"/>
  <c r="O249" i="2" s="1"/>
  <c r="L249" i="2"/>
  <c r="I249" i="2"/>
  <c r="H249" i="2"/>
  <c r="F249" i="2"/>
  <c r="C249" i="2"/>
  <c r="AD248" i="2"/>
  <c r="AC248" i="2"/>
  <c r="AA248" i="2"/>
  <c r="W248" i="2"/>
  <c r="X248" i="2" s="1"/>
  <c r="U248" i="2"/>
  <c r="R248" i="2"/>
  <c r="O248" i="2"/>
  <c r="N248" i="2"/>
  <c r="L248" i="2"/>
  <c r="I248" i="2"/>
  <c r="H248" i="2"/>
  <c r="F248" i="2"/>
  <c r="C248" i="2"/>
  <c r="AC247" i="2"/>
  <c r="AD247" i="2" s="1"/>
  <c r="AA247" i="2"/>
  <c r="W247" i="2"/>
  <c r="X247" i="2" s="1"/>
  <c r="U247" i="2"/>
  <c r="R247" i="2"/>
  <c r="N247" i="2"/>
  <c r="O247" i="2" s="1"/>
  <c r="L247" i="2"/>
  <c r="H247" i="2"/>
  <c r="F247" i="2"/>
  <c r="C247" i="2"/>
  <c r="AD246" i="2"/>
  <c r="AC246" i="2"/>
  <c r="AA246" i="2"/>
  <c r="X246" i="2"/>
  <c r="W246" i="2"/>
  <c r="U246" i="2"/>
  <c r="R246" i="2"/>
  <c r="N246" i="2"/>
  <c r="O246" i="2" s="1"/>
  <c r="L246" i="2"/>
  <c r="H246" i="2"/>
  <c r="I246" i="2" s="1"/>
  <c r="F246" i="2"/>
  <c r="C246" i="2"/>
  <c r="AC245" i="2"/>
  <c r="AD245" i="2" s="1"/>
  <c r="AA245" i="2"/>
  <c r="W245" i="2"/>
  <c r="X245" i="2" s="1"/>
  <c r="U245" i="2"/>
  <c r="R245" i="2"/>
  <c r="N245" i="2"/>
  <c r="O245" i="2" s="1"/>
  <c r="L245" i="2"/>
  <c r="I245" i="2"/>
  <c r="H245" i="2"/>
  <c r="F245" i="2"/>
  <c r="C245" i="2"/>
  <c r="AD244" i="2"/>
  <c r="AC244" i="2"/>
  <c r="AA244" i="2"/>
  <c r="W244" i="2"/>
  <c r="X244" i="2" s="1"/>
  <c r="U244" i="2"/>
  <c r="R244" i="2"/>
  <c r="O244" i="2"/>
  <c r="N244" i="2"/>
  <c r="L244" i="2"/>
  <c r="I244" i="2"/>
  <c r="H244" i="2"/>
  <c r="F244" i="2"/>
  <c r="C244" i="2"/>
  <c r="AC243" i="2"/>
  <c r="AD243" i="2" s="1"/>
  <c r="AA243" i="2"/>
  <c r="W243" i="2"/>
  <c r="X243" i="2" s="1"/>
  <c r="U243" i="2"/>
  <c r="R243" i="2"/>
  <c r="N243" i="2"/>
  <c r="O243" i="2" s="1"/>
  <c r="L243" i="2"/>
  <c r="H243" i="2"/>
  <c r="F243" i="2"/>
  <c r="C243" i="2"/>
  <c r="AD242" i="2"/>
  <c r="AC242" i="2"/>
  <c r="AA242" i="2"/>
  <c r="X242" i="2"/>
  <c r="W242" i="2"/>
  <c r="U242" i="2"/>
  <c r="R242" i="2"/>
  <c r="N242" i="2"/>
  <c r="O242" i="2" s="1"/>
  <c r="L242" i="2"/>
  <c r="H242" i="2"/>
  <c r="I242" i="2" s="1"/>
  <c r="F242" i="2"/>
  <c r="C242" i="2"/>
  <c r="AD241" i="2"/>
  <c r="AC241" i="2"/>
  <c r="AA241" i="2"/>
  <c r="W241" i="2"/>
  <c r="X241" i="2" s="1"/>
  <c r="U241" i="2"/>
  <c r="R241" i="2"/>
  <c r="N241" i="2"/>
  <c r="O241" i="2" s="1"/>
  <c r="L241" i="2"/>
  <c r="I241" i="2"/>
  <c r="H241" i="2"/>
  <c r="F241" i="2"/>
  <c r="C241" i="2"/>
  <c r="AD240" i="2"/>
  <c r="AC240" i="2"/>
  <c r="AA240" i="2"/>
  <c r="W240" i="2"/>
  <c r="X240" i="2" s="1"/>
  <c r="U240" i="2"/>
  <c r="R240" i="2"/>
  <c r="O240" i="2"/>
  <c r="N240" i="2"/>
  <c r="L240" i="2"/>
  <c r="H240" i="2"/>
  <c r="I240" i="2" s="1"/>
  <c r="F240" i="2"/>
  <c r="C240" i="2"/>
  <c r="AD238" i="2"/>
  <c r="AC238" i="2"/>
  <c r="AA238" i="2"/>
  <c r="W238" i="2"/>
  <c r="X238" i="2" s="1"/>
  <c r="U238" i="2"/>
  <c r="R238" i="2"/>
  <c r="N238" i="2"/>
  <c r="O238" i="2" s="1"/>
  <c r="L238" i="2"/>
  <c r="H238" i="2"/>
  <c r="F238" i="2"/>
  <c r="C238" i="2"/>
  <c r="AA236" i="2"/>
  <c r="Z236" i="2"/>
  <c r="U236" i="2"/>
  <c r="T236" i="2"/>
  <c r="W236" i="2" s="1"/>
  <c r="X236" i="2" s="1"/>
  <c r="R236" i="2"/>
  <c r="Q236" i="2"/>
  <c r="AC236" i="2" s="1"/>
  <c r="AD236" i="2" s="1"/>
  <c r="L236" i="2"/>
  <c r="K236" i="2"/>
  <c r="F236" i="2"/>
  <c r="E236" i="2"/>
  <c r="B236" i="2"/>
  <c r="C236" i="2" s="1"/>
  <c r="AD235" i="2"/>
  <c r="AC235" i="2"/>
  <c r="AA235" i="2"/>
  <c r="W235" i="2"/>
  <c r="X235" i="2" s="1"/>
  <c r="U235" i="2"/>
  <c r="R235" i="2"/>
  <c r="O235" i="2"/>
  <c r="N235" i="2"/>
  <c r="L235" i="2"/>
  <c r="I235" i="2"/>
  <c r="H235" i="2"/>
  <c r="F235" i="2"/>
  <c r="C235" i="2"/>
  <c r="AC234" i="2"/>
  <c r="AD234" i="2" s="1"/>
  <c r="AA234" i="2"/>
  <c r="W234" i="2"/>
  <c r="X234" i="2" s="1"/>
  <c r="U234" i="2"/>
  <c r="R234" i="2"/>
  <c r="N234" i="2"/>
  <c r="O234" i="2" s="1"/>
  <c r="L234" i="2"/>
  <c r="H234" i="2"/>
  <c r="F234" i="2"/>
  <c r="C234" i="2"/>
  <c r="AD233" i="2"/>
  <c r="AC233" i="2"/>
  <c r="AA233" i="2"/>
  <c r="X233" i="2"/>
  <c r="W233" i="2"/>
  <c r="U233" i="2"/>
  <c r="R233" i="2"/>
  <c r="N233" i="2"/>
  <c r="O233" i="2" s="1"/>
  <c r="L233" i="2"/>
  <c r="H233" i="2"/>
  <c r="I233" i="2" s="1"/>
  <c r="F233" i="2"/>
  <c r="C233" i="2"/>
  <c r="AC232" i="2"/>
  <c r="AD232" i="2" s="1"/>
  <c r="AA232" i="2"/>
  <c r="W232" i="2"/>
  <c r="X232" i="2" s="1"/>
  <c r="U232" i="2"/>
  <c r="R232" i="2"/>
  <c r="N232" i="2"/>
  <c r="O232" i="2" s="1"/>
  <c r="L232" i="2"/>
  <c r="I232" i="2"/>
  <c r="H232" i="2"/>
  <c r="F232" i="2"/>
  <c r="C232" i="2"/>
  <c r="AD231" i="2"/>
  <c r="AC231" i="2"/>
  <c r="AA231" i="2"/>
  <c r="W231" i="2"/>
  <c r="X231" i="2" s="1"/>
  <c r="U231" i="2"/>
  <c r="R231" i="2"/>
  <c r="O231" i="2"/>
  <c r="N231" i="2"/>
  <c r="L231" i="2"/>
  <c r="I231" i="2"/>
  <c r="H231" i="2"/>
  <c r="F231" i="2"/>
  <c r="C231" i="2"/>
  <c r="AD230" i="2"/>
  <c r="AC230" i="2"/>
  <c r="AA230" i="2"/>
  <c r="W230" i="2"/>
  <c r="X230" i="2" s="1"/>
  <c r="U230" i="2"/>
  <c r="R230" i="2"/>
  <c r="N230" i="2"/>
  <c r="O230" i="2" s="1"/>
  <c r="L230" i="2"/>
  <c r="H230" i="2"/>
  <c r="F230" i="2"/>
  <c r="C230" i="2"/>
  <c r="AD229" i="2"/>
  <c r="AC229" i="2"/>
  <c r="AA229" i="2"/>
  <c r="X229" i="2"/>
  <c r="W229" i="2"/>
  <c r="U229" i="2"/>
  <c r="R229" i="2"/>
  <c r="N229" i="2"/>
  <c r="O229" i="2" s="1"/>
  <c r="L229" i="2"/>
  <c r="H229" i="2"/>
  <c r="I229" i="2" s="1"/>
  <c r="F229" i="2"/>
  <c r="C229" i="2"/>
  <c r="AD227" i="2"/>
  <c r="AA227" i="2"/>
  <c r="Z227" i="2"/>
  <c r="W227" i="2"/>
  <c r="X227" i="2" s="1"/>
  <c r="U227" i="2"/>
  <c r="T227" i="2"/>
  <c r="R227" i="2"/>
  <c r="Q227" i="2"/>
  <c r="AC227" i="2" s="1"/>
  <c r="L227" i="2"/>
  <c r="K227" i="2"/>
  <c r="E227" i="2"/>
  <c r="F227" i="2" s="1"/>
  <c r="C227" i="2"/>
  <c r="B227" i="2"/>
  <c r="H227" i="2" s="1"/>
  <c r="I227" i="2" s="1"/>
  <c r="AC226" i="2"/>
  <c r="AD226" i="2" s="1"/>
  <c r="AA226" i="2"/>
  <c r="W226" i="2"/>
  <c r="X226" i="2" s="1"/>
  <c r="U226" i="2"/>
  <c r="R226" i="2"/>
  <c r="N226" i="2"/>
  <c r="O226" i="2" s="1"/>
  <c r="L226" i="2"/>
  <c r="H226" i="2"/>
  <c r="F226" i="2"/>
  <c r="C226" i="2"/>
  <c r="AD225" i="2"/>
  <c r="AC225" i="2"/>
  <c r="AA225" i="2"/>
  <c r="X225" i="2"/>
  <c r="W225" i="2"/>
  <c r="U225" i="2"/>
  <c r="R225" i="2"/>
  <c r="O225" i="2"/>
  <c r="N225" i="2"/>
  <c r="L225" i="2"/>
  <c r="H225" i="2"/>
  <c r="I225" i="2" s="1"/>
  <c r="F225" i="2"/>
  <c r="C225" i="2"/>
  <c r="AD224" i="2"/>
  <c r="AC224" i="2"/>
  <c r="AA224" i="2"/>
  <c r="W224" i="2"/>
  <c r="X224" i="2" s="1"/>
  <c r="U224" i="2"/>
  <c r="R224" i="2"/>
  <c r="N224" i="2"/>
  <c r="O224" i="2" s="1"/>
  <c r="L224" i="2"/>
  <c r="I224" i="2"/>
  <c r="H224" i="2"/>
  <c r="F224" i="2"/>
  <c r="C224" i="2"/>
  <c r="AD223" i="2"/>
  <c r="AC223" i="2"/>
  <c r="AA223" i="2"/>
  <c r="W223" i="2"/>
  <c r="X223" i="2" s="1"/>
  <c r="U223" i="2"/>
  <c r="R223" i="2"/>
  <c r="O223" i="2"/>
  <c r="N223" i="2"/>
  <c r="L223" i="2"/>
  <c r="I223" i="2"/>
  <c r="H223" i="2"/>
  <c r="F223" i="2"/>
  <c r="C223" i="2"/>
  <c r="AC222" i="2"/>
  <c r="AD222" i="2" s="1"/>
  <c r="AA222" i="2"/>
  <c r="W222" i="2"/>
  <c r="X222" i="2" s="1"/>
  <c r="U222" i="2"/>
  <c r="R222" i="2"/>
  <c r="N222" i="2"/>
  <c r="O222" i="2" s="1"/>
  <c r="L222" i="2"/>
  <c r="H222" i="2"/>
  <c r="F222" i="2"/>
  <c r="C222" i="2"/>
  <c r="AD221" i="2"/>
  <c r="AC221" i="2"/>
  <c r="AA221" i="2"/>
  <c r="X221" i="2"/>
  <c r="W221" i="2"/>
  <c r="U221" i="2"/>
  <c r="R221" i="2"/>
  <c r="N221" i="2"/>
  <c r="O221" i="2" s="1"/>
  <c r="L221" i="2"/>
  <c r="H221" i="2"/>
  <c r="I221" i="2" s="1"/>
  <c r="F221" i="2"/>
  <c r="C221" i="2"/>
  <c r="AC220" i="2"/>
  <c r="AD220" i="2" s="1"/>
  <c r="AA220" i="2"/>
  <c r="W220" i="2"/>
  <c r="X220" i="2" s="1"/>
  <c r="U220" i="2"/>
  <c r="R220" i="2"/>
  <c r="N220" i="2"/>
  <c r="O220" i="2" s="1"/>
  <c r="L220" i="2"/>
  <c r="I220" i="2"/>
  <c r="H220" i="2"/>
  <c r="F220" i="2"/>
  <c r="C220" i="2"/>
  <c r="AD219" i="2"/>
  <c r="AC219" i="2"/>
  <c r="AA219" i="2"/>
  <c r="W219" i="2"/>
  <c r="X219" i="2" s="1"/>
  <c r="U219" i="2"/>
  <c r="R219" i="2"/>
  <c r="O219" i="2"/>
  <c r="N219" i="2"/>
  <c r="L219" i="2"/>
  <c r="I219" i="2"/>
  <c r="H219" i="2"/>
  <c r="F219" i="2"/>
  <c r="C219" i="2"/>
  <c r="AA218" i="2"/>
  <c r="Z218" i="2"/>
  <c r="U218" i="2"/>
  <c r="T218" i="2"/>
  <c r="Q218" i="2"/>
  <c r="W218" i="2" s="1"/>
  <c r="X218" i="2" s="1"/>
  <c r="K218" i="2"/>
  <c r="L218" i="2" s="1"/>
  <c r="E218" i="2"/>
  <c r="F218" i="2" s="1"/>
  <c r="B218" i="2"/>
  <c r="AC217" i="2"/>
  <c r="AD217" i="2" s="1"/>
  <c r="AA217" i="2"/>
  <c r="W217" i="2"/>
  <c r="X217" i="2" s="1"/>
  <c r="U217" i="2"/>
  <c r="R217" i="2"/>
  <c r="N217" i="2"/>
  <c r="O217" i="2" s="1"/>
  <c r="L217" i="2"/>
  <c r="I217" i="2"/>
  <c r="H217" i="2"/>
  <c r="F217" i="2"/>
  <c r="C217" i="2"/>
  <c r="AC216" i="2"/>
  <c r="AD216" i="2" s="1"/>
  <c r="AA216" i="2"/>
  <c r="X216" i="2"/>
  <c r="W216" i="2"/>
  <c r="U216" i="2"/>
  <c r="R216" i="2"/>
  <c r="O216" i="2"/>
  <c r="N216" i="2"/>
  <c r="L216" i="2"/>
  <c r="H216" i="2"/>
  <c r="I216" i="2" s="1"/>
  <c r="F216" i="2"/>
  <c r="C216" i="2"/>
  <c r="AC215" i="2"/>
  <c r="AD215" i="2" s="1"/>
  <c r="AA215" i="2"/>
  <c r="W215" i="2"/>
  <c r="X215" i="2" s="1"/>
  <c r="U215" i="2"/>
  <c r="R215" i="2"/>
  <c r="N215" i="2"/>
  <c r="O215" i="2" s="1"/>
  <c r="L215" i="2"/>
  <c r="H215" i="2"/>
  <c r="I215" i="2" s="1"/>
  <c r="F215" i="2"/>
  <c r="C215" i="2"/>
  <c r="AD214" i="2"/>
  <c r="AC214" i="2"/>
  <c r="AA214" i="2"/>
  <c r="X214" i="2"/>
  <c r="W214" i="2"/>
  <c r="U214" i="2"/>
  <c r="R214" i="2"/>
  <c r="N214" i="2"/>
  <c r="O214" i="2" s="1"/>
  <c r="L214" i="2"/>
  <c r="I214" i="2"/>
  <c r="H214" i="2"/>
  <c r="F214" i="2"/>
  <c r="C214" i="2"/>
  <c r="AD213" i="2"/>
  <c r="AC213" i="2"/>
  <c r="AA213" i="2"/>
  <c r="W213" i="2"/>
  <c r="X213" i="2" s="1"/>
  <c r="U213" i="2"/>
  <c r="R213" i="2"/>
  <c r="N213" i="2"/>
  <c r="O213" i="2" s="1"/>
  <c r="L213" i="2"/>
  <c r="I213" i="2"/>
  <c r="H213" i="2"/>
  <c r="F213" i="2"/>
  <c r="C213" i="2"/>
  <c r="AC211" i="2"/>
  <c r="AD211" i="2" s="1"/>
  <c r="AA211" i="2"/>
  <c r="W211" i="2"/>
  <c r="X211" i="2" s="1"/>
  <c r="U211" i="2"/>
  <c r="R211" i="2"/>
  <c r="O211" i="2"/>
  <c r="N211" i="2"/>
  <c r="L211" i="2"/>
  <c r="H211" i="2"/>
  <c r="I211" i="2" s="1"/>
  <c r="F211" i="2"/>
  <c r="C211" i="2"/>
  <c r="Z209" i="2"/>
  <c r="AA209" i="2" s="1"/>
  <c r="U209" i="2"/>
  <c r="T209" i="2"/>
  <c r="Q209" i="2"/>
  <c r="R209" i="2" s="1"/>
  <c r="N209" i="2"/>
  <c r="O209" i="2" s="1"/>
  <c r="L209" i="2"/>
  <c r="K209" i="2"/>
  <c r="E209" i="2"/>
  <c r="F209" i="2" s="1"/>
  <c r="B209" i="2"/>
  <c r="AC208" i="2"/>
  <c r="AD208" i="2" s="1"/>
  <c r="AA208" i="2"/>
  <c r="W208" i="2"/>
  <c r="X208" i="2" s="1"/>
  <c r="U208" i="2"/>
  <c r="R208" i="2"/>
  <c r="O208" i="2"/>
  <c r="N208" i="2"/>
  <c r="L208" i="2"/>
  <c r="I208" i="2"/>
  <c r="H208" i="2"/>
  <c r="F208" i="2"/>
  <c r="C208" i="2"/>
  <c r="AC207" i="2"/>
  <c r="AD207" i="2" s="1"/>
  <c r="AA207" i="2"/>
  <c r="W207" i="2"/>
  <c r="X207" i="2" s="1"/>
  <c r="U207" i="2"/>
  <c r="R207" i="2"/>
  <c r="O207" i="2"/>
  <c r="N207" i="2"/>
  <c r="L207" i="2"/>
  <c r="I207" i="2"/>
  <c r="H207" i="2"/>
  <c r="F207" i="2"/>
  <c r="C207" i="2"/>
  <c r="AD206" i="2"/>
  <c r="AC206" i="2"/>
  <c r="AA206" i="2"/>
  <c r="X206" i="2"/>
  <c r="W206" i="2"/>
  <c r="U206" i="2"/>
  <c r="R206" i="2"/>
  <c r="N206" i="2"/>
  <c r="O206" i="2" s="1"/>
  <c r="L206" i="2"/>
  <c r="H206" i="2"/>
  <c r="I206" i="2" s="1"/>
  <c r="F206" i="2"/>
  <c r="C206" i="2"/>
  <c r="AD205" i="2"/>
  <c r="AC205" i="2"/>
  <c r="AA205" i="2"/>
  <c r="X205" i="2"/>
  <c r="W205" i="2"/>
  <c r="U205" i="2"/>
  <c r="R205" i="2"/>
  <c r="O205" i="2"/>
  <c r="N205" i="2"/>
  <c r="L205" i="2"/>
  <c r="H205" i="2"/>
  <c r="I205" i="2" s="1"/>
  <c r="F205" i="2"/>
  <c r="C205" i="2"/>
  <c r="AC204" i="2"/>
  <c r="AD204" i="2" s="1"/>
  <c r="AA204" i="2"/>
  <c r="W204" i="2"/>
  <c r="X204" i="2" s="1"/>
  <c r="U204" i="2"/>
  <c r="R204" i="2"/>
  <c r="O204" i="2"/>
  <c r="N204" i="2"/>
  <c r="L204" i="2"/>
  <c r="I204" i="2"/>
  <c r="H204" i="2"/>
  <c r="F204" i="2"/>
  <c r="C204" i="2"/>
  <c r="AC203" i="2"/>
  <c r="AD203" i="2" s="1"/>
  <c r="AA203" i="2"/>
  <c r="X203" i="2"/>
  <c r="W203" i="2"/>
  <c r="U203" i="2"/>
  <c r="R203" i="2"/>
  <c r="O203" i="2"/>
  <c r="N203" i="2"/>
  <c r="L203" i="2"/>
  <c r="I203" i="2"/>
  <c r="H203" i="2"/>
  <c r="F203" i="2"/>
  <c r="C203" i="2"/>
  <c r="AD202" i="2"/>
  <c r="AC202" i="2"/>
  <c r="AA202" i="2"/>
  <c r="W202" i="2"/>
  <c r="X202" i="2" s="1"/>
  <c r="U202" i="2"/>
  <c r="R202" i="2"/>
  <c r="N202" i="2"/>
  <c r="O202" i="2" s="1"/>
  <c r="L202" i="2"/>
  <c r="H202" i="2"/>
  <c r="I202" i="2" s="1"/>
  <c r="F202" i="2"/>
  <c r="C202" i="2"/>
  <c r="AD201" i="2"/>
  <c r="AC201" i="2"/>
  <c r="AA201" i="2"/>
  <c r="X201" i="2"/>
  <c r="W201" i="2"/>
  <c r="U201" i="2"/>
  <c r="R201" i="2"/>
  <c r="N201" i="2"/>
  <c r="O201" i="2" s="1"/>
  <c r="L201" i="2"/>
  <c r="H201" i="2"/>
  <c r="I201" i="2" s="1"/>
  <c r="F201" i="2"/>
  <c r="C201" i="2"/>
  <c r="Z197" i="2"/>
  <c r="X197" i="2"/>
  <c r="W197" i="2"/>
  <c r="U197" i="2"/>
  <c r="T197" i="2"/>
  <c r="R197" i="2"/>
  <c r="Q197" i="2"/>
  <c r="K197" i="2"/>
  <c r="L197" i="2" s="1"/>
  <c r="E197" i="2"/>
  <c r="F197" i="2" s="1"/>
  <c r="B197" i="2"/>
  <c r="AC196" i="2"/>
  <c r="AD196" i="2" s="1"/>
  <c r="AA196" i="2"/>
  <c r="Z196" i="2"/>
  <c r="T196" i="2"/>
  <c r="U196" i="2" s="1"/>
  <c r="R196" i="2"/>
  <c r="Q196" i="2"/>
  <c r="W196" i="2" s="1"/>
  <c r="X196" i="2" s="1"/>
  <c r="L196" i="2"/>
  <c r="K196" i="2"/>
  <c r="E196" i="2"/>
  <c r="F196" i="2" s="1"/>
  <c r="C196" i="2"/>
  <c r="B196" i="2"/>
  <c r="AC195" i="2"/>
  <c r="AD195" i="2" s="1"/>
  <c r="AA195" i="2"/>
  <c r="X195" i="2"/>
  <c r="W195" i="2"/>
  <c r="U195" i="2"/>
  <c r="R195" i="2"/>
  <c r="N195" i="2"/>
  <c r="O195" i="2" s="1"/>
  <c r="L195" i="2"/>
  <c r="H195" i="2"/>
  <c r="I195" i="2" s="1"/>
  <c r="F195" i="2"/>
  <c r="C195" i="2"/>
  <c r="AD194" i="2"/>
  <c r="AC194" i="2"/>
  <c r="AA194" i="2"/>
  <c r="X194" i="2"/>
  <c r="W194" i="2"/>
  <c r="U194" i="2"/>
  <c r="R194" i="2"/>
  <c r="O194" i="2"/>
  <c r="N194" i="2"/>
  <c r="L194" i="2"/>
  <c r="I194" i="2"/>
  <c r="H194" i="2"/>
  <c r="F194" i="2"/>
  <c r="C194" i="2"/>
  <c r="AA193" i="2"/>
  <c r="Z193" i="2"/>
  <c r="X193" i="2"/>
  <c r="T193" i="2"/>
  <c r="U193" i="2" s="1"/>
  <c r="Q193" i="2"/>
  <c r="W193" i="2" s="1"/>
  <c r="K193" i="2"/>
  <c r="L193" i="2" s="1"/>
  <c r="H193" i="2"/>
  <c r="I193" i="2" s="1"/>
  <c r="E193" i="2"/>
  <c r="F193" i="2" s="1"/>
  <c r="C193" i="2"/>
  <c r="B193" i="2"/>
  <c r="AD192" i="2"/>
  <c r="AC192" i="2"/>
  <c r="AA192" i="2"/>
  <c r="X192" i="2"/>
  <c r="W192" i="2"/>
  <c r="U192" i="2"/>
  <c r="R192" i="2"/>
  <c r="N192" i="2"/>
  <c r="O192" i="2" s="1"/>
  <c r="L192" i="2"/>
  <c r="H192" i="2"/>
  <c r="I192" i="2" s="1"/>
  <c r="F192" i="2"/>
  <c r="C192" i="2"/>
  <c r="AD191" i="2"/>
  <c r="AC191" i="2"/>
  <c r="AA191" i="2"/>
  <c r="X191" i="2"/>
  <c r="W191" i="2"/>
  <c r="U191" i="2"/>
  <c r="R191" i="2"/>
  <c r="O191" i="2"/>
  <c r="N191" i="2"/>
  <c r="L191" i="2"/>
  <c r="I191" i="2"/>
  <c r="H191" i="2"/>
  <c r="F191" i="2"/>
  <c r="C191" i="2"/>
  <c r="AC190" i="2"/>
  <c r="AD190" i="2" s="1"/>
  <c r="AA190" i="2"/>
  <c r="W190" i="2"/>
  <c r="X190" i="2" s="1"/>
  <c r="U190" i="2"/>
  <c r="R190" i="2"/>
  <c r="O190" i="2"/>
  <c r="N190" i="2"/>
  <c r="L190" i="2"/>
  <c r="I190" i="2"/>
  <c r="H190" i="2"/>
  <c r="F190" i="2"/>
  <c r="C190" i="2"/>
  <c r="AC189" i="2"/>
  <c r="AD189" i="2" s="1"/>
  <c r="AA189" i="2"/>
  <c r="W189" i="2"/>
  <c r="X189" i="2" s="1"/>
  <c r="U189" i="2"/>
  <c r="R189" i="2"/>
  <c r="O189" i="2"/>
  <c r="N189" i="2"/>
  <c r="L189" i="2"/>
  <c r="I189" i="2"/>
  <c r="H189" i="2"/>
  <c r="F189" i="2"/>
  <c r="C189" i="2"/>
  <c r="AC188" i="2"/>
  <c r="AD188" i="2" s="1"/>
  <c r="AA188" i="2"/>
  <c r="W188" i="2"/>
  <c r="X188" i="2" s="1"/>
  <c r="U188" i="2"/>
  <c r="R188" i="2"/>
  <c r="N188" i="2"/>
  <c r="O188" i="2" s="1"/>
  <c r="L188" i="2"/>
  <c r="H188" i="2"/>
  <c r="I188" i="2" s="1"/>
  <c r="F188" i="2"/>
  <c r="C188" i="2"/>
  <c r="AD187" i="2"/>
  <c r="AC187" i="2"/>
  <c r="AA187" i="2"/>
  <c r="X187" i="2"/>
  <c r="W187" i="2"/>
  <c r="U187" i="2"/>
  <c r="R187" i="2"/>
  <c r="N187" i="2"/>
  <c r="O187" i="2" s="1"/>
  <c r="L187" i="2"/>
  <c r="H187" i="2"/>
  <c r="I187" i="2" s="1"/>
  <c r="F187" i="2"/>
  <c r="C187" i="2"/>
  <c r="AC186" i="2"/>
  <c r="AD186" i="2" s="1"/>
  <c r="AA186" i="2"/>
  <c r="W186" i="2"/>
  <c r="X186" i="2" s="1"/>
  <c r="U186" i="2"/>
  <c r="R186" i="2"/>
  <c r="N186" i="2"/>
  <c r="O186" i="2" s="1"/>
  <c r="L186" i="2"/>
  <c r="I186" i="2"/>
  <c r="H186" i="2"/>
  <c r="F186" i="2"/>
  <c r="C186" i="2"/>
  <c r="AC184" i="2"/>
  <c r="AD184" i="2" s="1"/>
  <c r="AA184" i="2"/>
  <c r="W184" i="2"/>
  <c r="X184" i="2" s="1"/>
  <c r="U184" i="2"/>
  <c r="R184" i="2"/>
  <c r="O184" i="2"/>
  <c r="N184" i="2"/>
  <c r="L184" i="2"/>
  <c r="H184" i="2"/>
  <c r="I184" i="2" s="1"/>
  <c r="F184" i="2"/>
  <c r="C184" i="2"/>
  <c r="AD183" i="2"/>
  <c r="AC183" i="2"/>
  <c r="AA183" i="2"/>
  <c r="X183" i="2"/>
  <c r="W183" i="2"/>
  <c r="U183" i="2"/>
  <c r="R183" i="2"/>
  <c r="N183" i="2"/>
  <c r="O183" i="2" s="1"/>
  <c r="L183" i="2"/>
  <c r="H183" i="2"/>
  <c r="I183" i="2" s="1"/>
  <c r="F183" i="2"/>
  <c r="C183" i="2"/>
  <c r="Z182" i="2"/>
  <c r="AA182" i="2" s="1"/>
  <c r="W182" i="2"/>
  <c r="X182" i="2" s="1"/>
  <c r="U182" i="2"/>
  <c r="T182" i="2"/>
  <c r="R182" i="2"/>
  <c r="Q182" i="2"/>
  <c r="K182" i="2"/>
  <c r="I182" i="2"/>
  <c r="H182" i="2"/>
  <c r="F182" i="2"/>
  <c r="E182" i="2"/>
  <c r="C182" i="2"/>
  <c r="B182" i="2"/>
  <c r="AC181" i="2"/>
  <c r="AD181" i="2" s="1"/>
  <c r="AA181" i="2"/>
  <c r="X181" i="2"/>
  <c r="W181" i="2"/>
  <c r="U181" i="2"/>
  <c r="R181" i="2"/>
  <c r="O181" i="2"/>
  <c r="N181" i="2"/>
  <c r="L181" i="2"/>
  <c r="H181" i="2"/>
  <c r="I181" i="2" s="1"/>
  <c r="F181" i="2"/>
  <c r="C181" i="2"/>
  <c r="AC180" i="2"/>
  <c r="AD180" i="2" s="1"/>
  <c r="AA180" i="2"/>
  <c r="W180" i="2"/>
  <c r="X180" i="2" s="1"/>
  <c r="U180" i="2"/>
  <c r="R180" i="2"/>
  <c r="N180" i="2"/>
  <c r="O180" i="2" s="1"/>
  <c r="L180" i="2"/>
  <c r="H180" i="2"/>
  <c r="I180" i="2" s="1"/>
  <c r="F180" i="2"/>
  <c r="C180" i="2"/>
  <c r="AD179" i="2"/>
  <c r="AC179" i="2"/>
  <c r="AA179" i="2"/>
  <c r="X179" i="2"/>
  <c r="W179" i="2"/>
  <c r="U179" i="2"/>
  <c r="R179" i="2"/>
  <c r="N179" i="2"/>
  <c r="O179" i="2" s="1"/>
  <c r="L179" i="2"/>
  <c r="I179" i="2"/>
  <c r="H179" i="2"/>
  <c r="F179" i="2"/>
  <c r="C179" i="2"/>
  <c r="AC178" i="2"/>
  <c r="AD178" i="2" s="1"/>
  <c r="AA178" i="2"/>
  <c r="W178" i="2"/>
  <c r="X178" i="2" s="1"/>
  <c r="U178" i="2"/>
  <c r="R178" i="2"/>
  <c r="O178" i="2"/>
  <c r="N178" i="2"/>
  <c r="L178" i="2"/>
  <c r="I178" i="2"/>
  <c r="H178" i="2"/>
  <c r="F178" i="2"/>
  <c r="C178" i="2"/>
  <c r="AC177" i="2"/>
  <c r="AD177" i="2" s="1"/>
  <c r="AA177" i="2"/>
  <c r="X177" i="2"/>
  <c r="W177" i="2"/>
  <c r="U177" i="2"/>
  <c r="R177" i="2"/>
  <c r="O177" i="2"/>
  <c r="N177" i="2"/>
  <c r="L177" i="2"/>
  <c r="I177" i="2"/>
  <c r="H177" i="2"/>
  <c r="F177" i="2"/>
  <c r="C177" i="2"/>
  <c r="AC175" i="2"/>
  <c r="AD175" i="2" s="1"/>
  <c r="AA175" i="2"/>
  <c r="W175" i="2"/>
  <c r="X175" i="2" s="1"/>
  <c r="U175" i="2"/>
  <c r="R175" i="2"/>
  <c r="N175" i="2"/>
  <c r="O175" i="2" s="1"/>
  <c r="L175" i="2"/>
  <c r="H175" i="2"/>
  <c r="I175" i="2" s="1"/>
  <c r="F175" i="2"/>
  <c r="C175" i="2"/>
  <c r="AA172" i="2"/>
  <c r="B172" i="2"/>
  <c r="Z171" i="2"/>
  <c r="Z172" i="2" s="1"/>
  <c r="Z198" i="2" s="1"/>
  <c r="Z345" i="2" s="1"/>
  <c r="T171" i="2"/>
  <c r="U171" i="2" s="1"/>
  <c r="Q171" i="2"/>
  <c r="L171" i="2"/>
  <c r="K171" i="2"/>
  <c r="E171" i="2"/>
  <c r="F171" i="2" s="1"/>
  <c r="B171" i="2"/>
  <c r="Z170" i="2"/>
  <c r="AA170" i="2" s="1"/>
  <c r="T170" i="2"/>
  <c r="R170" i="2"/>
  <c r="Q170" i="2"/>
  <c r="N170" i="2"/>
  <c r="O170" i="2" s="1"/>
  <c r="K170" i="2"/>
  <c r="L170" i="2" s="1"/>
  <c r="H170" i="2"/>
  <c r="I170" i="2" s="1"/>
  <c r="F170" i="2"/>
  <c r="E170" i="2"/>
  <c r="C170" i="2"/>
  <c r="B170" i="2"/>
  <c r="AC169" i="2"/>
  <c r="AD169" i="2" s="1"/>
  <c r="AA169" i="2"/>
  <c r="W169" i="2"/>
  <c r="X169" i="2" s="1"/>
  <c r="U169" i="2"/>
  <c r="R169" i="2"/>
  <c r="O169" i="2"/>
  <c r="N169" i="2"/>
  <c r="L169" i="2"/>
  <c r="I169" i="2"/>
  <c r="H169" i="2"/>
  <c r="F169" i="2"/>
  <c r="C169" i="2"/>
  <c r="AC168" i="2"/>
  <c r="AD168" i="2" s="1"/>
  <c r="AA168" i="2"/>
  <c r="W168" i="2"/>
  <c r="X168" i="2" s="1"/>
  <c r="U168" i="2"/>
  <c r="R168" i="2"/>
  <c r="N168" i="2"/>
  <c r="O168" i="2" s="1"/>
  <c r="L168" i="2"/>
  <c r="H168" i="2"/>
  <c r="I168" i="2" s="1"/>
  <c r="F168" i="2"/>
  <c r="C168" i="2"/>
  <c r="AD167" i="2"/>
  <c r="AC167" i="2"/>
  <c r="AA167" i="2"/>
  <c r="X167" i="2"/>
  <c r="W167" i="2"/>
  <c r="U167" i="2"/>
  <c r="R167" i="2"/>
  <c r="N167" i="2"/>
  <c r="O167" i="2" s="1"/>
  <c r="L167" i="2"/>
  <c r="H167" i="2"/>
  <c r="I167" i="2" s="1"/>
  <c r="F167" i="2"/>
  <c r="C167" i="2"/>
  <c r="AC166" i="2"/>
  <c r="AD166" i="2" s="1"/>
  <c r="AA166" i="2"/>
  <c r="Z166" i="2"/>
  <c r="T166" i="2"/>
  <c r="U166" i="2" s="1"/>
  <c r="R166" i="2"/>
  <c r="Q166" i="2"/>
  <c r="L166" i="2"/>
  <c r="K166" i="2"/>
  <c r="E166" i="2"/>
  <c r="H166" i="2" s="1"/>
  <c r="I166" i="2" s="1"/>
  <c r="C166" i="2"/>
  <c r="B166" i="2"/>
  <c r="AC165" i="2"/>
  <c r="AD165" i="2" s="1"/>
  <c r="AA165" i="2"/>
  <c r="W165" i="2"/>
  <c r="X165" i="2" s="1"/>
  <c r="U165" i="2"/>
  <c r="R165" i="2"/>
  <c r="N165" i="2"/>
  <c r="O165" i="2" s="1"/>
  <c r="L165" i="2"/>
  <c r="H165" i="2"/>
  <c r="I165" i="2" s="1"/>
  <c r="F165" i="2"/>
  <c r="C165" i="2"/>
  <c r="AD164" i="2"/>
  <c r="AC164" i="2"/>
  <c r="AA164" i="2"/>
  <c r="X164" i="2"/>
  <c r="W164" i="2"/>
  <c r="U164" i="2"/>
  <c r="R164" i="2"/>
  <c r="N164" i="2"/>
  <c r="O164" i="2" s="1"/>
  <c r="L164" i="2"/>
  <c r="I164" i="2"/>
  <c r="H164" i="2"/>
  <c r="F164" i="2"/>
  <c r="C164" i="2"/>
  <c r="AC163" i="2"/>
  <c r="AD163" i="2" s="1"/>
  <c r="AA163" i="2"/>
  <c r="W163" i="2"/>
  <c r="X163" i="2" s="1"/>
  <c r="U163" i="2"/>
  <c r="R163" i="2"/>
  <c r="N163" i="2"/>
  <c r="O163" i="2" s="1"/>
  <c r="L163" i="2"/>
  <c r="I163" i="2"/>
  <c r="H163" i="2"/>
  <c r="F163" i="2"/>
  <c r="C163" i="2"/>
  <c r="AC162" i="2"/>
  <c r="AD162" i="2" s="1"/>
  <c r="AA162" i="2"/>
  <c r="X162" i="2"/>
  <c r="W162" i="2"/>
  <c r="U162" i="2"/>
  <c r="R162" i="2"/>
  <c r="O162" i="2"/>
  <c r="N162" i="2"/>
  <c r="L162" i="2"/>
  <c r="H162" i="2"/>
  <c r="I162" i="2" s="1"/>
  <c r="F162" i="2"/>
  <c r="C162" i="2"/>
  <c r="AC161" i="2"/>
  <c r="AD161" i="2" s="1"/>
  <c r="AA161" i="2"/>
  <c r="W161" i="2"/>
  <c r="X161" i="2" s="1"/>
  <c r="U161" i="2"/>
  <c r="R161" i="2"/>
  <c r="N161" i="2"/>
  <c r="O161" i="2" s="1"/>
  <c r="L161" i="2"/>
  <c r="H161" i="2"/>
  <c r="I161" i="2" s="1"/>
  <c r="F161" i="2"/>
  <c r="C161" i="2"/>
  <c r="AD160" i="2"/>
  <c r="AC160" i="2"/>
  <c r="AA160" i="2"/>
  <c r="X160" i="2"/>
  <c r="W160" i="2"/>
  <c r="U160" i="2"/>
  <c r="R160" i="2"/>
  <c r="N160" i="2"/>
  <c r="O160" i="2" s="1"/>
  <c r="L160" i="2"/>
  <c r="H160" i="2"/>
  <c r="I160" i="2" s="1"/>
  <c r="F160" i="2"/>
  <c r="C160" i="2"/>
  <c r="AA158" i="2"/>
  <c r="Z158" i="2"/>
  <c r="T158" i="2"/>
  <c r="U158" i="2" s="1"/>
  <c r="Q158" i="2"/>
  <c r="L158" i="2"/>
  <c r="K158" i="2"/>
  <c r="E158" i="2"/>
  <c r="C158" i="2"/>
  <c r="B158" i="2"/>
  <c r="N158" i="2" s="1"/>
  <c r="O158" i="2" s="1"/>
  <c r="AC157" i="2"/>
  <c r="AD157" i="2" s="1"/>
  <c r="AA157" i="2"/>
  <c r="W157" i="2"/>
  <c r="X157" i="2" s="1"/>
  <c r="U157" i="2"/>
  <c r="R157" i="2"/>
  <c r="N157" i="2"/>
  <c r="O157" i="2" s="1"/>
  <c r="L157" i="2"/>
  <c r="H157" i="2"/>
  <c r="I157" i="2" s="1"/>
  <c r="F157" i="2"/>
  <c r="C157" i="2"/>
  <c r="AD156" i="2"/>
  <c r="AC156" i="2"/>
  <c r="AA156" i="2"/>
  <c r="X156" i="2"/>
  <c r="W156" i="2"/>
  <c r="U156" i="2"/>
  <c r="R156" i="2"/>
  <c r="N156" i="2"/>
  <c r="O156" i="2" s="1"/>
  <c r="L156" i="2"/>
  <c r="I156" i="2"/>
  <c r="H156" i="2"/>
  <c r="F156" i="2"/>
  <c r="C156" i="2"/>
  <c r="AD155" i="2"/>
  <c r="AC155" i="2"/>
  <c r="AA155" i="2"/>
  <c r="W155" i="2"/>
  <c r="X155" i="2" s="1"/>
  <c r="U155" i="2"/>
  <c r="R155" i="2"/>
  <c r="N155" i="2"/>
  <c r="O155" i="2" s="1"/>
  <c r="L155" i="2"/>
  <c r="I155" i="2"/>
  <c r="H155" i="2"/>
  <c r="F155" i="2"/>
  <c r="C155" i="2"/>
  <c r="AC154" i="2"/>
  <c r="AD154" i="2" s="1"/>
  <c r="AA154" i="2"/>
  <c r="W154" i="2"/>
  <c r="X154" i="2" s="1"/>
  <c r="U154" i="2"/>
  <c r="R154" i="2"/>
  <c r="O154" i="2"/>
  <c r="N154" i="2"/>
  <c r="L154" i="2"/>
  <c r="H154" i="2"/>
  <c r="I154" i="2" s="1"/>
  <c r="F154" i="2"/>
  <c r="C154" i="2"/>
  <c r="AC153" i="2"/>
  <c r="AD153" i="2" s="1"/>
  <c r="AA153" i="2"/>
  <c r="X153" i="2"/>
  <c r="W153" i="2"/>
  <c r="U153" i="2"/>
  <c r="R153" i="2"/>
  <c r="N153" i="2"/>
  <c r="O153" i="2" s="1"/>
  <c r="L153" i="2"/>
  <c r="H153" i="2"/>
  <c r="I153" i="2" s="1"/>
  <c r="F153" i="2"/>
  <c r="C153" i="2"/>
  <c r="AD151" i="2"/>
  <c r="AC151" i="2"/>
  <c r="AA151" i="2"/>
  <c r="X151" i="2"/>
  <c r="W151" i="2"/>
  <c r="U151" i="2"/>
  <c r="R151" i="2"/>
  <c r="O151" i="2"/>
  <c r="N151" i="2"/>
  <c r="L151" i="2"/>
  <c r="I151" i="2"/>
  <c r="H151" i="2"/>
  <c r="F151" i="2"/>
  <c r="C151" i="2"/>
  <c r="AA149" i="2"/>
  <c r="Z149" i="2"/>
  <c r="T149" i="2"/>
  <c r="U149" i="2" s="1"/>
  <c r="Q149" i="2"/>
  <c r="W149" i="2" s="1"/>
  <c r="X149" i="2" s="1"/>
  <c r="O149" i="2"/>
  <c r="K149" i="2"/>
  <c r="L149" i="2" s="1"/>
  <c r="H149" i="2"/>
  <c r="I149" i="2" s="1"/>
  <c r="E149" i="2"/>
  <c r="F149" i="2" s="1"/>
  <c r="C149" i="2"/>
  <c r="B149" i="2"/>
  <c r="N149" i="2" s="1"/>
  <c r="Z148" i="2"/>
  <c r="AA148" i="2" s="1"/>
  <c r="U148" i="2"/>
  <c r="T148" i="2"/>
  <c r="R148" i="2"/>
  <c r="Q148" i="2"/>
  <c r="K148" i="2"/>
  <c r="L148" i="2" s="1"/>
  <c r="E148" i="2"/>
  <c r="F148" i="2" s="1"/>
  <c r="B148" i="2"/>
  <c r="AD147" i="2"/>
  <c r="AC147" i="2"/>
  <c r="AA147" i="2"/>
  <c r="W147" i="2"/>
  <c r="X147" i="2" s="1"/>
  <c r="U147" i="2"/>
  <c r="R147" i="2"/>
  <c r="O147" i="2"/>
  <c r="N147" i="2"/>
  <c r="L147" i="2"/>
  <c r="I147" i="2"/>
  <c r="H147" i="2"/>
  <c r="F147" i="2"/>
  <c r="C147" i="2"/>
  <c r="AC146" i="2"/>
  <c r="AD146" i="2" s="1"/>
  <c r="AA146" i="2"/>
  <c r="X146" i="2"/>
  <c r="W146" i="2"/>
  <c r="U146" i="2"/>
  <c r="R146" i="2"/>
  <c r="O146" i="2"/>
  <c r="N146" i="2"/>
  <c r="L146" i="2"/>
  <c r="I146" i="2"/>
  <c r="H146" i="2"/>
  <c r="F146" i="2"/>
  <c r="C146" i="2"/>
  <c r="AD145" i="2"/>
  <c r="AC145" i="2"/>
  <c r="AA145" i="2"/>
  <c r="W145" i="2"/>
  <c r="X145" i="2" s="1"/>
  <c r="U145" i="2"/>
  <c r="R145" i="2"/>
  <c r="N145" i="2"/>
  <c r="O145" i="2" s="1"/>
  <c r="L145" i="2"/>
  <c r="H145" i="2"/>
  <c r="I145" i="2" s="1"/>
  <c r="F145" i="2"/>
  <c r="C145" i="2"/>
  <c r="AD144" i="2"/>
  <c r="AC144" i="2"/>
  <c r="AA144" i="2"/>
  <c r="X144" i="2"/>
  <c r="W144" i="2"/>
  <c r="U144" i="2"/>
  <c r="R144" i="2"/>
  <c r="N144" i="2"/>
  <c r="O144" i="2" s="1"/>
  <c r="L144" i="2"/>
  <c r="I144" i="2"/>
  <c r="H144" i="2"/>
  <c r="F144" i="2"/>
  <c r="C144" i="2"/>
  <c r="AC143" i="2"/>
  <c r="AD143" i="2" s="1"/>
  <c r="AA143" i="2"/>
  <c r="W143" i="2"/>
  <c r="X143" i="2" s="1"/>
  <c r="U143" i="2"/>
  <c r="R143" i="2"/>
  <c r="O143" i="2"/>
  <c r="N143" i="2"/>
  <c r="L143" i="2"/>
  <c r="I143" i="2"/>
  <c r="H143" i="2"/>
  <c r="F143" i="2"/>
  <c r="C143" i="2"/>
  <c r="Z141" i="2"/>
  <c r="AA141" i="2" s="1"/>
  <c r="T141" i="2"/>
  <c r="U141" i="2" s="1"/>
  <c r="Q141" i="2"/>
  <c r="L141" i="2"/>
  <c r="K141" i="2"/>
  <c r="E141" i="2"/>
  <c r="F141" i="2" s="1"/>
  <c r="B141" i="2"/>
  <c r="AD140" i="2"/>
  <c r="AC140" i="2"/>
  <c r="AA140" i="2"/>
  <c r="X140" i="2"/>
  <c r="W140" i="2"/>
  <c r="U140" i="2"/>
  <c r="R140" i="2"/>
  <c r="O140" i="2"/>
  <c r="N140" i="2"/>
  <c r="L140" i="2"/>
  <c r="I140" i="2"/>
  <c r="H140" i="2"/>
  <c r="F140" i="2"/>
  <c r="C140" i="2"/>
  <c r="AC139" i="2"/>
  <c r="AD139" i="2" s="1"/>
  <c r="AA139" i="2"/>
  <c r="W139" i="2"/>
  <c r="X139" i="2" s="1"/>
  <c r="U139" i="2"/>
  <c r="R139" i="2"/>
  <c r="N139" i="2"/>
  <c r="O139" i="2" s="1"/>
  <c r="L139" i="2"/>
  <c r="I139" i="2"/>
  <c r="H139" i="2"/>
  <c r="F139" i="2"/>
  <c r="C139" i="2"/>
  <c r="AC138" i="2"/>
  <c r="AD138" i="2" s="1"/>
  <c r="AA138" i="2"/>
  <c r="W138" i="2"/>
  <c r="X138" i="2" s="1"/>
  <c r="U138" i="2"/>
  <c r="R138" i="2"/>
  <c r="O138" i="2"/>
  <c r="N138" i="2"/>
  <c r="L138" i="2"/>
  <c r="H138" i="2"/>
  <c r="I138" i="2" s="1"/>
  <c r="F138" i="2"/>
  <c r="C138" i="2"/>
  <c r="AC137" i="2"/>
  <c r="AD137" i="2" s="1"/>
  <c r="AA137" i="2"/>
  <c r="W137" i="2"/>
  <c r="X137" i="2" s="1"/>
  <c r="U137" i="2"/>
  <c r="R137" i="2"/>
  <c r="N137" i="2"/>
  <c r="O137" i="2" s="1"/>
  <c r="L137" i="2"/>
  <c r="H137" i="2"/>
  <c r="I137" i="2" s="1"/>
  <c r="F137" i="2"/>
  <c r="C137" i="2"/>
  <c r="AD136" i="2"/>
  <c r="AC136" i="2"/>
  <c r="AA136" i="2"/>
  <c r="X136" i="2"/>
  <c r="W136" i="2"/>
  <c r="U136" i="2"/>
  <c r="R136" i="2"/>
  <c r="N136" i="2"/>
  <c r="O136" i="2" s="1"/>
  <c r="L136" i="2"/>
  <c r="H136" i="2"/>
  <c r="I136" i="2" s="1"/>
  <c r="F136" i="2"/>
  <c r="C136" i="2"/>
  <c r="AD135" i="2"/>
  <c r="AC135" i="2"/>
  <c r="AA135" i="2"/>
  <c r="W135" i="2"/>
  <c r="X135" i="2" s="1"/>
  <c r="U135" i="2"/>
  <c r="R135" i="2"/>
  <c r="N135" i="2"/>
  <c r="O135" i="2" s="1"/>
  <c r="L135" i="2"/>
  <c r="I135" i="2"/>
  <c r="H135" i="2"/>
  <c r="F135" i="2"/>
  <c r="C135" i="2"/>
  <c r="AC134" i="2"/>
  <c r="AD134" i="2" s="1"/>
  <c r="AA134" i="2"/>
  <c r="W134" i="2"/>
  <c r="X134" i="2" s="1"/>
  <c r="U134" i="2"/>
  <c r="R134" i="2"/>
  <c r="O134" i="2"/>
  <c r="N134" i="2"/>
  <c r="L134" i="2"/>
  <c r="H134" i="2"/>
  <c r="I134" i="2" s="1"/>
  <c r="F134" i="2"/>
  <c r="C134" i="2"/>
  <c r="AC133" i="2"/>
  <c r="AD133" i="2" s="1"/>
  <c r="AA133" i="2"/>
  <c r="X133" i="2"/>
  <c r="W133" i="2"/>
  <c r="U133" i="2"/>
  <c r="R133" i="2"/>
  <c r="N133" i="2"/>
  <c r="O133" i="2" s="1"/>
  <c r="L133" i="2"/>
  <c r="H133" i="2"/>
  <c r="I133" i="2" s="1"/>
  <c r="F133" i="2"/>
  <c r="C133" i="2"/>
  <c r="AD132" i="2"/>
  <c r="AC132" i="2"/>
  <c r="AA132" i="2"/>
  <c r="X132" i="2"/>
  <c r="W132" i="2"/>
  <c r="U132" i="2"/>
  <c r="R132" i="2"/>
  <c r="O132" i="2"/>
  <c r="N132" i="2"/>
  <c r="L132" i="2"/>
  <c r="I132" i="2"/>
  <c r="H132" i="2"/>
  <c r="F132" i="2"/>
  <c r="C132" i="2"/>
  <c r="AC131" i="2"/>
  <c r="AD131" i="2" s="1"/>
  <c r="AA131" i="2"/>
  <c r="W131" i="2"/>
  <c r="X131" i="2" s="1"/>
  <c r="U131" i="2"/>
  <c r="R131" i="2"/>
  <c r="N131" i="2"/>
  <c r="O131" i="2" s="1"/>
  <c r="L131" i="2"/>
  <c r="I131" i="2"/>
  <c r="H131" i="2"/>
  <c r="F131" i="2"/>
  <c r="C131" i="2"/>
  <c r="AC130" i="2"/>
  <c r="AD130" i="2" s="1"/>
  <c r="AA130" i="2"/>
  <c r="W130" i="2"/>
  <c r="X130" i="2" s="1"/>
  <c r="U130" i="2"/>
  <c r="R130" i="2"/>
  <c r="O130" i="2"/>
  <c r="N130" i="2"/>
  <c r="L130" i="2"/>
  <c r="H130" i="2"/>
  <c r="I130" i="2" s="1"/>
  <c r="F130" i="2"/>
  <c r="C130" i="2"/>
  <c r="AC129" i="2"/>
  <c r="AD129" i="2" s="1"/>
  <c r="AA129" i="2"/>
  <c r="W129" i="2"/>
  <c r="X129" i="2" s="1"/>
  <c r="U129" i="2"/>
  <c r="R129" i="2"/>
  <c r="N129" i="2"/>
  <c r="O129" i="2" s="1"/>
  <c r="L129" i="2"/>
  <c r="H129" i="2"/>
  <c r="I129" i="2" s="1"/>
  <c r="F129" i="2"/>
  <c r="C129" i="2"/>
  <c r="AD127" i="2"/>
  <c r="AC127" i="2"/>
  <c r="AA127" i="2"/>
  <c r="X127" i="2"/>
  <c r="W127" i="2"/>
  <c r="U127" i="2"/>
  <c r="R127" i="2"/>
  <c r="N127" i="2"/>
  <c r="O127" i="2" s="1"/>
  <c r="L127" i="2"/>
  <c r="H127" i="2"/>
  <c r="I127" i="2" s="1"/>
  <c r="F127" i="2"/>
  <c r="C127" i="2"/>
  <c r="AA124" i="2"/>
  <c r="Z124" i="2"/>
  <c r="W124" i="2"/>
  <c r="X124" i="2" s="1"/>
  <c r="T124" i="2"/>
  <c r="U124" i="2" s="1"/>
  <c r="Q124" i="2"/>
  <c r="K124" i="2"/>
  <c r="L124" i="2" s="1"/>
  <c r="H124" i="2"/>
  <c r="I124" i="2" s="1"/>
  <c r="F124" i="2"/>
  <c r="E124" i="2"/>
  <c r="C124" i="2"/>
  <c r="B124" i="2"/>
  <c r="N124" i="2" s="1"/>
  <c r="O124" i="2" s="1"/>
  <c r="AC123" i="2"/>
  <c r="AD123" i="2" s="1"/>
  <c r="AA123" i="2"/>
  <c r="W123" i="2"/>
  <c r="X123" i="2" s="1"/>
  <c r="U123" i="2"/>
  <c r="R123" i="2"/>
  <c r="N123" i="2"/>
  <c r="O123" i="2" s="1"/>
  <c r="L123" i="2"/>
  <c r="H123" i="2"/>
  <c r="I123" i="2" s="1"/>
  <c r="F123" i="2"/>
  <c r="C123" i="2"/>
  <c r="Z122" i="2"/>
  <c r="AA122" i="2" s="1"/>
  <c r="W122" i="2"/>
  <c r="X122" i="2" s="1"/>
  <c r="T122" i="2"/>
  <c r="U122" i="2" s="1"/>
  <c r="R122" i="2"/>
  <c r="Q122" i="2"/>
  <c r="K122" i="2"/>
  <c r="L122" i="2" s="1"/>
  <c r="F122" i="2"/>
  <c r="E122" i="2"/>
  <c r="B122" i="2"/>
  <c r="AC121" i="2"/>
  <c r="AD121" i="2" s="1"/>
  <c r="AA121" i="2"/>
  <c r="X121" i="2"/>
  <c r="W121" i="2"/>
  <c r="U121" i="2"/>
  <c r="R121" i="2"/>
  <c r="O121" i="2"/>
  <c r="N121" i="2"/>
  <c r="L121" i="2"/>
  <c r="H121" i="2"/>
  <c r="I121" i="2" s="1"/>
  <c r="F121" i="2"/>
  <c r="C121" i="2"/>
  <c r="AC120" i="2"/>
  <c r="AD120" i="2" s="1"/>
  <c r="AA120" i="2"/>
  <c r="W120" i="2"/>
  <c r="X120" i="2" s="1"/>
  <c r="U120" i="2"/>
  <c r="R120" i="2"/>
  <c r="N120" i="2"/>
  <c r="O120" i="2" s="1"/>
  <c r="L120" i="2"/>
  <c r="H120" i="2"/>
  <c r="I120" i="2" s="1"/>
  <c r="F120" i="2"/>
  <c r="C120" i="2"/>
  <c r="AD119" i="2"/>
  <c r="AC119" i="2"/>
  <c r="AA119" i="2"/>
  <c r="X119" i="2"/>
  <c r="W119" i="2"/>
  <c r="U119" i="2"/>
  <c r="R119" i="2"/>
  <c r="N119" i="2"/>
  <c r="O119" i="2" s="1"/>
  <c r="L119" i="2"/>
  <c r="H119" i="2"/>
  <c r="I119" i="2" s="1"/>
  <c r="F119" i="2"/>
  <c r="C119" i="2"/>
  <c r="AA118" i="2"/>
  <c r="Z118" i="2"/>
  <c r="T118" i="2"/>
  <c r="U118" i="2" s="1"/>
  <c r="Q118" i="2"/>
  <c r="K118" i="2"/>
  <c r="L118" i="2" s="1"/>
  <c r="E118" i="2"/>
  <c r="C118" i="2"/>
  <c r="B118" i="2"/>
  <c r="AC117" i="2"/>
  <c r="AD117" i="2" s="1"/>
  <c r="AA117" i="2"/>
  <c r="W117" i="2"/>
  <c r="X117" i="2" s="1"/>
  <c r="U117" i="2"/>
  <c r="R117" i="2"/>
  <c r="N117" i="2"/>
  <c r="O117" i="2" s="1"/>
  <c r="L117" i="2"/>
  <c r="H117" i="2"/>
  <c r="I117" i="2" s="1"/>
  <c r="F117" i="2"/>
  <c r="C117" i="2"/>
  <c r="AD116" i="2"/>
  <c r="AC116" i="2"/>
  <c r="AA116" i="2"/>
  <c r="X116" i="2"/>
  <c r="W116" i="2"/>
  <c r="U116" i="2"/>
  <c r="R116" i="2"/>
  <c r="N116" i="2"/>
  <c r="O116" i="2" s="1"/>
  <c r="L116" i="2"/>
  <c r="H116" i="2"/>
  <c r="I116" i="2" s="1"/>
  <c r="F116" i="2"/>
  <c r="C116" i="2"/>
  <c r="AD115" i="2"/>
  <c r="AC115" i="2"/>
  <c r="AA115" i="2"/>
  <c r="W115" i="2"/>
  <c r="X115" i="2" s="1"/>
  <c r="U115" i="2"/>
  <c r="R115" i="2"/>
  <c r="N115" i="2"/>
  <c r="O115" i="2" s="1"/>
  <c r="L115" i="2"/>
  <c r="I115" i="2"/>
  <c r="H115" i="2"/>
  <c r="F115" i="2"/>
  <c r="C115" i="2"/>
  <c r="AC114" i="2"/>
  <c r="AD114" i="2" s="1"/>
  <c r="AA114" i="2"/>
  <c r="X114" i="2"/>
  <c r="W114" i="2"/>
  <c r="U114" i="2"/>
  <c r="R114" i="2"/>
  <c r="O114" i="2"/>
  <c r="N114" i="2"/>
  <c r="L114" i="2"/>
  <c r="H114" i="2"/>
  <c r="I114" i="2" s="1"/>
  <c r="F114" i="2"/>
  <c r="C114" i="2"/>
  <c r="AC113" i="2"/>
  <c r="AD113" i="2" s="1"/>
  <c r="AA113" i="2"/>
  <c r="X113" i="2"/>
  <c r="W113" i="2"/>
  <c r="U113" i="2"/>
  <c r="R113" i="2"/>
  <c r="N113" i="2"/>
  <c r="O113" i="2" s="1"/>
  <c r="L113" i="2"/>
  <c r="H113" i="2"/>
  <c r="I113" i="2" s="1"/>
  <c r="F113" i="2"/>
  <c r="C113" i="2"/>
  <c r="AD112" i="2"/>
  <c r="AC112" i="2"/>
  <c r="AA112" i="2"/>
  <c r="X112" i="2"/>
  <c r="W112" i="2"/>
  <c r="U112" i="2"/>
  <c r="R112" i="2"/>
  <c r="O112" i="2"/>
  <c r="N112" i="2"/>
  <c r="L112" i="2"/>
  <c r="I112" i="2"/>
  <c r="H112" i="2"/>
  <c r="F112" i="2"/>
  <c r="C112" i="2"/>
  <c r="AD111" i="2"/>
  <c r="AC111" i="2"/>
  <c r="AA111" i="2"/>
  <c r="W111" i="2"/>
  <c r="X111" i="2" s="1"/>
  <c r="U111" i="2"/>
  <c r="R111" i="2"/>
  <c r="N111" i="2"/>
  <c r="O111" i="2" s="1"/>
  <c r="L111" i="2"/>
  <c r="I111" i="2"/>
  <c r="H111" i="2"/>
  <c r="F111" i="2"/>
  <c r="C111" i="2"/>
  <c r="AC110" i="2"/>
  <c r="AD110" i="2" s="1"/>
  <c r="AA110" i="2"/>
  <c r="W110" i="2"/>
  <c r="X110" i="2" s="1"/>
  <c r="U110" i="2"/>
  <c r="R110" i="2"/>
  <c r="O110" i="2"/>
  <c r="N110" i="2"/>
  <c r="L110" i="2"/>
  <c r="H110" i="2"/>
  <c r="I110" i="2" s="1"/>
  <c r="F110" i="2"/>
  <c r="C110" i="2"/>
  <c r="AC109" i="2"/>
  <c r="AD109" i="2" s="1"/>
  <c r="AA109" i="2"/>
  <c r="W109" i="2"/>
  <c r="X109" i="2" s="1"/>
  <c r="U109" i="2"/>
  <c r="R109" i="2"/>
  <c r="N109" i="2"/>
  <c r="O109" i="2" s="1"/>
  <c r="L109" i="2"/>
  <c r="H109" i="2"/>
  <c r="I109" i="2" s="1"/>
  <c r="F109" i="2"/>
  <c r="C109" i="2"/>
  <c r="AD108" i="2"/>
  <c r="AC108" i="2"/>
  <c r="AA108" i="2"/>
  <c r="X108" i="2"/>
  <c r="W108" i="2"/>
  <c r="U108" i="2"/>
  <c r="R108" i="2"/>
  <c r="N108" i="2"/>
  <c r="O108" i="2" s="1"/>
  <c r="L108" i="2"/>
  <c r="H108" i="2"/>
  <c r="I108" i="2" s="1"/>
  <c r="F108" i="2"/>
  <c r="C108" i="2"/>
  <c r="AD107" i="2"/>
  <c r="AC107" i="2"/>
  <c r="AA107" i="2"/>
  <c r="W107" i="2"/>
  <c r="X107" i="2" s="1"/>
  <c r="U107" i="2"/>
  <c r="R107" i="2"/>
  <c r="N107" i="2"/>
  <c r="O107" i="2" s="1"/>
  <c r="L107" i="2"/>
  <c r="I107" i="2"/>
  <c r="H107" i="2"/>
  <c r="F107" i="2"/>
  <c r="C107" i="2"/>
  <c r="AC106" i="2"/>
  <c r="AD106" i="2" s="1"/>
  <c r="AA106" i="2"/>
  <c r="X106" i="2"/>
  <c r="W106" i="2"/>
  <c r="U106" i="2"/>
  <c r="R106" i="2"/>
  <c r="O106" i="2"/>
  <c r="N106" i="2"/>
  <c r="L106" i="2"/>
  <c r="H106" i="2"/>
  <c r="I106" i="2" s="1"/>
  <c r="F106" i="2"/>
  <c r="C106" i="2"/>
  <c r="AC105" i="2"/>
  <c r="AD105" i="2" s="1"/>
  <c r="AA105" i="2"/>
  <c r="X105" i="2"/>
  <c r="W105" i="2"/>
  <c r="U105" i="2"/>
  <c r="R105" i="2"/>
  <c r="N105" i="2"/>
  <c r="O105" i="2" s="1"/>
  <c r="L105" i="2"/>
  <c r="H105" i="2"/>
  <c r="I105" i="2" s="1"/>
  <c r="F105" i="2"/>
  <c r="C105" i="2"/>
  <c r="AD104" i="2"/>
  <c r="AC104" i="2"/>
  <c r="AA104" i="2"/>
  <c r="X104" i="2"/>
  <c r="W104" i="2"/>
  <c r="U104" i="2"/>
  <c r="R104" i="2"/>
  <c r="O104" i="2"/>
  <c r="N104" i="2"/>
  <c r="L104" i="2"/>
  <c r="I104" i="2"/>
  <c r="H104" i="2"/>
  <c r="F104" i="2"/>
  <c r="C104" i="2"/>
  <c r="AD103" i="2"/>
  <c r="AC103" i="2"/>
  <c r="AA103" i="2"/>
  <c r="W103" i="2"/>
  <c r="X103" i="2" s="1"/>
  <c r="U103" i="2"/>
  <c r="R103" i="2"/>
  <c r="N103" i="2"/>
  <c r="O103" i="2" s="1"/>
  <c r="L103" i="2"/>
  <c r="I103" i="2"/>
  <c r="H103" i="2"/>
  <c r="F103" i="2"/>
  <c r="C103" i="2"/>
  <c r="AC102" i="2"/>
  <c r="AD102" i="2" s="1"/>
  <c r="AA102" i="2"/>
  <c r="W102" i="2"/>
  <c r="X102" i="2" s="1"/>
  <c r="U102" i="2"/>
  <c r="R102" i="2"/>
  <c r="O102" i="2"/>
  <c r="N102" i="2"/>
  <c r="L102" i="2"/>
  <c r="H102" i="2"/>
  <c r="I102" i="2" s="1"/>
  <c r="F102" i="2"/>
  <c r="C102" i="2"/>
  <c r="AC101" i="2"/>
  <c r="AD101" i="2" s="1"/>
  <c r="AA101" i="2"/>
  <c r="W101" i="2"/>
  <c r="X101" i="2" s="1"/>
  <c r="U101" i="2"/>
  <c r="R101" i="2"/>
  <c r="N101" i="2"/>
  <c r="O101" i="2" s="1"/>
  <c r="L101" i="2"/>
  <c r="H101" i="2"/>
  <c r="I101" i="2" s="1"/>
  <c r="F101" i="2"/>
  <c r="C101" i="2"/>
  <c r="AD100" i="2"/>
  <c r="AC100" i="2"/>
  <c r="AA100" i="2"/>
  <c r="X100" i="2"/>
  <c r="W100" i="2"/>
  <c r="U100" i="2"/>
  <c r="R100" i="2"/>
  <c r="N100" i="2"/>
  <c r="O100" i="2" s="1"/>
  <c r="L100" i="2"/>
  <c r="H100" i="2"/>
  <c r="I100" i="2" s="1"/>
  <c r="F100" i="2"/>
  <c r="C100" i="2"/>
  <c r="AD99" i="2"/>
  <c r="AC99" i="2"/>
  <c r="AA99" i="2"/>
  <c r="W99" i="2"/>
  <c r="X99" i="2" s="1"/>
  <c r="U99" i="2"/>
  <c r="R99" i="2"/>
  <c r="N99" i="2"/>
  <c r="O99" i="2" s="1"/>
  <c r="L99" i="2"/>
  <c r="I99" i="2"/>
  <c r="H99" i="2"/>
  <c r="F99" i="2"/>
  <c r="C99" i="2"/>
  <c r="AC98" i="2"/>
  <c r="AD98" i="2" s="1"/>
  <c r="AA98" i="2"/>
  <c r="X98" i="2"/>
  <c r="W98" i="2"/>
  <c r="U98" i="2"/>
  <c r="R98" i="2"/>
  <c r="O98" i="2"/>
  <c r="N98" i="2"/>
  <c r="L98" i="2"/>
  <c r="H98" i="2"/>
  <c r="I98" i="2" s="1"/>
  <c r="F98" i="2"/>
  <c r="C98" i="2"/>
  <c r="AC97" i="2"/>
  <c r="AD97" i="2" s="1"/>
  <c r="AA97" i="2"/>
  <c r="X97" i="2"/>
  <c r="W97" i="2"/>
  <c r="U97" i="2"/>
  <c r="R97" i="2"/>
  <c r="N97" i="2"/>
  <c r="O97" i="2" s="1"/>
  <c r="L97" i="2"/>
  <c r="H97" i="2"/>
  <c r="I97" i="2" s="1"/>
  <c r="F97" i="2"/>
  <c r="C97" i="2"/>
  <c r="AD96" i="2"/>
  <c r="AC96" i="2"/>
  <c r="AA96" i="2"/>
  <c r="X96" i="2"/>
  <c r="W96" i="2"/>
  <c r="U96" i="2"/>
  <c r="R96" i="2"/>
  <c r="O96" i="2"/>
  <c r="N96" i="2"/>
  <c r="L96" i="2"/>
  <c r="I96" i="2"/>
  <c r="H96" i="2"/>
  <c r="F96" i="2"/>
  <c r="C96" i="2"/>
  <c r="AD95" i="2"/>
  <c r="AC95" i="2"/>
  <c r="AA95" i="2"/>
  <c r="W95" i="2"/>
  <c r="X95" i="2" s="1"/>
  <c r="U95" i="2"/>
  <c r="R95" i="2"/>
  <c r="N95" i="2"/>
  <c r="O95" i="2" s="1"/>
  <c r="L95" i="2"/>
  <c r="I95" i="2"/>
  <c r="H95" i="2"/>
  <c r="F95" i="2"/>
  <c r="C95" i="2"/>
  <c r="AC94" i="2"/>
  <c r="AD94" i="2" s="1"/>
  <c r="AA94" i="2"/>
  <c r="W94" i="2"/>
  <c r="X94" i="2" s="1"/>
  <c r="U94" i="2"/>
  <c r="R94" i="2"/>
  <c r="O94" i="2"/>
  <c r="N94" i="2"/>
  <c r="L94" i="2"/>
  <c r="H94" i="2"/>
  <c r="I94" i="2" s="1"/>
  <c r="F94" i="2"/>
  <c r="C94" i="2"/>
  <c r="AC92" i="2"/>
  <c r="AD92" i="2" s="1"/>
  <c r="AA92" i="2"/>
  <c r="W92" i="2"/>
  <c r="X92" i="2" s="1"/>
  <c r="U92" i="2"/>
  <c r="R92" i="2"/>
  <c r="N92" i="2"/>
  <c r="O92" i="2" s="1"/>
  <c r="L92" i="2"/>
  <c r="H92" i="2"/>
  <c r="I92" i="2" s="1"/>
  <c r="F92" i="2"/>
  <c r="C92" i="2"/>
  <c r="AD91" i="2"/>
  <c r="AC91" i="2"/>
  <c r="AA91" i="2"/>
  <c r="X91" i="2"/>
  <c r="W91" i="2"/>
  <c r="U91" i="2"/>
  <c r="R91" i="2"/>
  <c r="N91" i="2"/>
  <c r="O91" i="2" s="1"/>
  <c r="L91" i="2"/>
  <c r="H91" i="2"/>
  <c r="I91" i="2" s="1"/>
  <c r="F91" i="2"/>
  <c r="C91" i="2"/>
  <c r="AD90" i="2"/>
  <c r="AC90" i="2"/>
  <c r="AA90" i="2"/>
  <c r="W90" i="2"/>
  <c r="X90" i="2" s="1"/>
  <c r="U90" i="2"/>
  <c r="R90" i="2"/>
  <c r="N90" i="2"/>
  <c r="O90" i="2" s="1"/>
  <c r="L90" i="2"/>
  <c r="I90" i="2"/>
  <c r="H90" i="2"/>
  <c r="F90" i="2"/>
  <c r="C90" i="2"/>
  <c r="AC89" i="2"/>
  <c r="AD89" i="2" s="1"/>
  <c r="AA89" i="2"/>
  <c r="X89" i="2"/>
  <c r="W89" i="2"/>
  <c r="U89" i="2"/>
  <c r="R89" i="2"/>
  <c r="O89" i="2"/>
  <c r="N89" i="2"/>
  <c r="L89" i="2"/>
  <c r="H89" i="2"/>
  <c r="I89" i="2" s="1"/>
  <c r="F89" i="2"/>
  <c r="C89" i="2"/>
  <c r="Z88" i="2"/>
  <c r="AA88" i="2" s="1"/>
  <c r="U88" i="2"/>
  <c r="T88" i="2"/>
  <c r="Q88" i="2"/>
  <c r="R88" i="2" s="1"/>
  <c r="N88" i="2"/>
  <c r="O88" i="2" s="1"/>
  <c r="K88" i="2"/>
  <c r="L88" i="2" s="1"/>
  <c r="F88" i="2"/>
  <c r="E88" i="2"/>
  <c r="B88" i="2"/>
  <c r="AC87" i="2"/>
  <c r="AD87" i="2" s="1"/>
  <c r="AA87" i="2"/>
  <c r="W87" i="2"/>
  <c r="X87" i="2" s="1"/>
  <c r="U87" i="2"/>
  <c r="R87" i="2"/>
  <c r="O87" i="2"/>
  <c r="N87" i="2"/>
  <c r="L87" i="2"/>
  <c r="I87" i="2"/>
  <c r="H87" i="2"/>
  <c r="F87" i="2"/>
  <c r="C87" i="2"/>
  <c r="AC86" i="2"/>
  <c r="AD86" i="2" s="1"/>
  <c r="AA86" i="2"/>
  <c r="W86" i="2"/>
  <c r="X86" i="2" s="1"/>
  <c r="U86" i="2"/>
  <c r="R86" i="2"/>
  <c r="O86" i="2"/>
  <c r="N86" i="2"/>
  <c r="L86" i="2"/>
  <c r="I86" i="2"/>
  <c r="H86" i="2"/>
  <c r="F86" i="2"/>
  <c r="C86" i="2"/>
  <c r="AC85" i="2"/>
  <c r="AD85" i="2" s="1"/>
  <c r="AA85" i="2"/>
  <c r="W85" i="2"/>
  <c r="X85" i="2" s="1"/>
  <c r="U85" i="2"/>
  <c r="R85" i="2"/>
  <c r="N85" i="2"/>
  <c r="O85" i="2" s="1"/>
  <c r="L85" i="2"/>
  <c r="H85" i="2"/>
  <c r="I85" i="2" s="1"/>
  <c r="F85" i="2"/>
  <c r="C85" i="2"/>
  <c r="AD84" i="2"/>
  <c r="AC84" i="2"/>
  <c r="AA84" i="2"/>
  <c r="X84" i="2"/>
  <c r="W84" i="2"/>
  <c r="U84" i="2"/>
  <c r="R84" i="2"/>
  <c r="N84" i="2"/>
  <c r="O84" i="2" s="1"/>
  <c r="L84" i="2"/>
  <c r="H84" i="2"/>
  <c r="I84" i="2" s="1"/>
  <c r="F84" i="2"/>
  <c r="C84" i="2"/>
  <c r="AC83" i="2"/>
  <c r="AD83" i="2" s="1"/>
  <c r="AA83" i="2"/>
  <c r="W83" i="2"/>
  <c r="X83" i="2" s="1"/>
  <c r="U83" i="2"/>
  <c r="R83" i="2"/>
  <c r="N83" i="2"/>
  <c r="O83" i="2" s="1"/>
  <c r="L83" i="2"/>
  <c r="I83" i="2"/>
  <c r="H83" i="2"/>
  <c r="F83" i="2"/>
  <c r="C83" i="2"/>
  <c r="AC82" i="2"/>
  <c r="AD82" i="2" s="1"/>
  <c r="AA82" i="2"/>
  <c r="X82" i="2"/>
  <c r="W82" i="2"/>
  <c r="U82" i="2"/>
  <c r="R82" i="2"/>
  <c r="O82" i="2"/>
  <c r="N82" i="2"/>
  <c r="L82" i="2"/>
  <c r="H82" i="2"/>
  <c r="I82" i="2" s="1"/>
  <c r="F82" i="2"/>
  <c r="C82" i="2"/>
  <c r="AD81" i="2"/>
  <c r="AC81" i="2"/>
  <c r="AA81" i="2"/>
  <c r="X81" i="2"/>
  <c r="W81" i="2"/>
  <c r="U81" i="2"/>
  <c r="R81" i="2"/>
  <c r="N81" i="2"/>
  <c r="O81" i="2" s="1"/>
  <c r="L81" i="2"/>
  <c r="H81" i="2"/>
  <c r="I81" i="2" s="1"/>
  <c r="F81" i="2"/>
  <c r="C81" i="2"/>
  <c r="AD80" i="2"/>
  <c r="AC80" i="2"/>
  <c r="AA80" i="2"/>
  <c r="X80" i="2"/>
  <c r="W80" i="2"/>
  <c r="U80" i="2"/>
  <c r="R80" i="2"/>
  <c r="O80" i="2"/>
  <c r="N80" i="2"/>
  <c r="L80" i="2"/>
  <c r="H80" i="2"/>
  <c r="I80" i="2" s="1"/>
  <c r="F80" i="2"/>
  <c r="C80" i="2"/>
  <c r="AC79" i="2"/>
  <c r="AD79" i="2" s="1"/>
  <c r="AA79" i="2"/>
  <c r="W79" i="2"/>
  <c r="X79" i="2" s="1"/>
  <c r="U79" i="2"/>
  <c r="R79" i="2"/>
  <c r="O79" i="2"/>
  <c r="N79" i="2"/>
  <c r="L79" i="2"/>
  <c r="I79" i="2"/>
  <c r="H79" i="2"/>
  <c r="F79" i="2"/>
  <c r="C79" i="2"/>
  <c r="AC78" i="2"/>
  <c r="AD78" i="2" s="1"/>
  <c r="AA78" i="2"/>
  <c r="W78" i="2"/>
  <c r="X78" i="2" s="1"/>
  <c r="U78" i="2"/>
  <c r="R78" i="2"/>
  <c r="O78" i="2"/>
  <c r="N78" i="2"/>
  <c r="L78" i="2"/>
  <c r="I78" i="2"/>
  <c r="H78" i="2"/>
  <c r="F78" i="2"/>
  <c r="C78" i="2"/>
  <c r="AC77" i="2"/>
  <c r="AD77" i="2" s="1"/>
  <c r="AA77" i="2"/>
  <c r="W77" i="2"/>
  <c r="X77" i="2" s="1"/>
  <c r="U77" i="2"/>
  <c r="R77" i="2"/>
  <c r="N77" i="2"/>
  <c r="O77" i="2" s="1"/>
  <c r="L77" i="2"/>
  <c r="H77" i="2"/>
  <c r="I77" i="2" s="1"/>
  <c r="F77" i="2"/>
  <c r="C77" i="2"/>
  <c r="AD76" i="2"/>
  <c r="AC76" i="2"/>
  <c r="AA76" i="2"/>
  <c r="X76" i="2"/>
  <c r="W76" i="2"/>
  <c r="U76" i="2"/>
  <c r="R76" i="2"/>
  <c r="N76" i="2"/>
  <c r="O76" i="2" s="1"/>
  <c r="L76" i="2"/>
  <c r="H76" i="2"/>
  <c r="I76" i="2" s="1"/>
  <c r="F76" i="2"/>
  <c r="C76" i="2"/>
  <c r="AC75" i="2"/>
  <c r="AD75" i="2" s="1"/>
  <c r="AA75" i="2"/>
  <c r="W75" i="2"/>
  <c r="X75" i="2" s="1"/>
  <c r="U75" i="2"/>
  <c r="R75" i="2"/>
  <c r="N75" i="2"/>
  <c r="O75" i="2" s="1"/>
  <c r="L75" i="2"/>
  <c r="I75" i="2"/>
  <c r="H75" i="2"/>
  <c r="F75" i="2"/>
  <c r="C75" i="2"/>
  <c r="Z73" i="2"/>
  <c r="AC73" i="2" s="1"/>
  <c r="AD73" i="2" s="1"/>
  <c r="T73" i="2"/>
  <c r="U73" i="2" s="1"/>
  <c r="Q73" i="2"/>
  <c r="N73" i="2"/>
  <c r="O73" i="2" s="1"/>
  <c r="L73" i="2"/>
  <c r="K73" i="2"/>
  <c r="E73" i="2"/>
  <c r="F73" i="2" s="1"/>
  <c r="B73" i="2"/>
  <c r="C73" i="2" s="1"/>
  <c r="AD72" i="2"/>
  <c r="AC72" i="2"/>
  <c r="AA72" i="2"/>
  <c r="X72" i="2"/>
  <c r="W72" i="2"/>
  <c r="U72" i="2"/>
  <c r="R72" i="2"/>
  <c r="N72" i="2"/>
  <c r="O72" i="2" s="1"/>
  <c r="L72" i="2"/>
  <c r="I72" i="2"/>
  <c r="H72" i="2"/>
  <c r="F72" i="2"/>
  <c r="C72" i="2"/>
  <c r="AC71" i="2"/>
  <c r="AD71" i="2" s="1"/>
  <c r="AA71" i="2"/>
  <c r="W71" i="2"/>
  <c r="X71" i="2" s="1"/>
  <c r="U71" i="2"/>
  <c r="R71" i="2"/>
  <c r="N71" i="2"/>
  <c r="O71" i="2" s="1"/>
  <c r="L71" i="2"/>
  <c r="I71" i="2"/>
  <c r="H71" i="2"/>
  <c r="F71" i="2"/>
  <c r="C71" i="2"/>
  <c r="AC70" i="2"/>
  <c r="AD70" i="2" s="1"/>
  <c r="AA70" i="2"/>
  <c r="X70" i="2"/>
  <c r="W70" i="2"/>
  <c r="U70" i="2"/>
  <c r="R70" i="2"/>
  <c r="O70" i="2"/>
  <c r="N70" i="2"/>
  <c r="L70" i="2"/>
  <c r="H70" i="2"/>
  <c r="I70" i="2" s="1"/>
  <c r="F70" i="2"/>
  <c r="C70" i="2"/>
  <c r="AD69" i="2"/>
  <c r="AC69" i="2"/>
  <c r="AA69" i="2"/>
  <c r="W69" i="2"/>
  <c r="X69" i="2" s="1"/>
  <c r="U69" i="2"/>
  <c r="R69" i="2"/>
  <c r="N69" i="2"/>
  <c r="O69" i="2" s="1"/>
  <c r="L69" i="2"/>
  <c r="H69" i="2"/>
  <c r="I69" i="2" s="1"/>
  <c r="F69" i="2"/>
  <c r="C69" i="2"/>
  <c r="AD68" i="2"/>
  <c r="AC68" i="2"/>
  <c r="AA68" i="2"/>
  <c r="X68" i="2"/>
  <c r="W68" i="2"/>
  <c r="U68" i="2"/>
  <c r="R68" i="2"/>
  <c r="N68" i="2"/>
  <c r="O68" i="2" s="1"/>
  <c r="L68" i="2"/>
  <c r="H68" i="2"/>
  <c r="I68" i="2" s="1"/>
  <c r="F68" i="2"/>
  <c r="C68" i="2"/>
  <c r="AD67" i="2"/>
  <c r="AC67" i="2"/>
  <c r="AA67" i="2"/>
  <c r="W67" i="2"/>
  <c r="X67" i="2" s="1"/>
  <c r="U67" i="2"/>
  <c r="R67" i="2"/>
  <c r="N67" i="2"/>
  <c r="O67" i="2" s="1"/>
  <c r="L67" i="2"/>
  <c r="I67" i="2"/>
  <c r="H67" i="2"/>
  <c r="F67" i="2"/>
  <c r="C67" i="2"/>
  <c r="AC66" i="2"/>
  <c r="AD66" i="2" s="1"/>
  <c r="AA66" i="2"/>
  <c r="W66" i="2"/>
  <c r="X66" i="2" s="1"/>
  <c r="U66" i="2"/>
  <c r="R66" i="2"/>
  <c r="O66" i="2"/>
  <c r="N66" i="2"/>
  <c r="L66" i="2"/>
  <c r="H66" i="2"/>
  <c r="I66" i="2" s="1"/>
  <c r="F66" i="2"/>
  <c r="C66" i="2"/>
  <c r="AC65" i="2"/>
  <c r="AD65" i="2" s="1"/>
  <c r="AA65" i="2"/>
  <c r="W65" i="2"/>
  <c r="X65" i="2" s="1"/>
  <c r="U65" i="2"/>
  <c r="R65" i="2"/>
  <c r="N65" i="2"/>
  <c r="O65" i="2" s="1"/>
  <c r="L65" i="2"/>
  <c r="H65" i="2"/>
  <c r="I65" i="2" s="1"/>
  <c r="F65" i="2"/>
  <c r="C65" i="2"/>
  <c r="AD64" i="2"/>
  <c r="AC64" i="2"/>
  <c r="AA64" i="2"/>
  <c r="X64" i="2"/>
  <c r="W64" i="2"/>
  <c r="U64" i="2"/>
  <c r="R64" i="2"/>
  <c r="N64" i="2"/>
  <c r="O64" i="2" s="1"/>
  <c r="L64" i="2"/>
  <c r="I64" i="2"/>
  <c r="H64" i="2"/>
  <c r="F64" i="2"/>
  <c r="C64" i="2"/>
  <c r="AC62" i="2"/>
  <c r="AD62" i="2" s="1"/>
  <c r="AA62" i="2"/>
  <c r="Z62" i="2"/>
  <c r="T62" i="2"/>
  <c r="U62" i="2" s="1"/>
  <c r="R62" i="2"/>
  <c r="Q62" i="2"/>
  <c r="W62" i="2" s="1"/>
  <c r="X62" i="2" s="1"/>
  <c r="L62" i="2"/>
  <c r="K62" i="2"/>
  <c r="E62" i="2"/>
  <c r="F62" i="2" s="1"/>
  <c r="C62" i="2"/>
  <c r="B62" i="2"/>
  <c r="Z61" i="2"/>
  <c r="AA61" i="2" s="1"/>
  <c r="U61" i="2"/>
  <c r="T61" i="2"/>
  <c r="Q61" i="2"/>
  <c r="R61" i="2" s="1"/>
  <c r="K61" i="2"/>
  <c r="N61" i="2" s="1"/>
  <c r="O61" i="2" s="1"/>
  <c r="E61" i="2"/>
  <c r="F61" i="2" s="1"/>
  <c r="B61" i="2"/>
  <c r="AC60" i="2"/>
  <c r="AD60" i="2" s="1"/>
  <c r="AA60" i="2"/>
  <c r="W60" i="2"/>
  <c r="X60" i="2" s="1"/>
  <c r="U60" i="2"/>
  <c r="R60" i="2"/>
  <c r="O60" i="2"/>
  <c r="N60" i="2"/>
  <c r="L60" i="2"/>
  <c r="I60" i="2"/>
  <c r="H60" i="2"/>
  <c r="F60" i="2"/>
  <c r="C60" i="2"/>
  <c r="AC59" i="2"/>
  <c r="AD59" i="2" s="1"/>
  <c r="AA59" i="2"/>
  <c r="W59" i="2"/>
  <c r="X59" i="2" s="1"/>
  <c r="U59" i="2"/>
  <c r="R59" i="2"/>
  <c r="O59" i="2"/>
  <c r="N59" i="2"/>
  <c r="L59" i="2"/>
  <c r="I59" i="2"/>
  <c r="H59" i="2"/>
  <c r="F59" i="2"/>
  <c r="C59" i="2"/>
  <c r="AC58" i="2"/>
  <c r="AD58" i="2" s="1"/>
  <c r="AA58" i="2"/>
  <c r="W58" i="2"/>
  <c r="X58" i="2" s="1"/>
  <c r="U58" i="2"/>
  <c r="R58" i="2"/>
  <c r="N58" i="2"/>
  <c r="O58" i="2" s="1"/>
  <c r="L58" i="2"/>
  <c r="H58" i="2"/>
  <c r="I58" i="2" s="1"/>
  <c r="F58" i="2"/>
  <c r="C58" i="2"/>
  <c r="AD57" i="2"/>
  <c r="AC57" i="2"/>
  <c r="AA57" i="2"/>
  <c r="X57" i="2"/>
  <c r="W57" i="2"/>
  <c r="U57" i="2"/>
  <c r="R57" i="2"/>
  <c r="N57" i="2"/>
  <c r="O57" i="2" s="1"/>
  <c r="L57" i="2"/>
  <c r="H57" i="2"/>
  <c r="I57" i="2" s="1"/>
  <c r="F57" i="2"/>
  <c r="C57" i="2"/>
  <c r="AC56" i="2"/>
  <c r="AD56" i="2" s="1"/>
  <c r="AA56" i="2"/>
  <c r="W56" i="2"/>
  <c r="X56" i="2" s="1"/>
  <c r="U56" i="2"/>
  <c r="R56" i="2"/>
  <c r="O56" i="2"/>
  <c r="N56" i="2"/>
  <c r="L56" i="2"/>
  <c r="I56" i="2"/>
  <c r="H56" i="2"/>
  <c r="F56" i="2"/>
  <c r="C56" i="2"/>
  <c r="AC55" i="2"/>
  <c r="AD55" i="2" s="1"/>
  <c r="AA55" i="2"/>
  <c r="X55" i="2"/>
  <c r="W55" i="2"/>
  <c r="U55" i="2"/>
  <c r="R55" i="2"/>
  <c r="O55" i="2"/>
  <c r="N55" i="2"/>
  <c r="L55" i="2"/>
  <c r="I55" i="2"/>
  <c r="H55" i="2"/>
  <c r="F55" i="2"/>
  <c r="C55" i="2"/>
  <c r="AD54" i="2"/>
  <c r="AC54" i="2"/>
  <c r="AA54" i="2"/>
  <c r="W54" i="2"/>
  <c r="X54" i="2" s="1"/>
  <c r="U54" i="2"/>
  <c r="R54" i="2"/>
  <c r="N54" i="2"/>
  <c r="O54" i="2" s="1"/>
  <c r="L54" i="2"/>
  <c r="H54" i="2"/>
  <c r="I54" i="2" s="1"/>
  <c r="F54" i="2"/>
  <c r="C54" i="2"/>
  <c r="AD53" i="2"/>
  <c r="AC53" i="2"/>
  <c r="AA53" i="2"/>
  <c r="X53" i="2"/>
  <c r="W53" i="2"/>
  <c r="U53" i="2"/>
  <c r="R53" i="2"/>
  <c r="N53" i="2"/>
  <c r="O53" i="2" s="1"/>
  <c r="L53" i="2"/>
  <c r="H53" i="2"/>
  <c r="I53" i="2" s="1"/>
  <c r="F53" i="2"/>
  <c r="C53" i="2"/>
  <c r="AC52" i="2"/>
  <c r="AD52" i="2" s="1"/>
  <c r="AA52" i="2"/>
  <c r="W52" i="2"/>
  <c r="X52" i="2" s="1"/>
  <c r="U52" i="2"/>
  <c r="R52" i="2"/>
  <c r="O52" i="2"/>
  <c r="N52" i="2"/>
  <c r="L52" i="2"/>
  <c r="I52" i="2"/>
  <c r="H52" i="2"/>
  <c r="F52" i="2"/>
  <c r="C52" i="2"/>
  <c r="AC51" i="2"/>
  <c r="AD51" i="2" s="1"/>
  <c r="AA51" i="2"/>
  <c r="W51" i="2"/>
  <c r="X51" i="2" s="1"/>
  <c r="U51" i="2"/>
  <c r="R51" i="2"/>
  <c r="O51" i="2"/>
  <c r="N51" i="2"/>
  <c r="L51" i="2"/>
  <c r="I51" i="2"/>
  <c r="H51" i="2"/>
  <c r="F51" i="2"/>
  <c r="C51" i="2"/>
  <c r="AC50" i="2"/>
  <c r="AD50" i="2" s="1"/>
  <c r="AA50" i="2"/>
  <c r="X50" i="2"/>
  <c r="W50" i="2"/>
  <c r="U50" i="2"/>
  <c r="R50" i="2"/>
  <c r="N50" i="2"/>
  <c r="O50" i="2" s="1"/>
  <c r="L50" i="2"/>
  <c r="H50" i="2"/>
  <c r="I50" i="2" s="1"/>
  <c r="F50" i="2"/>
  <c r="C50" i="2"/>
  <c r="AD49" i="2"/>
  <c r="AC49" i="2"/>
  <c r="AA49" i="2"/>
  <c r="X49" i="2"/>
  <c r="W49" i="2"/>
  <c r="U49" i="2"/>
  <c r="R49" i="2"/>
  <c r="O49" i="2"/>
  <c r="N49" i="2"/>
  <c r="L49" i="2"/>
  <c r="H49" i="2"/>
  <c r="I49" i="2" s="1"/>
  <c r="F49" i="2"/>
  <c r="C49" i="2"/>
  <c r="AC48" i="2"/>
  <c r="AD48" i="2" s="1"/>
  <c r="AA48" i="2"/>
  <c r="W48" i="2"/>
  <c r="X48" i="2" s="1"/>
  <c r="U48" i="2"/>
  <c r="R48" i="2"/>
  <c r="O48" i="2"/>
  <c r="N48" i="2"/>
  <c r="L48" i="2"/>
  <c r="I48" i="2"/>
  <c r="H48" i="2"/>
  <c r="F48" i="2"/>
  <c r="C48" i="2"/>
  <c r="AC47" i="2"/>
  <c r="AD47" i="2" s="1"/>
  <c r="AA47" i="2"/>
  <c r="X47" i="2"/>
  <c r="W47" i="2"/>
  <c r="U47" i="2"/>
  <c r="R47" i="2"/>
  <c r="O47" i="2"/>
  <c r="N47" i="2"/>
  <c r="L47" i="2"/>
  <c r="I47" i="2"/>
  <c r="H47" i="2"/>
  <c r="F47" i="2"/>
  <c r="C47" i="2"/>
  <c r="AD46" i="2"/>
  <c r="AC46" i="2"/>
  <c r="AA46" i="2"/>
  <c r="W46" i="2"/>
  <c r="X46" i="2" s="1"/>
  <c r="U46" i="2"/>
  <c r="R46" i="2"/>
  <c r="N46" i="2"/>
  <c r="O46" i="2" s="1"/>
  <c r="L46" i="2"/>
  <c r="H46" i="2"/>
  <c r="I46" i="2" s="1"/>
  <c r="F46" i="2"/>
  <c r="C46" i="2"/>
  <c r="AD44" i="2"/>
  <c r="AC44" i="2"/>
  <c r="AA44" i="2"/>
  <c r="X44" i="2"/>
  <c r="W44" i="2"/>
  <c r="U44" i="2"/>
  <c r="R44" i="2"/>
  <c r="N44" i="2"/>
  <c r="O44" i="2" s="1"/>
  <c r="L44" i="2"/>
  <c r="H44" i="2"/>
  <c r="I44" i="2" s="1"/>
  <c r="F44" i="2"/>
  <c r="C44" i="2"/>
  <c r="AC43" i="2"/>
  <c r="AD43" i="2" s="1"/>
  <c r="AA43" i="2"/>
  <c r="W43" i="2"/>
  <c r="X43" i="2" s="1"/>
  <c r="U43" i="2"/>
  <c r="R43" i="2"/>
  <c r="O43" i="2"/>
  <c r="N43" i="2"/>
  <c r="L43" i="2"/>
  <c r="I43" i="2"/>
  <c r="H43" i="2"/>
  <c r="F43" i="2"/>
  <c r="C43" i="2"/>
  <c r="AC42" i="2"/>
  <c r="AD42" i="2" s="1"/>
  <c r="AA42" i="2"/>
  <c r="W42" i="2"/>
  <c r="X42" i="2" s="1"/>
  <c r="U42" i="2"/>
  <c r="R42" i="2"/>
  <c r="O42" i="2"/>
  <c r="N42" i="2"/>
  <c r="L42" i="2"/>
  <c r="I42" i="2"/>
  <c r="H42" i="2"/>
  <c r="F42" i="2"/>
  <c r="C42" i="2"/>
  <c r="Z40" i="2"/>
  <c r="AA40" i="2" s="1"/>
  <c r="U40" i="2"/>
  <c r="T40" i="2"/>
  <c r="Q40" i="2"/>
  <c r="W40" i="2" s="1"/>
  <c r="X40" i="2" s="1"/>
  <c r="K40" i="2"/>
  <c r="L40" i="2" s="1"/>
  <c r="E40" i="2"/>
  <c r="F40" i="2" s="1"/>
  <c r="B40" i="2"/>
  <c r="N40" i="2" s="1"/>
  <c r="O40" i="2" s="1"/>
  <c r="AC39" i="2"/>
  <c r="AD39" i="2" s="1"/>
  <c r="AA39" i="2"/>
  <c r="W39" i="2"/>
  <c r="X39" i="2" s="1"/>
  <c r="U39" i="2"/>
  <c r="R39" i="2"/>
  <c r="N39" i="2"/>
  <c r="O39" i="2" s="1"/>
  <c r="L39" i="2"/>
  <c r="I39" i="2"/>
  <c r="H39" i="2"/>
  <c r="F39" i="2"/>
  <c r="C39" i="2"/>
  <c r="AC38" i="2"/>
  <c r="AD38" i="2" s="1"/>
  <c r="AA38" i="2"/>
  <c r="W38" i="2"/>
  <c r="X38" i="2" s="1"/>
  <c r="U38" i="2"/>
  <c r="R38" i="2"/>
  <c r="O38" i="2"/>
  <c r="N38" i="2"/>
  <c r="L38" i="2"/>
  <c r="H38" i="2"/>
  <c r="I38" i="2" s="1"/>
  <c r="F38" i="2"/>
  <c r="C38" i="2"/>
  <c r="AC37" i="2"/>
  <c r="AD37" i="2" s="1"/>
  <c r="AA37" i="2"/>
  <c r="W37" i="2"/>
  <c r="X37" i="2" s="1"/>
  <c r="U37" i="2"/>
  <c r="R37" i="2"/>
  <c r="N37" i="2"/>
  <c r="O37" i="2" s="1"/>
  <c r="L37" i="2"/>
  <c r="H37" i="2"/>
  <c r="I37" i="2" s="1"/>
  <c r="F37" i="2"/>
  <c r="C37" i="2"/>
  <c r="AD36" i="2"/>
  <c r="AC36" i="2"/>
  <c r="AA36" i="2"/>
  <c r="X36" i="2"/>
  <c r="W36" i="2"/>
  <c r="U36" i="2"/>
  <c r="R36" i="2"/>
  <c r="N36" i="2"/>
  <c r="O36" i="2" s="1"/>
  <c r="L36" i="2"/>
  <c r="H36" i="2"/>
  <c r="I36" i="2" s="1"/>
  <c r="F36" i="2"/>
  <c r="C36" i="2"/>
  <c r="AD35" i="2"/>
  <c r="AC35" i="2"/>
  <c r="AA35" i="2"/>
  <c r="W35" i="2"/>
  <c r="X35" i="2" s="1"/>
  <c r="U35" i="2"/>
  <c r="R35" i="2"/>
  <c r="N35" i="2"/>
  <c r="O35" i="2" s="1"/>
  <c r="L35" i="2"/>
  <c r="I35" i="2"/>
  <c r="H35" i="2"/>
  <c r="F35" i="2"/>
  <c r="C35" i="2"/>
  <c r="AC34" i="2"/>
  <c r="AD34" i="2" s="1"/>
  <c r="AA34" i="2"/>
  <c r="X34" i="2"/>
  <c r="W34" i="2"/>
  <c r="U34" i="2"/>
  <c r="R34" i="2"/>
  <c r="O34" i="2"/>
  <c r="N34" i="2"/>
  <c r="L34" i="2"/>
  <c r="H34" i="2"/>
  <c r="I34" i="2" s="1"/>
  <c r="F34" i="2"/>
  <c r="C34" i="2"/>
  <c r="AC33" i="2"/>
  <c r="AD33" i="2" s="1"/>
  <c r="AA33" i="2"/>
  <c r="X33" i="2"/>
  <c r="W33" i="2"/>
  <c r="U33" i="2"/>
  <c r="R33" i="2"/>
  <c r="N33" i="2"/>
  <c r="O33" i="2" s="1"/>
  <c r="L33" i="2"/>
  <c r="H33" i="2"/>
  <c r="I33" i="2" s="1"/>
  <c r="F33" i="2"/>
  <c r="C33" i="2"/>
  <c r="AD32" i="2"/>
  <c r="AC32" i="2"/>
  <c r="AA32" i="2"/>
  <c r="X32" i="2"/>
  <c r="W32" i="2"/>
  <c r="U32" i="2"/>
  <c r="R32" i="2"/>
  <c r="O32" i="2"/>
  <c r="N32" i="2"/>
  <c r="L32" i="2"/>
  <c r="I32" i="2"/>
  <c r="H32" i="2"/>
  <c r="F32" i="2"/>
  <c r="C32" i="2"/>
  <c r="AC31" i="2"/>
  <c r="AD31" i="2" s="1"/>
  <c r="AA31" i="2"/>
  <c r="W31" i="2"/>
  <c r="X31" i="2" s="1"/>
  <c r="U31" i="2"/>
  <c r="R31" i="2"/>
  <c r="N31" i="2"/>
  <c r="O31" i="2" s="1"/>
  <c r="L31" i="2"/>
  <c r="I31" i="2"/>
  <c r="H31" i="2"/>
  <c r="F31" i="2"/>
  <c r="C31" i="2"/>
  <c r="Z29" i="2"/>
  <c r="AA29" i="2" s="1"/>
  <c r="U29" i="2"/>
  <c r="T29" i="2"/>
  <c r="Q29" i="2"/>
  <c r="O29" i="2"/>
  <c r="L29" i="2"/>
  <c r="K29" i="2"/>
  <c r="H29" i="2"/>
  <c r="I29" i="2" s="1"/>
  <c r="E29" i="2"/>
  <c r="F29" i="2" s="1"/>
  <c r="B29" i="2"/>
  <c r="N29" i="2" s="1"/>
  <c r="AD28" i="2"/>
  <c r="AC28" i="2"/>
  <c r="AA28" i="2"/>
  <c r="X28" i="2"/>
  <c r="W28" i="2"/>
  <c r="U28" i="2"/>
  <c r="R28" i="2"/>
  <c r="O28" i="2"/>
  <c r="N28" i="2"/>
  <c r="L28" i="2"/>
  <c r="H28" i="2"/>
  <c r="I28" i="2" s="1"/>
  <c r="F28" i="2"/>
  <c r="C28" i="2"/>
  <c r="AC27" i="2"/>
  <c r="AD27" i="2" s="1"/>
  <c r="AA27" i="2"/>
  <c r="W27" i="2"/>
  <c r="X27" i="2" s="1"/>
  <c r="U27" i="2"/>
  <c r="R27" i="2"/>
  <c r="O27" i="2"/>
  <c r="N27" i="2"/>
  <c r="L27" i="2"/>
  <c r="I27" i="2"/>
  <c r="H27" i="2"/>
  <c r="F27" i="2"/>
  <c r="C27" i="2"/>
  <c r="AC26" i="2"/>
  <c r="AD26" i="2" s="1"/>
  <c r="AA26" i="2"/>
  <c r="W26" i="2"/>
  <c r="X26" i="2" s="1"/>
  <c r="U26" i="2"/>
  <c r="R26" i="2"/>
  <c r="O26" i="2"/>
  <c r="N26" i="2"/>
  <c r="L26" i="2"/>
  <c r="I26" i="2"/>
  <c r="H26" i="2"/>
  <c r="F26" i="2"/>
  <c r="C26" i="2"/>
  <c r="AC25" i="2"/>
  <c r="AD25" i="2" s="1"/>
  <c r="AA25" i="2"/>
  <c r="X25" i="2"/>
  <c r="W25" i="2"/>
  <c r="U25" i="2"/>
  <c r="R25" i="2"/>
  <c r="N25" i="2"/>
  <c r="O25" i="2" s="1"/>
  <c r="L25" i="2"/>
  <c r="H25" i="2"/>
  <c r="I25" i="2" s="1"/>
  <c r="F25" i="2"/>
  <c r="C25" i="2"/>
  <c r="AD24" i="2"/>
  <c r="AC24" i="2"/>
  <c r="AA24" i="2"/>
  <c r="X24" i="2"/>
  <c r="W24" i="2"/>
  <c r="U24" i="2"/>
  <c r="R24" i="2"/>
  <c r="O24" i="2"/>
  <c r="N24" i="2"/>
  <c r="L24" i="2"/>
  <c r="I24" i="2"/>
  <c r="H24" i="2"/>
  <c r="F24" i="2"/>
  <c r="C24" i="2"/>
  <c r="AC23" i="2"/>
  <c r="AD23" i="2" s="1"/>
  <c r="AA23" i="2"/>
  <c r="W23" i="2"/>
  <c r="X23" i="2" s="1"/>
  <c r="U23" i="2"/>
  <c r="R23" i="2"/>
  <c r="N23" i="2"/>
  <c r="O23" i="2" s="1"/>
  <c r="L23" i="2"/>
  <c r="I23" i="2"/>
  <c r="H23" i="2"/>
  <c r="F23" i="2"/>
  <c r="C23" i="2"/>
  <c r="AC22" i="2"/>
  <c r="AD22" i="2" s="1"/>
  <c r="AA22" i="2"/>
  <c r="W22" i="2"/>
  <c r="X22" i="2" s="1"/>
  <c r="U22" i="2"/>
  <c r="R22" i="2"/>
  <c r="O22" i="2"/>
  <c r="N22" i="2"/>
  <c r="L22" i="2"/>
  <c r="H22" i="2"/>
  <c r="I22" i="2" s="1"/>
  <c r="F22" i="2"/>
  <c r="C22" i="2"/>
  <c r="AD21" i="2"/>
  <c r="AC21" i="2"/>
  <c r="AA21" i="2"/>
  <c r="X21" i="2"/>
  <c r="W21" i="2"/>
  <c r="U21" i="2"/>
  <c r="R21" i="2"/>
  <c r="N21" i="2"/>
  <c r="O21" i="2" s="1"/>
  <c r="L21" i="2"/>
  <c r="H21" i="2"/>
  <c r="I21" i="2" s="1"/>
  <c r="F21" i="2"/>
  <c r="C21" i="2"/>
  <c r="AD19" i="2"/>
  <c r="AC19" i="2"/>
  <c r="AA19" i="2"/>
  <c r="X19" i="2"/>
  <c r="W19" i="2"/>
  <c r="U19" i="2"/>
  <c r="R19" i="2"/>
  <c r="O19" i="2"/>
  <c r="N19" i="2"/>
  <c r="L19" i="2"/>
  <c r="H19" i="2"/>
  <c r="I19" i="2" s="1"/>
  <c r="F19" i="2"/>
  <c r="C19" i="2"/>
  <c r="AA18" i="2"/>
  <c r="Z18" i="2"/>
  <c r="T18" i="2"/>
  <c r="U18" i="2" s="1"/>
  <c r="Q18" i="2"/>
  <c r="R18" i="2" s="1"/>
  <c r="O18" i="2"/>
  <c r="K18" i="2"/>
  <c r="L18" i="2" s="1"/>
  <c r="H18" i="2"/>
  <c r="I18" i="2" s="1"/>
  <c r="F18" i="2"/>
  <c r="E18" i="2"/>
  <c r="C18" i="2"/>
  <c r="B18" i="2"/>
  <c r="N18" i="2" s="1"/>
  <c r="AD17" i="2"/>
  <c r="AC17" i="2"/>
  <c r="AA17" i="2"/>
  <c r="W17" i="2"/>
  <c r="X17" i="2" s="1"/>
  <c r="U17" i="2"/>
  <c r="R17" i="2"/>
  <c r="N17" i="2"/>
  <c r="O17" i="2" s="1"/>
  <c r="L17" i="2"/>
  <c r="H17" i="2"/>
  <c r="I17" i="2" s="1"/>
  <c r="F17" i="2"/>
  <c r="C17" i="2"/>
  <c r="AD16" i="2"/>
  <c r="AC16" i="2"/>
  <c r="AA16" i="2"/>
  <c r="X16" i="2"/>
  <c r="W16" i="2"/>
  <c r="U16" i="2"/>
  <c r="R16" i="2"/>
  <c r="N16" i="2"/>
  <c r="O16" i="2" s="1"/>
  <c r="L16" i="2"/>
  <c r="H16" i="2"/>
  <c r="I16" i="2" s="1"/>
  <c r="F16" i="2"/>
  <c r="C16" i="2"/>
  <c r="AC15" i="2"/>
  <c r="AD15" i="2" s="1"/>
  <c r="AA15" i="2"/>
  <c r="W15" i="2"/>
  <c r="X15" i="2" s="1"/>
  <c r="U15" i="2"/>
  <c r="R15" i="2"/>
  <c r="O15" i="2"/>
  <c r="N15" i="2"/>
  <c r="L15" i="2"/>
  <c r="I15" i="2"/>
  <c r="H15" i="2"/>
  <c r="F15" i="2"/>
  <c r="C15" i="2"/>
  <c r="AC14" i="2"/>
  <c r="AD14" i="2" s="1"/>
  <c r="AA14" i="2"/>
  <c r="W14" i="2"/>
  <c r="X14" i="2" s="1"/>
  <c r="U14" i="2"/>
  <c r="R14" i="2"/>
  <c r="O14" i="2"/>
  <c r="N14" i="2"/>
  <c r="L14" i="2"/>
  <c r="I14" i="2"/>
  <c r="H14" i="2"/>
  <c r="F14" i="2"/>
  <c r="C14" i="2"/>
  <c r="AD13" i="2"/>
  <c r="AC13" i="2"/>
  <c r="AA13" i="2"/>
  <c r="X13" i="2"/>
  <c r="W13" i="2"/>
  <c r="U13" i="2"/>
  <c r="R13" i="2"/>
  <c r="N13" i="2"/>
  <c r="O13" i="2" s="1"/>
  <c r="L13" i="2"/>
  <c r="H13" i="2"/>
  <c r="I13" i="2" s="1"/>
  <c r="F13" i="2"/>
  <c r="C13" i="2"/>
  <c r="AD12" i="2"/>
  <c r="AC12" i="2"/>
  <c r="AA12" i="2"/>
  <c r="X12" i="2"/>
  <c r="W12" i="2"/>
  <c r="U12" i="2"/>
  <c r="R12" i="2"/>
  <c r="O12" i="2"/>
  <c r="N12" i="2"/>
  <c r="L12" i="2"/>
  <c r="H12" i="2"/>
  <c r="I12" i="2" s="1"/>
  <c r="F12" i="2"/>
  <c r="C12" i="2"/>
  <c r="AC11" i="2"/>
  <c r="AD11" i="2" s="1"/>
  <c r="AA11" i="2"/>
  <c r="W11" i="2"/>
  <c r="X11" i="2" s="1"/>
  <c r="U11" i="2"/>
  <c r="R11" i="2"/>
  <c r="N11" i="2"/>
  <c r="O11" i="2" s="1"/>
  <c r="L11" i="2"/>
  <c r="I11" i="2"/>
  <c r="H11" i="2"/>
  <c r="F11" i="2"/>
  <c r="C11" i="2"/>
  <c r="AC10" i="2"/>
  <c r="AD10" i="2" s="1"/>
  <c r="AA10" i="2"/>
  <c r="X10" i="2"/>
  <c r="W10" i="2"/>
  <c r="U10" i="2"/>
  <c r="R10" i="2"/>
  <c r="O10" i="2"/>
  <c r="N10" i="2"/>
  <c r="L10" i="2"/>
  <c r="H10" i="2"/>
  <c r="I10" i="2" s="1"/>
  <c r="F10" i="2"/>
  <c r="C10" i="2"/>
  <c r="AD8" i="2"/>
  <c r="AC8" i="2"/>
  <c r="AA8" i="2"/>
  <c r="W8" i="2"/>
  <c r="X8" i="2" s="1"/>
  <c r="U8" i="2"/>
  <c r="R8" i="2"/>
  <c r="N8" i="2"/>
  <c r="O8" i="2" s="1"/>
  <c r="L8" i="2"/>
  <c r="H8" i="2"/>
  <c r="I8" i="2" s="1"/>
  <c r="F8" i="2"/>
  <c r="C8" i="2"/>
  <c r="AC444" i="1"/>
  <c r="AD436" i="1" s="1"/>
  <c r="W444" i="1"/>
  <c r="N444" i="1"/>
  <c r="H444" i="1"/>
  <c r="I439" i="1" s="1"/>
  <c r="AA442" i="1"/>
  <c r="Z442" i="1"/>
  <c r="T442" i="1"/>
  <c r="W442" i="1" s="1"/>
  <c r="X442" i="1" s="1"/>
  <c r="R442" i="1"/>
  <c r="Q442" i="1"/>
  <c r="N442" i="1"/>
  <c r="O442" i="1" s="1"/>
  <c r="K442" i="1"/>
  <c r="L442" i="1" s="1"/>
  <c r="F442" i="1"/>
  <c r="E442" i="1"/>
  <c r="B442" i="1"/>
  <c r="C442" i="1" s="1"/>
  <c r="AC441" i="1"/>
  <c r="Z441" i="1"/>
  <c r="AA441" i="1" s="1"/>
  <c r="T441" i="1"/>
  <c r="U441" i="1" s="1"/>
  <c r="Q441" i="1"/>
  <c r="N441" i="1"/>
  <c r="O441" i="1" s="1"/>
  <c r="L441" i="1"/>
  <c r="K441" i="1"/>
  <c r="E441" i="1"/>
  <c r="F441" i="1" s="1"/>
  <c r="B441" i="1"/>
  <c r="C441" i="1" s="1"/>
  <c r="AD440" i="1"/>
  <c r="AC440" i="1"/>
  <c r="AA440" i="1"/>
  <c r="X440" i="1"/>
  <c r="W440" i="1"/>
  <c r="U440" i="1"/>
  <c r="R440" i="1"/>
  <c r="N440" i="1"/>
  <c r="O440" i="1" s="1"/>
  <c r="L440" i="1"/>
  <c r="H440" i="1"/>
  <c r="I440" i="1" s="1"/>
  <c r="F440" i="1"/>
  <c r="C440" i="1"/>
  <c r="AC439" i="1"/>
  <c r="AA439" i="1"/>
  <c r="W439" i="1"/>
  <c r="X439" i="1" s="1"/>
  <c r="U439" i="1"/>
  <c r="R439" i="1"/>
  <c r="N439" i="1"/>
  <c r="O439" i="1" s="1"/>
  <c r="L439" i="1"/>
  <c r="H439" i="1"/>
  <c r="F439" i="1"/>
  <c r="C439" i="1"/>
  <c r="AC438" i="1"/>
  <c r="AD438" i="1" s="1"/>
  <c r="AA438" i="1"/>
  <c r="X438" i="1"/>
  <c r="W438" i="1"/>
  <c r="U438" i="1"/>
  <c r="R438" i="1"/>
  <c r="O438" i="1"/>
  <c r="N438" i="1"/>
  <c r="L438" i="1"/>
  <c r="H438" i="1"/>
  <c r="I438" i="1" s="1"/>
  <c r="F438" i="1"/>
  <c r="C438" i="1"/>
  <c r="AC437" i="1"/>
  <c r="AA437" i="1"/>
  <c r="X437" i="1"/>
  <c r="W437" i="1"/>
  <c r="U437" i="1"/>
  <c r="R437" i="1"/>
  <c r="N437" i="1"/>
  <c r="O437" i="1" s="1"/>
  <c r="L437" i="1"/>
  <c r="H437" i="1"/>
  <c r="F437" i="1"/>
  <c r="C437" i="1"/>
  <c r="AC436" i="1"/>
  <c r="AA436" i="1"/>
  <c r="X436" i="1"/>
  <c r="W436" i="1"/>
  <c r="U436" i="1"/>
  <c r="R436" i="1"/>
  <c r="O436" i="1"/>
  <c r="N436" i="1"/>
  <c r="L436" i="1"/>
  <c r="H436" i="1"/>
  <c r="I436" i="1" s="1"/>
  <c r="F436" i="1"/>
  <c r="C436" i="1"/>
  <c r="AC435" i="1"/>
  <c r="AD435" i="1" s="1"/>
  <c r="AA435" i="1"/>
  <c r="W435" i="1"/>
  <c r="X435" i="1" s="1"/>
  <c r="U435" i="1"/>
  <c r="R435" i="1"/>
  <c r="O435" i="1"/>
  <c r="N435" i="1"/>
  <c r="L435" i="1"/>
  <c r="I435" i="1"/>
  <c r="H435" i="1"/>
  <c r="F435" i="1"/>
  <c r="C435" i="1"/>
  <c r="AC434" i="1"/>
  <c r="AD434" i="1" s="1"/>
  <c r="AA434" i="1"/>
  <c r="W434" i="1"/>
  <c r="X434" i="1" s="1"/>
  <c r="U434" i="1"/>
  <c r="R434" i="1"/>
  <c r="O434" i="1"/>
  <c r="N434" i="1"/>
  <c r="L434" i="1"/>
  <c r="I434" i="1"/>
  <c r="H434" i="1"/>
  <c r="F434" i="1"/>
  <c r="C434" i="1"/>
  <c r="AC433" i="1"/>
  <c r="AD433" i="1" s="1"/>
  <c r="AA433" i="1"/>
  <c r="W433" i="1"/>
  <c r="X433" i="1" s="1"/>
  <c r="U433" i="1"/>
  <c r="R433" i="1"/>
  <c r="N433" i="1"/>
  <c r="O433" i="1" s="1"/>
  <c r="L433" i="1"/>
  <c r="H433" i="1"/>
  <c r="I433" i="1" s="1"/>
  <c r="F433" i="1"/>
  <c r="C433" i="1"/>
  <c r="AD432" i="1"/>
  <c r="AC432" i="1"/>
  <c r="AA432" i="1"/>
  <c r="X432" i="1"/>
  <c r="W432" i="1"/>
  <c r="U432" i="1"/>
  <c r="R432" i="1"/>
  <c r="N432" i="1"/>
  <c r="O432" i="1" s="1"/>
  <c r="L432" i="1"/>
  <c r="H432" i="1"/>
  <c r="F432" i="1"/>
  <c r="C432" i="1"/>
  <c r="AC429" i="1"/>
  <c r="AD429" i="1" s="1"/>
  <c r="AA429" i="1"/>
  <c r="Z429" i="1"/>
  <c r="T429" i="1"/>
  <c r="U429" i="1" s="1"/>
  <c r="R429" i="1"/>
  <c r="Q429" i="1"/>
  <c r="L429" i="1"/>
  <c r="K429" i="1"/>
  <c r="E429" i="1"/>
  <c r="H429" i="1" s="1"/>
  <c r="I429" i="1" s="1"/>
  <c r="C429" i="1"/>
  <c r="B429" i="1"/>
  <c r="Z428" i="1"/>
  <c r="AA428" i="1" s="1"/>
  <c r="U428" i="1"/>
  <c r="T428" i="1"/>
  <c r="Q428" i="1"/>
  <c r="R428" i="1" s="1"/>
  <c r="N428" i="1"/>
  <c r="O428" i="1" s="1"/>
  <c r="K428" i="1"/>
  <c r="L428" i="1" s="1"/>
  <c r="E428" i="1"/>
  <c r="F428" i="1" s="1"/>
  <c r="B428" i="1"/>
  <c r="AC427" i="1"/>
  <c r="AD427" i="1" s="1"/>
  <c r="AA427" i="1"/>
  <c r="W427" i="1"/>
  <c r="X427" i="1" s="1"/>
  <c r="U427" i="1"/>
  <c r="R427" i="1"/>
  <c r="O427" i="1"/>
  <c r="N427" i="1"/>
  <c r="L427" i="1"/>
  <c r="I427" i="1"/>
  <c r="H427" i="1"/>
  <c r="F427" i="1"/>
  <c r="C427" i="1"/>
  <c r="AC426" i="1"/>
  <c r="AD426" i="1" s="1"/>
  <c r="AA426" i="1"/>
  <c r="W426" i="1"/>
  <c r="X426" i="1" s="1"/>
  <c r="U426" i="1"/>
  <c r="R426" i="1"/>
  <c r="O426" i="1"/>
  <c r="N426" i="1"/>
  <c r="L426" i="1"/>
  <c r="I426" i="1"/>
  <c r="H426" i="1"/>
  <c r="F426" i="1"/>
  <c r="C426" i="1"/>
  <c r="AC425" i="1"/>
  <c r="AD425" i="1" s="1"/>
  <c r="AA425" i="1"/>
  <c r="W425" i="1"/>
  <c r="X425" i="1" s="1"/>
  <c r="U425" i="1"/>
  <c r="R425" i="1"/>
  <c r="N425" i="1"/>
  <c r="O425" i="1" s="1"/>
  <c r="L425" i="1"/>
  <c r="H425" i="1"/>
  <c r="F425" i="1"/>
  <c r="C425" i="1"/>
  <c r="AD424" i="1"/>
  <c r="AC424" i="1"/>
  <c r="AA424" i="1"/>
  <c r="X424" i="1"/>
  <c r="W424" i="1"/>
  <c r="U424" i="1"/>
  <c r="R424" i="1"/>
  <c r="N424" i="1"/>
  <c r="O424" i="1" s="1"/>
  <c r="L424" i="1"/>
  <c r="I424" i="1"/>
  <c r="H424" i="1"/>
  <c r="F424" i="1"/>
  <c r="C424" i="1"/>
  <c r="AC423" i="1"/>
  <c r="AD423" i="1" s="1"/>
  <c r="AA423" i="1"/>
  <c r="W423" i="1"/>
  <c r="X423" i="1" s="1"/>
  <c r="U423" i="1"/>
  <c r="R423" i="1"/>
  <c r="N423" i="1"/>
  <c r="O423" i="1" s="1"/>
  <c r="L423" i="1"/>
  <c r="I423" i="1"/>
  <c r="H423" i="1"/>
  <c r="F423" i="1"/>
  <c r="C423" i="1"/>
  <c r="AC422" i="1"/>
  <c r="AD422" i="1" s="1"/>
  <c r="AA422" i="1"/>
  <c r="W422" i="1"/>
  <c r="X422" i="1" s="1"/>
  <c r="U422" i="1"/>
  <c r="R422" i="1"/>
  <c r="O422" i="1"/>
  <c r="N422" i="1"/>
  <c r="L422" i="1"/>
  <c r="H422" i="1"/>
  <c r="I422" i="1" s="1"/>
  <c r="F422" i="1"/>
  <c r="C422" i="1"/>
  <c r="AD421" i="1"/>
  <c r="AC421" i="1"/>
  <c r="AA421" i="1"/>
  <c r="X421" i="1"/>
  <c r="W421" i="1"/>
  <c r="U421" i="1"/>
  <c r="R421" i="1"/>
  <c r="N421" i="1"/>
  <c r="O421" i="1" s="1"/>
  <c r="L421" i="1"/>
  <c r="H421" i="1"/>
  <c r="F421" i="1"/>
  <c r="C421" i="1"/>
  <c r="AC420" i="1"/>
  <c r="AA420" i="1"/>
  <c r="X420" i="1"/>
  <c r="W420" i="1"/>
  <c r="U420" i="1"/>
  <c r="R420" i="1"/>
  <c r="O420" i="1"/>
  <c r="N420" i="1"/>
  <c r="L420" i="1"/>
  <c r="I420" i="1"/>
  <c r="H420" i="1"/>
  <c r="F420" i="1"/>
  <c r="C420" i="1"/>
  <c r="AC419" i="1"/>
  <c r="AD419" i="1" s="1"/>
  <c r="AA419" i="1"/>
  <c r="W419" i="1"/>
  <c r="X419" i="1" s="1"/>
  <c r="U419" i="1"/>
  <c r="R419" i="1"/>
  <c r="O419" i="1"/>
  <c r="N419" i="1"/>
  <c r="L419" i="1"/>
  <c r="I419" i="1"/>
  <c r="H419" i="1"/>
  <c r="F419" i="1"/>
  <c r="C419" i="1"/>
  <c r="AC418" i="1"/>
  <c r="AA418" i="1"/>
  <c r="W418" i="1"/>
  <c r="X418" i="1" s="1"/>
  <c r="U418" i="1"/>
  <c r="R418" i="1"/>
  <c r="O418" i="1"/>
  <c r="N418" i="1"/>
  <c r="L418" i="1"/>
  <c r="I418" i="1"/>
  <c r="H418" i="1"/>
  <c r="F418" i="1"/>
  <c r="C418" i="1"/>
  <c r="AC417" i="1"/>
  <c r="AA417" i="1"/>
  <c r="W417" i="1"/>
  <c r="X417" i="1" s="1"/>
  <c r="U417" i="1"/>
  <c r="R417" i="1"/>
  <c r="N417" i="1"/>
  <c r="O417" i="1" s="1"/>
  <c r="L417" i="1"/>
  <c r="H417" i="1"/>
  <c r="F417" i="1"/>
  <c r="C417" i="1"/>
  <c r="AD416" i="1"/>
  <c r="AC416" i="1"/>
  <c r="AA416" i="1"/>
  <c r="X416" i="1"/>
  <c r="W416" i="1"/>
  <c r="U416" i="1"/>
  <c r="R416" i="1"/>
  <c r="N416" i="1"/>
  <c r="O416" i="1" s="1"/>
  <c r="L416" i="1"/>
  <c r="H416" i="1"/>
  <c r="I416" i="1" s="1"/>
  <c r="F416" i="1"/>
  <c r="C416" i="1"/>
  <c r="AC415" i="1"/>
  <c r="AD415" i="1" s="1"/>
  <c r="AA415" i="1"/>
  <c r="W415" i="1"/>
  <c r="X415" i="1" s="1"/>
  <c r="U415" i="1"/>
  <c r="R415" i="1"/>
  <c r="N415" i="1"/>
  <c r="O415" i="1" s="1"/>
  <c r="L415" i="1"/>
  <c r="I415" i="1"/>
  <c r="H415" i="1"/>
  <c r="F415" i="1"/>
  <c r="C415" i="1"/>
  <c r="AC414" i="1"/>
  <c r="AD414" i="1" s="1"/>
  <c r="AA414" i="1"/>
  <c r="W414" i="1"/>
  <c r="X414" i="1" s="1"/>
  <c r="U414" i="1"/>
  <c r="R414" i="1"/>
  <c r="O414" i="1"/>
  <c r="N414" i="1"/>
  <c r="L414" i="1"/>
  <c r="H414" i="1"/>
  <c r="I414" i="1" s="1"/>
  <c r="F414" i="1"/>
  <c r="C414" i="1"/>
  <c r="AC413" i="1"/>
  <c r="AA413" i="1"/>
  <c r="X413" i="1"/>
  <c r="W413" i="1"/>
  <c r="U413" i="1"/>
  <c r="R413" i="1"/>
  <c r="N413" i="1"/>
  <c r="O413" i="1" s="1"/>
  <c r="L413" i="1"/>
  <c r="H413" i="1"/>
  <c r="F413" i="1"/>
  <c r="C413" i="1"/>
  <c r="AC412" i="1"/>
  <c r="AA412" i="1"/>
  <c r="X412" i="1"/>
  <c r="W412" i="1"/>
  <c r="U412" i="1"/>
  <c r="R412" i="1"/>
  <c r="O412" i="1"/>
  <c r="N412" i="1"/>
  <c r="L412" i="1"/>
  <c r="H412" i="1"/>
  <c r="I412" i="1" s="1"/>
  <c r="F412" i="1"/>
  <c r="C412" i="1"/>
  <c r="AC411" i="1"/>
  <c r="AD411" i="1" s="1"/>
  <c r="AA411" i="1"/>
  <c r="W411" i="1"/>
  <c r="X411" i="1" s="1"/>
  <c r="U411" i="1"/>
  <c r="R411" i="1"/>
  <c r="O411" i="1"/>
  <c r="N411" i="1"/>
  <c r="L411" i="1"/>
  <c r="I411" i="1"/>
  <c r="H411" i="1"/>
  <c r="F411" i="1"/>
  <c r="C411" i="1"/>
  <c r="AC410" i="1"/>
  <c r="AD410" i="1" s="1"/>
  <c r="AA410" i="1"/>
  <c r="W410" i="1"/>
  <c r="X410" i="1" s="1"/>
  <c r="U410" i="1"/>
  <c r="R410" i="1"/>
  <c r="O410" i="1"/>
  <c r="N410" i="1"/>
  <c r="L410" i="1"/>
  <c r="I410" i="1"/>
  <c r="H410" i="1"/>
  <c r="F410" i="1"/>
  <c r="C410" i="1"/>
  <c r="AC409" i="1"/>
  <c r="AD409" i="1" s="1"/>
  <c r="AA409" i="1"/>
  <c r="W409" i="1"/>
  <c r="X409" i="1" s="1"/>
  <c r="U409" i="1"/>
  <c r="R409" i="1"/>
  <c r="N409" i="1"/>
  <c r="O409" i="1" s="1"/>
  <c r="L409" i="1"/>
  <c r="H409" i="1"/>
  <c r="F409" i="1"/>
  <c r="C409" i="1"/>
  <c r="AD408" i="1"/>
  <c r="AC408" i="1"/>
  <c r="AA408" i="1"/>
  <c r="X408" i="1"/>
  <c r="W408" i="1"/>
  <c r="U408" i="1"/>
  <c r="R408" i="1"/>
  <c r="N408" i="1"/>
  <c r="O408" i="1" s="1"/>
  <c r="L408" i="1"/>
  <c r="H408" i="1"/>
  <c r="I408" i="1" s="1"/>
  <c r="F408" i="1"/>
  <c r="C408" i="1"/>
  <c r="AD407" i="1"/>
  <c r="AC407" i="1"/>
  <c r="AA407" i="1"/>
  <c r="W407" i="1"/>
  <c r="X407" i="1" s="1"/>
  <c r="U407" i="1"/>
  <c r="R407" i="1"/>
  <c r="N407" i="1"/>
  <c r="O407" i="1" s="1"/>
  <c r="L407" i="1"/>
  <c r="I407" i="1"/>
  <c r="H407" i="1"/>
  <c r="F407" i="1"/>
  <c r="C407" i="1"/>
  <c r="AA403" i="1"/>
  <c r="Z403" i="1"/>
  <c r="U403" i="1"/>
  <c r="T403" i="1"/>
  <c r="W403" i="1" s="1"/>
  <c r="X403" i="1" s="1"/>
  <c r="R403" i="1"/>
  <c r="Q403" i="1"/>
  <c r="K403" i="1"/>
  <c r="L403" i="1" s="1"/>
  <c r="H403" i="1"/>
  <c r="I403" i="1" s="1"/>
  <c r="F403" i="1"/>
  <c r="E403" i="1"/>
  <c r="B403" i="1"/>
  <c r="C403" i="1" s="1"/>
  <c r="AC402" i="1"/>
  <c r="AD402" i="1" s="1"/>
  <c r="AA402" i="1"/>
  <c r="W402" i="1"/>
  <c r="X402" i="1" s="1"/>
  <c r="U402" i="1"/>
  <c r="R402" i="1"/>
  <c r="O402" i="1"/>
  <c r="N402" i="1"/>
  <c r="L402" i="1"/>
  <c r="H402" i="1"/>
  <c r="I402" i="1" s="1"/>
  <c r="F402" i="1"/>
  <c r="C402" i="1"/>
  <c r="AD401" i="1"/>
  <c r="AC401" i="1"/>
  <c r="AA401" i="1"/>
  <c r="X401" i="1"/>
  <c r="W401" i="1"/>
  <c r="U401" i="1"/>
  <c r="R401" i="1"/>
  <c r="N401" i="1"/>
  <c r="O401" i="1" s="1"/>
  <c r="L401" i="1"/>
  <c r="H401" i="1"/>
  <c r="F401" i="1"/>
  <c r="C401" i="1"/>
  <c r="AC400" i="1"/>
  <c r="AA400" i="1"/>
  <c r="X400" i="1"/>
  <c r="W400" i="1"/>
  <c r="U400" i="1"/>
  <c r="R400" i="1"/>
  <c r="O400" i="1"/>
  <c r="N400" i="1"/>
  <c r="L400" i="1"/>
  <c r="I400" i="1"/>
  <c r="H400" i="1"/>
  <c r="F400" i="1"/>
  <c r="C400" i="1"/>
  <c r="AC399" i="1"/>
  <c r="AD399" i="1" s="1"/>
  <c r="AA399" i="1"/>
  <c r="W399" i="1"/>
  <c r="X399" i="1" s="1"/>
  <c r="U399" i="1"/>
  <c r="R399" i="1"/>
  <c r="O399" i="1"/>
  <c r="N399" i="1"/>
  <c r="L399" i="1"/>
  <c r="I399" i="1"/>
  <c r="H399" i="1"/>
  <c r="F399" i="1"/>
  <c r="C399" i="1"/>
  <c r="AC398" i="1"/>
  <c r="AA398" i="1"/>
  <c r="W398" i="1"/>
  <c r="X398" i="1" s="1"/>
  <c r="U398" i="1"/>
  <c r="R398" i="1"/>
  <c r="O398" i="1"/>
  <c r="N398" i="1"/>
  <c r="L398" i="1"/>
  <c r="I398" i="1"/>
  <c r="H398" i="1"/>
  <c r="F398" i="1"/>
  <c r="C398" i="1"/>
  <c r="AC397" i="1"/>
  <c r="AD397" i="1" s="1"/>
  <c r="AA397" i="1"/>
  <c r="W397" i="1"/>
  <c r="X397" i="1" s="1"/>
  <c r="U397" i="1"/>
  <c r="R397" i="1"/>
  <c r="N397" i="1"/>
  <c r="O397" i="1" s="1"/>
  <c r="L397" i="1"/>
  <c r="H397" i="1"/>
  <c r="F397" i="1"/>
  <c r="C397" i="1"/>
  <c r="AD396" i="1"/>
  <c r="Z396" i="1"/>
  <c r="AA396" i="1" s="1"/>
  <c r="W396" i="1"/>
  <c r="X396" i="1" s="1"/>
  <c r="T396" i="1"/>
  <c r="U396" i="1" s="1"/>
  <c r="R396" i="1"/>
  <c r="Q396" i="1"/>
  <c r="AC396" i="1" s="1"/>
  <c r="K396" i="1"/>
  <c r="L396" i="1" s="1"/>
  <c r="F396" i="1"/>
  <c r="E396" i="1"/>
  <c r="B396" i="1"/>
  <c r="AC395" i="1"/>
  <c r="AA395" i="1"/>
  <c r="X395" i="1"/>
  <c r="W395" i="1"/>
  <c r="U395" i="1"/>
  <c r="R395" i="1"/>
  <c r="O395" i="1"/>
  <c r="N395" i="1"/>
  <c r="L395" i="1"/>
  <c r="H395" i="1"/>
  <c r="I395" i="1" s="1"/>
  <c r="F395" i="1"/>
  <c r="C395" i="1"/>
  <c r="AC394" i="1"/>
  <c r="AD394" i="1" s="1"/>
  <c r="AA394" i="1"/>
  <c r="W394" i="1"/>
  <c r="X394" i="1" s="1"/>
  <c r="U394" i="1"/>
  <c r="R394" i="1"/>
  <c r="N394" i="1"/>
  <c r="O394" i="1" s="1"/>
  <c r="L394" i="1"/>
  <c r="H394" i="1"/>
  <c r="I394" i="1" s="1"/>
  <c r="F394" i="1"/>
  <c r="C394" i="1"/>
  <c r="AA393" i="1"/>
  <c r="Z393" i="1"/>
  <c r="U393" i="1"/>
  <c r="T393" i="1"/>
  <c r="W393" i="1" s="1"/>
  <c r="X393" i="1" s="1"/>
  <c r="R393" i="1"/>
  <c r="Q393" i="1"/>
  <c r="N393" i="1"/>
  <c r="O393" i="1" s="1"/>
  <c r="K393" i="1"/>
  <c r="L393" i="1" s="1"/>
  <c r="H393" i="1"/>
  <c r="I393" i="1" s="1"/>
  <c r="F393" i="1"/>
  <c r="E393" i="1"/>
  <c r="B393" i="1"/>
  <c r="C393" i="1" s="1"/>
  <c r="AC392" i="1"/>
  <c r="AD392" i="1" s="1"/>
  <c r="AA392" i="1"/>
  <c r="W392" i="1"/>
  <c r="X392" i="1" s="1"/>
  <c r="U392" i="1"/>
  <c r="R392" i="1"/>
  <c r="O392" i="1"/>
  <c r="N392" i="1"/>
  <c r="L392" i="1"/>
  <c r="H392" i="1"/>
  <c r="I392" i="1" s="1"/>
  <c r="F392" i="1"/>
  <c r="C392" i="1"/>
  <c r="AC391" i="1"/>
  <c r="AA391" i="1"/>
  <c r="X391" i="1"/>
  <c r="W391" i="1"/>
  <c r="U391" i="1"/>
  <c r="R391" i="1"/>
  <c r="N391" i="1"/>
  <c r="O391" i="1" s="1"/>
  <c r="L391" i="1"/>
  <c r="H391" i="1"/>
  <c r="F391" i="1"/>
  <c r="C391" i="1"/>
  <c r="AC390" i="1"/>
  <c r="AA390" i="1"/>
  <c r="X390" i="1"/>
  <c r="W390" i="1"/>
  <c r="U390" i="1"/>
  <c r="R390" i="1"/>
  <c r="O390" i="1"/>
  <c r="N390" i="1"/>
  <c r="L390" i="1"/>
  <c r="H390" i="1"/>
  <c r="I390" i="1" s="1"/>
  <c r="F390" i="1"/>
  <c r="C390" i="1"/>
  <c r="AC389" i="1"/>
  <c r="AD389" i="1" s="1"/>
  <c r="AA389" i="1"/>
  <c r="W389" i="1"/>
  <c r="X389" i="1" s="1"/>
  <c r="U389" i="1"/>
  <c r="R389" i="1"/>
  <c r="O389" i="1"/>
  <c r="N389" i="1"/>
  <c r="L389" i="1"/>
  <c r="I389" i="1"/>
  <c r="H389" i="1"/>
  <c r="F389" i="1"/>
  <c r="C389" i="1"/>
  <c r="AC388" i="1"/>
  <c r="AD388" i="1" s="1"/>
  <c r="AA388" i="1"/>
  <c r="W388" i="1"/>
  <c r="X388" i="1" s="1"/>
  <c r="U388" i="1"/>
  <c r="R388" i="1"/>
  <c r="O388" i="1"/>
  <c r="N388" i="1"/>
  <c r="L388" i="1"/>
  <c r="I388" i="1"/>
  <c r="H388" i="1"/>
  <c r="F388" i="1"/>
  <c r="C388" i="1"/>
  <c r="AC386" i="1"/>
  <c r="AD386" i="1" s="1"/>
  <c r="AA386" i="1"/>
  <c r="W386" i="1"/>
  <c r="X386" i="1" s="1"/>
  <c r="U386" i="1"/>
  <c r="R386" i="1"/>
  <c r="N386" i="1"/>
  <c r="O386" i="1" s="1"/>
  <c r="L386" i="1"/>
  <c r="H386" i="1"/>
  <c r="F386" i="1"/>
  <c r="C386" i="1"/>
  <c r="AD385" i="1"/>
  <c r="AC385" i="1"/>
  <c r="AA385" i="1"/>
  <c r="X385" i="1"/>
  <c r="W385" i="1"/>
  <c r="U385" i="1"/>
  <c r="R385" i="1"/>
  <c r="N385" i="1"/>
  <c r="O385" i="1" s="1"/>
  <c r="L385" i="1"/>
  <c r="I385" i="1"/>
  <c r="H385" i="1"/>
  <c r="F385" i="1"/>
  <c r="C385" i="1"/>
  <c r="AC383" i="1"/>
  <c r="AD383" i="1" s="1"/>
  <c r="AA383" i="1"/>
  <c r="W383" i="1"/>
  <c r="X383" i="1" s="1"/>
  <c r="U383" i="1"/>
  <c r="R383" i="1"/>
  <c r="N383" i="1"/>
  <c r="O383" i="1" s="1"/>
  <c r="L383" i="1"/>
  <c r="I383" i="1"/>
  <c r="H383" i="1"/>
  <c r="F383" i="1"/>
  <c r="C383" i="1"/>
  <c r="AC382" i="1"/>
  <c r="AA382" i="1"/>
  <c r="W382" i="1"/>
  <c r="X382" i="1" s="1"/>
  <c r="U382" i="1"/>
  <c r="R382" i="1"/>
  <c r="O382" i="1"/>
  <c r="N382" i="1"/>
  <c r="L382" i="1"/>
  <c r="H382" i="1"/>
  <c r="I382" i="1" s="1"/>
  <c r="F382" i="1"/>
  <c r="C382" i="1"/>
  <c r="AC381" i="1"/>
  <c r="AA381" i="1"/>
  <c r="W381" i="1"/>
  <c r="X381" i="1" s="1"/>
  <c r="U381" i="1"/>
  <c r="R381" i="1"/>
  <c r="O381" i="1"/>
  <c r="N381" i="1"/>
  <c r="L381" i="1"/>
  <c r="H381" i="1"/>
  <c r="I381" i="1" s="1"/>
  <c r="F381" i="1"/>
  <c r="C381" i="1"/>
  <c r="AC380" i="1"/>
  <c r="AD380" i="1" s="1"/>
  <c r="AA380" i="1"/>
  <c r="X380" i="1"/>
  <c r="W380" i="1"/>
  <c r="U380" i="1"/>
  <c r="R380" i="1"/>
  <c r="N380" i="1"/>
  <c r="O380" i="1" s="1"/>
  <c r="L380" i="1"/>
  <c r="I380" i="1"/>
  <c r="H380" i="1"/>
  <c r="F380" i="1"/>
  <c r="C380" i="1"/>
  <c r="AC379" i="1"/>
  <c r="AA379" i="1"/>
  <c r="W379" i="1"/>
  <c r="X379" i="1" s="1"/>
  <c r="U379" i="1"/>
  <c r="R379" i="1"/>
  <c r="O379" i="1"/>
  <c r="N379" i="1"/>
  <c r="L379" i="1"/>
  <c r="H379" i="1"/>
  <c r="I379" i="1" s="1"/>
  <c r="F379" i="1"/>
  <c r="C379" i="1"/>
  <c r="AC378" i="1"/>
  <c r="AA378" i="1"/>
  <c r="W378" i="1"/>
  <c r="X378" i="1" s="1"/>
  <c r="U378" i="1"/>
  <c r="R378" i="1"/>
  <c r="O378" i="1"/>
  <c r="N378" i="1"/>
  <c r="L378" i="1"/>
  <c r="I378" i="1"/>
  <c r="H378" i="1"/>
  <c r="F378" i="1"/>
  <c r="C378" i="1"/>
  <c r="AC377" i="1"/>
  <c r="AD377" i="1" s="1"/>
  <c r="AA377" i="1"/>
  <c r="X377" i="1"/>
  <c r="W377" i="1"/>
  <c r="U377" i="1"/>
  <c r="R377" i="1"/>
  <c r="N377" i="1"/>
  <c r="O377" i="1" s="1"/>
  <c r="L377" i="1"/>
  <c r="H377" i="1"/>
  <c r="F377" i="1"/>
  <c r="C377" i="1"/>
  <c r="AC376" i="1"/>
  <c r="AD376" i="1" s="1"/>
  <c r="AA376" i="1"/>
  <c r="X376" i="1"/>
  <c r="W376" i="1"/>
  <c r="U376" i="1"/>
  <c r="R376" i="1"/>
  <c r="O376" i="1"/>
  <c r="N376" i="1"/>
  <c r="L376" i="1"/>
  <c r="I376" i="1"/>
  <c r="H376" i="1"/>
  <c r="F376" i="1"/>
  <c r="C376" i="1"/>
  <c r="AC375" i="1"/>
  <c r="AD375" i="1" s="1"/>
  <c r="AA375" i="1"/>
  <c r="W375" i="1"/>
  <c r="X375" i="1" s="1"/>
  <c r="U375" i="1"/>
  <c r="R375" i="1"/>
  <c r="N375" i="1"/>
  <c r="O375" i="1" s="1"/>
  <c r="L375" i="1"/>
  <c r="H375" i="1"/>
  <c r="I375" i="1" s="1"/>
  <c r="F375" i="1"/>
  <c r="C375" i="1"/>
  <c r="AC374" i="1"/>
  <c r="AD374" i="1" s="1"/>
  <c r="AA374" i="1"/>
  <c r="W374" i="1"/>
  <c r="X374" i="1" s="1"/>
  <c r="U374" i="1"/>
  <c r="R374" i="1"/>
  <c r="O374" i="1"/>
  <c r="N374" i="1"/>
  <c r="L374" i="1"/>
  <c r="H374" i="1"/>
  <c r="I374" i="1" s="1"/>
  <c r="F374" i="1"/>
  <c r="C374" i="1"/>
  <c r="AC373" i="1"/>
  <c r="AD373" i="1" s="1"/>
  <c r="AA373" i="1"/>
  <c r="X373" i="1"/>
  <c r="W373" i="1"/>
  <c r="U373" i="1"/>
  <c r="R373" i="1"/>
  <c r="N373" i="1"/>
  <c r="O373" i="1" s="1"/>
  <c r="L373" i="1"/>
  <c r="H373" i="1"/>
  <c r="I373" i="1" s="1"/>
  <c r="F373" i="1"/>
  <c r="C373" i="1"/>
  <c r="AD372" i="1"/>
  <c r="AC372" i="1"/>
  <c r="AA372" i="1"/>
  <c r="W372" i="1"/>
  <c r="X372" i="1" s="1"/>
  <c r="U372" i="1"/>
  <c r="R372" i="1"/>
  <c r="N372" i="1"/>
  <c r="O372" i="1" s="1"/>
  <c r="L372" i="1"/>
  <c r="H372" i="1"/>
  <c r="I372" i="1" s="1"/>
  <c r="F372" i="1"/>
  <c r="C372" i="1"/>
  <c r="AC371" i="1"/>
  <c r="AD371" i="1" s="1"/>
  <c r="AA371" i="1"/>
  <c r="W371" i="1"/>
  <c r="X371" i="1" s="1"/>
  <c r="U371" i="1"/>
  <c r="R371" i="1"/>
  <c r="O371" i="1"/>
  <c r="N371" i="1"/>
  <c r="L371" i="1"/>
  <c r="I371" i="1"/>
  <c r="H371" i="1"/>
  <c r="F371" i="1"/>
  <c r="C371" i="1"/>
  <c r="AD370" i="1"/>
  <c r="AC370" i="1"/>
  <c r="AA370" i="1"/>
  <c r="W370" i="1"/>
  <c r="X370" i="1" s="1"/>
  <c r="U370" i="1"/>
  <c r="R370" i="1"/>
  <c r="N370" i="1"/>
  <c r="O370" i="1" s="1"/>
  <c r="L370" i="1"/>
  <c r="H370" i="1"/>
  <c r="I370" i="1" s="1"/>
  <c r="F370" i="1"/>
  <c r="C370" i="1"/>
  <c r="AC369" i="1"/>
  <c r="AD369" i="1" s="1"/>
  <c r="AA369" i="1"/>
  <c r="X369" i="1"/>
  <c r="W369" i="1"/>
  <c r="U369" i="1"/>
  <c r="R369" i="1"/>
  <c r="N369" i="1"/>
  <c r="O369" i="1" s="1"/>
  <c r="L369" i="1"/>
  <c r="I369" i="1"/>
  <c r="H369" i="1"/>
  <c r="F369" i="1"/>
  <c r="C369" i="1"/>
  <c r="Z368" i="1"/>
  <c r="AA368" i="1" s="1"/>
  <c r="T368" i="1"/>
  <c r="U368" i="1" s="1"/>
  <c r="R368" i="1"/>
  <c r="Q368" i="1"/>
  <c r="AC368" i="1" s="1"/>
  <c r="AD368" i="1" s="1"/>
  <c r="N368" i="1"/>
  <c r="O368" i="1" s="1"/>
  <c r="K368" i="1"/>
  <c r="L368" i="1" s="1"/>
  <c r="H368" i="1"/>
  <c r="I368" i="1" s="1"/>
  <c r="F368" i="1"/>
  <c r="E368" i="1"/>
  <c r="B368" i="1"/>
  <c r="C368" i="1" s="1"/>
  <c r="AC367" i="1"/>
  <c r="AD367" i="1" s="1"/>
  <c r="AA367" i="1"/>
  <c r="W367" i="1"/>
  <c r="X367" i="1" s="1"/>
  <c r="U367" i="1"/>
  <c r="R367" i="1"/>
  <c r="N367" i="1"/>
  <c r="O367" i="1" s="1"/>
  <c r="L367" i="1"/>
  <c r="H367" i="1"/>
  <c r="I367" i="1" s="1"/>
  <c r="F367" i="1"/>
  <c r="C367" i="1"/>
  <c r="AC366" i="1"/>
  <c r="AD366" i="1" s="1"/>
  <c r="AA366" i="1"/>
  <c r="X366" i="1"/>
  <c r="W366" i="1"/>
  <c r="U366" i="1"/>
  <c r="R366" i="1"/>
  <c r="N366" i="1"/>
  <c r="O366" i="1" s="1"/>
  <c r="L366" i="1"/>
  <c r="H366" i="1"/>
  <c r="I366" i="1" s="1"/>
  <c r="F366" i="1"/>
  <c r="C366" i="1"/>
  <c r="AD365" i="1"/>
  <c r="AC365" i="1"/>
  <c r="AA365" i="1"/>
  <c r="W365" i="1"/>
  <c r="X365" i="1" s="1"/>
  <c r="U365" i="1"/>
  <c r="R365" i="1"/>
  <c r="N365" i="1"/>
  <c r="O365" i="1" s="1"/>
  <c r="L365" i="1"/>
  <c r="H365" i="1"/>
  <c r="I365" i="1" s="1"/>
  <c r="F365" i="1"/>
  <c r="C365" i="1"/>
  <c r="AC364" i="1"/>
  <c r="AD364" i="1" s="1"/>
  <c r="AA364" i="1"/>
  <c r="W364" i="1"/>
  <c r="X364" i="1" s="1"/>
  <c r="U364" i="1"/>
  <c r="R364" i="1"/>
  <c r="O364" i="1"/>
  <c r="N364" i="1"/>
  <c r="L364" i="1"/>
  <c r="I364" i="1"/>
  <c r="H364" i="1"/>
  <c r="F364" i="1"/>
  <c r="C364" i="1"/>
  <c r="AC363" i="1"/>
  <c r="AD363" i="1" s="1"/>
  <c r="AA363" i="1"/>
  <c r="W363" i="1"/>
  <c r="X363" i="1" s="1"/>
  <c r="U363" i="1"/>
  <c r="R363" i="1"/>
  <c r="O363" i="1"/>
  <c r="N363" i="1"/>
  <c r="L363" i="1"/>
  <c r="H363" i="1"/>
  <c r="I363" i="1" s="1"/>
  <c r="F363" i="1"/>
  <c r="C363" i="1"/>
  <c r="AC362" i="1"/>
  <c r="AA362" i="1"/>
  <c r="X362" i="1"/>
  <c r="W362" i="1"/>
  <c r="U362" i="1"/>
  <c r="R362" i="1"/>
  <c r="N362" i="1"/>
  <c r="O362" i="1" s="1"/>
  <c r="L362" i="1"/>
  <c r="H362" i="1"/>
  <c r="I362" i="1" s="1"/>
  <c r="F362" i="1"/>
  <c r="C362" i="1"/>
  <c r="AC361" i="1"/>
  <c r="AA361" i="1"/>
  <c r="X361" i="1"/>
  <c r="W361" i="1"/>
  <c r="U361" i="1"/>
  <c r="R361" i="1"/>
  <c r="N361" i="1"/>
  <c r="O361" i="1" s="1"/>
  <c r="L361" i="1"/>
  <c r="H361" i="1"/>
  <c r="I361" i="1" s="1"/>
  <c r="F361" i="1"/>
  <c r="C361" i="1"/>
  <c r="AC360" i="1"/>
  <c r="AD360" i="1" s="1"/>
  <c r="AA360" i="1"/>
  <c r="W360" i="1"/>
  <c r="X360" i="1" s="1"/>
  <c r="U360" i="1"/>
  <c r="R360" i="1"/>
  <c r="O360" i="1"/>
  <c r="N360" i="1"/>
  <c r="L360" i="1"/>
  <c r="I360" i="1"/>
  <c r="H360" i="1"/>
  <c r="F360" i="1"/>
  <c r="C360" i="1"/>
  <c r="Z358" i="1"/>
  <c r="AA358" i="1" s="1"/>
  <c r="T358" i="1"/>
  <c r="U358" i="1" s="1"/>
  <c r="R358" i="1"/>
  <c r="Q358" i="1"/>
  <c r="L358" i="1"/>
  <c r="K358" i="1"/>
  <c r="E358" i="1"/>
  <c r="F358" i="1" s="1"/>
  <c r="B358" i="1"/>
  <c r="C358" i="1" s="1"/>
  <c r="AC357" i="1"/>
  <c r="AA357" i="1"/>
  <c r="W357" i="1"/>
  <c r="X357" i="1" s="1"/>
  <c r="U357" i="1"/>
  <c r="R357" i="1"/>
  <c r="O357" i="1"/>
  <c r="N357" i="1"/>
  <c r="L357" i="1"/>
  <c r="H357" i="1"/>
  <c r="I357" i="1" s="1"/>
  <c r="F357" i="1"/>
  <c r="C357" i="1"/>
  <c r="AC356" i="1"/>
  <c r="AA356" i="1"/>
  <c r="W356" i="1"/>
  <c r="X356" i="1" s="1"/>
  <c r="U356" i="1"/>
  <c r="R356" i="1"/>
  <c r="O356" i="1"/>
  <c r="N356" i="1"/>
  <c r="L356" i="1"/>
  <c r="I356" i="1"/>
  <c r="H356" i="1"/>
  <c r="F356" i="1"/>
  <c r="C356" i="1"/>
  <c r="AC355" i="1"/>
  <c r="AD355" i="1" s="1"/>
  <c r="AA355" i="1"/>
  <c r="X355" i="1"/>
  <c r="W355" i="1"/>
  <c r="U355" i="1"/>
  <c r="R355" i="1"/>
  <c r="N355" i="1"/>
  <c r="O355" i="1" s="1"/>
  <c r="L355" i="1"/>
  <c r="H355" i="1"/>
  <c r="I355" i="1" s="1"/>
  <c r="F355" i="1"/>
  <c r="C355" i="1"/>
  <c r="AC354" i="1"/>
  <c r="AD354" i="1" s="1"/>
  <c r="AA354" i="1"/>
  <c r="X354" i="1"/>
  <c r="W354" i="1"/>
  <c r="U354" i="1"/>
  <c r="R354" i="1"/>
  <c r="N354" i="1"/>
  <c r="O354" i="1" s="1"/>
  <c r="L354" i="1"/>
  <c r="H354" i="1"/>
  <c r="I354" i="1" s="1"/>
  <c r="F354" i="1"/>
  <c r="C354" i="1"/>
  <c r="AD353" i="1"/>
  <c r="AC353" i="1"/>
  <c r="AA353" i="1"/>
  <c r="W353" i="1"/>
  <c r="X353" i="1" s="1"/>
  <c r="U353" i="1"/>
  <c r="R353" i="1"/>
  <c r="N353" i="1"/>
  <c r="O353" i="1" s="1"/>
  <c r="L353" i="1"/>
  <c r="H353" i="1"/>
  <c r="I353" i="1" s="1"/>
  <c r="F353" i="1"/>
  <c r="C353" i="1"/>
  <c r="AC352" i="1"/>
  <c r="AD352" i="1" s="1"/>
  <c r="AA352" i="1"/>
  <c r="W352" i="1"/>
  <c r="X352" i="1" s="1"/>
  <c r="U352" i="1"/>
  <c r="R352" i="1"/>
  <c r="O352" i="1"/>
  <c r="N352" i="1"/>
  <c r="L352" i="1"/>
  <c r="I352" i="1"/>
  <c r="H352" i="1"/>
  <c r="F352" i="1"/>
  <c r="C352" i="1"/>
  <c r="AC351" i="1"/>
  <c r="AD351" i="1" s="1"/>
  <c r="AA351" i="1"/>
  <c r="W351" i="1"/>
  <c r="X351" i="1" s="1"/>
  <c r="U351" i="1"/>
  <c r="R351" i="1"/>
  <c r="N351" i="1"/>
  <c r="O351" i="1" s="1"/>
  <c r="L351" i="1"/>
  <c r="H351" i="1"/>
  <c r="I351" i="1" s="1"/>
  <c r="F351" i="1"/>
  <c r="C351" i="1"/>
  <c r="AC350" i="1"/>
  <c r="AA350" i="1"/>
  <c r="X350" i="1"/>
  <c r="W350" i="1"/>
  <c r="U350" i="1"/>
  <c r="R350" i="1"/>
  <c r="N350" i="1"/>
  <c r="O350" i="1" s="1"/>
  <c r="L350" i="1"/>
  <c r="H350" i="1"/>
  <c r="I350" i="1" s="1"/>
  <c r="F350" i="1"/>
  <c r="C350" i="1"/>
  <c r="AD349" i="1"/>
  <c r="AC349" i="1"/>
  <c r="AA349" i="1"/>
  <c r="X349" i="1"/>
  <c r="W349" i="1"/>
  <c r="U349" i="1"/>
  <c r="R349" i="1"/>
  <c r="N349" i="1"/>
  <c r="O349" i="1" s="1"/>
  <c r="L349" i="1"/>
  <c r="H349" i="1"/>
  <c r="I349" i="1" s="1"/>
  <c r="F349" i="1"/>
  <c r="C349" i="1"/>
  <c r="AC347" i="1"/>
  <c r="AA347" i="1"/>
  <c r="W347" i="1"/>
  <c r="X347" i="1" s="1"/>
  <c r="U347" i="1"/>
  <c r="R347" i="1"/>
  <c r="O347" i="1"/>
  <c r="N347" i="1"/>
  <c r="L347" i="1"/>
  <c r="I347" i="1"/>
  <c r="H347" i="1"/>
  <c r="F347" i="1"/>
  <c r="C347" i="1"/>
  <c r="Z344" i="1"/>
  <c r="AA344" i="1" s="1"/>
  <c r="T344" i="1"/>
  <c r="U344" i="1" s="1"/>
  <c r="R344" i="1"/>
  <c r="Q344" i="1"/>
  <c r="K344" i="1"/>
  <c r="L344" i="1" s="1"/>
  <c r="F344" i="1"/>
  <c r="E344" i="1"/>
  <c r="B344" i="1"/>
  <c r="C344" i="1" s="1"/>
  <c r="Z343" i="1"/>
  <c r="AA343" i="1" s="1"/>
  <c r="T343" i="1"/>
  <c r="U343" i="1" s="1"/>
  <c r="Q343" i="1"/>
  <c r="N343" i="1"/>
  <c r="O343" i="1" s="1"/>
  <c r="L343" i="1"/>
  <c r="K343" i="1"/>
  <c r="E343" i="1"/>
  <c r="H343" i="1" s="1"/>
  <c r="I343" i="1" s="1"/>
  <c r="B343" i="1"/>
  <c r="C343" i="1" s="1"/>
  <c r="Z342" i="1"/>
  <c r="AA342" i="1" s="1"/>
  <c r="T342" i="1"/>
  <c r="U342" i="1" s="1"/>
  <c r="R342" i="1"/>
  <c r="Q342" i="1"/>
  <c r="K342" i="1"/>
  <c r="L342" i="1" s="1"/>
  <c r="F342" i="1"/>
  <c r="E342" i="1"/>
  <c r="B342" i="1"/>
  <c r="C342" i="1" s="1"/>
  <c r="AD341" i="1"/>
  <c r="AC341" i="1"/>
  <c r="AA341" i="1"/>
  <c r="X341" i="1"/>
  <c r="W341" i="1"/>
  <c r="U341" i="1"/>
  <c r="R341" i="1"/>
  <c r="N341" i="1"/>
  <c r="O341" i="1" s="1"/>
  <c r="L341" i="1"/>
  <c r="H341" i="1"/>
  <c r="I341" i="1" s="1"/>
  <c r="F341" i="1"/>
  <c r="C341" i="1"/>
  <c r="AC340" i="1"/>
  <c r="AA340" i="1"/>
  <c r="X340" i="1"/>
  <c r="W340" i="1"/>
  <c r="U340" i="1"/>
  <c r="R340" i="1"/>
  <c r="N340" i="1"/>
  <c r="O340" i="1" s="1"/>
  <c r="L340" i="1"/>
  <c r="H340" i="1"/>
  <c r="I340" i="1" s="1"/>
  <c r="F340" i="1"/>
  <c r="C340" i="1"/>
  <c r="AC339" i="1"/>
  <c r="AA339" i="1"/>
  <c r="W339" i="1"/>
  <c r="X339" i="1" s="1"/>
  <c r="U339" i="1"/>
  <c r="R339" i="1"/>
  <c r="O339" i="1"/>
  <c r="N339" i="1"/>
  <c r="L339" i="1"/>
  <c r="H339" i="1"/>
  <c r="I339" i="1" s="1"/>
  <c r="F339" i="1"/>
  <c r="C339" i="1"/>
  <c r="AC338" i="1"/>
  <c r="AD338" i="1" s="1"/>
  <c r="AA338" i="1"/>
  <c r="W338" i="1"/>
  <c r="X338" i="1" s="1"/>
  <c r="U338" i="1"/>
  <c r="R338" i="1"/>
  <c r="O338" i="1"/>
  <c r="N338" i="1"/>
  <c r="L338" i="1"/>
  <c r="I338" i="1"/>
  <c r="H338" i="1"/>
  <c r="F338" i="1"/>
  <c r="C338" i="1"/>
  <c r="AC337" i="1"/>
  <c r="AD337" i="1" s="1"/>
  <c r="AA337" i="1"/>
  <c r="W337" i="1"/>
  <c r="X337" i="1" s="1"/>
  <c r="U337" i="1"/>
  <c r="R337" i="1"/>
  <c r="N337" i="1"/>
  <c r="O337" i="1" s="1"/>
  <c r="L337" i="1"/>
  <c r="H337" i="1"/>
  <c r="I337" i="1" s="1"/>
  <c r="F337" i="1"/>
  <c r="C337" i="1"/>
  <c r="AC335" i="1"/>
  <c r="AD335" i="1" s="1"/>
  <c r="AA335" i="1"/>
  <c r="X335" i="1"/>
  <c r="W335" i="1"/>
  <c r="U335" i="1"/>
  <c r="R335" i="1"/>
  <c r="N335" i="1"/>
  <c r="O335" i="1" s="1"/>
  <c r="L335" i="1"/>
  <c r="H335" i="1"/>
  <c r="I335" i="1" s="1"/>
  <c r="F335" i="1"/>
  <c r="C335" i="1"/>
  <c r="AD334" i="1"/>
  <c r="AC334" i="1"/>
  <c r="AA334" i="1"/>
  <c r="W334" i="1"/>
  <c r="X334" i="1" s="1"/>
  <c r="U334" i="1"/>
  <c r="R334" i="1"/>
  <c r="N334" i="1"/>
  <c r="O334" i="1" s="1"/>
  <c r="L334" i="1"/>
  <c r="H334" i="1"/>
  <c r="I334" i="1" s="1"/>
  <c r="F334" i="1"/>
  <c r="C334" i="1"/>
  <c r="AC333" i="1"/>
  <c r="AD333" i="1" s="1"/>
  <c r="AA333" i="1"/>
  <c r="W333" i="1"/>
  <c r="X333" i="1" s="1"/>
  <c r="U333" i="1"/>
  <c r="R333" i="1"/>
  <c r="O333" i="1"/>
  <c r="N333" i="1"/>
  <c r="L333" i="1"/>
  <c r="I333" i="1"/>
  <c r="H333" i="1"/>
  <c r="F333" i="1"/>
  <c r="C333" i="1"/>
  <c r="AC332" i="1"/>
  <c r="AD332" i="1" s="1"/>
  <c r="AA332" i="1"/>
  <c r="W332" i="1"/>
  <c r="X332" i="1" s="1"/>
  <c r="U332" i="1"/>
  <c r="R332" i="1"/>
  <c r="O332" i="1"/>
  <c r="N332" i="1"/>
  <c r="L332" i="1"/>
  <c r="H332" i="1"/>
  <c r="I332" i="1" s="1"/>
  <c r="F332" i="1"/>
  <c r="C332" i="1"/>
  <c r="AC331" i="1"/>
  <c r="AA331" i="1"/>
  <c r="X331" i="1"/>
  <c r="W331" i="1"/>
  <c r="U331" i="1"/>
  <c r="R331" i="1"/>
  <c r="N331" i="1"/>
  <c r="O331" i="1" s="1"/>
  <c r="L331" i="1"/>
  <c r="H331" i="1"/>
  <c r="I331" i="1" s="1"/>
  <c r="F331" i="1"/>
  <c r="C331" i="1"/>
  <c r="AC330" i="1"/>
  <c r="AA330" i="1"/>
  <c r="X330" i="1"/>
  <c r="W330" i="1"/>
  <c r="U330" i="1"/>
  <c r="R330" i="1"/>
  <c r="N330" i="1"/>
  <c r="O330" i="1" s="1"/>
  <c r="L330" i="1"/>
  <c r="H330" i="1"/>
  <c r="I330" i="1" s="1"/>
  <c r="F330" i="1"/>
  <c r="C330" i="1"/>
  <c r="AC329" i="1"/>
  <c r="AD329" i="1" s="1"/>
  <c r="AA329" i="1"/>
  <c r="W329" i="1"/>
  <c r="X329" i="1" s="1"/>
  <c r="U329" i="1"/>
  <c r="R329" i="1"/>
  <c r="O329" i="1"/>
  <c r="N329" i="1"/>
  <c r="L329" i="1"/>
  <c r="I329" i="1"/>
  <c r="H329" i="1"/>
  <c r="F329" i="1"/>
  <c r="C329" i="1"/>
  <c r="AC328" i="1"/>
  <c r="AD328" i="1" s="1"/>
  <c r="AA328" i="1"/>
  <c r="W328" i="1"/>
  <c r="X328" i="1" s="1"/>
  <c r="U328" i="1"/>
  <c r="R328" i="1"/>
  <c r="N328" i="1"/>
  <c r="O328" i="1" s="1"/>
  <c r="L328" i="1"/>
  <c r="H328" i="1"/>
  <c r="I328" i="1" s="1"/>
  <c r="F328" i="1"/>
  <c r="C328" i="1"/>
  <c r="AC325" i="1"/>
  <c r="AD325" i="1" s="1"/>
  <c r="Z325" i="1"/>
  <c r="AA325" i="1" s="1"/>
  <c r="W325" i="1"/>
  <c r="X325" i="1" s="1"/>
  <c r="U325" i="1"/>
  <c r="T325" i="1"/>
  <c r="Q325" i="1"/>
  <c r="R325" i="1" s="1"/>
  <c r="N325" i="1"/>
  <c r="O325" i="1" s="1"/>
  <c r="K325" i="1"/>
  <c r="L325" i="1" s="1"/>
  <c r="E325" i="1"/>
  <c r="F325" i="1" s="1"/>
  <c r="B325" i="1"/>
  <c r="H325" i="1" s="1"/>
  <c r="I325" i="1" s="1"/>
  <c r="AA324" i="1"/>
  <c r="Z324" i="1"/>
  <c r="T324" i="1"/>
  <c r="U324" i="1" s="1"/>
  <c r="Q324" i="1"/>
  <c r="R324" i="1" s="1"/>
  <c r="O324" i="1"/>
  <c r="K324" i="1"/>
  <c r="L324" i="1" s="1"/>
  <c r="H324" i="1"/>
  <c r="I324" i="1" s="1"/>
  <c r="E324" i="1"/>
  <c r="F324" i="1" s="1"/>
  <c r="C324" i="1"/>
  <c r="B324" i="1"/>
  <c r="N324" i="1" s="1"/>
  <c r="AC323" i="1"/>
  <c r="AD323" i="1" s="1"/>
  <c r="AA323" i="1"/>
  <c r="X323" i="1"/>
  <c r="W323" i="1"/>
  <c r="U323" i="1"/>
  <c r="R323" i="1"/>
  <c r="N323" i="1"/>
  <c r="O323" i="1" s="1"/>
  <c r="L323" i="1"/>
  <c r="H323" i="1"/>
  <c r="I323" i="1" s="1"/>
  <c r="F323" i="1"/>
  <c r="C323" i="1"/>
  <c r="AD322" i="1"/>
  <c r="AC322" i="1"/>
  <c r="AA322" i="1"/>
  <c r="W322" i="1"/>
  <c r="X322" i="1" s="1"/>
  <c r="U322" i="1"/>
  <c r="R322" i="1"/>
  <c r="N322" i="1"/>
  <c r="O322" i="1" s="1"/>
  <c r="L322" i="1"/>
  <c r="H322" i="1"/>
  <c r="I322" i="1" s="1"/>
  <c r="F322" i="1"/>
  <c r="C322" i="1"/>
  <c r="AC321" i="1"/>
  <c r="AD321" i="1" s="1"/>
  <c r="AA321" i="1"/>
  <c r="W321" i="1"/>
  <c r="X321" i="1" s="1"/>
  <c r="U321" i="1"/>
  <c r="R321" i="1"/>
  <c r="O321" i="1"/>
  <c r="N321" i="1"/>
  <c r="L321" i="1"/>
  <c r="I321" i="1"/>
  <c r="H321" i="1"/>
  <c r="F321" i="1"/>
  <c r="C321" i="1"/>
  <c r="AC320" i="1"/>
  <c r="AD320" i="1" s="1"/>
  <c r="AA320" i="1"/>
  <c r="W320" i="1"/>
  <c r="X320" i="1" s="1"/>
  <c r="U320" i="1"/>
  <c r="R320" i="1"/>
  <c r="O320" i="1"/>
  <c r="N320" i="1"/>
  <c r="L320" i="1"/>
  <c r="H320" i="1"/>
  <c r="I320" i="1" s="1"/>
  <c r="F320" i="1"/>
  <c r="C320" i="1"/>
  <c r="AC319" i="1"/>
  <c r="AA319" i="1"/>
  <c r="X319" i="1"/>
  <c r="W319" i="1"/>
  <c r="U319" i="1"/>
  <c r="R319" i="1"/>
  <c r="N319" i="1"/>
  <c r="O319" i="1" s="1"/>
  <c r="L319" i="1"/>
  <c r="H319" i="1"/>
  <c r="I319" i="1" s="1"/>
  <c r="F319" i="1"/>
  <c r="C319" i="1"/>
  <c r="AC318" i="1"/>
  <c r="AA318" i="1"/>
  <c r="X318" i="1"/>
  <c r="W318" i="1"/>
  <c r="U318" i="1"/>
  <c r="R318" i="1"/>
  <c r="N318" i="1"/>
  <c r="O318" i="1" s="1"/>
  <c r="L318" i="1"/>
  <c r="H318" i="1"/>
  <c r="I318" i="1" s="1"/>
  <c r="F318" i="1"/>
  <c r="C318" i="1"/>
  <c r="AC317" i="1"/>
  <c r="AD317" i="1" s="1"/>
  <c r="AA317" i="1"/>
  <c r="W317" i="1"/>
  <c r="X317" i="1" s="1"/>
  <c r="U317" i="1"/>
  <c r="R317" i="1"/>
  <c r="O317" i="1"/>
  <c r="N317" i="1"/>
  <c r="L317" i="1"/>
  <c r="I317" i="1"/>
  <c r="H317" i="1"/>
  <c r="F317" i="1"/>
  <c r="C317" i="1"/>
  <c r="AC316" i="1"/>
  <c r="AD316" i="1" s="1"/>
  <c r="AA316" i="1"/>
  <c r="W316" i="1"/>
  <c r="X316" i="1" s="1"/>
  <c r="U316" i="1"/>
  <c r="R316" i="1"/>
  <c r="N316" i="1"/>
  <c r="O316" i="1" s="1"/>
  <c r="L316" i="1"/>
  <c r="H316" i="1"/>
  <c r="I316" i="1" s="1"/>
  <c r="F316" i="1"/>
  <c r="C316" i="1"/>
  <c r="AC315" i="1"/>
  <c r="AD315" i="1" s="1"/>
  <c r="AA315" i="1"/>
  <c r="X315" i="1"/>
  <c r="W315" i="1"/>
  <c r="U315" i="1"/>
  <c r="R315" i="1"/>
  <c r="N315" i="1"/>
  <c r="O315" i="1" s="1"/>
  <c r="L315" i="1"/>
  <c r="I315" i="1"/>
  <c r="H315" i="1"/>
  <c r="F315" i="1"/>
  <c r="C315" i="1"/>
  <c r="AD314" i="1"/>
  <c r="AC314" i="1"/>
  <c r="AA314" i="1"/>
  <c r="W314" i="1"/>
  <c r="X314" i="1" s="1"/>
  <c r="U314" i="1"/>
  <c r="R314" i="1"/>
  <c r="N314" i="1"/>
  <c r="O314" i="1" s="1"/>
  <c r="L314" i="1"/>
  <c r="H314" i="1"/>
  <c r="I314" i="1" s="1"/>
  <c r="F314" i="1"/>
  <c r="C314" i="1"/>
  <c r="AC313" i="1"/>
  <c r="AA313" i="1"/>
  <c r="W313" i="1"/>
  <c r="X313" i="1" s="1"/>
  <c r="U313" i="1"/>
  <c r="R313" i="1"/>
  <c r="O313" i="1"/>
  <c r="N313" i="1"/>
  <c r="L313" i="1"/>
  <c r="I313" i="1"/>
  <c r="H313" i="1"/>
  <c r="F313" i="1"/>
  <c r="C313" i="1"/>
  <c r="AD312" i="1"/>
  <c r="AC312" i="1"/>
  <c r="AA312" i="1"/>
  <c r="X312" i="1"/>
  <c r="W312" i="1"/>
  <c r="U312" i="1"/>
  <c r="R312" i="1"/>
  <c r="N312" i="1"/>
  <c r="O312" i="1" s="1"/>
  <c r="L312" i="1"/>
  <c r="H312" i="1"/>
  <c r="I312" i="1" s="1"/>
  <c r="F312" i="1"/>
  <c r="C312" i="1"/>
  <c r="AC311" i="1"/>
  <c r="AA311" i="1"/>
  <c r="X311" i="1"/>
  <c r="W311" i="1"/>
  <c r="U311" i="1"/>
  <c r="R311" i="1"/>
  <c r="N311" i="1"/>
  <c r="O311" i="1" s="1"/>
  <c r="L311" i="1"/>
  <c r="H311" i="1"/>
  <c r="I311" i="1" s="1"/>
  <c r="F311" i="1"/>
  <c r="C311" i="1"/>
  <c r="AC310" i="1"/>
  <c r="AA310" i="1"/>
  <c r="W310" i="1"/>
  <c r="X310" i="1" s="1"/>
  <c r="U310" i="1"/>
  <c r="R310" i="1"/>
  <c r="O310" i="1"/>
  <c r="N310" i="1"/>
  <c r="L310" i="1"/>
  <c r="H310" i="1"/>
  <c r="I310" i="1" s="1"/>
  <c r="F310" i="1"/>
  <c r="C310" i="1"/>
  <c r="AC309" i="1"/>
  <c r="AD309" i="1" s="1"/>
  <c r="AA309" i="1"/>
  <c r="W309" i="1"/>
  <c r="X309" i="1" s="1"/>
  <c r="U309" i="1"/>
  <c r="R309" i="1"/>
  <c r="O309" i="1"/>
  <c r="N309" i="1"/>
  <c r="L309" i="1"/>
  <c r="I309" i="1"/>
  <c r="H309" i="1"/>
  <c r="F309" i="1"/>
  <c r="C309" i="1"/>
  <c r="AC308" i="1"/>
  <c r="AD308" i="1" s="1"/>
  <c r="AA308" i="1"/>
  <c r="W308" i="1"/>
  <c r="X308" i="1" s="1"/>
  <c r="U308" i="1"/>
  <c r="R308" i="1"/>
  <c r="N308" i="1"/>
  <c r="O308" i="1" s="1"/>
  <c r="L308" i="1"/>
  <c r="H308" i="1"/>
  <c r="I308" i="1" s="1"/>
  <c r="F308" i="1"/>
  <c r="C308" i="1"/>
  <c r="AC307" i="1"/>
  <c r="AD307" i="1" s="1"/>
  <c r="AA307" i="1"/>
  <c r="X307" i="1"/>
  <c r="W307" i="1"/>
  <c r="U307" i="1"/>
  <c r="R307" i="1"/>
  <c r="N307" i="1"/>
  <c r="O307" i="1" s="1"/>
  <c r="L307" i="1"/>
  <c r="H307" i="1"/>
  <c r="I307" i="1" s="1"/>
  <c r="F307" i="1"/>
  <c r="C307" i="1"/>
  <c r="AD306" i="1"/>
  <c r="AC306" i="1"/>
  <c r="AA306" i="1"/>
  <c r="W306" i="1"/>
  <c r="X306" i="1" s="1"/>
  <c r="U306" i="1"/>
  <c r="R306" i="1"/>
  <c r="N306" i="1"/>
  <c r="O306" i="1" s="1"/>
  <c r="L306" i="1"/>
  <c r="H306" i="1"/>
  <c r="I306" i="1" s="1"/>
  <c r="F306" i="1"/>
  <c r="C306" i="1"/>
  <c r="AC305" i="1"/>
  <c r="AD305" i="1" s="1"/>
  <c r="AA305" i="1"/>
  <c r="W305" i="1"/>
  <c r="X305" i="1" s="1"/>
  <c r="U305" i="1"/>
  <c r="R305" i="1"/>
  <c r="O305" i="1"/>
  <c r="N305" i="1"/>
  <c r="L305" i="1"/>
  <c r="I305" i="1"/>
  <c r="H305" i="1"/>
  <c r="F305" i="1"/>
  <c r="C305" i="1"/>
  <c r="AC304" i="1"/>
  <c r="AD304" i="1" s="1"/>
  <c r="AA304" i="1"/>
  <c r="W304" i="1"/>
  <c r="X304" i="1" s="1"/>
  <c r="U304" i="1"/>
  <c r="R304" i="1"/>
  <c r="O304" i="1"/>
  <c r="N304" i="1"/>
  <c r="L304" i="1"/>
  <c r="H304" i="1"/>
  <c r="I304" i="1" s="1"/>
  <c r="F304" i="1"/>
  <c r="C304" i="1"/>
  <c r="AC303" i="1"/>
  <c r="AA303" i="1"/>
  <c r="X303" i="1"/>
  <c r="W303" i="1"/>
  <c r="U303" i="1"/>
  <c r="R303" i="1"/>
  <c r="N303" i="1"/>
  <c r="O303" i="1" s="1"/>
  <c r="L303" i="1"/>
  <c r="H303" i="1"/>
  <c r="I303" i="1" s="1"/>
  <c r="F303" i="1"/>
  <c r="C303" i="1"/>
  <c r="AC302" i="1"/>
  <c r="AA302" i="1"/>
  <c r="X302" i="1"/>
  <c r="W302" i="1"/>
  <c r="U302" i="1"/>
  <c r="R302" i="1"/>
  <c r="N302" i="1"/>
  <c r="O302" i="1" s="1"/>
  <c r="L302" i="1"/>
  <c r="H302" i="1"/>
  <c r="I302" i="1" s="1"/>
  <c r="F302" i="1"/>
  <c r="C302" i="1"/>
  <c r="AC301" i="1"/>
  <c r="AD301" i="1" s="1"/>
  <c r="AA301" i="1"/>
  <c r="W301" i="1"/>
  <c r="X301" i="1" s="1"/>
  <c r="U301" i="1"/>
  <c r="R301" i="1"/>
  <c r="O301" i="1"/>
  <c r="N301" i="1"/>
  <c r="L301" i="1"/>
  <c r="I301" i="1"/>
  <c r="H301" i="1"/>
  <c r="F301" i="1"/>
  <c r="C301" i="1"/>
  <c r="AC300" i="1"/>
  <c r="AD300" i="1" s="1"/>
  <c r="AA300" i="1"/>
  <c r="W300" i="1"/>
  <c r="X300" i="1" s="1"/>
  <c r="U300" i="1"/>
  <c r="R300" i="1"/>
  <c r="N300" i="1"/>
  <c r="O300" i="1" s="1"/>
  <c r="L300" i="1"/>
  <c r="H300" i="1"/>
  <c r="I300" i="1" s="1"/>
  <c r="F300" i="1"/>
  <c r="C300" i="1"/>
  <c r="AC299" i="1"/>
  <c r="AD299" i="1" s="1"/>
  <c r="AA299" i="1"/>
  <c r="X299" i="1"/>
  <c r="W299" i="1"/>
  <c r="U299" i="1"/>
  <c r="R299" i="1"/>
  <c r="N299" i="1"/>
  <c r="O299" i="1" s="1"/>
  <c r="L299" i="1"/>
  <c r="I299" i="1"/>
  <c r="H299" i="1"/>
  <c r="F299" i="1"/>
  <c r="C299" i="1"/>
  <c r="AD298" i="1"/>
  <c r="AC298" i="1"/>
  <c r="AA298" i="1"/>
  <c r="W298" i="1"/>
  <c r="X298" i="1" s="1"/>
  <c r="U298" i="1"/>
  <c r="R298" i="1"/>
  <c r="N298" i="1"/>
  <c r="O298" i="1" s="1"/>
  <c r="L298" i="1"/>
  <c r="H298" i="1"/>
  <c r="I298" i="1" s="1"/>
  <c r="F298" i="1"/>
  <c r="C298" i="1"/>
  <c r="AC297" i="1"/>
  <c r="AA297" i="1"/>
  <c r="W297" i="1"/>
  <c r="X297" i="1" s="1"/>
  <c r="U297" i="1"/>
  <c r="R297" i="1"/>
  <c r="O297" i="1"/>
  <c r="N297" i="1"/>
  <c r="L297" i="1"/>
  <c r="I297" i="1"/>
  <c r="H297" i="1"/>
  <c r="F297" i="1"/>
  <c r="C297" i="1"/>
  <c r="Z295" i="1"/>
  <c r="AA295" i="1" s="1"/>
  <c r="X295" i="1"/>
  <c r="T295" i="1"/>
  <c r="U295" i="1" s="1"/>
  <c r="Q295" i="1"/>
  <c r="W295" i="1" s="1"/>
  <c r="N295" i="1"/>
  <c r="O295" i="1" s="1"/>
  <c r="L295" i="1"/>
  <c r="K295" i="1"/>
  <c r="H295" i="1"/>
  <c r="I295" i="1" s="1"/>
  <c r="F295" i="1"/>
  <c r="E295" i="1"/>
  <c r="B295" i="1"/>
  <c r="C295" i="1" s="1"/>
  <c r="AD294" i="1"/>
  <c r="AC294" i="1"/>
  <c r="AA294" i="1"/>
  <c r="W294" i="1"/>
  <c r="X294" i="1" s="1"/>
  <c r="U294" i="1"/>
  <c r="R294" i="1"/>
  <c r="N294" i="1"/>
  <c r="O294" i="1" s="1"/>
  <c r="L294" i="1"/>
  <c r="H294" i="1"/>
  <c r="I294" i="1" s="1"/>
  <c r="F294" i="1"/>
  <c r="C294" i="1"/>
  <c r="AC293" i="1"/>
  <c r="AD293" i="1" s="1"/>
  <c r="AA293" i="1"/>
  <c r="W293" i="1"/>
  <c r="X293" i="1" s="1"/>
  <c r="U293" i="1"/>
  <c r="R293" i="1"/>
  <c r="O293" i="1"/>
  <c r="N293" i="1"/>
  <c r="L293" i="1"/>
  <c r="I293" i="1"/>
  <c r="H293" i="1"/>
  <c r="F293" i="1"/>
  <c r="C293" i="1"/>
  <c r="AC292" i="1"/>
  <c r="AD292" i="1" s="1"/>
  <c r="AA292" i="1"/>
  <c r="W292" i="1"/>
  <c r="X292" i="1" s="1"/>
  <c r="U292" i="1"/>
  <c r="R292" i="1"/>
  <c r="N292" i="1"/>
  <c r="O292" i="1" s="1"/>
  <c r="L292" i="1"/>
  <c r="H292" i="1"/>
  <c r="I292" i="1" s="1"/>
  <c r="F292" i="1"/>
  <c r="C292" i="1"/>
  <c r="AC291" i="1"/>
  <c r="AA291" i="1"/>
  <c r="X291" i="1"/>
  <c r="W291" i="1"/>
  <c r="U291" i="1"/>
  <c r="R291" i="1"/>
  <c r="N291" i="1"/>
  <c r="O291" i="1" s="1"/>
  <c r="L291" i="1"/>
  <c r="H291" i="1"/>
  <c r="I291" i="1" s="1"/>
  <c r="F291" i="1"/>
  <c r="C291" i="1"/>
  <c r="AD290" i="1"/>
  <c r="AC290" i="1"/>
  <c r="AA290" i="1"/>
  <c r="X290" i="1"/>
  <c r="W290" i="1"/>
  <c r="U290" i="1"/>
  <c r="R290" i="1"/>
  <c r="N290" i="1"/>
  <c r="O290" i="1" s="1"/>
  <c r="L290" i="1"/>
  <c r="H290" i="1"/>
  <c r="I290" i="1" s="1"/>
  <c r="F290" i="1"/>
  <c r="C290" i="1"/>
  <c r="AC289" i="1"/>
  <c r="AA289" i="1"/>
  <c r="W289" i="1"/>
  <c r="X289" i="1" s="1"/>
  <c r="U289" i="1"/>
  <c r="R289" i="1"/>
  <c r="O289" i="1"/>
  <c r="N289" i="1"/>
  <c r="L289" i="1"/>
  <c r="I289" i="1"/>
  <c r="H289" i="1"/>
  <c r="F289" i="1"/>
  <c r="C289" i="1"/>
  <c r="AC288" i="1"/>
  <c r="AD288" i="1" s="1"/>
  <c r="AA288" i="1"/>
  <c r="W288" i="1"/>
  <c r="X288" i="1" s="1"/>
  <c r="U288" i="1"/>
  <c r="R288" i="1"/>
  <c r="O288" i="1"/>
  <c r="N288" i="1"/>
  <c r="L288" i="1"/>
  <c r="H288" i="1"/>
  <c r="I288" i="1" s="1"/>
  <c r="F288" i="1"/>
  <c r="C288" i="1"/>
  <c r="AC287" i="1"/>
  <c r="AD287" i="1" s="1"/>
  <c r="AA287" i="1"/>
  <c r="X287" i="1"/>
  <c r="W287" i="1"/>
  <c r="U287" i="1"/>
  <c r="R287" i="1"/>
  <c r="N287" i="1"/>
  <c r="O287" i="1" s="1"/>
  <c r="L287" i="1"/>
  <c r="H287" i="1"/>
  <c r="I287" i="1" s="1"/>
  <c r="F287" i="1"/>
  <c r="C287" i="1"/>
  <c r="AD286" i="1"/>
  <c r="AC286" i="1"/>
  <c r="AA286" i="1"/>
  <c r="W286" i="1"/>
  <c r="X286" i="1" s="1"/>
  <c r="U286" i="1"/>
  <c r="R286" i="1"/>
  <c r="N286" i="1"/>
  <c r="O286" i="1" s="1"/>
  <c r="L286" i="1"/>
  <c r="H286" i="1"/>
  <c r="I286" i="1" s="1"/>
  <c r="F286" i="1"/>
  <c r="C286" i="1"/>
  <c r="AC284" i="1"/>
  <c r="AD284" i="1" s="1"/>
  <c r="AA284" i="1"/>
  <c r="Z284" i="1"/>
  <c r="W284" i="1"/>
  <c r="X284" i="1" s="1"/>
  <c r="U284" i="1"/>
  <c r="T284" i="1"/>
  <c r="Q284" i="1"/>
  <c r="R284" i="1" s="1"/>
  <c r="K284" i="1"/>
  <c r="L284" i="1" s="1"/>
  <c r="E284" i="1"/>
  <c r="F284" i="1" s="1"/>
  <c r="C284" i="1"/>
  <c r="B284" i="1"/>
  <c r="AC283" i="1"/>
  <c r="AA283" i="1"/>
  <c r="X283" i="1"/>
  <c r="W283" i="1"/>
  <c r="U283" i="1"/>
  <c r="R283" i="1"/>
  <c r="N283" i="1"/>
  <c r="O283" i="1" s="1"/>
  <c r="L283" i="1"/>
  <c r="H283" i="1"/>
  <c r="I283" i="1" s="1"/>
  <c r="F283" i="1"/>
  <c r="C283" i="1"/>
  <c r="AC282" i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C281" i="1"/>
  <c r="AD281" i="1" s="1"/>
  <c r="AA281" i="1"/>
  <c r="W281" i="1"/>
  <c r="X281" i="1" s="1"/>
  <c r="U281" i="1"/>
  <c r="R281" i="1"/>
  <c r="O281" i="1"/>
  <c r="N281" i="1"/>
  <c r="L281" i="1"/>
  <c r="I281" i="1"/>
  <c r="H281" i="1"/>
  <c r="F281" i="1"/>
  <c r="C281" i="1"/>
  <c r="AC280" i="1"/>
  <c r="AD280" i="1" s="1"/>
  <c r="AA280" i="1"/>
  <c r="W280" i="1"/>
  <c r="X280" i="1" s="1"/>
  <c r="U280" i="1"/>
  <c r="R280" i="1"/>
  <c r="N280" i="1"/>
  <c r="O280" i="1" s="1"/>
  <c r="L280" i="1"/>
  <c r="H280" i="1"/>
  <c r="I280" i="1" s="1"/>
  <c r="F280" i="1"/>
  <c r="C280" i="1"/>
  <c r="AC279" i="1"/>
  <c r="AD279" i="1" s="1"/>
  <c r="AA279" i="1"/>
  <c r="X279" i="1"/>
  <c r="W279" i="1"/>
  <c r="U279" i="1"/>
  <c r="R279" i="1"/>
  <c r="N279" i="1"/>
  <c r="O279" i="1" s="1"/>
  <c r="L279" i="1"/>
  <c r="H279" i="1"/>
  <c r="I279" i="1" s="1"/>
  <c r="F279" i="1"/>
  <c r="C279" i="1"/>
  <c r="AD278" i="1"/>
  <c r="AC278" i="1"/>
  <c r="AA278" i="1"/>
  <c r="W278" i="1"/>
  <c r="X278" i="1" s="1"/>
  <c r="U278" i="1"/>
  <c r="R278" i="1"/>
  <c r="N278" i="1"/>
  <c r="O278" i="1" s="1"/>
  <c r="L278" i="1"/>
  <c r="H278" i="1"/>
  <c r="I278" i="1" s="1"/>
  <c r="F278" i="1"/>
  <c r="C278" i="1"/>
  <c r="AC277" i="1"/>
  <c r="AD277" i="1" s="1"/>
  <c r="AA277" i="1"/>
  <c r="W277" i="1"/>
  <c r="X277" i="1" s="1"/>
  <c r="U277" i="1"/>
  <c r="R277" i="1"/>
  <c r="O277" i="1"/>
  <c r="N277" i="1"/>
  <c r="L277" i="1"/>
  <c r="I277" i="1"/>
  <c r="H277" i="1"/>
  <c r="F277" i="1"/>
  <c r="C277" i="1"/>
  <c r="AC276" i="1"/>
  <c r="AD276" i="1" s="1"/>
  <c r="AA276" i="1"/>
  <c r="W276" i="1"/>
  <c r="X276" i="1" s="1"/>
  <c r="U276" i="1"/>
  <c r="R276" i="1"/>
  <c r="O276" i="1"/>
  <c r="N276" i="1"/>
  <c r="L276" i="1"/>
  <c r="H276" i="1"/>
  <c r="I276" i="1" s="1"/>
  <c r="F276" i="1"/>
  <c r="C276" i="1"/>
  <c r="AC275" i="1"/>
  <c r="AA275" i="1"/>
  <c r="X275" i="1"/>
  <c r="W275" i="1"/>
  <c r="U275" i="1"/>
  <c r="R275" i="1"/>
  <c r="N275" i="1"/>
  <c r="O275" i="1" s="1"/>
  <c r="L275" i="1"/>
  <c r="H275" i="1"/>
  <c r="I275" i="1" s="1"/>
  <c r="F275" i="1"/>
  <c r="C275" i="1"/>
  <c r="Z273" i="1"/>
  <c r="AA273" i="1" s="1"/>
  <c r="W273" i="1"/>
  <c r="X273" i="1" s="1"/>
  <c r="T273" i="1"/>
  <c r="U273" i="1" s="1"/>
  <c r="R273" i="1"/>
  <c r="Q273" i="1"/>
  <c r="AC273" i="1" s="1"/>
  <c r="AD273" i="1" s="1"/>
  <c r="K273" i="1"/>
  <c r="L273" i="1" s="1"/>
  <c r="H273" i="1"/>
  <c r="I273" i="1" s="1"/>
  <c r="F273" i="1"/>
  <c r="E273" i="1"/>
  <c r="B273" i="1"/>
  <c r="C273" i="1" s="1"/>
  <c r="AD272" i="1"/>
  <c r="AC272" i="1"/>
  <c r="AA272" i="1"/>
  <c r="W272" i="1"/>
  <c r="X272" i="1" s="1"/>
  <c r="U272" i="1"/>
  <c r="R272" i="1"/>
  <c r="N272" i="1"/>
  <c r="O272" i="1" s="1"/>
  <c r="L272" i="1"/>
  <c r="H272" i="1"/>
  <c r="I272" i="1" s="1"/>
  <c r="F272" i="1"/>
  <c r="C272" i="1"/>
  <c r="AC271" i="1"/>
  <c r="AD271" i="1" s="1"/>
  <c r="AA271" i="1"/>
  <c r="X271" i="1"/>
  <c r="W271" i="1"/>
  <c r="U271" i="1"/>
  <c r="R271" i="1"/>
  <c r="N271" i="1"/>
  <c r="O271" i="1" s="1"/>
  <c r="L271" i="1"/>
  <c r="I271" i="1"/>
  <c r="H271" i="1"/>
  <c r="F271" i="1"/>
  <c r="C271" i="1"/>
  <c r="AC270" i="1"/>
  <c r="AA270" i="1"/>
  <c r="W270" i="1"/>
  <c r="X270" i="1" s="1"/>
  <c r="U270" i="1"/>
  <c r="R270" i="1"/>
  <c r="O270" i="1"/>
  <c r="N270" i="1"/>
  <c r="L270" i="1"/>
  <c r="H270" i="1"/>
  <c r="I270" i="1" s="1"/>
  <c r="F270" i="1"/>
  <c r="C270" i="1"/>
  <c r="AC269" i="1"/>
  <c r="AA269" i="1"/>
  <c r="W269" i="1"/>
  <c r="X269" i="1" s="1"/>
  <c r="U269" i="1"/>
  <c r="R269" i="1"/>
  <c r="O269" i="1"/>
  <c r="N269" i="1"/>
  <c r="L269" i="1"/>
  <c r="I269" i="1"/>
  <c r="H269" i="1"/>
  <c r="F269" i="1"/>
  <c r="C269" i="1"/>
  <c r="Z267" i="1"/>
  <c r="AA267" i="1" s="1"/>
  <c r="T267" i="1"/>
  <c r="U267" i="1" s="1"/>
  <c r="Q267" i="1"/>
  <c r="W267" i="1" s="1"/>
  <c r="X267" i="1" s="1"/>
  <c r="L267" i="1"/>
  <c r="K267" i="1"/>
  <c r="H267" i="1"/>
  <c r="I267" i="1" s="1"/>
  <c r="F267" i="1"/>
  <c r="E267" i="1"/>
  <c r="B267" i="1"/>
  <c r="C267" i="1" s="1"/>
  <c r="AD266" i="1"/>
  <c r="AC266" i="1"/>
  <c r="AA266" i="1"/>
  <c r="W266" i="1"/>
  <c r="X266" i="1" s="1"/>
  <c r="U266" i="1"/>
  <c r="R266" i="1"/>
  <c r="N266" i="1"/>
  <c r="O266" i="1" s="1"/>
  <c r="L266" i="1"/>
  <c r="H266" i="1"/>
  <c r="I266" i="1" s="1"/>
  <c r="F266" i="1"/>
  <c r="C266" i="1"/>
  <c r="AC265" i="1"/>
  <c r="AD265" i="1" s="1"/>
  <c r="AA265" i="1"/>
  <c r="W265" i="1"/>
  <c r="X265" i="1" s="1"/>
  <c r="U265" i="1"/>
  <c r="R265" i="1"/>
  <c r="O265" i="1"/>
  <c r="N265" i="1"/>
  <c r="L265" i="1"/>
  <c r="I265" i="1"/>
  <c r="H265" i="1"/>
  <c r="F265" i="1"/>
  <c r="C265" i="1"/>
  <c r="Z263" i="1"/>
  <c r="AA263" i="1" s="1"/>
  <c r="T263" i="1"/>
  <c r="U263" i="1" s="1"/>
  <c r="Q263" i="1"/>
  <c r="N263" i="1"/>
  <c r="O263" i="1" s="1"/>
  <c r="L263" i="1"/>
  <c r="K263" i="1"/>
  <c r="E263" i="1"/>
  <c r="H263" i="1" s="1"/>
  <c r="I263" i="1" s="1"/>
  <c r="B263" i="1"/>
  <c r="C263" i="1" s="1"/>
  <c r="Z262" i="1"/>
  <c r="AA262" i="1" s="1"/>
  <c r="T262" i="1"/>
  <c r="U262" i="1" s="1"/>
  <c r="R262" i="1"/>
  <c r="Q262" i="1"/>
  <c r="K262" i="1"/>
  <c r="L262" i="1" s="1"/>
  <c r="F262" i="1"/>
  <c r="E262" i="1"/>
  <c r="B262" i="1"/>
  <c r="C262" i="1" s="1"/>
  <c r="AD261" i="1"/>
  <c r="AC261" i="1"/>
  <c r="AA261" i="1"/>
  <c r="X261" i="1"/>
  <c r="W261" i="1"/>
  <c r="U261" i="1"/>
  <c r="R261" i="1"/>
  <c r="N261" i="1"/>
  <c r="O261" i="1" s="1"/>
  <c r="L261" i="1"/>
  <c r="H261" i="1"/>
  <c r="I261" i="1" s="1"/>
  <c r="F261" i="1"/>
  <c r="C261" i="1"/>
  <c r="AC260" i="1"/>
  <c r="AA260" i="1"/>
  <c r="X260" i="1"/>
  <c r="W260" i="1"/>
  <c r="U260" i="1"/>
  <c r="R260" i="1"/>
  <c r="N260" i="1"/>
  <c r="O260" i="1" s="1"/>
  <c r="L260" i="1"/>
  <c r="H260" i="1"/>
  <c r="I260" i="1" s="1"/>
  <c r="F260" i="1"/>
  <c r="C260" i="1"/>
  <c r="AC259" i="1"/>
  <c r="AA259" i="1"/>
  <c r="W259" i="1"/>
  <c r="X259" i="1" s="1"/>
  <c r="U259" i="1"/>
  <c r="R259" i="1"/>
  <c r="O259" i="1"/>
  <c r="N259" i="1"/>
  <c r="L259" i="1"/>
  <c r="H259" i="1"/>
  <c r="I259" i="1" s="1"/>
  <c r="F259" i="1"/>
  <c r="C259" i="1"/>
  <c r="AC258" i="1"/>
  <c r="AD258" i="1" s="1"/>
  <c r="AA258" i="1"/>
  <c r="W258" i="1"/>
  <c r="X258" i="1" s="1"/>
  <c r="U258" i="1"/>
  <c r="R258" i="1"/>
  <c r="O258" i="1"/>
  <c r="N258" i="1"/>
  <c r="L258" i="1"/>
  <c r="I258" i="1"/>
  <c r="H258" i="1"/>
  <c r="F258" i="1"/>
  <c r="C258" i="1"/>
  <c r="AC257" i="1"/>
  <c r="AD257" i="1" s="1"/>
  <c r="AA257" i="1"/>
  <c r="W257" i="1"/>
  <c r="X257" i="1" s="1"/>
  <c r="U257" i="1"/>
  <c r="R257" i="1"/>
  <c r="N257" i="1"/>
  <c r="O257" i="1" s="1"/>
  <c r="L257" i="1"/>
  <c r="H257" i="1"/>
  <c r="I257" i="1" s="1"/>
  <c r="F257" i="1"/>
  <c r="C257" i="1"/>
  <c r="AC256" i="1"/>
  <c r="AD256" i="1" s="1"/>
  <c r="AA256" i="1"/>
  <c r="X256" i="1"/>
  <c r="W256" i="1"/>
  <c r="U256" i="1"/>
  <c r="R256" i="1"/>
  <c r="N256" i="1"/>
  <c r="O256" i="1" s="1"/>
  <c r="L256" i="1"/>
  <c r="H256" i="1"/>
  <c r="I256" i="1" s="1"/>
  <c r="F256" i="1"/>
  <c r="C256" i="1"/>
  <c r="AD255" i="1"/>
  <c r="AC255" i="1"/>
  <c r="AA255" i="1"/>
  <c r="W255" i="1"/>
  <c r="X255" i="1" s="1"/>
  <c r="U255" i="1"/>
  <c r="R255" i="1"/>
  <c r="N255" i="1"/>
  <c r="O255" i="1" s="1"/>
  <c r="L255" i="1"/>
  <c r="H255" i="1"/>
  <c r="I255" i="1" s="1"/>
  <c r="F255" i="1"/>
  <c r="C255" i="1"/>
  <c r="AC254" i="1"/>
  <c r="AD254" i="1" s="1"/>
  <c r="AA254" i="1"/>
  <c r="W254" i="1"/>
  <c r="X254" i="1" s="1"/>
  <c r="U254" i="1"/>
  <c r="R254" i="1"/>
  <c r="O254" i="1"/>
  <c r="N254" i="1"/>
  <c r="L254" i="1"/>
  <c r="I254" i="1"/>
  <c r="H254" i="1"/>
  <c r="F254" i="1"/>
  <c r="C254" i="1"/>
  <c r="AC253" i="1"/>
  <c r="AD253" i="1" s="1"/>
  <c r="AA253" i="1"/>
  <c r="W253" i="1"/>
  <c r="X253" i="1" s="1"/>
  <c r="U253" i="1"/>
  <c r="R253" i="1"/>
  <c r="O253" i="1"/>
  <c r="N253" i="1"/>
  <c r="L253" i="1"/>
  <c r="H253" i="1"/>
  <c r="I253" i="1" s="1"/>
  <c r="F253" i="1"/>
  <c r="C253" i="1"/>
  <c r="AC252" i="1"/>
  <c r="AA252" i="1"/>
  <c r="X252" i="1"/>
  <c r="W252" i="1"/>
  <c r="U252" i="1"/>
  <c r="R252" i="1"/>
  <c r="N252" i="1"/>
  <c r="O252" i="1" s="1"/>
  <c r="L252" i="1"/>
  <c r="H252" i="1"/>
  <c r="I252" i="1" s="1"/>
  <c r="F252" i="1"/>
  <c r="C252" i="1"/>
  <c r="AC251" i="1"/>
  <c r="AA251" i="1"/>
  <c r="X251" i="1"/>
  <c r="W251" i="1"/>
  <c r="U251" i="1"/>
  <c r="R251" i="1"/>
  <c r="N251" i="1"/>
  <c r="O251" i="1" s="1"/>
  <c r="L251" i="1"/>
  <c r="H251" i="1"/>
  <c r="I251" i="1" s="1"/>
  <c r="F251" i="1"/>
  <c r="C251" i="1"/>
  <c r="AC250" i="1"/>
  <c r="AD250" i="1" s="1"/>
  <c r="AA250" i="1"/>
  <c r="W250" i="1"/>
  <c r="X250" i="1" s="1"/>
  <c r="U250" i="1"/>
  <c r="R250" i="1"/>
  <c r="O250" i="1"/>
  <c r="N250" i="1"/>
  <c r="L250" i="1"/>
  <c r="I250" i="1"/>
  <c r="H250" i="1"/>
  <c r="F250" i="1"/>
  <c r="C250" i="1"/>
  <c r="AC249" i="1"/>
  <c r="AD249" i="1" s="1"/>
  <c r="AA249" i="1"/>
  <c r="W249" i="1"/>
  <c r="X249" i="1" s="1"/>
  <c r="U249" i="1"/>
  <c r="R249" i="1"/>
  <c r="N249" i="1"/>
  <c r="O249" i="1" s="1"/>
  <c r="L249" i="1"/>
  <c r="H249" i="1"/>
  <c r="I249" i="1" s="1"/>
  <c r="F249" i="1"/>
  <c r="C249" i="1"/>
  <c r="AC248" i="1"/>
  <c r="AD248" i="1" s="1"/>
  <c r="AA248" i="1"/>
  <c r="X248" i="1"/>
  <c r="W248" i="1"/>
  <c r="U248" i="1"/>
  <c r="R248" i="1"/>
  <c r="N248" i="1"/>
  <c r="O248" i="1" s="1"/>
  <c r="L248" i="1"/>
  <c r="I248" i="1"/>
  <c r="H248" i="1"/>
  <c r="F248" i="1"/>
  <c r="C248" i="1"/>
  <c r="AD247" i="1"/>
  <c r="AC247" i="1"/>
  <c r="AA247" i="1"/>
  <c r="W247" i="1"/>
  <c r="X247" i="1" s="1"/>
  <c r="U247" i="1"/>
  <c r="R247" i="1"/>
  <c r="N247" i="1"/>
  <c r="O247" i="1" s="1"/>
  <c r="L247" i="1"/>
  <c r="H247" i="1"/>
  <c r="I247" i="1" s="1"/>
  <c r="F247" i="1"/>
  <c r="C247" i="1"/>
  <c r="AC246" i="1"/>
  <c r="AA246" i="1"/>
  <c r="W246" i="1"/>
  <c r="X246" i="1" s="1"/>
  <c r="U246" i="1"/>
  <c r="R246" i="1"/>
  <c r="O246" i="1"/>
  <c r="N246" i="1"/>
  <c r="L246" i="1"/>
  <c r="I246" i="1"/>
  <c r="H246" i="1"/>
  <c r="F246" i="1"/>
  <c r="C246" i="1"/>
  <c r="AD245" i="1"/>
  <c r="AC245" i="1"/>
  <c r="AA245" i="1"/>
  <c r="X245" i="1"/>
  <c r="W245" i="1"/>
  <c r="U245" i="1"/>
  <c r="R245" i="1"/>
  <c r="N245" i="1"/>
  <c r="O245" i="1" s="1"/>
  <c r="L245" i="1"/>
  <c r="H245" i="1"/>
  <c r="I245" i="1" s="1"/>
  <c r="F245" i="1"/>
  <c r="C245" i="1"/>
  <c r="AC244" i="1"/>
  <c r="AA244" i="1"/>
  <c r="X244" i="1"/>
  <c r="W244" i="1"/>
  <c r="U244" i="1"/>
  <c r="R244" i="1"/>
  <c r="N244" i="1"/>
  <c r="O244" i="1" s="1"/>
  <c r="L244" i="1"/>
  <c r="H244" i="1"/>
  <c r="I244" i="1" s="1"/>
  <c r="F244" i="1"/>
  <c r="C244" i="1"/>
  <c r="AC243" i="1"/>
  <c r="AA243" i="1"/>
  <c r="W243" i="1"/>
  <c r="X243" i="1" s="1"/>
  <c r="U243" i="1"/>
  <c r="R243" i="1"/>
  <c r="O243" i="1"/>
  <c r="N243" i="1"/>
  <c r="L243" i="1"/>
  <c r="H243" i="1"/>
  <c r="I243" i="1" s="1"/>
  <c r="F243" i="1"/>
  <c r="C243" i="1"/>
  <c r="AC242" i="1"/>
  <c r="AD242" i="1" s="1"/>
  <c r="AA242" i="1"/>
  <c r="W242" i="1"/>
  <c r="X242" i="1" s="1"/>
  <c r="U242" i="1"/>
  <c r="R242" i="1"/>
  <c r="O242" i="1"/>
  <c r="N242" i="1"/>
  <c r="L242" i="1"/>
  <c r="I242" i="1"/>
  <c r="H242" i="1"/>
  <c r="F242" i="1"/>
  <c r="C242" i="1"/>
  <c r="AC241" i="1"/>
  <c r="AD241" i="1" s="1"/>
  <c r="AA241" i="1"/>
  <c r="W241" i="1"/>
  <c r="X241" i="1" s="1"/>
  <c r="U241" i="1"/>
  <c r="R241" i="1"/>
  <c r="N241" i="1"/>
  <c r="O241" i="1" s="1"/>
  <c r="L241" i="1"/>
  <c r="H241" i="1"/>
  <c r="I241" i="1" s="1"/>
  <c r="F241" i="1"/>
  <c r="C241" i="1"/>
  <c r="AC240" i="1"/>
  <c r="AD240" i="1" s="1"/>
  <c r="AA240" i="1"/>
  <c r="X240" i="1"/>
  <c r="W240" i="1"/>
  <c r="U240" i="1"/>
  <c r="R240" i="1"/>
  <c r="N240" i="1"/>
  <c r="O240" i="1" s="1"/>
  <c r="L240" i="1"/>
  <c r="H240" i="1"/>
  <c r="I240" i="1" s="1"/>
  <c r="F240" i="1"/>
  <c r="C240" i="1"/>
  <c r="AD238" i="1"/>
  <c r="AC238" i="1"/>
  <c r="AA238" i="1"/>
  <c r="W238" i="1"/>
  <c r="X238" i="1" s="1"/>
  <c r="U238" i="1"/>
  <c r="R238" i="1"/>
  <c r="N238" i="1"/>
  <c r="O238" i="1" s="1"/>
  <c r="L238" i="1"/>
  <c r="H238" i="1"/>
  <c r="I238" i="1" s="1"/>
  <c r="F238" i="1"/>
  <c r="C238" i="1"/>
  <c r="AC236" i="1"/>
  <c r="AD236" i="1" s="1"/>
  <c r="AA236" i="1"/>
  <c r="Z236" i="1"/>
  <c r="W236" i="1"/>
  <c r="X236" i="1" s="1"/>
  <c r="T236" i="1"/>
  <c r="U236" i="1" s="1"/>
  <c r="Q236" i="1"/>
  <c r="R236" i="1" s="1"/>
  <c r="K236" i="1"/>
  <c r="L236" i="1" s="1"/>
  <c r="E236" i="1"/>
  <c r="F236" i="1" s="1"/>
  <c r="C236" i="1"/>
  <c r="B236" i="1"/>
  <c r="AC235" i="1"/>
  <c r="AD235" i="1" s="1"/>
  <c r="AA235" i="1"/>
  <c r="X235" i="1"/>
  <c r="W235" i="1"/>
  <c r="U235" i="1"/>
  <c r="R235" i="1"/>
  <c r="N235" i="1"/>
  <c r="O235" i="1" s="1"/>
  <c r="L235" i="1"/>
  <c r="H235" i="1"/>
  <c r="I235" i="1" s="1"/>
  <c r="F235" i="1"/>
  <c r="C235" i="1"/>
  <c r="AD234" i="1"/>
  <c r="AC234" i="1"/>
  <c r="AA234" i="1"/>
  <c r="W234" i="1"/>
  <c r="X234" i="1" s="1"/>
  <c r="U234" i="1"/>
  <c r="R234" i="1"/>
  <c r="N234" i="1"/>
  <c r="O234" i="1" s="1"/>
  <c r="L234" i="1"/>
  <c r="H234" i="1"/>
  <c r="I234" i="1" s="1"/>
  <c r="F234" i="1"/>
  <c r="C234" i="1"/>
  <c r="AC233" i="1"/>
  <c r="AD233" i="1" s="1"/>
  <c r="AA233" i="1"/>
  <c r="W233" i="1"/>
  <c r="X233" i="1" s="1"/>
  <c r="U233" i="1"/>
  <c r="R233" i="1"/>
  <c r="O233" i="1"/>
  <c r="N233" i="1"/>
  <c r="L233" i="1"/>
  <c r="I233" i="1"/>
  <c r="H233" i="1"/>
  <c r="F233" i="1"/>
  <c r="C233" i="1"/>
  <c r="AD232" i="1"/>
  <c r="AC232" i="1"/>
  <c r="AA232" i="1"/>
  <c r="W232" i="1"/>
  <c r="X232" i="1" s="1"/>
  <c r="U232" i="1"/>
  <c r="R232" i="1"/>
  <c r="N232" i="1"/>
  <c r="O232" i="1" s="1"/>
  <c r="L232" i="1"/>
  <c r="H232" i="1"/>
  <c r="I232" i="1" s="1"/>
  <c r="F232" i="1"/>
  <c r="C232" i="1"/>
  <c r="AC231" i="1"/>
  <c r="AD231" i="1" s="1"/>
  <c r="AA231" i="1"/>
  <c r="X231" i="1"/>
  <c r="W231" i="1"/>
  <c r="U231" i="1"/>
  <c r="R231" i="1"/>
  <c r="N231" i="1"/>
  <c r="O231" i="1" s="1"/>
  <c r="L231" i="1"/>
  <c r="I231" i="1"/>
  <c r="H231" i="1"/>
  <c r="F231" i="1"/>
  <c r="C231" i="1"/>
  <c r="AC230" i="1"/>
  <c r="AA230" i="1"/>
  <c r="W230" i="1"/>
  <c r="X230" i="1" s="1"/>
  <c r="U230" i="1"/>
  <c r="R230" i="1"/>
  <c r="O230" i="1"/>
  <c r="N230" i="1"/>
  <c r="L230" i="1"/>
  <c r="H230" i="1"/>
  <c r="I230" i="1" s="1"/>
  <c r="F230" i="1"/>
  <c r="C230" i="1"/>
  <c r="AC229" i="1"/>
  <c r="AA229" i="1"/>
  <c r="W229" i="1"/>
  <c r="X229" i="1" s="1"/>
  <c r="U229" i="1"/>
  <c r="R229" i="1"/>
  <c r="O229" i="1"/>
  <c r="N229" i="1"/>
  <c r="L229" i="1"/>
  <c r="I229" i="1"/>
  <c r="H229" i="1"/>
  <c r="F229" i="1"/>
  <c r="C229" i="1"/>
  <c r="Z227" i="1"/>
  <c r="AA227" i="1" s="1"/>
  <c r="T227" i="1"/>
  <c r="U227" i="1" s="1"/>
  <c r="Q227" i="1"/>
  <c r="W227" i="1" s="1"/>
  <c r="X227" i="1" s="1"/>
  <c r="L227" i="1"/>
  <c r="K227" i="1"/>
  <c r="H227" i="1"/>
  <c r="I227" i="1" s="1"/>
  <c r="F227" i="1"/>
  <c r="E227" i="1"/>
  <c r="B227" i="1"/>
  <c r="C227" i="1" s="1"/>
  <c r="AD226" i="1"/>
  <c r="AC226" i="1"/>
  <c r="AA226" i="1"/>
  <c r="W226" i="1"/>
  <c r="X226" i="1" s="1"/>
  <c r="U226" i="1"/>
  <c r="R226" i="1"/>
  <c r="N226" i="1"/>
  <c r="O226" i="1" s="1"/>
  <c r="L226" i="1"/>
  <c r="H226" i="1"/>
  <c r="I226" i="1" s="1"/>
  <c r="F226" i="1"/>
  <c r="C226" i="1"/>
  <c r="AC225" i="1"/>
  <c r="AD225" i="1" s="1"/>
  <c r="AA225" i="1"/>
  <c r="W225" i="1"/>
  <c r="X225" i="1" s="1"/>
  <c r="U225" i="1"/>
  <c r="R225" i="1"/>
  <c r="O225" i="1"/>
  <c r="N225" i="1"/>
  <c r="L225" i="1"/>
  <c r="I225" i="1"/>
  <c r="H225" i="1"/>
  <c r="F225" i="1"/>
  <c r="C225" i="1"/>
  <c r="AC224" i="1"/>
  <c r="AD224" i="1" s="1"/>
  <c r="AA224" i="1"/>
  <c r="W224" i="1"/>
  <c r="X224" i="1" s="1"/>
  <c r="U224" i="1"/>
  <c r="R224" i="1"/>
  <c r="O224" i="1"/>
  <c r="N224" i="1"/>
  <c r="L224" i="1"/>
  <c r="H224" i="1"/>
  <c r="I224" i="1" s="1"/>
  <c r="F224" i="1"/>
  <c r="C224" i="1"/>
  <c r="AC223" i="1"/>
  <c r="AA223" i="1"/>
  <c r="X223" i="1"/>
  <c r="W223" i="1"/>
  <c r="U223" i="1"/>
  <c r="R223" i="1"/>
  <c r="N223" i="1"/>
  <c r="O223" i="1" s="1"/>
  <c r="L223" i="1"/>
  <c r="H223" i="1"/>
  <c r="I223" i="1" s="1"/>
  <c r="F223" i="1"/>
  <c r="C223" i="1"/>
  <c r="AC222" i="1"/>
  <c r="AA222" i="1"/>
  <c r="X222" i="1"/>
  <c r="W222" i="1"/>
  <c r="U222" i="1"/>
  <c r="R222" i="1"/>
  <c r="N222" i="1"/>
  <c r="O222" i="1" s="1"/>
  <c r="L222" i="1"/>
  <c r="H222" i="1"/>
  <c r="I222" i="1" s="1"/>
  <c r="F222" i="1"/>
  <c r="C222" i="1"/>
  <c r="AC221" i="1"/>
  <c r="AD221" i="1" s="1"/>
  <c r="AA221" i="1"/>
  <c r="W221" i="1"/>
  <c r="X221" i="1" s="1"/>
  <c r="U221" i="1"/>
  <c r="R221" i="1"/>
  <c r="O221" i="1"/>
  <c r="N221" i="1"/>
  <c r="L221" i="1"/>
  <c r="I221" i="1"/>
  <c r="H221" i="1"/>
  <c r="F221" i="1"/>
  <c r="C221" i="1"/>
  <c r="AC220" i="1"/>
  <c r="AD220" i="1" s="1"/>
  <c r="AA220" i="1"/>
  <c r="W220" i="1"/>
  <c r="X220" i="1" s="1"/>
  <c r="U220" i="1"/>
  <c r="R220" i="1"/>
  <c r="N220" i="1"/>
  <c r="O220" i="1" s="1"/>
  <c r="L220" i="1"/>
  <c r="H220" i="1"/>
  <c r="I220" i="1" s="1"/>
  <c r="F220" i="1"/>
  <c r="C220" i="1"/>
  <c r="AC219" i="1"/>
  <c r="AD219" i="1" s="1"/>
  <c r="AA219" i="1"/>
  <c r="X219" i="1"/>
  <c r="W219" i="1"/>
  <c r="U219" i="1"/>
  <c r="R219" i="1"/>
  <c r="N219" i="1"/>
  <c r="O219" i="1" s="1"/>
  <c r="L219" i="1"/>
  <c r="I219" i="1"/>
  <c r="H219" i="1"/>
  <c r="F219" i="1"/>
  <c r="C219" i="1"/>
  <c r="Z218" i="1"/>
  <c r="AA218" i="1" s="1"/>
  <c r="T218" i="1"/>
  <c r="U218" i="1" s="1"/>
  <c r="R218" i="1"/>
  <c r="Q218" i="1"/>
  <c r="K218" i="1"/>
  <c r="L218" i="1" s="1"/>
  <c r="H218" i="1"/>
  <c r="I218" i="1" s="1"/>
  <c r="F218" i="1"/>
  <c r="E218" i="1"/>
  <c r="B218" i="1"/>
  <c r="C218" i="1" s="1"/>
  <c r="AC217" i="1"/>
  <c r="AD217" i="1" s="1"/>
  <c r="AA217" i="1"/>
  <c r="X217" i="1"/>
  <c r="W217" i="1"/>
  <c r="U217" i="1"/>
  <c r="R217" i="1"/>
  <c r="N217" i="1"/>
  <c r="O217" i="1" s="1"/>
  <c r="L217" i="1"/>
  <c r="H217" i="1"/>
  <c r="I217" i="1" s="1"/>
  <c r="F217" i="1"/>
  <c r="C217" i="1"/>
  <c r="AC216" i="1"/>
  <c r="AD216" i="1" s="1"/>
  <c r="AA216" i="1"/>
  <c r="X216" i="1"/>
  <c r="W216" i="1"/>
  <c r="U216" i="1"/>
  <c r="R216" i="1"/>
  <c r="N216" i="1"/>
  <c r="O216" i="1" s="1"/>
  <c r="L216" i="1"/>
  <c r="H216" i="1"/>
  <c r="I216" i="1" s="1"/>
  <c r="F216" i="1"/>
  <c r="C216" i="1"/>
  <c r="AD215" i="1"/>
  <c r="AC215" i="1"/>
  <c r="AA215" i="1"/>
  <c r="W215" i="1"/>
  <c r="X215" i="1" s="1"/>
  <c r="U215" i="1"/>
  <c r="R215" i="1"/>
  <c r="N215" i="1"/>
  <c r="O215" i="1" s="1"/>
  <c r="L215" i="1"/>
  <c r="H215" i="1"/>
  <c r="I215" i="1" s="1"/>
  <c r="F215" i="1"/>
  <c r="C215" i="1"/>
  <c r="AC214" i="1"/>
  <c r="AD214" i="1" s="1"/>
  <c r="AA214" i="1"/>
  <c r="W214" i="1"/>
  <c r="X214" i="1" s="1"/>
  <c r="U214" i="1"/>
  <c r="R214" i="1"/>
  <c r="O214" i="1"/>
  <c r="N214" i="1"/>
  <c r="L214" i="1"/>
  <c r="I214" i="1"/>
  <c r="H214" i="1"/>
  <c r="F214" i="1"/>
  <c r="C214" i="1"/>
  <c r="AC213" i="1"/>
  <c r="AD213" i="1" s="1"/>
  <c r="AA213" i="1"/>
  <c r="W213" i="1"/>
  <c r="X213" i="1" s="1"/>
  <c r="U213" i="1"/>
  <c r="R213" i="1"/>
  <c r="N213" i="1"/>
  <c r="O213" i="1" s="1"/>
  <c r="L213" i="1"/>
  <c r="H213" i="1"/>
  <c r="I213" i="1" s="1"/>
  <c r="F213" i="1"/>
  <c r="C213" i="1"/>
  <c r="AC211" i="1"/>
  <c r="AA211" i="1"/>
  <c r="X211" i="1"/>
  <c r="W211" i="1"/>
  <c r="U211" i="1"/>
  <c r="R211" i="1"/>
  <c r="N211" i="1"/>
  <c r="O211" i="1" s="1"/>
  <c r="L211" i="1"/>
  <c r="H211" i="1"/>
  <c r="I211" i="1" s="1"/>
  <c r="F211" i="1"/>
  <c r="C211" i="1"/>
  <c r="AD209" i="1"/>
  <c r="Z209" i="1"/>
  <c r="AA209" i="1" s="1"/>
  <c r="W209" i="1"/>
  <c r="X209" i="1" s="1"/>
  <c r="T209" i="1"/>
  <c r="U209" i="1" s="1"/>
  <c r="R209" i="1"/>
  <c r="Q209" i="1"/>
  <c r="AC209" i="1" s="1"/>
  <c r="N209" i="1"/>
  <c r="O209" i="1" s="1"/>
  <c r="L209" i="1"/>
  <c r="K209" i="1"/>
  <c r="H209" i="1"/>
  <c r="I209" i="1" s="1"/>
  <c r="F209" i="1"/>
  <c r="E209" i="1"/>
  <c r="B209" i="1"/>
  <c r="C209" i="1" s="1"/>
  <c r="AC208" i="1"/>
  <c r="AD208" i="1" s="1"/>
  <c r="AA208" i="1"/>
  <c r="W208" i="1"/>
  <c r="X208" i="1" s="1"/>
  <c r="U208" i="1"/>
  <c r="R208" i="1"/>
  <c r="N208" i="1"/>
  <c r="O208" i="1" s="1"/>
  <c r="L208" i="1"/>
  <c r="H208" i="1"/>
  <c r="I208" i="1" s="1"/>
  <c r="F208" i="1"/>
  <c r="C208" i="1"/>
  <c r="AC207" i="1"/>
  <c r="AD207" i="1" s="1"/>
  <c r="AA207" i="1"/>
  <c r="X207" i="1"/>
  <c r="W207" i="1"/>
  <c r="U207" i="1"/>
  <c r="R207" i="1"/>
  <c r="N207" i="1"/>
  <c r="O207" i="1" s="1"/>
  <c r="L207" i="1"/>
  <c r="I207" i="1"/>
  <c r="H207" i="1"/>
  <c r="F207" i="1"/>
  <c r="C207" i="1"/>
  <c r="AD206" i="1"/>
  <c r="AC206" i="1"/>
  <c r="AA206" i="1"/>
  <c r="W206" i="1"/>
  <c r="X206" i="1" s="1"/>
  <c r="U206" i="1"/>
  <c r="R206" i="1"/>
  <c r="N206" i="1"/>
  <c r="O206" i="1" s="1"/>
  <c r="L206" i="1"/>
  <c r="H206" i="1"/>
  <c r="I206" i="1" s="1"/>
  <c r="F206" i="1"/>
  <c r="C206" i="1"/>
  <c r="AC205" i="1"/>
  <c r="AA205" i="1"/>
  <c r="W205" i="1"/>
  <c r="X205" i="1" s="1"/>
  <c r="U205" i="1"/>
  <c r="R205" i="1"/>
  <c r="O205" i="1"/>
  <c r="N205" i="1"/>
  <c r="L205" i="1"/>
  <c r="I205" i="1"/>
  <c r="H205" i="1"/>
  <c r="F205" i="1"/>
  <c r="C205" i="1"/>
  <c r="AD204" i="1"/>
  <c r="AC204" i="1"/>
  <c r="AA204" i="1"/>
  <c r="X204" i="1"/>
  <c r="W204" i="1"/>
  <c r="U204" i="1"/>
  <c r="R204" i="1"/>
  <c r="N204" i="1"/>
  <c r="O204" i="1" s="1"/>
  <c r="L204" i="1"/>
  <c r="H204" i="1"/>
  <c r="I204" i="1" s="1"/>
  <c r="F204" i="1"/>
  <c r="C204" i="1"/>
  <c r="AC203" i="1"/>
  <c r="AA203" i="1"/>
  <c r="X203" i="1"/>
  <c r="W203" i="1"/>
  <c r="U203" i="1"/>
  <c r="R203" i="1"/>
  <c r="N203" i="1"/>
  <c r="O203" i="1" s="1"/>
  <c r="L203" i="1"/>
  <c r="H203" i="1"/>
  <c r="I203" i="1" s="1"/>
  <c r="F203" i="1"/>
  <c r="C203" i="1"/>
  <c r="AC202" i="1"/>
  <c r="AA202" i="1"/>
  <c r="W202" i="1"/>
  <c r="X202" i="1" s="1"/>
  <c r="U202" i="1"/>
  <c r="R202" i="1"/>
  <c r="O202" i="1"/>
  <c r="N202" i="1"/>
  <c r="L202" i="1"/>
  <c r="H202" i="1"/>
  <c r="I202" i="1" s="1"/>
  <c r="F202" i="1"/>
  <c r="C202" i="1"/>
  <c r="AC201" i="1"/>
  <c r="AD201" i="1" s="1"/>
  <c r="AA201" i="1"/>
  <c r="W201" i="1"/>
  <c r="X201" i="1" s="1"/>
  <c r="U201" i="1"/>
  <c r="R201" i="1"/>
  <c r="O201" i="1"/>
  <c r="N201" i="1"/>
  <c r="L201" i="1"/>
  <c r="I201" i="1"/>
  <c r="H201" i="1"/>
  <c r="F201" i="1"/>
  <c r="C201" i="1"/>
  <c r="Z197" i="1"/>
  <c r="AA197" i="1" s="1"/>
  <c r="T197" i="1"/>
  <c r="U197" i="1" s="1"/>
  <c r="R197" i="1"/>
  <c r="Q197" i="1"/>
  <c r="K197" i="1"/>
  <c r="N197" i="1" s="1"/>
  <c r="O197" i="1" s="1"/>
  <c r="H197" i="1"/>
  <c r="I197" i="1" s="1"/>
  <c r="F197" i="1"/>
  <c r="E197" i="1"/>
  <c r="B197" i="1"/>
  <c r="C197" i="1" s="1"/>
  <c r="Z196" i="1"/>
  <c r="AA196" i="1" s="1"/>
  <c r="T196" i="1"/>
  <c r="U196" i="1" s="1"/>
  <c r="Q196" i="1"/>
  <c r="W196" i="1" s="1"/>
  <c r="X196" i="1" s="1"/>
  <c r="L196" i="1"/>
  <c r="K196" i="1"/>
  <c r="H196" i="1"/>
  <c r="I196" i="1" s="1"/>
  <c r="F196" i="1"/>
  <c r="E196" i="1"/>
  <c r="B196" i="1"/>
  <c r="C196" i="1" s="1"/>
  <c r="AD195" i="1"/>
  <c r="AC195" i="1"/>
  <c r="AA195" i="1"/>
  <c r="W195" i="1"/>
  <c r="X195" i="1" s="1"/>
  <c r="U195" i="1"/>
  <c r="R195" i="1"/>
  <c r="N195" i="1"/>
  <c r="O195" i="1" s="1"/>
  <c r="L195" i="1"/>
  <c r="H195" i="1"/>
  <c r="I195" i="1" s="1"/>
  <c r="F195" i="1"/>
  <c r="C195" i="1"/>
  <c r="AC194" i="1"/>
  <c r="AD194" i="1" s="1"/>
  <c r="AA194" i="1"/>
  <c r="W194" i="1"/>
  <c r="X194" i="1" s="1"/>
  <c r="U194" i="1"/>
  <c r="R194" i="1"/>
  <c r="O194" i="1"/>
  <c r="N194" i="1"/>
  <c r="L194" i="1"/>
  <c r="I194" i="1"/>
  <c r="H194" i="1"/>
  <c r="F194" i="1"/>
  <c r="C194" i="1"/>
  <c r="Z193" i="1"/>
  <c r="AA193" i="1" s="1"/>
  <c r="T193" i="1"/>
  <c r="U193" i="1" s="1"/>
  <c r="Q193" i="1"/>
  <c r="N193" i="1"/>
  <c r="O193" i="1" s="1"/>
  <c r="L193" i="1"/>
  <c r="K193" i="1"/>
  <c r="E193" i="1"/>
  <c r="H193" i="1" s="1"/>
  <c r="I193" i="1" s="1"/>
  <c r="B193" i="1"/>
  <c r="C193" i="1" s="1"/>
  <c r="AD192" i="1"/>
  <c r="AC192" i="1"/>
  <c r="AA192" i="1"/>
  <c r="W192" i="1"/>
  <c r="X192" i="1" s="1"/>
  <c r="U192" i="1"/>
  <c r="R192" i="1"/>
  <c r="N192" i="1"/>
  <c r="O192" i="1" s="1"/>
  <c r="L192" i="1"/>
  <c r="H192" i="1"/>
  <c r="I192" i="1" s="1"/>
  <c r="F192" i="1"/>
  <c r="C192" i="1"/>
  <c r="AC191" i="1"/>
  <c r="AD191" i="1" s="1"/>
  <c r="AA191" i="1"/>
  <c r="W191" i="1"/>
  <c r="X191" i="1" s="1"/>
  <c r="U191" i="1"/>
  <c r="R191" i="1"/>
  <c r="O191" i="1"/>
  <c r="N191" i="1"/>
  <c r="L191" i="1"/>
  <c r="I191" i="1"/>
  <c r="H191" i="1"/>
  <c r="F191" i="1"/>
  <c r="C191" i="1"/>
  <c r="AD190" i="1"/>
  <c r="AC190" i="1"/>
  <c r="AA190" i="1"/>
  <c r="W190" i="1"/>
  <c r="X190" i="1" s="1"/>
  <c r="U190" i="1"/>
  <c r="R190" i="1"/>
  <c r="N190" i="1"/>
  <c r="O190" i="1" s="1"/>
  <c r="L190" i="1"/>
  <c r="H190" i="1"/>
  <c r="I190" i="1" s="1"/>
  <c r="F190" i="1"/>
  <c r="C190" i="1"/>
  <c r="AC189" i="1"/>
  <c r="AD189" i="1" s="1"/>
  <c r="AA189" i="1"/>
  <c r="X189" i="1"/>
  <c r="W189" i="1"/>
  <c r="U189" i="1"/>
  <c r="R189" i="1"/>
  <c r="N189" i="1"/>
  <c r="O189" i="1" s="1"/>
  <c r="L189" i="1"/>
  <c r="I189" i="1"/>
  <c r="H189" i="1"/>
  <c r="F189" i="1"/>
  <c r="C189" i="1"/>
  <c r="AC188" i="1"/>
  <c r="AA188" i="1"/>
  <c r="W188" i="1"/>
  <c r="X188" i="1" s="1"/>
  <c r="U188" i="1"/>
  <c r="R188" i="1"/>
  <c r="O188" i="1"/>
  <c r="N188" i="1"/>
  <c r="L188" i="1"/>
  <c r="H188" i="1"/>
  <c r="I188" i="1" s="1"/>
  <c r="F188" i="1"/>
  <c r="C188" i="1"/>
  <c r="AC187" i="1"/>
  <c r="AA187" i="1"/>
  <c r="W187" i="1"/>
  <c r="X187" i="1" s="1"/>
  <c r="U187" i="1"/>
  <c r="R187" i="1"/>
  <c r="O187" i="1"/>
  <c r="N187" i="1"/>
  <c r="L187" i="1"/>
  <c r="I187" i="1"/>
  <c r="H187" i="1"/>
  <c r="F187" i="1"/>
  <c r="C187" i="1"/>
  <c r="AC186" i="1"/>
  <c r="AD186" i="1" s="1"/>
  <c r="AA186" i="1"/>
  <c r="X186" i="1"/>
  <c r="W186" i="1"/>
  <c r="U186" i="1"/>
  <c r="R186" i="1"/>
  <c r="N186" i="1"/>
  <c r="O186" i="1" s="1"/>
  <c r="L186" i="1"/>
  <c r="H186" i="1"/>
  <c r="I186" i="1" s="1"/>
  <c r="F186" i="1"/>
  <c r="C186" i="1"/>
  <c r="AC184" i="1"/>
  <c r="AD184" i="1" s="1"/>
  <c r="AA184" i="1"/>
  <c r="X184" i="1"/>
  <c r="W184" i="1"/>
  <c r="U184" i="1"/>
  <c r="R184" i="1"/>
  <c r="N184" i="1"/>
  <c r="O184" i="1" s="1"/>
  <c r="L184" i="1"/>
  <c r="H184" i="1"/>
  <c r="I184" i="1" s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AC182" i="1"/>
  <c r="AD182" i="1" s="1"/>
  <c r="AA182" i="1"/>
  <c r="Z182" i="1"/>
  <c r="T182" i="1"/>
  <c r="W182" i="1" s="1"/>
  <c r="X182" i="1" s="1"/>
  <c r="Q182" i="1"/>
  <c r="R182" i="1" s="1"/>
  <c r="K182" i="1"/>
  <c r="L182" i="1" s="1"/>
  <c r="E182" i="1"/>
  <c r="F182" i="1" s="1"/>
  <c r="C182" i="1"/>
  <c r="B182" i="1"/>
  <c r="AC181" i="1"/>
  <c r="AA181" i="1"/>
  <c r="X181" i="1"/>
  <c r="W181" i="1"/>
  <c r="U181" i="1"/>
  <c r="R181" i="1"/>
  <c r="N181" i="1"/>
  <c r="O181" i="1" s="1"/>
  <c r="L181" i="1"/>
  <c r="H181" i="1"/>
  <c r="I181" i="1" s="1"/>
  <c r="F181" i="1"/>
  <c r="C181" i="1"/>
  <c r="AC180" i="1"/>
  <c r="AA180" i="1"/>
  <c r="X180" i="1"/>
  <c r="W180" i="1"/>
  <c r="U180" i="1"/>
  <c r="R180" i="1"/>
  <c r="N180" i="1"/>
  <c r="O180" i="1" s="1"/>
  <c r="L180" i="1"/>
  <c r="H180" i="1"/>
  <c r="I180" i="1" s="1"/>
  <c r="F180" i="1"/>
  <c r="C180" i="1"/>
  <c r="AC179" i="1"/>
  <c r="AD179" i="1" s="1"/>
  <c r="AA179" i="1"/>
  <c r="W179" i="1"/>
  <c r="X179" i="1" s="1"/>
  <c r="U179" i="1"/>
  <c r="R179" i="1"/>
  <c r="O179" i="1"/>
  <c r="N179" i="1"/>
  <c r="L179" i="1"/>
  <c r="I179" i="1"/>
  <c r="H179" i="1"/>
  <c r="F179" i="1"/>
  <c r="C179" i="1"/>
  <c r="AC178" i="1"/>
  <c r="AD178" i="1" s="1"/>
  <c r="AA178" i="1"/>
  <c r="W178" i="1"/>
  <c r="X178" i="1" s="1"/>
  <c r="U178" i="1"/>
  <c r="R178" i="1"/>
  <c r="N178" i="1"/>
  <c r="O178" i="1" s="1"/>
  <c r="L178" i="1"/>
  <c r="H178" i="1"/>
  <c r="I178" i="1" s="1"/>
  <c r="F178" i="1"/>
  <c r="C178" i="1"/>
  <c r="AC177" i="1"/>
  <c r="AD177" i="1" s="1"/>
  <c r="AA177" i="1"/>
  <c r="X177" i="1"/>
  <c r="W177" i="1"/>
  <c r="U177" i="1"/>
  <c r="R177" i="1"/>
  <c r="N177" i="1"/>
  <c r="O177" i="1" s="1"/>
  <c r="L177" i="1"/>
  <c r="I177" i="1"/>
  <c r="H177" i="1"/>
  <c r="F177" i="1"/>
  <c r="C177" i="1"/>
  <c r="AD175" i="1"/>
  <c r="AC175" i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T172" i="1"/>
  <c r="T198" i="1" s="1"/>
  <c r="K172" i="1"/>
  <c r="AC171" i="1"/>
  <c r="AD171" i="1" s="1"/>
  <c r="Z171" i="1"/>
  <c r="AA171" i="1" s="1"/>
  <c r="W171" i="1"/>
  <c r="X171" i="1" s="1"/>
  <c r="U171" i="1"/>
  <c r="T171" i="1"/>
  <c r="Q171" i="1"/>
  <c r="R171" i="1" s="1"/>
  <c r="N171" i="1"/>
  <c r="O171" i="1" s="1"/>
  <c r="K171" i="1"/>
  <c r="L171" i="1" s="1"/>
  <c r="E171" i="1"/>
  <c r="F171" i="1" s="1"/>
  <c r="B171" i="1"/>
  <c r="AC170" i="1"/>
  <c r="AD170" i="1" s="1"/>
  <c r="AA170" i="1"/>
  <c r="Z170" i="1"/>
  <c r="T170" i="1"/>
  <c r="W170" i="1" s="1"/>
  <c r="X170" i="1" s="1"/>
  <c r="Q170" i="1"/>
  <c r="R170" i="1" s="1"/>
  <c r="K170" i="1"/>
  <c r="L170" i="1" s="1"/>
  <c r="H170" i="1"/>
  <c r="I170" i="1" s="1"/>
  <c r="E170" i="1"/>
  <c r="F170" i="1" s="1"/>
  <c r="C170" i="1"/>
  <c r="B170" i="1"/>
  <c r="N170" i="1" s="1"/>
  <c r="O170" i="1" s="1"/>
  <c r="AC169" i="1"/>
  <c r="AA169" i="1"/>
  <c r="X169" i="1"/>
  <c r="W169" i="1"/>
  <c r="U169" i="1"/>
  <c r="R169" i="1"/>
  <c r="N169" i="1"/>
  <c r="O169" i="1" s="1"/>
  <c r="L169" i="1"/>
  <c r="H169" i="1"/>
  <c r="I169" i="1" s="1"/>
  <c r="F169" i="1"/>
  <c r="C169" i="1"/>
  <c r="AD168" i="1"/>
  <c r="AC168" i="1"/>
  <c r="AA168" i="1"/>
  <c r="X168" i="1"/>
  <c r="W168" i="1"/>
  <c r="U168" i="1"/>
  <c r="R168" i="1"/>
  <c r="N168" i="1"/>
  <c r="O168" i="1" s="1"/>
  <c r="L168" i="1"/>
  <c r="H168" i="1"/>
  <c r="I168" i="1" s="1"/>
  <c r="F168" i="1"/>
  <c r="C168" i="1"/>
  <c r="AC167" i="1"/>
  <c r="AA167" i="1"/>
  <c r="W167" i="1"/>
  <c r="X167" i="1" s="1"/>
  <c r="U167" i="1"/>
  <c r="R167" i="1"/>
  <c r="O167" i="1"/>
  <c r="N167" i="1"/>
  <c r="L167" i="1"/>
  <c r="I167" i="1"/>
  <c r="H167" i="1"/>
  <c r="F167" i="1"/>
  <c r="C167" i="1"/>
  <c r="Z166" i="1"/>
  <c r="AA166" i="1" s="1"/>
  <c r="T166" i="1"/>
  <c r="U166" i="1" s="1"/>
  <c r="Q166" i="1"/>
  <c r="W166" i="1" s="1"/>
  <c r="X166" i="1" s="1"/>
  <c r="N166" i="1"/>
  <c r="O166" i="1" s="1"/>
  <c r="L166" i="1"/>
  <c r="K166" i="1"/>
  <c r="H166" i="1"/>
  <c r="I166" i="1" s="1"/>
  <c r="E166" i="1"/>
  <c r="F166" i="1" s="1"/>
  <c r="B166" i="1"/>
  <c r="C166" i="1" s="1"/>
  <c r="AD165" i="1"/>
  <c r="AC165" i="1"/>
  <c r="AA165" i="1"/>
  <c r="W165" i="1"/>
  <c r="X165" i="1" s="1"/>
  <c r="U165" i="1"/>
  <c r="R165" i="1"/>
  <c r="N165" i="1"/>
  <c r="O165" i="1" s="1"/>
  <c r="L165" i="1"/>
  <c r="H165" i="1"/>
  <c r="I165" i="1" s="1"/>
  <c r="F165" i="1"/>
  <c r="C165" i="1"/>
  <c r="AC164" i="1"/>
  <c r="AA164" i="1"/>
  <c r="W164" i="1"/>
  <c r="X164" i="1" s="1"/>
  <c r="U164" i="1"/>
  <c r="R164" i="1"/>
  <c r="O164" i="1"/>
  <c r="N164" i="1"/>
  <c r="L164" i="1"/>
  <c r="I164" i="1"/>
  <c r="H164" i="1"/>
  <c r="F164" i="1"/>
  <c r="C164" i="1"/>
  <c r="AD163" i="1"/>
  <c r="AC163" i="1"/>
  <c r="AA163" i="1"/>
  <c r="X163" i="1"/>
  <c r="W163" i="1"/>
  <c r="U163" i="1"/>
  <c r="R163" i="1"/>
  <c r="N163" i="1"/>
  <c r="O163" i="1" s="1"/>
  <c r="L163" i="1"/>
  <c r="H163" i="1"/>
  <c r="I163" i="1" s="1"/>
  <c r="F163" i="1"/>
  <c r="C163" i="1"/>
  <c r="AC162" i="1"/>
  <c r="AA162" i="1"/>
  <c r="X162" i="1"/>
  <c r="W162" i="1"/>
  <c r="U162" i="1"/>
  <c r="R162" i="1"/>
  <c r="N162" i="1"/>
  <c r="O162" i="1" s="1"/>
  <c r="L162" i="1"/>
  <c r="H162" i="1"/>
  <c r="I162" i="1" s="1"/>
  <c r="F162" i="1"/>
  <c r="C162" i="1"/>
  <c r="AC161" i="1"/>
  <c r="AA161" i="1"/>
  <c r="W161" i="1"/>
  <c r="X161" i="1" s="1"/>
  <c r="U161" i="1"/>
  <c r="R161" i="1"/>
  <c r="O161" i="1"/>
  <c r="N161" i="1"/>
  <c r="L161" i="1"/>
  <c r="H161" i="1"/>
  <c r="I161" i="1" s="1"/>
  <c r="F161" i="1"/>
  <c r="C161" i="1"/>
  <c r="AC160" i="1"/>
  <c r="AD160" i="1" s="1"/>
  <c r="AA160" i="1"/>
  <c r="W160" i="1"/>
  <c r="X160" i="1" s="1"/>
  <c r="U160" i="1"/>
  <c r="R160" i="1"/>
  <c r="O160" i="1"/>
  <c r="N160" i="1"/>
  <c r="L160" i="1"/>
  <c r="I160" i="1"/>
  <c r="H160" i="1"/>
  <c r="F160" i="1"/>
  <c r="C160" i="1"/>
  <c r="AC158" i="1"/>
  <c r="AD158" i="1" s="1"/>
  <c r="Z158" i="1"/>
  <c r="AA158" i="1" s="1"/>
  <c r="T158" i="1"/>
  <c r="U158" i="1" s="1"/>
  <c r="Q158" i="1"/>
  <c r="W158" i="1" s="1"/>
  <c r="X158" i="1" s="1"/>
  <c r="L158" i="1"/>
  <c r="K158" i="1"/>
  <c r="E158" i="1"/>
  <c r="F158" i="1" s="1"/>
  <c r="B158" i="1"/>
  <c r="C158" i="1" s="1"/>
  <c r="AD157" i="1"/>
  <c r="AC157" i="1"/>
  <c r="AA157" i="1"/>
  <c r="X157" i="1"/>
  <c r="W157" i="1"/>
  <c r="U157" i="1"/>
  <c r="R157" i="1"/>
  <c r="N157" i="1"/>
  <c r="O157" i="1" s="1"/>
  <c r="L157" i="1"/>
  <c r="H157" i="1"/>
  <c r="I157" i="1" s="1"/>
  <c r="F157" i="1"/>
  <c r="C157" i="1"/>
  <c r="AC156" i="1"/>
  <c r="AA156" i="1"/>
  <c r="W156" i="1"/>
  <c r="X156" i="1" s="1"/>
  <c r="U156" i="1"/>
  <c r="R156" i="1"/>
  <c r="O156" i="1"/>
  <c r="N156" i="1"/>
  <c r="L156" i="1"/>
  <c r="I156" i="1"/>
  <c r="H156" i="1"/>
  <c r="F156" i="1"/>
  <c r="C156" i="1"/>
  <c r="AC155" i="1"/>
  <c r="AD155" i="1" s="1"/>
  <c r="AA155" i="1"/>
  <c r="W155" i="1"/>
  <c r="X155" i="1" s="1"/>
  <c r="U155" i="1"/>
  <c r="R155" i="1"/>
  <c r="O155" i="1"/>
  <c r="N155" i="1"/>
  <c r="L155" i="1"/>
  <c r="H155" i="1"/>
  <c r="I155" i="1" s="1"/>
  <c r="F155" i="1"/>
  <c r="C155" i="1"/>
  <c r="AC154" i="1"/>
  <c r="AD154" i="1" s="1"/>
  <c r="AA154" i="1"/>
  <c r="X154" i="1"/>
  <c r="W154" i="1"/>
  <c r="U154" i="1"/>
  <c r="R154" i="1"/>
  <c r="N154" i="1"/>
  <c r="O154" i="1" s="1"/>
  <c r="L154" i="1"/>
  <c r="H154" i="1"/>
  <c r="I154" i="1" s="1"/>
  <c r="F154" i="1"/>
  <c r="C154" i="1"/>
  <c r="AD153" i="1"/>
  <c r="AC153" i="1"/>
  <c r="AA153" i="1"/>
  <c r="W153" i="1"/>
  <c r="X153" i="1" s="1"/>
  <c r="U153" i="1"/>
  <c r="R153" i="1"/>
  <c r="N153" i="1"/>
  <c r="O153" i="1" s="1"/>
  <c r="L153" i="1"/>
  <c r="H153" i="1"/>
  <c r="I153" i="1" s="1"/>
  <c r="F153" i="1"/>
  <c r="C153" i="1"/>
  <c r="AC151" i="1"/>
  <c r="AD151" i="1" s="1"/>
  <c r="AA151" i="1"/>
  <c r="W151" i="1"/>
  <c r="X151" i="1" s="1"/>
  <c r="U151" i="1"/>
  <c r="R151" i="1"/>
  <c r="O151" i="1"/>
  <c r="N151" i="1"/>
  <c r="L151" i="1"/>
  <c r="I151" i="1"/>
  <c r="H151" i="1"/>
  <c r="F151" i="1"/>
  <c r="C151" i="1"/>
  <c r="Z149" i="1"/>
  <c r="AA149" i="1" s="1"/>
  <c r="T149" i="1"/>
  <c r="U149" i="1" s="1"/>
  <c r="R149" i="1"/>
  <c r="Q149" i="1"/>
  <c r="L149" i="1"/>
  <c r="K149" i="1"/>
  <c r="E149" i="1"/>
  <c r="F149" i="1" s="1"/>
  <c r="B149" i="1"/>
  <c r="C149" i="1" s="1"/>
  <c r="Z148" i="1"/>
  <c r="AA148" i="1" s="1"/>
  <c r="T148" i="1"/>
  <c r="U148" i="1" s="1"/>
  <c r="R148" i="1"/>
  <c r="Q148" i="1"/>
  <c r="AC148" i="1" s="1"/>
  <c r="AD148" i="1" s="1"/>
  <c r="N148" i="1"/>
  <c r="O148" i="1" s="1"/>
  <c r="K148" i="1"/>
  <c r="L148" i="1" s="1"/>
  <c r="H148" i="1"/>
  <c r="I148" i="1" s="1"/>
  <c r="F148" i="1"/>
  <c r="E148" i="1"/>
  <c r="B148" i="1"/>
  <c r="C148" i="1" s="1"/>
  <c r="AC147" i="1"/>
  <c r="AD147" i="1" s="1"/>
  <c r="AA147" i="1"/>
  <c r="W147" i="1"/>
  <c r="X147" i="1" s="1"/>
  <c r="U147" i="1"/>
  <c r="R147" i="1"/>
  <c r="N147" i="1"/>
  <c r="O147" i="1" s="1"/>
  <c r="L147" i="1"/>
  <c r="H147" i="1"/>
  <c r="I147" i="1" s="1"/>
  <c r="F147" i="1"/>
  <c r="C147" i="1"/>
  <c r="AC146" i="1"/>
  <c r="AA146" i="1"/>
  <c r="X146" i="1"/>
  <c r="W146" i="1"/>
  <c r="U146" i="1"/>
  <c r="R146" i="1"/>
  <c r="N146" i="1"/>
  <c r="O146" i="1" s="1"/>
  <c r="L146" i="1"/>
  <c r="H146" i="1"/>
  <c r="I146" i="1" s="1"/>
  <c r="F146" i="1"/>
  <c r="C146" i="1"/>
  <c r="AD145" i="1"/>
  <c r="AC145" i="1"/>
  <c r="AA145" i="1"/>
  <c r="X145" i="1"/>
  <c r="W145" i="1"/>
  <c r="U145" i="1"/>
  <c r="R145" i="1"/>
  <c r="N145" i="1"/>
  <c r="O145" i="1" s="1"/>
  <c r="L145" i="1"/>
  <c r="H145" i="1"/>
  <c r="I145" i="1" s="1"/>
  <c r="F145" i="1"/>
  <c r="C145" i="1"/>
  <c r="AC144" i="1"/>
  <c r="AA144" i="1"/>
  <c r="W144" i="1"/>
  <c r="X144" i="1" s="1"/>
  <c r="U144" i="1"/>
  <c r="R144" i="1"/>
  <c r="O144" i="1"/>
  <c r="N144" i="1"/>
  <c r="L144" i="1"/>
  <c r="I144" i="1"/>
  <c r="H144" i="1"/>
  <c r="F144" i="1"/>
  <c r="C144" i="1"/>
  <c r="AC143" i="1"/>
  <c r="AD143" i="1" s="1"/>
  <c r="AA143" i="1"/>
  <c r="W143" i="1"/>
  <c r="X143" i="1" s="1"/>
  <c r="U143" i="1"/>
  <c r="R143" i="1"/>
  <c r="O143" i="1"/>
  <c r="N143" i="1"/>
  <c r="L143" i="1"/>
  <c r="H143" i="1"/>
  <c r="I143" i="1" s="1"/>
  <c r="F143" i="1"/>
  <c r="C143" i="1"/>
  <c r="Z141" i="1"/>
  <c r="AC141" i="1" s="1"/>
  <c r="AD141" i="1" s="1"/>
  <c r="W141" i="1"/>
  <c r="X141" i="1" s="1"/>
  <c r="U141" i="1"/>
  <c r="T141" i="1"/>
  <c r="Q141" i="1"/>
  <c r="R141" i="1" s="1"/>
  <c r="K141" i="1"/>
  <c r="L141" i="1" s="1"/>
  <c r="E141" i="1"/>
  <c r="F141" i="1" s="1"/>
  <c r="B141" i="1"/>
  <c r="H141" i="1" s="1"/>
  <c r="I141" i="1" s="1"/>
  <c r="AC140" i="1"/>
  <c r="AA140" i="1"/>
  <c r="W140" i="1"/>
  <c r="X140" i="1" s="1"/>
  <c r="U140" i="1"/>
  <c r="R140" i="1"/>
  <c r="O140" i="1"/>
  <c r="N140" i="1"/>
  <c r="L140" i="1"/>
  <c r="I140" i="1"/>
  <c r="H140" i="1"/>
  <c r="F140" i="1"/>
  <c r="C140" i="1"/>
  <c r="AD139" i="1"/>
  <c r="AC139" i="1"/>
  <c r="AA139" i="1"/>
  <c r="X139" i="1"/>
  <c r="W139" i="1"/>
  <c r="U139" i="1"/>
  <c r="R139" i="1"/>
  <c r="N139" i="1"/>
  <c r="O139" i="1" s="1"/>
  <c r="L139" i="1"/>
  <c r="H139" i="1"/>
  <c r="I139" i="1" s="1"/>
  <c r="F139" i="1"/>
  <c r="C139" i="1"/>
  <c r="AC138" i="1"/>
  <c r="AA138" i="1"/>
  <c r="X138" i="1"/>
  <c r="W138" i="1"/>
  <c r="U138" i="1"/>
  <c r="R138" i="1"/>
  <c r="N138" i="1"/>
  <c r="O138" i="1" s="1"/>
  <c r="L138" i="1"/>
  <c r="H138" i="1"/>
  <c r="I138" i="1" s="1"/>
  <c r="F138" i="1"/>
  <c r="C138" i="1"/>
  <c r="AC137" i="1"/>
  <c r="AA137" i="1"/>
  <c r="W137" i="1"/>
  <c r="X137" i="1" s="1"/>
  <c r="U137" i="1"/>
  <c r="R137" i="1"/>
  <c r="O137" i="1"/>
  <c r="N137" i="1"/>
  <c r="L137" i="1"/>
  <c r="H137" i="1"/>
  <c r="I137" i="1" s="1"/>
  <c r="F137" i="1"/>
  <c r="C137" i="1"/>
  <c r="AC136" i="1"/>
  <c r="AD136" i="1" s="1"/>
  <c r="AA136" i="1"/>
  <c r="W136" i="1"/>
  <c r="X136" i="1" s="1"/>
  <c r="U136" i="1"/>
  <c r="R136" i="1"/>
  <c r="O136" i="1"/>
  <c r="N136" i="1"/>
  <c r="L136" i="1"/>
  <c r="I136" i="1"/>
  <c r="H136" i="1"/>
  <c r="F136" i="1"/>
  <c r="C136" i="1"/>
  <c r="AC135" i="1"/>
  <c r="AD135" i="1" s="1"/>
  <c r="AA135" i="1"/>
  <c r="W135" i="1"/>
  <c r="X135" i="1" s="1"/>
  <c r="U135" i="1"/>
  <c r="R135" i="1"/>
  <c r="N135" i="1"/>
  <c r="O135" i="1" s="1"/>
  <c r="L135" i="1"/>
  <c r="H135" i="1"/>
  <c r="I135" i="1" s="1"/>
  <c r="F135" i="1"/>
  <c r="C135" i="1"/>
  <c r="AC134" i="1"/>
  <c r="AD134" i="1" s="1"/>
  <c r="AA134" i="1"/>
  <c r="X134" i="1"/>
  <c r="W134" i="1"/>
  <c r="U134" i="1"/>
  <c r="R134" i="1"/>
  <c r="N134" i="1"/>
  <c r="O134" i="1" s="1"/>
  <c r="L134" i="1"/>
  <c r="H134" i="1"/>
  <c r="I134" i="1" s="1"/>
  <c r="F134" i="1"/>
  <c r="C134" i="1"/>
  <c r="AD133" i="1"/>
  <c r="AC133" i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C132" i="1"/>
  <c r="AD132" i="1" s="1"/>
  <c r="AA132" i="1"/>
  <c r="W132" i="1"/>
  <c r="X132" i="1" s="1"/>
  <c r="U132" i="1"/>
  <c r="R132" i="1"/>
  <c r="O132" i="1"/>
  <c r="N132" i="1"/>
  <c r="L132" i="1"/>
  <c r="I132" i="1"/>
  <c r="H132" i="1"/>
  <c r="F132" i="1"/>
  <c r="C132" i="1"/>
  <c r="AC131" i="1"/>
  <c r="AD131" i="1" s="1"/>
  <c r="AA131" i="1"/>
  <c r="W131" i="1"/>
  <c r="X131" i="1" s="1"/>
  <c r="U131" i="1"/>
  <c r="R131" i="1"/>
  <c r="O131" i="1"/>
  <c r="N131" i="1"/>
  <c r="L131" i="1"/>
  <c r="H131" i="1"/>
  <c r="I131" i="1" s="1"/>
  <c r="F131" i="1"/>
  <c r="C131" i="1"/>
  <c r="AC130" i="1"/>
  <c r="AA130" i="1"/>
  <c r="X130" i="1"/>
  <c r="W130" i="1"/>
  <c r="U130" i="1"/>
  <c r="R130" i="1"/>
  <c r="N130" i="1"/>
  <c r="O130" i="1" s="1"/>
  <c r="L130" i="1"/>
  <c r="H130" i="1"/>
  <c r="I130" i="1" s="1"/>
  <c r="F130" i="1"/>
  <c r="C130" i="1"/>
  <c r="AC129" i="1"/>
  <c r="AA129" i="1"/>
  <c r="X129" i="1"/>
  <c r="W129" i="1"/>
  <c r="U129" i="1"/>
  <c r="R129" i="1"/>
  <c r="N129" i="1"/>
  <c r="O129" i="1" s="1"/>
  <c r="L129" i="1"/>
  <c r="H129" i="1"/>
  <c r="I129" i="1" s="1"/>
  <c r="F129" i="1"/>
  <c r="C129" i="1"/>
  <c r="AC127" i="1"/>
  <c r="AD127" i="1" s="1"/>
  <c r="AA127" i="1"/>
  <c r="W127" i="1"/>
  <c r="X127" i="1" s="1"/>
  <c r="U127" i="1"/>
  <c r="R127" i="1"/>
  <c r="O127" i="1"/>
  <c r="N127" i="1"/>
  <c r="L127" i="1"/>
  <c r="I127" i="1"/>
  <c r="H127" i="1"/>
  <c r="F127" i="1"/>
  <c r="C127" i="1"/>
  <c r="Z124" i="1"/>
  <c r="T124" i="1"/>
  <c r="U124" i="1" s="1"/>
  <c r="R124" i="1"/>
  <c r="Q124" i="1"/>
  <c r="Q172" i="1" s="1"/>
  <c r="L124" i="1"/>
  <c r="K124" i="1"/>
  <c r="E124" i="1"/>
  <c r="E172" i="1" s="1"/>
  <c r="B124" i="1"/>
  <c r="AC123" i="1"/>
  <c r="AA123" i="1"/>
  <c r="W123" i="1"/>
  <c r="X123" i="1" s="1"/>
  <c r="U123" i="1"/>
  <c r="R123" i="1"/>
  <c r="O123" i="1"/>
  <c r="N123" i="1"/>
  <c r="L123" i="1"/>
  <c r="H123" i="1"/>
  <c r="I123" i="1" s="1"/>
  <c r="F123" i="1"/>
  <c r="C123" i="1"/>
  <c r="AA122" i="1"/>
  <c r="Z122" i="1"/>
  <c r="T122" i="1"/>
  <c r="U122" i="1" s="1"/>
  <c r="Q122" i="1"/>
  <c r="R122" i="1" s="1"/>
  <c r="K122" i="1"/>
  <c r="L122" i="1" s="1"/>
  <c r="E122" i="1"/>
  <c r="F122" i="1" s="1"/>
  <c r="B122" i="1"/>
  <c r="H122" i="1" s="1"/>
  <c r="I122" i="1" s="1"/>
  <c r="AC121" i="1"/>
  <c r="AD121" i="1" s="1"/>
  <c r="AA121" i="1"/>
  <c r="X121" i="1"/>
  <c r="W121" i="1"/>
  <c r="U121" i="1"/>
  <c r="R121" i="1"/>
  <c r="N121" i="1"/>
  <c r="O121" i="1" s="1"/>
  <c r="L121" i="1"/>
  <c r="H121" i="1"/>
  <c r="I121" i="1" s="1"/>
  <c r="F121" i="1"/>
  <c r="C121" i="1"/>
  <c r="AC120" i="1"/>
  <c r="AD120" i="1" s="1"/>
  <c r="AA120" i="1"/>
  <c r="X120" i="1"/>
  <c r="W120" i="1"/>
  <c r="U120" i="1"/>
  <c r="R120" i="1"/>
  <c r="N120" i="1"/>
  <c r="O120" i="1" s="1"/>
  <c r="L120" i="1"/>
  <c r="H120" i="1"/>
  <c r="I120" i="1" s="1"/>
  <c r="F120" i="1"/>
  <c r="C120" i="1"/>
  <c r="AC119" i="1"/>
  <c r="AD119" i="1" s="1"/>
  <c r="AA119" i="1"/>
  <c r="W119" i="1"/>
  <c r="X119" i="1" s="1"/>
  <c r="U119" i="1"/>
  <c r="R119" i="1"/>
  <c r="O119" i="1"/>
  <c r="N119" i="1"/>
  <c r="L119" i="1"/>
  <c r="H119" i="1"/>
  <c r="I119" i="1" s="1"/>
  <c r="F119" i="1"/>
  <c r="C119" i="1"/>
  <c r="Z118" i="1"/>
  <c r="AA118" i="1" s="1"/>
  <c r="T118" i="1"/>
  <c r="U118" i="1" s="1"/>
  <c r="Q118" i="1"/>
  <c r="W118" i="1" s="1"/>
  <c r="X118" i="1" s="1"/>
  <c r="K118" i="1"/>
  <c r="L118" i="1" s="1"/>
  <c r="E118" i="1"/>
  <c r="F118" i="1" s="1"/>
  <c r="B118" i="1"/>
  <c r="C118" i="1" s="1"/>
  <c r="AC117" i="1"/>
  <c r="AD117" i="1" s="1"/>
  <c r="AA117" i="1"/>
  <c r="W117" i="1"/>
  <c r="X117" i="1" s="1"/>
  <c r="U117" i="1"/>
  <c r="R117" i="1"/>
  <c r="O117" i="1"/>
  <c r="N117" i="1"/>
  <c r="L117" i="1"/>
  <c r="I117" i="1"/>
  <c r="H117" i="1"/>
  <c r="F117" i="1"/>
  <c r="C117" i="1"/>
  <c r="AC116" i="1"/>
  <c r="AD116" i="1" s="1"/>
  <c r="AA116" i="1"/>
  <c r="W116" i="1"/>
  <c r="X116" i="1" s="1"/>
  <c r="U116" i="1"/>
  <c r="R116" i="1"/>
  <c r="O116" i="1"/>
  <c r="N116" i="1"/>
  <c r="L116" i="1"/>
  <c r="I116" i="1"/>
  <c r="H116" i="1"/>
  <c r="F116" i="1"/>
  <c r="C116" i="1"/>
  <c r="AC115" i="1"/>
  <c r="AD115" i="1" s="1"/>
  <c r="AA115" i="1"/>
  <c r="W115" i="1"/>
  <c r="X115" i="1" s="1"/>
  <c r="U115" i="1"/>
  <c r="R115" i="1"/>
  <c r="O115" i="1"/>
  <c r="N115" i="1"/>
  <c r="L115" i="1"/>
  <c r="H115" i="1"/>
  <c r="I115" i="1" s="1"/>
  <c r="F115" i="1"/>
  <c r="C115" i="1"/>
  <c r="AC114" i="1"/>
  <c r="AD114" i="1" s="1"/>
  <c r="AA114" i="1"/>
  <c r="X114" i="1"/>
  <c r="W114" i="1"/>
  <c r="U114" i="1"/>
  <c r="R114" i="1"/>
  <c r="O114" i="1"/>
  <c r="N114" i="1"/>
  <c r="L114" i="1"/>
  <c r="I114" i="1"/>
  <c r="H114" i="1"/>
  <c r="F114" i="1"/>
  <c r="C114" i="1"/>
  <c r="AC113" i="1"/>
  <c r="AD113" i="1" s="1"/>
  <c r="AA113" i="1"/>
  <c r="W113" i="1"/>
  <c r="X113" i="1" s="1"/>
  <c r="U113" i="1"/>
  <c r="R113" i="1"/>
  <c r="N113" i="1"/>
  <c r="O113" i="1" s="1"/>
  <c r="L113" i="1"/>
  <c r="H113" i="1"/>
  <c r="I113" i="1" s="1"/>
  <c r="F113" i="1"/>
  <c r="C113" i="1"/>
  <c r="AC112" i="1"/>
  <c r="AA112" i="1"/>
  <c r="W112" i="1"/>
  <c r="X112" i="1" s="1"/>
  <c r="U112" i="1"/>
  <c r="R112" i="1"/>
  <c r="O112" i="1"/>
  <c r="N112" i="1"/>
  <c r="L112" i="1"/>
  <c r="H112" i="1"/>
  <c r="I112" i="1" s="1"/>
  <c r="F112" i="1"/>
  <c r="C112" i="1"/>
  <c r="AC111" i="1"/>
  <c r="AD111" i="1" s="1"/>
  <c r="AA111" i="1"/>
  <c r="W111" i="1"/>
  <c r="X111" i="1" s="1"/>
  <c r="U111" i="1"/>
  <c r="R111" i="1"/>
  <c r="N111" i="1"/>
  <c r="O111" i="1" s="1"/>
  <c r="L111" i="1"/>
  <c r="H111" i="1"/>
  <c r="I111" i="1" s="1"/>
  <c r="F111" i="1"/>
  <c r="C111" i="1"/>
  <c r="AC110" i="1"/>
  <c r="AD110" i="1" s="1"/>
  <c r="AA110" i="1"/>
  <c r="X110" i="1"/>
  <c r="W110" i="1"/>
  <c r="U110" i="1"/>
  <c r="R110" i="1"/>
  <c r="N110" i="1"/>
  <c r="O110" i="1" s="1"/>
  <c r="L110" i="1"/>
  <c r="H110" i="1"/>
  <c r="I110" i="1" s="1"/>
  <c r="F110" i="1"/>
  <c r="C110" i="1"/>
  <c r="AC109" i="1"/>
  <c r="AD109" i="1" s="1"/>
  <c r="AA109" i="1"/>
  <c r="X109" i="1"/>
  <c r="W109" i="1"/>
  <c r="U109" i="1"/>
  <c r="R109" i="1"/>
  <c r="N109" i="1"/>
  <c r="O109" i="1" s="1"/>
  <c r="L109" i="1"/>
  <c r="H109" i="1"/>
  <c r="I109" i="1" s="1"/>
  <c r="F109" i="1"/>
  <c r="C109" i="1"/>
  <c r="AC108" i="1"/>
  <c r="AD108" i="1" s="1"/>
  <c r="AA108" i="1"/>
  <c r="W108" i="1"/>
  <c r="X108" i="1" s="1"/>
  <c r="U108" i="1"/>
  <c r="R108" i="1"/>
  <c r="O108" i="1"/>
  <c r="N108" i="1"/>
  <c r="L108" i="1"/>
  <c r="H108" i="1"/>
  <c r="I108" i="1" s="1"/>
  <c r="F108" i="1"/>
  <c r="C108" i="1"/>
  <c r="AD107" i="1"/>
  <c r="AC107" i="1"/>
  <c r="AA107" i="1"/>
  <c r="X107" i="1"/>
  <c r="W107" i="1"/>
  <c r="U107" i="1"/>
  <c r="R107" i="1"/>
  <c r="N107" i="1"/>
  <c r="O107" i="1" s="1"/>
  <c r="L107" i="1"/>
  <c r="H107" i="1"/>
  <c r="I107" i="1" s="1"/>
  <c r="F107" i="1"/>
  <c r="C107" i="1"/>
  <c r="AC106" i="1"/>
  <c r="AD106" i="1" s="1"/>
  <c r="AA106" i="1"/>
  <c r="X106" i="1"/>
  <c r="W106" i="1"/>
  <c r="U106" i="1"/>
  <c r="R106" i="1"/>
  <c r="N106" i="1"/>
  <c r="O106" i="1" s="1"/>
  <c r="L106" i="1"/>
  <c r="H106" i="1"/>
  <c r="I106" i="1" s="1"/>
  <c r="F106" i="1"/>
  <c r="C106" i="1"/>
  <c r="AD105" i="1"/>
  <c r="AC105" i="1"/>
  <c r="AA105" i="1"/>
  <c r="W105" i="1"/>
  <c r="X105" i="1" s="1"/>
  <c r="U105" i="1"/>
  <c r="R105" i="1"/>
  <c r="N105" i="1"/>
  <c r="O105" i="1" s="1"/>
  <c r="L105" i="1"/>
  <c r="H105" i="1"/>
  <c r="I105" i="1" s="1"/>
  <c r="F105" i="1"/>
  <c r="C105" i="1"/>
  <c r="AC104" i="1"/>
  <c r="AA104" i="1"/>
  <c r="X104" i="1"/>
  <c r="W104" i="1"/>
  <c r="U104" i="1"/>
  <c r="R104" i="1"/>
  <c r="O104" i="1"/>
  <c r="N104" i="1"/>
  <c r="L104" i="1"/>
  <c r="H104" i="1"/>
  <c r="I104" i="1" s="1"/>
  <c r="F104" i="1"/>
  <c r="C104" i="1"/>
  <c r="AC103" i="1"/>
  <c r="AD103" i="1" s="1"/>
  <c r="AA103" i="1"/>
  <c r="W103" i="1"/>
  <c r="X103" i="1" s="1"/>
  <c r="U103" i="1"/>
  <c r="R103" i="1"/>
  <c r="N103" i="1"/>
  <c r="O103" i="1" s="1"/>
  <c r="L103" i="1"/>
  <c r="H103" i="1"/>
  <c r="I103" i="1" s="1"/>
  <c r="F103" i="1"/>
  <c r="C103" i="1"/>
  <c r="AD102" i="1"/>
  <c r="AC102" i="1"/>
  <c r="AA102" i="1"/>
  <c r="X102" i="1"/>
  <c r="W102" i="1"/>
  <c r="U102" i="1"/>
  <c r="R102" i="1"/>
  <c r="N102" i="1"/>
  <c r="O102" i="1" s="1"/>
  <c r="L102" i="1"/>
  <c r="H102" i="1"/>
  <c r="I102" i="1" s="1"/>
  <c r="F102" i="1"/>
  <c r="C102" i="1"/>
  <c r="AC101" i="1"/>
  <c r="AD101" i="1" s="1"/>
  <c r="AA101" i="1"/>
  <c r="W101" i="1"/>
  <c r="X101" i="1" s="1"/>
  <c r="U101" i="1"/>
  <c r="R101" i="1"/>
  <c r="O101" i="1"/>
  <c r="N101" i="1"/>
  <c r="L101" i="1"/>
  <c r="I101" i="1"/>
  <c r="H101" i="1"/>
  <c r="F101" i="1"/>
  <c r="C101" i="1"/>
  <c r="AC100" i="1"/>
  <c r="AD100" i="1" s="1"/>
  <c r="AA100" i="1"/>
  <c r="W100" i="1"/>
  <c r="X100" i="1" s="1"/>
  <c r="U100" i="1"/>
  <c r="R100" i="1"/>
  <c r="O100" i="1"/>
  <c r="N100" i="1"/>
  <c r="L100" i="1"/>
  <c r="I100" i="1"/>
  <c r="H100" i="1"/>
  <c r="F100" i="1"/>
  <c r="C100" i="1"/>
  <c r="AC99" i="1"/>
  <c r="AD99" i="1" s="1"/>
  <c r="AA99" i="1"/>
  <c r="W99" i="1"/>
  <c r="X99" i="1" s="1"/>
  <c r="U99" i="1"/>
  <c r="R99" i="1"/>
  <c r="O99" i="1"/>
  <c r="N99" i="1"/>
  <c r="L99" i="1"/>
  <c r="H99" i="1"/>
  <c r="I99" i="1" s="1"/>
  <c r="F99" i="1"/>
  <c r="C99" i="1"/>
  <c r="AC98" i="1"/>
  <c r="AD98" i="1" s="1"/>
  <c r="AA98" i="1"/>
  <c r="X98" i="1"/>
  <c r="W98" i="1"/>
  <c r="U98" i="1"/>
  <c r="R98" i="1"/>
  <c r="O98" i="1"/>
  <c r="N98" i="1"/>
  <c r="L98" i="1"/>
  <c r="I98" i="1"/>
  <c r="H98" i="1"/>
  <c r="F98" i="1"/>
  <c r="C98" i="1"/>
  <c r="AC97" i="1"/>
  <c r="AD97" i="1" s="1"/>
  <c r="AA97" i="1"/>
  <c r="W97" i="1"/>
  <c r="X97" i="1" s="1"/>
  <c r="U97" i="1"/>
  <c r="R97" i="1"/>
  <c r="N97" i="1"/>
  <c r="O97" i="1" s="1"/>
  <c r="L97" i="1"/>
  <c r="H97" i="1"/>
  <c r="I97" i="1" s="1"/>
  <c r="F97" i="1"/>
  <c r="C97" i="1"/>
  <c r="AC96" i="1"/>
  <c r="AA96" i="1"/>
  <c r="W96" i="1"/>
  <c r="X96" i="1" s="1"/>
  <c r="U96" i="1"/>
  <c r="R96" i="1"/>
  <c r="O96" i="1"/>
  <c r="N96" i="1"/>
  <c r="L96" i="1"/>
  <c r="H96" i="1"/>
  <c r="I96" i="1" s="1"/>
  <c r="F96" i="1"/>
  <c r="C96" i="1"/>
  <c r="AC95" i="1"/>
  <c r="AD95" i="1" s="1"/>
  <c r="AA95" i="1"/>
  <c r="W95" i="1"/>
  <c r="X95" i="1" s="1"/>
  <c r="U95" i="1"/>
  <c r="R95" i="1"/>
  <c r="N95" i="1"/>
  <c r="O95" i="1" s="1"/>
  <c r="L95" i="1"/>
  <c r="H95" i="1"/>
  <c r="I95" i="1" s="1"/>
  <c r="F95" i="1"/>
  <c r="C95" i="1"/>
  <c r="AC94" i="1"/>
  <c r="AD94" i="1" s="1"/>
  <c r="AA94" i="1"/>
  <c r="X94" i="1"/>
  <c r="W94" i="1"/>
  <c r="U94" i="1"/>
  <c r="R94" i="1"/>
  <c r="N94" i="1"/>
  <c r="O94" i="1" s="1"/>
  <c r="L94" i="1"/>
  <c r="H94" i="1"/>
  <c r="I94" i="1" s="1"/>
  <c r="F94" i="1"/>
  <c r="C94" i="1"/>
  <c r="AC92" i="1"/>
  <c r="AD92" i="1" s="1"/>
  <c r="AA92" i="1"/>
  <c r="X92" i="1"/>
  <c r="W92" i="1"/>
  <c r="U92" i="1"/>
  <c r="R92" i="1"/>
  <c r="N92" i="1"/>
  <c r="O92" i="1" s="1"/>
  <c r="L92" i="1"/>
  <c r="H92" i="1"/>
  <c r="I92" i="1" s="1"/>
  <c r="F92" i="1"/>
  <c r="C92" i="1"/>
  <c r="AC91" i="1"/>
  <c r="AD91" i="1" s="1"/>
  <c r="AA91" i="1"/>
  <c r="W91" i="1"/>
  <c r="X91" i="1" s="1"/>
  <c r="U91" i="1"/>
  <c r="R91" i="1"/>
  <c r="O91" i="1"/>
  <c r="N91" i="1"/>
  <c r="L91" i="1"/>
  <c r="H91" i="1"/>
  <c r="I91" i="1" s="1"/>
  <c r="F91" i="1"/>
  <c r="C91" i="1"/>
  <c r="AD90" i="1"/>
  <c r="AC90" i="1"/>
  <c r="AA90" i="1"/>
  <c r="X90" i="1"/>
  <c r="W90" i="1"/>
  <c r="U90" i="1"/>
  <c r="R90" i="1"/>
  <c r="N90" i="1"/>
  <c r="O90" i="1" s="1"/>
  <c r="L90" i="1"/>
  <c r="H90" i="1"/>
  <c r="I90" i="1" s="1"/>
  <c r="F90" i="1"/>
  <c r="C90" i="1"/>
  <c r="AC89" i="1"/>
  <c r="AD89" i="1" s="1"/>
  <c r="AA89" i="1"/>
  <c r="X89" i="1"/>
  <c r="W89" i="1"/>
  <c r="U89" i="1"/>
  <c r="R89" i="1"/>
  <c r="N89" i="1"/>
  <c r="O89" i="1" s="1"/>
  <c r="L89" i="1"/>
  <c r="H89" i="1"/>
  <c r="I89" i="1" s="1"/>
  <c r="F89" i="1"/>
  <c r="C89" i="1"/>
  <c r="Z88" i="1"/>
  <c r="AA88" i="1" s="1"/>
  <c r="T88" i="1"/>
  <c r="U88" i="1" s="1"/>
  <c r="Q88" i="1"/>
  <c r="AC88" i="1" s="1"/>
  <c r="AD88" i="1" s="1"/>
  <c r="K88" i="1"/>
  <c r="L88" i="1" s="1"/>
  <c r="H88" i="1"/>
  <c r="I88" i="1" s="1"/>
  <c r="E88" i="1"/>
  <c r="F88" i="1" s="1"/>
  <c r="C88" i="1"/>
  <c r="B88" i="1"/>
  <c r="AC87" i="1"/>
  <c r="AD87" i="1" s="1"/>
  <c r="AA87" i="1"/>
  <c r="X87" i="1"/>
  <c r="W87" i="1"/>
  <c r="U87" i="1"/>
  <c r="R87" i="1"/>
  <c r="N87" i="1"/>
  <c r="O87" i="1" s="1"/>
  <c r="L87" i="1"/>
  <c r="H87" i="1"/>
  <c r="I87" i="1" s="1"/>
  <c r="F87" i="1"/>
  <c r="C87" i="1"/>
  <c r="AC86" i="1"/>
  <c r="AD86" i="1" s="1"/>
  <c r="AA86" i="1"/>
  <c r="X86" i="1"/>
  <c r="W86" i="1"/>
  <c r="U86" i="1"/>
  <c r="R86" i="1"/>
  <c r="N86" i="1"/>
  <c r="O86" i="1" s="1"/>
  <c r="L86" i="1"/>
  <c r="H86" i="1"/>
  <c r="I86" i="1" s="1"/>
  <c r="F86" i="1"/>
  <c r="C86" i="1"/>
  <c r="AD85" i="1"/>
  <c r="AC85" i="1"/>
  <c r="AA85" i="1"/>
  <c r="X85" i="1"/>
  <c r="W85" i="1"/>
  <c r="U85" i="1"/>
  <c r="R85" i="1"/>
  <c r="N85" i="1"/>
  <c r="O85" i="1" s="1"/>
  <c r="L85" i="1"/>
  <c r="H85" i="1"/>
  <c r="I85" i="1" s="1"/>
  <c r="F85" i="1"/>
  <c r="C85" i="1"/>
  <c r="AC84" i="1"/>
  <c r="AD84" i="1" s="1"/>
  <c r="AA84" i="1"/>
  <c r="X84" i="1"/>
  <c r="W84" i="1"/>
  <c r="U84" i="1"/>
  <c r="R84" i="1"/>
  <c r="O84" i="1"/>
  <c r="N84" i="1"/>
  <c r="L84" i="1"/>
  <c r="H84" i="1"/>
  <c r="I84" i="1" s="1"/>
  <c r="F84" i="1"/>
  <c r="C84" i="1"/>
  <c r="AD83" i="1"/>
  <c r="AC83" i="1"/>
  <c r="AA83" i="1"/>
  <c r="W83" i="1"/>
  <c r="X83" i="1" s="1"/>
  <c r="U83" i="1"/>
  <c r="R83" i="1"/>
  <c r="N83" i="1"/>
  <c r="O83" i="1" s="1"/>
  <c r="L83" i="1"/>
  <c r="H83" i="1"/>
  <c r="I83" i="1" s="1"/>
  <c r="F83" i="1"/>
  <c r="C83" i="1"/>
  <c r="AD82" i="1"/>
  <c r="AC82" i="1"/>
  <c r="AA82" i="1"/>
  <c r="X82" i="1"/>
  <c r="W82" i="1"/>
  <c r="U82" i="1"/>
  <c r="R82" i="1"/>
  <c r="N82" i="1"/>
  <c r="O82" i="1" s="1"/>
  <c r="L82" i="1"/>
  <c r="H82" i="1"/>
  <c r="I82" i="1" s="1"/>
  <c r="F82" i="1"/>
  <c r="C82" i="1"/>
  <c r="AC81" i="1"/>
  <c r="AD81" i="1" s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C80" i="1"/>
  <c r="AA80" i="1"/>
  <c r="W80" i="1"/>
  <c r="X80" i="1" s="1"/>
  <c r="U80" i="1"/>
  <c r="R80" i="1"/>
  <c r="O80" i="1"/>
  <c r="N80" i="1"/>
  <c r="L80" i="1"/>
  <c r="H80" i="1"/>
  <c r="I80" i="1" s="1"/>
  <c r="F80" i="1"/>
  <c r="C80" i="1"/>
  <c r="AC79" i="1"/>
  <c r="AD79" i="1" s="1"/>
  <c r="AA79" i="1"/>
  <c r="W79" i="1"/>
  <c r="X79" i="1" s="1"/>
  <c r="U79" i="1"/>
  <c r="R79" i="1"/>
  <c r="O79" i="1"/>
  <c r="N79" i="1"/>
  <c r="L79" i="1"/>
  <c r="H79" i="1"/>
  <c r="I79" i="1" s="1"/>
  <c r="F79" i="1"/>
  <c r="C79" i="1"/>
  <c r="AC78" i="1"/>
  <c r="AD78" i="1" s="1"/>
  <c r="AA78" i="1"/>
  <c r="X78" i="1"/>
  <c r="W78" i="1"/>
  <c r="U78" i="1"/>
  <c r="R78" i="1"/>
  <c r="N78" i="1"/>
  <c r="O78" i="1" s="1"/>
  <c r="L78" i="1"/>
  <c r="I78" i="1"/>
  <c r="H78" i="1"/>
  <c r="F78" i="1"/>
  <c r="C78" i="1"/>
  <c r="AC77" i="1"/>
  <c r="AD77" i="1" s="1"/>
  <c r="AA77" i="1"/>
  <c r="W77" i="1"/>
  <c r="X77" i="1" s="1"/>
  <c r="U77" i="1"/>
  <c r="R77" i="1"/>
  <c r="O77" i="1"/>
  <c r="N77" i="1"/>
  <c r="L77" i="1"/>
  <c r="H77" i="1"/>
  <c r="I77" i="1" s="1"/>
  <c r="F77" i="1"/>
  <c r="C77" i="1"/>
  <c r="AC76" i="1"/>
  <c r="AD76" i="1" s="1"/>
  <c r="AA76" i="1"/>
  <c r="W76" i="1"/>
  <c r="X76" i="1" s="1"/>
  <c r="U76" i="1"/>
  <c r="R76" i="1"/>
  <c r="O76" i="1"/>
  <c r="N76" i="1"/>
  <c r="L76" i="1"/>
  <c r="I76" i="1"/>
  <c r="H76" i="1"/>
  <c r="F76" i="1"/>
  <c r="C76" i="1"/>
  <c r="AC75" i="1"/>
  <c r="AD75" i="1" s="1"/>
  <c r="AA75" i="1"/>
  <c r="W75" i="1"/>
  <c r="X75" i="1" s="1"/>
  <c r="U75" i="1"/>
  <c r="R75" i="1"/>
  <c r="N75" i="1"/>
  <c r="O75" i="1" s="1"/>
  <c r="L75" i="1"/>
  <c r="H75" i="1"/>
  <c r="I75" i="1" s="1"/>
  <c r="F75" i="1"/>
  <c r="C75" i="1"/>
  <c r="Z73" i="1"/>
  <c r="AC73" i="1" s="1"/>
  <c r="AD73" i="1" s="1"/>
  <c r="W73" i="1"/>
  <c r="X73" i="1" s="1"/>
  <c r="T73" i="1"/>
  <c r="U73" i="1" s="1"/>
  <c r="R73" i="1"/>
  <c r="Q73" i="1"/>
  <c r="K73" i="1"/>
  <c r="L73" i="1" s="1"/>
  <c r="E73" i="1"/>
  <c r="F73" i="1" s="1"/>
  <c r="B73" i="1"/>
  <c r="C73" i="1" s="1"/>
  <c r="AC72" i="1"/>
  <c r="AD72" i="1" s="1"/>
  <c r="AA72" i="1"/>
  <c r="X72" i="1"/>
  <c r="W72" i="1"/>
  <c r="U72" i="1"/>
  <c r="R72" i="1"/>
  <c r="O72" i="1"/>
  <c r="N72" i="1"/>
  <c r="L72" i="1"/>
  <c r="H72" i="1"/>
  <c r="I72" i="1" s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H71" i="1"/>
  <c r="I71" i="1" s="1"/>
  <c r="F71" i="1"/>
  <c r="C71" i="1"/>
  <c r="AD70" i="1"/>
  <c r="AC70" i="1"/>
  <c r="AA70" i="1"/>
  <c r="X70" i="1"/>
  <c r="W70" i="1"/>
  <c r="U70" i="1"/>
  <c r="R70" i="1"/>
  <c r="N70" i="1"/>
  <c r="O70" i="1" s="1"/>
  <c r="L70" i="1"/>
  <c r="H70" i="1"/>
  <c r="I70" i="1" s="1"/>
  <c r="F70" i="1"/>
  <c r="C70" i="1"/>
  <c r="AC69" i="1"/>
  <c r="AD69" i="1" s="1"/>
  <c r="AA69" i="1"/>
  <c r="W69" i="1"/>
  <c r="X69" i="1" s="1"/>
  <c r="U69" i="1"/>
  <c r="R69" i="1"/>
  <c r="N69" i="1"/>
  <c r="O69" i="1" s="1"/>
  <c r="L69" i="1"/>
  <c r="I69" i="1"/>
  <c r="H69" i="1"/>
  <c r="F69" i="1"/>
  <c r="C69" i="1"/>
  <c r="AC68" i="1"/>
  <c r="AA68" i="1"/>
  <c r="W68" i="1"/>
  <c r="X68" i="1" s="1"/>
  <c r="U68" i="1"/>
  <c r="R68" i="1"/>
  <c r="O68" i="1"/>
  <c r="N68" i="1"/>
  <c r="L68" i="1"/>
  <c r="H68" i="1"/>
  <c r="I68" i="1" s="1"/>
  <c r="F68" i="1"/>
  <c r="C68" i="1"/>
  <c r="AC67" i="1"/>
  <c r="AD67" i="1" s="1"/>
  <c r="AA67" i="1"/>
  <c r="W67" i="1"/>
  <c r="X67" i="1" s="1"/>
  <c r="U67" i="1"/>
  <c r="R67" i="1"/>
  <c r="O67" i="1"/>
  <c r="N67" i="1"/>
  <c r="L67" i="1"/>
  <c r="H67" i="1"/>
  <c r="I67" i="1" s="1"/>
  <c r="F67" i="1"/>
  <c r="C67" i="1"/>
  <c r="AC66" i="1"/>
  <c r="AD66" i="1" s="1"/>
  <c r="AA66" i="1"/>
  <c r="X66" i="1"/>
  <c r="W66" i="1"/>
  <c r="U66" i="1"/>
  <c r="R66" i="1"/>
  <c r="N66" i="1"/>
  <c r="O66" i="1" s="1"/>
  <c r="L66" i="1"/>
  <c r="I66" i="1"/>
  <c r="H66" i="1"/>
  <c r="F66" i="1"/>
  <c r="C66" i="1"/>
  <c r="AC65" i="1"/>
  <c r="AD65" i="1" s="1"/>
  <c r="AA65" i="1"/>
  <c r="W65" i="1"/>
  <c r="X65" i="1" s="1"/>
  <c r="U65" i="1"/>
  <c r="R65" i="1"/>
  <c r="O65" i="1"/>
  <c r="N65" i="1"/>
  <c r="L65" i="1"/>
  <c r="H65" i="1"/>
  <c r="I65" i="1" s="1"/>
  <c r="F65" i="1"/>
  <c r="C65" i="1"/>
  <c r="AC64" i="1"/>
  <c r="AD64" i="1" s="1"/>
  <c r="AA64" i="1"/>
  <c r="W64" i="1"/>
  <c r="X64" i="1" s="1"/>
  <c r="U64" i="1"/>
  <c r="R64" i="1"/>
  <c r="O64" i="1"/>
  <c r="N64" i="1"/>
  <c r="L64" i="1"/>
  <c r="I64" i="1"/>
  <c r="H64" i="1"/>
  <c r="F64" i="1"/>
  <c r="C64" i="1"/>
  <c r="Z62" i="1"/>
  <c r="AA62" i="1" s="1"/>
  <c r="T62" i="1"/>
  <c r="U62" i="1" s="1"/>
  <c r="Q62" i="1"/>
  <c r="W62" i="1" s="1"/>
  <c r="X62" i="1" s="1"/>
  <c r="L62" i="1"/>
  <c r="K62" i="1"/>
  <c r="E62" i="1"/>
  <c r="F62" i="1" s="1"/>
  <c r="B62" i="1"/>
  <c r="H62" i="1" s="1"/>
  <c r="I62" i="1" s="1"/>
  <c r="Z61" i="1"/>
  <c r="AA61" i="1" s="1"/>
  <c r="W61" i="1"/>
  <c r="X61" i="1" s="1"/>
  <c r="T61" i="1"/>
  <c r="U61" i="1" s="1"/>
  <c r="R61" i="1"/>
  <c r="Q61" i="1"/>
  <c r="AC61" i="1" s="1"/>
  <c r="AD61" i="1" s="1"/>
  <c r="K61" i="1"/>
  <c r="L61" i="1" s="1"/>
  <c r="H61" i="1"/>
  <c r="I61" i="1" s="1"/>
  <c r="F61" i="1"/>
  <c r="E61" i="1"/>
  <c r="B61" i="1"/>
  <c r="C61" i="1" s="1"/>
  <c r="AC60" i="1"/>
  <c r="AD60" i="1" s="1"/>
  <c r="AA60" i="1"/>
  <c r="W60" i="1"/>
  <c r="X60" i="1" s="1"/>
  <c r="U60" i="1"/>
  <c r="R60" i="1"/>
  <c r="N60" i="1"/>
  <c r="O60" i="1" s="1"/>
  <c r="L60" i="1"/>
  <c r="H60" i="1"/>
  <c r="I60" i="1" s="1"/>
  <c r="F60" i="1"/>
  <c r="C60" i="1"/>
  <c r="AC59" i="1"/>
  <c r="AD59" i="1" s="1"/>
  <c r="AA59" i="1"/>
  <c r="X59" i="1"/>
  <c r="W59" i="1"/>
  <c r="U59" i="1"/>
  <c r="R59" i="1"/>
  <c r="N59" i="1"/>
  <c r="O59" i="1" s="1"/>
  <c r="L59" i="1"/>
  <c r="H59" i="1"/>
  <c r="I59" i="1" s="1"/>
  <c r="F59" i="1"/>
  <c r="C59" i="1"/>
  <c r="AD58" i="1"/>
  <c r="AC58" i="1"/>
  <c r="AA58" i="1"/>
  <c r="W58" i="1"/>
  <c r="X58" i="1" s="1"/>
  <c r="U58" i="1"/>
  <c r="R58" i="1"/>
  <c r="N58" i="1"/>
  <c r="O58" i="1" s="1"/>
  <c r="L58" i="1"/>
  <c r="H58" i="1"/>
  <c r="I58" i="1" s="1"/>
  <c r="F58" i="1"/>
  <c r="C58" i="1"/>
  <c r="AC57" i="1"/>
  <c r="AD57" i="1" s="1"/>
  <c r="AA57" i="1"/>
  <c r="W57" i="1"/>
  <c r="X57" i="1" s="1"/>
  <c r="U57" i="1"/>
  <c r="R57" i="1"/>
  <c r="O57" i="1"/>
  <c r="N57" i="1"/>
  <c r="L57" i="1"/>
  <c r="I57" i="1"/>
  <c r="H57" i="1"/>
  <c r="F57" i="1"/>
  <c r="C57" i="1"/>
  <c r="AC56" i="1"/>
  <c r="AD56" i="1" s="1"/>
  <c r="AA56" i="1"/>
  <c r="W56" i="1"/>
  <c r="X56" i="1" s="1"/>
  <c r="U56" i="1"/>
  <c r="R56" i="1"/>
  <c r="N56" i="1"/>
  <c r="O56" i="1" s="1"/>
  <c r="L56" i="1"/>
  <c r="H56" i="1"/>
  <c r="I56" i="1" s="1"/>
  <c r="F56" i="1"/>
  <c r="C56" i="1"/>
  <c r="AC55" i="1"/>
  <c r="AD55" i="1" s="1"/>
  <c r="AA55" i="1"/>
  <c r="X55" i="1"/>
  <c r="W55" i="1"/>
  <c r="U55" i="1"/>
  <c r="R55" i="1"/>
  <c r="N55" i="1"/>
  <c r="O55" i="1" s="1"/>
  <c r="L55" i="1"/>
  <c r="H55" i="1"/>
  <c r="I55" i="1" s="1"/>
  <c r="F55" i="1"/>
  <c r="C55" i="1"/>
  <c r="AD54" i="1"/>
  <c r="AC54" i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C53" i="1"/>
  <c r="AD53" i="1" s="1"/>
  <c r="AA53" i="1"/>
  <c r="W53" i="1"/>
  <c r="X53" i="1" s="1"/>
  <c r="U53" i="1"/>
  <c r="R53" i="1"/>
  <c r="O53" i="1"/>
  <c r="N53" i="1"/>
  <c r="L53" i="1"/>
  <c r="I53" i="1"/>
  <c r="H53" i="1"/>
  <c r="F53" i="1"/>
  <c r="C53" i="1"/>
  <c r="AC52" i="1"/>
  <c r="AD52" i="1" s="1"/>
  <c r="AA52" i="1"/>
  <c r="W52" i="1"/>
  <c r="X52" i="1" s="1"/>
  <c r="U52" i="1"/>
  <c r="R52" i="1"/>
  <c r="N52" i="1"/>
  <c r="O52" i="1" s="1"/>
  <c r="L52" i="1"/>
  <c r="H52" i="1"/>
  <c r="I52" i="1" s="1"/>
  <c r="F52" i="1"/>
  <c r="C52" i="1"/>
  <c r="AC51" i="1"/>
  <c r="AD51" i="1" s="1"/>
  <c r="AA51" i="1"/>
  <c r="X51" i="1"/>
  <c r="W51" i="1"/>
  <c r="U51" i="1"/>
  <c r="R51" i="1"/>
  <c r="N51" i="1"/>
  <c r="O51" i="1" s="1"/>
  <c r="L51" i="1"/>
  <c r="H51" i="1"/>
  <c r="I51" i="1" s="1"/>
  <c r="F51" i="1"/>
  <c r="C51" i="1"/>
  <c r="AD50" i="1"/>
  <c r="AC50" i="1"/>
  <c r="AA50" i="1"/>
  <c r="W50" i="1"/>
  <c r="X50" i="1" s="1"/>
  <c r="U50" i="1"/>
  <c r="R50" i="1"/>
  <c r="N50" i="1"/>
  <c r="O50" i="1" s="1"/>
  <c r="L50" i="1"/>
  <c r="H50" i="1"/>
  <c r="I50" i="1" s="1"/>
  <c r="F50" i="1"/>
  <c r="C50" i="1"/>
  <c r="AC49" i="1"/>
  <c r="AD49" i="1" s="1"/>
  <c r="AA49" i="1"/>
  <c r="W49" i="1"/>
  <c r="X49" i="1" s="1"/>
  <c r="U49" i="1"/>
  <c r="R49" i="1"/>
  <c r="O49" i="1"/>
  <c r="N49" i="1"/>
  <c r="L49" i="1"/>
  <c r="I49" i="1"/>
  <c r="H49" i="1"/>
  <c r="F49" i="1"/>
  <c r="C49" i="1"/>
  <c r="AC48" i="1"/>
  <c r="AD48" i="1" s="1"/>
  <c r="AA48" i="1"/>
  <c r="W48" i="1"/>
  <c r="X48" i="1" s="1"/>
  <c r="U48" i="1"/>
  <c r="R48" i="1"/>
  <c r="N48" i="1"/>
  <c r="O48" i="1" s="1"/>
  <c r="L48" i="1"/>
  <c r="H48" i="1"/>
  <c r="I48" i="1" s="1"/>
  <c r="F48" i="1"/>
  <c r="C48" i="1"/>
  <c r="AC47" i="1"/>
  <c r="AD47" i="1" s="1"/>
  <c r="AA47" i="1"/>
  <c r="X47" i="1"/>
  <c r="W47" i="1"/>
  <c r="U47" i="1"/>
  <c r="R47" i="1"/>
  <c r="N47" i="1"/>
  <c r="O47" i="1" s="1"/>
  <c r="L47" i="1"/>
  <c r="H47" i="1"/>
  <c r="I47" i="1" s="1"/>
  <c r="F47" i="1"/>
  <c r="C47" i="1"/>
  <c r="AD46" i="1"/>
  <c r="AC46" i="1"/>
  <c r="AA46" i="1"/>
  <c r="W46" i="1"/>
  <c r="X46" i="1" s="1"/>
  <c r="U46" i="1"/>
  <c r="R46" i="1"/>
  <c r="N46" i="1"/>
  <c r="O46" i="1" s="1"/>
  <c r="L46" i="1"/>
  <c r="H46" i="1"/>
  <c r="I46" i="1" s="1"/>
  <c r="F46" i="1"/>
  <c r="C46" i="1"/>
  <c r="AC44" i="1"/>
  <c r="AD44" i="1" s="1"/>
  <c r="AA44" i="1"/>
  <c r="W44" i="1"/>
  <c r="X44" i="1" s="1"/>
  <c r="U44" i="1"/>
  <c r="R44" i="1"/>
  <c r="O44" i="1"/>
  <c r="N44" i="1"/>
  <c r="L44" i="1"/>
  <c r="I44" i="1"/>
  <c r="H44" i="1"/>
  <c r="F44" i="1"/>
  <c r="C44" i="1"/>
  <c r="AC43" i="1"/>
  <c r="AD43" i="1" s="1"/>
  <c r="AA43" i="1"/>
  <c r="W43" i="1"/>
  <c r="X43" i="1" s="1"/>
  <c r="U43" i="1"/>
  <c r="R43" i="1"/>
  <c r="N43" i="1"/>
  <c r="O43" i="1" s="1"/>
  <c r="L43" i="1"/>
  <c r="H43" i="1"/>
  <c r="I43" i="1" s="1"/>
  <c r="F43" i="1"/>
  <c r="C43" i="1"/>
  <c r="AC42" i="1"/>
  <c r="AD42" i="1" s="1"/>
  <c r="AA42" i="1"/>
  <c r="X42" i="1"/>
  <c r="W42" i="1"/>
  <c r="U42" i="1"/>
  <c r="R42" i="1"/>
  <c r="N42" i="1"/>
  <c r="O42" i="1" s="1"/>
  <c r="L42" i="1"/>
  <c r="H42" i="1"/>
  <c r="I42" i="1" s="1"/>
  <c r="F42" i="1"/>
  <c r="C42" i="1"/>
  <c r="Z40" i="1"/>
  <c r="AA40" i="1" s="1"/>
  <c r="W40" i="1"/>
  <c r="X40" i="1" s="1"/>
  <c r="T40" i="1"/>
  <c r="U40" i="1" s="1"/>
  <c r="R40" i="1"/>
  <c r="Q40" i="1"/>
  <c r="AC40" i="1" s="1"/>
  <c r="AD40" i="1" s="1"/>
  <c r="K40" i="1"/>
  <c r="L40" i="1" s="1"/>
  <c r="H40" i="1"/>
  <c r="I40" i="1" s="1"/>
  <c r="F40" i="1"/>
  <c r="E40" i="1"/>
  <c r="B40" i="1"/>
  <c r="C40" i="1" s="1"/>
  <c r="AC39" i="1"/>
  <c r="AD39" i="1" s="1"/>
  <c r="AA39" i="1"/>
  <c r="W39" i="1"/>
  <c r="X39" i="1" s="1"/>
  <c r="U39" i="1"/>
  <c r="R39" i="1"/>
  <c r="N39" i="1"/>
  <c r="O39" i="1" s="1"/>
  <c r="L39" i="1"/>
  <c r="H39" i="1"/>
  <c r="I39" i="1" s="1"/>
  <c r="F39" i="1"/>
  <c r="C39" i="1"/>
  <c r="AC38" i="1"/>
  <c r="AD38" i="1" s="1"/>
  <c r="AA38" i="1"/>
  <c r="X38" i="1"/>
  <c r="W38" i="1"/>
  <c r="U38" i="1"/>
  <c r="R38" i="1"/>
  <c r="N38" i="1"/>
  <c r="O38" i="1" s="1"/>
  <c r="L38" i="1"/>
  <c r="H38" i="1"/>
  <c r="I38" i="1" s="1"/>
  <c r="F38" i="1"/>
  <c r="C38" i="1"/>
  <c r="AD37" i="1"/>
  <c r="AC37" i="1"/>
  <c r="AA37" i="1"/>
  <c r="W37" i="1"/>
  <c r="X37" i="1" s="1"/>
  <c r="U37" i="1"/>
  <c r="R37" i="1"/>
  <c r="N37" i="1"/>
  <c r="O37" i="1" s="1"/>
  <c r="L37" i="1"/>
  <c r="H37" i="1"/>
  <c r="I37" i="1" s="1"/>
  <c r="F37" i="1"/>
  <c r="C37" i="1"/>
  <c r="AC36" i="1"/>
  <c r="AD36" i="1" s="1"/>
  <c r="AA36" i="1"/>
  <c r="W36" i="1"/>
  <c r="X36" i="1" s="1"/>
  <c r="U36" i="1"/>
  <c r="R36" i="1"/>
  <c r="O36" i="1"/>
  <c r="N36" i="1"/>
  <c r="L36" i="1"/>
  <c r="I36" i="1"/>
  <c r="H36" i="1"/>
  <c r="F36" i="1"/>
  <c r="C36" i="1"/>
  <c r="AC35" i="1"/>
  <c r="AD35" i="1" s="1"/>
  <c r="AA35" i="1"/>
  <c r="W35" i="1"/>
  <c r="X35" i="1" s="1"/>
  <c r="U35" i="1"/>
  <c r="R35" i="1"/>
  <c r="N35" i="1"/>
  <c r="O35" i="1" s="1"/>
  <c r="L35" i="1"/>
  <c r="H35" i="1"/>
  <c r="I35" i="1" s="1"/>
  <c r="F35" i="1"/>
  <c r="C35" i="1"/>
  <c r="AC34" i="1"/>
  <c r="AD34" i="1" s="1"/>
  <c r="AA34" i="1"/>
  <c r="X34" i="1"/>
  <c r="W34" i="1"/>
  <c r="U34" i="1"/>
  <c r="R34" i="1"/>
  <c r="N34" i="1"/>
  <c r="O34" i="1" s="1"/>
  <c r="L34" i="1"/>
  <c r="H34" i="1"/>
  <c r="I34" i="1" s="1"/>
  <c r="F34" i="1"/>
  <c r="C34" i="1"/>
  <c r="AD33" i="1"/>
  <c r="AC33" i="1"/>
  <c r="AA33" i="1"/>
  <c r="W33" i="1"/>
  <c r="X33" i="1" s="1"/>
  <c r="U33" i="1"/>
  <c r="R33" i="1"/>
  <c r="N33" i="1"/>
  <c r="O33" i="1" s="1"/>
  <c r="L33" i="1"/>
  <c r="H33" i="1"/>
  <c r="I33" i="1" s="1"/>
  <c r="F33" i="1"/>
  <c r="C33" i="1"/>
  <c r="AC32" i="1"/>
  <c r="AD32" i="1" s="1"/>
  <c r="AA32" i="1"/>
  <c r="W32" i="1"/>
  <c r="X32" i="1" s="1"/>
  <c r="U32" i="1"/>
  <c r="R32" i="1"/>
  <c r="O32" i="1"/>
  <c r="N32" i="1"/>
  <c r="L32" i="1"/>
  <c r="I32" i="1"/>
  <c r="H32" i="1"/>
  <c r="F32" i="1"/>
  <c r="C32" i="1"/>
  <c r="AC31" i="1"/>
  <c r="AD31" i="1" s="1"/>
  <c r="AA31" i="1"/>
  <c r="W31" i="1"/>
  <c r="X31" i="1" s="1"/>
  <c r="U31" i="1"/>
  <c r="R31" i="1"/>
  <c r="N31" i="1"/>
  <c r="O31" i="1" s="1"/>
  <c r="L31" i="1"/>
  <c r="H31" i="1"/>
  <c r="I31" i="1" s="1"/>
  <c r="F31" i="1"/>
  <c r="C31" i="1"/>
  <c r="Z29" i="1"/>
  <c r="AA29" i="1" s="1"/>
  <c r="W29" i="1"/>
  <c r="X29" i="1" s="1"/>
  <c r="U29" i="1"/>
  <c r="T29" i="1"/>
  <c r="Q29" i="1"/>
  <c r="R29" i="1" s="1"/>
  <c r="K29" i="1"/>
  <c r="L29" i="1" s="1"/>
  <c r="E29" i="1"/>
  <c r="F29" i="1" s="1"/>
  <c r="B29" i="1"/>
  <c r="H29" i="1" s="1"/>
  <c r="I29" i="1" s="1"/>
  <c r="AC28" i="1"/>
  <c r="AD28" i="1" s="1"/>
  <c r="AA28" i="1"/>
  <c r="W28" i="1"/>
  <c r="X28" i="1" s="1"/>
  <c r="U28" i="1"/>
  <c r="R28" i="1"/>
  <c r="O28" i="1"/>
  <c r="N28" i="1"/>
  <c r="L28" i="1"/>
  <c r="I28" i="1"/>
  <c r="H28" i="1"/>
  <c r="F28" i="1"/>
  <c r="C28" i="1"/>
  <c r="AC27" i="1"/>
  <c r="AD27" i="1" s="1"/>
  <c r="AA27" i="1"/>
  <c r="W27" i="1"/>
  <c r="X27" i="1" s="1"/>
  <c r="U27" i="1"/>
  <c r="R27" i="1"/>
  <c r="N27" i="1"/>
  <c r="O27" i="1" s="1"/>
  <c r="L27" i="1"/>
  <c r="H27" i="1"/>
  <c r="I27" i="1" s="1"/>
  <c r="F27" i="1"/>
  <c r="C27" i="1"/>
  <c r="AC26" i="1"/>
  <c r="AD26" i="1" s="1"/>
  <c r="AA26" i="1"/>
  <c r="X26" i="1"/>
  <c r="W26" i="1"/>
  <c r="U26" i="1"/>
  <c r="R26" i="1"/>
  <c r="N26" i="1"/>
  <c r="O26" i="1" s="1"/>
  <c r="L26" i="1"/>
  <c r="H26" i="1"/>
  <c r="I26" i="1" s="1"/>
  <c r="F26" i="1"/>
  <c r="C26" i="1"/>
  <c r="AD25" i="1"/>
  <c r="AC25" i="1"/>
  <c r="AA25" i="1"/>
  <c r="W25" i="1"/>
  <c r="X25" i="1" s="1"/>
  <c r="U25" i="1"/>
  <c r="R25" i="1"/>
  <c r="N25" i="1"/>
  <c r="O25" i="1" s="1"/>
  <c r="L25" i="1"/>
  <c r="H25" i="1"/>
  <c r="I25" i="1" s="1"/>
  <c r="F25" i="1"/>
  <c r="C25" i="1"/>
  <c r="AC24" i="1"/>
  <c r="AD24" i="1" s="1"/>
  <c r="AA24" i="1"/>
  <c r="W24" i="1"/>
  <c r="X24" i="1" s="1"/>
  <c r="U24" i="1"/>
  <c r="R24" i="1"/>
  <c r="O24" i="1"/>
  <c r="N24" i="1"/>
  <c r="L24" i="1"/>
  <c r="I24" i="1"/>
  <c r="H24" i="1"/>
  <c r="F24" i="1"/>
  <c r="C24" i="1"/>
  <c r="AC23" i="1"/>
  <c r="AD23" i="1" s="1"/>
  <c r="AA23" i="1"/>
  <c r="W23" i="1"/>
  <c r="X23" i="1" s="1"/>
  <c r="U23" i="1"/>
  <c r="R23" i="1"/>
  <c r="N23" i="1"/>
  <c r="O23" i="1" s="1"/>
  <c r="L23" i="1"/>
  <c r="H23" i="1"/>
  <c r="I23" i="1" s="1"/>
  <c r="F23" i="1"/>
  <c r="C23" i="1"/>
  <c r="AC22" i="1"/>
  <c r="AD22" i="1" s="1"/>
  <c r="AA22" i="1"/>
  <c r="X22" i="1"/>
  <c r="W22" i="1"/>
  <c r="U22" i="1"/>
  <c r="R22" i="1"/>
  <c r="N22" i="1"/>
  <c r="O22" i="1" s="1"/>
  <c r="L22" i="1"/>
  <c r="H22" i="1"/>
  <c r="I22" i="1" s="1"/>
  <c r="F22" i="1"/>
  <c r="C22" i="1"/>
  <c r="AD21" i="1"/>
  <c r="AC21" i="1"/>
  <c r="AA21" i="1"/>
  <c r="W21" i="1"/>
  <c r="X21" i="1" s="1"/>
  <c r="U21" i="1"/>
  <c r="R21" i="1"/>
  <c r="N21" i="1"/>
  <c r="O21" i="1" s="1"/>
  <c r="L21" i="1"/>
  <c r="H21" i="1"/>
  <c r="I21" i="1" s="1"/>
  <c r="F21" i="1"/>
  <c r="C21" i="1"/>
  <c r="AC19" i="1"/>
  <c r="AD19" i="1" s="1"/>
  <c r="AA19" i="1"/>
  <c r="W19" i="1"/>
  <c r="X19" i="1" s="1"/>
  <c r="U19" i="1"/>
  <c r="R19" i="1"/>
  <c r="O19" i="1"/>
  <c r="N19" i="1"/>
  <c r="L19" i="1"/>
  <c r="I19" i="1"/>
  <c r="H19" i="1"/>
  <c r="F19" i="1"/>
  <c r="C19" i="1"/>
  <c r="Z18" i="1"/>
  <c r="AA18" i="1" s="1"/>
  <c r="T18" i="1"/>
  <c r="U18" i="1" s="1"/>
  <c r="Q18" i="1"/>
  <c r="W18" i="1" s="1"/>
  <c r="X18" i="1" s="1"/>
  <c r="L18" i="1"/>
  <c r="K18" i="1"/>
  <c r="E18" i="1"/>
  <c r="F18" i="1" s="1"/>
  <c r="B18" i="1"/>
  <c r="H18" i="1" s="1"/>
  <c r="I18" i="1" s="1"/>
  <c r="AD17" i="1"/>
  <c r="AC17" i="1"/>
  <c r="AA17" i="1"/>
  <c r="W17" i="1"/>
  <c r="X17" i="1" s="1"/>
  <c r="U17" i="1"/>
  <c r="R17" i="1"/>
  <c r="N17" i="1"/>
  <c r="O17" i="1" s="1"/>
  <c r="L17" i="1"/>
  <c r="H17" i="1"/>
  <c r="I17" i="1" s="1"/>
  <c r="F17" i="1"/>
  <c r="C17" i="1"/>
  <c r="AC16" i="1"/>
  <c r="AD16" i="1" s="1"/>
  <c r="AA16" i="1"/>
  <c r="W16" i="1"/>
  <c r="X16" i="1" s="1"/>
  <c r="U16" i="1"/>
  <c r="R16" i="1"/>
  <c r="O16" i="1"/>
  <c r="N16" i="1"/>
  <c r="L16" i="1"/>
  <c r="I16" i="1"/>
  <c r="H16" i="1"/>
  <c r="F16" i="1"/>
  <c r="C16" i="1"/>
  <c r="AC15" i="1"/>
  <c r="AD15" i="1" s="1"/>
  <c r="AA15" i="1"/>
  <c r="W15" i="1"/>
  <c r="X15" i="1" s="1"/>
  <c r="U15" i="1"/>
  <c r="R15" i="1"/>
  <c r="N15" i="1"/>
  <c r="O15" i="1" s="1"/>
  <c r="L15" i="1"/>
  <c r="H15" i="1"/>
  <c r="I15" i="1" s="1"/>
  <c r="F15" i="1"/>
  <c r="C15" i="1"/>
  <c r="AC14" i="1"/>
  <c r="AD14" i="1" s="1"/>
  <c r="AA14" i="1"/>
  <c r="X14" i="1"/>
  <c r="W14" i="1"/>
  <c r="U14" i="1"/>
  <c r="R14" i="1"/>
  <c r="N14" i="1"/>
  <c r="O14" i="1" s="1"/>
  <c r="L14" i="1"/>
  <c r="H14" i="1"/>
  <c r="I14" i="1" s="1"/>
  <c r="F14" i="1"/>
  <c r="C14" i="1"/>
  <c r="AD13" i="1"/>
  <c r="AC13" i="1"/>
  <c r="AA13" i="1"/>
  <c r="W13" i="1"/>
  <c r="X13" i="1" s="1"/>
  <c r="U13" i="1"/>
  <c r="R13" i="1"/>
  <c r="N13" i="1"/>
  <c r="O13" i="1" s="1"/>
  <c r="L13" i="1"/>
  <c r="H13" i="1"/>
  <c r="I13" i="1" s="1"/>
  <c r="F13" i="1"/>
  <c r="C13" i="1"/>
  <c r="AC12" i="1"/>
  <c r="AD12" i="1" s="1"/>
  <c r="AA12" i="1"/>
  <c r="W12" i="1"/>
  <c r="X12" i="1" s="1"/>
  <c r="U12" i="1"/>
  <c r="R12" i="1"/>
  <c r="O12" i="1"/>
  <c r="N12" i="1"/>
  <c r="L12" i="1"/>
  <c r="I12" i="1"/>
  <c r="H12" i="1"/>
  <c r="F12" i="1"/>
  <c r="C12" i="1"/>
  <c r="AC11" i="1"/>
  <c r="AD11" i="1" s="1"/>
  <c r="AA11" i="1"/>
  <c r="W11" i="1"/>
  <c r="X11" i="1" s="1"/>
  <c r="U11" i="1"/>
  <c r="R11" i="1"/>
  <c r="N11" i="1"/>
  <c r="O11" i="1" s="1"/>
  <c r="L11" i="1"/>
  <c r="H11" i="1"/>
  <c r="I11" i="1" s="1"/>
  <c r="F11" i="1"/>
  <c r="C11" i="1"/>
  <c r="AC10" i="1"/>
  <c r="AD10" i="1" s="1"/>
  <c r="AA10" i="1"/>
  <c r="X10" i="1"/>
  <c r="W10" i="1"/>
  <c r="U10" i="1"/>
  <c r="R10" i="1"/>
  <c r="N10" i="1"/>
  <c r="O10" i="1" s="1"/>
  <c r="L10" i="1"/>
  <c r="H10" i="1"/>
  <c r="I10" i="1" s="1"/>
  <c r="F10" i="1"/>
  <c r="C10" i="1"/>
  <c r="AD8" i="1"/>
  <c r="AC8" i="1"/>
  <c r="AA8" i="1"/>
  <c r="W8" i="1"/>
  <c r="X8" i="1" s="1"/>
  <c r="U8" i="1"/>
  <c r="R8" i="1"/>
  <c r="N8" i="1"/>
  <c r="O8" i="1" s="1"/>
  <c r="L8" i="1"/>
  <c r="H8" i="1"/>
  <c r="I8" i="1" s="1"/>
  <c r="F8" i="1"/>
  <c r="C8" i="1"/>
  <c r="R172" i="1" l="1"/>
  <c r="Q198" i="1"/>
  <c r="W172" i="1"/>
  <c r="X172" i="1" s="1"/>
  <c r="U198" i="1"/>
  <c r="T345" i="1"/>
  <c r="F172" i="1"/>
  <c r="E198" i="1"/>
  <c r="W236" i="3"/>
  <c r="X236" i="3" s="1"/>
  <c r="U236" i="3"/>
  <c r="H122" i="2"/>
  <c r="I122" i="2" s="1"/>
  <c r="N122" i="2"/>
  <c r="O122" i="2" s="1"/>
  <c r="B198" i="2"/>
  <c r="N18" i="1"/>
  <c r="O18" i="1" s="1"/>
  <c r="N62" i="1"/>
  <c r="O62" i="1" s="1"/>
  <c r="R88" i="1"/>
  <c r="C141" i="1"/>
  <c r="N149" i="1"/>
  <c r="O149" i="1" s="1"/>
  <c r="AC166" i="1"/>
  <c r="AD166" i="1" s="1"/>
  <c r="U170" i="1"/>
  <c r="W193" i="1"/>
  <c r="X193" i="1" s="1"/>
  <c r="R196" i="1"/>
  <c r="W197" i="1"/>
  <c r="X197" i="1" s="1"/>
  <c r="W218" i="1"/>
  <c r="X218" i="1" s="1"/>
  <c r="R227" i="1"/>
  <c r="H236" i="1"/>
  <c r="I236" i="1" s="1"/>
  <c r="W263" i="1"/>
  <c r="X263" i="1" s="1"/>
  <c r="R267" i="1"/>
  <c r="W343" i="1"/>
  <c r="X343" i="1" s="1"/>
  <c r="R141" i="2"/>
  <c r="W141" i="2"/>
  <c r="X141" i="2" s="1"/>
  <c r="AC141" i="2"/>
  <c r="AD141" i="2" s="1"/>
  <c r="AC170" i="2"/>
  <c r="AD170" i="2" s="1"/>
  <c r="C172" i="2"/>
  <c r="L182" i="2"/>
  <c r="N182" i="2"/>
  <c r="O182" i="2" s="1"/>
  <c r="H196" i="2"/>
  <c r="I196" i="2" s="1"/>
  <c r="N262" i="2"/>
  <c r="O262" i="2" s="1"/>
  <c r="F295" i="2"/>
  <c r="K345" i="3"/>
  <c r="L198" i="3"/>
  <c r="W429" i="1"/>
  <c r="X429" i="1" s="1"/>
  <c r="H62" i="2"/>
  <c r="I62" i="2" s="1"/>
  <c r="AC88" i="2"/>
  <c r="AD88" i="2" s="1"/>
  <c r="N118" i="2"/>
  <c r="O118" i="2" s="1"/>
  <c r="C122" i="2"/>
  <c r="W158" i="2"/>
  <c r="X158" i="2" s="1"/>
  <c r="AC158" i="2"/>
  <c r="AD158" i="2" s="1"/>
  <c r="W166" i="2"/>
  <c r="X166" i="2" s="1"/>
  <c r="C18" i="1"/>
  <c r="C62" i="1"/>
  <c r="H73" i="1"/>
  <c r="I73" i="1" s="1"/>
  <c r="AD104" i="1"/>
  <c r="N118" i="1"/>
  <c r="O118" i="1" s="1"/>
  <c r="AC118" i="1"/>
  <c r="AD118" i="1" s="1"/>
  <c r="N122" i="1"/>
  <c r="O122" i="1" s="1"/>
  <c r="AC122" i="1"/>
  <c r="AD122" i="1" s="1"/>
  <c r="F124" i="1"/>
  <c r="AD130" i="1"/>
  <c r="AD137" i="1"/>
  <c r="W149" i="1"/>
  <c r="X149" i="1" s="1"/>
  <c r="N158" i="1"/>
  <c r="O158" i="1" s="1"/>
  <c r="AD161" i="1"/>
  <c r="AD181" i="1"/>
  <c r="AD187" i="1"/>
  <c r="R193" i="1"/>
  <c r="AD202" i="1"/>
  <c r="AD223" i="1"/>
  <c r="AD229" i="1"/>
  <c r="AD243" i="1"/>
  <c r="AD252" i="1"/>
  <c r="AD259" i="1"/>
  <c r="N262" i="1"/>
  <c r="O262" i="1" s="1"/>
  <c r="R263" i="1"/>
  <c r="AD269" i="1"/>
  <c r="AD275" i="1"/>
  <c r="AD282" i="1"/>
  <c r="H284" i="1"/>
  <c r="I284" i="1" s="1"/>
  <c r="AC295" i="1"/>
  <c r="AD295" i="1" s="1"/>
  <c r="AD303" i="1"/>
  <c r="AD310" i="1"/>
  <c r="AD319" i="1"/>
  <c r="AC324" i="1"/>
  <c r="AD324" i="1" s="1"/>
  <c r="AD331" i="1"/>
  <c r="AD339" i="1"/>
  <c r="N342" i="1"/>
  <c r="O342" i="1" s="1"/>
  <c r="R343" i="1"/>
  <c r="W344" i="1"/>
  <c r="X344" i="1" s="1"/>
  <c r="AD356" i="1"/>
  <c r="AD362" i="1"/>
  <c r="AD378" i="1"/>
  <c r="AD391" i="1"/>
  <c r="AD418" i="1"/>
  <c r="F429" i="1"/>
  <c r="AD441" i="1"/>
  <c r="AC18" i="2"/>
  <c r="AD18" i="2" s="1"/>
  <c r="AC40" i="2"/>
  <c r="AD40" i="2" s="1"/>
  <c r="AC149" i="2"/>
  <c r="AD149" i="2" s="1"/>
  <c r="R158" i="2"/>
  <c r="F166" i="2"/>
  <c r="AC182" i="2"/>
  <c r="AD182" i="2" s="1"/>
  <c r="AC218" i="2"/>
  <c r="AD218" i="2" s="1"/>
  <c r="AC263" i="2"/>
  <c r="AD263" i="2" s="1"/>
  <c r="AC267" i="2"/>
  <c r="AD267" i="2" s="1"/>
  <c r="C403" i="2"/>
  <c r="N403" i="2"/>
  <c r="O403" i="2" s="1"/>
  <c r="H403" i="2"/>
  <c r="I403" i="2" s="1"/>
  <c r="R428" i="2"/>
  <c r="AC428" i="2"/>
  <c r="AD428" i="2" s="1"/>
  <c r="W428" i="2"/>
  <c r="X428" i="2" s="1"/>
  <c r="W182" i="3"/>
  <c r="X182" i="3" s="1"/>
  <c r="U182" i="3"/>
  <c r="H196" i="3"/>
  <c r="I196" i="3" s="1"/>
  <c r="F196" i="3"/>
  <c r="W88" i="1"/>
  <c r="X88" i="1" s="1"/>
  <c r="AC342" i="1"/>
  <c r="AD342" i="1" s="1"/>
  <c r="H344" i="1"/>
  <c r="I344" i="1" s="1"/>
  <c r="H358" i="1"/>
  <c r="I358" i="1" s="1"/>
  <c r="W428" i="1"/>
  <c r="X428" i="1" s="1"/>
  <c r="H118" i="2"/>
  <c r="I118" i="2" s="1"/>
  <c r="F118" i="2"/>
  <c r="H141" i="2"/>
  <c r="I141" i="2" s="1"/>
  <c r="N141" i="2"/>
  <c r="O141" i="2" s="1"/>
  <c r="C148" i="2"/>
  <c r="H148" i="2"/>
  <c r="I148" i="2" s="1"/>
  <c r="N148" i="2"/>
  <c r="O148" i="2" s="1"/>
  <c r="W170" i="2"/>
  <c r="X170" i="2" s="1"/>
  <c r="U170" i="2"/>
  <c r="K172" i="2"/>
  <c r="N172" i="2" s="1"/>
  <c r="O172" i="2" s="1"/>
  <c r="AC193" i="2"/>
  <c r="AD193" i="2" s="1"/>
  <c r="C197" i="2"/>
  <c r="H197" i="2"/>
  <c r="I197" i="2" s="1"/>
  <c r="N197" i="2"/>
  <c r="O197" i="2" s="1"/>
  <c r="AC295" i="2"/>
  <c r="AD295" i="2" s="1"/>
  <c r="B172" i="1"/>
  <c r="C124" i="1"/>
  <c r="N29" i="1"/>
  <c r="O29" i="1" s="1"/>
  <c r="N182" i="1"/>
  <c r="O182" i="1" s="1"/>
  <c r="R40" i="2"/>
  <c r="H73" i="2"/>
  <c r="I73" i="2" s="1"/>
  <c r="AA73" i="2"/>
  <c r="C141" i="2"/>
  <c r="R171" i="2"/>
  <c r="W171" i="2"/>
  <c r="X171" i="2" s="1"/>
  <c r="AC171" i="2"/>
  <c r="AD171" i="2" s="1"/>
  <c r="R218" i="2"/>
  <c r="R263" i="2"/>
  <c r="W273" i="2"/>
  <c r="X273" i="2" s="1"/>
  <c r="R295" i="2"/>
  <c r="H393" i="2"/>
  <c r="I393" i="2" s="1"/>
  <c r="N393" i="2"/>
  <c r="O393" i="2" s="1"/>
  <c r="C393" i="2"/>
  <c r="Z198" i="3"/>
  <c r="AA172" i="3"/>
  <c r="AC273" i="3"/>
  <c r="AD273" i="3" s="1"/>
  <c r="W273" i="3"/>
  <c r="X273" i="3" s="1"/>
  <c r="R273" i="3"/>
  <c r="W441" i="3"/>
  <c r="X441" i="3" s="1"/>
  <c r="R441" i="3"/>
  <c r="AC441" i="3"/>
  <c r="AD441" i="3" s="1"/>
  <c r="AC62" i="1"/>
  <c r="AD62" i="1" s="1"/>
  <c r="Z172" i="1"/>
  <c r="AA124" i="1"/>
  <c r="AC262" i="1"/>
  <c r="AD262" i="1" s="1"/>
  <c r="R18" i="1"/>
  <c r="C29" i="1"/>
  <c r="R62" i="1"/>
  <c r="R118" i="1"/>
  <c r="AC124" i="1"/>
  <c r="AD124" i="1" s="1"/>
  <c r="AA141" i="1"/>
  <c r="U182" i="1"/>
  <c r="F343" i="1"/>
  <c r="N40" i="1"/>
  <c r="O40" i="1" s="1"/>
  <c r="N61" i="1"/>
  <c r="O61" i="1" s="1"/>
  <c r="N73" i="1"/>
  <c r="O73" i="1" s="1"/>
  <c r="N218" i="1"/>
  <c r="O218" i="1" s="1"/>
  <c r="K198" i="1"/>
  <c r="L172" i="1"/>
  <c r="AC18" i="1"/>
  <c r="AD18" i="1" s="1"/>
  <c r="U172" i="1"/>
  <c r="F263" i="1"/>
  <c r="C325" i="1"/>
  <c r="AC358" i="1"/>
  <c r="AD358" i="1" s="1"/>
  <c r="H396" i="1"/>
  <c r="I396" i="1" s="1"/>
  <c r="N396" i="1"/>
  <c r="O396" i="1" s="1"/>
  <c r="AA73" i="1"/>
  <c r="N141" i="1"/>
  <c r="O141" i="1" s="1"/>
  <c r="R166" i="1"/>
  <c r="AC227" i="1"/>
  <c r="AD227" i="1" s="1"/>
  <c r="AC267" i="1"/>
  <c r="AD267" i="1" s="1"/>
  <c r="AC428" i="1"/>
  <c r="AD428" i="1" s="1"/>
  <c r="AD420" i="1"/>
  <c r="AD412" i="1"/>
  <c r="AD400" i="1"/>
  <c r="AD390" i="1"/>
  <c r="N88" i="1"/>
  <c r="O88" i="1" s="1"/>
  <c r="AD96" i="1"/>
  <c r="AD112" i="1"/>
  <c r="H118" i="1"/>
  <c r="I118" i="1" s="1"/>
  <c r="N124" i="1"/>
  <c r="O124" i="1" s="1"/>
  <c r="AD129" i="1"/>
  <c r="AD138" i="1"/>
  <c r="AD144" i="1"/>
  <c r="H149" i="1"/>
  <c r="I149" i="1" s="1"/>
  <c r="AD156" i="1"/>
  <c r="AD162" i="1"/>
  <c r="AD167" i="1"/>
  <c r="H171" i="1"/>
  <c r="I171" i="1" s="1"/>
  <c r="AD180" i="1"/>
  <c r="H182" i="1"/>
  <c r="I182" i="1" s="1"/>
  <c r="AC193" i="1"/>
  <c r="AD193" i="1" s="1"/>
  <c r="AC197" i="1"/>
  <c r="AD197" i="1" s="1"/>
  <c r="AD203" i="1"/>
  <c r="AC218" i="1"/>
  <c r="AD218" i="1" s="1"/>
  <c r="AD222" i="1"/>
  <c r="N236" i="1"/>
  <c r="O236" i="1" s="1"/>
  <c r="AD244" i="1"/>
  <c r="AD251" i="1"/>
  <c r="AD260" i="1"/>
  <c r="W262" i="1"/>
  <c r="X262" i="1" s="1"/>
  <c r="AC263" i="1"/>
  <c r="AD263" i="1" s="1"/>
  <c r="AD283" i="1"/>
  <c r="AD289" i="1"/>
  <c r="R295" i="1"/>
  <c r="AD302" i="1"/>
  <c r="AD311" i="1"/>
  <c r="AD318" i="1"/>
  <c r="AD330" i="1"/>
  <c r="AD340" i="1"/>
  <c r="W342" i="1"/>
  <c r="X342" i="1" s="1"/>
  <c r="AC343" i="1"/>
  <c r="AD343" i="1" s="1"/>
  <c r="N344" i="1"/>
  <c r="O344" i="1" s="1"/>
  <c r="AD347" i="1"/>
  <c r="N358" i="1"/>
  <c r="O358" i="1" s="1"/>
  <c r="AD361" i="1"/>
  <c r="N403" i="1"/>
  <c r="O403" i="1" s="1"/>
  <c r="AD413" i="1"/>
  <c r="AD417" i="1"/>
  <c r="AD437" i="1"/>
  <c r="H442" i="1"/>
  <c r="I442" i="1" s="1"/>
  <c r="W18" i="2"/>
  <c r="X18" i="2" s="1"/>
  <c r="C29" i="2"/>
  <c r="C40" i="2"/>
  <c r="H40" i="2"/>
  <c r="I40" i="2" s="1"/>
  <c r="L61" i="2"/>
  <c r="W118" i="2"/>
  <c r="X118" i="2" s="1"/>
  <c r="AC118" i="2"/>
  <c r="AD118" i="2" s="1"/>
  <c r="Q172" i="2"/>
  <c r="AC124" i="2"/>
  <c r="AD124" i="2" s="1"/>
  <c r="H158" i="2"/>
  <c r="I158" i="2" s="1"/>
  <c r="F158" i="2"/>
  <c r="H171" i="2"/>
  <c r="I171" i="2" s="1"/>
  <c r="N171" i="2"/>
  <c r="O171" i="2" s="1"/>
  <c r="Z404" i="2"/>
  <c r="AA345" i="2"/>
  <c r="T172" i="2"/>
  <c r="R193" i="2"/>
  <c r="AA197" i="2"/>
  <c r="AC197" i="2"/>
  <c r="AD197" i="2" s="1"/>
  <c r="N263" i="2"/>
  <c r="O263" i="2" s="1"/>
  <c r="U284" i="2"/>
  <c r="C368" i="2"/>
  <c r="N368" i="2"/>
  <c r="O368" i="2" s="1"/>
  <c r="H368" i="2"/>
  <c r="I368" i="2" s="1"/>
  <c r="H124" i="1"/>
  <c r="I124" i="1" s="1"/>
  <c r="R158" i="1"/>
  <c r="F193" i="1"/>
  <c r="L197" i="1"/>
  <c r="W368" i="1"/>
  <c r="X368" i="1" s="1"/>
  <c r="AC29" i="1"/>
  <c r="AD29" i="1" s="1"/>
  <c r="C122" i="1"/>
  <c r="AC196" i="1"/>
  <c r="AD196" i="1" s="1"/>
  <c r="C396" i="1"/>
  <c r="U442" i="1"/>
  <c r="R29" i="2"/>
  <c r="W29" i="2"/>
  <c r="X29" i="2" s="1"/>
  <c r="AC29" i="2"/>
  <c r="AD29" i="2" s="1"/>
  <c r="AC61" i="2"/>
  <c r="AD61" i="2" s="1"/>
  <c r="R149" i="2"/>
  <c r="AD68" i="1"/>
  <c r="AD80" i="1"/>
  <c r="W122" i="1"/>
  <c r="X122" i="1" s="1"/>
  <c r="AD123" i="1"/>
  <c r="W124" i="1"/>
  <c r="X124" i="1" s="1"/>
  <c r="AD140" i="1"/>
  <c r="AD146" i="1"/>
  <c r="W148" i="1"/>
  <c r="X148" i="1" s="1"/>
  <c r="AC149" i="1"/>
  <c r="AD149" i="1" s="1"/>
  <c r="H158" i="1"/>
  <c r="I158" i="1" s="1"/>
  <c r="AD164" i="1"/>
  <c r="AD169" i="1"/>
  <c r="C171" i="1"/>
  <c r="AD188" i="1"/>
  <c r="N196" i="1"/>
  <c r="O196" i="1" s="1"/>
  <c r="AD205" i="1"/>
  <c r="AD211" i="1"/>
  <c r="N227" i="1"/>
  <c r="O227" i="1" s="1"/>
  <c r="AD230" i="1"/>
  <c r="AD246" i="1"/>
  <c r="H262" i="1"/>
  <c r="I262" i="1" s="1"/>
  <c r="N267" i="1"/>
  <c r="O267" i="1" s="1"/>
  <c r="AD270" i="1"/>
  <c r="N273" i="1"/>
  <c r="O273" i="1" s="1"/>
  <c r="N284" i="1"/>
  <c r="O284" i="1" s="1"/>
  <c r="AD291" i="1"/>
  <c r="AD297" i="1"/>
  <c r="AD313" i="1"/>
  <c r="W324" i="1"/>
  <c r="X324" i="1" s="1"/>
  <c r="H342" i="1"/>
  <c r="I342" i="1" s="1"/>
  <c r="AC344" i="1"/>
  <c r="AD344" i="1" s="1"/>
  <c r="AD350" i="1"/>
  <c r="AD357" i="1"/>
  <c r="W358" i="1"/>
  <c r="X358" i="1" s="1"/>
  <c r="AD379" i="1"/>
  <c r="AD381" i="1"/>
  <c r="AD398" i="1"/>
  <c r="I432" i="1"/>
  <c r="AD439" i="1"/>
  <c r="H441" i="1"/>
  <c r="I441" i="1" s="1"/>
  <c r="R118" i="2"/>
  <c r="AC122" i="2"/>
  <c r="AD122" i="2" s="1"/>
  <c r="R124" i="2"/>
  <c r="W148" i="2"/>
  <c r="X148" i="2" s="1"/>
  <c r="AC148" i="2"/>
  <c r="AD148" i="2" s="1"/>
  <c r="C171" i="2"/>
  <c r="AA171" i="2"/>
  <c r="N193" i="2"/>
  <c r="O193" i="2" s="1"/>
  <c r="AA198" i="2"/>
  <c r="AC209" i="2"/>
  <c r="AD209" i="2" s="1"/>
  <c r="C218" i="2"/>
  <c r="N218" i="2"/>
  <c r="O218" i="2" s="1"/>
  <c r="H218" i="2"/>
  <c r="I218" i="2" s="1"/>
  <c r="W267" i="2"/>
  <c r="X267" i="2" s="1"/>
  <c r="AC273" i="2"/>
  <c r="AD273" i="2" s="1"/>
  <c r="W342" i="2"/>
  <c r="X342" i="2" s="1"/>
  <c r="R342" i="2"/>
  <c r="N122" i="3"/>
  <c r="O122" i="3" s="1"/>
  <c r="H122" i="3"/>
  <c r="I122" i="3" s="1"/>
  <c r="I377" i="1"/>
  <c r="I391" i="1"/>
  <c r="AC393" i="1"/>
  <c r="AD393" i="1" s="1"/>
  <c r="AD395" i="1"/>
  <c r="I401" i="1"/>
  <c r="AC403" i="1"/>
  <c r="AD403" i="1" s="1"/>
  <c r="I413" i="1"/>
  <c r="I421" i="1"/>
  <c r="C428" i="1"/>
  <c r="H428" i="1"/>
  <c r="I428" i="1" s="1"/>
  <c r="N429" i="1"/>
  <c r="O429" i="1" s="1"/>
  <c r="R441" i="1"/>
  <c r="W441" i="1"/>
  <c r="X441" i="1" s="1"/>
  <c r="AC442" i="1"/>
  <c r="AD442" i="1" s="1"/>
  <c r="W61" i="2"/>
  <c r="X61" i="2" s="1"/>
  <c r="W88" i="2"/>
  <c r="X88" i="2" s="1"/>
  <c r="E172" i="2"/>
  <c r="H172" i="2" s="1"/>
  <c r="I172" i="2" s="1"/>
  <c r="N166" i="2"/>
  <c r="O166" i="2" s="1"/>
  <c r="W209" i="2"/>
  <c r="X209" i="2" s="1"/>
  <c r="H236" i="2"/>
  <c r="I236" i="2" s="1"/>
  <c r="N273" i="2"/>
  <c r="O273" i="2" s="1"/>
  <c r="N342" i="2"/>
  <c r="O342" i="2" s="1"/>
  <c r="AC40" i="3"/>
  <c r="AD40" i="3" s="1"/>
  <c r="W267" i="4"/>
  <c r="X267" i="4" s="1"/>
  <c r="AC267" i="4"/>
  <c r="AD267" i="4" s="1"/>
  <c r="R267" i="4"/>
  <c r="N324" i="2"/>
  <c r="O324" i="2" s="1"/>
  <c r="AC344" i="2"/>
  <c r="AD344" i="2" s="1"/>
  <c r="N441" i="2"/>
  <c r="O441" i="2" s="1"/>
  <c r="H441" i="2"/>
  <c r="I441" i="2" s="1"/>
  <c r="AC343" i="3"/>
  <c r="AD343" i="3" s="1"/>
  <c r="W343" i="3"/>
  <c r="X343" i="3" s="1"/>
  <c r="R343" i="3"/>
  <c r="C324" i="2"/>
  <c r="N325" i="2"/>
  <c r="O325" i="2" s="1"/>
  <c r="N344" i="2"/>
  <c r="O344" i="2" s="1"/>
  <c r="R344" i="2"/>
  <c r="C441" i="2"/>
  <c r="H73" i="3"/>
  <c r="I73" i="3" s="1"/>
  <c r="C73" i="3"/>
  <c r="T172" i="3"/>
  <c r="U171" i="3"/>
  <c r="AC324" i="2"/>
  <c r="AD324" i="2" s="1"/>
  <c r="I386" i="1"/>
  <c r="I397" i="1"/>
  <c r="I409" i="1"/>
  <c r="I417" i="1"/>
  <c r="I425" i="1"/>
  <c r="N236" i="2"/>
  <c r="O236" i="2" s="1"/>
  <c r="AC325" i="2"/>
  <c r="AD325" i="2" s="1"/>
  <c r="F343" i="2"/>
  <c r="H396" i="2"/>
  <c r="I396" i="2" s="1"/>
  <c r="N396" i="2"/>
  <c r="O396" i="2" s="1"/>
  <c r="F428" i="2"/>
  <c r="W118" i="3"/>
  <c r="X118" i="3" s="1"/>
  <c r="R118" i="3"/>
  <c r="B198" i="3"/>
  <c r="C172" i="3"/>
  <c r="N172" i="3"/>
  <c r="O172" i="3" s="1"/>
  <c r="AD382" i="1"/>
  <c r="I437" i="1"/>
  <c r="C61" i="2"/>
  <c r="H61" i="2"/>
  <c r="I61" i="2" s="1"/>
  <c r="N62" i="2"/>
  <c r="O62" i="2" s="1"/>
  <c r="R73" i="2"/>
  <c r="W73" i="2"/>
  <c r="X73" i="2" s="1"/>
  <c r="C88" i="2"/>
  <c r="H88" i="2"/>
  <c r="I88" i="2" s="1"/>
  <c r="N196" i="2"/>
  <c r="O196" i="2" s="1"/>
  <c r="C209" i="2"/>
  <c r="H209" i="2"/>
  <c r="I209" i="2" s="1"/>
  <c r="F263" i="2"/>
  <c r="C396" i="2"/>
  <c r="F158" i="3"/>
  <c r="AC166" i="3"/>
  <c r="AD166" i="3" s="1"/>
  <c r="W166" i="3"/>
  <c r="X166" i="3" s="1"/>
  <c r="H172" i="3"/>
  <c r="I172" i="3" s="1"/>
  <c r="N227" i="2"/>
  <c r="O227" i="2" s="1"/>
  <c r="H262" i="2"/>
  <c r="I262" i="2" s="1"/>
  <c r="H273" i="2"/>
  <c r="I273" i="2" s="1"/>
  <c r="W325" i="2"/>
  <c r="X325" i="2" s="1"/>
  <c r="H342" i="2"/>
  <c r="I342" i="2" s="1"/>
  <c r="H344" i="2"/>
  <c r="I344" i="2" s="1"/>
  <c r="I350" i="2"/>
  <c r="O351" i="2"/>
  <c r="O360" i="2"/>
  <c r="I364" i="2"/>
  <c r="O367" i="2"/>
  <c r="W368" i="2"/>
  <c r="X368" i="2" s="1"/>
  <c r="O370" i="2"/>
  <c r="O379" i="2"/>
  <c r="I383" i="2"/>
  <c r="O388" i="2"/>
  <c r="AD410" i="2"/>
  <c r="O415" i="2"/>
  <c r="I419" i="2"/>
  <c r="O422" i="2"/>
  <c r="AD426" i="2"/>
  <c r="O437" i="2"/>
  <c r="AC61" i="3"/>
  <c r="AD61" i="3" s="1"/>
  <c r="AC88" i="3"/>
  <c r="AD88" i="3" s="1"/>
  <c r="N118" i="3"/>
  <c r="O118" i="3" s="1"/>
  <c r="W172" i="3"/>
  <c r="X172" i="3" s="1"/>
  <c r="AC172" i="3"/>
  <c r="AD172" i="3" s="1"/>
  <c r="H141" i="3"/>
  <c r="I141" i="3" s="1"/>
  <c r="H171" i="3"/>
  <c r="I171" i="3" s="1"/>
  <c r="AC284" i="3"/>
  <c r="AD284" i="3" s="1"/>
  <c r="H295" i="3"/>
  <c r="I295" i="3" s="1"/>
  <c r="F295" i="3"/>
  <c r="H368" i="3"/>
  <c r="I368" i="3" s="1"/>
  <c r="C368" i="3"/>
  <c r="N368" i="3"/>
  <c r="O368" i="3" s="1"/>
  <c r="AC442" i="3"/>
  <c r="AD442" i="3" s="1"/>
  <c r="W442" i="3"/>
  <c r="X442" i="3" s="1"/>
  <c r="T198" i="4"/>
  <c r="U172" i="4"/>
  <c r="W198" i="4"/>
  <c r="X198" i="4" s="1"/>
  <c r="AC62" i="3"/>
  <c r="AD62" i="3" s="1"/>
  <c r="AC73" i="3"/>
  <c r="AD73" i="3" s="1"/>
  <c r="AC193" i="3"/>
  <c r="AD193" i="3" s="1"/>
  <c r="AC197" i="3"/>
  <c r="AD197" i="3" s="1"/>
  <c r="Q198" i="3"/>
  <c r="AC209" i="3"/>
  <c r="AD209" i="3" s="1"/>
  <c r="AC227" i="3"/>
  <c r="AD227" i="3" s="1"/>
  <c r="AC262" i="3"/>
  <c r="AD262" i="3" s="1"/>
  <c r="H267" i="3"/>
  <c r="I267" i="3" s="1"/>
  <c r="F267" i="3"/>
  <c r="AC295" i="3"/>
  <c r="AD295" i="3" s="1"/>
  <c r="AC403" i="3"/>
  <c r="AD403" i="3" s="1"/>
  <c r="W403" i="3"/>
  <c r="X403" i="3" s="1"/>
  <c r="W29" i="4"/>
  <c r="X29" i="4" s="1"/>
  <c r="R29" i="4"/>
  <c r="H73" i="4"/>
  <c r="I73" i="4" s="1"/>
  <c r="F73" i="4"/>
  <c r="B172" i="4"/>
  <c r="N171" i="4"/>
  <c r="O171" i="4" s="1"/>
  <c r="H171" i="4"/>
  <c r="I171" i="4" s="1"/>
  <c r="R61" i="3"/>
  <c r="R62" i="3"/>
  <c r="R88" i="3"/>
  <c r="U122" i="3"/>
  <c r="W284" i="3"/>
  <c r="X284" i="3" s="1"/>
  <c r="U284" i="3"/>
  <c r="W344" i="3"/>
  <c r="X344" i="3" s="1"/>
  <c r="R344" i="3"/>
  <c r="AC393" i="3"/>
  <c r="AD393" i="3" s="1"/>
  <c r="W393" i="3"/>
  <c r="X393" i="3" s="1"/>
  <c r="R403" i="3"/>
  <c r="C171" i="4"/>
  <c r="H124" i="3"/>
  <c r="I124" i="3" s="1"/>
  <c r="E172" i="3"/>
  <c r="N182" i="3"/>
  <c r="O182" i="3" s="1"/>
  <c r="N193" i="3"/>
  <c r="O193" i="3" s="1"/>
  <c r="R193" i="3"/>
  <c r="N227" i="3"/>
  <c r="O227" i="3" s="1"/>
  <c r="R227" i="3"/>
  <c r="N263" i="3"/>
  <c r="O263" i="3" s="1"/>
  <c r="R393" i="3"/>
  <c r="N429" i="3"/>
  <c r="O429" i="3" s="1"/>
  <c r="W40" i="4"/>
  <c r="X40" i="4" s="1"/>
  <c r="W88" i="4"/>
  <c r="X88" i="4" s="1"/>
  <c r="R88" i="4"/>
  <c r="F196" i="4"/>
  <c r="O352" i="2"/>
  <c r="I354" i="2"/>
  <c r="O371" i="2"/>
  <c r="I375" i="2"/>
  <c r="O378" i="2"/>
  <c r="O389" i="2"/>
  <c r="I399" i="2"/>
  <c r="O402" i="2"/>
  <c r="W403" i="2"/>
  <c r="X403" i="2" s="1"/>
  <c r="O407" i="2"/>
  <c r="I411" i="2"/>
  <c r="O414" i="2"/>
  <c r="O423" i="2"/>
  <c r="I427" i="2"/>
  <c r="H429" i="2"/>
  <c r="I429" i="2" s="1"/>
  <c r="I433" i="2"/>
  <c r="F124" i="3"/>
  <c r="F149" i="3"/>
  <c r="N171" i="3"/>
  <c r="O171" i="3" s="1"/>
  <c r="C344" i="3"/>
  <c r="H344" i="3"/>
  <c r="I344" i="3" s="1"/>
  <c r="AD439" i="3"/>
  <c r="AD435" i="3"/>
  <c r="AD427" i="3"/>
  <c r="AD423" i="3"/>
  <c r="AD419" i="3"/>
  <c r="AD415" i="3"/>
  <c r="AD411" i="3"/>
  <c r="AD407" i="3"/>
  <c r="AD436" i="3"/>
  <c r="AD414" i="3"/>
  <c r="AD398" i="3"/>
  <c r="AD388" i="3"/>
  <c r="AD370" i="3"/>
  <c r="AD365" i="3"/>
  <c r="AD352" i="3"/>
  <c r="AD340" i="3"/>
  <c r="AD335" i="3"/>
  <c r="AD331" i="3"/>
  <c r="AD315" i="3"/>
  <c r="AD311" i="3"/>
  <c r="AD307" i="3"/>
  <c r="AD303" i="3"/>
  <c r="AD299" i="3"/>
  <c r="AD275" i="3"/>
  <c r="AD231" i="3"/>
  <c r="AD223" i="3"/>
  <c r="AD219" i="3"/>
  <c r="AD216" i="3"/>
  <c r="AD203" i="3"/>
  <c r="AD184" i="3"/>
  <c r="AD181" i="3"/>
  <c r="AD177" i="3"/>
  <c r="AD134" i="3"/>
  <c r="AD130" i="3"/>
  <c r="AD78" i="3"/>
  <c r="AD70" i="3"/>
  <c r="AD66" i="3"/>
  <c r="AD51" i="3"/>
  <c r="AD47" i="3"/>
  <c r="AD42" i="3"/>
  <c r="AD38" i="3"/>
  <c r="AD34" i="3"/>
  <c r="AD10" i="3"/>
  <c r="AD426" i="3"/>
  <c r="AD410" i="3"/>
  <c r="AD382" i="3"/>
  <c r="AD355" i="3"/>
  <c r="AD341" i="3"/>
  <c r="AD337" i="3"/>
  <c r="AD424" i="3"/>
  <c r="AD353" i="3"/>
  <c r="AD422" i="3"/>
  <c r="AD378" i="3"/>
  <c r="AD338" i="3"/>
  <c r="AD333" i="3"/>
  <c r="AD329" i="3"/>
  <c r="AD321" i="3"/>
  <c r="AD317" i="3"/>
  <c r="AD313" i="3"/>
  <c r="AD309" i="3"/>
  <c r="AD305" i="3"/>
  <c r="AD301" i="3"/>
  <c r="AD297" i="3"/>
  <c r="AD293" i="3"/>
  <c r="AD289" i="3"/>
  <c r="AD281" i="3"/>
  <c r="AD277" i="3"/>
  <c r="AD269" i="3"/>
  <c r="AD265" i="3"/>
  <c r="AD258" i="3"/>
  <c r="AD254" i="3"/>
  <c r="AD250" i="3"/>
  <c r="W18" i="4"/>
  <c r="X18" i="4" s="1"/>
  <c r="U18" i="4"/>
  <c r="C62" i="4"/>
  <c r="H62" i="4"/>
  <c r="I62" i="4" s="1"/>
  <c r="N62" i="4"/>
  <c r="O62" i="4" s="1"/>
  <c r="Q404" i="4"/>
  <c r="I222" i="2"/>
  <c r="I226" i="2"/>
  <c r="I230" i="2"/>
  <c r="I234" i="2"/>
  <c r="I238" i="2"/>
  <c r="I243" i="2"/>
  <c r="I247" i="2"/>
  <c r="I251" i="2"/>
  <c r="I255" i="2"/>
  <c r="I259" i="2"/>
  <c r="I266" i="2"/>
  <c r="I270" i="2"/>
  <c r="I278" i="2"/>
  <c r="I282" i="2"/>
  <c r="I286" i="2"/>
  <c r="I290" i="2"/>
  <c r="I294" i="2"/>
  <c r="I298" i="2"/>
  <c r="I302" i="2"/>
  <c r="I306" i="2"/>
  <c r="I310" i="2"/>
  <c r="I314" i="2"/>
  <c r="I318" i="2"/>
  <c r="I322" i="2"/>
  <c r="I330" i="2"/>
  <c r="I334" i="2"/>
  <c r="I339" i="2"/>
  <c r="I347" i="2"/>
  <c r="I351" i="2"/>
  <c r="I356" i="2"/>
  <c r="O361" i="2"/>
  <c r="I367" i="2"/>
  <c r="I370" i="2"/>
  <c r="O373" i="2"/>
  <c r="I377" i="2"/>
  <c r="O380" i="2"/>
  <c r="I388" i="2"/>
  <c r="O391" i="2"/>
  <c r="O394" i="2"/>
  <c r="O397" i="2"/>
  <c r="I401" i="2"/>
  <c r="O409" i="2"/>
  <c r="I413" i="2"/>
  <c r="O416" i="2"/>
  <c r="I422" i="2"/>
  <c r="O425" i="2"/>
  <c r="H18" i="3"/>
  <c r="I18" i="3" s="1"/>
  <c r="AC182" i="3"/>
  <c r="AD182" i="3" s="1"/>
  <c r="H263" i="3"/>
  <c r="I263" i="3" s="1"/>
  <c r="F263" i="3"/>
  <c r="W295" i="3"/>
  <c r="X295" i="3" s="1"/>
  <c r="W342" i="3"/>
  <c r="X342" i="3" s="1"/>
  <c r="H343" i="3"/>
  <c r="I343" i="3" s="1"/>
  <c r="F343" i="3"/>
  <c r="AC344" i="3"/>
  <c r="AD344" i="3" s="1"/>
  <c r="H396" i="3"/>
  <c r="I396" i="3" s="1"/>
  <c r="C396" i="3"/>
  <c r="N396" i="3"/>
  <c r="O396" i="3" s="1"/>
  <c r="AC29" i="4"/>
  <c r="AD29" i="4" s="1"/>
  <c r="R345" i="4"/>
  <c r="AC368" i="2"/>
  <c r="AD368" i="2" s="1"/>
  <c r="AC393" i="2"/>
  <c r="AD393" i="2" s="1"/>
  <c r="AC396" i="2"/>
  <c r="AD396" i="2" s="1"/>
  <c r="AC403" i="2"/>
  <c r="AD403" i="2" s="1"/>
  <c r="N429" i="2"/>
  <c r="O429" i="2" s="1"/>
  <c r="W441" i="2"/>
  <c r="X441" i="2" s="1"/>
  <c r="AC442" i="2"/>
  <c r="AD442" i="2" s="1"/>
  <c r="N18" i="3"/>
  <c r="O18" i="3" s="1"/>
  <c r="W29" i="3"/>
  <c r="X29" i="3" s="1"/>
  <c r="H40" i="3"/>
  <c r="I40" i="3" s="1"/>
  <c r="H61" i="3"/>
  <c r="I61" i="3" s="1"/>
  <c r="N62" i="3"/>
  <c r="O62" i="3" s="1"/>
  <c r="W73" i="3"/>
  <c r="X73" i="3" s="1"/>
  <c r="H88" i="3"/>
  <c r="I88" i="3" s="1"/>
  <c r="W141" i="3"/>
  <c r="X141" i="3" s="1"/>
  <c r="H148" i="3"/>
  <c r="I148" i="3" s="1"/>
  <c r="W171" i="3"/>
  <c r="X171" i="3" s="1"/>
  <c r="H197" i="3"/>
  <c r="I197" i="3" s="1"/>
  <c r="H209" i="3"/>
  <c r="I209" i="3" s="1"/>
  <c r="H218" i="3"/>
  <c r="I218" i="3" s="1"/>
  <c r="H262" i="3"/>
  <c r="I262" i="3" s="1"/>
  <c r="H273" i="3"/>
  <c r="I273" i="3" s="1"/>
  <c r="W325" i="3"/>
  <c r="X325" i="3" s="1"/>
  <c r="I353" i="3"/>
  <c r="AD356" i="3"/>
  <c r="AD362" i="3"/>
  <c r="I378" i="3"/>
  <c r="X382" i="3"/>
  <c r="AD383" i="3"/>
  <c r="X389" i="3"/>
  <c r="H393" i="3"/>
  <c r="I393" i="3" s="1"/>
  <c r="C393" i="3"/>
  <c r="X394" i="3"/>
  <c r="X399" i="3"/>
  <c r="H403" i="3"/>
  <c r="I403" i="3" s="1"/>
  <c r="C403" i="3"/>
  <c r="X410" i="3"/>
  <c r="X415" i="3"/>
  <c r="X426" i="3"/>
  <c r="N428" i="3"/>
  <c r="O428" i="3" s="1"/>
  <c r="AD433" i="3"/>
  <c r="N441" i="3"/>
  <c r="O441" i="3" s="1"/>
  <c r="H442" i="3"/>
  <c r="I442" i="3" s="1"/>
  <c r="C442" i="3"/>
  <c r="N29" i="4"/>
  <c r="O29" i="4" s="1"/>
  <c r="H40" i="4"/>
  <c r="I40" i="4" s="1"/>
  <c r="W158" i="4"/>
  <c r="X158" i="4" s="1"/>
  <c r="W166" i="4"/>
  <c r="X166" i="4" s="1"/>
  <c r="R166" i="4"/>
  <c r="AC209" i="4"/>
  <c r="AD209" i="4" s="1"/>
  <c r="AC218" i="4"/>
  <c r="AD218" i="4" s="1"/>
  <c r="AC227" i="4"/>
  <c r="AD227" i="4" s="1"/>
  <c r="AD350" i="3"/>
  <c r="AC358" i="3"/>
  <c r="AD358" i="3" s="1"/>
  <c r="AD364" i="3"/>
  <c r="AD369" i="3"/>
  <c r="AD386" i="3"/>
  <c r="AD397" i="3"/>
  <c r="AD413" i="3"/>
  <c r="AC429" i="3"/>
  <c r="AD429" i="3" s="1"/>
  <c r="W61" i="4"/>
  <c r="X61" i="4" s="1"/>
  <c r="N325" i="3"/>
  <c r="O325" i="3" s="1"/>
  <c r="AD366" i="3"/>
  <c r="AD371" i="3"/>
  <c r="AD389" i="3"/>
  <c r="AD394" i="3"/>
  <c r="AD399" i="3"/>
  <c r="W428" i="3"/>
  <c r="X428" i="3" s="1"/>
  <c r="R428" i="3"/>
  <c r="AD437" i="3"/>
  <c r="N40" i="4"/>
  <c r="O40" i="4" s="1"/>
  <c r="H61" i="4"/>
  <c r="I61" i="4" s="1"/>
  <c r="C61" i="4"/>
  <c r="U324" i="3"/>
  <c r="AD373" i="3"/>
  <c r="AD391" i="3"/>
  <c r="AD401" i="3"/>
  <c r="AD417" i="3"/>
  <c r="F441" i="3"/>
  <c r="I438" i="3"/>
  <c r="I434" i="3"/>
  <c r="I426" i="3"/>
  <c r="I422" i="3"/>
  <c r="I418" i="3"/>
  <c r="I414" i="3"/>
  <c r="I410" i="3"/>
  <c r="I367" i="3"/>
  <c r="N18" i="4"/>
  <c r="O18" i="4" s="1"/>
  <c r="F29" i="4"/>
  <c r="E172" i="4"/>
  <c r="F124" i="4"/>
  <c r="H148" i="4"/>
  <c r="I148" i="4" s="1"/>
  <c r="F148" i="4"/>
  <c r="U170" i="4"/>
  <c r="R209" i="4"/>
  <c r="R218" i="4"/>
  <c r="R227" i="4"/>
  <c r="H368" i="4"/>
  <c r="I368" i="4" s="1"/>
  <c r="C368" i="4"/>
  <c r="N368" i="4"/>
  <c r="O368" i="4" s="1"/>
  <c r="AC358" i="2"/>
  <c r="AD358" i="2" s="1"/>
  <c r="N428" i="2"/>
  <c r="O428" i="2" s="1"/>
  <c r="AC441" i="2"/>
  <c r="AD441" i="2" s="1"/>
  <c r="AC29" i="3"/>
  <c r="AD29" i="3" s="1"/>
  <c r="N40" i="3"/>
  <c r="O40" i="3" s="1"/>
  <c r="N61" i="3"/>
  <c r="O61" i="3" s="1"/>
  <c r="N88" i="3"/>
  <c r="O88" i="3" s="1"/>
  <c r="AC141" i="3"/>
  <c r="AD141" i="3" s="1"/>
  <c r="N148" i="3"/>
  <c r="O148" i="3" s="1"/>
  <c r="AC171" i="3"/>
  <c r="AD171" i="3" s="1"/>
  <c r="N197" i="3"/>
  <c r="O197" i="3" s="1"/>
  <c r="N209" i="3"/>
  <c r="O209" i="3" s="1"/>
  <c r="N262" i="3"/>
  <c r="O262" i="3" s="1"/>
  <c r="N273" i="3"/>
  <c r="O273" i="3" s="1"/>
  <c r="I365" i="3"/>
  <c r="I370" i="3"/>
  <c r="AD375" i="3"/>
  <c r="I388" i="3"/>
  <c r="L393" i="3"/>
  <c r="I398" i="3"/>
  <c r="L403" i="3"/>
  <c r="U429" i="3"/>
  <c r="I436" i="3"/>
  <c r="L442" i="3"/>
  <c r="AC62" i="4"/>
  <c r="AD62" i="4" s="1"/>
  <c r="H170" i="4"/>
  <c r="I170" i="4" s="1"/>
  <c r="I129" i="3"/>
  <c r="I133" i="3"/>
  <c r="I180" i="3"/>
  <c r="I183" i="3"/>
  <c r="I188" i="3"/>
  <c r="I202" i="3"/>
  <c r="I222" i="3"/>
  <c r="I226" i="3"/>
  <c r="I230" i="3"/>
  <c r="I234" i="3"/>
  <c r="I286" i="3"/>
  <c r="I290" i="3"/>
  <c r="I298" i="3"/>
  <c r="I302" i="3"/>
  <c r="I306" i="3"/>
  <c r="I310" i="3"/>
  <c r="I318" i="3"/>
  <c r="I330" i="3"/>
  <c r="I334" i="3"/>
  <c r="I339" i="3"/>
  <c r="I347" i="3"/>
  <c r="I351" i="3"/>
  <c r="I372" i="3"/>
  <c r="AD377" i="3"/>
  <c r="I379" i="3"/>
  <c r="I390" i="3"/>
  <c r="I395" i="3"/>
  <c r="I400" i="3"/>
  <c r="I407" i="3"/>
  <c r="I416" i="3"/>
  <c r="AD421" i="3"/>
  <c r="I423" i="3"/>
  <c r="I429" i="3"/>
  <c r="AC18" i="4"/>
  <c r="AD18" i="4" s="1"/>
  <c r="R62" i="4"/>
  <c r="K172" i="4"/>
  <c r="L124" i="4"/>
  <c r="R158" i="4"/>
  <c r="H166" i="4"/>
  <c r="I166" i="4" s="1"/>
  <c r="F166" i="4"/>
  <c r="F193" i="4"/>
  <c r="W88" i="5"/>
  <c r="X88" i="5" s="1"/>
  <c r="U88" i="5"/>
  <c r="E172" i="5"/>
  <c r="F124" i="5"/>
  <c r="AC166" i="5"/>
  <c r="AD166" i="5" s="1"/>
  <c r="AA166" i="5"/>
  <c r="W73" i="4"/>
  <c r="X73" i="4" s="1"/>
  <c r="W124" i="4"/>
  <c r="X124" i="4" s="1"/>
  <c r="Z172" i="4"/>
  <c r="H236" i="4"/>
  <c r="I236" i="4" s="1"/>
  <c r="AC295" i="4"/>
  <c r="AD295" i="4" s="1"/>
  <c r="AC325" i="4"/>
  <c r="AD325" i="4" s="1"/>
  <c r="N344" i="4"/>
  <c r="O344" i="4" s="1"/>
  <c r="N358" i="4"/>
  <c r="O358" i="4" s="1"/>
  <c r="H403" i="4"/>
  <c r="I403" i="4" s="1"/>
  <c r="F403" i="4"/>
  <c r="R198" i="4"/>
  <c r="F227" i="4"/>
  <c r="C325" i="4"/>
  <c r="N358" i="3"/>
  <c r="O358" i="3" s="1"/>
  <c r="AC124" i="4"/>
  <c r="AD124" i="4" s="1"/>
  <c r="R295" i="4"/>
  <c r="R172" i="4"/>
  <c r="W172" i="4"/>
  <c r="X172" i="4" s="1"/>
  <c r="H197" i="4"/>
  <c r="I197" i="4" s="1"/>
  <c r="H118" i="4"/>
  <c r="I118" i="4" s="1"/>
  <c r="W122" i="4"/>
  <c r="X122" i="4" s="1"/>
  <c r="H124" i="4"/>
  <c r="I124" i="4" s="1"/>
  <c r="AC141" i="4"/>
  <c r="AD141" i="4" s="1"/>
  <c r="H149" i="4"/>
  <c r="I149" i="4" s="1"/>
  <c r="H158" i="4"/>
  <c r="I158" i="4" s="1"/>
  <c r="AC171" i="4"/>
  <c r="AD171" i="4" s="1"/>
  <c r="N197" i="4"/>
  <c r="O197" i="4" s="1"/>
  <c r="N209" i="4"/>
  <c r="O209" i="4" s="1"/>
  <c r="N218" i="4"/>
  <c r="O218" i="4" s="1"/>
  <c r="N262" i="4"/>
  <c r="O262" i="4" s="1"/>
  <c r="H267" i="4"/>
  <c r="I267" i="4" s="1"/>
  <c r="N273" i="4"/>
  <c r="O273" i="4" s="1"/>
  <c r="W284" i="4"/>
  <c r="X284" i="4" s="1"/>
  <c r="H295" i="4"/>
  <c r="I295" i="4" s="1"/>
  <c r="W324" i="4"/>
  <c r="X324" i="4" s="1"/>
  <c r="H343" i="4"/>
  <c r="I343" i="4" s="1"/>
  <c r="AC368" i="4"/>
  <c r="AD368" i="4" s="1"/>
  <c r="W393" i="4"/>
  <c r="X393" i="4" s="1"/>
  <c r="AC393" i="4"/>
  <c r="AD393" i="4" s="1"/>
  <c r="AD434" i="4"/>
  <c r="AD426" i="4"/>
  <c r="AD423" i="4"/>
  <c r="AD420" i="4"/>
  <c r="AD437" i="4"/>
  <c r="AD414" i="4"/>
  <c r="AD402" i="4"/>
  <c r="AD388" i="4"/>
  <c r="AD418" i="4"/>
  <c r="AD438" i="4"/>
  <c r="AD433" i="4"/>
  <c r="AD425" i="4"/>
  <c r="AD422" i="4"/>
  <c r="W428" i="4"/>
  <c r="X428" i="4" s="1"/>
  <c r="U428" i="4"/>
  <c r="W149" i="5"/>
  <c r="X149" i="5" s="1"/>
  <c r="AC149" i="5"/>
  <c r="AD149" i="5" s="1"/>
  <c r="R149" i="5"/>
  <c r="AC262" i="4"/>
  <c r="AD262" i="4" s="1"/>
  <c r="AC273" i="4"/>
  <c r="AD273" i="4" s="1"/>
  <c r="N284" i="4"/>
  <c r="O284" i="4" s="1"/>
  <c r="N324" i="4"/>
  <c r="O324" i="4" s="1"/>
  <c r="AC342" i="4"/>
  <c r="AD342" i="4" s="1"/>
  <c r="AC344" i="4"/>
  <c r="AD344" i="4" s="1"/>
  <c r="R368" i="4"/>
  <c r="F393" i="4"/>
  <c r="W429" i="4"/>
  <c r="X429" i="4" s="1"/>
  <c r="AC429" i="4"/>
  <c r="AD429" i="4" s="1"/>
  <c r="R429" i="4"/>
  <c r="U325" i="4"/>
  <c r="F342" i="4"/>
  <c r="F344" i="4"/>
  <c r="W396" i="4"/>
  <c r="X396" i="4" s="1"/>
  <c r="R396" i="4"/>
  <c r="AC396" i="4"/>
  <c r="AD396" i="4" s="1"/>
  <c r="N118" i="4"/>
  <c r="O118" i="4" s="1"/>
  <c r="AC122" i="4"/>
  <c r="AD122" i="4" s="1"/>
  <c r="N124" i="4"/>
  <c r="O124" i="4" s="1"/>
  <c r="N149" i="4"/>
  <c r="O149" i="4" s="1"/>
  <c r="N158" i="4"/>
  <c r="O158" i="4" s="1"/>
  <c r="N166" i="4"/>
  <c r="O166" i="4" s="1"/>
  <c r="AC170" i="4"/>
  <c r="AD170" i="4" s="1"/>
  <c r="AC182" i="4"/>
  <c r="AD182" i="4" s="1"/>
  <c r="N193" i="4"/>
  <c r="O193" i="4" s="1"/>
  <c r="N196" i="4"/>
  <c r="O196" i="4" s="1"/>
  <c r="N295" i="4"/>
  <c r="O295" i="4" s="1"/>
  <c r="AC324" i="4"/>
  <c r="AD324" i="4" s="1"/>
  <c r="H149" i="5"/>
  <c r="I149" i="5" s="1"/>
  <c r="N149" i="5"/>
  <c r="O149" i="5" s="1"/>
  <c r="C149" i="5"/>
  <c r="H193" i="5"/>
  <c r="I193" i="5" s="1"/>
  <c r="N196" i="5"/>
  <c r="O196" i="5" s="1"/>
  <c r="AC196" i="5"/>
  <c r="AD196" i="5" s="1"/>
  <c r="W218" i="5"/>
  <c r="X218" i="5" s="1"/>
  <c r="O439" i="4"/>
  <c r="W442" i="4"/>
  <c r="X442" i="4" s="1"/>
  <c r="W122" i="5"/>
  <c r="X122" i="5" s="1"/>
  <c r="N171" i="5"/>
  <c r="O171" i="5" s="1"/>
  <c r="U198" i="5"/>
  <c r="T345" i="5"/>
  <c r="X432" i="4"/>
  <c r="X440" i="4"/>
  <c r="N40" i="5"/>
  <c r="O40" i="5" s="1"/>
  <c r="K172" i="5"/>
  <c r="Z198" i="5"/>
  <c r="X437" i="4"/>
  <c r="F442" i="4"/>
  <c r="N73" i="5"/>
  <c r="O73" i="5" s="1"/>
  <c r="C118" i="5"/>
  <c r="AA124" i="5"/>
  <c r="U148" i="5"/>
  <c r="W170" i="5"/>
  <c r="X170" i="5" s="1"/>
  <c r="AC171" i="5"/>
  <c r="AD171" i="5" s="1"/>
  <c r="W182" i="5"/>
  <c r="X182" i="5" s="1"/>
  <c r="C196" i="5"/>
  <c r="R196" i="5"/>
  <c r="O438" i="4"/>
  <c r="AC124" i="5"/>
  <c r="AD124" i="5" s="1"/>
  <c r="AC158" i="5"/>
  <c r="AD158" i="5" s="1"/>
  <c r="H166" i="5"/>
  <c r="I166" i="5" s="1"/>
  <c r="R170" i="5"/>
  <c r="C171" i="5"/>
  <c r="N429" i="4"/>
  <c r="O429" i="4" s="1"/>
  <c r="X436" i="4"/>
  <c r="H18" i="5"/>
  <c r="I18" i="5" s="1"/>
  <c r="H62" i="5"/>
  <c r="I62" i="5" s="1"/>
  <c r="B172" i="5"/>
  <c r="H124" i="5"/>
  <c r="I124" i="5" s="1"/>
  <c r="H158" i="5"/>
  <c r="I158" i="5" s="1"/>
  <c r="F170" i="5"/>
  <c r="F182" i="5"/>
  <c r="AC441" i="4"/>
  <c r="AD441" i="4" s="1"/>
  <c r="AC141" i="5"/>
  <c r="AD141" i="5" s="1"/>
  <c r="Q172" i="5"/>
  <c r="AC295" i="5"/>
  <c r="AD295" i="5" s="1"/>
  <c r="X322" i="5"/>
  <c r="X328" i="5"/>
  <c r="AD331" i="5"/>
  <c r="AD333" i="5"/>
  <c r="X338" i="5"/>
  <c r="AD341" i="5"/>
  <c r="R342" i="5"/>
  <c r="W342" i="5"/>
  <c r="X342" i="5" s="1"/>
  <c r="X343" i="5"/>
  <c r="N344" i="5"/>
  <c r="O344" i="5" s="1"/>
  <c r="AD351" i="5"/>
  <c r="AD355" i="5"/>
  <c r="AD362" i="5"/>
  <c r="AD366" i="5"/>
  <c r="N393" i="5"/>
  <c r="O393" i="5" s="1"/>
  <c r="AD395" i="5"/>
  <c r="R396" i="5"/>
  <c r="W396" i="5"/>
  <c r="X396" i="5" s="1"/>
  <c r="X408" i="5"/>
  <c r="AD412" i="5"/>
  <c r="AD416" i="5"/>
  <c r="AD427" i="5"/>
  <c r="AD428" i="5"/>
  <c r="AD433" i="5"/>
  <c r="O418" i="5"/>
  <c r="O433" i="5"/>
  <c r="O415" i="5"/>
  <c r="O412" i="5"/>
  <c r="O400" i="5"/>
  <c r="O390" i="5"/>
  <c r="O385" i="5"/>
  <c r="O380" i="5"/>
  <c r="O376" i="5"/>
  <c r="O372" i="5"/>
  <c r="O365" i="5"/>
  <c r="O361" i="5"/>
  <c r="O357" i="5"/>
  <c r="O353" i="5"/>
  <c r="O349" i="5"/>
  <c r="O422" i="5"/>
  <c r="O427" i="5"/>
  <c r="O424" i="5"/>
  <c r="O411" i="5"/>
  <c r="O408" i="5"/>
  <c r="O399" i="5"/>
  <c r="O389" i="5"/>
  <c r="O383" i="5"/>
  <c r="O379" i="5"/>
  <c r="O375" i="5"/>
  <c r="O371" i="5"/>
  <c r="O364" i="5"/>
  <c r="O360" i="5"/>
  <c r="O356" i="5"/>
  <c r="O352" i="5"/>
  <c r="O347" i="5"/>
  <c r="O338" i="5"/>
  <c r="O333" i="5"/>
  <c r="O329" i="5"/>
  <c r="W18" i="6"/>
  <c r="X18" i="6" s="1"/>
  <c r="N227" i="5"/>
  <c r="O227" i="5" s="1"/>
  <c r="AC236" i="5"/>
  <c r="AD236" i="5" s="1"/>
  <c r="N263" i="5"/>
  <c r="O263" i="5" s="1"/>
  <c r="N267" i="5"/>
  <c r="O267" i="5" s="1"/>
  <c r="N295" i="5"/>
  <c r="O295" i="5" s="1"/>
  <c r="H342" i="5"/>
  <c r="I342" i="5" s="1"/>
  <c r="AC403" i="5"/>
  <c r="AD403" i="5" s="1"/>
  <c r="X438" i="5"/>
  <c r="X423" i="5"/>
  <c r="X420" i="5"/>
  <c r="X407" i="5"/>
  <c r="X402" i="5"/>
  <c r="X398" i="5"/>
  <c r="X395" i="5"/>
  <c r="X392" i="5"/>
  <c r="X388" i="5"/>
  <c r="X382" i="5"/>
  <c r="X378" i="5"/>
  <c r="X374" i="5"/>
  <c r="X370" i="5"/>
  <c r="X367" i="5"/>
  <c r="X363" i="5"/>
  <c r="X355" i="5"/>
  <c r="X351" i="5"/>
  <c r="X341" i="5"/>
  <c r="X432" i="5"/>
  <c r="X437" i="5"/>
  <c r="X434" i="5"/>
  <c r="X419" i="5"/>
  <c r="X416" i="5"/>
  <c r="X401" i="5"/>
  <c r="X397" i="5"/>
  <c r="X394" i="5"/>
  <c r="X391" i="5"/>
  <c r="X386" i="5"/>
  <c r="X381" i="5"/>
  <c r="X377" i="5"/>
  <c r="X373" i="5"/>
  <c r="X369" i="5"/>
  <c r="X366" i="5"/>
  <c r="X362" i="5"/>
  <c r="X354" i="5"/>
  <c r="X350" i="5"/>
  <c r="X340" i="5"/>
  <c r="X335" i="5"/>
  <c r="X331" i="5"/>
  <c r="C227" i="5"/>
  <c r="F236" i="5"/>
  <c r="R236" i="5"/>
  <c r="U262" i="5"/>
  <c r="C263" i="5"/>
  <c r="C267" i="5"/>
  <c r="N284" i="5"/>
  <c r="O284" i="5" s="1"/>
  <c r="U324" i="5"/>
  <c r="F325" i="5"/>
  <c r="W325" i="5"/>
  <c r="X325" i="5" s="1"/>
  <c r="R344" i="5"/>
  <c r="W344" i="5"/>
  <c r="X344" i="5" s="1"/>
  <c r="R393" i="5"/>
  <c r="W393" i="5"/>
  <c r="X393" i="5" s="1"/>
  <c r="C396" i="5"/>
  <c r="L441" i="5"/>
  <c r="AD439" i="5"/>
  <c r="AD436" i="5"/>
  <c r="AD421" i="5"/>
  <c r="AD435" i="5"/>
  <c r="AD432" i="5"/>
  <c r="AD417" i="5"/>
  <c r="AC18" i="6"/>
  <c r="AD18" i="6" s="1"/>
  <c r="AA18" i="6"/>
  <c r="L40" i="6"/>
  <c r="AC40" i="6"/>
  <c r="AD40" i="6" s="1"/>
  <c r="AC227" i="5"/>
  <c r="AD227" i="5" s="1"/>
  <c r="AC263" i="5"/>
  <c r="AD263" i="5" s="1"/>
  <c r="AC267" i="5"/>
  <c r="AD267" i="5" s="1"/>
  <c r="AC284" i="5"/>
  <c r="AD284" i="5" s="1"/>
  <c r="H324" i="5"/>
  <c r="I324" i="5" s="1"/>
  <c r="F428" i="5"/>
  <c r="U428" i="5"/>
  <c r="R227" i="5"/>
  <c r="C344" i="5"/>
  <c r="R368" i="5"/>
  <c r="W368" i="5"/>
  <c r="X368" i="5" s="1"/>
  <c r="U442" i="5"/>
  <c r="X299" i="5"/>
  <c r="X307" i="5"/>
  <c r="AD313" i="5"/>
  <c r="X315" i="5"/>
  <c r="AD321" i="5"/>
  <c r="X323" i="5"/>
  <c r="AD332" i="5"/>
  <c r="AD334" i="5"/>
  <c r="AC342" i="5"/>
  <c r="AD342" i="5" s="1"/>
  <c r="H368" i="5"/>
  <c r="I368" i="5" s="1"/>
  <c r="AD371" i="5"/>
  <c r="AD375" i="5"/>
  <c r="AD379" i="5"/>
  <c r="AD383" i="5"/>
  <c r="AD389" i="5"/>
  <c r="AC396" i="5"/>
  <c r="AD396" i="5" s="1"/>
  <c r="AD400" i="5"/>
  <c r="R403" i="5"/>
  <c r="X414" i="5"/>
  <c r="X422" i="5"/>
  <c r="AD426" i="5"/>
  <c r="R429" i="5"/>
  <c r="X435" i="5"/>
  <c r="O436" i="5"/>
  <c r="O438" i="5"/>
  <c r="H295" i="5"/>
  <c r="I295" i="5" s="1"/>
  <c r="X312" i="5"/>
  <c r="X320" i="5"/>
  <c r="AC324" i="5"/>
  <c r="AD324" i="5" s="1"/>
  <c r="AD329" i="5"/>
  <c r="X333" i="5"/>
  <c r="N342" i="5"/>
  <c r="O342" i="5" s="1"/>
  <c r="AD369" i="5"/>
  <c r="AD373" i="5"/>
  <c r="AD377" i="5"/>
  <c r="AD381" i="5"/>
  <c r="AD386" i="5"/>
  <c r="AD391" i="5"/>
  <c r="N396" i="5"/>
  <c r="O396" i="5" s="1"/>
  <c r="AD398" i="5"/>
  <c r="H403" i="5"/>
  <c r="I403" i="5" s="1"/>
  <c r="N403" i="5"/>
  <c r="O403" i="5" s="1"/>
  <c r="AD409" i="5"/>
  <c r="X412" i="5"/>
  <c r="AD424" i="5"/>
  <c r="X427" i="5"/>
  <c r="H429" i="5"/>
  <c r="I429" i="5" s="1"/>
  <c r="N429" i="5"/>
  <c r="O429" i="5" s="1"/>
  <c r="X433" i="5"/>
  <c r="AC442" i="5"/>
  <c r="AD442" i="5" s="1"/>
  <c r="AA442" i="5"/>
  <c r="R29" i="6"/>
  <c r="W29" i="6"/>
  <c r="X29" i="6" s="1"/>
  <c r="W284" i="5"/>
  <c r="X284" i="5" s="1"/>
  <c r="N324" i="5"/>
  <c r="O324" i="5" s="1"/>
  <c r="AD337" i="5"/>
  <c r="AD339" i="5"/>
  <c r="AC344" i="5"/>
  <c r="AD344" i="5" s="1"/>
  <c r="AD349" i="5"/>
  <c r="AD353" i="5"/>
  <c r="AD357" i="5"/>
  <c r="AD360" i="5"/>
  <c r="AD364" i="5"/>
  <c r="AC393" i="5"/>
  <c r="AD393" i="5" s="1"/>
  <c r="C403" i="5"/>
  <c r="AD407" i="5"/>
  <c r="X410" i="5"/>
  <c r="AD422" i="5"/>
  <c r="X425" i="5"/>
  <c r="C429" i="5"/>
  <c r="I435" i="5"/>
  <c r="I432" i="5"/>
  <c r="I414" i="5"/>
  <c r="I426" i="5"/>
  <c r="I410" i="5"/>
  <c r="H29" i="6"/>
  <c r="I29" i="6" s="1"/>
  <c r="AD402" i="5"/>
  <c r="I413" i="5"/>
  <c r="AD438" i="5"/>
  <c r="H40" i="6"/>
  <c r="I40" i="6" s="1"/>
  <c r="N61" i="6"/>
  <c r="O61" i="6" s="1"/>
  <c r="AC61" i="6"/>
  <c r="AD61" i="6" s="1"/>
  <c r="AC170" i="6"/>
  <c r="AD170" i="6" s="1"/>
  <c r="AC171" i="6"/>
  <c r="AD171" i="6" s="1"/>
  <c r="F172" i="6"/>
  <c r="H193" i="6"/>
  <c r="I193" i="6" s="1"/>
  <c r="B198" i="6"/>
  <c r="N172" i="6"/>
  <c r="O172" i="6" s="1"/>
  <c r="C172" i="6"/>
  <c r="Q198" i="6"/>
  <c r="AC172" i="6"/>
  <c r="AD172" i="6" s="1"/>
  <c r="R172" i="6"/>
  <c r="R141" i="6"/>
  <c r="W141" i="6"/>
  <c r="X141" i="6" s="1"/>
  <c r="C148" i="6"/>
  <c r="H148" i="6"/>
  <c r="I148" i="6" s="1"/>
  <c r="AC149" i="6"/>
  <c r="AD149" i="6" s="1"/>
  <c r="H172" i="6"/>
  <c r="I172" i="6" s="1"/>
  <c r="R61" i="6"/>
  <c r="AC62" i="6"/>
  <c r="AD62" i="6" s="1"/>
  <c r="C124" i="6"/>
  <c r="R124" i="6"/>
  <c r="H141" i="6"/>
  <c r="I141" i="6" s="1"/>
  <c r="H171" i="6"/>
  <c r="I171" i="6" s="1"/>
  <c r="C171" i="6"/>
  <c r="E404" i="6"/>
  <c r="F345" i="6"/>
  <c r="C141" i="6"/>
  <c r="K198" i="6"/>
  <c r="L172" i="6"/>
  <c r="H61" i="6"/>
  <c r="I61" i="6" s="1"/>
  <c r="R62" i="6"/>
  <c r="N122" i="6"/>
  <c r="O122" i="6" s="1"/>
  <c r="F124" i="6"/>
  <c r="W124" i="6"/>
  <c r="X124" i="6" s="1"/>
  <c r="R170" i="6"/>
  <c r="T172" i="6"/>
  <c r="F198" i="6"/>
  <c r="AD418" i="5"/>
  <c r="AC441" i="5"/>
  <c r="AD441" i="5" s="1"/>
  <c r="N442" i="5"/>
  <c r="O442" i="5" s="1"/>
  <c r="N18" i="6"/>
  <c r="O18" i="6" s="1"/>
  <c r="N73" i="6"/>
  <c r="O73" i="6" s="1"/>
  <c r="AA73" i="6"/>
  <c r="L88" i="6"/>
  <c r="AA118" i="6"/>
  <c r="H124" i="6"/>
  <c r="I124" i="6" s="1"/>
  <c r="Z198" i="6"/>
  <c r="AA172" i="6"/>
  <c r="R149" i="6"/>
  <c r="N343" i="5"/>
  <c r="O343" i="5" s="1"/>
  <c r="N358" i="5"/>
  <c r="O358" i="5" s="1"/>
  <c r="I417" i="5"/>
  <c r="AC141" i="6"/>
  <c r="AD141" i="6" s="1"/>
  <c r="N148" i="6"/>
  <c r="O148" i="6" s="1"/>
  <c r="N171" i="6"/>
  <c r="O171" i="6" s="1"/>
  <c r="W196" i="6"/>
  <c r="X196" i="6" s="1"/>
  <c r="R196" i="6"/>
  <c r="AD414" i="5"/>
  <c r="N428" i="5"/>
  <c r="O428" i="5" s="1"/>
  <c r="N124" i="6"/>
  <c r="O124" i="6" s="1"/>
  <c r="AC124" i="6"/>
  <c r="AD124" i="6" s="1"/>
  <c r="N141" i="6"/>
  <c r="O141" i="6" s="1"/>
  <c r="W158" i="6"/>
  <c r="X158" i="6" s="1"/>
  <c r="W166" i="6"/>
  <c r="X166" i="6" s="1"/>
  <c r="N182" i="6"/>
  <c r="O182" i="6" s="1"/>
  <c r="W193" i="6"/>
  <c r="X193" i="6" s="1"/>
  <c r="R227" i="6"/>
  <c r="AC263" i="6"/>
  <c r="AD263" i="6" s="1"/>
  <c r="H295" i="6"/>
  <c r="I295" i="6" s="1"/>
  <c r="F295" i="6"/>
  <c r="W267" i="6"/>
  <c r="X267" i="6" s="1"/>
  <c r="H342" i="6"/>
  <c r="I342" i="6" s="1"/>
  <c r="N342" i="6"/>
  <c r="O342" i="6" s="1"/>
  <c r="C342" i="6"/>
  <c r="H273" i="6"/>
  <c r="I273" i="6" s="1"/>
  <c r="C273" i="6"/>
  <c r="U295" i="6"/>
  <c r="W295" i="6"/>
  <c r="X295" i="6" s="1"/>
  <c r="H344" i="6"/>
  <c r="I344" i="6" s="1"/>
  <c r="C344" i="6"/>
  <c r="N344" i="6"/>
  <c r="O344" i="6" s="1"/>
  <c r="N209" i="6"/>
  <c r="O209" i="6" s="1"/>
  <c r="N218" i="6"/>
  <c r="O218" i="6" s="1"/>
  <c r="H262" i="6"/>
  <c r="I262" i="6" s="1"/>
  <c r="C262" i="6"/>
  <c r="AC148" i="6"/>
  <c r="AD148" i="6" s="1"/>
  <c r="N166" i="6"/>
  <c r="O166" i="6" s="1"/>
  <c r="AC197" i="6"/>
  <c r="AD197" i="6" s="1"/>
  <c r="N236" i="6"/>
  <c r="O236" i="6" s="1"/>
  <c r="N295" i="6"/>
  <c r="O295" i="6" s="1"/>
  <c r="W227" i="6"/>
  <c r="X227" i="6" s="1"/>
  <c r="AC344" i="6"/>
  <c r="AD344" i="6" s="1"/>
  <c r="N284" i="6"/>
  <c r="O284" i="6" s="1"/>
  <c r="C324" i="6"/>
  <c r="H324" i="6"/>
  <c r="I324" i="6" s="1"/>
  <c r="AC342" i="6"/>
  <c r="AD342" i="6" s="1"/>
  <c r="W441" i="6"/>
  <c r="X441" i="6" s="1"/>
  <c r="F441" i="6"/>
  <c r="R393" i="6"/>
  <c r="W393" i="6"/>
  <c r="X393" i="6" s="1"/>
  <c r="AC273" i="6"/>
  <c r="AD273" i="6" s="1"/>
  <c r="L368" i="6"/>
  <c r="H442" i="6"/>
  <c r="I442" i="6" s="1"/>
  <c r="N442" i="6"/>
  <c r="O442" i="6" s="1"/>
  <c r="F343" i="6"/>
  <c r="W343" i="6"/>
  <c r="X343" i="6" s="1"/>
  <c r="H393" i="6"/>
  <c r="I393" i="6" s="1"/>
  <c r="C393" i="6"/>
  <c r="C442" i="6"/>
  <c r="W325" i="6"/>
  <c r="X325" i="6" s="1"/>
  <c r="AC325" i="6"/>
  <c r="AD325" i="6" s="1"/>
  <c r="H358" i="6"/>
  <c r="I358" i="6" s="1"/>
  <c r="X392" i="6"/>
  <c r="C396" i="6"/>
  <c r="R428" i="6"/>
  <c r="H61" i="7"/>
  <c r="I61" i="7" s="1"/>
  <c r="AC61" i="7"/>
  <c r="AD61" i="7" s="1"/>
  <c r="N62" i="7"/>
  <c r="O62" i="7" s="1"/>
  <c r="C62" i="7"/>
  <c r="W118" i="7"/>
  <c r="X118" i="7" s="1"/>
  <c r="U118" i="7"/>
  <c r="H122" i="7"/>
  <c r="I122" i="7" s="1"/>
  <c r="N122" i="7"/>
  <c r="O122" i="7" s="1"/>
  <c r="C122" i="7"/>
  <c r="T172" i="7"/>
  <c r="W124" i="7"/>
  <c r="X124" i="7" s="1"/>
  <c r="U124" i="7"/>
  <c r="I438" i="6"/>
  <c r="I434" i="6"/>
  <c r="H29" i="7"/>
  <c r="I29" i="7" s="1"/>
  <c r="I312" i="6"/>
  <c r="I328" i="6"/>
  <c r="I355" i="6"/>
  <c r="H368" i="6"/>
  <c r="I368" i="6" s="1"/>
  <c r="I395" i="6"/>
  <c r="AC403" i="6"/>
  <c r="AD403" i="6" s="1"/>
  <c r="X410" i="6"/>
  <c r="X418" i="6"/>
  <c r="X426" i="6"/>
  <c r="AC29" i="7"/>
  <c r="AD29" i="7" s="1"/>
  <c r="N40" i="7"/>
  <c r="O40" i="7" s="1"/>
  <c r="R61" i="7"/>
  <c r="H62" i="7"/>
  <c r="I62" i="7" s="1"/>
  <c r="R88" i="7"/>
  <c r="F172" i="7"/>
  <c r="E198" i="7"/>
  <c r="I370" i="6"/>
  <c r="I375" i="6"/>
  <c r="I378" i="6"/>
  <c r="I383" i="6"/>
  <c r="I388" i="6"/>
  <c r="AC396" i="6"/>
  <c r="AD396" i="6" s="1"/>
  <c r="I401" i="6"/>
  <c r="N429" i="6"/>
  <c r="O429" i="6" s="1"/>
  <c r="I433" i="6"/>
  <c r="H88" i="7"/>
  <c r="I88" i="7" s="1"/>
  <c r="N88" i="7"/>
  <c r="O88" i="7" s="1"/>
  <c r="I394" i="6"/>
  <c r="H396" i="6"/>
  <c r="I396" i="6" s="1"/>
  <c r="I407" i="6"/>
  <c r="I410" i="6"/>
  <c r="I415" i="6"/>
  <c r="I418" i="6"/>
  <c r="I423" i="6"/>
  <c r="I426" i="6"/>
  <c r="W428" i="6"/>
  <c r="X428" i="6" s="1"/>
  <c r="I435" i="6"/>
  <c r="H18" i="7"/>
  <c r="I18" i="7" s="1"/>
  <c r="B198" i="7"/>
  <c r="H172" i="7"/>
  <c r="I172" i="7" s="1"/>
  <c r="Z345" i="7"/>
  <c r="AA198" i="7"/>
  <c r="N73" i="7"/>
  <c r="O73" i="7" s="1"/>
  <c r="W141" i="7"/>
  <c r="X141" i="7" s="1"/>
  <c r="AC148" i="7"/>
  <c r="AD148" i="7" s="1"/>
  <c r="C170" i="7"/>
  <c r="R171" i="7"/>
  <c r="C172" i="7"/>
  <c r="AA172" i="7"/>
  <c r="W197" i="7"/>
  <c r="X197" i="7" s="1"/>
  <c r="AC197" i="7"/>
  <c r="AD197" i="7" s="1"/>
  <c r="N209" i="7"/>
  <c r="O209" i="7" s="1"/>
  <c r="N158" i="7"/>
  <c r="O158" i="7" s="1"/>
  <c r="K172" i="7"/>
  <c r="W209" i="7"/>
  <c r="X209" i="7" s="1"/>
  <c r="R209" i="7"/>
  <c r="R227" i="7"/>
  <c r="W227" i="7"/>
  <c r="X227" i="7" s="1"/>
  <c r="AC227" i="7"/>
  <c r="AD227" i="7" s="1"/>
  <c r="F141" i="7"/>
  <c r="C148" i="7"/>
  <c r="R148" i="7"/>
  <c r="F171" i="7"/>
  <c r="H197" i="7"/>
  <c r="I197" i="7" s="1"/>
  <c r="C197" i="7"/>
  <c r="N172" i="7"/>
  <c r="O172" i="7" s="1"/>
  <c r="AC62" i="7"/>
  <c r="AD62" i="7" s="1"/>
  <c r="U158" i="7"/>
  <c r="AC209" i="7"/>
  <c r="AD209" i="7" s="1"/>
  <c r="H218" i="7"/>
  <c r="I218" i="7" s="1"/>
  <c r="C218" i="7"/>
  <c r="N218" i="7"/>
  <c r="O218" i="7" s="1"/>
  <c r="N124" i="7"/>
  <c r="O124" i="7" s="1"/>
  <c r="U149" i="7"/>
  <c r="N170" i="7"/>
  <c r="O170" i="7" s="1"/>
  <c r="AC171" i="7"/>
  <c r="AD171" i="7" s="1"/>
  <c r="W196" i="7"/>
  <c r="X196" i="7" s="1"/>
  <c r="R196" i="7"/>
  <c r="AC218" i="7"/>
  <c r="AD218" i="7" s="1"/>
  <c r="N236" i="7"/>
  <c r="O236" i="7" s="1"/>
  <c r="AC141" i="7"/>
  <c r="AD141" i="7" s="1"/>
  <c r="R182" i="7"/>
  <c r="W182" i="7"/>
  <c r="X182" i="7" s="1"/>
  <c r="H273" i="7"/>
  <c r="I273" i="7" s="1"/>
  <c r="H267" i="7"/>
  <c r="I267" i="7" s="1"/>
  <c r="F262" i="7"/>
  <c r="H262" i="7"/>
  <c r="I262" i="7" s="1"/>
  <c r="AC263" i="7"/>
  <c r="AD263" i="7" s="1"/>
  <c r="R263" i="7"/>
  <c r="N273" i="7"/>
  <c r="O273" i="7" s="1"/>
  <c r="Q172" i="7"/>
  <c r="R273" i="7"/>
  <c r="W273" i="7"/>
  <c r="X273" i="7" s="1"/>
  <c r="AC273" i="7"/>
  <c r="AD273" i="7" s="1"/>
  <c r="N263" i="7"/>
  <c r="O263" i="7" s="1"/>
  <c r="W263" i="7"/>
  <c r="X263" i="7" s="1"/>
  <c r="AA324" i="7"/>
  <c r="AC324" i="7"/>
  <c r="AD324" i="7" s="1"/>
  <c r="H209" i="7"/>
  <c r="I209" i="7" s="1"/>
  <c r="C209" i="7"/>
  <c r="W236" i="7"/>
  <c r="X236" i="7" s="1"/>
  <c r="N295" i="7"/>
  <c r="O295" i="7" s="1"/>
  <c r="C295" i="7"/>
  <c r="U324" i="7"/>
  <c r="W342" i="7"/>
  <c r="X342" i="7" s="1"/>
  <c r="AC343" i="7"/>
  <c r="AD343" i="7" s="1"/>
  <c r="U368" i="7"/>
  <c r="W368" i="7"/>
  <c r="X368" i="7" s="1"/>
  <c r="N343" i="7"/>
  <c r="O343" i="7" s="1"/>
  <c r="W358" i="7"/>
  <c r="X358" i="7" s="1"/>
  <c r="AC358" i="7"/>
  <c r="AD358" i="7" s="1"/>
  <c r="C368" i="7"/>
  <c r="H428" i="7"/>
  <c r="I428" i="7" s="1"/>
  <c r="N428" i="7"/>
  <c r="O428" i="7" s="1"/>
  <c r="C428" i="7"/>
  <c r="N325" i="7"/>
  <c r="O325" i="7" s="1"/>
  <c r="L342" i="7"/>
  <c r="R343" i="7"/>
  <c r="N193" i="7"/>
  <c r="O193" i="7" s="1"/>
  <c r="N196" i="7"/>
  <c r="O196" i="7" s="1"/>
  <c r="N227" i="7"/>
  <c r="O227" i="7" s="1"/>
  <c r="AC236" i="7"/>
  <c r="AD236" i="7" s="1"/>
  <c r="AC262" i="7"/>
  <c r="AD262" i="7" s="1"/>
  <c r="L396" i="7"/>
  <c r="N403" i="7"/>
  <c r="O403" i="7" s="1"/>
  <c r="C403" i="7"/>
  <c r="W325" i="7"/>
  <c r="X325" i="7" s="1"/>
  <c r="N368" i="7"/>
  <c r="O368" i="7" s="1"/>
  <c r="W442" i="7"/>
  <c r="X442" i="7" s="1"/>
  <c r="U442" i="7"/>
  <c r="R441" i="7"/>
  <c r="F441" i="7"/>
  <c r="AC441" i="7"/>
  <c r="AD441" i="7" s="1"/>
  <c r="N429" i="7"/>
  <c r="O429" i="7" s="1"/>
  <c r="N441" i="7"/>
  <c r="O441" i="7" s="1"/>
  <c r="AC342" i="7"/>
  <c r="AD342" i="7" s="1"/>
  <c r="AC344" i="7"/>
  <c r="AD344" i="7" s="1"/>
  <c r="AC368" i="7"/>
  <c r="AD368" i="7" s="1"/>
  <c r="AC393" i="7"/>
  <c r="AD393" i="7" s="1"/>
  <c r="AC396" i="7"/>
  <c r="AD396" i="7" s="1"/>
  <c r="AC403" i="7"/>
  <c r="AD403" i="7" s="1"/>
  <c r="AC442" i="7"/>
  <c r="AD442" i="7" s="1"/>
  <c r="I407" i="7"/>
  <c r="AA345" i="7" l="1"/>
  <c r="Z404" i="7"/>
  <c r="T198" i="6"/>
  <c r="U172" i="6"/>
  <c r="K345" i="6"/>
  <c r="L198" i="6"/>
  <c r="Z198" i="4"/>
  <c r="AA172" i="4"/>
  <c r="AA404" i="2"/>
  <c r="Z443" i="2"/>
  <c r="AA443" i="2" s="1"/>
  <c r="N172" i="1"/>
  <c r="O172" i="1" s="1"/>
  <c r="C172" i="1"/>
  <c r="H172" i="1"/>
  <c r="I172" i="1" s="1"/>
  <c r="B198" i="1"/>
  <c r="E345" i="1"/>
  <c r="F198" i="1"/>
  <c r="AC172" i="4"/>
  <c r="AD172" i="4" s="1"/>
  <c r="T345" i="4"/>
  <c r="U198" i="4"/>
  <c r="E345" i="7"/>
  <c r="F198" i="7"/>
  <c r="B345" i="7"/>
  <c r="C198" i="7"/>
  <c r="H198" i="7"/>
  <c r="I198" i="7" s="1"/>
  <c r="Z345" i="5"/>
  <c r="AA198" i="5"/>
  <c r="Q345" i="3"/>
  <c r="R198" i="3"/>
  <c r="AC198" i="3"/>
  <c r="AD198" i="3" s="1"/>
  <c r="U345" i="1"/>
  <c r="T404" i="1"/>
  <c r="K198" i="7"/>
  <c r="N198" i="7" s="1"/>
  <c r="O198" i="7" s="1"/>
  <c r="L172" i="7"/>
  <c r="K198" i="5"/>
  <c r="L172" i="5"/>
  <c r="B345" i="3"/>
  <c r="N198" i="3"/>
  <c r="O198" i="3" s="1"/>
  <c r="C198" i="3"/>
  <c r="T198" i="3"/>
  <c r="W198" i="3" s="1"/>
  <c r="X198" i="3" s="1"/>
  <c r="U172" i="3"/>
  <c r="F172" i="2"/>
  <c r="E198" i="2"/>
  <c r="B345" i="2"/>
  <c r="C198" i="2"/>
  <c r="W172" i="6"/>
  <c r="X172" i="6" s="1"/>
  <c r="N172" i="5"/>
  <c r="O172" i="5" s="1"/>
  <c r="C172" i="5"/>
  <c r="H172" i="5"/>
  <c r="I172" i="5" s="1"/>
  <c r="B198" i="5"/>
  <c r="Z198" i="1"/>
  <c r="AA172" i="1"/>
  <c r="Z345" i="6"/>
  <c r="AA198" i="6"/>
  <c r="W172" i="5"/>
  <c r="X172" i="5" s="1"/>
  <c r="AC172" i="5"/>
  <c r="AD172" i="5" s="1"/>
  <c r="Q198" i="5"/>
  <c r="R172" i="5"/>
  <c r="E198" i="3"/>
  <c r="F172" i="3"/>
  <c r="B198" i="4"/>
  <c r="N172" i="4"/>
  <c r="O172" i="4" s="1"/>
  <c r="H172" i="4"/>
  <c r="I172" i="4" s="1"/>
  <c r="C172" i="4"/>
  <c r="K345" i="1"/>
  <c r="L198" i="1"/>
  <c r="AA198" i="3"/>
  <c r="Z345" i="3"/>
  <c r="W198" i="1"/>
  <c r="X198" i="1" s="1"/>
  <c r="Q345" i="1"/>
  <c r="R198" i="1"/>
  <c r="AC198" i="1"/>
  <c r="AD198" i="1" s="1"/>
  <c r="E443" i="6"/>
  <c r="F443" i="6" s="1"/>
  <c r="F404" i="6"/>
  <c r="Q345" i="6"/>
  <c r="W198" i="6"/>
  <c r="X198" i="6" s="1"/>
  <c r="R198" i="6"/>
  <c r="AC198" i="6"/>
  <c r="AD198" i="6" s="1"/>
  <c r="Q198" i="7"/>
  <c r="R172" i="7"/>
  <c r="AC172" i="7"/>
  <c r="AD172" i="7" s="1"/>
  <c r="W172" i="7"/>
  <c r="X172" i="7" s="1"/>
  <c r="U172" i="7"/>
  <c r="T198" i="7"/>
  <c r="B345" i="6"/>
  <c r="N198" i="6"/>
  <c r="O198" i="6" s="1"/>
  <c r="C198" i="6"/>
  <c r="H198" i="6"/>
  <c r="I198" i="6" s="1"/>
  <c r="E198" i="5"/>
  <c r="F172" i="5"/>
  <c r="L172" i="4"/>
  <c r="K198" i="4"/>
  <c r="F172" i="4"/>
  <c r="E198" i="4"/>
  <c r="Q443" i="4"/>
  <c r="R404" i="4"/>
  <c r="U172" i="2"/>
  <c r="T198" i="2"/>
  <c r="AC172" i="2"/>
  <c r="AD172" i="2" s="1"/>
  <c r="Q198" i="2"/>
  <c r="W172" i="2"/>
  <c r="X172" i="2" s="1"/>
  <c r="R172" i="2"/>
  <c r="L172" i="2"/>
  <c r="K198" i="2"/>
  <c r="AC172" i="1"/>
  <c r="AD172" i="1" s="1"/>
  <c r="T404" i="5"/>
  <c r="U345" i="5"/>
  <c r="K404" i="3"/>
  <c r="L345" i="3"/>
  <c r="K345" i="2" l="1"/>
  <c r="L198" i="2"/>
  <c r="E345" i="5"/>
  <c r="F198" i="5"/>
  <c r="E345" i="4"/>
  <c r="F198" i="4"/>
  <c r="W345" i="1"/>
  <c r="X345" i="1" s="1"/>
  <c r="Q404" i="1"/>
  <c r="R345" i="1"/>
  <c r="U404" i="5"/>
  <c r="T443" i="5"/>
  <c r="U443" i="5" s="1"/>
  <c r="U198" i="2"/>
  <c r="T345" i="2"/>
  <c r="K345" i="4"/>
  <c r="L198" i="4"/>
  <c r="T345" i="7"/>
  <c r="U198" i="7"/>
  <c r="Z404" i="3"/>
  <c r="AA345" i="3"/>
  <c r="K443" i="3"/>
  <c r="L443" i="3" s="1"/>
  <c r="L404" i="3"/>
  <c r="Q404" i="6"/>
  <c r="AC345" i="6"/>
  <c r="AD345" i="6" s="1"/>
  <c r="R345" i="6"/>
  <c r="E345" i="3"/>
  <c r="F198" i="3"/>
  <c r="AA198" i="1"/>
  <c r="Z345" i="1"/>
  <c r="N198" i="2"/>
  <c r="O198" i="2" s="1"/>
  <c r="B404" i="3"/>
  <c r="H345" i="3"/>
  <c r="I345" i="3" s="1"/>
  <c r="C345" i="3"/>
  <c r="N345" i="3"/>
  <c r="O345" i="3" s="1"/>
  <c r="E404" i="1"/>
  <c r="F345" i="1"/>
  <c r="AA198" i="4"/>
  <c r="Z345" i="4"/>
  <c r="AC198" i="4"/>
  <c r="AD198" i="4" s="1"/>
  <c r="B345" i="5"/>
  <c r="H198" i="5"/>
  <c r="I198" i="5" s="1"/>
  <c r="N198" i="5"/>
  <c r="O198" i="5" s="1"/>
  <c r="C198" i="5"/>
  <c r="N345" i="2"/>
  <c r="O345" i="2" s="1"/>
  <c r="B404" i="2"/>
  <c r="C345" i="2"/>
  <c r="H198" i="3"/>
  <c r="I198" i="3" s="1"/>
  <c r="C345" i="7"/>
  <c r="B404" i="7"/>
  <c r="H345" i="7"/>
  <c r="I345" i="7" s="1"/>
  <c r="C198" i="1"/>
  <c r="B345" i="1"/>
  <c r="N198" i="1"/>
  <c r="O198" i="1" s="1"/>
  <c r="H198" i="1"/>
  <c r="I198" i="1" s="1"/>
  <c r="K404" i="1"/>
  <c r="L345" i="1"/>
  <c r="Q345" i="5"/>
  <c r="W198" i="5"/>
  <c r="X198" i="5" s="1"/>
  <c r="AC198" i="5"/>
  <c r="AD198" i="5" s="1"/>
  <c r="R198" i="5"/>
  <c r="E345" i="2"/>
  <c r="H345" i="2" s="1"/>
  <c r="I345" i="2" s="1"/>
  <c r="F198" i="2"/>
  <c r="L345" i="6"/>
  <c r="K404" i="6"/>
  <c r="K345" i="5"/>
  <c r="L198" i="5"/>
  <c r="W345" i="3"/>
  <c r="X345" i="3" s="1"/>
  <c r="Q404" i="3"/>
  <c r="R345" i="3"/>
  <c r="AC345" i="3"/>
  <c r="AD345" i="3" s="1"/>
  <c r="E404" i="7"/>
  <c r="F345" i="7"/>
  <c r="Q345" i="7"/>
  <c r="R198" i="7"/>
  <c r="AC198" i="7"/>
  <c r="AD198" i="7" s="1"/>
  <c r="W198" i="7"/>
  <c r="X198" i="7" s="1"/>
  <c r="T345" i="6"/>
  <c r="U198" i="6"/>
  <c r="U198" i="3"/>
  <c r="T345" i="3"/>
  <c r="K345" i="7"/>
  <c r="L198" i="7"/>
  <c r="AA345" i="5"/>
  <c r="Z404" i="5"/>
  <c r="T404" i="4"/>
  <c r="U345" i="4"/>
  <c r="W345" i="4"/>
  <c r="X345" i="4" s="1"/>
  <c r="AA404" i="7"/>
  <c r="Z443" i="7"/>
  <c r="AA443" i="7" s="1"/>
  <c r="R443" i="4"/>
  <c r="Q345" i="2"/>
  <c r="W198" i="2"/>
  <c r="X198" i="2" s="1"/>
  <c r="R198" i="2"/>
  <c r="AC198" i="2"/>
  <c r="AD198" i="2" s="1"/>
  <c r="B404" i="6"/>
  <c r="N345" i="6"/>
  <c r="O345" i="6" s="1"/>
  <c r="H345" i="6"/>
  <c r="I345" i="6" s="1"/>
  <c r="C345" i="6"/>
  <c r="C198" i="4"/>
  <c r="B345" i="4"/>
  <c r="N198" i="4"/>
  <c r="O198" i="4" s="1"/>
  <c r="H198" i="4"/>
  <c r="I198" i="4" s="1"/>
  <c r="Z404" i="6"/>
  <c r="AA345" i="6"/>
  <c r="H198" i="2"/>
  <c r="I198" i="2" s="1"/>
  <c r="T443" i="1"/>
  <c r="U443" i="1" s="1"/>
  <c r="U404" i="1"/>
  <c r="R404" i="1" l="1"/>
  <c r="W404" i="1"/>
  <c r="X404" i="1" s="1"/>
  <c r="Q443" i="1"/>
  <c r="C404" i="3"/>
  <c r="B443" i="3"/>
  <c r="N404" i="3"/>
  <c r="O404" i="3" s="1"/>
  <c r="Z443" i="5"/>
  <c r="AA443" i="5" s="1"/>
  <c r="AA404" i="5"/>
  <c r="Q443" i="3"/>
  <c r="R404" i="3"/>
  <c r="AC404" i="3"/>
  <c r="AD404" i="3" s="1"/>
  <c r="B404" i="1"/>
  <c r="C345" i="1"/>
  <c r="N345" i="1"/>
  <c r="O345" i="1" s="1"/>
  <c r="H345" i="1"/>
  <c r="I345" i="1" s="1"/>
  <c r="B443" i="2"/>
  <c r="C404" i="2"/>
  <c r="AA345" i="4"/>
  <c r="Z404" i="4"/>
  <c r="AC345" i="4"/>
  <c r="AD345" i="4" s="1"/>
  <c r="R404" i="6"/>
  <c r="Q443" i="6"/>
  <c r="W404" i="6"/>
  <c r="X404" i="6" s="1"/>
  <c r="AC404" i="6"/>
  <c r="AD404" i="6" s="1"/>
  <c r="L345" i="4"/>
  <c r="K404" i="4"/>
  <c r="Z404" i="1"/>
  <c r="AA345" i="1"/>
  <c r="U345" i="2"/>
  <c r="T404" i="2"/>
  <c r="E404" i="4"/>
  <c r="F345" i="4"/>
  <c r="B404" i="4"/>
  <c r="C345" i="4"/>
  <c r="N345" i="4"/>
  <c r="O345" i="4" s="1"/>
  <c r="H345" i="4"/>
  <c r="I345" i="4" s="1"/>
  <c r="C345" i="5"/>
  <c r="N345" i="5"/>
  <c r="O345" i="5" s="1"/>
  <c r="B404" i="5"/>
  <c r="H345" i="5"/>
  <c r="I345" i="5" s="1"/>
  <c r="R345" i="2"/>
  <c r="Q404" i="2"/>
  <c r="W345" i="2"/>
  <c r="X345" i="2" s="1"/>
  <c r="AC345" i="2"/>
  <c r="AD345" i="2" s="1"/>
  <c r="T404" i="6"/>
  <c r="U345" i="6"/>
  <c r="E404" i="2"/>
  <c r="F345" i="2"/>
  <c r="B443" i="6"/>
  <c r="N404" i="6"/>
  <c r="O404" i="6" s="1"/>
  <c r="C404" i="6"/>
  <c r="H404" i="6"/>
  <c r="I404" i="6" s="1"/>
  <c r="L345" i="7"/>
  <c r="K404" i="7"/>
  <c r="N404" i="7" s="1"/>
  <c r="O404" i="7" s="1"/>
  <c r="W345" i="7"/>
  <c r="X345" i="7" s="1"/>
  <c r="R345" i="7"/>
  <c r="Q404" i="7"/>
  <c r="AC345" i="7"/>
  <c r="AD345" i="7" s="1"/>
  <c r="L345" i="5"/>
  <c r="K404" i="5"/>
  <c r="AC345" i="5"/>
  <c r="AD345" i="5" s="1"/>
  <c r="W345" i="5"/>
  <c r="X345" i="5" s="1"/>
  <c r="R345" i="5"/>
  <c r="Q404" i="5"/>
  <c r="N345" i="7"/>
  <c r="O345" i="7" s="1"/>
  <c r="F404" i="1"/>
  <c r="E443" i="1"/>
  <c r="F443" i="1" s="1"/>
  <c r="U345" i="3"/>
  <c r="T404" i="3"/>
  <c r="W404" i="3" s="1"/>
  <c r="X404" i="3" s="1"/>
  <c r="L404" i="6"/>
  <c r="K443" i="6"/>
  <c r="L443" i="6" s="1"/>
  <c r="C404" i="7"/>
  <c r="B443" i="7"/>
  <c r="H404" i="7"/>
  <c r="I404" i="7" s="1"/>
  <c r="F345" i="3"/>
  <c r="E404" i="3"/>
  <c r="H404" i="3" s="1"/>
  <c r="I404" i="3" s="1"/>
  <c r="AA404" i="3"/>
  <c r="Z443" i="3"/>
  <c r="AA443" i="3" s="1"/>
  <c r="E404" i="5"/>
  <c r="F345" i="5"/>
  <c r="T443" i="4"/>
  <c r="U404" i="4"/>
  <c r="W404" i="4"/>
  <c r="X404" i="4" s="1"/>
  <c r="Z443" i="6"/>
  <c r="AA443" i="6" s="1"/>
  <c r="AA404" i="6"/>
  <c r="E443" i="7"/>
  <c r="F443" i="7" s="1"/>
  <c r="F404" i="7"/>
  <c r="K443" i="1"/>
  <c r="L443" i="1" s="1"/>
  <c r="L404" i="1"/>
  <c r="W345" i="6"/>
  <c r="X345" i="6" s="1"/>
  <c r="AC345" i="1"/>
  <c r="AD345" i="1" s="1"/>
  <c r="T404" i="7"/>
  <c r="U345" i="7"/>
  <c r="K404" i="2"/>
  <c r="N404" i="2" s="1"/>
  <c r="O404" i="2" s="1"/>
  <c r="L345" i="2"/>
  <c r="AA404" i="1" l="1"/>
  <c r="Z443" i="1"/>
  <c r="AA443" i="1" s="1"/>
  <c r="Z443" i="4"/>
  <c r="AA404" i="4"/>
  <c r="AC404" i="4"/>
  <c r="AD404" i="4" s="1"/>
  <c r="U443" i="4"/>
  <c r="W443" i="4"/>
  <c r="X443" i="4" s="1"/>
  <c r="R404" i="2"/>
  <c r="Q443" i="2"/>
  <c r="AC404" i="2"/>
  <c r="AD404" i="2" s="1"/>
  <c r="W404" i="2"/>
  <c r="X404" i="2" s="1"/>
  <c r="K443" i="4"/>
  <c r="L443" i="4" s="1"/>
  <c r="L404" i="4"/>
  <c r="B443" i="1"/>
  <c r="C404" i="1"/>
  <c r="N404" i="1"/>
  <c r="O404" i="1" s="1"/>
  <c r="H404" i="1"/>
  <c r="I404" i="1" s="1"/>
  <c r="C443" i="7"/>
  <c r="H443" i="7"/>
  <c r="I443" i="7" s="1"/>
  <c r="W404" i="7"/>
  <c r="X404" i="7" s="1"/>
  <c r="Q443" i="7"/>
  <c r="R404" i="7"/>
  <c r="AC404" i="7"/>
  <c r="AD404" i="7" s="1"/>
  <c r="C443" i="6"/>
  <c r="N443" i="6"/>
  <c r="O443" i="6" s="1"/>
  <c r="H443" i="6"/>
  <c r="I443" i="6" s="1"/>
  <c r="C404" i="4"/>
  <c r="B443" i="4"/>
  <c r="N404" i="4"/>
  <c r="O404" i="4" s="1"/>
  <c r="H404" i="4"/>
  <c r="I404" i="4" s="1"/>
  <c r="C443" i="3"/>
  <c r="N443" i="3"/>
  <c r="O443" i="3" s="1"/>
  <c r="F404" i="2"/>
  <c r="E443" i="2"/>
  <c r="F443" i="2" s="1"/>
  <c r="H404" i="5"/>
  <c r="I404" i="5" s="1"/>
  <c r="B443" i="5"/>
  <c r="N404" i="5"/>
  <c r="O404" i="5" s="1"/>
  <c r="C404" i="5"/>
  <c r="E443" i="4"/>
  <c r="F443" i="4" s="1"/>
  <c r="F404" i="4"/>
  <c r="H404" i="2"/>
  <c r="I404" i="2" s="1"/>
  <c r="AC404" i="1"/>
  <c r="AD404" i="1" s="1"/>
  <c r="F404" i="5"/>
  <c r="E443" i="5"/>
  <c r="F443" i="5" s="1"/>
  <c r="R443" i="6"/>
  <c r="AC443" i="6"/>
  <c r="AD443" i="6" s="1"/>
  <c r="C443" i="2"/>
  <c r="H443" i="2"/>
  <c r="I443" i="2" s="1"/>
  <c r="R443" i="3"/>
  <c r="AC443" i="3"/>
  <c r="AD443" i="3" s="1"/>
  <c r="W443" i="3"/>
  <c r="X443" i="3" s="1"/>
  <c r="R443" i="1"/>
  <c r="W443" i="1"/>
  <c r="X443" i="1" s="1"/>
  <c r="AC443" i="1"/>
  <c r="AD443" i="1" s="1"/>
  <c r="K443" i="2"/>
  <c r="L443" i="2" s="1"/>
  <c r="L404" i="2"/>
  <c r="L404" i="7"/>
  <c r="K443" i="7"/>
  <c r="L443" i="7" s="1"/>
  <c r="T443" i="2"/>
  <c r="U443" i="2" s="1"/>
  <c r="U404" i="2"/>
  <c r="U404" i="7"/>
  <c r="T443" i="7"/>
  <c r="U443" i="7" s="1"/>
  <c r="E443" i="3"/>
  <c r="F443" i="3" s="1"/>
  <c r="F404" i="3"/>
  <c r="U404" i="3"/>
  <c r="T443" i="3"/>
  <c r="U443" i="3" s="1"/>
  <c r="T443" i="6"/>
  <c r="U443" i="6" s="1"/>
  <c r="U404" i="6"/>
  <c r="R404" i="5"/>
  <c r="W404" i="5"/>
  <c r="X404" i="5" s="1"/>
  <c r="Q443" i="5"/>
  <c r="AC404" i="5"/>
  <c r="AD404" i="5" s="1"/>
  <c r="K443" i="5"/>
  <c r="L443" i="5" s="1"/>
  <c r="L404" i="5"/>
  <c r="N443" i="5" l="1"/>
  <c r="O443" i="5" s="1"/>
  <c r="C443" i="5"/>
  <c r="H443" i="5"/>
  <c r="I443" i="5" s="1"/>
  <c r="W443" i="7"/>
  <c r="X443" i="7" s="1"/>
  <c r="AC443" i="7"/>
  <c r="AD443" i="7" s="1"/>
  <c r="R443" i="7"/>
  <c r="N443" i="1"/>
  <c r="O443" i="1" s="1"/>
  <c r="H443" i="1"/>
  <c r="I443" i="1" s="1"/>
  <c r="C443" i="1"/>
  <c r="H443" i="4"/>
  <c r="I443" i="4" s="1"/>
  <c r="N443" i="4"/>
  <c r="O443" i="4" s="1"/>
  <c r="C443" i="4"/>
  <c r="N443" i="7"/>
  <c r="O443" i="7" s="1"/>
  <c r="AA443" i="4"/>
  <c r="AC443" i="4"/>
  <c r="AD443" i="4" s="1"/>
  <c r="R443" i="5"/>
  <c r="AC443" i="5"/>
  <c r="AD443" i="5" s="1"/>
  <c r="W443" i="5"/>
  <c r="X443" i="5" s="1"/>
  <c r="H443" i="3"/>
  <c r="I443" i="3" s="1"/>
  <c r="N443" i="2"/>
  <c r="O443" i="2" s="1"/>
  <c r="W443" i="6"/>
  <c r="X443" i="6" s="1"/>
  <c r="R443" i="2"/>
  <c r="AC443" i="2"/>
  <c r="AD443" i="2" s="1"/>
  <c r="W443" i="2"/>
  <c r="X443" i="2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<sst xmlns="http://schemas.openxmlformats.org/spreadsheetml/2006/main" count="3934" uniqueCount="417">
  <si>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</si>
  <si>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10/26/2025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</si>
  <si>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</si>
  <si>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</si>
  <si>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</si>
  <si>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</si>
  <si>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</si>
  <si>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</si>
  <si>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</si>
  <si>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</si>
  <si>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</si>
  <si>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</si>
  <si>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</si>
  <si>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</si>
  <si>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</si>
  <si>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</si>
  <si>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</si>
  <si>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</si>
  <si>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</si>
  <si>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</si>
  <si>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</si>
  <si>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</si>
  <si>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</si>
  <si>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</si>
  <si>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</si>
  <si>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</si>
  <si>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</si>
  <si>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</si>
  <si>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</si>
  <si>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</si>
  <si>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</si>
  <si>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</si>
  <si>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</si>
  <si>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</si>
  <si>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</si>
  <si>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</si>
  <si>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</si>
  <si>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</si>
  <si>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</si>
  <si>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</si>
  <si>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</si>
  <si>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</si>
  <si>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</si>
  <si>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</si>
  <si>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</si>
  <si>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</si>
  <si>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</si>
  <si>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</si>
  <si>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</si>
  <si>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</si>
  <si>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</si>
  <si>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</si>
  <si>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</si>
  <si>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</si>
  <si>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</si>
  <si>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</si>
  <si>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</si>
  <si>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</si>
  <si>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</si>
  <si>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</si>
  <si>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</si>
  <si>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</si>
  <si>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</si>
  <si>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</si>
  <si>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</si>
  <si>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</si>
  <si>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</si>
  <si>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</si>
  <si>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</si>
  <si>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</si>
  <si>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</si>
  <si>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</si>
  <si>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</si>
  <si>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</si>
  <si>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</si>
  <si>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</si>
  <si>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</si>
  <si>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</si>
  <si>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</si>
  <si>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</si>
  <si>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</si>
  <si>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</si>
  <si>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</si>
  <si>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</si>
  <si>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</si>
  <si>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</si>
  <si>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</si>
  <si>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</si>
  <si>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</si>
  <si>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</si>
  <si>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</si>
  <si>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</si>
  <si>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</si>
  <si>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</si>
  <si>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</si>
  <si>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</si>
  <si>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</si>
  <si>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</si>
  <si>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</si>
  <si>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</si>
  <si>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</si>
  <si>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</si>
  <si>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</si>
  <si>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</si>
  <si>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</si>
  <si>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</si>
  <si>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</si>
  <si>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</si>
  <si>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</si>
  <si>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</si>
  <si>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</si>
  <si>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</si>
  <si>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</si>
  <si>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</si>
  <si>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</si>
  <si>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</si>
  <si>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</si>
  <si>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</si>
  <si>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</si>
  <si>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</si>
  <si>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</si>
  <si>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</si>
  <si>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</si>
  <si>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</si>
  <si>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</si>
  <si>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</si>
  <si>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</si>
  <si>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</si>
  <si>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</si>
  <si>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</si>
  <si>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</si>
  <si>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</si>
  <si>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</si>
  <si>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</si>
  <si>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</si>
  <si>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</si>
  <si>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</si>
  <si>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</si>
  <si>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</si>
  <si>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</si>
  <si>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</si>
  <si>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</si>
  <si>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</si>
  <si>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</si>
  <si>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</si>
  <si>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</si>
  <si>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</si>
  <si>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</si>
  <si>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</si>
  <si>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</si>
  <si>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</si>
  <si>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</si>
  <si>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</si>
  <si>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</si>
  <si>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</si>
  <si>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</si>
  <si>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</si>
  <si>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</si>
  <si>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</si>
  <si>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</si>
  <si>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</si>
  <si>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</si>
  <si>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</si>
  <si>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</si>
  <si>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</si>
  <si>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</si>
  <si>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</si>
  <si>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</si>
  <si>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</si>
  <si>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</si>
  <si>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</si>
  <si>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</si>
  <si>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</si>
  <si>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</si>
  <si>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</si>
  <si>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</si>
  <si>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</si>
  <si>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</si>
  <si>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</si>
  <si>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</si>
  <si>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</si>
  <si>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</si>
  <si>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</si>
  <si>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</si>
  <si>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</si>
  <si>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</si>
  <si>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</si>
  <si>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</si>
  <si>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</si>
  <si>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</si>
  <si>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</si>
  <si>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</si>
  <si>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</si>
  <si>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</si>
  <si>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</si>
  <si>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</si>
  <si>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</si>
  <si>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</si>
  <si>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</si>
  <si>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</si>
  <si>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</si>
  <si>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</si>
  <si>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</si>
  <si>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</si>
  <si>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</si>
  <si>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</si>
  <si>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</si>
  <si>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</si>
  <si>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</si>
  <si>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</si>
  <si>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</si>
  <si>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</si>
  <si>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</si>
  <si>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</si>
  <si>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</si>
  <si>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</si>
  <si>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</si>
  <si>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</si>
  <si>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</si>
  <si>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</si>
  <si>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</si>
  <si>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</si>
  <si>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</si>
  <si>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</si>
  <si>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</si>
  <si>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</si>
  <si>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</si>
  <si>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</si>
  <si>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</si>
  <si>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</si>
  <si>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</si>
  <si>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</si>
  <si>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</si>
  <si>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</si>
  <si>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</si>
  <si>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</si>
  <si>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</si>
  <si>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</si>
  <si>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</si>
  <si>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</si>
  <si>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</si>
  <si>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</si>
  <si>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</si>
  <si>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</si>
  <si>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</si>
  <si>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</si>
  <si>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</si>
  <si>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</si>
  <si>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</si>
  <si>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</si>
  <si>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</si>
  <si>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</si>
  <si>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</si>
  <si>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</si>
  <si>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</si>
  <si>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</si>
  <si>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</si>
  <si>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</si>
  <si>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</si>
  <si>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</si>
  <si>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</si>
  <si>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</si>
  <si>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</si>
  <si>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</si>
  <si>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</si>
  <si>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</si>
  <si>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</si>
  <si>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</si>
  <si>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</si>
  <si>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</si>
  <si>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</si>
  <si>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</si>
  <si>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</si>
  <si>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</si>
  <si>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</si>
  <si>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</si>
  <si>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</si>
  <si>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</si>
  <si>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</si>
  <si>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</si>
  <si>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</si>
  <si>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</si>
  <si>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</si>
  <si>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</si>
  <si>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</si>
  <si>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</si>
  <si>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</si>
  <si>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</si>
  <si>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</si>
  <si>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</si>
  <si>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</si>
  <si>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</si>
  <si>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</si>
  <si>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</si>
  <si>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</si>
  <si>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</si>
  <si>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</si>
  <si>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</si>
  <si>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</si>
  <si>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</si>
  <si>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</si>
  <si>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</si>
  <si>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</si>
  <si>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</si>
  <si>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</si>
  <si>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</si>
  <si>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</si>
  <si>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</si>
  <si>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</si>
  <si>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</si>
  <si>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</si>
  <si>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</si>
  <si>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</si>
  <si>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</si>
  <si>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</si>
  <si>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</si>
  <si>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</si>
  <si>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</si>
  <si>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</si>
  <si>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</si>
  <si>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</si>
  <si>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</si>
  <si>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</si>
  <si>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</si>
  <si>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</si>
  <si>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</si>
  <si>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</si>
  <si>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</si>
  <si>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</si>
  <si>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</si>
  <si>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</si>
  <si>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</si>
  <si>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</si>
  <si>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</si>
  <si>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</si>
  <si>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</si>
  <si>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</si>
  <si>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</si>
  <si>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</si>
  <si>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</si>
  <si>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</si>
  <si>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</si>
  <si>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</si>
  <si>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</si>
  <si>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</si>
  <si>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</si>
  <si>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</si>
  <si>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</si>
  <si>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</si>
  <si>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</si>
  <si>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</si>
  <si>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</si>
  <si>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</si>
  <si>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</si>
  <si>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</si>
  <si>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</si>
  <si>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</si>
  <si>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</si>
  <si>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</si>
  <si>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</si>
  <si>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</si>
  <si>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</si>
  <si>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</si>
  <si>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</si>
  <si>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</si>
  <si>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</si>
  <si>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</si>
  <si>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</si>
  <si>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</si>
  <si>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</si>
  <si>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</si>
  <si>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</si>
  <si>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</si>
  <si>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</si>
  <si>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</si>
  <si>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</si>
  <si>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</si>
  <si>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</si>
  <si>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</si>
  <si>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</si>
  <si>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</si>
  <si>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</si>
  <si>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</si>
  <si>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</si>
  <si>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</si>
  <si>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</si>
  <si>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</si>
  <si>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</si>
  <si>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</si>
  <si>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</si>
  <si>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</si>
  <si>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</si>
  <si>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</si>
  <si>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</si>
  <si>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</si>
  <si>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</si>
  <si>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</si>
  <si>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</si>
  <si>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</si>
  <si>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</si>
  <si>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</si>
  <si>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</si>
  <si>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</si>
  <si>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</si>
  <si>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</si>
  <si>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</si>
  <si>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</si>
  <si>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</si>
  <si>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</si>
  <si>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</si>
  <si>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07:01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</si>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</sst>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299595.32</v>
      </c>
      <c r="F10" s="8">
        <f>IFERROR(E10/E444, "NA")</f>
        <v>0.44604898200533477</v>
      </c>
      <c r="G10" s="9"/>
      <c r="H10" s="10">
        <f t="shared" ref="H10:H19" si="0">IFERROR(B10-E10, "NA")</f>
        <v>-299595.32</v>
      </c>
      <c r="I10" s="8">
        <f>IFERROR(H10/H444, "NA")</f>
        <v>3.0750603577266626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2887315.89</v>
      </c>
      <c r="U10" s="8">
        <f>IFERROR(T10/T444, "NA")</f>
        <v>0.45740961597788438</v>
      </c>
      <c r="V10" s="9"/>
      <c r="W10" s="10">
        <f t="shared" ref="W10:W19" si="2">IFERROR(Q10-T10, "NA")</f>
        <v>-2887315.89</v>
      </c>
      <c r="X10" s="8">
        <f>IFERROR(W10/W444, "NA")</f>
        <v>7.5952263792731953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229298.87</v>
      </c>
      <c r="C11" s="8">
        <f>IFERROR(B11/B444, "NA")</f>
        <v>0.39931039990515416</v>
      </c>
      <c r="D11" s="9"/>
      <c r="E11" s="7">
        <v>0</v>
      </c>
      <c r="F11" s="8">
        <f>IFERROR(E11/E444, "NA")</f>
        <v>0</v>
      </c>
      <c r="G11" s="9"/>
      <c r="H11" s="10">
        <f t="shared" si="0"/>
        <v>229298.87</v>
      </c>
      <c r="I11" s="8">
        <f>IFERROR(H11/H444, "NA")</f>
        <v>-2.3535343115790979</v>
      </c>
      <c r="J11" s="9"/>
      <c r="K11" s="7">
        <v>215172.19</v>
      </c>
      <c r="L11" s="8">
        <f>IFERROR(K11/K444, "NA")</f>
        <v>0.34866201241024497</v>
      </c>
      <c r="M11" s="9"/>
      <c r="N11" s="10">
        <f t="shared" si="1"/>
        <v>14126.679999999993</v>
      </c>
      <c r="O11" s="8">
        <f>IFERROR(N11/N444, "NA")</f>
        <v>-0.32929531258122136</v>
      </c>
      <c r="P11" s="9"/>
      <c r="Q11" s="7">
        <v>2463201.0100000002</v>
      </c>
      <c r="R11" s="8">
        <f>IFERROR(Q11/Q444, "NA")</f>
        <v>0.41522755995806726</v>
      </c>
      <c r="S11" s="9"/>
      <c r="T11" s="7">
        <v>0</v>
      </c>
      <c r="U11" s="8">
        <f>IFERROR(T11/T444, "NA")</f>
        <v>0</v>
      </c>
      <c r="V11" s="9"/>
      <c r="W11" s="10">
        <f t="shared" si="2"/>
        <v>2463201.0100000002</v>
      </c>
      <c r="X11" s="8">
        <f>IFERROR(W11/W444, "NA")</f>
        <v>-6.4795713393882846</v>
      </c>
      <c r="Y11" s="9"/>
      <c r="Z11" s="7">
        <v>2410720.13</v>
      </c>
      <c r="AA11" s="8">
        <f>IFERROR(Z11/Z444, "NA")</f>
        <v>0.42933717163175661</v>
      </c>
      <c r="AB11" s="9"/>
      <c r="AC11" s="10">
        <f t="shared" si="3"/>
        <v>52480.880000000354</v>
      </c>
      <c r="AD11" s="8">
        <f>IFERROR(AC11/AC444, "NA")</f>
        <v>0.16545558968055019</v>
      </c>
    </row>
    <row r="12" spans="1:30" ht="16.5" customHeight="1" x14ac:dyDescent="0.45">
      <c r="A12" s="12" t="s">
        <v>14</v>
      </c>
      <c r="B12" s="7">
        <v>21779.199999999997</v>
      </c>
      <c r="C12" s="8">
        <f>IFERROR(B12/B444, "NA")</f>
        <v>3.7927186739360436E-2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21779.199999999997</v>
      </c>
      <c r="I12" s="8">
        <f>IFERROR(H12/H444, "NA")</f>
        <v>-0.2235427260445875</v>
      </c>
      <c r="J12" s="9"/>
      <c r="K12" s="7">
        <v>22372.550000000003</v>
      </c>
      <c r="L12" s="8">
        <f>IFERROR(K12/K444, "NA")</f>
        <v>3.6252167651167316E-2</v>
      </c>
      <c r="M12" s="9"/>
      <c r="N12" s="10">
        <f t="shared" si="1"/>
        <v>-593.35000000000582</v>
      </c>
      <c r="O12" s="8">
        <f>IFERROR(N12/N444, "NA")</f>
        <v>1.3831089379816751E-2</v>
      </c>
      <c r="P12" s="9"/>
      <c r="Q12" s="7">
        <v>259199.64</v>
      </c>
      <c r="R12" s="8">
        <f>IFERROR(Q12/Q444, "NA")</f>
        <v>4.3693890032632555E-2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259199.64</v>
      </c>
      <c r="X12" s="8">
        <f>IFERROR(W12/W444, "NA")</f>
        <v>-0.681837394392657</v>
      </c>
      <c r="Y12" s="9"/>
      <c r="Z12" s="7">
        <v>245294.6</v>
      </c>
      <c r="AA12" s="8">
        <f>IFERROR(Z12/Z444, "NA")</f>
        <v>4.3685738742532128E-2</v>
      </c>
      <c r="AB12" s="9"/>
      <c r="AC12" s="10">
        <f t="shared" si="3"/>
        <v>13905.040000000008</v>
      </c>
      <c r="AD12" s="8">
        <f>IFERROR(AC12/AC444, "NA")</f>
        <v>4.3838186263866451E-2</v>
      </c>
    </row>
    <row r="13" spans="1:30" ht="16.5" customHeight="1" x14ac:dyDescent="0.45">
      <c r="A13" s="12" t="s">
        <v>15</v>
      </c>
      <c r="B13" s="7">
        <v>717</v>
      </c>
      <c r="C13" s="8">
        <f>IFERROR(B13/B444, "NA")</f>
        <v>1.2486130295016086E-3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717</v>
      </c>
      <c r="I13" s="8">
        <f>IFERROR(H13/H444, "NA")</f>
        <v>-7.3593214890339976E-3</v>
      </c>
      <c r="J13" s="9"/>
      <c r="K13" s="7">
        <v>565.5</v>
      </c>
      <c r="L13" s="8">
        <f>IFERROR(K13/K444, "NA")</f>
        <v>9.1632830440585068E-4</v>
      </c>
      <c r="M13" s="9"/>
      <c r="N13" s="10">
        <f t="shared" si="1"/>
        <v>151.5</v>
      </c>
      <c r="O13" s="8">
        <f>IFERROR(N13/N444, "NA")</f>
        <v>-3.5314907576341403E-3</v>
      </c>
      <c r="P13" s="9"/>
      <c r="Q13" s="7">
        <v>11539</v>
      </c>
      <c r="R13" s="8">
        <f>IFERROR(Q13/Q444, "NA")</f>
        <v>1.9451562397484311E-3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11539</v>
      </c>
      <c r="X13" s="8">
        <f>IFERROR(W13/W444, "NA")</f>
        <v>-3.035390671799108E-2</v>
      </c>
      <c r="Y13" s="9"/>
      <c r="Z13" s="7">
        <v>10233.76</v>
      </c>
      <c r="AA13" s="8">
        <f>IFERROR(Z13/Z444, "NA")</f>
        <v>1.8225813601839404E-3</v>
      </c>
      <c r="AB13" s="9"/>
      <c r="AC13" s="10">
        <f t="shared" si="3"/>
        <v>1305.2399999999998</v>
      </c>
      <c r="AD13" s="8">
        <f>IFERROR(AC13/AC444, "NA")</f>
        <v>4.1150082444242515E-3</v>
      </c>
    </row>
    <row r="14" spans="1:30" ht="16.5" customHeight="1" x14ac:dyDescent="0.45">
      <c r="A14" s="12" t="s">
        <v>16</v>
      </c>
      <c r="B14" s="7">
        <v>400</v>
      </c>
      <c r="C14" s="8">
        <f>IFERROR(B14/B444, "NA")</f>
        <v>6.9657630655598813E-4</v>
      </c>
      <c r="D14" s="9"/>
      <c r="E14" s="7">
        <v>0</v>
      </c>
      <c r="F14" s="8">
        <f>IFERROR(E14/E444, "NA")</f>
        <v>0</v>
      </c>
      <c r="G14" s="9"/>
      <c r="H14" s="10">
        <f t="shared" si="0"/>
        <v>400</v>
      </c>
      <c r="I14" s="8">
        <f>IFERROR(H14/H444, "NA")</f>
        <v>-4.1056186828641551E-3</v>
      </c>
      <c r="J14" s="9"/>
      <c r="K14" s="7">
        <v>1995</v>
      </c>
      <c r="L14" s="8">
        <f>IFERROR(K14/K444, "NA")</f>
        <v>3.2326701455166616E-3</v>
      </c>
      <c r="M14" s="9"/>
      <c r="N14" s="10">
        <f t="shared" si="1"/>
        <v>-1595</v>
      </c>
      <c r="O14" s="8">
        <f>IFERROR(N14/N444, "NA")</f>
        <v>3.7179721177732369E-2</v>
      </c>
      <c r="P14" s="9"/>
      <c r="Q14" s="7">
        <v>13690</v>
      </c>
      <c r="R14" s="8">
        <f>IFERROR(Q14/Q444, "NA")</f>
        <v>2.3077553446707705E-3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13690</v>
      </c>
      <c r="X14" s="8">
        <f>IFERROR(W14/W444, "NA")</f>
        <v>-3.6012217953834635E-2</v>
      </c>
      <c r="Y14" s="9"/>
      <c r="Z14" s="7">
        <v>28976.989999999998</v>
      </c>
      <c r="AA14" s="8">
        <f>IFERROR(Z14/Z444, "NA")</f>
        <v>5.160656674402804E-3</v>
      </c>
      <c r="AB14" s="9"/>
      <c r="AC14" s="10">
        <f t="shared" si="3"/>
        <v>-15286.989999999998</v>
      </c>
      <c r="AD14" s="8">
        <f>IFERROR(AC14/AC444, "NA")</f>
        <v>-4.8195036837999986E-2</v>
      </c>
    </row>
    <row r="15" spans="1:30" ht="16.5" customHeight="1" x14ac:dyDescent="0.45">
      <c r="A15" s="12" t="s">
        <v>17</v>
      </c>
      <c r="B15" s="7">
        <v>270</v>
      </c>
      <c r="C15" s="8">
        <f>IFERROR(B15/B444, "NA")</f>
        <v>4.7018900692529197E-4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270</v>
      </c>
      <c r="I15" s="8">
        <f>IFERROR(H15/H444, "NA")</f>
        <v>-2.7712926109333047E-3</v>
      </c>
      <c r="J15" s="9"/>
      <c r="K15" s="7">
        <v>182.5</v>
      </c>
      <c r="L15" s="8">
        <f>IFERROR(K15/K444, "NA")</f>
        <v>2.957204519081658E-4</v>
      </c>
      <c r="M15" s="9"/>
      <c r="N15" s="10">
        <f t="shared" si="1"/>
        <v>87.5</v>
      </c>
      <c r="O15" s="8">
        <f>IFERROR(N15/N444, "NA")</f>
        <v>-2.0396398765213683E-3</v>
      </c>
      <c r="P15" s="9"/>
      <c r="Q15" s="7">
        <v>2689</v>
      </c>
      <c r="R15" s="8">
        <f>IFERROR(Q15/Q444, "NA")</f>
        <v>4.5329102423810825E-4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2689</v>
      </c>
      <c r="X15" s="8">
        <f>IFERROR(W15/W444, "NA")</f>
        <v>-7.0735466820935969E-3</v>
      </c>
      <c r="Y15" s="9"/>
      <c r="Z15" s="7">
        <v>3282.5</v>
      </c>
      <c r="AA15" s="8">
        <f>IFERROR(Z15/Z444, "NA")</f>
        <v>5.8459679675933228E-4</v>
      </c>
      <c r="AB15" s="9"/>
      <c r="AC15" s="10">
        <f t="shared" si="3"/>
        <v>-593.5</v>
      </c>
      <c r="AD15" s="8">
        <f>IFERROR(AC15/AC444, "NA")</f>
        <v>-1.8711174903203961E-3</v>
      </c>
    </row>
    <row r="16" spans="1:30" ht="16.5" customHeight="1" x14ac:dyDescent="0.45">
      <c r="A16" s="12" t="s">
        <v>18</v>
      </c>
      <c r="B16" s="7">
        <v>7.92</v>
      </c>
      <c r="C16" s="8">
        <f>IFERROR(B16/B444, "NA")</f>
        <v>1.3792210869808564E-5</v>
      </c>
      <c r="D16" s="9"/>
      <c r="E16" s="7">
        <v>0</v>
      </c>
      <c r="F16" s="8">
        <f>IFERROR(E16/E444, "NA")</f>
        <v>0</v>
      </c>
      <c r="G16" s="9"/>
      <c r="H16" s="10">
        <f t="shared" si="0"/>
        <v>7.92</v>
      </c>
      <c r="I16" s="8">
        <f>IFERROR(H16/H444, "NA")</f>
        <v>-8.1291249920710271E-5</v>
      </c>
      <c r="J16" s="9"/>
      <c r="K16" s="7">
        <v>0</v>
      </c>
      <c r="L16" s="8">
        <f>IFERROR(K16/K444, "NA")</f>
        <v>0</v>
      </c>
      <c r="M16" s="9"/>
      <c r="N16" s="10">
        <f t="shared" si="1"/>
        <v>7.92</v>
      </c>
      <c r="O16" s="8">
        <f>IFERROR(N16/N444, "NA")</f>
        <v>-1.8461654653770555E-4</v>
      </c>
      <c r="P16" s="9"/>
      <c r="Q16" s="7">
        <v>13.97</v>
      </c>
      <c r="R16" s="8">
        <f>IFERROR(Q16/Q444, "NA")</f>
        <v>2.3549556000767469E-6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13.97</v>
      </c>
      <c r="X16" s="8">
        <f>IFERROR(W16/W444, "NA")</f>
        <v>-3.6748771717682245E-5</v>
      </c>
      <c r="Y16" s="9"/>
      <c r="Z16" s="7">
        <v>1</v>
      </c>
      <c r="AA16" s="8">
        <f>IFERROR(Z16/Z444, "NA")</f>
        <v>1.780949875885247E-7</v>
      </c>
      <c r="AB16" s="9"/>
      <c r="AC16" s="10">
        <f t="shared" si="3"/>
        <v>12.97</v>
      </c>
      <c r="AD16" s="8">
        <f>IFERROR(AC16/AC444, "NA")</f>
        <v>4.0890301347018604E-5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252472.99000000002</v>
      </c>
      <c r="C18" s="15">
        <f>IFERROR(B18/B444, "NA")</f>
        <v>0.43966675719836734</v>
      </c>
      <c r="D18" s="2"/>
      <c r="E18" s="14">
        <f>IFERROR(E10+E11+E12+E13+E14+E15+E16+E17, "NA")</f>
        <v>299595.32</v>
      </c>
      <c r="F18" s="15">
        <f>IFERROR(E18/E444, "NA")</f>
        <v>0.44604898200533477</v>
      </c>
      <c r="G18" s="2"/>
      <c r="H18" s="14">
        <f t="shared" si="0"/>
        <v>-47122.329999999987</v>
      </c>
      <c r="I18" s="15">
        <f>IFERROR(H18/H444, "NA")</f>
        <v>0.48366579607022503</v>
      </c>
      <c r="J18" s="2"/>
      <c r="K18" s="14">
        <f>IFERROR(K10+K11+K12+K13+K14+K15+K16+K17, "NA")</f>
        <v>240287.74</v>
      </c>
      <c r="L18" s="15">
        <f>IFERROR(K18/K444, "NA")</f>
        <v>0.38935889896324294</v>
      </c>
      <c r="M18" s="2"/>
      <c r="N18" s="14">
        <f t="shared" si="1"/>
        <v>12185.250000000029</v>
      </c>
      <c r="O18" s="15">
        <f>IFERROR(N18/N444, "NA")</f>
        <v>-0.28404024920436644</v>
      </c>
      <c r="P18" s="2"/>
      <c r="Q18" s="14">
        <f>IFERROR(Q10+Q11+Q12+Q13+Q14+Q15+Q16+Q17, "NA")</f>
        <v>2750332.6200000006</v>
      </c>
      <c r="R18" s="15">
        <f>IFERROR(Q18/Q444, "NA")</f>
        <v>0.46363000755495726</v>
      </c>
      <c r="S18" s="2"/>
      <c r="T18" s="14">
        <f>IFERROR(T10+T11+T12+T13+T14+T15+T16+T17, "NA")</f>
        <v>2887315.89</v>
      </c>
      <c r="U18" s="15">
        <f>IFERROR(T18/T444, "NA")</f>
        <v>0.45740961597788438</v>
      </c>
      <c r="V18" s="2"/>
      <c r="W18" s="14">
        <f t="shared" si="2"/>
        <v>-136983.26999999955</v>
      </c>
      <c r="X18" s="15">
        <f>IFERROR(W18/W444, "NA")</f>
        <v>0.36034122536661517</v>
      </c>
      <c r="Y18" s="2"/>
      <c r="Z18" s="14">
        <f>IFERROR(Z10+Z11+Z12+Z13+Z14+Z15+Z16+Z17, "NA")</f>
        <v>2698508.98</v>
      </c>
      <c r="AA18" s="15">
        <f>IFERROR(Z18/Z444, "NA")</f>
        <v>0.48059092330062242</v>
      </c>
      <c r="AB18" s="2"/>
      <c r="AC18" s="14">
        <f t="shared" si="3"/>
        <v>51823.640000000596</v>
      </c>
      <c r="AD18" s="15">
        <f>IFERROR(AC18/AC444, "NA")</f>
        <v>0.16338352016186827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54193.08</v>
      </c>
      <c r="F21" s="8">
        <f>IFERROR(E21/E444, "NA")</f>
        <v>8.0684732210548768E-2</v>
      </c>
      <c r="G21" s="9"/>
      <c r="H21" s="10">
        <f t="shared" ref="H21:H29" si="4">IFERROR(B21-E21, "NA")</f>
        <v>-54193.08</v>
      </c>
      <c r="I21" s="8">
        <f>IFERROR(H21/H444, "NA")</f>
        <v>0.55624030432487948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519954.70000000007</v>
      </c>
      <c r="U21" s="8">
        <f>IFERROR(T21/T444, "NA")</f>
        <v>8.2371409542201526E-2</v>
      </c>
      <c r="V21" s="9"/>
      <c r="W21" s="10">
        <f t="shared" ref="W21:W29" si="6">IFERROR(Q21-T21, "NA")</f>
        <v>-519954.70000000007</v>
      </c>
      <c r="X21" s="8">
        <f>IFERROR(W21/W444, "NA")</f>
        <v>1.3677663975544707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32288.26</v>
      </c>
      <c r="C22" s="8">
        <f>IFERROR(B22/B444, "NA")</f>
        <v>5.6228092239798619E-2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32288.26</v>
      </c>
      <c r="I22" s="8">
        <f>IFERROR(H22/H444, "NA")</f>
        <v>-0.33140820873293847</v>
      </c>
      <c r="J22" s="9"/>
      <c r="K22" s="7">
        <v>38508.789999999994</v>
      </c>
      <c r="L22" s="8">
        <f>IFERROR(K22/K444, "NA")</f>
        <v>6.2399105650611797E-2</v>
      </c>
      <c r="M22" s="9"/>
      <c r="N22" s="10">
        <f t="shared" si="5"/>
        <v>-6220.5299999999952</v>
      </c>
      <c r="O22" s="8">
        <f>IFERROR(N22/N444, "NA")</f>
        <v>0.14500161189825667</v>
      </c>
      <c r="P22" s="9"/>
      <c r="Q22" s="7">
        <v>386598.73000000004</v>
      </c>
      <c r="R22" s="8">
        <f>IFERROR(Q22/Q444, "NA")</f>
        <v>6.5169852841521714E-2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386598.73000000004</v>
      </c>
      <c r="X22" s="8">
        <f>IFERROR(W22/W444, "NA")</f>
        <v>-1.0169669631435845</v>
      </c>
      <c r="Y22" s="9"/>
      <c r="Z22" s="7">
        <v>376702.64</v>
      </c>
      <c r="AA22" s="8">
        <f>IFERROR(Z22/Z444, "NA")</f>
        <v>6.708885199536449E-2</v>
      </c>
      <c r="AB22" s="9"/>
      <c r="AC22" s="10">
        <f t="shared" si="7"/>
        <v>9896.0900000000256</v>
      </c>
      <c r="AD22" s="8">
        <f>IFERROR(AC22/AC444, "NA")</f>
        <v>3.1199236874110896E-2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3854.44</v>
      </c>
      <c r="C24" s="8">
        <f>IFERROR(B24/B444, "NA")</f>
        <v>6.7122789476041569E-3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3854.44</v>
      </c>
      <c r="I24" s="8">
        <f>IFERROR(H24/H444, "NA")</f>
        <v>-3.9562152189947283E-2</v>
      </c>
      <c r="J24" s="9"/>
      <c r="K24" s="7">
        <v>6439.3</v>
      </c>
      <c r="L24" s="8">
        <f>IFERROR(K24/K444, "NA")</f>
        <v>1.0434151813546587E-2</v>
      </c>
      <c r="M24" s="9"/>
      <c r="N24" s="10">
        <f t="shared" si="5"/>
        <v>-2584.86</v>
      </c>
      <c r="O24" s="8">
        <f>IFERROR(N24/N444, "NA")</f>
        <v>6.0253526071143135E-2</v>
      </c>
      <c r="P24" s="9"/>
      <c r="Q24" s="7">
        <v>50260.289999999994</v>
      </c>
      <c r="R24" s="8">
        <f>IFERROR(Q24/Q444, "NA")</f>
        <v>8.4724947313515615E-3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50260.289999999994</v>
      </c>
      <c r="X24" s="8">
        <f>IFERROR(W24/W444, "NA")</f>
        <v>-0.13221216346990031</v>
      </c>
      <c r="Y24" s="9"/>
      <c r="Z24" s="7">
        <v>27885.34</v>
      </c>
      <c r="AA24" s="8">
        <f>IFERROR(Z24/Z444, "NA")</f>
        <v>4.9662392812017909E-3</v>
      </c>
      <c r="AB24" s="9"/>
      <c r="AC24" s="10">
        <f t="shared" si="7"/>
        <v>22374.949999999993</v>
      </c>
      <c r="AD24" s="8">
        <f>IFERROR(AC24/AC444, "NA")</f>
        <v>7.0541129385078921E-2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1629.67</v>
      </c>
      <c r="C26" s="8">
        <f>IFERROR(B26/B444, "NA")</f>
        <v>2.8379737737627428E-3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1629.67</v>
      </c>
      <c r="I26" s="8">
        <f>IFERROR(H26/H444, "NA")</f>
        <v>-1.6727008997258069E-2</v>
      </c>
      <c r="J26" s="9"/>
      <c r="K26" s="7">
        <v>3217.27</v>
      </c>
      <c r="L26" s="8">
        <f>IFERROR(K26/K444, "NA")</f>
        <v>5.2132193880032032E-3</v>
      </c>
      <c r="M26" s="9"/>
      <c r="N26" s="10">
        <f t="shared" si="5"/>
        <v>-1587.6</v>
      </c>
      <c r="O26" s="8">
        <f>IFERROR(N26/N444, "NA")</f>
        <v>3.7007225919603703E-2</v>
      </c>
      <c r="P26" s="9"/>
      <c r="Q26" s="7">
        <v>20535.78</v>
      </c>
      <c r="R26" s="8">
        <f>IFERROR(Q26/Q444, "NA")</f>
        <v>3.4617645034319294E-3</v>
      </c>
      <c r="S26" s="9"/>
      <c r="T26" s="7">
        <v>0</v>
      </c>
      <c r="U26" s="8">
        <f>IFERROR(T26/T444, "NA")</f>
        <v>0</v>
      </c>
      <c r="V26" s="9"/>
      <c r="W26" s="10">
        <f t="shared" si="6"/>
        <v>20535.78</v>
      </c>
      <c r="X26" s="8">
        <f>IFERROR(W26/W444, "NA")</f>
        <v>-5.4020378759094101E-2</v>
      </c>
      <c r="Y26" s="9"/>
      <c r="Z26" s="7">
        <v>18011</v>
      </c>
      <c r="AA26" s="8">
        <f>IFERROR(Z26/Z444, "NA")</f>
        <v>3.207668821456918E-3</v>
      </c>
      <c r="AB26" s="9"/>
      <c r="AC26" s="10">
        <f t="shared" si="7"/>
        <v>2524.7799999999988</v>
      </c>
      <c r="AD26" s="8">
        <f>IFERROR(AC26/AC444, "NA")</f>
        <v>7.9598315370027432E-3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4664.1000000000004</v>
      </c>
      <c r="AA27" s="8">
        <f>IFERROR(Z27/Z444, "NA")</f>
        <v>8.3065283161163803E-4</v>
      </c>
      <c r="AB27" s="9"/>
      <c r="AC27" s="10">
        <f t="shared" si="7"/>
        <v>-4664.1000000000004</v>
      </c>
      <c r="AD27" s="8">
        <f>IFERROR(AC27/AC444, "NA")</f>
        <v>-1.4704429800511138E-2</v>
      </c>
    </row>
    <row r="28" spans="1:30" ht="16.5" customHeight="1" x14ac:dyDescent="0.45">
      <c r="A28" s="12" t="s">
        <v>29</v>
      </c>
      <c r="B28" s="7">
        <v>4522.4500000000007</v>
      </c>
      <c r="C28" s="8">
        <f>IFERROR(B28/B444, "NA")</f>
        <v>7.8755787939603222E-3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4522.4500000000007</v>
      </c>
      <c r="I28" s="8">
        <f>IFERROR(H28/H444, "NA")</f>
        <v>-4.6418638030797502E-2</v>
      </c>
      <c r="J28" s="9"/>
      <c r="K28" s="7">
        <v>4211.1099999999997</v>
      </c>
      <c r="L28" s="8">
        <f>IFERROR(K28/K444, "NA")</f>
        <v>6.8236238478629916E-3</v>
      </c>
      <c r="M28" s="9"/>
      <c r="N28" s="10">
        <f t="shared" si="5"/>
        <v>311.34000000000106</v>
      </c>
      <c r="O28" s="8">
        <f>IFERROR(N28/N444, "NA")</f>
        <v>-7.2573883332133137E-3</v>
      </c>
      <c r="P28" s="9"/>
      <c r="Q28" s="7">
        <v>43348.310000000005</v>
      </c>
      <c r="R28" s="8">
        <f>IFERROR(Q28/Q444, "NA")</f>
        <v>7.3073260836337053E-3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43348.310000000005</v>
      </c>
      <c r="X28" s="8">
        <f>IFERROR(W28/W444, "NA")</f>
        <v>-0.11402986031047405</v>
      </c>
      <c r="Y28" s="9"/>
      <c r="Z28" s="7">
        <v>41538.58</v>
      </c>
      <c r="AA28" s="8">
        <f>IFERROR(Z28/Z444, "NA")</f>
        <v>7.3978128895449404E-3</v>
      </c>
      <c r="AB28" s="9"/>
      <c r="AC28" s="10">
        <f t="shared" si="7"/>
        <v>1809.7300000000032</v>
      </c>
      <c r="AD28" s="8">
        <f>IFERROR(AC28/AC444, "NA")</f>
        <v>5.7055054014448804E-3</v>
      </c>
    </row>
    <row r="29" spans="1:30" ht="16.5" customHeight="1" x14ac:dyDescent="0.45">
      <c r="A29" s="13" t="s">
        <v>30</v>
      </c>
      <c r="B29" s="14">
        <f>IFERROR(B21+B22+B23+B24+B25+B26+B27+B28, "NA")</f>
        <v>42294.819999999992</v>
      </c>
      <c r="C29" s="15">
        <f>IFERROR(B29/B444, "NA")</f>
        <v>7.3653923755125833E-2</v>
      </c>
      <c r="D29" s="2"/>
      <c r="E29" s="14">
        <f>IFERROR(E21+E22+E23+E24+E25+E26+E27+E28, "NA")</f>
        <v>54193.08</v>
      </c>
      <c r="F29" s="15">
        <f>IFERROR(E29/E444, "NA")</f>
        <v>8.0684732210548768E-2</v>
      </c>
      <c r="G29" s="2"/>
      <c r="H29" s="14">
        <f t="shared" si="4"/>
        <v>-11898.260000000009</v>
      </c>
      <c r="I29" s="15">
        <f>IFERROR(H29/H444, "NA")</f>
        <v>0.12212429637393825</v>
      </c>
      <c r="J29" s="2"/>
      <c r="K29" s="14">
        <f>IFERROR(K21+K22+K23+K24+K25+K26+K27+K28, "NA")</f>
        <v>52376.469999999994</v>
      </c>
      <c r="L29" s="15">
        <f>IFERROR(K29/K444, "NA")</f>
        <v>8.4870100700024584E-2</v>
      </c>
      <c r="M29" s="2"/>
      <c r="N29" s="14">
        <f t="shared" si="5"/>
        <v>-10081.650000000001</v>
      </c>
      <c r="O29" s="15">
        <f>IFERROR(N29/N444, "NA")</f>
        <v>0.23500497555579034</v>
      </c>
      <c r="P29" s="2"/>
      <c r="Q29" s="14">
        <f>IFERROR(Q21+Q22+Q23+Q24+Q25+Q26+Q27+Q28, "NA")</f>
        <v>500743.11000000004</v>
      </c>
      <c r="R29" s="15">
        <f>IFERROR(Q29/Q444, "NA")</f>
        <v>8.4411438159938915E-2</v>
      </c>
      <c r="S29" s="2"/>
      <c r="T29" s="14">
        <f>IFERROR(T21+T22+T23+T24+T25+T26+T27+T28, "NA")</f>
        <v>519954.70000000007</v>
      </c>
      <c r="U29" s="15">
        <f>IFERROR(T29/T444, "NA")</f>
        <v>8.2371409542201526E-2</v>
      </c>
      <c r="V29" s="2"/>
      <c r="W29" s="14">
        <f t="shared" si="6"/>
        <v>-19211.590000000026</v>
      </c>
      <c r="X29" s="15">
        <f>IFERROR(W29/W444, "NA")</f>
        <v>5.0537031871417885E-2</v>
      </c>
      <c r="Y29" s="2"/>
      <c r="Z29" s="14">
        <f>IFERROR(Z21+Z22+Z23+Z24+Z25+Z26+Z27+Z28, "NA")</f>
        <v>468801.66000000003</v>
      </c>
      <c r="AA29" s="15">
        <f>IFERROR(Z29/Z444, "NA")</f>
        <v>8.3491225819179782E-2</v>
      </c>
      <c r="AB29" s="2"/>
      <c r="AC29" s="14">
        <f t="shared" si="7"/>
        <v>31941.450000000012</v>
      </c>
      <c r="AD29" s="15">
        <f>IFERROR(AC29/AC444, "NA")</f>
        <v>0.10070127339712627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149174.60999999999</v>
      </c>
      <c r="F31" s="8">
        <f>IFERROR(E31/E444, "NA")</f>
        <v>0.22209687031006634</v>
      </c>
      <c r="G31" s="9"/>
      <c r="H31" s="10">
        <f t="shared" ref="H31:H40" si="8">IFERROR(B31-E31, "NA")</f>
        <v>-149174.60999999999</v>
      </c>
      <c r="I31" s="8">
        <f>IFERROR(H31/H444, "NA")</f>
        <v>1.5311351645624349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1378040.9100000001</v>
      </c>
      <c r="U31" s="8">
        <f>IFERROR(T31/T444, "NA")</f>
        <v>0.21830973383550156</v>
      </c>
      <c r="V31" s="9"/>
      <c r="W31" s="10">
        <f t="shared" ref="W31:W40" si="10">IFERROR(Q31-T31, "NA")</f>
        <v>-1378040.9100000001</v>
      </c>
      <c r="X31" s="8">
        <f>IFERROR(W31/W444, "NA")</f>
        <v>3.6250043535588476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49362.89</v>
      </c>
      <c r="C33" s="8">
        <f>IFERROR(B33/B444, "NA")</f>
        <v>8.5962548992823795E-2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49362.89</v>
      </c>
      <c r="I33" s="8">
        <f>IFERROR(H33/H444, "NA")</f>
        <v>-0.50666300856042046</v>
      </c>
      <c r="J33" s="9"/>
      <c r="K33" s="7">
        <v>72021.41</v>
      </c>
      <c r="L33" s="8">
        <f>IFERROR(K33/K444, "NA")</f>
        <v>0.11670248719048379</v>
      </c>
      <c r="M33" s="9"/>
      <c r="N33" s="10">
        <f t="shared" si="9"/>
        <v>-22658.520000000004</v>
      </c>
      <c r="O33" s="8">
        <f>IFERROR(N33/N444, "NA")</f>
        <v>0.52817395354236529</v>
      </c>
      <c r="P33" s="9"/>
      <c r="Q33" s="7">
        <v>520784.13</v>
      </c>
      <c r="R33" s="8">
        <f>IFERROR(Q33/Q444, "NA")</f>
        <v>8.778979981206847E-2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520784.13</v>
      </c>
      <c r="X33" s="8">
        <f>IFERROR(W33/W444, "NA")</f>
        <v>-1.3699482539414283</v>
      </c>
      <c r="Y33" s="9"/>
      <c r="Z33" s="7">
        <v>429495.8</v>
      </c>
      <c r="AA33" s="8">
        <f>IFERROR(Z33/Z444, "NA")</f>
        <v>7.6491049170323483E-2</v>
      </c>
      <c r="AB33" s="9"/>
      <c r="AC33" s="10">
        <f t="shared" si="11"/>
        <v>91288.330000000016</v>
      </c>
      <c r="AD33" s="8">
        <f>IFERROR(AC33/AC444, "NA")</f>
        <v>0.28780318605752342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3278.8599999999997</v>
      </c>
      <c r="C35" s="8">
        <f>IFERROR(B35/B444, "NA")</f>
        <v>5.7099404712854171E-3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3278.8599999999997</v>
      </c>
      <c r="I35" s="8">
        <f>IFERROR(H35/H444, "NA")</f>
        <v>-3.3654372186239907E-2</v>
      </c>
      <c r="J35" s="9"/>
      <c r="K35" s="7">
        <v>7617.5700000000006</v>
      </c>
      <c r="L35" s="8">
        <f>IFERROR(K35/K444, "NA")</f>
        <v>1.2343404070367598E-2</v>
      </c>
      <c r="M35" s="9"/>
      <c r="N35" s="10">
        <f t="shared" si="9"/>
        <v>-4338.7100000000009</v>
      </c>
      <c r="O35" s="8">
        <f>IFERROR(N35/N444, "NA")</f>
        <v>0.10113606775613745</v>
      </c>
      <c r="P35" s="9"/>
      <c r="Q35" s="7">
        <v>58868.95</v>
      </c>
      <c r="R35" s="8">
        <f>IFERROR(Q35/Q444, "NA")</f>
        <v>9.9236766981487482E-3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58868.95</v>
      </c>
      <c r="X35" s="8">
        <f>IFERROR(W35/W444, "NA")</f>
        <v>-0.1548576667723443</v>
      </c>
      <c r="Y35" s="9"/>
      <c r="Z35" s="7">
        <v>23930.370000000003</v>
      </c>
      <c r="AA35" s="8">
        <f>IFERROR(Z35/Z444, "NA")</f>
        <v>4.2618789481388038E-3</v>
      </c>
      <c r="AB35" s="9"/>
      <c r="AC35" s="10">
        <f t="shared" si="11"/>
        <v>34938.579999999994</v>
      </c>
      <c r="AD35" s="8">
        <f>IFERROR(AC35/AC444, "NA")</f>
        <v>0.11015027485249937</v>
      </c>
    </row>
    <row r="36" spans="1:30" ht="16.5" customHeight="1" x14ac:dyDescent="0.45">
      <c r="A36" s="12" t="s">
        <v>36</v>
      </c>
      <c r="B36" s="7">
        <v>68265.530000000013</v>
      </c>
      <c r="C36" s="8">
        <f>IFERROR(B36/B444, "NA")</f>
        <v>0.11888037688121753</v>
      </c>
      <c r="D36" s="9"/>
      <c r="E36" s="7">
        <v>0</v>
      </c>
      <c r="F36" s="8">
        <f>IFERROR(E36/E444, "NA")</f>
        <v>0</v>
      </c>
      <c r="G36" s="9"/>
      <c r="H36" s="10">
        <f t="shared" si="8"/>
        <v>68265.530000000013</v>
      </c>
      <c r="I36" s="8">
        <f>IFERROR(H36/H444, "NA")</f>
        <v>-0.70068058840905878</v>
      </c>
      <c r="J36" s="9"/>
      <c r="K36" s="7">
        <v>85062.720000000001</v>
      </c>
      <c r="L36" s="8">
        <f>IFERROR(K36/K444, "NA")</f>
        <v>0.13783444382979601</v>
      </c>
      <c r="M36" s="9"/>
      <c r="N36" s="10">
        <f t="shared" si="9"/>
        <v>-16797.189999999988</v>
      </c>
      <c r="O36" s="8">
        <f>IFERROR(N36/N444, "NA")</f>
        <v>0.39154535471435359</v>
      </c>
      <c r="P36" s="9"/>
      <c r="Q36" s="7">
        <v>586673.98</v>
      </c>
      <c r="R36" s="8">
        <f>IFERROR(Q36/Q444, "NA")</f>
        <v>9.8897006057288003E-2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586673.98</v>
      </c>
      <c r="X36" s="8">
        <f>IFERROR(W36/W444, "NA")</f>
        <v>-1.5432747432873355</v>
      </c>
      <c r="Y36" s="9"/>
      <c r="Z36" s="7">
        <v>631548.41</v>
      </c>
      <c r="AA36" s="8">
        <f>IFERROR(Z36/Z444, "NA")</f>
        <v>0.11247560624050251</v>
      </c>
      <c r="AB36" s="9"/>
      <c r="AC36" s="10">
        <f t="shared" si="11"/>
        <v>-44874.430000000051</v>
      </c>
      <c r="AD36" s="8">
        <f>IFERROR(AC36/AC444, "NA")</f>
        <v>-0.14147486241138735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4373.3500000000004</v>
      </c>
      <c r="C39" s="8">
        <f>IFERROR(B39/B444, "NA")</f>
        <v>7.6159299756915766E-3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4373.3500000000004</v>
      </c>
      <c r="I39" s="8">
        <f>IFERROR(H39/H444, "NA")</f>
        <v>-4.4888268666759885E-2</v>
      </c>
      <c r="J39" s="9"/>
      <c r="K39" s="7">
        <v>5418.0699999999988</v>
      </c>
      <c r="L39" s="8">
        <f>IFERROR(K39/K444, "NA")</f>
        <v>8.7793649801100031E-3</v>
      </c>
      <c r="M39" s="9"/>
      <c r="N39" s="10">
        <f t="shared" si="9"/>
        <v>-1044.7199999999984</v>
      </c>
      <c r="O39" s="8">
        <f>IFERROR(N39/N444, "NA")</f>
        <v>2.435260082056458E-2</v>
      </c>
      <c r="P39" s="9"/>
      <c r="Q39" s="7">
        <v>55489</v>
      </c>
      <c r="R39" s="8">
        <f>IFERROR(Q39/Q444, "NA")</f>
        <v>9.3539106150793572E-3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55489</v>
      </c>
      <c r="X39" s="8">
        <f>IFERROR(W39/W444, "NA")</f>
        <v>-0.14596654215049892</v>
      </c>
      <c r="Y39" s="9"/>
      <c r="Z39" s="7">
        <v>59025.68</v>
      </c>
      <c r="AA39" s="8">
        <f>IFERROR(Z39/Z444, "NA")</f>
        <v>1.051217774700423E-2</v>
      </c>
      <c r="AB39" s="9"/>
      <c r="AC39" s="10">
        <f t="shared" si="11"/>
        <v>-3536.6800000000003</v>
      </c>
      <c r="AD39" s="8">
        <f>IFERROR(AC39/AC444, "NA")</f>
        <v>-1.1150031686042694E-2</v>
      </c>
    </row>
    <row r="40" spans="1:30" ht="16.5" customHeight="1" x14ac:dyDescent="0.45">
      <c r="A40" s="13" t="s">
        <v>40</v>
      </c>
      <c r="B40" s="14">
        <f>IFERROR(B31+B32+B33+B34+B35+B36+B37+B38+B39, "NA")</f>
        <v>125280.63000000002</v>
      </c>
      <c r="C40" s="15">
        <f>IFERROR(B40/B444, "NA")</f>
        <v>0.21816879632101832</v>
      </c>
      <c r="D40" s="2"/>
      <c r="E40" s="14">
        <f>IFERROR(E31+E32+E33+E34+E35+E36+E37+E38+E39, "NA")</f>
        <v>149174.60999999999</v>
      </c>
      <c r="F40" s="15">
        <f>IFERROR(E40/E444, "NA")</f>
        <v>0.22209687031006634</v>
      </c>
      <c r="G40" s="2"/>
      <c r="H40" s="14">
        <f t="shared" si="8"/>
        <v>-23893.979999999967</v>
      </c>
      <c r="I40" s="15">
        <f>IFERROR(H40/H444, "NA")</f>
        <v>0.24524892673995582</v>
      </c>
      <c r="J40" s="2"/>
      <c r="K40" s="14">
        <f>IFERROR(K31+K32+K33+K34+K35+K36+K37+K38+K39, "NA")</f>
        <v>170119.77000000002</v>
      </c>
      <c r="L40" s="15">
        <f>IFERROR(K40/K444, "NA")</f>
        <v>0.27565970007075741</v>
      </c>
      <c r="M40" s="2"/>
      <c r="N40" s="14">
        <f t="shared" si="9"/>
        <v>-44839.14</v>
      </c>
      <c r="O40" s="15">
        <f>IFERROR(N40/N444, "NA")</f>
        <v>1.045207976833421</v>
      </c>
      <c r="P40" s="2"/>
      <c r="Q40" s="14">
        <f>IFERROR(Q31+Q32+Q33+Q34+Q35+Q36+Q37+Q38+Q39, "NA")</f>
        <v>1221816.06</v>
      </c>
      <c r="R40" s="15">
        <f>IFERROR(Q40/Q444, "NA")</f>
        <v>0.20596439318258458</v>
      </c>
      <c r="S40" s="2"/>
      <c r="T40" s="14">
        <f>IFERROR(T31+T32+T33+T34+T35+T36+T37+T38+T39, "NA")</f>
        <v>1378040.9100000001</v>
      </c>
      <c r="U40" s="15">
        <f>IFERROR(T40/T444, "NA")</f>
        <v>0.21830973383550156</v>
      </c>
      <c r="V40" s="2"/>
      <c r="W40" s="14">
        <f t="shared" si="10"/>
        <v>-156224.85000000009</v>
      </c>
      <c r="X40" s="15">
        <f>IFERROR(W40/W444, "NA")</f>
        <v>0.41095714740724082</v>
      </c>
      <c r="Y40" s="2"/>
      <c r="Z40" s="14">
        <f>IFERROR(Z31+Z32+Z33+Z34+Z35+Z36+Z37+Z38+Z39, "NA")</f>
        <v>1144000.26</v>
      </c>
      <c r="AA40" s="15">
        <f>IFERROR(Z40/Z444, "NA")</f>
        <v>0.20374071210596903</v>
      </c>
      <c r="AB40" s="2"/>
      <c r="AC40" s="14">
        <f t="shared" si="11"/>
        <v>77815.800000000047</v>
      </c>
      <c r="AD40" s="15">
        <f>IFERROR(AC40/AC444, "NA")</f>
        <v>0.24532856681259305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26368.12</v>
      </c>
      <c r="C43" s="8">
        <f>IFERROR(B43/B444, "NA")</f>
        <v>4.5918519101062698E-2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26368.12</v>
      </c>
      <c r="I43" s="8">
        <f>IFERROR(H43/H444, "NA")</f>
        <v>-0.27064361526000996</v>
      </c>
      <c r="J43" s="9"/>
      <c r="K43" s="7">
        <v>51587.9</v>
      </c>
      <c r="L43" s="8">
        <f>IFERROR(K43/K444, "NA")</f>
        <v>8.3592312882154879E-2</v>
      </c>
      <c r="M43" s="9"/>
      <c r="N43" s="10">
        <f>IFERROR(B43-K43, "NA")</f>
        <v>-25219.780000000002</v>
      </c>
      <c r="O43" s="8">
        <f>IFERROR(N43/N444, "NA")</f>
        <v>0.58787735960109799</v>
      </c>
      <c r="P43" s="9"/>
      <c r="Q43" s="7">
        <v>316437.75</v>
      </c>
      <c r="R43" s="8">
        <f>IFERROR(Q43/Q444, "NA")</f>
        <v>5.334265221461601E-2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316437.75</v>
      </c>
      <c r="X43" s="8">
        <f>IFERROR(W43/W444, "NA")</f>
        <v>-0.83240505637845408</v>
      </c>
      <c r="Y43" s="9"/>
      <c r="Z43" s="7">
        <v>100511.1</v>
      </c>
      <c r="AA43" s="8">
        <f>IFERROR(Z43/Z444, "NA")</f>
        <v>1.7900523107008966E-2</v>
      </c>
      <c r="AB43" s="9"/>
      <c r="AC43" s="10">
        <f>IFERROR(Q43-Z43, "NA")</f>
        <v>215926.65</v>
      </c>
      <c r="AD43" s="8">
        <f>IFERROR(AC43/AC444, "NA")</f>
        <v>0.68074832593309276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181197.36</v>
      </c>
      <c r="F46" s="8">
        <f>IFERROR(E46/E444, "NA")</f>
        <v>0.26977356645642581</v>
      </c>
      <c r="G46" s="9"/>
      <c r="H46" s="10">
        <f t="shared" ref="H46:H62" si="12">IFERROR(B46-E46, "NA")</f>
        <v>-181197.36</v>
      </c>
      <c r="I46" s="8">
        <f>IFERROR(H46/H444, "NA")</f>
        <v>1.8598181662541553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1649412.0699999998</v>
      </c>
      <c r="U46" s="8">
        <f>IFERROR(T46/T444, "NA")</f>
        <v>0.26130045006193875</v>
      </c>
      <c r="V46" s="9"/>
      <c r="W46" s="10">
        <f t="shared" ref="W46:W62" si="14">IFERROR(Q46-T46, "NA")</f>
        <v>-1649412.0699999998</v>
      </c>
      <c r="X46" s="8">
        <f>IFERROR(W46/W444, "NA")</f>
        <v>4.3388595296220265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1612.57</v>
      </c>
      <c r="C47" s="8">
        <f>IFERROR(B47/B444, "NA")</f>
        <v>2.8081951366574743E-3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1612.57</v>
      </c>
      <c r="I47" s="8">
        <f>IFERROR(H47/H444, "NA")</f>
        <v>-1.6551493798565627E-2</v>
      </c>
      <c r="J47" s="9"/>
      <c r="K47" s="7">
        <v>0</v>
      </c>
      <c r="L47" s="8">
        <f>IFERROR(K47/K444, "NA")</f>
        <v>0</v>
      </c>
      <c r="M47" s="9"/>
      <c r="N47" s="10">
        <f t="shared" si="13"/>
        <v>1612.57</v>
      </c>
      <c r="O47" s="8">
        <f>IFERROR(N47/N444, "NA")</f>
        <v>-3.758928086493786E-2</v>
      </c>
      <c r="P47" s="9"/>
      <c r="Q47" s="7">
        <v>8715.9599999999991</v>
      </c>
      <c r="R47" s="8">
        <f>IFERROR(Q47/Q444, "NA")</f>
        <v>1.469269778958119E-3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8715.9599999999991</v>
      </c>
      <c r="X47" s="8">
        <f>IFERROR(W47/W444, "NA")</f>
        <v>-2.2927761226947004E-2</v>
      </c>
      <c r="Y47" s="9"/>
      <c r="Z47" s="7">
        <v>4473.6000000000004</v>
      </c>
      <c r="AA47" s="8">
        <f>IFERROR(Z47/Z444, "NA")</f>
        <v>7.9672573647602413E-4</v>
      </c>
      <c r="AB47" s="9"/>
      <c r="AC47" s="10">
        <f t="shared" si="15"/>
        <v>4242.3599999999988</v>
      </c>
      <c r="AD47" s="8">
        <f>IFERROR(AC47/AC444, "NA")</f>
        <v>1.3374817179841E-2</v>
      </c>
    </row>
    <row r="48" spans="1:30" ht="16.5" customHeight="1" x14ac:dyDescent="0.45">
      <c r="A48" s="17" t="s">
        <v>46</v>
      </c>
      <c r="B48" s="7">
        <v>94712.17</v>
      </c>
      <c r="C48" s="8">
        <f>IFERROR(B48/B444, "NA")</f>
        <v>0.16493563391125715</v>
      </c>
      <c r="D48" s="9"/>
      <c r="E48" s="7">
        <v>0</v>
      </c>
      <c r="F48" s="8">
        <f>IFERROR(E48/E444, "NA")</f>
        <v>0</v>
      </c>
      <c r="G48" s="9"/>
      <c r="H48" s="10">
        <f t="shared" si="12"/>
        <v>94712.17</v>
      </c>
      <c r="I48" s="8">
        <f>IFERROR(H48/H444, "NA")</f>
        <v>-0.97213013661651482</v>
      </c>
      <c r="J48" s="9"/>
      <c r="K48" s="7">
        <v>98975.46</v>
      </c>
      <c r="L48" s="8">
        <f>IFERROR(K48/K444, "NA")</f>
        <v>0.16037845347407445</v>
      </c>
      <c r="M48" s="9"/>
      <c r="N48" s="10">
        <f t="shared" si="13"/>
        <v>-4263.2900000000081</v>
      </c>
      <c r="O48" s="8">
        <f>IFERROR(N48/N444, "NA")</f>
        <v>9.9378014733426293E-2</v>
      </c>
      <c r="P48" s="9"/>
      <c r="Q48" s="7">
        <v>814786.7300000001</v>
      </c>
      <c r="R48" s="8">
        <f>IFERROR(Q48/Q444, "NA")</f>
        <v>0.13735050627642953</v>
      </c>
      <c r="S48" s="9"/>
      <c r="T48" s="7">
        <v>0</v>
      </c>
      <c r="U48" s="8">
        <f>IFERROR(T48/T444, "NA")</f>
        <v>0</v>
      </c>
      <c r="V48" s="9"/>
      <c r="W48" s="10">
        <f t="shared" si="14"/>
        <v>814786.7300000001</v>
      </c>
      <c r="X48" s="8">
        <f>IFERROR(W48/W444, "NA")</f>
        <v>-2.1433365454092197</v>
      </c>
      <c r="Y48" s="9"/>
      <c r="Z48" s="7">
        <v>1072100.6200000001</v>
      </c>
      <c r="AA48" s="8">
        <f>IFERROR(Z48/Z444, "NA")</f>
        <v>0.19093574661254964</v>
      </c>
      <c r="AB48" s="9"/>
      <c r="AC48" s="10">
        <f t="shared" si="15"/>
        <v>-257313.89</v>
      </c>
      <c r="AD48" s="8">
        <f>IFERROR(AC48/AC444, "NA")</f>
        <v>-0.8112291829509326</v>
      </c>
    </row>
    <row r="49" spans="1:30" ht="16.5" customHeight="1" x14ac:dyDescent="0.45">
      <c r="A49" s="17" t="s">
        <v>47</v>
      </c>
      <c r="B49" s="7">
        <v>2700</v>
      </c>
      <c r="C49" s="8">
        <f>IFERROR(B49/B444, "NA")</f>
        <v>4.7018900692529196E-3</v>
      </c>
      <c r="D49" s="9"/>
      <c r="E49" s="7">
        <v>0</v>
      </c>
      <c r="F49" s="8">
        <f>IFERROR(E49/E444, "NA")</f>
        <v>0</v>
      </c>
      <c r="G49" s="9"/>
      <c r="H49" s="10">
        <f t="shared" si="12"/>
        <v>2700</v>
      </c>
      <c r="I49" s="8">
        <f>IFERROR(H49/H444, "NA")</f>
        <v>-2.7712926109333048E-2</v>
      </c>
      <c r="J49" s="9"/>
      <c r="K49" s="7">
        <v>420</v>
      </c>
      <c r="L49" s="8">
        <f>IFERROR(K49/K444, "NA")</f>
        <v>6.8056213589824449E-4</v>
      </c>
      <c r="M49" s="9"/>
      <c r="N49" s="10">
        <f t="shared" si="13"/>
        <v>2280</v>
      </c>
      <c r="O49" s="8">
        <f>IFERROR(N49/N444, "NA")</f>
        <v>-5.3147187639642511E-2</v>
      </c>
      <c r="P49" s="9"/>
      <c r="Q49" s="7">
        <v>44852.29</v>
      </c>
      <c r="R49" s="8">
        <f>IFERROR(Q49/Q444, "NA")</f>
        <v>7.5608555126532766E-3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44852.29</v>
      </c>
      <c r="X49" s="8">
        <f>IFERROR(W49/W444, "NA")</f>
        <v>-0.11798615363101518</v>
      </c>
      <c r="Y49" s="9"/>
      <c r="Z49" s="7">
        <v>4310.2700000000004</v>
      </c>
      <c r="AA49" s="8">
        <f>IFERROR(Z49/Z444, "NA")</f>
        <v>7.6763748215319036E-4</v>
      </c>
      <c r="AB49" s="9"/>
      <c r="AC49" s="10">
        <f t="shared" si="15"/>
        <v>40542.020000000004</v>
      </c>
      <c r="AD49" s="8">
        <f>IFERROR(AC49/AC444, "NA")</f>
        <v>0.12781614610769892</v>
      </c>
    </row>
    <row r="50" spans="1:30" ht="16.5" customHeight="1" x14ac:dyDescent="0.45">
      <c r="A50" s="17" t="s">
        <v>48</v>
      </c>
      <c r="B50" s="7">
        <v>5758</v>
      </c>
      <c r="C50" s="8">
        <f>IFERROR(B50/B444, "NA")</f>
        <v>1.0027215932873448E-2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5758</v>
      </c>
      <c r="I50" s="8">
        <f>IFERROR(H50/H444, "NA")</f>
        <v>-5.9100380939829514E-2</v>
      </c>
      <c r="J50" s="9"/>
      <c r="K50" s="7">
        <v>1810</v>
      </c>
      <c r="L50" s="8">
        <f>IFERROR(K50/K444, "NA")</f>
        <v>2.9328987285138636E-3</v>
      </c>
      <c r="M50" s="9"/>
      <c r="N50" s="10">
        <f t="shared" si="13"/>
        <v>3948</v>
      </c>
      <c r="O50" s="8">
        <f>IFERROR(N50/N444, "NA")</f>
        <v>-9.2028551228644132E-2</v>
      </c>
      <c r="P50" s="9"/>
      <c r="Q50" s="7">
        <v>26585.07</v>
      </c>
      <c r="R50" s="8">
        <f>IFERROR(Q50/Q444, "NA")</f>
        <v>4.4815074785205669E-3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26585.07</v>
      </c>
      <c r="X50" s="8">
        <f>IFERROR(W50/W444, "NA")</f>
        <v>-6.9933333466614359E-2</v>
      </c>
      <c r="Y50" s="9"/>
      <c r="Z50" s="7">
        <v>25917.59</v>
      </c>
      <c r="AA50" s="8">
        <f>IFERROR(Z50/Z444, "NA")</f>
        <v>4.6157928693744714E-3</v>
      </c>
      <c r="AB50" s="9"/>
      <c r="AC50" s="10">
        <f t="shared" si="15"/>
        <v>667.47999999999956</v>
      </c>
      <c r="AD50" s="8">
        <f>IFERROR(AC50/AC444, "NA")</f>
        <v>2.1043529948425563E-3</v>
      </c>
    </row>
    <row r="51" spans="1:30" ht="16.5" customHeight="1" x14ac:dyDescent="0.45">
      <c r="A51" s="17" t="s">
        <v>49</v>
      </c>
      <c r="B51" s="7">
        <v>1930.74</v>
      </c>
      <c r="C51" s="8">
        <f>IFERROR(B51/B444, "NA")</f>
        <v>3.3622693452997712E-3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1930.74</v>
      </c>
      <c r="I51" s="8">
        <f>IFERROR(H51/H444, "NA")</f>
        <v>-1.9817205539382848E-2</v>
      </c>
      <c r="J51" s="9"/>
      <c r="K51" s="7">
        <v>4561.8</v>
      </c>
      <c r="L51" s="8">
        <f>IFERROR(K51/K444, "NA")</f>
        <v>7.3918770274776476E-3</v>
      </c>
      <c r="M51" s="9"/>
      <c r="N51" s="10">
        <f t="shared" si="13"/>
        <v>-2631.0600000000004</v>
      </c>
      <c r="O51" s="8">
        <f>IFERROR(N51/N444, "NA")</f>
        <v>6.1330455925946423E-2</v>
      </c>
      <c r="P51" s="9"/>
      <c r="Q51" s="7">
        <v>29505.82</v>
      </c>
      <c r="R51" s="8">
        <f>IFERROR(Q51/Q444, "NA")</f>
        <v>4.9738651427241572E-3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29505.82</v>
      </c>
      <c r="X51" s="8">
        <f>IFERROR(W51/W444, "NA")</f>
        <v>-7.7616509915749685E-2</v>
      </c>
      <c r="Y51" s="9"/>
      <c r="Z51" s="7">
        <v>66651.58</v>
      </c>
      <c r="AA51" s="8">
        <f>IFERROR(Z51/Z444, "NA")</f>
        <v>1.187031231285556E-2</v>
      </c>
      <c r="AB51" s="9"/>
      <c r="AC51" s="10">
        <f t="shared" si="15"/>
        <v>-37145.760000000002</v>
      </c>
      <c r="AD51" s="8">
        <f>IFERROR(AC51/AC444, "NA")</f>
        <v>-0.11710881419923128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11074.8</v>
      </c>
      <c r="R53" s="8">
        <f>IFERROR(Q53/Q444, "NA")</f>
        <v>1.8669049591789517E-3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11074.8</v>
      </c>
      <c r="X53" s="8">
        <f>IFERROR(W53/W444, "NA")</f>
        <v>-2.9132805799498014E-2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11074.8</v>
      </c>
      <c r="AD53" s="8">
        <f>IFERROR(AC53/AC444, "NA")</f>
        <v>3.4915336110868278E-2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77.75</v>
      </c>
      <c r="R54" s="8">
        <f>IFERROR(Q54/Q444, "NA")</f>
        <v>1.3106499492195209E-5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-2.0452519692554003E-4</v>
      </c>
      <c r="Y54" s="9"/>
      <c r="Z54" s="7">
        <v>1377.7</v>
      </c>
      <c r="AA54" s="8">
        <f>IFERROR(Z54/Z444, "NA")</f>
        <v>2.4536146440071047E-4</v>
      </c>
      <c r="AB54" s="9"/>
      <c r="AC54" s="10">
        <f t="shared" si="15"/>
        <v>-1299.95</v>
      </c>
      <c r="AD54" s="8">
        <f>IFERROR(AC54/AC444, "NA")</f>
        <v>-4.0983305501971342E-3</v>
      </c>
    </row>
    <row r="55" spans="1:30" ht="16.5" customHeight="1" x14ac:dyDescent="0.45">
      <c r="A55" s="17" t="s">
        <v>53</v>
      </c>
      <c r="B55" s="7">
        <v>338.19</v>
      </c>
      <c r="C55" s="8">
        <f>IFERROR(B55/B444, "NA")</f>
        <v>5.8893785278542397E-4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338.19</v>
      </c>
      <c r="I55" s="8">
        <f>IFERROR(H55/H444, "NA")</f>
        <v>-3.4711979558945715E-3</v>
      </c>
      <c r="J55" s="9"/>
      <c r="K55" s="7">
        <v>805.39</v>
      </c>
      <c r="L55" s="8">
        <f>IFERROR(K55/K444, "NA")</f>
        <v>1.3050427110263981E-3</v>
      </c>
      <c r="M55" s="9"/>
      <c r="N55" s="10">
        <f t="shared" si="13"/>
        <v>-467.2</v>
      </c>
      <c r="O55" s="8">
        <f>IFERROR(N55/N444, "NA")</f>
        <v>1.0890511432123237E-2</v>
      </c>
      <c r="P55" s="9"/>
      <c r="Q55" s="7">
        <v>6765.88</v>
      </c>
      <c r="R55" s="8">
        <f>IFERROR(Q55/Q444, "NA")</f>
        <v>1.1405402287363823E-3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6765.88</v>
      </c>
      <c r="X55" s="8">
        <f>IFERROR(W55/W444, "NA")</f>
        <v>-1.7797979927647239E-2</v>
      </c>
      <c r="Y55" s="9"/>
      <c r="Z55" s="7">
        <v>7384.44</v>
      </c>
      <c r="AA55" s="8">
        <f>IFERROR(Z55/Z444, "NA")</f>
        <v>1.3151317501482053E-3</v>
      </c>
      <c r="AB55" s="9"/>
      <c r="AC55" s="10">
        <f t="shared" si="15"/>
        <v>-618.55999999999949</v>
      </c>
      <c r="AD55" s="8">
        <f>IFERROR(AC55/AC444, "NA")</f>
        <v>-1.9501237317819432E-3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170</v>
      </c>
      <c r="L56" s="8">
        <f>IFERROR(K56/K444, "NA")</f>
        <v>2.7546562643500372E-4</v>
      </c>
      <c r="M56" s="9"/>
      <c r="N56" s="10">
        <f t="shared" si="13"/>
        <v>-170</v>
      </c>
      <c r="O56" s="8">
        <f>IFERROR(N56/N444, "NA")</f>
        <v>3.9627289029558008E-3</v>
      </c>
      <c r="P56" s="9"/>
      <c r="Q56" s="7">
        <v>155.60000000000002</v>
      </c>
      <c r="R56" s="8">
        <f>IFERROR(Q56/Q444, "NA")</f>
        <v>2.6229856218463984E-5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-4.0931344876673999E-4</v>
      </c>
      <c r="Y56" s="9"/>
      <c r="Z56" s="7">
        <v>3622.37</v>
      </c>
      <c r="AA56" s="8">
        <f>IFERROR(Z56/Z444, "NA")</f>
        <v>6.4512594019104413E-4</v>
      </c>
      <c r="AB56" s="9"/>
      <c r="AC56" s="10">
        <f t="shared" si="15"/>
        <v>-3466.77</v>
      </c>
      <c r="AD56" s="8">
        <f>IFERROR(AC56/AC444, "NA")</f>
        <v>-1.0929627602220791E-2</v>
      </c>
    </row>
    <row r="57" spans="1:30" ht="16.5" customHeight="1" x14ac:dyDescent="0.45">
      <c r="A57" s="17" t="s">
        <v>55</v>
      </c>
      <c r="B57" s="7">
        <v>1946.68</v>
      </c>
      <c r="C57" s="8">
        <f>IFERROR(B57/B444, "NA")</f>
        <v>3.3900279111160271E-3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1946.68</v>
      </c>
      <c r="I57" s="8">
        <f>IFERROR(H57/H444, "NA")</f>
        <v>-1.9980814443894983E-2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1946.68</v>
      </c>
      <c r="O57" s="8">
        <f>IFERROR(N57/N444, "NA")</f>
        <v>-4.5377441769447052E-2</v>
      </c>
      <c r="P57" s="9"/>
      <c r="Q57" s="7">
        <v>10462.51</v>
      </c>
      <c r="R57" s="8">
        <f>IFERROR(Q57/Q444, "NA")</f>
        <v>1.7636898006699331E-3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10462.51</v>
      </c>
      <c r="X57" s="8">
        <f>IFERROR(W57/W444, "NA")</f>
        <v>-2.7522146856404268E-2</v>
      </c>
      <c r="Y57" s="9"/>
      <c r="Z57" s="7">
        <v>14356.41</v>
      </c>
      <c r="AA57" s="8">
        <f>IFERROR(Z57/Z444, "NA")</f>
        <v>2.5568046607657717E-3</v>
      </c>
      <c r="AB57" s="9"/>
      <c r="AC57" s="10">
        <f t="shared" si="15"/>
        <v>-3893.8999999999996</v>
      </c>
      <c r="AD57" s="8">
        <f>IFERROR(AC57/AC444, "NA")</f>
        <v>-1.2276233185439916E-2</v>
      </c>
    </row>
    <row r="58" spans="1:30" ht="16.5" customHeight="1" x14ac:dyDescent="0.45">
      <c r="A58" s="17" t="s">
        <v>56</v>
      </c>
      <c r="B58" s="7">
        <v>769.05</v>
      </c>
      <c r="C58" s="8">
        <f>IFERROR(B58/B444, "NA")</f>
        <v>1.3392550213922065E-3</v>
      </c>
      <c r="D58" s="9"/>
      <c r="E58" s="7">
        <v>0</v>
      </c>
      <c r="F58" s="8">
        <f>IFERROR(E58/E444, "NA")</f>
        <v>0</v>
      </c>
      <c r="G58" s="9"/>
      <c r="H58" s="10">
        <f t="shared" si="12"/>
        <v>769.05</v>
      </c>
      <c r="I58" s="8">
        <f>IFERROR(H58/H444, "NA")</f>
        <v>-7.8935651201416952E-3</v>
      </c>
      <c r="J58" s="9"/>
      <c r="K58" s="7">
        <v>0</v>
      </c>
      <c r="L58" s="8">
        <f>IFERROR(K58/K444, "NA")</f>
        <v>0</v>
      </c>
      <c r="M58" s="9"/>
      <c r="N58" s="10">
        <f t="shared" si="13"/>
        <v>769.05</v>
      </c>
      <c r="O58" s="8">
        <f>IFERROR(N58/N444, "NA")</f>
        <v>-1.7926686251871521E-2</v>
      </c>
      <c r="P58" s="9"/>
      <c r="Q58" s="7">
        <v>2558.71</v>
      </c>
      <c r="R58" s="8">
        <f>IFERROR(Q58/Q444, "NA")</f>
        <v>4.3132773396366308E-4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2558.71</v>
      </c>
      <c r="X58" s="8">
        <f>IFERROR(W58/W444, "NA")</f>
        <v>-6.7308124324803667E-3</v>
      </c>
      <c r="Y58" s="9"/>
      <c r="Z58" s="7">
        <v>5464.25</v>
      </c>
      <c r="AA58" s="8">
        <f>IFERROR(Z58/Z444, "NA")</f>
        <v>9.7315553593059609E-4</v>
      </c>
      <c r="AB58" s="9"/>
      <c r="AC58" s="10">
        <f t="shared" si="15"/>
        <v>-2905.54</v>
      </c>
      <c r="AD58" s="8">
        <f>IFERROR(AC58/AC444, "NA")</f>
        <v>-9.1602471993690385E-3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4787.2299999999996</v>
      </c>
      <c r="AA59" s="8">
        <f>IFERROR(Z59/Z444, "NA")</f>
        <v>8.5258166743341294E-4</v>
      </c>
      <c r="AB59" s="9"/>
      <c r="AC59" s="10">
        <f t="shared" si="15"/>
        <v>-4787.2299999999996</v>
      </c>
      <c r="AD59" s="8">
        <f>IFERROR(AC59/AC444, "NA")</f>
        <v>-1.509261968523422E-2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2.1661545784528415E-6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-3.3802556662291823E-5</v>
      </c>
      <c r="Y60" s="9"/>
      <c r="Z60" s="7">
        <v>319.54000000000002</v>
      </c>
      <c r="AA60" s="8">
        <f>IFERROR(Z60/Z444, "NA")</f>
        <v>5.6908472334037183E-5</v>
      </c>
      <c r="AB60" s="9"/>
      <c r="AC60" s="10">
        <f t="shared" si="15"/>
        <v>-306.69</v>
      </c>
      <c r="AD60" s="8">
        <f>IFERROR(AC60/AC444, "NA")</f>
        <v>-9.6689641635444362E-4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109767.40000000001</v>
      </c>
      <c r="C61" s="15">
        <f>IFERROR(B61/B444, "NA")</f>
        <v>0.19115342518063444</v>
      </c>
      <c r="D61" s="2"/>
      <c r="E61" s="14">
        <f>IFERROR(E46+E47+E48+E49+E50+E51+E52+E53+E54+E55+E56+E57+E58+E59+E60, "NA")</f>
        <v>181197.36</v>
      </c>
      <c r="F61" s="15">
        <f>IFERROR(E61/E444, "NA")</f>
        <v>0.26977356645642581</v>
      </c>
      <c r="G61" s="2"/>
      <c r="H61" s="14">
        <f t="shared" si="12"/>
        <v>-71429.959999999977</v>
      </c>
      <c r="I61" s="15">
        <f>IFERROR(H61/H444, "NA")</f>
        <v>0.73316044573059802</v>
      </c>
      <c r="J61" s="2"/>
      <c r="K61" s="14">
        <f>IFERROR(K46+K47+K48+K49+K50+K51+K52+K53+K54+K55+K56+K57+K58+K59+K60, "NA")</f>
        <v>106742.65000000001</v>
      </c>
      <c r="L61" s="15">
        <f>IFERROR(K61/K444, "NA")</f>
        <v>0.17296429970342561</v>
      </c>
      <c r="M61" s="2"/>
      <c r="N61" s="14">
        <f t="shared" si="13"/>
        <v>3024.75</v>
      </c>
      <c r="O61" s="15">
        <f>IFERROR(N61/N444, "NA")</f>
        <v>-7.0507436760091524E-2</v>
      </c>
      <c r="P61" s="2"/>
      <c r="Q61" s="14">
        <f>IFERROR(Q46+Q47+Q48+Q49+Q50+Q51+Q52+Q53+Q54+Q55+Q56+Q57+Q58+Q59+Q60, "NA")</f>
        <v>955553.97</v>
      </c>
      <c r="R61" s="15">
        <f>IFERROR(Q61/Q444, "NA")</f>
        <v>0.16107996942212369</v>
      </c>
      <c r="S61" s="2"/>
      <c r="T61" s="14">
        <f>IFERROR(T46+T47+T48+T49+T50+T51+T52+T53+T54+T55+T56+T57+T58+T59+T60, "NA")</f>
        <v>1649412.0699999998</v>
      </c>
      <c r="U61" s="15">
        <f>IFERROR(T61/T444, "NA")</f>
        <v>0.26130045006193875</v>
      </c>
      <c r="V61" s="2"/>
      <c r="W61" s="14">
        <f t="shared" si="14"/>
        <v>-693858.09999999986</v>
      </c>
      <c r="X61" s="15">
        <f>IFERROR(W61/W444, "NA")</f>
        <v>1.8252278397540966</v>
      </c>
      <c r="Y61" s="2"/>
      <c r="Z61" s="14">
        <f>IFERROR(Z46+Z47+Z48+Z49+Z50+Z51+Z52+Z53+Z54+Z55+Z56+Z57+Z58+Z59+Z60, "NA")</f>
        <v>1210765.6000000003</v>
      </c>
      <c r="AA61" s="15">
        <f>IFERROR(Z61/Z444, "NA")</f>
        <v>0.21563128450461272</v>
      </c>
      <c r="AB61" s="2"/>
      <c r="AC61" s="14">
        <f t="shared" si="15"/>
        <v>-255211.63000000035</v>
      </c>
      <c r="AD61" s="15">
        <f>IFERROR(AC61/AC444, "NA")</f>
        <v>-0.80460142312751171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136135.51999999996</v>
      </c>
      <c r="C62" s="15">
        <f>IFERROR(B62/B444, "NA")</f>
        <v>0.23707194428169706</v>
      </c>
      <c r="D62" s="2"/>
      <c r="E62" s="14">
        <f>IFERROR(E42+E43+E44+E46+E47+E48+E49+E50+E51+E52+E53+E54+E55+E56+E57+E58+E59+E60, "NA")</f>
        <v>181197.36</v>
      </c>
      <c r="F62" s="15">
        <f>IFERROR(E62/E444, "NA")</f>
        <v>0.26977356645642581</v>
      </c>
      <c r="G62" s="2"/>
      <c r="H62" s="14">
        <f t="shared" si="12"/>
        <v>-45061.840000000026</v>
      </c>
      <c r="I62" s="15">
        <f>IFERROR(H62/H444, "NA")</f>
        <v>0.4625168304705885</v>
      </c>
      <c r="J62" s="2"/>
      <c r="K62" s="14">
        <f>IFERROR(K42+K43+K44+K46+K47+K48+K49+K50+K51+K52+K53+K54+K55+K56+K57+K58+K59+K60, "NA")</f>
        <v>158330.55000000002</v>
      </c>
      <c r="L62" s="15">
        <f>IFERROR(K62/K444, "NA")</f>
        <v>0.25655661258558049</v>
      </c>
      <c r="M62" s="2"/>
      <c r="N62" s="14">
        <f t="shared" si="13"/>
        <v>-22195.030000000057</v>
      </c>
      <c r="O62" s="15">
        <f>IFERROR(N62/N444, "NA")</f>
        <v>0.5173699228410078</v>
      </c>
      <c r="P62" s="2"/>
      <c r="Q62" s="14">
        <f>IFERROR(Q42+Q43+Q44+Q46+Q47+Q48+Q49+Q50+Q51+Q52+Q53+Q54+Q55+Q56+Q57+Q58+Q59+Q60, "NA")</f>
        <v>1271991.7200000004</v>
      </c>
      <c r="R62" s="15">
        <f>IFERROR(Q62/Q444, "NA")</f>
        <v>0.21442262163673975</v>
      </c>
      <c r="S62" s="2"/>
      <c r="T62" s="14">
        <f>IFERROR(T42+T43+T44+T46+T47+T48+T49+T50+T51+T52+T53+T54+T55+T56+T57+T58+T59+T60, "NA")</f>
        <v>1649412.0699999998</v>
      </c>
      <c r="U62" s="15">
        <f>IFERROR(T62/T444, "NA")</f>
        <v>0.26130045006193875</v>
      </c>
      <c r="V62" s="2"/>
      <c r="W62" s="14">
        <f t="shared" si="14"/>
        <v>-377420.34999999939</v>
      </c>
      <c r="X62" s="15">
        <f>IFERROR(W62/W444, "NA")</f>
        <v>0.99282278337564145</v>
      </c>
      <c r="Y62" s="2"/>
      <c r="Z62" s="14">
        <f>IFERROR(Z42+Z43+Z44+Z46+Z47+Z48+Z49+Z50+Z51+Z52+Z53+Z54+Z55+Z56+Z57+Z58+Z59+Z60, "NA")</f>
        <v>1311276.7000000002</v>
      </c>
      <c r="AA62" s="15">
        <f>IFERROR(Z62/Z444, "NA")</f>
        <v>0.23353180761162165</v>
      </c>
      <c r="AB62" s="2"/>
      <c r="AC62" s="14">
        <f t="shared" si="15"/>
        <v>-39284.979999999749</v>
      </c>
      <c r="AD62" s="15">
        <f>IFERROR(AC62/AC444, "NA")</f>
        <v>-0.12385309719441699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12078.85</v>
      </c>
      <c r="C65" s="8">
        <f>IFERROR(B65/B444, "NA")</f>
        <v>2.1034601801109491E-2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12078.85</v>
      </c>
      <c r="I65" s="8">
        <f>IFERROR(H65/H444, "NA")</f>
        <v>-0.12397788056878425</v>
      </c>
      <c r="J65" s="9"/>
      <c r="K65" s="7">
        <v>925.8</v>
      </c>
      <c r="L65" s="8">
        <f>IFERROR(K65/K444, "NA")</f>
        <v>1.5001533938442733E-3</v>
      </c>
      <c r="M65" s="9"/>
      <c r="N65" s="10">
        <f t="shared" si="17"/>
        <v>11153.050000000001</v>
      </c>
      <c r="O65" s="8">
        <f>IFERROR(N65/N444, "NA")</f>
        <v>-0.25997949171241885</v>
      </c>
      <c r="P65" s="9"/>
      <c r="Q65" s="7">
        <v>121146.87000000001</v>
      </c>
      <c r="R65" s="8">
        <f>IFERROR(Q65/Q444, "NA")</f>
        <v>2.0422011448695036E-2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121146.87000000001</v>
      </c>
      <c r="X65" s="8">
        <f>IFERROR(W65/W444, "NA")</f>
        <v>-0.31868279670305855</v>
      </c>
      <c r="Y65" s="9"/>
      <c r="Z65" s="7">
        <v>6248.0700000000006</v>
      </c>
      <c r="AA65" s="8">
        <f>IFERROR(Z65/Z444, "NA")</f>
        <v>1.1127499491022336E-3</v>
      </c>
      <c r="AB65" s="9"/>
      <c r="AC65" s="10">
        <f t="shared" si="19"/>
        <v>114898.8</v>
      </c>
      <c r="AD65" s="8">
        <f>IFERROR(AC65/AC444, "NA")</f>
        <v>0.36223951861301623</v>
      </c>
    </row>
    <row r="66" spans="1:30" ht="16.5" customHeight="1" x14ac:dyDescent="0.45">
      <c r="A66" s="12" t="s">
        <v>63</v>
      </c>
      <c r="B66" s="7">
        <v>14042.85</v>
      </c>
      <c r="C66" s="8">
        <f>IFERROR(B66/B444, "NA")</f>
        <v>2.4454791466299395E-2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14042.85</v>
      </c>
      <c r="I66" s="8">
        <f>IFERROR(H66/H444, "NA")</f>
        <v>-0.14413646830164725</v>
      </c>
      <c r="J66" s="9"/>
      <c r="K66" s="7">
        <v>12126.54</v>
      </c>
      <c r="L66" s="8">
        <f>IFERROR(K66/K444, "NA")</f>
        <v>1.9649676103465474E-2</v>
      </c>
      <c r="M66" s="9"/>
      <c r="N66" s="10">
        <f t="shared" si="17"/>
        <v>1916.3099999999995</v>
      </c>
      <c r="O66" s="8">
        <f>IFERROR(N66/N444, "NA")</f>
        <v>-4.4669511906018998E-2</v>
      </c>
      <c r="P66" s="9"/>
      <c r="Q66" s="7">
        <v>191875.16</v>
      </c>
      <c r="R66" s="8">
        <f>IFERROR(Q66/Q444, "NA")</f>
        <v>3.2344844850223466E-2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191875.16</v>
      </c>
      <c r="X66" s="8">
        <f>IFERROR(W66/W444, "NA")</f>
        <v>-0.50473704031021871</v>
      </c>
      <c r="Y66" s="9"/>
      <c r="Z66" s="7">
        <v>133753</v>
      </c>
      <c r="AA66" s="8">
        <f>IFERROR(Z66/Z444, "NA")</f>
        <v>2.3820738874927944E-2</v>
      </c>
      <c r="AB66" s="9"/>
      <c r="AC66" s="10">
        <f t="shared" si="19"/>
        <v>58122.16</v>
      </c>
      <c r="AD66" s="8">
        <f>IFERROR(AC66/AC444, "NA")</f>
        <v>0.18324075846874563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1.6659583004050445E-3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-2.5997059677374673E-2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3.1157180079972865E-2</v>
      </c>
    </row>
    <row r="68" spans="1:30" ht="16.5" customHeight="1" x14ac:dyDescent="0.45">
      <c r="A68" s="12" t="s">
        <v>65</v>
      </c>
      <c r="B68" s="7">
        <v>473.75</v>
      </c>
      <c r="C68" s="8">
        <f>IFERROR(B68/B444, "NA")</f>
        <v>8.2500756307724835E-4</v>
      </c>
      <c r="D68" s="9"/>
      <c r="E68" s="7">
        <v>0</v>
      </c>
      <c r="F68" s="8">
        <f>IFERROR(E68/E444, "NA")</f>
        <v>0</v>
      </c>
      <c r="G68" s="9"/>
      <c r="H68" s="10">
        <f t="shared" si="16"/>
        <v>473.75</v>
      </c>
      <c r="I68" s="8">
        <f>IFERROR(H68/H444, "NA")</f>
        <v>-4.8625921275172335E-3</v>
      </c>
      <c r="J68" s="9"/>
      <c r="K68" s="7">
        <v>0</v>
      </c>
      <c r="L68" s="8">
        <f>IFERROR(K68/K444, "NA")</f>
        <v>0</v>
      </c>
      <c r="M68" s="9"/>
      <c r="N68" s="10">
        <f t="shared" si="17"/>
        <v>473.75</v>
      </c>
      <c r="O68" s="8">
        <f>IFERROR(N68/N444, "NA")</f>
        <v>-1.1043193045737122E-2</v>
      </c>
      <c r="P68" s="9"/>
      <c r="Q68" s="7">
        <v>41983.72</v>
      </c>
      <c r="R68" s="8">
        <f>IFERROR(Q68/Q444, "NA")</f>
        <v>7.0772939531892716E-3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41983.72</v>
      </c>
      <c r="X68" s="8">
        <f>IFERROR(W68/W444, "NA")</f>
        <v>-0.11044023923687117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41983.72</v>
      </c>
      <c r="AD68" s="8">
        <f>IFERROR(AC68/AC444, "NA")</f>
        <v>0.13236136950415203</v>
      </c>
    </row>
    <row r="69" spans="1:30" ht="16.5" customHeight="1" x14ac:dyDescent="0.45">
      <c r="A69" s="12" t="s">
        <v>66</v>
      </c>
      <c r="B69" s="7">
        <v>4203</v>
      </c>
      <c r="C69" s="8">
        <f>IFERROR(B69/B444, "NA")</f>
        <v>7.319275541137045E-3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4203</v>
      </c>
      <c r="I69" s="8">
        <f>IFERROR(H69/H444, "NA")</f>
        <v>-4.3139788310195111E-2</v>
      </c>
      <c r="J69" s="9"/>
      <c r="K69" s="7">
        <v>0</v>
      </c>
      <c r="L69" s="8">
        <f>IFERROR(K69/K444, "NA")</f>
        <v>0</v>
      </c>
      <c r="M69" s="9"/>
      <c r="N69" s="10">
        <f t="shared" si="17"/>
        <v>4203</v>
      </c>
      <c r="O69" s="8">
        <f>IFERROR(N69/N444, "NA")</f>
        <v>-9.7972644583077834E-2</v>
      </c>
      <c r="P69" s="9"/>
      <c r="Q69" s="7">
        <v>10065</v>
      </c>
      <c r="R69" s="8">
        <f>IFERROR(Q69/Q444, "NA")</f>
        <v>1.6966806095041129E-3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10065</v>
      </c>
      <c r="X69" s="8">
        <f>IFERROR(W69/W444, "NA")</f>
        <v>-2.6476477261164765E-2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10065</v>
      </c>
      <c r="AD69" s="8">
        <f>IFERROR(AC69/AC444, "NA")</f>
        <v>3.1731756596587682E-2</v>
      </c>
    </row>
    <row r="70" spans="1:30" ht="16.5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13479.54</v>
      </c>
      <c r="R70" s="8">
        <f>IFERROR(Q70/Q444, "NA")</f>
        <v>2.27227760983955E-3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13479.54</v>
      </c>
      <c r="X70" s="8">
        <f>IFERROR(W70/W444, "NA")</f>
        <v>-3.5458592578336903E-2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13479.54</v>
      </c>
      <c r="AD70" s="8">
        <f>IFERROR(AC70/AC444, "NA")</f>
        <v>4.2496719554293842E-2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30798.45</v>
      </c>
      <c r="C73" s="15">
        <f>IFERROR(B73/B444, "NA")</f>
        <v>5.3633676371623182E-2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30798.45</v>
      </c>
      <c r="I73" s="15">
        <f>IFERROR(H73/H444, "NA")</f>
        <v>-0.31611672930814383</v>
      </c>
      <c r="J73" s="2"/>
      <c r="K73" s="14">
        <f>IFERROR(K64+K65+K66+K67+K68+K69+K70+K71+K72, "NA")</f>
        <v>13052.34</v>
      </c>
      <c r="L73" s="15">
        <f>IFERROR(K73/K444, "NA")</f>
        <v>2.1149829497309747E-2</v>
      </c>
      <c r="M73" s="2"/>
      <c r="N73" s="14">
        <f t="shared" si="17"/>
        <v>17746.11</v>
      </c>
      <c r="O73" s="15">
        <f>IFERROR(N73/N444, "NA")</f>
        <v>-0.41366484124725278</v>
      </c>
      <c r="P73" s="2"/>
      <c r="Q73" s="14">
        <f>IFERROR(Q64+Q65+Q66+Q67+Q68+Q69+Q70+Q71+Q72, "NA")</f>
        <v>388433.04</v>
      </c>
      <c r="R73" s="15">
        <f>IFERROR(Q73/Q444, "NA")</f>
        <v>6.5479066771856484E-2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388433.04</v>
      </c>
      <c r="X73" s="15">
        <f>IFERROR(W73/W444, "NA")</f>
        <v>-1.0217922057670246</v>
      </c>
      <c r="Y73" s="2"/>
      <c r="Z73" s="14">
        <f>IFERROR(Z64+Z65+Z66+Z67+Z68+Z69+Z70+Z71+Z72, "NA")</f>
        <v>140001.07</v>
      </c>
      <c r="AA73" s="15">
        <f>IFERROR(Z73/Z444, "NA")</f>
        <v>2.4933488824030178E-2</v>
      </c>
      <c r="AB73" s="2"/>
      <c r="AC73" s="14">
        <f t="shared" si="19"/>
        <v>248431.96999999997</v>
      </c>
      <c r="AD73" s="15">
        <f>IFERROR(AC73/AC444, "NA")</f>
        <v>0.78322730281676811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12422.49</v>
      </c>
      <c r="F75" s="8">
        <f>IFERROR(E75/E444, "NA")</f>
        <v>1.8495078689718687E-2</v>
      </c>
      <c r="G75" s="9"/>
      <c r="H75" s="10">
        <f t="shared" ref="H75:H92" si="20">IFERROR(B75-E75, "NA")</f>
        <v>-12422.49</v>
      </c>
      <c r="I75" s="8">
        <f>IFERROR(H75/H444, "NA")</f>
        <v>0.12750501757923285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113285.98999999999</v>
      </c>
      <c r="U75" s="8">
        <f>IFERROR(T75/T444, "NA")</f>
        <v>1.7946807053929398E-2</v>
      </c>
      <c r="V75" s="9"/>
      <c r="W75" s="10">
        <f t="shared" ref="W75:W92" si="22">IFERROR(Q75-T75, "NA")</f>
        <v>-113285.98999999999</v>
      </c>
      <c r="X75" s="8">
        <f>IFERROR(W75/W444, "NA")</f>
        <v>0.29800436544893577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2373.5500000000002</v>
      </c>
      <c r="C77" s="8">
        <f>IFERROR(B77/B444, "NA")</f>
        <v>4.1333967310649145E-3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2373.5500000000002</v>
      </c>
      <c r="I77" s="8">
        <f>IFERROR(H77/H444, "NA")</f>
        <v>-2.4362228061780539E-2</v>
      </c>
      <c r="J77" s="9"/>
      <c r="K77" s="7">
        <v>3241.7799999999997</v>
      </c>
      <c r="L77" s="8">
        <f>IFERROR(K77/K444, "NA")</f>
        <v>5.2529350497909789E-3</v>
      </c>
      <c r="M77" s="9"/>
      <c r="N77" s="10">
        <f t="shared" si="21"/>
        <v>-868.22999999999956</v>
      </c>
      <c r="O77" s="8">
        <f>IFERROR(N77/N444, "NA")</f>
        <v>2.0238588914195964E-2</v>
      </c>
      <c r="P77" s="9"/>
      <c r="Q77" s="7">
        <v>26096.540000000005</v>
      </c>
      <c r="R77" s="8">
        <f>IFERROR(Q77/Q444, "NA")</f>
        <v>4.399154832900991E-3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26096.540000000005</v>
      </c>
      <c r="X77" s="8">
        <f>IFERROR(W77/W444, "NA")</f>
        <v>-6.8648231287141259E-2</v>
      </c>
      <c r="Y77" s="9"/>
      <c r="Z77" s="7">
        <v>7625.46</v>
      </c>
      <c r="AA77" s="8">
        <f>IFERROR(Z77/Z444, "NA")</f>
        <v>1.3580562040567915E-3</v>
      </c>
      <c r="AB77" s="9"/>
      <c r="AC77" s="10">
        <f t="shared" si="23"/>
        <v>18471.080000000005</v>
      </c>
      <c r="AD77" s="8">
        <f>IFERROR(AC77/AC444, "NA")</f>
        <v>5.8233463947948226E-2</v>
      </c>
    </row>
    <row r="78" spans="1:30" ht="16.5" customHeight="1" x14ac:dyDescent="0.45">
      <c r="A78" s="12" t="s">
        <v>74</v>
      </c>
      <c r="B78" s="7">
        <v>75</v>
      </c>
      <c r="C78" s="8">
        <f>IFERROR(B78/B444, "NA")</f>
        <v>1.3060805747924775E-4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75</v>
      </c>
      <c r="I78" s="8">
        <f>IFERROR(H78/H444, "NA")</f>
        <v>-7.6980350303702903E-4</v>
      </c>
      <c r="J78" s="9"/>
      <c r="K78" s="7">
        <v>0</v>
      </c>
      <c r="L78" s="8">
        <f>IFERROR(K78/K444, "NA")</f>
        <v>0</v>
      </c>
      <c r="M78" s="9"/>
      <c r="N78" s="10">
        <f t="shared" si="21"/>
        <v>75</v>
      </c>
      <c r="O78" s="8">
        <f>IFERROR(N78/N444, "NA")</f>
        <v>-1.74826275130403E-3</v>
      </c>
      <c r="P78" s="9"/>
      <c r="Q78" s="7">
        <v>475</v>
      </c>
      <c r="R78" s="8">
        <f>IFERROR(Q78/Q444, "NA")</f>
        <v>8.0071861849424102E-5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475</v>
      </c>
      <c r="X78" s="8">
        <f>IFERROR(W78/W444, "NA")</f>
        <v>-1.2495108493843282E-3</v>
      </c>
      <c r="Y78" s="9"/>
      <c r="Z78" s="7">
        <v>300</v>
      </c>
      <c r="AA78" s="8">
        <f>IFERROR(Z78/Z444, "NA")</f>
        <v>5.342849627655741E-5</v>
      </c>
      <c r="AB78" s="9"/>
      <c r="AC78" s="10">
        <f t="shared" si="23"/>
        <v>175</v>
      </c>
      <c r="AD78" s="8">
        <f>IFERROR(AC78/AC444, "NA")</f>
        <v>5.517195632789711E-4</v>
      </c>
    </row>
    <row r="79" spans="1:30" ht="16.5" customHeight="1" x14ac:dyDescent="0.45">
      <c r="A79" s="12" t="s">
        <v>75</v>
      </c>
      <c r="B79" s="7">
        <v>8.9700000000000006</v>
      </c>
      <c r="C79" s="8">
        <f>IFERROR(B79/B444, "NA")</f>
        <v>1.5620723674518036E-5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8.9700000000000006</v>
      </c>
      <c r="I79" s="8">
        <f>IFERROR(H79/H444, "NA")</f>
        <v>-9.2068498963228685E-5</v>
      </c>
      <c r="J79" s="9"/>
      <c r="K79" s="7">
        <v>0</v>
      </c>
      <c r="L79" s="8">
        <f>IFERROR(K79/K444, "NA")</f>
        <v>0</v>
      </c>
      <c r="M79" s="9"/>
      <c r="N79" s="10">
        <f t="shared" si="21"/>
        <v>8.9700000000000006</v>
      </c>
      <c r="O79" s="8">
        <f>IFERROR(N79/N444, "NA")</f>
        <v>-2.0909222505596201E-4</v>
      </c>
      <c r="P79" s="9"/>
      <c r="Q79" s="7">
        <v>35.01</v>
      </c>
      <c r="R79" s="8">
        <f>IFERROR(Q79/Q444, "NA")</f>
        <v>5.9017176491543952E-6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35.01</v>
      </c>
      <c r="X79" s="8">
        <f>IFERROR(W79/W444, "NA")</f>
        <v>-9.2095525972516482E-5</v>
      </c>
      <c r="Y79" s="9"/>
      <c r="Z79" s="7">
        <v>272.09000000000003</v>
      </c>
      <c r="AA79" s="8">
        <f>IFERROR(Z79/Z444, "NA")</f>
        <v>4.8457865172961688E-5</v>
      </c>
      <c r="AB79" s="9"/>
      <c r="AC79" s="10">
        <f t="shared" si="23"/>
        <v>-237.08000000000004</v>
      </c>
      <c r="AD79" s="8">
        <f>IFERROR(AC79/AC444, "NA")</f>
        <v>-7.4743813749816282E-4</v>
      </c>
    </row>
    <row r="80" spans="1:30" ht="16.5" customHeight="1" x14ac:dyDescent="0.45">
      <c r="A80" s="12" t="s">
        <v>76</v>
      </c>
      <c r="B80" s="7">
        <v>9093.9599999999991</v>
      </c>
      <c r="C80" s="8">
        <f>IFERROR(B80/B444, "NA")</f>
        <v>1.5836592671919732E-2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9093.9599999999991</v>
      </c>
      <c r="I80" s="8">
        <f>IFERROR(H80/H444, "NA")</f>
        <v>-9.3340830193048271E-2</v>
      </c>
      <c r="J80" s="9"/>
      <c r="K80" s="7">
        <v>9663.85</v>
      </c>
      <c r="L80" s="8">
        <f>IFERROR(K80/K444, "NA")</f>
        <v>1.5659167611905358E-2</v>
      </c>
      <c r="M80" s="9"/>
      <c r="N80" s="10">
        <f t="shared" si="21"/>
        <v>-569.89000000000124</v>
      </c>
      <c r="O80" s="8">
        <f>IFERROR(N80/N444, "NA")</f>
        <v>1.3284232791208744E-2</v>
      </c>
      <c r="P80" s="9"/>
      <c r="Q80" s="7">
        <v>75912.990000000005</v>
      </c>
      <c r="R80" s="8">
        <f>IFERROR(Q80/Q444, "NA")</f>
        <v>1.2796830416540452E-2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75912.990000000005</v>
      </c>
      <c r="X80" s="8">
        <f>IFERROR(W80/W444, "NA")</f>
        <v>-0.19969285181937688</v>
      </c>
      <c r="Y80" s="9"/>
      <c r="Z80" s="7">
        <v>92811.03</v>
      </c>
      <c r="AA80" s="8">
        <f>IFERROR(Z80/Z444, "NA")</f>
        <v>1.6529179235928192E-2</v>
      </c>
      <c r="AB80" s="9"/>
      <c r="AC80" s="10">
        <f t="shared" si="23"/>
        <v>-16898.039999999994</v>
      </c>
      <c r="AD80" s="8">
        <f>IFERROR(AC80/AC444, "NA")</f>
        <v>-5.3274167137546173E-2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50</v>
      </c>
      <c r="R82" s="8">
        <f>IFERROR(Q82/Q444, "NA")</f>
        <v>8.4286170367814849E-6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-1.3152745782992928E-4</v>
      </c>
      <c r="Y82" s="9"/>
      <c r="Z82" s="7">
        <v>125</v>
      </c>
      <c r="AA82" s="8">
        <f>IFERROR(Z82/Z444, "NA")</f>
        <v>2.2261873448565586E-5</v>
      </c>
      <c r="AB82" s="9"/>
      <c r="AC82" s="10">
        <f t="shared" si="23"/>
        <v>-75</v>
      </c>
      <c r="AD82" s="8">
        <f>IFERROR(AC82/AC444, "NA")</f>
        <v>-2.3645124140527331E-4</v>
      </c>
    </row>
    <row r="83" spans="1:30" ht="16.5" customHeight="1" x14ac:dyDescent="0.45">
      <c r="A83" s="12" t="s">
        <v>79</v>
      </c>
      <c r="B83" s="7">
        <v>149.96</v>
      </c>
      <c r="C83" s="8">
        <f>IFERROR(B83/B444, "NA")</f>
        <v>2.6114645732783996E-4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149.96</v>
      </c>
      <c r="I83" s="8">
        <f>IFERROR(H83/H444, "NA")</f>
        <v>-1.5391964442057718E-3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149.96</v>
      </c>
      <c r="O83" s="8">
        <f>IFERROR(N83/N444, "NA")</f>
        <v>-3.4955930958073646E-3</v>
      </c>
      <c r="P83" s="9"/>
      <c r="Q83" s="7">
        <v>326.77999999999997</v>
      </c>
      <c r="R83" s="8">
        <f>IFERROR(Q83/Q444, "NA")</f>
        <v>5.508606950558907E-5</v>
      </c>
      <c r="S83" s="9"/>
      <c r="T83" s="7">
        <v>0</v>
      </c>
      <c r="U83" s="8">
        <f>IFERROR(T83/T444, "NA")</f>
        <v>0</v>
      </c>
      <c r="V83" s="9"/>
      <c r="W83" s="10">
        <f t="shared" si="22"/>
        <v>326.77999999999997</v>
      </c>
      <c r="X83" s="8">
        <f>IFERROR(W83/W444, "NA")</f>
        <v>-8.5961085339328574E-4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326.77999999999997</v>
      </c>
      <c r="AD83" s="8">
        <f>IFERROR(AC83/AC444, "NA")</f>
        <v>1.0302338222188694E-3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4.8611581135588896E-5</v>
      </c>
      <c r="M85" s="9"/>
      <c r="N85" s="10">
        <f t="shared" si="21"/>
        <v>-30</v>
      </c>
      <c r="O85" s="8">
        <f>IFERROR(N85/N444, "NA")</f>
        <v>6.9930510052161198E-4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325.98</v>
      </c>
      <c r="AA85" s="8">
        <f>IFERROR(Z85/Z444, "NA")</f>
        <v>5.8055404054107283E-5</v>
      </c>
      <c r="AB85" s="9"/>
      <c r="AC85" s="10">
        <f t="shared" si="23"/>
        <v>-325.98</v>
      </c>
      <c r="AD85" s="8">
        <f>IFERROR(AC85/AC444, "NA")</f>
        <v>-1.02771167564388E-3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4.3536019159749258E-5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-2.5660116767900969E-4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-5.8275425043467668E-4</v>
      </c>
      <c r="P86" s="9"/>
      <c r="Q86" s="7">
        <v>175</v>
      </c>
      <c r="R86" s="8">
        <f>IFERROR(Q86/Q444, "NA")</f>
        <v>2.9500159628735196E-5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175</v>
      </c>
      <c r="X86" s="8">
        <f>IFERROR(W86/W444, "NA")</f>
        <v>-4.6034610240475247E-4</v>
      </c>
      <c r="Y86" s="9"/>
      <c r="Z86" s="7">
        <v>820</v>
      </c>
      <c r="AA86" s="8">
        <f>IFERROR(Z86/Z444, "NA")</f>
        <v>1.4603788982259024E-4</v>
      </c>
      <c r="AB86" s="9"/>
      <c r="AC86" s="10">
        <f t="shared" si="23"/>
        <v>-645</v>
      </c>
      <c r="AD86" s="8">
        <f>IFERROR(AC86/AC444, "NA")</f>
        <v>-2.0334806760853507E-3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1.665966729022081E-4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-2.59971912048325E-3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3.1157337714133801E-3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11726.439999999999</v>
      </c>
      <c r="C88" s="15">
        <f>IFERROR(B88/B444, "NA")</f>
        <v>2.0420900660626001E-2</v>
      </c>
      <c r="D88" s="2"/>
      <c r="E88" s="14">
        <f>IFERROR(E75+E76+E77+E78+E79+E80+E81+E82+E83+E84+E85+E86+E87, "NA")</f>
        <v>12422.49</v>
      </c>
      <c r="F88" s="15">
        <f>IFERROR(E88/E444, "NA")</f>
        <v>1.8495078689718687E-2</v>
      </c>
      <c r="G88" s="2"/>
      <c r="H88" s="14">
        <f t="shared" si="20"/>
        <v>-696.05000000000109</v>
      </c>
      <c r="I88" s="15">
        <f>IFERROR(H88/H444, "NA")</f>
        <v>7.1442897105189994E-3</v>
      </c>
      <c r="J88" s="2"/>
      <c r="K88" s="14">
        <f>IFERROR(K75+K76+K77+K78+K79+K80+K81+K82+K83+K84+K85+K86+K87, "NA")</f>
        <v>12935.630000000001</v>
      </c>
      <c r="L88" s="15">
        <f>IFERROR(K88/K444, "NA")</f>
        <v>2.0960714242831927E-2</v>
      </c>
      <c r="M88" s="2"/>
      <c r="N88" s="14">
        <f t="shared" si="21"/>
        <v>-1209.1900000000023</v>
      </c>
      <c r="O88" s="15">
        <f>IFERROR(N88/N444, "NA")</f>
        <v>2.818642448332432E-2</v>
      </c>
      <c r="P88" s="2"/>
      <c r="Q88" s="14">
        <f>IFERROR(Q75+Q76+Q77+Q78+Q79+Q80+Q81+Q82+Q83+Q84+Q85+Q86+Q87, "NA")</f>
        <v>104059.6</v>
      </c>
      <c r="R88" s="15">
        <f>IFERROR(Q88/Q444, "NA")</f>
        <v>1.7541570348013333E-2</v>
      </c>
      <c r="S88" s="2"/>
      <c r="T88" s="14">
        <f>IFERROR(T75+T76+T77+T78+T79+T80+T81+T82+T83+T84+T85+T86+T87, "NA")</f>
        <v>113285.98999999999</v>
      </c>
      <c r="U88" s="15">
        <f>IFERROR(T88/T444, "NA")</f>
        <v>1.7946807053929398E-2</v>
      </c>
      <c r="V88" s="2"/>
      <c r="W88" s="14">
        <f t="shared" si="22"/>
        <v>-9226.3899999999849</v>
      </c>
      <c r="X88" s="15">
        <f>IFERROR(W88/W444, "NA")</f>
        <v>2.4270472432949584E-2</v>
      </c>
      <c r="Y88" s="2"/>
      <c r="Z88" s="14">
        <f>IFERROR(Z75+Z76+Z77+Z78+Z79+Z80+Z81+Z82+Z83+Z84+Z85+Z86+Z87, "NA")</f>
        <v>102279.56</v>
      </c>
      <c r="AA88" s="15">
        <f>IFERROR(Z88/Z444, "NA")</f>
        <v>1.8215476968759765E-2</v>
      </c>
      <c r="AB88" s="2"/>
      <c r="AC88" s="14">
        <f t="shared" si="23"/>
        <v>1780.0400000000081</v>
      </c>
      <c r="AD88" s="15">
        <f>IFERROR(AC88/AC444, "NA")</f>
        <v>5.6119022366805955E-3</v>
      </c>
    </row>
    <row r="89" spans="1:30" ht="16.5" customHeight="1" x14ac:dyDescent="0.45">
      <c r="A89" s="6" t="s">
        <v>85</v>
      </c>
      <c r="B89" s="7">
        <v>-29.75</v>
      </c>
      <c r="C89" s="8">
        <f>IFERROR(B89/B444, "NA")</f>
        <v>-5.1807862800101615E-5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-29.75</v>
      </c>
      <c r="I89" s="8">
        <f>IFERROR(H89/H444, "NA")</f>
        <v>3.0535538953802151E-4</v>
      </c>
      <c r="J89" s="9"/>
      <c r="K89" s="7">
        <v>-78.45</v>
      </c>
      <c r="L89" s="8">
        <f>IFERROR(K89/K444, "NA")</f>
        <v>-1.2711928466956497E-4</v>
      </c>
      <c r="M89" s="9"/>
      <c r="N89" s="10">
        <f t="shared" si="21"/>
        <v>48.7</v>
      </c>
      <c r="O89" s="8">
        <f>IFERROR(N89/N444, "NA")</f>
        <v>-1.1352052798467502E-3</v>
      </c>
      <c r="P89" s="9"/>
      <c r="Q89" s="7">
        <v>-510.14000000000004</v>
      </c>
      <c r="R89" s="8">
        <f>IFERROR(Q89/Q444, "NA")</f>
        <v>-8.5995493902874144E-5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-510.14000000000004</v>
      </c>
      <c r="X89" s="8">
        <f>IFERROR(W89/W444, "NA")</f>
        <v>1.3419483467472025E-3</v>
      </c>
      <c r="Y89" s="9"/>
      <c r="Z89" s="7">
        <v>-71.88999999999956</v>
      </c>
      <c r="AA89" s="8">
        <f>IFERROR(Z89/Z444, "NA")</f>
        <v>-1.2803248657738962E-5</v>
      </c>
      <c r="AB89" s="9"/>
      <c r="AC89" s="10">
        <f t="shared" si="23"/>
        <v>-438.25000000000045</v>
      </c>
      <c r="AD89" s="8">
        <f>IFERROR(AC89/AC444, "NA")</f>
        <v>-1.3816634206114818E-3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-24918.239999999998</v>
      </c>
      <c r="F94" s="8">
        <f>IFERROR(E94/E444, "NA")</f>
        <v>-3.7099229672094385E-2</v>
      </c>
      <c r="G94" s="9"/>
      <c r="H94" s="10">
        <f t="shared" ref="H94:H124" si="24">IFERROR(B94-E94, "NA")</f>
        <v>24918.239999999998</v>
      </c>
      <c r="I94" s="8">
        <f>IFERROR(H94/H444, "NA")</f>
        <v>-0.25576197922023225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-235689.51000000004</v>
      </c>
      <c r="U94" s="8">
        <f>IFERROR(T94/T444, "NA")</f>
        <v>-3.7338016471455689E-2</v>
      </c>
      <c r="V94" s="9"/>
      <c r="W94" s="10">
        <f t="shared" ref="W94:W124" si="26">IFERROR(Q94-T94, "NA")</f>
        <v>235689.51000000004</v>
      </c>
      <c r="X94" s="8">
        <f>IFERROR(W94/W444, "NA")</f>
        <v>-0.61999284174963398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-6542.65</v>
      </c>
      <c r="C96" s="8">
        <f>IFERROR(B96/B444, "NA")</f>
        <v>-1.1393637430221338E-2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-6542.65</v>
      </c>
      <c r="I96" s="8">
        <f>IFERROR(H96/H444, "NA")</f>
        <v>6.715406518860291E-2</v>
      </c>
      <c r="J96" s="9"/>
      <c r="K96" s="7">
        <v>-1737.81</v>
      </c>
      <c r="L96" s="8">
        <f>IFERROR(K96/K444, "NA")</f>
        <v>-2.815923060441258E-3</v>
      </c>
      <c r="M96" s="9"/>
      <c r="N96" s="10">
        <f t="shared" si="25"/>
        <v>-4804.84</v>
      </c>
      <c r="O96" s="8">
        <f>IFERROR(N96/N444, "NA")</f>
        <v>0.11200163730634208</v>
      </c>
      <c r="P96" s="9"/>
      <c r="Q96" s="7">
        <v>-79567.98</v>
      </c>
      <c r="R96" s="8">
        <f>IFERROR(Q96/Q444, "NA")</f>
        <v>-1.3412960636205768E-2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-79567.98</v>
      </c>
      <c r="X96" s="8">
        <f>IFERROR(W96/W444, "NA")</f>
        <v>0.20930748268125313</v>
      </c>
      <c r="Y96" s="9"/>
      <c r="Z96" s="7">
        <v>-23734.949999999997</v>
      </c>
      <c r="AA96" s="8">
        <f>IFERROR(Z96/Z444, "NA")</f>
        <v>-4.2270756256642533E-3</v>
      </c>
      <c r="AB96" s="9"/>
      <c r="AC96" s="10">
        <f t="shared" si="27"/>
        <v>-55833.03</v>
      </c>
      <c r="AD96" s="8">
        <f>IFERROR(AC96/AC444, "NA")</f>
        <v>-0.17602385673223822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-9417.0499999999993</v>
      </c>
      <c r="C98" s="8">
        <f>IFERROR(B98/B444, "NA")</f>
        <v>-1.6399234769132666E-2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-9417.0499999999993</v>
      </c>
      <c r="I98" s="8">
        <f>IFERROR(H98/H444, "NA")</f>
        <v>9.6657041043664724E-2</v>
      </c>
      <c r="J98" s="9"/>
      <c r="K98" s="7">
        <v>-15607.039999999999</v>
      </c>
      <c r="L98" s="8">
        <f>IFERROR(K98/K444, "NA")</f>
        <v>-2.5289429708212709E-2</v>
      </c>
      <c r="M98" s="9"/>
      <c r="N98" s="10">
        <f t="shared" si="25"/>
        <v>6189.99</v>
      </c>
      <c r="O98" s="8">
        <f>IFERROR(N98/N444, "NA")</f>
        <v>-0.14428971930592577</v>
      </c>
      <c r="P98" s="9"/>
      <c r="Q98" s="7">
        <v>-114712.34</v>
      </c>
      <c r="R98" s="8">
        <f>IFERROR(Q98/Q444, "NA")</f>
        <v>-1.9337327665061403E-2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-114712.34</v>
      </c>
      <c r="X98" s="8">
        <f>IFERROR(W98/W444, "NA")</f>
        <v>0.30175644923845019</v>
      </c>
      <c r="Y98" s="9"/>
      <c r="Z98" s="7">
        <v>-117749.97</v>
      </c>
      <c r="AA98" s="8">
        <f>IFERROR(Z98/Z444, "NA")</f>
        <v>-2.0970679445699154E-2</v>
      </c>
      <c r="AB98" s="9"/>
      <c r="AC98" s="10">
        <f t="shared" si="27"/>
        <v>3037.6300000000047</v>
      </c>
      <c r="AD98" s="8">
        <f>IFERROR(AC98/AC444, "NA")</f>
        <v>9.57668512573202E-3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-1017.5500000000001</v>
      </c>
      <c r="C100" s="8">
        <f>IFERROR(B100/B444, "NA")</f>
        <v>-1.7720030518401143E-3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-1017.5500000000001</v>
      </c>
      <c r="I100" s="8">
        <f>IFERROR(H100/H444, "NA")</f>
        <v>1.0444180726871054E-2</v>
      </c>
      <c r="J100" s="9"/>
      <c r="K100" s="7">
        <v>-4068.44</v>
      </c>
      <c r="L100" s="8">
        <f>IFERROR(K100/K444, "NA")</f>
        <v>-6.5924433718425098E-3</v>
      </c>
      <c r="M100" s="9"/>
      <c r="N100" s="10">
        <f t="shared" si="25"/>
        <v>3050.89</v>
      </c>
      <c r="O100" s="8">
        <f>IFERROR(N100/N444, "NA")</f>
        <v>-7.1116764604346017E-2</v>
      </c>
      <c r="P100" s="9"/>
      <c r="Q100" s="7">
        <v>-18971.330000000002</v>
      </c>
      <c r="R100" s="8">
        <f>IFERROR(Q100/Q444, "NA")</f>
        <v>-3.1980415049680743E-3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-18971.330000000002</v>
      </c>
      <c r="X100" s="8">
        <f>IFERROR(W100/W444, "NA")</f>
        <v>4.9905016131053449E-2</v>
      </c>
      <c r="Y100" s="9"/>
      <c r="Z100" s="7">
        <v>-24731.8</v>
      </c>
      <c r="AA100" s="8">
        <f>IFERROR(Z100/Z444, "NA")</f>
        <v>-4.4046096140418749E-3</v>
      </c>
      <c r="AB100" s="9"/>
      <c r="AC100" s="10">
        <f t="shared" si="27"/>
        <v>5760.4699999999975</v>
      </c>
      <c r="AD100" s="8">
        <f>IFERROR(AC100/AC444, "NA")</f>
        <v>1.8160937101037788E-2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-4550.9399999999996</v>
      </c>
      <c r="C102" s="8">
        <f>IFERROR(B102/B444, "NA")</f>
        <v>-7.9251924413947707E-3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-4550.9399999999996</v>
      </c>
      <c r="I102" s="8">
        <f>IFERROR(H102/H444, "NA")</f>
        <v>4.6711060721484489E-2</v>
      </c>
      <c r="J102" s="9"/>
      <c r="K102" s="7">
        <v>-2892.7400000000002</v>
      </c>
      <c r="L102" s="8">
        <f>IFERROR(K102/K444, "NA")</f>
        <v>-4.6873555071387813E-3</v>
      </c>
      <c r="M102" s="9"/>
      <c r="N102" s="10">
        <f t="shared" si="25"/>
        <v>-1658.1999999999994</v>
      </c>
      <c r="O102" s="8">
        <f>IFERROR(N102/N444, "NA")</f>
        <v>3.865292392283122E-2</v>
      </c>
      <c r="P102" s="9"/>
      <c r="Q102" s="7">
        <v>-51452.500000000007</v>
      </c>
      <c r="R102" s="8">
        <f>IFERROR(Q102/Q444, "NA")</f>
        <v>-8.6734683616999878E-3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-51452.500000000007</v>
      </c>
      <c r="X102" s="8">
        <f>IFERROR(W102/W444, "NA")</f>
        <v>0.13534833047988876</v>
      </c>
      <c r="Y102" s="9"/>
      <c r="Z102" s="7">
        <v>-20327.45</v>
      </c>
      <c r="AA102" s="8">
        <f>IFERROR(Z102/Z444, "NA")</f>
        <v>-3.6202169554563563E-3</v>
      </c>
      <c r="AB102" s="9"/>
      <c r="AC102" s="10">
        <f t="shared" si="27"/>
        <v>-31125.050000000007</v>
      </c>
      <c r="AD102" s="8">
        <f>IFERROR(AC102/AC444, "NA")</f>
        <v>-9.8127422817349388E-2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-2648.62</v>
      </c>
      <c r="C104" s="8">
        <f>IFERROR(B104/B444, "NA")</f>
        <v>-4.6124148426758028E-3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-2648.62</v>
      </c>
      <c r="I104" s="8">
        <f>IFERROR(H104/H444, "NA")</f>
        <v>2.7185559389519144E-2</v>
      </c>
      <c r="J104" s="9"/>
      <c r="K104" s="7">
        <v>-3683.7000000000003</v>
      </c>
      <c r="L104" s="8">
        <f>IFERROR(K104/K444, "NA")</f>
        <v>-5.9690160476389611E-3</v>
      </c>
      <c r="M104" s="9"/>
      <c r="N104" s="10">
        <f t="shared" si="25"/>
        <v>1035.0800000000004</v>
      </c>
      <c r="O104" s="8">
        <f>IFERROR(N104/N444, "NA")</f>
        <v>-2.4127890781597012E-2</v>
      </c>
      <c r="P104" s="9"/>
      <c r="Q104" s="7">
        <v>-35225.22</v>
      </c>
      <c r="R104" s="8">
        <f>IFERROR(Q104/Q444, "NA")</f>
        <v>-5.9379977883275183E-3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-35225.22</v>
      </c>
      <c r="X104" s="8">
        <f>IFERROR(W104/W444, "NA")</f>
        <v>9.2661672761999631E-2</v>
      </c>
      <c r="Y104" s="9"/>
      <c r="Z104" s="7">
        <v>-34208.699999999997</v>
      </c>
      <c r="AA104" s="8">
        <f>IFERROR(Z104/Z444, "NA")</f>
        <v>-6.0923980019195641E-3</v>
      </c>
      <c r="AB104" s="9"/>
      <c r="AC104" s="10">
        <f t="shared" si="27"/>
        <v>-1016.5200000000041</v>
      </c>
      <c r="AD104" s="8">
        <f>IFERROR(AC104/AC444, "NA")</f>
        <v>-3.2047655455105253E-3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-265.13</v>
      </c>
      <c r="C106" s="8">
        <f>IFERROR(B106/B444, "NA")</f>
        <v>-4.6170819039297278E-4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-265.13</v>
      </c>
      <c r="I106" s="8">
        <f>IFERROR(H106/H444, "NA")</f>
        <v>2.7213067034694335E-3</v>
      </c>
      <c r="J106" s="9"/>
      <c r="K106" s="7">
        <v>-1897.4299999999998</v>
      </c>
      <c r="L106" s="8">
        <f>IFERROR(K106/K444, "NA")</f>
        <v>-3.0745690798033476E-3</v>
      </c>
      <c r="M106" s="9"/>
      <c r="N106" s="10">
        <f t="shared" si="25"/>
        <v>1632.2999999999997</v>
      </c>
      <c r="O106" s="8">
        <f>IFERROR(N106/N444, "NA")</f>
        <v>-3.8049190519380903E-2</v>
      </c>
      <c r="P106" s="9"/>
      <c r="Q106" s="7">
        <v>-4765.3500000000004</v>
      </c>
      <c r="R106" s="8">
        <f>IFERROR(Q106/Q444, "NA")</f>
        <v>-8.0330620392453302E-4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-4765.3500000000004</v>
      </c>
      <c r="X106" s="8">
        <f>IFERROR(W106/W444, "NA")</f>
        <v>1.2535487423397071E-2</v>
      </c>
      <c r="Y106" s="9"/>
      <c r="Z106" s="7">
        <v>-28752.98</v>
      </c>
      <c r="AA106" s="8">
        <f>IFERROR(Z106/Z444, "NA")</f>
        <v>-5.120761616233099E-3</v>
      </c>
      <c r="AB106" s="9"/>
      <c r="AC106" s="10">
        <f t="shared" si="27"/>
        <v>23987.629999999997</v>
      </c>
      <c r="AD106" s="8">
        <f>IFERROR(AC106/AC444, "NA")</f>
        <v>7.5625398558271675E-2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-297.77999999999997</v>
      </c>
      <c r="AA108" s="8">
        <f>IFERROR(Z108/Z444, "NA")</f>
        <v>-5.3033125404110875E-5</v>
      </c>
      <c r="AB108" s="9"/>
      <c r="AC108" s="10">
        <f t="shared" si="27"/>
        <v>297.77999999999997</v>
      </c>
      <c r="AD108" s="8">
        <f>IFERROR(AC108/AC444, "NA")</f>
        <v>9.3880600887549705E-4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-2.0569971066474604E-6</v>
      </c>
      <c r="AB111" s="9"/>
      <c r="AC111" s="10">
        <f t="shared" si="27"/>
        <v>11.55</v>
      </c>
      <c r="AD111" s="8">
        <f>IFERROR(AC111/AC444, "NA")</f>
        <v>3.6413491176412096E-5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-24441.94</v>
      </c>
      <c r="C118" s="15">
        <f>IFERROR(B118/B444, "NA")</f>
        <v>-4.2564190725657668E-2</v>
      </c>
      <c r="D118" s="2"/>
      <c r="E118" s="14">
        <f>IFERROR(E94+E95+E96+E97+E98+E99+E100+E101+E102+E103+E104+E105+E106+E107+E108+E109+E110+E111+E112+E113+E114+E115+E116+E117, "NA")</f>
        <v>-24918.239999999998</v>
      </c>
      <c r="F118" s="15">
        <f>IFERROR(E118/E444, "NA")</f>
        <v>-3.7099229672094385E-2</v>
      </c>
      <c r="G118" s="2"/>
      <c r="H118" s="14">
        <f t="shared" si="24"/>
        <v>476.29999999999927</v>
      </c>
      <c r="I118" s="15">
        <f>IFERROR(H118/H444, "NA")</f>
        <v>-4.8887654466204852E-3</v>
      </c>
      <c r="J118" s="2"/>
      <c r="K118" s="14">
        <f>IFERROR(K94+K95+K96+K97+K98+K99+K100+K101+K102+K103+K104+K105+K106+K107+K108+K109+K110+K111+K112+K113+K114+K115+K116+K117, "NA")</f>
        <v>-29887.16</v>
      </c>
      <c r="L118" s="15">
        <f>IFERROR(K118/K444, "NA")</f>
        <v>-4.8428736775077565E-2</v>
      </c>
      <c r="M118" s="2"/>
      <c r="N118" s="14">
        <f t="shared" si="25"/>
        <v>5445.2200000000012</v>
      </c>
      <c r="O118" s="15">
        <f>IFERROR(N118/N444, "NA")</f>
        <v>-0.12692900398207643</v>
      </c>
      <c r="P118" s="2"/>
      <c r="Q118" s="14">
        <f>IFERROR(Q94+Q95+Q96+Q97+Q98+Q99+Q100+Q101+Q102+Q103+Q104+Q105+Q106+Q107+Q108+Q109+Q110+Q111+Q112+Q113+Q114+Q115+Q116+Q117, "NA")</f>
        <v>-304694.71999999997</v>
      </c>
      <c r="R118" s="15">
        <f>IFERROR(Q118/Q444, "NA")</f>
        <v>-5.1363102160187281E-2</v>
      </c>
      <c r="S118" s="2"/>
      <c r="T118" s="14">
        <f>IFERROR(T94+T95+T96+T97+T98+T99+T100+T101+T102+T103+T104+T105+T106+T107+T108+T109+T110+T111+T112+T113+T114+T115+T116+T117, "NA")</f>
        <v>-235689.51000000004</v>
      </c>
      <c r="U118" s="15">
        <f>IFERROR(T118/T444, "NA")</f>
        <v>-3.7338016471455689E-2</v>
      </c>
      <c r="V118" s="2"/>
      <c r="W118" s="14">
        <f t="shared" si="26"/>
        <v>-69005.209999999934</v>
      </c>
      <c r="X118" s="15">
        <f>IFERROR(W118/W444, "NA")</f>
        <v>0.1815215969664081</v>
      </c>
      <c r="Y118" s="2"/>
      <c r="Z118" s="14">
        <f>IFERROR(Z94+Z95+Z96+Z97+Z98+Z99+Z100+Z101+Z102+Z103+Z104+Z105+Z106+Z107+Z108+Z109+Z110+Z111+Z112+Z113+Z114+Z115+Z116+Z117, "NA")</f>
        <v>-249815.18</v>
      </c>
      <c r="AA118" s="15">
        <f>IFERROR(Z118/Z444, "NA")</f>
        <v>-4.4490831381525063E-2</v>
      </c>
      <c r="AB118" s="2"/>
      <c r="AC118" s="14">
        <f t="shared" si="27"/>
        <v>-54879.539999999979</v>
      </c>
      <c r="AD118" s="15">
        <f>IFERROR(AC118/AC444, "NA")</f>
        <v>-0.17301780481000464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574237.15999999992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671664.62</v>
      </c>
      <c r="F122" s="15">
        <f>IFERROR(E122/E444, "NA")</f>
        <v>1</v>
      </c>
      <c r="G122" s="2"/>
      <c r="H122" s="14">
        <f t="shared" si="24"/>
        <v>-97427.460000000079</v>
      </c>
      <c r="I122" s="15">
        <f>IFERROR(H122/H444, "NA")</f>
        <v>1.0000000000000011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617136.89000000025</v>
      </c>
      <c r="L122" s="15">
        <f>IFERROR(K122/K444, "NA")</f>
        <v>1.0000000000000004</v>
      </c>
      <c r="M122" s="2"/>
      <c r="N122" s="14">
        <f t="shared" si="25"/>
        <v>-42899.730000000331</v>
      </c>
      <c r="O122" s="15">
        <f>IFERROR(N122/N444, "NA")</f>
        <v>1.0000000000000082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5932171.2900000019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6312320.0500000007</v>
      </c>
      <c r="U122" s="15">
        <f>IFERROR(T122/T444, "NA")</f>
        <v>1</v>
      </c>
      <c r="V122" s="2"/>
      <c r="W122" s="14">
        <f t="shared" si="26"/>
        <v>-380148.75999999885</v>
      </c>
      <c r="X122" s="15">
        <f>IFERROR(W122/W444, "NA")</f>
        <v>0.99999999999999512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5614981.1600000001</v>
      </c>
      <c r="AA122" s="15">
        <f>IFERROR(Z122/Z444, "NA")</f>
        <v>1</v>
      </c>
      <c r="AB122" s="2"/>
      <c r="AC122" s="14">
        <f t="shared" si="27"/>
        <v>317190.13000000175</v>
      </c>
      <c r="AD122" s="15">
        <f>IFERROR(AC122/AC444, "NA")</f>
        <v>1.0000000000000058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574237.15999999992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671664.62</v>
      </c>
      <c r="F124" s="15">
        <f>IFERROR(E124/E444, "NA")</f>
        <v>1</v>
      </c>
      <c r="G124" s="2"/>
      <c r="H124" s="14">
        <f t="shared" si="24"/>
        <v>-97427.460000000079</v>
      </c>
      <c r="I124" s="15">
        <f>IFERROR(H124/H444, "NA")</f>
        <v>1.0000000000000011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617136.89000000025</v>
      </c>
      <c r="L124" s="15">
        <f>IFERROR(K124/K444, "NA")</f>
        <v>1.0000000000000004</v>
      </c>
      <c r="M124" s="2"/>
      <c r="N124" s="14">
        <f t="shared" si="25"/>
        <v>-42899.730000000331</v>
      </c>
      <c r="O124" s="15">
        <f>IFERROR(N124/N444, "NA")</f>
        <v>1.0000000000000082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5932171.2900000019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6312320.0500000007</v>
      </c>
      <c r="U124" s="15">
        <f>IFERROR(T124/T444, "NA")</f>
        <v>1</v>
      </c>
      <c r="V124" s="2"/>
      <c r="W124" s="14">
        <f t="shared" si="26"/>
        <v>-380148.75999999885</v>
      </c>
      <c r="X124" s="15">
        <f>IFERROR(W124/W444, "NA")</f>
        <v>0.99999999999999512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5614981.1600000001</v>
      </c>
      <c r="AA124" s="15">
        <f>IFERROR(Z124/Z444, "NA")</f>
        <v>1</v>
      </c>
      <c r="AB124" s="2"/>
      <c r="AC124" s="14">
        <f t="shared" si="27"/>
        <v>317190.13000000175</v>
      </c>
      <c r="AD124" s="15">
        <f>IFERROR(AC124/AC444, "NA")</f>
        <v>1.0000000000000058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148438.17000000001</v>
      </c>
      <c r="F129" s="8">
        <f>IFERROR(E129/E444, "NA")</f>
        <v>0.22100043024448721</v>
      </c>
      <c r="G129" s="9"/>
      <c r="H129" s="10">
        <f t="shared" ref="H129:H141" si="28">IFERROR(-(B129-E129), "NA")</f>
        <v>148438.17000000001</v>
      </c>
      <c r="I129" s="8">
        <f>IFERROR(H129/H444, "NA")</f>
        <v>-1.523576310005414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1444244.3</v>
      </c>
      <c r="U129" s="8">
        <f>IFERROR(T129/T444, "NA")</f>
        <v>0.22879769855775925</v>
      </c>
      <c r="V129" s="9"/>
      <c r="W129" s="10">
        <f t="shared" ref="W129:W141" si="30">IFERROR(-(Q129-T129), "NA")</f>
        <v>1444244.3</v>
      </c>
      <c r="X129" s="8">
        <f>IFERROR(W129/W444, "NA")</f>
        <v>-3.7991556252873147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27242.11</v>
      </c>
      <c r="C130" s="8">
        <f>IFERROR(B130/B444, "NA")</f>
        <v>4.7440520916479871E-2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-27242.11</v>
      </c>
      <c r="I130" s="8">
        <f>IFERROR(H130/H444, "NA")</f>
        <v>0.27961428944160105</v>
      </c>
      <c r="J130" s="9"/>
      <c r="K130" s="7">
        <v>37498.18</v>
      </c>
      <c r="L130" s="8">
        <f>IFERROR(K130/K444, "NA")</f>
        <v>6.0761527316897226E-2</v>
      </c>
      <c r="M130" s="9"/>
      <c r="N130" s="10">
        <f t="shared" si="29"/>
        <v>10256.07</v>
      </c>
      <c r="O130" s="8">
        <f>IFERROR(N130/N444, "NA")</f>
        <v>-0.23907073541022295</v>
      </c>
      <c r="P130" s="9"/>
      <c r="Q130" s="7">
        <v>310653.41000000003</v>
      </c>
      <c r="R130" s="8">
        <f>IFERROR(Q130/Q444, "NA")</f>
        <v>5.2367572481205278E-2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-310653.41000000003</v>
      </c>
      <c r="X130" s="8">
        <f>IFERROR(W130/W444, "NA")</f>
        <v>0.81718906566997473</v>
      </c>
      <c r="Y130" s="9"/>
      <c r="Z130" s="7">
        <v>356807.65</v>
      </c>
      <c r="AA130" s="8">
        <f>IFERROR(Z130/Z444, "NA")</f>
        <v>6.3545653998240664E-2</v>
      </c>
      <c r="AB130" s="9"/>
      <c r="AC130" s="10">
        <f t="shared" si="31"/>
        <v>46154.239999999991</v>
      </c>
      <c r="AD130" s="8">
        <f>IFERROR(AC130/AC444, "NA")</f>
        <v>0.14550969792155893</v>
      </c>
    </row>
    <row r="131" spans="1:30" ht="16.5" customHeight="1" x14ac:dyDescent="0.45">
      <c r="A131" s="12" t="s">
        <v>123</v>
      </c>
      <c r="B131" s="7">
        <v>16572.100000000002</v>
      </c>
      <c r="C131" s="8">
        <f>IFERROR(B131/B444, "NA")</f>
        <v>2.885933052469123E-2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-16572.100000000002</v>
      </c>
      <c r="I131" s="8">
        <f>IFERROR(H131/H444, "NA")</f>
        <v>0.17009680843573269</v>
      </c>
      <c r="J131" s="9"/>
      <c r="K131" s="7">
        <v>18971.879999999997</v>
      </c>
      <c r="L131" s="8">
        <f>IFERROR(K131/K444, "NA")</f>
        <v>3.0741769463821872E-2</v>
      </c>
      <c r="M131" s="9"/>
      <c r="N131" s="10">
        <f t="shared" si="29"/>
        <v>2399.7799999999952</v>
      </c>
      <c r="O131" s="8">
        <f>IFERROR(N131/N444, "NA")</f>
        <v>-5.5939279804325018E-2</v>
      </c>
      <c r="P131" s="9"/>
      <c r="Q131" s="7">
        <v>173743.45</v>
      </c>
      <c r="R131" s="8">
        <f>IFERROR(Q131/Q444, "NA")</f>
        <v>2.9288340053983845E-2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-173743.45</v>
      </c>
      <c r="X131" s="8">
        <f>IFERROR(W131/W444, "NA")</f>
        <v>0.45704068586202856</v>
      </c>
      <c r="Y131" s="9"/>
      <c r="Z131" s="7">
        <v>174644.96</v>
      </c>
      <c r="AA131" s="8">
        <f>IFERROR(Z131/Z444, "NA")</f>
        <v>3.1103391983598391E-2</v>
      </c>
      <c r="AB131" s="9"/>
      <c r="AC131" s="10">
        <f t="shared" si="31"/>
        <v>901.50999999998021</v>
      </c>
      <c r="AD131" s="8">
        <f>IFERROR(AC131/AC444, "NA")</f>
        <v>2.8421754485235102E-3</v>
      </c>
    </row>
    <row r="132" spans="1:30" ht="16.5" customHeight="1" x14ac:dyDescent="0.45">
      <c r="A132" s="12" t="s">
        <v>124</v>
      </c>
      <c r="B132" s="7">
        <v>23990.140000000003</v>
      </c>
      <c r="C132" s="8">
        <f>IFERROR(B132/B444, "NA")</f>
        <v>4.1777407787402687E-2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-23990.140000000003</v>
      </c>
      <c r="I132" s="8">
        <f>IFERROR(H132/H444, "NA")</f>
        <v>0.24623591747131673</v>
      </c>
      <c r="J132" s="9"/>
      <c r="K132" s="7">
        <v>23525.53</v>
      </c>
      <c r="L132" s="8">
        <f>IFERROR(K132/K444, "NA")</f>
        <v>3.8120440345091017E-2</v>
      </c>
      <c r="M132" s="9"/>
      <c r="N132" s="10">
        <f t="shared" si="29"/>
        <v>-464.61000000000422</v>
      </c>
      <c r="O132" s="8">
        <f>IFERROR(N132/N444, "NA")</f>
        <v>1.0830138091778303E-2</v>
      </c>
      <c r="P132" s="9"/>
      <c r="Q132" s="7">
        <v>273072.90000000002</v>
      </c>
      <c r="R132" s="8">
        <f>IFERROR(Q132/Q444, "NA")</f>
        <v>4.6032537944466538E-2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-273072.90000000002</v>
      </c>
      <c r="X132" s="8">
        <f>IFERROR(W132/W444, "NA")</f>
        <v>0.71833168678492998</v>
      </c>
      <c r="Y132" s="9"/>
      <c r="Z132" s="7">
        <v>201757.34000000003</v>
      </c>
      <c r="AA132" s="8">
        <f>IFERROR(Z132/Z444, "NA")</f>
        <v>3.5931970963193761E-2</v>
      </c>
      <c r="AB132" s="9"/>
      <c r="AC132" s="10">
        <f t="shared" si="31"/>
        <v>-71315.56</v>
      </c>
      <c r="AD132" s="8">
        <f>IFERROR(AC132/AC444, "NA")</f>
        <v>-0.22483536924683004</v>
      </c>
    </row>
    <row r="133" spans="1:30" ht="16.5" customHeight="1" x14ac:dyDescent="0.45">
      <c r="A133" s="12" t="s">
        <v>125</v>
      </c>
      <c r="B133" s="7">
        <v>14328.34</v>
      </c>
      <c r="C133" s="8">
        <f>IFERROR(B133/B444, "NA")</f>
        <v>2.4951955390696067E-2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-14328.34</v>
      </c>
      <c r="I133" s="8">
        <f>IFERROR(H133/H444, "NA")</f>
        <v>0.14706675099607447</v>
      </c>
      <c r="J133" s="9"/>
      <c r="K133" s="7">
        <v>13986.13</v>
      </c>
      <c r="L133" s="8">
        <f>IFERROR(K133/K444, "NA")</f>
        <v>2.2662929775596464E-2</v>
      </c>
      <c r="M133" s="9"/>
      <c r="N133" s="10">
        <f t="shared" si="29"/>
        <v>-342.21000000000095</v>
      </c>
      <c r="O133" s="8">
        <f>IFERROR(N133/N444, "NA")</f>
        <v>7.9769732816500506E-3</v>
      </c>
      <c r="P133" s="9"/>
      <c r="Q133" s="7">
        <v>141398.51999999999</v>
      </c>
      <c r="R133" s="8">
        <f>IFERROR(Q133/Q444, "NA")</f>
        <v>2.3835879492953748E-2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-141398.51999999999</v>
      </c>
      <c r="X133" s="8">
        <f>IFERROR(W133/W444, "NA")</f>
        <v>0.3719557575302882</v>
      </c>
      <c r="Y133" s="9"/>
      <c r="Z133" s="7">
        <v>118664.39000000001</v>
      </c>
      <c r="AA133" s="8">
        <f>IFERROR(Z133/Z444, "NA")</f>
        <v>2.1133533064249855E-2</v>
      </c>
      <c r="AB133" s="9"/>
      <c r="AC133" s="10">
        <f t="shared" si="31"/>
        <v>-22734.129999999976</v>
      </c>
      <c r="AD133" s="8">
        <f>IFERROR(AC133/AC444, "NA")</f>
        <v>-7.1673510143584807E-2</v>
      </c>
    </row>
    <row r="134" spans="1:30" ht="16.5" customHeight="1" x14ac:dyDescent="0.45">
      <c r="A134" s="12" t="s">
        <v>126</v>
      </c>
      <c r="B134" s="7">
        <v>7180.8</v>
      </c>
      <c r="C134" s="8">
        <f>IFERROR(B134/B444, "NA")</f>
        <v>1.2504937855293099E-2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-7180.8</v>
      </c>
      <c r="I134" s="8">
        <f>IFERROR(H134/H444, "NA")</f>
        <v>7.3704066594777309E-2</v>
      </c>
      <c r="J134" s="9"/>
      <c r="K134" s="7">
        <v>5570.36</v>
      </c>
      <c r="L134" s="8">
        <f>IFERROR(K134/K444, "NA")</f>
        <v>9.0261335698146317E-3</v>
      </c>
      <c r="M134" s="9"/>
      <c r="N134" s="10">
        <f t="shared" si="29"/>
        <v>-1610.4400000000005</v>
      </c>
      <c r="O134" s="8">
        <f>IFERROR(N134/N444, "NA")</f>
        <v>3.7539630202800836E-2</v>
      </c>
      <c r="P134" s="9"/>
      <c r="Q134" s="7">
        <v>54798.91</v>
      </c>
      <c r="R134" s="8">
        <f>IFERROR(Q134/Q444, "NA")</f>
        <v>9.2375805284611069E-3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-54798.91</v>
      </c>
      <c r="X134" s="8">
        <f>IFERROR(W134/W444, "NA")</f>
        <v>0.14415122648302181</v>
      </c>
      <c r="Y134" s="9"/>
      <c r="Z134" s="7">
        <v>58383.970000000008</v>
      </c>
      <c r="AA134" s="8">
        <f>IFERROR(Z134/Z444, "NA")</f>
        <v>1.0397892412518799E-2</v>
      </c>
      <c r="AB134" s="9"/>
      <c r="AC134" s="10">
        <f t="shared" si="31"/>
        <v>3585.0600000000049</v>
      </c>
      <c r="AD134" s="8">
        <f>IFERROR(AC134/AC444, "NA")</f>
        <v>1.1302558500165205E-2</v>
      </c>
    </row>
    <row r="135" spans="1:30" ht="16.5" customHeight="1" x14ac:dyDescent="0.45">
      <c r="A135" s="12" t="s">
        <v>127</v>
      </c>
      <c r="B135" s="7">
        <v>4740.3</v>
      </c>
      <c r="C135" s="8">
        <f>IFERROR(B135/B444, "NA")</f>
        <v>8.2549516649183755E-3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-4740.3</v>
      </c>
      <c r="I135" s="8">
        <f>IFERROR(H135/H444, "NA")</f>
        <v>4.8654660605952388E-2</v>
      </c>
      <c r="J135" s="9"/>
      <c r="K135" s="7">
        <v>4545.5600000000004</v>
      </c>
      <c r="L135" s="8">
        <f>IFERROR(K135/K444, "NA")</f>
        <v>7.3655619582229156E-3</v>
      </c>
      <c r="M135" s="9"/>
      <c r="N135" s="10">
        <f t="shared" si="29"/>
        <v>-194.73999999999978</v>
      </c>
      <c r="O135" s="8">
        <f>IFERROR(N135/N444, "NA")</f>
        <v>4.5394225091859525E-3</v>
      </c>
      <c r="P135" s="9"/>
      <c r="Q135" s="7">
        <v>50018.42</v>
      </c>
      <c r="R135" s="8">
        <f>IFERROR(Q135/Q444, "NA")</f>
        <v>8.4317221392978346E-3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-50018.42</v>
      </c>
      <c r="X135" s="8">
        <f>IFERROR(W135/W444, "NA")</f>
        <v>0.13157591254539383</v>
      </c>
      <c r="Y135" s="9"/>
      <c r="Z135" s="7">
        <v>47332.439999999995</v>
      </c>
      <c r="AA135" s="8">
        <f>IFERROR(Z135/Z444, "NA")</f>
        <v>8.4296703143345881E-3</v>
      </c>
      <c r="AB135" s="9"/>
      <c r="AC135" s="10">
        <f t="shared" si="31"/>
        <v>-2685.9800000000032</v>
      </c>
      <c r="AD135" s="8">
        <f>IFERROR(AC135/AC444, "NA")</f>
        <v>-8.468044071863157E-3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4103.9900000000007</v>
      </c>
      <c r="L136" s="8">
        <f>IFERROR(K136/K444, "NA")</f>
        <v>6.6500480954881837E-3</v>
      </c>
      <c r="M136" s="9"/>
      <c r="N136" s="10">
        <f t="shared" si="29"/>
        <v>4103.9900000000007</v>
      </c>
      <c r="O136" s="8">
        <f>IFERROR(N136/N444, "NA")</f>
        <v>-9.566470464965636E-2</v>
      </c>
      <c r="P136" s="9"/>
      <c r="Q136" s="7">
        <v>25124.32</v>
      </c>
      <c r="R136" s="8">
        <f>IFERROR(Q136/Q444, "NA")</f>
        <v>4.2352654317909964E-3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-25124.32</v>
      </c>
      <c r="X136" s="8">
        <f>IFERROR(W136/W444, "NA")</f>
        <v>6.609075878611298E-2</v>
      </c>
      <c r="Y136" s="9"/>
      <c r="Z136" s="7">
        <v>47411.31</v>
      </c>
      <c r="AA136" s="8">
        <f>IFERROR(Z136/Z444, "NA")</f>
        <v>8.4437166660056955E-3</v>
      </c>
      <c r="AB136" s="9"/>
      <c r="AC136" s="10">
        <f t="shared" si="31"/>
        <v>22286.989999999998</v>
      </c>
      <c r="AD136" s="8">
        <f>IFERROR(AC136/AC444, "NA")</f>
        <v>7.026381936915882E-2</v>
      </c>
    </row>
    <row r="137" spans="1:30" ht="16.5" customHeight="1" x14ac:dyDescent="0.45">
      <c r="A137" s="12" t="s">
        <v>129</v>
      </c>
      <c r="B137" s="7">
        <v>3491.6800000000003</v>
      </c>
      <c r="C137" s="8">
        <f>IFERROR(B137/B444, "NA")</f>
        <v>6.0805538951885316E-3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-3491.6800000000003</v>
      </c>
      <c r="I137" s="8">
        <f>IFERROR(H137/H444, "NA")</f>
        <v>3.5838766606457788E-2</v>
      </c>
      <c r="J137" s="9"/>
      <c r="K137" s="7">
        <v>2372.14</v>
      </c>
      <c r="L137" s="8">
        <f>IFERROR(K137/K444, "NA")</f>
        <v>3.8437825358325277E-3</v>
      </c>
      <c r="M137" s="9"/>
      <c r="N137" s="10">
        <f t="shared" si="29"/>
        <v>-1119.5400000000004</v>
      </c>
      <c r="O137" s="8">
        <f>IFERROR(N137/N444, "NA")</f>
        <v>2.6096667741265525E-2</v>
      </c>
      <c r="P137" s="9"/>
      <c r="Q137" s="7">
        <v>31627.899999999998</v>
      </c>
      <c r="R137" s="8">
        <f>IFERROR(Q137/Q444, "NA")</f>
        <v>5.331589135552422E-3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-31627.899999999998</v>
      </c>
      <c r="X137" s="8">
        <f>IFERROR(W137/W444, "NA")</f>
        <v>8.3198745669984406E-2</v>
      </c>
      <c r="Y137" s="9"/>
      <c r="Z137" s="7">
        <v>28216.09</v>
      </c>
      <c r="AA137" s="8">
        <f>IFERROR(Z137/Z444, "NA")</f>
        <v>5.0251441983466955E-3</v>
      </c>
      <c r="AB137" s="9"/>
      <c r="AC137" s="10">
        <f t="shared" si="31"/>
        <v>-3411.8099999999977</v>
      </c>
      <c r="AD137" s="8">
        <f>IFERROR(AC137/AC444, "NA")</f>
        <v>-1.0756356132519001E-2</v>
      </c>
    </row>
    <row r="138" spans="1:30" ht="16.5" customHeight="1" x14ac:dyDescent="0.45">
      <c r="A138" s="12" t="s">
        <v>130</v>
      </c>
      <c r="B138" s="7">
        <v>36667.5</v>
      </c>
      <c r="C138" s="8">
        <f>IFERROR(B138/B444, "NA")</f>
        <v>6.3854279301604228E-2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-36667.5</v>
      </c>
      <c r="I138" s="8">
        <f>IFERROR(H138/H444, "NA")</f>
        <v>0.37635693263480352</v>
      </c>
      <c r="J138" s="9"/>
      <c r="K138" s="7">
        <v>29981.46</v>
      </c>
      <c r="L138" s="8">
        <f>IFERROR(K138/K444, "NA")</f>
        <v>4.8581539178447097E-2</v>
      </c>
      <c r="M138" s="9"/>
      <c r="N138" s="10">
        <f t="shared" si="29"/>
        <v>-6686.0400000000009</v>
      </c>
      <c r="O138" s="8">
        <f>IFERROR(N138/N444, "NA")</f>
        <v>0.15585272914305065</v>
      </c>
      <c r="P138" s="9"/>
      <c r="Q138" s="7">
        <v>348237.74</v>
      </c>
      <c r="R138" s="8">
        <f>IFERROR(Q138/Q444, "NA")</f>
        <v>5.8703250964285622E-2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-348237.74</v>
      </c>
      <c r="X138" s="8">
        <f>IFERROR(W138/W444, "NA")</f>
        <v>0.91605649325279748</v>
      </c>
      <c r="Y138" s="9"/>
      <c r="Z138" s="7">
        <v>274901.14</v>
      </c>
      <c r="AA138" s="8">
        <f>IFERROR(Z138/Z444, "NA")</f>
        <v>4.8958515116371289E-2</v>
      </c>
      <c r="AB138" s="9"/>
      <c r="AC138" s="10">
        <f t="shared" si="31"/>
        <v>-73336.599999999977</v>
      </c>
      <c r="AD138" s="8">
        <f>IFERROR(AC138/AC444, "NA")</f>
        <v>-0.23120706813922615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8.91</v>
      </c>
      <c r="C140" s="8">
        <f>IFERROR(B140/B444, "NA")</f>
        <v>1.5516237228534636E-5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-8.91</v>
      </c>
      <c r="I140" s="8">
        <f>IFERROR(H140/H444, "NA")</f>
        <v>9.1452656160799053E-5</v>
      </c>
      <c r="J140" s="9"/>
      <c r="K140" s="7">
        <v>30.75</v>
      </c>
      <c r="L140" s="8">
        <f>IFERROR(K140/K444, "NA")</f>
        <v>4.9826870663978618E-5</v>
      </c>
      <c r="M140" s="9"/>
      <c r="N140" s="10">
        <f t="shared" si="29"/>
        <v>21.84</v>
      </c>
      <c r="O140" s="8">
        <f>IFERROR(N140/N444, "NA")</f>
        <v>-5.0909411317973346E-4</v>
      </c>
      <c r="P140" s="9"/>
      <c r="Q140" s="7">
        <v>107.2</v>
      </c>
      <c r="R140" s="8">
        <f>IFERROR(Q140/Q444, "NA")</f>
        <v>1.8070954926859505E-5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-107.2</v>
      </c>
      <c r="X140" s="8">
        <f>IFERROR(W140/W444, "NA")</f>
        <v>2.8199486958736841E-4</v>
      </c>
      <c r="Y140" s="9"/>
      <c r="Z140" s="7">
        <v>363.62</v>
      </c>
      <c r="AA140" s="8">
        <f>IFERROR(Z140/Z444, "NA")</f>
        <v>6.4758899386939346E-5</v>
      </c>
      <c r="AB140" s="9"/>
      <c r="AC140" s="10">
        <f t="shared" si="31"/>
        <v>256.42</v>
      </c>
      <c r="AD140" s="8">
        <f>IFERROR(AC140/AC444, "NA")</f>
        <v>8.0841103094853582E-4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134221.88</v>
      </c>
      <c r="C141" s="15">
        <f>IFERROR(B141/B444, "NA")</f>
        <v>0.23373945357350262</v>
      </c>
      <c r="D141" s="2"/>
      <c r="E141" s="14">
        <f>IFERROR(E129+E130+E131+E132+E133+E134+E135+E136+E137+E138+E139+E140, "NA")</f>
        <v>148438.17000000001</v>
      </c>
      <c r="F141" s="15">
        <f>IFERROR(E141/E444, "NA")</f>
        <v>0.22100043024448721</v>
      </c>
      <c r="G141" s="2"/>
      <c r="H141" s="14">
        <f t="shared" si="28"/>
        <v>14216.290000000008</v>
      </c>
      <c r="I141" s="15">
        <f>IFERROR(H141/H444, "NA")</f>
        <v>-0.14591666456253724</v>
      </c>
      <c r="J141" s="2"/>
      <c r="K141" s="14">
        <f>IFERROR(K129+K130+K131+K132+K133+K134+K135+K136+K137+K138+K139+K140, "NA")</f>
        <v>140585.98000000001</v>
      </c>
      <c r="L141" s="15">
        <f>IFERROR(K141/K444, "NA")</f>
        <v>0.22780355910987593</v>
      </c>
      <c r="M141" s="2"/>
      <c r="N141" s="14">
        <f t="shared" si="29"/>
        <v>6364.1000000000058</v>
      </c>
      <c r="O141" s="15">
        <f>IFERROR(N141/N444, "NA")</f>
        <v>-0.14834825300765317</v>
      </c>
      <c r="P141" s="2"/>
      <c r="Q141" s="14">
        <f>IFERROR(Q129+Q130+Q131+Q132+Q133+Q134+Q135+Q136+Q137+Q138+Q139+Q140, "NA")</f>
        <v>1408782.77</v>
      </c>
      <c r="R141" s="15">
        <f>IFERROR(Q141/Q444, "NA")</f>
        <v>0.23748180912692426</v>
      </c>
      <c r="S141" s="2"/>
      <c r="T141" s="14">
        <f>IFERROR(T129+T130+T131+T132+T133+T134+T135+T136+T137+T138+T139+T140, "NA")</f>
        <v>1444244.3</v>
      </c>
      <c r="U141" s="15">
        <f>IFERROR(T141/T444, "NA")</f>
        <v>0.22879769855775925</v>
      </c>
      <c r="V141" s="2"/>
      <c r="W141" s="14">
        <f t="shared" si="30"/>
        <v>35461.530000000028</v>
      </c>
      <c r="X141" s="15">
        <f>IFERROR(W141/W444, "NA")</f>
        <v>-9.3283297833195514E-2</v>
      </c>
      <c r="Y141" s="2"/>
      <c r="Z141" s="14">
        <f>IFERROR(Z129+Z130+Z131+Z132+Z133+Z134+Z135+Z136+Z137+Z138+Z139+Z140, "NA")</f>
        <v>1308482.9099999999</v>
      </c>
      <c r="AA141" s="15">
        <f>IFERROR(Z141/Z444, "NA")</f>
        <v>0.23303424761624666</v>
      </c>
      <c r="AB141" s="2"/>
      <c r="AC141" s="14">
        <f t="shared" si="31"/>
        <v>-100299.8600000001</v>
      </c>
      <c r="AD141" s="15">
        <f>IFERROR(AC141/AC444, "NA")</f>
        <v>-0.31621368546366857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8112.49</v>
      </c>
      <c r="C144" s="8">
        <f>IFERROR(B144/B444, "NA")</f>
        <v>1.4127420802930968E-2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-8112.49</v>
      </c>
      <c r="I144" s="8">
        <f>IFERROR(H144/H444, "NA")</f>
        <v>8.3266976271371571E-2</v>
      </c>
      <c r="J144" s="9"/>
      <c r="K144" s="7">
        <v>7206.44</v>
      </c>
      <c r="L144" s="8">
        <f>IFERROR(K144/K444, "NA")</f>
        <v>1.1677214758625107E-2</v>
      </c>
      <c r="M144" s="9"/>
      <c r="N144" s="10">
        <f t="shared" si="33"/>
        <v>-906.05000000000018</v>
      </c>
      <c r="O144" s="8">
        <f>IFERROR(N144/N444, "NA")</f>
        <v>2.1120179544253555E-2</v>
      </c>
      <c r="P144" s="9"/>
      <c r="Q144" s="7">
        <v>76809.8</v>
      </c>
      <c r="R144" s="8">
        <f>IFERROR(Q144/Q444, "NA")</f>
        <v>1.294800777743557E-2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-76809.8</v>
      </c>
      <c r="X144" s="8">
        <f>IFERROR(W144/W444, "NA")</f>
        <v>0.20205195460850606</v>
      </c>
      <c r="Y144" s="9"/>
      <c r="Z144" s="7">
        <v>58515.229999999996</v>
      </c>
      <c r="AA144" s="8">
        <f>IFERROR(Z144/Z444, "NA")</f>
        <v>1.0421269160589667E-2</v>
      </c>
      <c r="AB144" s="9"/>
      <c r="AC144" s="10">
        <f t="shared" si="35"/>
        <v>-18294.570000000007</v>
      </c>
      <c r="AD144" s="8">
        <f>IFERROR(AC144/AC444, "NA")</f>
        <v>-5.7676983833008968E-2</v>
      </c>
    </row>
    <row r="145" spans="1:30" ht="16.5" customHeight="1" x14ac:dyDescent="0.45">
      <c r="A145" s="12" t="s">
        <v>136</v>
      </c>
      <c r="B145" s="7">
        <v>418.84000000000003</v>
      </c>
      <c r="C145" s="8">
        <f>IFERROR(B145/B444, "NA")</f>
        <v>7.2938505059477515E-4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-418.84000000000003</v>
      </c>
      <c r="I145" s="8">
        <f>IFERROR(H145/H444, "NA")</f>
        <v>4.2989933228270568E-3</v>
      </c>
      <c r="J145" s="9"/>
      <c r="K145" s="7">
        <v>228.14000000000001</v>
      </c>
      <c r="L145" s="8">
        <f>IFERROR(K145/K444, "NA")</f>
        <v>3.6967487067577503E-4</v>
      </c>
      <c r="M145" s="9"/>
      <c r="N145" s="10">
        <f t="shared" si="33"/>
        <v>-190.70000000000002</v>
      </c>
      <c r="O145" s="8">
        <f>IFERROR(N145/N444, "NA")</f>
        <v>4.4452494223157137E-3</v>
      </c>
      <c r="P145" s="9"/>
      <c r="Q145" s="7">
        <v>4266.63</v>
      </c>
      <c r="R145" s="8">
        <f>IFERROR(Q145/Q444, "NA")</f>
        <v>7.1923580615285978E-4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-4266.63</v>
      </c>
      <c r="X145" s="8">
        <f>IFERROR(W145/W444, "NA")</f>
        <v>1.1223579948018224E-2</v>
      </c>
      <c r="Y145" s="9"/>
      <c r="Z145" s="7">
        <v>4469.43</v>
      </c>
      <c r="AA145" s="8">
        <f>IFERROR(Z145/Z444, "NA")</f>
        <v>7.9598308037777995E-4</v>
      </c>
      <c r="AB145" s="9"/>
      <c r="AC145" s="10">
        <f t="shared" si="35"/>
        <v>202.80000000000018</v>
      </c>
      <c r="AD145" s="8">
        <f>IFERROR(AC145/AC444, "NA")</f>
        <v>6.3936415675985966E-4</v>
      </c>
    </row>
    <row r="146" spans="1:30" ht="16.5" customHeight="1" x14ac:dyDescent="0.45">
      <c r="A146" s="12" t="s">
        <v>137</v>
      </c>
      <c r="B146" s="7">
        <v>777.91999999999985</v>
      </c>
      <c r="C146" s="8">
        <f>IFERROR(B146/B444, "NA")</f>
        <v>1.3547016009900854E-3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-777.91999999999985</v>
      </c>
      <c r="I146" s="8">
        <f>IFERROR(H146/H444, "NA")</f>
        <v>7.9846072144342077E-3</v>
      </c>
      <c r="J146" s="9"/>
      <c r="K146" s="7">
        <v>616.4899999999999</v>
      </c>
      <c r="L146" s="8">
        <f>IFERROR(K146/K444, "NA")</f>
        <v>9.9895178847597319E-4</v>
      </c>
      <c r="M146" s="9"/>
      <c r="N146" s="10">
        <f t="shared" si="33"/>
        <v>-161.42999999999995</v>
      </c>
      <c r="O146" s="8">
        <f>IFERROR(N146/N444, "NA")</f>
        <v>3.762960745906793E-3</v>
      </c>
      <c r="P146" s="9"/>
      <c r="Q146" s="7">
        <v>5083.96</v>
      </c>
      <c r="R146" s="8">
        <f>IFERROR(Q146/Q444, "NA")</f>
        <v>8.5701503740631202E-4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-5083.96</v>
      </c>
      <c r="X146" s="8">
        <f>IFERROR(W146/W444, "NA")</f>
        <v>1.3373606690180945E-2</v>
      </c>
      <c r="Y146" s="9"/>
      <c r="Z146" s="7">
        <v>16547.850000000002</v>
      </c>
      <c r="AA146" s="8">
        <f>IFERROR(Z146/Z444, "NA")</f>
        <v>2.9470891403667685E-3</v>
      </c>
      <c r="AB146" s="9"/>
      <c r="AC146" s="10">
        <f t="shared" si="35"/>
        <v>11463.890000000003</v>
      </c>
      <c r="AD146" s="8">
        <f>IFERROR(AC146/AC444, "NA")</f>
        <v>3.6142013624446662E-2</v>
      </c>
    </row>
    <row r="147" spans="1:30" ht="16.5" customHeight="1" x14ac:dyDescent="0.45">
      <c r="A147" s="12" t="s">
        <v>138</v>
      </c>
      <c r="B147" s="7">
        <v>172.58</v>
      </c>
      <c r="C147" s="8">
        <f>IFERROR(B147/B444, "NA")</f>
        <v>3.0053784746358105E-4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-172.58</v>
      </c>
      <c r="I147" s="8">
        <f>IFERROR(H147/H444, "NA")</f>
        <v>1.7713691807217397E-3</v>
      </c>
      <c r="J147" s="9"/>
      <c r="K147" s="7">
        <v>8.379999999999999</v>
      </c>
      <c r="L147" s="8">
        <f>IFERROR(K147/K444, "NA")</f>
        <v>1.3578834997207831E-5</v>
      </c>
      <c r="M147" s="9"/>
      <c r="N147" s="10">
        <f t="shared" si="33"/>
        <v>-164.20000000000002</v>
      </c>
      <c r="O147" s="8">
        <f>IFERROR(N147/N444, "NA")</f>
        <v>3.8275299168549566E-3</v>
      </c>
      <c r="P147" s="9"/>
      <c r="Q147" s="7">
        <v>1178.54</v>
      </c>
      <c r="R147" s="8">
        <f>IFERROR(Q147/Q444, "NA")</f>
        <v>1.9866924645056902E-4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-1178.54</v>
      </c>
      <c r="X147" s="8">
        <f>IFERROR(W147/W444, "NA")</f>
        <v>3.1002074030176971E-3</v>
      </c>
      <c r="Y147" s="9"/>
      <c r="Z147" s="7">
        <v>895.14</v>
      </c>
      <c r="AA147" s="8">
        <f>IFERROR(Z147/Z444, "NA")</f>
        <v>1.5941994718999199E-4</v>
      </c>
      <c r="AB147" s="9"/>
      <c r="AC147" s="10">
        <f t="shared" si="35"/>
        <v>-283.39999999999998</v>
      </c>
      <c r="AD147" s="8">
        <f>IFERROR(AC147/AC444, "NA")</f>
        <v>-8.9347042419005932E-4</v>
      </c>
    </row>
    <row r="148" spans="1:30" ht="16.5" customHeight="1" x14ac:dyDescent="0.45">
      <c r="A148" s="13" t="s">
        <v>139</v>
      </c>
      <c r="B148" s="14">
        <f>IFERROR(B143+B144+B145+B146+B147, "NA")</f>
        <v>9481.83</v>
      </c>
      <c r="C148" s="15">
        <f>IFERROR(B148/B444, "NA")</f>
        <v>1.651204530197941E-2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-9481.83</v>
      </c>
      <c r="I148" s="15">
        <f>IFERROR(H148/H444, "NA")</f>
        <v>9.7321945989354577E-2</v>
      </c>
      <c r="J148" s="2"/>
      <c r="K148" s="14">
        <f>IFERROR(K143+K144+K145+K146+K147, "NA")</f>
        <v>8059.45</v>
      </c>
      <c r="L148" s="15">
        <f>IFERROR(K148/K444, "NA")</f>
        <v>1.3059420252774064E-2</v>
      </c>
      <c r="M148" s="2"/>
      <c r="N148" s="14">
        <f t="shared" si="33"/>
        <v>-1422.38</v>
      </c>
      <c r="O148" s="15">
        <f>IFERROR(N148/N444, "NA")</f>
        <v>3.3155919629331017E-2</v>
      </c>
      <c r="P148" s="2"/>
      <c r="Q148" s="14">
        <f>IFERROR(Q143+Q144+Q145+Q146+Q147, "NA")</f>
        <v>87338.930000000008</v>
      </c>
      <c r="R148" s="15">
        <f>IFERROR(Q148/Q444, "NA")</f>
        <v>1.4722927867445312E-2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-87338.930000000008</v>
      </c>
      <c r="X148" s="15">
        <f>IFERROR(W148/W444, "NA")</f>
        <v>0.22974934864972293</v>
      </c>
      <c r="Y148" s="2"/>
      <c r="Z148" s="14">
        <f>IFERROR(Z143+Z144+Z145+Z146+Z147, "NA")</f>
        <v>80427.649999999994</v>
      </c>
      <c r="AA148" s="15">
        <f>IFERROR(Z148/Z444, "NA")</f>
        <v>1.4323761328524207E-2</v>
      </c>
      <c r="AB148" s="2"/>
      <c r="AC148" s="14">
        <f t="shared" si="35"/>
        <v>-6911.2800000000134</v>
      </c>
      <c r="AD148" s="15">
        <f>IFERROR(AC148/AC444, "NA")</f>
        <v>-2.1789076475992541E-2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143703.71</v>
      </c>
      <c r="C149" s="15">
        <f>IFERROR(B149/B444, "NA")</f>
        <v>0.25025149887548204</v>
      </c>
      <c r="D149" s="2"/>
      <c r="E149" s="14">
        <f>IFERROR(E127+E129+E130+E131+E132+E133+E134+E135+E136+E137+E138+E139+E140+E143+E144+E145+E146+E147, "NA")</f>
        <v>148438.17000000001</v>
      </c>
      <c r="F149" s="15">
        <f>IFERROR(E149/E444, "NA")</f>
        <v>0.22100043024448721</v>
      </c>
      <c r="G149" s="2"/>
      <c r="H149" s="14">
        <f t="shared" si="32"/>
        <v>4734.460000000021</v>
      </c>
      <c r="I149" s="15">
        <f>IFERROR(H149/H444, "NA")</f>
        <v>-4.8594718573182781E-2</v>
      </c>
      <c r="J149" s="2"/>
      <c r="K149" s="14">
        <f>IFERROR(K127+K129+K130+K131+K132+K133+K134+K135+K136+K137+K138+K139+K140+K143+K144+K145+K146+K147, "NA")</f>
        <v>148645.43000000002</v>
      </c>
      <c r="L149" s="15">
        <f>IFERROR(K149/K444, "NA")</f>
        <v>0.24086297936265003</v>
      </c>
      <c r="M149" s="2"/>
      <c r="N149" s="14">
        <f t="shared" si="33"/>
        <v>4941.7200000000303</v>
      </c>
      <c r="O149" s="15">
        <f>IFERROR(N149/N444, "NA")</f>
        <v>-0.11519233337832271</v>
      </c>
      <c r="P149" s="2"/>
      <c r="Q149" s="14">
        <f>IFERROR(Q127+Q129+Q130+Q131+Q132+Q133+Q134+Q135+Q136+Q137+Q138+Q139+Q140+Q143+Q144+Q145+Q146+Q147, "NA")</f>
        <v>1496121.7</v>
      </c>
      <c r="R149" s="15">
        <f>IFERROR(Q149/Q444, "NA")</f>
        <v>0.25220473699436957</v>
      </c>
      <c r="S149" s="2"/>
      <c r="T149" s="14">
        <f>IFERROR(T127+T129+T130+T131+T132+T133+T134+T135+T136+T137+T138+T139+T140+T143+T144+T145+T146+T147, "NA")</f>
        <v>1444244.3</v>
      </c>
      <c r="U149" s="15">
        <f>IFERROR(T149/T444, "NA")</f>
        <v>0.22879769855775925</v>
      </c>
      <c r="V149" s="2"/>
      <c r="W149" s="14">
        <f t="shared" si="34"/>
        <v>-51877.399999999907</v>
      </c>
      <c r="X149" s="15">
        <f>IFERROR(W149/W444, "NA")</f>
        <v>0.13646605081652721</v>
      </c>
      <c r="Y149" s="2"/>
      <c r="Z149" s="14">
        <f>IFERROR(Z127+Z129+Z130+Z131+Z132+Z133+Z134+Z135+Z136+Z137+Z138+Z139+Z140+Z143+Z144+Z145+Z146+Z147, "NA")</f>
        <v>1388910.5599999998</v>
      </c>
      <c r="AA149" s="15">
        <f>IFERROR(Z149/Z444, "NA")</f>
        <v>0.24735800894477084</v>
      </c>
      <c r="AB149" s="2"/>
      <c r="AC149" s="14">
        <f t="shared" si="35"/>
        <v>-107211.14000000013</v>
      </c>
      <c r="AD149" s="15">
        <f>IFERROR(AC149/AC444, "NA")</f>
        <v>-0.33800276193966111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11105.169999999998</v>
      </c>
      <c r="F153" s="8">
        <f>IFERROR(E153/E444, "NA")</f>
        <v>1.6533802241958193E-2</v>
      </c>
      <c r="G153" s="9"/>
      <c r="H153" s="10">
        <f t="shared" ref="H153:H158" si="36">IFERROR(-(B153-E153), "NA")</f>
        <v>11105.169999999998</v>
      </c>
      <c r="I153" s="8">
        <f>IFERROR(H153/H444, "NA")</f>
        <v>-0.11398398357095631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109076.18</v>
      </c>
      <c r="U153" s="8">
        <f>IFERROR(T153/T444, "NA")</f>
        <v>1.7279887448039009E-2</v>
      </c>
      <c r="V153" s="9"/>
      <c r="W153" s="10">
        <f t="shared" ref="W153:W158" si="38">IFERROR(-(Q153-T153), "NA")</f>
        <v>109076.18</v>
      </c>
      <c r="X153" s="8">
        <f>IFERROR(W153/W444, "NA")</f>
        <v>-0.28693025330399552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17092.650000000001</v>
      </c>
      <c r="C154" s="8">
        <f>IFERROR(B154/B444, "NA")</f>
        <v>2.9765837515635527E-2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-17092.650000000001</v>
      </c>
      <c r="I154" s="8">
        <f>IFERROR(H154/H444, "NA")</f>
        <v>0.17543975794914501</v>
      </c>
      <c r="J154" s="9"/>
      <c r="K154" s="7">
        <v>19305.810000000001</v>
      </c>
      <c r="L154" s="8">
        <f>IFERROR(K154/K444, "NA")</f>
        <v>3.1282864973442119E-2</v>
      </c>
      <c r="M154" s="9"/>
      <c r="N154" s="10">
        <f t="shared" si="37"/>
        <v>2213.16</v>
      </c>
      <c r="O154" s="8">
        <f>IFERROR(N154/N444, "NA")</f>
        <v>-5.1589135875680356E-2</v>
      </c>
      <c r="P154" s="9"/>
      <c r="Q154" s="7">
        <v>189038.24</v>
      </c>
      <c r="R154" s="8">
        <f>IFERROR(Q154/Q444, "NA")</f>
        <v>3.186661860534374E-2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-189038.24</v>
      </c>
      <c r="X154" s="8">
        <f>IFERROR(W154/W444, "NA")</f>
        <v>0.49727438279688096</v>
      </c>
      <c r="Y154" s="9"/>
      <c r="Z154" s="7">
        <v>182127.81999999998</v>
      </c>
      <c r="AA154" s="8">
        <f>IFERROR(Z154/Z444, "NA")</f>
        <v>3.2436051842425054E-2</v>
      </c>
      <c r="AB154" s="9"/>
      <c r="AC154" s="10">
        <f t="shared" si="39"/>
        <v>-6910.4200000000128</v>
      </c>
      <c r="AD154" s="8">
        <f>IFERROR(AC154/AC444, "NA")</f>
        <v>-2.1786365168424426E-2</v>
      </c>
    </row>
    <row r="155" spans="1:30" ht="16.5" customHeight="1" x14ac:dyDescent="0.45">
      <c r="A155" s="12" t="s">
        <v>144</v>
      </c>
      <c r="B155" s="7">
        <v>7505.17</v>
      </c>
      <c r="C155" s="8">
        <f>IFERROR(B155/B444, "NA")</f>
        <v>1.3069808996687013E-2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-7505.17</v>
      </c>
      <c r="I155" s="8">
        <f>IFERROR(H155/H444, "NA")</f>
        <v>7.7033415425178928E-2</v>
      </c>
      <c r="J155" s="9"/>
      <c r="K155" s="7">
        <v>7115.2199999999993</v>
      </c>
      <c r="L155" s="8">
        <f>IFERROR(K155/K444, "NA")</f>
        <v>1.1529403144252159E-2</v>
      </c>
      <c r="M155" s="9"/>
      <c r="N155" s="10">
        <f t="shared" si="37"/>
        <v>-389.95000000000073</v>
      </c>
      <c r="O155" s="8">
        <f>IFERROR(N155/N444, "NA")</f>
        <v>9.0898007982801038E-3</v>
      </c>
      <c r="P155" s="9"/>
      <c r="Q155" s="7">
        <v>66772.73</v>
      </c>
      <c r="R155" s="8">
        <f>IFERROR(Q155/Q444, "NA")</f>
        <v>1.1256035393408203E-2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-66772.73</v>
      </c>
      <c r="X155" s="8">
        <f>IFERROR(W155/W444, "NA")</f>
        <v>0.17564894858528507</v>
      </c>
      <c r="Y155" s="9"/>
      <c r="Z155" s="7">
        <v>67475.180000000008</v>
      </c>
      <c r="AA155" s="8">
        <f>IFERROR(Z155/Z444, "NA")</f>
        <v>1.2016991344633471E-2</v>
      </c>
      <c r="AB155" s="9"/>
      <c r="AC155" s="10">
        <f t="shared" si="39"/>
        <v>702.45000000001164</v>
      </c>
      <c r="AD155" s="8">
        <f>IFERROR(AC155/AC444, "NA")</f>
        <v>2.2146023270018266E-3</v>
      </c>
    </row>
    <row r="156" spans="1:30" ht="16.5" customHeight="1" x14ac:dyDescent="0.45">
      <c r="A156" s="12" t="s">
        <v>145</v>
      </c>
      <c r="B156" s="7">
        <v>245.48</v>
      </c>
      <c r="C156" s="8">
        <f>IFERROR(B156/B444, "NA")</f>
        <v>4.2748887933340986E-4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-245.48</v>
      </c>
      <c r="I156" s="8">
        <f>IFERROR(H156/H444, "NA")</f>
        <v>2.519618185673732E-3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-245.48</v>
      </c>
      <c r="O156" s="8">
        <f>IFERROR(N156/N444, "NA")</f>
        <v>5.7221805358681765E-3</v>
      </c>
      <c r="P156" s="9"/>
      <c r="Q156" s="7">
        <v>245.48</v>
      </c>
      <c r="R156" s="8">
        <f>IFERROR(Q156/Q444, "NA")</f>
        <v>4.1381138203782378E-5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-245.48</v>
      </c>
      <c r="X156" s="8">
        <f>IFERROR(W156/W444, "NA")</f>
        <v>6.4574720696182074E-4</v>
      </c>
      <c r="Y156" s="9"/>
      <c r="Z156" s="7">
        <v>401.78999999999996</v>
      </c>
      <c r="AA156" s="8">
        <f>IFERROR(Z156/Z444, "NA")</f>
        <v>7.1556785063193331E-5</v>
      </c>
      <c r="AB156" s="9"/>
      <c r="AC156" s="10">
        <f t="shared" si="39"/>
        <v>156.30999999999997</v>
      </c>
      <c r="AD156" s="8">
        <f>IFERROR(AC156/AC444, "NA")</f>
        <v>4.9279591392077692E-4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24843.3</v>
      </c>
      <c r="C158" s="15">
        <f>IFERROR(B158/B444, "NA")</f>
        <v>4.3263135391655945E-2</v>
      </c>
      <c r="D158" s="2"/>
      <c r="E158" s="14">
        <f>IFERROR(E153+E154+E155+E156+E157, "NA")</f>
        <v>11105.169999999998</v>
      </c>
      <c r="F158" s="15">
        <f>IFERROR(E158/E444, "NA")</f>
        <v>1.6533802241958193E-2</v>
      </c>
      <c r="G158" s="2"/>
      <c r="H158" s="14">
        <f t="shared" si="36"/>
        <v>-13738.130000000001</v>
      </c>
      <c r="I158" s="15">
        <f>IFERROR(H158/H444, "NA")</f>
        <v>0.14100880798904133</v>
      </c>
      <c r="J158" s="2"/>
      <c r="K158" s="14">
        <f>IFERROR(K153+K154+K155+K156+K157, "NA")</f>
        <v>26421.03</v>
      </c>
      <c r="L158" s="15">
        <f>IFERROR(K158/K444, "NA")</f>
        <v>4.2812268117694272E-2</v>
      </c>
      <c r="M158" s="2"/>
      <c r="N158" s="14">
        <f t="shared" si="37"/>
        <v>1577.7299999999996</v>
      </c>
      <c r="O158" s="15">
        <f>IFERROR(N158/N444, "NA")</f>
        <v>-3.6777154541532082E-2</v>
      </c>
      <c r="P158" s="2"/>
      <c r="Q158" s="14">
        <f>IFERROR(Q153+Q154+Q155+Q156+Q157, "NA")</f>
        <v>256056.44999999998</v>
      </c>
      <c r="R158" s="15">
        <f>IFERROR(Q158/Q444, "NA")</f>
        <v>4.3164035136955728E-2</v>
      </c>
      <c r="S158" s="2"/>
      <c r="T158" s="14">
        <f>IFERROR(T153+T154+T155+T156+T157, "NA")</f>
        <v>109076.18</v>
      </c>
      <c r="U158" s="15">
        <f>IFERROR(T158/T444, "NA")</f>
        <v>1.7279887448039009E-2</v>
      </c>
      <c r="V158" s="2"/>
      <c r="W158" s="14">
        <f t="shared" si="38"/>
        <v>-146980.26999999999</v>
      </c>
      <c r="X158" s="15">
        <f>IFERROR(W158/W444, "NA")</f>
        <v>0.38663882528513238</v>
      </c>
      <c r="Y158" s="2"/>
      <c r="Z158" s="14">
        <f>IFERROR(Z153+Z154+Z155+Z156+Z157, "NA")</f>
        <v>250004.79</v>
      </c>
      <c r="AA158" s="15">
        <f>IFERROR(Z158/Z444, "NA")</f>
        <v>4.4524599972121721E-2</v>
      </c>
      <c r="AB158" s="2"/>
      <c r="AC158" s="14">
        <f t="shared" si="39"/>
        <v>-6051.6599999999744</v>
      </c>
      <c r="AD158" s="15">
        <f>IFERROR(AC158/AC444, "NA")</f>
        <v>-1.9078966927501738E-2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1876.81</v>
      </c>
      <c r="C161" s="8">
        <f>IFERROR(B161/B444, "NA")</f>
        <v>3.26835344476836E-3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-1876.81</v>
      </c>
      <c r="I161" s="8">
        <f>IFERROR(H161/H444, "NA")</f>
        <v>1.9263665500465686E-2</v>
      </c>
      <c r="J161" s="9"/>
      <c r="K161" s="7">
        <v>1014.89</v>
      </c>
      <c r="L161" s="8">
        <f>IFERROR(K161/K444, "NA")</f>
        <v>1.6445135859565938E-3</v>
      </c>
      <c r="M161" s="9"/>
      <c r="N161" s="10">
        <f t="shared" si="41"/>
        <v>-861.92</v>
      </c>
      <c r="O161" s="8">
        <f>IFERROR(N161/N444, "NA")</f>
        <v>2.0091501741386259E-2</v>
      </c>
      <c r="P161" s="9"/>
      <c r="Q161" s="7">
        <v>15086.099999999999</v>
      </c>
      <c r="R161" s="8">
        <f>IFERROR(Q161/Q444, "NA")</f>
        <v>2.5430991895717828E-3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-15086.099999999999</v>
      </c>
      <c r="X161" s="8">
        <f>IFERROR(W161/W444, "NA")</f>
        <v>3.9684727631361917E-2</v>
      </c>
      <c r="Y161" s="9"/>
      <c r="Z161" s="7">
        <v>16357.88</v>
      </c>
      <c r="AA161" s="8">
        <f>IFERROR(Z161/Z444, "NA")</f>
        <v>2.9132564355745763E-3</v>
      </c>
      <c r="AB161" s="9"/>
      <c r="AC161" s="10">
        <f t="shared" si="43"/>
        <v>1271.7800000000007</v>
      </c>
      <c r="AD161" s="8">
        <f>IFERROR(AC161/AC444, "NA")</f>
        <v>4.0095194639253153E-3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4.8441836624078722E-7</v>
      </c>
      <c r="AB162" s="9"/>
      <c r="AC162" s="10">
        <f t="shared" si="43"/>
        <v>2.72</v>
      </c>
      <c r="AD162" s="8">
        <f>IFERROR(AC162/AC444, "NA")</f>
        <v>8.5752983549645796E-6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1876.81</v>
      </c>
      <c r="C166" s="15">
        <f>IFERROR(B166/B444, "NA")</f>
        <v>3.26835344476836E-3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-1876.81</v>
      </c>
      <c r="I166" s="15">
        <f>IFERROR(H166/H444, "NA")</f>
        <v>1.9263665500465686E-2</v>
      </c>
      <c r="J166" s="2"/>
      <c r="K166" s="14">
        <f>IFERROR(K160+K161+K162+K163+K164+K165, "NA")</f>
        <v>1014.89</v>
      </c>
      <c r="L166" s="15">
        <f>IFERROR(K166/K444, "NA")</f>
        <v>1.6445135859565938E-3</v>
      </c>
      <c r="M166" s="2"/>
      <c r="N166" s="14">
        <f t="shared" si="41"/>
        <v>-861.92</v>
      </c>
      <c r="O166" s="15">
        <f>IFERROR(N166/N444, "NA")</f>
        <v>2.0091501741386259E-2</v>
      </c>
      <c r="P166" s="2"/>
      <c r="Q166" s="14">
        <f>IFERROR(Q160+Q161+Q162+Q163+Q164+Q165, "NA")</f>
        <v>15086.099999999999</v>
      </c>
      <c r="R166" s="15">
        <f>IFERROR(Q166/Q444, "NA")</f>
        <v>2.5430991895717828E-3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-15086.099999999999</v>
      </c>
      <c r="X166" s="15">
        <f>IFERROR(W166/W444, "NA")</f>
        <v>3.9684727631361917E-2</v>
      </c>
      <c r="Y166" s="2"/>
      <c r="Z166" s="14">
        <f>IFERROR(Z160+Z161+Z162+Z163+Z164+Z165, "NA")</f>
        <v>16360.599999999999</v>
      </c>
      <c r="AA166" s="15">
        <f>IFERROR(Z166/Z444, "NA")</f>
        <v>2.9137408539408167E-3</v>
      </c>
      <c r="AB166" s="2"/>
      <c r="AC166" s="14">
        <f t="shared" si="43"/>
        <v>1274.5</v>
      </c>
      <c r="AD166" s="15">
        <f>IFERROR(AC166/AC444, "NA")</f>
        <v>4.0180947622802778E-3</v>
      </c>
    </row>
    <row r="167" spans="1:30" ht="16.5" customHeight="1" x14ac:dyDescent="0.45">
      <c r="A167" s="6" t="s">
        <v>155</v>
      </c>
      <c r="B167" s="7">
        <v>867.62</v>
      </c>
      <c r="C167" s="8">
        <f>IFERROR(B167/B444, "NA")</f>
        <v>1.510908837735266E-3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-867.62</v>
      </c>
      <c r="I167" s="8">
        <f>IFERROR(H167/H444, "NA")</f>
        <v>8.905292204066495E-3</v>
      </c>
      <c r="J167" s="9"/>
      <c r="K167" s="7">
        <v>801.43000000000006</v>
      </c>
      <c r="L167" s="8">
        <f>IFERROR(K167/K444, "NA")</f>
        <v>1.2986259823165004E-3</v>
      </c>
      <c r="M167" s="9"/>
      <c r="N167" s="10">
        <f t="shared" si="41"/>
        <v>-66.189999999999941</v>
      </c>
      <c r="O167" s="8">
        <f>IFERROR(N167/N444, "NA")</f>
        <v>1.5429001534508484E-3</v>
      </c>
      <c r="P167" s="9"/>
      <c r="Q167" s="7">
        <v>8321.49</v>
      </c>
      <c r="R167" s="8">
        <f>IFERROR(Q167/Q444, "NA")</f>
        <v>1.4027730477081351E-3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-8321.49</v>
      </c>
      <c r="X167" s="8">
        <f>IFERROR(W167/W444, "NA")</f>
        <v>2.1890088501143563E-2</v>
      </c>
      <c r="Y167" s="9"/>
      <c r="Z167" s="7">
        <v>8851.93</v>
      </c>
      <c r="AA167" s="8">
        <f>IFERROR(Z167/Z444, "NA")</f>
        <v>1.5764843634844894E-3</v>
      </c>
      <c r="AB167" s="9"/>
      <c r="AC167" s="10">
        <f t="shared" si="43"/>
        <v>530.44000000000051</v>
      </c>
      <c r="AD167" s="8">
        <f>IFERROR(AC167/AC444, "NA")</f>
        <v>1.6723092865468441E-3</v>
      </c>
    </row>
    <row r="168" spans="1:30" ht="16.5" customHeight="1" x14ac:dyDescent="0.45">
      <c r="A168" s="6" t="s">
        <v>156</v>
      </c>
      <c r="B168" s="7">
        <v>185.17000000000002</v>
      </c>
      <c r="C168" s="8">
        <f>IFERROR(B168/B444, "NA")</f>
        <v>3.2246258671243079E-4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-185.17000000000002</v>
      </c>
      <c r="I168" s="8">
        <f>IFERROR(H168/H444, "NA")</f>
        <v>1.9005935287648892E-3</v>
      </c>
      <c r="J168" s="9"/>
      <c r="K168" s="7">
        <v>238</v>
      </c>
      <c r="L168" s="8">
        <f>IFERROR(K168/K444, "NA")</f>
        <v>3.8565187700900522E-4</v>
      </c>
      <c r="M168" s="9"/>
      <c r="N168" s="10">
        <f t="shared" si="41"/>
        <v>52.829999999999984</v>
      </c>
      <c r="O168" s="8">
        <f>IFERROR(N168/N444, "NA")</f>
        <v>-1.2314762820185583E-3</v>
      </c>
      <c r="P168" s="9"/>
      <c r="Q168" s="7">
        <v>2677.98</v>
      </c>
      <c r="R168" s="8">
        <f>IFERROR(Q168/Q444, "NA")</f>
        <v>4.5143335704320164E-4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-2677.98</v>
      </c>
      <c r="X168" s="8">
        <f>IFERROR(W168/W444, "NA")</f>
        <v>7.04455803038788E-3</v>
      </c>
      <c r="Y168" s="9"/>
      <c r="Z168" s="7">
        <v>2450.39</v>
      </c>
      <c r="AA168" s="8">
        <f>IFERROR(Z168/Z444, "NA")</f>
        <v>4.3640217663704501E-4</v>
      </c>
      <c r="AB168" s="9"/>
      <c r="AC168" s="10">
        <f t="shared" si="43"/>
        <v>-227.59000000000015</v>
      </c>
      <c r="AD168" s="8">
        <f>IFERROR(AC168/AC444, "NA")</f>
        <v>-7.1751917375234922E-4</v>
      </c>
    </row>
    <row r="169" spans="1:30" ht="16.5" customHeight="1" x14ac:dyDescent="0.45">
      <c r="A169" s="6" t="s">
        <v>157</v>
      </c>
      <c r="B169" s="7">
        <v>-6107.0700000000006</v>
      </c>
      <c r="C169" s="8">
        <f>IFERROR(B169/B444, "NA")</f>
        <v>-1.0635100661197196E-2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6107.0700000000006</v>
      </c>
      <c r="I169" s="8">
        <f>IFERROR(H169/H444, "NA")</f>
        <v>-6.2683251723897992E-2</v>
      </c>
      <c r="J169" s="9"/>
      <c r="K169" s="7">
        <v>-15648.32</v>
      </c>
      <c r="L169" s="8">
        <f>IFERROR(K169/K444, "NA")</f>
        <v>-2.5356319243855282E-2</v>
      </c>
      <c r="M169" s="9"/>
      <c r="N169" s="10">
        <f t="shared" si="41"/>
        <v>-9541.25</v>
      </c>
      <c r="O169" s="8">
        <f>IFERROR(N169/N444, "NA")</f>
        <v>0.22240815967839433</v>
      </c>
      <c r="P169" s="9"/>
      <c r="Q169" s="7">
        <v>-92708.03</v>
      </c>
      <c r="R169" s="8">
        <f>IFERROR(Q169/Q444, "NA")</f>
        <v>-1.5628009622088979E-2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92708.03</v>
      </c>
      <c r="X169" s="8">
        <f>IFERROR(W169/W444, "NA")</f>
        <v>-0.24387303012641637</v>
      </c>
      <c r="Y169" s="9"/>
      <c r="Z169" s="7">
        <v>-131526.28</v>
      </c>
      <c r="AA169" s="8">
        <f>IFERROR(Z169/Z444, "NA")</f>
        <v>-2.3424171204164825E-2</v>
      </c>
      <c r="AB169" s="9"/>
      <c r="AC169" s="10">
        <f t="shared" si="43"/>
        <v>-38818.25</v>
      </c>
      <c r="AD169" s="8">
        <f>IFERROR(AC169/AC444, "NA")</f>
        <v>-0.12238164535573667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21665.829999999998</v>
      </c>
      <c r="C170" s="15">
        <f>IFERROR(B170/B444, "NA")</f>
        <v>3.7729759599674804E-2</v>
      </c>
      <c r="D170" s="2"/>
      <c r="E170" s="14">
        <f>IFERROR(E151+E153+E154+E155+E156+E157+E160+E161+E162+E163+E164+E165+E167+E168+E169, "NA")</f>
        <v>11105.169999999998</v>
      </c>
      <c r="F170" s="15">
        <f>IFERROR(E170/E444, "NA")</f>
        <v>1.6533802241958193E-2</v>
      </c>
      <c r="G170" s="2"/>
      <c r="H170" s="14">
        <f t="shared" si="40"/>
        <v>-10560.66</v>
      </c>
      <c r="I170" s="15">
        <f>IFERROR(H170/H444, "NA")</f>
        <v>0.10839510749844042</v>
      </c>
      <c r="J170" s="2"/>
      <c r="K170" s="14">
        <f>IFERROR(K151+K153+K154+K155+K156+K157+K160+K161+K162+K163+K164+K165+K167+K168+K169, "NA")</f>
        <v>12827.029999999999</v>
      </c>
      <c r="L170" s="15">
        <f>IFERROR(K170/K444, "NA")</f>
        <v>2.0784740319121094E-2</v>
      </c>
      <c r="M170" s="2"/>
      <c r="N170" s="14">
        <f t="shared" si="41"/>
        <v>-8838.7999999999993</v>
      </c>
      <c r="O170" s="15">
        <f>IFERROR(N170/N444, "NA")</f>
        <v>0.20603393074968079</v>
      </c>
      <c r="P170" s="2"/>
      <c r="Q170" s="14">
        <f>IFERROR(Q151+Q153+Q154+Q155+Q156+Q157+Q160+Q161+Q162+Q163+Q164+Q165+Q167+Q168+Q169, "NA")</f>
        <v>189433.98999999996</v>
      </c>
      <c r="R170" s="15">
        <f>IFERROR(Q170/Q444, "NA")</f>
        <v>3.1933331109189861E-2</v>
      </c>
      <c r="S170" s="2"/>
      <c r="T170" s="14">
        <f>IFERROR(T151+T153+T154+T155+T156+T157+T160+T161+T162+T163+T164+T165+T167+T168+T169, "NA")</f>
        <v>109076.18</v>
      </c>
      <c r="U170" s="15">
        <f>IFERROR(T170/T444, "NA")</f>
        <v>1.7279887448039009E-2</v>
      </c>
      <c r="V170" s="2"/>
      <c r="W170" s="14">
        <f t="shared" si="42"/>
        <v>-80357.809999999969</v>
      </c>
      <c r="X170" s="15">
        <f>IFERROR(W170/W444, "NA")</f>
        <v>0.21138516932160931</v>
      </c>
      <c r="Y170" s="2"/>
      <c r="Z170" s="14">
        <f>IFERROR(Z151+Z153+Z154+Z155+Z156+Z157+Z160+Z161+Z162+Z163+Z164+Z165+Z167+Z168+Z169, "NA")</f>
        <v>146141.42999999996</v>
      </c>
      <c r="AA170" s="15">
        <f>IFERROR(Z170/Z444, "NA")</f>
        <v>2.6027056162019245E-2</v>
      </c>
      <c r="AB170" s="2"/>
      <c r="AC170" s="14">
        <f t="shared" si="43"/>
        <v>-43292.56</v>
      </c>
      <c r="AD170" s="15">
        <f>IFERROR(AC170/AC444, "NA")</f>
        <v>-0.13648772740816373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165369.54</v>
      </c>
      <c r="C171" s="15">
        <f>IFERROR(B171/B444, "NA")</f>
        <v>0.28798125847515682</v>
      </c>
      <c r="D171" s="2"/>
      <c r="E171" s="14">
        <f>IFERROR(E127+E129+E130+E131+E132+E133+E134+E135+E136+E137+E138+E139+E140+E143+E144+E145+E146+E147+E151+E153+E154+E155+E156+E157+E160+E161+E162+E163+E164+E165+E167+E168+E169, "NA")</f>
        <v>159543.34000000003</v>
      </c>
      <c r="F171" s="15">
        <f>IFERROR(E171/E444, "NA")</f>
        <v>0.23753423248644542</v>
      </c>
      <c r="G171" s="2"/>
      <c r="H171" s="14">
        <f t="shared" si="40"/>
        <v>-5826.1999999999825</v>
      </c>
      <c r="I171" s="15">
        <f>IFERROR(H171/H444, "NA")</f>
        <v>5.9800388925257672E-2</v>
      </c>
      <c r="J171" s="2"/>
      <c r="K171" s="14">
        <f>IFERROR(K127+K129+K130+K131+K132+K133+K134+K135+K136+K137+K138+K139+K140+K143+K144+K145+K146+K147+K151+K153+K154+K155+K156+K157+K160+K161+K162+K163+K164+K165+K167+K168+K169, "NA")</f>
        <v>161472.46000000002</v>
      </c>
      <c r="L171" s="15">
        <f>IFERROR(K171/K444, "NA")</f>
        <v>0.26164771968177114</v>
      </c>
      <c r="M171" s="2"/>
      <c r="N171" s="14">
        <f t="shared" si="41"/>
        <v>-3897.0799999999872</v>
      </c>
      <c r="O171" s="15">
        <f>IFERROR(N171/N444, "NA")</f>
        <v>9.0841597371358482E-2</v>
      </c>
      <c r="P171" s="2"/>
      <c r="Q171" s="14">
        <f>IFERROR(Q127+Q129+Q130+Q131+Q132+Q133+Q134+Q135+Q136+Q137+Q138+Q139+Q140+Q143+Q144+Q145+Q146+Q147+Q151+Q153+Q154+Q155+Q156+Q157+Q160+Q161+Q162+Q163+Q164+Q165+Q167+Q168+Q169, "NA")</f>
        <v>1685555.69</v>
      </c>
      <c r="R171" s="15">
        <f>IFERROR(Q171/Q444, "NA")</f>
        <v>0.2841380681035594</v>
      </c>
      <c r="S171" s="2"/>
      <c r="T171" s="14">
        <f>IFERROR(T127+T129+T130+T131+T132+T133+T134+T135+T136+T137+T138+T139+T140+T143+T144+T145+T146+T147+T151+T153+T154+T155+T156+T157+T160+T161+T162+T163+T164+T165+T167+T168+T169, "NA")</f>
        <v>1553320.48</v>
      </c>
      <c r="U171" s="15">
        <f>IFERROR(T171/T444, "NA")</f>
        <v>0.24607758600579827</v>
      </c>
      <c r="V171" s="2"/>
      <c r="W171" s="14">
        <f t="shared" si="42"/>
        <v>-132235.20999999996</v>
      </c>
      <c r="X171" s="15">
        <f>IFERROR(W171/W444, "NA")</f>
        <v>0.34785122013813674</v>
      </c>
      <c r="Y171" s="2"/>
      <c r="Z171" s="14">
        <f>IFERROR(Z127+Z129+Z130+Z131+Z132+Z133+Z134+Z135+Z136+Z137+Z138+Z139+Z140+Z143+Z144+Z145+Z146+Z147+Z151+Z153+Z154+Z155+Z156+Z157+Z160+Z161+Z162+Z163+Z164+Z165+Z167+Z168+Z169, "NA")</f>
        <v>1535051.9899999995</v>
      </c>
      <c r="AA171" s="15">
        <f>IFERROR(Z171/Z444, "NA")</f>
        <v>0.27338506510679006</v>
      </c>
      <c r="AB171" s="2"/>
      <c r="AC171" s="14">
        <f t="shared" si="43"/>
        <v>-150503.70000000042</v>
      </c>
      <c r="AD171" s="15">
        <f>IFERROR(AC171/AC444, "NA")</f>
        <v>-0.47449048934782578</v>
      </c>
    </row>
    <row r="172" spans="1:30" ht="16.5" customHeight="1" x14ac:dyDescent="0.45">
      <c r="A172" s="22" t="s">
        <v>160</v>
      </c>
      <c r="B172" s="23">
        <f>IFERROR(B124-B171, "NA")</f>
        <v>408867.61999999988</v>
      </c>
      <c r="C172" s="24">
        <f>IFERROR(B172/B444, "NA")</f>
        <v>0.7120187415248429</v>
      </c>
      <c r="D172" s="25"/>
      <c r="E172" s="23">
        <f>IFERROR(E124-E171, "NA")</f>
        <v>512121.27999999997</v>
      </c>
      <c r="F172" s="24">
        <f>IFERROR(E172/E444, "NA")</f>
        <v>0.76246576751355455</v>
      </c>
      <c r="G172" s="25"/>
      <c r="H172" s="23">
        <f>IFERROR(B172-E172, "NA")</f>
        <v>-103253.66000000009</v>
      </c>
      <c r="I172" s="24">
        <f>IFERROR(H172/H444, "NA")</f>
        <v>1.0598003889252592</v>
      </c>
      <c r="J172" s="25"/>
      <c r="K172" s="23">
        <f>IFERROR(K124-K171, "NA")</f>
        <v>455664.43000000023</v>
      </c>
      <c r="L172" s="24">
        <f>IFERROR(K172/K444, "NA")</f>
        <v>0.7383522803182293</v>
      </c>
      <c r="M172" s="25"/>
      <c r="N172" s="23">
        <f>IFERROR(B172-K172, "NA")</f>
        <v>-46796.810000000347</v>
      </c>
      <c r="O172" s="24">
        <f>IFERROR(N172/N444, "NA")</f>
        <v>1.0908415973713672</v>
      </c>
      <c r="P172" s="25"/>
      <c r="Q172" s="23">
        <f>IFERROR(Q124-Q171, "NA")</f>
        <v>4246615.6000000015</v>
      </c>
      <c r="R172" s="24">
        <f>IFERROR(Q172/Q444, "NA")</f>
        <v>0.71586193189644076</v>
      </c>
      <c r="S172" s="25"/>
      <c r="T172" s="23">
        <f>IFERROR(T124-T171, "NA")</f>
        <v>4758999.57</v>
      </c>
      <c r="U172" s="24">
        <f>IFERROR(T172/T444, "NA")</f>
        <v>0.75392241399420168</v>
      </c>
      <c r="V172" s="25"/>
      <c r="W172" s="23">
        <f>IFERROR(Q172-T172, "NA")</f>
        <v>-512383.96999999881</v>
      </c>
      <c r="X172" s="24">
        <f>IFERROR(W172/W444, "NA")</f>
        <v>1.3478512201381319</v>
      </c>
      <c r="Y172" s="25"/>
      <c r="Z172" s="23">
        <f>IFERROR(Z124-Z171, "NA")</f>
        <v>4079929.1700000009</v>
      </c>
      <c r="AA172" s="24">
        <f>IFERROR(Z172/Z444, "NA")</f>
        <v>0.72661493489321005</v>
      </c>
      <c r="AB172" s="25"/>
      <c r="AC172" s="23">
        <f>IFERROR(Q172-Z172, "NA")</f>
        <v>166686.43000000063</v>
      </c>
      <c r="AD172" s="24">
        <f>IFERROR(AC172/AC444, "NA")</f>
        <v>0.52550951065217788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31832.32</v>
      </c>
      <c r="C178" s="8">
        <f>IFERROR(B178/B444, "NA")</f>
        <v>5.5434099736770777E-2</v>
      </c>
      <c r="D178" s="9"/>
      <c r="E178" s="7">
        <v>32038.460000000003</v>
      </c>
      <c r="F178" s="8">
        <f>IFERROR(E178/E444, "NA")</f>
        <v>4.7700085795794933E-2</v>
      </c>
      <c r="G178" s="9"/>
      <c r="H178" s="10">
        <f t="shared" si="44"/>
        <v>206.14000000000306</v>
      </c>
      <c r="I178" s="8">
        <f>IFERROR(H178/H444, "NA")</f>
        <v>-2.1158305882140738E-3</v>
      </c>
      <c r="J178" s="9"/>
      <c r="K178" s="7">
        <v>25961.559999999998</v>
      </c>
      <c r="L178" s="8">
        <f>IFERROR(K178/K444, "NA")</f>
        <v>4.2067749344881972E-2</v>
      </c>
      <c r="M178" s="9"/>
      <c r="N178" s="10">
        <f t="shared" si="45"/>
        <v>-5870.760000000002</v>
      </c>
      <c r="O178" s="8">
        <f>IFERROR(N178/N444, "NA")</f>
        <v>0.13684841373127535</v>
      </c>
      <c r="P178" s="9"/>
      <c r="Q178" s="7">
        <v>337822.56</v>
      </c>
      <c r="R178" s="8">
        <f>IFERROR(Q178/Q444, "NA")</f>
        <v>5.6947539692502706E-2</v>
      </c>
      <c r="S178" s="9"/>
      <c r="T178" s="7">
        <v>344413.43</v>
      </c>
      <c r="U178" s="8">
        <f>IFERROR(T178/T444, "NA")</f>
        <v>5.4562098764304567E-2</v>
      </c>
      <c r="V178" s="9"/>
      <c r="W178" s="10">
        <f t="shared" si="46"/>
        <v>6590.8699999999953</v>
      </c>
      <c r="X178" s="8">
        <f>IFERROR(W178/W444, "NA")</f>
        <v>-1.7337607519750907E-2</v>
      </c>
      <c r="Y178" s="9"/>
      <c r="Z178" s="7">
        <v>279086.77</v>
      </c>
      <c r="AA178" s="8">
        <f>IFERROR(Z178/Z444, "NA")</f>
        <v>4.9703954839271446E-2</v>
      </c>
      <c r="AB178" s="9"/>
      <c r="AC178" s="10">
        <f t="shared" si="47"/>
        <v>-58735.789999999979</v>
      </c>
      <c r="AD178" s="8">
        <f>IFERROR(AC178/AC444, "NA")</f>
        <v>-0.18517533947225912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104189.9</v>
      </c>
      <c r="C180" s="8">
        <f>IFERROR(B180/B444, "NA")</f>
        <v>0.18144053930609436</v>
      </c>
      <c r="D180" s="9"/>
      <c r="E180" s="7">
        <v>121911.56000000001</v>
      </c>
      <c r="F180" s="8">
        <f>IFERROR(E180/E444, "NA")</f>
        <v>0.18150659774218866</v>
      </c>
      <c r="G180" s="9"/>
      <c r="H180" s="10">
        <f t="shared" si="44"/>
        <v>17721.660000000018</v>
      </c>
      <c r="I180" s="8">
        <f>IFERROR(H180/H444, "NA")</f>
        <v>-0.18189594596841613</v>
      </c>
      <c r="J180" s="9"/>
      <c r="K180" s="7">
        <v>111169.12</v>
      </c>
      <c r="L180" s="8">
        <f>IFERROR(K180/K444, "NA")</f>
        <v>0.1801368898884006</v>
      </c>
      <c r="M180" s="9"/>
      <c r="N180" s="10">
        <f t="shared" si="45"/>
        <v>6979.2200000000012</v>
      </c>
      <c r="O180" s="8">
        <f>IFERROR(N180/N444, "NA")</f>
        <v>-0.1626868047887482</v>
      </c>
      <c r="P180" s="9"/>
      <c r="Q180" s="7">
        <v>1115325.83</v>
      </c>
      <c r="R180" s="8">
        <f>IFERROR(Q180/Q444, "NA")</f>
        <v>0.18801308584600901</v>
      </c>
      <c r="S180" s="9"/>
      <c r="T180" s="7">
        <v>1173039</v>
      </c>
      <c r="U180" s="8">
        <f>IFERROR(T180/T444, "NA")</f>
        <v>0.18583325793184391</v>
      </c>
      <c r="V180" s="9"/>
      <c r="W180" s="10">
        <f t="shared" si="46"/>
        <v>57713.169999999925</v>
      </c>
      <c r="X180" s="8">
        <f>IFERROR(W180/W444, "NA")</f>
        <v>-0.15181733066813061</v>
      </c>
      <c r="Y180" s="9"/>
      <c r="Z180" s="7">
        <v>1104015.01</v>
      </c>
      <c r="AA180" s="8">
        <f>IFERROR(Z180/Z444, "NA")</f>
        <v>0.19661953950349498</v>
      </c>
      <c r="AB180" s="9"/>
      <c r="AC180" s="10">
        <f t="shared" si="47"/>
        <v>-11310.820000000065</v>
      </c>
      <c r="AD180" s="8">
        <f>IFERROR(AC180/AC444, "NA")</f>
        <v>-3.5659432404154784E-2</v>
      </c>
    </row>
    <row r="181" spans="1:30" ht="16.5" customHeight="1" x14ac:dyDescent="0.45">
      <c r="A181" s="12" t="s">
        <v>166</v>
      </c>
      <c r="B181" s="7">
        <v>2962.82</v>
      </c>
      <c r="C181" s="8">
        <f>IFERROR(B181/B444, "NA")</f>
        <v>5.1595755314755316E-3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-2962.82</v>
      </c>
      <c r="I181" s="8">
        <f>IFERROR(H181/H444, "NA")</f>
        <v>3.0410522864908942E-2</v>
      </c>
      <c r="J181" s="9"/>
      <c r="K181" s="7">
        <v>1531.1799999999998</v>
      </c>
      <c r="L181" s="8">
        <f>IFERROR(K181/K444, "NA")</f>
        <v>2.4811026934397E-3</v>
      </c>
      <c r="M181" s="9"/>
      <c r="N181" s="10">
        <f t="shared" si="45"/>
        <v>-1431.6400000000003</v>
      </c>
      <c r="O181" s="8">
        <f>IFERROR(N181/N444, "NA")</f>
        <v>3.3371771803692024E-2</v>
      </c>
      <c r="P181" s="9"/>
      <c r="Q181" s="7">
        <v>17866.259999999998</v>
      </c>
      <c r="R181" s="8">
        <f>IFERROR(Q181/Q444, "NA")</f>
        <v>3.0117572683913511E-3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-17866.259999999998</v>
      </c>
      <c r="X181" s="8">
        <f>IFERROR(W181/W444, "NA")</f>
        <v>4.6998075174571045E-2</v>
      </c>
      <c r="Y181" s="9"/>
      <c r="Z181" s="7">
        <v>12529.1</v>
      </c>
      <c r="AA181" s="8">
        <f>IFERROR(Z181/Z444, "NA")</f>
        <v>2.2313699089953846E-3</v>
      </c>
      <c r="AB181" s="9"/>
      <c r="AC181" s="10">
        <f t="shared" si="47"/>
        <v>-5337.159999999998</v>
      </c>
      <c r="AD181" s="8">
        <f>IFERROR(AC181/AC444, "NA")</f>
        <v>-1.6826374767714241E-2</v>
      </c>
    </row>
    <row r="182" spans="1:30" ht="16.5" customHeight="1" x14ac:dyDescent="0.45">
      <c r="A182" s="13" t="s">
        <v>167</v>
      </c>
      <c r="B182" s="14">
        <f>IFERROR(B177+B178+B179+B180+B181, "NA")</f>
        <v>138985.04</v>
      </c>
      <c r="C182" s="15">
        <f>IFERROR(B182/B444, "NA")</f>
        <v>0.24203421457434068</v>
      </c>
      <c r="D182" s="2"/>
      <c r="E182" s="14">
        <f>IFERROR(E177+E178+E179+E180+E181, "NA")</f>
        <v>153950.02000000002</v>
      </c>
      <c r="F182" s="15">
        <f>IFERROR(E182/E444, "NA")</f>
        <v>0.22920668353798362</v>
      </c>
      <c r="G182" s="2"/>
      <c r="H182" s="14">
        <f t="shared" si="44"/>
        <v>14964.98000000001</v>
      </c>
      <c r="I182" s="15">
        <f>IFERROR(H182/H444, "NA")</f>
        <v>-0.15360125369172117</v>
      </c>
      <c r="J182" s="2"/>
      <c r="K182" s="14">
        <f>IFERROR(K177+K178+K179+K180+K181, "NA")</f>
        <v>138661.85999999999</v>
      </c>
      <c r="L182" s="15">
        <f>IFERROR(K182/K444, "NA")</f>
        <v>0.22468574192672225</v>
      </c>
      <c r="M182" s="2"/>
      <c r="N182" s="14">
        <f t="shared" si="45"/>
        <v>-323.18000000002212</v>
      </c>
      <c r="O182" s="15">
        <f>IFERROR(N182/N444, "NA")</f>
        <v>7.5333807462196678E-3</v>
      </c>
      <c r="P182" s="2"/>
      <c r="Q182" s="14">
        <f>IFERROR(Q177+Q178+Q179+Q180+Q181, "NA")</f>
        <v>1471014.6500000001</v>
      </c>
      <c r="R182" s="15">
        <f>IFERROR(Q182/Q444, "NA")</f>
        <v>0.24797238280690309</v>
      </c>
      <c r="S182" s="2"/>
      <c r="T182" s="14">
        <f>IFERROR(T177+T178+T179+T180+T181, "NA")</f>
        <v>1517452.43</v>
      </c>
      <c r="U182" s="15">
        <f>IFERROR(T182/T444, "NA")</f>
        <v>0.24039535669614848</v>
      </c>
      <c r="V182" s="2"/>
      <c r="W182" s="14">
        <f t="shared" si="46"/>
        <v>46437.779999999795</v>
      </c>
      <c r="X182" s="15">
        <f>IFERROR(W182/W444, "NA")</f>
        <v>-0.12215686301331012</v>
      </c>
      <c r="Y182" s="2"/>
      <c r="Z182" s="14">
        <f>IFERROR(Z177+Z178+Z179+Z180+Z181, "NA")</f>
        <v>1395630.8800000001</v>
      </c>
      <c r="AA182" s="15">
        <f>IFERROR(Z182/Z444, "NA")</f>
        <v>0.24855486425176182</v>
      </c>
      <c r="AB182" s="2"/>
      <c r="AC182" s="14">
        <f t="shared" si="47"/>
        <v>-75383.770000000019</v>
      </c>
      <c r="AD182" s="15">
        <f>IFERROR(AC182/AC444, "NA")</f>
        <v>-0.23766114664412807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5.1372502608504119E-3</v>
      </c>
      <c r="D184" s="9"/>
      <c r="E184" s="7">
        <v>2950</v>
      </c>
      <c r="F184" s="8">
        <f>IFERROR(E184/E444, "NA")</f>
        <v>4.3920729366391225E-3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1500</v>
      </c>
      <c r="L184" s="8">
        <f>IFERROR(K184/K444, "NA")</f>
        <v>2.4305790567794448E-3</v>
      </c>
      <c r="M184" s="9"/>
      <c r="N184" s="10">
        <f t="shared" si="45"/>
        <v>-1450</v>
      </c>
      <c r="O184" s="8">
        <f>IFERROR(N184/N444, "NA")</f>
        <v>3.3799746525211248E-2</v>
      </c>
      <c r="P184" s="9"/>
      <c r="Q184" s="7">
        <v>16950</v>
      </c>
      <c r="R184" s="8">
        <f>IFERROR(Q184/Q444, "NA")</f>
        <v>2.8573011754689233E-3</v>
      </c>
      <c r="S184" s="9"/>
      <c r="T184" s="7">
        <v>29500</v>
      </c>
      <c r="U184" s="8">
        <f>IFERROR(T184/T444, "NA")</f>
        <v>4.6734005510382821E-3</v>
      </c>
      <c r="V184" s="9"/>
      <c r="W184" s="10">
        <f t="shared" si="46"/>
        <v>12550</v>
      </c>
      <c r="X184" s="8">
        <f>IFERROR(W184/W444, "NA")</f>
        <v>-3.3013391915312253E-2</v>
      </c>
      <c r="Y184" s="9"/>
      <c r="Z184" s="7">
        <v>14250</v>
      </c>
      <c r="AA184" s="8">
        <f>IFERROR(Z184/Z444, "NA")</f>
        <v>2.5378535731364767E-3</v>
      </c>
      <c r="AB184" s="9"/>
      <c r="AC184" s="10">
        <f t="shared" si="47"/>
        <v>-2700</v>
      </c>
      <c r="AD184" s="8">
        <f>IFERROR(AC184/AC444, "NA")</f>
        <v>-8.5122446905898392E-3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13028.82</v>
      </c>
      <c r="C186" s="8">
        <f>IFERROR(B186/B444, "NA")</f>
        <v>2.2688918285956972E-2</v>
      </c>
      <c r="D186" s="9"/>
      <c r="E186" s="7">
        <v>14131.500000000002</v>
      </c>
      <c r="F186" s="8">
        <f>IFERROR(E186/E444, "NA")</f>
        <v>2.1039518204785005E-2</v>
      </c>
      <c r="G186" s="9"/>
      <c r="H186" s="10">
        <f t="shared" ref="H186:H197" si="48">IFERROR(-(B186-E186), "NA")</f>
        <v>1102.6800000000021</v>
      </c>
      <c r="I186" s="8">
        <f>IFERROR(H186/H444, "NA")</f>
        <v>-1.1317959023051638E-2</v>
      </c>
      <c r="J186" s="9"/>
      <c r="K186" s="7">
        <v>14174.76</v>
      </c>
      <c r="L186" s="8">
        <f>IFERROR(K186/K444, "NA")</f>
        <v>2.2968583193916668E-2</v>
      </c>
      <c r="M186" s="9"/>
      <c r="N186" s="10">
        <f t="shared" ref="N186:N197" si="49">IFERROR(-(B186-K186), "NA")</f>
        <v>1145.9400000000005</v>
      </c>
      <c r="O186" s="8">
        <f>IFERROR(N186/N444, "NA")</f>
        <v>-2.6712056229724546E-2</v>
      </c>
      <c r="P186" s="9"/>
      <c r="Q186" s="7">
        <v>144677.57999999999</v>
      </c>
      <c r="R186" s="8">
        <f>IFERROR(Q186/Q444, "NA")</f>
        <v>2.4388638312566324E-2</v>
      </c>
      <c r="S186" s="9"/>
      <c r="T186" s="7">
        <v>164003.27999999997</v>
      </c>
      <c r="U186" s="8">
        <f>IFERROR(T186/T444, "NA")</f>
        <v>2.5981458275392728E-2</v>
      </c>
      <c r="V186" s="9"/>
      <c r="W186" s="10">
        <f t="shared" ref="W186:W197" si="50">IFERROR(-(Q186-T186), "NA")</f>
        <v>19325.699999999983</v>
      </c>
      <c r="X186" s="8">
        <f>IFERROR(W186/W444, "NA")</f>
        <v>-5.083720383567724E-2</v>
      </c>
      <c r="Y186" s="9"/>
      <c r="Z186" s="7">
        <v>143842.79</v>
      </c>
      <c r="AA186" s="8">
        <f>IFERROR(Z186/Z444, "NA")</f>
        <v>2.5617679899748766E-2</v>
      </c>
      <c r="AB186" s="9"/>
      <c r="AC186" s="10">
        <f t="shared" ref="AC186:AC197" si="51">IFERROR(-(Q186-Z186), "NA")</f>
        <v>-834.78999999997905</v>
      </c>
      <c r="AD186" s="8">
        <f>IFERROR(AC186/AC444, "NA")</f>
        <v>-2.6318284241693755E-3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1.246664913119673E-8</v>
      </c>
      <c r="AB187" s="9"/>
      <c r="AC187" s="10">
        <f t="shared" si="51"/>
        <v>7.0000000000000007E-2</v>
      </c>
      <c r="AD187" s="8">
        <f>IFERROR(AC187/AC444, "NA")</f>
        <v>2.2068782531158845E-7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13028.82</v>
      </c>
      <c r="C193" s="15">
        <f>IFERROR(B193/B444, "NA")</f>
        <v>2.2688918285956972E-2</v>
      </c>
      <c r="D193" s="2"/>
      <c r="E193" s="14">
        <f>IFERROR(E186+E187+E188+E189+E190+E191+E192, "NA")</f>
        <v>14131.500000000002</v>
      </c>
      <c r="F193" s="15">
        <f>IFERROR(E193/E444, "NA")</f>
        <v>2.1039518204785005E-2</v>
      </c>
      <c r="G193" s="2"/>
      <c r="H193" s="14">
        <f t="shared" si="48"/>
        <v>1102.6800000000021</v>
      </c>
      <c r="I193" s="15">
        <f>IFERROR(H193/H444, "NA")</f>
        <v>-1.1317959023051638E-2</v>
      </c>
      <c r="J193" s="2"/>
      <c r="K193" s="14">
        <f>IFERROR(K186+K187+K188+K189+K190+K191+K192, "NA")</f>
        <v>14174.76</v>
      </c>
      <c r="L193" s="15">
        <f>IFERROR(K193/K444, "NA")</f>
        <v>2.2968583193916668E-2</v>
      </c>
      <c r="M193" s="2"/>
      <c r="N193" s="14">
        <f t="shared" si="49"/>
        <v>1145.9400000000005</v>
      </c>
      <c r="O193" s="15">
        <f>IFERROR(N193/N444, "NA")</f>
        <v>-2.6712056229724546E-2</v>
      </c>
      <c r="P193" s="2"/>
      <c r="Q193" s="14">
        <f>IFERROR(Q186+Q187+Q188+Q189+Q190+Q191+Q192, "NA")</f>
        <v>144677.57999999999</v>
      </c>
      <c r="R193" s="15">
        <f>IFERROR(Q193/Q444, "NA")</f>
        <v>2.4388638312566324E-2</v>
      </c>
      <c r="S193" s="2"/>
      <c r="T193" s="14">
        <f>IFERROR(T186+T187+T188+T189+T190+T191+T192, "NA")</f>
        <v>164003.27999999997</v>
      </c>
      <c r="U193" s="15">
        <f>IFERROR(T193/T444, "NA")</f>
        <v>2.5981458275392728E-2</v>
      </c>
      <c r="V193" s="2"/>
      <c r="W193" s="14">
        <f t="shared" si="50"/>
        <v>19325.699999999983</v>
      </c>
      <c r="X193" s="15">
        <f>IFERROR(W193/W444, "NA")</f>
        <v>-5.083720383567724E-2</v>
      </c>
      <c r="Y193" s="2"/>
      <c r="Z193" s="14">
        <f>IFERROR(Z186+Z187+Z188+Z189+Z190+Z191+Z192, "NA")</f>
        <v>143842.86000000002</v>
      </c>
      <c r="AA193" s="15">
        <f>IFERROR(Z193/Z444, "NA")</f>
        <v>2.5617692366397899E-2</v>
      </c>
      <c r="AB193" s="2"/>
      <c r="AC193" s="14">
        <f t="shared" si="51"/>
        <v>-834.71999999997206</v>
      </c>
      <c r="AD193" s="15">
        <f>IFERROR(AC193/AC444, "NA")</f>
        <v>-2.6316077363440419E-3</v>
      </c>
    </row>
    <row r="194" spans="1:30" ht="16.5" customHeight="1" x14ac:dyDescent="0.45">
      <c r="A194" s="6" t="s">
        <v>178</v>
      </c>
      <c r="B194" s="7">
        <v>1359.52</v>
      </c>
      <c r="C194" s="8">
        <f>IFERROR(B194/B444, "NA")</f>
        <v>2.3675235507224922E-3</v>
      </c>
      <c r="D194" s="9"/>
      <c r="E194" s="7">
        <v>1255.1999999999998</v>
      </c>
      <c r="F194" s="8">
        <f>IFERROR(E194/E444, "NA")</f>
        <v>1.8687898135828561E-3</v>
      </c>
      <c r="G194" s="9"/>
      <c r="H194" s="10">
        <f t="shared" si="48"/>
        <v>-104.32000000000016</v>
      </c>
      <c r="I194" s="8">
        <f>IFERROR(H194/H444, "NA")</f>
        <v>1.0707453524909734E-3</v>
      </c>
      <c r="J194" s="9"/>
      <c r="K194" s="7">
        <v>1223.92</v>
      </c>
      <c r="L194" s="8">
        <f>IFERROR(K194/K444, "NA")</f>
        <v>1.9832228794489986E-3</v>
      </c>
      <c r="M194" s="9"/>
      <c r="N194" s="10">
        <f t="shared" si="49"/>
        <v>-135.59999999999991</v>
      </c>
      <c r="O194" s="8">
        <f>IFERROR(N194/N444, "NA")</f>
        <v>3.160859054357684E-3</v>
      </c>
      <c r="P194" s="9"/>
      <c r="Q194" s="7">
        <v>12925.279999999999</v>
      </c>
      <c r="R194" s="8">
        <f>IFERROR(Q194/Q444, "NA")</f>
        <v>2.1788447042634198E-3</v>
      </c>
      <c r="S194" s="9"/>
      <c r="T194" s="7">
        <v>12375.65</v>
      </c>
      <c r="U194" s="8">
        <f>IFERROR(T194/T444, "NA")</f>
        <v>1.9605548993036244E-3</v>
      </c>
      <c r="V194" s="9"/>
      <c r="W194" s="10">
        <f t="shared" si="50"/>
        <v>-549.6299999999992</v>
      </c>
      <c r="X194" s="8">
        <f>IFERROR(W194/W444, "NA")</f>
        <v>1.4458287329412785E-3</v>
      </c>
      <c r="Y194" s="9"/>
      <c r="Z194" s="7">
        <v>11462.55</v>
      </c>
      <c r="AA194" s="8">
        <f>IFERROR(Z194/Z444, "NA")</f>
        <v>2.0414226999828436E-3</v>
      </c>
      <c r="AB194" s="9"/>
      <c r="AC194" s="10">
        <f t="shared" si="51"/>
        <v>-1462.7299999999996</v>
      </c>
      <c r="AD194" s="8">
        <f>IFERROR(AC194/AC444, "NA")</f>
        <v>-4.6115243245431377E-3</v>
      </c>
    </row>
    <row r="195" spans="1:30" ht="16.5" customHeight="1" x14ac:dyDescent="0.45">
      <c r="A195" s="6" t="s">
        <v>179</v>
      </c>
      <c r="B195" s="7">
        <v>1342.6</v>
      </c>
      <c r="C195" s="8">
        <f>IFERROR(B195/B444, "NA")</f>
        <v>2.3380583729551738E-3</v>
      </c>
      <c r="D195" s="9"/>
      <c r="E195" s="7">
        <v>575.17999999999995</v>
      </c>
      <c r="F195" s="8">
        <f>IFERROR(E195/E444, "NA")</f>
        <v>8.5635000396477629E-4</v>
      </c>
      <c r="G195" s="9"/>
      <c r="H195" s="10">
        <f t="shared" si="48"/>
        <v>-767.42</v>
      </c>
      <c r="I195" s="8">
        <f>IFERROR(H195/H444, "NA")</f>
        <v>7.8768347240090238E-3</v>
      </c>
      <c r="J195" s="9"/>
      <c r="K195" s="7">
        <v>1059.1600000000001</v>
      </c>
      <c r="L195" s="8">
        <f>IFERROR(K195/K444, "NA")</f>
        <v>1.7162480758523447E-3</v>
      </c>
      <c r="M195" s="9"/>
      <c r="N195" s="10">
        <f t="shared" si="49"/>
        <v>-283.43999999999983</v>
      </c>
      <c r="O195" s="8">
        <f>IFERROR(N195/N444, "NA")</f>
        <v>6.6070345897281859E-3</v>
      </c>
      <c r="P195" s="9"/>
      <c r="Q195" s="7">
        <v>12966.65</v>
      </c>
      <c r="R195" s="8">
        <f>IFERROR(Q195/Q444, "NA")</f>
        <v>2.185818541999653E-3</v>
      </c>
      <c r="S195" s="9"/>
      <c r="T195" s="7">
        <v>5986.2199999999993</v>
      </c>
      <c r="U195" s="8">
        <f>IFERROR(T195/T444, "NA")</f>
        <v>9.4833911344530109E-4</v>
      </c>
      <c r="V195" s="9"/>
      <c r="W195" s="10">
        <f t="shared" si="50"/>
        <v>-6980.43</v>
      </c>
      <c r="X195" s="8">
        <f>IFERROR(W195/W444, "NA")</f>
        <v>1.8362364249195465E-2</v>
      </c>
      <c r="Y195" s="9"/>
      <c r="Z195" s="7">
        <v>11089.759999999998</v>
      </c>
      <c r="AA195" s="8">
        <f>IFERROR(Z195/Z444, "NA")</f>
        <v>1.9750306695597171E-3</v>
      </c>
      <c r="AB195" s="9"/>
      <c r="AC195" s="10">
        <f t="shared" si="51"/>
        <v>-1876.8900000000012</v>
      </c>
      <c r="AD195" s="8">
        <f>IFERROR(AC195/AC444, "NA")</f>
        <v>-5.91723960641525E-3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157665.98000000001</v>
      </c>
      <c r="C196" s="15">
        <f>IFERROR(B196/B444, "NA")</f>
        <v>0.27456596504482572</v>
      </c>
      <c r="D196" s="2"/>
      <c r="E196" s="14">
        <f>IFERROR(E175+E177+E178+E179+E180+E181+E183+E184+E186+E187+E188+E189+E190+E191+E192+E194+E195, "NA")</f>
        <v>172861.90000000002</v>
      </c>
      <c r="F196" s="15">
        <f>IFERROR(E196/E444, "NA")</f>
        <v>0.25736341449695538</v>
      </c>
      <c r="G196" s="2"/>
      <c r="H196" s="14">
        <f t="shared" si="48"/>
        <v>15195.920000000013</v>
      </c>
      <c r="I196" s="15">
        <f>IFERROR(H196/H444, "NA")</f>
        <v>-0.15597163263827282</v>
      </c>
      <c r="J196" s="2"/>
      <c r="K196" s="14">
        <f>IFERROR(K175+K177+K178+K179+K180+K181+K183+K184+K186+K187+K188+K189+K190+K191+K192+K194+K195, "NA")</f>
        <v>156619.70000000001</v>
      </c>
      <c r="L196" s="15">
        <f>IFERROR(K196/K444, "NA")</f>
        <v>0.25378437513271973</v>
      </c>
      <c r="M196" s="2"/>
      <c r="N196" s="14">
        <f t="shared" si="49"/>
        <v>-1046.2799999999988</v>
      </c>
      <c r="O196" s="15">
        <f>IFERROR(N196/N444, "NA")</f>
        <v>2.4388964685791711E-2</v>
      </c>
      <c r="P196" s="2"/>
      <c r="Q196" s="14">
        <f>IFERROR(Q175+Q177+Q178+Q179+Q180+Q181+Q183+Q184+Q186+Q187+Q188+Q189+Q190+Q191+Q192+Q194+Q195, "NA")</f>
        <v>1658534.1600000001</v>
      </c>
      <c r="R196" s="15">
        <f>IFERROR(Q196/Q444, "NA")</f>
        <v>0.27958298554120142</v>
      </c>
      <c r="S196" s="2"/>
      <c r="T196" s="14">
        <f>IFERROR(T175+T177+T178+T179+T180+T181+T183+T184+T186+T187+T188+T189+T190+T191+T192+T194+T195, "NA")</f>
        <v>1729317.5799999998</v>
      </c>
      <c r="U196" s="15">
        <f>IFERROR(T196/T444, "NA")</f>
        <v>0.27395910953532843</v>
      </c>
      <c r="V196" s="2"/>
      <c r="W196" s="14">
        <f t="shared" si="50"/>
        <v>70783.419999999693</v>
      </c>
      <c r="X196" s="15">
        <f>IFERROR(W196/W444, "NA")</f>
        <v>-0.18619926578216264</v>
      </c>
      <c r="Y196" s="2"/>
      <c r="Z196" s="14">
        <f>IFERROR(Z175+Z177+Z178+Z179+Z180+Z181+Z183+Z184+Z186+Z187+Z188+Z189+Z190+Z191+Z192+Z194+Z195, "NA")</f>
        <v>1576276.0500000003</v>
      </c>
      <c r="AA196" s="15">
        <f>IFERROR(Z196/Z444, "NA")</f>
        <v>0.28072686356083876</v>
      </c>
      <c r="AB196" s="2"/>
      <c r="AC196" s="14">
        <f t="shared" si="51"/>
        <v>-82258.10999999987</v>
      </c>
      <c r="AD196" s="15">
        <f>IFERROR(AC196/AC444, "NA")</f>
        <v>-0.25933376300201993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157665.98000000001</v>
      </c>
      <c r="C197" s="15">
        <f>IFERROR(B197/B444, "NA")</f>
        <v>0.27456596504482572</v>
      </c>
      <c r="D197" s="2"/>
      <c r="E197" s="14">
        <f>IFERROR(E175+E177+E178+E179+E180+E181+E183+E184+E186+E187+E188+E189+E190+E191+E192+E194+E195, "NA")</f>
        <v>172861.90000000002</v>
      </c>
      <c r="F197" s="15">
        <f>IFERROR(E197/E444, "NA")</f>
        <v>0.25736341449695538</v>
      </c>
      <c r="G197" s="2"/>
      <c r="H197" s="14">
        <f t="shared" si="48"/>
        <v>15195.920000000013</v>
      </c>
      <c r="I197" s="15">
        <f>IFERROR(H197/H444, "NA")</f>
        <v>-0.15597163263827282</v>
      </c>
      <c r="J197" s="2"/>
      <c r="K197" s="14">
        <f>IFERROR(K175+K177+K178+K179+K180+K181+K183+K184+K186+K187+K188+K189+K190+K191+K192+K194+K195, "NA")</f>
        <v>156619.70000000001</v>
      </c>
      <c r="L197" s="15">
        <f>IFERROR(K197/K444, "NA")</f>
        <v>0.25378437513271973</v>
      </c>
      <c r="M197" s="2"/>
      <c r="N197" s="14">
        <f t="shared" si="49"/>
        <v>-1046.2799999999988</v>
      </c>
      <c r="O197" s="15">
        <f>IFERROR(N197/N444, "NA")</f>
        <v>2.4388964685791711E-2</v>
      </c>
      <c r="P197" s="2"/>
      <c r="Q197" s="14">
        <f>IFERROR(Q175+Q177+Q178+Q179+Q180+Q181+Q183+Q184+Q186+Q187+Q188+Q189+Q190+Q191+Q192+Q194+Q195, "NA")</f>
        <v>1658534.1600000001</v>
      </c>
      <c r="R197" s="15">
        <f>IFERROR(Q197/Q444, "NA")</f>
        <v>0.27958298554120142</v>
      </c>
      <c r="S197" s="2"/>
      <c r="T197" s="14">
        <f>IFERROR(T175+T177+T178+T179+T180+T181+T183+T184+T186+T187+T188+T189+T190+T191+T192+T194+T195, "NA")</f>
        <v>1729317.5799999998</v>
      </c>
      <c r="U197" s="15">
        <f>IFERROR(T197/T444, "NA")</f>
        <v>0.27395910953532843</v>
      </c>
      <c r="V197" s="2"/>
      <c r="W197" s="14">
        <f t="shared" si="50"/>
        <v>70783.419999999693</v>
      </c>
      <c r="X197" s="15">
        <f>IFERROR(W197/W444, "NA")</f>
        <v>-0.18619926578216264</v>
      </c>
      <c r="Y197" s="2"/>
      <c r="Z197" s="14">
        <f>IFERROR(Z175+Z177+Z178+Z179+Z180+Z181+Z183+Z184+Z186+Z187+Z188+Z189+Z190+Z191+Z192+Z194+Z195, "NA")</f>
        <v>1576276.0500000003</v>
      </c>
      <c r="AA197" s="15">
        <f>IFERROR(Z197/Z444, "NA")</f>
        <v>0.28072686356083876</v>
      </c>
      <c r="AB197" s="2"/>
      <c r="AC197" s="14">
        <f t="shared" si="51"/>
        <v>-82258.10999999987</v>
      </c>
      <c r="AD197" s="15">
        <f>IFERROR(AC197/AC444, "NA")</f>
        <v>-0.25933376300201993</v>
      </c>
    </row>
    <row r="198" spans="1:30" ht="16.5" customHeight="1" x14ac:dyDescent="0.45">
      <c r="A198" s="22" t="s">
        <v>181</v>
      </c>
      <c r="B198" s="23">
        <f>IFERROR(B172-B197, "NA")</f>
        <v>251201.63999999987</v>
      </c>
      <c r="C198" s="24">
        <f>IFERROR(B198/B444, "NA")</f>
        <v>0.43745277648001718</v>
      </c>
      <c r="D198" s="25"/>
      <c r="E198" s="23">
        <f>IFERROR(E172-E197, "NA")</f>
        <v>339259.37999999995</v>
      </c>
      <c r="F198" s="24">
        <f>IFERROR(E198/E444, "NA")</f>
        <v>0.50510235301659923</v>
      </c>
      <c r="G198" s="25"/>
      <c r="H198" s="23">
        <f>IFERROR(B198-E198, "NA")</f>
        <v>-88057.740000000078</v>
      </c>
      <c r="I198" s="24">
        <f>IFERROR(H198/H444, "NA")</f>
        <v>0.90382875628698633</v>
      </c>
      <c r="J198" s="25"/>
      <c r="K198" s="23">
        <f>IFERROR(K172-K197, "NA")</f>
        <v>299044.73000000021</v>
      </c>
      <c r="L198" s="24">
        <f>IFERROR(K198/K444, "NA")</f>
        <v>0.48456790518550952</v>
      </c>
      <c r="M198" s="25"/>
      <c r="N198" s="23">
        <f>IFERROR(B198-K198, "NA")</f>
        <v>-47843.090000000346</v>
      </c>
      <c r="O198" s="24">
        <f>IFERROR(N198/N444, "NA")</f>
        <v>1.115230562057159</v>
      </c>
      <c r="P198" s="25"/>
      <c r="Q198" s="23">
        <f>IFERROR(Q172-Q197, "NA")</f>
        <v>2588081.4400000013</v>
      </c>
      <c r="R198" s="24">
        <f>IFERROR(Q198/Q444, "NA")</f>
        <v>0.43627894635523939</v>
      </c>
      <c r="S198" s="25"/>
      <c r="T198" s="23">
        <f>IFERROR(T172-T197, "NA")</f>
        <v>3029681.99</v>
      </c>
      <c r="U198" s="24">
        <f>IFERROR(T198/T444, "NA")</f>
        <v>0.47996330445887325</v>
      </c>
      <c r="V198" s="25"/>
      <c r="W198" s="23">
        <f>IFERROR(Q198-T198, "NA")</f>
        <v>-441600.54999999888</v>
      </c>
      <c r="X198" s="24">
        <f>IFERROR(W198/W444, "NA")</f>
        <v>1.1616519543559687</v>
      </c>
      <c r="Y198" s="25"/>
      <c r="Z198" s="23">
        <f>IFERROR(Z172-Z197, "NA")</f>
        <v>2503653.1200000006</v>
      </c>
      <c r="AA198" s="24">
        <f>IFERROR(Z198/Z444, "NA")</f>
        <v>0.44588807133237124</v>
      </c>
      <c r="AB198" s="25"/>
      <c r="AC198" s="23">
        <f>IFERROR(Q198-Z198, "NA")</f>
        <v>84428.320000000764</v>
      </c>
      <c r="AD198" s="24">
        <f>IFERROR(AC198/AC444, "NA")</f>
        <v>0.26617574765015795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12854.889999999998</v>
      </c>
      <c r="F201" s="8">
        <f>IFERROR(E201/E444, "NA")</f>
        <v>1.9138852363550125E-2</v>
      </c>
      <c r="G201" s="9"/>
      <c r="H201" s="10">
        <f t="shared" ref="H201:H209" si="52">IFERROR(-(B201-E201), "NA")</f>
        <v>12854.889999999998</v>
      </c>
      <c r="I201" s="8">
        <f>IFERROR(H201/H444, "NA")</f>
        <v>-0.13194319137540897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122801.66</v>
      </c>
      <c r="U201" s="8">
        <f>IFERROR(T201/T444, "NA")</f>
        <v>1.9454282898725958E-2</v>
      </c>
      <c r="V201" s="9"/>
      <c r="W201" s="10">
        <f t="shared" ref="W201:W209" si="54">IFERROR(-(Q201-T201), "NA")</f>
        <v>122801.66</v>
      </c>
      <c r="X201" s="8">
        <f>IFERROR(W201/W444, "NA")</f>
        <v>-0.32303580314190627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6341.65</v>
      </c>
      <c r="C202" s="8">
        <f>IFERROR(B202/B444, "NA")</f>
        <v>1.1043607836176954E-2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-6341.65</v>
      </c>
      <c r="I202" s="8">
        <f>IFERROR(H202/H444, "NA")</f>
        <v>6.5090991800463668E-2</v>
      </c>
      <c r="J202" s="9"/>
      <c r="K202" s="7">
        <v>4228.58</v>
      </c>
      <c r="L202" s="8">
        <f>IFERROR(K202/K444, "NA")</f>
        <v>6.8519319919442831E-3</v>
      </c>
      <c r="M202" s="9"/>
      <c r="N202" s="10">
        <f t="shared" si="53"/>
        <v>-2113.0699999999997</v>
      </c>
      <c r="O202" s="8">
        <f>IFERROR(N202/N444, "NA")</f>
        <v>4.9256020958640082E-2</v>
      </c>
      <c r="P202" s="9"/>
      <c r="Q202" s="7">
        <v>60345.07</v>
      </c>
      <c r="R202" s="8">
        <f>IFERROR(Q202/Q444, "NA")</f>
        <v>1.0172509701755426E-2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-60345.07</v>
      </c>
      <c r="X202" s="8">
        <f>IFERROR(W202/W444, "NA")</f>
        <v>0.1587406729933826</v>
      </c>
      <c r="Y202" s="9"/>
      <c r="Z202" s="7">
        <v>50166.04</v>
      </c>
      <c r="AA202" s="8">
        <f>IFERROR(Z202/Z444, "NA")</f>
        <v>8.9343202711654329E-3</v>
      </c>
      <c r="AB202" s="9"/>
      <c r="AC202" s="10">
        <f t="shared" si="55"/>
        <v>-10179.029999999999</v>
      </c>
      <c r="AD202" s="8">
        <f>IFERROR(AC202/AC444, "NA")</f>
        <v>-3.2091257064020252E-2</v>
      </c>
    </row>
    <row r="203" spans="1:30" ht="16.5" customHeight="1" x14ac:dyDescent="0.45">
      <c r="A203" s="6" t="s">
        <v>185</v>
      </c>
      <c r="B203" s="7">
        <v>4009.3999999999992</v>
      </c>
      <c r="C203" s="8">
        <f>IFERROR(B203/B444, "NA")</f>
        <v>6.9821326087639449E-3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-4009.3999999999992</v>
      </c>
      <c r="I203" s="8">
        <f>IFERROR(H203/H444, "NA")</f>
        <v>4.1152668867688848E-2</v>
      </c>
      <c r="J203" s="9"/>
      <c r="K203" s="7">
        <v>5048.7199999999993</v>
      </c>
      <c r="L203" s="8">
        <f>IFERROR(K203/K444, "NA")</f>
        <v>8.180875397029011E-3</v>
      </c>
      <c r="M203" s="9"/>
      <c r="N203" s="10">
        <f t="shared" si="53"/>
        <v>1039.3200000000002</v>
      </c>
      <c r="O203" s="8">
        <f>IFERROR(N203/N444, "NA")</f>
        <v>-2.4226725902470728E-2</v>
      </c>
      <c r="P203" s="9"/>
      <c r="Q203" s="7">
        <v>48682.389999999992</v>
      </c>
      <c r="R203" s="8">
        <f>IFERROR(Q203/Q444, "NA")</f>
        <v>8.20650443490481E-3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-48682.389999999992</v>
      </c>
      <c r="X203" s="8">
        <f>IFERROR(W203/W444, "NA")</f>
        <v>0.12806141995570339</v>
      </c>
      <c r="Y203" s="9"/>
      <c r="Z203" s="7">
        <v>36873.929999999993</v>
      </c>
      <c r="AA203" s="8">
        <f>IFERROR(Z203/Z444, "NA")</f>
        <v>6.567062105690127E-3</v>
      </c>
      <c r="AB203" s="9"/>
      <c r="AC203" s="10">
        <f t="shared" si="55"/>
        <v>-11808.46</v>
      </c>
      <c r="AD203" s="8">
        <f>IFERROR(AC203/AC444, "NA")</f>
        <v>-3.7228333681126845E-2</v>
      </c>
    </row>
    <row r="204" spans="1:30" ht="16.5" customHeight="1" x14ac:dyDescent="0.45">
      <c r="A204" s="6" t="s">
        <v>186</v>
      </c>
      <c r="B204" s="7">
        <v>1303.27</v>
      </c>
      <c r="C204" s="8">
        <f>IFERROR(B204/B444, "NA")</f>
        <v>2.2695675076130563E-3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-1303.27</v>
      </c>
      <c r="I204" s="8">
        <f>IFERROR(H204/H444, "NA")</f>
        <v>1.3376824152040919E-2</v>
      </c>
      <c r="J204" s="9"/>
      <c r="K204" s="7">
        <v>165.51</v>
      </c>
      <c r="L204" s="8">
        <f>IFERROR(K204/K444, "NA")</f>
        <v>2.6819009312504394E-4</v>
      </c>
      <c r="M204" s="9"/>
      <c r="N204" s="10">
        <f t="shared" si="53"/>
        <v>-1137.76</v>
      </c>
      <c r="O204" s="8">
        <f>IFERROR(N204/N444, "NA")</f>
        <v>2.6521379038982308E-2</v>
      </c>
      <c r="P204" s="9"/>
      <c r="Q204" s="7">
        <v>12293.92</v>
      </c>
      <c r="R204" s="8">
        <f>IFERROR(Q204/Q444, "NA")</f>
        <v>2.0724148712165727E-3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-12293.92</v>
      </c>
      <c r="X204" s="8">
        <f>IFERROR(W204/W444, "NA")</f>
        <v>3.2339760887290486E-2</v>
      </c>
      <c r="Y204" s="9"/>
      <c r="Z204" s="7">
        <v>7281.49</v>
      </c>
      <c r="AA204" s="8">
        <f>IFERROR(Z204/Z444, "NA")</f>
        <v>1.2967968711759667E-3</v>
      </c>
      <c r="AB204" s="9"/>
      <c r="AC204" s="10">
        <f t="shared" si="55"/>
        <v>-5012.43</v>
      </c>
      <c r="AD204" s="8">
        <f>IFERROR(AC204/AC444, "NA")</f>
        <v>-1.5802603946093789E-2</v>
      </c>
    </row>
    <row r="205" spans="1:30" ht="16.5" customHeight="1" x14ac:dyDescent="0.45">
      <c r="A205" s="6" t="s">
        <v>187</v>
      </c>
      <c r="B205" s="7">
        <v>1915.1299999999999</v>
      </c>
      <c r="C205" s="8">
        <f>IFERROR(B205/B444, "NA")</f>
        <v>3.3350854549364234E-3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-1915.1299999999999</v>
      </c>
      <c r="I205" s="8">
        <f>IFERROR(H205/H444, "NA")</f>
        <v>1.9656983770284072E-2</v>
      </c>
      <c r="J205" s="9"/>
      <c r="K205" s="7">
        <v>1926.59</v>
      </c>
      <c r="L205" s="8">
        <f>IFERROR(K205/K444, "NA")</f>
        <v>3.1218195366671401E-3</v>
      </c>
      <c r="M205" s="9"/>
      <c r="N205" s="10">
        <f t="shared" si="53"/>
        <v>11.460000000000036</v>
      </c>
      <c r="O205" s="8">
        <f>IFERROR(N205/N444, "NA")</f>
        <v>-2.6713454839925665E-4</v>
      </c>
      <c r="P205" s="9"/>
      <c r="Q205" s="7">
        <v>21318.080000000002</v>
      </c>
      <c r="R205" s="8">
        <f>IFERROR(Q205/Q444, "NA")</f>
        <v>3.5936386455894132E-3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-21318.080000000002</v>
      </c>
      <c r="X205" s="8">
        <f>IFERROR(W205/W444, "NA")</f>
        <v>5.6078257364301179E-2</v>
      </c>
      <c r="Y205" s="9"/>
      <c r="Z205" s="7">
        <v>19874.2</v>
      </c>
      <c r="AA205" s="8">
        <f>IFERROR(Z205/Z444, "NA")</f>
        <v>3.5394954023318576E-3</v>
      </c>
      <c r="AB205" s="9"/>
      <c r="AC205" s="10">
        <f t="shared" si="55"/>
        <v>-1443.880000000001</v>
      </c>
      <c r="AD205" s="8">
        <f>IFERROR(AC205/AC444, "NA")</f>
        <v>-4.5520962458699505E-3</v>
      </c>
    </row>
    <row r="206" spans="1:30" ht="16.5" customHeight="1" x14ac:dyDescent="0.45">
      <c r="A206" s="6" t="s">
        <v>188</v>
      </c>
      <c r="B206" s="7">
        <v>200.42000000000002</v>
      </c>
      <c r="C206" s="8">
        <f>IFERROR(B206/B444, "NA")</f>
        <v>3.4901955839987788E-4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-200.42000000000002</v>
      </c>
      <c r="I206" s="8">
        <f>IFERROR(H206/H444, "NA")</f>
        <v>2.0571202410490852E-3</v>
      </c>
      <c r="J206" s="9"/>
      <c r="K206" s="7">
        <v>60.129999999999995</v>
      </c>
      <c r="L206" s="8">
        <f>IFERROR(K206/K444, "NA")</f>
        <v>9.7433812456098668E-5</v>
      </c>
      <c r="M206" s="9"/>
      <c r="N206" s="10">
        <f t="shared" si="53"/>
        <v>-140.29000000000002</v>
      </c>
      <c r="O206" s="8">
        <f>IFERROR(N206/N444, "NA")</f>
        <v>3.2701837517392319E-3</v>
      </c>
      <c r="P206" s="9"/>
      <c r="Q206" s="7">
        <v>4707.8</v>
      </c>
      <c r="R206" s="8">
        <f>IFERROR(Q206/Q444, "NA")</f>
        <v>7.936048657151975E-4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-4707.8</v>
      </c>
      <c r="X206" s="8">
        <f>IFERROR(W206/W444, "NA")</f>
        <v>1.2384099319434821E-2</v>
      </c>
      <c r="Y206" s="9"/>
      <c r="Z206" s="7">
        <v>2826.3900000000003</v>
      </c>
      <c r="AA206" s="8">
        <f>IFERROR(Z206/Z444, "NA")</f>
        <v>5.0336589197033036E-4</v>
      </c>
      <c r="AB206" s="9"/>
      <c r="AC206" s="10">
        <f t="shared" si="55"/>
        <v>-1881.4099999999999</v>
      </c>
      <c r="AD206" s="8">
        <f>IFERROR(AC206/AC444, "NA")</f>
        <v>-5.9314897345639364E-3</v>
      </c>
    </row>
    <row r="207" spans="1:30" ht="16.5" customHeight="1" x14ac:dyDescent="0.45">
      <c r="A207" s="6" t="s">
        <v>189</v>
      </c>
      <c r="B207" s="7">
        <v>299.7</v>
      </c>
      <c r="C207" s="8">
        <f>IFERROR(B207/B444, "NA")</f>
        <v>5.2190979768707403E-4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-299.7</v>
      </c>
      <c r="I207" s="8">
        <f>IFERROR(H207/H444, "NA")</f>
        <v>3.0761347981359682E-3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-299.7</v>
      </c>
      <c r="O207" s="8">
        <f>IFERROR(N207/N444, "NA")</f>
        <v>6.9860579542109034E-3</v>
      </c>
      <c r="P207" s="9"/>
      <c r="Q207" s="7">
        <v>4538.0599999999995</v>
      </c>
      <c r="R207" s="8">
        <f>IFERROR(Q207/Q444, "NA")</f>
        <v>7.6499139659873163E-4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-4538.0599999999995</v>
      </c>
      <c r="X207" s="8">
        <f>IFERROR(W207/W444, "NA")</f>
        <v>1.1937589905593776E-2</v>
      </c>
      <c r="Y207" s="9"/>
      <c r="Z207" s="7">
        <v>2861.06</v>
      </c>
      <c r="AA207" s="8">
        <f>IFERROR(Z207/Z444, "NA")</f>
        <v>5.0954044519002444E-4</v>
      </c>
      <c r="AB207" s="9"/>
      <c r="AC207" s="10">
        <f t="shared" si="55"/>
        <v>-1676.9999999999995</v>
      </c>
      <c r="AD207" s="8">
        <f>IFERROR(AC207/AC444, "NA")</f>
        <v>-5.2870497578219097E-3</v>
      </c>
    </row>
    <row r="208" spans="1:30" ht="16.5" customHeight="1" x14ac:dyDescent="0.45">
      <c r="A208" s="6" t="s">
        <v>190</v>
      </c>
      <c r="B208" s="7">
        <v>1694.0699999999997</v>
      </c>
      <c r="C208" s="8">
        <f>IFERROR(B208/B444, "NA")</f>
        <v>2.9501225591182564E-3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-1694.0699999999997</v>
      </c>
      <c r="I208" s="8">
        <f>IFERROR(H208/H444, "NA")</f>
        <v>1.7388013605199194E-2</v>
      </c>
      <c r="J208" s="9"/>
      <c r="K208" s="7">
        <v>948.32999999999993</v>
      </c>
      <c r="L208" s="8">
        <f>IFERROR(K208/K444, "NA")</f>
        <v>1.5366606912771005E-3</v>
      </c>
      <c r="M208" s="9"/>
      <c r="N208" s="10">
        <f t="shared" si="53"/>
        <v>-745.73999999999978</v>
      </c>
      <c r="O208" s="8">
        <f>IFERROR(N208/N444, "NA")</f>
        <v>1.7383326188766226E-2</v>
      </c>
      <c r="P208" s="9"/>
      <c r="Q208" s="7">
        <v>8596.25</v>
      </c>
      <c r="R208" s="8">
        <f>IFERROR(Q208/Q444, "NA")</f>
        <v>1.4490899840486568E-3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-8596.25</v>
      </c>
      <c r="X208" s="8">
        <f>IFERROR(W208/W444, "NA")</f>
        <v>2.261285818741059E-2</v>
      </c>
      <c r="Y208" s="9"/>
      <c r="Z208" s="7">
        <v>7751.88</v>
      </c>
      <c r="AA208" s="8">
        <f>IFERROR(Z208/Z444, "NA")</f>
        <v>1.3805709723877329E-3</v>
      </c>
      <c r="AB208" s="9"/>
      <c r="AC208" s="10">
        <f t="shared" si="55"/>
        <v>-844.36999999999989</v>
      </c>
      <c r="AD208" s="8">
        <f>IFERROR(AC208/AC444, "NA")</f>
        <v>-2.6620311294049412E-3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15763.64</v>
      </c>
      <c r="C209" s="15">
        <f>IFERROR(B209/B444, "NA")</f>
        <v>2.745144532269559E-2</v>
      </c>
      <c r="D209" s="2"/>
      <c r="E209" s="14">
        <f>IFERROR(E201+E202+E203+E204+E205+E206+E207+E208, "NA")</f>
        <v>12854.889999999998</v>
      </c>
      <c r="F209" s="15">
        <f>IFERROR(E209/E444, "NA")</f>
        <v>1.9138852363550125E-2</v>
      </c>
      <c r="G209" s="2"/>
      <c r="H209" s="14">
        <f t="shared" si="52"/>
        <v>-2908.7500000000018</v>
      </c>
      <c r="I209" s="15">
        <f>IFERROR(H209/H444, "NA")</f>
        <v>2.9855545859452798E-2</v>
      </c>
      <c r="J209" s="2"/>
      <c r="K209" s="14">
        <f>IFERROR(K201+K202+K203+K204+K205+K206+K207+K208, "NA")</f>
        <v>12377.859999999999</v>
      </c>
      <c r="L209" s="15">
        <f>IFERROR(K209/K444, "NA")</f>
        <v>2.0056911522498676E-2</v>
      </c>
      <c r="M209" s="2"/>
      <c r="N209" s="14">
        <f t="shared" si="53"/>
        <v>-3385.7800000000007</v>
      </c>
      <c r="O209" s="15">
        <f>IFERROR(N209/N444, "NA")</f>
        <v>7.8923107441468798E-2</v>
      </c>
      <c r="P209" s="2"/>
      <c r="Q209" s="14">
        <f>IFERROR(Q201+Q202+Q203+Q204+Q205+Q206+Q207+Q208, "NA")</f>
        <v>160481.56999999998</v>
      </c>
      <c r="R209" s="15">
        <f>IFERROR(Q209/Q444, "NA")</f>
        <v>2.7052753899828804E-2</v>
      </c>
      <c r="S209" s="2"/>
      <c r="T209" s="14">
        <f>IFERROR(T201+T202+T203+T204+T205+T206+T207+T208, "NA")</f>
        <v>122801.66</v>
      </c>
      <c r="U209" s="15">
        <f>IFERROR(T209/T444, "NA")</f>
        <v>1.9454282898725958E-2</v>
      </c>
      <c r="V209" s="2"/>
      <c r="W209" s="14">
        <f t="shared" si="54"/>
        <v>-37679.909999999974</v>
      </c>
      <c r="X209" s="15">
        <f>IFERROR(W209/W444, "NA")</f>
        <v>9.9118855471210549E-2</v>
      </c>
      <c r="Y209" s="2"/>
      <c r="Z209" s="14">
        <f>IFERROR(Z201+Z202+Z203+Z204+Z205+Z206+Z207+Z208, "NA")</f>
        <v>127634.99</v>
      </c>
      <c r="AA209" s="15">
        <f>IFERROR(Z209/Z444, "NA")</f>
        <v>2.2731151959911475E-2</v>
      </c>
      <c r="AB209" s="2"/>
      <c r="AC209" s="14">
        <f t="shared" si="55"/>
        <v>-32846.579999999973</v>
      </c>
      <c r="AD209" s="15">
        <f>IFERROR(AC209/AC444, "NA")</f>
        <v>-0.10355486155890155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23602.23</v>
      </c>
      <c r="F213" s="8">
        <f>IFERROR(E213/E444, "NA")</f>
        <v>3.5139903602485416E-2</v>
      </c>
      <c r="G213" s="9"/>
      <c r="H213" s="10">
        <f t="shared" ref="H213:H227" si="56">IFERROR(-(B213-E213), "NA")</f>
        <v>23602.23</v>
      </c>
      <c r="I213" s="8">
        <f>IFERROR(H213/H444, "NA")</f>
        <v>-0.24225439111314212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219910.19</v>
      </c>
      <c r="U213" s="8">
        <f>IFERROR(T213/T444, "NA")</f>
        <v>3.4838250953387571E-2</v>
      </c>
      <c r="V213" s="9"/>
      <c r="W213" s="10">
        <f t="shared" ref="W213:W227" si="58">IFERROR(-(Q213-T213), "NA")</f>
        <v>219910.19</v>
      </c>
      <c r="X213" s="8">
        <f>IFERROR(W213/W444, "NA")</f>
        <v>-0.57848456483193467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8218.43</v>
      </c>
      <c r="C214" s="8">
        <f>IFERROR(B214/B444, "NA")</f>
        <v>1.4311909037722323E-2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-8218.43</v>
      </c>
      <c r="I214" s="8">
        <f>IFERROR(H214/H444, "NA")</f>
        <v>8.4354349379528154E-2</v>
      </c>
      <c r="J214" s="9"/>
      <c r="K214" s="7">
        <v>25004.94</v>
      </c>
      <c r="L214" s="8">
        <f>IFERROR(K214/K444, "NA")</f>
        <v>4.0517655653351074E-2</v>
      </c>
      <c r="M214" s="9"/>
      <c r="N214" s="10">
        <f t="shared" si="57"/>
        <v>16786.509999999998</v>
      </c>
      <c r="O214" s="8">
        <f>IFERROR(N214/N444, "NA")</f>
        <v>-0.39129640209856814</v>
      </c>
      <c r="P214" s="9"/>
      <c r="Q214" s="7">
        <v>107437.06999999999</v>
      </c>
      <c r="R214" s="8">
        <f>IFERROR(Q214/Q444, "NA")</f>
        <v>1.8110918371677699E-2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-107437.06999999999</v>
      </c>
      <c r="X214" s="8">
        <f>IFERROR(W214/W444, "NA")</f>
        <v>0.28261849387592319</v>
      </c>
      <c r="Y214" s="9"/>
      <c r="Z214" s="7">
        <v>67999.990000000005</v>
      </c>
      <c r="AA214" s="8">
        <f>IFERROR(Z214/Z444, "NA")</f>
        <v>1.2110457375069805E-2</v>
      </c>
      <c r="AB214" s="9"/>
      <c r="AC214" s="10">
        <f t="shared" si="59"/>
        <v>-39437.079999999987</v>
      </c>
      <c r="AD214" s="8">
        <f>IFERROR(AC214/AC444, "NA")</f>
        <v>-0.12433262031198765</v>
      </c>
    </row>
    <row r="215" spans="1:30" ht="16.5" customHeight="1" x14ac:dyDescent="0.45">
      <c r="A215" s="12" t="s">
        <v>195</v>
      </c>
      <c r="B215" s="7">
        <v>2903.3</v>
      </c>
      <c r="C215" s="8">
        <f>IFERROR(B215/B444, "NA")</f>
        <v>5.0559249770600004E-3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-2903.3</v>
      </c>
      <c r="I215" s="8">
        <f>IFERROR(H215/H444, "NA")</f>
        <v>2.9799606804898755E-2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-2903.3</v>
      </c>
      <c r="O215" s="8">
        <f>IFERROR(N215/N444, "NA")</f>
        <v>6.767641661147987E-2</v>
      </c>
      <c r="P215" s="9"/>
      <c r="Q215" s="7">
        <v>8430.59</v>
      </c>
      <c r="R215" s="8">
        <f>IFERROR(Q215/Q444, "NA")</f>
        <v>1.4211642900823925E-3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-8430.59</v>
      </c>
      <c r="X215" s="8">
        <f>IFERROR(W215/W444, "NA")</f>
        <v>2.2177081414128469E-2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-8430.59</v>
      </c>
      <c r="AD215" s="8">
        <f>IFERROR(AC215/AC444, "NA")</f>
        <v>-2.6578979617051777E-2</v>
      </c>
    </row>
    <row r="216" spans="1:30" ht="16.5" customHeight="1" x14ac:dyDescent="0.45">
      <c r="A216" s="12" t="s">
        <v>196</v>
      </c>
      <c r="B216" s="7">
        <v>50</v>
      </c>
      <c r="C216" s="8">
        <f>IFERROR(B216/B444, "NA")</f>
        <v>8.7072038319498517E-5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-50</v>
      </c>
      <c r="I216" s="8">
        <f>IFERROR(H216/H444, "NA")</f>
        <v>5.1320233535801939E-4</v>
      </c>
      <c r="J216" s="9"/>
      <c r="K216" s="7">
        <v>886</v>
      </c>
      <c r="L216" s="8">
        <f>IFERROR(K216/K444, "NA")</f>
        <v>1.4356620295377254E-3</v>
      </c>
      <c r="M216" s="9"/>
      <c r="N216" s="10">
        <f t="shared" si="57"/>
        <v>836</v>
      </c>
      <c r="O216" s="8">
        <f>IFERROR(N216/N444, "NA")</f>
        <v>-1.9487302134535586E-2</v>
      </c>
      <c r="P216" s="9"/>
      <c r="Q216" s="7">
        <v>855.22</v>
      </c>
      <c r="R216" s="8">
        <f>IFERROR(Q216/Q444, "NA")</f>
        <v>1.4416643724392525E-4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-855.22</v>
      </c>
      <c r="X216" s="8">
        <f>IFERROR(W216/W444, "NA")</f>
        <v>2.2496982497062423E-3</v>
      </c>
      <c r="Y216" s="9"/>
      <c r="Z216" s="7">
        <v>2740.8999999999996</v>
      </c>
      <c r="AA216" s="8">
        <f>IFERROR(Z216/Z444, "NA")</f>
        <v>4.8814055148138727E-4</v>
      </c>
      <c r="AB216" s="9"/>
      <c r="AC216" s="10">
        <f t="shared" si="59"/>
        <v>1885.6799999999996</v>
      </c>
      <c r="AD216" s="8">
        <f>IFERROR(AC216/AC444, "NA")</f>
        <v>5.9449516919079428E-3</v>
      </c>
    </row>
    <row r="217" spans="1:30" ht="16.5" customHeight="1" x14ac:dyDescent="0.45">
      <c r="A217" s="12" t="s">
        <v>197</v>
      </c>
      <c r="B217" s="7">
        <v>9862.2999999999993</v>
      </c>
      <c r="C217" s="8">
        <f>IFERROR(B217/B444, "NA")</f>
        <v>1.71746112703678E-2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-9862.2999999999993</v>
      </c>
      <c r="I217" s="8">
        <f>IFERROR(H217/H444, "NA")</f>
        <v>0.10122710784002788</v>
      </c>
      <c r="J217" s="9"/>
      <c r="K217" s="7">
        <v>27096.12</v>
      </c>
      <c r="L217" s="8">
        <f>IFERROR(K217/K444, "NA")</f>
        <v>4.390617452798843E-2</v>
      </c>
      <c r="M217" s="9"/>
      <c r="N217" s="10">
        <f t="shared" si="57"/>
        <v>17233.82</v>
      </c>
      <c r="O217" s="8">
        <f>IFERROR(N217/N444, "NA")</f>
        <v>-0.40172327424904558</v>
      </c>
      <c r="P217" s="9"/>
      <c r="Q217" s="7">
        <v>103030.13999999998</v>
      </c>
      <c r="R217" s="8">
        <f>IFERROR(Q217/Q444, "NA")</f>
        <v>1.736803186611963E-2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-103030.13999999998</v>
      </c>
      <c r="X217" s="8">
        <f>IFERROR(W217/W444, "NA")</f>
        <v>0.27102584788123418</v>
      </c>
      <c r="Y217" s="9"/>
      <c r="Z217" s="7">
        <v>137785.56</v>
      </c>
      <c r="AA217" s="8">
        <f>IFERROR(Z217/Z444, "NA")</f>
        <v>2.4538917598077924E-2</v>
      </c>
      <c r="AB217" s="9"/>
      <c r="AC217" s="10">
        <f t="shared" si="59"/>
        <v>34755.420000000013</v>
      </c>
      <c r="AD217" s="8">
        <f>IFERROR(AC217/AC444, "NA")</f>
        <v>0.10957282939415557</v>
      </c>
    </row>
    <row r="218" spans="1:30" ht="16.5" customHeight="1" x14ac:dyDescent="0.45">
      <c r="A218" s="13" t="s">
        <v>198</v>
      </c>
      <c r="B218" s="14">
        <f>IFERROR(B213+B214+B215+B216+B217, "NA")</f>
        <v>21034.03</v>
      </c>
      <c r="C218" s="15">
        <f>IFERROR(B218/B444, "NA")</f>
        <v>3.6629517323469626E-2</v>
      </c>
      <c r="D218" s="2"/>
      <c r="E218" s="14">
        <f>IFERROR(E213+E214+E215+E216+E217, "NA")</f>
        <v>23602.23</v>
      </c>
      <c r="F218" s="15">
        <f>IFERROR(E218/E444, "NA")</f>
        <v>3.5139903602485416E-2</v>
      </c>
      <c r="G218" s="2"/>
      <c r="H218" s="14">
        <f t="shared" si="56"/>
        <v>2568.2000000000007</v>
      </c>
      <c r="I218" s="15">
        <f>IFERROR(H218/H444, "NA")</f>
        <v>-2.6360124753329314E-2</v>
      </c>
      <c r="J218" s="2"/>
      <c r="K218" s="14">
        <f>IFERROR(K213+K214+K215+K216+K217, "NA")</f>
        <v>52987.06</v>
      </c>
      <c r="L218" s="15">
        <f>IFERROR(K218/K444, "NA")</f>
        <v>8.5859492210877228E-2</v>
      </c>
      <c r="M218" s="2"/>
      <c r="N218" s="14">
        <f t="shared" si="57"/>
        <v>31953.03</v>
      </c>
      <c r="O218" s="15">
        <f>IFERROR(N218/N444, "NA")</f>
        <v>-0.74483056187066943</v>
      </c>
      <c r="P218" s="2"/>
      <c r="Q218" s="14">
        <f>IFERROR(Q213+Q214+Q215+Q216+Q217, "NA")</f>
        <v>219753.01999999996</v>
      </c>
      <c r="R218" s="15">
        <f>IFERROR(Q218/Q444, "NA")</f>
        <v>3.704428096512364E-2</v>
      </c>
      <c r="S218" s="2"/>
      <c r="T218" s="14">
        <f>IFERROR(T213+T214+T215+T216+T217, "NA")</f>
        <v>219910.19</v>
      </c>
      <c r="U218" s="15">
        <f>IFERROR(T218/T444, "NA")</f>
        <v>3.4838250953387571E-2</v>
      </c>
      <c r="V218" s="2"/>
      <c r="W218" s="14">
        <f t="shared" si="58"/>
        <v>157.17000000004191</v>
      </c>
      <c r="X218" s="15">
        <f>IFERROR(W218/W444, "NA")</f>
        <v>-4.1344341094270992E-4</v>
      </c>
      <c r="Y218" s="2"/>
      <c r="Z218" s="14">
        <f>IFERROR(Z213+Z214+Z215+Z216+Z217, "NA")</f>
        <v>208526.45</v>
      </c>
      <c r="AA218" s="15">
        <f>IFERROR(Z218/Z444, "NA")</f>
        <v>3.7137515524629114E-2</v>
      </c>
      <c r="AB218" s="2"/>
      <c r="AC218" s="14">
        <f t="shared" si="59"/>
        <v>-11226.569999999949</v>
      </c>
      <c r="AD218" s="15">
        <f>IFERROR(AC218/AC444, "NA")</f>
        <v>-3.5393818842975829E-2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951.36</v>
      </c>
      <c r="C222" s="8">
        <f>IFERROR(B222/B444, "NA")</f>
        <v>1.6567370875127622E-3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-951.36</v>
      </c>
      <c r="I222" s="8">
        <f>IFERROR(H222/H444, "NA")</f>
        <v>9.7648034753241072E-3</v>
      </c>
      <c r="J222" s="9"/>
      <c r="K222" s="7">
        <v>681.54</v>
      </c>
      <c r="L222" s="8">
        <f>IFERROR(K222/K444, "NA")</f>
        <v>1.1043579002383084E-3</v>
      </c>
      <c r="M222" s="9"/>
      <c r="N222" s="10">
        <f t="shared" si="57"/>
        <v>-269.82000000000005</v>
      </c>
      <c r="O222" s="8">
        <f>IFERROR(N222/N444, "NA")</f>
        <v>6.2895500740913794E-3</v>
      </c>
      <c r="P222" s="9"/>
      <c r="Q222" s="7">
        <v>10509.12</v>
      </c>
      <c r="R222" s="8">
        <f>IFERROR(Q222/Q444, "NA")</f>
        <v>1.771546957471621E-3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-10509.12</v>
      </c>
      <c r="X222" s="8">
        <f>IFERROR(W222/W444, "NA")</f>
        <v>2.7644756752593331E-2</v>
      </c>
      <c r="Y222" s="9"/>
      <c r="Z222" s="7">
        <v>4109.3</v>
      </c>
      <c r="AA222" s="8">
        <f>IFERROR(Z222/Z444, "NA")</f>
        <v>7.3184573249752451E-4</v>
      </c>
      <c r="AB222" s="9"/>
      <c r="AC222" s="10">
        <f t="shared" si="59"/>
        <v>-6399.8200000000006</v>
      </c>
      <c r="AD222" s="8">
        <f>IFERROR(AC222/AC444, "NA")</f>
        <v>-2.0176605116937286E-2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671.67000000000007</v>
      </c>
      <c r="F226" s="8">
        <f>IFERROR(E226/E444, "NA")</f>
        <v>1.0000080099499659E-3</v>
      </c>
      <c r="G226" s="9"/>
      <c r="H226" s="10">
        <f t="shared" si="56"/>
        <v>671.67000000000007</v>
      </c>
      <c r="I226" s="8">
        <f>IFERROR(H226/H444, "NA")</f>
        <v>-6.8940522517984184E-3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6312.35</v>
      </c>
      <c r="U226" s="8">
        <f>IFERROR(T226/T444, "NA")</f>
        <v>1.0000047446897119E-3</v>
      </c>
      <c r="V226" s="9"/>
      <c r="W226" s="10">
        <f t="shared" si="58"/>
        <v>6312.35</v>
      </c>
      <c r="X226" s="8">
        <f>IFERROR(W226/W444, "NA")</f>
        <v>-1.6604946968655082E-2</v>
      </c>
      <c r="Y226" s="9"/>
      <c r="Z226" s="7">
        <v>3956.1899999999996</v>
      </c>
      <c r="AA226" s="8">
        <f>IFERROR(Z226/Z444, "NA")</f>
        <v>7.0457760894784545E-4</v>
      </c>
      <c r="AB226" s="9"/>
      <c r="AC226" s="10">
        <f t="shared" si="59"/>
        <v>3956.1899999999996</v>
      </c>
      <c r="AD226" s="8">
        <f>IFERROR(AC226/AC444, "NA")</f>
        <v>1.2472613823135041E-2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21985.39</v>
      </c>
      <c r="C227" s="15">
        <f>IFERROR(B227/B444, "NA")</f>
        <v>3.8286254410982386E-2</v>
      </c>
      <c r="D227" s="2"/>
      <c r="E227" s="14">
        <f>IFERROR(E211+E213+E214+E215+E216+E217+E219+E220+E221+E222+E223+E224+E225+E226, "NA")</f>
        <v>24273.9</v>
      </c>
      <c r="F227" s="15">
        <f>IFERROR(E227/E444, "NA")</f>
        <v>3.6139911612435384E-2</v>
      </c>
      <c r="G227" s="2"/>
      <c r="H227" s="14">
        <f t="shared" si="56"/>
        <v>2288.510000000002</v>
      </c>
      <c r="I227" s="15">
        <f>IFERROR(H227/H444, "NA")</f>
        <v>-2.3489373529803639E-2</v>
      </c>
      <c r="J227" s="2"/>
      <c r="K227" s="14">
        <f>IFERROR(K211+K213+K214+K215+K216+K217+K219+K220+K221+K222+K223+K224+K225+K226, "NA")</f>
        <v>53668.6</v>
      </c>
      <c r="L227" s="15">
        <f>IFERROR(K227/K444, "NA")</f>
        <v>8.6963850111115543E-2</v>
      </c>
      <c r="M227" s="2"/>
      <c r="N227" s="14">
        <f t="shared" si="57"/>
        <v>31683.21</v>
      </c>
      <c r="O227" s="15">
        <f>IFERROR(N227/N444, "NA")</f>
        <v>-0.73854101179657805</v>
      </c>
      <c r="P227" s="2"/>
      <c r="Q227" s="14">
        <f>IFERROR(Q211+Q213+Q214+Q215+Q216+Q217+Q219+Q220+Q221+Q222+Q223+Q224+Q225+Q226, "NA")</f>
        <v>230262.13999999996</v>
      </c>
      <c r="R227" s="15">
        <f>IFERROR(Q227/Q444, "NA")</f>
        <v>3.8815827922595261E-2</v>
      </c>
      <c r="S227" s="2"/>
      <c r="T227" s="14">
        <f>IFERROR(T211+T213+T214+T215+T216+T217+T219+T220+T221+T222+T223+T224+T225+T226, "NA")</f>
        <v>226222.54</v>
      </c>
      <c r="U227" s="15">
        <f>IFERROR(T227/T444, "NA")</f>
        <v>3.5838255698077283E-2</v>
      </c>
      <c r="V227" s="2"/>
      <c r="W227" s="14">
        <f t="shared" si="58"/>
        <v>-4039.5999999999476</v>
      </c>
      <c r="X227" s="15">
        <f>IFERROR(W227/W444, "NA")</f>
        <v>1.0626366372995509E-2</v>
      </c>
      <c r="Y227" s="2"/>
      <c r="Z227" s="14">
        <f>IFERROR(Z211+Z213+Z214+Z215+Z216+Z217+Z219+Z220+Z221+Z222+Z223+Z224+Z225+Z226, "NA")</f>
        <v>216591.94</v>
      </c>
      <c r="AA227" s="15">
        <f>IFERROR(Z227/Z444, "NA")</f>
        <v>3.8573938866074485E-2</v>
      </c>
      <c r="AB227" s="2"/>
      <c r="AC227" s="14">
        <f t="shared" si="59"/>
        <v>-13670.199999999953</v>
      </c>
      <c r="AD227" s="15">
        <f>IFERROR(AC227/AC444, "NA")</f>
        <v>-4.3097810136778082E-2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11986.35</v>
      </c>
      <c r="F229" s="8">
        <f>IFERROR(E229/E444, "NA")</f>
        <v>1.7845736760706558E-2</v>
      </c>
      <c r="G229" s="9"/>
      <c r="H229" s="10">
        <f t="shared" ref="H229:H236" si="60">IFERROR(-(B229-E229), "NA")</f>
        <v>11986.35</v>
      </c>
      <c r="I229" s="8">
        <f>IFERROR(H229/H444, "NA")</f>
        <v>-0.12302845624837191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109167.07</v>
      </c>
      <c r="U229" s="8">
        <f>IFERROR(T229/T444, "NA")</f>
        <v>1.729428627434694E-2</v>
      </c>
      <c r="V229" s="9"/>
      <c r="W229" s="10">
        <f t="shared" ref="W229:W236" si="62">IFERROR(-(Q229-T229), "NA")</f>
        <v>109167.07</v>
      </c>
      <c r="X229" s="8">
        <f>IFERROR(W229/W444, "NA")</f>
        <v>-0.28716934391683879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1.4151648004756114E-5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2.2083460169645128E-4</v>
      </c>
      <c r="Y230" s="9"/>
      <c r="Z230" s="7">
        <v>682.33999999999992</v>
      </c>
      <c r="AA230" s="8">
        <f>IFERROR(Z230/Z444, "NA")</f>
        <v>1.2152133383115393E-4</v>
      </c>
      <c r="AB230" s="9"/>
      <c r="AC230" s="10">
        <f t="shared" si="63"/>
        <v>598.38999999999987</v>
      </c>
      <c r="AD230" s="8">
        <f>IFERROR(AC230/AC444, "NA")</f>
        <v>1.8865341112600197E-3</v>
      </c>
    </row>
    <row r="231" spans="1:30" ht="16.5" customHeight="1" x14ac:dyDescent="0.45">
      <c r="A231" s="6" t="s">
        <v>210</v>
      </c>
      <c r="B231" s="7">
        <v>462</v>
      </c>
      <c r="C231" s="8">
        <f>IFERROR(B231/B444, "NA")</f>
        <v>8.0454563407216623E-4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-462</v>
      </c>
      <c r="I231" s="8">
        <f>IFERROR(H231/H444, "NA")</f>
        <v>4.7419895787080991E-3</v>
      </c>
      <c r="J231" s="9"/>
      <c r="K231" s="7">
        <v>1212.19</v>
      </c>
      <c r="L231" s="8">
        <f>IFERROR(K231/K444, "NA")</f>
        <v>1.9642157512249833E-3</v>
      </c>
      <c r="M231" s="9"/>
      <c r="N231" s="10">
        <f t="shared" si="61"/>
        <v>750.19</v>
      </c>
      <c r="O231" s="8">
        <f>IFERROR(N231/N444, "NA")</f>
        <v>-1.7487056445343603E-2</v>
      </c>
      <c r="P231" s="9"/>
      <c r="Q231" s="7">
        <v>8169.3</v>
      </c>
      <c r="R231" s="8">
        <f>IFERROR(Q231/Q444, "NA")</f>
        <v>1.3771180231715798E-3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-8169.3</v>
      </c>
      <c r="X231" s="8">
        <f>IFERROR(W231/W444, "NA")</f>
        <v>2.1489745225000825E-2</v>
      </c>
      <c r="Y231" s="9"/>
      <c r="Z231" s="7">
        <v>13225.59</v>
      </c>
      <c r="AA231" s="8">
        <f>IFERROR(Z231/Z444, "NA")</f>
        <v>2.3554112869009162E-3</v>
      </c>
      <c r="AB231" s="9"/>
      <c r="AC231" s="10">
        <f t="shared" si="63"/>
        <v>5056.29</v>
      </c>
      <c r="AD231" s="8">
        <f>IFERROR(AC231/AC444, "NA")</f>
        <v>1.5940880632067594E-2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235.54</v>
      </c>
      <c r="C233" s="8">
        <f>IFERROR(B233/B444, "NA")</f>
        <v>4.1017895811549355E-4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-235.54</v>
      </c>
      <c r="I233" s="8">
        <f>IFERROR(H233/H444, "NA")</f>
        <v>2.4175935614045578E-3</v>
      </c>
      <c r="J233" s="9"/>
      <c r="K233" s="7">
        <v>4.25</v>
      </c>
      <c r="L233" s="8">
        <f>IFERROR(K233/K444, "NA")</f>
        <v>6.8866406608750934E-6</v>
      </c>
      <c r="M233" s="9"/>
      <c r="N233" s="10">
        <f t="shared" si="61"/>
        <v>-231.29</v>
      </c>
      <c r="O233" s="8">
        <f>IFERROR(N233/N444, "NA")</f>
        <v>5.391409223321454E-3</v>
      </c>
      <c r="P233" s="9"/>
      <c r="Q233" s="7">
        <v>1188.2</v>
      </c>
      <c r="R233" s="8">
        <f>IFERROR(Q233/Q444, "NA")</f>
        <v>2.0029765526207523E-4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-1188.2</v>
      </c>
      <c r="X233" s="8">
        <f>IFERROR(W233/W444, "NA")</f>
        <v>3.1256185078704394E-3</v>
      </c>
      <c r="Y233" s="9"/>
      <c r="Z233" s="7">
        <v>38.25</v>
      </c>
      <c r="AA233" s="8">
        <f>IFERROR(Z233/Z444, "NA")</f>
        <v>6.8121332752610692E-6</v>
      </c>
      <c r="AB233" s="9"/>
      <c r="AC233" s="10">
        <f t="shared" si="63"/>
        <v>-1149.95</v>
      </c>
      <c r="AD233" s="8">
        <f>IFERROR(AC233/AC444, "NA")</f>
        <v>-3.6254280673865876E-3</v>
      </c>
    </row>
    <row r="234" spans="1:30" ht="16.5" customHeight="1" x14ac:dyDescent="0.45">
      <c r="A234" s="6" t="s">
        <v>213</v>
      </c>
      <c r="B234" s="7">
        <v>9356.08</v>
      </c>
      <c r="C234" s="8">
        <f>IFERROR(B234/B444, "NA")</f>
        <v>1.6293059125605872E-2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-9356.08</v>
      </c>
      <c r="I234" s="8">
        <f>IFERROR(H234/H444, "NA")</f>
        <v>9.6031242115929158E-2</v>
      </c>
      <c r="J234" s="9"/>
      <c r="K234" s="7">
        <v>9787.16</v>
      </c>
      <c r="L234" s="8">
        <f>IFERROR(K234/K444, "NA")</f>
        <v>1.5858977414233005E-2</v>
      </c>
      <c r="M234" s="9"/>
      <c r="N234" s="10">
        <f t="shared" si="61"/>
        <v>431.07999999999993</v>
      </c>
      <c r="O234" s="8">
        <f>IFERROR(N234/N444, "NA")</f>
        <v>-1.0048548091095214E-2</v>
      </c>
      <c r="P234" s="9"/>
      <c r="Q234" s="7">
        <v>81111.259999999995</v>
      </c>
      <c r="R234" s="8">
        <f>IFERROR(Q234/Q444, "NA")</f>
        <v>1.3673114958216251E-2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-81111.259999999995</v>
      </c>
      <c r="X234" s="8">
        <f>IFERROR(W234/W444, "NA")</f>
        <v>0.21336715658364858</v>
      </c>
      <c r="Y234" s="9"/>
      <c r="Z234" s="7">
        <v>89006.93</v>
      </c>
      <c r="AA234" s="8">
        <f>IFERROR(Z234/Z444, "NA")</f>
        <v>1.5851688093642683E-2</v>
      </c>
      <c r="AB234" s="9"/>
      <c r="AC234" s="10">
        <f t="shared" si="63"/>
        <v>7895.6699999999983</v>
      </c>
      <c r="AD234" s="8">
        <f>IFERROR(AC234/AC444, "NA")</f>
        <v>2.4892546309684987E-2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10053.619999999999</v>
      </c>
      <c r="C236" s="15">
        <f>IFERROR(B236/B444, "NA")</f>
        <v>1.7507783717793532E-2</v>
      </c>
      <c r="D236" s="2"/>
      <c r="E236" s="14">
        <f>IFERROR(E229+E230+E231+E232+E233+E234+E235, "NA")</f>
        <v>11986.35</v>
      </c>
      <c r="F236" s="15">
        <f>IFERROR(E236/E444, "NA")</f>
        <v>1.7845736760706558E-2</v>
      </c>
      <c r="G236" s="2"/>
      <c r="H236" s="14">
        <f t="shared" si="60"/>
        <v>1932.7300000000014</v>
      </c>
      <c r="I236" s="15">
        <f>IFERROR(H236/H444, "NA")</f>
        <v>-1.9837630992330109E-2</v>
      </c>
      <c r="J236" s="2"/>
      <c r="K236" s="14">
        <f>IFERROR(K229+K230+K231+K232+K233+K234+K235, "NA")</f>
        <v>11003.6</v>
      </c>
      <c r="L236" s="15">
        <f>IFERROR(K236/K444, "NA")</f>
        <v>1.7830079806118865E-2</v>
      </c>
      <c r="M236" s="2"/>
      <c r="N236" s="14">
        <f t="shared" si="61"/>
        <v>949.98000000000138</v>
      </c>
      <c r="O236" s="15">
        <f>IFERROR(N236/N444, "NA")</f>
        <v>-2.2144195313117399E-2</v>
      </c>
      <c r="P236" s="2"/>
      <c r="Q236" s="14">
        <f>IFERROR(Q229+Q230+Q231+Q232+Q233+Q234+Q235, "NA")</f>
        <v>90552.709999999992</v>
      </c>
      <c r="R236" s="15">
        <f>IFERROR(Q236/Q444, "NA")</f>
        <v>1.5264682284654661E-2</v>
      </c>
      <c r="S236" s="2"/>
      <c r="T236" s="14">
        <f>IFERROR(T229+T230+T231+T232+T233+T234+T235, "NA")</f>
        <v>109167.07</v>
      </c>
      <c r="U236" s="15">
        <f>IFERROR(T236/T444, "NA")</f>
        <v>1.729428627434694E-2</v>
      </c>
      <c r="V236" s="2"/>
      <c r="W236" s="14">
        <f t="shared" si="62"/>
        <v>18614.360000000015</v>
      </c>
      <c r="X236" s="15">
        <f>IFERROR(W236/W444, "NA")</f>
        <v>-4.8965988998622485E-2</v>
      </c>
      <c r="Y236" s="2"/>
      <c r="Z236" s="14">
        <f>IFERROR(Z229+Z230+Z231+Z232+Z233+Z234+Z235, "NA")</f>
        <v>102953.10999999999</v>
      </c>
      <c r="AA236" s="15">
        <f>IFERROR(Z236/Z444, "NA")</f>
        <v>1.8335432847650015E-2</v>
      </c>
      <c r="AB236" s="2"/>
      <c r="AC236" s="14">
        <f t="shared" si="63"/>
        <v>12400.399999999994</v>
      </c>
      <c r="AD236" s="15">
        <f>IFERROR(AC236/AC444, "NA")</f>
        <v>3.9094532985625999E-2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43705.929999999993</v>
      </c>
      <c r="F240" s="8">
        <f>IFERROR(E240/E444, "NA")</f>
        <v>6.5071061804625047E-2</v>
      </c>
      <c r="G240" s="9"/>
      <c r="H240" s="10">
        <f t="shared" ref="H240:H263" si="64">IFERROR(-(B240-E240), "NA")</f>
        <v>43705.929999999993</v>
      </c>
      <c r="I240" s="8">
        <f>IFERROR(H240/H444, "NA")</f>
        <v>-0.44859970689988232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403426.34</v>
      </c>
      <c r="U240" s="8">
        <f>IFERROR(T240/T444, "NA")</f>
        <v>6.3910945073198555E-2</v>
      </c>
      <c r="V240" s="9"/>
      <c r="W240" s="10">
        <f t="shared" ref="W240:W263" si="66">IFERROR(-(Q240-T240), "NA")</f>
        <v>403426.34</v>
      </c>
      <c r="X240" s="8">
        <f>IFERROR(W240/W444, "NA")</f>
        <v>-1.0612328184366544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278.45</v>
      </c>
      <c r="C241" s="8">
        <f>IFERROR(B241/B444, "NA")</f>
        <v>4.849041814012872E-4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-278.45</v>
      </c>
      <c r="I241" s="8">
        <f>IFERROR(H241/H444, "NA")</f>
        <v>2.85802380560881E-3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-278.45</v>
      </c>
      <c r="O241" s="8">
        <f>IFERROR(N241/N444, "NA")</f>
        <v>6.4907168413414285E-3</v>
      </c>
      <c r="P241" s="9"/>
      <c r="Q241" s="7">
        <v>1347.87</v>
      </c>
      <c r="R241" s="8">
        <f>IFERROR(Q241/Q444, "NA")</f>
        <v>2.2721360090733318E-4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-1347.87</v>
      </c>
      <c r="X241" s="8">
        <f>IFERROR(W241/W444, "NA")</f>
        <v>3.5456382917045354E-3</v>
      </c>
      <c r="Y241" s="9"/>
      <c r="Z241" s="7">
        <v>759.99</v>
      </c>
      <c r="AA241" s="8">
        <f>IFERROR(Z241/Z444, "NA")</f>
        <v>1.3535040961740289E-4</v>
      </c>
      <c r="AB241" s="9"/>
      <c r="AC241" s="10">
        <f t="shared" si="67"/>
        <v>-587.87999999999988</v>
      </c>
      <c r="AD241" s="8">
        <f>IFERROR(AC241/AC444, "NA")</f>
        <v>-1.8533994106310939E-3</v>
      </c>
    </row>
    <row r="242" spans="1:30" ht="16.5" customHeight="1" x14ac:dyDescent="0.45">
      <c r="A242" s="12" t="s">
        <v>219</v>
      </c>
      <c r="B242" s="7">
        <v>6915.72</v>
      </c>
      <c r="C242" s="8">
        <f>IFERROR(B242/B444, "NA")</f>
        <v>1.2043316736938444E-2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-6915.72</v>
      </c>
      <c r="I242" s="8">
        <f>IFERROR(H242/H444, "NA")</f>
        <v>7.0983273093643245E-2</v>
      </c>
      <c r="J242" s="9"/>
      <c r="K242" s="7">
        <v>8284.11</v>
      </c>
      <c r="L242" s="8">
        <f>IFERROR(K242/K444, "NA")</f>
        <v>1.3423456180038111E-2</v>
      </c>
      <c r="M242" s="9"/>
      <c r="N242" s="10">
        <f t="shared" si="65"/>
        <v>1368.3900000000003</v>
      </c>
      <c r="O242" s="8">
        <f>IFERROR(N242/N444, "NA")</f>
        <v>-3.1897403550092296E-2</v>
      </c>
      <c r="P242" s="9"/>
      <c r="Q242" s="7">
        <v>70749.31</v>
      </c>
      <c r="R242" s="8">
        <f>IFERROR(Q242/Q444, "NA")</f>
        <v>1.1926376792130693E-2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-70749.31</v>
      </c>
      <c r="X242" s="8">
        <f>IFERROR(W242/W444, "NA")</f>
        <v>0.18610953775043187</v>
      </c>
      <c r="Y242" s="9"/>
      <c r="Z242" s="7">
        <v>59623.670000000006</v>
      </c>
      <c r="AA242" s="8">
        <f>IFERROR(Z242/Z444, "NA")</f>
        <v>1.0618676768632294E-2</v>
      </c>
      <c r="AB242" s="9"/>
      <c r="AC242" s="10">
        <f t="shared" si="67"/>
        <v>-11125.639999999992</v>
      </c>
      <c r="AD242" s="8">
        <f>IFERROR(AC242/AC444, "NA")</f>
        <v>-3.507561852570884E-2</v>
      </c>
    </row>
    <row r="243" spans="1:30" ht="16.5" customHeight="1" x14ac:dyDescent="0.45">
      <c r="A243" s="12" t="s">
        <v>220</v>
      </c>
      <c r="B243" s="7">
        <v>16492.87</v>
      </c>
      <c r="C243" s="8">
        <f>IFERROR(B243/B444, "NA")</f>
        <v>2.8721356172770145E-2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-16492.87</v>
      </c>
      <c r="I243" s="8">
        <f>IFERROR(H243/H444, "NA")</f>
        <v>0.16928358801512433</v>
      </c>
      <c r="J243" s="9"/>
      <c r="K243" s="7">
        <v>17069.53</v>
      </c>
      <c r="L243" s="8">
        <f>IFERROR(K243/K444, "NA")</f>
        <v>2.765922808471229E-2</v>
      </c>
      <c r="M243" s="9"/>
      <c r="N243" s="10">
        <f t="shared" si="65"/>
        <v>576.65999999999985</v>
      </c>
      <c r="O243" s="8">
        <f>IFERROR(N243/N444, "NA")</f>
        <v>-1.3442042642226423E-2</v>
      </c>
      <c r="P243" s="9"/>
      <c r="Q243" s="7">
        <v>141755.34</v>
      </c>
      <c r="R243" s="8">
        <f>IFERROR(Q243/Q444, "NA")</f>
        <v>2.3896029475575037E-2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-141755.34</v>
      </c>
      <c r="X243" s="8">
        <f>IFERROR(W243/W444, "NA")</f>
        <v>0.37289439008034575</v>
      </c>
      <c r="Y243" s="9"/>
      <c r="Z243" s="7">
        <v>164239.39000000001</v>
      </c>
      <c r="AA243" s="8">
        <f>IFERROR(Z243/Z444, "NA")</f>
        <v>2.925021212359687E-2</v>
      </c>
      <c r="AB243" s="9"/>
      <c r="AC243" s="10">
        <f t="shared" si="67"/>
        <v>22484.050000000017</v>
      </c>
      <c r="AD243" s="8">
        <f>IFERROR(AC243/AC444, "NA")</f>
        <v>7.0885087124243198E-2</v>
      </c>
    </row>
    <row r="244" spans="1:30" ht="16.5" customHeight="1" x14ac:dyDescent="0.45">
      <c r="A244" s="12" t="s">
        <v>221</v>
      </c>
      <c r="B244" s="7">
        <v>2622.52</v>
      </c>
      <c r="C244" s="8">
        <f>IFERROR(B244/B444, "NA")</f>
        <v>4.5669632386730243E-3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-2622.52</v>
      </c>
      <c r="I244" s="8">
        <f>IFERROR(H244/H444, "NA")</f>
        <v>2.6917667770462259E-2</v>
      </c>
      <c r="J244" s="9"/>
      <c r="K244" s="7">
        <v>270.57</v>
      </c>
      <c r="L244" s="8">
        <f>IFERROR(K244/K444, "NA")</f>
        <v>4.3842785026187623E-4</v>
      </c>
      <c r="M244" s="9"/>
      <c r="N244" s="10">
        <f t="shared" si="65"/>
        <v>-2351.9499999999998</v>
      </c>
      <c r="O244" s="8">
        <f>IFERROR(N244/N444, "NA")</f>
        <v>5.4824354372393504E-2</v>
      </c>
      <c r="P244" s="9"/>
      <c r="Q244" s="7">
        <v>25241.059999999998</v>
      </c>
      <c r="R244" s="8">
        <f>IFERROR(Q244/Q444, "NA")</f>
        <v>4.2549445668484728E-3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-25241.059999999998</v>
      </c>
      <c r="X244" s="8">
        <f>IFERROR(W244/W444, "NA")</f>
        <v>6.6397849094654293E-2</v>
      </c>
      <c r="Y244" s="9"/>
      <c r="Z244" s="7">
        <v>766.37</v>
      </c>
      <c r="AA244" s="8">
        <f>IFERROR(Z244/Z444, "NA")</f>
        <v>1.3648665563821766E-4</v>
      </c>
      <c r="AB244" s="9"/>
      <c r="AC244" s="10">
        <f t="shared" si="67"/>
        <v>-24474.69</v>
      </c>
      <c r="AD244" s="8">
        <f>IFERROR(AC244/AC444, "NA")</f>
        <v>-7.7160944446789712E-2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494.9</v>
      </c>
      <c r="C246" s="8">
        <f>IFERROR(B246/B444, "NA")</f>
        <v>8.6183903528639619E-4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-494.9</v>
      </c>
      <c r="I246" s="8">
        <f>IFERROR(H246/H444, "NA")</f>
        <v>5.0796767153736752E-3</v>
      </c>
      <c r="J246" s="9"/>
      <c r="K246" s="7">
        <v>2147.9299999999998</v>
      </c>
      <c r="L246" s="8">
        <f>IFERROR(K246/K444, "NA")</f>
        <v>3.4804757822855148E-3</v>
      </c>
      <c r="M246" s="9"/>
      <c r="N246" s="10">
        <f t="shared" si="65"/>
        <v>1653.0299999999997</v>
      </c>
      <c r="O246" s="8">
        <f>IFERROR(N246/N444, "NA")</f>
        <v>-3.8532410343841333E-2</v>
      </c>
      <c r="P246" s="9"/>
      <c r="Q246" s="7">
        <v>16083.229999999998</v>
      </c>
      <c r="R246" s="8">
        <f>IFERROR(Q246/Q444, "NA")</f>
        <v>2.7111877276895014E-3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-16083.229999999998</v>
      </c>
      <c r="X246" s="8">
        <f>IFERROR(W246/W444, "NA")</f>
        <v>4.2307727111881063E-2</v>
      </c>
      <c r="Y246" s="9"/>
      <c r="Z246" s="7">
        <v>6681.3</v>
      </c>
      <c r="AA246" s="8">
        <f>IFERROR(Z246/Z444, "NA")</f>
        <v>1.18990604057521E-3</v>
      </c>
      <c r="AB246" s="9"/>
      <c r="AC246" s="10">
        <f t="shared" si="67"/>
        <v>-9401.9299999999967</v>
      </c>
      <c r="AD246" s="8">
        <f>IFERROR(AC246/AC444, "NA")</f>
        <v>-2.964130693473974E-2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457.1</v>
      </c>
      <c r="AA247" s="8">
        <f>IFERROR(Z247/Z444, "NA")</f>
        <v>8.1407218826714644E-5</v>
      </c>
      <c r="AB247" s="9"/>
      <c r="AC247" s="10">
        <f t="shared" si="67"/>
        <v>457.1</v>
      </c>
      <c r="AD247" s="8">
        <f>IFERROR(AC247/AC444, "NA")</f>
        <v>1.4410914992846724E-3</v>
      </c>
    </row>
    <row r="248" spans="1:30" ht="16.5" customHeight="1" x14ac:dyDescent="0.45">
      <c r="A248" s="12" t="s">
        <v>225</v>
      </c>
      <c r="B248" s="7">
        <v>1229.8499999999999</v>
      </c>
      <c r="C248" s="8">
        <f>IFERROR(B248/B444, "NA")</f>
        <v>2.1417109265447049E-3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-1229.8499999999999</v>
      </c>
      <c r="I248" s="8">
        <f>IFERROR(H248/H444, "NA")</f>
        <v>1.2623237842801201E-2</v>
      </c>
      <c r="J248" s="9"/>
      <c r="K248" s="7">
        <v>1151.5700000000002</v>
      </c>
      <c r="L248" s="8">
        <f>IFERROR(K248/K444, "NA")</f>
        <v>1.8659879496103371E-3</v>
      </c>
      <c r="M248" s="9"/>
      <c r="N248" s="10">
        <f t="shared" si="65"/>
        <v>-78.279999999999745</v>
      </c>
      <c r="O248" s="8">
        <f>IFERROR(N248/N444, "NA")</f>
        <v>1.8247201089610537E-3</v>
      </c>
      <c r="P248" s="9"/>
      <c r="Q248" s="7">
        <v>12100.550000000001</v>
      </c>
      <c r="R248" s="8">
        <f>IFERROR(Q248/Q444, "NA")</f>
        <v>2.0398180376885243E-3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-12100.550000000001</v>
      </c>
      <c r="X248" s="8">
        <f>IFERROR(W248/W444, "NA")</f>
        <v>3.1831091596879017E-2</v>
      </c>
      <c r="Y248" s="9"/>
      <c r="Z248" s="7">
        <v>11388.76</v>
      </c>
      <c r="AA248" s="8">
        <f>IFERROR(Z248/Z444, "NA")</f>
        <v>2.0282810708486866E-3</v>
      </c>
      <c r="AB248" s="9"/>
      <c r="AC248" s="10">
        <f t="shared" si="67"/>
        <v>-711.79000000000087</v>
      </c>
      <c r="AD248" s="8">
        <f>IFERROR(AC248/AC444, "NA")</f>
        <v>-2.244048388264796E-3</v>
      </c>
    </row>
    <row r="249" spans="1:30" ht="16.5" customHeight="1" x14ac:dyDescent="0.45">
      <c r="A249" s="12" t="s">
        <v>226</v>
      </c>
      <c r="B249" s="7">
        <v>10737.15</v>
      </c>
      <c r="C249" s="8">
        <f>IFERROR(B249/B444, "NA")</f>
        <v>1.8698110724844067E-2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-10737.15</v>
      </c>
      <c r="I249" s="8">
        <f>IFERROR(H249/H444, "NA")</f>
        <v>0.11020660910178716</v>
      </c>
      <c r="J249" s="9"/>
      <c r="K249" s="7">
        <v>10228.390000000001</v>
      </c>
      <c r="L249" s="8">
        <f>IFERROR(K249/K444, "NA")</f>
        <v>1.6573940345714872E-2</v>
      </c>
      <c r="M249" s="9"/>
      <c r="N249" s="10">
        <f t="shared" si="65"/>
        <v>-508.7599999999984</v>
      </c>
      <c r="O249" s="8">
        <f>IFERROR(N249/N444, "NA")</f>
        <v>1.1859282098045806E-2</v>
      </c>
      <c r="P249" s="9"/>
      <c r="Q249" s="7">
        <v>87428.5</v>
      </c>
      <c r="R249" s="8">
        <f>IFERROR(Q249/Q444, "NA")</f>
        <v>1.4738026892005001E-2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-87428.5</v>
      </c>
      <c r="X249" s="8">
        <f>IFERROR(W249/W444, "NA")</f>
        <v>0.22998496693767945</v>
      </c>
      <c r="Y249" s="9"/>
      <c r="Z249" s="7">
        <v>85866.41</v>
      </c>
      <c r="AA249" s="8">
        <f>IFERROR(Z249/Z444, "NA")</f>
        <v>1.5292377223221174E-2</v>
      </c>
      <c r="AB249" s="9"/>
      <c r="AC249" s="10">
        <f t="shared" si="67"/>
        <v>-1562.0899999999965</v>
      </c>
      <c r="AD249" s="8">
        <f>IFERROR(AC249/AC444, "NA")</f>
        <v>-4.9247749291568346E-3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9.136272863291316E-7</v>
      </c>
      <c r="AB250" s="9"/>
      <c r="AC250" s="10">
        <f t="shared" si="67"/>
        <v>5.13</v>
      </c>
      <c r="AD250" s="8">
        <f>IFERROR(AC250/AC444, "NA")</f>
        <v>1.6173264912120695E-5</v>
      </c>
    </row>
    <row r="251" spans="1:30" ht="16.5" customHeight="1" x14ac:dyDescent="0.45">
      <c r="A251" s="12" t="s">
        <v>228</v>
      </c>
      <c r="B251" s="7">
        <v>261.5</v>
      </c>
      <c r="C251" s="8">
        <f>IFERROR(B251/B444, "NA")</f>
        <v>4.5538676041097719E-4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-261.5</v>
      </c>
      <c r="I251" s="8">
        <f>IFERROR(H251/H444, "NA")</f>
        <v>2.6840482139224415E-3</v>
      </c>
      <c r="J251" s="9"/>
      <c r="K251" s="7">
        <v>74.97</v>
      </c>
      <c r="L251" s="8">
        <f>IFERROR(K251/K444, "NA")</f>
        <v>1.2148034125783665E-4</v>
      </c>
      <c r="M251" s="9"/>
      <c r="N251" s="10">
        <f t="shared" si="65"/>
        <v>-186.53</v>
      </c>
      <c r="O251" s="8">
        <f>IFERROR(N251/N444, "NA")</f>
        <v>4.3480460133432097E-3</v>
      </c>
      <c r="P251" s="9"/>
      <c r="Q251" s="7">
        <v>724.30000000000007</v>
      </c>
      <c r="R251" s="8">
        <f>IFERROR(Q251/Q444, "NA")</f>
        <v>1.220969463948166E-4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-724.30000000000007</v>
      </c>
      <c r="X251" s="8">
        <f>IFERROR(W251/W444, "NA")</f>
        <v>1.9053067541243557E-3</v>
      </c>
      <c r="Y251" s="9"/>
      <c r="Z251" s="7">
        <v>906.8900000000001</v>
      </c>
      <c r="AA251" s="8">
        <f>IFERROR(Z251/Z444, "NA")</f>
        <v>1.6151256329415716E-4</v>
      </c>
      <c r="AB251" s="9"/>
      <c r="AC251" s="10">
        <f t="shared" si="67"/>
        <v>182.59000000000003</v>
      </c>
      <c r="AD251" s="8">
        <f>IFERROR(AC251/AC444, "NA")</f>
        <v>5.7564842890918486E-4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27.66</v>
      </c>
      <c r="L252" s="8">
        <f>IFERROR(K252/K444, "NA")</f>
        <v>4.4819877807012963E-5</v>
      </c>
      <c r="M252" s="9"/>
      <c r="N252" s="10">
        <f t="shared" si="65"/>
        <v>27.66</v>
      </c>
      <c r="O252" s="8">
        <f>IFERROR(N252/N444, "NA")</f>
        <v>-6.4475930268092629E-4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461.42</v>
      </c>
      <c r="AA252" s="8">
        <f>IFERROR(Z252/Z444, "NA")</f>
        <v>8.2176589173097063E-5</v>
      </c>
      <c r="AB252" s="9"/>
      <c r="AC252" s="10">
        <f t="shared" si="67"/>
        <v>461.42</v>
      </c>
      <c r="AD252" s="8">
        <f>IFERROR(AC252/AC444, "NA")</f>
        <v>1.4547110907896163E-3</v>
      </c>
    </row>
    <row r="253" spans="1:30" ht="16.5" customHeight="1" x14ac:dyDescent="0.45">
      <c r="A253" s="12" t="s">
        <v>230</v>
      </c>
      <c r="B253" s="7">
        <v>486.67</v>
      </c>
      <c r="C253" s="8">
        <f>IFERROR(B253/B444, "NA")</f>
        <v>8.4750697777900678E-4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-486.67</v>
      </c>
      <c r="I253" s="8">
        <f>IFERROR(H253/H444, "NA")</f>
        <v>4.9952036109737457E-3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-486.67</v>
      </c>
      <c r="O253" s="8">
        <f>IFERROR(N253/N444, "NA")</f>
        <v>1.1344360442361763E-2</v>
      </c>
      <c r="P253" s="9"/>
      <c r="Q253" s="7">
        <v>2612.73</v>
      </c>
      <c r="R253" s="8">
        <f>IFERROR(Q253/Q444, "NA")</f>
        <v>4.4043401181020182E-4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-2612.73</v>
      </c>
      <c r="X253" s="8">
        <f>IFERROR(W253/W444, "NA")</f>
        <v>6.8729146979198226E-3</v>
      </c>
      <c r="Y253" s="9"/>
      <c r="Z253" s="7">
        <v>3664.95</v>
      </c>
      <c r="AA253" s="8">
        <f>IFERROR(Z253/Z444, "NA")</f>
        <v>6.527092247625635E-4</v>
      </c>
      <c r="AB253" s="9"/>
      <c r="AC253" s="10">
        <f t="shared" si="67"/>
        <v>1052.2199999999998</v>
      </c>
      <c r="AD253" s="8">
        <f>IFERROR(AC253/AC444, "NA")</f>
        <v>3.3173163364194221E-3</v>
      </c>
    </row>
    <row r="254" spans="1:30" ht="16.5" customHeight="1" x14ac:dyDescent="0.45">
      <c r="A254" s="12" t="s">
        <v>231</v>
      </c>
      <c r="B254" s="7">
        <v>2808.56</v>
      </c>
      <c r="C254" s="8">
        <f>IFERROR(B254/B444, "NA")</f>
        <v>4.8909408788522148E-3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-2808.56</v>
      </c>
      <c r="I254" s="8">
        <f>IFERROR(H254/H444, "NA")</f>
        <v>2.8827191019862378E-2</v>
      </c>
      <c r="J254" s="9"/>
      <c r="K254" s="7">
        <v>2406.5100000000002</v>
      </c>
      <c r="L254" s="8">
        <f>IFERROR(K254/K444, "NA")</f>
        <v>3.899475203953535E-3</v>
      </c>
      <c r="M254" s="9"/>
      <c r="N254" s="10">
        <f t="shared" si="65"/>
        <v>-402.04999999999973</v>
      </c>
      <c r="O254" s="8">
        <f>IFERROR(N254/N444, "NA")</f>
        <v>9.3718538554904644E-3</v>
      </c>
      <c r="P254" s="9"/>
      <c r="Q254" s="7">
        <v>32021.32</v>
      </c>
      <c r="R254" s="8">
        <f>IFERROR(Q254/Q444, "NA")</f>
        <v>5.3979088658446337E-3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-32021.32</v>
      </c>
      <c r="X254" s="8">
        <f>IFERROR(W254/W444, "NA")</f>
        <v>8.4233656319173414E-2</v>
      </c>
      <c r="Y254" s="9"/>
      <c r="Z254" s="7">
        <v>26953.82</v>
      </c>
      <c r="AA254" s="8">
        <f>IFERROR(Z254/Z444, "NA")</f>
        <v>4.8003402383633284E-3</v>
      </c>
      <c r="AB254" s="9"/>
      <c r="AC254" s="10">
        <f t="shared" si="67"/>
        <v>-5067.5</v>
      </c>
      <c r="AD254" s="8">
        <f>IFERROR(AC254/AC444, "NA")</f>
        <v>-1.5976222210949634E-2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251.39</v>
      </c>
      <c r="AA255" s="8">
        <f>IFERROR(Z255/Z444, "NA")</f>
        <v>4.4771298929879218E-5</v>
      </c>
      <c r="AB255" s="9"/>
      <c r="AC255" s="10">
        <f t="shared" si="67"/>
        <v>251.39</v>
      </c>
      <c r="AD255" s="8">
        <f>IFERROR(AC255/AC444, "NA")</f>
        <v>7.9255303435828877E-4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1.3903875681036122E-5</v>
      </c>
      <c r="AB256" s="9"/>
      <c r="AC256" s="10">
        <f t="shared" si="67"/>
        <v>78.069999999999993</v>
      </c>
      <c r="AD256" s="8">
        <f>IFERROR(AC256/AC444, "NA")</f>
        <v>2.4612997888679583E-4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1237.1199999999999</v>
      </c>
      <c r="L257" s="8">
        <f>IFERROR(K257/K444, "NA")</f>
        <v>2.0046119751486575E-3</v>
      </c>
      <c r="M257" s="9"/>
      <c r="N257" s="10">
        <f t="shared" si="65"/>
        <v>1237.1199999999999</v>
      </c>
      <c r="O257" s="8">
        <f>IFERROR(N257/N444, "NA")</f>
        <v>-2.8837477531909884E-2</v>
      </c>
      <c r="P257" s="9"/>
      <c r="Q257" s="7">
        <v>5290.07</v>
      </c>
      <c r="R257" s="8">
        <f>IFERROR(Q257/Q444, "NA")</f>
        <v>8.917594825553326E-4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-5290.07</v>
      </c>
      <c r="X257" s="8">
        <f>IFERROR(W257/W444, "NA")</f>
        <v>1.3915789176847479E-2</v>
      </c>
      <c r="Y257" s="9"/>
      <c r="Z257" s="7">
        <v>1237.1199999999999</v>
      </c>
      <c r="AA257" s="8">
        <f>IFERROR(Z257/Z444, "NA")</f>
        <v>2.2032487104551565E-4</v>
      </c>
      <c r="AB257" s="9"/>
      <c r="AC257" s="10">
        <f t="shared" si="67"/>
        <v>-4052.95</v>
      </c>
      <c r="AD257" s="8">
        <f>IFERROR(AC257/AC444, "NA")</f>
        <v>-1.2777667451380034E-2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8141.9400000000005</v>
      </c>
      <c r="R258" s="8">
        <f>IFERROR(Q258/Q444, "NA")</f>
        <v>1.372505883929053E-3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-8141.9400000000005</v>
      </c>
      <c r="X258" s="8">
        <f>IFERROR(W258/W444, "NA")</f>
        <v>2.1417773400076289E-2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-8141.9400000000005</v>
      </c>
      <c r="AD258" s="8">
        <f>IFERROR(AC258/AC444, "NA")</f>
        <v>-2.5668957605963348E-2</v>
      </c>
    </row>
    <row r="259" spans="1:30" ht="16.5" customHeight="1" x14ac:dyDescent="0.45">
      <c r="A259" s="12" t="s">
        <v>236</v>
      </c>
      <c r="B259" s="7">
        <v>247.2</v>
      </c>
      <c r="C259" s="8">
        <f>IFERROR(B259/B444, "NA")</f>
        <v>4.3048415745160061E-4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-247.2</v>
      </c>
      <c r="I259" s="8">
        <f>IFERROR(H259/H444, "NA")</f>
        <v>2.5372723460100476E-3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-247.2</v>
      </c>
      <c r="O259" s="8">
        <f>IFERROR(N259/N444, "NA")</f>
        <v>5.7622740282980821E-3</v>
      </c>
      <c r="P259" s="9"/>
      <c r="Q259" s="7">
        <v>1350.6</v>
      </c>
      <c r="R259" s="8">
        <f>IFERROR(Q259/Q444, "NA")</f>
        <v>2.2767380339754146E-4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-1350.6</v>
      </c>
      <c r="X259" s="8">
        <f>IFERROR(W259/W444, "NA")</f>
        <v>3.5528196909020496E-3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-1350.6</v>
      </c>
      <c r="AD259" s="8">
        <f>IFERROR(AC259/AC444, "NA")</f>
        <v>-4.2580139552261618E-3</v>
      </c>
    </row>
    <row r="260" spans="1:30" ht="16.5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2695.91</v>
      </c>
      <c r="R260" s="8">
        <f>IFERROR(Q260/Q444, "NA")</f>
        <v>4.5445585911259144E-4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-2695.91</v>
      </c>
      <c r="X260" s="8">
        <f>IFERROR(W260/W444, "NA")</f>
        <v>7.0917237767656929E-3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-2695.91</v>
      </c>
      <c r="AD260" s="8">
        <f>IFERROR(AC260/AC444, "NA")</f>
        <v>-8.4993502162252054E-3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42575.389999999992</v>
      </c>
      <c r="C262" s="15">
        <f>IFERROR(B262/B444, "NA")</f>
        <v>7.4142519790951864E-2</v>
      </c>
      <c r="D262" s="2"/>
      <c r="E262" s="14">
        <f>IFERROR(E240+E241+E242+E243+E244+E245+E246+E247+E248+E249+E250+E251+E252+E253+E254+E255+E256+E257+E258+E259+E260+E261, "NA")</f>
        <v>43705.929999999993</v>
      </c>
      <c r="F262" s="15">
        <f>IFERROR(E262/E444, "NA")</f>
        <v>6.5071061804625047E-2</v>
      </c>
      <c r="G262" s="2"/>
      <c r="H262" s="14">
        <f t="shared" si="64"/>
        <v>1130.5400000000009</v>
      </c>
      <c r="I262" s="15">
        <f>IFERROR(H262/H444, "NA")</f>
        <v>-1.1603915364313114E-2</v>
      </c>
      <c r="J262" s="2"/>
      <c r="K262" s="14">
        <f>IFERROR(K240+K241+K242+K243+K244+K245+K246+K247+K248+K249+K250+K251+K252+K253+K254+K255+K256+K257+K258+K259+K260+K261, "NA")</f>
        <v>42898.360000000008</v>
      </c>
      <c r="L262" s="15">
        <f>IFERROR(K262/K444, "NA")</f>
        <v>6.9511903590790056E-2</v>
      </c>
      <c r="M262" s="2"/>
      <c r="N262" s="14">
        <f t="shared" si="65"/>
        <v>322.97000000001572</v>
      </c>
      <c r="O262" s="15">
        <f>IFERROR(N262/N444, "NA")</f>
        <v>-7.5284856105158667E-3</v>
      </c>
      <c r="P262" s="2"/>
      <c r="Q262" s="14">
        <f>IFERROR(Q240+Q241+Q242+Q243+Q244+Q245+Q246+Q247+Q248+Q249+Q250+Q251+Q252+Q253+Q254+Q255+Q256+Q257+Q258+Q259+Q260+Q261, "NA")</f>
        <v>407542.72999999992</v>
      </c>
      <c r="R262" s="15">
        <f>IFERROR(Q262/Q444, "NA")</f>
        <v>6.8700431945888721E-2</v>
      </c>
      <c r="S262" s="2"/>
      <c r="T262" s="14">
        <f>IFERROR(T240+T241+T242+T243+T244+T245+T246+T247+T248+T249+T250+T251+T252+T253+T254+T255+T256+T257+T258+T259+T260+T261, "NA")</f>
        <v>403426.34</v>
      </c>
      <c r="U262" s="15">
        <f>IFERROR(T262/T444, "NA")</f>
        <v>6.3910945073198555E-2</v>
      </c>
      <c r="V262" s="2"/>
      <c r="W262" s="14">
        <f t="shared" si="66"/>
        <v>-4116.3899999998976</v>
      </c>
      <c r="X262" s="15">
        <f>IFERROR(W262/W444, "NA")</f>
        <v>1.0828366242730583E-2</v>
      </c>
      <c r="Y262" s="2"/>
      <c r="Z262" s="14">
        <f>IFERROR(Z240+Z241+Z242+Z243+Z244+Z245+Z246+Z247+Z248+Z249+Z250+Z251+Z252+Z253+Z254+Z255+Z256+Z257+Z258+Z259+Z260+Z261, "NA")</f>
        <v>363341.78</v>
      </c>
      <c r="AA262" s="15">
        <f>IFERROR(Z262/Z444, "NA")</f>
        <v>6.4709349799492472E-2</v>
      </c>
      <c r="AB262" s="2"/>
      <c r="AC262" s="14">
        <f t="shared" si="67"/>
        <v>-44200.949999999895</v>
      </c>
      <c r="AD262" s="15">
        <f>IFERROR(AC262/AC444, "NA")</f>
        <v>-0.13935159331723188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42575.389999999992</v>
      </c>
      <c r="C263" s="15">
        <f>IFERROR(B263/B444, "NA")</f>
        <v>7.4142519790951864E-2</v>
      </c>
      <c r="D263" s="2"/>
      <c r="E263" s="14">
        <f>IFERROR(E238+E240+E241+E242+E243+E244+E245+E246+E247+E248+E249+E250+E251+E252+E253+E254+E255+E256+E257+E258+E259+E260+E261, "NA")</f>
        <v>43705.929999999993</v>
      </c>
      <c r="F263" s="15">
        <f>IFERROR(E263/E444, "NA")</f>
        <v>6.5071061804625047E-2</v>
      </c>
      <c r="G263" s="2"/>
      <c r="H263" s="14">
        <f t="shared" si="64"/>
        <v>1130.5400000000009</v>
      </c>
      <c r="I263" s="15">
        <f>IFERROR(H263/H444, "NA")</f>
        <v>-1.1603915364313114E-2</v>
      </c>
      <c r="J263" s="2"/>
      <c r="K263" s="14">
        <f>IFERROR(K238+K240+K241+K242+K243+K244+K245+K246+K247+K248+K249+K250+K251+K252+K253+K254+K255+K256+K257+K258+K259+K260+K261, "NA")</f>
        <v>42898.360000000008</v>
      </c>
      <c r="L263" s="15">
        <f>IFERROR(K263/K444, "NA")</f>
        <v>6.9511903590790056E-2</v>
      </c>
      <c r="M263" s="2"/>
      <c r="N263" s="14">
        <f t="shared" si="65"/>
        <v>322.97000000001572</v>
      </c>
      <c r="O263" s="15">
        <f>IFERROR(N263/N444, "NA")</f>
        <v>-7.5284856105158667E-3</v>
      </c>
      <c r="P263" s="2"/>
      <c r="Q263" s="14">
        <f>IFERROR(Q238+Q240+Q241+Q242+Q243+Q244+Q245+Q246+Q247+Q248+Q249+Q250+Q251+Q252+Q253+Q254+Q255+Q256+Q257+Q258+Q259+Q260+Q261, "NA")</f>
        <v>407542.72999999992</v>
      </c>
      <c r="R263" s="15">
        <f>IFERROR(Q263/Q444, "NA")</f>
        <v>6.8700431945888721E-2</v>
      </c>
      <c r="S263" s="2"/>
      <c r="T263" s="14">
        <f>IFERROR(T238+T240+T241+T242+T243+T244+T245+T246+T247+T248+T249+T250+T251+T252+T253+T254+T255+T256+T257+T258+T259+T260+T261, "NA")</f>
        <v>403426.34</v>
      </c>
      <c r="U263" s="15">
        <f>IFERROR(T263/T444, "NA")</f>
        <v>6.3910945073198555E-2</v>
      </c>
      <c r="V263" s="2"/>
      <c r="W263" s="14">
        <f t="shared" si="66"/>
        <v>-4116.3899999998976</v>
      </c>
      <c r="X263" s="15">
        <f>IFERROR(W263/W444, "NA")</f>
        <v>1.0828366242730583E-2</v>
      </c>
      <c r="Y263" s="2"/>
      <c r="Z263" s="14">
        <f>IFERROR(Z238+Z240+Z241+Z242+Z243+Z244+Z245+Z246+Z247+Z248+Z249+Z250+Z251+Z252+Z253+Z254+Z255+Z256+Z257+Z258+Z259+Z260+Z261, "NA")</f>
        <v>363341.78</v>
      </c>
      <c r="AA263" s="15">
        <f>IFERROR(Z263/Z444, "NA")</f>
        <v>6.4709349799492472E-2</v>
      </c>
      <c r="AB263" s="2"/>
      <c r="AC263" s="14">
        <f t="shared" si="67"/>
        <v>-44200.949999999895</v>
      </c>
      <c r="AD263" s="15">
        <f>IFERROR(AC263/AC444, "NA")</f>
        <v>-0.13935159331723188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15107.149999999998</v>
      </c>
      <c r="C265" s="8">
        <f>IFERROR(B265/B444, "NA")</f>
        <v>2.6308206873968235E-2</v>
      </c>
      <c r="D265" s="9"/>
      <c r="E265" s="7">
        <v>17911.420000000002</v>
      </c>
      <c r="F265" s="8">
        <f>IFERROR(E265/E444, "NA")</f>
        <v>2.6667207809754817E-2</v>
      </c>
      <c r="G265" s="9"/>
      <c r="H265" s="10">
        <f>IFERROR(-(B265-E265), "NA")</f>
        <v>2804.2700000000041</v>
      </c>
      <c r="I265" s="8">
        <f>IFERROR(H265/H444, "NA")</f>
        <v>-2.8783158259488701E-2</v>
      </c>
      <c r="J265" s="9"/>
      <c r="K265" s="7">
        <v>15204.73</v>
      </c>
      <c r="L265" s="8">
        <f>IFERROR(K265/K444, "NA")</f>
        <v>2.4637532201324083E-2</v>
      </c>
      <c r="M265" s="9"/>
      <c r="N265" s="10">
        <f>IFERROR(-(B265-K265), "NA")</f>
        <v>97.580000000001746</v>
      </c>
      <c r="O265" s="8">
        <f>IFERROR(N265/N444, "NA")</f>
        <v>-2.2746063902966706E-3</v>
      </c>
      <c r="P265" s="9"/>
      <c r="Q265" s="7">
        <v>154835.67000000001</v>
      </c>
      <c r="R265" s="8">
        <f>IFERROR(Q265/Q444, "NA")</f>
        <v>2.6101011321269518E-2</v>
      </c>
      <c r="S265" s="9"/>
      <c r="T265" s="7">
        <v>169959.52000000002</v>
      </c>
      <c r="U265" s="8">
        <f>IFERROR(T265/T444, "NA")</f>
        <v>2.6925047946515322E-2</v>
      </c>
      <c r="V265" s="9"/>
      <c r="W265" s="10">
        <f>IFERROR(-(Q265-T265), "NA")</f>
        <v>15123.850000000006</v>
      </c>
      <c r="X265" s="8">
        <f>IFERROR(W265/W444, "NA")</f>
        <v>-3.9784030862023534E-2</v>
      </c>
      <c r="Y265" s="9"/>
      <c r="Z265" s="7">
        <v>151020.13</v>
      </c>
      <c r="AA265" s="8">
        <f>IFERROR(Z265/Z444, "NA")</f>
        <v>2.6895928177967387E-2</v>
      </c>
      <c r="AB265" s="9"/>
      <c r="AC265" s="10">
        <f>IFERROR(-(Q265-Z265), "NA")</f>
        <v>-3815.5400000000081</v>
      </c>
      <c r="AD265" s="8">
        <f>IFERROR(AC265/AC444, "NA")</f>
        <v>-1.2029188928419712E-2</v>
      </c>
    </row>
    <row r="266" spans="1:30" ht="16.5" customHeight="1" x14ac:dyDescent="0.45">
      <c r="A266" s="6" t="s">
        <v>242</v>
      </c>
      <c r="B266" s="7">
        <v>63.339999999999996</v>
      </c>
      <c r="C266" s="8">
        <f>IFERROR(B266/B444, "NA")</f>
        <v>1.1030285814314071E-4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-63.339999999999996</v>
      </c>
      <c r="I266" s="8">
        <f>IFERROR(H266/H444, "NA")</f>
        <v>6.5012471843153895E-4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-63.339999999999996</v>
      </c>
      <c r="O266" s="8">
        <f>IFERROR(N266/N444, "NA")</f>
        <v>1.4764661689012967E-3</v>
      </c>
      <c r="P266" s="9"/>
      <c r="Q266" s="7">
        <v>1710.6499999999999</v>
      </c>
      <c r="R266" s="8">
        <f>IFERROR(Q266/Q444, "NA")</f>
        <v>2.8836827467940493E-4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-1710.6499999999999</v>
      </c>
      <c r="X266" s="8">
        <f>IFERROR(W266/W444, "NA")</f>
        <v>4.4999489147353701E-3</v>
      </c>
      <c r="Y266" s="9"/>
      <c r="Z266" s="7">
        <v>392.65</v>
      </c>
      <c r="AA266" s="8">
        <f>IFERROR(Z266/Z444, "NA")</f>
        <v>6.9928996876634218E-5</v>
      </c>
      <c r="AB266" s="9"/>
      <c r="AC266" s="10">
        <f>IFERROR(-(Q266-Z266), "NA")</f>
        <v>-1318</v>
      </c>
      <c r="AD266" s="8">
        <f>IFERROR(AC266/AC444, "NA")</f>
        <v>-4.1552364822953361E-3</v>
      </c>
    </row>
    <row r="267" spans="1:30" ht="16.5" customHeight="1" x14ac:dyDescent="0.45">
      <c r="A267" s="19" t="s">
        <v>243</v>
      </c>
      <c r="B267" s="14">
        <f>IFERROR(B265+B266, "NA")</f>
        <v>15170.489999999998</v>
      </c>
      <c r="C267" s="15">
        <f>IFERROR(B267/B444, "NA")</f>
        <v>2.6418509732111375E-2</v>
      </c>
      <c r="D267" s="2"/>
      <c r="E267" s="14">
        <f>IFERROR(E265+E266, "NA")</f>
        <v>17911.420000000002</v>
      </c>
      <c r="F267" s="15">
        <f>IFERROR(E267/E444, "NA")</f>
        <v>2.6667207809754817E-2</v>
      </c>
      <c r="G267" s="2"/>
      <c r="H267" s="14">
        <f>IFERROR(-(B267-E267), "NA")</f>
        <v>2740.9300000000039</v>
      </c>
      <c r="I267" s="15">
        <f>IFERROR(H267/H444, "NA")</f>
        <v>-2.8133033541057163E-2</v>
      </c>
      <c r="J267" s="2"/>
      <c r="K267" s="14">
        <f>IFERROR(K265+K266, "NA")</f>
        <v>15204.73</v>
      </c>
      <c r="L267" s="15">
        <f>IFERROR(K267/K444, "NA")</f>
        <v>2.4637532201324083E-2</v>
      </c>
      <c r="M267" s="2"/>
      <c r="N267" s="14">
        <f>IFERROR(-(B267-K267), "NA")</f>
        <v>34.240000000001601</v>
      </c>
      <c r="O267" s="15">
        <f>IFERROR(N267/N444, "NA")</f>
        <v>-7.9814022139537049E-4</v>
      </c>
      <c r="P267" s="2"/>
      <c r="Q267" s="14">
        <f>IFERROR(Q265+Q266, "NA")</f>
        <v>156546.32</v>
      </c>
      <c r="R267" s="15">
        <f>IFERROR(Q267/Q444, "NA")</f>
        <v>2.6389379595948923E-2</v>
      </c>
      <c r="S267" s="2"/>
      <c r="T267" s="14">
        <f>IFERROR(T265+T266, "NA")</f>
        <v>169959.52000000002</v>
      </c>
      <c r="U267" s="15">
        <f>IFERROR(T267/T444, "NA")</f>
        <v>2.6925047946515322E-2</v>
      </c>
      <c r="V267" s="2"/>
      <c r="W267" s="14">
        <f>IFERROR(-(Q267-T267), "NA")</f>
        <v>13413.200000000012</v>
      </c>
      <c r="X267" s="15">
        <f>IFERROR(W267/W444, "NA")</f>
        <v>-3.528408194728818E-2</v>
      </c>
      <c r="Y267" s="2"/>
      <c r="Z267" s="14">
        <f>IFERROR(Z265+Z266, "NA")</f>
        <v>151412.78</v>
      </c>
      <c r="AA267" s="15">
        <f>IFERROR(Z267/Z444, "NA")</f>
        <v>2.6965857174844021E-2</v>
      </c>
      <c r="AB267" s="2"/>
      <c r="AC267" s="14">
        <f>IFERROR(-(Q267-Z267), "NA")</f>
        <v>-5133.5400000000081</v>
      </c>
      <c r="AD267" s="15">
        <f>IFERROR(AC267/AC444, "NA")</f>
        <v>-1.6184425410715051E-2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1055.52</v>
      </c>
      <c r="C270" s="8">
        <f>IFERROR(B270/B444, "NA")</f>
        <v>1.8381255577399414E-3</v>
      </c>
      <c r="D270" s="9"/>
      <c r="E270" s="7">
        <v>941.39999999999986</v>
      </c>
      <c r="F270" s="8">
        <f>IFERROR(E270/E444, "NA")</f>
        <v>1.4015923601871419E-3</v>
      </c>
      <c r="G270" s="9"/>
      <c r="H270" s="10">
        <f>IFERROR(-(B270-E270), "NA")</f>
        <v>-114.12000000000012</v>
      </c>
      <c r="I270" s="8">
        <f>IFERROR(H270/H444, "NA")</f>
        <v>1.1713330102211446E-3</v>
      </c>
      <c r="J270" s="9"/>
      <c r="K270" s="7">
        <v>1104.3699999999999</v>
      </c>
      <c r="L270" s="8">
        <f>IFERROR(K270/K444, "NA")</f>
        <v>1.7895057286236768E-3</v>
      </c>
      <c r="M270" s="9"/>
      <c r="N270" s="10">
        <f>IFERROR(-(B270-K270), "NA")</f>
        <v>48.849999999999909</v>
      </c>
      <c r="O270" s="8">
        <f>IFERROR(N270/N444, "NA")</f>
        <v>-1.138701805349356E-3</v>
      </c>
      <c r="P270" s="9"/>
      <c r="Q270" s="7">
        <v>11337.509999999998</v>
      </c>
      <c r="R270" s="8">
        <f>IFERROR(Q270/Q444, "NA")</f>
        <v>1.9111905988136088E-3</v>
      </c>
      <c r="S270" s="9"/>
      <c r="T270" s="7">
        <v>10110.86</v>
      </c>
      <c r="U270" s="8">
        <f>IFERROR(T270/T444, "NA")</f>
        <v>1.6017660574735907E-3</v>
      </c>
      <c r="V270" s="9"/>
      <c r="W270" s="10">
        <f>IFERROR(-(Q270-T270), "NA")</f>
        <v>-1226.6499999999978</v>
      </c>
      <c r="X270" s="8">
        <f>IFERROR(W270/W444, "NA")</f>
        <v>3.2267631229416492E-3</v>
      </c>
      <c r="Y270" s="9"/>
      <c r="Z270" s="7">
        <v>10011.109999999999</v>
      </c>
      <c r="AA270" s="8">
        <f>IFERROR(Z270/Z444, "NA")</f>
        <v>1.7829285111973553E-3</v>
      </c>
      <c r="AB270" s="9"/>
      <c r="AC270" s="10">
        <f>IFERROR(-(Q270-Z270), "NA")</f>
        <v>-1326.3999999999996</v>
      </c>
      <c r="AD270" s="8">
        <f>IFERROR(AC270/AC444, "NA")</f>
        <v>-4.1817190213327259E-3</v>
      </c>
    </row>
    <row r="271" spans="1:30" ht="16.5" customHeight="1" x14ac:dyDescent="0.45">
      <c r="A271" s="6" t="s">
        <v>246</v>
      </c>
      <c r="B271" s="7">
        <v>5248</v>
      </c>
      <c r="C271" s="8">
        <f>IFERROR(B271/B444, "NA")</f>
        <v>9.1390811420145636E-3</v>
      </c>
      <c r="D271" s="9"/>
      <c r="E271" s="7">
        <v>4304.5199999999995</v>
      </c>
      <c r="F271" s="8">
        <f>IFERROR(E271/E444, "NA")</f>
        <v>6.4087341685497732E-3</v>
      </c>
      <c r="G271" s="9"/>
      <c r="H271" s="10">
        <f>IFERROR(-(B271-E271), "NA")</f>
        <v>-943.48000000000047</v>
      </c>
      <c r="I271" s="8">
        <f>IFERROR(H271/H444, "NA")</f>
        <v>9.6839227872716881E-3</v>
      </c>
      <c r="J271" s="9"/>
      <c r="K271" s="7">
        <v>3693.0299999999997</v>
      </c>
      <c r="L271" s="8">
        <f>IFERROR(K271/K444, "NA")</f>
        <v>5.9841342493721283E-3</v>
      </c>
      <c r="M271" s="9"/>
      <c r="N271" s="10">
        <f>IFERROR(-(B271-K271), "NA")</f>
        <v>-1554.9700000000003</v>
      </c>
      <c r="O271" s="8">
        <f>IFERROR(N271/N444, "NA")</f>
        <v>3.6246615071936369E-2</v>
      </c>
      <c r="P271" s="9"/>
      <c r="Q271" s="7">
        <v>50015.240000000005</v>
      </c>
      <c r="R271" s="8">
        <f>IFERROR(Q271/Q444, "NA")</f>
        <v>8.4311860792542978E-3</v>
      </c>
      <c r="S271" s="9"/>
      <c r="T271" s="7">
        <v>41164.949999999997</v>
      </c>
      <c r="U271" s="8">
        <f>IFERROR(T271/T444, "NA")</f>
        <v>6.5213661021512985E-3</v>
      </c>
      <c r="V271" s="9"/>
      <c r="W271" s="10">
        <f>IFERROR(-(Q271-T271), "NA")</f>
        <v>-8850.2900000000081</v>
      </c>
      <c r="X271" s="8">
        <f>IFERROR(W271/W444, "NA")</f>
        <v>2.3281122895152918E-2</v>
      </c>
      <c r="Y271" s="9"/>
      <c r="Z271" s="7">
        <v>38911.740000000005</v>
      </c>
      <c r="AA271" s="8">
        <f>IFERROR(Z271/Z444, "NA")</f>
        <v>6.9299858523479011E-3</v>
      </c>
      <c r="AB271" s="9"/>
      <c r="AC271" s="10">
        <f>IFERROR(-(Q271-Z271), "NA")</f>
        <v>-11103.5</v>
      </c>
      <c r="AD271" s="8">
        <f>IFERROR(AC271/AC444, "NA")</f>
        <v>-3.5005818119246031E-2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6303.52</v>
      </c>
      <c r="C273" s="15">
        <f>IFERROR(B273/B444, "NA")</f>
        <v>1.0977206699754506E-2</v>
      </c>
      <c r="D273" s="2"/>
      <c r="E273" s="14">
        <f>IFERROR(E269+E270+E271+E272, "NA")</f>
        <v>5245.9199999999992</v>
      </c>
      <c r="F273" s="15">
        <f>IFERROR(E273/E444, "NA")</f>
        <v>7.8103265287369147E-3</v>
      </c>
      <c r="G273" s="2"/>
      <c r="H273" s="14">
        <f>IFERROR(-(B273-E273), "NA")</f>
        <v>-1057.6000000000013</v>
      </c>
      <c r="I273" s="15">
        <f>IFERROR(H273/H444, "NA")</f>
        <v>1.0855255797492839E-2</v>
      </c>
      <c r="J273" s="2"/>
      <c r="K273" s="14">
        <f>IFERROR(K269+K270+K271+K272, "NA")</f>
        <v>4797.3999999999996</v>
      </c>
      <c r="L273" s="15">
        <f>IFERROR(K273/K444, "NA")</f>
        <v>7.7736399779958047E-3</v>
      </c>
      <c r="M273" s="2"/>
      <c r="N273" s="14">
        <f>IFERROR(-(B273-K273), "NA")</f>
        <v>-1506.1200000000008</v>
      </c>
      <c r="O273" s="15">
        <f>IFERROR(N273/N444, "NA")</f>
        <v>3.5107913266587028E-2</v>
      </c>
      <c r="P273" s="2"/>
      <c r="Q273" s="14">
        <f>IFERROR(Q269+Q270+Q271+Q272, "NA")</f>
        <v>61352.75</v>
      </c>
      <c r="R273" s="15">
        <f>IFERROR(Q273/Q444, "NA")</f>
        <v>1.0342376678067906E-2</v>
      </c>
      <c r="S273" s="2"/>
      <c r="T273" s="14">
        <f>IFERROR(T269+T270+T271+T272, "NA")</f>
        <v>51275.81</v>
      </c>
      <c r="U273" s="15">
        <f>IFERROR(T273/T444, "NA")</f>
        <v>8.1231321596248896E-3</v>
      </c>
      <c r="V273" s="2"/>
      <c r="W273" s="14">
        <f>IFERROR(-(Q273-T273), "NA")</f>
        <v>-10076.940000000002</v>
      </c>
      <c r="X273" s="15">
        <f>IFERROR(W273/W444, "NA")</f>
        <v>2.6507886018094558E-2</v>
      </c>
      <c r="Y273" s="2"/>
      <c r="Z273" s="14">
        <f>IFERROR(Z269+Z270+Z271+Z272, "NA")</f>
        <v>48922.850000000006</v>
      </c>
      <c r="AA273" s="15">
        <f>IFERROR(Z273/Z444, "NA")</f>
        <v>8.7129143635452568E-3</v>
      </c>
      <c r="AB273" s="2"/>
      <c r="AC273" s="14">
        <f>IFERROR(-(Q273-Z273), "NA")</f>
        <v>-12429.899999999994</v>
      </c>
      <c r="AD273" s="15">
        <f>IFERROR(AC273/AC444, "NA")</f>
        <v>-3.9187537140578738E-2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1.6901205070044578E-3</v>
      </c>
      <c r="D287" s="9"/>
      <c r="E287" s="7">
        <v>2703</v>
      </c>
      <c r="F287" s="8">
        <f>IFERROR(E287/E444, "NA")</f>
        <v>4.0243298805883211E-3</v>
      </c>
      <c r="G287" s="9"/>
      <c r="H287" s="10">
        <f t="shared" si="72"/>
        <v>1732.47</v>
      </c>
      <c r="I287" s="8">
        <f>IFERROR(H287/H444, "NA")</f>
        <v>-1.7782152998754158E-2</v>
      </c>
      <c r="J287" s="9"/>
      <c r="K287" s="7">
        <v>970.53</v>
      </c>
      <c r="L287" s="8">
        <f>IFERROR(K287/K444, "NA")</f>
        <v>1.5726332613174364E-3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9705.2999999999993</v>
      </c>
      <c r="R287" s="8">
        <f>IFERROR(Q287/Q444, "NA")</f>
        <v>1.6360451385415069E-3</v>
      </c>
      <c r="S287" s="9"/>
      <c r="T287" s="7">
        <v>27030</v>
      </c>
      <c r="U287" s="8">
        <f>IFERROR(T287/T444, "NA")</f>
        <v>4.2821022676123649E-3</v>
      </c>
      <c r="V287" s="9"/>
      <c r="W287" s="10">
        <f t="shared" si="74"/>
        <v>17324.7</v>
      </c>
      <c r="X287" s="8">
        <f>IFERROR(W287/W444, "NA")</f>
        <v>-4.5573474973323515E-2</v>
      </c>
      <c r="Y287" s="9"/>
      <c r="Z287" s="7">
        <v>9705.2999999999993</v>
      </c>
      <c r="AA287" s="8">
        <f>IFERROR(Z287/Z444, "NA")</f>
        <v>1.7284652830429085E-3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765.99</v>
      </c>
      <c r="C288" s="8">
        <f>IFERROR(B288/B444, "NA")</f>
        <v>1.3339262126470532E-3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-765.99</v>
      </c>
      <c r="I288" s="8">
        <f>IFERROR(H288/H444, "NA")</f>
        <v>7.8621571372177856E-3</v>
      </c>
      <c r="J288" s="9"/>
      <c r="K288" s="7">
        <v>750.86</v>
      </c>
      <c r="L288" s="8">
        <f>IFERROR(K288/K444, "NA")</f>
        <v>1.2166830603822759E-3</v>
      </c>
      <c r="M288" s="9"/>
      <c r="N288" s="10">
        <f t="shared" si="73"/>
        <v>-15.129999999999995</v>
      </c>
      <c r="O288" s="8">
        <f>IFERROR(N288/N444, "NA")</f>
        <v>3.5268287236306622E-4</v>
      </c>
      <c r="P288" s="9"/>
      <c r="Q288" s="7">
        <v>8575.73</v>
      </c>
      <c r="R288" s="8">
        <f>IFERROR(Q288/Q444, "NA")</f>
        <v>1.4456308796167616E-3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-8575.73</v>
      </c>
      <c r="X288" s="8">
        <f>IFERROR(W288/W444, "NA")</f>
        <v>2.2558879318717188E-2</v>
      </c>
      <c r="Y288" s="9"/>
      <c r="Z288" s="7">
        <v>6963.99</v>
      </c>
      <c r="AA288" s="8">
        <f>IFERROR(Z288/Z444, "NA")</f>
        <v>1.24025171261661E-3</v>
      </c>
      <c r="AB288" s="9"/>
      <c r="AC288" s="10">
        <f t="shared" si="75"/>
        <v>-1611.7399999999998</v>
      </c>
      <c r="AD288" s="8">
        <f>IFERROR(AC288/AC444, "NA")</f>
        <v>-5.0813056509671356E-3</v>
      </c>
    </row>
    <row r="289" spans="1:30" ht="16.5" customHeight="1" x14ac:dyDescent="0.45">
      <c r="A289" s="6" t="s">
        <v>262</v>
      </c>
      <c r="B289" s="7">
        <v>1148.97</v>
      </c>
      <c r="C289" s="8">
        <f>IFERROR(B289/B444, "NA")</f>
        <v>2.0008631973590842E-3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-1148.97</v>
      </c>
      <c r="I289" s="8">
        <f>IFERROR(H289/H444, "NA")</f>
        <v>1.1793081745126071E-2</v>
      </c>
      <c r="J289" s="9"/>
      <c r="K289" s="7">
        <v>1206.8799999999999</v>
      </c>
      <c r="L289" s="8">
        <f>IFERROR(K289/K444, "NA")</f>
        <v>1.9556115013639841E-3</v>
      </c>
      <c r="M289" s="9"/>
      <c r="N289" s="10">
        <f t="shared" si="73"/>
        <v>57.909999999999854</v>
      </c>
      <c r="O289" s="8">
        <f>IFERROR(N289/N444, "NA")</f>
        <v>-1.3498919457068815E-3</v>
      </c>
      <c r="P289" s="9"/>
      <c r="Q289" s="7">
        <v>10861.359999999999</v>
      </c>
      <c r="R289" s="8">
        <f>IFERROR(Q289/Q444, "NA")</f>
        <v>1.8309248787723388E-3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-10861.359999999999</v>
      </c>
      <c r="X289" s="8">
        <f>IFERROR(W289/W444, "NA")</f>
        <v>2.8571341387513612E-2</v>
      </c>
      <c r="Y289" s="9"/>
      <c r="Z289" s="7">
        <v>10279.27</v>
      </c>
      <c r="AA289" s="8">
        <f>IFERROR(Z289/Z444, "NA")</f>
        <v>1.8306864630690943E-3</v>
      </c>
      <c r="AB289" s="9"/>
      <c r="AC289" s="10">
        <f t="shared" si="75"/>
        <v>-582.08999999999833</v>
      </c>
      <c r="AD289" s="8">
        <f>IFERROR(AC289/AC444, "NA")</f>
        <v>-1.8351453747946021E-3</v>
      </c>
    </row>
    <row r="290" spans="1:30" ht="16.5" customHeight="1" x14ac:dyDescent="0.45">
      <c r="A290" s="6" t="s">
        <v>263</v>
      </c>
      <c r="B290" s="7">
        <v>1105.17</v>
      </c>
      <c r="C290" s="8">
        <f>IFERROR(B290/B444, "NA")</f>
        <v>1.9245880917912034E-3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-1105.17</v>
      </c>
      <c r="I290" s="8">
        <f>IFERROR(H290/H444, "NA")</f>
        <v>1.1343516499352446E-2</v>
      </c>
      <c r="J290" s="9"/>
      <c r="K290" s="7">
        <v>933.35</v>
      </c>
      <c r="L290" s="8">
        <f>IFERROR(K290/K444, "NA")</f>
        <v>1.5123873084300632E-3</v>
      </c>
      <c r="M290" s="9"/>
      <c r="N290" s="10">
        <f t="shared" si="73"/>
        <v>-171.82000000000005</v>
      </c>
      <c r="O290" s="8">
        <f>IFERROR(N290/N444, "NA")</f>
        <v>4.0051534123874471E-3</v>
      </c>
      <c r="P290" s="9"/>
      <c r="Q290" s="7">
        <v>32749.58</v>
      </c>
      <c r="R290" s="8">
        <f>IFERROR(Q290/Q444, "NA")</f>
        <v>5.5206733587087643E-3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-32749.58</v>
      </c>
      <c r="X290" s="8">
        <f>IFERROR(W290/W444, "NA")</f>
        <v>8.6149380047957913E-2</v>
      </c>
      <c r="Y290" s="9"/>
      <c r="Z290" s="7">
        <v>20211.100000000002</v>
      </c>
      <c r="AA290" s="8">
        <f>IFERROR(Z290/Z444, "NA")</f>
        <v>3.5994956036504316E-3</v>
      </c>
      <c r="AB290" s="9"/>
      <c r="AC290" s="10">
        <f t="shared" si="75"/>
        <v>-12538.48</v>
      </c>
      <c r="AD290" s="8">
        <f>IFERROR(AC290/AC444, "NA")</f>
        <v>-3.9529855484469217E-2</v>
      </c>
    </row>
    <row r="291" spans="1:30" ht="16.5" customHeight="1" x14ac:dyDescent="0.45">
      <c r="A291" s="6" t="s">
        <v>264</v>
      </c>
      <c r="B291" s="7">
        <v>4043.0699999999997</v>
      </c>
      <c r="C291" s="8">
        <f>IFERROR(B291/B444, "NA")</f>
        <v>7.0407669193682963E-3</v>
      </c>
      <c r="D291" s="9"/>
      <c r="E291" s="7">
        <v>8344.2900000000009</v>
      </c>
      <c r="F291" s="8">
        <f>IFERROR(E291/E444, "NA")</f>
        <v>1.2423298401514734E-2</v>
      </c>
      <c r="G291" s="9"/>
      <c r="H291" s="10">
        <f t="shared" si="72"/>
        <v>4301.2200000000012</v>
      </c>
      <c r="I291" s="8">
        <f>IFERROR(H291/H444, "NA")</f>
        <v>-4.4147922977772418E-2</v>
      </c>
      <c r="J291" s="9"/>
      <c r="K291" s="7">
        <v>6322.69</v>
      </c>
      <c r="L291" s="8">
        <f>IFERROR(K291/K444, "NA")</f>
        <v>1.0245198597672551E-2</v>
      </c>
      <c r="M291" s="9"/>
      <c r="N291" s="10">
        <f t="shared" si="73"/>
        <v>2279.62</v>
      </c>
      <c r="O291" s="8">
        <f>IFERROR(N291/N444, "NA")</f>
        <v>-5.3138329775035902E-2</v>
      </c>
      <c r="P291" s="9"/>
      <c r="Q291" s="7">
        <v>40011.530000000006</v>
      </c>
      <c r="R291" s="8">
        <f>IFERROR(Q291/Q444, "NA")</f>
        <v>6.7448372685138709E-3</v>
      </c>
      <c r="S291" s="9"/>
      <c r="T291" s="7">
        <v>77902.39</v>
      </c>
      <c r="U291" s="8">
        <f>IFERROR(T291/T444, "NA")</f>
        <v>1.2341324486549125E-2</v>
      </c>
      <c r="V291" s="9"/>
      <c r="W291" s="10">
        <f t="shared" si="74"/>
        <v>37890.859999999993</v>
      </c>
      <c r="X291" s="8">
        <f>IFERROR(W291/W444, "NA")</f>
        <v>-9.9673769815795066E-2</v>
      </c>
      <c r="Y291" s="9"/>
      <c r="Z291" s="7">
        <v>26199.41</v>
      </c>
      <c r="AA291" s="8">
        <f>IFERROR(Z291/Z444, "NA")</f>
        <v>4.66598359877667E-3</v>
      </c>
      <c r="AB291" s="9"/>
      <c r="AC291" s="10">
        <f t="shared" si="75"/>
        <v>-13812.120000000006</v>
      </c>
      <c r="AD291" s="8">
        <f>IFERROR(AC291/AC444, "NA")</f>
        <v>-4.3545238939181399E-2</v>
      </c>
    </row>
    <row r="292" spans="1:30" ht="16.5" customHeight="1" x14ac:dyDescent="0.45">
      <c r="A292" s="6" t="s">
        <v>265</v>
      </c>
      <c r="B292" s="7">
        <v>764.2</v>
      </c>
      <c r="C292" s="8">
        <f>IFERROR(B292/B444, "NA")</f>
        <v>1.3308090336752152E-3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-764.2</v>
      </c>
      <c r="I292" s="8">
        <f>IFERROR(H292/H444, "NA")</f>
        <v>7.8437844936119685E-3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-764.2</v>
      </c>
      <c r="O292" s="8">
        <f>IFERROR(N292/N444, "NA")</f>
        <v>1.7813631927287198E-2</v>
      </c>
      <c r="P292" s="9"/>
      <c r="Q292" s="7">
        <v>7487.5999999999995</v>
      </c>
      <c r="R292" s="8">
        <f>IFERROR(Q292/Q444, "NA")</f>
        <v>1.2622022584921008E-3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-7487.5999999999995</v>
      </c>
      <c r="X292" s="8">
        <f>IFERROR(W292/W444, "NA")</f>
        <v>1.9696499864947568E-2</v>
      </c>
      <c r="Y292" s="9"/>
      <c r="Z292" s="7">
        <v>5433.2</v>
      </c>
      <c r="AA292" s="8">
        <f>IFERROR(Z292/Z444, "NA")</f>
        <v>9.6762568656597232E-4</v>
      </c>
      <c r="AB292" s="9"/>
      <c r="AC292" s="10">
        <f t="shared" si="75"/>
        <v>-2054.3999999999996</v>
      </c>
      <c r="AD292" s="8">
        <f>IFERROR(AC292/AC444, "NA")</f>
        <v>-6.4768724045732454E-3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7774.96</v>
      </c>
      <c r="R293" s="8">
        <f>IFERROR(Q293/Q444, "NA")</f>
        <v>1.3106432063258915E-3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-7774.96</v>
      </c>
      <c r="X293" s="8">
        <f>IFERROR(W293/W444, "NA")</f>
        <v>2.0452414470587741E-2</v>
      </c>
      <c r="Y293" s="9"/>
      <c r="Z293" s="7">
        <v>9833.9000000000015</v>
      </c>
      <c r="AA293" s="8">
        <f>IFERROR(Z293/Z444, "NA")</f>
        <v>1.7513682984467932E-3</v>
      </c>
      <c r="AB293" s="9"/>
      <c r="AC293" s="10">
        <f t="shared" si="75"/>
        <v>2058.9400000000014</v>
      </c>
      <c r="AD293" s="8">
        <f>IFERROR(AC293/AC444, "NA")</f>
        <v>6.4911855863863171E-3</v>
      </c>
    </row>
    <row r="294" spans="1:30" ht="16.5" customHeight="1" x14ac:dyDescent="0.45">
      <c r="A294" s="6" t="s">
        <v>267</v>
      </c>
      <c r="B294" s="7">
        <v>1553.21</v>
      </c>
      <c r="C294" s="8">
        <f>IFERROR(B294/B444, "NA")</f>
        <v>2.7048232127645658E-3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-1553.21</v>
      </c>
      <c r="I294" s="8">
        <f>IFERROR(H294/H444, "NA")</f>
        <v>1.5942219986028586E-2</v>
      </c>
      <c r="J294" s="9"/>
      <c r="K294" s="7">
        <v>1703.28</v>
      </c>
      <c r="L294" s="8">
        <f>IFERROR(K294/K444, "NA")</f>
        <v>2.759971130554195E-3</v>
      </c>
      <c r="M294" s="9"/>
      <c r="N294" s="10">
        <f t="shared" si="73"/>
        <v>150.06999999999994</v>
      </c>
      <c r="O294" s="8">
        <f>IFERROR(N294/N444, "NA")</f>
        <v>-3.4981572145092754E-3</v>
      </c>
      <c r="P294" s="9"/>
      <c r="Q294" s="7">
        <v>18682.13</v>
      </c>
      <c r="R294" s="8">
        <f>IFERROR(Q294/Q444, "NA")</f>
        <v>3.1492903840273298E-3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-18682.13</v>
      </c>
      <c r="X294" s="8">
        <f>IFERROR(W294/W444, "NA")</f>
        <v>4.9144261314965139E-2</v>
      </c>
      <c r="Y294" s="9"/>
      <c r="Z294" s="7">
        <v>5758.6500000000005</v>
      </c>
      <c r="AA294" s="8">
        <f>IFERROR(Z294/Z444, "NA")</f>
        <v>1.0255867002766578E-3</v>
      </c>
      <c r="AB294" s="9"/>
      <c r="AC294" s="10">
        <f t="shared" si="75"/>
        <v>-12923.48</v>
      </c>
      <c r="AD294" s="8">
        <f>IFERROR(AC294/AC444, "NA")</f>
        <v>-4.0743638523682957E-2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10351.14</v>
      </c>
      <c r="C295" s="15">
        <f>IFERROR(B295/B444, "NA")</f>
        <v>1.8025897174609874E-2</v>
      </c>
      <c r="D295" s="2"/>
      <c r="E295" s="14">
        <f>IFERROR(E286+E287+E288+E289+E290+E291+E292+E293+E294, "NA")</f>
        <v>11047.29</v>
      </c>
      <c r="F295" s="15">
        <f>IFERROR(E295/E444, "NA")</f>
        <v>1.6447628282103055E-2</v>
      </c>
      <c r="G295" s="2"/>
      <c r="H295" s="14">
        <f t="shared" si="72"/>
        <v>696.15000000000146</v>
      </c>
      <c r="I295" s="15">
        <f>IFERROR(H295/H444, "NA")</f>
        <v>-7.1453161151897185E-3</v>
      </c>
      <c r="J295" s="2"/>
      <c r="K295" s="14">
        <f>IFERROR(K286+K287+K288+K289+K290+K291+K292+K293+K294, "NA")</f>
        <v>11887.59</v>
      </c>
      <c r="L295" s="15">
        <f>IFERROR(K295/K444, "NA")</f>
        <v>1.9262484859720506E-2</v>
      </c>
      <c r="M295" s="2"/>
      <c r="N295" s="14">
        <f t="shared" si="73"/>
        <v>1536.4500000000007</v>
      </c>
      <c r="O295" s="15">
        <f>IFERROR(N295/N444, "NA")</f>
        <v>-3.5814910723214376E-2</v>
      </c>
      <c r="P295" s="2"/>
      <c r="Q295" s="14">
        <f>IFERROR(Q286+Q287+Q288+Q289+Q290+Q291+Q292+Q293+Q294, "NA")</f>
        <v>135848.19</v>
      </c>
      <c r="R295" s="15">
        <f>IFERROR(Q295/Q444, "NA")</f>
        <v>2.2900247372998565E-2</v>
      </c>
      <c r="S295" s="2"/>
      <c r="T295" s="14">
        <f>IFERROR(T286+T287+T288+T289+T290+T291+T292+T293+T294, "NA")</f>
        <v>104932.39</v>
      </c>
      <c r="U295" s="15">
        <f>IFERROR(T295/T444, "NA")</f>
        <v>1.662342675416149E-2</v>
      </c>
      <c r="V295" s="2"/>
      <c r="W295" s="14">
        <f t="shared" si="74"/>
        <v>-30915.800000000003</v>
      </c>
      <c r="X295" s="15">
        <f>IFERROR(W295/W444, "NA")</f>
        <v>8.1325531615570559E-2</v>
      </c>
      <c r="Y295" s="2"/>
      <c r="Z295" s="14">
        <f>IFERROR(Z286+Z287+Z288+Z289+Z290+Z291+Z292+Z293+Z294, "NA")</f>
        <v>94384.82</v>
      </c>
      <c r="AA295" s="15">
        <f>IFERROR(Z295/Z444, "NA")</f>
        <v>1.6809463346445137E-2</v>
      </c>
      <c r="AB295" s="2"/>
      <c r="AC295" s="14">
        <f t="shared" si="75"/>
        <v>-41463.369999999995</v>
      </c>
      <c r="AD295" s="15">
        <f>IFERROR(AC295/AC444, "NA")</f>
        <v>-0.13072087079128222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8731.64</v>
      </c>
      <c r="F297" s="8">
        <f>IFERROR(E297/E444, "NA")</f>
        <v>1.2999999910669703E-2</v>
      </c>
      <c r="G297" s="9"/>
      <c r="H297" s="10">
        <f t="shared" ref="H297:H325" si="76">IFERROR(-(B297-E297), "NA")</f>
        <v>8731.64</v>
      </c>
      <c r="I297" s="8">
        <f>IFERROR(H297/H444, "NA")</f>
        <v>-8.9621960790109922E-2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82060.170000000013</v>
      </c>
      <c r="U297" s="8">
        <f>IFERROR(T297/T444, "NA")</f>
        <v>1.3000001481230344E-2</v>
      </c>
      <c r="V297" s="9"/>
      <c r="W297" s="10">
        <f t="shared" ref="W297:W325" si="78">IFERROR(-(Q297-T297), "NA")</f>
        <v>82060.170000000013</v>
      </c>
      <c r="X297" s="8">
        <f>IFERROR(W297/W444, "NA")</f>
        <v>-0.2158633109838366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3137.2</v>
      </c>
      <c r="C299" s="8">
        <f>IFERROR(B299/B444, "NA")</f>
        <v>5.4632479723186146E-3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-3137.2</v>
      </c>
      <c r="I299" s="8">
        <f>IFERROR(H299/H444, "NA")</f>
        <v>3.2200367329703564E-2</v>
      </c>
      <c r="J299" s="9"/>
      <c r="K299" s="7">
        <v>1731.83</v>
      </c>
      <c r="L299" s="8">
        <f>IFERROR(K299/K444, "NA")</f>
        <v>2.8062331519348969E-3</v>
      </c>
      <c r="M299" s="9"/>
      <c r="N299" s="10">
        <f t="shared" si="77"/>
        <v>-1405.37</v>
      </c>
      <c r="O299" s="8">
        <f>IFERROR(N299/N444, "NA")</f>
        <v>3.2759413637335255E-2</v>
      </c>
      <c r="P299" s="9"/>
      <c r="Q299" s="7">
        <v>24975.48</v>
      </c>
      <c r="R299" s="8">
        <f>IFERROR(Q299/Q444, "NA")</f>
        <v>4.2101751245959048E-3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-24975.48</v>
      </c>
      <c r="X299" s="8">
        <f>IFERROR(W299/W444, "NA")</f>
        <v>6.569922784964484E-2</v>
      </c>
      <c r="Y299" s="9"/>
      <c r="Z299" s="7">
        <v>14582.579999999998</v>
      </c>
      <c r="AA299" s="8">
        <f>IFERROR(Z299/Z444, "NA")</f>
        <v>2.5970844041086679E-3</v>
      </c>
      <c r="AB299" s="9"/>
      <c r="AC299" s="10">
        <f t="shared" si="79"/>
        <v>-10392.900000000001</v>
      </c>
      <c r="AD299" s="8">
        <f>IFERROR(AC299/AC444, "NA")</f>
        <v>-3.276552142401154E-2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100</v>
      </c>
      <c r="L304" s="8">
        <f>IFERROR(K304/K444, "NA")</f>
        <v>1.6203860378529632E-4</v>
      </c>
      <c r="M304" s="9"/>
      <c r="N304" s="10">
        <f t="shared" si="77"/>
        <v>100</v>
      </c>
      <c r="O304" s="8">
        <f>IFERROR(N304/N444, "NA")</f>
        <v>-2.3310170017387067E-3</v>
      </c>
      <c r="P304" s="9"/>
      <c r="Q304" s="7">
        <v>834.62000000000012</v>
      </c>
      <c r="R304" s="8">
        <f>IFERROR(Q304/Q444, "NA")</f>
        <v>1.4069384702477129E-4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-834.62000000000012</v>
      </c>
      <c r="X304" s="8">
        <f>IFERROR(W304/W444, "NA")</f>
        <v>2.1955089370803119E-3</v>
      </c>
      <c r="Y304" s="9"/>
      <c r="Z304" s="7">
        <v>810.04</v>
      </c>
      <c r="AA304" s="8">
        <f>IFERROR(Z304/Z444, "NA")</f>
        <v>1.4426406374620855E-4</v>
      </c>
      <c r="AB304" s="9"/>
      <c r="AC304" s="10">
        <f t="shared" si="79"/>
        <v>-24.580000000000155</v>
      </c>
      <c r="AD304" s="8">
        <f>IFERROR(AC304/AC444, "NA")</f>
        <v>-7.7492953516555396E-5</v>
      </c>
    </row>
    <row r="305" spans="1:30" ht="16.5" customHeight="1" x14ac:dyDescent="0.45">
      <c r="A305" s="6" t="s">
        <v>277</v>
      </c>
      <c r="B305" s="7">
        <v>16</v>
      </c>
      <c r="C305" s="8">
        <f>IFERROR(B305/B444, "NA")</f>
        <v>2.7863052262239523E-5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-16</v>
      </c>
      <c r="I305" s="8">
        <f>IFERROR(H305/H444, "NA")</f>
        <v>1.6422474731456619E-4</v>
      </c>
      <c r="J305" s="9"/>
      <c r="K305" s="7">
        <v>58.33</v>
      </c>
      <c r="L305" s="8">
        <f>IFERROR(K305/K444, "NA")</f>
        <v>9.4517117587963336E-5</v>
      </c>
      <c r="M305" s="9"/>
      <c r="N305" s="10">
        <f t="shared" si="77"/>
        <v>42.33</v>
      </c>
      <c r="O305" s="8">
        <f>IFERROR(N305/N444, "NA")</f>
        <v>-9.8671949683599449E-4</v>
      </c>
      <c r="P305" s="9"/>
      <c r="Q305" s="7">
        <v>935.69</v>
      </c>
      <c r="R305" s="8">
        <f>IFERROR(Q305/Q444, "NA")</f>
        <v>1.5773145350292137E-4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-935.69</v>
      </c>
      <c r="X305" s="8">
        <f>IFERROR(W305/W444, "NA")</f>
        <v>2.4613785403377309E-3</v>
      </c>
      <c r="Y305" s="9"/>
      <c r="Z305" s="7">
        <v>567.86</v>
      </c>
      <c r="AA305" s="8">
        <f>IFERROR(Z305/Z444, "NA")</f>
        <v>1.0113301965201963E-4</v>
      </c>
      <c r="AB305" s="9"/>
      <c r="AC305" s="10">
        <f t="shared" si="79"/>
        <v>-367.83000000000004</v>
      </c>
      <c r="AD305" s="8">
        <f>IFERROR(AC305/AC444, "NA")</f>
        <v>-1.1596514683480225E-3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106.93</v>
      </c>
      <c r="C310" s="8">
        <f>IFERROR(B310/B444, "NA")</f>
        <v>1.8621226115007953E-4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-106.93</v>
      </c>
      <c r="I310" s="8">
        <f>IFERROR(H310/H444, "NA")</f>
        <v>1.0975345143966603E-3</v>
      </c>
      <c r="J310" s="9"/>
      <c r="K310" s="7">
        <v>127.06</v>
      </c>
      <c r="L310" s="8">
        <f>IFERROR(K310/K444, "NA")</f>
        <v>2.058862499695975E-4</v>
      </c>
      <c r="M310" s="9"/>
      <c r="N310" s="10">
        <f t="shared" si="77"/>
        <v>20.129999999999995</v>
      </c>
      <c r="O310" s="8">
        <f>IFERROR(N310/N444, "NA")</f>
        <v>-4.6923372245000151E-4</v>
      </c>
      <c r="P310" s="9"/>
      <c r="Q310" s="7">
        <v>3043.48</v>
      </c>
      <c r="R310" s="8">
        <f>IFERROR(Q310/Q444, "NA")</f>
        <v>5.1304654758207427E-4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-3043.48</v>
      </c>
      <c r="X310" s="8">
        <f>IFERROR(W310/W444, "NA")</f>
        <v>8.0060237471246635E-3</v>
      </c>
      <c r="Y310" s="9"/>
      <c r="Z310" s="7">
        <v>1795.2800000000002</v>
      </c>
      <c r="AA310" s="8">
        <f>IFERROR(Z310/Z444, "NA")</f>
        <v>3.1973036931792667E-4</v>
      </c>
      <c r="AB310" s="9"/>
      <c r="AC310" s="10">
        <f t="shared" si="79"/>
        <v>-1248.1999999999998</v>
      </c>
      <c r="AD310" s="8">
        <f>IFERROR(AC310/AC444, "NA")</f>
        <v>-3.9351791936274947E-3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2.8232495626403261E-5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4.4056437274713107E-4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-5.28011385474069E-4</v>
      </c>
    </row>
    <row r="312" spans="1:30" ht="16.5" customHeight="1" x14ac:dyDescent="0.45">
      <c r="A312" s="6" t="s">
        <v>284</v>
      </c>
      <c r="B312" s="7">
        <v>1535.3</v>
      </c>
      <c r="C312" s="8">
        <f>IFERROR(B312/B444, "NA")</f>
        <v>2.6736340086385211E-3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-1535.3</v>
      </c>
      <c r="I312" s="8">
        <f>IFERROR(H312/H444, "NA")</f>
        <v>1.5758390909503341E-2</v>
      </c>
      <c r="J312" s="9"/>
      <c r="K312" s="7">
        <v>153.82999999999998</v>
      </c>
      <c r="L312" s="8">
        <f>IFERROR(K312/K444, "NA")</f>
        <v>2.4926398420292131E-4</v>
      </c>
      <c r="M312" s="9"/>
      <c r="N312" s="10">
        <f t="shared" si="77"/>
        <v>-1381.47</v>
      </c>
      <c r="O312" s="8">
        <f>IFERROR(N312/N444, "NA")</f>
        <v>3.2202300573919714E-2</v>
      </c>
      <c r="P312" s="9"/>
      <c r="Q312" s="7">
        <v>18529.669999999998</v>
      </c>
      <c r="R312" s="8">
        <f>IFERROR(Q312/Q444, "NA")</f>
        <v>3.1235898449587752E-3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-18529.669999999998</v>
      </c>
      <c r="X312" s="8">
        <f>IFERROR(W312/W444, "NA")</f>
        <v>4.8743207790550108E-2</v>
      </c>
      <c r="Y312" s="9"/>
      <c r="Z312" s="7">
        <v>4037.33</v>
      </c>
      <c r="AA312" s="8">
        <f>IFERROR(Z312/Z444, "NA")</f>
        <v>7.1902823624077838E-4</v>
      </c>
      <c r="AB312" s="9"/>
      <c r="AC312" s="10">
        <f t="shared" si="79"/>
        <v>-14492.339999999998</v>
      </c>
      <c r="AD312" s="8">
        <f>IFERROR(AC312/AC444, "NA")</f>
        <v>-4.5689757118230645E-2</v>
      </c>
    </row>
    <row r="313" spans="1:30" ht="16.5" customHeight="1" x14ac:dyDescent="0.45">
      <c r="A313" s="6" t="s">
        <v>285</v>
      </c>
      <c r="B313" s="7">
        <v>385</v>
      </c>
      <c r="C313" s="8">
        <f>IFERROR(B313/B444, "NA")</f>
        <v>6.7045469506013858E-4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-385</v>
      </c>
      <c r="I313" s="8">
        <f>IFERROR(H313/H444, "NA")</f>
        <v>3.9516579822567489E-3</v>
      </c>
      <c r="J313" s="9"/>
      <c r="K313" s="7">
        <v>262.5</v>
      </c>
      <c r="L313" s="8">
        <f>IFERROR(K313/K444, "NA")</f>
        <v>4.2535133493640286E-4</v>
      </c>
      <c r="M313" s="9"/>
      <c r="N313" s="10">
        <f t="shared" si="77"/>
        <v>-122.5</v>
      </c>
      <c r="O313" s="8">
        <f>IFERROR(N313/N444, "NA")</f>
        <v>2.8554958271299158E-3</v>
      </c>
      <c r="P313" s="9"/>
      <c r="Q313" s="7">
        <v>3384.2799999999997</v>
      </c>
      <c r="R313" s="8">
        <f>IFERROR(Q313/Q444, "NA")</f>
        <v>5.704960013047768E-4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-3384.2799999999997</v>
      </c>
      <c r="X313" s="8">
        <f>IFERROR(W313/W444, "NA")</f>
        <v>8.9025148996934606E-3</v>
      </c>
      <c r="Y313" s="9"/>
      <c r="Z313" s="7">
        <v>262.5</v>
      </c>
      <c r="AA313" s="8">
        <f>IFERROR(Z313/Z444, "NA")</f>
        <v>4.6749934241987729E-5</v>
      </c>
      <c r="AB313" s="9"/>
      <c r="AC313" s="10">
        <f t="shared" si="79"/>
        <v>-3121.7799999999997</v>
      </c>
      <c r="AD313" s="8">
        <f>IFERROR(AC313/AC444, "NA")</f>
        <v>-9.8419834185887213E-3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1735.52</v>
      </c>
      <c r="C315" s="8">
        <f>IFERROR(B315/B444, "NA")</f>
        <v>3.022305278885121E-3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-1735.52</v>
      </c>
      <c r="I315" s="8">
        <f>IFERROR(H315/H444, "NA")</f>
        <v>1.7813458341210994E-2</v>
      </c>
      <c r="J315" s="9"/>
      <c r="K315" s="7">
        <v>1249.6300000000001</v>
      </c>
      <c r="L315" s="8">
        <f>IFERROR(K315/K444, "NA")</f>
        <v>2.0248830044821984E-3</v>
      </c>
      <c r="M315" s="9"/>
      <c r="N315" s="10">
        <f t="shared" si="77"/>
        <v>-485.88999999999987</v>
      </c>
      <c r="O315" s="8">
        <f>IFERROR(N315/N444, "NA")</f>
        <v>1.1326178509748198E-2</v>
      </c>
      <c r="P315" s="9"/>
      <c r="Q315" s="7">
        <v>16687.370000000003</v>
      </c>
      <c r="R315" s="8">
        <f>IFERROR(Q315/Q444, "NA")</f>
        <v>2.8130290216215256E-3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-16687.370000000003</v>
      </c>
      <c r="X315" s="8">
        <f>IFERROR(W315/W444, "NA")</f>
        <v>4.3896947079348547E-2</v>
      </c>
      <c r="Y315" s="9"/>
      <c r="Z315" s="7">
        <v>6698.7599999999993</v>
      </c>
      <c r="AA315" s="8">
        <f>IFERROR(Z315/Z444, "NA")</f>
        <v>1.1930155790585055E-3</v>
      </c>
      <c r="AB315" s="9"/>
      <c r="AC315" s="10">
        <f t="shared" si="79"/>
        <v>-9988.6100000000042</v>
      </c>
      <c r="AD315" s="8">
        <f>IFERROR(AC315/AC444, "NA")</f>
        <v>-3.1490923125508372E-2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3.0489861875155427E-6</v>
      </c>
      <c r="AB316" s="9"/>
      <c r="AC316" s="10">
        <f t="shared" si="79"/>
        <v>17.12</v>
      </c>
      <c r="AD316" s="8">
        <f>IFERROR(AC316/AC444, "NA")</f>
        <v>5.3973936704777057E-5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2.298266451443163E-3</v>
      </c>
      <c r="D318" s="9"/>
      <c r="E318" s="7">
        <v>3210</v>
      </c>
      <c r="F318" s="8">
        <f>IFERROR(E318/E444, "NA")</f>
        <v>4.7791708903768071E-3</v>
      </c>
      <c r="G318" s="9"/>
      <c r="H318" s="10">
        <f t="shared" si="76"/>
        <v>1890.25</v>
      </c>
      <c r="I318" s="8">
        <f>IFERROR(H318/H444, "NA")</f>
        <v>-1.9401614288209922E-2</v>
      </c>
      <c r="J318" s="9"/>
      <c r="K318" s="7">
        <v>1647.8600000000001</v>
      </c>
      <c r="L318" s="8">
        <f>IFERROR(K318/K444, "NA")</f>
        <v>2.6701693363363841E-3</v>
      </c>
      <c r="M318" s="9"/>
      <c r="N318" s="10">
        <f t="shared" si="77"/>
        <v>328.11000000000013</v>
      </c>
      <c r="O318" s="8">
        <f>IFERROR(N318/N444, "NA")</f>
        <v>-7.648299884404873E-3</v>
      </c>
      <c r="P318" s="9"/>
      <c r="Q318" s="7">
        <v>13449.130000000001</v>
      </c>
      <c r="R318" s="8">
        <f>IFERROR(Q318/Q444, "NA")</f>
        <v>2.2671513249577797E-3</v>
      </c>
      <c r="S318" s="9"/>
      <c r="T318" s="7">
        <v>32100</v>
      </c>
      <c r="U318" s="8">
        <f>IFERROR(T318/T444, "NA")</f>
        <v>5.0852934809603005E-3</v>
      </c>
      <c r="V318" s="9"/>
      <c r="W318" s="10">
        <f t="shared" si="78"/>
        <v>18650.87</v>
      </c>
      <c r="X318" s="8">
        <f>IFERROR(W318/W444, "NA")</f>
        <v>-4.9062030348329858E-2</v>
      </c>
      <c r="Y318" s="9"/>
      <c r="Z318" s="7">
        <v>13525.61</v>
      </c>
      <c r="AA318" s="8">
        <f>IFERROR(Z318/Z444, "NA")</f>
        <v>2.4088433450772254E-3</v>
      </c>
      <c r="AB318" s="9"/>
      <c r="AC318" s="10">
        <f t="shared" si="79"/>
        <v>76.479999999999563</v>
      </c>
      <c r="AD318" s="8">
        <f>IFERROR(AC318/AC444, "NA")</f>
        <v>2.4111721256900266E-4</v>
      </c>
    </row>
    <row r="319" spans="1:30" ht="16.5" customHeight="1" x14ac:dyDescent="0.45">
      <c r="A319" s="6" t="s">
        <v>291</v>
      </c>
      <c r="B319" s="7">
        <v>1239.55</v>
      </c>
      <c r="C319" s="8">
        <f>IFERROR(B319/B444, "NA")</f>
        <v>2.1586029019786874E-3</v>
      </c>
      <c r="D319" s="9"/>
      <c r="E319" s="7">
        <v>1084</v>
      </c>
      <c r="F319" s="8">
        <f>IFERROR(E319/E444, "NA")</f>
        <v>1.6139006994294266E-3</v>
      </c>
      <c r="G319" s="9"/>
      <c r="H319" s="10">
        <f t="shared" si="76"/>
        <v>-155.54999999999995</v>
      </c>
      <c r="I319" s="8">
        <f>IFERROR(H319/H444, "NA")</f>
        <v>1.5965724652987979E-3</v>
      </c>
      <c r="J319" s="9"/>
      <c r="K319" s="7">
        <v>1083.9100000000001</v>
      </c>
      <c r="L319" s="8">
        <f>IFERROR(K319/K444, "NA")</f>
        <v>1.7563526302892055E-3</v>
      </c>
      <c r="M319" s="9"/>
      <c r="N319" s="10">
        <f t="shared" si="77"/>
        <v>-155.63999999999987</v>
      </c>
      <c r="O319" s="8">
        <f>IFERROR(N319/N444, "NA")</f>
        <v>3.6279948615061202E-3</v>
      </c>
      <c r="P319" s="9"/>
      <c r="Q319" s="7">
        <v>12166.2</v>
      </c>
      <c r="R319" s="8">
        <f>IFERROR(Q319/Q444, "NA")</f>
        <v>2.0508848118578182E-3</v>
      </c>
      <c r="S319" s="9"/>
      <c r="T319" s="7">
        <v>10840</v>
      </c>
      <c r="U319" s="8">
        <f>IFERROR(T319/T444, "NA")</f>
        <v>1.7172766770594907E-3</v>
      </c>
      <c r="V319" s="9"/>
      <c r="W319" s="10">
        <f t="shared" si="78"/>
        <v>-1326.2000000000007</v>
      </c>
      <c r="X319" s="8">
        <f>IFERROR(W319/W444, "NA")</f>
        <v>3.4886342914810463E-3</v>
      </c>
      <c r="Y319" s="9"/>
      <c r="Z319" s="7">
        <v>10622.23</v>
      </c>
      <c r="AA319" s="8">
        <f>IFERROR(Z319/Z444, "NA")</f>
        <v>1.8917659200124546E-3</v>
      </c>
      <c r="AB319" s="9"/>
      <c r="AC319" s="10">
        <f t="shared" si="79"/>
        <v>-1543.9700000000012</v>
      </c>
      <c r="AD319" s="8">
        <f>IFERROR(AC319/AC444, "NA")</f>
        <v>-4.8676483092333347E-3</v>
      </c>
    </row>
    <row r="320" spans="1:30" ht="16.5" customHeight="1" x14ac:dyDescent="0.45">
      <c r="A320" s="6" t="s">
        <v>292</v>
      </c>
      <c r="B320" s="7">
        <v>5695.5599999999995</v>
      </c>
      <c r="C320" s="8">
        <f>IFERROR(B320/B444, "NA")</f>
        <v>9.9184803714200583E-3</v>
      </c>
      <c r="D320" s="9"/>
      <c r="E320" s="7">
        <v>4243</v>
      </c>
      <c r="F320" s="8">
        <f>IFERROR(E320/E444, "NA")</f>
        <v>6.3171408373423037E-3</v>
      </c>
      <c r="G320" s="9"/>
      <c r="H320" s="10">
        <f t="shared" si="76"/>
        <v>-1452.5599999999995</v>
      </c>
      <c r="I320" s="8">
        <f>IFERROR(H320/H444, "NA")</f>
        <v>1.4909143684952888E-2</v>
      </c>
      <c r="J320" s="9"/>
      <c r="K320" s="7">
        <v>3205.1600000000003</v>
      </c>
      <c r="L320" s="8">
        <f>IFERROR(K320/K444, "NA")</f>
        <v>5.1935965130848038E-3</v>
      </c>
      <c r="M320" s="9"/>
      <c r="N320" s="10">
        <f t="shared" si="77"/>
        <v>-2490.3999999999992</v>
      </c>
      <c r="O320" s="8">
        <f>IFERROR(N320/N444, "NA")</f>
        <v>5.8051647411300727E-2</v>
      </c>
      <c r="P320" s="9"/>
      <c r="Q320" s="7">
        <v>58121.83</v>
      </c>
      <c r="R320" s="8">
        <f>IFERROR(Q320/Q444, "NA")</f>
        <v>9.7977329309383455E-3</v>
      </c>
      <c r="S320" s="9"/>
      <c r="T320" s="7">
        <v>42430</v>
      </c>
      <c r="U320" s="8">
        <f>IFERROR(T320/T444, "NA")</f>
        <v>6.7217757756120105E-3</v>
      </c>
      <c r="V320" s="9"/>
      <c r="W320" s="10">
        <f t="shared" si="78"/>
        <v>-15691.830000000002</v>
      </c>
      <c r="X320" s="8">
        <f>IFERROR(W320/W444, "NA")</f>
        <v>4.1278130171988385E-2</v>
      </c>
      <c r="Y320" s="9"/>
      <c r="Z320" s="7">
        <v>38782.699999999997</v>
      </c>
      <c r="AA320" s="8">
        <f>IFERROR(Z320/Z444, "NA")</f>
        <v>6.9070044751494758E-3</v>
      </c>
      <c r="AB320" s="9"/>
      <c r="AC320" s="10">
        <f t="shared" si="79"/>
        <v>-19339.130000000005</v>
      </c>
      <c r="AD320" s="8">
        <f>IFERROR(AC320/AC444, "NA")</f>
        <v>-6.0970150615972857E-2</v>
      </c>
    </row>
    <row r="321" spans="1:30" ht="16.5" customHeight="1" x14ac:dyDescent="0.45">
      <c r="A321" s="6" t="s">
        <v>293</v>
      </c>
      <c r="B321" s="7">
        <v>6107.0700000000006</v>
      </c>
      <c r="C321" s="8">
        <f>IFERROR(B321/B444, "NA")</f>
        <v>1.0635100661197196E-2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-6107.0700000000006</v>
      </c>
      <c r="I321" s="8">
        <f>IFERROR(H321/H444, "NA")</f>
        <v>6.2683251723897992E-2</v>
      </c>
      <c r="J321" s="9"/>
      <c r="K321" s="7">
        <v>15648.32</v>
      </c>
      <c r="L321" s="8">
        <f>IFERROR(K321/K444, "NA")</f>
        <v>2.5356319243855282E-2</v>
      </c>
      <c r="M321" s="9"/>
      <c r="N321" s="10">
        <f t="shared" si="77"/>
        <v>9541.25</v>
      </c>
      <c r="O321" s="8">
        <f>IFERROR(N321/N444, "NA")</f>
        <v>-0.22240815967839433</v>
      </c>
      <c r="P321" s="9"/>
      <c r="Q321" s="7">
        <v>92708.03</v>
      </c>
      <c r="R321" s="8">
        <f>IFERROR(Q321/Q444, "NA")</f>
        <v>1.5628009622088979E-2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-92708.03</v>
      </c>
      <c r="X321" s="8">
        <f>IFERROR(W321/W444, "NA")</f>
        <v>0.24387303012641637</v>
      </c>
      <c r="Y321" s="9"/>
      <c r="Z321" s="7">
        <v>126501.53</v>
      </c>
      <c r="AA321" s="8">
        <f>IFERROR(Z321/Z444, "NA")</f>
        <v>2.2529288415279385E-2</v>
      </c>
      <c r="AB321" s="9"/>
      <c r="AC321" s="10">
        <f t="shared" si="79"/>
        <v>33793.5</v>
      </c>
      <c r="AD321" s="8">
        <f>IFERROR(AC321/AC444, "NA")</f>
        <v>0.10654020035238805</v>
      </c>
    </row>
    <row r="322" spans="1:30" ht="16.5" customHeight="1" x14ac:dyDescent="0.45">
      <c r="A322" s="6" t="s">
        <v>294</v>
      </c>
      <c r="B322" s="7">
        <v>1299.92</v>
      </c>
      <c r="C322" s="8">
        <f>IFERROR(B322/B444, "NA")</f>
        <v>2.2637336810456504E-3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-1299.92</v>
      </c>
      <c r="I322" s="8">
        <f>IFERROR(H322/H444, "NA")</f>
        <v>1.3342439595571931E-2</v>
      </c>
      <c r="J322" s="9"/>
      <c r="K322" s="7">
        <v>1697.1100000000001</v>
      </c>
      <c r="L322" s="8">
        <f>IFERROR(K322/K444, "NA")</f>
        <v>2.7499733487006428E-3</v>
      </c>
      <c r="M322" s="9"/>
      <c r="N322" s="10">
        <f t="shared" si="77"/>
        <v>397.19000000000005</v>
      </c>
      <c r="O322" s="8">
        <f>IFERROR(N322/N444, "NA")</f>
        <v>-9.2585664292059704E-3</v>
      </c>
      <c r="P322" s="9"/>
      <c r="Q322" s="7">
        <v>16836.39</v>
      </c>
      <c r="R322" s="8">
        <f>IFERROR(Q322/Q444, "NA")</f>
        <v>2.8381496718379484E-3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-16836.39</v>
      </c>
      <c r="X322" s="8">
        <f>IFERROR(W322/W444, "NA")</f>
        <v>4.4288951514664859E-2</v>
      </c>
      <c r="Y322" s="9"/>
      <c r="Z322" s="7">
        <v>13276.45</v>
      </c>
      <c r="AA322" s="8">
        <f>IFERROR(Z322/Z444, "NA")</f>
        <v>2.3644691979696686E-3</v>
      </c>
      <c r="AB322" s="9"/>
      <c r="AC322" s="10">
        <f t="shared" si="79"/>
        <v>-3559.9399999999987</v>
      </c>
      <c r="AD322" s="8">
        <f>IFERROR(AC322/AC444, "NA")</f>
        <v>-1.1223363097710512E-2</v>
      </c>
    </row>
    <row r="323" spans="1:30" ht="16.5" customHeight="1" x14ac:dyDescent="0.45">
      <c r="A323" s="6" t="s">
        <v>295</v>
      </c>
      <c r="B323" s="7">
        <v>14.25</v>
      </c>
      <c r="C323" s="8">
        <f>IFERROR(B323/B444, "NA")</f>
        <v>2.4815530921057076E-5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-14.25</v>
      </c>
      <c r="I323" s="8">
        <f>IFERROR(H323/H444, "NA")</f>
        <v>1.4626266557703552E-4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-14.25</v>
      </c>
      <c r="O323" s="8">
        <f>IFERROR(N323/N444, "NA")</f>
        <v>3.3216992274776567E-4</v>
      </c>
      <c r="P323" s="9"/>
      <c r="Q323" s="7">
        <v>14.25</v>
      </c>
      <c r="R323" s="8">
        <f>IFERROR(Q323/Q444, "NA")</f>
        <v>2.4021558554827233E-6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-14.25</v>
      </c>
      <c r="X323" s="8">
        <f>IFERROR(W323/W444, "NA")</f>
        <v>3.7485325481529842E-5</v>
      </c>
      <c r="Y323" s="9"/>
      <c r="Z323" s="7">
        <v>-32.42</v>
      </c>
      <c r="AA323" s="8">
        <f>IFERROR(Z323/Z444, "NA")</f>
        <v>-5.7738394976199706E-6</v>
      </c>
      <c r="AB323" s="9"/>
      <c r="AC323" s="10">
        <f t="shared" si="79"/>
        <v>-46.67</v>
      </c>
      <c r="AD323" s="8">
        <f>IFERROR(AC323/AC444, "NA")</f>
        <v>-1.4713572581845474E-4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22592.049999999996</v>
      </c>
      <c r="C324" s="15">
        <f>IFERROR(B324/B444, "NA")</f>
        <v>3.9342716866320522E-2</v>
      </c>
      <c r="D324" s="2"/>
      <c r="E324" s="14">
        <f>IFERROR(E297+E298+E299+E300+E301+E302+E303+E304+E305+E306+E307+E308+E309+E310+E311+E312+E313+E314+E315+E316+E317+E318+E319+E320+E321+E322+E323, "NA")</f>
        <v>17268.64</v>
      </c>
      <c r="F324" s="15">
        <f>IFERROR(E324/E444, "NA")</f>
        <v>2.5710212337818238E-2</v>
      </c>
      <c r="G324" s="2"/>
      <c r="H324" s="14">
        <f t="shared" si="76"/>
        <v>-5323.4099999999962</v>
      </c>
      <c r="I324" s="15">
        <f>IFERROR(H324/H444, "NA")</f>
        <v>5.463972888136464E-2</v>
      </c>
      <c r="J324" s="2"/>
      <c r="K324" s="14">
        <f>IFERROR(K297+K298+K299+K300+K301+K302+K303+K304+K305+K306+K307+K308+K309+K310+K311+K312+K313+K314+K315+K316+K317+K318+K319+K320+K321+K322+K323, "NA")</f>
        <v>26965.54</v>
      </c>
      <c r="L324" s="15">
        <f>IFERROR(K324/K444, "NA")</f>
        <v>4.3694584519165594E-2</v>
      </c>
      <c r="M324" s="2"/>
      <c r="N324" s="14">
        <f t="shared" si="77"/>
        <v>4373.4900000000052</v>
      </c>
      <c r="O324" s="15">
        <f>IFERROR(N324/N444, "NA")</f>
        <v>-0.10194679546934228</v>
      </c>
      <c r="P324" s="2"/>
      <c r="Q324" s="14">
        <f>IFERROR(Q297+Q298+Q299+Q300+Q301+Q302+Q303+Q304+Q305+Q306+Q307+Q308+Q309+Q310+Q311+Q312+Q313+Q314+Q315+Q316+Q317+Q318+Q319+Q320+Q321+Q322+Q323, "NA")</f>
        <v>261853.90000000002</v>
      </c>
      <c r="R324" s="15">
        <f>IFERROR(Q324/Q444, "NA")</f>
        <v>4.4141324853753508E-2</v>
      </c>
      <c r="S324" s="2"/>
      <c r="T324" s="14">
        <f>IFERROR(T297+T298+T299+T300+T301+T302+T303+T304+T305+T306+T307+T308+T309+T310+T311+T312+T313+T314+T315+T316+T317+T318+T319+T320+T321+T322+T323, "NA")</f>
        <v>167430.17000000001</v>
      </c>
      <c r="U324" s="15">
        <f>IFERROR(T324/T444, "NA")</f>
        <v>2.6524347414862145E-2</v>
      </c>
      <c r="V324" s="2"/>
      <c r="W324" s="14">
        <f t="shared" si="78"/>
        <v>-94423.73000000001</v>
      </c>
      <c r="X324" s="15">
        <f>IFERROR(W324/W444, "NA")</f>
        <v>0.24838626331439259</v>
      </c>
      <c r="Y324" s="2"/>
      <c r="Z324" s="14">
        <f>IFERROR(Z297+Z298+Z299+Z300+Z301+Z302+Z303+Z304+Z305+Z306+Z307+Z308+Z309+Z310+Z311+Z312+Z313+Z314+Z315+Z316+Z317+Z318+Z319+Z320+Z321+Z322+Z323, "NA")</f>
        <v>231447.56999999998</v>
      </c>
      <c r="AA324" s="15">
        <f>IFERROR(Z324/Z444, "NA")</f>
        <v>4.1219652106544193E-2</v>
      </c>
      <c r="AB324" s="2"/>
      <c r="AC324" s="14">
        <f t="shared" si="79"/>
        <v>-30406.330000000045</v>
      </c>
      <c r="AD324" s="15">
        <f>IFERROR(AC324/AC444, "NA")</f>
        <v>-9.586152633437886E-2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144795.24000000002</v>
      </c>
      <c r="C325" s="15">
        <f>IFERROR(B325/B444, "NA")</f>
        <v>0.25215233371521972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144294.33999999997</v>
      </c>
      <c r="F325" s="15">
        <f>IFERROR(E325/E444, "NA")</f>
        <v>0.21483093749973009</v>
      </c>
      <c r="G325" s="2"/>
      <c r="H325" s="14">
        <f t="shared" si="76"/>
        <v>-500.90000000005239</v>
      </c>
      <c r="I325" s="15">
        <f>IFERROR(H325/H444, "NA")</f>
        <v>5.1412609956171763E-3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178803.67999999993</v>
      </c>
      <c r="L325" s="15">
        <f>IFERROR(K325/K444, "NA")</f>
        <v>0.28973098658872903</v>
      </c>
      <c r="M325" s="2"/>
      <c r="N325" s="14">
        <f t="shared" si="77"/>
        <v>34008.439999999915</v>
      </c>
      <c r="O325" s="15">
        <f>IFERROR(N325/N444, "NA")</f>
        <v>-0.79274251842610499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1504440.31</v>
      </c>
      <c r="R325" s="15">
        <f>IFERROR(Q325/Q444, "NA")</f>
        <v>0.2536070245537364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1355215.4999999998</v>
      </c>
      <c r="U325" s="15">
        <f>IFERROR(T325/T444, "NA")</f>
        <v>0.21469372421951255</v>
      </c>
      <c r="V325" s="2"/>
      <c r="W325" s="14">
        <f t="shared" si="78"/>
        <v>-149224.81000000029</v>
      </c>
      <c r="X325" s="15">
        <f>IFERROR(W325/W444, "NA")</f>
        <v>0.39254319808908494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1336689.8400000003</v>
      </c>
      <c r="AA325" s="15">
        <f>IFERROR(Z325/Z444, "NA")</f>
        <v>0.23805776046450711</v>
      </c>
      <c r="AB325" s="2"/>
      <c r="AC325" s="14">
        <f t="shared" si="79"/>
        <v>-167750.46999999974</v>
      </c>
      <c r="AD325" s="15">
        <f>IFERROR(AC325/AC444, "NA")</f>
        <v>-0.52886409170423998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59761.599999999999</v>
      </c>
      <c r="C329" s="8">
        <f>IFERROR(B329/B444, "NA")</f>
        <v>0.10407128650469084</v>
      </c>
      <c r="D329" s="9"/>
      <c r="E329" s="7">
        <v>55659.119999999995</v>
      </c>
      <c r="F329" s="8">
        <f>IFERROR(E329/E444, "NA")</f>
        <v>8.2867428687847217E-2</v>
      </c>
      <c r="G329" s="9"/>
      <c r="H329" s="10">
        <f t="shared" si="80"/>
        <v>-4102.4800000000032</v>
      </c>
      <c r="I329" s="8">
        <f>IFERROR(H329/H444, "NA")</f>
        <v>4.2108046335191378E-2</v>
      </c>
      <c r="J329" s="9"/>
      <c r="K329" s="7">
        <v>53046.68</v>
      </c>
      <c r="L329" s="8">
        <f>IFERROR(K329/K444, "NA")</f>
        <v>8.5956099626454022E-2</v>
      </c>
      <c r="M329" s="9"/>
      <c r="N329" s="10">
        <f t="shared" si="81"/>
        <v>-6714.9199999999983</v>
      </c>
      <c r="O329" s="8">
        <f>IFERROR(N329/N444, "NA")</f>
        <v>0.15652592685315272</v>
      </c>
      <c r="P329" s="9"/>
      <c r="Q329" s="7">
        <v>572681.22000000009</v>
      </c>
      <c r="R329" s="8">
        <f>IFERROR(Q329/Q444, "NA")</f>
        <v>9.6538213750736124E-2</v>
      </c>
      <c r="S329" s="9"/>
      <c r="T329" s="7">
        <v>571421.53</v>
      </c>
      <c r="U329" s="8">
        <f>IFERROR(T329/T444, "NA")</f>
        <v>9.0524803158547065E-2</v>
      </c>
      <c r="V329" s="9"/>
      <c r="W329" s="10">
        <f t="shared" si="82"/>
        <v>-1259.6900000000605</v>
      </c>
      <c r="X329" s="8">
        <f>IFERROR(W329/W444, "NA")</f>
        <v>3.3136764670758313E-3</v>
      </c>
      <c r="Y329" s="9"/>
      <c r="Z329" s="7">
        <v>524830.63</v>
      </c>
      <c r="AA329" s="8">
        <f>IFERROR(Z329/Z444, "NA")</f>
        <v>9.3469704535927595E-2</v>
      </c>
      <c r="AB329" s="9"/>
      <c r="AC329" s="10">
        <f t="shared" si="83"/>
        <v>-47850.590000000084</v>
      </c>
      <c r="AD329" s="8">
        <f>IFERROR(AC329/AC444, "NA")</f>
        <v>-0.15085775209966371</v>
      </c>
    </row>
    <row r="330" spans="1:30" ht="16.5" customHeight="1" x14ac:dyDescent="0.45">
      <c r="A330" s="6" t="s">
        <v>301</v>
      </c>
      <c r="B330" s="7">
        <v>8039.1900000000005</v>
      </c>
      <c r="C330" s="8">
        <f>IFERROR(B330/B444, "NA")</f>
        <v>1.3999773194754586E-2</v>
      </c>
      <c r="D330" s="9"/>
      <c r="E330" s="7">
        <v>6065</v>
      </c>
      <c r="F330" s="8">
        <f>IFERROR(E330/E444, "NA")</f>
        <v>9.0298041900733136E-3</v>
      </c>
      <c r="G330" s="9"/>
      <c r="H330" s="10">
        <f t="shared" si="80"/>
        <v>-1974.1900000000005</v>
      </c>
      <c r="I330" s="8">
        <f>IFERROR(H330/H444, "NA")</f>
        <v>2.0263178368808969E-2</v>
      </c>
      <c r="J330" s="9"/>
      <c r="K330" s="7">
        <v>6496.64</v>
      </c>
      <c r="L330" s="8">
        <f>IFERROR(K330/K444, "NA")</f>
        <v>1.0527064748957076E-2</v>
      </c>
      <c r="M330" s="9"/>
      <c r="N330" s="10">
        <f t="shared" si="81"/>
        <v>-1542.5500000000002</v>
      </c>
      <c r="O330" s="8">
        <f>IFERROR(N330/N444, "NA")</f>
        <v>3.5957102760320422E-2</v>
      </c>
      <c r="P330" s="9"/>
      <c r="Q330" s="7">
        <v>62870.85</v>
      </c>
      <c r="R330" s="8">
        <f>IFERROR(Q330/Q444, "NA")</f>
        <v>1.0598286348538665E-2</v>
      </c>
      <c r="S330" s="9"/>
      <c r="T330" s="7">
        <v>60650</v>
      </c>
      <c r="U330" s="8">
        <f>IFERROR(T330/T444, "NA")</f>
        <v>9.608194692219383E-3</v>
      </c>
      <c r="V330" s="9"/>
      <c r="W330" s="10">
        <f t="shared" si="82"/>
        <v>-2220.8499999999985</v>
      </c>
      <c r="X330" s="8">
        <f>IFERROR(W330/W444, "NA")</f>
        <v>5.8420550944319654E-3</v>
      </c>
      <c r="Y330" s="9"/>
      <c r="Z330" s="7">
        <v>60508.41</v>
      </c>
      <c r="AA330" s="8">
        <f>IFERROR(Z330/Z444, "NA")</f>
        <v>1.0776244527951364E-2</v>
      </c>
      <c r="AB330" s="9"/>
      <c r="AC330" s="10">
        <f t="shared" si="83"/>
        <v>-2362.4399999999951</v>
      </c>
      <c r="AD330" s="8">
        <f>IFERROR(AC330/AC444, "NA")</f>
        <v>-7.4480249432729694E-3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3.398595799686666E-4</v>
      </c>
      <c r="D332" s="9"/>
      <c r="E332" s="7">
        <v>195</v>
      </c>
      <c r="F332" s="8">
        <f>IFERROR(E332/E444, "NA")</f>
        <v>2.9032346530326401E-4</v>
      </c>
      <c r="G332" s="9"/>
      <c r="H332" s="10">
        <f t="shared" si="80"/>
        <v>-0.15999999999999659</v>
      </c>
      <c r="I332" s="8">
        <f>IFERROR(H332/H444, "NA")</f>
        <v>1.6422474731456271E-6</v>
      </c>
      <c r="J332" s="9"/>
      <c r="K332" s="7">
        <v>195.16</v>
      </c>
      <c r="L332" s="8">
        <f>IFERROR(K332/K444, "NA")</f>
        <v>3.1623453914738427E-4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3246.84</v>
      </c>
      <c r="R332" s="8">
        <f>IFERROR(Q332/Q444, "NA")</f>
        <v>5.4732741879407192E-4</v>
      </c>
      <c r="S332" s="9"/>
      <c r="T332" s="7">
        <v>1950</v>
      </c>
      <c r="U332" s="8">
        <f>IFERROR(T332/T444, "NA")</f>
        <v>3.0891969744151356E-4</v>
      </c>
      <c r="V332" s="9"/>
      <c r="W332" s="10">
        <f t="shared" si="82"/>
        <v>-1296.8400000000001</v>
      </c>
      <c r="X332" s="8">
        <f>IFERROR(W332/W444, "NA")</f>
        <v>3.4114013682433101E-3</v>
      </c>
      <c r="Y332" s="9"/>
      <c r="Z332" s="7">
        <v>1951.6</v>
      </c>
      <c r="AA332" s="8">
        <f>IFERROR(Z332/Z444, "NA")</f>
        <v>3.4757017777776479E-4</v>
      </c>
      <c r="AB332" s="9"/>
      <c r="AC332" s="10">
        <f t="shared" si="83"/>
        <v>-1295.2400000000002</v>
      </c>
      <c r="AD332" s="8">
        <f>IFERROR(AC332/AC444, "NA")</f>
        <v>-4.0834814122368834E-3</v>
      </c>
    </row>
    <row r="333" spans="1:30" ht="16.5" customHeight="1" x14ac:dyDescent="0.45">
      <c r="A333" s="6" t="s">
        <v>304</v>
      </c>
      <c r="B333" s="7">
        <v>5073.51</v>
      </c>
      <c r="C333" s="8">
        <f>IFERROR(B333/B444, "NA")</f>
        <v>8.8352171426871774E-3</v>
      </c>
      <c r="D333" s="9"/>
      <c r="E333" s="7">
        <v>5155</v>
      </c>
      <c r="F333" s="8">
        <f>IFERROR(E333/E444, "NA")</f>
        <v>7.6749613519914153E-3</v>
      </c>
      <c r="G333" s="9"/>
      <c r="H333" s="10">
        <f t="shared" si="80"/>
        <v>81.489999999999782</v>
      </c>
      <c r="I333" s="8">
        <f>IFERROR(H333/H444, "NA")</f>
        <v>-8.3641716616649777E-4</v>
      </c>
      <c r="J333" s="9"/>
      <c r="K333" s="7">
        <v>4467.3</v>
      </c>
      <c r="L333" s="8">
        <f>IFERROR(K333/K444, "NA")</f>
        <v>7.2387505469005426E-3</v>
      </c>
      <c r="M333" s="9"/>
      <c r="N333" s="10">
        <f t="shared" si="81"/>
        <v>-606.21</v>
      </c>
      <c r="O333" s="8">
        <f>IFERROR(N333/N444, "NA")</f>
        <v>1.4130858166240214E-2</v>
      </c>
      <c r="P333" s="9"/>
      <c r="Q333" s="7">
        <v>56078.55</v>
      </c>
      <c r="R333" s="8">
        <f>IFERROR(Q333/Q444, "NA")</f>
        <v>9.4532924385600479E-3</v>
      </c>
      <c r="S333" s="9"/>
      <c r="T333" s="7">
        <v>51550</v>
      </c>
      <c r="U333" s="8">
        <f>IFERROR(T333/T444, "NA")</f>
        <v>8.1665694374923204E-3</v>
      </c>
      <c r="V333" s="9"/>
      <c r="W333" s="10">
        <f t="shared" si="82"/>
        <v>-4528.5500000000029</v>
      </c>
      <c r="X333" s="8">
        <f>IFERROR(W333/W444, "NA")</f>
        <v>1.1912573383114532E-2</v>
      </c>
      <c r="Y333" s="9"/>
      <c r="Z333" s="7">
        <v>52721.100000000006</v>
      </c>
      <c r="AA333" s="8">
        <f>IFERROR(Z333/Z444, "NA")</f>
        <v>9.3893636501533699E-3</v>
      </c>
      <c r="AB333" s="9"/>
      <c r="AC333" s="10">
        <f t="shared" si="83"/>
        <v>-3357.4499999999971</v>
      </c>
      <c r="AD333" s="8">
        <f>IFERROR(AC333/AC444, "NA")</f>
        <v>-1.0584976272748457E-2</v>
      </c>
    </row>
    <row r="334" spans="1:30" ht="16.5" customHeight="1" x14ac:dyDescent="0.45">
      <c r="A334" s="6" t="s">
        <v>305</v>
      </c>
      <c r="B334" s="7">
        <v>-4601.6499999999996</v>
      </c>
      <c r="C334" s="8">
        <f>IFERROR(B334/B444, "NA")</f>
        <v>-8.0135009026584061E-3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4601.6499999999996</v>
      </c>
      <c r="I334" s="8">
        <f>IFERROR(H334/H444, "NA")</f>
        <v>-4.7231550530004593E-2</v>
      </c>
      <c r="J334" s="9"/>
      <c r="K334" s="7">
        <v>-4047.84</v>
      </c>
      <c r="L334" s="8">
        <f>IFERROR(K334/K444, "NA")</f>
        <v>-6.5590634194627384E-3</v>
      </c>
      <c r="M334" s="9"/>
      <c r="N334" s="10">
        <f t="shared" si="81"/>
        <v>553.80999999999949</v>
      </c>
      <c r="O334" s="8">
        <f>IFERROR(N334/N444, "NA")</f>
        <v>-1.2909405257329119E-2</v>
      </c>
      <c r="P334" s="9"/>
      <c r="Q334" s="7">
        <v>-4601.6499999999996</v>
      </c>
      <c r="R334" s="8">
        <f>IFERROR(Q334/Q444, "NA")</f>
        <v>-7.7571091174611034E-4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4601.6499999999996</v>
      </c>
      <c r="X334" s="8">
        <f>IFERROR(W334/W444, "NA")</f>
        <v>-1.210486652646188E-2</v>
      </c>
      <c r="Y334" s="9"/>
      <c r="Z334" s="7">
        <v>-4047.84</v>
      </c>
      <c r="AA334" s="8">
        <f>IFERROR(Z334/Z444, "NA")</f>
        <v>-7.2090001456033385E-4</v>
      </c>
      <c r="AB334" s="9"/>
      <c r="AC334" s="10">
        <f t="shared" si="83"/>
        <v>553.80999999999949</v>
      </c>
      <c r="AD334" s="8">
        <f>IFERROR(AC334/AC444, "NA")</f>
        <v>1.745987493368724E-3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5.5791039034545475E-4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8.7061180996618106E-3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-1.0434183434396276E-2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13937.419999999998</v>
      </c>
      <c r="F337" s="8">
        <f>IFERROR(E337/E444, "NA")</f>
        <v>2.0750564470702653E-2</v>
      </c>
      <c r="G337" s="9"/>
      <c r="H337" s="10">
        <f t="shared" ref="H337:H344" si="84">IFERROR(-(B337-E337), "NA")</f>
        <v>13937.419999999998</v>
      </c>
      <c r="I337" s="8">
        <f>IFERROR(H337/H444, "NA")</f>
        <v>-0.14305432985731131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156338.6</v>
      </c>
      <c r="U337" s="8">
        <f>IFERROR(T337/T444, "NA")</f>
        <v>2.4767216928425546E-2</v>
      </c>
      <c r="V337" s="9"/>
      <c r="W337" s="10">
        <f t="shared" ref="W337:W344" si="86">IFERROR(-(Q337-T337), "NA")</f>
        <v>156338.6</v>
      </c>
      <c r="X337" s="8">
        <f>IFERROR(W337/W444, "NA")</f>
        <v>-0.41125637237380364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8993.0399999999991</v>
      </c>
      <c r="C338" s="8">
        <f>IFERROR(B338/B444, "NA")</f>
        <v>1.5660846469775655E-2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-8993.0399999999991</v>
      </c>
      <c r="I338" s="8">
        <f>IFERROR(H338/H444, "NA")</f>
        <v>9.2304982599361637E-2</v>
      </c>
      <c r="J338" s="9"/>
      <c r="K338" s="7">
        <v>8371.07</v>
      </c>
      <c r="L338" s="8">
        <f>IFERROR(K338/K444, "NA")</f>
        <v>1.3564364949889805E-2</v>
      </c>
      <c r="M338" s="9"/>
      <c r="N338" s="10">
        <f t="shared" si="85"/>
        <v>-621.96999999999935</v>
      </c>
      <c r="O338" s="8">
        <f>IFERROR(N338/N444, "NA")</f>
        <v>1.4498226445714218E-2</v>
      </c>
      <c r="P338" s="9"/>
      <c r="Q338" s="7">
        <v>101181.46</v>
      </c>
      <c r="R338" s="8">
        <f>IFERROR(Q338/Q444, "NA")</f>
        <v>1.705639555124849E-2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-101181.46</v>
      </c>
      <c r="X338" s="8">
        <f>IFERROR(W338/W444, "NA")</f>
        <v>0.26616280426641353</v>
      </c>
      <c r="Y338" s="9"/>
      <c r="Z338" s="7">
        <v>85620.36</v>
      </c>
      <c r="AA338" s="8">
        <f>IFERROR(Z338/Z444, "NA")</f>
        <v>1.5248556951525017E-2</v>
      </c>
      <c r="AB338" s="9"/>
      <c r="AC338" s="10">
        <f t="shared" si="87"/>
        <v>-15561.100000000006</v>
      </c>
      <c r="AD338" s="8">
        <f>IFERROR(AC338/AC444, "NA")</f>
        <v>-4.9059218835088E-2</v>
      </c>
    </row>
    <row r="339" spans="1:30" ht="16.5" customHeight="1" x14ac:dyDescent="0.45">
      <c r="A339" s="12" t="s">
        <v>309</v>
      </c>
      <c r="B339" s="7">
        <v>1817.1599999999999</v>
      </c>
      <c r="C339" s="8">
        <f>IFERROR(B339/B444, "NA")</f>
        <v>3.1644765030531979E-3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-1817.1599999999999</v>
      </c>
      <c r="I339" s="8">
        <f>IFERROR(H339/H444, "NA")</f>
        <v>1.865141511438357E-2</v>
      </c>
      <c r="J339" s="9"/>
      <c r="K339" s="7">
        <v>1722.5500000000002</v>
      </c>
      <c r="L339" s="8">
        <f>IFERROR(K339/K444, "NA")</f>
        <v>2.7911959695036221E-3</v>
      </c>
      <c r="M339" s="9"/>
      <c r="N339" s="10">
        <f t="shared" si="85"/>
        <v>-94.609999999999673</v>
      </c>
      <c r="O339" s="8">
        <f>IFERROR(N339/N444, "NA")</f>
        <v>2.2053751853449827E-3</v>
      </c>
      <c r="P339" s="9"/>
      <c r="Q339" s="7">
        <v>22253.5</v>
      </c>
      <c r="R339" s="8">
        <f>IFERROR(Q339/Q444, "NA")</f>
        <v>3.7513245845603354E-3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-22253.5</v>
      </c>
      <c r="X339" s="8">
        <f>IFERROR(W339/W444, "NA")</f>
        <v>5.8538925656366626E-2</v>
      </c>
      <c r="Y339" s="9"/>
      <c r="Z339" s="7">
        <v>21869.05</v>
      </c>
      <c r="AA339" s="8">
        <f>IFERROR(Z339/Z444, "NA")</f>
        <v>3.8947681883228259E-3</v>
      </c>
      <c r="AB339" s="9"/>
      <c r="AC339" s="10">
        <f t="shared" si="87"/>
        <v>-384.45000000000073</v>
      </c>
      <c r="AD339" s="8">
        <f>IFERROR(AC339/AC444, "NA")</f>
        <v>-1.2120490634434332E-3</v>
      </c>
    </row>
    <row r="340" spans="1:30" ht="16.5" customHeight="1" x14ac:dyDescent="0.45">
      <c r="A340" s="12" t="s">
        <v>310</v>
      </c>
      <c r="B340" s="7">
        <v>2590.73</v>
      </c>
      <c r="C340" s="8">
        <f>IFERROR(B340/B444, "NA")</f>
        <v>4.5116028367094873E-3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-2590.73</v>
      </c>
      <c r="I340" s="8">
        <f>IFERROR(H340/H444, "NA")</f>
        <v>2.6591373725641632E-2</v>
      </c>
      <c r="J340" s="9"/>
      <c r="K340" s="7">
        <v>2557.34</v>
      </c>
      <c r="L340" s="8">
        <f>IFERROR(K340/K444, "NA")</f>
        <v>4.1438780300428971E-3</v>
      </c>
      <c r="M340" s="9"/>
      <c r="N340" s="10">
        <f t="shared" si="85"/>
        <v>-33.389999999999873</v>
      </c>
      <c r="O340" s="8">
        <f>IFERROR(N340/N444, "NA")</f>
        <v>7.7832657688055112E-4</v>
      </c>
      <c r="P340" s="9"/>
      <c r="Q340" s="7">
        <v>33214.409999999996</v>
      </c>
      <c r="R340" s="8">
        <f>IFERROR(Q340/Q444, "NA")</f>
        <v>5.5990308398529056E-3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-33214.409999999996</v>
      </c>
      <c r="X340" s="8">
        <f>IFERROR(W340/W444, "NA")</f>
        <v>8.7372138212419612E-2</v>
      </c>
      <c r="Y340" s="9"/>
      <c r="Z340" s="7">
        <v>24591.399999999998</v>
      </c>
      <c r="AA340" s="8">
        <f>IFERROR(Z340/Z444, "NA")</f>
        <v>4.3796050777844455E-3</v>
      </c>
      <c r="AB340" s="9"/>
      <c r="AC340" s="10">
        <f t="shared" si="87"/>
        <v>-8623.0099999999984</v>
      </c>
      <c r="AD340" s="8">
        <f>IFERROR(AC340/AC444, "NA")</f>
        <v>-2.718561892200114E-2</v>
      </c>
    </row>
    <row r="341" spans="1:30" ht="16.5" customHeight="1" x14ac:dyDescent="0.45">
      <c r="A341" s="12" t="s">
        <v>311</v>
      </c>
      <c r="B341" s="7">
        <v>1883.72</v>
      </c>
      <c r="C341" s="8">
        <f>IFERROR(B341/B444, "NA")</f>
        <v>3.2803868004641148E-3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-1883.72</v>
      </c>
      <c r="I341" s="8">
        <f>IFERROR(H341/H444, "NA")</f>
        <v>1.9334590063212167E-2</v>
      </c>
      <c r="J341" s="9"/>
      <c r="K341" s="7">
        <v>1787.6999999999998</v>
      </c>
      <c r="L341" s="8">
        <f>IFERROR(K341/K444, "NA")</f>
        <v>2.8967641198697422E-3</v>
      </c>
      <c r="M341" s="9"/>
      <c r="N341" s="10">
        <f t="shared" si="85"/>
        <v>-96.020000000000209</v>
      </c>
      <c r="O341" s="8">
        <f>IFERROR(N341/N444, "NA")</f>
        <v>2.238242525069511E-3</v>
      </c>
      <c r="P341" s="9"/>
      <c r="Q341" s="7">
        <v>18798.519999999997</v>
      </c>
      <c r="R341" s="8">
        <f>IFERROR(Q341/Q444, "NA")</f>
        <v>3.1689105187655492E-3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-18798.519999999997</v>
      </c>
      <c r="X341" s="8">
        <f>IFERROR(W341/W444, "NA")</f>
        <v>4.9450430931301637E-2</v>
      </c>
      <c r="Y341" s="9"/>
      <c r="Z341" s="7">
        <v>17611.04</v>
      </c>
      <c r="AA341" s="8">
        <f>IFERROR(Z341/Z444, "NA")</f>
        <v>3.1364379502210118E-3</v>
      </c>
      <c r="AB341" s="9"/>
      <c r="AC341" s="10">
        <f t="shared" si="87"/>
        <v>-1187.4799999999959</v>
      </c>
      <c r="AD341" s="8">
        <f>IFERROR(AC341/AC444, "NA")</f>
        <v>-3.7437482685857733E-3</v>
      </c>
    </row>
    <row r="342" spans="1:30" ht="16.5" customHeight="1" x14ac:dyDescent="0.45">
      <c r="A342" s="13" t="s">
        <v>312</v>
      </c>
      <c r="B342" s="14">
        <f>IFERROR(B337+B338+B339+B340+B341, "NA")</f>
        <v>15284.649999999998</v>
      </c>
      <c r="C342" s="15">
        <f>IFERROR(B342/B444, "NA")</f>
        <v>2.6617312610002455E-2</v>
      </c>
      <c r="D342" s="2"/>
      <c r="E342" s="14">
        <f>IFERROR(E337+E338+E339+E340+E341, "NA")</f>
        <v>13937.419999999998</v>
      </c>
      <c r="F342" s="15">
        <f>IFERROR(E342/E444, "NA")</f>
        <v>2.0750564470702653E-2</v>
      </c>
      <c r="G342" s="2"/>
      <c r="H342" s="14">
        <f t="shared" si="84"/>
        <v>-1347.2299999999996</v>
      </c>
      <c r="I342" s="15">
        <f>IFERROR(H342/H444, "NA")</f>
        <v>1.3828031645287685E-2</v>
      </c>
      <c r="J342" s="2"/>
      <c r="K342" s="14">
        <f>IFERROR(K337+K338+K339+K340+K341, "NA")</f>
        <v>14438.66</v>
      </c>
      <c r="L342" s="15">
        <f>IFERROR(K342/K444, "NA")</f>
        <v>2.3396203069306065E-2</v>
      </c>
      <c r="M342" s="2"/>
      <c r="N342" s="14">
        <f t="shared" si="85"/>
        <v>-845.98999999999796</v>
      </c>
      <c r="O342" s="15">
        <f>IFERROR(N342/N444, "NA")</f>
        <v>1.9720170733009235E-2</v>
      </c>
      <c r="P342" s="2"/>
      <c r="Q342" s="14">
        <f>IFERROR(Q337+Q338+Q339+Q340+Q341, "NA")</f>
        <v>175447.88999999998</v>
      </c>
      <c r="R342" s="15">
        <f>IFERROR(Q342/Q444, "NA")</f>
        <v>2.9575661494427277E-2</v>
      </c>
      <c r="S342" s="2"/>
      <c r="T342" s="14">
        <f>IFERROR(T337+T338+T339+T340+T341, "NA")</f>
        <v>156338.6</v>
      </c>
      <c r="U342" s="15">
        <f>IFERROR(T342/T444, "NA")</f>
        <v>2.4767216928425546E-2</v>
      </c>
      <c r="V342" s="2"/>
      <c r="W342" s="14">
        <f t="shared" si="86"/>
        <v>-19109.289999999979</v>
      </c>
      <c r="X342" s="15">
        <f>IFERROR(W342/W444, "NA")</f>
        <v>5.026792669269773E-2</v>
      </c>
      <c r="Y342" s="2"/>
      <c r="Z342" s="14">
        <f>IFERROR(Z337+Z338+Z339+Z340+Z341, "NA")</f>
        <v>149691.85</v>
      </c>
      <c r="AA342" s="15">
        <f>IFERROR(Z342/Z444, "NA")</f>
        <v>2.66593681678533E-2</v>
      </c>
      <c r="AB342" s="2"/>
      <c r="AC342" s="14">
        <f t="shared" si="87"/>
        <v>-25756.039999999979</v>
      </c>
      <c r="AD342" s="15">
        <f>IFERROR(AC342/AC444, "NA")</f>
        <v>-8.1200635089118275E-2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83752.459999999992</v>
      </c>
      <c r="C343" s="15">
        <f>IFERROR(B343/B444, "NA")</f>
        <v>0.14584994812944532</v>
      </c>
      <c r="D343" s="2"/>
      <c r="E343" s="14">
        <f>IFERROR(E328+E329+E330+E331+E332+E333+E334+E335+E337+E338+E339+E340+E341, "NA")</f>
        <v>81011.539999999994</v>
      </c>
      <c r="F343" s="15">
        <f>IFERROR(E343/E444, "NA")</f>
        <v>0.12061308216591786</v>
      </c>
      <c r="G343" s="2"/>
      <c r="H343" s="14">
        <f t="shared" si="84"/>
        <v>-2740.9199999999983</v>
      </c>
      <c r="I343" s="15">
        <f>IFERROR(H343/H444, "NA")</f>
        <v>2.8132930900590034E-2</v>
      </c>
      <c r="J343" s="2"/>
      <c r="K343" s="14">
        <f>IFERROR(K328+K329+K330+K331+K332+K333+K334+K335+K337+K338+K339+K340+K341, "NA")</f>
        <v>74596.600000000006</v>
      </c>
      <c r="L343" s="15">
        <f>IFERROR(K343/K444, "NA")</f>
        <v>0.12087528911130237</v>
      </c>
      <c r="M343" s="2"/>
      <c r="N343" s="14">
        <f t="shared" si="85"/>
        <v>-9155.859999999986</v>
      </c>
      <c r="O343" s="15">
        <f>IFERROR(N343/N444, "NA")</f>
        <v>0.21342465325539323</v>
      </c>
      <c r="P343" s="2"/>
      <c r="Q343" s="14">
        <f>IFERROR(Q328+Q329+Q330+Q331+Q332+Q333+Q334+Q335+Q337+Q338+Q339+Q340+Q341, "NA")</f>
        <v>869033.32000000007</v>
      </c>
      <c r="R343" s="15">
        <f>IFERROR(Q343/Q444, "NA")</f>
        <v>0.14649498092965554</v>
      </c>
      <c r="S343" s="2"/>
      <c r="T343" s="14">
        <f>IFERROR(T328+T329+T330+T331+T332+T333+T334+T335+T337+T338+T339+T340+T341, "NA")</f>
        <v>841910.13</v>
      </c>
      <c r="U343" s="15">
        <f>IFERROR(T343/T444, "NA")</f>
        <v>0.13337570391412581</v>
      </c>
      <c r="V343" s="2"/>
      <c r="W343" s="14">
        <f t="shared" si="86"/>
        <v>-27123.190000000061</v>
      </c>
      <c r="X343" s="15">
        <f>IFERROR(W343/W444, "NA")</f>
        <v>7.1348884578763344E-2</v>
      </c>
      <c r="Y343" s="2"/>
      <c r="Z343" s="14">
        <f>IFERROR(Z328+Z329+Z330+Z331+Z332+Z333+Z334+Z335+Z337+Z338+Z339+Z340+Z341, "NA")</f>
        <v>785655.75000000012</v>
      </c>
      <c r="AA343" s="15">
        <f>IFERROR(Z343/Z444, "NA")</f>
        <v>0.13992135104510309</v>
      </c>
      <c r="AB343" s="2"/>
      <c r="AC343" s="14">
        <f t="shared" si="87"/>
        <v>-83377.569999999949</v>
      </c>
      <c r="AD343" s="15">
        <f>IFERROR(AC343/AC444, "NA")</f>
        <v>-0.2628630657580675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83752.459999999992</v>
      </c>
      <c r="C344" s="15">
        <f>IFERROR(B344/B444, "NA")</f>
        <v>0.14584994812944532</v>
      </c>
      <c r="D344" s="2"/>
      <c r="E344" s="14">
        <f>IFERROR(E328+E329+E330+E331+E332+E333+E334+E335+E337+E338+E339+E340+E341, "NA")</f>
        <v>81011.539999999994</v>
      </c>
      <c r="F344" s="15">
        <f>IFERROR(E344/E444, "NA")</f>
        <v>0.12061308216591786</v>
      </c>
      <c r="G344" s="2"/>
      <c r="H344" s="14">
        <f t="shared" si="84"/>
        <v>-2740.9199999999983</v>
      </c>
      <c r="I344" s="15">
        <f>IFERROR(H344/H444, "NA")</f>
        <v>2.8132930900590034E-2</v>
      </c>
      <c r="J344" s="2"/>
      <c r="K344" s="14">
        <f>IFERROR(K328+K329+K330+K331+K332+K333+K334+K335+K337+K338+K339+K340+K341, "NA")</f>
        <v>74596.600000000006</v>
      </c>
      <c r="L344" s="15">
        <f>IFERROR(K344/K444, "NA")</f>
        <v>0.12087528911130237</v>
      </c>
      <c r="M344" s="2"/>
      <c r="N344" s="14">
        <f t="shared" si="85"/>
        <v>-9155.859999999986</v>
      </c>
      <c r="O344" s="15">
        <f>IFERROR(N344/N444, "NA")</f>
        <v>0.21342465325539323</v>
      </c>
      <c r="P344" s="2"/>
      <c r="Q344" s="14">
        <f>IFERROR(Q328+Q329+Q330+Q331+Q332+Q333+Q334+Q335+Q337+Q338+Q339+Q340+Q341, "NA")</f>
        <v>869033.32000000007</v>
      </c>
      <c r="R344" s="15">
        <f>IFERROR(Q344/Q444, "NA")</f>
        <v>0.14649498092965554</v>
      </c>
      <c r="S344" s="2"/>
      <c r="T344" s="14">
        <f>IFERROR(T328+T329+T330+T331+T332+T333+T334+T335+T337+T338+T339+T340+T341, "NA")</f>
        <v>841910.13</v>
      </c>
      <c r="U344" s="15">
        <f>IFERROR(T344/T444, "NA")</f>
        <v>0.13337570391412581</v>
      </c>
      <c r="V344" s="2"/>
      <c r="W344" s="14">
        <f t="shared" si="86"/>
        <v>-27123.190000000061</v>
      </c>
      <c r="X344" s="15">
        <f>IFERROR(W344/W444, "NA")</f>
        <v>7.1348884578763344E-2</v>
      </c>
      <c r="Y344" s="2"/>
      <c r="Z344" s="14">
        <f>IFERROR(Z328+Z329+Z330+Z331+Z332+Z333+Z334+Z335+Z337+Z338+Z339+Z340+Z341, "NA")</f>
        <v>785655.75000000012</v>
      </c>
      <c r="AA344" s="15">
        <f>IFERROR(Z344/Z444, "NA")</f>
        <v>0.13992135104510309</v>
      </c>
      <c r="AB344" s="2"/>
      <c r="AC344" s="14">
        <f t="shared" si="87"/>
        <v>-83377.569999999949</v>
      </c>
      <c r="AD344" s="15">
        <f>IFERROR(AC344/AC444, "NA")</f>
        <v>-0.2628630657580675</v>
      </c>
    </row>
    <row r="345" spans="1:30" ht="16.5" customHeight="1" x14ac:dyDescent="0.45">
      <c r="A345" s="22" t="s">
        <v>315</v>
      </c>
      <c r="B345" s="23">
        <f>IFERROR(B198-B325-B344, "NA")</f>
        <v>22653.939999999857</v>
      </c>
      <c r="C345" s="24">
        <f>IFERROR(B345/B444, "NA")</f>
        <v>3.9450494635352155E-2</v>
      </c>
      <c r="D345" s="25"/>
      <c r="E345" s="23">
        <f>IFERROR(E198-E325-E344, "NA")</f>
        <v>113953.49999999999</v>
      </c>
      <c r="F345" s="24">
        <f>IFERROR(E345/E444, "NA")</f>
        <v>0.16965833335095123</v>
      </c>
      <c r="G345" s="25"/>
      <c r="H345" s="23">
        <f>IFERROR(B345-E345, "NA")</f>
        <v>-91299.560000000129</v>
      </c>
      <c r="I345" s="24">
        <f>IFERROR(H345/H444, "NA")</f>
        <v>0.93710294818319362</v>
      </c>
      <c r="J345" s="25"/>
      <c r="K345" s="23">
        <f>IFERROR(K198-K325-K344, "NA")</f>
        <v>45644.450000000274</v>
      </c>
      <c r="L345" s="24">
        <f>IFERROR(K345/K444, "NA")</f>
        <v>7.3961629485478131E-2</v>
      </c>
      <c r="M345" s="25"/>
      <c r="N345" s="23">
        <f>IFERROR(B345-K345, "NA")</f>
        <v>-22990.510000000417</v>
      </c>
      <c r="O345" s="24">
        <f>IFERROR(N345/N444, "NA")</f>
        <v>0.53591269688644727</v>
      </c>
      <c r="P345" s="25"/>
      <c r="Q345" s="23">
        <f>IFERROR(Q198-Q325-Q344, "NA")</f>
        <v>214607.81000000122</v>
      </c>
      <c r="R345" s="24">
        <f>IFERROR(Q345/Q444, "NA")</f>
        <v>3.6176940871847488E-2</v>
      </c>
      <c r="S345" s="25"/>
      <c r="T345" s="23">
        <f>IFERROR(T198-T325-T344, "NA")</f>
        <v>832556.36000000045</v>
      </c>
      <c r="U345" s="24">
        <f>IFERROR(T345/T444, "NA")</f>
        <v>0.13189387632523486</v>
      </c>
      <c r="V345" s="25"/>
      <c r="W345" s="23">
        <f>IFERROR(Q345-T345, "NA")</f>
        <v>-617948.54999999923</v>
      </c>
      <c r="X345" s="24">
        <f>IFERROR(W345/W444, "NA")</f>
        <v>1.6255440370238168</v>
      </c>
      <c r="Y345" s="25"/>
      <c r="Z345" s="23">
        <f>IFERROR(Z198-Z325-Z344, "NA")</f>
        <v>381307.53000000014</v>
      </c>
      <c r="AA345" s="24">
        <f>IFERROR(Z345/Z444, "NA")</f>
        <v>6.7908959822761031E-2</v>
      </c>
      <c r="AB345" s="25"/>
      <c r="AC345" s="23">
        <f>IFERROR(Q345-Z345, "NA")</f>
        <v>-166699.71999999892</v>
      </c>
      <c r="AD345" s="24">
        <f>IFERROR(AC345/AC444, "NA")</f>
        <v>-0.52555140981214954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43668.23</v>
      </c>
      <c r="C350" s="8">
        <f>IFERROR(B350/B444, "NA")</f>
        <v>7.604563591809349E-2</v>
      </c>
      <c r="D350" s="9"/>
      <c r="E350" s="7">
        <v>62115</v>
      </c>
      <c r="F350" s="8">
        <f>IFERROR(E350/E444, "NA")</f>
        <v>9.2479189986216639E-2</v>
      </c>
      <c r="G350" s="9"/>
      <c r="H350" s="10">
        <f t="shared" si="88"/>
        <v>18446.769999999997</v>
      </c>
      <c r="I350" s="8">
        <f>IFERROR(H350/H444, "NA")</f>
        <v>-0.18933850887624498</v>
      </c>
      <c r="J350" s="9"/>
      <c r="K350" s="7">
        <v>56423.02</v>
      </c>
      <c r="L350" s="8">
        <f>IFERROR(K350/K444, "NA")</f>
        <v>9.1427073821498492E-2</v>
      </c>
      <c r="M350" s="9"/>
      <c r="N350" s="10">
        <f t="shared" si="89"/>
        <v>12754.789999999994</v>
      </c>
      <c r="O350" s="8">
        <f>IFERROR(N350/N444, "NA")</f>
        <v>-0.29731632343606823</v>
      </c>
      <c r="P350" s="9"/>
      <c r="Q350" s="7">
        <v>497366.76</v>
      </c>
      <c r="R350" s="8">
        <f>IFERROR(Q350/Q444, "NA")</f>
        <v>8.3842278937296164E-2</v>
      </c>
      <c r="S350" s="9"/>
      <c r="T350" s="7">
        <v>660430</v>
      </c>
      <c r="U350" s="8">
        <f>IFERROR(T350/T444, "NA")</f>
        <v>0.10462555681092246</v>
      </c>
      <c r="V350" s="9"/>
      <c r="W350" s="10">
        <f t="shared" si="90"/>
        <v>163063.24</v>
      </c>
      <c r="X350" s="8">
        <f>IFERROR(W350/W444, "NA")</f>
        <v>-0.42894586845423271</v>
      </c>
      <c r="Y350" s="9"/>
      <c r="Z350" s="7">
        <v>527724.24</v>
      </c>
      <c r="AA350" s="8">
        <f>IFERROR(Z350/Z444, "NA")</f>
        <v>9.3985041972963618E-2</v>
      </c>
      <c r="AB350" s="9"/>
      <c r="AC350" s="10">
        <f t="shared" si="91"/>
        <v>30357.479999999981</v>
      </c>
      <c r="AD350" s="8">
        <f>IFERROR(AC350/AC444, "NA")</f>
        <v>9.5707517759143365E-2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10769.24</v>
      </c>
      <c r="L352" s="8">
        <f>IFERROR(K352/K444, "NA")</f>
        <v>1.7450326134287646E-2</v>
      </c>
      <c r="M352" s="9"/>
      <c r="N352" s="10">
        <f t="shared" si="89"/>
        <v>10769.24</v>
      </c>
      <c r="O352" s="8">
        <f>IFERROR(N352/N444, "NA")</f>
        <v>-0.2510328153580455</v>
      </c>
      <c r="P352" s="9"/>
      <c r="Q352" s="7">
        <v>0</v>
      </c>
      <c r="R352" s="8">
        <f>IFERROR(Q352/Q444, "NA")</f>
        <v>0</v>
      </c>
      <c r="S352" s="9"/>
      <c r="T352" s="7">
        <v>23375</v>
      </c>
      <c r="U352" s="8">
        <f>IFERROR(T352/T444, "NA")</f>
        <v>3.7030758603566051E-3</v>
      </c>
      <c r="V352" s="9"/>
      <c r="W352" s="10">
        <f t="shared" si="90"/>
        <v>23375</v>
      </c>
      <c r="X352" s="8">
        <f>IFERROR(W352/W444, "NA")</f>
        <v>-6.1489086535491941E-2</v>
      </c>
      <c r="Y352" s="9"/>
      <c r="Z352" s="7">
        <v>105577</v>
      </c>
      <c r="AA352" s="8">
        <f>IFERROR(Z352/Z444, "NA")</f>
        <v>1.880273450463367E-2</v>
      </c>
      <c r="AB352" s="9"/>
      <c r="AC352" s="10">
        <f t="shared" si="91"/>
        <v>105577</v>
      </c>
      <c r="AD352" s="8">
        <f>IFERROR(AC352/AC444, "NA")</f>
        <v>0.33285083618459388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5917.91</v>
      </c>
      <c r="F353" s="8">
        <f>IFERROR(E353/E444, "NA")</f>
        <v>8.8108109669376364E-3</v>
      </c>
      <c r="G353" s="9"/>
      <c r="H353" s="10">
        <f t="shared" si="88"/>
        <v>5917.91</v>
      </c>
      <c r="I353" s="8">
        <f>IFERROR(H353/H444, "NA")</f>
        <v>-6.074170464877153E-2</v>
      </c>
      <c r="J353" s="9"/>
      <c r="K353" s="7">
        <v>6616.94</v>
      </c>
      <c r="L353" s="8">
        <f>IFERROR(K353/K444, "NA")</f>
        <v>1.0721997189310786E-2</v>
      </c>
      <c r="M353" s="9"/>
      <c r="N353" s="10">
        <f t="shared" si="89"/>
        <v>6616.94</v>
      </c>
      <c r="O353" s="8">
        <f>IFERROR(N353/N444, "NA")</f>
        <v>-0.15424199639484917</v>
      </c>
      <c r="P353" s="9"/>
      <c r="Q353" s="7">
        <v>7499.8</v>
      </c>
      <c r="R353" s="8">
        <f>IFERROR(Q353/Q444, "NA")</f>
        <v>1.2642588410490757E-3</v>
      </c>
      <c r="S353" s="9"/>
      <c r="T353" s="7">
        <v>53584.05</v>
      </c>
      <c r="U353" s="8">
        <f>IFERROR(T353/T444, "NA")</f>
        <v>8.4888043659953512E-3</v>
      </c>
      <c r="V353" s="9"/>
      <c r="W353" s="10">
        <f t="shared" si="90"/>
        <v>46084.25</v>
      </c>
      <c r="X353" s="8">
        <f>IFERROR(W353/W444, "NA")</f>
        <v>-0.12122688496997837</v>
      </c>
      <c r="Y353" s="9"/>
      <c r="Z353" s="7">
        <v>19700.259999999998</v>
      </c>
      <c r="AA353" s="8">
        <f>IFERROR(Z353/Z444, "NA")</f>
        <v>3.508517560190709E-3</v>
      </c>
      <c r="AB353" s="9"/>
      <c r="AC353" s="10">
        <f t="shared" si="91"/>
        <v>12200.46</v>
      </c>
      <c r="AD353" s="8">
        <f>IFERROR(AC353/AC444, "NA")</f>
        <v>3.8464185502871742E-2</v>
      </c>
    </row>
    <row r="354" spans="1:30" ht="16.5" customHeight="1" x14ac:dyDescent="0.45">
      <c r="A354" s="6" t="s">
        <v>323</v>
      </c>
      <c r="B354" s="7">
        <v>2395.44</v>
      </c>
      <c r="C354" s="8">
        <f>IFERROR(B354/B444, "NA")</f>
        <v>4.1715168694411902E-3</v>
      </c>
      <c r="D354" s="9"/>
      <c r="E354" s="7">
        <v>4717.05</v>
      </c>
      <c r="F354" s="8">
        <f>IFERROR(E354/E444, "NA")</f>
        <v>7.0229246256859569E-3</v>
      </c>
      <c r="G354" s="9"/>
      <c r="H354" s="10">
        <f t="shared" si="88"/>
        <v>2321.61</v>
      </c>
      <c r="I354" s="8">
        <f>IFERROR(H354/H444, "NA")</f>
        <v>-2.3829113475810629E-2</v>
      </c>
      <c r="J354" s="9"/>
      <c r="K354" s="7">
        <v>5280.88</v>
      </c>
      <c r="L354" s="8">
        <f>IFERROR(K354/K444, "NA")</f>
        <v>8.557064219576957E-3</v>
      </c>
      <c r="M354" s="9"/>
      <c r="N354" s="10">
        <f t="shared" si="89"/>
        <v>2885.44</v>
      </c>
      <c r="O354" s="8">
        <f>IFERROR(N354/N444, "NA")</f>
        <v>-6.7260096974969333E-2</v>
      </c>
      <c r="P354" s="9"/>
      <c r="Q354" s="7">
        <v>41768.300000000003</v>
      </c>
      <c r="R354" s="8">
        <f>IFERROR(Q354/Q444, "NA")</f>
        <v>7.0409800995480023E-3</v>
      </c>
      <c r="S354" s="9"/>
      <c r="T354" s="7">
        <v>55764.78</v>
      </c>
      <c r="U354" s="8">
        <f>IFERROR(T354/T444, "NA")</f>
        <v>8.8342763925602901E-3</v>
      </c>
      <c r="V354" s="9"/>
      <c r="W354" s="10">
        <f t="shared" si="90"/>
        <v>13996.479999999996</v>
      </c>
      <c r="X354" s="8">
        <f>IFERROR(W354/W444, "NA")</f>
        <v>-3.6818428659348958E-2</v>
      </c>
      <c r="Y354" s="9"/>
      <c r="Z354" s="7">
        <v>47922.73</v>
      </c>
      <c r="AA354" s="8">
        <f>IFERROR(Z354/Z444, "NA")</f>
        <v>8.5347980045582198E-3</v>
      </c>
      <c r="AB354" s="9"/>
      <c r="AC354" s="10">
        <f t="shared" si="91"/>
        <v>6154.43</v>
      </c>
      <c r="AD354" s="8">
        <f>IFERROR(AC354/AC444, "NA")</f>
        <v>1.9402968181891418E-2</v>
      </c>
    </row>
    <row r="355" spans="1:30" ht="16.5" customHeight="1" x14ac:dyDescent="0.45">
      <c r="A355" s="6" t="s">
        <v>324</v>
      </c>
      <c r="B355" s="7">
        <v>190.8</v>
      </c>
      <c r="C355" s="8">
        <f>IFERROR(B355/B444, "NA")</f>
        <v>3.3226689822720633E-4</v>
      </c>
      <c r="D355" s="9"/>
      <c r="E355" s="7">
        <v>280</v>
      </c>
      <c r="F355" s="8">
        <f>IFERROR(E355/E444, "NA")</f>
        <v>4.16874719409815E-4</v>
      </c>
      <c r="G355" s="9"/>
      <c r="H355" s="10">
        <f t="shared" si="88"/>
        <v>89.199999999999989</v>
      </c>
      <c r="I355" s="8">
        <f>IFERROR(H355/H444, "NA")</f>
        <v>-9.155529662787065E-4</v>
      </c>
      <c r="J355" s="9"/>
      <c r="K355" s="7">
        <v>275.60000000000002</v>
      </c>
      <c r="L355" s="8">
        <f>IFERROR(K355/K444, "NA")</f>
        <v>4.465783920322767E-4</v>
      </c>
      <c r="M355" s="9"/>
      <c r="N355" s="10">
        <f t="shared" si="89"/>
        <v>84.800000000000011</v>
      </c>
      <c r="O355" s="8">
        <f>IFERROR(N355/N444, "NA")</f>
        <v>-1.9767024174744234E-3</v>
      </c>
      <c r="P355" s="9"/>
      <c r="Q355" s="7">
        <v>2236.6</v>
      </c>
      <c r="R355" s="8">
        <f>IFERROR(Q355/Q444, "NA")</f>
        <v>3.7702889728930938E-4</v>
      </c>
      <c r="S355" s="9"/>
      <c r="T355" s="7">
        <v>3010</v>
      </c>
      <c r="U355" s="8">
        <f>IFERROR(T355/T444, "NA")</f>
        <v>4.7684527656356707E-4</v>
      </c>
      <c r="V355" s="9"/>
      <c r="W355" s="10">
        <f t="shared" si="90"/>
        <v>773.40000000000009</v>
      </c>
      <c r="X355" s="8">
        <f>IFERROR(W355/W444, "NA")</f>
        <v>-2.0344667177133462E-3</v>
      </c>
      <c r="Y355" s="9"/>
      <c r="Z355" s="7">
        <v>2365.92</v>
      </c>
      <c r="AA355" s="8">
        <f>IFERROR(Z355/Z444, "NA")</f>
        <v>4.2135849303544237E-4</v>
      </c>
      <c r="AB355" s="9"/>
      <c r="AC355" s="10">
        <f t="shared" si="91"/>
        <v>129.32000000000016</v>
      </c>
      <c r="AD355" s="8">
        <f>IFERROR(AC355/AC444, "NA")</f>
        <v>4.0770499384706644E-4</v>
      </c>
    </row>
    <row r="356" spans="1:30" ht="16.5" customHeight="1" x14ac:dyDescent="0.45">
      <c r="A356" s="6" t="s">
        <v>325</v>
      </c>
      <c r="B356" s="7">
        <v>3000</v>
      </c>
      <c r="C356" s="8">
        <f>IFERROR(B356/B444, "NA")</f>
        <v>5.2243222991699102E-3</v>
      </c>
      <c r="D356" s="9"/>
      <c r="E356" s="7">
        <v>6187.5</v>
      </c>
      <c r="F356" s="8">
        <f>IFERROR(E356/E444, "NA")</f>
        <v>9.2121868798151086E-3</v>
      </c>
      <c r="G356" s="9"/>
      <c r="H356" s="10">
        <f t="shared" si="88"/>
        <v>3187.5</v>
      </c>
      <c r="I356" s="8">
        <f>IFERROR(H356/H444, "NA")</f>
        <v>-3.2716648879073738E-2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-3000</v>
      </c>
      <c r="O356" s="8">
        <f>IFERROR(N356/N444, "NA")</f>
        <v>6.9930510052161193E-2</v>
      </c>
      <c r="P356" s="9"/>
      <c r="Q356" s="7">
        <v>24375</v>
      </c>
      <c r="R356" s="8">
        <f>IFERROR(Q356/Q444, "NA")</f>
        <v>4.1089508054309738E-3</v>
      </c>
      <c r="S356" s="9"/>
      <c r="T356" s="7">
        <v>61875</v>
      </c>
      <c r="U356" s="8">
        <f>IFERROR(T356/T444, "NA")</f>
        <v>9.8022596303557197E-3</v>
      </c>
      <c r="V356" s="9"/>
      <c r="W356" s="10">
        <f t="shared" si="90"/>
        <v>37500</v>
      </c>
      <c r="X356" s="8">
        <f>IFERROR(W356/W444, "NA")</f>
        <v>-9.8645593372446966E-2</v>
      </c>
      <c r="Y356" s="9"/>
      <c r="Z356" s="7">
        <v>12800</v>
      </c>
      <c r="AA356" s="8">
        <f>IFERROR(Z356/Z444, "NA")</f>
        <v>2.2796158411331159E-3</v>
      </c>
      <c r="AB356" s="9"/>
      <c r="AC356" s="10">
        <f t="shared" si="91"/>
        <v>-11575</v>
      </c>
      <c r="AD356" s="8">
        <f>IFERROR(AC356/AC444, "NA")</f>
        <v>-3.6492308256880518E-2</v>
      </c>
    </row>
    <row r="357" spans="1:30" ht="16.5" customHeight="1" x14ac:dyDescent="0.45">
      <c r="A357" s="6" t="s">
        <v>326</v>
      </c>
      <c r="B357" s="7">
        <v>3674.43</v>
      </c>
      <c r="C357" s="8">
        <f>IFERROR(B357/B444, "NA")</f>
        <v>6.3988021952462977E-3</v>
      </c>
      <c r="D357" s="9"/>
      <c r="E357" s="7">
        <v>2546.7199999999998</v>
      </c>
      <c r="F357" s="8">
        <f>IFERROR(E357/E444, "NA")</f>
        <v>3.7916542336262995E-3</v>
      </c>
      <c r="G357" s="9"/>
      <c r="H357" s="10">
        <f t="shared" si="88"/>
        <v>-1127.71</v>
      </c>
      <c r="I357" s="8">
        <f>IFERROR(H357/H444, "NA")</f>
        <v>1.1574868112131841E-2</v>
      </c>
      <c r="J357" s="9"/>
      <c r="K357" s="7">
        <v>2976.76</v>
      </c>
      <c r="L357" s="8">
        <f>IFERROR(K357/K444, "NA")</f>
        <v>4.8235003420391874E-3</v>
      </c>
      <c r="M357" s="9"/>
      <c r="N357" s="10">
        <f t="shared" si="89"/>
        <v>-697.66999999999962</v>
      </c>
      <c r="O357" s="8">
        <f>IFERROR(N357/N444, "NA")</f>
        <v>1.6262806316030425E-2</v>
      </c>
      <c r="P357" s="9"/>
      <c r="Q357" s="7">
        <v>34963.26</v>
      </c>
      <c r="R357" s="8">
        <f>IFERROR(Q357/Q444, "NA")</f>
        <v>5.8938385779484124E-3</v>
      </c>
      <c r="S357" s="9"/>
      <c r="T357" s="7">
        <v>27077.64</v>
      </c>
      <c r="U357" s="8">
        <f>IFERROR(T357/T444, "NA")</f>
        <v>4.2896494134513977E-3</v>
      </c>
      <c r="V357" s="9"/>
      <c r="W357" s="10">
        <f t="shared" si="90"/>
        <v>-7885.6200000000026</v>
      </c>
      <c r="X357" s="8">
        <f>IFERROR(W357/W444, "NA")</f>
        <v>2.0743511040256946E-2</v>
      </c>
      <c r="Y357" s="9"/>
      <c r="Z357" s="7">
        <v>25774.75</v>
      </c>
      <c r="AA357" s="8">
        <f>IFERROR(Z357/Z444, "NA")</f>
        <v>4.5903537813473264E-3</v>
      </c>
      <c r="AB357" s="9"/>
      <c r="AC357" s="10">
        <f t="shared" si="91"/>
        <v>-9188.510000000002</v>
      </c>
      <c r="AD357" s="8">
        <f>IFERROR(AC357/AC444, "NA")</f>
        <v>-2.8968461282196913E-2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52928.900000000009</v>
      </c>
      <c r="C358" s="15">
        <f>IFERROR(B358/B444, "NA")</f>
        <v>9.2172544180178104E-2</v>
      </c>
      <c r="D358" s="2"/>
      <c r="E358" s="14">
        <f>IFERROR(E349+E350+E351+E352+E353+E354+E355+E356+E357, "NA")</f>
        <v>81764.180000000008</v>
      </c>
      <c r="F358" s="15">
        <f>IFERROR(E358/E444, "NA")</f>
        <v>0.12173364141169146</v>
      </c>
      <c r="G358" s="2"/>
      <c r="H358" s="14">
        <f t="shared" si="88"/>
        <v>28835.279999999999</v>
      </c>
      <c r="I358" s="15">
        <f>IFERROR(H358/H444, "NA")</f>
        <v>-0.29596666073404776</v>
      </c>
      <c r="J358" s="2"/>
      <c r="K358" s="14">
        <f>IFERROR(K349+K350+K351+K352+K353+K354+K355+K356+K357, "NA")</f>
        <v>82342.44</v>
      </c>
      <c r="L358" s="15">
        <f>IFERROR(K358/K444, "NA")</f>
        <v>0.13342654009874536</v>
      </c>
      <c r="M358" s="2"/>
      <c r="N358" s="14">
        <f t="shared" si="89"/>
        <v>29413.539999999994</v>
      </c>
      <c r="O358" s="15">
        <f>IFERROR(N358/N444, "NA")</f>
        <v>-0.68563461821321503</v>
      </c>
      <c r="P358" s="2"/>
      <c r="Q358" s="14">
        <f>IFERROR(Q349+Q350+Q351+Q352+Q353+Q354+Q355+Q356+Q357, "NA")</f>
        <v>608209.72</v>
      </c>
      <c r="R358" s="15">
        <f>IFERROR(Q358/Q444, "NA")</f>
        <v>0.10252733615856192</v>
      </c>
      <c r="S358" s="2"/>
      <c r="T358" s="14">
        <f>IFERROR(T349+T350+T351+T352+T353+T354+T355+T356+T357, "NA")</f>
        <v>885116.47000000009</v>
      </c>
      <c r="U358" s="15">
        <f>IFERROR(T358/T444, "NA")</f>
        <v>0.14022046775020541</v>
      </c>
      <c r="V358" s="2"/>
      <c r="W358" s="14">
        <f t="shared" si="90"/>
        <v>276906.75000000012</v>
      </c>
      <c r="X358" s="15">
        <f>IFERROR(W358/W444, "NA")</f>
        <v>-0.72841681766895572</v>
      </c>
      <c r="Y358" s="2"/>
      <c r="Z358" s="14">
        <f>IFERROR(Z349+Z350+Z351+Z352+Z353+Z354+Z355+Z356+Z357, "NA")</f>
        <v>741864.9</v>
      </c>
      <c r="AA358" s="15">
        <f>IFERROR(Z358/Z444, "NA")</f>
        <v>0.1321224201578621</v>
      </c>
      <c r="AB358" s="2"/>
      <c r="AC358" s="14">
        <f t="shared" si="91"/>
        <v>133655.18000000005</v>
      </c>
      <c r="AD358" s="15">
        <f>IFERROR(AC358/AC444, "NA")</f>
        <v>0.42137244308327026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2.2332574254097233E-3</v>
      </c>
      <c r="G360" s="9"/>
      <c r="H360" s="10">
        <f t="shared" ref="H360:H383" si="92">IFERROR(-(B360-E360), "NA")</f>
        <v>1500</v>
      </c>
      <c r="I360" s="8">
        <f>IFERROR(H360/H444, "NA")</f>
        <v>-1.5396070060740582E-2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14500</v>
      </c>
      <c r="U360" s="8">
        <f>IFERROR(T360/T444, "NA")</f>
        <v>2.2970951861035625E-3</v>
      </c>
      <c r="V360" s="9"/>
      <c r="W360" s="10">
        <f t="shared" ref="W360:W383" si="94">IFERROR(-(Q360-T360), "NA")</f>
        <v>14500</v>
      </c>
      <c r="X360" s="8">
        <f>IFERROR(W360/W444, "NA")</f>
        <v>-3.8142962770679488E-2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3606.01</v>
      </c>
      <c r="AA361" s="8">
        <f>IFERROR(Z361/Z444, "NA")</f>
        <v>6.4221230619409598E-4</v>
      </c>
      <c r="AB361" s="9"/>
      <c r="AC361" s="10">
        <f t="shared" si="95"/>
        <v>3606.01</v>
      </c>
      <c r="AD361" s="8">
        <f>IFERROR(AC361/AC444, "NA")</f>
        <v>1.1368607213597729E-2</v>
      </c>
    </row>
    <row r="362" spans="1:30" ht="16.5" customHeight="1" x14ac:dyDescent="0.45">
      <c r="A362" s="6" t="s">
        <v>330</v>
      </c>
      <c r="B362" s="7">
        <v>812.54</v>
      </c>
      <c r="C362" s="8">
        <f>IFERROR(B362/B444, "NA")</f>
        <v>1.4149902803225064E-3</v>
      </c>
      <c r="D362" s="9"/>
      <c r="E362" s="7">
        <v>500</v>
      </c>
      <c r="F362" s="8">
        <f>IFERROR(E362/E444, "NA")</f>
        <v>7.4441914180324099E-4</v>
      </c>
      <c r="G362" s="9"/>
      <c r="H362" s="10">
        <f t="shared" si="92"/>
        <v>-312.53999999999996</v>
      </c>
      <c r="I362" s="8">
        <f>IFERROR(H362/H444, "NA")</f>
        <v>3.2079251578559071E-3</v>
      </c>
      <c r="J362" s="9"/>
      <c r="K362" s="7">
        <v>816.96</v>
      </c>
      <c r="L362" s="8">
        <f>IFERROR(K362/K444, "NA")</f>
        <v>1.3237905774843568E-3</v>
      </c>
      <c r="M362" s="9"/>
      <c r="N362" s="10">
        <f t="shared" si="93"/>
        <v>4.4200000000000728</v>
      </c>
      <c r="O362" s="8">
        <f>IFERROR(N362/N444, "NA")</f>
        <v>-1.0303095147685253E-4</v>
      </c>
      <c r="P362" s="9"/>
      <c r="Q362" s="7">
        <v>7712.7</v>
      </c>
      <c r="R362" s="8">
        <f>IFERROR(Q362/Q444, "NA")</f>
        <v>1.3001478923916911E-3</v>
      </c>
      <c r="S362" s="9"/>
      <c r="T362" s="7">
        <v>4500</v>
      </c>
      <c r="U362" s="8">
        <f>IFERROR(T362/T444, "NA")</f>
        <v>7.128916094804159E-4</v>
      </c>
      <c r="V362" s="9"/>
      <c r="W362" s="10">
        <f t="shared" si="94"/>
        <v>-3212.7</v>
      </c>
      <c r="X362" s="8">
        <f>IFERROR(W362/W444, "NA")</f>
        <v>8.4511652754042758E-3</v>
      </c>
      <c r="Y362" s="9"/>
      <c r="Z362" s="7">
        <v>6056.59</v>
      </c>
      <c r="AA362" s="8">
        <f>IFERROR(Z362/Z444, "NA")</f>
        <v>1.0786483208787827E-3</v>
      </c>
      <c r="AB362" s="9"/>
      <c r="AC362" s="10">
        <f t="shared" si="95"/>
        <v>-1656.1099999999997</v>
      </c>
      <c r="AD362" s="8">
        <f>IFERROR(AC362/AC444, "NA")</f>
        <v>-5.2211902053824946E-3</v>
      </c>
    </row>
    <row r="363" spans="1:30" ht="16.5" customHeight="1" x14ac:dyDescent="0.45">
      <c r="A363" s="6" t="s">
        <v>331</v>
      </c>
      <c r="B363" s="7">
        <v>853.5</v>
      </c>
      <c r="C363" s="8">
        <f>IFERROR(B363/B444, "NA")</f>
        <v>1.4863196941138396E-3</v>
      </c>
      <c r="D363" s="9"/>
      <c r="E363" s="7">
        <v>200</v>
      </c>
      <c r="F363" s="8">
        <f>IFERROR(E363/E444, "NA")</f>
        <v>2.9776765672129643E-4</v>
      </c>
      <c r="G363" s="9"/>
      <c r="H363" s="10">
        <f t="shared" si="92"/>
        <v>-653.5</v>
      </c>
      <c r="I363" s="8">
        <f>IFERROR(H363/H444, "NA")</f>
        <v>6.7075545231293134E-3</v>
      </c>
      <c r="J363" s="9"/>
      <c r="K363" s="7">
        <v>899.3</v>
      </c>
      <c r="L363" s="8">
        <f>IFERROR(K363/K444, "NA")</f>
        <v>1.4572131638411698E-3</v>
      </c>
      <c r="M363" s="9"/>
      <c r="N363" s="10">
        <f t="shared" si="93"/>
        <v>45.799999999999955</v>
      </c>
      <c r="O363" s="8">
        <f>IFERROR(N363/N444, "NA")</f>
        <v>-1.0676057867963266E-3</v>
      </c>
      <c r="P363" s="9"/>
      <c r="Q363" s="7">
        <v>9260.98</v>
      </c>
      <c r="R363" s="8">
        <f>IFERROR(Q363/Q444, "NA")</f>
        <v>1.561145076105852E-3</v>
      </c>
      <c r="S363" s="9"/>
      <c r="T363" s="7">
        <v>2150</v>
      </c>
      <c r="U363" s="8">
        <f>IFERROR(T363/T444, "NA")</f>
        <v>3.4060376897397649E-4</v>
      </c>
      <c r="V363" s="9"/>
      <c r="W363" s="10">
        <f t="shared" si="94"/>
        <v>-7110.98</v>
      </c>
      <c r="X363" s="8">
        <f>IFERROR(W363/W444, "NA")</f>
        <v>1.8705782441589408E-2</v>
      </c>
      <c r="Y363" s="9"/>
      <c r="Z363" s="7">
        <v>18861.560000000001</v>
      </c>
      <c r="AA363" s="8">
        <f>IFERROR(Z363/Z444, "NA")</f>
        <v>3.3591492941002139E-3</v>
      </c>
      <c r="AB363" s="9"/>
      <c r="AC363" s="10">
        <f t="shared" si="95"/>
        <v>9600.5800000000017</v>
      </c>
      <c r="AD363" s="8">
        <f>IFERROR(AC363/AC444, "NA")</f>
        <v>3.0267587456141859E-2</v>
      </c>
    </row>
    <row r="364" spans="1:30" ht="16.5" customHeight="1" x14ac:dyDescent="0.45">
      <c r="A364" s="6" t="s">
        <v>332</v>
      </c>
      <c r="B364" s="7">
        <v>247.36</v>
      </c>
      <c r="C364" s="8">
        <f>IFERROR(B364/B444, "NA")</f>
        <v>4.3076278797422304E-4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-247.36</v>
      </c>
      <c r="I364" s="8">
        <f>IFERROR(H364/H444, "NA")</f>
        <v>2.5389145934831938E-3</v>
      </c>
      <c r="J364" s="9"/>
      <c r="K364" s="7">
        <v>2497.0500000000002</v>
      </c>
      <c r="L364" s="8">
        <f>IFERROR(K364/K444, "NA")</f>
        <v>4.0461849558207424E-3</v>
      </c>
      <c r="M364" s="9"/>
      <c r="N364" s="10">
        <f t="shared" si="93"/>
        <v>2249.69</v>
      </c>
      <c r="O364" s="8">
        <f>IFERROR(N364/N444, "NA")</f>
        <v>-5.2440656386415513E-2</v>
      </c>
      <c r="P364" s="9"/>
      <c r="Q364" s="7">
        <v>6127.91</v>
      </c>
      <c r="R364" s="8">
        <f>IFERROR(Q364/Q444, "NA")</f>
        <v>1.0329961325172725E-3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-6127.91</v>
      </c>
      <c r="X364" s="8">
        <f>IFERROR(W364/W444, "NA")</f>
        <v>1.6119768482212037E-2</v>
      </c>
      <c r="Y364" s="9"/>
      <c r="Z364" s="7">
        <v>12203.82</v>
      </c>
      <c r="AA364" s="8">
        <f>IFERROR(Z364/Z444, "NA")</f>
        <v>2.1734391714325891E-3</v>
      </c>
      <c r="AB364" s="9"/>
      <c r="AC364" s="10">
        <f t="shared" si="95"/>
        <v>6075.91</v>
      </c>
      <c r="AD364" s="8">
        <f>IFERROR(AC364/AC444, "NA")</f>
        <v>1.915541949555619E-2</v>
      </c>
    </row>
    <row r="365" spans="1:30" ht="16.5" customHeight="1" x14ac:dyDescent="0.45">
      <c r="A365" s="6" t="s">
        <v>333</v>
      </c>
      <c r="B365" s="7">
        <v>771.96</v>
      </c>
      <c r="C365" s="8">
        <f>IFERROR(B365/B444, "NA")</f>
        <v>1.3443226140224015E-3</v>
      </c>
      <c r="D365" s="9"/>
      <c r="E365" s="7">
        <v>210</v>
      </c>
      <c r="F365" s="8">
        <f>IFERROR(E365/E444, "NA")</f>
        <v>3.1265603955736121E-4</v>
      </c>
      <c r="G365" s="9"/>
      <c r="H365" s="10">
        <f t="shared" si="92"/>
        <v>-561.96</v>
      </c>
      <c r="I365" s="8">
        <f>IFERROR(H365/H444, "NA")</f>
        <v>5.7679836875558516E-3</v>
      </c>
      <c r="J365" s="9"/>
      <c r="K365" s="7">
        <v>184</v>
      </c>
      <c r="L365" s="8">
        <f>IFERROR(K365/K444, "NA")</f>
        <v>2.9815103096494521E-4</v>
      </c>
      <c r="M365" s="9"/>
      <c r="N365" s="10">
        <f t="shared" si="93"/>
        <v>-587.96</v>
      </c>
      <c r="O365" s="8">
        <f>IFERROR(N365/N444, "NA")</f>
        <v>1.3705447563422899E-2</v>
      </c>
      <c r="P365" s="9"/>
      <c r="Q365" s="7">
        <v>5302.6</v>
      </c>
      <c r="R365" s="8">
        <f>IFERROR(Q365/Q444, "NA")</f>
        <v>8.9387169398475017E-4</v>
      </c>
      <c r="S365" s="9"/>
      <c r="T365" s="7">
        <v>2100</v>
      </c>
      <c r="U365" s="8">
        <f>IFERROR(T365/T444, "NA")</f>
        <v>3.3268275109086078E-4</v>
      </c>
      <c r="V365" s="9"/>
      <c r="W365" s="10">
        <f t="shared" si="94"/>
        <v>-3202.6000000000004</v>
      </c>
      <c r="X365" s="8">
        <f>IFERROR(W365/W444, "NA")</f>
        <v>8.4245967289226318E-3</v>
      </c>
      <c r="Y365" s="9"/>
      <c r="Z365" s="7">
        <v>184</v>
      </c>
      <c r="AA365" s="8">
        <f>IFERROR(Z365/Z444, "NA")</f>
        <v>3.2769477716288542E-5</v>
      </c>
      <c r="AB365" s="9"/>
      <c r="AC365" s="10">
        <f t="shared" si="95"/>
        <v>-5118.6000000000004</v>
      </c>
      <c r="AD365" s="8">
        <f>IFERROR(AC365/AC444, "NA")</f>
        <v>-1.6137324323427096E-2</v>
      </c>
    </row>
    <row r="366" spans="1:30" ht="16.5" customHeight="1" x14ac:dyDescent="0.45">
      <c r="A366" s="6" t="s">
        <v>334</v>
      </c>
      <c r="B366" s="7">
        <v>285.48</v>
      </c>
      <c r="C366" s="8">
        <f>IFERROR(B366/B444, "NA")</f>
        <v>4.9714650998900877E-4</v>
      </c>
      <c r="D366" s="9"/>
      <c r="E366" s="7">
        <v>345</v>
      </c>
      <c r="F366" s="8">
        <f>IFERROR(E366/E444, "NA")</f>
        <v>5.1364920784423632E-4</v>
      </c>
      <c r="G366" s="9"/>
      <c r="H366" s="10">
        <f t="shared" si="92"/>
        <v>59.519999999999982</v>
      </c>
      <c r="I366" s="8">
        <f>IFERROR(H366/H444, "NA")</f>
        <v>-6.1091606001018603E-4</v>
      </c>
      <c r="J366" s="9"/>
      <c r="K366" s="7">
        <v>1263.9100000000001</v>
      </c>
      <c r="L366" s="8">
        <f>IFERROR(K366/K444, "NA")</f>
        <v>2.048022117102739E-3</v>
      </c>
      <c r="M366" s="9"/>
      <c r="N366" s="10">
        <f t="shared" si="93"/>
        <v>978.43000000000006</v>
      </c>
      <c r="O366" s="8">
        <f>IFERROR(N366/N444, "NA")</f>
        <v>-2.2807369650112028E-2</v>
      </c>
      <c r="P366" s="9"/>
      <c r="Q366" s="7">
        <v>4170.95</v>
      </c>
      <c r="R366" s="8">
        <f>IFERROR(Q366/Q444, "NA")</f>
        <v>7.0310680459127468E-4</v>
      </c>
      <c r="S366" s="9"/>
      <c r="T366" s="7">
        <v>3105</v>
      </c>
      <c r="U366" s="8">
        <f>IFERROR(T366/T444, "NA")</f>
        <v>4.9189521054148703E-4</v>
      </c>
      <c r="V366" s="9"/>
      <c r="W366" s="10">
        <f t="shared" si="94"/>
        <v>-1065.9499999999998</v>
      </c>
      <c r="X366" s="8">
        <f>IFERROR(W366/W444, "NA")</f>
        <v>2.8040338734762619E-3</v>
      </c>
      <c r="Y366" s="9"/>
      <c r="Z366" s="7">
        <v>1263.9100000000001</v>
      </c>
      <c r="AA366" s="8">
        <f>IFERROR(Z366/Z444, "NA")</f>
        <v>2.2509603576301225E-4</v>
      </c>
      <c r="AB366" s="9"/>
      <c r="AC366" s="10">
        <f t="shared" si="95"/>
        <v>-2907.04</v>
      </c>
      <c r="AD366" s="8">
        <f>IFERROR(AC366/AC444, "NA")</f>
        <v>-9.1649762241971435E-3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8539.77</v>
      </c>
      <c r="R367" s="8">
        <f>IFERROR(Q367/Q444, "NA")</f>
        <v>1.4395690182439085E-3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-8539.77</v>
      </c>
      <c r="X367" s="8">
        <f>IFERROR(W367/W444, "NA")</f>
        <v>2.2464284771045905E-2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-8539.77</v>
      </c>
      <c r="AD367" s="8">
        <f>IFERROR(AC367/AC444, "NA")</f>
        <v>-2.6923189570873481E-2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2970.84</v>
      </c>
      <c r="C368" s="15">
        <f>IFERROR(B368/B444, "NA")</f>
        <v>5.1735418864219795E-3</v>
      </c>
      <c r="D368" s="2"/>
      <c r="E368" s="14">
        <f>IFERROR(E360+E361+E362+E363+E364+E365+E366+E367, "NA")</f>
        <v>2755</v>
      </c>
      <c r="F368" s="15">
        <f>IFERROR(E368/E444, "NA")</f>
        <v>4.1017494713358584E-3</v>
      </c>
      <c r="G368" s="2"/>
      <c r="H368" s="14">
        <f t="shared" si="92"/>
        <v>-215.84000000000015</v>
      </c>
      <c r="I368" s="15">
        <f>IFERROR(H368/H444, "NA")</f>
        <v>2.2153918412734994E-3</v>
      </c>
      <c r="J368" s="2"/>
      <c r="K368" s="14">
        <f>IFERROR(K360+K361+K362+K363+K364+K365+K366+K367, "NA")</f>
        <v>5661.22</v>
      </c>
      <c r="L368" s="15">
        <f>IFERROR(K368/K444, "NA")</f>
        <v>9.1733618452139523E-3</v>
      </c>
      <c r="M368" s="2"/>
      <c r="N368" s="14">
        <f t="shared" si="93"/>
        <v>2690.38</v>
      </c>
      <c r="O368" s="15">
        <f>IFERROR(N368/N444, "NA")</f>
        <v>-6.2713215211377821E-2</v>
      </c>
      <c r="P368" s="2"/>
      <c r="Q368" s="14">
        <f>IFERROR(Q360+Q361+Q362+Q363+Q364+Q365+Q366+Q367, "NA")</f>
        <v>41114.910000000003</v>
      </c>
      <c r="R368" s="15">
        <f>IFERROR(Q368/Q444, "NA")</f>
        <v>6.9308366178347496E-3</v>
      </c>
      <c r="S368" s="2"/>
      <c r="T368" s="14">
        <f>IFERROR(T360+T361+T362+T363+T364+T365+T366+T367, "NA")</f>
        <v>26355</v>
      </c>
      <c r="U368" s="15">
        <f>IFERROR(T368/T444, "NA")</f>
        <v>4.1751685261903022E-3</v>
      </c>
      <c r="V368" s="2"/>
      <c r="W368" s="14">
        <f t="shared" si="94"/>
        <v>-14759.910000000003</v>
      </c>
      <c r="X368" s="15">
        <f>IFERROR(W368/W444, "NA")</f>
        <v>3.882666880197104E-2</v>
      </c>
      <c r="Y368" s="2"/>
      <c r="Z368" s="14">
        <f>IFERROR(Z360+Z361+Z362+Z363+Z364+Z365+Z366+Z367, "NA")</f>
        <v>42175.890000000007</v>
      </c>
      <c r="AA368" s="15">
        <f>IFERROR(Z368/Z444, "NA")</f>
        <v>7.5113146060849841E-3</v>
      </c>
      <c r="AB368" s="2"/>
      <c r="AC368" s="14">
        <f t="shared" si="95"/>
        <v>1060.9800000000032</v>
      </c>
      <c r="AD368" s="15">
        <f>IFERROR(AC368/AC444, "NA")</f>
        <v>3.3449338414155688E-3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993</v>
      </c>
      <c r="C370" s="8">
        <f>IFERROR(B370/B444, "NA")</f>
        <v>1.7292506810252404E-3</v>
      </c>
      <c r="D370" s="9"/>
      <c r="E370" s="7">
        <v>635</v>
      </c>
      <c r="F370" s="8">
        <f>IFERROR(E370/E444, "NA")</f>
        <v>9.4541231009011609E-4</v>
      </c>
      <c r="G370" s="9"/>
      <c r="H370" s="10">
        <f t="shared" si="92"/>
        <v>-358</v>
      </c>
      <c r="I370" s="8">
        <f>IFERROR(H370/H444, "NA")</f>
        <v>3.6745287211634187E-3</v>
      </c>
      <c r="J370" s="9"/>
      <c r="K370" s="7">
        <v>103</v>
      </c>
      <c r="L370" s="8">
        <f>IFERROR(K370/K444, "NA")</f>
        <v>1.6689976189885521E-4</v>
      </c>
      <c r="M370" s="9"/>
      <c r="N370" s="10">
        <f t="shared" si="93"/>
        <v>-890</v>
      </c>
      <c r="O370" s="8">
        <f>IFERROR(N370/N444, "NA")</f>
        <v>2.0746051315474488E-2</v>
      </c>
      <c r="P370" s="9"/>
      <c r="Q370" s="7">
        <v>2962.49</v>
      </c>
      <c r="R370" s="8">
        <f>IFERROR(Q370/Q444, "NA")</f>
        <v>4.993938737058956E-4</v>
      </c>
      <c r="S370" s="9"/>
      <c r="T370" s="7">
        <v>6350</v>
      </c>
      <c r="U370" s="8">
        <f>IFERROR(T370/T444, "NA")</f>
        <v>1.0059692711556979E-3</v>
      </c>
      <c r="V370" s="9"/>
      <c r="W370" s="10">
        <f t="shared" si="94"/>
        <v>3387.51</v>
      </c>
      <c r="X370" s="8">
        <f>IFERROR(W370/W444, "NA")</f>
        <v>-8.9110115734692755E-3</v>
      </c>
      <c r="Y370" s="9"/>
      <c r="Z370" s="7">
        <v>5817.27</v>
      </c>
      <c r="AA370" s="8">
        <f>IFERROR(Z370/Z444, "NA")</f>
        <v>1.036026628449097E-3</v>
      </c>
      <c r="AB370" s="9"/>
      <c r="AC370" s="10">
        <f t="shared" si="95"/>
        <v>2854.7800000000007</v>
      </c>
      <c r="AD370" s="8">
        <f>IFERROR(AC370/AC444, "NA")</f>
        <v>9.0002169991859511E-3</v>
      </c>
    </row>
    <row r="371" spans="1:30" ht="16.5" customHeight="1" x14ac:dyDescent="0.45">
      <c r="A371" s="20" t="s">
        <v>339</v>
      </c>
      <c r="B371" s="7">
        <v>222.58</v>
      </c>
      <c r="C371" s="8">
        <f>IFERROR(B371/B444, "NA")</f>
        <v>3.8760988578307961E-4</v>
      </c>
      <c r="D371" s="9"/>
      <c r="E371" s="7">
        <v>100</v>
      </c>
      <c r="F371" s="8">
        <f>IFERROR(E371/E444, "NA")</f>
        <v>1.4888382836064821E-4</v>
      </c>
      <c r="G371" s="9"/>
      <c r="H371" s="10">
        <f t="shared" si="92"/>
        <v>-122.58000000000001</v>
      </c>
      <c r="I371" s="8">
        <f>IFERROR(H371/H444, "NA")</f>
        <v>1.2581668453637204E-3</v>
      </c>
      <c r="J371" s="9"/>
      <c r="K371" s="7">
        <v>226.72</v>
      </c>
      <c r="L371" s="8">
        <f>IFERROR(K371/K444, "NA")</f>
        <v>3.6737392250202382E-4</v>
      </c>
      <c r="M371" s="9"/>
      <c r="N371" s="10">
        <f t="shared" si="93"/>
        <v>4.1399999999999864</v>
      </c>
      <c r="O371" s="8">
        <f>IFERROR(N371/N444, "NA")</f>
        <v>-9.6504103871982138E-5</v>
      </c>
      <c r="P371" s="9"/>
      <c r="Q371" s="7">
        <v>5255.95</v>
      </c>
      <c r="R371" s="8">
        <f>IFERROR(Q371/Q444, "NA")</f>
        <v>8.8600779428943291E-4</v>
      </c>
      <c r="S371" s="9"/>
      <c r="T371" s="7">
        <v>1000</v>
      </c>
      <c r="U371" s="8">
        <f>IFERROR(T371/T444, "NA")</f>
        <v>1.5842035766231466E-4</v>
      </c>
      <c r="V371" s="9"/>
      <c r="W371" s="10">
        <f t="shared" si="94"/>
        <v>-4255.95</v>
      </c>
      <c r="X371" s="8">
        <f>IFERROR(W371/W444, "NA")</f>
        <v>1.119548568302575E-2</v>
      </c>
      <c r="Y371" s="9"/>
      <c r="Z371" s="7">
        <v>4775.6899999999996</v>
      </c>
      <c r="AA371" s="8">
        <f>IFERROR(Z371/Z444, "NA")</f>
        <v>8.5052645127664138E-4</v>
      </c>
      <c r="AB371" s="9"/>
      <c r="AC371" s="10">
        <f t="shared" si="95"/>
        <v>-480.26000000000022</v>
      </c>
      <c r="AD371" s="8">
        <f>IFERROR(AC371/AC444, "NA")</f>
        <v>-1.5141076426306215E-3</v>
      </c>
    </row>
    <row r="372" spans="1:30" ht="16.5" customHeight="1" x14ac:dyDescent="0.45">
      <c r="A372" s="20" t="s">
        <v>340</v>
      </c>
      <c r="B372" s="7">
        <v>1377.17</v>
      </c>
      <c r="C372" s="8">
        <f>IFERROR(B372/B444, "NA")</f>
        <v>2.3982599802492752E-3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-1377.17</v>
      </c>
      <c r="I372" s="8">
        <f>IFERROR(H372/H444, "NA")</f>
        <v>1.4135337203700072E-2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-1377.17</v>
      </c>
      <c r="O372" s="8">
        <f>IFERROR(N372/N444, "NA")</f>
        <v>3.2102066842844945E-2</v>
      </c>
      <c r="P372" s="9"/>
      <c r="Q372" s="7">
        <v>4614.53</v>
      </c>
      <c r="R372" s="8">
        <f>IFERROR(Q372/Q444, "NA")</f>
        <v>7.7788212349478528E-4</v>
      </c>
      <c r="S372" s="9"/>
      <c r="T372" s="7">
        <v>3500</v>
      </c>
      <c r="U372" s="8">
        <f>IFERROR(T372/T444, "NA")</f>
        <v>5.5447125181810127E-4</v>
      </c>
      <c r="V372" s="9"/>
      <c r="W372" s="10">
        <f t="shared" si="94"/>
        <v>-1114.5299999999997</v>
      </c>
      <c r="X372" s="8">
        <f>IFERROR(W372/W444, "NA")</f>
        <v>2.9318259515038209E-3</v>
      </c>
      <c r="Y372" s="9"/>
      <c r="Z372" s="7">
        <v>3450</v>
      </c>
      <c r="AA372" s="8">
        <f>IFERROR(Z372/Z444, "NA")</f>
        <v>6.1442770718041022E-4</v>
      </c>
      <c r="AB372" s="9"/>
      <c r="AC372" s="10">
        <f t="shared" si="95"/>
        <v>-1164.5299999999997</v>
      </c>
      <c r="AD372" s="8">
        <f>IFERROR(AC372/AC444, "NA")</f>
        <v>-3.6713941887157719E-3</v>
      </c>
    </row>
    <row r="373" spans="1:30" ht="16.5" customHeight="1" x14ac:dyDescent="0.45">
      <c r="A373" s="20" t="s">
        <v>341</v>
      </c>
      <c r="B373" s="7">
        <v>789.38</v>
      </c>
      <c r="C373" s="8">
        <f>IFERROR(B373/B444, "NA")</f>
        <v>1.3746585121729147E-3</v>
      </c>
      <c r="D373" s="9"/>
      <c r="E373" s="7">
        <v>325</v>
      </c>
      <c r="F373" s="8">
        <f>IFERROR(E373/E444, "NA")</f>
        <v>4.8387244217210665E-4</v>
      </c>
      <c r="G373" s="9"/>
      <c r="H373" s="10">
        <f t="shared" si="92"/>
        <v>-464.38</v>
      </c>
      <c r="I373" s="8">
        <f>IFERROR(H373/H444, "NA")</f>
        <v>4.7664180098711409E-3</v>
      </c>
      <c r="J373" s="9"/>
      <c r="K373" s="7">
        <v>312</v>
      </c>
      <c r="L373" s="8">
        <f>IFERROR(K373/K444, "NA")</f>
        <v>5.0556044381012456E-4</v>
      </c>
      <c r="M373" s="9"/>
      <c r="N373" s="10">
        <f t="shared" si="93"/>
        <v>-477.38</v>
      </c>
      <c r="O373" s="8">
        <f>IFERROR(N373/N444, "NA")</f>
        <v>1.1127808962900238E-2</v>
      </c>
      <c r="P373" s="9"/>
      <c r="Q373" s="7">
        <v>7096.88</v>
      </c>
      <c r="R373" s="8">
        <f>IFERROR(Q373/Q444, "NA")</f>
        <v>1.1963376735198757E-3</v>
      </c>
      <c r="S373" s="9"/>
      <c r="T373" s="7">
        <v>3250</v>
      </c>
      <c r="U373" s="8">
        <f>IFERROR(T373/T444, "NA")</f>
        <v>5.1486616240252264E-4</v>
      </c>
      <c r="V373" s="9"/>
      <c r="W373" s="10">
        <f t="shared" si="94"/>
        <v>-3846.88</v>
      </c>
      <c r="X373" s="8">
        <f>IFERROR(W373/W444, "NA")</f>
        <v>1.0119406939535967E-2</v>
      </c>
      <c r="Y373" s="9"/>
      <c r="Z373" s="7">
        <v>7049.25</v>
      </c>
      <c r="AA373" s="8">
        <f>IFERROR(Z373/Z444, "NA")</f>
        <v>1.2554360912584077E-3</v>
      </c>
      <c r="AB373" s="9"/>
      <c r="AC373" s="10">
        <f t="shared" si="95"/>
        <v>-47.630000000000109</v>
      </c>
      <c r="AD373" s="8">
        <f>IFERROR(AC373/AC444, "NA")</f>
        <v>-1.5016230170844259E-4</v>
      </c>
    </row>
    <row r="374" spans="1:30" ht="16.5" customHeight="1" x14ac:dyDescent="0.45">
      <c r="A374" s="20" t="s">
        <v>342</v>
      </c>
      <c r="B374" s="7">
        <v>2149.5300000000002</v>
      </c>
      <c r="C374" s="8">
        <f>IFERROR(B374/B444, "NA")</f>
        <v>3.7432791705782329E-3</v>
      </c>
      <c r="D374" s="9"/>
      <c r="E374" s="7">
        <v>1900</v>
      </c>
      <c r="F374" s="8">
        <f>IFERROR(E374/E444, "NA")</f>
        <v>2.8287927388523158E-3</v>
      </c>
      <c r="G374" s="9"/>
      <c r="H374" s="10">
        <f t="shared" si="92"/>
        <v>-249.5300000000002</v>
      </c>
      <c r="I374" s="8">
        <f>IFERROR(H374/H444, "NA")</f>
        <v>2.5611875748377338E-3</v>
      </c>
      <c r="J374" s="9"/>
      <c r="K374" s="7">
        <v>1897.01</v>
      </c>
      <c r="L374" s="8">
        <f>IFERROR(K374/K444, "NA")</f>
        <v>3.0738885176674496E-3</v>
      </c>
      <c r="M374" s="9"/>
      <c r="N374" s="10">
        <f t="shared" si="93"/>
        <v>-252.52000000000021</v>
      </c>
      <c r="O374" s="8">
        <f>IFERROR(N374/N444, "NA")</f>
        <v>5.886284132790587E-3</v>
      </c>
      <c r="P374" s="9"/>
      <c r="Q374" s="7">
        <v>20331.66</v>
      </c>
      <c r="R374" s="8">
        <f>IFERROR(Q374/Q444, "NA")</f>
        <v>3.4273555172409731E-3</v>
      </c>
      <c r="S374" s="9"/>
      <c r="T374" s="7">
        <v>19000</v>
      </c>
      <c r="U374" s="8">
        <f>IFERROR(T374/T444, "NA")</f>
        <v>3.0099867955839781E-3</v>
      </c>
      <c r="V374" s="9"/>
      <c r="W374" s="10">
        <f t="shared" si="94"/>
        <v>-1331.6599999999999</v>
      </c>
      <c r="X374" s="8">
        <f>IFERROR(W374/W444, "NA")</f>
        <v>3.5029970898760722E-3</v>
      </c>
      <c r="Y374" s="9"/>
      <c r="Z374" s="7">
        <v>18311.75</v>
      </c>
      <c r="AA374" s="8">
        <f>IFERROR(Z374/Z444, "NA")</f>
        <v>3.2612308889741672E-3</v>
      </c>
      <c r="AB374" s="9"/>
      <c r="AC374" s="10">
        <f t="shared" si="95"/>
        <v>-2019.9099999999999</v>
      </c>
      <c r="AD374" s="8">
        <f>IFERROR(AC374/AC444, "NA")</f>
        <v>-6.3681363603590082E-3</v>
      </c>
    </row>
    <row r="375" spans="1:30" ht="16.5" customHeight="1" x14ac:dyDescent="0.45">
      <c r="A375" s="20" t="s">
        <v>343</v>
      </c>
      <c r="B375" s="7">
        <v>230</v>
      </c>
      <c r="C375" s="8">
        <f>IFERROR(B375/B444, "NA")</f>
        <v>4.0053137626969317E-4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-230</v>
      </c>
      <c r="I375" s="8">
        <f>IFERROR(H375/H444, "NA")</f>
        <v>2.360730742646889E-3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-230</v>
      </c>
      <c r="O375" s="8">
        <f>IFERROR(N375/N444, "NA")</f>
        <v>5.3613391039990252E-3</v>
      </c>
      <c r="P375" s="9"/>
      <c r="Q375" s="7">
        <v>4164.08</v>
      </c>
      <c r="R375" s="8">
        <f>IFERROR(Q375/Q444, "NA")</f>
        <v>7.0194871261042096E-4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-4164.08</v>
      </c>
      <c r="X375" s="8">
        <f>IFERROR(W375/W444, "NA")</f>
        <v>1.0953817132009038E-2</v>
      </c>
      <c r="Y375" s="9"/>
      <c r="Z375" s="7">
        <v>1344.99</v>
      </c>
      <c r="AA375" s="8">
        <f>IFERROR(Z375/Z444, "NA")</f>
        <v>2.3953597735668983E-4</v>
      </c>
      <c r="AB375" s="9"/>
      <c r="AC375" s="10">
        <f t="shared" si="95"/>
        <v>-2819.09</v>
      </c>
      <c r="AD375" s="8">
        <f>IFERROR(AC375/AC444, "NA")</f>
        <v>-8.8876977351092269E-3</v>
      </c>
    </row>
    <row r="376" spans="1:30" ht="16.5" customHeight="1" x14ac:dyDescent="0.45">
      <c r="A376" s="20" t="s">
        <v>344</v>
      </c>
      <c r="B376" s="7">
        <v>510.8</v>
      </c>
      <c r="C376" s="8">
        <f>IFERROR(B376/B444, "NA")</f>
        <v>8.895279434719968E-4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-510.8</v>
      </c>
      <c r="I376" s="8">
        <f>IFERROR(H376/H444, "NA")</f>
        <v>5.2428750580175258E-3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-510.8</v>
      </c>
      <c r="O376" s="8">
        <f>IFERROR(N376/N444, "NA")</f>
        <v>1.1906834844881314E-2</v>
      </c>
      <c r="P376" s="9"/>
      <c r="Q376" s="7">
        <v>-1390.08</v>
      </c>
      <c r="R376" s="8">
        <f>IFERROR(Q376/Q444, "NA")</f>
        <v>-2.3432903940978411E-4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1390.08</v>
      </c>
      <c r="X376" s="8">
        <f>IFERROR(W376/W444, "NA")</f>
        <v>-3.6566737716045615E-3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1390.08</v>
      </c>
      <c r="AD376" s="8">
        <f>IFERROR(AC376/AC444, "NA")</f>
        <v>4.3824818887018974E-3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7581.41</v>
      </c>
      <c r="C378" s="8">
        <f>IFERROR(B378/B444, "NA")</f>
        <v>1.3202576440716584E-2</v>
      </c>
      <c r="D378" s="9"/>
      <c r="E378" s="7">
        <v>8470.33</v>
      </c>
      <c r="F378" s="8">
        <f>IFERROR(E378/E444, "NA")</f>
        <v>1.2610951578780493E-2</v>
      </c>
      <c r="G378" s="9"/>
      <c r="H378" s="10">
        <f t="shared" si="92"/>
        <v>888.92000000000007</v>
      </c>
      <c r="I378" s="8">
        <f>IFERROR(H378/H444, "NA")</f>
        <v>-9.1239163989290124E-3</v>
      </c>
      <c r="J378" s="9"/>
      <c r="K378" s="7">
        <v>7460.38</v>
      </c>
      <c r="L378" s="8">
        <f>IFERROR(K378/K444, "NA")</f>
        <v>1.208869558907749E-2</v>
      </c>
      <c r="M378" s="9"/>
      <c r="N378" s="10">
        <f t="shared" si="93"/>
        <v>-121.02999999999975</v>
      </c>
      <c r="O378" s="8">
        <f>IFERROR(N378/N444, "NA")</f>
        <v>2.8212298772043506E-3</v>
      </c>
      <c r="P378" s="9"/>
      <c r="Q378" s="7">
        <v>94753.93</v>
      </c>
      <c r="R378" s="8">
        <f>IFERROR(Q378/Q444, "NA")</f>
        <v>1.5972891774000002E-2</v>
      </c>
      <c r="S378" s="9"/>
      <c r="T378" s="7">
        <v>84703.3</v>
      </c>
      <c r="U378" s="8">
        <f>IFERROR(T378/T444, "NA")</f>
        <v>1.3418727081178337E-2</v>
      </c>
      <c r="V378" s="9"/>
      <c r="W378" s="10">
        <f t="shared" si="94"/>
        <v>-10050.62999999999</v>
      </c>
      <c r="X378" s="8">
        <f>IFERROR(W378/W444, "NA")</f>
        <v>2.6438676269784415E-2</v>
      </c>
      <c r="Y378" s="9"/>
      <c r="Z378" s="7">
        <v>66180.33</v>
      </c>
      <c r="AA378" s="8">
        <f>IFERROR(Z378/Z444, "NA")</f>
        <v>1.1786385049954469E-2</v>
      </c>
      <c r="AB378" s="9"/>
      <c r="AC378" s="10">
        <f t="shared" si="95"/>
        <v>-28573.599999999991</v>
      </c>
      <c r="AD378" s="8">
        <f>IFERROR(AC378/AC444, "NA")</f>
        <v>-9.0083509218902874E-2</v>
      </c>
    </row>
    <row r="379" spans="1:30" ht="16.5" customHeight="1" x14ac:dyDescent="0.45">
      <c r="A379" s="20" t="s">
        <v>347</v>
      </c>
      <c r="B379" s="7">
        <v>438.33</v>
      </c>
      <c r="C379" s="8">
        <f>IFERROR(B379/B444, "NA")</f>
        <v>7.6332573113171564E-4</v>
      </c>
      <c r="D379" s="9"/>
      <c r="E379" s="7">
        <v>200</v>
      </c>
      <c r="F379" s="8">
        <f>IFERROR(E379/E444, "NA")</f>
        <v>2.9776765672129643E-4</v>
      </c>
      <c r="G379" s="9"/>
      <c r="H379" s="10">
        <f t="shared" si="92"/>
        <v>-238.32999999999998</v>
      </c>
      <c r="I379" s="8">
        <f>IFERROR(H379/H444, "NA")</f>
        <v>2.446230251717535E-3</v>
      </c>
      <c r="J379" s="9"/>
      <c r="K379" s="7">
        <v>1381.48</v>
      </c>
      <c r="L379" s="8">
        <f>IFERROR(K379/K444, "NA")</f>
        <v>2.2385309035731116E-3</v>
      </c>
      <c r="M379" s="9"/>
      <c r="N379" s="10">
        <f t="shared" si="93"/>
        <v>943.15000000000009</v>
      </c>
      <c r="O379" s="8">
        <f>IFERROR(N379/N444, "NA")</f>
        <v>-2.1984986851898612E-2</v>
      </c>
      <c r="P379" s="9"/>
      <c r="Q379" s="7">
        <v>7455.42</v>
      </c>
      <c r="R379" s="8">
        <f>IFERROR(Q379/Q444, "NA")</f>
        <v>1.2567776005672285E-3</v>
      </c>
      <c r="S379" s="9"/>
      <c r="T379" s="7">
        <v>2000</v>
      </c>
      <c r="U379" s="8">
        <f>IFERROR(T379/T444, "NA")</f>
        <v>3.1684071532462932E-4</v>
      </c>
      <c r="V379" s="9"/>
      <c r="W379" s="10">
        <f t="shared" si="94"/>
        <v>-5455.42</v>
      </c>
      <c r="X379" s="8">
        <f>IFERROR(W379/W444, "NA")</f>
        <v>1.4350750479891056E-2</v>
      </c>
      <c r="Y379" s="9"/>
      <c r="Z379" s="7">
        <v>5108.51</v>
      </c>
      <c r="AA379" s="8">
        <f>IFERROR(Z379/Z444, "NA")</f>
        <v>9.0980002504585428E-4</v>
      </c>
      <c r="AB379" s="9"/>
      <c r="AC379" s="10">
        <f t="shared" si="95"/>
        <v>-2346.91</v>
      </c>
      <c r="AD379" s="8">
        <f>IFERROR(AC379/AC444, "NA")</f>
        <v>-7.399063772886E-3</v>
      </c>
    </row>
    <row r="380" spans="1:30" ht="16.5" customHeight="1" x14ac:dyDescent="0.45">
      <c r="A380" s="20" t="s">
        <v>348</v>
      </c>
      <c r="B380" s="7">
        <v>11800</v>
      </c>
      <c r="C380" s="8">
        <f>IFERROR(B380/B444, "NA")</f>
        <v>2.0549001043401648E-2</v>
      </c>
      <c r="D380" s="9"/>
      <c r="E380" s="7">
        <v>11500</v>
      </c>
      <c r="F380" s="8">
        <f>IFERROR(E380/E444, "NA")</f>
        <v>1.7121640261474544E-2</v>
      </c>
      <c r="G380" s="9"/>
      <c r="H380" s="10">
        <f t="shared" si="92"/>
        <v>-300</v>
      </c>
      <c r="I380" s="8">
        <f>IFERROR(H380/H444, "NA")</f>
        <v>3.0792140121481161E-3</v>
      </c>
      <c r="J380" s="9"/>
      <c r="K380" s="7">
        <v>11500</v>
      </c>
      <c r="L380" s="8">
        <f>IFERROR(K380/K444, "NA")</f>
        <v>1.8634439435309076E-2</v>
      </c>
      <c r="M380" s="9"/>
      <c r="N380" s="10">
        <f t="shared" si="93"/>
        <v>-300</v>
      </c>
      <c r="O380" s="8">
        <f>IFERROR(N380/N444, "NA")</f>
        <v>6.9930510052161202E-3</v>
      </c>
      <c r="P380" s="9"/>
      <c r="Q380" s="7">
        <v>116500</v>
      </c>
      <c r="R380" s="8">
        <f>IFERROR(Q380/Q444, "NA")</f>
        <v>1.9638677695700862E-2</v>
      </c>
      <c r="S380" s="9"/>
      <c r="T380" s="7">
        <v>115000</v>
      </c>
      <c r="U380" s="8">
        <f>IFERROR(T380/T444, "NA")</f>
        <v>1.8218341131166185E-2</v>
      </c>
      <c r="V380" s="9"/>
      <c r="W380" s="10">
        <f t="shared" si="94"/>
        <v>-1500</v>
      </c>
      <c r="X380" s="8">
        <f>IFERROR(W380/W444, "NA")</f>
        <v>3.945823734897878E-3</v>
      </c>
      <c r="Y380" s="9"/>
      <c r="Z380" s="7">
        <v>115000</v>
      </c>
      <c r="AA380" s="8">
        <f>IFERROR(Z380/Z444, "NA")</f>
        <v>2.0480923572680339E-2</v>
      </c>
      <c r="AB380" s="9"/>
      <c r="AC380" s="10">
        <f t="shared" si="95"/>
        <v>-1500</v>
      </c>
      <c r="AD380" s="8">
        <f>IFERROR(AC380/AC444, "NA")</f>
        <v>-4.7290248281054662E-3</v>
      </c>
    </row>
    <row r="381" spans="1:30" ht="16.5" customHeight="1" x14ac:dyDescent="0.45">
      <c r="A381" s="20" t="s">
        <v>349</v>
      </c>
      <c r="B381" s="7">
        <v>4000</v>
      </c>
      <c r="C381" s="8">
        <f>IFERROR(B381/B444, "NA")</f>
        <v>6.9657630655598811E-3</v>
      </c>
      <c r="D381" s="9"/>
      <c r="E381" s="7">
        <v>4000</v>
      </c>
      <c r="F381" s="8">
        <f>IFERROR(E381/E444, "NA")</f>
        <v>5.9553531344259279E-3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34162.1</v>
      </c>
      <c r="L381" s="8">
        <f>IFERROR(K381/K444, "NA")</f>
        <v>5.535578986373671E-2</v>
      </c>
      <c r="M381" s="9"/>
      <c r="N381" s="10">
        <f t="shared" si="93"/>
        <v>30162.1</v>
      </c>
      <c r="O381" s="8">
        <f>IFERROR(N381/N444, "NA")</f>
        <v>-0.70308367908143043</v>
      </c>
      <c r="P381" s="9"/>
      <c r="Q381" s="7">
        <v>54365.26</v>
      </c>
      <c r="R381" s="8">
        <f>IFERROR(Q381/Q444, "NA")</f>
        <v>9.1644791329010995E-3</v>
      </c>
      <c r="S381" s="9"/>
      <c r="T381" s="7">
        <v>40000</v>
      </c>
      <c r="U381" s="8">
        <f>IFERROR(T381/T444, "NA")</f>
        <v>6.3368143064925862E-3</v>
      </c>
      <c r="V381" s="9"/>
      <c r="W381" s="10">
        <f t="shared" si="94"/>
        <v>-14365.260000000002</v>
      </c>
      <c r="X381" s="8">
        <f>IFERROR(W381/W444, "NA")</f>
        <v>3.7788522577319406E-2</v>
      </c>
      <c r="Y381" s="9"/>
      <c r="Z381" s="7">
        <v>133386.17000000001</v>
      </c>
      <c r="AA381" s="8">
        <f>IFERROR(Z381/Z444, "NA")</f>
        <v>2.3755408290630848E-2</v>
      </c>
      <c r="AB381" s="9"/>
      <c r="AC381" s="10">
        <f t="shared" si="95"/>
        <v>79020.91</v>
      </c>
      <c r="AD381" s="8">
        <f>IFERROR(AC381/AC444, "NA")</f>
        <v>0.24912789688632503</v>
      </c>
    </row>
    <row r="382" spans="1:30" ht="16.5" customHeight="1" x14ac:dyDescent="0.45">
      <c r="A382" s="20" t="s">
        <v>350</v>
      </c>
      <c r="B382" s="7">
        <v>45</v>
      </c>
      <c r="C382" s="8">
        <f>IFERROR(B382/B444, "NA")</f>
        <v>7.8364834487548653E-5</v>
      </c>
      <c r="D382" s="9"/>
      <c r="E382" s="7">
        <v>795</v>
      </c>
      <c r="F382" s="8">
        <f>IFERROR(E382/E444, "NA")</f>
        <v>1.1836264354671533E-3</v>
      </c>
      <c r="G382" s="9"/>
      <c r="H382" s="10">
        <f t="shared" si="92"/>
        <v>750</v>
      </c>
      <c r="I382" s="8">
        <f>IFERROR(H382/H444, "NA")</f>
        <v>-7.6980350303702911E-3</v>
      </c>
      <c r="J382" s="9"/>
      <c r="K382" s="7">
        <v>505.62</v>
      </c>
      <c r="L382" s="8">
        <f>IFERROR(K382/K444, "NA")</f>
        <v>8.1929958845921528E-4</v>
      </c>
      <c r="M382" s="9"/>
      <c r="N382" s="10">
        <f t="shared" si="93"/>
        <v>460.62</v>
      </c>
      <c r="O382" s="8">
        <f>IFERROR(N382/N444, "NA")</f>
        <v>-1.073713051340883E-2</v>
      </c>
      <c r="P382" s="9"/>
      <c r="Q382" s="7">
        <v>5438.62</v>
      </c>
      <c r="R382" s="8">
        <f>IFERROR(Q382/Q444, "NA")</f>
        <v>9.1680090377161034E-4</v>
      </c>
      <c r="S382" s="9"/>
      <c r="T382" s="7">
        <v>7950</v>
      </c>
      <c r="U382" s="8">
        <f>IFERROR(T382/T444, "NA")</f>
        <v>1.2594418434154014E-3</v>
      </c>
      <c r="V382" s="9"/>
      <c r="W382" s="10">
        <f t="shared" si="94"/>
        <v>2511.38</v>
      </c>
      <c r="X382" s="8">
        <f>IFERROR(W382/W444, "NA")</f>
        <v>-6.606308540898556E-3</v>
      </c>
      <c r="Y382" s="9"/>
      <c r="Z382" s="7">
        <v>3012.87</v>
      </c>
      <c r="AA382" s="8">
        <f>IFERROR(Z382/Z444, "NA")</f>
        <v>5.3657704525583835E-4</v>
      </c>
      <c r="AB382" s="9"/>
      <c r="AC382" s="10">
        <f t="shared" si="95"/>
        <v>-2425.75</v>
      </c>
      <c r="AD382" s="8">
        <f>IFERROR(AC382/AC444, "NA")</f>
        <v>-7.6476213178512231E-3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2036.87</v>
      </c>
      <c r="C385" s="8">
        <f>IFERROR(B385/B444, "NA")</f>
        <v>3.5470884538367385E-3</v>
      </c>
      <c r="D385" s="9"/>
      <c r="E385" s="7">
        <v>1343.33</v>
      </c>
      <c r="F385" s="8">
        <f>IFERROR(E385/E444, "NA")</f>
        <v>2.0000011315170953E-3</v>
      </c>
      <c r="G385" s="9"/>
      <c r="H385" s="10">
        <f>IFERROR(-(B385-E385), "NA")</f>
        <v>-693.54</v>
      </c>
      <c r="I385" s="8">
        <f>IFERROR(H385/H444, "NA")</f>
        <v>7.1185269532840151E-3</v>
      </c>
      <c r="J385" s="9"/>
      <c r="K385" s="7">
        <v>7234.68</v>
      </c>
      <c r="L385" s="8">
        <f>IFERROR(K385/K444, "NA")</f>
        <v>1.1722974460334077E-2</v>
      </c>
      <c r="M385" s="9"/>
      <c r="N385" s="10">
        <f>IFERROR(-(B385-K385), "NA")</f>
        <v>5197.8100000000004</v>
      </c>
      <c r="O385" s="8">
        <f>IFERROR(N385/N444, "NA")</f>
        <v>-0.12116183481807467</v>
      </c>
      <c r="P385" s="9"/>
      <c r="Q385" s="7">
        <v>24325.88</v>
      </c>
      <c r="R385" s="8">
        <f>IFERROR(Q385/Q444, "NA")</f>
        <v>4.1006705320540404E-3</v>
      </c>
      <c r="S385" s="9"/>
      <c r="T385" s="7">
        <v>23215.88</v>
      </c>
      <c r="U385" s="8">
        <f>IFERROR(T385/T444, "NA")</f>
        <v>3.6778680130453776E-3</v>
      </c>
      <c r="V385" s="9"/>
      <c r="W385" s="10">
        <f>IFERROR(-(Q385-T385), "NA")</f>
        <v>-1110</v>
      </c>
      <c r="X385" s="8">
        <f>IFERROR(W385/W444, "NA")</f>
        <v>2.9199095638244299E-3</v>
      </c>
      <c r="Y385" s="9"/>
      <c r="Z385" s="7">
        <v>31423.57</v>
      </c>
      <c r="AA385" s="8">
        <f>IFERROR(Z385/Z444, "NA")</f>
        <v>5.5963803091371367E-3</v>
      </c>
      <c r="AB385" s="9"/>
      <c r="AC385" s="10">
        <f>IFERROR(-(Q385-Z385), "NA")</f>
        <v>7097.6899999999987</v>
      </c>
      <c r="AD385" s="8">
        <f>IFERROR(AC385/AC444, "NA")</f>
        <v>2.2376768154797253E-2</v>
      </c>
    </row>
    <row r="386" spans="1:30" ht="16.5" customHeight="1" x14ac:dyDescent="0.45">
      <c r="A386" s="6" t="s">
        <v>353</v>
      </c>
      <c r="B386" s="7">
        <v>108.99</v>
      </c>
      <c r="C386" s="8">
        <f>IFERROR(B386/B444, "NA")</f>
        <v>1.8979962912884284E-4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-108.99</v>
      </c>
      <c r="I386" s="8">
        <f>IFERROR(H386/H444, "NA")</f>
        <v>1.1186784506134106E-3</v>
      </c>
      <c r="J386" s="9"/>
      <c r="K386" s="7">
        <v>161.19</v>
      </c>
      <c r="L386" s="8">
        <f>IFERROR(K386/K444, "NA")</f>
        <v>2.6119002544151913E-4</v>
      </c>
      <c r="M386" s="9"/>
      <c r="N386" s="10">
        <f>IFERROR(-(B386-K386), "NA")</f>
        <v>52.2</v>
      </c>
      <c r="O386" s="8">
        <f>IFERROR(N386/N444, "NA")</f>
        <v>-1.2167908749076048E-3</v>
      </c>
      <c r="P386" s="9"/>
      <c r="Q386" s="7">
        <v>260.7</v>
      </c>
      <c r="R386" s="8">
        <f>IFERROR(Q386/Q444, "NA")</f>
        <v>4.3946809229778662E-5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-260.7</v>
      </c>
      <c r="X386" s="8">
        <f>IFERROR(W386/W444, "NA")</f>
        <v>6.8578416512525119E-4</v>
      </c>
      <c r="Y386" s="9"/>
      <c r="Z386" s="7">
        <v>5255.6</v>
      </c>
      <c r="AA386" s="8">
        <f>IFERROR(Z386/Z444, "NA")</f>
        <v>9.3599601677025047E-4</v>
      </c>
      <c r="AB386" s="9"/>
      <c r="AC386" s="10">
        <f>IFERROR(-(Q386-Z386), "NA")</f>
        <v>4994.9000000000005</v>
      </c>
      <c r="AD386" s="8">
        <f>IFERROR(AC386/AC444, "NA")</f>
        <v>1.574733740926933E-2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6375.51</v>
      </c>
      <c r="C389" s="8">
        <f>IFERROR(B389/B444, "NA")</f>
        <v>1.110257302052692E-2</v>
      </c>
      <c r="D389" s="9"/>
      <c r="E389" s="7">
        <v>3090.5</v>
      </c>
      <c r="F389" s="8">
        <f>IFERROR(E389/E444, "NA")</f>
        <v>4.6012547154858328E-3</v>
      </c>
      <c r="G389" s="9"/>
      <c r="H389" s="10">
        <f t="shared" si="96"/>
        <v>-3285.01</v>
      </c>
      <c r="I389" s="8">
        <f>IFERROR(H389/H444, "NA")</f>
        <v>3.3717496073488951E-2</v>
      </c>
      <c r="J389" s="9"/>
      <c r="K389" s="7">
        <v>7092.32</v>
      </c>
      <c r="L389" s="8">
        <f>IFERROR(K389/K444, "NA")</f>
        <v>1.1492296303985327E-2</v>
      </c>
      <c r="M389" s="9"/>
      <c r="N389" s="10">
        <f t="shared" si="97"/>
        <v>716.80999999999949</v>
      </c>
      <c r="O389" s="8">
        <f>IFERROR(N389/N444, "NA")</f>
        <v>-1.6708962970163211E-2</v>
      </c>
      <c r="P389" s="9"/>
      <c r="Q389" s="7">
        <v>49682.29</v>
      </c>
      <c r="R389" s="8">
        <f>IFERROR(Q389/Q444, "NA")</f>
        <v>8.375059918406369E-3</v>
      </c>
      <c r="S389" s="9"/>
      <c r="T389" s="7">
        <v>29267.3</v>
      </c>
      <c r="U389" s="8">
        <f>IFERROR(T389/T444, "NA")</f>
        <v>4.6365361338102616E-3</v>
      </c>
      <c r="V389" s="9"/>
      <c r="W389" s="10">
        <f t="shared" si="98"/>
        <v>-20414.990000000002</v>
      </c>
      <c r="X389" s="8">
        <f>IFERROR(W389/W444, "NA")</f>
        <v>5.3702634726468565E-2</v>
      </c>
      <c r="Y389" s="9"/>
      <c r="Z389" s="7">
        <v>26247.02</v>
      </c>
      <c r="AA389" s="8">
        <f>IFERROR(Z389/Z444, "NA")</f>
        <v>4.6744627011357596E-3</v>
      </c>
      <c r="AB389" s="9"/>
      <c r="AC389" s="10">
        <f t="shared" si="99"/>
        <v>-23435.27</v>
      </c>
      <c r="AD389" s="8">
        <f>IFERROR(AC389/AC444, "NA")</f>
        <v>-7.3883982455570124E-2</v>
      </c>
    </row>
    <row r="390" spans="1:30" ht="16.5" customHeight="1" x14ac:dyDescent="0.45">
      <c r="A390" s="12" t="s">
        <v>356</v>
      </c>
      <c r="B390" s="7">
        <v>4839.8900000000003</v>
      </c>
      <c r="C390" s="8">
        <f>IFERROR(B390/B444, "NA")</f>
        <v>8.4283817508431537E-3</v>
      </c>
      <c r="D390" s="9"/>
      <c r="E390" s="7">
        <v>15017.08</v>
      </c>
      <c r="F390" s="8">
        <f>IFERROR(E390/E444, "NA")</f>
        <v>2.2358003611981231E-2</v>
      </c>
      <c r="G390" s="9"/>
      <c r="H390" s="10">
        <f t="shared" si="96"/>
        <v>10177.189999999999</v>
      </c>
      <c r="I390" s="8">
        <f>IFERROR(H390/H444, "NA")</f>
        <v>-0.10445915350764562</v>
      </c>
      <c r="J390" s="9"/>
      <c r="K390" s="7">
        <v>14756.95</v>
      </c>
      <c r="L390" s="8">
        <f>IFERROR(K390/K444, "NA")</f>
        <v>2.3911955741294285E-2</v>
      </c>
      <c r="M390" s="9"/>
      <c r="N390" s="10">
        <f t="shared" si="97"/>
        <v>9917.0600000000013</v>
      </c>
      <c r="O390" s="8">
        <f>IFERROR(N390/N444, "NA")</f>
        <v>-0.23116835467262861</v>
      </c>
      <c r="P390" s="9"/>
      <c r="Q390" s="7">
        <v>69644.95</v>
      </c>
      <c r="R390" s="8">
        <f>IFERROR(Q390/Q444, "NA")</f>
        <v>1.1740212241915893E-2</v>
      </c>
      <c r="S390" s="9"/>
      <c r="T390" s="7">
        <v>142213.16</v>
      </c>
      <c r="U390" s="8">
        <f>IFERROR(T390/T444, "NA")</f>
        <v>2.2529459671487978E-2</v>
      </c>
      <c r="V390" s="9"/>
      <c r="W390" s="10">
        <f t="shared" si="98"/>
        <v>72568.210000000006</v>
      </c>
      <c r="X390" s="8">
        <f>IFERROR(W390/W444, "NA")</f>
        <v>-0.19089424361136906</v>
      </c>
      <c r="Y390" s="9"/>
      <c r="Z390" s="7">
        <v>152117.16</v>
      </c>
      <c r="AA390" s="8">
        <f>IFERROR(Z390/Z444, "NA")</f>
        <v>2.7091303722201625E-2</v>
      </c>
      <c r="AB390" s="9"/>
      <c r="AC390" s="10">
        <f t="shared" si="99"/>
        <v>82472.210000000006</v>
      </c>
      <c r="AD390" s="8">
        <f>IFERROR(AC390/AC444, "NA")</f>
        <v>0.26000875247915195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5527.74</v>
      </c>
      <c r="C392" s="8">
        <f>IFERROR(B392/B444, "NA")</f>
        <v>9.6262317820044931E-3</v>
      </c>
      <c r="D392" s="9"/>
      <c r="E392" s="7">
        <v>2306.98</v>
      </c>
      <c r="F392" s="8">
        <f>IFERROR(E392/E444, "NA")</f>
        <v>3.434720143514482E-3</v>
      </c>
      <c r="G392" s="9"/>
      <c r="H392" s="10">
        <f t="shared" si="96"/>
        <v>-3220.7599999999998</v>
      </c>
      <c r="I392" s="8">
        <f>IFERROR(H392/H444, "NA")</f>
        <v>3.3058031072553888E-2</v>
      </c>
      <c r="J392" s="9"/>
      <c r="K392" s="7">
        <v>1167.08</v>
      </c>
      <c r="L392" s="8">
        <f>IFERROR(K392/K444, "NA")</f>
        <v>1.8911201370574362E-3</v>
      </c>
      <c r="M392" s="9"/>
      <c r="N392" s="10">
        <f t="shared" si="97"/>
        <v>-4360.66</v>
      </c>
      <c r="O392" s="8">
        <f>IFERROR(N392/N444, "NA")</f>
        <v>0.10164772598801908</v>
      </c>
      <c r="P392" s="9"/>
      <c r="Q392" s="7">
        <v>47002.61</v>
      </c>
      <c r="R392" s="8">
        <f>IFERROR(Q392/Q444, "NA")</f>
        <v>7.9233399883839161E-3</v>
      </c>
      <c r="S392" s="9"/>
      <c r="T392" s="7">
        <v>21847.34</v>
      </c>
      <c r="U392" s="8">
        <f>IFERROR(T392/T444, "NA")</f>
        <v>3.4610634167701933E-3</v>
      </c>
      <c r="V392" s="9"/>
      <c r="W392" s="10">
        <f t="shared" si="98"/>
        <v>-25155.27</v>
      </c>
      <c r="X392" s="8">
        <f>IFERROR(W392/W444, "NA")</f>
        <v>6.617217428250971E-2</v>
      </c>
      <c r="Y392" s="9"/>
      <c r="Z392" s="7">
        <v>18512.34</v>
      </c>
      <c r="AA392" s="8">
        <f>IFERROR(Z392/Z444, "NA")</f>
        <v>3.2969549625345494E-3</v>
      </c>
      <c r="AB392" s="9"/>
      <c r="AC392" s="10">
        <f t="shared" si="99"/>
        <v>-28490.27</v>
      </c>
      <c r="AD392" s="8">
        <f>IFERROR(AC392/AC444, "NA")</f>
        <v>-8.9820796126285546E-2</v>
      </c>
    </row>
    <row r="393" spans="1:30" ht="16.5" customHeight="1" x14ac:dyDescent="0.45">
      <c r="A393" s="13" t="s">
        <v>359</v>
      </c>
      <c r="B393" s="14">
        <f>IFERROR(B388+B389+B390+B391+B392, "NA")</f>
        <v>16743.14</v>
      </c>
      <c r="C393" s="15">
        <f>IFERROR(B393/B444, "NA")</f>
        <v>2.9157186553374563E-2</v>
      </c>
      <c r="D393" s="2"/>
      <c r="E393" s="14">
        <f>IFERROR(E388+E389+E390+E391+E392, "NA")</f>
        <v>20414.560000000001</v>
      </c>
      <c r="F393" s="15">
        <f>IFERROR(E393/E444, "NA")</f>
        <v>3.0393978470981547E-2</v>
      </c>
      <c r="G393" s="2"/>
      <c r="H393" s="14">
        <f t="shared" si="96"/>
        <v>3671.4200000000019</v>
      </c>
      <c r="I393" s="15">
        <f>IFERROR(H393/H444, "NA")</f>
        <v>-3.7683626361602808E-2</v>
      </c>
      <c r="J393" s="2"/>
      <c r="K393" s="14">
        <f>IFERROR(K388+K389+K390+K391+K392, "NA")</f>
        <v>23016.35</v>
      </c>
      <c r="L393" s="15">
        <f>IFERROR(K393/K444, "NA")</f>
        <v>3.7295372182337048E-2</v>
      </c>
      <c r="M393" s="2"/>
      <c r="N393" s="14">
        <f t="shared" si="97"/>
        <v>6273.2099999999991</v>
      </c>
      <c r="O393" s="15">
        <f>IFERROR(N393/N444, "NA")</f>
        <v>-0.1462295916547727</v>
      </c>
      <c r="P393" s="2"/>
      <c r="Q393" s="14">
        <f>IFERROR(Q388+Q389+Q390+Q391+Q392, "NA")</f>
        <v>166329.84999999998</v>
      </c>
      <c r="R393" s="15">
        <f>IFERROR(Q393/Q444, "NA")</f>
        <v>2.8038612148706173E-2</v>
      </c>
      <c r="S393" s="2"/>
      <c r="T393" s="14">
        <f>IFERROR(T388+T389+T390+T391+T392, "NA")</f>
        <v>193327.8</v>
      </c>
      <c r="U393" s="15">
        <f>IFERROR(T393/T444, "NA")</f>
        <v>3.0627059222068431E-2</v>
      </c>
      <c r="V393" s="2"/>
      <c r="W393" s="14">
        <f t="shared" si="98"/>
        <v>26997.950000000012</v>
      </c>
      <c r="X393" s="15">
        <f>IFERROR(W393/W444, "NA")</f>
        <v>-7.101943460239081E-2</v>
      </c>
      <c r="Y393" s="2"/>
      <c r="Z393" s="14">
        <f>IFERROR(Z388+Z389+Z390+Z391+Z392, "NA")</f>
        <v>196876.52</v>
      </c>
      <c r="AA393" s="15">
        <f>IFERROR(Z393/Z444, "NA")</f>
        <v>3.506272138587193E-2</v>
      </c>
      <c r="AB393" s="2"/>
      <c r="AC393" s="14">
        <f t="shared" si="99"/>
        <v>30546.670000000013</v>
      </c>
      <c r="AD393" s="15">
        <f>IFERROR(AC393/AC444, "NA")</f>
        <v>9.6303973897296308E-2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3358.32</v>
      </c>
      <c r="F394" s="8">
        <f>IFERROR(E394/E444, "NA")</f>
        <v>4.9999953846013214E-3</v>
      </c>
      <c r="G394" s="9"/>
      <c r="H394" s="10">
        <f t="shared" si="96"/>
        <v>3358.32</v>
      </c>
      <c r="I394" s="8">
        <f>IFERROR(H394/H444, "NA")</f>
        <v>-3.4469953337590876E-2</v>
      </c>
      <c r="J394" s="9"/>
      <c r="K394" s="7">
        <v>2076.5700000000002</v>
      </c>
      <c r="L394" s="8">
        <f>IFERROR(K394/K444, "NA")</f>
        <v>3.3648450346243281E-3</v>
      </c>
      <c r="M394" s="9"/>
      <c r="N394" s="10">
        <f t="shared" si="97"/>
        <v>2076.5700000000002</v>
      </c>
      <c r="O394" s="8">
        <f>IFERROR(N394/N444, "NA")</f>
        <v>-4.8405199753005466E-2</v>
      </c>
      <c r="P394" s="9"/>
      <c r="Q394" s="7">
        <v>6612.06</v>
      </c>
      <c r="R394" s="8">
        <f>IFERROR(Q394/Q444, "NA")</f>
        <v>1.1146104312844277E-3</v>
      </c>
      <c r="S394" s="9"/>
      <c r="T394" s="7">
        <v>48695.39</v>
      </c>
      <c r="U394" s="8">
        <f>IFERROR(T394/T444, "NA")</f>
        <v>7.7143411003059003E-3</v>
      </c>
      <c r="V394" s="9"/>
      <c r="W394" s="10">
        <f t="shared" si="98"/>
        <v>42083.33</v>
      </c>
      <c r="X394" s="8">
        <f>IFERROR(W394/W444, "NA")</f>
        <v>-0.11070226823835996</v>
      </c>
      <c r="Y394" s="9"/>
      <c r="Z394" s="7">
        <v>43651.82</v>
      </c>
      <c r="AA394" s="8">
        <f>IFERROR(Z394/Z444, "NA")</f>
        <v>7.7741703411165139E-3</v>
      </c>
      <c r="AB394" s="9"/>
      <c r="AC394" s="10">
        <f t="shared" si="99"/>
        <v>37039.760000000002</v>
      </c>
      <c r="AD394" s="8">
        <f>IFERROR(AC394/AC444, "NA")</f>
        <v>0.11677462977804516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18889</v>
      </c>
      <c r="C396" s="15">
        <f>IFERROR(B396/B444, "NA")</f>
        <v>3.289407463634015E-2</v>
      </c>
      <c r="D396" s="2"/>
      <c r="E396" s="14">
        <f>IFERROR(E385+E386+E388+E389+E390+E391+E392+E394+E395, "NA")</f>
        <v>25116.21</v>
      </c>
      <c r="F396" s="15">
        <f>IFERROR(E396/E444, "NA")</f>
        <v>3.7393974987099961E-2</v>
      </c>
      <c r="G396" s="2"/>
      <c r="H396" s="14">
        <f t="shared" si="96"/>
        <v>6227.2099999999991</v>
      </c>
      <c r="I396" s="15">
        <f>IFERROR(H396/H444, "NA")</f>
        <v>-6.391637429529623E-2</v>
      </c>
      <c r="J396" s="2"/>
      <c r="K396" s="14">
        <f>IFERROR(K385+K386+K388+K389+K390+K391+K392+K394+K395, "NA")</f>
        <v>32488.79</v>
      </c>
      <c r="L396" s="15">
        <f>IFERROR(K396/K444, "NA")</f>
        <v>5.264438170273697E-2</v>
      </c>
      <c r="M396" s="2"/>
      <c r="N396" s="14">
        <f t="shared" si="97"/>
        <v>13599.79</v>
      </c>
      <c r="O396" s="15">
        <f>IFERROR(N396/N444, "NA")</f>
        <v>-0.31701341710076048</v>
      </c>
      <c r="P396" s="2"/>
      <c r="Q396" s="14">
        <f>IFERROR(Q385+Q386+Q388+Q389+Q390+Q391+Q392+Q394+Q395, "NA")</f>
        <v>197528.49</v>
      </c>
      <c r="R396" s="15">
        <f>IFERROR(Q396/Q444, "NA")</f>
        <v>3.3297839921274421E-2</v>
      </c>
      <c r="S396" s="2"/>
      <c r="T396" s="14">
        <f>IFERROR(T385+T386+T388+T389+T390+T391+T392+T394+T395, "NA")</f>
        <v>265239.07</v>
      </c>
      <c r="U396" s="15">
        <f>IFERROR(T396/T444, "NA")</f>
        <v>4.2019268335419711E-2</v>
      </c>
      <c r="V396" s="2"/>
      <c r="W396" s="14">
        <f t="shared" si="98"/>
        <v>67710.580000000016</v>
      </c>
      <c r="X396" s="15">
        <f>IFERROR(W396/W444, "NA")</f>
        <v>-0.17811600911180109</v>
      </c>
      <c r="Y396" s="2"/>
      <c r="Z396" s="14">
        <f>IFERROR(Z385+Z386+Z388+Z389+Z390+Z391+Z392+Z394+Z395, "NA")</f>
        <v>277207.51</v>
      </c>
      <c r="AA396" s="15">
        <f>IFERROR(Z396/Z444, "NA")</f>
        <v>4.9369268052895834E-2</v>
      </c>
      <c r="AB396" s="2"/>
      <c r="AC396" s="14">
        <f t="shared" si="99"/>
        <v>79679.020000000019</v>
      </c>
      <c r="AD396" s="15">
        <f>IFERROR(AC396/AC444, "NA")</f>
        <v>0.25120270923940807</v>
      </c>
    </row>
    <row r="397" spans="1:30" ht="16.5" customHeight="1" x14ac:dyDescent="0.45">
      <c r="A397" s="20" t="s">
        <v>363</v>
      </c>
      <c r="B397" s="7">
        <v>16643.64</v>
      </c>
      <c r="C397" s="8">
        <f>IFERROR(B397/B444, "NA")</f>
        <v>2.8983913197118762E-2</v>
      </c>
      <c r="D397" s="9"/>
      <c r="E397" s="7">
        <v>20224.240000000002</v>
      </c>
      <c r="F397" s="8">
        <f>IFERROR(E397/E444, "NA")</f>
        <v>3.011062276884556E-2</v>
      </c>
      <c r="G397" s="9"/>
      <c r="H397" s="10">
        <f t="shared" si="96"/>
        <v>3580.6000000000022</v>
      </c>
      <c r="I397" s="8">
        <f>IFERROR(H397/H444, "NA")</f>
        <v>-3.6751445639658507E-2</v>
      </c>
      <c r="J397" s="9"/>
      <c r="K397" s="7">
        <v>3259.45</v>
      </c>
      <c r="L397" s="8">
        <f>IFERROR(K397/K444, "NA")</f>
        <v>5.2815672710798409E-3</v>
      </c>
      <c r="M397" s="9"/>
      <c r="N397" s="10">
        <f t="shared" si="97"/>
        <v>-13384.189999999999</v>
      </c>
      <c r="O397" s="8">
        <f>IFERROR(N397/N444, "NA")</f>
        <v>0.31198774444501176</v>
      </c>
      <c r="P397" s="9"/>
      <c r="Q397" s="7">
        <v>97813.31</v>
      </c>
      <c r="R397" s="8">
        <f>IFERROR(Q397/Q444, "NA")</f>
        <v>1.6488618621799775E-2</v>
      </c>
      <c r="S397" s="9"/>
      <c r="T397" s="7">
        <v>184651.49</v>
      </c>
      <c r="U397" s="8">
        <f>IFERROR(T397/T444, "NA")</f>
        <v>2.9252555088679313E-2</v>
      </c>
      <c r="V397" s="9"/>
      <c r="W397" s="10">
        <f t="shared" si="98"/>
        <v>86838.18</v>
      </c>
      <c r="X397" s="8">
        <f>IFERROR(W397/W444, "NA")</f>
        <v>-0.22843210115955614</v>
      </c>
      <c r="Y397" s="9"/>
      <c r="Z397" s="7">
        <v>81683.62</v>
      </c>
      <c r="AA397" s="8">
        <f>IFERROR(Z397/Z444, "NA")</f>
        <v>1.4547443290085766E-2</v>
      </c>
      <c r="AB397" s="9"/>
      <c r="AC397" s="10">
        <f t="shared" si="99"/>
        <v>-16129.690000000002</v>
      </c>
      <c r="AD397" s="8">
        <f>IFERROR(AC397/AC444, "NA")</f>
        <v>-5.0851802986429648E-2</v>
      </c>
    </row>
    <row r="398" spans="1:30" ht="16.5" customHeight="1" x14ac:dyDescent="0.45">
      <c r="A398" s="20" t="s">
        <v>364</v>
      </c>
      <c r="B398" s="7">
        <v>1166.28</v>
      </c>
      <c r="C398" s="8">
        <f>IFERROR(B398/B444, "NA")</f>
        <v>2.0310075370252945E-3</v>
      </c>
      <c r="D398" s="9"/>
      <c r="E398" s="7">
        <v>75</v>
      </c>
      <c r="F398" s="8">
        <f>IFERROR(E398/E444, "NA")</f>
        <v>1.1166287127048615E-4</v>
      </c>
      <c r="G398" s="9"/>
      <c r="H398" s="10">
        <f t="shared" si="96"/>
        <v>-1091.28</v>
      </c>
      <c r="I398" s="8">
        <f>IFERROR(H398/H444, "NA")</f>
        <v>1.1200948890589988E-2</v>
      </c>
      <c r="J398" s="9"/>
      <c r="K398" s="7">
        <v>194.45</v>
      </c>
      <c r="L398" s="8">
        <f>IFERROR(K398/K444, "NA")</f>
        <v>3.1508406506050866E-4</v>
      </c>
      <c r="M398" s="9"/>
      <c r="N398" s="10">
        <f t="shared" si="97"/>
        <v>-971.82999999999993</v>
      </c>
      <c r="O398" s="8">
        <f>IFERROR(N398/N444, "NA")</f>
        <v>2.265352252799727E-2</v>
      </c>
      <c r="P398" s="9"/>
      <c r="Q398" s="7">
        <v>3369.24</v>
      </c>
      <c r="R398" s="8">
        <f>IFERROR(Q398/Q444, "NA")</f>
        <v>5.6796067330011299E-4</v>
      </c>
      <c r="S398" s="9"/>
      <c r="T398" s="7">
        <v>750</v>
      </c>
      <c r="U398" s="8">
        <f>IFERROR(T398/T444, "NA")</f>
        <v>1.1881526824673599E-4</v>
      </c>
      <c r="V398" s="9"/>
      <c r="W398" s="10">
        <f t="shared" si="98"/>
        <v>-2619.2399999999998</v>
      </c>
      <c r="X398" s="8">
        <f>IFERROR(W398/W444, "NA")</f>
        <v>6.8900395729292784E-3</v>
      </c>
      <c r="Y398" s="9"/>
      <c r="Z398" s="7">
        <v>1021.8</v>
      </c>
      <c r="AA398" s="8">
        <f>IFERROR(Z398/Z444, "NA")</f>
        <v>1.8197745831795452E-4</v>
      </c>
      <c r="AB398" s="9"/>
      <c r="AC398" s="10">
        <f t="shared" si="99"/>
        <v>-2347.4399999999996</v>
      </c>
      <c r="AD398" s="8">
        <f>IFERROR(AC398/AC444, "NA")</f>
        <v>-7.4007346949919294E-3</v>
      </c>
    </row>
    <row r="399" spans="1:30" ht="16.5" customHeight="1" x14ac:dyDescent="0.45">
      <c r="A399" s="20" t="s">
        <v>365</v>
      </c>
      <c r="B399" s="7">
        <v>390</v>
      </c>
      <c r="C399" s="8">
        <f>IFERROR(B399/B444, "NA")</f>
        <v>6.7916189889208843E-4</v>
      </c>
      <c r="D399" s="9"/>
      <c r="E399" s="7">
        <v>700</v>
      </c>
      <c r="F399" s="8">
        <f>IFERROR(E399/E444, "NA")</f>
        <v>1.0421867985245374E-3</v>
      </c>
      <c r="G399" s="9"/>
      <c r="H399" s="10">
        <f t="shared" si="96"/>
        <v>310</v>
      </c>
      <c r="I399" s="8">
        <f>IFERROR(H399/H444, "NA")</f>
        <v>-3.1818544792197203E-3</v>
      </c>
      <c r="J399" s="9"/>
      <c r="K399" s="7">
        <v>1544.95</v>
      </c>
      <c r="L399" s="8">
        <f>IFERROR(K399/K444, "NA")</f>
        <v>2.5034154091809354E-3</v>
      </c>
      <c r="M399" s="9"/>
      <c r="N399" s="10">
        <f t="shared" si="97"/>
        <v>1154.95</v>
      </c>
      <c r="O399" s="8">
        <f>IFERROR(N399/N444, "NA")</f>
        <v>-2.6922080861581193E-2</v>
      </c>
      <c r="P399" s="9"/>
      <c r="Q399" s="7">
        <v>3421.95</v>
      </c>
      <c r="R399" s="8">
        <f>IFERROR(Q399/Q444, "NA")</f>
        <v>5.7684612138028798E-4</v>
      </c>
      <c r="S399" s="9"/>
      <c r="T399" s="7">
        <v>7000</v>
      </c>
      <c r="U399" s="8">
        <f>IFERROR(T399/T444, "NA")</f>
        <v>1.1089425036362025E-3</v>
      </c>
      <c r="V399" s="9"/>
      <c r="W399" s="10">
        <f t="shared" si="98"/>
        <v>3578.05</v>
      </c>
      <c r="X399" s="8">
        <f>IFERROR(W399/W444, "NA")</f>
        <v>-9.4122364097675697E-3</v>
      </c>
      <c r="Y399" s="9"/>
      <c r="Z399" s="7">
        <v>7115.9</v>
      </c>
      <c r="AA399" s="8">
        <f>IFERROR(Z399/Z444, "NA")</f>
        <v>1.2673061221811829E-3</v>
      </c>
      <c r="AB399" s="9"/>
      <c r="AC399" s="10">
        <f t="shared" si="99"/>
        <v>3693.95</v>
      </c>
      <c r="AD399" s="8">
        <f>IFERROR(AC399/AC444, "NA")</f>
        <v>1.1645854175853457E-2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1.3503211580821234E-2</v>
      </c>
      <c r="M401" s="9"/>
      <c r="N401" s="10">
        <f t="shared" si="97"/>
        <v>8333.33</v>
      </c>
      <c r="O401" s="8">
        <f>IFERROR(N401/N444, "NA")</f>
        <v>-0.19425133911099216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83333.33</v>
      </c>
      <c r="AA401" s="8">
        <f>IFERROR(Z401/Z444, "NA")</f>
        <v>1.4841248372060432E-2</v>
      </c>
      <c r="AB401" s="9"/>
      <c r="AC401" s="10">
        <f t="shared" si="99"/>
        <v>83333.33</v>
      </c>
      <c r="AD401" s="8">
        <f>IFERROR(AC401/AC444, "NA")</f>
        <v>0.26272359105247073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123125.86000000002</v>
      </c>
      <c r="C403" s="15">
        <f>IFERROR(B403/B444, "NA")</f>
        <v>0.21441639200082421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158559.96000000002</v>
      </c>
      <c r="F403" s="15">
        <f>IFERROR(E403/E444, "NA")</f>
        <v>0.23607013869511248</v>
      </c>
      <c r="G403" s="2"/>
      <c r="H403" s="14">
        <f t="shared" si="96"/>
        <v>35434.100000000006</v>
      </c>
      <c r="I403" s="15">
        <f>IFERROR(H403/H444, "NA")</f>
        <v>-0.36369725742619197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191372.94000000003</v>
      </c>
      <c r="L403" s="15">
        <f>IFERROR(K403/K444, "NA")</f>
        <v>0.31009803999887292</v>
      </c>
      <c r="M403" s="2"/>
      <c r="N403" s="14">
        <f t="shared" si="97"/>
        <v>68247.080000000016</v>
      </c>
      <c r="O403" s="15">
        <f>IFERROR(N403/N444, "NA")</f>
        <v>-1.5908510379902168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1273006.3600000001</v>
      </c>
      <c r="R403" s="15">
        <f>IFERROR(Q403/Q444, "NA")</f>
        <v>0.21459366187654372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1651865.3299999998</v>
      </c>
      <c r="U403" s="15">
        <f>IFERROR(T403/T444, "NA")</f>
        <v>0.2616890963885774</v>
      </c>
      <c r="V403" s="2"/>
      <c r="W403" s="14">
        <f t="shared" si="98"/>
        <v>378858.96999999974</v>
      </c>
      <c r="X403" s="15">
        <f>IFERROR(W403/W444, "NA")</f>
        <v>-0.99660714400330819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1597839.7800000005</v>
      </c>
      <c r="AA403" s="15">
        <f>IFERROR(Z403/Z444, "NA")</f>
        <v>0.2845672557875511</v>
      </c>
      <c r="AB403" s="2"/>
      <c r="AC403" s="14">
        <f t="shared" si="99"/>
        <v>324833.42000000039</v>
      </c>
      <c r="AD403" s="15">
        <f>IFERROR(AC403/AC444, "NA")</f>
        <v>1.0240968721189418</v>
      </c>
    </row>
    <row r="404" spans="1:30" ht="16.5" customHeight="1" x14ac:dyDescent="0.45">
      <c r="A404" s="22" t="s">
        <v>370</v>
      </c>
      <c r="B404" s="23">
        <f>IFERROR(B345-B403, "NA")</f>
        <v>-100471.92000000016</v>
      </c>
      <c r="C404" s="24">
        <f>IFERROR(B404/B444, "NA")</f>
        <v>-0.17496589736547205</v>
      </c>
      <c r="D404" s="25"/>
      <c r="E404" s="23">
        <f>IFERROR(E345-E403, "NA")</f>
        <v>-44606.460000000036</v>
      </c>
      <c r="F404" s="24">
        <f>IFERROR(E404/E444, "NA")</f>
        <v>-6.6411805344161245E-2</v>
      </c>
      <c r="G404" s="25"/>
      <c r="H404" s="23">
        <f>IFERROR(B404-E404, "NA")</f>
        <v>-55865.460000000123</v>
      </c>
      <c r="I404" s="24">
        <f>IFERROR(H404/H444, "NA")</f>
        <v>0.57340569075700165</v>
      </c>
      <c r="J404" s="25"/>
      <c r="K404" s="23">
        <f>IFERROR(K345-K403, "NA")</f>
        <v>-145728.48999999976</v>
      </c>
      <c r="L404" s="24">
        <f>IFERROR(K404/K444, "NA")</f>
        <v>-0.23613641051339476</v>
      </c>
      <c r="M404" s="25"/>
      <c r="N404" s="23">
        <f>IFERROR(B404-K404, "NA")</f>
        <v>45256.5699999996</v>
      </c>
      <c r="O404" s="24">
        <f>IFERROR(N404/N444, "NA")</f>
        <v>-1.0549383411037696</v>
      </c>
      <c r="P404" s="25"/>
      <c r="Q404" s="23">
        <f>IFERROR(Q345-Q403, "NA")</f>
        <v>-1058398.5499999989</v>
      </c>
      <c r="R404" s="24">
        <f>IFERROR(Q404/Q444, "NA")</f>
        <v>-0.17841672100469622</v>
      </c>
      <c r="S404" s="25"/>
      <c r="T404" s="23">
        <f>IFERROR(T345-T403, "NA")</f>
        <v>-819308.96999999939</v>
      </c>
      <c r="U404" s="24">
        <f>IFERROR(T404/T444, "NA")</f>
        <v>-0.12979522006334251</v>
      </c>
      <c r="V404" s="25"/>
      <c r="W404" s="23">
        <f>IFERROR(Q404-T404, "NA")</f>
        <v>-239089.57999999949</v>
      </c>
      <c r="X404" s="24">
        <f>IFERROR(W404/W444, "NA")</f>
        <v>0.6289368930205087</v>
      </c>
      <c r="Y404" s="25"/>
      <c r="Z404" s="23">
        <f>IFERROR(Z345-Z403, "NA")</f>
        <v>-1216532.2500000005</v>
      </c>
      <c r="AA404" s="24">
        <f>IFERROR(Z404/Z444, "NA")</f>
        <v>-0.21665829596479011</v>
      </c>
      <c r="AB404" s="25"/>
      <c r="AC404" s="23">
        <f>IFERROR(Q404-Z404, "NA")</f>
        <v>158133.70000000158</v>
      </c>
      <c r="AD404" s="24">
        <f>IFERROR(AC404/AC444, "NA")</f>
        <v>0.49854546230679259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-25</v>
      </c>
      <c r="C407" s="8">
        <f>IFERROR(B407/B444, "NA")</f>
        <v>-4.3536019159749258E-5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25</v>
      </c>
      <c r="I407" s="8">
        <f>IFERROR(H407/H444, "NA")</f>
        <v>-2.5660116767900969E-4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25</v>
      </c>
      <c r="O407" s="8">
        <f>IFERROR(N407/N444, "NA")</f>
        <v>-5.8275425043467668E-4</v>
      </c>
      <c r="P407" s="9"/>
      <c r="Q407" s="7">
        <v>-25</v>
      </c>
      <c r="R407" s="8">
        <f>IFERROR(Q407/Q444, "NA")</f>
        <v>-4.2143085183907425E-6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25</v>
      </c>
      <c r="X407" s="8">
        <f>IFERROR(W407/W444, "NA")</f>
        <v>-6.5763728914964642E-5</v>
      </c>
      <c r="Y407" s="9"/>
      <c r="Z407" s="7">
        <v>-58938.32</v>
      </c>
      <c r="AA407" s="8">
        <f>IFERROR(Z407/Z444, "NA")</f>
        <v>-1.0496619368888497E-2</v>
      </c>
      <c r="AB407" s="9"/>
      <c r="AC407" s="10">
        <f t="shared" ref="AC407:AC429" si="103">IFERROR(-(Q407-Z407), "NA")</f>
        <v>-58913.32</v>
      </c>
      <c r="AD407" s="8">
        <f>IFERROR(AC407/AC444, "NA")</f>
        <v>-0.18573503532408156</v>
      </c>
    </row>
    <row r="408" spans="1:30" ht="16.5" customHeight="1" x14ac:dyDescent="0.45">
      <c r="A408" s="6" t="s">
        <v>373</v>
      </c>
      <c r="B408" s="7">
        <v>-357.84000000000003</v>
      </c>
      <c r="C408" s="8">
        <f>IFERROR(B408/B444, "NA")</f>
        <v>-6.23157163844987E-4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357.84000000000003</v>
      </c>
      <c r="I408" s="8">
        <f>IFERROR(H408/H444, "NA")</f>
        <v>-3.6728864736902734E-3</v>
      </c>
      <c r="J408" s="9"/>
      <c r="K408" s="7">
        <v>-4016.81</v>
      </c>
      <c r="L408" s="8">
        <f>IFERROR(K408/K444, "NA")</f>
        <v>-6.5087828407081614E-3</v>
      </c>
      <c r="M408" s="9"/>
      <c r="N408" s="10">
        <f t="shared" si="101"/>
        <v>-3658.97</v>
      </c>
      <c r="O408" s="8">
        <f>IFERROR(N408/N444, "NA")</f>
        <v>8.5291212788518742E-2</v>
      </c>
      <c r="P408" s="9"/>
      <c r="Q408" s="7">
        <v>-107.84</v>
      </c>
      <c r="R408" s="8">
        <f>IFERROR(Q408/Q444, "NA")</f>
        <v>-1.8178841224930309E-5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107.84</v>
      </c>
      <c r="X408" s="8">
        <f>IFERROR(W408/W444, "NA")</f>
        <v>-2.8367842104759148E-4</v>
      </c>
      <c r="Y408" s="9"/>
      <c r="Z408" s="7">
        <v>19558.05</v>
      </c>
      <c r="AA408" s="8">
        <f>IFERROR(Z408/Z444, "NA")</f>
        <v>3.483190672005745E-3</v>
      </c>
      <c r="AB408" s="9"/>
      <c r="AC408" s="10">
        <f t="shared" si="103"/>
        <v>19665.89</v>
      </c>
      <c r="AD408" s="8">
        <f>IFERROR(AC408/AC444, "NA")</f>
        <v>6.2000321384527338E-2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31173.850000000002</v>
      </c>
      <c r="C410" s="8">
        <f>IFERROR(B410/B444, "NA")</f>
        <v>5.4287413235325974E-2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-31173.850000000002</v>
      </c>
      <c r="I410" s="8">
        <f>IFERROR(H410/H444, "NA")</f>
        <v>0.31996985244201187</v>
      </c>
      <c r="J410" s="9"/>
      <c r="K410" s="7">
        <v>27769.549999999996</v>
      </c>
      <c r="L410" s="8">
        <f>IFERROR(K410/K444, "NA")</f>
        <v>4.4997391097459746E-2</v>
      </c>
      <c r="M410" s="9"/>
      <c r="N410" s="10">
        <f t="shared" si="101"/>
        <v>-3404.3000000000065</v>
      </c>
      <c r="O410" s="8">
        <f>IFERROR(N410/N444, "NA")</f>
        <v>7.9354811790190938E-2</v>
      </c>
      <c r="P410" s="9"/>
      <c r="Q410" s="7">
        <v>290765.75</v>
      </c>
      <c r="R410" s="8">
        <f>IFERROR(Q410/Q444, "NA")</f>
        <v>4.9015063083250925E-2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-290765.75</v>
      </c>
      <c r="X410" s="8">
        <f>IFERROR(W410/W444, "NA")</f>
        <v>0.76487359843025515</v>
      </c>
      <c r="Y410" s="9"/>
      <c r="Z410" s="7">
        <v>315332.03999999998</v>
      </c>
      <c r="AA410" s="8">
        <f>IFERROR(Z410/Z444, "NA")</f>
        <v>5.615905575006417E-2</v>
      </c>
      <c r="AB410" s="9"/>
      <c r="AC410" s="10">
        <f t="shared" si="103"/>
        <v>24566.289999999979</v>
      </c>
      <c r="AD410" s="8">
        <f>IFERROR(AC410/AC444, "NA")</f>
        <v>7.7449730229625965E-2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4.6735045847607633E-4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2.7545622148006333E-3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6.2557503275661669E-3</v>
      </c>
      <c r="P411" s="9"/>
      <c r="Q411" s="7">
        <v>2415.33</v>
      </c>
      <c r="R411" s="8">
        <f>IFERROR(Q411/Q444, "NA")</f>
        <v>4.0715783174898848E-4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-2415.33</v>
      </c>
      <c r="X411" s="8">
        <f>IFERROR(W411/W444, "NA")</f>
        <v>6.3536442944072619E-3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-2415.33</v>
      </c>
      <c r="AD411" s="8">
        <f>IFERROR(AC411/AC444, "NA")</f>
        <v>-7.6147703587119836E-3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-121.82</v>
      </c>
      <c r="C416" s="8">
        <f>IFERROR(B416/B444, "NA")</f>
        <v>-2.1214231416162615E-4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121.82</v>
      </c>
      <c r="I416" s="8">
        <f>IFERROR(H416/H444, "NA")</f>
        <v>-1.2503661698662783E-3</v>
      </c>
      <c r="J416" s="9"/>
      <c r="K416" s="7">
        <v>-136.47</v>
      </c>
      <c r="L416" s="8">
        <f>IFERROR(K416/K444, "NA")</f>
        <v>-2.2113408258579389E-4</v>
      </c>
      <c r="M416" s="9"/>
      <c r="N416" s="10">
        <f t="shared" si="101"/>
        <v>-14.650000000000006</v>
      </c>
      <c r="O416" s="8">
        <f>IFERROR(N416/N444, "NA")</f>
        <v>3.4149399075472067E-4</v>
      </c>
      <c r="P416" s="9"/>
      <c r="Q416" s="7">
        <v>-689.05</v>
      </c>
      <c r="R416" s="8">
        <f>IFERROR(Q416/Q444, "NA")</f>
        <v>-1.1615477138388564E-4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689.05</v>
      </c>
      <c r="X416" s="8">
        <f>IFERROR(W416/W444, "NA")</f>
        <v>-1.8125798963542553E-3</v>
      </c>
      <c r="Y416" s="9"/>
      <c r="Z416" s="7">
        <v>-1221.8400000000001</v>
      </c>
      <c r="AA416" s="8">
        <f>IFERROR(Z416/Z444, "NA")</f>
        <v>-2.1760357963516302E-4</v>
      </c>
      <c r="AB416" s="9"/>
      <c r="AC416" s="10">
        <f t="shared" si="103"/>
        <v>-532.79000000000019</v>
      </c>
      <c r="AD416" s="8">
        <f>IFERROR(AC416/AC444, "NA")</f>
        <v>-1.6797180921108749E-3</v>
      </c>
    </row>
    <row r="417" spans="1:30" ht="16.5" customHeight="1" x14ac:dyDescent="0.45">
      <c r="A417" s="6" t="s">
        <v>382</v>
      </c>
      <c r="B417" s="7">
        <v>-28.4</v>
      </c>
      <c r="C417" s="8">
        <f>IFERROR(B417/B444, "NA")</f>
        <v>-4.9456917765475151E-5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28.4</v>
      </c>
      <c r="I417" s="8">
        <f>IFERROR(H417/H444, "NA")</f>
        <v>-2.9149892648335499E-4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28.4</v>
      </c>
      <c r="O417" s="8">
        <f>IFERROR(N417/N444, "NA")</f>
        <v>-6.6200882849379262E-4</v>
      </c>
      <c r="P417" s="9"/>
      <c r="Q417" s="7">
        <v>-1119.47</v>
      </c>
      <c r="R417" s="8">
        <f>IFERROR(Q417/Q444, "NA")</f>
        <v>-1.8871167828331538E-4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1119.47</v>
      </c>
      <c r="X417" s="8">
        <f>IFERROR(W417/W444, "NA")</f>
        <v>-2.9448208643374188E-3</v>
      </c>
      <c r="Y417" s="9"/>
      <c r="Z417" s="7">
        <v>-248.32000000000002</v>
      </c>
      <c r="AA417" s="8">
        <f>IFERROR(Z417/Z444, "NA")</f>
        <v>-4.4224547317982455E-5</v>
      </c>
      <c r="AB417" s="9"/>
      <c r="AC417" s="10">
        <f t="shared" si="103"/>
        <v>871.15</v>
      </c>
      <c r="AD417" s="8">
        <f>IFERROR(AC417/AC444, "NA")</f>
        <v>2.746459986002718E-3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-2206.54</v>
      </c>
      <c r="L418" s="8">
        <f>IFERROR(K418/K444, "NA")</f>
        <v>-3.5754466079640774E-3</v>
      </c>
      <c r="M418" s="9"/>
      <c r="N418" s="10">
        <f t="shared" si="101"/>
        <v>-2206.54</v>
      </c>
      <c r="O418" s="8">
        <f>IFERROR(N418/N444, "NA")</f>
        <v>5.1434822550165259E-2</v>
      </c>
      <c r="P418" s="9"/>
      <c r="Q418" s="7">
        <v>-3725.69</v>
      </c>
      <c r="R418" s="8">
        <f>IFERROR(Q418/Q444, "NA")</f>
        <v>-6.2804828415532826E-4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-9.8006106872477843E-3</v>
      </c>
      <c r="Y418" s="9"/>
      <c r="Z418" s="7">
        <v>-4485.2299999999996</v>
      </c>
      <c r="AA418" s="8">
        <f>IFERROR(Z418/Z444, "NA")</f>
        <v>-7.9879698118167849E-4</v>
      </c>
      <c r="AB418" s="9"/>
      <c r="AC418" s="10">
        <f t="shared" si="103"/>
        <v>-759.53999999999951</v>
      </c>
      <c r="AD418" s="8">
        <f>IFERROR(AC418/AC444, "NA")</f>
        <v>-2.3945890119594824E-3</v>
      </c>
    </row>
    <row r="419" spans="1:30" ht="16.5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363.75</v>
      </c>
      <c r="R419" s="8">
        <f>IFERROR(Q419/Q444, "NA")</f>
        <v>6.1318188942585303E-5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-363.75</v>
      </c>
      <c r="X419" s="8">
        <f>IFERROR(W419/W444, "NA")</f>
        <v>9.5686225571273555E-4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-363.75</v>
      </c>
      <c r="AD419" s="8">
        <f>IFERROR(AC419/AC444, "NA")</f>
        <v>-1.1467885208155755E-3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-160</v>
      </c>
      <c r="R421" s="8">
        <f>IFERROR(Q421/Q444, "NA")</f>
        <v>-2.6971574517700754E-5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-4.208878650557737E-4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5.0442931499791645E-4</v>
      </c>
    </row>
    <row r="422" spans="1:30" ht="16.5" customHeight="1" x14ac:dyDescent="0.45">
      <c r="A422" s="6" t="s">
        <v>387</v>
      </c>
      <c r="B422" s="7">
        <v>-1000.37</v>
      </c>
      <c r="C422" s="8">
        <f>IFERROR(B422/B444, "NA")</f>
        <v>-1.7420850994735344E-3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1000.37</v>
      </c>
      <c r="I422" s="8">
        <f>IFERROR(H422/H444, "NA")</f>
        <v>-1.0267844404442037E-2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1000.37</v>
      </c>
      <c r="O422" s="8">
        <f>IFERROR(N422/N444, "NA")</f>
        <v>-2.33187947802935E-2</v>
      </c>
      <c r="P422" s="9"/>
      <c r="Q422" s="7">
        <v>-1000.37</v>
      </c>
      <c r="R422" s="8">
        <f>IFERROR(Q422/Q444, "NA")</f>
        <v>-1.686347125017019E-4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1000.37</v>
      </c>
      <c r="X422" s="8">
        <f>IFERROR(W422/W444, "NA")</f>
        <v>-2.6315224597865273E-3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1000.37</v>
      </c>
      <c r="AD422" s="8">
        <f>IFERROR(AC422/AC444, "NA")</f>
        <v>3.1538497115279102E-3</v>
      </c>
    </row>
    <row r="423" spans="1:30" ht="16.5" customHeight="1" x14ac:dyDescent="0.45">
      <c r="A423" s="6" t="s">
        <v>388</v>
      </c>
      <c r="B423" s="7">
        <v>-17035.669999999998</v>
      </c>
      <c r="C423" s="8">
        <f>IFERROR(B423/B444, "NA")</f>
        <v>-2.966661022076662E-2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17035.669999999998</v>
      </c>
      <c r="I423" s="8">
        <f>IFERROR(H423/H444, "NA")</f>
        <v>-0.17485491256777097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17035.669999999998</v>
      </c>
      <c r="O423" s="8">
        <f>IFERROR(N423/N444, "NA")</f>
        <v>-0.3971043640601003</v>
      </c>
      <c r="P423" s="9"/>
      <c r="Q423" s="7">
        <v>-23385.200000000001</v>
      </c>
      <c r="R423" s="8">
        <f>IFERROR(Q423/Q444, "NA")</f>
        <v>-3.9420979025708482E-3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23385.200000000001</v>
      </c>
      <c r="X423" s="8">
        <f>IFERROR(W423/W444, "NA")</f>
        <v>-6.1515918136889246E-2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23385.200000000001</v>
      </c>
      <c r="AD423" s="8">
        <f>IFERROR(AC423/AC444, "NA")</f>
        <v>7.3726127606807967E-2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5.3241024045734813E-4</v>
      </c>
      <c r="M424" s="9"/>
      <c r="N424" s="10">
        <f t="shared" si="101"/>
        <v>328.57</v>
      </c>
      <c r="O424" s="8">
        <f>IFERROR(N424/N444, "NA")</f>
        <v>-7.6590225626128683E-3</v>
      </c>
      <c r="P424" s="9"/>
      <c r="Q424" s="7">
        <v>239.6</v>
      </c>
      <c r="R424" s="8">
        <f>IFERROR(Q424/Q444, "NA")</f>
        <v>4.0389932840256879E-5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6.3027957792102113E-4</v>
      </c>
      <c r="Y424" s="9"/>
      <c r="Z424" s="7">
        <v>1667.33</v>
      </c>
      <c r="AA424" s="8">
        <f>IFERROR(Z424/Z444, "NA")</f>
        <v>2.9694311565597485E-4</v>
      </c>
      <c r="AB424" s="9"/>
      <c r="AC424" s="10">
        <f t="shared" si="103"/>
        <v>1427.73</v>
      </c>
      <c r="AD424" s="8">
        <f>IFERROR(AC424/AC444, "NA")</f>
        <v>4.501180411887345E-3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-3260.57</v>
      </c>
      <c r="C426" s="8">
        <f>IFERROR(B426/B444, "NA")</f>
        <v>-5.6780895196681452E-3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3260.57</v>
      </c>
      <c r="I426" s="8">
        <f>IFERROR(H426/H444, "NA")</f>
        <v>-3.3466642771965947E-2</v>
      </c>
      <c r="J426" s="9"/>
      <c r="K426" s="7">
        <v>-2728.51</v>
      </c>
      <c r="L426" s="8">
        <f>IFERROR(K426/K444, "NA")</f>
        <v>-4.4212395081421893E-3</v>
      </c>
      <c r="M426" s="9"/>
      <c r="N426" s="10">
        <f t="shared" si="101"/>
        <v>532.05999999999995</v>
      </c>
      <c r="O426" s="8">
        <f>IFERROR(N426/N444, "NA")</f>
        <v>-1.2402409059450961E-2</v>
      </c>
      <c r="P426" s="9"/>
      <c r="Q426" s="7">
        <v>-106744.5</v>
      </c>
      <c r="R426" s="8">
        <f>IFERROR(Q426/Q444, "NA")</f>
        <v>-1.7994170225654426E-2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106744.5</v>
      </c>
      <c r="X426" s="8">
        <f>IFERROR(W426/W444, "NA")</f>
        <v>-0.28079665444653773</v>
      </c>
      <c r="Y426" s="9"/>
      <c r="Z426" s="7">
        <v>-8905.49</v>
      </c>
      <c r="AA426" s="8">
        <f>IFERROR(Z426/Z444, "NA")</f>
        <v>-1.5860231310197306E-3</v>
      </c>
      <c r="AB426" s="9"/>
      <c r="AC426" s="10">
        <f t="shared" si="103"/>
        <v>97839.01</v>
      </c>
      <c r="AD426" s="8">
        <f>IFERROR(AC426/AC444, "NA")</f>
        <v>0.30845540496483931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9612.5500000000029</v>
      </c>
      <c r="C428" s="15">
        <f>IFERROR(B428/B444, "NA")</f>
        <v>1.6739686438961912E-2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-9612.5500000000029</v>
      </c>
      <c r="I428" s="15">
        <f>IFERROR(H428/H444, "NA")</f>
        <v>9.866366217491461E-2</v>
      </c>
      <c r="J428" s="2"/>
      <c r="K428" s="14">
        <f>IFERROR(K407+K408+K409+K410+K411+K412+K413+K414+K415+K416+K417+K418+K419+K420+K421+K422+K423+K424+K425+K426+K427, "NA")</f>
        <v>19009.789999999994</v>
      </c>
      <c r="L428" s="15">
        <f>IFERROR(K428/K444, "NA")</f>
        <v>3.0803198298516871E-2</v>
      </c>
      <c r="M428" s="2"/>
      <c r="N428" s="14">
        <f t="shared" si="101"/>
        <v>9397.2399999999907</v>
      </c>
      <c r="O428" s="15">
        <f>IFERROR(N428/N444, "NA")</f>
        <v>-0.21905126209419021</v>
      </c>
      <c r="P428" s="2"/>
      <c r="Q428" s="14">
        <f>IFERROR(Q407+Q408+Q409+Q410+Q411+Q412+Q413+Q414+Q415+Q416+Q417+Q418+Q419+Q420+Q421+Q422+Q423+Q424+Q425+Q426+Q427, "NA")</f>
        <v>156827.31</v>
      </c>
      <c r="R428" s="15">
        <f>IFERROR(Q428/Q444, "NA")</f>
        <v>2.6436746737972226E-2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-156827.31</v>
      </c>
      <c r="X428" s="15">
        <f>IFERROR(W428/W444, "NA")</f>
        <v>0.41254194805212491</v>
      </c>
      <c r="Y428" s="2"/>
      <c r="Z428" s="14">
        <f>IFERROR(Z407+Z408+Z409+Z410+Z411+Z412+Z413+Z414+Z415+Z416+Z417+Z418+Z419+Z420+Z421+Z422+Z423+Z424+Z425+Z426+Z427, "NA")</f>
        <v>262758.21999999997</v>
      </c>
      <c r="AA428" s="15">
        <f>IFERROR(Z428/Z444, "NA")</f>
        <v>4.6795921929682835E-2</v>
      </c>
      <c r="AB428" s="2"/>
      <c r="AC428" s="14">
        <f t="shared" si="103"/>
        <v>105930.90999999997</v>
      </c>
      <c r="AD428" s="15">
        <f>IFERROR(AC428/AC444, "NA")</f>
        <v>0.333966602302537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9612.5500000000029</v>
      </c>
      <c r="C429" s="15">
        <f>IFERROR(B429/B444, "NA")</f>
        <v>1.6739686438961912E-2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-9612.5500000000029</v>
      </c>
      <c r="I429" s="15">
        <f>IFERROR(H429/H444, "NA")</f>
        <v>9.866366217491461E-2</v>
      </c>
      <c r="J429" s="2"/>
      <c r="K429" s="14">
        <f>IFERROR(K407+K408+K409+K410+K411+K412+K413+K414+K415+K416+K417+K418+K419+K420+K421+K422+K423+K424+K425+K426+K427, "NA")</f>
        <v>19009.789999999994</v>
      </c>
      <c r="L429" s="15">
        <f>IFERROR(K429/K444, "NA")</f>
        <v>3.0803198298516871E-2</v>
      </c>
      <c r="M429" s="2"/>
      <c r="N429" s="14">
        <f t="shared" si="101"/>
        <v>9397.2399999999907</v>
      </c>
      <c r="O429" s="15">
        <f>IFERROR(N429/N444, "NA")</f>
        <v>-0.21905126209419021</v>
      </c>
      <c r="P429" s="2"/>
      <c r="Q429" s="14">
        <f>IFERROR(Q407+Q408+Q409+Q410+Q411+Q412+Q413+Q414+Q415+Q416+Q417+Q418+Q419+Q420+Q421+Q422+Q423+Q424+Q425+Q426+Q427, "NA")</f>
        <v>156827.31</v>
      </c>
      <c r="R429" s="15">
        <f>IFERROR(Q429/Q444, "NA")</f>
        <v>2.6436746737972226E-2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-156827.31</v>
      </c>
      <c r="X429" s="15">
        <f>IFERROR(W429/W444, "NA")</f>
        <v>0.41254194805212491</v>
      </c>
      <c r="Y429" s="2"/>
      <c r="Z429" s="14">
        <f>IFERROR(Z407+Z408+Z409+Z410+Z411+Z412+Z413+Z414+Z415+Z416+Z417+Z418+Z419+Z420+Z421+Z422+Z423+Z424+Z425+Z426+Z427, "NA")</f>
        <v>262758.21999999997</v>
      </c>
      <c r="AA429" s="15">
        <f>IFERROR(Z429/Z444, "NA")</f>
        <v>4.6795921929682835E-2</v>
      </c>
      <c r="AB429" s="2"/>
      <c r="AC429" s="14">
        <f t="shared" si="103"/>
        <v>105930.90999999997</v>
      </c>
      <c r="AD429" s="15">
        <f>IFERROR(AC429/AC444, "NA")</f>
        <v>0.333966602302537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-110084.47000000016</v>
      </c>
      <c r="C443" s="24">
        <f>IFERROR(B443/B444, "NA")</f>
        <v>-0.19170558380443398</v>
      </c>
      <c r="D443" s="25"/>
      <c r="E443" s="23">
        <f>IFERROR(E404-E429-E442, "NA")</f>
        <v>-44606.460000000036</v>
      </c>
      <c r="F443" s="24">
        <f>IFERROR(E443/E444, "NA")</f>
        <v>-6.6411805344161245E-2</v>
      </c>
      <c r="G443" s="25"/>
      <c r="H443" s="23">
        <f>IFERROR(B443-E443, "NA")</f>
        <v>-65478.010000000126</v>
      </c>
      <c r="I443" s="24">
        <f>IFERROR(H443/H444, "NA")</f>
        <v>0.67206935293191628</v>
      </c>
      <c r="J443" s="25"/>
      <c r="K443" s="23">
        <f>IFERROR(K404-K429-K442, "NA")</f>
        <v>-164738.27999999974</v>
      </c>
      <c r="L443" s="24">
        <f>IFERROR(K443/K444, "NA")</f>
        <v>-0.26693960881191164</v>
      </c>
      <c r="M443" s="25"/>
      <c r="N443" s="23">
        <f>IFERROR(B443-K443, "NA")</f>
        <v>54653.809999999576</v>
      </c>
      <c r="O443" s="24">
        <f>IFERROR(N443/N444, "NA")</f>
        <v>-1.2739896031979594</v>
      </c>
      <c r="P443" s="25"/>
      <c r="Q443" s="23">
        <f>IFERROR(Q404-Q429-Q442, "NA")</f>
        <v>-1215225.8599999989</v>
      </c>
      <c r="R443" s="24">
        <f>IFERROR(Q443/Q444, "NA")</f>
        <v>-0.20485346774266847</v>
      </c>
      <c r="S443" s="25"/>
      <c r="T443" s="23">
        <f>IFERROR(T404-T429-T442, "NA")</f>
        <v>-819308.96999999939</v>
      </c>
      <c r="U443" s="24">
        <f>IFERROR(T443/T444, "NA")</f>
        <v>-0.12979522006334251</v>
      </c>
      <c r="V443" s="25"/>
      <c r="W443" s="23">
        <f>IFERROR(Q443-T443, "NA")</f>
        <v>-395916.88999999955</v>
      </c>
      <c r="X443" s="24">
        <f>IFERROR(W443/W444, "NA")</f>
        <v>1.0414788410726339</v>
      </c>
      <c r="Y443" s="25"/>
      <c r="Z443" s="23">
        <f>IFERROR(Z404-Z429-Z442, "NA")</f>
        <v>-1479290.4700000004</v>
      </c>
      <c r="AA443" s="24">
        <f>IFERROR(Z443/Z444, "NA")</f>
        <v>-0.26345421789447293</v>
      </c>
      <c r="AB443" s="25"/>
      <c r="AC443" s="23">
        <f>IFERROR(Q443-Z443, "NA")</f>
        <v>264064.6100000015</v>
      </c>
      <c r="AD443" s="24">
        <f>IFERROR(AC443/AC444, "NA")</f>
        <v>0.83251206460932936</v>
      </c>
    </row>
    <row r="444" spans="1:30" ht="15.75" hidden="1" x14ac:dyDescent="0.45">
      <c r="A444" s="26" t="s">
        <v>117</v>
      </c>
      <c r="B444" s="7">
        <v>574237.16</v>
      </c>
      <c r="C444" s="27"/>
      <c r="D444" s="9"/>
      <c r="E444" s="7">
        <v>671664.62</v>
      </c>
      <c r="F444" s="27"/>
      <c r="G444" s="9"/>
      <c r="H444" s="10">
        <f>IFERROR(B444-E444, "NA")</f>
        <v>-97427.459999999963</v>
      </c>
      <c r="I444" s="27"/>
      <c r="J444" s="9"/>
      <c r="K444" s="7">
        <v>617136.89</v>
      </c>
      <c r="L444" s="27"/>
      <c r="M444" s="9"/>
      <c r="N444" s="10">
        <f>IFERROR(B444-K444, "NA")</f>
        <v>-42899.729999999981</v>
      </c>
      <c r="O444" s="27"/>
      <c r="P444" s="9"/>
      <c r="Q444" s="7">
        <v>5932171.29</v>
      </c>
      <c r="R444" s="27"/>
      <c r="S444" s="9"/>
      <c r="T444" s="7">
        <v>6312320.0500000007</v>
      </c>
      <c r="U444" s="27"/>
      <c r="V444" s="9"/>
      <c r="W444" s="10">
        <f>IFERROR(Q444-T444, "NA")</f>
        <v>-380148.76000000071</v>
      </c>
      <c r="X444" s="27"/>
      <c r="Y444" s="9"/>
      <c r="Z444" s="7">
        <v>5614981.1600000001</v>
      </c>
      <c r="AA444" s="27"/>
      <c r="AB444" s="9"/>
      <c r="AC444" s="10">
        <f>IFERROR(Q444-Z444, "NA")</f>
        <v>317190.12999999989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43668.23</v>
      </c>
      <c r="C350" s="8" t="str">
        <f>IFERROR(B350/B444, "NA")</f>
        <v>NA</v>
      </c>
      <c r="D350" s="9"/>
      <c r="E350" s="7">
        <v>62115</v>
      </c>
      <c r="F350" s="8" t="str">
        <f>IFERROR(E350/E444, "NA")</f>
        <v>NA</v>
      </c>
      <c r="G350" s="9"/>
      <c r="H350" s="10">
        <f t="shared" si="88"/>
        <v>18446.769999999997</v>
      </c>
      <c r="I350" s="8" t="str">
        <f>IFERROR(H350/H444, "NA")</f>
        <v>NA</v>
      </c>
      <c r="J350" s="9"/>
      <c r="K350" s="7">
        <v>56423.02</v>
      </c>
      <c r="L350" s="8" t="str">
        <f>IFERROR(K350/K444, "NA")</f>
        <v>NA</v>
      </c>
      <c r="M350" s="9"/>
      <c r="N350" s="10">
        <f t="shared" si="89"/>
        <v>12754.789999999994</v>
      </c>
      <c r="O350" s="8" t="str">
        <f>IFERROR(N350/N444, "NA")</f>
        <v>NA</v>
      </c>
      <c r="P350" s="9"/>
      <c r="Q350" s="7">
        <v>497366.76</v>
      </c>
      <c r="R350" s="8" t="str">
        <f>IFERROR(Q350/Q444, "NA")</f>
        <v>NA</v>
      </c>
      <c r="S350" s="9"/>
      <c r="T350" s="7">
        <v>660430</v>
      </c>
      <c r="U350" s="8" t="str">
        <f>IFERROR(T350/T444, "NA")</f>
        <v>NA</v>
      </c>
      <c r="V350" s="9"/>
      <c r="W350" s="10">
        <f t="shared" si="90"/>
        <v>163063.24</v>
      </c>
      <c r="X350" s="8" t="str">
        <f>IFERROR(W350/W444, "NA")</f>
        <v>NA</v>
      </c>
      <c r="Y350" s="9"/>
      <c r="Z350" s="7">
        <v>527724.24</v>
      </c>
      <c r="AA350" s="8" t="str">
        <f>IFERROR(Z350/Z444, "NA")</f>
        <v>NA</v>
      </c>
      <c r="AB350" s="9"/>
      <c r="AC350" s="10">
        <f t="shared" si="91"/>
        <v>30357.479999999981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10769.24</v>
      </c>
      <c r="L352" s="8" t="str">
        <f>IFERROR(K352/K444, "NA")</f>
        <v>NA</v>
      </c>
      <c r="M352" s="9"/>
      <c r="N352" s="10">
        <f t="shared" si="89"/>
        <v>10769.24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23375</v>
      </c>
      <c r="U352" s="8" t="str">
        <f>IFERROR(T352/T444, "NA")</f>
        <v>NA</v>
      </c>
      <c r="V352" s="9"/>
      <c r="W352" s="10">
        <f t="shared" si="90"/>
        <v>23375</v>
      </c>
      <c r="X352" s="8" t="str">
        <f>IFERROR(W352/W444, "NA")</f>
        <v>NA</v>
      </c>
      <c r="Y352" s="9"/>
      <c r="Z352" s="7">
        <v>105577</v>
      </c>
      <c r="AA352" s="8" t="str">
        <f>IFERROR(Z352/Z444, "NA")</f>
        <v>NA</v>
      </c>
      <c r="AB352" s="9"/>
      <c r="AC352" s="10">
        <f t="shared" si="91"/>
        <v>105577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5917.91</v>
      </c>
      <c r="F353" s="8" t="str">
        <f>IFERROR(E353/E444, "NA")</f>
        <v>NA</v>
      </c>
      <c r="G353" s="9"/>
      <c r="H353" s="10">
        <f t="shared" si="88"/>
        <v>5917.91</v>
      </c>
      <c r="I353" s="8" t="str">
        <f>IFERROR(H353/H444, "NA")</f>
        <v>NA</v>
      </c>
      <c r="J353" s="9"/>
      <c r="K353" s="7">
        <v>6616.94</v>
      </c>
      <c r="L353" s="8" t="str">
        <f>IFERROR(K353/K444, "NA")</f>
        <v>NA</v>
      </c>
      <c r="M353" s="9"/>
      <c r="N353" s="10">
        <f t="shared" si="89"/>
        <v>6616.94</v>
      </c>
      <c r="O353" s="8" t="str">
        <f>IFERROR(N353/N444, "NA")</f>
        <v>NA</v>
      </c>
      <c r="P353" s="9"/>
      <c r="Q353" s="7">
        <v>7499.8</v>
      </c>
      <c r="R353" s="8" t="str">
        <f>IFERROR(Q353/Q444, "NA")</f>
        <v>NA</v>
      </c>
      <c r="S353" s="9"/>
      <c r="T353" s="7">
        <v>53584.05</v>
      </c>
      <c r="U353" s="8" t="str">
        <f>IFERROR(T353/T444, "NA")</f>
        <v>NA</v>
      </c>
      <c r="V353" s="9"/>
      <c r="W353" s="10">
        <f t="shared" si="90"/>
        <v>46084.25</v>
      </c>
      <c r="X353" s="8" t="str">
        <f>IFERROR(W353/W444, "NA")</f>
        <v>NA</v>
      </c>
      <c r="Y353" s="9"/>
      <c r="Z353" s="7">
        <v>19700.259999999998</v>
      </c>
      <c r="AA353" s="8" t="str">
        <f>IFERROR(Z353/Z444, "NA")</f>
        <v>NA</v>
      </c>
      <c r="AB353" s="9"/>
      <c r="AC353" s="10">
        <f t="shared" si="91"/>
        <v>12200.46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2395.44</v>
      </c>
      <c r="C354" s="8" t="str">
        <f>IFERROR(B354/B444, "NA")</f>
        <v>NA</v>
      </c>
      <c r="D354" s="9"/>
      <c r="E354" s="7">
        <v>4717.05</v>
      </c>
      <c r="F354" s="8" t="str">
        <f>IFERROR(E354/E444, "NA")</f>
        <v>NA</v>
      </c>
      <c r="G354" s="9"/>
      <c r="H354" s="10">
        <f t="shared" si="88"/>
        <v>2321.61</v>
      </c>
      <c r="I354" s="8" t="str">
        <f>IFERROR(H354/H444, "NA")</f>
        <v>NA</v>
      </c>
      <c r="J354" s="9"/>
      <c r="K354" s="7">
        <v>5280.88</v>
      </c>
      <c r="L354" s="8" t="str">
        <f>IFERROR(K354/K444, "NA")</f>
        <v>NA</v>
      </c>
      <c r="M354" s="9"/>
      <c r="N354" s="10">
        <f t="shared" si="89"/>
        <v>2885.44</v>
      </c>
      <c r="O354" s="8" t="str">
        <f>IFERROR(N354/N444, "NA")</f>
        <v>NA</v>
      </c>
      <c r="P354" s="9"/>
      <c r="Q354" s="7">
        <v>41768.300000000003</v>
      </c>
      <c r="R354" s="8" t="str">
        <f>IFERROR(Q354/Q444, "NA")</f>
        <v>NA</v>
      </c>
      <c r="S354" s="9"/>
      <c r="T354" s="7">
        <v>55764.78</v>
      </c>
      <c r="U354" s="8" t="str">
        <f>IFERROR(T354/T444, "NA")</f>
        <v>NA</v>
      </c>
      <c r="V354" s="9"/>
      <c r="W354" s="10">
        <f t="shared" si="90"/>
        <v>13996.479999999996</v>
      </c>
      <c r="X354" s="8" t="str">
        <f>IFERROR(W354/W444, "NA")</f>
        <v>NA</v>
      </c>
      <c r="Y354" s="9"/>
      <c r="Z354" s="7">
        <v>47922.73</v>
      </c>
      <c r="AA354" s="8" t="str">
        <f>IFERROR(Z354/Z444, "NA")</f>
        <v>NA</v>
      </c>
      <c r="AB354" s="9"/>
      <c r="AC354" s="10">
        <f t="shared" si="91"/>
        <v>6154.43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190.8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89.199999999999989</v>
      </c>
      <c r="I355" s="8" t="str">
        <f>IFERROR(H355/H444, "NA")</f>
        <v>NA</v>
      </c>
      <c r="J355" s="9"/>
      <c r="K355" s="7">
        <v>275.60000000000002</v>
      </c>
      <c r="L355" s="8" t="str">
        <f>IFERROR(K355/K444, "NA")</f>
        <v>NA</v>
      </c>
      <c r="M355" s="9"/>
      <c r="N355" s="10">
        <f t="shared" si="89"/>
        <v>84.800000000000011</v>
      </c>
      <c r="O355" s="8" t="str">
        <f>IFERROR(N355/N444, "NA")</f>
        <v>NA</v>
      </c>
      <c r="P355" s="9"/>
      <c r="Q355" s="7">
        <v>2236.6</v>
      </c>
      <c r="R355" s="8" t="str">
        <f>IFERROR(Q355/Q444, "NA")</f>
        <v>NA</v>
      </c>
      <c r="S355" s="9"/>
      <c r="T355" s="7">
        <v>3010</v>
      </c>
      <c r="U355" s="8" t="str">
        <f>IFERROR(T355/T444, "NA")</f>
        <v>NA</v>
      </c>
      <c r="V355" s="9"/>
      <c r="W355" s="10">
        <f t="shared" si="90"/>
        <v>773.40000000000009</v>
      </c>
      <c r="X355" s="8" t="str">
        <f>IFERROR(W355/W444, "NA")</f>
        <v>NA</v>
      </c>
      <c r="Y355" s="9"/>
      <c r="Z355" s="7">
        <v>2365.92</v>
      </c>
      <c r="AA355" s="8" t="str">
        <f>IFERROR(Z355/Z444, "NA")</f>
        <v>NA</v>
      </c>
      <c r="AB355" s="9"/>
      <c r="AC355" s="10">
        <f t="shared" si="91"/>
        <v>129.32000000000016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3000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3187.5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-3000</v>
      </c>
      <c r="O356" s="8" t="str">
        <f>IFERROR(N356/N444, "NA")</f>
        <v>NA</v>
      </c>
      <c r="P356" s="9"/>
      <c r="Q356" s="7">
        <v>24375</v>
      </c>
      <c r="R356" s="8" t="str">
        <f>IFERROR(Q356/Q444, "NA")</f>
        <v>NA</v>
      </c>
      <c r="S356" s="9"/>
      <c r="T356" s="7">
        <v>61875</v>
      </c>
      <c r="U356" s="8" t="str">
        <f>IFERROR(T356/T444, "NA")</f>
        <v>NA</v>
      </c>
      <c r="V356" s="9"/>
      <c r="W356" s="10">
        <f t="shared" si="90"/>
        <v>37500</v>
      </c>
      <c r="X356" s="8" t="str">
        <f>IFERROR(W356/W444, "NA")</f>
        <v>NA</v>
      </c>
      <c r="Y356" s="9"/>
      <c r="Z356" s="7">
        <v>12800</v>
      </c>
      <c r="AA356" s="8" t="str">
        <f>IFERROR(Z356/Z444, "NA")</f>
        <v>NA</v>
      </c>
      <c r="AB356" s="9"/>
      <c r="AC356" s="10">
        <f t="shared" si="91"/>
        <v>-11575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3674.43</v>
      </c>
      <c r="C357" s="8" t="str">
        <f>IFERROR(B357/B444, "NA")</f>
        <v>NA</v>
      </c>
      <c r="D357" s="9"/>
      <c r="E357" s="7">
        <v>2546.7199999999998</v>
      </c>
      <c r="F357" s="8" t="str">
        <f>IFERROR(E357/E444, "NA")</f>
        <v>NA</v>
      </c>
      <c r="G357" s="9"/>
      <c r="H357" s="10">
        <f t="shared" si="88"/>
        <v>-1127.71</v>
      </c>
      <c r="I357" s="8" t="str">
        <f>IFERROR(H357/H444, "NA")</f>
        <v>NA</v>
      </c>
      <c r="J357" s="9"/>
      <c r="K357" s="7">
        <v>2976.76</v>
      </c>
      <c r="L357" s="8" t="str">
        <f>IFERROR(K357/K444, "NA")</f>
        <v>NA</v>
      </c>
      <c r="M357" s="9"/>
      <c r="N357" s="10">
        <f t="shared" si="89"/>
        <v>-697.66999999999962</v>
      </c>
      <c r="O357" s="8" t="str">
        <f>IFERROR(N357/N444, "NA")</f>
        <v>NA</v>
      </c>
      <c r="P357" s="9"/>
      <c r="Q357" s="7">
        <v>34963.26</v>
      </c>
      <c r="R357" s="8" t="str">
        <f>IFERROR(Q357/Q444, "NA")</f>
        <v>NA</v>
      </c>
      <c r="S357" s="9"/>
      <c r="T357" s="7">
        <v>27077.64</v>
      </c>
      <c r="U357" s="8" t="str">
        <f>IFERROR(T357/T444, "NA")</f>
        <v>NA</v>
      </c>
      <c r="V357" s="9"/>
      <c r="W357" s="10">
        <f t="shared" si="90"/>
        <v>-7885.6200000000026</v>
      </c>
      <c r="X357" s="8" t="str">
        <f>IFERROR(W357/W444, "NA")</f>
        <v>NA</v>
      </c>
      <c r="Y357" s="9"/>
      <c r="Z357" s="7">
        <v>25774.75</v>
      </c>
      <c r="AA357" s="8" t="str">
        <f>IFERROR(Z357/Z444, "NA")</f>
        <v>NA</v>
      </c>
      <c r="AB357" s="9"/>
      <c r="AC357" s="10">
        <f t="shared" si="91"/>
        <v>-9188.510000000002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52928.900000000009</v>
      </c>
      <c r="C358" s="15" t="str">
        <f>IFERROR(B358/B444, "NA")</f>
        <v>NA</v>
      </c>
      <c r="D358" s="2"/>
      <c r="E358" s="14">
        <f>IFERROR(E349+E350+E351+E352+E353+E354+E355+E356+E357, "NA")</f>
        <v>81764.180000000008</v>
      </c>
      <c r="F358" s="15" t="str">
        <f>IFERROR(E358/E444, "NA")</f>
        <v>NA</v>
      </c>
      <c r="G358" s="2"/>
      <c r="H358" s="14">
        <f t="shared" si="88"/>
        <v>28835.279999999999</v>
      </c>
      <c r="I358" s="15" t="str">
        <f>IFERROR(H358/H444, "NA")</f>
        <v>NA</v>
      </c>
      <c r="J358" s="2"/>
      <c r="K358" s="14">
        <f>IFERROR(K349+K350+K351+K352+K353+K354+K355+K356+K357, "NA")</f>
        <v>82342.44</v>
      </c>
      <c r="L358" s="15" t="str">
        <f>IFERROR(K358/K444, "NA")</f>
        <v>NA</v>
      </c>
      <c r="M358" s="2"/>
      <c r="N358" s="14">
        <f t="shared" si="89"/>
        <v>29413.539999999994</v>
      </c>
      <c r="O358" s="15" t="str">
        <f>IFERROR(N358/N444, "NA")</f>
        <v>NA</v>
      </c>
      <c r="P358" s="2"/>
      <c r="Q358" s="14">
        <f>IFERROR(Q349+Q350+Q351+Q352+Q353+Q354+Q355+Q356+Q357, "NA")</f>
        <v>608209.72</v>
      </c>
      <c r="R358" s="15" t="str">
        <f>IFERROR(Q358/Q444, "NA")</f>
        <v>NA</v>
      </c>
      <c r="S358" s="2"/>
      <c r="T358" s="14">
        <f>IFERROR(T349+T350+T351+T352+T353+T354+T355+T356+T357, "NA")</f>
        <v>885116.47000000009</v>
      </c>
      <c r="U358" s="15" t="str">
        <f>IFERROR(T358/T444, "NA")</f>
        <v>NA</v>
      </c>
      <c r="V358" s="2"/>
      <c r="W358" s="14">
        <f t="shared" si="90"/>
        <v>276906.75000000012</v>
      </c>
      <c r="X358" s="15" t="str">
        <f>IFERROR(W358/W444, "NA")</f>
        <v>NA</v>
      </c>
      <c r="Y358" s="2"/>
      <c r="Z358" s="14">
        <f>IFERROR(Z349+Z350+Z351+Z352+Z353+Z354+Z355+Z356+Z357, "NA")</f>
        <v>741864.9</v>
      </c>
      <c r="AA358" s="15" t="str">
        <f>IFERROR(Z358/Z444, "NA")</f>
        <v>NA</v>
      </c>
      <c r="AB358" s="2"/>
      <c r="AC358" s="14">
        <f t="shared" si="91"/>
        <v>133655.18000000005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14500</v>
      </c>
      <c r="U360" s="8" t="str">
        <f>IFERROR(T360/T444, "NA")</f>
        <v>NA</v>
      </c>
      <c r="V360" s="9"/>
      <c r="W360" s="10">
        <f t="shared" ref="W360:W383" si="94">IFERROR(-(Q360-T360), "NA")</f>
        <v>14500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0</v>
      </c>
      <c r="L361" s="8" t="str">
        <f>IFERROR(K361/K444, "NA")</f>
        <v>NA</v>
      </c>
      <c r="M361" s="9"/>
      <c r="N361" s="10">
        <f t="shared" si="93"/>
        <v>0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3606.01</v>
      </c>
      <c r="AA361" s="8" t="str">
        <f>IFERROR(Z361/Z444, "NA")</f>
        <v>NA</v>
      </c>
      <c r="AB361" s="9"/>
      <c r="AC361" s="10">
        <f t="shared" si="95"/>
        <v>3606.01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812.54</v>
      </c>
      <c r="C362" s="8" t="str">
        <f>IFERROR(B362/B444, "NA")</f>
        <v>NA</v>
      </c>
      <c r="D362" s="9"/>
      <c r="E362" s="7">
        <v>500</v>
      </c>
      <c r="F362" s="8" t="str">
        <f>IFERROR(E362/E444, "NA")</f>
        <v>NA</v>
      </c>
      <c r="G362" s="9"/>
      <c r="H362" s="10">
        <f t="shared" si="92"/>
        <v>-312.53999999999996</v>
      </c>
      <c r="I362" s="8" t="str">
        <f>IFERROR(H362/H444, "NA")</f>
        <v>NA</v>
      </c>
      <c r="J362" s="9"/>
      <c r="K362" s="7">
        <v>816.96</v>
      </c>
      <c r="L362" s="8" t="str">
        <f>IFERROR(K362/K444, "NA")</f>
        <v>NA</v>
      </c>
      <c r="M362" s="9"/>
      <c r="N362" s="10">
        <f t="shared" si="93"/>
        <v>4.4200000000000728</v>
      </c>
      <c r="O362" s="8" t="str">
        <f>IFERROR(N362/N444, "NA")</f>
        <v>NA</v>
      </c>
      <c r="P362" s="9"/>
      <c r="Q362" s="7">
        <v>7712.7</v>
      </c>
      <c r="R362" s="8" t="str">
        <f>IFERROR(Q362/Q444, "NA")</f>
        <v>NA</v>
      </c>
      <c r="S362" s="9"/>
      <c r="T362" s="7">
        <v>4500</v>
      </c>
      <c r="U362" s="8" t="str">
        <f>IFERROR(T362/T444, "NA")</f>
        <v>NA</v>
      </c>
      <c r="V362" s="9"/>
      <c r="W362" s="10">
        <f t="shared" si="94"/>
        <v>-3212.7</v>
      </c>
      <c r="X362" s="8" t="str">
        <f>IFERROR(W362/W444, "NA")</f>
        <v>NA</v>
      </c>
      <c r="Y362" s="9"/>
      <c r="Z362" s="7">
        <v>6056.59</v>
      </c>
      <c r="AA362" s="8" t="str">
        <f>IFERROR(Z362/Z444, "NA")</f>
        <v>NA</v>
      </c>
      <c r="AB362" s="9"/>
      <c r="AC362" s="10">
        <f t="shared" si="95"/>
        <v>-1656.1099999999997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853.5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-653.5</v>
      </c>
      <c r="I363" s="8" t="str">
        <f>IFERROR(H363/H444, "NA")</f>
        <v>NA</v>
      </c>
      <c r="J363" s="9"/>
      <c r="K363" s="7">
        <v>899.3</v>
      </c>
      <c r="L363" s="8" t="str">
        <f>IFERROR(K363/K444, "NA")</f>
        <v>NA</v>
      </c>
      <c r="M363" s="9"/>
      <c r="N363" s="10">
        <f t="shared" si="93"/>
        <v>45.799999999999955</v>
      </c>
      <c r="O363" s="8" t="str">
        <f>IFERROR(N363/N444, "NA")</f>
        <v>NA</v>
      </c>
      <c r="P363" s="9"/>
      <c r="Q363" s="7">
        <v>9260.98</v>
      </c>
      <c r="R363" s="8" t="str">
        <f>IFERROR(Q363/Q444, "NA")</f>
        <v>NA</v>
      </c>
      <c r="S363" s="9"/>
      <c r="T363" s="7">
        <v>2150</v>
      </c>
      <c r="U363" s="8" t="str">
        <f>IFERROR(T363/T444, "NA")</f>
        <v>NA</v>
      </c>
      <c r="V363" s="9"/>
      <c r="W363" s="10">
        <f t="shared" si="94"/>
        <v>-7110.98</v>
      </c>
      <c r="X363" s="8" t="str">
        <f>IFERROR(W363/W444, "NA")</f>
        <v>NA</v>
      </c>
      <c r="Y363" s="9"/>
      <c r="Z363" s="7">
        <v>18861.560000000001</v>
      </c>
      <c r="AA363" s="8" t="str">
        <f>IFERROR(Z363/Z444, "NA")</f>
        <v>NA</v>
      </c>
      <c r="AB363" s="9"/>
      <c r="AC363" s="10">
        <f t="shared" si="95"/>
        <v>9600.5800000000017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247.36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-247.36</v>
      </c>
      <c r="I364" s="8" t="str">
        <f>IFERROR(H364/H444, "NA")</f>
        <v>NA</v>
      </c>
      <c r="J364" s="9"/>
      <c r="K364" s="7">
        <v>2497.0500000000002</v>
      </c>
      <c r="L364" s="8" t="str">
        <f>IFERROR(K364/K444, "NA")</f>
        <v>NA</v>
      </c>
      <c r="M364" s="9"/>
      <c r="N364" s="10">
        <f t="shared" si="93"/>
        <v>2249.69</v>
      </c>
      <c r="O364" s="8" t="str">
        <f>IFERROR(N364/N444, "NA")</f>
        <v>NA</v>
      </c>
      <c r="P364" s="9"/>
      <c r="Q364" s="7">
        <v>6127.91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-6127.91</v>
      </c>
      <c r="X364" s="8" t="str">
        <f>IFERROR(W364/W444, "NA")</f>
        <v>NA</v>
      </c>
      <c r="Y364" s="9"/>
      <c r="Z364" s="7">
        <v>12203.82</v>
      </c>
      <c r="AA364" s="8" t="str">
        <f>IFERROR(Z364/Z444, "NA")</f>
        <v>NA</v>
      </c>
      <c r="AB364" s="9"/>
      <c r="AC364" s="10">
        <f t="shared" si="95"/>
        <v>6075.91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771.96</v>
      </c>
      <c r="C365" s="8" t="str">
        <f>IFERROR(B365/B444, "NA")</f>
        <v>NA</v>
      </c>
      <c r="D365" s="9"/>
      <c r="E365" s="7">
        <v>210</v>
      </c>
      <c r="F365" s="8" t="str">
        <f>IFERROR(E365/E444, "NA")</f>
        <v>NA</v>
      </c>
      <c r="G365" s="9"/>
      <c r="H365" s="10">
        <f t="shared" si="92"/>
        <v>-561.96</v>
      </c>
      <c r="I365" s="8" t="str">
        <f>IFERROR(H365/H444, "NA")</f>
        <v>NA</v>
      </c>
      <c r="J365" s="9"/>
      <c r="K365" s="7">
        <v>184</v>
      </c>
      <c r="L365" s="8" t="str">
        <f>IFERROR(K365/K444, "NA")</f>
        <v>NA</v>
      </c>
      <c r="M365" s="9"/>
      <c r="N365" s="10">
        <f t="shared" si="93"/>
        <v>-587.96</v>
      </c>
      <c r="O365" s="8" t="str">
        <f>IFERROR(N365/N444, "NA")</f>
        <v>NA</v>
      </c>
      <c r="P365" s="9"/>
      <c r="Q365" s="7">
        <v>5302.6</v>
      </c>
      <c r="R365" s="8" t="str">
        <f>IFERROR(Q365/Q444, "NA")</f>
        <v>NA</v>
      </c>
      <c r="S365" s="9"/>
      <c r="T365" s="7">
        <v>2100</v>
      </c>
      <c r="U365" s="8" t="str">
        <f>IFERROR(T365/T444, "NA")</f>
        <v>NA</v>
      </c>
      <c r="V365" s="9"/>
      <c r="W365" s="10">
        <f t="shared" si="94"/>
        <v>-3202.6000000000004</v>
      </c>
      <c r="X365" s="8" t="str">
        <f>IFERROR(W365/W444, "NA")</f>
        <v>NA</v>
      </c>
      <c r="Y365" s="9"/>
      <c r="Z365" s="7">
        <v>184</v>
      </c>
      <c r="AA365" s="8" t="str">
        <f>IFERROR(Z365/Z444, "NA")</f>
        <v>NA</v>
      </c>
      <c r="AB365" s="9"/>
      <c r="AC365" s="10">
        <f t="shared" si="95"/>
        <v>-5118.6000000000004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285.48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59.519999999999982</v>
      </c>
      <c r="I366" s="8" t="str">
        <f>IFERROR(H366/H444, "NA")</f>
        <v>NA</v>
      </c>
      <c r="J366" s="9"/>
      <c r="K366" s="7">
        <v>1263.9100000000001</v>
      </c>
      <c r="L366" s="8" t="str">
        <f>IFERROR(K366/K444, "NA")</f>
        <v>NA</v>
      </c>
      <c r="M366" s="9"/>
      <c r="N366" s="10">
        <f t="shared" si="93"/>
        <v>978.43000000000006</v>
      </c>
      <c r="O366" s="8" t="str">
        <f>IFERROR(N366/N444, "NA")</f>
        <v>NA</v>
      </c>
      <c r="P366" s="9"/>
      <c r="Q366" s="7">
        <v>4170.95</v>
      </c>
      <c r="R366" s="8" t="str">
        <f>IFERROR(Q366/Q444, "NA")</f>
        <v>NA</v>
      </c>
      <c r="S366" s="9"/>
      <c r="T366" s="7">
        <v>3105</v>
      </c>
      <c r="U366" s="8" t="str">
        <f>IFERROR(T366/T444, "NA")</f>
        <v>NA</v>
      </c>
      <c r="V366" s="9"/>
      <c r="W366" s="10">
        <f t="shared" si="94"/>
        <v>-1065.9499999999998</v>
      </c>
      <c r="X366" s="8" t="str">
        <f>IFERROR(W366/W444, "NA")</f>
        <v>NA</v>
      </c>
      <c r="Y366" s="9"/>
      <c r="Z366" s="7">
        <v>1263.9100000000001</v>
      </c>
      <c r="AA366" s="8" t="str">
        <f>IFERROR(Z366/Z444, "NA")</f>
        <v>NA</v>
      </c>
      <c r="AB366" s="9"/>
      <c r="AC366" s="10">
        <f t="shared" si="95"/>
        <v>-2907.04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8539.77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-8539.77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-8539.77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2970.84</v>
      </c>
      <c r="C368" s="15" t="str">
        <f>IFERROR(B368/B444, "NA")</f>
        <v>NA</v>
      </c>
      <c r="D368" s="2"/>
      <c r="E368" s="14">
        <f>IFERROR(E360+E361+E362+E363+E364+E365+E366+E367, "NA")</f>
        <v>2755</v>
      </c>
      <c r="F368" s="15" t="str">
        <f>IFERROR(E368/E444, "NA")</f>
        <v>NA</v>
      </c>
      <c r="G368" s="2"/>
      <c r="H368" s="14">
        <f t="shared" si="92"/>
        <v>-215.84000000000015</v>
      </c>
      <c r="I368" s="15" t="str">
        <f>IFERROR(H368/H444, "NA")</f>
        <v>NA</v>
      </c>
      <c r="J368" s="2"/>
      <c r="K368" s="14">
        <f>IFERROR(K360+K361+K362+K363+K364+K365+K366+K367, "NA")</f>
        <v>5661.22</v>
      </c>
      <c r="L368" s="15" t="str">
        <f>IFERROR(K368/K444, "NA")</f>
        <v>NA</v>
      </c>
      <c r="M368" s="2"/>
      <c r="N368" s="14">
        <f t="shared" si="93"/>
        <v>2690.38</v>
      </c>
      <c r="O368" s="15" t="str">
        <f>IFERROR(N368/N444, "NA")</f>
        <v>NA</v>
      </c>
      <c r="P368" s="2"/>
      <c r="Q368" s="14">
        <f>IFERROR(Q360+Q361+Q362+Q363+Q364+Q365+Q366+Q367, "NA")</f>
        <v>41114.910000000003</v>
      </c>
      <c r="R368" s="15" t="str">
        <f>IFERROR(Q368/Q444, "NA")</f>
        <v>NA</v>
      </c>
      <c r="S368" s="2"/>
      <c r="T368" s="14">
        <f>IFERROR(T360+T361+T362+T363+T364+T365+T366+T367, "NA")</f>
        <v>26355</v>
      </c>
      <c r="U368" s="15" t="str">
        <f>IFERROR(T368/T444, "NA")</f>
        <v>NA</v>
      </c>
      <c r="V368" s="2"/>
      <c r="W368" s="14">
        <f t="shared" si="94"/>
        <v>-14759.910000000003</v>
      </c>
      <c r="X368" s="15" t="str">
        <f>IFERROR(W368/W444, "NA")</f>
        <v>NA</v>
      </c>
      <c r="Y368" s="2"/>
      <c r="Z368" s="14">
        <f>IFERROR(Z360+Z361+Z362+Z363+Z364+Z365+Z366+Z367, "NA")</f>
        <v>42175.890000000007</v>
      </c>
      <c r="AA368" s="15" t="str">
        <f>IFERROR(Z368/Z444, "NA")</f>
        <v>NA</v>
      </c>
      <c r="AB368" s="2"/>
      <c r="AC368" s="14">
        <f t="shared" si="95"/>
        <v>1060.9800000000032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993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-358</v>
      </c>
      <c r="I370" s="8" t="str">
        <f>IFERROR(H370/H444, "NA")</f>
        <v>NA</v>
      </c>
      <c r="J370" s="9"/>
      <c r="K370" s="7">
        <v>103</v>
      </c>
      <c r="L370" s="8" t="str">
        <f>IFERROR(K370/K444, "NA")</f>
        <v>NA</v>
      </c>
      <c r="M370" s="9"/>
      <c r="N370" s="10">
        <f t="shared" si="93"/>
        <v>-890</v>
      </c>
      <c r="O370" s="8" t="str">
        <f>IFERROR(N370/N444, "NA")</f>
        <v>NA</v>
      </c>
      <c r="P370" s="9"/>
      <c r="Q370" s="7">
        <v>2962.49</v>
      </c>
      <c r="R370" s="8" t="str">
        <f>IFERROR(Q370/Q444, "NA")</f>
        <v>NA</v>
      </c>
      <c r="S370" s="9"/>
      <c r="T370" s="7">
        <v>6350</v>
      </c>
      <c r="U370" s="8" t="str">
        <f>IFERROR(T370/T444, "NA")</f>
        <v>NA</v>
      </c>
      <c r="V370" s="9"/>
      <c r="W370" s="10">
        <f t="shared" si="94"/>
        <v>3387.51</v>
      </c>
      <c r="X370" s="8" t="str">
        <f>IFERROR(W370/W444, "NA")</f>
        <v>NA</v>
      </c>
      <c r="Y370" s="9"/>
      <c r="Z370" s="7">
        <v>5817.27</v>
      </c>
      <c r="AA370" s="8" t="str">
        <f>IFERROR(Z370/Z444, "NA")</f>
        <v>NA</v>
      </c>
      <c r="AB370" s="9"/>
      <c r="AC370" s="10">
        <f t="shared" si="95"/>
        <v>2854.7800000000007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222.58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-122.58000000000001</v>
      </c>
      <c r="I371" s="8" t="str">
        <f>IFERROR(H371/H444, "NA")</f>
        <v>NA</v>
      </c>
      <c r="J371" s="9"/>
      <c r="K371" s="7">
        <v>226.72</v>
      </c>
      <c r="L371" s="8" t="str">
        <f>IFERROR(K371/K444, "NA")</f>
        <v>NA</v>
      </c>
      <c r="M371" s="9"/>
      <c r="N371" s="10">
        <f t="shared" si="93"/>
        <v>4.1399999999999864</v>
      </c>
      <c r="O371" s="8" t="str">
        <f>IFERROR(N371/N444, "NA")</f>
        <v>NA</v>
      </c>
      <c r="P371" s="9"/>
      <c r="Q371" s="7">
        <v>5255.95</v>
      </c>
      <c r="R371" s="8" t="str">
        <f>IFERROR(Q371/Q444, "NA")</f>
        <v>NA</v>
      </c>
      <c r="S371" s="9"/>
      <c r="T371" s="7">
        <v>1000</v>
      </c>
      <c r="U371" s="8" t="str">
        <f>IFERROR(T371/T444, "NA")</f>
        <v>NA</v>
      </c>
      <c r="V371" s="9"/>
      <c r="W371" s="10">
        <f t="shared" si="94"/>
        <v>-4255.95</v>
      </c>
      <c r="X371" s="8" t="str">
        <f>IFERROR(W371/W444, "NA")</f>
        <v>NA</v>
      </c>
      <c r="Y371" s="9"/>
      <c r="Z371" s="7">
        <v>4775.6899999999996</v>
      </c>
      <c r="AA371" s="8" t="str">
        <f>IFERROR(Z371/Z444, "NA")</f>
        <v>NA</v>
      </c>
      <c r="AB371" s="9"/>
      <c r="AC371" s="10">
        <f t="shared" si="95"/>
        <v>-480.26000000000022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1377.17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-1377.17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-1377.17</v>
      </c>
      <c r="O372" s="8" t="str">
        <f>IFERROR(N372/N444, "NA")</f>
        <v>NA</v>
      </c>
      <c r="P372" s="9"/>
      <c r="Q372" s="7">
        <v>4614.53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-1114.5299999999997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-1164.5299999999997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789.38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-464.38</v>
      </c>
      <c r="I373" s="8" t="str">
        <f>IFERROR(H373/H444, "NA")</f>
        <v>NA</v>
      </c>
      <c r="J373" s="9"/>
      <c r="K373" s="7">
        <v>312</v>
      </c>
      <c r="L373" s="8" t="str">
        <f>IFERROR(K373/K444, "NA")</f>
        <v>NA</v>
      </c>
      <c r="M373" s="9"/>
      <c r="N373" s="10">
        <f t="shared" si="93"/>
        <v>-477.38</v>
      </c>
      <c r="O373" s="8" t="str">
        <f>IFERROR(N373/N444, "NA")</f>
        <v>NA</v>
      </c>
      <c r="P373" s="9"/>
      <c r="Q373" s="7">
        <v>7096.88</v>
      </c>
      <c r="R373" s="8" t="str">
        <f>IFERROR(Q373/Q444, "NA")</f>
        <v>NA</v>
      </c>
      <c r="S373" s="9"/>
      <c r="T373" s="7">
        <v>3250</v>
      </c>
      <c r="U373" s="8" t="str">
        <f>IFERROR(T373/T444, "NA")</f>
        <v>NA</v>
      </c>
      <c r="V373" s="9"/>
      <c r="W373" s="10">
        <f t="shared" si="94"/>
        <v>-3846.88</v>
      </c>
      <c r="X373" s="8" t="str">
        <f>IFERROR(W373/W444, "NA")</f>
        <v>NA</v>
      </c>
      <c r="Y373" s="9"/>
      <c r="Z373" s="7">
        <v>7049.25</v>
      </c>
      <c r="AA373" s="8" t="str">
        <f>IFERROR(Z373/Z444, "NA")</f>
        <v>NA</v>
      </c>
      <c r="AB373" s="9"/>
      <c r="AC373" s="10">
        <f t="shared" si="95"/>
        <v>-47.630000000000109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2149.5300000000002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-249.5300000000002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-252.52000000000021</v>
      </c>
      <c r="O374" s="8" t="str">
        <f>IFERROR(N374/N444, "NA")</f>
        <v>NA</v>
      </c>
      <c r="P374" s="9"/>
      <c r="Q374" s="7">
        <v>20331.66</v>
      </c>
      <c r="R374" s="8" t="str">
        <f>IFERROR(Q374/Q444, "NA")</f>
        <v>NA</v>
      </c>
      <c r="S374" s="9"/>
      <c r="T374" s="7">
        <v>19000</v>
      </c>
      <c r="U374" s="8" t="str">
        <f>IFERROR(T374/T444, "NA")</f>
        <v>NA</v>
      </c>
      <c r="V374" s="9"/>
      <c r="W374" s="10">
        <f t="shared" si="94"/>
        <v>-1331.6599999999999</v>
      </c>
      <c r="X374" s="8" t="str">
        <f>IFERROR(W374/W444, "NA")</f>
        <v>NA</v>
      </c>
      <c r="Y374" s="9"/>
      <c r="Z374" s="7">
        <v>18311.75</v>
      </c>
      <c r="AA374" s="8" t="str">
        <f>IFERROR(Z374/Z444, "NA")</f>
        <v>NA</v>
      </c>
      <c r="AB374" s="9"/>
      <c r="AC374" s="10">
        <f t="shared" si="95"/>
        <v>-2019.9099999999999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230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-230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-230</v>
      </c>
      <c r="O375" s="8" t="str">
        <f>IFERROR(N375/N444, "NA")</f>
        <v>NA</v>
      </c>
      <c r="P375" s="9"/>
      <c r="Q375" s="7">
        <v>4164.08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-4164.08</v>
      </c>
      <c r="X375" s="8" t="str">
        <f>IFERROR(W375/W444, "NA")</f>
        <v>NA</v>
      </c>
      <c r="Y375" s="9"/>
      <c r="Z375" s="7">
        <v>1344.99</v>
      </c>
      <c r="AA375" s="8" t="str">
        <f>IFERROR(Z375/Z444, "NA")</f>
        <v>NA</v>
      </c>
      <c r="AB375" s="9"/>
      <c r="AC375" s="10">
        <f t="shared" si="95"/>
        <v>-2819.09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510.8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-510.8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-510.8</v>
      </c>
      <c r="O376" s="8" t="str">
        <f>IFERROR(N376/N444, "NA")</f>
        <v>NA</v>
      </c>
      <c r="P376" s="9"/>
      <c r="Q376" s="7">
        <v>-1390.08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1390.08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1390.08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7581.41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888.92000000000007</v>
      </c>
      <c r="I378" s="8" t="str">
        <f>IFERROR(H378/H444, "NA")</f>
        <v>NA</v>
      </c>
      <c r="J378" s="9"/>
      <c r="K378" s="7">
        <v>7460.38</v>
      </c>
      <c r="L378" s="8" t="str">
        <f>IFERROR(K378/K444, "NA")</f>
        <v>NA</v>
      </c>
      <c r="M378" s="9"/>
      <c r="N378" s="10">
        <f t="shared" si="93"/>
        <v>-121.02999999999975</v>
      </c>
      <c r="O378" s="8" t="str">
        <f>IFERROR(N378/N444, "NA")</f>
        <v>NA</v>
      </c>
      <c r="P378" s="9"/>
      <c r="Q378" s="7">
        <v>94753.93</v>
      </c>
      <c r="R378" s="8" t="str">
        <f>IFERROR(Q378/Q444, "NA")</f>
        <v>NA</v>
      </c>
      <c r="S378" s="9"/>
      <c r="T378" s="7">
        <v>84703.3</v>
      </c>
      <c r="U378" s="8" t="str">
        <f>IFERROR(T378/T444, "NA")</f>
        <v>NA</v>
      </c>
      <c r="V378" s="9"/>
      <c r="W378" s="10">
        <f t="shared" si="94"/>
        <v>-10050.62999999999</v>
      </c>
      <c r="X378" s="8" t="str">
        <f>IFERROR(W378/W444, "NA")</f>
        <v>NA</v>
      </c>
      <c r="Y378" s="9"/>
      <c r="Z378" s="7">
        <v>66180.33</v>
      </c>
      <c r="AA378" s="8" t="str">
        <f>IFERROR(Z378/Z444, "NA")</f>
        <v>NA</v>
      </c>
      <c r="AB378" s="9"/>
      <c r="AC378" s="10">
        <f t="shared" si="95"/>
        <v>-28573.599999999991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438.33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-238.32999999999998</v>
      </c>
      <c r="I379" s="8" t="str">
        <f>IFERROR(H379/H444, "NA")</f>
        <v>NA</v>
      </c>
      <c r="J379" s="9"/>
      <c r="K379" s="7">
        <v>1381.48</v>
      </c>
      <c r="L379" s="8" t="str">
        <f>IFERROR(K379/K444, "NA")</f>
        <v>NA</v>
      </c>
      <c r="M379" s="9"/>
      <c r="N379" s="10">
        <f t="shared" si="93"/>
        <v>943.15000000000009</v>
      </c>
      <c r="O379" s="8" t="str">
        <f>IFERROR(N379/N444, "NA")</f>
        <v>NA</v>
      </c>
      <c r="P379" s="9"/>
      <c r="Q379" s="7">
        <v>7455.42</v>
      </c>
      <c r="R379" s="8" t="str">
        <f>IFERROR(Q379/Q444, "NA")</f>
        <v>NA</v>
      </c>
      <c r="S379" s="9"/>
      <c r="T379" s="7">
        <v>2000</v>
      </c>
      <c r="U379" s="8" t="str">
        <f>IFERROR(T379/T444, "NA")</f>
        <v>NA</v>
      </c>
      <c r="V379" s="9"/>
      <c r="W379" s="10">
        <f t="shared" si="94"/>
        <v>-5455.42</v>
      </c>
      <c r="X379" s="8" t="str">
        <f>IFERROR(W379/W444, "NA")</f>
        <v>NA</v>
      </c>
      <c r="Y379" s="9"/>
      <c r="Z379" s="7">
        <v>5108.51</v>
      </c>
      <c r="AA379" s="8" t="str">
        <f>IFERROR(Z379/Z444, "NA")</f>
        <v>NA</v>
      </c>
      <c r="AB379" s="9"/>
      <c r="AC379" s="10">
        <f t="shared" si="95"/>
        <v>-2346.91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-300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-300</v>
      </c>
      <c r="O380" s="8" t="str">
        <f>IFERROR(N380/N444, "NA")</f>
        <v>NA</v>
      </c>
      <c r="P380" s="9"/>
      <c r="Q380" s="7">
        <v>116500</v>
      </c>
      <c r="R380" s="8" t="str">
        <f>IFERROR(Q380/Q444, "NA")</f>
        <v>NA</v>
      </c>
      <c r="S380" s="9"/>
      <c r="T380" s="7">
        <v>115000</v>
      </c>
      <c r="U380" s="8" t="str">
        <f>IFERROR(T380/T444, "NA")</f>
        <v>NA</v>
      </c>
      <c r="V380" s="9"/>
      <c r="W380" s="10">
        <f t="shared" si="94"/>
        <v>-1500</v>
      </c>
      <c r="X380" s="8" t="str">
        <f>IFERROR(W380/W444, "NA")</f>
        <v>NA</v>
      </c>
      <c r="Y380" s="9"/>
      <c r="Z380" s="7">
        <v>115000</v>
      </c>
      <c r="AA380" s="8" t="str">
        <f>IFERROR(Z380/Z444, "NA")</f>
        <v>NA</v>
      </c>
      <c r="AB380" s="9"/>
      <c r="AC380" s="10">
        <f t="shared" si="95"/>
        <v>-1500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4000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0</v>
      </c>
      <c r="I381" s="8" t="str">
        <f>IFERROR(H381/H444, "NA")</f>
        <v>NA</v>
      </c>
      <c r="J381" s="9"/>
      <c r="K381" s="7">
        <v>34162.1</v>
      </c>
      <c r="L381" s="8" t="str">
        <f>IFERROR(K381/K444, "NA")</f>
        <v>NA</v>
      </c>
      <c r="M381" s="9"/>
      <c r="N381" s="10">
        <f t="shared" si="93"/>
        <v>30162.1</v>
      </c>
      <c r="O381" s="8" t="str">
        <f>IFERROR(N381/N444, "NA")</f>
        <v>NA</v>
      </c>
      <c r="P381" s="9"/>
      <c r="Q381" s="7">
        <v>54365.26</v>
      </c>
      <c r="R381" s="8" t="str">
        <f>IFERROR(Q381/Q444, "NA")</f>
        <v>NA</v>
      </c>
      <c r="S381" s="9"/>
      <c r="T381" s="7">
        <v>40000</v>
      </c>
      <c r="U381" s="8" t="str">
        <f>IFERROR(T381/T444, "NA")</f>
        <v>NA</v>
      </c>
      <c r="V381" s="9"/>
      <c r="W381" s="10">
        <f t="shared" si="94"/>
        <v>-14365.260000000002</v>
      </c>
      <c r="X381" s="8" t="str">
        <f>IFERROR(W381/W444, "NA")</f>
        <v>NA</v>
      </c>
      <c r="Y381" s="9"/>
      <c r="Z381" s="7">
        <v>133386.17000000001</v>
      </c>
      <c r="AA381" s="8" t="str">
        <f>IFERROR(Z381/Z444, "NA")</f>
        <v>NA</v>
      </c>
      <c r="AB381" s="9"/>
      <c r="AC381" s="10">
        <f t="shared" si="95"/>
        <v>79020.91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45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750</v>
      </c>
      <c r="I382" s="8" t="str">
        <f>IFERROR(H382/H444, "NA")</f>
        <v>NA</v>
      </c>
      <c r="J382" s="9"/>
      <c r="K382" s="7">
        <v>505.62</v>
      </c>
      <c r="L382" s="8" t="str">
        <f>IFERROR(K382/K444, "NA")</f>
        <v>NA</v>
      </c>
      <c r="M382" s="9"/>
      <c r="N382" s="10">
        <f t="shared" si="93"/>
        <v>460.62</v>
      </c>
      <c r="O382" s="8" t="str">
        <f>IFERROR(N382/N444, "NA")</f>
        <v>NA</v>
      </c>
      <c r="P382" s="9"/>
      <c r="Q382" s="7">
        <v>5438.62</v>
      </c>
      <c r="R382" s="8" t="str">
        <f>IFERROR(Q382/Q444, "NA")</f>
        <v>NA</v>
      </c>
      <c r="S382" s="9"/>
      <c r="T382" s="7">
        <v>7950</v>
      </c>
      <c r="U382" s="8" t="str">
        <f>IFERROR(T382/T444, "NA")</f>
        <v>NA</v>
      </c>
      <c r="V382" s="9"/>
      <c r="W382" s="10">
        <f t="shared" si="94"/>
        <v>2511.38</v>
      </c>
      <c r="X382" s="8" t="str">
        <f>IFERROR(W382/W444, "NA")</f>
        <v>NA</v>
      </c>
      <c r="Y382" s="9"/>
      <c r="Z382" s="7">
        <v>3012.87</v>
      </c>
      <c r="AA382" s="8" t="str">
        <f>IFERROR(Z382/Z444, "NA")</f>
        <v>NA</v>
      </c>
      <c r="AB382" s="9"/>
      <c r="AC382" s="10">
        <f t="shared" si="95"/>
        <v>-2425.75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2036.87</v>
      </c>
      <c r="C385" s="8" t="str">
        <f>IFERROR(B385/B444, "NA")</f>
        <v>NA</v>
      </c>
      <c r="D385" s="9"/>
      <c r="E385" s="7">
        <v>1343.33</v>
      </c>
      <c r="F385" s="8" t="str">
        <f>IFERROR(E385/E444, "NA")</f>
        <v>NA</v>
      </c>
      <c r="G385" s="9"/>
      <c r="H385" s="10">
        <f>IFERROR(-(B385-E385), "NA")</f>
        <v>-693.54</v>
      </c>
      <c r="I385" s="8" t="str">
        <f>IFERROR(H385/H444, "NA")</f>
        <v>NA</v>
      </c>
      <c r="J385" s="9"/>
      <c r="K385" s="7">
        <v>7234.68</v>
      </c>
      <c r="L385" s="8" t="str">
        <f>IFERROR(K385/K444, "NA")</f>
        <v>NA</v>
      </c>
      <c r="M385" s="9"/>
      <c r="N385" s="10">
        <f>IFERROR(-(B385-K385), "NA")</f>
        <v>5197.8100000000004</v>
      </c>
      <c r="O385" s="8" t="str">
        <f>IFERROR(N385/N444, "NA")</f>
        <v>NA</v>
      </c>
      <c r="P385" s="9"/>
      <c r="Q385" s="7">
        <v>24325.88</v>
      </c>
      <c r="R385" s="8" t="str">
        <f>IFERROR(Q385/Q444, "NA")</f>
        <v>NA</v>
      </c>
      <c r="S385" s="9"/>
      <c r="T385" s="7">
        <v>23215.88</v>
      </c>
      <c r="U385" s="8" t="str">
        <f>IFERROR(T385/T444, "NA")</f>
        <v>NA</v>
      </c>
      <c r="V385" s="9"/>
      <c r="W385" s="10">
        <f>IFERROR(-(Q385-T385), "NA")</f>
        <v>-1110</v>
      </c>
      <c r="X385" s="8" t="str">
        <f>IFERROR(W385/W444, "NA")</f>
        <v>NA</v>
      </c>
      <c r="Y385" s="9"/>
      <c r="Z385" s="7">
        <v>31423.57</v>
      </c>
      <c r="AA385" s="8" t="str">
        <f>IFERROR(Z385/Z444, "NA")</f>
        <v>NA</v>
      </c>
      <c r="AB385" s="9"/>
      <c r="AC385" s="10">
        <f>IFERROR(-(Q385-Z385), "NA")</f>
        <v>7097.6899999999987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108.99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-108.99</v>
      </c>
      <c r="I386" s="8" t="str">
        <f>IFERROR(H386/H444, "NA")</f>
        <v>NA</v>
      </c>
      <c r="J386" s="9"/>
      <c r="K386" s="7">
        <v>161.19</v>
      </c>
      <c r="L386" s="8" t="str">
        <f>IFERROR(K386/K444, "NA")</f>
        <v>NA</v>
      </c>
      <c r="M386" s="9"/>
      <c r="N386" s="10">
        <f>IFERROR(-(B386-K386), "NA")</f>
        <v>52.2</v>
      </c>
      <c r="O386" s="8" t="str">
        <f>IFERROR(N386/N444, "NA")</f>
        <v>NA</v>
      </c>
      <c r="P386" s="9"/>
      <c r="Q386" s="7">
        <v>260.7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-260.7</v>
      </c>
      <c r="X386" s="8" t="str">
        <f>IFERROR(W386/W444, "NA")</f>
        <v>NA</v>
      </c>
      <c r="Y386" s="9"/>
      <c r="Z386" s="7">
        <v>5255.6</v>
      </c>
      <c r="AA386" s="8" t="str">
        <f>IFERROR(Z386/Z444, "NA")</f>
        <v>NA</v>
      </c>
      <c r="AB386" s="9"/>
      <c r="AC386" s="10">
        <f>IFERROR(-(Q386-Z386), "NA")</f>
        <v>4994.9000000000005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6375.51</v>
      </c>
      <c r="C389" s="8" t="str">
        <f>IFERROR(B389/B444, "NA")</f>
        <v>NA</v>
      </c>
      <c r="D389" s="9"/>
      <c r="E389" s="7">
        <v>3090.5</v>
      </c>
      <c r="F389" s="8" t="str">
        <f>IFERROR(E389/E444, "NA")</f>
        <v>NA</v>
      </c>
      <c r="G389" s="9"/>
      <c r="H389" s="10">
        <f t="shared" si="96"/>
        <v>-3285.01</v>
      </c>
      <c r="I389" s="8" t="str">
        <f>IFERROR(H389/H444, "NA")</f>
        <v>NA</v>
      </c>
      <c r="J389" s="9"/>
      <c r="K389" s="7">
        <v>7092.32</v>
      </c>
      <c r="L389" s="8" t="str">
        <f>IFERROR(K389/K444, "NA")</f>
        <v>NA</v>
      </c>
      <c r="M389" s="9"/>
      <c r="N389" s="10">
        <f t="shared" si="97"/>
        <v>716.80999999999949</v>
      </c>
      <c r="O389" s="8" t="str">
        <f>IFERROR(N389/N444, "NA")</f>
        <v>NA</v>
      </c>
      <c r="P389" s="9"/>
      <c r="Q389" s="7">
        <v>49682.29</v>
      </c>
      <c r="R389" s="8" t="str">
        <f>IFERROR(Q389/Q444, "NA")</f>
        <v>NA</v>
      </c>
      <c r="S389" s="9"/>
      <c r="T389" s="7">
        <v>29267.3</v>
      </c>
      <c r="U389" s="8" t="str">
        <f>IFERROR(T389/T444, "NA")</f>
        <v>NA</v>
      </c>
      <c r="V389" s="9"/>
      <c r="W389" s="10">
        <f t="shared" si="98"/>
        <v>-20414.990000000002</v>
      </c>
      <c r="X389" s="8" t="str">
        <f>IFERROR(W389/W444, "NA")</f>
        <v>NA</v>
      </c>
      <c r="Y389" s="9"/>
      <c r="Z389" s="7">
        <v>26247.02</v>
      </c>
      <c r="AA389" s="8" t="str">
        <f>IFERROR(Z389/Z444, "NA")</f>
        <v>NA</v>
      </c>
      <c r="AB389" s="9"/>
      <c r="AC389" s="10">
        <f t="shared" si="99"/>
        <v>-23435.27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4839.8900000000003</v>
      </c>
      <c r="C390" s="8" t="str">
        <f>IFERROR(B390/B444, "NA")</f>
        <v>NA</v>
      </c>
      <c r="D390" s="9"/>
      <c r="E390" s="7">
        <v>15017.08</v>
      </c>
      <c r="F390" s="8" t="str">
        <f>IFERROR(E390/E444, "NA")</f>
        <v>NA</v>
      </c>
      <c r="G390" s="9"/>
      <c r="H390" s="10">
        <f t="shared" si="96"/>
        <v>10177.189999999999</v>
      </c>
      <c r="I390" s="8" t="str">
        <f>IFERROR(H390/H444, "NA")</f>
        <v>NA</v>
      </c>
      <c r="J390" s="9"/>
      <c r="K390" s="7">
        <v>14756.95</v>
      </c>
      <c r="L390" s="8" t="str">
        <f>IFERROR(K390/K444, "NA")</f>
        <v>NA</v>
      </c>
      <c r="M390" s="9"/>
      <c r="N390" s="10">
        <f t="shared" si="97"/>
        <v>9917.0600000000013</v>
      </c>
      <c r="O390" s="8" t="str">
        <f>IFERROR(N390/N444, "NA")</f>
        <v>NA</v>
      </c>
      <c r="P390" s="9"/>
      <c r="Q390" s="7">
        <v>69644.95</v>
      </c>
      <c r="R390" s="8" t="str">
        <f>IFERROR(Q390/Q444, "NA")</f>
        <v>NA</v>
      </c>
      <c r="S390" s="9"/>
      <c r="T390" s="7">
        <v>142213.16</v>
      </c>
      <c r="U390" s="8" t="str">
        <f>IFERROR(T390/T444, "NA")</f>
        <v>NA</v>
      </c>
      <c r="V390" s="9"/>
      <c r="W390" s="10">
        <f t="shared" si="98"/>
        <v>72568.210000000006</v>
      </c>
      <c r="X390" s="8" t="str">
        <f>IFERROR(W390/W444, "NA")</f>
        <v>NA</v>
      </c>
      <c r="Y390" s="9"/>
      <c r="Z390" s="7">
        <v>152117.16</v>
      </c>
      <c r="AA390" s="8" t="str">
        <f>IFERROR(Z390/Z444, "NA")</f>
        <v>NA</v>
      </c>
      <c r="AB390" s="9"/>
      <c r="AC390" s="10">
        <f t="shared" si="99"/>
        <v>82472.210000000006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5527.74</v>
      </c>
      <c r="C392" s="8" t="str">
        <f>IFERROR(B392/B444, "NA")</f>
        <v>NA</v>
      </c>
      <c r="D392" s="9"/>
      <c r="E392" s="7">
        <v>2306.98</v>
      </c>
      <c r="F392" s="8" t="str">
        <f>IFERROR(E392/E444, "NA")</f>
        <v>NA</v>
      </c>
      <c r="G392" s="9"/>
      <c r="H392" s="10">
        <f t="shared" si="96"/>
        <v>-3220.7599999999998</v>
      </c>
      <c r="I392" s="8" t="str">
        <f>IFERROR(H392/H444, "NA")</f>
        <v>NA</v>
      </c>
      <c r="J392" s="9"/>
      <c r="K392" s="7">
        <v>1167.08</v>
      </c>
      <c r="L392" s="8" t="str">
        <f>IFERROR(K392/K444, "NA")</f>
        <v>NA</v>
      </c>
      <c r="M392" s="9"/>
      <c r="N392" s="10">
        <f t="shared" si="97"/>
        <v>-4360.66</v>
      </c>
      <c r="O392" s="8" t="str">
        <f>IFERROR(N392/N444, "NA")</f>
        <v>NA</v>
      </c>
      <c r="P392" s="9"/>
      <c r="Q392" s="7">
        <v>47002.61</v>
      </c>
      <c r="R392" s="8" t="str">
        <f>IFERROR(Q392/Q444, "NA")</f>
        <v>NA</v>
      </c>
      <c r="S392" s="9"/>
      <c r="T392" s="7">
        <v>21847.34</v>
      </c>
      <c r="U392" s="8" t="str">
        <f>IFERROR(T392/T444, "NA")</f>
        <v>NA</v>
      </c>
      <c r="V392" s="9"/>
      <c r="W392" s="10">
        <f t="shared" si="98"/>
        <v>-25155.27</v>
      </c>
      <c r="X392" s="8" t="str">
        <f>IFERROR(W392/W444, "NA")</f>
        <v>NA</v>
      </c>
      <c r="Y392" s="9"/>
      <c r="Z392" s="7">
        <v>18512.34</v>
      </c>
      <c r="AA392" s="8" t="str">
        <f>IFERROR(Z392/Z444, "NA")</f>
        <v>NA</v>
      </c>
      <c r="AB392" s="9"/>
      <c r="AC392" s="10">
        <f t="shared" si="99"/>
        <v>-28490.27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16743.14</v>
      </c>
      <c r="C393" s="15" t="str">
        <f>IFERROR(B393/B444, "NA")</f>
        <v>NA</v>
      </c>
      <c r="D393" s="2"/>
      <c r="E393" s="14">
        <f>IFERROR(E388+E389+E390+E391+E392, "NA")</f>
        <v>20414.560000000001</v>
      </c>
      <c r="F393" s="15" t="str">
        <f>IFERROR(E393/E444, "NA")</f>
        <v>NA</v>
      </c>
      <c r="G393" s="2"/>
      <c r="H393" s="14">
        <f t="shared" si="96"/>
        <v>3671.4200000000019</v>
      </c>
      <c r="I393" s="15" t="str">
        <f>IFERROR(H393/H444, "NA")</f>
        <v>NA</v>
      </c>
      <c r="J393" s="2"/>
      <c r="K393" s="14">
        <f>IFERROR(K388+K389+K390+K391+K392, "NA")</f>
        <v>23016.35</v>
      </c>
      <c r="L393" s="15" t="str">
        <f>IFERROR(K393/K444, "NA")</f>
        <v>NA</v>
      </c>
      <c r="M393" s="2"/>
      <c r="N393" s="14">
        <f t="shared" si="97"/>
        <v>6273.2099999999991</v>
      </c>
      <c r="O393" s="15" t="str">
        <f>IFERROR(N393/N444, "NA")</f>
        <v>NA</v>
      </c>
      <c r="P393" s="2"/>
      <c r="Q393" s="14">
        <f>IFERROR(Q388+Q389+Q390+Q391+Q392, "NA")</f>
        <v>166329.84999999998</v>
      </c>
      <c r="R393" s="15" t="str">
        <f>IFERROR(Q393/Q444, "NA")</f>
        <v>NA</v>
      </c>
      <c r="S393" s="2"/>
      <c r="T393" s="14">
        <f>IFERROR(T388+T389+T390+T391+T392, "NA")</f>
        <v>193327.8</v>
      </c>
      <c r="U393" s="15" t="str">
        <f>IFERROR(T393/T444, "NA")</f>
        <v>NA</v>
      </c>
      <c r="V393" s="2"/>
      <c r="W393" s="14">
        <f t="shared" si="98"/>
        <v>26997.950000000012</v>
      </c>
      <c r="X393" s="15" t="str">
        <f>IFERROR(W393/W444, "NA")</f>
        <v>NA</v>
      </c>
      <c r="Y393" s="2"/>
      <c r="Z393" s="14">
        <f>IFERROR(Z388+Z389+Z390+Z391+Z392, "NA")</f>
        <v>196876.52</v>
      </c>
      <c r="AA393" s="15" t="str">
        <f>IFERROR(Z393/Z444, "NA")</f>
        <v>NA</v>
      </c>
      <c r="AB393" s="2"/>
      <c r="AC393" s="14">
        <f t="shared" si="99"/>
        <v>30546.670000000013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3358.32</v>
      </c>
      <c r="F394" s="8" t="str">
        <f>IFERROR(E394/E444, "NA")</f>
        <v>NA</v>
      </c>
      <c r="G394" s="9"/>
      <c r="H394" s="10">
        <f t="shared" si="96"/>
        <v>3358.32</v>
      </c>
      <c r="I394" s="8" t="str">
        <f>IFERROR(H394/H444, "NA")</f>
        <v>NA</v>
      </c>
      <c r="J394" s="9"/>
      <c r="K394" s="7">
        <v>2076.5700000000002</v>
      </c>
      <c r="L394" s="8" t="str">
        <f>IFERROR(K394/K444, "NA")</f>
        <v>NA</v>
      </c>
      <c r="M394" s="9"/>
      <c r="N394" s="10">
        <f t="shared" si="97"/>
        <v>2076.5700000000002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48695.39</v>
      </c>
      <c r="U394" s="8" t="str">
        <f>IFERROR(T394/T444, "NA")</f>
        <v>NA</v>
      </c>
      <c r="V394" s="9"/>
      <c r="W394" s="10">
        <f t="shared" si="98"/>
        <v>42083.33</v>
      </c>
      <c r="X394" s="8" t="str">
        <f>IFERROR(W394/W444, "NA")</f>
        <v>NA</v>
      </c>
      <c r="Y394" s="9"/>
      <c r="Z394" s="7">
        <v>43651.82</v>
      </c>
      <c r="AA394" s="8" t="str">
        <f>IFERROR(Z394/Z444, "NA")</f>
        <v>NA</v>
      </c>
      <c r="AB394" s="9"/>
      <c r="AC394" s="10">
        <f t="shared" si="99"/>
        <v>37039.760000000002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18889</v>
      </c>
      <c r="C396" s="15" t="str">
        <f>IFERROR(B396/B444, "NA")</f>
        <v>NA</v>
      </c>
      <c r="D396" s="2"/>
      <c r="E396" s="14">
        <f>IFERROR(E385+E386+E388+E389+E390+E391+E392+E394+E395, "NA")</f>
        <v>25116.21</v>
      </c>
      <c r="F396" s="15" t="str">
        <f>IFERROR(E396/E444, "NA")</f>
        <v>NA</v>
      </c>
      <c r="G396" s="2"/>
      <c r="H396" s="14">
        <f t="shared" si="96"/>
        <v>6227.2099999999991</v>
      </c>
      <c r="I396" s="15" t="str">
        <f>IFERROR(H396/H444, "NA")</f>
        <v>NA</v>
      </c>
      <c r="J396" s="2"/>
      <c r="K396" s="14">
        <f>IFERROR(K385+K386+K388+K389+K390+K391+K392+K394+K395, "NA")</f>
        <v>32488.79</v>
      </c>
      <c r="L396" s="15" t="str">
        <f>IFERROR(K396/K444, "NA")</f>
        <v>NA</v>
      </c>
      <c r="M396" s="2"/>
      <c r="N396" s="14">
        <f t="shared" si="97"/>
        <v>13599.79</v>
      </c>
      <c r="O396" s="15" t="str">
        <f>IFERROR(N396/N444, "NA")</f>
        <v>NA</v>
      </c>
      <c r="P396" s="2"/>
      <c r="Q396" s="14">
        <f>IFERROR(Q385+Q386+Q388+Q389+Q390+Q391+Q392+Q394+Q395, "NA")</f>
        <v>197528.49</v>
      </c>
      <c r="R396" s="15" t="str">
        <f>IFERROR(Q396/Q444, "NA")</f>
        <v>NA</v>
      </c>
      <c r="S396" s="2"/>
      <c r="T396" s="14">
        <f>IFERROR(T385+T386+T388+T389+T390+T391+T392+T394+T395, "NA")</f>
        <v>265239.07</v>
      </c>
      <c r="U396" s="15" t="str">
        <f>IFERROR(T396/T444, "NA")</f>
        <v>NA</v>
      </c>
      <c r="V396" s="2"/>
      <c r="W396" s="14">
        <f t="shared" si="98"/>
        <v>67710.580000000016</v>
      </c>
      <c r="X396" s="15" t="str">
        <f>IFERROR(W396/W444, "NA")</f>
        <v>NA</v>
      </c>
      <c r="Y396" s="2"/>
      <c r="Z396" s="14">
        <f>IFERROR(Z385+Z386+Z388+Z389+Z390+Z391+Z392+Z394+Z395, "NA")</f>
        <v>277207.51</v>
      </c>
      <c r="AA396" s="15" t="str">
        <f>IFERROR(Z396/Z444, "NA")</f>
        <v>NA</v>
      </c>
      <c r="AB396" s="2"/>
      <c r="AC396" s="14">
        <f t="shared" si="99"/>
        <v>79679.020000000019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16643.64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3580.6000000000022</v>
      </c>
      <c r="I397" s="8" t="str">
        <f>IFERROR(H397/H444, "NA")</f>
        <v>NA</v>
      </c>
      <c r="J397" s="9"/>
      <c r="K397" s="7">
        <v>3259.45</v>
      </c>
      <c r="L397" s="8" t="str">
        <f>IFERROR(K397/K444, "NA")</f>
        <v>NA</v>
      </c>
      <c r="M397" s="9"/>
      <c r="N397" s="10">
        <f t="shared" si="97"/>
        <v>-13384.189999999999</v>
      </c>
      <c r="O397" s="8" t="str">
        <f>IFERROR(N397/N444, "NA")</f>
        <v>NA</v>
      </c>
      <c r="P397" s="9"/>
      <c r="Q397" s="7">
        <v>97813.31</v>
      </c>
      <c r="R397" s="8" t="str">
        <f>IFERROR(Q397/Q444, "NA")</f>
        <v>NA</v>
      </c>
      <c r="S397" s="9"/>
      <c r="T397" s="7">
        <v>184651.49</v>
      </c>
      <c r="U397" s="8" t="str">
        <f>IFERROR(T397/T444, "NA")</f>
        <v>NA</v>
      </c>
      <c r="V397" s="9"/>
      <c r="W397" s="10">
        <f t="shared" si="98"/>
        <v>86838.18</v>
      </c>
      <c r="X397" s="8" t="str">
        <f>IFERROR(W397/W444, "NA")</f>
        <v>NA</v>
      </c>
      <c r="Y397" s="9"/>
      <c r="Z397" s="7">
        <v>81683.62</v>
      </c>
      <c r="AA397" s="8" t="str">
        <f>IFERROR(Z397/Z444, "NA")</f>
        <v>NA</v>
      </c>
      <c r="AB397" s="9"/>
      <c r="AC397" s="10">
        <f t="shared" si="99"/>
        <v>-16129.690000000002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1166.28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-1091.28</v>
      </c>
      <c r="I398" s="8" t="str">
        <f>IFERROR(H398/H444, "NA")</f>
        <v>NA</v>
      </c>
      <c r="J398" s="9"/>
      <c r="K398" s="7">
        <v>194.45</v>
      </c>
      <c r="L398" s="8" t="str">
        <f>IFERROR(K398/K444, "NA")</f>
        <v>NA</v>
      </c>
      <c r="M398" s="9"/>
      <c r="N398" s="10">
        <f t="shared" si="97"/>
        <v>-971.82999999999993</v>
      </c>
      <c r="O398" s="8" t="str">
        <f>IFERROR(N398/N444, "NA")</f>
        <v>NA</v>
      </c>
      <c r="P398" s="9"/>
      <c r="Q398" s="7">
        <v>3369.24</v>
      </c>
      <c r="R398" s="8" t="str">
        <f>IFERROR(Q398/Q444, "NA")</f>
        <v>NA</v>
      </c>
      <c r="S398" s="9"/>
      <c r="T398" s="7">
        <v>750</v>
      </c>
      <c r="U398" s="8" t="str">
        <f>IFERROR(T398/T444, "NA")</f>
        <v>NA</v>
      </c>
      <c r="V398" s="9"/>
      <c r="W398" s="10">
        <f t="shared" si="98"/>
        <v>-2619.2399999999998</v>
      </c>
      <c r="X398" s="8" t="str">
        <f>IFERROR(W398/W444, "NA")</f>
        <v>NA</v>
      </c>
      <c r="Y398" s="9"/>
      <c r="Z398" s="7">
        <v>1021.8</v>
      </c>
      <c r="AA398" s="8" t="str">
        <f>IFERROR(Z398/Z444, "NA")</f>
        <v>NA</v>
      </c>
      <c r="AB398" s="9"/>
      <c r="AC398" s="10">
        <f t="shared" si="99"/>
        <v>-2347.4399999999996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390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310</v>
      </c>
      <c r="I399" s="8" t="str">
        <f>IFERROR(H399/H444, "NA")</f>
        <v>NA</v>
      </c>
      <c r="J399" s="9"/>
      <c r="K399" s="7">
        <v>1544.95</v>
      </c>
      <c r="L399" s="8" t="str">
        <f>IFERROR(K399/K444, "NA")</f>
        <v>NA</v>
      </c>
      <c r="M399" s="9"/>
      <c r="N399" s="10">
        <f t="shared" si="97"/>
        <v>1154.95</v>
      </c>
      <c r="O399" s="8" t="str">
        <f>IFERROR(N399/N444, "NA")</f>
        <v>NA</v>
      </c>
      <c r="P399" s="9"/>
      <c r="Q399" s="7">
        <v>3421.95</v>
      </c>
      <c r="R399" s="8" t="str">
        <f>IFERROR(Q399/Q444, "NA")</f>
        <v>NA</v>
      </c>
      <c r="S399" s="9"/>
      <c r="T399" s="7">
        <v>7000</v>
      </c>
      <c r="U399" s="8" t="str">
        <f>IFERROR(T399/T444, "NA")</f>
        <v>NA</v>
      </c>
      <c r="V399" s="9"/>
      <c r="W399" s="10">
        <f t="shared" si="98"/>
        <v>3578.05</v>
      </c>
      <c r="X399" s="8" t="str">
        <f>IFERROR(W399/W444, "NA")</f>
        <v>NA</v>
      </c>
      <c r="Y399" s="9"/>
      <c r="Z399" s="7">
        <v>7115.9</v>
      </c>
      <c r="AA399" s="8" t="str">
        <f>IFERROR(Z399/Z444, "NA")</f>
        <v>NA</v>
      </c>
      <c r="AB399" s="9"/>
      <c r="AC399" s="10">
        <f t="shared" si="99"/>
        <v>3693.95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83333.33</v>
      </c>
      <c r="AA401" s="8" t="str">
        <f>IFERROR(Z401/Z444, "NA")</f>
        <v>NA</v>
      </c>
      <c r="AB401" s="9"/>
      <c r="AC401" s="10">
        <f t="shared" si="99"/>
        <v>83333.33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123125.86000000002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158559.96000000002</v>
      </c>
      <c r="F403" s="15" t="str">
        <f>IFERROR(E403/E444, "NA")</f>
        <v>NA</v>
      </c>
      <c r="G403" s="2"/>
      <c r="H403" s="14">
        <f t="shared" si="96"/>
        <v>35434.100000000006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191372.94000000003</v>
      </c>
      <c r="L403" s="15" t="str">
        <f>IFERROR(K403/K444, "NA")</f>
        <v>NA</v>
      </c>
      <c r="M403" s="2"/>
      <c r="N403" s="14">
        <f t="shared" si="97"/>
        <v>68247.080000000016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1273006.3600000001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1651865.3299999998</v>
      </c>
      <c r="U403" s="15" t="str">
        <f>IFERROR(T403/T444, "NA")</f>
        <v>NA</v>
      </c>
      <c r="V403" s="2"/>
      <c r="W403" s="14">
        <f t="shared" si="98"/>
        <v>378858.96999999974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1597839.7800000005</v>
      </c>
      <c r="AA403" s="15" t="str">
        <f>IFERROR(Z403/Z444, "NA")</f>
        <v>NA</v>
      </c>
      <c r="AB403" s="2"/>
      <c r="AC403" s="14">
        <f t="shared" si="99"/>
        <v>324833.42000000039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-123125.86000000002</v>
      </c>
      <c r="C404" s="24" t="str">
        <f>IFERROR(B404/B444, "NA")</f>
        <v>NA</v>
      </c>
      <c r="D404" s="25"/>
      <c r="E404" s="23">
        <f>IFERROR(E345-E403, "NA")</f>
        <v>-158559.96000000002</v>
      </c>
      <c r="F404" s="24" t="str">
        <f>IFERROR(E404/E444, "NA")</f>
        <v>NA</v>
      </c>
      <c r="G404" s="25"/>
      <c r="H404" s="23">
        <f>IFERROR(B404-E404, "NA")</f>
        <v>35434.100000000006</v>
      </c>
      <c r="I404" s="24" t="str">
        <f>IFERROR(H404/H444, "NA")</f>
        <v>NA</v>
      </c>
      <c r="J404" s="25"/>
      <c r="K404" s="23">
        <f>IFERROR(K345-K403, "NA")</f>
        <v>-191372.94000000003</v>
      </c>
      <c r="L404" s="24" t="str">
        <f>IFERROR(K404/K444, "NA")</f>
        <v>NA</v>
      </c>
      <c r="M404" s="25"/>
      <c r="N404" s="23">
        <f>IFERROR(B404-K404, "NA")</f>
        <v>68247.080000000016</v>
      </c>
      <c r="O404" s="24" t="str">
        <f>IFERROR(N404/N444, "NA")</f>
        <v>NA</v>
      </c>
      <c r="P404" s="25"/>
      <c r="Q404" s="23">
        <f>IFERROR(Q345-Q403, "NA")</f>
        <v>-1273006.3600000001</v>
      </c>
      <c r="R404" s="24" t="str">
        <f>IFERROR(Q404/Q444, "NA")</f>
        <v>NA</v>
      </c>
      <c r="S404" s="25"/>
      <c r="T404" s="23">
        <f>IFERROR(T345-T403, "NA")</f>
        <v>-1651865.3299999998</v>
      </c>
      <c r="U404" s="24" t="str">
        <f>IFERROR(T404/T444, "NA")</f>
        <v>NA</v>
      </c>
      <c r="V404" s="25"/>
      <c r="W404" s="23">
        <f>IFERROR(Q404-T404, "NA")</f>
        <v>378858.96999999974</v>
      </c>
      <c r="X404" s="24" t="str">
        <f>IFERROR(W404/W444, "NA")</f>
        <v>NA</v>
      </c>
      <c r="Y404" s="25"/>
      <c r="Z404" s="23">
        <f>IFERROR(Z345-Z403, "NA")</f>
        <v>-1597839.7800000005</v>
      </c>
      <c r="AA404" s="24" t="str">
        <f>IFERROR(Z404/Z444, "NA")</f>
        <v>NA</v>
      </c>
      <c r="AB404" s="25"/>
      <c r="AC404" s="23">
        <f>IFERROR(Q404-Z404, "NA")</f>
        <v>324833.42000000039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722.19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-722.19</v>
      </c>
      <c r="X410" s="8" t="str">
        <f>IFERROR(W410/W444, "NA")</f>
        <v>NA</v>
      </c>
      <c r="Y410" s="9"/>
      <c r="Z410" s="7">
        <v>1848.9</v>
      </c>
      <c r="AA410" s="8" t="str">
        <f>IFERROR(Z410/Z444, "NA")</f>
        <v>NA</v>
      </c>
      <c r="AB410" s="9"/>
      <c r="AC410" s="10">
        <f t="shared" si="103"/>
        <v>1126.71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2415.33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-2415.33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-2415.33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-2206.54</v>
      </c>
      <c r="L418" s="8" t="str">
        <f>IFERROR(K418/K444, "NA")</f>
        <v>NA</v>
      </c>
      <c r="M418" s="9"/>
      <c r="N418" s="10">
        <f t="shared" si="101"/>
        <v>-2206.54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-4485.2299999999996</v>
      </c>
      <c r="AA418" s="8" t="str">
        <f>IFERROR(Z418/Z444, "NA")</f>
        <v>NA</v>
      </c>
      <c r="AB418" s="9"/>
      <c r="AC418" s="10">
        <f t="shared" si="103"/>
        <v>-759.53999999999951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363.75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-363.75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-363.75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customHeight="1" x14ac:dyDescent="0.45">
      <c r="A422" s="6" t="s">
        <v>387</v>
      </c>
      <c r="B422" s="7">
        <v>-1000.37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1000.37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1000.37</v>
      </c>
      <c r="O422" s="8" t="str">
        <f>IFERROR(N422/N444, "NA")</f>
        <v>NA</v>
      </c>
      <c r="P422" s="9"/>
      <c r="Q422" s="7">
        <v>-1000.37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1000.37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1000.37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-17035.669999999998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17035.669999999998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17035.669999999998</v>
      </c>
      <c r="O423" s="8" t="str">
        <f>IFERROR(N423/N444, "NA")</f>
        <v>NA</v>
      </c>
      <c r="P423" s="9"/>
      <c r="Q423" s="7">
        <v>-23385.200000000001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23385.200000000001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23385.200000000001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-3129.82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3129.82</v>
      </c>
      <c r="I426" s="8" t="str">
        <f>IFERROR(H426/H444, "NA")</f>
        <v>NA</v>
      </c>
      <c r="J426" s="9"/>
      <c r="K426" s="7">
        <v>-2549.34</v>
      </c>
      <c r="L426" s="8" t="str">
        <f>IFERROR(K426/K444, "NA")</f>
        <v>NA</v>
      </c>
      <c r="M426" s="9"/>
      <c r="N426" s="10">
        <f t="shared" si="101"/>
        <v>580.48</v>
      </c>
      <c r="O426" s="8" t="str">
        <f>IFERROR(N426/N444, "NA")</f>
        <v>NA</v>
      </c>
      <c r="P426" s="9"/>
      <c r="Q426" s="7">
        <v>-105405.97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105405.97</v>
      </c>
      <c r="X426" s="8" t="str">
        <f>IFERROR(W426/W444, "NA")</f>
        <v>NA</v>
      </c>
      <c r="Y426" s="9"/>
      <c r="Z426" s="7">
        <v>-7202.15</v>
      </c>
      <c r="AA426" s="8" t="str">
        <f>IFERROR(Z426/Z444, "NA")</f>
        <v>NA</v>
      </c>
      <c r="AB426" s="9"/>
      <c r="AC426" s="10">
        <f t="shared" si="103"/>
        <v>98203.82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-20837.789999999997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20837.789999999997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-4570.99</v>
      </c>
      <c r="L428" s="15" t="str">
        <f>IFERROR(K428/K444, "NA")</f>
        <v>NA</v>
      </c>
      <c r="M428" s="2"/>
      <c r="N428" s="14">
        <f t="shared" si="101"/>
        <v>16266.799999999997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-130015.96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130015.96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-9838.48</v>
      </c>
      <c r="AA428" s="15" t="str">
        <f>IFERROR(Z428/Z444, "NA")</f>
        <v>NA</v>
      </c>
      <c r="AB428" s="2"/>
      <c r="AC428" s="14">
        <f t="shared" si="103"/>
        <v>120177.48000000001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-20837.789999999997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20837.789999999997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-4570.99</v>
      </c>
      <c r="L429" s="15" t="str">
        <f>IFERROR(K429/K444, "NA")</f>
        <v>NA</v>
      </c>
      <c r="M429" s="2"/>
      <c r="N429" s="14">
        <f t="shared" si="101"/>
        <v>16266.799999999997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-130015.96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130015.96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-9838.48</v>
      </c>
      <c r="AA429" s="15" t="str">
        <f>IFERROR(Z429/Z444, "NA")</f>
        <v>NA</v>
      </c>
      <c r="AB429" s="2"/>
      <c r="AC429" s="14">
        <f t="shared" si="103"/>
        <v>120177.48000000001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-102288.07000000002</v>
      </c>
      <c r="C443" s="24" t="str">
        <f>IFERROR(B443/B444, "NA")</f>
        <v>NA</v>
      </c>
      <c r="D443" s="25"/>
      <c r="E443" s="23">
        <f>IFERROR(E404-E429-E442, "NA")</f>
        <v>-158559.96000000002</v>
      </c>
      <c r="F443" s="24" t="str">
        <f>IFERROR(E443/E444, "NA")</f>
        <v>NA</v>
      </c>
      <c r="G443" s="25"/>
      <c r="H443" s="23">
        <f>IFERROR(B443-E443, "NA")</f>
        <v>56271.89</v>
      </c>
      <c r="I443" s="24" t="str">
        <f>IFERROR(H443/H444, "NA")</f>
        <v>NA</v>
      </c>
      <c r="J443" s="25"/>
      <c r="K443" s="23">
        <f>IFERROR(K404-K429-K442, "NA")</f>
        <v>-186801.95000000004</v>
      </c>
      <c r="L443" s="24" t="str">
        <f>IFERROR(K443/K444, "NA")</f>
        <v>NA</v>
      </c>
      <c r="M443" s="25"/>
      <c r="N443" s="23">
        <f>IFERROR(B443-K443, "NA")</f>
        <v>84513.880000000019</v>
      </c>
      <c r="O443" s="24" t="str">
        <f>IFERROR(N443/N444, "NA")</f>
        <v>NA</v>
      </c>
      <c r="P443" s="25"/>
      <c r="Q443" s="23">
        <f>IFERROR(Q404-Q429-Q442, "NA")</f>
        <v>-1142990.4000000001</v>
      </c>
      <c r="R443" s="24" t="str">
        <f>IFERROR(Q443/Q444, "NA")</f>
        <v>NA</v>
      </c>
      <c r="S443" s="25"/>
      <c r="T443" s="23">
        <f>IFERROR(T404-T429-T442, "NA")</f>
        <v>-1651865.3299999998</v>
      </c>
      <c r="U443" s="24" t="str">
        <f>IFERROR(T443/T444, "NA")</f>
        <v>NA</v>
      </c>
      <c r="V443" s="25"/>
      <c r="W443" s="23">
        <f>IFERROR(Q443-T443, "NA")</f>
        <v>508874.9299999997</v>
      </c>
      <c r="X443" s="24" t="str">
        <f>IFERROR(W443/W444, "NA")</f>
        <v>NA</v>
      </c>
      <c r="Y443" s="25"/>
      <c r="Z443" s="23">
        <f>IFERROR(Z404-Z429-Z442, "NA")</f>
        <v>-1588001.3000000005</v>
      </c>
      <c r="AA443" s="24" t="str">
        <f>IFERROR(Z443/Z444, "NA")</f>
        <v>NA</v>
      </c>
      <c r="AB443" s="25"/>
      <c r="AC443" s="23">
        <f>IFERROR(Q443-Z443, "NA")</f>
        <v>445010.90000000037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55766.86</v>
      </c>
      <c r="F10" s="8">
        <f>IFERROR(E10/E444, "NA")</f>
        <v>0.56400006472662112</v>
      </c>
      <c r="G10" s="9"/>
      <c r="H10" s="10">
        <f t="shared" ref="H10:H19" si="0">IFERROR(B10-E10, "NA")</f>
        <v>-55766.86</v>
      </c>
      <c r="I10" s="8">
        <f>IFERROR(H10/H444, "NA")</f>
        <v>2.415929832283354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533902.66</v>
      </c>
      <c r="U10" s="8">
        <f>IFERROR(T10/T444, "NA")</f>
        <v>0.56399999522519706</v>
      </c>
      <c r="V10" s="9"/>
      <c r="W10" s="10">
        <f t="shared" ref="W10:W19" si="2">IFERROR(Q10-T10, "NA")</f>
        <v>-533902.66</v>
      </c>
      <c r="X10" s="8">
        <f>IFERROR(W10/W444, "NA")</f>
        <v>6.068103122005879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37541.050000000003</v>
      </c>
      <c r="C11" s="8">
        <f>IFERROR(B11/B444, "NA")</f>
        <v>0.49530097334342033</v>
      </c>
      <c r="D11" s="9"/>
      <c r="E11" s="7">
        <v>0</v>
      </c>
      <c r="F11" s="8">
        <f>IFERROR(E11/E444, "NA")</f>
        <v>0</v>
      </c>
      <c r="G11" s="9"/>
      <c r="H11" s="10">
        <f t="shared" si="0"/>
        <v>37541.050000000003</v>
      </c>
      <c r="I11" s="8">
        <f>IFERROR(H11/H444, "NA")</f>
        <v>-1.626351970152901</v>
      </c>
      <c r="J11" s="9"/>
      <c r="K11" s="7">
        <v>37804.21</v>
      </c>
      <c r="L11" s="8">
        <f>IFERROR(K11/K444, "NA")</f>
        <v>0.4186536843844505</v>
      </c>
      <c r="M11" s="9"/>
      <c r="N11" s="10">
        <f t="shared" si="1"/>
        <v>-263.15999999999622</v>
      </c>
      <c r="O11" s="8">
        <f>IFERROR(N11/N444, "NA")</f>
        <v>1.8142634363456357E-2</v>
      </c>
      <c r="P11" s="9"/>
      <c r="Q11" s="7">
        <v>397593.33</v>
      </c>
      <c r="R11" s="8">
        <f>IFERROR(Q11/Q444, "NA")</f>
        <v>0.46304425047839298</v>
      </c>
      <c r="S11" s="9"/>
      <c r="T11" s="7">
        <v>0</v>
      </c>
      <c r="U11" s="8">
        <f>IFERROR(T11/T444, "NA")</f>
        <v>0</v>
      </c>
      <c r="V11" s="9"/>
      <c r="W11" s="10">
        <f t="shared" si="2"/>
        <v>397593.33</v>
      </c>
      <c r="X11" s="8">
        <f>IFERROR(W11/W444, "NA")</f>
        <v>-4.5188711497742187</v>
      </c>
      <c r="Y11" s="9"/>
      <c r="Z11" s="7">
        <v>443380.46</v>
      </c>
      <c r="AA11" s="8">
        <f>IFERROR(Z11/Z444, "NA")</f>
        <v>0.52332621063705864</v>
      </c>
      <c r="AB11" s="9"/>
      <c r="AC11" s="10">
        <f t="shared" si="3"/>
        <v>-45787.130000000005</v>
      </c>
      <c r="AD11" s="8">
        <f>IFERROR(AC11/AC444, "NA")</f>
        <v>-4.010964925728115</v>
      </c>
    </row>
    <row r="12" spans="1:30" ht="16.5" customHeight="1" x14ac:dyDescent="0.45">
      <c r="A12" s="12" t="s">
        <v>14</v>
      </c>
      <c r="B12" s="7">
        <v>3266.4</v>
      </c>
      <c r="C12" s="8">
        <f>IFERROR(B12/B444, "NA")</f>
        <v>4.3095520752055368E-2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3266.4</v>
      </c>
      <c r="I12" s="8">
        <f>IFERROR(H12/H444, "NA")</f>
        <v>-0.14150685916636416</v>
      </c>
      <c r="J12" s="9"/>
      <c r="K12" s="7">
        <v>3315.2</v>
      </c>
      <c r="L12" s="8">
        <f>IFERROR(K12/K444, "NA")</f>
        <v>3.6713389711657253E-2</v>
      </c>
      <c r="M12" s="9"/>
      <c r="N12" s="10">
        <f t="shared" si="1"/>
        <v>-48.799999999999727</v>
      </c>
      <c r="O12" s="8">
        <f>IFERROR(N12/N444, "NA")</f>
        <v>3.3643432016137636E-3</v>
      </c>
      <c r="P12" s="9"/>
      <c r="Q12" s="7">
        <v>41658.800000000003</v>
      </c>
      <c r="R12" s="8">
        <f>IFERROR(Q12/Q444, "NA")</f>
        <v>4.8516578036732351E-2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41658.800000000003</v>
      </c>
      <c r="X12" s="8">
        <f>IFERROR(W12/W444, "NA")</f>
        <v>-0.47347562257700404</v>
      </c>
      <c r="Y12" s="9"/>
      <c r="Z12" s="7">
        <v>41902.75</v>
      </c>
      <c r="AA12" s="8">
        <f>IFERROR(Z12/Z444, "NA")</f>
        <v>4.9458217831187264E-2</v>
      </c>
      <c r="AB12" s="9"/>
      <c r="AC12" s="10">
        <f t="shared" si="3"/>
        <v>-243.94999999999709</v>
      </c>
      <c r="AD12" s="8">
        <f>IFERROR(AC12/AC444, "NA")</f>
        <v>-2.1370085734383482E-2</v>
      </c>
    </row>
    <row r="13" spans="1:30" ht="16.5" customHeight="1" x14ac:dyDescent="0.45">
      <c r="A13" s="12" t="s">
        <v>15</v>
      </c>
      <c r="B13" s="7">
        <v>176.5</v>
      </c>
      <c r="C13" s="8">
        <f>IFERROR(B13/B444, "NA")</f>
        <v>2.3286674665496483E-3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176.5</v>
      </c>
      <c r="I13" s="8">
        <f>IFERROR(H13/H444, "NA")</f>
        <v>-7.6463264275236573E-3</v>
      </c>
      <c r="J13" s="9"/>
      <c r="K13" s="7">
        <v>96.5</v>
      </c>
      <c r="L13" s="8">
        <f>IFERROR(K13/K444, "NA")</f>
        <v>1.0686661761507377E-3</v>
      </c>
      <c r="M13" s="9"/>
      <c r="N13" s="10">
        <f t="shared" si="1"/>
        <v>80</v>
      </c>
      <c r="O13" s="8">
        <f>IFERROR(N13/N444, "NA")</f>
        <v>-5.5153167239570203E-3</v>
      </c>
      <c r="P13" s="9"/>
      <c r="Q13" s="7">
        <v>2077</v>
      </c>
      <c r="R13" s="8">
        <f>IFERROR(Q13/Q444, "NA")</f>
        <v>2.4189110723855005E-3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2077</v>
      </c>
      <c r="X13" s="8">
        <f>IFERROR(W13/W444, "NA")</f>
        <v>-2.3606269697937467E-2</v>
      </c>
      <c r="Y13" s="9"/>
      <c r="Z13" s="7">
        <v>1915.77</v>
      </c>
      <c r="AA13" s="8">
        <f>IFERROR(Z13/Z444, "NA")</f>
        <v>2.2612017104952208E-3</v>
      </c>
      <c r="AB13" s="9"/>
      <c r="AC13" s="10">
        <f t="shared" si="3"/>
        <v>161.23000000000002</v>
      </c>
      <c r="AD13" s="8">
        <f>IFERROR(AC13/AC444, "NA")</f>
        <v>1.4123791444782497E-2</v>
      </c>
    </row>
    <row r="14" spans="1:30" ht="16.5" customHeight="1" x14ac:dyDescent="0.45">
      <c r="A14" s="12" t="s">
        <v>16</v>
      </c>
      <c r="B14" s="7">
        <v>65</v>
      </c>
      <c r="C14" s="8">
        <f>IFERROR(B14/B444, "NA")</f>
        <v>8.5758291969250506E-4</v>
      </c>
      <c r="D14" s="9"/>
      <c r="E14" s="7">
        <v>0</v>
      </c>
      <c r="F14" s="8">
        <f>IFERROR(E14/E444, "NA")</f>
        <v>0</v>
      </c>
      <c r="G14" s="9"/>
      <c r="H14" s="10">
        <f t="shared" si="0"/>
        <v>65</v>
      </c>
      <c r="I14" s="8">
        <f>IFERROR(H14/H444, "NA")</f>
        <v>-2.8159275795412901E-3</v>
      </c>
      <c r="J14" s="9"/>
      <c r="K14" s="7">
        <v>255</v>
      </c>
      <c r="L14" s="8">
        <f>IFERROR(K14/K444, "NA")</f>
        <v>2.8239365276522079E-3</v>
      </c>
      <c r="M14" s="9"/>
      <c r="N14" s="10">
        <f t="shared" si="1"/>
        <v>-190</v>
      </c>
      <c r="O14" s="8">
        <f>IFERROR(N14/N444, "NA")</f>
        <v>1.3098877219397922E-2</v>
      </c>
      <c r="P14" s="9"/>
      <c r="Q14" s="7">
        <v>1945</v>
      </c>
      <c r="R14" s="8">
        <f>IFERROR(Q14/Q444, "NA")</f>
        <v>2.2651815290273465E-3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1945</v>
      </c>
      <c r="X14" s="8">
        <f>IFERROR(W14/W444, "NA")</f>
        <v>-2.2106015677654488E-2</v>
      </c>
      <c r="Y14" s="9"/>
      <c r="Z14" s="7">
        <v>3644.99</v>
      </c>
      <c r="AA14" s="8">
        <f>IFERROR(Z14/Z444, "NA")</f>
        <v>4.3022166662689022E-3</v>
      </c>
      <c r="AB14" s="9"/>
      <c r="AC14" s="10">
        <f t="shared" si="3"/>
        <v>-1699.9899999999998</v>
      </c>
      <c r="AD14" s="8">
        <f>IFERROR(AC14/AC444, "NA")</f>
        <v>-0.14891958207663458</v>
      </c>
    </row>
    <row r="15" spans="1:30" ht="16.5" customHeight="1" x14ac:dyDescent="0.45">
      <c r="A15" s="12" t="s">
        <v>17</v>
      </c>
      <c r="B15" s="7">
        <v>44</v>
      </c>
      <c r="C15" s="8">
        <f>IFERROR(B15/B444, "NA")</f>
        <v>5.8051766871492654E-4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44</v>
      </c>
      <c r="I15" s="8">
        <f>IFERROR(H15/H444, "NA")</f>
        <v>-1.9061663615356427E-3</v>
      </c>
      <c r="J15" s="9"/>
      <c r="K15" s="7">
        <v>42</v>
      </c>
      <c r="L15" s="8">
        <f>IFERROR(K15/K444, "NA")</f>
        <v>4.6511895749565778E-4</v>
      </c>
      <c r="M15" s="9"/>
      <c r="N15" s="10">
        <f t="shared" si="1"/>
        <v>2</v>
      </c>
      <c r="O15" s="8">
        <f>IFERROR(N15/N444, "NA")</f>
        <v>-1.378829180989255E-4</v>
      </c>
      <c r="P15" s="9"/>
      <c r="Q15" s="7">
        <v>534</v>
      </c>
      <c r="R15" s="8">
        <f>IFERROR(Q15/Q444, "NA")</f>
        <v>6.2190587994889615E-4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534</v>
      </c>
      <c r="X15" s="8">
        <f>IFERROR(W15/W444, "NA")</f>
        <v>-6.0692094456902294E-3</v>
      </c>
      <c r="Y15" s="9"/>
      <c r="Z15" s="7">
        <v>441</v>
      </c>
      <c r="AA15" s="8">
        <f>IFERROR(Z15/Z444, "NA")</f>
        <v>5.2051653086142519E-4</v>
      </c>
      <c r="AB15" s="9"/>
      <c r="AC15" s="10">
        <f t="shared" si="3"/>
        <v>93</v>
      </c>
      <c r="AD15" s="8">
        <f>IFERROR(AC15/AC444, "NA")</f>
        <v>8.1468250596338897E-3</v>
      </c>
    </row>
    <row r="16" spans="1:30" ht="16.5" customHeight="1" x14ac:dyDescent="0.45">
      <c r="A16" s="12" t="s">
        <v>18</v>
      </c>
      <c r="B16" s="7">
        <v>7.41</v>
      </c>
      <c r="C16" s="8">
        <f>IFERROR(B16/B444, "NA")</f>
        <v>9.7764452844945578E-5</v>
      </c>
      <c r="D16" s="9"/>
      <c r="E16" s="7">
        <v>0</v>
      </c>
      <c r="F16" s="8">
        <f>IFERROR(E16/E444, "NA")</f>
        <v>0</v>
      </c>
      <c r="G16" s="9"/>
      <c r="H16" s="10">
        <f t="shared" si="0"/>
        <v>7.41</v>
      </c>
      <c r="I16" s="8">
        <f>IFERROR(H16/H444, "NA")</f>
        <v>-3.2101574406770709E-4</v>
      </c>
      <c r="J16" s="9"/>
      <c r="K16" s="7">
        <v>0</v>
      </c>
      <c r="L16" s="8">
        <f>IFERROR(K16/K444, "NA")</f>
        <v>0</v>
      </c>
      <c r="M16" s="9"/>
      <c r="N16" s="10">
        <f t="shared" si="1"/>
        <v>7.41</v>
      </c>
      <c r="O16" s="8">
        <f>IFERROR(N16/N444, "NA")</f>
        <v>-5.1085621155651901E-4</v>
      </c>
      <c r="P16" s="9"/>
      <c r="Q16" s="7">
        <v>8.76</v>
      </c>
      <c r="R16" s="8">
        <f>IFERROR(Q16/Q444, "NA")</f>
        <v>1.0202051513768408E-5</v>
      </c>
      <c r="S16" s="9"/>
      <c r="T16" s="7">
        <v>0</v>
      </c>
      <c r="U16" s="8">
        <f>IFERROR(T16/T444, "NA")</f>
        <v>0</v>
      </c>
      <c r="V16" s="9"/>
      <c r="W16" s="10">
        <f t="shared" si="2"/>
        <v>8.76</v>
      </c>
      <c r="X16" s="8">
        <f>IFERROR(W16/W444, "NA")</f>
        <v>-9.9562312255143095E-5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8.76</v>
      </c>
      <c r="AD16" s="8">
        <f>IFERROR(AC16/AC444, "NA")</f>
        <v>7.6737836045583736E-4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41100.360000000008</v>
      </c>
      <c r="C18" s="15">
        <f>IFERROR(B18/B444, "NA")</f>
        <v>0.5422610266032778</v>
      </c>
      <c r="D18" s="2"/>
      <c r="E18" s="14">
        <f>IFERROR(E10+E11+E12+E13+E14+E15+E16+E17, "NA")</f>
        <v>55766.86</v>
      </c>
      <c r="F18" s="15">
        <f>IFERROR(E18/E444, "NA")</f>
        <v>0.56400006472662112</v>
      </c>
      <c r="G18" s="2"/>
      <c r="H18" s="14">
        <f t="shared" si="0"/>
        <v>-14666.499999999993</v>
      </c>
      <c r="I18" s="15">
        <f>IFERROR(H18/H444, "NA")</f>
        <v>0.63538156685142022</v>
      </c>
      <c r="J18" s="2"/>
      <c r="K18" s="14">
        <f>IFERROR(K10+K11+K12+K13+K14+K15+K16+K17, "NA")</f>
        <v>41512.909999999996</v>
      </c>
      <c r="L18" s="15">
        <f>IFERROR(K18/K444, "NA")</f>
        <v>0.45972479575740632</v>
      </c>
      <c r="M18" s="2"/>
      <c r="N18" s="14">
        <f t="shared" si="1"/>
        <v>-412.54999999998836</v>
      </c>
      <c r="O18" s="15">
        <f>IFERROR(N18/N444, "NA")</f>
        <v>2.8441798930855054E-2</v>
      </c>
      <c r="P18" s="2"/>
      <c r="Q18" s="14">
        <f>IFERROR(Q10+Q11+Q12+Q13+Q14+Q15+Q16+Q17, "NA")</f>
        <v>443816.89</v>
      </c>
      <c r="R18" s="15">
        <f>IFERROR(Q18/Q444, "NA")</f>
        <v>0.51687702904800081</v>
      </c>
      <c r="S18" s="2"/>
      <c r="T18" s="14">
        <f>IFERROR(T10+T11+T12+T13+T14+T15+T16+T17, "NA")</f>
        <v>533902.66</v>
      </c>
      <c r="U18" s="15">
        <f>IFERROR(T18/T444, "NA")</f>
        <v>0.56399999522519706</v>
      </c>
      <c r="V18" s="2"/>
      <c r="W18" s="14">
        <f t="shared" si="2"/>
        <v>-90085.770000000019</v>
      </c>
      <c r="X18" s="15">
        <f>IFERROR(W18/W444, "NA")</f>
        <v>1.0238752925211192</v>
      </c>
      <c r="Y18" s="2"/>
      <c r="Z18" s="14">
        <f>IFERROR(Z10+Z11+Z12+Z13+Z14+Z15+Z16+Z17, "NA")</f>
        <v>491284.97000000003</v>
      </c>
      <c r="AA18" s="15">
        <f>IFERROR(Z18/Z444, "NA")</f>
        <v>0.57986836337587155</v>
      </c>
      <c r="AB18" s="2"/>
      <c r="AC18" s="14">
        <f t="shared" si="3"/>
        <v>-47468.080000000016</v>
      </c>
      <c r="AD18" s="15">
        <f>IFERROR(AC18/AC444, "NA")</f>
        <v>-4.1582165986742625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10481</v>
      </c>
      <c r="F21" s="8">
        <f>IFERROR(E21/E444, "NA")</f>
        <v>0.10599995550044804</v>
      </c>
      <c r="G21" s="9"/>
      <c r="H21" s="10">
        <f t="shared" ref="H21:H29" si="4">IFERROR(B21-E21, "NA")</f>
        <v>-10481</v>
      </c>
      <c r="I21" s="8">
        <f>IFERROR(H21/H444, "NA")</f>
        <v>0.45405749171034249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100343.4</v>
      </c>
      <c r="U21" s="8">
        <f>IFERROR(T21/T444, "NA")</f>
        <v>0.10599999093632542</v>
      </c>
      <c r="V21" s="9"/>
      <c r="W21" s="10">
        <f t="shared" ref="W21:W29" si="6">IFERROR(Q21-T21, "NA")</f>
        <v>-100343.4</v>
      </c>
      <c r="X21" s="8">
        <f>IFERROR(W21/W444, "NA")</f>
        <v>1.1404590095368408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5252.4</v>
      </c>
      <c r="C22" s="8">
        <f>IFERROR(B22/B444, "NA")</f>
        <v>6.9297977344506365E-2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5252.4</v>
      </c>
      <c r="I22" s="8">
        <f>IFERROR(H22/H444, "NA")</f>
        <v>-0.2275442772120411</v>
      </c>
      <c r="J22" s="9"/>
      <c r="K22" s="7">
        <v>7723.19</v>
      </c>
      <c r="L22" s="8">
        <f>IFERROR(K22/K444, "NA")</f>
        <v>8.5528620984306886E-2</v>
      </c>
      <c r="M22" s="9"/>
      <c r="N22" s="10">
        <f t="shared" si="5"/>
        <v>-2470.79</v>
      </c>
      <c r="O22" s="8">
        <f>IFERROR(N22/N444, "NA")</f>
        <v>0.17033986760482206</v>
      </c>
      <c r="P22" s="9"/>
      <c r="Q22" s="7">
        <v>69004.3</v>
      </c>
      <c r="R22" s="8">
        <f>IFERROR(Q22/Q444, "NA")</f>
        <v>8.0363632793553588E-2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69004.3</v>
      </c>
      <c r="X22" s="8">
        <f>IFERROR(W22/W444, "NA")</f>
        <v>-0.7842725643319145</v>
      </c>
      <c r="Y22" s="9"/>
      <c r="Z22" s="7">
        <v>75842.39</v>
      </c>
      <c r="AA22" s="8">
        <f>IFERROR(Z22/Z444, "NA")</f>
        <v>8.9517500532968794E-2</v>
      </c>
      <c r="AB22" s="9"/>
      <c r="AC22" s="10">
        <f t="shared" si="7"/>
        <v>-6838.0899999999965</v>
      </c>
      <c r="AD22" s="8">
        <f>IFERROR(AC22/AC444, "NA")</f>
        <v>-0.59901852658098798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711.72</v>
      </c>
      <c r="C24" s="8">
        <f>IFERROR(B24/B444, "NA")</f>
        <v>9.3901371631315341E-3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711.72</v>
      </c>
      <c r="I24" s="8">
        <f>IFERROR(H24/H444, "NA")</f>
        <v>-3.0833107337094264E-2</v>
      </c>
      <c r="J24" s="9"/>
      <c r="K24" s="7">
        <v>931.41</v>
      </c>
      <c r="L24" s="8">
        <f>IFERROR(K24/K444, "NA")</f>
        <v>1.0314677338119776E-2</v>
      </c>
      <c r="M24" s="9"/>
      <c r="N24" s="10">
        <f t="shared" si="5"/>
        <v>-219.68999999999994</v>
      </c>
      <c r="O24" s="8">
        <f>IFERROR(N24/N444, "NA")</f>
        <v>1.5145749138576468E-2</v>
      </c>
      <c r="P24" s="9"/>
      <c r="Q24" s="7">
        <v>6214</v>
      </c>
      <c r="R24" s="8">
        <f>IFERROR(Q24/Q444, "NA")</f>
        <v>7.2369347153603755E-3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6214</v>
      </c>
      <c r="X24" s="8">
        <f>IFERROR(W24/W444, "NA")</f>
        <v>-7.0625594560897162E-2</v>
      </c>
      <c r="Y24" s="9"/>
      <c r="Z24" s="7">
        <v>4393.68</v>
      </c>
      <c r="AA24" s="8">
        <f>IFERROR(Z24/Z444, "NA")</f>
        <v>5.185902656043598E-3</v>
      </c>
      <c r="AB24" s="9"/>
      <c r="AC24" s="10">
        <f t="shared" si="7"/>
        <v>1820.3199999999997</v>
      </c>
      <c r="AD24" s="8">
        <f>IFERROR(AC24/AC444, "NA")</f>
        <v>0.1594605225005673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3041.56</v>
      </c>
      <c r="AA27" s="8">
        <f>IFERROR(Z27/Z444, "NA")</f>
        <v>3.5899824480881545E-3</v>
      </c>
      <c r="AB27" s="9"/>
      <c r="AC27" s="10">
        <f t="shared" si="7"/>
        <v>-3041.56</v>
      </c>
      <c r="AD27" s="8">
        <f>IFERROR(AC27/AC444, "NA")</f>
        <v>-0.26644147557397907</v>
      </c>
    </row>
    <row r="28" spans="1:30" ht="16.5" customHeight="1" x14ac:dyDescent="0.45">
      <c r="A28" s="12" t="s">
        <v>29</v>
      </c>
      <c r="B28" s="7">
        <v>916.47</v>
      </c>
      <c r="C28" s="8">
        <f>IFERROR(B28/B444, "NA")</f>
        <v>1.2091523360162925E-2</v>
      </c>
      <c r="D28" s="9"/>
      <c r="E28" s="7">
        <v>0</v>
      </c>
      <c r="F28" s="8">
        <f>IFERROR(E28/E444, "NA")</f>
        <v>0</v>
      </c>
      <c r="G28" s="9"/>
      <c r="H28" s="10">
        <f t="shared" si="4"/>
        <v>916.47</v>
      </c>
      <c r="I28" s="8">
        <f>IFERROR(H28/H444, "NA")</f>
        <v>-3.970327921264933E-2</v>
      </c>
      <c r="J28" s="9"/>
      <c r="K28" s="7">
        <v>898.5</v>
      </c>
      <c r="L28" s="8">
        <f>IFERROR(K28/K444, "NA")</f>
        <v>9.9502234121392509E-3</v>
      </c>
      <c r="M28" s="9"/>
      <c r="N28" s="10">
        <f t="shared" si="5"/>
        <v>17.970000000000027</v>
      </c>
      <c r="O28" s="8">
        <f>IFERROR(N28/N444, "NA")</f>
        <v>-1.2388780191188475E-3</v>
      </c>
      <c r="P28" s="9"/>
      <c r="Q28" s="7">
        <v>8523.77</v>
      </c>
      <c r="R28" s="8">
        <f>IFERROR(Q28/Q444, "NA")</f>
        <v>9.9269338620449482E-3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8523.77</v>
      </c>
      <c r="X28" s="8">
        <f>IFERROR(W28/W444, "NA")</f>
        <v>-9.6877425836874559E-2</v>
      </c>
      <c r="Y28" s="9"/>
      <c r="Z28" s="7">
        <v>8560.86</v>
      </c>
      <c r="AA28" s="8">
        <f>IFERROR(Z28/Z444, "NA")</f>
        <v>1.0104465189093742E-2</v>
      </c>
      <c r="AB28" s="9"/>
      <c r="AC28" s="10">
        <f t="shared" si="7"/>
        <v>-37.090000000000146</v>
      </c>
      <c r="AD28" s="8">
        <f>IFERROR(AC28/AC444, "NA")</f>
        <v>-3.2490939942131417E-3</v>
      </c>
    </row>
    <row r="29" spans="1:30" ht="16.5" customHeight="1" x14ac:dyDescent="0.45">
      <c r="A29" s="13" t="s">
        <v>30</v>
      </c>
      <c r="B29" s="14">
        <f>IFERROR(B21+B22+B23+B24+B25+B26+B27+B28, "NA")</f>
        <v>6880.59</v>
      </c>
      <c r="C29" s="15">
        <f>IFERROR(B29/B444, "NA")</f>
        <v>9.0779637867800828E-2</v>
      </c>
      <c r="D29" s="2"/>
      <c r="E29" s="14">
        <f>IFERROR(E21+E22+E23+E24+E25+E26+E27+E28, "NA")</f>
        <v>10481</v>
      </c>
      <c r="F29" s="15">
        <f>IFERROR(E29/E444, "NA")</f>
        <v>0.10599995550044804</v>
      </c>
      <c r="G29" s="2"/>
      <c r="H29" s="14">
        <f t="shared" si="4"/>
        <v>-3600.41</v>
      </c>
      <c r="I29" s="15">
        <f>IFERROR(H29/H444, "NA")</f>
        <v>0.1559768279485578</v>
      </c>
      <c r="J29" s="2"/>
      <c r="K29" s="14">
        <f>IFERROR(K21+K22+K23+K24+K25+K26+K27+K28, "NA")</f>
        <v>9553.1</v>
      </c>
      <c r="L29" s="15">
        <f>IFERROR(K29/K444, "NA")</f>
        <v>0.10579352173456592</v>
      </c>
      <c r="M29" s="2"/>
      <c r="N29" s="14">
        <f t="shared" si="5"/>
        <v>-2672.51</v>
      </c>
      <c r="O29" s="15">
        <f>IFERROR(N29/N444, "NA")</f>
        <v>0.18424673872427971</v>
      </c>
      <c r="P29" s="2"/>
      <c r="Q29" s="14">
        <f>IFERROR(Q21+Q22+Q23+Q24+Q25+Q26+Q27+Q28, "NA")</f>
        <v>83742.070000000007</v>
      </c>
      <c r="R29" s="15">
        <f>IFERROR(Q29/Q444, "NA")</f>
        <v>9.7527501370958919E-2</v>
      </c>
      <c r="S29" s="2"/>
      <c r="T29" s="14">
        <f>IFERROR(T21+T22+T23+T24+T25+T26+T27+T28, "NA")</f>
        <v>100343.4</v>
      </c>
      <c r="U29" s="15">
        <f>IFERROR(T29/T444, "NA")</f>
        <v>0.10599999093632542</v>
      </c>
      <c r="V29" s="2"/>
      <c r="W29" s="14">
        <f t="shared" si="6"/>
        <v>-16601.329999999987</v>
      </c>
      <c r="X29" s="15">
        <f>IFERROR(W29/W444, "NA")</f>
        <v>0.1886834248071545</v>
      </c>
      <c r="Y29" s="2"/>
      <c r="Z29" s="14">
        <f>IFERROR(Z21+Z22+Z23+Z24+Z25+Z26+Z27+Z28, "NA")</f>
        <v>91838.49</v>
      </c>
      <c r="AA29" s="15">
        <f>IFERROR(Z29/Z444, "NA")</f>
        <v>0.1083978508261943</v>
      </c>
      <c r="AB29" s="2"/>
      <c r="AC29" s="14">
        <f t="shared" si="7"/>
        <v>-8096.4199999999983</v>
      </c>
      <c r="AD29" s="15">
        <f>IFERROR(AC29/AC444, "NA")</f>
        <v>-0.70924857364861293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21258.639999999999</v>
      </c>
      <c r="F31" s="8">
        <f>IFERROR(E31/E444, "NA")</f>
        <v>0.21499998988646546</v>
      </c>
      <c r="G31" s="9"/>
      <c r="H31" s="10">
        <f t="shared" ref="H31:H40" si="8">IFERROR(B31-E31, "NA")</f>
        <v>-21258.639999999999</v>
      </c>
      <c r="I31" s="8">
        <f>IFERROR(H31/H444, "NA")</f>
        <v>0.92096601045445614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203526.73</v>
      </c>
      <c r="U31" s="8">
        <f>IFERROR(T31/T444, "NA")</f>
        <v>0.21500000533468025</v>
      </c>
      <c r="V31" s="9"/>
      <c r="W31" s="10">
        <f t="shared" ref="W31:W40" si="10">IFERROR(Q31-T31, "NA")</f>
        <v>-203526.73</v>
      </c>
      <c r="X31" s="8">
        <f>IFERROR(W31/W444, "NA")</f>
        <v>2.3131954160420323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4921.17</v>
      </c>
      <c r="C33" s="8">
        <f>IFERROR(B33/B444, "NA")</f>
        <v>6.4927866721587166E-2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4921.17</v>
      </c>
      <c r="I33" s="8">
        <f>IFERROR(H33/H444, "NA")</f>
        <v>-0.21319474348632633</v>
      </c>
      <c r="J33" s="9"/>
      <c r="K33" s="7">
        <v>7446.97</v>
      </c>
      <c r="L33" s="8">
        <f>IFERROR(K33/K444, "NA")</f>
        <v>8.246968864051045E-2</v>
      </c>
      <c r="M33" s="9"/>
      <c r="N33" s="10">
        <f t="shared" si="9"/>
        <v>-2525.8000000000002</v>
      </c>
      <c r="O33" s="8">
        <f>IFERROR(N33/N444, "NA")</f>
        <v>0.17413233726713304</v>
      </c>
      <c r="P33" s="9"/>
      <c r="Q33" s="7">
        <v>52110.03</v>
      </c>
      <c r="R33" s="8">
        <f>IFERROR(Q33/Q444, "NA")</f>
        <v>6.0688266032422049E-2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52110.03</v>
      </c>
      <c r="X33" s="8">
        <f>IFERROR(W33/W444, "NA")</f>
        <v>-0.59225971215580753</v>
      </c>
      <c r="Y33" s="9"/>
      <c r="Z33" s="7">
        <v>45894.54</v>
      </c>
      <c r="AA33" s="8">
        <f>IFERROR(Z33/Z444, "NA")</f>
        <v>5.4169765864582567E-2</v>
      </c>
      <c r="AB33" s="9"/>
      <c r="AC33" s="10">
        <f t="shared" si="11"/>
        <v>6215.489999999998</v>
      </c>
      <c r="AD33" s="8">
        <f>IFERROR(AC33/AC444, "NA")</f>
        <v>0.54447859881617022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387.03</v>
      </c>
      <c r="C35" s="8">
        <f>IFERROR(B35/B444, "NA")</f>
        <v>5.1063125755167723E-3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387.03</v>
      </c>
      <c r="I35" s="8">
        <f>IFERROR(H35/H444, "NA")</f>
        <v>-1.6766899247844084E-2</v>
      </c>
      <c r="J35" s="9"/>
      <c r="K35" s="7">
        <v>705.86</v>
      </c>
      <c r="L35" s="8">
        <f>IFERROR(K35/K444, "NA")</f>
        <v>7.8168777937591676E-3</v>
      </c>
      <c r="M35" s="9"/>
      <c r="N35" s="10">
        <f t="shared" si="9"/>
        <v>-318.83000000000004</v>
      </c>
      <c r="O35" s="8">
        <f>IFERROR(N35/N444, "NA")</f>
        <v>2.198060538874021E-2</v>
      </c>
      <c r="P35" s="9"/>
      <c r="Q35" s="7">
        <v>5703.85</v>
      </c>
      <c r="R35" s="8">
        <f>IFERROR(Q35/Q444, "NA")</f>
        <v>6.642804968813692E-3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5703.85</v>
      </c>
      <c r="X35" s="8">
        <f>IFERROR(W35/W444, "NA")</f>
        <v>-6.482745373932626E-2</v>
      </c>
      <c r="Y35" s="9"/>
      <c r="Z35" s="7">
        <v>2367.9899999999998</v>
      </c>
      <c r="AA35" s="8">
        <f>IFERROR(Z35/Z444, "NA")</f>
        <v>2.7949613149989704E-3</v>
      </c>
      <c r="AB35" s="9"/>
      <c r="AC35" s="10">
        <f t="shared" si="11"/>
        <v>3335.8600000000006</v>
      </c>
      <c r="AD35" s="8">
        <f>IFERROR(AC35/AC444, "NA")</f>
        <v>0.29222223487559479</v>
      </c>
    </row>
    <row r="36" spans="1:30" ht="16.5" customHeight="1" x14ac:dyDescent="0.45">
      <c r="A36" s="12" t="s">
        <v>36</v>
      </c>
      <c r="B36" s="7">
        <v>10053.6</v>
      </c>
      <c r="C36" s="8">
        <f>IFERROR(B36/B444, "NA")</f>
        <v>0.13264300986800875</v>
      </c>
      <c r="D36" s="9"/>
      <c r="E36" s="7">
        <v>0</v>
      </c>
      <c r="F36" s="8">
        <f>IFERROR(E36/E444, "NA")</f>
        <v>0</v>
      </c>
      <c r="G36" s="9"/>
      <c r="H36" s="10">
        <f t="shared" si="8"/>
        <v>10053.6</v>
      </c>
      <c r="I36" s="8">
        <f>IFERROR(H36/H444, "NA")</f>
        <v>-0.43554168482578948</v>
      </c>
      <c r="J36" s="9"/>
      <c r="K36" s="7">
        <v>20480.34</v>
      </c>
      <c r="L36" s="8">
        <f>IFERROR(K36/K444, "NA")</f>
        <v>0.22680462833230047</v>
      </c>
      <c r="M36" s="9"/>
      <c r="N36" s="10">
        <f t="shared" si="9"/>
        <v>-10426.74</v>
      </c>
      <c r="O36" s="8">
        <f>IFERROR(N36/N444, "NA")</f>
        <v>0.71883466872939528</v>
      </c>
      <c r="P36" s="9"/>
      <c r="Q36" s="7">
        <v>92962.37</v>
      </c>
      <c r="R36" s="8">
        <f>IFERROR(Q36/Q444, "NA")</f>
        <v>0.10826562643630123</v>
      </c>
      <c r="S36" s="9"/>
      <c r="T36" s="7">
        <v>0</v>
      </c>
      <c r="U36" s="8">
        <f>IFERROR(T36/T444, "NA")</f>
        <v>0</v>
      </c>
      <c r="V36" s="9"/>
      <c r="W36" s="10">
        <f t="shared" si="10"/>
        <v>92962.37</v>
      </c>
      <c r="X36" s="8">
        <f>IFERROR(W36/W444, "NA")</f>
        <v>-1.0565694646025281</v>
      </c>
      <c r="Y36" s="9"/>
      <c r="Z36" s="7">
        <v>124416.77</v>
      </c>
      <c r="AA36" s="8">
        <f>IFERROR(Z36/Z444, "NA")</f>
        <v>0.14685030725937379</v>
      </c>
      <c r="AB36" s="9"/>
      <c r="AC36" s="10">
        <f t="shared" si="11"/>
        <v>-31454.400000000009</v>
      </c>
      <c r="AD36" s="8">
        <f>IFERROR(AC36/AC444, "NA")</f>
        <v>-2.7554139156532074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608.75</v>
      </c>
      <c r="C39" s="8">
        <f>IFERROR(B39/B444, "NA")</f>
        <v>8.0315938825048071E-3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608.75</v>
      </c>
      <c r="I39" s="8">
        <f>IFERROR(H39/H444, "NA")</f>
        <v>-2.6372244831473237E-2</v>
      </c>
      <c r="J39" s="9"/>
      <c r="K39" s="7">
        <v>1063.3599999999999</v>
      </c>
      <c r="L39" s="8">
        <f>IFERROR(K39/K444, "NA")</f>
        <v>1.1775926062918635E-2</v>
      </c>
      <c r="M39" s="9"/>
      <c r="N39" s="10">
        <f t="shared" si="9"/>
        <v>-454.6099999999999</v>
      </c>
      <c r="O39" s="8">
        <f>IFERROR(N39/N444, "NA")</f>
        <v>3.1341476698476256E-2</v>
      </c>
      <c r="P39" s="9"/>
      <c r="Q39" s="7">
        <v>6232.43</v>
      </c>
      <c r="R39" s="8">
        <f>IFERROR(Q39/Q444, "NA")</f>
        <v>7.2583986205428819E-3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6232.43</v>
      </c>
      <c r="X39" s="8">
        <f>IFERROR(W39/W444, "NA")</f>
        <v>-7.0835061845698807E-2</v>
      </c>
      <c r="Y39" s="9"/>
      <c r="Z39" s="7">
        <v>10122.459999999999</v>
      </c>
      <c r="AA39" s="8">
        <f>IFERROR(Z39/Z444, "NA")</f>
        <v>1.1947636650756328E-2</v>
      </c>
      <c r="AB39" s="9"/>
      <c r="AC39" s="10">
        <f t="shared" si="11"/>
        <v>-3890.0299999999988</v>
      </c>
      <c r="AD39" s="8">
        <f>IFERROR(AC39/AC444, "NA")</f>
        <v>-0.34076767620137216</v>
      </c>
    </row>
    <row r="40" spans="1:30" ht="16.5" customHeight="1" x14ac:dyDescent="0.45">
      <c r="A40" s="13" t="s">
        <v>40</v>
      </c>
      <c r="B40" s="14">
        <f>IFERROR(B31+B32+B33+B34+B35+B36+B37+B38+B39, "NA")</f>
        <v>15970.55</v>
      </c>
      <c r="C40" s="15">
        <f>IFERROR(B40/B444, "NA")</f>
        <v>0.21070878304761748</v>
      </c>
      <c r="D40" s="2"/>
      <c r="E40" s="14">
        <f>IFERROR(E31+E32+E33+E34+E35+E36+E37+E38+E39, "NA")</f>
        <v>21258.639999999999</v>
      </c>
      <c r="F40" s="15">
        <f>IFERROR(E40/E444, "NA")</f>
        <v>0.21499998988646546</v>
      </c>
      <c r="G40" s="2"/>
      <c r="H40" s="14">
        <f t="shared" si="8"/>
        <v>-5288.09</v>
      </c>
      <c r="I40" s="15">
        <f>IFERROR(H40/H444, "NA")</f>
        <v>0.22909043806302309</v>
      </c>
      <c r="J40" s="2"/>
      <c r="K40" s="14">
        <f>IFERROR(K31+K32+K33+K34+K35+K36+K37+K38+K39, "NA")</f>
        <v>29696.53</v>
      </c>
      <c r="L40" s="15">
        <f>IFERROR(K40/K444, "NA")</f>
        <v>0.32886712082948871</v>
      </c>
      <c r="M40" s="2"/>
      <c r="N40" s="14">
        <f t="shared" si="9"/>
        <v>-13725.98</v>
      </c>
      <c r="O40" s="15">
        <f>IFERROR(N40/N444, "NA")</f>
        <v>0.94628908808374468</v>
      </c>
      <c r="P40" s="2"/>
      <c r="Q40" s="14">
        <f>IFERROR(Q31+Q32+Q33+Q34+Q35+Q36+Q37+Q38+Q39, "NA")</f>
        <v>157008.68</v>
      </c>
      <c r="R40" s="15">
        <f>IFERROR(Q40/Q444, "NA")</f>
        <v>0.18285509605807987</v>
      </c>
      <c r="S40" s="2"/>
      <c r="T40" s="14">
        <f>IFERROR(T31+T32+T33+T34+T35+T36+T37+T38+T39, "NA")</f>
        <v>203526.73</v>
      </c>
      <c r="U40" s="15">
        <f>IFERROR(T40/T444, "NA")</f>
        <v>0.21500000533468025</v>
      </c>
      <c r="V40" s="2"/>
      <c r="W40" s="14">
        <f t="shared" si="10"/>
        <v>-46518.050000000017</v>
      </c>
      <c r="X40" s="15">
        <f>IFERROR(W40/W444, "NA")</f>
        <v>0.52870372369867136</v>
      </c>
      <c r="Y40" s="2"/>
      <c r="Z40" s="14">
        <f>IFERROR(Z31+Z32+Z33+Z34+Z35+Z36+Z37+Z38+Z39, "NA")</f>
        <v>182801.75999999998</v>
      </c>
      <c r="AA40" s="15">
        <f>IFERROR(Z40/Z444, "NA")</f>
        <v>0.21576267108971162</v>
      </c>
      <c r="AB40" s="2"/>
      <c r="AC40" s="14">
        <f t="shared" si="11"/>
        <v>-25793.079999999987</v>
      </c>
      <c r="AD40" s="15">
        <f>IFERROR(AC40/AC444, "NA")</f>
        <v>-2.2594807581628129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1735.77</v>
      </c>
      <c r="C43" s="8">
        <f>IFERROR(B43/B444, "NA")</f>
        <v>2.2901026223302454E-2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1735.77</v>
      </c>
      <c r="I43" s="8">
        <f>IFERROR(H43/H444, "NA")</f>
        <v>-7.5196963303698239E-2</v>
      </c>
      <c r="J43" s="9"/>
      <c r="K43" s="7">
        <v>9031.85</v>
      </c>
      <c r="L43" s="8">
        <f>IFERROR(K43/K444, "NA")</f>
        <v>0.10002106324421803</v>
      </c>
      <c r="M43" s="9"/>
      <c r="N43" s="10">
        <f>IFERROR(B43-K43, "NA")</f>
        <v>-7296.08</v>
      </c>
      <c r="O43" s="8">
        <f>IFERROR(N43/N444, "NA")</f>
        <v>0.50300240054160417</v>
      </c>
      <c r="P43" s="9"/>
      <c r="Q43" s="7">
        <v>45782.58</v>
      </c>
      <c r="R43" s="8">
        <f>IFERROR(Q43/Q444, "NA")</f>
        <v>5.3319205433016353E-2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45782.58</v>
      </c>
      <c r="X43" s="8">
        <f>IFERROR(W43/W444, "NA")</f>
        <v>-0.52034469472672029</v>
      </c>
      <c r="Y43" s="9"/>
      <c r="Z43" s="7">
        <v>9031.85</v>
      </c>
      <c r="AA43" s="8">
        <f>IFERROR(Z43/Z444, "NA")</f>
        <v>1.0660379204672931E-2</v>
      </c>
      <c r="AB43" s="9"/>
      <c r="AC43" s="10">
        <f>IFERROR(Q43-Z43, "NA")</f>
        <v>36750.730000000003</v>
      </c>
      <c r="AD43" s="8">
        <f>IFERROR(AC43/AC444, "NA")</f>
        <v>3.2193738507939678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14534.98</v>
      </c>
      <c r="F46" s="8">
        <f>IFERROR(E46/E444, "NA")</f>
        <v>0.14700002224977599</v>
      </c>
      <c r="G46" s="9"/>
      <c r="H46" s="10">
        <f t="shared" ref="H46:H62" si="12">IFERROR(B46-E46, "NA")</f>
        <v>-14534.98</v>
      </c>
      <c r="I46" s="8">
        <f>IFERROR(H46/H444, "NA")</f>
        <v>0.62968386230893936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139155.49</v>
      </c>
      <c r="U46" s="8">
        <f>IFERROR(T46/T444, "NA")</f>
        <v>0.14700000875732658</v>
      </c>
      <c r="V46" s="9"/>
      <c r="W46" s="10">
        <f t="shared" ref="W46:W62" si="14">IFERROR(Q46-T46, "NA")</f>
        <v>-139155.49</v>
      </c>
      <c r="X46" s="8">
        <f>IFERROR(W46/W444, "NA")</f>
        <v>1.5815801766435436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1612.57</v>
      </c>
      <c r="C47" s="8">
        <f>IFERROR(B47/B444, "NA")</f>
        <v>2.1275576750900659E-2</v>
      </c>
      <c r="D47" s="9"/>
      <c r="E47" s="7">
        <v>0</v>
      </c>
      <c r="F47" s="8">
        <f>IFERROR(E47/E444, "NA")</f>
        <v>0</v>
      </c>
      <c r="G47" s="9"/>
      <c r="H47" s="10">
        <f t="shared" si="12"/>
        <v>1612.57</v>
      </c>
      <c r="I47" s="8">
        <f>IFERROR(H47/H444, "NA")</f>
        <v>-6.9859697491398434E-2</v>
      </c>
      <c r="J47" s="9"/>
      <c r="K47" s="7">
        <v>0</v>
      </c>
      <c r="L47" s="8">
        <f>IFERROR(K47/K444, "NA")</f>
        <v>0</v>
      </c>
      <c r="M47" s="9"/>
      <c r="N47" s="10">
        <f t="shared" si="13"/>
        <v>1612.57</v>
      </c>
      <c r="O47" s="8">
        <f>IFERROR(N47/N444, "NA")</f>
        <v>-0.11117292861939214</v>
      </c>
      <c r="P47" s="9"/>
      <c r="Q47" s="7">
        <v>8715.9599999999991</v>
      </c>
      <c r="R47" s="8">
        <f>IFERROR(Q47/Q444, "NA")</f>
        <v>1.0150761747938915E-2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8715.9599999999991</v>
      </c>
      <c r="X47" s="8">
        <f>IFERROR(W47/W444, "NA")</f>
        <v>-9.9061772959285033E-2</v>
      </c>
      <c r="Y47" s="9"/>
      <c r="Z47" s="7">
        <v>4473.6000000000004</v>
      </c>
      <c r="AA47" s="8">
        <f>IFERROR(Z47/Z444, "NA")</f>
        <v>5.2802329987793007E-3</v>
      </c>
      <c r="AB47" s="9"/>
      <c r="AC47" s="10">
        <f t="shared" si="15"/>
        <v>4242.3599999999988</v>
      </c>
      <c r="AD47" s="8">
        <f>IFERROR(AC47/AC444, "NA")</f>
        <v>0.37163187913966045</v>
      </c>
    </row>
    <row r="48" spans="1:30" ht="16.5" customHeight="1" x14ac:dyDescent="0.45">
      <c r="A48" s="17" t="s">
        <v>46</v>
      </c>
      <c r="B48" s="7">
        <v>2005.97</v>
      </c>
      <c r="C48" s="8">
        <f>IFERROR(B48/B444, "NA")</f>
        <v>2.6465932452547299E-2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2005.97</v>
      </c>
      <c r="I48" s="8">
        <f>IFERROR(H48/H444, "NA")</f>
        <v>-8.6902557642037567E-2</v>
      </c>
      <c r="J48" s="9"/>
      <c r="K48" s="7">
        <v>3071.15</v>
      </c>
      <c r="L48" s="8">
        <f>IFERROR(K48/K444, "NA")</f>
        <v>3.4010716340780706E-2</v>
      </c>
      <c r="M48" s="9"/>
      <c r="N48" s="10">
        <f t="shared" si="13"/>
        <v>-1065.18</v>
      </c>
      <c r="O48" s="8">
        <f>IFERROR(N48/N444, "NA")</f>
        <v>7.3435063350306737E-2</v>
      </c>
      <c r="P48" s="9"/>
      <c r="Q48" s="7">
        <v>44022.559999999998</v>
      </c>
      <c r="R48" s="8">
        <f>IFERROR(Q48/Q444, "NA")</f>
        <v>5.1269454895885906E-2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44022.559999999998</v>
      </c>
      <c r="X48" s="8">
        <f>IFERROR(W48/W444, "NA")</f>
        <v>-0.50034108047839865</v>
      </c>
      <c r="Y48" s="9"/>
      <c r="Z48" s="7">
        <v>63383.22</v>
      </c>
      <c r="AA48" s="8">
        <f>IFERROR(Z48/Z444, "NA")</f>
        <v>7.4811822651307258E-2</v>
      </c>
      <c r="AB48" s="9"/>
      <c r="AC48" s="10">
        <f t="shared" si="15"/>
        <v>-19360.660000000003</v>
      </c>
      <c r="AD48" s="8">
        <f>IFERROR(AC48/AC444, "NA")</f>
        <v>-1.6959990328930268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420</v>
      </c>
      <c r="L49" s="8">
        <f>IFERROR(K49/K444, "NA")</f>
        <v>4.651189574956578E-3</v>
      </c>
      <c r="M49" s="9"/>
      <c r="N49" s="10">
        <f t="shared" si="13"/>
        <v>-420</v>
      </c>
      <c r="O49" s="8">
        <f>IFERROR(N49/N444, "NA")</f>
        <v>2.8955412800774356E-2</v>
      </c>
      <c r="P49" s="9"/>
      <c r="Q49" s="7">
        <v>27.5</v>
      </c>
      <c r="R49" s="8">
        <f>IFERROR(Q49/Q444, "NA")</f>
        <v>3.2026988199615441E-5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-3.1255292089228713E-4</v>
      </c>
      <c r="Y49" s="9"/>
      <c r="Z49" s="7">
        <v>420</v>
      </c>
      <c r="AA49" s="8">
        <f>IFERROR(Z49/Z444, "NA")</f>
        <v>4.9573002939183348E-4</v>
      </c>
      <c r="AB49" s="9"/>
      <c r="AC49" s="10">
        <f t="shared" si="15"/>
        <v>-392.5</v>
      </c>
      <c r="AD49" s="8">
        <f>IFERROR(AC49/AC444, "NA")</f>
        <v>-3.4383105762433357E-2</v>
      </c>
    </row>
    <row r="50" spans="1:30" ht="16.5" customHeight="1" x14ac:dyDescent="0.45">
      <c r="A50" s="17" t="s">
        <v>48</v>
      </c>
      <c r="B50" s="7">
        <v>5758</v>
      </c>
      <c r="C50" s="8">
        <f>IFERROR(B50/B444, "NA")</f>
        <v>7.5968653101376071E-2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5758</v>
      </c>
      <c r="I50" s="8">
        <f>IFERROR(H50/H444, "NA")</f>
        <v>-0.24944786158459614</v>
      </c>
      <c r="J50" s="9"/>
      <c r="K50" s="7">
        <v>1810</v>
      </c>
      <c r="L50" s="8">
        <f>IFERROR(K50/K444, "NA")</f>
        <v>2.0044412215884301E-2</v>
      </c>
      <c r="M50" s="9"/>
      <c r="N50" s="10">
        <f t="shared" si="13"/>
        <v>3948</v>
      </c>
      <c r="O50" s="8">
        <f>IFERROR(N50/N444, "NA")</f>
        <v>-0.27218088032727894</v>
      </c>
      <c r="P50" s="9"/>
      <c r="Q50" s="7">
        <v>26585.07</v>
      </c>
      <c r="R50" s="8">
        <f>IFERROR(Q50/Q444, "NA")</f>
        <v>3.096144447912547E-2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26585.07</v>
      </c>
      <c r="X50" s="8">
        <f>IFERROR(W50/W444, "NA")</f>
        <v>-0.30215422838639694</v>
      </c>
      <c r="Y50" s="9"/>
      <c r="Z50" s="7">
        <v>25917.59</v>
      </c>
      <c r="AA50" s="8">
        <f>IFERROR(Z50/Z444, "NA")</f>
        <v>3.0590780124917831E-2</v>
      </c>
      <c r="AB50" s="9"/>
      <c r="AC50" s="10">
        <f t="shared" si="15"/>
        <v>667.47999999999956</v>
      </c>
      <c r="AD50" s="8">
        <f>IFERROR(AC50/AC444, "NA")</f>
        <v>5.8471427858112102E-2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1377.7</v>
      </c>
      <c r="AA54" s="8">
        <f>IFERROR(Z54/Z444, "NA")</f>
        <v>1.6261125273645928E-3</v>
      </c>
      <c r="AB54" s="9"/>
      <c r="AC54" s="10">
        <f t="shared" si="15"/>
        <v>-1377.7</v>
      </c>
      <c r="AD54" s="8">
        <f>IFERROR(AC54/AC444, "NA")</f>
        <v>-0.12068689123287754</v>
      </c>
    </row>
    <row r="55" spans="1:30" ht="16.5" customHeight="1" x14ac:dyDescent="0.45">
      <c r="A55" s="17" t="s">
        <v>53</v>
      </c>
      <c r="B55" s="7">
        <v>40.64</v>
      </c>
      <c r="C55" s="8">
        <f>IFERROR(B55/B444, "NA")</f>
        <v>5.3618722855851395E-4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40.64</v>
      </c>
      <c r="I55" s="8">
        <f>IFERROR(H55/H444, "NA")</f>
        <v>-1.760604566654739E-3</v>
      </c>
      <c r="J55" s="9"/>
      <c r="K55" s="7">
        <v>0</v>
      </c>
      <c r="L55" s="8">
        <f>IFERROR(K55/K444, "NA")</f>
        <v>0</v>
      </c>
      <c r="M55" s="9"/>
      <c r="N55" s="10">
        <f t="shared" si="13"/>
        <v>40.64</v>
      </c>
      <c r="O55" s="8">
        <f>IFERROR(N55/N444, "NA")</f>
        <v>-2.8017808957701662E-3</v>
      </c>
      <c r="P55" s="9"/>
      <c r="Q55" s="7">
        <v>3129.88</v>
      </c>
      <c r="R55" s="8">
        <f>IFERROR(Q55/Q444, "NA")</f>
        <v>3.6451138118622681E-3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3129.88</v>
      </c>
      <c r="X55" s="8">
        <f>IFERROR(W55/W444, "NA")</f>
        <v>-3.5572841310630966E-2</v>
      </c>
      <c r="Y55" s="9"/>
      <c r="Z55" s="7">
        <v>2934</v>
      </c>
      <c r="AA55" s="8">
        <f>IFERROR(Z55/Z444, "NA")</f>
        <v>3.4630283481800936E-3</v>
      </c>
      <c r="AB55" s="9"/>
      <c r="AC55" s="10">
        <f t="shared" si="15"/>
        <v>195.88000000000011</v>
      </c>
      <c r="AD55" s="8">
        <f>IFERROR(AC55/AC444, "NA")</f>
        <v>1.7159140781517066E-2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170</v>
      </c>
      <c r="L56" s="8">
        <f>IFERROR(K56/K444, "NA")</f>
        <v>1.8826243517681388E-3</v>
      </c>
      <c r="M56" s="9"/>
      <c r="N56" s="10">
        <f t="shared" si="13"/>
        <v>-170</v>
      </c>
      <c r="O56" s="8">
        <f>IFERROR(N56/N444, "NA")</f>
        <v>1.1720048038408667E-2</v>
      </c>
      <c r="P56" s="9"/>
      <c r="Q56" s="7">
        <v>54.95</v>
      </c>
      <c r="R56" s="8">
        <f>IFERROR(Q56/Q444, "NA")</f>
        <v>6.3995745511595219E-5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-6.2453756374658824E-4</v>
      </c>
      <c r="Y56" s="9"/>
      <c r="Z56" s="7">
        <v>1372.05</v>
      </c>
      <c r="AA56" s="8">
        <f>IFERROR(Z56/Z444, "NA")</f>
        <v>1.6194437781596788E-3</v>
      </c>
      <c r="AB56" s="9"/>
      <c r="AC56" s="10">
        <f t="shared" si="15"/>
        <v>-1317.1</v>
      </c>
      <c r="AD56" s="8">
        <f>IFERROR(AC56/AC444, "NA")</f>
        <v>-0.11537831490369672</v>
      </c>
    </row>
    <row r="57" spans="1:30" ht="16.5" customHeight="1" x14ac:dyDescent="0.45">
      <c r="A57" s="17" t="s">
        <v>55</v>
      </c>
      <c r="B57" s="7">
        <v>1946.68</v>
      </c>
      <c r="C57" s="8">
        <f>IFERROR(B57/B444, "NA")</f>
        <v>2.5683684893953937E-2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1946.68</v>
      </c>
      <c r="I57" s="8">
        <f>IFERROR(H57/H444, "NA")</f>
        <v>-8.433399846986829E-2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1946.68</v>
      </c>
      <c r="O57" s="8">
        <f>IFERROR(N57/N444, "NA")</f>
        <v>-0.13420695950240816</v>
      </c>
      <c r="P57" s="9"/>
      <c r="Q57" s="7">
        <v>10462.51</v>
      </c>
      <c r="R57" s="8">
        <f>IFERROR(Q57/Q444, "NA")</f>
        <v>1.218482488394031E-2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10462.51</v>
      </c>
      <c r="X57" s="8">
        <f>IFERROR(W57/W444, "NA")</f>
        <v>-0.1189122931041732</v>
      </c>
      <c r="Y57" s="9"/>
      <c r="Z57" s="7">
        <v>14356.41</v>
      </c>
      <c r="AA57" s="8">
        <f>IFERROR(Z57/Z444, "NA")</f>
        <v>1.6945008455383836E-2</v>
      </c>
      <c r="AB57" s="9"/>
      <c r="AC57" s="10">
        <f t="shared" si="15"/>
        <v>-3893.8999999999996</v>
      </c>
      <c r="AD57" s="8">
        <f>IFERROR(AC57/AC444, "NA")</f>
        <v>-0.34110668924417636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11363.86</v>
      </c>
      <c r="C61" s="15">
        <f>IFERROR(B61/B444, "NA")</f>
        <v>0.14993003442733649</v>
      </c>
      <c r="D61" s="2"/>
      <c r="E61" s="14">
        <f>IFERROR(E46+E47+E48+E49+E50+E51+E52+E53+E54+E55+E56+E57+E58+E59+E60, "NA")</f>
        <v>14534.98</v>
      </c>
      <c r="F61" s="15">
        <f>IFERROR(E61/E444, "NA")</f>
        <v>0.14700002224977599</v>
      </c>
      <c r="G61" s="2"/>
      <c r="H61" s="14">
        <f t="shared" si="12"/>
        <v>-3171.119999999999</v>
      </c>
      <c r="I61" s="15">
        <f>IFERROR(H61/H444, "NA")</f>
        <v>0.13737914255438421</v>
      </c>
      <c r="J61" s="2"/>
      <c r="K61" s="14">
        <f>IFERROR(K46+K47+K48+K49+K50+K51+K52+K53+K54+K55+K56+K57+K58+K59+K60, "NA")</f>
        <v>5471.15</v>
      </c>
      <c r="L61" s="15">
        <f>IFERROR(K61/K444, "NA")</f>
        <v>6.0588942483389717E-2</v>
      </c>
      <c r="M61" s="2"/>
      <c r="N61" s="14">
        <f t="shared" si="13"/>
        <v>5892.7100000000009</v>
      </c>
      <c r="O61" s="15">
        <f>IFERROR(N61/N444, "NA")</f>
        <v>-0.40625202515535969</v>
      </c>
      <c r="P61" s="2"/>
      <c r="Q61" s="14">
        <f>IFERROR(Q46+Q47+Q48+Q49+Q50+Q51+Q52+Q53+Q54+Q55+Q56+Q57+Q58+Q59+Q60, "NA")</f>
        <v>92998.43</v>
      </c>
      <c r="R61" s="15">
        <f>IFERROR(Q61/Q444, "NA")</f>
        <v>0.10830762255246408</v>
      </c>
      <c r="S61" s="2"/>
      <c r="T61" s="14">
        <f>IFERROR(T46+T47+T48+T49+T50+T51+T52+T53+T54+T55+T56+T57+T58+T59+T60, "NA")</f>
        <v>139155.49</v>
      </c>
      <c r="U61" s="15">
        <f>IFERROR(T61/T444, "NA")</f>
        <v>0.14700000875732658</v>
      </c>
      <c r="V61" s="2"/>
      <c r="W61" s="14">
        <f t="shared" si="14"/>
        <v>-46157.06</v>
      </c>
      <c r="X61" s="15">
        <f>IFERROR(W61/W444, "NA")</f>
        <v>0.52460086992001997</v>
      </c>
      <c r="Y61" s="2"/>
      <c r="Z61" s="14">
        <f>IFERROR(Z46+Z47+Z48+Z49+Z50+Z51+Z52+Z53+Z54+Z55+Z56+Z57+Z58+Z59+Z60, "NA")</f>
        <v>114234.57</v>
      </c>
      <c r="AA61" s="15">
        <f>IFERROR(Z61/Z444, "NA")</f>
        <v>0.13483215891348443</v>
      </c>
      <c r="AB61" s="2"/>
      <c r="AC61" s="14">
        <f t="shared" si="15"/>
        <v>-21236.140000000014</v>
      </c>
      <c r="AD61" s="15">
        <f>IFERROR(AC61/AC444, "NA")</f>
        <v>-1.860291586256922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13099.630000000001</v>
      </c>
      <c r="C62" s="15">
        <f>IFERROR(B62/B444, "NA")</f>
        <v>0.17283106065063894</v>
      </c>
      <c r="D62" s="2"/>
      <c r="E62" s="14">
        <f>IFERROR(E42+E43+E44+E46+E47+E48+E49+E50+E51+E52+E53+E54+E55+E56+E57+E58+E59+E60, "NA")</f>
        <v>14534.98</v>
      </c>
      <c r="F62" s="15">
        <f>IFERROR(E62/E444, "NA")</f>
        <v>0.14700002224977599</v>
      </c>
      <c r="G62" s="2"/>
      <c r="H62" s="14">
        <f t="shared" si="12"/>
        <v>-1435.3499999999985</v>
      </c>
      <c r="I62" s="15">
        <f>IFERROR(H62/H444, "NA")</f>
        <v>6.2182179250685948E-2</v>
      </c>
      <c r="J62" s="2"/>
      <c r="K62" s="14">
        <f>IFERROR(K42+K43+K44+K46+K47+K48+K49+K50+K51+K52+K53+K54+K55+K56+K57+K58+K59+K60, "NA")</f>
        <v>14503</v>
      </c>
      <c r="L62" s="15">
        <f>IFERROR(K62/K444, "NA")</f>
        <v>0.16061000572760775</v>
      </c>
      <c r="M62" s="2"/>
      <c r="N62" s="14">
        <f t="shared" si="13"/>
        <v>-1403.369999999999</v>
      </c>
      <c r="O62" s="15">
        <f>IFERROR(N62/N444, "NA")</f>
        <v>9.6750375386244467E-2</v>
      </c>
      <c r="P62" s="2"/>
      <c r="Q62" s="14">
        <f>IFERROR(Q42+Q43+Q44+Q46+Q47+Q48+Q49+Q50+Q51+Q52+Q53+Q54+Q55+Q56+Q57+Q58+Q59+Q60, "NA")</f>
        <v>138781.01</v>
      </c>
      <c r="R62" s="15">
        <f>IFERROR(Q62/Q444, "NA")</f>
        <v>0.16162682798548045</v>
      </c>
      <c r="S62" s="2"/>
      <c r="T62" s="14">
        <f>IFERROR(T42+T43+T44+T46+T47+T48+T49+T50+T51+T52+T53+T54+T55+T56+T57+T58+T59+T60, "NA")</f>
        <v>139155.49</v>
      </c>
      <c r="U62" s="15">
        <f>IFERROR(T62/T444, "NA")</f>
        <v>0.14700000875732658</v>
      </c>
      <c r="V62" s="2"/>
      <c r="W62" s="14">
        <f t="shared" si="14"/>
        <v>-374.47999999998137</v>
      </c>
      <c r="X62" s="15">
        <f>IFERROR(W62/W444, "NA")</f>
        <v>4.2561751932995587E-3</v>
      </c>
      <c r="Y62" s="2"/>
      <c r="Z62" s="14">
        <f>IFERROR(Z42+Z43+Z44+Z46+Z47+Z48+Z49+Z50+Z51+Z52+Z53+Z54+Z55+Z56+Z57+Z58+Z59+Z60, "NA")</f>
        <v>123266.42</v>
      </c>
      <c r="AA62" s="15">
        <f>IFERROR(Z62/Z444, "NA")</f>
        <v>0.14549253811815735</v>
      </c>
      <c r="AB62" s="2"/>
      <c r="AC62" s="14">
        <f t="shared" si="15"/>
        <v>15514.590000000011</v>
      </c>
      <c r="AD62" s="15">
        <f>IFERROR(AC62/AC444, "NA")</f>
        <v>1.3590822645370477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3117.92</v>
      </c>
      <c r="C65" s="8">
        <f>IFERROR(B65/B444, "NA")</f>
        <v>4.1136537491810087E-2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3117.92</v>
      </c>
      <c r="I65" s="8">
        <f>IFERROR(H65/H444, "NA")</f>
        <v>-0.13507441413543661</v>
      </c>
      <c r="J65" s="9"/>
      <c r="K65" s="7">
        <v>0</v>
      </c>
      <c r="L65" s="8">
        <f>IFERROR(K65/K444, "NA")</f>
        <v>0</v>
      </c>
      <c r="M65" s="9"/>
      <c r="N65" s="10">
        <f t="shared" si="17"/>
        <v>3117.92</v>
      </c>
      <c r="O65" s="8">
        <f>IFERROR(N65/N444, "NA")</f>
        <v>-0.2149539539995009</v>
      </c>
      <c r="P65" s="9"/>
      <c r="Q65" s="7">
        <v>43530.47</v>
      </c>
      <c r="R65" s="8">
        <f>IFERROR(Q65/Q444, "NA")</f>
        <v>5.0696358145953233E-2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43530.47</v>
      </c>
      <c r="X65" s="8">
        <f>IFERROR(W65/W444, "NA")</f>
        <v>-0.49474820168414829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43530.47</v>
      </c>
      <c r="AD65" s="8">
        <f>IFERROR(AC65/AC444, "NA")</f>
        <v>3.8132809016520568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1490.1</v>
      </c>
      <c r="L66" s="8">
        <f>IFERROR(K66/K444, "NA")</f>
        <v>1.6501756156292374E-2</v>
      </c>
      <c r="M66" s="9"/>
      <c r="N66" s="10">
        <f t="shared" si="17"/>
        <v>-1490.1</v>
      </c>
      <c r="O66" s="8">
        <f>IFERROR(N66/N444, "NA")</f>
        <v>0.10272966812960443</v>
      </c>
      <c r="P66" s="9"/>
      <c r="Q66" s="7">
        <v>6889.38</v>
      </c>
      <c r="R66" s="8">
        <f>IFERROR(Q66/Q444, "NA")</f>
        <v>8.023494253187876E-3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-7.8301666986796553E-2</v>
      </c>
      <c r="Y66" s="9"/>
      <c r="Z66" s="7">
        <v>1490.1</v>
      </c>
      <c r="AA66" s="8">
        <f>IFERROR(Z66/Z444, "NA")</f>
        <v>1.7587793257065976E-3</v>
      </c>
      <c r="AB66" s="9"/>
      <c r="AC66" s="10">
        <f t="shared" si="19"/>
        <v>5399.2800000000007</v>
      </c>
      <c r="AD66" s="8">
        <f>IFERROR(AC66/AC444, "NA")</f>
        <v>0.47297838288150618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15554.45</v>
      </c>
      <c r="R68" s="8">
        <f>IFERROR(Q68/Q444, "NA")</f>
        <v>1.8114988603691214E-2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15554.45</v>
      </c>
      <c r="X68" s="8">
        <f>IFERROR(W68/W444, "NA")</f>
        <v>-0.17678504655901947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15554.45</v>
      </c>
      <c r="AD68" s="8">
        <f>IFERROR(AC68/AC444, "NA")</f>
        <v>1.3625740112776599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13479.54</v>
      </c>
      <c r="R70" s="8">
        <f>IFERROR(Q70/Q444, "NA")</f>
        <v>1.5698511582408883E-2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13479.54</v>
      </c>
      <c r="X70" s="8">
        <f>IFERROR(W70/W444, "NA")</f>
        <v>-0.15320253088306982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13479.54</v>
      </c>
      <c r="AD70" s="8">
        <f>IFERROR(AC70/AC444, "NA")</f>
        <v>1.1808113361756711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3117.92</v>
      </c>
      <c r="C73" s="15">
        <f>IFERROR(B73/B444, "NA")</f>
        <v>4.1136537491810087E-2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3117.92</v>
      </c>
      <c r="I73" s="15">
        <f>IFERROR(H73/H444, "NA")</f>
        <v>-0.13507441413543661</v>
      </c>
      <c r="J73" s="2"/>
      <c r="K73" s="14">
        <f>IFERROR(K64+K65+K66+K67+K68+K69+K70+K71+K72, "NA")</f>
        <v>1490.1</v>
      </c>
      <c r="L73" s="15">
        <f>IFERROR(K73/K444, "NA")</f>
        <v>1.6501756156292374E-2</v>
      </c>
      <c r="M73" s="2"/>
      <c r="N73" s="14">
        <f t="shared" si="17"/>
        <v>1627.8200000000002</v>
      </c>
      <c r="O73" s="15">
        <f>IFERROR(N73/N444, "NA")</f>
        <v>-0.11222428586989647</v>
      </c>
      <c r="P73" s="2"/>
      <c r="Q73" s="14">
        <f>IFERROR(Q64+Q65+Q66+Q67+Q68+Q69+Q70+Q71+Q72, "NA")</f>
        <v>79453.84</v>
      </c>
      <c r="R73" s="15">
        <f>IFERROR(Q73/Q444, "NA")</f>
        <v>9.2533352585241202E-2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79453.84</v>
      </c>
      <c r="X73" s="15">
        <f>IFERROR(W73/W444, "NA")</f>
        <v>-0.90303744611303405</v>
      </c>
      <c r="Y73" s="2"/>
      <c r="Z73" s="14">
        <f>IFERROR(Z64+Z65+Z66+Z67+Z68+Z69+Z70+Z71+Z72, "NA")</f>
        <v>1490.1</v>
      </c>
      <c r="AA73" s="15">
        <f>IFERROR(Z73/Z444, "NA")</f>
        <v>1.7587793257065976E-3</v>
      </c>
      <c r="AB73" s="2"/>
      <c r="AC73" s="14">
        <f t="shared" si="19"/>
        <v>77963.739999999991</v>
      </c>
      <c r="AD73" s="15">
        <f>IFERROR(AC73/AC444, "NA")</f>
        <v>6.8296446319868931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791.02</v>
      </c>
      <c r="F75" s="8">
        <f>IFERROR(E75/E444, "NA")</f>
        <v>8.0000080908276313E-3</v>
      </c>
      <c r="G75" s="9"/>
      <c r="H75" s="10">
        <f t="shared" ref="H75:H92" si="20">IFERROR(B75-E75, "NA")</f>
        <v>-791.02</v>
      </c>
      <c r="I75" s="8">
        <f>IFERROR(H75/H444, "NA")</f>
        <v>3.4268538984134636E-2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7573.1</v>
      </c>
      <c r="U75" s="8">
        <f>IFERROR(T75/T444, "NA")</f>
        <v>8.0000132680364249E-3</v>
      </c>
      <c r="V75" s="9"/>
      <c r="W75" s="10">
        <f t="shared" ref="W75:W92" si="22">IFERROR(Q75-T75, "NA")</f>
        <v>-7573.1</v>
      </c>
      <c r="X75" s="8">
        <f>IFERROR(W75/W444, "NA")</f>
        <v>8.6072528189431993E-2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163.98</v>
      </c>
      <c r="C77" s="8">
        <f>IFERROR(B77/B444, "NA")</f>
        <v>2.1634838026334921E-3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163.98</v>
      </c>
      <c r="I77" s="8">
        <f>IFERROR(H77/H444, "NA")</f>
        <v>-7.1039354537412421E-3</v>
      </c>
      <c r="J77" s="9"/>
      <c r="K77" s="7">
        <v>352.08</v>
      </c>
      <c r="L77" s="8">
        <f>IFERROR(K77/K444, "NA")</f>
        <v>3.8990257751207427E-3</v>
      </c>
      <c r="M77" s="9"/>
      <c r="N77" s="10">
        <f t="shared" si="21"/>
        <v>-188.1</v>
      </c>
      <c r="O77" s="8">
        <f>IFERROR(N77/N444, "NA")</f>
        <v>1.2967888447203943E-2</v>
      </c>
      <c r="P77" s="9"/>
      <c r="Q77" s="7">
        <v>2176.2800000000002</v>
      </c>
      <c r="R77" s="8">
        <f>IFERROR(Q77/Q444, "NA")</f>
        <v>2.5345343228748759E-3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2176.2800000000002</v>
      </c>
      <c r="X77" s="8">
        <f>IFERROR(W77/W444, "NA")</f>
        <v>-2.4734642570162425E-2</v>
      </c>
      <c r="Y77" s="9"/>
      <c r="Z77" s="7">
        <v>974</v>
      </c>
      <c r="AA77" s="8">
        <f>IFERROR(Z77/Z444, "NA")</f>
        <v>1.1496215443515376E-3</v>
      </c>
      <c r="AB77" s="9"/>
      <c r="AC77" s="10">
        <f t="shared" si="23"/>
        <v>1202.2800000000002</v>
      </c>
      <c r="AD77" s="8">
        <f>IFERROR(AC77/AC444, "NA")</f>
        <v>0.10532005196447995</v>
      </c>
    </row>
    <row r="78" spans="1:30" ht="16.5" customHeight="1" x14ac:dyDescent="0.45">
      <c r="A78" s="12" t="s">
        <v>74</v>
      </c>
      <c r="B78" s="7">
        <v>75</v>
      </c>
      <c r="C78" s="8">
        <f>IFERROR(B78/B444, "NA")</f>
        <v>9.8951875349135199E-4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75</v>
      </c>
      <c r="I78" s="8">
        <f>IFERROR(H78/H444, "NA")</f>
        <v>-3.2491472071630272E-3</v>
      </c>
      <c r="J78" s="9"/>
      <c r="K78" s="7">
        <v>0</v>
      </c>
      <c r="L78" s="8">
        <f>IFERROR(K78/K444, "NA")</f>
        <v>0</v>
      </c>
      <c r="M78" s="9"/>
      <c r="N78" s="10">
        <f t="shared" si="21"/>
        <v>75</v>
      </c>
      <c r="O78" s="8">
        <f>IFERROR(N78/N444, "NA")</f>
        <v>-5.1706094287097062E-3</v>
      </c>
      <c r="P78" s="9"/>
      <c r="Q78" s="7">
        <v>475</v>
      </c>
      <c r="R78" s="8">
        <f>IFERROR(Q78/Q444, "NA")</f>
        <v>5.5319343253881206E-4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475</v>
      </c>
      <c r="X78" s="8">
        <f>IFERROR(W78/W444, "NA")</f>
        <v>-5.3986413608667775E-3</v>
      </c>
      <c r="Y78" s="9"/>
      <c r="Z78" s="7">
        <v>300</v>
      </c>
      <c r="AA78" s="8">
        <f>IFERROR(Z78/Z444, "NA")</f>
        <v>3.540928781370239E-4</v>
      </c>
      <c r="AB78" s="9"/>
      <c r="AC78" s="10">
        <f t="shared" si="23"/>
        <v>175</v>
      </c>
      <c r="AD78" s="8">
        <f>IFERROR(AC78/AC444, "NA")</f>
        <v>1.5330047155225061E-2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50.83</v>
      </c>
      <c r="AA79" s="8">
        <f>IFERROR(Z79/Z444, "NA")</f>
        <v>5.9995136652349745E-5</v>
      </c>
      <c r="AB79" s="9"/>
      <c r="AC79" s="10">
        <f t="shared" si="23"/>
        <v>-50.83</v>
      </c>
      <c r="AD79" s="8">
        <f>IFERROR(AC79/AC444, "NA")</f>
        <v>-4.4527216965719423E-3</v>
      </c>
    </row>
    <row r="80" spans="1:30" ht="16.5" customHeight="1" x14ac:dyDescent="0.45">
      <c r="A80" s="12" t="s">
        <v>76</v>
      </c>
      <c r="B80" s="7">
        <v>185.66</v>
      </c>
      <c r="C80" s="8">
        <f>IFERROR(B80/B444, "NA")</f>
        <v>2.4495206903093923E-3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185.66</v>
      </c>
      <c r="I80" s="8">
        <f>IFERROR(H80/H444, "NA")</f>
        <v>-8.0431556064251685E-3</v>
      </c>
      <c r="J80" s="9"/>
      <c r="K80" s="7">
        <v>307.81</v>
      </c>
      <c r="L80" s="8">
        <f>IFERROR(K80/K444, "NA")</f>
        <v>3.4087682453985339E-3</v>
      </c>
      <c r="M80" s="9"/>
      <c r="N80" s="10">
        <f t="shared" si="21"/>
        <v>-122.15</v>
      </c>
      <c r="O80" s="8">
        <f>IFERROR(N80/N444, "NA")</f>
        <v>8.4211992228918758E-3</v>
      </c>
      <c r="P80" s="9"/>
      <c r="Q80" s="7">
        <v>4137</v>
      </c>
      <c r="R80" s="8">
        <f>IFERROR(Q80/Q444, "NA")</f>
        <v>4.818023642974875E-3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4137</v>
      </c>
      <c r="X80" s="8">
        <f>IFERROR(W80/W444, "NA")</f>
        <v>-4.7019324862959698E-2</v>
      </c>
      <c r="Y80" s="9"/>
      <c r="Z80" s="7">
        <v>5324.37</v>
      </c>
      <c r="AA80" s="8">
        <f>IFERROR(Z80/Z444, "NA")</f>
        <v>6.2844049918880859E-3</v>
      </c>
      <c r="AB80" s="9"/>
      <c r="AC80" s="10">
        <f t="shared" si="23"/>
        <v>-1187.3699999999999</v>
      </c>
      <c r="AD80" s="8">
        <f>IFERROR(AC80/AC444, "NA")</f>
        <v>-0.10401393194685474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2.9115443817832215E-5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-2.8413901899298826E-4</v>
      </c>
      <c r="Y82" s="9"/>
      <c r="Z82" s="7">
        <v>100</v>
      </c>
      <c r="AA82" s="8">
        <f>IFERROR(Z82/Z444, "NA")</f>
        <v>1.1803095937900797E-4</v>
      </c>
      <c r="AB82" s="9"/>
      <c r="AC82" s="10">
        <f t="shared" si="23"/>
        <v>-75</v>
      </c>
      <c r="AD82" s="8">
        <f>IFERROR(AC82/AC444, "NA")</f>
        <v>-6.5700202093821698E-3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145.97999999999999</v>
      </c>
      <c r="AA85" s="8">
        <f>IFERROR(Z85/Z444, "NA")</f>
        <v>1.7230159450147583E-4</v>
      </c>
      <c r="AB85" s="9"/>
      <c r="AC85" s="10">
        <f t="shared" si="23"/>
        <v>-145.97999999999999</v>
      </c>
      <c r="AD85" s="8">
        <f>IFERROR(AC85/AC444, "NA")</f>
        <v>-1.2787887335541454E-2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3.2983958449711733E-4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-1.0830490690543423E-3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-1.7235364762365687E-3</v>
      </c>
      <c r="P86" s="9"/>
      <c r="Q86" s="7">
        <v>175</v>
      </c>
      <c r="R86" s="8">
        <f>IFERROR(Q86/Q444, "NA")</f>
        <v>2.0380810672482552E-4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175</v>
      </c>
      <c r="X86" s="8">
        <f>IFERROR(W86/W444, "NA")</f>
        <v>-1.9889731329509179E-3</v>
      </c>
      <c r="Y86" s="9"/>
      <c r="Z86" s="7">
        <v>820</v>
      </c>
      <c r="AA86" s="8">
        <f>IFERROR(Z86/Z444, "NA")</f>
        <v>9.6785386690786534E-4</v>
      </c>
      <c r="AB86" s="9"/>
      <c r="AC86" s="10">
        <f t="shared" si="23"/>
        <v>-645</v>
      </c>
      <c r="AD86" s="8">
        <f>IFERROR(AC86/AC444, "NA")</f>
        <v>-5.6502173800686659E-2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449.64</v>
      </c>
      <c r="C88" s="15">
        <f>IFERROR(B88/B444, "NA")</f>
        <v>5.9323628309313533E-3</v>
      </c>
      <c r="D88" s="2"/>
      <c r="E88" s="14">
        <f>IFERROR(E75+E76+E77+E78+E79+E80+E81+E82+E83+E84+E85+E86+E87, "NA")</f>
        <v>791.02</v>
      </c>
      <c r="F88" s="15">
        <f>IFERROR(E88/E444, "NA")</f>
        <v>8.0000080908276313E-3</v>
      </c>
      <c r="G88" s="2"/>
      <c r="H88" s="14">
        <f t="shared" si="20"/>
        <v>-341.38</v>
      </c>
      <c r="I88" s="15">
        <f>IFERROR(H88/H444, "NA")</f>
        <v>1.4789251647750856E-2</v>
      </c>
      <c r="J88" s="2"/>
      <c r="K88" s="14">
        <f>IFERROR(K75+K76+K77+K78+K79+K80+K81+K82+K83+K84+K85+K86+K87, "NA")</f>
        <v>659.89</v>
      </c>
      <c r="L88" s="15">
        <f>IFERROR(K88/K444, "NA")</f>
        <v>7.3077940205192767E-3</v>
      </c>
      <c r="M88" s="2"/>
      <c r="N88" s="14">
        <f t="shared" si="21"/>
        <v>-210.25</v>
      </c>
      <c r="O88" s="15">
        <f>IFERROR(N88/N444, "NA")</f>
        <v>1.4494941765149543E-2</v>
      </c>
      <c r="P88" s="2"/>
      <c r="Q88" s="14">
        <f>IFERROR(Q75+Q76+Q77+Q78+Q79+Q80+Q81+Q82+Q83+Q84+Q85+Q86+Q87, "NA")</f>
        <v>6988.2800000000007</v>
      </c>
      <c r="R88" s="15">
        <f>IFERROR(Q88/Q444, "NA")</f>
        <v>8.1386749489312221E-3</v>
      </c>
      <c r="S88" s="2"/>
      <c r="T88" s="14">
        <f>IFERROR(T75+T76+T77+T78+T79+T80+T81+T82+T83+T84+T85+T86+T87, "NA")</f>
        <v>7573.1</v>
      </c>
      <c r="U88" s="15">
        <f>IFERROR(T88/T444, "NA")</f>
        <v>8.0000132680364249E-3</v>
      </c>
      <c r="V88" s="2"/>
      <c r="W88" s="14">
        <f t="shared" si="22"/>
        <v>-584.81999999999971</v>
      </c>
      <c r="X88" s="15">
        <f>IFERROR(W88/W444, "NA")</f>
        <v>6.6468072434991733E-3</v>
      </c>
      <c r="Y88" s="2"/>
      <c r="Z88" s="14">
        <f>IFERROR(Z75+Z76+Z77+Z78+Z79+Z80+Z81+Z82+Z83+Z84+Z85+Z86+Z87, "NA")</f>
        <v>7715.1799999999994</v>
      </c>
      <c r="AA88" s="15">
        <f>IFERROR(Z88/Z444, "NA")</f>
        <v>9.1063009718173465E-3</v>
      </c>
      <c r="AB88" s="2"/>
      <c r="AC88" s="14">
        <f t="shared" si="23"/>
        <v>-726.89999999999873</v>
      </c>
      <c r="AD88" s="15">
        <f>IFERROR(AC88/AC444, "NA")</f>
        <v>-6.367663586933188E-2</v>
      </c>
    </row>
    <row r="89" spans="1:30" ht="16.5" customHeight="1" x14ac:dyDescent="0.45">
      <c r="A89" s="6" t="s">
        <v>85</v>
      </c>
      <c r="B89" s="7">
        <v>-12.3</v>
      </c>
      <c r="C89" s="8">
        <f>IFERROR(B89/B444, "NA")</f>
        <v>-1.6228107557258173E-4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-12.3</v>
      </c>
      <c r="I89" s="8">
        <f>IFERROR(H89/H444, "NA")</f>
        <v>5.3286014197473646E-4</v>
      </c>
      <c r="J89" s="9"/>
      <c r="K89" s="7">
        <v>-47.45</v>
      </c>
      <c r="L89" s="8">
        <f>IFERROR(K89/K444, "NA")</f>
        <v>-5.2547367936116578E-4</v>
      </c>
      <c r="M89" s="9"/>
      <c r="N89" s="10">
        <f t="shared" si="21"/>
        <v>35.150000000000006</v>
      </c>
      <c r="O89" s="8">
        <f>IFERROR(N89/N444, "NA")</f>
        <v>-2.4232922855886162E-3</v>
      </c>
      <c r="P89" s="9"/>
      <c r="Q89" s="7">
        <v>-726.06</v>
      </c>
      <c r="R89" s="8">
        <f>IFERROR(Q89/Q444, "NA")</f>
        <v>-8.4558236553501024E-4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-726.06</v>
      </c>
      <c r="X89" s="8">
        <f>IFERROR(W89/W444, "NA")</f>
        <v>8.2520790452019627E-3</v>
      </c>
      <c r="Y89" s="9"/>
      <c r="Z89" s="7">
        <v>-2387.9899999999998</v>
      </c>
      <c r="AA89" s="8">
        <f>IFERROR(Z89/Z444, "NA")</f>
        <v>-2.8185675068747723E-3</v>
      </c>
      <c r="AB89" s="9"/>
      <c r="AC89" s="10">
        <f t="shared" si="23"/>
        <v>1661.9299999999998</v>
      </c>
      <c r="AD89" s="8">
        <f>IFERROR(AC89/AC444, "NA")</f>
        <v>0.14558551582104676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-3955.1</v>
      </c>
      <c r="F94" s="8">
        <f>IFERROR(E94/E444, "NA")</f>
        <v>-4.0000040454138158E-2</v>
      </c>
      <c r="G94" s="9"/>
      <c r="H94" s="10">
        <f t="shared" ref="H94:H124" si="24">IFERROR(B94-E94, "NA")</f>
        <v>3955.1</v>
      </c>
      <c r="I94" s="8">
        <f>IFERROR(H94/H444, "NA")</f>
        <v>-0.17134269492067317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-37865.449999999997</v>
      </c>
      <c r="U94" s="8">
        <f>IFERROR(T94/T444, "NA")</f>
        <v>-4.0000013521565778E-2</v>
      </c>
      <c r="V94" s="9"/>
      <c r="W94" s="10">
        <f t="shared" ref="W94:W124" si="26">IFERROR(Q94-T94, "NA")</f>
        <v>37865.449999999997</v>
      </c>
      <c r="X94" s="8">
        <f>IFERROR(W94/W444, "NA")</f>
        <v>-0.43036207266912191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-1301.5</v>
      </c>
      <c r="C96" s="8">
        <f>IFERROR(B96/B444, "NA")</f>
        <v>-1.717144876891993E-2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-1301.5</v>
      </c>
      <c r="I96" s="8">
        <f>IFERROR(H96/H444, "NA")</f>
        <v>5.6383534534969068E-2</v>
      </c>
      <c r="J96" s="9"/>
      <c r="K96" s="7">
        <v>-779.33</v>
      </c>
      <c r="L96" s="8">
        <f>IFERROR(K96/K444, "NA")</f>
        <v>-8.6305037415497863E-3</v>
      </c>
      <c r="M96" s="9"/>
      <c r="N96" s="10">
        <f t="shared" si="25"/>
        <v>-522.16999999999996</v>
      </c>
      <c r="O96" s="8">
        <f>IFERROR(N96/N444, "NA")</f>
        <v>3.599916167185796E-2</v>
      </c>
      <c r="P96" s="9"/>
      <c r="Q96" s="7">
        <v>-12155.21</v>
      </c>
      <c r="R96" s="8">
        <f>IFERROR(Q96/Q444, "NA")</f>
        <v>-1.4156173353958093E-2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-12155.21</v>
      </c>
      <c r="X96" s="8">
        <f>IFERROR(W96/W444, "NA")</f>
        <v>0.13815077780215043</v>
      </c>
      <c r="Y96" s="9"/>
      <c r="Z96" s="7">
        <v>-9958.9</v>
      </c>
      <c r="AA96" s="8">
        <f>IFERROR(Z96/Z444, "NA")</f>
        <v>-1.1754585213596024E-2</v>
      </c>
      <c r="AB96" s="9"/>
      <c r="AC96" s="10">
        <f t="shared" si="27"/>
        <v>-2196.3099999999995</v>
      </c>
      <c r="AD96" s="8">
        <f>IFERROR(AC96/AC444, "NA")</f>
        <v>-0.19239734781424198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-1450</v>
      </c>
      <c r="C98" s="8">
        <f>IFERROR(B98/B444, "NA")</f>
        <v>-1.9130695900832807E-2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-1450</v>
      </c>
      <c r="I98" s="8">
        <f>IFERROR(H98/H444, "NA")</f>
        <v>6.2816846005151861E-2</v>
      </c>
      <c r="J98" s="9"/>
      <c r="K98" s="7">
        <v>-2727.58</v>
      </c>
      <c r="L98" s="8">
        <f>IFERROR(K98/K444, "NA")</f>
        <v>-3.0205932525857293E-2</v>
      </c>
      <c r="M98" s="9"/>
      <c r="N98" s="10">
        <f t="shared" si="25"/>
        <v>1277.58</v>
      </c>
      <c r="O98" s="8">
        <f>IFERROR(N98/N444, "NA")</f>
        <v>-8.8078229252412613E-2</v>
      </c>
      <c r="P98" s="9"/>
      <c r="Q98" s="7">
        <v>-19457.939999999999</v>
      </c>
      <c r="R98" s="8">
        <f>IFERROR(Q98/Q444, "NA")</f>
        <v>-2.2661062355230008E-2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-19457.939999999999</v>
      </c>
      <c r="X98" s="8">
        <f>IFERROR(W98/W444, "NA")</f>
        <v>0.22115039932897704</v>
      </c>
      <c r="Y98" s="9"/>
      <c r="Z98" s="7">
        <v>-21242.05</v>
      </c>
      <c r="AA98" s="8">
        <f>IFERROR(Z98/Z444, "NA")</f>
        <v>-2.5072195406768562E-2</v>
      </c>
      <c r="AB98" s="9"/>
      <c r="AC98" s="10">
        <f t="shared" si="27"/>
        <v>1784.1100000000006</v>
      </c>
      <c r="AD98" s="8">
        <f>IFERROR(AC98/AC444, "NA")</f>
        <v>0.15628851674347768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-20.85</v>
      </c>
      <c r="C100" s="8">
        <f>IFERROR(B100/B444, "NA")</f>
        <v>-2.7508621347059587E-4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-20.85</v>
      </c>
      <c r="I100" s="8">
        <f>IFERROR(H100/H444, "NA")</f>
        <v>9.0326292359132164E-4</v>
      </c>
      <c r="J100" s="9"/>
      <c r="K100" s="7">
        <v>-1464.32</v>
      </c>
      <c r="L100" s="8">
        <f>IFERROR(K100/K444, "NA")</f>
        <v>-1.621626171047718E-2</v>
      </c>
      <c r="M100" s="9"/>
      <c r="N100" s="10">
        <f t="shared" si="25"/>
        <v>1443.47</v>
      </c>
      <c r="O100" s="8">
        <f>IFERROR(N100/N444, "NA")</f>
        <v>-9.9514927894127997E-2</v>
      </c>
      <c r="P100" s="9"/>
      <c r="Q100" s="7">
        <v>-2649.61</v>
      </c>
      <c r="R100" s="8">
        <f>IFERROR(Q100/Q444, "NA")</f>
        <v>-3.0857828437666568E-3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-2649.61</v>
      </c>
      <c r="X100" s="8">
        <f>IFERROR(W100/W444, "NA")</f>
        <v>3.011430344456047E-2</v>
      </c>
      <c r="Y100" s="9"/>
      <c r="Z100" s="7">
        <v>-2596.4299999999998</v>
      </c>
      <c r="AA100" s="8">
        <f>IFERROR(Z100/Z444, "NA")</f>
        <v>-3.0645912386043765E-3</v>
      </c>
      <c r="AB100" s="9"/>
      <c r="AC100" s="10">
        <f t="shared" si="27"/>
        <v>-53.180000000000291</v>
      </c>
      <c r="AD100" s="8">
        <f>IFERROR(AC100/AC444, "NA")</f>
        <v>-4.6585823297992761E-3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-1534.31</v>
      </c>
      <c r="C102" s="8">
        <f>IFERROR(B102/B444, "NA")</f>
        <v>-2.0243046915590885E-2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-1534.31</v>
      </c>
      <c r="I102" s="8">
        <f>IFERROR(H102/H444, "NA")</f>
        <v>6.6469320685630717E-2</v>
      </c>
      <c r="J102" s="9"/>
      <c r="K102" s="7">
        <v>-1295.51</v>
      </c>
      <c r="L102" s="8">
        <f>IFERROR(K102/K444, "NA")</f>
        <v>-1.434681572917142E-2</v>
      </c>
      <c r="M102" s="9"/>
      <c r="N102" s="10">
        <f t="shared" si="25"/>
        <v>-238.79999999999995</v>
      </c>
      <c r="O102" s="8">
        <f>IFERROR(N102/N444, "NA")</f>
        <v>1.6463220421011702E-2</v>
      </c>
      <c r="P102" s="9"/>
      <c r="Q102" s="7">
        <v>-10155.120000000001</v>
      </c>
      <c r="R102" s="8">
        <f>IFERROR(Q102/Q444, "NA")</f>
        <v>-1.1826833032933772E-2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-10155.120000000001</v>
      </c>
      <c r="X102" s="8">
        <f>IFERROR(W102/W444, "NA")</f>
        <v>0.11541863338224302</v>
      </c>
      <c r="Y102" s="9"/>
      <c r="Z102" s="7">
        <v>-3738.68</v>
      </c>
      <c r="AA102" s="8">
        <f>IFERROR(Z102/Z444, "NA")</f>
        <v>-4.4127998721110945E-3</v>
      </c>
      <c r="AB102" s="9"/>
      <c r="AC102" s="10">
        <f t="shared" si="27"/>
        <v>-6416.4400000000005</v>
      </c>
      <c r="AD102" s="8">
        <f>IFERROR(AC102/AC444, "NA")</f>
        <v>-0.56208187296384171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-505.31</v>
      </c>
      <c r="C104" s="8">
        <f>IFERROR(B104/B444, "NA")</f>
        <v>-6.6668496176895348E-3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-505.31</v>
      </c>
      <c r="I104" s="8">
        <f>IFERROR(H104/H444, "NA")</f>
        <v>2.1891021003353991E-2</v>
      </c>
      <c r="J104" s="9"/>
      <c r="K104" s="7">
        <v>-801.86</v>
      </c>
      <c r="L104" s="8">
        <f>IFERROR(K104/K444, "NA")</f>
        <v>-8.8800068394635275E-3</v>
      </c>
      <c r="M104" s="9"/>
      <c r="N104" s="10">
        <f t="shared" si="25"/>
        <v>296.55</v>
      </c>
      <c r="O104" s="8">
        <f>IFERROR(N104/N444, "NA")</f>
        <v>-2.0444589681118178E-2</v>
      </c>
      <c r="P104" s="9"/>
      <c r="Q104" s="7">
        <v>-4775.42</v>
      </c>
      <c r="R104" s="8">
        <f>IFERROR(Q104/Q444, "NA")</f>
        <v>-5.561538908662093E-3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-4775.42</v>
      </c>
      <c r="X104" s="8">
        <f>IFERROR(W104/W444, "NA")</f>
        <v>5.4275326163179843E-2</v>
      </c>
      <c r="Y104" s="9"/>
      <c r="Z104" s="7">
        <v>-5456.65</v>
      </c>
      <c r="AA104" s="8">
        <f>IFERROR(Z104/Z444, "NA")</f>
        <v>-6.4405363449546379E-3</v>
      </c>
      <c r="AB104" s="9"/>
      <c r="AC104" s="10">
        <f t="shared" si="27"/>
        <v>681.22999999999956</v>
      </c>
      <c r="AD104" s="8">
        <f>IFERROR(AC104/AC444, "NA")</f>
        <v>5.9675931563165502E-2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-1220.58</v>
      </c>
      <c r="R106" s="8">
        <f>IFERROR(Q106/Q444, "NA")</f>
        <v>-1.4215091366067858E-3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-1220.58</v>
      </c>
      <c r="X106" s="8">
        <f>IFERROR(W106/W444, "NA")</f>
        <v>1.3872576152098465E-2</v>
      </c>
      <c r="Y106" s="9"/>
      <c r="Z106" s="7">
        <v>-5623.68</v>
      </c>
      <c r="AA106" s="8">
        <f>IFERROR(Z106/Z444, "NA")</f>
        <v>-6.6376834564053954E-3</v>
      </c>
      <c r="AB106" s="9"/>
      <c r="AC106" s="10">
        <f t="shared" si="27"/>
        <v>4403.1000000000004</v>
      </c>
      <c r="AD106" s="8">
        <f>IFERROR(AC106/AC444, "NA")</f>
        <v>0.38571274645240844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-157.19999999999999</v>
      </c>
      <c r="AA108" s="8">
        <f>IFERROR(Z108/Z444, "NA")</f>
        <v>-1.8554466814380051E-4</v>
      </c>
      <c r="AB108" s="9"/>
      <c r="AC108" s="10">
        <f t="shared" si="27"/>
        <v>157.19999999999999</v>
      </c>
      <c r="AD108" s="8">
        <f>IFERROR(AC108/AC444, "NA")</f>
        <v>1.3770762358865027E-2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-4811.97</v>
      </c>
      <c r="C118" s="15">
        <f>IFERROR(B118/B444, "NA")</f>
        <v>-6.3487127416503752E-2</v>
      </c>
      <c r="D118" s="2"/>
      <c r="E118" s="14">
        <f>IFERROR(E94+E95+E96+E97+E98+E99+E100+E101+E102+E103+E104+E105+E106+E107+E108+E109+E110+E111+E112+E113+E114+E115+E116+E117, "NA")</f>
        <v>-3955.1</v>
      </c>
      <c r="F118" s="15">
        <f>IFERROR(E118/E444, "NA")</f>
        <v>-4.0000040454138158E-2</v>
      </c>
      <c r="G118" s="2"/>
      <c r="H118" s="14">
        <f t="shared" si="24"/>
        <v>-856.87000000000035</v>
      </c>
      <c r="I118" s="15">
        <f>IFERROR(H118/H444, "NA")</f>
        <v>3.712129023202379E-2</v>
      </c>
      <c r="J118" s="2"/>
      <c r="K118" s="14">
        <f>IFERROR(K94+K95+K96+K97+K98+K99+K100+K101+K102+K103+K104+K105+K106+K107+K108+K109+K110+K111+K112+K113+K114+K115+K116+K117, "NA")</f>
        <v>-7068.5999999999995</v>
      </c>
      <c r="L118" s="15">
        <f>IFERROR(K118/K444, "NA")</f>
        <v>-7.8279520546519196E-2</v>
      </c>
      <c r="M118" s="2"/>
      <c r="N118" s="14">
        <f t="shared" si="25"/>
        <v>2256.6299999999992</v>
      </c>
      <c r="O118" s="15">
        <f>IFERROR(N118/N444, "NA")</f>
        <v>-0.15557536473478908</v>
      </c>
      <c r="P118" s="2"/>
      <c r="Q118" s="14">
        <f>IFERROR(Q94+Q95+Q96+Q97+Q98+Q99+Q100+Q101+Q102+Q103+Q104+Q105+Q106+Q107+Q108+Q109+Q110+Q111+Q112+Q113+Q114+Q115+Q116+Q117, "NA")</f>
        <v>-50413.88</v>
      </c>
      <c r="R118" s="15">
        <f>IFERROR(Q118/Q444, "NA")</f>
        <v>-5.8712899631157403E-2</v>
      </c>
      <c r="S118" s="2"/>
      <c r="T118" s="14">
        <f>IFERROR(T94+T95+T96+T97+T98+T99+T100+T101+T102+T103+T104+T105+T106+T107+T108+T109+T110+T111+T112+T113+T114+T115+T116+T117, "NA")</f>
        <v>-37865.449999999997</v>
      </c>
      <c r="U118" s="15">
        <f>IFERROR(T118/T444, "NA")</f>
        <v>-4.0000013521565778E-2</v>
      </c>
      <c r="V118" s="2"/>
      <c r="W118" s="14">
        <f t="shared" si="26"/>
        <v>-12548.43</v>
      </c>
      <c r="X118" s="15">
        <f>IFERROR(W118/W444, "NA")</f>
        <v>0.14261994360408736</v>
      </c>
      <c r="Y118" s="2"/>
      <c r="Z118" s="14">
        <f>IFERROR(Z94+Z95+Z96+Z97+Z98+Z99+Z100+Z101+Z102+Z103+Z104+Z105+Z106+Z107+Z108+Z109+Z110+Z111+Z112+Z113+Z114+Z115+Z116+Z117, "NA")</f>
        <v>-48773.59</v>
      </c>
      <c r="AA118" s="15">
        <f>IFERROR(Z118/Z444, "NA")</f>
        <v>-5.756793620058389E-2</v>
      </c>
      <c r="AB118" s="2"/>
      <c r="AC118" s="14">
        <f t="shared" si="27"/>
        <v>-1640.2900000000009</v>
      </c>
      <c r="AD118" s="15">
        <f>IFERROR(AC118/AC444, "NA")</f>
        <v>-0.14368984598996645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75794.42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98877.4</v>
      </c>
      <c r="F122" s="15">
        <f>IFERROR(E122/E444, "NA")</f>
        <v>1</v>
      </c>
      <c r="G122" s="2"/>
      <c r="H122" s="14">
        <f t="shared" si="24"/>
        <v>-23082.979999999996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90299.48000000001</v>
      </c>
      <c r="L122" s="15">
        <f>IFERROR(K122/K444, "NA")</f>
        <v>1.0000000000000002</v>
      </c>
      <c r="M122" s="2"/>
      <c r="N122" s="14">
        <f t="shared" si="25"/>
        <v>-14505.060000000012</v>
      </c>
      <c r="O122" s="15">
        <f>IFERROR(N122/N444, "NA")</f>
        <v>1.0000000000000011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858650.83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946635.93</v>
      </c>
      <c r="U122" s="15">
        <f>IFERROR(T122/T444, "NA")</f>
        <v>1</v>
      </c>
      <c r="V122" s="2"/>
      <c r="W122" s="14">
        <f t="shared" si="26"/>
        <v>-87985.100000000093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847235.33999999973</v>
      </c>
      <c r="AA122" s="15">
        <f>IFERROR(Z122/Z444, "NA")</f>
        <v>0.99999999999999978</v>
      </c>
      <c r="AB122" s="2"/>
      <c r="AC122" s="14">
        <f t="shared" si="27"/>
        <v>11415.490000000224</v>
      </c>
      <c r="AD122" s="15">
        <f>IFERROR(AC122/AC444, "NA")</f>
        <v>1.0000000000000204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75794.42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98877.4</v>
      </c>
      <c r="F124" s="15">
        <f>IFERROR(E124/E444, "NA")</f>
        <v>1</v>
      </c>
      <c r="G124" s="2"/>
      <c r="H124" s="14">
        <f t="shared" si="24"/>
        <v>-23082.979999999996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90299.48000000001</v>
      </c>
      <c r="L124" s="15">
        <f>IFERROR(K124/K444, "NA")</f>
        <v>1.0000000000000002</v>
      </c>
      <c r="M124" s="2"/>
      <c r="N124" s="14">
        <f t="shared" si="25"/>
        <v>-14505.060000000012</v>
      </c>
      <c r="O124" s="15">
        <f>IFERROR(N124/N444, "NA")</f>
        <v>1.0000000000000011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858650.83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946635.93</v>
      </c>
      <c r="U124" s="15">
        <f>IFERROR(T124/T444, "NA")</f>
        <v>1</v>
      </c>
      <c r="V124" s="2"/>
      <c r="W124" s="14">
        <f t="shared" si="26"/>
        <v>-87985.100000000093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847235.33999999973</v>
      </c>
      <c r="AA124" s="15">
        <f>IFERROR(Z124/Z444, "NA")</f>
        <v>0.99999999999999978</v>
      </c>
      <c r="AB124" s="2"/>
      <c r="AC124" s="14">
        <f t="shared" si="27"/>
        <v>11415.490000000224</v>
      </c>
      <c r="AD124" s="15">
        <f>IFERROR(AC124/AC444, "NA")</f>
        <v>1.0000000000000204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23829.45</v>
      </c>
      <c r="F129" s="8">
        <f>IFERROR(E129/E444, "NA")</f>
        <v>0.2409999656139826</v>
      </c>
      <c r="G129" s="9"/>
      <c r="H129" s="10">
        <f t="shared" ref="H129:H141" si="28">IFERROR(-(B129-E129), "NA")</f>
        <v>23829.45</v>
      </c>
      <c r="I129" s="8">
        <f>IFERROR(H129/H444, "NA")</f>
        <v>-1.03233854554308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236814.59</v>
      </c>
      <c r="U129" s="8">
        <f>IFERROR(T129/T444, "NA")</f>
        <v>0.25016437945684145</v>
      </c>
      <c r="V129" s="9"/>
      <c r="W129" s="10">
        <f t="shared" ref="W129:W141" si="30">IFERROR(-(Q129-T129), "NA")</f>
        <v>236814.59</v>
      </c>
      <c r="X129" s="8">
        <f>IFERROR(W129/W444, "NA")</f>
        <v>-2.6915306114330693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3672.37</v>
      </c>
      <c r="C130" s="8">
        <f>IFERROR(B130/B444, "NA")</f>
        <v>4.8451719796787154E-2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-3672.37</v>
      </c>
      <c r="I130" s="8">
        <f>IFERROR(H130/H444, "NA")</f>
        <v>0.15909427638892382</v>
      </c>
      <c r="J130" s="9"/>
      <c r="K130" s="7">
        <v>6048.96</v>
      </c>
      <c r="L130" s="8">
        <f>IFERROR(K130/K444, "NA")</f>
        <v>6.6987761169831767E-2</v>
      </c>
      <c r="M130" s="9"/>
      <c r="N130" s="10">
        <f t="shared" si="29"/>
        <v>2376.59</v>
      </c>
      <c r="O130" s="8">
        <f>IFERROR(N130/N444, "NA")</f>
        <v>-0.1638455821623627</v>
      </c>
      <c r="P130" s="9"/>
      <c r="Q130" s="7">
        <v>45008.81</v>
      </c>
      <c r="R130" s="8">
        <f>IFERROR(Q130/Q444, "NA")</f>
        <v>5.2418059154499388E-2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-45008.81</v>
      </c>
      <c r="X130" s="8">
        <f>IFERROR(W130/W444, "NA")</f>
        <v>0.51155036477767202</v>
      </c>
      <c r="Y130" s="9"/>
      <c r="Z130" s="7">
        <v>55595.93</v>
      </c>
      <c r="AA130" s="8">
        <f>IFERROR(Z130/Z444, "NA")</f>
        <v>6.5620409554681708E-2</v>
      </c>
      <c r="AB130" s="9"/>
      <c r="AC130" s="10">
        <f t="shared" si="31"/>
        <v>10587.120000000003</v>
      </c>
      <c r="AD130" s="8">
        <f>IFERROR(AC130/AC444, "NA")</f>
        <v>0.92743456478872233</v>
      </c>
    </row>
    <row r="131" spans="1:30" ht="16.5" customHeight="1" x14ac:dyDescent="0.45">
      <c r="A131" s="12" t="s">
        <v>123</v>
      </c>
      <c r="B131" s="7">
        <v>2208.94</v>
      </c>
      <c r="C131" s="8">
        <f>IFERROR(B131/B444, "NA")</f>
        <v>2.9143834071162496E-2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-2208.94</v>
      </c>
      <c r="I131" s="8">
        <f>IFERROR(H131/H444, "NA")</f>
        <v>9.5695616423875959E-2</v>
      </c>
      <c r="J131" s="9"/>
      <c r="K131" s="7">
        <v>2781.47</v>
      </c>
      <c r="L131" s="8">
        <f>IFERROR(K131/K444, "NA")</f>
        <v>3.0802724445367791E-2</v>
      </c>
      <c r="M131" s="9"/>
      <c r="N131" s="10">
        <f t="shared" si="29"/>
        <v>572.52999999999975</v>
      </c>
      <c r="O131" s="8">
        <f>IFERROR(N131/N444, "NA")</f>
        <v>-3.9471053549588894E-2</v>
      </c>
      <c r="P131" s="9"/>
      <c r="Q131" s="7">
        <v>25489.48</v>
      </c>
      <c r="R131" s="8">
        <f>IFERROR(Q131/Q444, "NA")</f>
        <v>2.9685500915430315E-2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-25489.48</v>
      </c>
      <c r="X131" s="8">
        <f>IFERROR(W131/W444, "NA")</f>
        <v>0.28970223367365577</v>
      </c>
      <c r="Y131" s="9"/>
      <c r="Z131" s="7">
        <v>26952.33</v>
      </c>
      <c r="AA131" s="8">
        <f>IFERROR(Z131/Z444, "NA")</f>
        <v>3.1812093673996178E-2</v>
      </c>
      <c r="AB131" s="9"/>
      <c r="AC131" s="10">
        <f t="shared" si="31"/>
        <v>1462.8500000000022</v>
      </c>
      <c r="AD131" s="8">
        <f>IFERROR(AC131/AC444, "NA")</f>
        <v>0.12814605417726294</v>
      </c>
    </row>
    <row r="132" spans="1:30" ht="16.5" customHeight="1" x14ac:dyDescent="0.45">
      <c r="A132" s="12" t="s">
        <v>124</v>
      </c>
      <c r="B132" s="7">
        <v>3653.93</v>
      </c>
      <c r="C132" s="8">
        <f>IFERROR(B132/B444, "NA")</f>
        <v>4.8208430119262076E-2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-3653.93</v>
      </c>
      <c r="I132" s="8">
        <f>IFERROR(H132/H444, "NA")</f>
        <v>0.15829541939558933</v>
      </c>
      <c r="J132" s="9"/>
      <c r="K132" s="7">
        <v>3478.35</v>
      </c>
      <c r="L132" s="8">
        <f>IFERROR(K132/K444, "NA")</f>
        <v>3.8520155376310032E-2</v>
      </c>
      <c r="M132" s="9"/>
      <c r="N132" s="10">
        <f t="shared" si="29"/>
        <v>-175.57999999999993</v>
      </c>
      <c r="O132" s="8">
        <f>IFERROR(N132/N444, "NA")</f>
        <v>1.2104741379904665E-2</v>
      </c>
      <c r="P132" s="9"/>
      <c r="Q132" s="7">
        <v>42442.7</v>
      </c>
      <c r="R132" s="8">
        <f>IFERROR(Q132/Q444, "NA")</f>
        <v>4.9429521893084291E-2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-42442.7</v>
      </c>
      <c r="X132" s="8">
        <f>IFERROR(W132/W444, "NA")</f>
        <v>0.48238508565654814</v>
      </c>
      <c r="Y132" s="9"/>
      <c r="Z132" s="7">
        <v>31128.01</v>
      </c>
      <c r="AA132" s="8">
        <f>IFERROR(Z132/Z444, "NA")</f>
        <v>3.6740688838593535E-2</v>
      </c>
      <c r="AB132" s="9"/>
      <c r="AC132" s="10">
        <f t="shared" si="31"/>
        <v>-11314.689999999999</v>
      </c>
      <c r="AD132" s="8">
        <f>IFERROR(AC132/AC444, "NA")</f>
        <v>-0.99116989283859103</v>
      </c>
    </row>
    <row r="133" spans="1:30" ht="16.5" customHeight="1" x14ac:dyDescent="0.45">
      <c r="A133" s="12" t="s">
        <v>125</v>
      </c>
      <c r="B133" s="7">
        <v>1402.99</v>
      </c>
      <c r="C133" s="8">
        <f>IFERROR(B133/B444, "NA")</f>
        <v>1.8510465546144425E-2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-1402.99</v>
      </c>
      <c r="I133" s="8">
        <f>IFERROR(H133/H444, "NA")</f>
        <v>6.0780280535702072E-2</v>
      </c>
      <c r="J133" s="9"/>
      <c r="K133" s="7">
        <v>2040.1</v>
      </c>
      <c r="L133" s="8">
        <f>IFERROR(K133/K444, "NA")</f>
        <v>2.2592599647306939E-2</v>
      </c>
      <c r="M133" s="9"/>
      <c r="N133" s="10">
        <f t="shared" si="29"/>
        <v>637.1099999999999</v>
      </c>
      <c r="O133" s="8">
        <f>IFERROR(N133/N444, "NA")</f>
        <v>-4.3923292975003206E-2</v>
      </c>
      <c r="P133" s="9"/>
      <c r="Q133" s="7">
        <v>18381.03</v>
      </c>
      <c r="R133" s="8">
        <f>IFERROR(Q133/Q444, "NA")</f>
        <v>2.1406873851155538E-2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-18381.03</v>
      </c>
      <c r="X133" s="8">
        <f>IFERROR(W133/W444, "NA")</f>
        <v>0.20891071329122748</v>
      </c>
      <c r="Y133" s="9"/>
      <c r="Z133" s="7">
        <v>17534.41</v>
      </c>
      <c r="AA133" s="8">
        <f>IFERROR(Z133/Z444, "NA")</f>
        <v>2.0696032344448712E-2</v>
      </c>
      <c r="AB133" s="9"/>
      <c r="AC133" s="10">
        <f t="shared" si="31"/>
        <v>-846.61999999999898</v>
      </c>
      <c r="AD133" s="8">
        <f>IFERROR(AC133/AC444, "NA")</f>
        <v>-7.4164140128895009E-2</v>
      </c>
    </row>
    <row r="134" spans="1:30" ht="16.5" customHeight="1" x14ac:dyDescent="0.45">
      <c r="A134" s="12" t="s">
        <v>126</v>
      </c>
      <c r="B134" s="7">
        <v>850.2</v>
      </c>
      <c r="C134" s="8">
        <f>IFERROR(B134/B444, "NA")</f>
        <v>1.1217184589577968E-2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-850.2</v>
      </c>
      <c r="I134" s="8">
        <f>IFERROR(H134/H444, "NA")</f>
        <v>3.6832332740400077E-2</v>
      </c>
      <c r="J134" s="9"/>
      <c r="K134" s="7">
        <v>745.56</v>
      </c>
      <c r="L134" s="8">
        <f>IFERROR(K134/K444, "NA")</f>
        <v>8.2565259512014898E-3</v>
      </c>
      <c r="M134" s="9"/>
      <c r="N134" s="10">
        <f t="shared" si="29"/>
        <v>-104.6400000000001</v>
      </c>
      <c r="O134" s="8">
        <f>IFERROR(N134/N444, "NA")</f>
        <v>7.2140342749357888E-3</v>
      </c>
      <c r="P134" s="9"/>
      <c r="Q134" s="7">
        <v>7137.61</v>
      </c>
      <c r="R134" s="8">
        <f>IFERROR(Q134/Q444, "NA")</f>
        <v>8.3125873179438967E-3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-7137.61</v>
      </c>
      <c r="X134" s="8">
        <f>IFERROR(W134/W444, "NA")</f>
        <v>8.1122940134181726E-2</v>
      </c>
      <c r="Y134" s="9"/>
      <c r="Z134" s="7">
        <v>8950.76</v>
      </c>
      <c r="AA134" s="8">
        <f>IFERROR(Z134/Z444, "NA")</f>
        <v>1.0564667899712494E-2</v>
      </c>
      <c r="AB134" s="9"/>
      <c r="AC134" s="10">
        <f t="shared" si="31"/>
        <v>1813.1500000000005</v>
      </c>
      <c r="AD134" s="8">
        <f>IFERROR(AC134/AC444, "NA")</f>
        <v>0.15883242856855045</v>
      </c>
    </row>
    <row r="135" spans="1:30" ht="16.5" customHeight="1" x14ac:dyDescent="0.45">
      <c r="A135" s="12" t="s">
        <v>127</v>
      </c>
      <c r="B135" s="7">
        <v>657.5</v>
      </c>
      <c r="C135" s="8">
        <f>IFERROR(B135/B444, "NA")</f>
        <v>8.6747810722741861E-3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-657.5</v>
      </c>
      <c r="I135" s="8">
        <f>IFERROR(H135/H444, "NA")</f>
        <v>2.8484190516129205E-2</v>
      </c>
      <c r="J135" s="9"/>
      <c r="K135" s="7">
        <v>701.43</v>
      </c>
      <c r="L135" s="8">
        <f>IFERROR(K135/K444, "NA")</f>
        <v>7.7678188180042677E-3</v>
      </c>
      <c r="M135" s="9"/>
      <c r="N135" s="10">
        <f t="shared" si="29"/>
        <v>43.92999999999995</v>
      </c>
      <c r="O135" s="8">
        <f>IFERROR(N135/N444, "NA")</f>
        <v>-3.028598296042895E-3</v>
      </c>
      <c r="P135" s="9"/>
      <c r="Q135" s="7">
        <v>6865.02</v>
      </c>
      <c r="R135" s="8">
        <f>IFERROR(Q135/Q444, "NA")</f>
        <v>7.9951241647317813E-3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-6865.02</v>
      </c>
      <c r="X135" s="8">
        <f>IFERROR(W135/W444, "NA")</f>
        <v>7.8024801926689785E-2</v>
      </c>
      <c r="Y135" s="9"/>
      <c r="Z135" s="7">
        <v>7618.2</v>
      </c>
      <c r="AA135" s="8">
        <f>IFERROR(Z135/Z444, "NA")</f>
        <v>8.9918345474115854E-3</v>
      </c>
      <c r="AB135" s="9"/>
      <c r="AC135" s="10">
        <f t="shared" si="31"/>
        <v>753.17999999999938</v>
      </c>
      <c r="AD135" s="8">
        <f>IFERROR(AC135/AC444, "NA")</f>
        <v>6.5978770950699442E-2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799.59</v>
      </c>
      <c r="L136" s="8">
        <f>IFERROR(K136/K444, "NA")</f>
        <v>8.8548682672369775E-3</v>
      </c>
      <c r="M136" s="9"/>
      <c r="N136" s="10">
        <f t="shared" si="29"/>
        <v>799.59</v>
      </c>
      <c r="O136" s="8">
        <f>IFERROR(N136/N444, "NA")</f>
        <v>-5.5124901241359922E-2</v>
      </c>
      <c r="P136" s="9"/>
      <c r="Q136" s="7">
        <v>4916.55</v>
      </c>
      <c r="R136" s="8">
        <f>IFERROR(Q136/Q444, "NA")</f>
        <v>5.7259014121025199E-3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-4916.55</v>
      </c>
      <c r="X136" s="8">
        <f>IFERROR(W136/W444, "NA")</f>
        <v>5.5879347753199061E-2</v>
      </c>
      <c r="Y136" s="9"/>
      <c r="Z136" s="7">
        <v>10848.06</v>
      </c>
      <c r="AA136" s="8">
        <f>IFERROR(Z136/Z444, "NA")</f>
        <v>1.2804069292010412E-2</v>
      </c>
      <c r="AB136" s="9"/>
      <c r="AC136" s="10">
        <f t="shared" si="31"/>
        <v>5931.5099999999993</v>
      </c>
      <c r="AD136" s="8">
        <f>IFERROR(AC136/AC444, "NA")</f>
        <v>0.51960187429536575</v>
      </c>
    </row>
    <row r="137" spans="1:30" ht="16.5" customHeight="1" x14ac:dyDescent="0.45">
      <c r="A137" s="12" t="s">
        <v>129</v>
      </c>
      <c r="B137" s="7">
        <v>417.04</v>
      </c>
      <c r="C137" s="8">
        <f>IFERROR(B137/B444, "NA")</f>
        <v>5.5022520127471133E-3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-417.04</v>
      </c>
      <c r="I137" s="8">
        <f>IFERROR(H137/H444, "NA")</f>
        <v>1.806699135033692E-2</v>
      </c>
      <c r="J137" s="9"/>
      <c r="K137" s="7">
        <v>458.6</v>
      </c>
      <c r="L137" s="8">
        <f>IFERROR(K137/K444, "NA")</f>
        <v>5.0786560454168734E-3</v>
      </c>
      <c r="M137" s="9"/>
      <c r="N137" s="10">
        <f t="shared" si="29"/>
        <v>41.56</v>
      </c>
      <c r="O137" s="8">
        <f>IFERROR(N137/N444, "NA")</f>
        <v>-2.8652070380956723E-3</v>
      </c>
      <c r="P137" s="9"/>
      <c r="Q137" s="7">
        <v>4886.88</v>
      </c>
      <c r="R137" s="8">
        <f>IFERROR(Q137/Q444, "NA")</f>
        <v>5.6913472033795157E-3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-4886.88</v>
      </c>
      <c r="X137" s="8">
        <f>IFERROR(W137/W444, "NA")</f>
        <v>5.5542131565458182E-2</v>
      </c>
      <c r="Y137" s="9"/>
      <c r="Z137" s="7">
        <v>4797.4799999999996</v>
      </c>
      <c r="AA137" s="8">
        <f>IFERROR(Z137/Z444, "NA")</f>
        <v>5.6625116700160308E-3</v>
      </c>
      <c r="AB137" s="9"/>
      <c r="AC137" s="10">
        <f t="shared" si="31"/>
        <v>-89.400000000000546</v>
      </c>
      <c r="AD137" s="8">
        <f>IFERROR(AC137/AC444, "NA")</f>
        <v>-7.8314640895835938E-3</v>
      </c>
    </row>
    <row r="138" spans="1:30" ht="16.5" customHeight="1" x14ac:dyDescent="0.45">
      <c r="A138" s="12" t="s">
        <v>130</v>
      </c>
      <c r="B138" s="7">
        <v>5325.57</v>
      </c>
      <c r="C138" s="8">
        <f>IFERROR(B138/B444, "NA")</f>
        <v>7.0263351840412519E-2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-5325.57</v>
      </c>
      <c r="I138" s="8">
        <f>IFERROR(H138/H444, "NA")</f>
        <v>0.23071414522734934</v>
      </c>
      <c r="J138" s="9"/>
      <c r="K138" s="7">
        <v>5938.85</v>
      </c>
      <c r="L138" s="8">
        <f>IFERROR(K138/K444, "NA")</f>
        <v>6.5768374302930657E-2</v>
      </c>
      <c r="M138" s="9"/>
      <c r="N138" s="10">
        <f t="shared" si="29"/>
        <v>613.28000000000065</v>
      </c>
      <c r="O138" s="8">
        <f>IFERROR(N138/N444, "NA")</f>
        <v>-4.228041800585456E-2</v>
      </c>
      <c r="P138" s="9"/>
      <c r="Q138" s="7">
        <v>49318.5</v>
      </c>
      <c r="R138" s="8">
        <f>IFERROR(Q138/Q444, "NA")</f>
        <v>5.7437200637190329E-2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-49318.5</v>
      </c>
      <c r="X138" s="8">
        <f>IFERROR(W138/W444, "NA")</f>
        <v>0.5605324083282277</v>
      </c>
      <c r="Y138" s="9"/>
      <c r="Z138" s="7">
        <v>44476.28</v>
      </c>
      <c r="AA138" s="8">
        <f>IFERROR(Z138/Z444, "NA")</f>
        <v>5.2495779980093846E-2</v>
      </c>
      <c r="AB138" s="9"/>
      <c r="AC138" s="10">
        <f t="shared" si="31"/>
        <v>-4842.2200000000012</v>
      </c>
      <c r="AD138" s="8">
        <f>IFERROR(AC138/AC444, "NA")</f>
        <v>-0.42417977677699381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18188.54</v>
      </c>
      <c r="C141" s="15">
        <f>IFERROR(B141/B444, "NA")</f>
        <v>0.23997201904836796</v>
      </c>
      <c r="D141" s="2"/>
      <c r="E141" s="14">
        <f>IFERROR(E129+E130+E131+E132+E133+E134+E135+E136+E137+E138+E139+E140, "NA")</f>
        <v>23829.45</v>
      </c>
      <c r="F141" s="15">
        <f>IFERROR(E141/E444, "NA")</f>
        <v>0.2409999656139826</v>
      </c>
      <c r="G141" s="2"/>
      <c r="H141" s="14">
        <f t="shared" si="28"/>
        <v>5640.91</v>
      </c>
      <c r="I141" s="15">
        <f>IFERROR(H141/H444, "NA")</f>
        <v>-0.24437529296477323</v>
      </c>
      <c r="J141" s="2"/>
      <c r="K141" s="14">
        <f>IFERROR(K129+K130+K131+K132+K133+K134+K135+K136+K137+K138+K139+K140, "NA")</f>
        <v>22992.909999999996</v>
      </c>
      <c r="L141" s="15">
        <f>IFERROR(K141/K444, "NA")</f>
        <v>0.25462948402360674</v>
      </c>
      <c r="M141" s="2"/>
      <c r="N141" s="14">
        <f t="shared" si="29"/>
        <v>4804.3699999999953</v>
      </c>
      <c r="O141" s="15">
        <f>IFERROR(N141/N444, "NA")</f>
        <v>-0.33122027761346701</v>
      </c>
      <c r="P141" s="2"/>
      <c r="Q141" s="14">
        <f>IFERROR(Q129+Q130+Q131+Q132+Q133+Q134+Q135+Q136+Q137+Q138+Q139+Q140, "NA")</f>
        <v>204446.57999999996</v>
      </c>
      <c r="R141" s="15">
        <f>IFERROR(Q141/Q444, "NA")</f>
        <v>0.23810211654951755</v>
      </c>
      <c r="S141" s="2"/>
      <c r="T141" s="14">
        <f>IFERROR(T129+T130+T131+T132+T133+T134+T135+T136+T137+T138+T139+T140, "NA")</f>
        <v>236814.59</v>
      </c>
      <c r="U141" s="15">
        <f>IFERROR(T141/T444, "NA")</f>
        <v>0.25016437945684145</v>
      </c>
      <c r="V141" s="2"/>
      <c r="W141" s="14">
        <f t="shared" si="30"/>
        <v>32368.010000000038</v>
      </c>
      <c r="X141" s="15">
        <f>IFERROR(W141/W444, "NA")</f>
        <v>-0.36788058432620985</v>
      </c>
      <c r="Y141" s="2"/>
      <c r="Z141" s="14">
        <f>IFERROR(Z129+Z130+Z131+Z132+Z133+Z134+Z135+Z136+Z137+Z138+Z139+Z140, "NA")</f>
        <v>207901.46000000002</v>
      </c>
      <c r="AA141" s="15">
        <f>IFERROR(Z141/Z444, "NA")</f>
        <v>0.24538808780096452</v>
      </c>
      <c r="AB141" s="2"/>
      <c r="AC141" s="14">
        <f t="shared" si="31"/>
        <v>3454.8800000000629</v>
      </c>
      <c r="AD141" s="15">
        <f>IFERROR(AC141/AC444, "NA")</f>
        <v>0.30264841894654243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1013.5</v>
      </c>
      <c r="C144" s="8">
        <f>IFERROR(B144/B444, "NA")</f>
        <v>1.3371696755513137E-2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-1013.5</v>
      </c>
      <c r="I144" s="8">
        <f>IFERROR(H144/H444, "NA")</f>
        <v>4.3906809259463039E-2</v>
      </c>
      <c r="J144" s="9"/>
      <c r="K144" s="7">
        <v>1312.95</v>
      </c>
      <c r="L144" s="8">
        <f>IFERROR(K144/K444, "NA")</f>
        <v>1.4539950839141046E-2</v>
      </c>
      <c r="M144" s="9"/>
      <c r="N144" s="10">
        <f t="shared" si="33"/>
        <v>299.45000000000005</v>
      </c>
      <c r="O144" s="8">
        <f>IFERROR(N144/N444, "NA")</f>
        <v>-2.0644519912361624E-2</v>
      </c>
      <c r="P144" s="9"/>
      <c r="Q144" s="7">
        <v>12014.24</v>
      </c>
      <c r="R144" s="8">
        <f>IFERROR(Q144/Q444, "NA")</f>
        <v>1.3991997189358101E-2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-12014.24</v>
      </c>
      <c r="X144" s="8">
        <f>IFERROR(W144/W444, "NA")</f>
        <v>0.13654857470185278</v>
      </c>
      <c r="Y144" s="9"/>
      <c r="Z144" s="7">
        <v>10299.799999999999</v>
      </c>
      <c r="AA144" s="8">
        <f>IFERROR(Z144/Z444, "NA")</f>
        <v>1.2156952754119061E-2</v>
      </c>
      <c r="AB144" s="9"/>
      <c r="AC144" s="10">
        <f t="shared" si="35"/>
        <v>-1714.4400000000005</v>
      </c>
      <c r="AD144" s="8">
        <f>IFERROR(AC144/AC444, "NA")</f>
        <v>-0.15018540597030894</v>
      </c>
    </row>
    <row r="145" spans="1:30" ht="16.5" customHeight="1" x14ac:dyDescent="0.45">
      <c r="A145" s="12" t="s">
        <v>136</v>
      </c>
      <c r="B145" s="7">
        <v>62.86</v>
      </c>
      <c r="C145" s="8">
        <f>IFERROR(B145/B444, "NA")</f>
        <v>8.2934865125955186E-4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-62.86</v>
      </c>
      <c r="I145" s="8">
        <f>IFERROR(H145/H444, "NA")</f>
        <v>2.7232185792302383E-3</v>
      </c>
      <c r="J145" s="9"/>
      <c r="K145" s="7">
        <v>67.16</v>
      </c>
      <c r="L145" s="8">
        <f>IFERROR(K145/K444, "NA")</f>
        <v>7.4374736155734234E-4</v>
      </c>
      <c r="M145" s="9"/>
      <c r="N145" s="10">
        <f t="shared" si="33"/>
        <v>4.2999999999999972</v>
      </c>
      <c r="O145" s="8">
        <f>IFERROR(N145/N444, "NA")</f>
        <v>-2.9644827391268961E-4</v>
      </c>
      <c r="P145" s="9"/>
      <c r="Q145" s="7">
        <v>1345.4</v>
      </c>
      <c r="R145" s="8">
        <f>IFERROR(Q145/Q444, "NA")</f>
        <v>1.5668767245004586E-3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-1345.4</v>
      </c>
      <c r="X145" s="8">
        <f>IFERROR(W145/W444, "NA")</f>
        <v>1.5291225446126658E-2</v>
      </c>
      <c r="Y145" s="9"/>
      <c r="Z145" s="7">
        <v>1470.76</v>
      </c>
      <c r="AA145" s="8">
        <f>IFERROR(Z145/Z444, "NA")</f>
        <v>1.7359521381626977E-3</v>
      </c>
      <c r="AB145" s="9"/>
      <c r="AC145" s="10">
        <f t="shared" si="35"/>
        <v>125.3599999999999</v>
      </c>
      <c r="AD145" s="8">
        <f>IFERROR(AC145/AC444, "NA")</f>
        <v>1.0981569779308642E-2</v>
      </c>
    </row>
    <row r="146" spans="1:30" ht="16.5" customHeight="1" x14ac:dyDescent="0.45">
      <c r="A146" s="12" t="s">
        <v>137</v>
      </c>
      <c r="B146" s="7">
        <v>345.49</v>
      </c>
      <c r="C146" s="8">
        <f>IFERROR(B146/B444, "NA")</f>
        <v>4.5582511219163626E-3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-345.49</v>
      </c>
      <c r="I146" s="8">
        <f>IFERROR(H146/H444, "NA")</f>
        <v>1.496730491470339E-2</v>
      </c>
      <c r="J146" s="9"/>
      <c r="K146" s="7">
        <v>-524.97</v>
      </c>
      <c r="L146" s="8">
        <f>IFERROR(K146/K444, "NA")</f>
        <v>-5.8136547408689405E-3</v>
      </c>
      <c r="M146" s="9"/>
      <c r="N146" s="10">
        <f t="shared" si="33"/>
        <v>-870.46</v>
      </c>
      <c r="O146" s="8">
        <f>IFERROR(N146/N444, "NA")</f>
        <v>6.0010782444195346E-2</v>
      </c>
      <c r="P146" s="9"/>
      <c r="Q146" s="7">
        <v>1027.2</v>
      </c>
      <c r="R146" s="8">
        <f>IFERROR(Q146/Q444, "NA")</f>
        <v>1.1962953555870902E-3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-1027.2</v>
      </c>
      <c r="X146" s="8">
        <f>IFERROR(W146/W444, "NA")</f>
        <v>1.1674704012383904E-2</v>
      </c>
      <c r="Y146" s="9"/>
      <c r="Z146" s="7">
        <v>3489.82</v>
      </c>
      <c r="AA146" s="8">
        <f>IFERROR(Z146/Z444, "NA")</f>
        <v>4.1190680266004961E-3</v>
      </c>
      <c r="AB146" s="9"/>
      <c r="AC146" s="10">
        <f t="shared" si="35"/>
        <v>2462.62</v>
      </c>
      <c r="AD146" s="8">
        <f>IFERROR(AC146/AC444, "NA")</f>
        <v>0.21572617557371623</v>
      </c>
    </row>
    <row r="147" spans="1:30" ht="16.5" customHeight="1" x14ac:dyDescent="0.45">
      <c r="A147" s="12" t="s">
        <v>138</v>
      </c>
      <c r="B147" s="7">
        <v>19.22</v>
      </c>
      <c r="C147" s="8">
        <f>IFERROR(B147/B444, "NA")</f>
        <v>2.535806725613838E-4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-19.22</v>
      </c>
      <c r="I147" s="8">
        <f>IFERROR(H147/H444, "NA")</f>
        <v>8.3264812428897837E-4</v>
      </c>
      <c r="J147" s="9"/>
      <c r="K147" s="7">
        <v>19.04</v>
      </c>
      <c r="L147" s="8">
        <f>IFERROR(K147/K444, "NA")</f>
        <v>2.1085392739803152E-4</v>
      </c>
      <c r="M147" s="9"/>
      <c r="N147" s="10">
        <f t="shared" si="33"/>
        <v>-0.17999999999999972</v>
      </c>
      <c r="O147" s="8">
        <f>IFERROR(N147/N444, "NA")</f>
        <v>1.2409462628903276E-5</v>
      </c>
      <c r="P147" s="9"/>
      <c r="Q147" s="7">
        <v>326.75</v>
      </c>
      <c r="R147" s="8">
        <f>IFERROR(Q147/Q444, "NA")</f>
        <v>3.8053885069906705E-4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-326.75</v>
      </c>
      <c r="X147" s="8">
        <f>IFERROR(W147/W444, "NA")</f>
        <v>3.7136969782383569E-3</v>
      </c>
      <c r="Y147" s="9"/>
      <c r="Z147" s="7">
        <v>236.7</v>
      </c>
      <c r="AA147" s="8">
        <f>IFERROR(Z147/Z444, "NA")</f>
        <v>2.7937928085011184E-4</v>
      </c>
      <c r="AB147" s="9"/>
      <c r="AC147" s="10">
        <f t="shared" si="35"/>
        <v>-90.050000000000011</v>
      </c>
      <c r="AD147" s="8">
        <f>IFERROR(AC147/AC444, "NA")</f>
        <v>-7.8884042647315265E-3</v>
      </c>
    </row>
    <row r="148" spans="1:30" ht="16.5" customHeight="1" x14ac:dyDescent="0.45">
      <c r="A148" s="13" t="s">
        <v>139</v>
      </c>
      <c r="B148" s="14">
        <f>IFERROR(B143+B144+B145+B146+B147, "NA")</f>
        <v>1441.07</v>
      </c>
      <c r="C148" s="15">
        <f>IFERROR(B148/B444, "NA")</f>
        <v>1.9012877201250434E-2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-1441.07</v>
      </c>
      <c r="I148" s="15">
        <f>IFERROR(H148/H444, "NA")</f>
        <v>6.2429980877685642E-2</v>
      </c>
      <c r="J148" s="2"/>
      <c r="K148" s="14">
        <f>IFERROR(K143+K144+K145+K146+K147, "NA")</f>
        <v>874.18000000000006</v>
      </c>
      <c r="L148" s="15">
        <f>IFERROR(K148/K444, "NA")</f>
        <v>9.6808973872274801E-3</v>
      </c>
      <c r="M148" s="2"/>
      <c r="N148" s="14">
        <f t="shared" si="33"/>
        <v>-566.88999999999987</v>
      </c>
      <c r="O148" s="15">
        <f>IFERROR(N148/N444, "NA")</f>
        <v>3.9082223720549931E-2</v>
      </c>
      <c r="P148" s="2"/>
      <c r="Q148" s="14">
        <f>IFERROR(Q143+Q144+Q145+Q146+Q147, "NA")</f>
        <v>14713.59</v>
      </c>
      <c r="R148" s="15">
        <f>IFERROR(Q148/Q444, "NA")</f>
        <v>1.7135708120144717E-2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-14713.59</v>
      </c>
      <c r="X148" s="15">
        <f>IFERROR(W148/W444, "NA")</f>
        <v>0.16722820113860171</v>
      </c>
      <c r="Y148" s="2"/>
      <c r="Z148" s="14">
        <f>IFERROR(Z143+Z144+Z145+Z146+Z147, "NA")</f>
        <v>15497.08</v>
      </c>
      <c r="AA148" s="15">
        <f>IFERROR(Z148/Z444, "NA")</f>
        <v>1.8291352199732366E-2</v>
      </c>
      <c r="AB148" s="2"/>
      <c r="AC148" s="14">
        <f t="shared" si="35"/>
        <v>783.48999999999978</v>
      </c>
      <c r="AD148" s="15">
        <f>IFERROR(AC148/AC444, "NA")</f>
        <v>6.8633935117984463E-2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19629.610000000004</v>
      </c>
      <c r="C149" s="15">
        <f>IFERROR(B149/B444, "NA")</f>
        <v>0.25898489624961846</v>
      </c>
      <c r="D149" s="2"/>
      <c r="E149" s="14">
        <f>IFERROR(E127+E129+E130+E131+E132+E133+E134+E135+E136+E137+E138+E139+E140+E143+E144+E145+E146+E147, "NA")</f>
        <v>23829.45</v>
      </c>
      <c r="F149" s="15">
        <f>IFERROR(E149/E444, "NA")</f>
        <v>0.2409999656139826</v>
      </c>
      <c r="G149" s="2"/>
      <c r="H149" s="14">
        <f t="shared" si="32"/>
        <v>4199.8399999999965</v>
      </c>
      <c r="I149" s="15">
        <f>IFERROR(H149/H444, "NA")</f>
        <v>-0.18194531208708742</v>
      </c>
      <c r="J149" s="2"/>
      <c r="K149" s="14">
        <f>IFERROR(K127+K129+K130+K131+K132+K133+K134+K135+K136+K137+K138+K139+K140+K143+K144+K145+K146+K147, "NA")</f>
        <v>23867.089999999997</v>
      </c>
      <c r="L149" s="15">
        <f>IFERROR(K149/K444, "NA")</f>
        <v>0.26431038141083424</v>
      </c>
      <c r="M149" s="2"/>
      <c r="N149" s="14">
        <f t="shared" si="33"/>
        <v>4237.4799999999923</v>
      </c>
      <c r="O149" s="15">
        <f>IFERROR(N149/N444, "NA")</f>
        <v>-0.29213805389291686</v>
      </c>
      <c r="P149" s="2"/>
      <c r="Q149" s="14">
        <f>IFERROR(Q127+Q129+Q130+Q131+Q132+Q133+Q134+Q135+Q136+Q137+Q138+Q139+Q140+Q143+Q144+Q145+Q146+Q147, "NA")</f>
        <v>219160.16999999995</v>
      </c>
      <c r="R149" s="15">
        <f>IFERROR(Q149/Q444, "NA")</f>
        <v>0.25523782466966227</v>
      </c>
      <c r="S149" s="2"/>
      <c r="T149" s="14">
        <f>IFERROR(T127+T129+T130+T131+T132+T133+T134+T135+T136+T137+T138+T139+T140+T143+T144+T145+T146+T147, "NA")</f>
        <v>236814.59</v>
      </c>
      <c r="U149" s="15">
        <f>IFERROR(T149/T444, "NA")</f>
        <v>0.25016437945684145</v>
      </c>
      <c r="V149" s="2"/>
      <c r="W149" s="14">
        <f t="shared" si="34"/>
        <v>17654.420000000042</v>
      </c>
      <c r="X149" s="15">
        <f>IFERROR(W149/W444, "NA")</f>
        <v>-0.20065238318760817</v>
      </c>
      <c r="Y149" s="2"/>
      <c r="Z149" s="14">
        <f>IFERROR(Z127+Z129+Z130+Z131+Z132+Z133+Z134+Z135+Z136+Z137+Z138+Z139+Z140+Z143+Z144+Z145+Z146+Z147, "NA")</f>
        <v>223398.54000000004</v>
      </c>
      <c r="AA149" s="15">
        <f>IFERROR(Z149/Z444, "NA")</f>
        <v>0.26367944000069693</v>
      </c>
      <c r="AB149" s="2"/>
      <c r="AC149" s="14">
        <f t="shared" si="35"/>
        <v>4238.3700000000827</v>
      </c>
      <c r="AD149" s="15">
        <f>IFERROR(AC149/AC444, "NA")</f>
        <v>0.37128235406452864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1483.16</v>
      </c>
      <c r="F153" s="8">
        <f>IFERROR(E153/E444, "NA")</f>
        <v>1.4999989886465464E-2</v>
      </c>
      <c r="G153" s="9"/>
      <c r="H153" s="10">
        <f t="shared" ref="H153:H158" si="36">IFERROR(-(B153-E153), "NA")</f>
        <v>1483.16</v>
      </c>
      <c r="I153" s="8">
        <f>IFERROR(H153/H444, "NA")</f>
        <v>-6.425340229034554E-2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14766.89</v>
      </c>
      <c r="U153" s="8">
        <f>IFERROR(T153/T444, "NA")</f>
        <v>1.5599333948796977E-2</v>
      </c>
      <c r="V153" s="9"/>
      <c r="W153" s="10">
        <f t="shared" ref="W153:W158" si="38">IFERROR(-(Q153-T153), "NA")</f>
        <v>14766.89</v>
      </c>
      <c r="X153" s="8">
        <f>IFERROR(W153/W444, "NA")</f>
        <v>-0.16783398552709475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2824.23</v>
      </c>
      <c r="C154" s="8">
        <f>IFERROR(B154/B444, "NA")</f>
        <v>3.7261713988971747E-2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-2824.23</v>
      </c>
      <c r="I154" s="8">
        <f>IFERROR(H154/H444, "NA")</f>
        <v>0.12235118689181382</v>
      </c>
      <c r="J154" s="9"/>
      <c r="K154" s="7">
        <v>2947.58</v>
      </c>
      <c r="L154" s="8">
        <f>IFERROR(K154/K444, "NA")</f>
        <v>3.2642269922263122E-2</v>
      </c>
      <c r="M154" s="9"/>
      <c r="N154" s="10">
        <f t="shared" si="37"/>
        <v>123.34999999999991</v>
      </c>
      <c r="O154" s="8">
        <f>IFERROR(N154/N444, "NA")</f>
        <v>-8.5039289737512246E-3</v>
      </c>
      <c r="P154" s="9"/>
      <c r="Q154" s="7">
        <v>29741.439999999999</v>
      </c>
      <c r="R154" s="8">
        <f>IFERROR(Q154/Q444, "NA")</f>
        <v>3.4637409015257109E-2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-29741.439999999999</v>
      </c>
      <c r="X154" s="8">
        <f>IFERROR(W154/W444, "NA")</f>
        <v>0.33802814340155285</v>
      </c>
      <c r="Y154" s="9"/>
      <c r="Z154" s="7">
        <v>31926.799999999999</v>
      </c>
      <c r="AA154" s="8">
        <f>IFERROR(Z154/Z444, "NA")</f>
        <v>3.7683508339017117E-2</v>
      </c>
      <c r="AB154" s="9"/>
      <c r="AC154" s="10">
        <f t="shared" si="39"/>
        <v>2185.3600000000006</v>
      </c>
      <c r="AD154" s="8">
        <f>IFERROR(AC154/AC444, "NA")</f>
        <v>0.19143812486367229</v>
      </c>
    </row>
    <row r="155" spans="1:30" ht="16.5" customHeight="1" x14ac:dyDescent="0.45">
      <c r="A155" s="12" t="s">
        <v>144</v>
      </c>
      <c r="B155" s="7">
        <v>672.73</v>
      </c>
      <c r="C155" s="8">
        <f>IFERROR(B155/B444, "NA")</f>
        <v>8.8757193471498304E-3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-672.73</v>
      </c>
      <c r="I155" s="8">
        <f>IFERROR(H155/H444, "NA")</f>
        <v>2.914398400899711E-2</v>
      </c>
      <c r="J155" s="9"/>
      <c r="K155" s="7">
        <v>613</v>
      </c>
      <c r="L155" s="8">
        <f>IFERROR(K155/K444, "NA")</f>
        <v>6.7885219272580529E-3</v>
      </c>
      <c r="M155" s="9"/>
      <c r="N155" s="10">
        <f t="shared" si="37"/>
        <v>-59.730000000000018</v>
      </c>
      <c r="O155" s="8">
        <f>IFERROR(N155/N444, "NA")</f>
        <v>4.1178733490244111E-3</v>
      </c>
      <c r="P155" s="9"/>
      <c r="Q155" s="7">
        <v>6900.47</v>
      </c>
      <c r="R155" s="8">
        <f>IFERROR(Q155/Q444, "NA")</f>
        <v>8.036409864065468E-3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-6900.47</v>
      </c>
      <c r="X155" s="8">
        <f>IFERROR(W155/W444, "NA")</f>
        <v>7.8427711055621838E-2</v>
      </c>
      <c r="Y155" s="9"/>
      <c r="Z155" s="7">
        <v>5296.14</v>
      </c>
      <c r="AA155" s="8">
        <f>IFERROR(Z155/Z444, "NA")</f>
        <v>6.2510848520553929E-3</v>
      </c>
      <c r="AB155" s="9"/>
      <c r="AC155" s="10">
        <f t="shared" si="39"/>
        <v>-1604.33</v>
      </c>
      <c r="AD155" s="8">
        <f>IFERROR(AC155/AC444, "NA")</f>
        <v>-0.14053974030024127</v>
      </c>
    </row>
    <row r="156" spans="1:30" ht="16.5" customHeight="1" x14ac:dyDescent="0.45">
      <c r="A156" s="12" t="s">
        <v>145</v>
      </c>
      <c r="B156" s="7">
        <v>21.14</v>
      </c>
      <c r="C156" s="8">
        <f>IFERROR(B156/B444, "NA")</f>
        <v>2.7891235265076241E-4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-21.14</v>
      </c>
      <c r="I156" s="8">
        <f>IFERROR(H156/H444, "NA")</f>
        <v>9.1582629279235201E-4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-21.14</v>
      </c>
      <c r="O156" s="8">
        <f>IFERROR(N156/N444, "NA")</f>
        <v>1.4574224443056425E-3</v>
      </c>
      <c r="P156" s="9"/>
      <c r="Q156" s="7">
        <v>21.14</v>
      </c>
      <c r="R156" s="8">
        <f>IFERROR(Q156/Q444, "NA")</f>
        <v>2.4620019292358924E-5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-21.14</v>
      </c>
      <c r="X156" s="8">
        <f>IFERROR(W156/W444, "NA")</f>
        <v>2.402679544604709E-4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-21.14</v>
      </c>
      <c r="AD156" s="8">
        <f>IFERROR(AC156/AC444, "NA")</f>
        <v>-1.8518696963511876E-3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3518.1</v>
      </c>
      <c r="C158" s="15">
        <f>IFERROR(B158/B444, "NA")</f>
        <v>4.6416345688772342E-2</v>
      </c>
      <c r="D158" s="2"/>
      <c r="E158" s="14">
        <f>IFERROR(E153+E154+E155+E156+E157, "NA")</f>
        <v>1483.16</v>
      </c>
      <c r="F158" s="15">
        <f>IFERROR(E158/E444, "NA")</f>
        <v>1.4999989886465464E-2</v>
      </c>
      <c r="G158" s="2"/>
      <c r="H158" s="14">
        <f t="shared" si="36"/>
        <v>-2034.9399999999998</v>
      </c>
      <c r="I158" s="15">
        <f>IFERROR(H158/H444, "NA")</f>
        <v>8.8157594903257738E-2</v>
      </c>
      <c r="J158" s="2"/>
      <c r="K158" s="14">
        <f>IFERROR(K153+K154+K155+K156+K157, "NA")</f>
        <v>3560.58</v>
      </c>
      <c r="L158" s="15">
        <f>IFERROR(K158/K444, "NA")</f>
        <v>3.9430791849521175E-2</v>
      </c>
      <c r="M158" s="2"/>
      <c r="N158" s="14">
        <f t="shared" si="37"/>
        <v>42.480000000000018</v>
      </c>
      <c r="O158" s="15">
        <f>IFERROR(N158/N444, "NA")</f>
        <v>-2.9286331804211788E-3</v>
      </c>
      <c r="P158" s="2"/>
      <c r="Q158" s="14">
        <f>IFERROR(Q153+Q154+Q155+Q156+Q157, "NA")</f>
        <v>36663.049999999996</v>
      </c>
      <c r="R158" s="15">
        <f>IFERROR(Q158/Q444, "NA")</f>
        <v>4.2698438898614931E-2</v>
      </c>
      <c r="S158" s="2"/>
      <c r="T158" s="14">
        <f>IFERROR(T153+T154+T155+T156+T157, "NA")</f>
        <v>14766.89</v>
      </c>
      <c r="U158" s="15">
        <f>IFERROR(T158/T444, "NA")</f>
        <v>1.5599333948796977E-2</v>
      </c>
      <c r="V158" s="2"/>
      <c r="W158" s="14">
        <f t="shared" si="38"/>
        <v>-21896.159999999996</v>
      </c>
      <c r="X158" s="15">
        <f>IFERROR(W158/W444, "NA")</f>
        <v>0.24886213688454037</v>
      </c>
      <c r="Y158" s="2"/>
      <c r="Z158" s="14">
        <f>IFERROR(Z153+Z154+Z155+Z156+Z157, "NA")</f>
        <v>37222.94</v>
      </c>
      <c r="AA158" s="15">
        <f>IFERROR(Z158/Z444, "NA")</f>
        <v>4.3934593191072513E-2</v>
      </c>
      <c r="AB158" s="2"/>
      <c r="AC158" s="14">
        <f t="shared" si="39"/>
        <v>559.89000000000669</v>
      </c>
      <c r="AD158" s="15">
        <f>IFERROR(AC158/AC444, "NA")</f>
        <v>4.9046514867080358E-2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420.54</v>
      </c>
      <c r="C161" s="8">
        <f>IFERROR(B161/B444, "NA")</f>
        <v>5.5484295545767098E-3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-420.54</v>
      </c>
      <c r="I161" s="8">
        <f>IFERROR(H161/H444, "NA")</f>
        <v>1.8218618220004527E-2</v>
      </c>
      <c r="J161" s="9"/>
      <c r="K161" s="7">
        <v>234.21</v>
      </c>
      <c r="L161" s="8">
        <f>IFERROR(K161/K444, "NA")</f>
        <v>2.5937026436918574E-3</v>
      </c>
      <c r="M161" s="9"/>
      <c r="N161" s="10">
        <f t="shared" si="41"/>
        <v>-186.33</v>
      </c>
      <c r="O161" s="8">
        <f>IFERROR(N161/N444, "NA")</f>
        <v>1.2845862064686395E-2</v>
      </c>
      <c r="P161" s="9"/>
      <c r="Q161" s="7">
        <v>3042.62</v>
      </c>
      <c r="R161" s="8">
        <f>IFERROR(Q161/Q444, "NA")</f>
        <v>3.543489266760506E-3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-3042.62</v>
      </c>
      <c r="X161" s="8">
        <f>IFERROR(W161/W444, "NA")</f>
        <v>3.458108247873784E-2</v>
      </c>
      <c r="Y161" s="9"/>
      <c r="Z161" s="7">
        <v>2324.23</v>
      </c>
      <c r="AA161" s="8">
        <f>IFERROR(Z161/Z444, "NA")</f>
        <v>2.7433109671747167E-3</v>
      </c>
      <c r="AB161" s="9"/>
      <c r="AC161" s="10">
        <f t="shared" si="43"/>
        <v>-718.38999999999987</v>
      </c>
      <c r="AD161" s="8">
        <f>IFERROR(AC161/AC444, "NA")</f>
        <v>-6.2931157576240751E-2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420.54</v>
      </c>
      <c r="C166" s="15">
        <f>IFERROR(B166/B444, "NA")</f>
        <v>5.5484295545767098E-3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-420.54</v>
      </c>
      <c r="I166" s="15">
        <f>IFERROR(H166/H444, "NA")</f>
        <v>1.8218618220004527E-2</v>
      </c>
      <c r="J166" s="2"/>
      <c r="K166" s="14">
        <f>IFERROR(K160+K161+K162+K163+K164+K165, "NA")</f>
        <v>234.21</v>
      </c>
      <c r="L166" s="15">
        <f>IFERROR(K166/K444, "NA")</f>
        <v>2.5937026436918574E-3</v>
      </c>
      <c r="M166" s="2"/>
      <c r="N166" s="14">
        <f t="shared" si="41"/>
        <v>-186.33</v>
      </c>
      <c r="O166" s="15">
        <f>IFERROR(N166/N444, "NA")</f>
        <v>1.2845862064686395E-2</v>
      </c>
      <c r="P166" s="2"/>
      <c r="Q166" s="14">
        <f>IFERROR(Q160+Q161+Q162+Q163+Q164+Q165, "NA")</f>
        <v>3042.62</v>
      </c>
      <c r="R166" s="15">
        <f>IFERROR(Q166/Q444, "NA")</f>
        <v>3.543489266760506E-3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-3042.62</v>
      </c>
      <c r="X166" s="15">
        <f>IFERROR(W166/W444, "NA")</f>
        <v>3.458108247873784E-2</v>
      </c>
      <c r="Y166" s="2"/>
      <c r="Z166" s="14">
        <f>IFERROR(Z160+Z161+Z162+Z163+Z164+Z165, "NA")</f>
        <v>2324.23</v>
      </c>
      <c r="AA166" s="15">
        <f>IFERROR(Z166/Z444, "NA")</f>
        <v>2.7433109671747167E-3</v>
      </c>
      <c r="AB166" s="2"/>
      <c r="AC166" s="14">
        <f t="shared" si="43"/>
        <v>-718.38999999999987</v>
      </c>
      <c r="AD166" s="15">
        <f>IFERROR(AC166/AC444, "NA")</f>
        <v>-6.2931157576240751E-2</v>
      </c>
    </row>
    <row r="167" spans="1:30" ht="16.5" customHeight="1" x14ac:dyDescent="0.45">
      <c r="A167" s="6" t="s">
        <v>155</v>
      </c>
      <c r="B167" s="7">
        <v>54.68</v>
      </c>
      <c r="C167" s="8">
        <f>IFERROR(B167/B444, "NA")</f>
        <v>7.2142513921209502E-4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-54.68</v>
      </c>
      <c r="I167" s="8">
        <f>IFERROR(H167/H444, "NA")</f>
        <v>2.3688449238356579E-3</v>
      </c>
      <c r="J167" s="9"/>
      <c r="K167" s="7">
        <v>60.13</v>
      </c>
      <c r="L167" s="8">
        <f>IFERROR(K167/K444, "NA")</f>
        <v>6.658953074812835E-4</v>
      </c>
      <c r="M167" s="9"/>
      <c r="N167" s="10">
        <f t="shared" si="41"/>
        <v>5.4500000000000028</v>
      </c>
      <c r="O167" s="8">
        <f>IFERROR(N167/N444, "NA")</f>
        <v>-3.7573095181957217E-4</v>
      </c>
      <c r="P167" s="9"/>
      <c r="Q167" s="7">
        <v>810.84</v>
      </c>
      <c r="R167" s="8">
        <f>IFERROR(Q167/Q444, "NA")</f>
        <v>9.44318658610043E-4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-810.84</v>
      </c>
      <c r="X167" s="8">
        <f>IFERROR(W167/W444, "NA")</f>
        <v>9.2156512864109853E-3</v>
      </c>
      <c r="Y167" s="9"/>
      <c r="Z167" s="7">
        <v>1091.6300000000001</v>
      </c>
      <c r="AA167" s="8">
        <f>IFERROR(Z167/Z444, "NA")</f>
        <v>1.2884613618690647E-3</v>
      </c>
      <c r="AB167" s="9"/>
      <c r="AC167" s="10">
        <f t="shared" si="43"/>
        <v>280.79000000000008</v>
      </c>
      <c r="AD167" s="8">
        <f>IFERROR(AC167/AC444, "NA")</f>
        <v>2.4597279661232263E-2</v>
      </c>
    </row>
    <row r="168" spans="1:30" ht="16.5" customHeight="1" x14ac:dyDescent="0.45">
      <c r="A168" s="6" t="s">
        <v>156</v>
      </c>
      <c r="B168" s="7">
        <v>18</v>
      </c>
      <c r="C168" s="8">
        <f>IFERROR(B168/B444, "NA")</f>
        <v>2.3748450083792448E-4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</v>
      </c>
      <c r="I168" s="8">
        <f>IFERROR(H168/H444, "NA")</f>
        <v>7.7979532971912658E-4</v>
      </c>
      <c r="J168" s="9"/>
      <c r="K168" s="7">
        <v>44.6</v>
      </c>
      <c r="L168" s="8">
        <f>IFERROR(K168/K444, "NA")</f>
        <v>4.9391203581681761E-4</v>
      </c>
      <c r="M168" s="9"/>
      <c r="N168" s="10">
        <f t="shared" si="41"/>
        <v>26.6</v>
      </c>
      <c r="O168" s="8">
        <f>IFERROR(N168/N444, "NA")</f>
        <v>-1.8338428107157092E-3</v>
      </c>
      <c r="P168" s="9"/>
      <c r="Q168" s="7">
        <v>401.47</v>
      </c>
      <c r="R168" s="8">
        <f>IFERROR(Q168/Q444, "NA")</f>
        <v>4.6755908918180402E-4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-401.47</v>
      </c>
      <c r="X168" s="8">
        <f>IFERROR(W168/W444, "NA")</f>
        <v>4.5629316782046002E-3</v>
      </c>
      <c r="Y168" s="9"/>
      <c r="Z168" s="7">
        <v>454.69</v>
      </c>
      <c r="AA168" s="8">
        <f>IFERROR(Z168/Z444, "NA")</f>
        <v>5.3667496920041134E-4</v>
      </c>
      <c r="AB168" s="9"/>
      <c r="AC168" s="10">
        <f t="shared" si="43"/>
        <v>53.21999999999997</v>
      </c>
      <c r="AD168" s="8">
        <f>IFERROR(AC168/AC444, "NA")</f>
        <v>4.6620863405775845E-3</v>
      </c>
    </row>
    <row r="169" spans="1:30" ht="16.5" customHeight="1" x14ac:dyDescent="0.45">
      <c r="A169" s="6" t="s">
        <v>157</v>
      </c>
      <c r="B169" s="7">
        <v>-1199.67</v>
      </c>
      <c r="C169" s="8">
        <f>IFERROR(B169/B444, "NA")</f>
        <v>-1.582794617334627E-2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1199.67</v>
      </c>
      <c r="I169" s="8">
        <f>IFERROR(H169/H444, "NA")</f>
        <v>-5.197205906689692E-2</v>
      </c>
      <c r="J169" s="9"/>
      <c r="K169" s="7">
        <v>-3175.81</v>
      </c>
      <c r="L169" s="8">
        <f>IFERROR(K169/K444, "NA")</f>
        <v>-3.5169748485816311E-2</v>
      </c>
      <c r="M169" s="9"/>
      <c r="N169" s="10">
        <f t="shared" si="41"/>
        <v>-1976.1399999999999</v>
      </c>
      <c r="O169" s="8">
        <f>IFERROR(N169/N444, "NA")</f>
        <v>0.13623797488600531</v>
      </c>
      <c r="P169" s="9"/>
      <c r="Q169" s="7">
        <v>-15425.71</v>
      </c>
      <c r="R169" s="8">
        <f>IFERROR(Q169/Q444, "NA")</f>
        <v>-1.7965055714206903E-2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15425.71</v>
      </c>
      <c r="X169" s="8">
        <f>IFERROR(W169/W444, "NA")</f>
        <v>-0.17532184426681316</v>
      </c>
      <c r="Y169" s="9"/>
      <c r="Z169" s="7">
        <v>-23335.119999999999</v>
      </c>
      <c r="AA169" s="8">
        <f>IFERROR(Z169/Z444, "NA")</f>
        <v>-2.7542666008242761E-2</v>
      </c>
      <c r="AB169" s="9"/>
      <c r="AC169" s="10">
        <f t="shared" si="43"/>
        <v>-7909.41</v>
      </c>
      <c r="AD169" s="8">
        <f>IFERROR(AC169/AC444, "NA")</f>
        <v>-0.69286644725719226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2811.6499999999996</v>
      </c>
      <c r="C170" s="15">
        <f>IFERROR(B170/B444, "NA")</f>
        <v>3.7095738710052797E-2</v>
      </c>
      <c r="D170" s="2"/>
      <c r="E170" s="14">
        <f>IFERROR(E151+E153+E154+E155+E156+E157+E160+E161+E162+E163+E164+E165+E167+E168+E169, "NA")</f>
        <v>1483.16</v>
      </c>
      <c r="F170" s="15">
        <f>IFERROR(E170/E444, "NA")</f>
        <v>1.4999989886465464E-2</v>
      </c>
      <c r="G170" s="2"/>
      <c r="H170" s="14">
        <f t="shared" si="40"/>
        <v>-1328.4899999999996</v>
      </c>
      <c r="I170" s="15">
        <f>IFERROR(H170/H444, "NA")</f>
        <v>5.7552794309920115E-2</v>
      </c>
      <c r="J170" s="2"/>
      <c r="K170" s="14">
        <f>IFERROR(K151+K153+K154+K155+K156+K157+K160+K161+K162+K163+K164+K165+K167+K168+K169, "NA")</f>
        <v>723.71</v>
      </c>
      <c r="L170" s="15">
        <f>IFERROR(K170/K444, "NA")</f>
        <v>8.0145533506948228E-3</v>
      </c>
      <c r="M170" s="2"/>
      <c r="N170" s="14">
        <f t="shared" si="41"/>
        <v>-2087.9399999999996</v>
      </c>
      <c r="O170" s="15">
        <f>IFERROR(N170/N444, "NA")</f>
        <v>0.14394563000773522</v>
      </c>
      <c r="P170" s="2"/>
      <c r="Q170" s="14">
        <f>IFERROR(Q151+Q153+Q154+Q155+Q156+Q157+Q160+Q161+Q162+Q163+Q164+Q165+Q167+Q168+Q169, "NA")</f>
        <v>25492.269999999997</v>
      </c>
      <c r="R170" s="15">
        <f>IFERROR(Q170/Q444, "NA")</f>
        <v>2.9688750198960383E-2</v>
      </c>
      <c r="S170" s="2"/>
      <c r="T170" s="14">
        <f>IFERROR(T151+T153+T154+T155+T156+T157+T160+T161+T162+T163+T164+T165+T167+T168+T169, "NA")</f>
        <v>14766.89</v>
      </c>
      <c r="U170" s="15">
        <f>IFERROR(T170/T444, "NA")</f>
        <v>1.5599333948796977E-2</v>
      </c>
      <c r="V170" s="2"/>
      <c r="W170" s="14">
        <f t="shared" si="42"/>
        <v>-10725.379999999997</v>
      </c>
      <c r="X170" s="15">
        <f>IFERROR(W170/W444, "NA")</f>
        <v>0.12189995806108064</v>
      </c>
      <c r="Y170" s="2"/>
      <c r="Z170" s="14">
        <f>IFERROR(Z151+Z153+Z154+Z155+Z156+Z157+Z160+Z161+Z162+Z163+Z164+Z165+Z167+Z168+Z169, "NA")</f>
        <v>17758.370000000006</v>
      </c>
      <c r="AA170" s="15">
        <f>IFERROR(Z170/Z444, "NA")</f>
        <v>2.0960374481073945E-2</v>
      </c>
      <c r="AB170" s="2"/>
      <c r="AC170" s="14">
        <f t="shared" si="43"/>
        <v>-7733.8999999999905</v>
      </c>
      <c r="AD170" s="15">
        <f>IFERROR(AC170/AC444, "NA")</f>
        <v>-0.6774917239645426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22441.260000000002</v>
      </c>
      <c r="C171" s="15">
        <f>IFERROR(B171/B444, "NA")</f>
        <v>0.29608063495967119</v>
      </c>
      <c r="D171" s="2"/>
      <c r="E171" s="14">
        <f>IFERROR(E127+E129+E130+E131+E132+E133+E134+E135+E136+E137+E138+E139+E140+E143+E144+E145+E146+E147+E151+E153+E154+E155+E156+E157+E160+E161+E162+E163+E164+E165+E167+E168+E169, "NA")</f>
        <v>25312.61</v>
      </c>
      <c r="F171" s="15">
        <f>IFERROR(E171/E444, "NA")</f>
        <v>0.25599995550044807</v>
      </c>
      <c r="G171" s="2"/>
      <c r="H171" s="14">
        <f t="shared" si="40"/>
        <v>2871.3499999999985</v>
      </c>
      <c r="I171" s="15">
        <f>IFERROR(H171/H444, "NA")</f>
        <v>-0.12439251777716738</v>
      </c>
      <c r="J171" s="2"/>
      <c r="K171" s="14">
        <f>IFERROR(K127+K129+K130+K131+K132+K133+K134+K135+K136+K137+K138+K139+K140+K143+K144+K145+K146+K147+K151+K153+K154+K155+K156+K157+K160+K161+K162+K163+K164+K165+K167+K168+K169, "NA")</f>
        <v>24590.799999999996</v>
      </c>
      <c r="L171" s="15">
        <f>IFERROR(K171/K444, "NA")</f>
        <v>0.27232493476152903</v>
      </c>
      <c r="M171" s="2"/>
      <c r="N171" s="14">
        <f t="shared" si="41"/>
        <v>2149.5399999999936</v>
      </c>
      <c r="O171" s="15">
        <f>IFERROR(N171/N444, "NA")</f>
        <v>-0.14819242388518172</v>
      </c>
      <c r="P171" s="2"/>
      <c r="Q171" s="14">
        <f>IFERROR(Q127+Q129+Q130+Q131+Q132+Q133+Q134+Q135+Q136+Q137+Q138+Q139+Q140+Q143+Q144+Q145+Q146+Q147+Q151+Q153+Q154+Q155+Q156+Q157+Q160+Q161+Q162+Q163+Q164+Q165+Q167+Q168+Q169, "NA")</f>
        <v>244652.43999999997</v>
      </c>
      <c r="R171" s="15">
        <f>IFERROR(Q171/Q444, "NA")</f>
        <v>0.28492657486862266</v>
      </c>
      <c r="S171" s="2"/>
      <c r="T171" s="14">
        <f>IFERROR(T127+T129+T130+T131+T132+T133+T134+T135+T136+T137+T138+T139+T140+T143+T144+T145+T146+T147+T151+T153+T154+T155+T156+T157+T160+T161+T162+T163+T164+T165+T167+T168+T169, "NA")</f>
        <v>251581.47999999998</v>
      </c>
      <c r="U171" s="15">
        <f>IFERROR(T171/T444, "NA")</f>
        <v>0.26576371340563837</v>
      </c>
      <c r="V171" s="2"/>
      <c r="W171" s="14">
        <f t="shared" si="42"/>
        <v>6929.0400000000081</v>
      </c>
      <c r="X171" s="15">
        <f>IFERROR(W171/W444, "NA")</f>
        <v>-7.8752425126527109E-2</v>
      </c>
      <c r="Y171" s="2"/>
      <c r="Z171" s="14">
        <f>IFERROR(Z127+Z129+Z130+Z131+Z132+Z133+Z134+Z135+Z136+Z137+Z138+Z139+Z140+Z143+Z144+Z145+Z146+Z147+Z151+Z153+Z154+Z155+Z156+Z157+Z160+Z161+Z162+Z163+Z164+Z165+Z167+Z168+Z169, "NA")</f>
        <v>241156.91000000003</v>
      </c>
      <c r="AA171" s="15">
        <f>IFERROR(Z171/Z444, "NA")</f>
        <v>0.28463981448177084</v>
      </c>
      <c r="AB171" s="2"/>
      <c r="AC171" s="14">
        <f t="shared" si="43"/>
        <v>-3495.5299999999406</v>
      </c>
      <c r="AD171" s="15">
        <f>IFERROR(AC171/AC444, "NA")</f>
        <v>-0.30620936990001685</v>
      </c>
    </row>
    <row r="172" spans="1:30" ht="16.5" customHeight="1" x14ac:dyDescent="0.45">
      <c r="A172" s="22" t="s">
        <v>160</v>
      </c>
      <c r="B172" s="23">
        <f>IFERROR(B124-B171, "NA")</f>
        <v>53353.159999999996</v>
      </c>
      <c r="C172" s="24">
        <f>IFERROR(B172/B444, "NA")</f>
        <v>0.70391936504032881</v>
      </c>
      <c r="D172" s="25"/>
      <c r="E172" s="23">
        <f>IFERROR(E124-E171, "NA")</f>
        <v>73564.789999999994</v>
      </c>
      <c r="F172" s="24">
        <f>IFERROR(E172/E444, "NA")</f>
        <v>0.74400004449955193</v>
      </c>
      <c r="G172" s="25"/>
      <c r="H172" s="23">
        <f>IFERROR(B172-E172, "NA")</f>
        <v>-20211.629999999997</v>
      </c>
      <c r="I172" s="24">
        <f>IFERROR(H172/H444, "NA")</f>
        <v>0.87560748222283258</v>
      </c>
      <c r="J172" s="25"/>
      <c r="K172" s="23">
        <f>IFERROR(K124-K171, "NA")</f>
        <v>65708.680000000022</v>
      </c>
      <c r="L172" s="24">
        <f>IFERROR(K172/K444, "NA")</f>
        <v>0.72767506523847114</v>
      </c>
      <c r="M172" s="25"/>
      <c r="N172" s="23">
        <f>IFERROR(B172-K172, "NA")</f>
        <v>-12355.520000000026</v>
      </c>
      <c r="O172" s="24">
        <f>IFERROR(N172/N444, "NA")</f>
        <v>0.85180757611481983</v>
      </c>
      <c r="P172" s="25"/>
      <c r="Q172" s="23">
        <f>IFERROR(Q124-Q171, "NA")</f>
        <v>613998.39</v>
      </c>
      <c r="R172" s="24">
        <f>IFERROR(Q172/Q444, "NA")</f>
        <v>0.71507342513137739</v>
      </c>
      <c r="S172" s="25"/>
      <c r="T172" s="23">
        <f>IFERROR(T124-T171, "NA")</f>
        <v>695054.45000000007</v>
      </c>
      <c r="U172" s="24">
        <f>IFERROR(T172/T444, "NA")</f>
        <v>0.73423628659436158</v>
      </c>
      <c r="V172" s="25"/>
      <c r="W172" s="23">
        <f>IFERROR(Q172-T172, "NA")</f>
        <v>-81056.060000000056</v>
      </c>
      <c r="X172" s="24">
        <f>IFERROR(W172/W444, "NA")</f>
        <v>0.92124757487347253</v>
      </c>
      <c r="Y172" s="25"/>
      <c r="Z172" s="23">
        <f>IFERROR(Z124-Z171, "NA")</f>
        <v>606078.4299999997</v>
      </c>
      <c r="AA172" s="24">
        <f>IFERROR(Z172/Z444, "NA")</f>
        <v>0.71536018551822889</v>
      </c>
      <c r="AB172" s="25"/>
      <c r="AC172" s="23">
        <f>IFERROR(Q172-Z172, "NA")</f>
        <v>7919.960000000312</v>
      </c>
      <c r="AD172" s="24">
        <f>IFERROR(AC172/AC444, "NA")</f>
        <v>0.69379063010000608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5076.92</v>
      </c>
      <c r="C178" s="8">
        <f>IFERROR(B178/B444, "NA")</f>
        <v>6.6982767333004206E-2</v>
      </c>
      <c r="D178" s="9"/>
      <c r="E178" s="7">
        <v>5000</v>
      </c>
      <c r="F178" s="8">
        <f>IFERROR(E178/E444, "NA")</f>
        <v>5.056767269365902E-2</v>
      </c>
      <c r="G178" s="9"/>
      <c r="H178" s="10">
        <f t="shared" si="44"/>
        <v>-76.920000000000073</v>
      </c>
      <c r="I178" s="8">
        <f>IFERROR(H178/H444, "NA")</f>
        <v>3.3323253756664039E-3</v>
      </c>
      <c r="J178" s="9"/>
      <c r="K178" s="7">
        <v>5307.68</v>
      </c>
      <c r="L178" s="8">
        <f>IFERROR(K178/K444, "NA")</f>
        <v>5.8778633055251266E-2</v>
      </c>
      <c r="M178" s="9"/>
      <c r="N178" s="10">
        <f t="shared" si="45"/>
        <v>230.76000000000022</v>
      </c>
      <c r="O178" s="8">
        <f>IFERROR(N178/N444, "NA")</f>
        <v>-1.5908931090254038E-2</v>
      </c>
      <c r="P178" s="9"/>
      <c r="Q178" s="7">
        <v>51302.01</v>
      </c>
      <c r="R178" s="8">
        <f>IFERROR(Q178/Q444, "NA")</f>
        <v>5.9747231595874667E-2</v>
      </c>
      <c r="S178" s="9"/>
      <c r="T178" s="7">
        <v>53750</v>
      </c>
      <c r="U178" s="8">
        <f>IFERROR(T178/T444, "NA")</f>
        <v>5.6780012565126277E-2</v>
      </c>
      <c r="V178" s="9"/>
      <c r="W178" s="10">
        <f t="shared" si="46"/>
        <v>2447.989999999998</v>
      </c>
      <c r="X178" s="8">
        <f>IFERROR(W178/W444, "NA")</f>
        <v>-2.7822779084185793E-2</v>
      </c>
      <c r="Y178" s="9"/>
      <c r="Z178" s="7">
        <v>57057.56</v>
      </c>
      <c r="AA178" s="8">
        <f>IFERROR(Z178/Z444, "NA")</f>
        <v>6.7345585466253091E-2</v>
      </c>
      <c r="AB178" s="9"/>
      <c r="AC178" s="10">
        <f t="shared" si="47"/>
        <v>5755.5499999999956</v>
      </c>
      <c r="AD178" s="8">
        <f>IFERROR(AC178/AC444, "NA")</f>
        <v>0.50418773088146018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17888.22</v>
      </c>
      <c r="C180" s="8">
        <f>IFERROR(B180/B444, "NA")</f>
        <v>0.236009722087721</v>
      </c>
      <c r="D180" s="9"/>
      <c r="E180" s="7">
        <v>19775.48</v>
      </c>
      <c r="F180" s="8">
        <f>IFERROR(E180/E444, "NA")</f>
        <v>0.2</v>
      </c>
      <c r="G180" s="9"/>
      <c r="H180" s="10">
        <f t="shared" si="44"/>
        <v>1887.2599999999984</v>
      </c>
      <c r="I180" s="8">
        <f>IFERROR(H180/H444, "NA")</f>
        <v>-8.1759807442539856E-2</v>
      </c>
      <c r="J180" s="9"/>
      <c r="K180" s="7">
        <v>17225.66</v>
      </c>
      <c r="L180" s="8">
        <f>IFERROR(K180/K444, "NA")</f>
        <v>0.19076145288987267</v>
      </c>
      <c r="M180" s="9"/>
      <c r="N180" s="10">
        <f t="shared" si="45"/>
        <v>-662.56000000000131</v>
      </c>
      <c r="O180" s="8">
        <f>IFERROR(N180/N444, "NA")</f>
        <v>4.5677853107812132E-2</v>
      </c>
      <c r="P180" s="9"/>
      <c r="Q180" s="7">
        <v>184424.19</v>
      </c>
      <c r="R180" s="8">
        <f>IFERROR(Q180/Q444, "NA")</f>
        <v>0.21478368570376857</v>
      </c>
      <c r="S180" s="9"/>
      <c r="T180" s="7">
        <v>179355.74</v>
      </c>
      <c r="U180" s="8">
        <f>IFERROR(T180/T444, "NA")</f>
        <v>0.18946644038748875</v>
      </c>
      <c r="V180" s="9"/>
      <c r="W180" s="10">
        <f t="shared" si="46"/>
        <v>-5068.4500000000116</v>
      </c>
      <c r="X180" s="8">
        <f>IFERROR(W180/W444, "NA")</f>
        <v>5.7605776432600592E-2</v>
      </c>
      <c r="Y180" s="9"/>
      <c r="Z180" s="7">
        <v>167065.60999999999</v>
      </c>
      <c r="AA180" s="8">
        <f>IFERROR(Z180/Z444, "NA")</f>
        <v>0.19718914227539186</v>
      </c>
      <c r="AB180" s="9"/>
      <c r="AC180" s="10">
        <f t="shared" si="47"/>
        <v>-17358.580000000016</v>
      </c>
      <c r="AD180" s="8">
        <f>IFERROR(AC180/AC444, "NA")</f>
        <v>-1.5206162854156966</v>
      </c>
    </row>
    <row r="181" spans="1:30" ht="16.5" customHeight="1" x14ac:dyDescent="0.45">
      <c r="A181" s="12" t="s">
        <v>166</v>
      </c>
      <c r="B181" s="7">
        <v>949.95</v>
      </c>
      <c r="C181" s="8">
        <f>IFERROR(B181/B444, "NA")</f>
        <v>1.2533244531721466E-2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-949.95</v>
      </c>
      <c r="I181" s="8">
        <f>IFERROR(H181/H444, "NA")</f>
        <v>4.1153698525926902E-2</v>
      </c>
      <c r="J181" s="9"/>
      <c r="K181" s="7">
        <v>108.13</v>
      </c>
      <c r="L181" s="8">
        <f>IFERROR(K181/K444, "NA")</f>
        <v>1.1974598303334638E-3</v>
      </c>
      <c r="M181" s="9"/>
      <c r="N181" s="10">
        <f t="shared" si="45"/>
        <v>-841.82</v>
      </c>
      <c r="O181" s="8">
        <f>IFERROR(N181/N444, "NA")</f>
        <v>5.8036299057018736E-2</v>
      </c>
      <c r="P181" s="9"/>
      <c r="Q181" s="7">
        <v>1955.57</v>
      </c>
      <c r="R181" s="8">
        <f>IFERROR(Q181/Q444, "NA")</f>
        <v>2.2774915386735259E-3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-1955.57</v>
      </c>
      <c r="X181" s="8">
        <f>IFERROR(W181/W444, "NA")</f>
        <v>2.2226149654884723E-2</v>
      </c>
      <c r="Y181" s="9"/>
      <c r="Z181" s="7">
        <v>376.78</v>
      </c>
      <c r="AA181" s="8">
        <f>IFERROR(Z181/Z444, "NA")</f>
        <v>4.4471704874822618E-4</v>
      </c>
      <c r="AB181" s="9"/>
      <c r="AC181" s="10">
        <f t="shared" si="47"/>
        <v>-1578.79</v>
      </c>
      <c r="AD181" s="8">
        <f>IFERROR(AC181/AC444, "NA")</f>
        <v>-0.138302429418273</v>
      </c>
    </row>
    <row r="182" spans="1:30" ht="16.5" customHeight="1" x14ac:dyDescent="0.45">
      <c r="A182" s="13" t="s">
        <v>167</v>
      </c>
      <c r="B182" s="14">
        <f>IFERROR(B177+B178+B179+B180+B181, "NA")</f>
        <v>23915.09</v>
      </c>
      <c r="C182" s="15">
        <f>IFERROR(B182/B444, "NA")</f>
        <v>0.31552573395244665</v>
      </c>
      <c r="D182" s="2"/>
      <c r="E182" s="14">
        <f>IFERROR(E177+E178+E179+E180+E181, "NA")</f>
        <v>24775.48</v>
      </c>
      <c r="F182" s="15">
        <f>IFERROR(E182/E444, "NA")</f>
        <v>0.25056767269365904</v>
      </c>
      <c r="G182" s="2"/>
      <c r="H182" s="14">
        <f t="shared" si="44"/>
        <v>860.38999999999942</v>
      </c>
      <c r="I182" s="15">
        <f>IFERROR(H182/H444, "NA")</f>
        <v>-3.7273783540946598E-2</v>
      </c>
      <c r="J182" s="2"/>
      <c r="K182" s="14">
        <f>IFERROR(K177+K178+K179+K180+K181, "NA")</f>
        <v>22641.47</v>
      </c>
      <c r="L182" s="15">
        <f>IFERROR(K182/K444, "NA")</f>
        <v>0.25073754577545743</v>
      </c>
      <c r="M182" s="2"/>
      <c r="N182" s="14">
        <f t="shared" si="45"/>
        <v>-1273.619999999999</v>
      </c>
      <c r="O182" s="15">
        <f>IFERROR(N182/N444, "NA")</f>
        <v>8.7805221074576681E-2</v>
      </c>
      <c r="P182" s="2"/>
      <c r="Q182" s="14">
        <f>IFERROR(Q177+Q178+Q179+Q180+Q181, "NA")</f>
        <v>237681.77000000002</v>
      </c>
      <c r="R182" s="15">
        <f>IFERROR(Q182/Q444, "NA")</f>
        <v>0.27680840883831676</v>
      </c>
      <c r="S182" s="2"/>
      <c r="T182" s="14">
        <f>IFERROR(T177+T178+T179+T180+T181, "NA")</f>
        <v>233105.74</v>
      </c>
      <c r="U182" s="15">
        <f>IFERROR(T182/T444, "NA")</f>
        <v>0.24624645295261505</v>
      </c>
      <c r="V182" s="2"/>
      <c r="W182" s="14">
        <f t="shared" si="46"/>
        <v>-4576.0300000000279</v>
      </c>
      <c r="X182" s="15">
        <f>IFERROR(W182/W444, "NA")</f>
        <v>5.2009147003299686E-2</v>
      </c>
      <c r="Y182" s="2"/>
      <c r="Z182" s="14">
        <f>IFERROR(Z177+Z178+Z179+Z180+Z181, "NA")</f>
        <v>224499.94999999998</v>
      </c>
      <c r="AA182" s="15">
        <f>IFERROR(Z182/Z444, "NA")</f>
        <v>0.26497944479039315</v>
      </c>
      <c r="AB182" s="2"/>
      <c r="AC182" s="14">
        <f t="shared" si="47"/>
        <v>-13181.820000000036</v>
      </c>
      <c r="AD182" s="15">
        <f>IFERROR(AC182/AC444, "NA")</f>
        <v>-1.1547309839525108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3.958075013965408E-3</v>
      </c>
      <c r="D184" s="9"/>
      <c r="E184" s="7">
        <v>300</v>
      </c>
      <c r="F184" s="8">
        <f>IFERROR(E184/E444, "NA")</f>
        <v>3.0340603616195411E-3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3.3222782678261273E-3</v>
      </c>
      <c r="M184" s="9"/>
      <c r="N184" s="10">
        <f t="shared" si="45"/>
        <v>0</v>
      </c>
      <c r="O184" s="8">
        <f>IFERROR(N184/N444, "NA")</f>
        <v>0</v>
      </c>
      <c r="P184" s="9"/>
      <c r="Q184" s="7">
        <v>2000</v>
      </c>
      <c r="R184" s="8">
        <f>IFERROR(Q184/Q444, "NA")</f>
        <v>2.3292355054265771E-3</v>
      </c>
      <c r="S184" s="9"/>
      <c r="T184" s="7">
        <v>3000</v>
      </c>
      <c r="U184" s="8">
        <f>IFERROR(T184/T444, "NA")</f>
        <v>3.1691169803791408E-3</v>
      </c>
      <c r="V184" s="9"/>
      <c r="W184" s="10">
        <f t="shared" si="46"/>
        <v>1000</v>
      </c>
      <c r="X184" s="8">
        <f>IFERROR(W184/W444, "NA")</f>
        <v>-1.1365560759719531E-2</v>
      </c>
      <c r="Y184" s="9"/>
      <c r="Z184" s="7">
        <v>2550</v>
      </c>
      <c r="AA184" s="8">
        <f>IFERROR(Z184/Z444, "NA")</f>
        <v>3.0097894641647033E-3</v>
      </c>
      <c r="AB184" s="9"/>
      <c r="AC184" s="10">
        <f t="shared" si="47"/>
        <v>550</v>
      </c>
      <c r="AD184" s="8">
        <f>IFERROR(AC184/AC444, "NA")</f>
        <v>4.8180148202135911E-2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2535.56</v>
      </c>
      <c r="C186" s="8">
        <f>IFERROR(B186/B444, "NA")</f>
        <v>3.3453122274700431E-2</v>
      </c>
      <c r="D186" s="9"/>
      <c r="E186" s="7">
        <v>2258.4699999999998</v>
      </c>
      <c r="F186" s="8">
        <f>IFERROR(E186/E444, "NA")</f>
        <v>2.2841114349689613E-2</v>
      </c>
      <c r="G186" s="9"/>
      <c r="H186" s="10">
        <f t="shared" ref="H186:H197" si="48">IFERROR(-(B186-E186), "NA")</f>
        <v>-277.09000000000015</v>
      </c>
      <c r="I186" s="8">
        <f>IFERROR(H186/H444, "NA")</f>
        <v>1.2004082661770716E-2</v>
      </c>
      <c r="J186" s="9"/>
      <c r="K186" s="7">
        <v>3102.86</v>
      </c>
      <c r="L186" s="8">
        <f>IFERROR(K186/K444, "NA")</f>
        <v>3.4361881153689926E-2</v>
      </c>
      <c r="M186" s="9"/>
      <c r="N186" s="10">
        <f t="shared" ref="N186:N197" si="49">IFERROR(-(B186-K186), "NA")</f>
        <v>567.30000000000018</v>
      </c>
      <c r="O186" s="8">
        <f>IFERROR(N186/N444, "NA")</f>
        <v>-3.911048971876023E-2</v>
      </c>
      <c r="P186" s="9"/>
      <c r="Q186" s="7">
        <v>27127.84</v>
      </c>
      <c r="R186" s="8">
        <f>IFERROR(Q186/Q444, "NA")</f>
        <v>3.1593564056765659E-2</v>
      </c>
      <c r="S186" s="9"/>
      <c r="T186" s="7">
        <v>25054.41</v>
      </c>
      <c r="U186" s="8">
        <f>IFERROR(T186/T444, "NA")</f>
        <v>2.6466785388126985E-2</v>
      </c>
      <c r="V186" s="9"/>
      <c r="W186" s="10">
        <f t="shared" ref="W186:W197" si="50">IFERROR(-(Q186-T186), "NA")</f>
        <v>-2073.4300000000003</v>
      </c>
      <c r="X186" s="8">
        <f>IFERROR(W186/W444, "NA")</f>
        <v>2.356569464602527E-2</v>
      </c>
      <c r="Y186" s="9"/>
      <c r="Z186" s="7">
        <v>28026.18</v>
      </c>
      <c r="AA186" s="8">
        <f>IFERROR(Z186/Z444, "NA")</f>
        <v>3.3079569131287657E-2</v>
      </c>
      <c r="AB186" s="9"/>
      <c r="AC186" s="10">
        <f t="shared" ref="AC186:AC197" si="51">IFERROR(-(Q186-Z186), "NA")</f>
        <v>898.34000000000015</v>
      </c>
      <c r="AD186" s="8">
        <f>IFERROR(AC186/AC444, "NA")</f>
        <v>7.8694826065285051E-2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5.901547968950399E-8</v>
      </c>
      <c r="AB187" s="9"/>
      <c r="AC187" s="10">
        <f t="shared" si="51"/>
        <v>0.05</v>
      </c>
      <c r="AD187" s="8">
        <f>IFERROR(AC187/AC444, "NA")</f>
        <v>4.3800134729214466E-6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2535.56</v>
      </c>
      <c r="C193" s="15">
        <f>IFERROR(B193/B444, "NA")</f>
        <v>3.3453122274700431E-2</v>
      </c>
      <c r="D193" s="2"/>
      <c r="E193" s="14">
        <f>IFERROR(E186+E187+E188+E189+E190+E191+E192, "NA")</f>
        <v>2258.4699999999998</v>
      </c>
      <c r="F193" s="15">
        <f>IFERROR(E193/E444, "NA")</f>
        <v>2.2841114349689613E-2</v>
      </c>
      <c r="G193" s="2"/>
      <c r="H193" s="14">
        <f t="shared" si="48"/>
        <v>-277.09000000000015</v>
      </c>
      <c r="I193" s="15">
        <f>IFERROR(H193/H444, "NA")</f>
        <v>1.2004082661770716E-2</v>
      </c>
      <c r="J193" s="2"/>
      <c r="K193" s="14">
        <f>IFERROR(K186+K187+K188+K189+K190+K191+K192, "NA")</f>
        <v>3102.86</v>
      </c>
      <c r="L193" s="15">
        <f>IFERROR(K193/K444, "NA")</f>
        <v>3.4361881153689926E-2</v>
      </c>
      <c r="M193" s="2"/>
      <c r="N193" s="14">
        <f t="shared" si="49"/>
        <v>567.30000000000018</v>
      </c>
      <c r="O193" s="15">
        <f>IFERROR(N193/N444, "NA")</f>
        <v>-3.911048971876023E-2</v>
      </c>
      <c r="P193" s="2"/>
      <c r="Q193" s="14">
        <f>IFERROR(Q186+Q187+Q188+Q189+Q190+Q191+Q192, "NA")</f>
        <v>27127.84</v>
      </c>
      <c r="R193" s="15">
        <f>IFERROR(Q193/Q444, "NA")</f>
        <v>3.1593564056765659E-2</v>
      </c>
      <c r="S193" s="2"/>
      <c r="T193" s="14">
        <f>IFERROR(T186+T187+T188+T189+T190+T191+T192, "NA")</f>
        <v>25054.41</v>
      </c>
      <c r="U193" s="15">
        <f>IFERROR(T193/T444, "NA")</f>
        <v>2.6466785388126985E-2</v>
      </c>
      <c r="V193" s="2"/>
      <c r="W193" s="14">
        <f t="shared" si="50"/>
        <v>-2073.4300000000003</v>
      </c>
      <c r="X193" s="15">
        <f>IFERROR(W193/W444, "NA")</f>
        <v>2.356569464602527E-2</v>
      </c>
      <c r="Y193" s="2"/>
      <c r="Z193" s="14">
        <f>IFERROR(Z186+Z187+Z188+Z189+Z190+Z191+Z192, "NA")</f>
        <v>28026.23</v>
      </c>
      <c r="AA193" s="15">
        <f>IFERROR(Z193/Z444, "NA")</f>
        <v>3.3079628146767341E-2</v>
      </c>
      <c r="AB193" s="2"/>
      <c r="AC193" s="14">
        <f t="shared" si="51"/>
        <v>898.38999999999942</v>
      </c>
      <c r="AD193" s="15">
        <f>IFERROR(AC193/AC444, "NA")</f>
        <v>7.8699206078757911E-2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3.6361515794962221E-3</v>
      </c>
      <c r="D194" s="9"/>
      <c r="E194" s="7">
        <v>200.6</v>
      </c>
      <c r="F194" s="8">
        <f>IFERROR(E194/E444, "NA")</f>
        <v>2.0287750284696E-3</v>
      </c>
      <c r="G194" s="9"/>
      <c r="H194" s="10">
        <f t="shared" si="48"/>
        <v>-75.000000000000028</v>
      </c>
      <c r="I194" s="8">
        <f>IFERROR(H194/H444, "NA")</f>
        <v>3.2491472071630285E-3</v>
      </c>
      <c r="J194" s="9"/>
      <c r="K194" s="7">
        <v>224.72</v>
      </c>
      <c r="L194" s="8">
        <f>IFERROR(K194/K444, "NA")</f>
        <v>2.4886079078196245E-3</v>
      </c>
      <c r="M194" s="9"/>
      <c r="N194" s="10">
        <f t="shared" si="49"/>
        <v>-50.880000000000024</v>
      </c>
      <c r="O194" s="8">
        <f>IFERROR(N194/N444, "NA")</f>
        <v>3.5077414364366663E-3</v>
      </c>
      <c r="P194" s="9"/>
      <c r="Q194" s="7">
        <v>2388.1799999999998</v>
      </c>
      <c r="R194" s="8">
        <f>IFERROR(Q194/Q444, "NA")</f>
        <v>2.7813168246748213E-3</v>
      </c>
      <c r="S194" s="9"/>
      <c r="T194" s="7">
        <v>1888.85</v>
      </c>
      <c r="U194" s="8">
        <f>IFERROR(T194/T444, "NA")</f>
        <v>1.9953288694630469E-3</v>
      </c>
      <c r="V194" s="9"/>
      <c r="W194" s="10">
        <f t="shared" si="50"/>
        <v>-499.32999999999993</v>
      </c>
      <c r="X194" s="8">
        <f>IFERROR(W194/W444, "NA")</f>
        <v>5.6751654541507528E-3</v>
      </c>
      <c r="Y194" s="9"/>
      <c r="Z194" s="7">
        <v>2095.62</v>
      </c>
      <c r="AA194" s="8">
        <f>IFERROR(Z194/Z444, "NA")</f>
        <v>2.4734803909383664E-3</v>
      </c>
      <c r="AB194" s="9"/>
      <c r="AC194" s="10">
        <f t="shared" si="51"/>
        <v>-292.55999999999995</v>
      </c>
      <c r="AD194" s="8">
        <f>IFERROR(AC194/AC444, "NA")</f>
        <v>-2.5628334832757962E-2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175.53</v>
      </c>
      <c r="F195" s="8">
        <f>IFERROR(E195/E444, "NA")</f>
        <v>1.7752287175835935E-3</v>
      </c>
      <c r="G195" s="9"/>
      <c r="H195" s="10">
        <f t="shared" si="48"/>
        <v>175.53</v>
      </c>
      <c r="I195" s="8">
        <f>IFERROR(H195/H444, "NA")</f>
        <v>-7.6043041236443492E-3</v>
      </c>
      <c r="J195" s="9"/>
      <c r="K195" s="7">
        <v>202.75</v>
      </c>
      <c r="L195" s="8">
        <f>IFERROR(K195/K444, "NA")</f>
        <v>2.2453063960058244E-3</v>
      </c>
      <c r="M195" s="9"/>
      <c r="N195" s="10">
        <f t="shared" si="49"/>
        <v>202.75</v>
      </c>
      <c r="O195" s="8">
        <f>IFERROR(N195/N444, "NA")</f>
        <v>-1.3977880822278573E-2</v>
      </c>
      <c r="P195" s="9"/>
      <c r="Q195" s="7">
        <v>0</v>
      </c>
      <c r="R195" s="8">
        <f>IFERROR(Q195/Q444, "NA")</f>
        <v>0</v>
      </c>
      <c r="S195" s="9"/>
      <c r="T195" s="7">
        <v>1652.74</v>
      </c>
      <c r="U195" s="8">
        <f>IFERROR(T195/T444, "NA")</f>
        <v>1.7459087993839406E-3</v>
      </c>
      <c r="V195" s="9"/>
      <c r="W195" s="10">
        <f t="shared" si="50"/>
        <v>1652.74</v>
      </c>
      <c r="X195" s="8">
        <f>IFERROR(W195/W444, "NA")</f>
        <v>-1.878431689001886E-2</v>
      </c>
      <c r="Y195" s="9"/>
      <c r="Z195" s="7">
        <v>1868.32</v>
      </c>
      <c r="AA195" s="8">
        <f>IFERROR(Z195/Z444, "NA")</f>
        <v>2.2051960202698817E-3</v>
      </c>
      <c r="AB195" s="9"/>
      <c r="AC195" s="10">
        <f t="shared" si="51"/>
        <v>1868.32</v>
      </c>
      <c r="AD195" s="8">
        <f>IFERROR(AC195/AC444, "NA")</f>
        <v>0.16366533543457193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27026.25</v>
      </c>
      <c r="C196" s="15">
        <f>IFERROR(B196/B444, "NA")</f>
        <v>0.35657308282060868</v>
      </c>
      <c r="D196" s="2"/>
      <c r="E196" s="14">
        <f>IFERROR(E175+E177+E178+E179+E180+E181+E183+E184+E186+E187+E188+E189+E190+E191+E192+E194+E195, "NA")</f>
        <v>27710.079999999998</v>
      </c>
      <c r="F196" s="15">
        <f>IFERROR(E196/E444, "NA")</f>
        <v>0.28024685115102138</v>
      </c>
      <c r="G196" s="2"/>
      <c r="H196" s="14">
        <f t="shared" si="48"/>
        <v>683.82999999999811</v>
      </c>
      <c r="I196" s="15">
        <f>IFERROR(H196/H444, "NA")</f>
        <v>-2.9624857795657156E-2</v>
      </c>
      <c r="J196" s="2"/>
      <c r="K196" s="14">
        <f>IFERROR(K175+K177+K178+K179+K180+K181+K183+K184+K186+K187+K188+K189+K190+K191+K192+K194+K195, "NA")</f>
        <v>26471.800000000003</v>
      </c>
      <c r="L196" s="15">
        <f>IFERROR(K196/K444, "NA")</f>
        <v>0.29315561950079894</v>
      </c>
      <c r="M196" s="2"/>
      <c r="N196" s="14">
        <f t="shared" si="49"/>
        <v>-554.44999999999709</v>
      </c>
      <c r="O196" s="15">
        <f>IFERROR(N196/N444, "NA")</f>
        <v>3.8224591969974422E-2</v>
      </c>
      <c r="P196" s="2"/>
      <c r="Q196" s="14">
        <f>IFERROR(Q175+Q177+Q178+Q179+Q180+Q181+Q183+Q184+Q186+Q187+Q188+Q189+Q190+Q191+Q192+Q194+Q195, "NA")</f>
        <v>269197.79000000004</v>
      </c>
      <c r="R196" s="15">
        <f>IFERROR(Q196/Q444, "NA")</f>
        <v>0.31351252522518386</v>
      </c>
      <c r="S196" s="2"/>
      <c r="T196" s="14">
        <f>IFERROR(T175+T177+T178+T179+T180+T181+T183+T184+T186+T187+T188+T189+T190+T191+T192+T194+T195, "NA")</f>
        <v>264701.74</v>
      </c>
      <c r="U196" s="15">
        <f>IFERROR(T196/T444, "NA")</f>
        <v>0.27962359298996814</v>
      </c>
      <c r="V196" s="2"/>
      <c r="W196" s="14">
        <f t="shared" si="50"/>
        <v>-4496.0500000000466</v>
      </c>
      <c r="X196" s="15">
        <f>IFERROR(W196/W444, "NA")</f>
        <v>5.1100129453737528E-2</v>
      </c>
      <c r="Y196" s="2"/>
      <c r="Z196" s="14">
        <f>IFERROR(Z175+Z177+Z178+Z179+Z180+Z181+Z183+Z184+Z186+Z187+Z188+Z189+Z190+Z191+Z192+Z194+Z195, "NA")</f>
        <v>259040.11999999997</v>
      </c>
      <c r="AA196" s="15">
        <f>IFERROR(Z196/Z444, "NA")</f>
        <v>0.30574753881253347</v>
      </c>
      <c r="AB196" s="2"/>
      <c r="AC196" s="14">
        <f t="shared" si="51"/>
        <v>-10157.670000000071</v>
      </c>
      <c r="AD196" s="15">
        <f>IFERROR(AC196/AC444, "NA")</f>
        <v>-0.88981462906980602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27026.25</v>
      </c>
      <c r="C197" s="15">
        <f>IFERROR(B197/B444, "NA")</f>
        <v>0.35657308282060868</v>
      </c>
      <c r="D197" s="2"/>
      <c r="E197" s="14">
        <f>IFERROR(E175+E177+E178+E179+E180+E181+E183+E184+E186+E187+E188+E189+E190+E191+E192+E194+E195, "NA")</f>
        <v>27710.079999999998</v>
      </c>
      <c r="F197" s="15">
        <f>IFERROR(E197/E444, "NA")</f>
        <v>0.28024685115102138</v>
      </c>
      <c r="G197" s="2"/>
      <c r="H197" s="14">
        <f t="shared" si="48"/>
        <v>683.82999999999811</v>
      </c>
      <c r="I197" s="15">
        <f>IFERROR(H197/H444, "NA")</f>
        <v>-2.9624857795657156E-2</v>
      </c>
      <c r="J197" s="2"/>
      <c r="K197" s="14">
        <f>IFERROR(K175+K177+K178+K179+K180+K181+K183+K184+K186+K187+K188+K189+K190+K191+K192+K194+K195, "NA")</f>
        <v>26471.800000000003</v>
      </c>
      <c r="L197" s="15">
        <f>IFERROR(K197/K444, "NA")</f>
        <v>0.29315561950079894</v>
      </c>
      <c r="M197" s="2"/>
      <c r="N197" s="14">
        <f t="shared" si="49"/>
        <v>-554.44999999999709</v>
      </c>
      <c r="O197" s="15">
        <f>IFERROR(N197/N444, "NA")</f>
        <v>3.8224591969974422E-2</v>
      </c>
      <c r="P197" s="2"/>
      <c r="Q197" s="14">
        <f>IFERROR(Q175+Q177+Q178+Q179+Q180+Q181+Q183+Q184+Q186+Q187+Q188+Q189+Q190+Q191+Q192+Q194+Q195, "NA")</f>
        <v>269197.79000000004</v>
      </c>
      <c r="R197" s="15">
        <f>IFERROR(Q197/Q444, "NA")</f>
        <v>0.31351252522518386</v>
      </c>
      <c r="S197" s="2"/>
      <c r="T197" s="14">
        <f>IFERROR(T175+T177+T178+T179+T180+T181+T183+T184+T186+T187+T188+T189+T190+T191+T192+T194+T195, "NA")</f>
        <v>264701.74</v>
      </c>
      <c r="U197" s="15">
        <f>IFERROR(T197/T444, "NA")</f>
        <v>0.27962359298996814</v>
      </c>
      <c r="V197" s="2"/>
      <c r="W197" s="14">
        <f t="shared" si="50"/>
        <v>-4496.0500000000466</v>
      </c>
      <c r="X197" s="15">
        <f>IFERROR(W197/W444, "NA")</f>
        <v>5.1100129453737528E-2</v>
      </c>
      <c r="Y197" s="2"/>
      <c r="Z197" s="14">
        <f>IFERROR(Z175+Z177+Z178+Z179+Z180+Z181+Z183+Z184+Z186+Z187+Z188+Z189+Z190+Z191+Z192+Z194+Z195, "NA")</f>
        <v>259040.11999999997</v>
      </c>
      <c r="AA197" s="15">
        <f>IFERROR(Z197/Z444, "NA")</f>
        <v>0.30574753881253347</v>
      </c>
      <c r="AB197" s="2"/>
      <c r="AC197" s="14">
        <f t="shared" si="51"/>
        <v>-10157.670000000071</v>
      </c>
      <c r="AD197" s="15">
        <f>IFERROR(AC197/AC444, "NA")</f>
        <v>-0.88981462906980602</v>
      </c>
    </row>
    <row r="198" spans="1:30" ht="16.5" customHeight="1" x14ac:dyDescent="0.45">
      <c r="A198" s="22" t="s">
        <v>181</v>
      </c>
      <c r="B198" s="23">
        <f>IFERROR(B172-B197, "NA")</f>
        <v>26326.909999999996</v>
      </c>
      <c r="C198" s="24">
        <f>IFERROR(B198/B444, "NA")</f>
        <v>0.34734628221972008</v>
      </c>
      <c r="D198" s="25"/>
      <c r="E198" s="23">
        <f>IFERROR(E172-E197, "NA")</f>
        <v>45854.709999999992</v>
      </c>
      <c r="F198" s="24">
        <f>IFERROR(E198/E444, "NA")</f>
        <v>0.46375319334853055</v>
      </c>
      <c r="G198" s="25"/>
      <c r="H198" s="23">
        <f>IFERROR(B198-E198, "NA")</f>
        <v>-19527.799999999996</v>
      </c>
      <c r="I198" s="24">
        <f>IFERROR(H198/H444, "NA")</f>
        <v>0.84598262442717531</v>
      </c>
      <c r="J198" s="25"/>
      <c r="K198" s="23">
        <f>IFERROR(K172-K197, "NA")</f>
        <v>39236.880000000019</v>
      </c>
      <c r="L198" s="24">
        <f>IFERROR(K198/K444, "NA")</f>
        <v>0.43451944573767226</v>
      </c>
      <c r="M198" s="25"/>
      <c r="N198" s="23">
        <f>IFERROR(B198-K198, "NA")</f>
        <v>-12909.970000000023</v>
      </c>
      <c r="O198" s="24">
        <f>IFERROR(N198/N444, "NA")</f>
        <v>0.89003216808479424</v>
      </c>
      <c r="P198" s="25"/>
      <c r="Q198" s="23">
        <f>IFERROR(Q172-Q197, "NA")</f>
        <v>344800.6</v>
      </c>
      <c r="R198" s="24">
        <f>IFERROR(Q198/Q444, "NA")</f>
        <v>0.40156089990619354</v>
      </c>
      <c r="S198" s="25"/>
      <c r="T198" s="23">
        <f>IFERROR(T172-T197, "NA")</f>
        <v>430352.71000000008</v>
      </c>
      <c r="U198" s="24">
        <f>IFERROR(T198/T444, "NA")</f>
        <v>0.45461269360439344</v>
      </c>
      <c r="V198" s="25"/>
      <c r="W198" s="23">
        <f>IFERROR(Q198-T198, "NA")</f>
        <v>-85552.110000000102</v>
      </c>
      <c r="X198" s="24">
        <f>IFERROR(W198/W444, "NA")</f>
        <v>0.97234770432721007</v>
      </c>
      <c r="Y198" s="25"/>
      <c r="Z198" s="23">
        <f>IFERROR(Z172-Z197, "NA")</f>
        <v>347038.30999999971</v>
      </c>
      <c r="AA198" s="24">
        <f>IFERROR(Z198/Z444, "NA")</f>
        <v>0.40961264670569542</v>
      </c>
      <c r="AB198" s="25"/>
      <c r="AC198" s="23">
        <f>IFERROR(Q198-Z198, "NA")</f>
        <v>-2237.7099999997299</v>
      </c>
      <c r="AD198" s="24">
        <f>IFERROR(AC198/AC444, "NA")</f>
        <v>-0.19602399896979733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2175.3000000000002</v>
      </c>
      <c r="F201" s="8">
        <f>IFERROR(E201/E444, "NA")</f>
        <v>2.1999971682103294E-2</v>
      </c>
      <c r="G201" s="9"/>
      <c r="H201" s="10">
        <f t="shared" ref="H201:H209" si="52">IFERROR(-(B201-E201), "NA")</f>
        <v>2175.3000000000002</v>
      </c>
      <c r="I201" s="8">
        <f>IFERROR(H201/H444, "NA")</f>
        <v>-9.4238265596556445E-2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21052.91</v>
      </c>
      <c r="U201" s="8">
        <f>IFERROR(T201/T444, "NA")</f>
        <v>2.2239711522464605E-2</v>
      </c>
      <c r="V201" s="9"/>
      <c r="W201" s="10">
        <f t="shared" ref="W201:W209" si="54">IFERROR(-(Q201-T201), "NA")</f>
        <v>21052.91</v>
      </c>
      <c r="X201" s="8">
        <f>IFERROR(W201/W444, "NA")</f>
        <v>-0.23927812777390692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806.25</v>
      </c>
      <c r="C202" s="8">
        <f>IFERROR(B202/B444, "NA")</f>
        <v>1.0637326600032034E-2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-806.25</v>
      </c>
      <c r="I202" s="8">
        <f>IFERROR(H202/H444, "NA")</f>
        <v>3.4928332477002541E-2</v>
      </c>
      <c r="J202" s="9"/>
      <c r="K202" s="7">
        <v>336.67</v>
      </c>
      <c r="L202" s="8">
        <f>IFERROR(K202/K444, "NA")</f>
        <v>3.7283714147634075E-3</v>
      </c>
      <c r="M202" s="9"/>
      <c r="N202" s="10">
        <f t="shared" si="53"/>
        <v>-469.58</v>
      </c>
      <c r="O202" s="8">
        <f>IFERROR(N202/N444, "NA")</f>
        <v>3.2373530340446717E-2</v>
      </c>
      <c r="P202" s="9"/>
      <c r="Q202" s="7">
        <v>6997</v>
      </c>
      <c r="R202" s="8">
        <f>IFERROR(Q202/Q444, "NA")</f>
        <v>8.1488304157348798E-3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-6997</v>
      </c>
      <c r="X202" s="8">
        <f>IFERROR(W202/W444, "NA")</f>
        <v>7.9524828635757563E-2</v>
      </c>
      <c r="Y202" s="9"/>
      <c r="Z202" s="7">
        <v>7704.51</v>
      </c>
      <c r="AA202" s="8">
        <f>IFERROR(Z202/Z444, "NA")</f>
        <v>9.0937070684516067E-3</v>
      </c>
      <c r="AB202" s="9"/>
      <c r="AC202" s="10">
        <f t="shared" si="55"/>
        <v>707.51000000000022</v>
      </c>
      <c r="AD202" s="8">
        <f>IFERROR(AC202/AC444, "NA")</f>
        <v>6.1978066644533071E-2</v>
      </c>
    </row>
    <row r="203" spans="1:30" ht="16.5" customHeight="1" x14ac:dyDescent="0.45">
      <c r="A203" s="6" t="s">
        <v>185</v>
      </c>
      <c r="B203" s="7">
        <v>1043.3699999999999</v>
      </c>
      <c r="C203" s="8">
        <f>IFERROR(B203/B444, "NA")</f>
        <v>1.3765789091070291E-2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-1043.3699999999999</v>
      </c>
      <c r="I203" s="8">
        <f>IFERROR(H203/H444, "NA")</f>
        <v>4.5200836287169165E-2</v>
      </c>
      <c r="J203" s="9"/>
      <c r="K203" s="7">
        <v>698.31</v>
      </c>
      <c r="L203" s="8">
        <f>IFERROR(K203/K444, "NA")</f>
        <v>7.7332671240188753E-3</v>
      </c>
      <c r="M203" s="9"/>
      <c r="N203" s="10">
        <f t="shared" si="53"/>
        <v>-345.05999999999995</v>
      </c>
      <c r="O203" s="8">
        <f>IFERROR(N203/N444, "NA")</f>
        <v>2.3788939859607613E-2</v>
      </c>
      <c r="P203" s="9"/>
      <c r="Q203" s="7">
        <v>8617.48</v>
      </c>
      <c r="R203" s="8">
        <f>IFERROR(Q203/Q444, "NA")</f>
        <v>1.0036070191651709E-2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-8617.48</v>
      </c>
      <c r="X203" s="8">
        <f>IFERROR(W203/W444, "NA")</f>
        <v>9.7942492535667863E-2</v>
      </c>
      <c r="Y203" s="9"/>
      <c r="Z203" s="7">
        <v>7947.97</v>
      </c>
      <c r="AA203" s="8">
        <f>IFERROR(Z203/Z444, "NA")</f>
        <v>9.3810652421557391E-3</v>
      </c>
      <c r="AB203" s="9"/>
      <c r="AC203" s="10">
        <f t="shared" si="55"/>
        <v>-669.50999999999931</v>
      </c>
      <c r="AD203" s="8">
        <f>IFERROR(AC203/AC444, "NA")</f>
        <v>-5.864925640511269E-2</v>
      </c>
    </row>
    <row r="204" spans="1:30" ht="16.5" customHeight="1" x14ac:dyDescent="0.45">
      <c r="A204" s="6" t="s">
        <v>186</v>
      </c>
      <c r="B204" s="7">
        <v>260.63</v>
      </c>
      <c r="C204" s="8">
        <f>IFERROR(B204/B444, "NA")</f>
        <v>3.4386436362993478E-3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-260.63</v>
      </c>
      <c r="I204" s="8">
        <f>IFERROR(H204/H444, "NA")</f>
        <v>1.1291003154705331E-2</v>
      </c>
      <c r="J204" s="9"/>
      <c r="K204" s="7">
        <v>30.88</v>
      </c>
      <c r="L204" s="8">
        <f>IFERROR(K204/K444, "NA")</f>
        <v>3.4197317636823602E-4</v>
      </c>
      <c r="M204" s="9"/>
      <c r="N204" s="10">
        <f t="shared" si="53"/>
        <v>-229.75</v>
      </c>
      <c r="O204" s="8">
        <f>IFERROR(N204/N444, "NA")</f>
        <v>1.5839300216614068E-2</v>
      </c>
      <c r="P204" s="9"/>
      <c r="Q204" s="7">
        <v>2666.09</v>
      </c>
      <c r="R204" s="8">
        <f>IFERROR(Q204/Q444, "NA")</f>
        <v>3.104975744331372E-3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-2666.09</v>
      </c>
      <c r="X204" s="8">
        <f>IFERROR(W204/W444, "NA")</f>
        <v>3.0301607885880648E-2</v>
      </c>
      <c r="Y204" s="9"/>
      <c r="Z204" s="7">
        <v>1903.48</v>
      </c>
      <c r="AA204" s="8">
        <f>IFERROR(Z204/Z444, "NA")</f>
        <v>2.246695705587541E-3</v>
      </c>
      <c r="AB204" s="9"/>
      <c r="AC204" s="10">
        <f t="shared" si="55"/>
        <v>-762.61000000000013</v>
      </c>
      <c r="AD204" s="8">
        <f>IFERROR(AC204/AC444, "NA")</f>
        <v>-6.6804841491692496E-2</v>
      </c>
    </row>
    <row r="205" spans="1:30" ht="16.5" customHeight="1" x14ac:dyDescent="0.45">
      <c r="A205" s="6" t="s">
        <v>187</v>
      </c>
      <c r="B205" s="7">
        <v>247.38</v>
      </c>
      <c r="C205" s="8">
        <f>IFERROR(B205/B444, "NA")</f>
        <v>3.2638286565158754E-3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-247.38</v>
      </c>
      <c r="I205" s="8">
        <f>IFERROR(H205/H444, "NA")</f>
        <v>1.071698714810653E-2</v>
      </c>
      <c r="J205" s="9"/>
      <c r="K205" s="7">
        <v>331.6</v>
      </c>
      <c r="L205" s="8">
        <f>IFERROR(K205/K444, "NA")</f>
        <v>3.6722249120371463E-3</v>
      </c>
      <c r="M205" s="9"/>
      <c r="N205" s="10">
        <f t="shared" si="53"/>
        <v>84.220000000000027</v>
      </c>
      <c r="O205" s="8">
        <f>IFERROR(N205/N444, "NA")</f>
        <v>-5.8062496811457547E-3</v>
      </c>
      <c r="P205" s="9"/>
      <c r="Q205" s="7">
        <v>3579.75</v>
      </c>
      <c r="R205" s="8">
        <f>IFERROR(Q205/Q444, "NA")</f>
        <v>4.169040400275395E-3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-3579.75</v>
      </c>
      <c r="X205" s="8">
        <f>IFERROR(W205/W444, "NA")</f>
        <v>4.0685866129605994E-2</v>
      </c>
      <c r="Y205" s="9"/>
      <c r="Z205" s="7">
        <v>4342.84</v>
      </c>
      <c r="AA205" s="8">
        <f>IFERROR(Z205/Z444, "NA")</f>
        <v>5.1258957162953096E-3</v>
      </c>
      <c r="AB205" s="9"/>
      <c r="AC205" s="10">
        <f t="shared" si="55"/>
        <v>763.09000000000015</v>
      </c>
      <c r="AD205" s="8">
        <f>IFERROR(AC205/AC444, "NA")</f>
        <v>6.6846889621032538E-2</v>
      </c>
    </row>
    <row r="206" spans="1:30" ht="16.5" customHeight="1" x14ac:dyDescent="0.45">
      <c r="A206" s="6" t="s">
        <v>188</v>
      </c>
      <c r="B206" s="7">
        <v>34.97</v>
      </c>
      <c r="C206" s="8">
        <f>IFERROR(B206/B444, "NA")</f>
        <v>4.6137961079456774E-4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-34.97</v>
      </c>
      <c r="I206" s="8">
        <f>IFERROR(H206/H444, "NA")</f>
        <v>1.514969037793214E-3</v>
      </c>
      <c r="J206" s="9"/>
      <c r="K206" s="7">
        <v>37.9</v>
      </c>
      <c r="L206" s="8">
        <f>IFERROR(K206/K444, "NA")</f>
        <v>4.1971448783536738E-4</v>
      </c>
      <c r="M206" s="9"/>
      <c r="N206" s="10">
        <f t="shared" si="53"/>
        <v>2.9299999999999997</v>
      </c>
      <c r="O206" s="8">
        <f>IFERROR(N206/N444, "NA")</f>
        <v>-2.0199847501492583E-4</v>
      </c>
      <c r="P206" s="9"/>
      <c r="Q206" s="7">
        <v>525.41</v>
      </c>
      <c r="R206" s="8">
        <f>IFERROR(Q206/Q444, "NA")</f>
        <v>6.1190181345308894E-4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-525.41</v>
      </c>
      <c r="X206" s="8">
        <f>IFERROR(W206/W444, "NA")</f>
        <v>5.9715792787642386E-3</v>
      </c>
      <c r="Y206" s="9"/>
      <c r="Z206" s="7">
        <v>649.73</v>
      </c>
      <c r="AA206" s="8">
        <f>IFERROR(Z206/Z444, "NA")</f>
        <v>7.6688255237322852E-4</v>
      </c>
      <c r="AB206" s="9"/>
      <c r="AC206" s="10">
        <f t="shared" si="55"/>
        <v>124.32000000000005</v>
      </c>
      <c r="AD206" s="8">
        <f>IFERROR(AC206/AC444, "NA")</f>
        <v>1.0890465499071888E-2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847.68</v>
      </c>
      <c r="R207" s="8">
        <f>IFERROR(Q207/Q444, "NA")</f>
        <v>9.8722317662000049E-4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-847.68</v>
      </c>
      <c r="X207" s="8">
        <f>IFERROR(W207/W444, "NA")</f>
        <v>9.6343585447990522E-3</v>
      </c>
      <c r="Y207" s="9"/>
      <c r="Z207" s="7">
        <v>574.41999999999996</v>
      </c>
      <c r="AA207" s="8">
        <f>IFERROR(Z207/Z444, "NA")</f>
        <v>6.7799343686489755E-4</v>
      </c>
      <c r="AB207" s="9"/>
      <c r="AC207" s="10">
        <f t="shared" si="55"/>
        <v>-273.26</v>
      </c>
      <c r="AD207" s="8">
        <f>IFERROR(AC207/AC444, "NA")</f>
        <v>-2.3937649632210286E-2</v>
      </c>
    </row>
    <row r="208" spans="1:30" ht="16.5" customHeight="1" x14ac:dyDescent="0.45">
      <c r="A208" s="6" t="s">
        <v>190</v>
      </c>
      <c r="B208" s="7">
        <v>302.58</v>
      </c>
      <c r="C208" s="8">
        <f>IFERROR(B208/B444, "NA")</f>
        <v>3.9921144590855107E-3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-302.58</v>
      </c>
      <c r="I208" s="8">
        <f>IFERROR(H208/H444, "NA")</f>
        <v>1.3108359492578516E-2</v>
      </c>
      <c r="J208" s="9"/>
      <c r="K208" s="7">
        <v>49.73</v>
      </c>
      <c r="L208" s="8">
        <f>IFERROR(K208/K444, "NA")</f>
        <v>5.507229941966443E-4</v>
      </c>
      <c r="M208" s="9"/>
      <c r="N208" s="10">
        <f t="shared" si="53"/>
        <v>-252.85</v>
      </c>
      <c r="O208" s="8">
        <f>IFERROR(N208/N444, "NA")</f>
        <v>1.7431847920656655E-2</v>
      </c>
      <c r="P208" s="9"/>
      <c r="Q208" s="7">
        <v>1862.39</v>
      </c>
      <c r="R208" s="8">
        <f>IFERROR(Q208/Q444, "NA")</f>
        <v>2.1689724564757018E-3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-1862.39</v>
      </c>
      <c r="X208" s="8">
        <f>IFERROR(W208/W444, "NA")</f>
        <v>2.116710670329406E-2</v>
      </c>
      <c r="Y208" s="9"/>
      <c r="Z208" s="7">
        <v>978.67</v>
      </c>
      <c r="AA208" s="8">
        <f>IFERROR(Z208/Z444, "NA")</f>
        <v>1.1551335901545372E-3</v>
      </c>
      <c r="AB208" s="9"/>
      <c r="AC208" s="10">
        <f t="shared" si="55"/>
        <v>-883.72000000000014</v>
      </c>
      <c r="AD208" s="8">
        <f>IFERROR(AC208/AC444, "NA")</f>
        <v>-7.7414110125802821E-2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2695.18</v>
      </c>
      <c r="C209" s="15">
        <f>IFERROR(B209/B444, "NA")</f>
        <v>3.5559082053797625E-2</v>
      </c>
      <c r="D209" s="2"/>
      <c r="E209" s="14">
        <f>IFERROR(E201+E202+E203+E204+E205+E206+E207+E208, "NA")</f>
        <v>2175.3000000000002</v>
      </c>
      <c r="F209" s="15">
        <f>IFERROR(E209/E444, "NA")</f>
        <v>2.1999971682103294E-2</v>
      </c>
      <c r="G209" s="2"/>
      <c r="H209" s="14">
        <f t="shared" si="52"/>
        <v>-519.87999999999965</v>
      </c>
      <c r="I209" s="15">
        <f>IFERROR(H209/H444, "NA")</f>
        <v>2.2522222000798845E-2</v>
      </c>
      <c r="J209" s="2"/>
      <c r="K209" s="14">
        <f>IFERROR(K201+K202+K203+K204+K205+K206+K207+K208, "NA")</f>
        <v>1485.0900000000001</v>
      </c>
      <c r="L209" s="15">
        <f>IFERROR(K209/K444, "NA")</f>
        <v>1.6446274109219679E-2</v>
      </c>
      <c r="M209" s="2"/>
      <c r="N209" s="14">
        <f t="shared" si="53"/>
        <v>-1210.0899999999997</v>
      </c>
      <c r="O209" s="15">
        <f>IFERROR(N209/N444, "NA")</f>
        <v>8.342537018116436E-2</v>
      </c>
      <c r="P209" s="2"/>
      <c r="Q209" s="14">
        <f>IFERROR(Q201+Q202+Q203+Q204+Q205+Q206+Q207+Q208, "NA")</f>
        <v>25095.8</v>
      </c>
      <c r="R209" s="15">
        <f>IFERROR(Q209/Q444, "NA")</f>
        <v>2.9227014198542147E-2</v>
      </c>
      <c r="S209" s="2"/>
      <c r="T209" s="14">
        <f>IFERROR(T201+T202+T203+T204+T205+T206+T207+T208, "NA")</f>
        <v>21052.91</v>
      </c>
      <c r="U209" s="15">
        <f>IFERROR(T209/T444, "NA")</f>
        <v>2.2239711522464605E-2</v>
      </c>
      <c r="V209" s="2"/>
      <c r="W209" s="14">
        <f t="shared" si="54"/>
        <v>-4042.8899999999994</v>
      </c>
      <c r="X209" s="15">
        <f>IFERROR(W209/W444, "NA")</f>
        <v>4.5949711939862491E-2</v>
      </c>
      <c r="Y209" s="2"/>
      <c r="Z209" s="14">
        <f>IFERROR(Z201+Z202+Z203+Z204+Z205+Z206+Z207+Z208, "NA")</f>
        <v>24101.619999999995</v>
      </c>
      <c r="AA209" s="15">
        <f>IFERROR(Z209/Z444, "NA")</f>
        <v>2.8447373311882854E-2</v>
      </c>
      <c r="AB209" s="2"/>
      <c r="AC209" s="14">
        <f t="shared" si="55"/>
        <v>-994.18000000000393</v>
      </c>
      <c r="AD209" s="15">
        <f>IFERROR(AC209/AC444, "NA")</f>
        <v>-8.7090435890181214E-2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3457.61</v>
      </c>
      <c r="F213" s="8">
        <f>IFERROR(E213/E444, "NA")</f>
        <v>3.4968658156464473E-2</v>
      </c>
      <c r="G213" s="9"/>
      <c r="H213" s="10">
        <f t="shared" ref="H213:H227" si="56">IFERROR(-(B213-E213), "NA")</f>
        <v>3457.61</v>
      </c>
      <c r="I213" s="8">
        <f>IFERROR(H213/H444, "NA")</f>
        <v>-0.1497904516661194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31931.72</v>
      </c>
      <c r="U213" s="8">
        <f>IFERROR(T213/T444, "NA")</f>
        <v>3.3731785354904079E-2</v>
      </c>
      <c r="V213" s="9"/>
      <c r="W213" s="10">
        <f t="shared" ref="W213:W227" si="58">IFERROR(-(Q213-T213), "NA")</f>
        <v>31931.72</v>
      </c>
      <c r="X213" s="8">
        <f>IFERROR(W213/W444, "NA")</f>
        <v>-0.36292190382235134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877.66</v>
      </c>
      <c r="C214" s="8">
        <f>IFERROR(B214/B444, "NA")</f>
        <v>1.15794803891896E-2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-877.66</v>
      </c>
      <c r="I214" s="8">
        <f>IFERROR(H214/H444, "NA")</f>
        <v>3.8021953837849364E-2</v>
      </c>
      <c r="J214" s="9"/>
      <c r="K214" s="7">
        <v>2576.3000000000002</v>
      </c>
      <c r="L214" s="8">
        <f>IFERROR(K214/K444, "NA")</f>
        <v>2.8530618338001506E-2</v>
      </c>
      <c r="M214" s="9"/>
      <c r="N214" s="10">
        <f t="shared" si="57"/>
        <v>1698.6400000000003</v>
      </c>
      <c r="O214" s="8">
        <f>IFERROR(N214/N444, "NA")</f>
        <v>-0.11710671999977942</v>
      </c>
      <c r="P214" s="9"/>
      <c r="Q214" s="7">
        <v>10248.34</v>
      </c>
      <c r="R214" s="8">
        <f>IFERROR(Q214/Q444, "NA")</f>
        <v>1.1935398699841705E-2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-10248.34</v>
      </c>
      <c r="X214" s="8">
        <f>IFERROR(W214/W444, "NA")</f>
        <v>0.11647813095626407</v>
      </c>
      <c r="Y214" s="9"/>
      <c r="Z214" s="7">
        <v>6392.96</v>
      </c>
      <c r="AA214" s="8">
        <f>IFERROR(Z214/Z444, "NA")</f>
        <v>7.545672020716228E-3</v>
      </c>
      <c r="AB214" s="9"/>
      <c r="AC214" s="10">
        <f t="shared" si="59"/>
        <v>-3855.38</v>
      </c>
      <c r="AD214" s="8">
        <f>IFERROR(AC214/AC444, "NA")</f>
        <v>-0.33773232686463772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52</v>
      </c>
      <c r="L216" s="8">
        <f>IFERROR(K216/K444, "NA")</f>
        <v>5.7586156642319534E-4</v>
      </c>
      <c r="M216" s="9"/>
      <c r="N216" s="10">
        <f t="shared" si="57"/>
        <v>52</v>
      </c>
      <c r="O216" s="8">
        <f>IFERROR(N216/N444, "NA")</f>
        <v>-3.5849558705720631E-3</v>
      </c>
      <c r="P216" s="9"/>
      <c r="Q216" s="7">
        <v>61.09</v>
      </c>
      <c r="R216" s="8">
        <f>IFERROR(Q216/Q444, "NA")</f>
        <v>7.1146498513254805E-5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6.9432210681126625E-4</v>
      </c>
      <c r="Y216" s="9"/>
      <c r="Z216" s="7">
        <v>241.79</v>
      </c>
      <c r="AA216" s="8">
        <f>IFERROR(Z216/Z444, "NA")</f>
        <v>2.8538705668250337E-4</v>
      </c>
      <c r="AB216" s="9"/>
      <c r="AC216" s="10">
        <f t="shared" si="59"/>
        <v>180.7</v>
      </c>
      <c r="AD216" s="8">
        <f>IFERROR(AC216/AC444, "NA")</f>
        <v>1.5829368691138105E-2</v>
      </c>
    </row>
    <row r="217" spans="1:30" ht="16.5" customHeight="1" x14ac:dyDescent="0.45">
      <c r="A217" s="12" t="s">
        <v>197</v>
      </c>
      <c r="B217" s="7">
        <v>1437.62</v>
      </c>
      <c r="C217" s="8">
        <f>IFERROR(B217/B444, "NA")</f>
        <v>1.8967359338589833E-2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-1437.62</v>
      </c>
      <c r="I217" s="8">
        <f>IFERROR(H217/H444, "NA")</f>
        <v>6.2280520106156145E-2</v>
      </c>
      <c r="J217" s="9"/>
      <c r="K217" s="7">
        <v>7326.22</v>
      </c>
      <c r="L217" s="8">
        <f>IFERROR(K217/K444, "NA")</f>
        <v>8.1132471637710438E-2</v>
      </c>
      <c r="M217" s="9"/>
      <c r="N217" s="10">
        <f t="shared" si="57"/>
        <v>5888.6</v>
      </c>
      <c r="O217" s="8">
        <f>IFERROR(N217/N444, "NA")</f>
        <v>-0.40596867575866635</v>
      </c>
      <c r="P217" s="9"/>
      <c r="Q217" s="7">
        <v>15945.93</v>
      </c>
      <c r="R217" s="8">
        <f>IFERROR(Q217/Q444, "NA")</f>
        <v>1.8570913161523411E-2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-15945.93</v>
      </c>
      <c r="X217" s="8">
        <f>IFERROR(W217/W444, "NA")</f>
        <v>0.18123443628523447</v>
      </c>
      <c r="Y217" s="9"/>
      <c r="Z217" s="7">
        <v>26436.560000000001</v>
      </c>
      <c r="AA217" s="8">
        <f>IFERROR(Z217/Z444, "NA")</f>
        <v>3.1203325394807069E-2</v>
      </c>
      <c r="AB217" s="9"/>
      <c r="AC217" s="10">
        <f t="shared" si="59"/>
        <v>10490.630000000001</v>
      </c>
      <c r="AD217" s="8">
        <f>IFERROR(AC217/AC444, "NA")</f>
        <v>0.91898201478867836</v>
      </c>
    </row>
    <row r="218" spans="1:30" ht="16.5" customHeight="1" x14ac:dyDescent="0.45">
      <c r="A218" s="13" t="s">
        <v>198</v>
      </c>
      <c r="B218" s="14">
        <f>IFERROR(B213+B214+B215+B216+B217, "NA")</f>
        <v>2315.2799999999997</v>
      </c>
      <c r="C218" s="15">
        <f>IFERROR(B218/B444, "NA")</f>
        <v>3.054683972777943E-2</v>
      </c>
      <c r="D218" s="2"/>
      <c r="E218" s="14">
        <f>IFERROR(E213+E214+E215+E216+E217, "NA")</f>
        <v>3457.61</v>
      </c>
      <c r="F218" s="15">
        <f>IFERROR(E218/E444, "NA")</f>
        <v>3.4968658156464473E-2</v>
      </c>
      <c r="G218" s="2"/>
      <c r="H218" s="14">
        <f t="shared" si="56"/>
        <v>1142.3300000000004</v>
      </c>
      <c r="I218" s="15">
        <f>IFERROR(H218/H444, "NA")</f>
        <v>-4.9487977722113892E-2</v>
      </c>
      <c r="J218" s="2"/>
      <c r="K218" s="14">
        <f>IFERROR(K213+K214+K215+K216+K217, "NA")</f>
        <v>9954.52</v>
      </c>
      <c r="L218" s="15">
        <f>IFERROR(K218/K444, "NA")</f>
        <v>0.11023895154213513</v>
      </c>
      <c r="M218" s="2"/>
      <c r="N218" s="14">
        <f t="shared" si="57"/>
        <v>7639.2400000000007</v>
      </c>
      <c r="O218" s="15">
        <f>IFERROR(N218/N444, "NA")</f>
        <v>-0.52666035162901792</v>
      </c>
      <c r="P218" s="2"/>
      <c r="Q218" s="14">
        <f>IFERROR(Q213+Q214+Q215+Q216+Q217, "NA")</f>
        <v>26255.360000000001</v>
      </c>
      <c r="R218" s="15">
        <f>IFERROR(Q218/Q444, "NA")</f>
        <v>3.0577458359878372E-2</v>
      </c>
      <c r="S218" s="2"/>
      <c r="T218" s="14">
        <f>IFERROR(T213+T214+T215+T216+T217, "NA")</f>
        <v>31931.72</v>
      </c>
      <c r="U218" s="15">
        <f>IFERROR(T218/T444, "NA")</f>
        <v>3.3731785354904079E-2</v>
      </c>
      <c r="V218" s="2"/>
      <c r="W218" s="14">
        <f t="shared" si="58"/>
        <v>5676.3600000000006</v>
      </c>
      <c r="X218" s="15">
        <f>IFERROR(W218/W444, "NA")</f>
        <v>-6.4515014474041565E-2</v>
      </c>
      <c r="Y218" s="2"/>
      <c r="Z218" s="14">
        <f>IFERROR(Z213+Z214+Z215+Z216+Z217, "NA")</f>
        <v>33071.31</v>
      </c>
      <c r="AA218" s="15">
        <f>IFERROR(Z218/Z444, "NA")</f>
        <v>3.9034384472205794E-2</v>
      </c>
      <c r="AB218" s="2"/>
      <c r="AC218" s="14">
        <f t="shared" si="59"/>
        <v>6815.9499999999971</v>
      </c>
      <c r="AD218" s="15">
        <f>IFERROR(AC218/AC444, "NA")</f>
        <v>0.59707905661517835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140.97999999999999</v>
      </c>
      <c r="C222" s="8">
        <f>IFERROR(B222/B444, "NA")</f>
        <v>1.8600313848961439E-3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-140.97999999999999</v>
      </c>
      <c r="I222" s="8">
        <f>IFERROR(H222/H444, "NA")</f>
        <v>6.1075303102112472E-3</v>
      </c>
      <c r="J222" s="9"/>
      <c r="K222" s="7">
        <v>135.24</v>
      </c>
      <c r="L222" s="8">
        <f>IFERROR(K222/K444, "NA")</f>
        <v>1.4976830431360183E-3</v>
      </c>
      <c r="M222" s="9"/>
      <c r="N222" s="10">
        <f t="shared" si="57"/>
        <v>-5.7399999999999807</v>
      </c>
      <c r="O222" s="8">
        <f>IFERROR(N222/N444, "NA")</f>
        <v>3.9572397494391483E-4</v>
      </c>
      <c r="P222" s="9"/>
      <c r="Q222" s="7">
        <v>1667.71</v>
      </c>
      <c r="R222" s="8">
        <f>IFERROR(Q222/Q444, "NA")</f>
        <v>1.9422446723774787E-3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-1667.71</v>
      </c>
      <c r="X222" s="8">
        <f>IFERROR(W222/W444, "NA")</f>
        <v>1.8954459334591861E-2</v>
      </c>
      <c r="Y222" s="9"/>
      <c r="Z222" s="7">
        <v>805.28</v>
      </c>
      <c r="AA222" s="8">
        <f>IFERROR(Z222/Z444, "NA")</f>
        <v>9.5047970968727537E-4</v>
      </c>
      <c r="AB222" s="9"/>
      <c r="AC222" s="10">
        <f t="shared" si="59"/>
        <v>-862.43000000000006</v>
      </c>
      <c r="AD222" s="8">
        <f>IFERROR(AC222/AC444, "NA")</f>
        <v>-7.5549100389032869E-2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98.88</v>
      </c>
      <c r="F226" s="8">
        <f>IFERROR(E226/E444, "NA")</f>
        <v>1.0000262951898008E-3</v>
      </c>
      <c r="G226" s="9"/>
      <c r="H226" s="10">
        <f t="shared" si="56"/>
        <v>98.88</v>
      </c>
      <c r="I226" s="8">
        <f>IFERROR(H226/H444, "NA")</f>
        <v>-4.2836756779237352E-3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946.64</v>
      </c>
      <c r="U226" s="8">
        <f>IFERROR(T226/T444, "NA")</f>
        <v>1.00000429943537E-3</v>
      </c>
      <c r="V226" s="9"/>
      <c r="W226" s="10">
        <f t="shared" si="58"/>
        <v>946.64</v>
      </c>
      <c r="X226" s="8">
        <f>IFERROR(W226/W444, "NA")</f>
        <v>-1.0759094437580897E-2</v>
      </c>
      <c r="Y226" s="9"/>
      <c r="Z226" s="7">
        <v>1554.17</v>
      </c>
      <c r="AA226" s="8">
        <f>IFERROR(Z226/Z444, "NA")</f>
        <v>1.8344017613807283E-3</v>
      </c>
      <c r="AB226" s="9"/>
      <c r="AC226" s="10">
        <f t="shared" si="59"/>
        <v>1554.17</v>
      </c>
      <c r="AD226" s="8">
        <f>IFERROR(AC226/AC444, "NA")</f>
        <v>0.13614571078420648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2456.2599999999998</v>
      </c>
      <c r="C227" s="15">
        <f>IFERROR(B227/B444, "NA")</f>
        <v>3.2406871112675574E-2</v>
      </c>
      <c r="D227" s="2"/>
      <c r="E227" s="14">
        <f>IFERROR(E211+E213+E214+E215+E216+E217+E219+E220+E221+E222+E223+E224+E225+E226, "NA")</f>
        <v>3556.4900000000002</v>
      </c>
      <c r="F227" s="15">
        <f>IFERROR(E227/E444, "NA")</f>
        <v>3.5968684451654277E-2</v>
      </c>
      <c r="G227" s="2"/>
      <c r="H227" s="14">
        <f t="shared" si="56"/>
        <v>1100.2300000000005</v>
      </c>
      <c r="I227" s="15">
        <f>IFERROR(H227/H444, "NA")</f>
        <v>-4.7664123089826385E-2</v>
      </c>
      <c r="J227" s="2"/>
      <c r="K227" s="14">
        <f>IFERROR(K211+K213+K214+K215+K216+K217+K219+K220+K221+K222+K223+K224+K225+K226, "NA")</f>
        <v>10089.76</v>
      </c>
      <c r="L227" s="15">
        <f>IFERROR(K227/K444, "NA")</f>
        <v>0.11173663458527115</v>
      </c>
      <c r="M227" s="2"/>
      <c r="N227" s="14">
        <f t="shared" si="57"/>
        <v>7633.5</v>
      </c>
      <c r="O227" s="15">
        <f>IFERROR(N227/N444, "NA")</f>
        <v>-0.52626462765407389</v>
      </c>
      <c r="P227" s="2"/>
      <c r="Q227" s="14">
        <f>IFERROR(Q211+Q213+Q214+Q215+Q216+Q217+Q219+Q220+Q221+Q222+Q223+Q224+Q225+Q226, "NA")</f>
        <v>27923.07</v>
      </c>
      <c r="R227" s="15">
        <f>IFERROR(Q227/Q444, "NA")</f>
        <v>3.2519703032255848E-2</v>
      </c>
      <c r="S227" s="2"/>
      <c r="T227" s="14">
        <f>IFERROR(T211+T213+T214+T215+T216+T217+T219+T220+T221+T222+T223+T224+T225+T226, "NA")</f>
        <v>32878.36</v>
      </c>
      <c r="U227" s="15">
        <f>IFERROR(T227/T444, "NA")</f>
        <v>3.4731789654339443E-2</v>
      </c>
      <c r="V227" s="2"/>
      <c r="W227" s="14">
        <f t="shared" si="58"/>
        <v>4955.2900000000009</v>
      </c>
      <c r="X227" s="15">
        <f>IFERROR(W227/W444, "NA")</f>
        <v>-5.6319649577030603E-2</v>
      </c>
      <c r="Y227" s="2"/>
      <c r="Z227" s="14">
        <f>IFERROR(Z211+Z213+Z214+Z215+Z216+Z217+Z219+Z220+Z221+Z222+Z223+Z224+Z225+Z226, "NA")</f>
        <v>35430.759999999995</v>
      </c>
      <c r="AA227" s="15">
        <f>IFERROR(Z227/Z444, "NA")</f>
        <v>4.1819265943273794E-2</v>
      </c>
      <c r="AB227" s="2"/>
      <c r="AC227" s="14">
        <f t="shared" si="59"/>
        <v>7507.6899999999951</v>
      </c>
      <c r="AD227" s="15">
        <f>IFERROR(AC227/AC444, "NA")</f>
        <v>0.65767566701035185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809.81</v>
      </c>
      <c r="F229" s="8">
        <f>IFERROR(E229/E444, "NA")</f>
        <v>8.1900414048104008E-3</v>
      </c>
      <c r="G229" s="9"/>
      <c r="H229" s="10">
        <f t="shared" ref="H229:H236" si="60">IFERROR(-(B229-E229), "NA")</f>
        <v>809.81</v>
      </c>
      <c r="I229" s="8">
        <f>IFERROR(H229/H444, "NA")</f>
        <v>-3.5082558664435881E-2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7752.96</v>
      </c>
      <c r="U229" s="8">
        <f>IFERROR(T229/T444, "NA")</f>
        <v>8.1900123947334213E-3</v>
      </c>
      <c r="V229" s="9"/>
      <c r="W229" s="10">
        <f t="shared" ref="W229:W236" si="62">IFERROR(-(Q229-T229), "NA")</f>
        <v>7752.96</v>
      </c>
      <c r="X229" s="8">
        <f>IFERROR(W229/W444, "NA")</f>
        <v>-8.8116737947675133E-2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9.776966034028059E-5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9.5413882577845472E-4</v>
      </c>
      <c r="Y230" s="9"/>
      <c r="Z230" s="7">
        <v>730</v>
      </c>
      <c r="AA230" s="8">
        <f>IFERROR(Z230/Z444, "NA")</f>
        <v>8.6162600346675812E-4</v>
      </c>
      <c r="AB230" s="9"/>
      <c r="AC230" s="10">
        <f t="shared" si="63"/>
        <v>646.04999999999995</v>
      </c>
      <c r="AD230" s="8">
        <f>IFERROR(AC230/AC444, "NA")</f>
        <v>5.6594154083618002E-2</v>
      </c>
    </row>
    <row r="231" spans="1:30" ht="16.5" customHeight="1" x14ac:dyDescent="0.45">
      <c r="A231" s="6" t="s">
        <v>210</v>
      </c>
      <c r="B231" s="7">
        <v>84</v>
      </c>
      <c r="C231" s="8">
        <f>IFERROR(B231/B444, "NA")</f>
        <v>1.1082610039103143E-3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-84</v>
      </c>
      <c r="I231" s="8">
        <f>IFERROR(H231/H444, "NA")</f>
        <v>3.6390448720225906E-3</v>
      </c>
      <c r="J231" s="9"/>
      <c r="K231" s="7">
        <v>206.76</v>
      </c>
      <c r="L231" s="8">
        <f>IFERROR(K231/K444, "NA")</f>
        <v>2.2897141821857669E-3</v>
      </c>
      <c r="M231" s="9"/>
      <c r="N231" s="10">
        <f t="shared" si="61"/>
        <v>122.75999999999999</v>
      </c>
      <c r="O231" s="8">
        <f>IFERROR(N231/N444, "NA")</f>
        <v>-8.4632535129120466E-3</v>
      </c>
      <c r="P231" s="9"/>
      <c r="Q231" s="7">
        <v>972.05</v>
      </c>
      <c r="R231" s="8">
        <f>IFERROR(Q231/Q444, "NA")</f>
        <v>1.1320666865249523E-3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-972.05</v>
      </c>
      <c r="X231" s="8">
        <f>IFERROR(W231/W444, "NA")</f>
        <v>1.104789333648537E-2</v>
      </c>
      <c r="Y231" s="9"/>
      <c r="Z231" s="7">
        <v>2173.33</v>
      </c>
      <c r="AA231" s="8">
        <f>IFERROR(Z231/Z444, "NA")</f>
        <v>2.5652022494717939E-3</v>
      </c>
      <c r="AB231" s="9"/>
      <c r="AC231" s="10">
        <f t="shared" si="63"/>
        <v>1201.28</v>
      </c>
      <c r="AD231" s="8">
        <f>IFERROR(AC231/AC444, "NA")</f>
        <v>0.1052324516950215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4.25</v>
      </c>
      <c r="L233" s="8">
        <f>IFERROR(K233/K444, "NA")</f>
        <v>4.7065608794203469E-5</v>
      </c>
      <c r="M233" s="9"/>
      <c r="N233" s="10">
        <f t="shared" si="61"/>
        <v>4.25</v>
      </c>
      <c r="O233" s="8">
        <f>IFERROR(N233/N444, "NA")</f>
        <v>-2.9300120096021671E-4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21.25</v>
      </c>
      <c r="AA233" s="8">
        <f>IFERROR(Z233/Z444, "NA")</f>
        <v>2.5081578868039192E-5</v>
      </c>
      <c r="AB233" s="9"/>
      <c r="AC233" s="10">
        <f t="shared" si="63"/>
        <v>21.25</v>
      </c>
      <c r="AD233" s="8">
        <f>IFERROR(AC233/AC444, "NA")</f>
        <v>1.8615057259916148E-3</v>
      </c>
    </row>
    <row r="234" spans="1:30" ht="16.5" customHeight="1" x14ac:dyDescent="0.45">
      <c r="A234" s="6" t="s">
        <v>213</v>
      </c>
      <c r="B234" s="7">
        <v>514.69000000000005</v>
      </c>
      <c r="C234" s="8">
        <f>IFERROR(B234/B444, "NA")</f>
        <v>6.790605429792854E-3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-514.69000000000005</v>
      </c>
      <c r="I234" s="8">
        <f>IFERROR(H234/H444, "NA")</f>
        <v>2.2297381014063183E-2</v>
      </c>
      <c r="J234" s="9"/>
      <c r="K234" s="7">
        <v>567.74</v>
      </c>
      <c r="L234" s="8">
        <f>IFERROR(K234/K444, "NA")</f>
        <v>6.2873008792520184E-3</v>
      </c>
      <c r="M234" s="9"/>
      <c r="N234" s="10">
        <f t="shared" si="61"/>
        <v>53.049999999999955</v>
      </c>
      <c r="O234" s="8">
        <f>IFERROR(N234/N444, "NA")</f>
        <v>-3.6573444025739957E-3</v>
      </c>
      <c r="P234" s="9"/>
      <c r="Q234" s="7">
        <v>5403.43</v>
      </c>
      <c r="R234" s="8">
        <f>IFERROR(Q234/Q444, "NA")</f>
        <v>6.2929305035435657E-3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-5403.43</v>
      </c>
      <c r="X234" s="8">
        <f>IFERROR(W234/W444, "NA")</f>
        <v>6.1413011975891309E-2</v>
      </c>
      <c r="Y234" s="9"/>
      <c r="Z234" s="7">
        <v>6269.48</v>
      </c>
      <c r="AA234" s="8">
        <f>IFERROR(Z234/Z444, "NA")</f>
        <v>7.3999273920750284E-3</v>
      </c>
      <c r="AB234" s="9"/>
      <c r="AC234" s="10">
        <f t="shared" si="63"/>
        <v>866.04999999999927</v>
      </c>
      <c r="AD234" s="8">
        <f>IFERROR(AC234/AC444, "NA")</f>
        <v>7.5866213364472301E-2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598.69000000000005</v>
      </c>
      <c r="C236" s="15">
        <f>IFERROR(B236/B444, "NA")</f>
        <v>7.898866433703168E-3</v>
      </c>
      <c r="D236" s="2"/>
      <c r="E236" s="14">
        <f>IFERROR(E229+E230+E231+E232+E233+E234+E235, "NA")</f>
        <v>809.81</v>
      </c>
      <c r="F236" s="15">
        <f>IFERROR(E236/E444, "NA")</f>
        <v>8.1900414048104008E-3</v>
      </c>
      <c r="G236" s="2"/>
      <c r="H236" s="14">
        <f t="shared" si="60"/>
        <v>211.11999999999989</v>
      </c>
      <c r="I236" s="15">
        <f>IFERROR(H236/H444, "NA")</f>
        <v>-9.1461327783501061E-3</v>
      </c>
      <c r="J236" s="2"/>
      <c r="K236" s="14">
        <f>IFERROR(K229+K230+K231+K232+K233+K234+K235, "NA")</f>
        <v>778.75</v>
      </c>
      <c r="L236" s="15">
        <f>IFERROR(K236/K444, "NA")</f>
        <v>8.6240806702319889E-3</v>
      </c>
      <c r="M236" s="2"/>
      <c r="N236" s="14">
        <f t="shared" si="61"/>
        <v>180.05999999999995</v>
      </c>
      <c r="O236" s="15">
        <f>IFERROR(N236/N444, "NA")</f>
        <v>-1.241359911644626E-2</v>
      </c>
      <c r="P236" s="2"/>
      <c r="Q236" s="14">
        <f>IFERROR(Q229+Q230+Q231+Q232+Q233+Q234+Q235, "NA")</f>
        <v>6459.43</v>
      </c>
      <c r="R236" s="15">
        <f>IFERROR(Q236/Q444, "NA")</f>
        <v>7.5227668504087982E-3</v>
      </c>
      <c r="S236" s="2"/>
      <c r="T236" s="14">
        <f>IFERROR(T229+T230+T231+T232+T233+T234+T235, "NA")</f>
        <v>7752.96</v>
      </c>
      <c r="U236" s="15">
        <f>IFERROR(T236/T444, "NA")</f>
        <v>8.1900123947334213E-3</v>
      </c>
      <c r="V236" s="2"/>
      <c r="W236" s="14">
        <f t="shared" si="62"/>
        <v>1293.5299999999997</v>
      </c>
      <c r="X236" s="15">
        <f>IFERROR(W236/W444, "NA")</f>
        <v>-1.4701693809520003E-2</v>
      </c>
      <c r="Y236" s="2"/>
      <c r="Z236" s="14">
        <f>IFERROR(Z229+Z230+Z231+Z232+Z233+Z234+Z235, "NA")</f>
        <v>9194.06</v>
      </c>
      <c r="AA236" s="15">
        <f>IFERROR(Z236/Z444, "NA")</f>
        <v>1.0851837223881619E-2</v>
      </c>
      <c r="AB236" s="2"/>
      <c r="AC236" s="14">
        <f t="shared" si="63"/>
        <v>2734.6299999999992</v>
      </c>
      <c r="AD236" s="15">
        <f>IFERROR(AC236/AC444, "NA")</f>
        <v>0.23955432486910341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4949.41</v>
      </c>
      <c r="F240" s="8">
        <f>IFERROR(E240/E444, "NA")</f>
        <v>5.0056028981344577E-2</v>
      </c>
      <c r="G240" s="9"/>
      <c r="H240" s="10">
        <f t="shared" ref="H240:H263" si="64">IFERROR(-(B240-E240), "NA")</f>
        <v>4949.41</v>
      </c>
      <c r="I240" s="8">
        <f>IFERROR(H240/H444, "NA")</f>
        <v>-0.21441815571473011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47522.91</v>
      </c>
      <c r="U240" s="8">
        <f>IFERROR(T240/T444, "NA")</f>
        <v>5.0201887012676562E-2</v>
      </c>
      <c r="V240" s="9"/>
      <c r="W240" s="10">
        <f t="shared" ref="W240:W263" si="66">IFERROR(-(Q240-T240), "NA")</f>
        <v>47522.91</v>
      </c>
      <c r="X240" s="8">
        <f>IFERROR(W240/W444, "NA")</f>
        <v>-0.54012452108368292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278.45</v>
      </c>
      <c r="C241" s="8">
        <f>IFERROR(B241/B444, "NA")</f>
        <v>3.6737532921288928E-3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-278.45</v>
      </c>
      <c r="I241" s="8">
        <f>IFERROR(H241/H444, "NA")</f>
        <v>1.2063000531127265E-2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-278.45</v>
      </c>
      <c r="O241" s="8">
        <f>IFERROR(N241/N444, "NA")</f>
        <v>1.9196749272322903E-2</v>
      </c>
      <c r="P241" s="9"/>
      <c r="Q241" s="7">
        <v>1347.87</v>
      </c>
      <c r="R241" s="8">
        <f>IFERROR(Q241/Q444, "NA")</f>
        <v>1.5697533303496603E-3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-1347.87</v>
      </c>
      <c r="X241" s="8">
        <f>IFERROR(W241/W444, "NA")</f>
        <v>1.5319298381203163E-2</v>
      </c>
      <c r="Y241" s="9"/>
      <c r="Z241" s="7">
        <v>759.99</v>
      </c>
      <c r="AA241" s="8">
        <f>IFERROR(Z241/Z444, "NA")</f>
        <v>8.9702348818452269E-4</v>
      </c>
      <c r="AB241" s="9"/>
      <c r="AC241" s="10">
        <f t="shared" si="67"/>
        <v>-587.87999999999988</v>
      </c>
      <c r="AD241" s="8">
        <f>IFERROR(AC241/AC444, "NA")</f>
        <v>-5.1498446409221188E-2</v>
      </c>
    </row>
    <row r="242" spans="1:30" ht="16.5" customHeight="1" x14ac:dyDescent="0.45">
      <c r="A242" s="12" t="s">
        <v>219</v>
      </c>
      <c r="B242" s="7">
        <v>557.54999999999995</v>
      </c>
      <c r="C242" s="8">
        <f>IFERROR(B242/B444, "NA")</f>
        <v>7.3560824134547105E-3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-557.54999999999995</v>
      </c>
      <c r="I242" s="8">
        <f>IFERROR(H242/H444, "NA")</f>
        <v>2.4154160338049943E-2</v>
      </c>
      <c r="J242" s="9"/>
      <c r="K242" s="7">
        <v>695.84</v>
      </c>
      <c r="L242" s="8">
        <f>IFERROR(K242/K444, "NA")</f>
        <v>7.7059136996137749E-3</v>
      </c>
      <c r="M242" s="9"/>
      <c r="N242" s="10">
        <f t="shared" si="65"/>
        <v>138.29000000000008</v>
      </c>
      <c r="O242" s="8">
        <f>IFERROR(N242/N444, "NA")</f>
        <v>-9.5339143719502095E-3</v>
      </c>
      <c r="P242" s="9"/>
      <c r="Q242" s="7">
        <v>5753.66</v>
      </c>
      <c r="R242" s="8">
        <f>IFERROR(Q242/Q444, "NA")</f>
        <v>6.7008145790763401E-3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-5753.66</v>
      </c>
      <c r="X242" s="8">
        <f>IFERROR(W242/W444, "NA")</f>
        <v>6.5393572320767882E-2</v>
      </c>
      <c r="Y242" s="9"/>
      <c r="Z242" s="7">
        <v>5272.56</v>
      </c>
      <c r="AA242" s="8">
        <f>IFERROR(Z242/Z444, "NA")</f>
        <v>6.2232531518338231E-3</v>
      </c>
      <c r="AB242" s="9"/>
      <c r="AC242" s="10">
        <f t="shared" si="67"/>
        <v>-481.09999999999945</v>
      </c>
      <c r="AD242" s="8">
        <f>IFERROR(AC242/AC444, "NA")</f>
        <v>-4.2144489636450108E-2</v>
      </c>
    </row>
    <row r="243" spans="1:30" ht="16.5" customHeight="1" x14ac:dyDescent="0.45">
      <c r="A243" s="12" t="s">
        <v>220</v>
      </c>
      <c r="B243" s="7">
        <v>305.74</v>
      </c>
      <c r="C243" s="8">
        <f>IFERROR(B243/B444, "NA")</f>
        <v>4.0338061825659468E-3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-305.74</v>
      </c>
      <c r="I243" s="8">
        <f>IFERROR(H243/H444, "NA")</f>
        <v>1.3245256894906986E-2</v>
      </c>
      <c r="J243" s="9"/>
      <c r="K243" s="7">
        <v>482.01</v>
      </c>
      <c r="L243" s="8">
        <f>IFERROR(K243/K444, "NA")</f>
        <v>5.3379044929162383E-3</v>
      </c>
      <c r="M243" s="9"/>
      <c r="N243" s="10">
        <f t="shared" si="65"/>
        <v>176.26999999999998</v>
      </c>
      <c r="O243" s="8">
        <f>IFERROR(N243/N444, "NA")</f>
        <v>-1.2152310986648797E-2</v>
      </c>
      <c r="P243" s="9"/>
      <c r="Q243" s="7">
        <v>7079.69</v>
      </c>
      <c r="R243" s="8">
        <f>IFERROR(Q243/Q444, "NA")</f>
        <v>8.245132657706742E-3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-7079.69</v>
      </c>
      <c r="X243" s="8">
        <f>IFERROR(W243/W444, "NA")</f>
        <v>8.0464646854978769E-2</v>
      </c>
      <c r="Y243" s="9"/>
      <c r="Z243" s="7">
        <v>7782.94</v>
      </c>
      <c r="AA243" s="8">
        <f>IFERROR(Z243/Z444, "NA")</f>
        <v>9.1862787498925621E-3</v>
      </c>
      <c r="AB243" s="9"/>
      <c r="AC243" s="10">
        <f t="shared" si="67"/>
        <v>703.25</v>
      </c>
      <c r="AD243" s="8">
        <f>IFERROR(AC243/AC444, "NA")</f>
        <v>6.1604889496640142E-2</v>
      </c>
    </row>
    <row r="244" spans="1:30" ht="16.5" customHeight="1" x14ac:dyDescent="0.45">
      <c r="A244" s="12" t="s">
        <v>221</v>
      </c>
      <c r="B244" s="7">
        <v>643.58000000000004</v>
      </c>
      <c r="C244" s="8">
        <f>IFERROR(B244/B444, "NA")</f>
        <v>8.4911263916261914E-3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-643.58000000000004</v>
      </c>
      <c r="I244" s="8">
        <f>IFERROR(H244/H444, "NA")</f>
        <v>2.7881148794479747E-2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-643.58000000000004</v>
      </c>
      <c r="O244" s="8">
        <f>IFERROR(N244/N444, "NA")</f>
        <v>4.4369344215053237E-2</v>
      </c>
      <c r="P244" s="9"/>
      <c r="Q244" s="7">
        <v>8865.02</v>
      </c>
      <c r="R244" s="8">
        <f>IFERROR(Q244/Q444, "NA")</f>
        <v>1.0324359670158359E-2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-8865.02</v>
      </c>
      <c r="X244" s="8">
        <f>IFERROR(W244/W444, "NA")</f>
        <v>0.10075592344612884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-8865.02</v>
      </c>
      <c r="AD244" s="8">
        <f>IFERROR(AC244/AC444, "NA")</f>
        <v>-0.7765781407543616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54.48</v>
      </c>
      <c r="C246" s="8">
        <f>IFERROR(B246/B444, "NA")</f>
        <v>7.1878642253611809E-4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-54.48</v>
      </c>
      <c r="I246" s="8">
        <f>IFERROR(H246/H444, "NA")</f>
        <v>2.3601805312832226E-3</v>
      </c>
      <c r="J246" s="9"/>
      <c r="K246" s="7">
        <v>181.26</v>
      </c>
      <c r="L246" s="8">
        <f>IFERROR(K246/K444, "NA")</f>
        <v>2.007320529420546E-3</v>
      </c>
      <c r="M246" s="9"/>
      <c r="N246" s="10">
        <f t="shared" si="65"/>
        <v>126.78</v>
      </c>
      <c r="O246" s="8">
        <f>IFERROR(N246/N444, "NA")</f>
        <v>-8.7403981782908872E-3</v>
      </c>
      <c r="P246" s="9"/>
      <c r="Q246" s="7">
        <v>1442.35</v>
      </c>
      <c r="R246" s="8">
        <f>IFERROR(Q246/Q444, "NA")</f>
        <v>1.6797864156260119E-3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-1442.35</v>
      </c>
      <c r="X246" s="8">
        <f>IFERROR(W246/W444, "NA")</f>
        <v>1.6393116561781464E-2</v>
      </c>
      <c r="Y246" s="9"/>
      <c r="Z246" s="7">
        <v>623.32000000000005</v>
      </c>
      <c r="AA246" s="8">
        <f>IFERROR(Z246/Z444, "NA")</f>
        <v>7.3571057600123248E-4</v>
      </c>
      <c r="AB246" s="9"/>
      <c r="AC246" s="10">
        <f t="shared" si="67"/>
        <v>-819.02999999999986</v>
      </c>
      <c r="AD246" s="8">
        <f>IFERROR(AC246/AC444, "NA")</f>
        <v>-7.1747248694537025E-2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301.69</v>
      </c>
      <c r="AA247" s="8">
        <f>IFERROR(Z247/Z444, "NA")</f>
        <v>3.5608760135052915E-4</v>
      </c>
      <c r="AB247" s="9"/>
      <c r="AC247" s="10">
        <f t="shared" si="67"/>
        <v>301.69</v>
      </c>
      <c r="AD247" s="8">
        <f>IFERROR(AC247/AC444, "NA")</f>
        <v>2.6428125292913423E-2</v>
      </c>
    </row>
    <row r="248" spans="1:30" ht="16.5" customHeight="1" x14ac:dyDescent="0.45">
      <c r="A248" s="12" t="s">
        <v>225</v>
      </c>
      <c r="B248" s="7">
        <v>212.67</v>
      </c>
      <c r="C248" s="8">
        <f>IFERROR(B248/B444, "NA")</f>
        <v>2.8058793774000776E-3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-212.67</v>
      </c>
      <c r="I248" s="8">
        <f>IFERROR(H248/H444, "NA")</f>
        <v>9.2132818206314797E-3</v>
      </c>
      <c r="J248" s="9"/>
      <c r="K248" s="7">
        <v>208.5</v>
      </c>
      <c r="L248" s="8">
        <f>IFERROR(K248/K444, "NA")</f>
        <v>2.3089833961391585E-3</v>
      </c>
      <c r="M248" s="9"/>
      <c r="N248" s="10">
        <f t="shared" si="65"/>
        <v>-4.1699999999999875</v>
      </c>
      <c r="O248" s="8">
        <f>IFERROR(N248/N444, "NA")</f>
        <v>2.8748588423625879E-4</v>
      </c>
      <c r="P248" s="9"/>
      <c r="Q248" s="7">
        <v>2036.97</v>
      </c>
      <c r="R248" s="8">
        <f>IFERROR(Q248/Q444, "NA")</f>
        <v>2.3722914237443876E-3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-2036.97</v>
      </c>
      <c r="X248" s="8">
        <f>IFERROR(W248/W444, "NA")</f>
        <v>2.3151306300725896E-2</v>
      </c>
      <c r="Y248" s="9"/>
      <c r="Z248" s="7">
        <v>2057.11</v>
      </c>
      <c r="AA248" s="8">
        <f>IFERROR(Z248/Z444, "NA")</f>
        <v>2.4280266684815108E-3</v>
      </c>
      <c r="AB248" s="9"/>
      <c r="AC248" s="10">
        <f t="shared" si="67"/>
        <v>20.1400000000001</v>
      </c>
      <c r="AD248" s="8">
        <f>IFERROR(AC248/AC444, "NA")</f>
        <v>1.7642694268927674E-3</v>
      </c>
    </row>
    <row r="249" spans="1:30" ht="16.5" customHeight="1" x14ac:dyDescent="0.45">
      <c r="A249" s="12" t="s">
        <v>226</v>
      </c>
      <c r="B249" s="7">
        <v>1466.41</v>
      </c>
      <c r="C249" s="8">
        <f>IFERROR(B249/B444, "NA")</f>
        <v>1.9347202604096714E-2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-1466.41</v>
      </c>
      <c r="I249" s="8">
        <f>IFERROR(H249/H444, "NA")</f>
        <v>6.3527759414079135E-2</v>
      </c>
      <c r="J249" s="9"/>
      <c r="K249" s="7">
        <v>2318.2600000000002</v>
      </c>
      <c r="L249" s="8">
        <f>IFERROR(K249/K444, "NA")</f>
        <v>2.5673016057235327E-2</v>
      </c>
      <c r="M249" s="9"/>
      <c r="N249" s="10">
        <f t="shared" si="65"/>
        <v>851.85000000000014</v>
      </c>
      <c r="O249" s="8">
        <f>IFERROR(N249/N444, "NA")</f>
        <v>-5.8727781891284851E-2</v>
      </c>
      <c r="P249" s="9"/>
      <c r="Q249" s="7">
        <v>13489.43</v>
      </c>
      <c r="R249" s="8">
        <f>IFERROR(Q249/Q444, "NA")</f>
        <v>1.5710029651983218E-2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-13489.43</v>
      </c>
      <c r="X249" s="8">
        <f>IFERROR(W249/W444, "NA")</f>
        <v>0.15331493627898343</v>
      </c>
      <c r="Y249" s="9"/>
      <c r="Z249" s="7">
        <v>17279.09</v>
      </c>
      <c r="AA249" s="8">
        <f>IFERROR(Z249/Z444, "NA")</f>
        <v>2.0394675698962229E-2</v>
      </c>
      <c r="AB249" s="9"/>
      <c r="AC249" s="10">
        <f t="shared" si="67"/>
        <v>3789.66</v>
      </c>
      <c r="AD249" s="8">
        <f>IFERROR(AC249/AC444, "NA")</f>
        <v>0.33197523715582977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5.3468024598690608E-6</v>
      </c>
      <c r="AB250" s="9"/>
      <c r="AC250" s="10">
        <f t="shared" si="67"/>
        <v>4.53</v>
      </c>
      <c r="AD250" s="8">
        <f>IFERROR(AC250/AC444, "NA")</f>
        <v>3.9682922064668307E-4</v>
      </c>
    </row>
    <row r="251" spans="1:30" ht="16.5" customHeight="1" x14ac:dyDescent="0.45">
      <c r="A251" s="12" t="s">
        <v>228</v>
      </c>
      <c r="B251" s="7">
        <v>139</v>
      </c>
      <c r="C251" s="8">
        <f>IFERROR(B251/B444, "NA")</f>
        <v>1.8339080898039724E-3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-139</v>
      </c>
      <c r="I251" s="8">
        <f>IFERROR(H251/H444, "NA")</f>
        <v>6.0217528239421437E-3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-139</v>
      </c>
      <c r="O251" s="8">
        <f>IFERROR(N251/N444, "NA")</f>
        <v>9.5828628078753215E-3</v>
      </c>
      <c r="P251" s="9"/>
      <c r="Q251" s="7">
        <v>168.09</v>
      </c>
      <c r="R251" s="8">
        <f>IFERROR(Q251/Q444, "NA")</f>
        <v>1.957605980535767E-4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-168.09</v>
      </c>
      <c r="X251" s="8">
        <f>IFERROR(W251/W444, "NA")</f>
        <v>1.9104371081012561E-3</v>
      </c>
      <c r="Y251" s="9"/>
      <c r="Z251" s="7">
        <v>262.81</v>
      </c>
      <c r="AA251" s="8">
        <f>IFERROR(Z251/Z444, "NA")</f>
        <v>3.1019716434397084E-4</v>
      </c>
      <c r="AB251" s="9"/>
      <c r="AC251" s="10">
        <f t="shared" si="67"/>
        <v>94.72</v>
      </c>
      <c r="AD251" s="8">
        <f>IFERROR(AC251/AC444, "NA")</f>
        <v>8.297497523102387E-3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153.31</v>
      </c>
      <c r="AA252" s="8">
        <f>IFERROR(Z252/Z444, "NA")</f>
        <v>1.8095326382395712E-4</v>
      </c>
      <c r="AB252" s="9"/>
      <c r="AC252" s="10">
        <f t="shared" si="67"/>
        <v>153.31</v>
      </c>
      <c r="AD252" s="8">
        <f>IFERROR(AC252/AC444, "NA")</f>
        <v>1.3429997310671739E-2</v>
      </c>
    </row>
    <row r="253" spans="1:30" ht="16.5" customHeight="1" x14ac:dyDescent="0.45">
      <c r="A253" s="12" t="s">
        <v>230</v>
      </c>
      <c r="B253" s="7">
        <v>486.67</v>
      </c>
      <c r="C253" s="8">
        <f>IFERROR(B253/B444, "NA")</f>
        <v>6.4209212234884842E-3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-486.67</v>
      </c>
      <c r="I253" s="8">
        <f>IFERROR(H253/H444, "NA")</f>
        <v>2.1083499617467073E-2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-486.67</v>
      </c>
      <c r="O253" s="8">
        <f>IFERROR(N253/N444, "NA")</f>
        <v>3.3551739875602039E-2</v>
      </c>
      <c r="P253" s="9"/>
      <c r="Q253" s="7">
        <v>2612.73</v>
      </c>
      <c r="R253" s="8">
        <f>IFERROR(Q253/Q444, "NA")</f>
        <v>3.0428317410465906E-3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-2612.73</v>
      </c>
      <c r="X253" s="8">
        <f>IFERROR(W253/W444, "NA")</f>
        <v>2.9695141563742013E-2</v>
      </c>
      <c r="Y253" s="9"/>
      <c r="Z253" s="7">
        <v>3664.95</v>
      </c>
      <c r="AA253" s="8">
        <f>IFERROR(Z253/Z444, "NA")</f>
        <v>4.3257756457609521E-3</v>
      </c>
      <c r="AB253" s="9"/>
      <c r="AC253" s="10">
        <f t="shared" si="67"/>
        <v>1052.2199999999998</v>
      </c>
      <c r="AD253" s="8">
        <f>IFERROR(AC253/AC444, "NA")</f>
        <v>9.2174755529548069E-2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279.22000000000003</v>
      </c>
      <c r="L254" s="8">
        <f>IFERROR(K254/K444, "NA")</f>
        <v>3.0921551264747045E-3</v>
      </c>
      <c r="M254" s="9"/>
      <c r="N254" s="10">
        <f t="shared" si="65"/>
        <v>279.22000000000003</v>
      </c>
      <c r="O254" s="8">
        <f>IFERROR(N254/N444, "NA")</f>
        <v>-1.9249834195790991E-2</v>
      </c>
      <c r="P254" s="9"/>
      <c r="Q254" s="7">
        <v>721.84</v>
      </c>
      <c r="R254" s="8">
        <f>IFERROR(Q254/Q444, "NA")</f>
        <v>8.4066767861856035E-4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8.2041163787959469E-3</v>
      </c>
      <c r="Y254" s="9"/>
      <c r="Z254" s="7">
        <v>279.22000000000003</v>
      </c>
      <c r="AA254" s="8">
        <f>IFERROR(Z254/Z444, "NA")</f>
        <v>3.2956604477806607E-4</v>
      </c>
      <c r="AB254" s="9"/>
      <c r="AC254" s="10">
        <f t="shared" si="67"/>
        <v>-442.62</v>
      </c>
      <c r="AD254" s="8">
        <f>IFERROR(AC254/AC444, "NA")</f>
        <v>-3.8773631267689811E-2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294</v>
      </c>
      <c r="L257" s="8">
        <f>IFERROR(K257/K444, "NA")</f>
        <v>3.2558327024696048E-3</v>
      </c>
      <c r="M257" s="9"/>
      <c r="N257" s="10">
        <f t="shared" si="65"/>
        <v>294</v>
      </c>
      <c r="O257" s="8">
        <f>IFERROR(N257/N444, "NA")</f>
        <v>-2.0268788960542048E-2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294</v>
      </c>
      <c r="AA257" s="8">
        <f>IFERROR(Z257/Z444, "NA")</f>
        <v>3.4701102057428342E-4</v>
      </c>
      <c r="AB257" s="9"/>
      <c r="AC257" s="10">
        <f t="shared" si="67"/>
        <v>294</v>
      </c>
      <c r="AD257" s="8">
        <f>IFERROR(AC257/AC444, "NA")</f>
        <v>2.5754479220778104E-2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2673.02</v>
      </c>
      <c r="R258" s="8">
        <f>IFERROR(Q258/Q444, "NA")</f>
        <v>3.1130465453576748E-3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-2673.02</v>
      </c>
      <c r="X258" s="8">
        <f>IFERROR(W258/W444, "NA")</f>
        <v>3.03803712219455E-2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-2673.02</v>
      </c>
      <c r="AD258" s="8">
        <f>IFERROR(AC258/AC444, "NA")</f>
        <v>-0.23415727226776969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2695.91</v>
      </c>
      <c r="R260" s="8">
        <f>IFERROR(Q260/Q444, "NA")</f>
        <v>3.1397046457172818E-3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-2695.91</v>
      </c>
      <c r="X260" s="8">
        <f>IFERROR(W260/W444, "NA")</f>
        <v>3.0640528907735481E-2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-2695.91</v>
      </c>
      <c r="AD260" s="8">
        <f>IFERROR(AC260/AC444, "NA")</f>
        <v>-0.23616244243567311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4144.55</v>
      </c>
      <c r="C262" s="15">
        <f>IFERROR(B262/B444, "NA")</f>
        <v>5.4681465997101109E-2</v>
      </c>
      <c r="D262" s="2"/>
      <c r="E262" s="14">
        <f>IFERROR(E240+E241+E242+E243+E244+E245+E246+E247+E248+E249+E250+E251+E252+E253+E254+E255+E256+E257+E258+E259+E260+E261, "NA")</f>
        <v>4949.41</v>
      </c>
      <c r="F262" s="15">
        <f>IFERROR(E262/E444, "NA")</f>
        <v>5.0056028981344577E-2</v>
      </c>
      <c r="G262" s="2"/>
      <c r="H262" s="14">
        <f t="shared" si="64"/>
        <v>804.85999999999967</v>
      </c>
      <c r="I262" s="15">
        <f>IFERROR(H262/H444, "NA")</f>
        <v>-3.4868114948763108E-2</v>
      </c>
      <c r="J262" s="2"/>
      <c r="K262" s="14">
        <f>IFERROR(K240+K241+K242+K243+K244+K245+K246+K247+K248+K249+K250+K251+K252+K253+K254+K255+K256+K257+K258+K259+K260+K261, "NA")</f>
        <v>4459.09</v>
      </c>
      <c r="L262" s="15">
        <f>IFERROR(K262/K444, "NA")</f>
        <v>4.9381126004269353E-2</v>
      </c>
      <c r="M262" s="2"/>
      <c r="N262" s="14">
        <f t="shared" si="65"/>
        <v>314.53999999999996</v>
      </c>
      <c r="O262" s="15">
        <f>IFERROR(N262/N444, "NA")</f>
        <v>-2.168484652941801E-2</v>
      </c>
      <c r="P262" s="2"/>
      <c r="Q262" s="14">
        <f>IFERROR(Q240+Q241+Q242+Q243+Q244+Q245+Q246+Q247+Q248+Q249+Q250+Q251+Q252+Q253+Q254+Q255+Q256+Q257+Q258+Q259+Q260+Q261, "NA")</f>
        <v>48886.579999999987</v>
      </c>
      <c r="R262" s="15">
        <f>IFERROR(Q262/Q444, "NA")</f>
        <v>5.6934178937438386E-2</v>
      </c>
      <c r="S262" s="2"/>
      <c r="T262" s="14">
        <f>IFERROR(T240+T241+T242+T243+T244+T245+T246+T247+T248+T249+T250+T251+T252+T253+T254+T255+T256+T257+T258+T259+T260+T261, "NA")</f>
        <v>47522.91</v>
      </c>
      <c r="U262" s="15">
        <f>IFERROR(T262/T444, "NA")</f>
        <v>5.0201887012676562E-2</v>
      </c>
      <c r="V262" s="2"/>
      <c r="W262" s="14">
        <f t="shared" si="66"/>
        <v>-1363.6699999999837</v>
      </c>
      <c r="X262" s="15">
        <f>IFERROR(W262/W444, "NA")</f>
        <v>1.5498874241206549E-2</v>
      </c>
      <c r="Y262" s="2"/>
      <c r="Z262" s="14">
        <f>IFERROR(Z240+Z241+Z242+Z243+Z244+Z245+Z246+Z247+Z248+Z249+Z250+Z251+Z252+Z253+Z254+Z255+Z256+Z257+Z258+Z259+Z260+Z261, "NA")</f>
        <v>38735.51999999999</v>
      </c>
      <c r="AA262" s="15">
        <f>IFERROR(Z262/Z444, "NA")</f>
        <v>4.5719905876447496E-2</v>
      </c>
      <c r="AB262" s="2"/>
      <c r="AC262" s="14">
        <f t="shared" si="67"/>
        <v>-10151.059999999998</v>
      </c>
      <c r="AD262" s="15">
        <f>IFERROR(AC262/AC444, "NA")</f>
        <v>-0.88923559128867935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4144.55</v>
      </c>
      <c r="C263" s="15">
        <f>IFERROR(B263/B444, "NA")</f>
        <v>5.4681465997101109E-2</v>
      </c>
      <c r="D263" s="2"/>
      <c r="E263" s="14">
        <f>IFERROR(E238+E240+E241+E242+E243+E244+E245+E246+E247+E248+E249+E250+E251+E252+E253+E254+E255+E256+E257+E258+E259+E260+E261, "NA")</f>
        <v>4949.41</v>
      </c>
      <c r="F263" s="15">
        <f>IFERROR(E263/E444, "NA")</f>
        <v>5.0056028981344577E-2</v>
      </c>
      <c r="G263" s="2"/>
      <c r="H263" s="14">
        <f t="shared" si="64"/>
        <v>804.85999999999967</v>
      </c>
      <c r="I263" s="15">
        <f>IFERROR(H263/H444, "NA")</f>
        <v>-3.4868114948763108E-2</v>
      </c>
      <c r="J263" s="2"/>
      <c r="K263" s="14">
        <f>IFERROR(K238+K240+K241+K242+K243+K244+K245+K246+K247+K248+K249+K250+K251+K252+K253+K254+K255+K256+K257+K258+K259+K260+K261, "NA")</f>
        <v>4459.09</v>
      </c>
      <c r="L263" s="15">
        <f>IFERROR(K263/K444, "NA")</f>
        <v>4.9381126004269353E-2</v>
      </c>
      <c r="M263" s="2"/>
      <c r="N263" s="14">
        <f t="shared" si="65"/>
        <v>314.53999999999996</v>
      </c>
      <c r="O263" s="15">
        <f>IFERROR(N263/N444, "NA")</f>
        <v>-2.168484652941801E-2</v>
      </c>
      <c r="P263" s="2"/>
      <c r="Q263" s="14">
        <f>IFERROR(Q238+Q240+Q241+Q242+Q243+Q244+Q245+Q246+Q247+Q248+Q249+Q250+Q251+Q252+Q253+Q254+Q255+Q256+Q257+Q258+Q259+Q260+Q261, "NA")</f>
        <v>48886.579999999987</v>
      </c>
      <c r="R263" s="15">
        <f>IFERROR(Q263/Q444, "NA")</f>
        <v>5.6934178937438386E-2</v>
      </c>
      <c r="S263" s="2"/>
      <c r="T263" s="14">
        <f>IFERROR(T238+T240+T241+T242+T243+T244+T245+T246+T247+T248+T249+T250+T251+T252+T253+T254+T255+T256+T257+T258+T259+T260+T261, "NA")</f>
        <v>47522.91</v>
      </c>
      <c r="U263" s="15">
        <f>IFERROR(T263/T444, "NA")</f>
        <v>5.0201887012676562E-2</v>
      </c>
      <c r="V263" s="2"/>
      <c r="W263" s="14">
        <f t="shared" si="66"/>
        <v>-1363.6699999999837</v>
      </c>
      <c r="X263" s="15">
        <f>IFERROR(W263/W444, "NA")</f>
        <v>1.5498874241206549E-2</v>
      </c>
      <c r="Y263" s="2"/>
      <c r="Z263" s="14">
        <f>IFERROR(Z238+Z240+Z241+Z242+Z243+Z244+Z245+Z246+Z247+Z248+Z249+Z250+Z251+Z252+Z253+Z254+Z255+Z256+Z257+Z258+Z259+Z260+Z261, "NA")</f>
        <v>38735.51999999999</v>
      </c>
      <c r="AA263" s="15">
        <f>IFERROR(Z263/Z444, "NA")</f>
        <v>4.5719905876447496E-2</v>
      </c>
      <c r="AB263" s="2"/>
      <c r="AC263" s="14">
        <f t="shared" si="67"/>
        <v>-10151.059999999998</v>
      </c>
      <c r="AD263" s="15">
        <f>IFERROR(AC263/AC444, "NA")</f>
        <v>-0.88923559128867935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2076.9699999999998</v>
      </c>
      <c r="C265" s="8">
        <f>IFERROR(B265/B444, "NA")</f>
        <v>2.740267687251911E-2</v>
      </c>
      <c r="D265" s="9"/>
      <c r="E265" s="7">
        <v>2768.57</v>
      </c>
      <c r="F265" s="8">
        <f>IFERROR(E265/E444, "NA")</f>
        <v>2.8000028317896712E-2</v>
      </c>
      <c r="G265" s="9"/>
      <c r="H265" s="10">
        <f>IFERROR(-(B265-E265), "NA")</f>
        <v>691.60000000000036</v>
      </c>
      <c r="I265" s="8">
        <f>IFERROR(H265/H444, "NA")</f>
        <v>-2.9961469446319344E-2</v>
      </c>
      <c r="J265" s="9"/>
      <c r="K265" s="7">
        <v>2177.13</v>
      </c>
      <c r="L265" s="8">
        <f>IFERROR(K265/K444, "NA")</f>
        <v>2.4110105617440987E-2</v>
      </c>
      <c r="M265" s="9"/>
      <c r="N265" s="10">
        <f>IFERROR(-(B265-K265), "NA")</f>
        <v>100.16000000000031</v>
      </c>
      <c r="O265" s="8">
        <f>IFERROR(N265/N444, "NA")</f>
        <v>-6.9051765383942101E-3</v>
      </c>
      <c r="P265" s="9"/>
      <c r="Q265" s="7">
        <v>23316.06</v>
      </c>
      <c r="R265" s="8">
        <f>IFERROR(Q265/Q444, "NA")</f>
        <v>2.7154297399328203E-2</v>
      </c>
      <c r="S265" s="9"/>
      <c r="T265" s="7">
        <v>26619.29</v>
      </c>
      <c r="U265" s="8">
        <f>IFERROR(T265/T444, "NA")</f>
        <v>2.811988131487889E-2</v>
      </c>
      <c r="V265" s="9"/>
      <c r="W265" s="10">
        <f>IFERROR(-(Q265-T265), "NA")</f>
        <v>3303.2299999999996</v>
      </c>
      <c r="X265" s="8">
        <f>IFERROR(W265/W444, "NA")</f>
        <v>-3.7543061268328341E-2</v>
      </c>
      <c r="Y265" s="9"/>
      <c r="Z265" s="7">
        <v>23294.77</v>
      </c>
      <c r="AA265" s="8">
        <f>IFERROR(Z265/Z444, "NA")</f>
        <v>2.7495040516133336E-2</v>
      </c>
      <c r="AB265" s="9"/>
      <c r="AC265" s="10">
        <f>IFERROR(-(Q265-Z265), "NA")</f>
        <v>-21.290000000000873</v>
      </c>
      <c r="AD265" s="8">
        <f>IFERROR(AC265/AC444, "NA")</f>
        <v>-1.8650097367700284E-3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441.97</v>
      </c>
      <c r="R266" s="8">
        <f>IFERROR(Q266/Q444, "NA")</f>
        <v>5.1472610816669226E-4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-441.97</v>
      </c>
      <c r="X266" s="8">
        <f>IFERROR(W266/W444, "NA")</f>
        <v>5.0232368889732417E-3</v>
      </c>
      <c r="Y266" s="9"/>
      <c r="Z266" s="7">
        <v>328.93</v>
      </c>
      <c r="AA266" s="8">
        <f>IFERROR(Z266/Z444, "NA")</f>
        <v>3.8823923468537093E-4</v>
      </c>
      <c r="AB266" s="9"/>
      <c r="AC266" s="10">
        <f>IFERROR(-(Q266-Z266), "NA")</f>
        <v>-113.04000000000002</v>
      </c>
      <c r="AD266" s="8">
        <f>IFERROR(AC266/AC444, "NA")</f>
        <v>-9.9023344595808079E-3</v>
      </c>
    </row>
    <row r="267" spans="1:30" ht="16.5" customHeight="1" x14ac:dyDescent="0.45">
      <c r="A267" s="19" t="s">
        <v>243</v>
      </c>
      <c r="B267" s="14">
        <f>IFERROR(B265+B266, "NA")</f>
        <v>2076.9699999999998</v>
      </c>
      <c r="C267" s="15">
        <f>IFERROR(B267/B444, "NA")</f>
        <v>2.740267687251911E-2</v>
      </c>
      <c r="D267" s="2"/>
      <c r="E267" s="14">
        <f>IFERROR(E265+E266, "NA")</f>
        <v>2768.57</v>
      </c>
      <c r="F267" s="15">
        <f>IFERROR(E267/E444, "NA")</f>
        <v>2.8000028317896712E-2</v>
      </c>
      <c r="G267" s="2"/>
      <c r="H267" s="14">
        <f>IFERROR(-(B267-E267), "NA")</f>
        <v>691.60000000000036</v>
      </c>
      <c r="I267" s="15">
        <f>IFERROR(H267/H444, "NA")</f>
        <v>-2.9961469446319344E-2</v>
      </c>
      <c r="J267" s="2"/>
      <c r="K267" s="14">
        <f>IFERROR(K265+K266, "NA")</f>
        <v>2177.13</v>
      </c>
      <c r="L267" s="15">
        <f>IFERROR(K267/K444, "NA")</f>
        <v>2.4110105617440987E-2</v>
      </c>
      <c r="M267" s="2"/>
      <c r="N267" s="14">
        <f>IFERROR(-(B267-K267), "NA")</f>
        <v>100.16000000000031</v>
      </c>
      <c r="O267" s="15">
        <f>IFERROR(N267/N444, "NA")</f>
        <v>-6.9051765383942101E-3</v>
      </c>
      <c r="P267" s="2"/>
      <c r="Q267" s="14">
        <f>IFERROR(Q265+Q266, "NA")</f>
        <v>23758.030000000002</v>
      </c>
      <c r="R267" s="15">
        <f>IFERROR(Q267/Q444, "NA")</f>
        <v>2.7669023507494894E-2</v>
      </c>
      <c r="S267" s="2"/>
      <c r="T267" s="14">
        <f>IFERROR(T265+T266, "NA")</f>
        <v>26619.29</v>
      </c>
      <c r="U267" s="15">
        <f>IFERROR(T267/T444, "NA")</f>
        <v>2.811988131487889E-2</v>
      </c>
      <c r="V267" s="2"/>
      <c r="W267" s="14">
        <f>IFERROR(-(Q267-T267), "NA")</f>
        <v>2861.2599999999984</v>
      </c>
      <c r="X267" s="15">
        <f>IFERROR(W267/W444, "NA")</f>
        <v>-3.2519824379355085E-2</v>
      </c>
      <c r="Y267" s="2"/>
      <c r="Z267" s="14">
        <f>IFERROR(Z265+Z266, "NA")</f>
        <v>23623.7</v>
      </c>
      <c r="AA267" s="15">
        <f>IFERROR(Z267/Z444, "NA")</f>
        <v>2.7883279750818706E-2</v>
      </c>
      <c r="AB267" s="2"/>
      <c r="AC267" s="14">
        <f>IFERROR(-(Q267-Z267), "NA")</f>
        <v>-134.33000000000175</v>
      </c>
      <c r="AD267" s="15">
        <f>IFERROR(AC267/AC444, "NA")</f>
        <v>-1.176734419635091E-2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218.43</v>
      </c>
      <c r="C270" s="8">
        <f>IFERROR(B270/B444, "NA")</f>
        <v>2.8818744176682138E-3</v>
      </c>
      <c r="D270" s="9"/>
      <c r="E270" s="7">
        <v>150.44999999999999</v>
      </c>
      <c r="F270" s="8">
        <f>IFERROR(E270/E444, "NA")</f>
        <v>1.5215812713521998E-3</v>
      </c>
      <c r="G270" s="9"/>
      <c r="H270" s="10">
        <f>IFERROR(-(B270-E270), "NA")</f>
        <v>-67.980000000000018</v>
      </c>
      <c r="I270" s="8">
        <f>IFERROR(H270/H444, "NA")</f>
        <v>2.9450270285725686E-3</v>
      </c>
      <c r="J270" s="9"/>
      <c r="K270" s="7">
        <v>182.88</v>
      </c>
      <c r="L270" s="8">
        <f>IFERROR(K270/K444, "NA")</f>
        <v>2.025260832066807E-3</v>
      </c>
      <c r="M270" s="9"/>
      <c r="N270" s="10">
        <f>IFERROR(-(B270-K270), "NA")</f>
        <v>-35.550000000000011</v>
      </c>
      <c r="O270" s="8">
        <f>IFERROR(N270/N444, "NA")</f>
        <v>2.4508688692084016E-3</v>
      </c>
      <c r="P270" s="9"/>
      <c r="Q270" s="7">
        <v>2184.66</v>
      </c>
      <c r="R270" s="8">
        <f>IFERROR(Q270/Q444, "NA")</f>
        <v>2.5442938196426129E-3</v>
      </c>
      <c r="S270" s="9"/>
      <c r="T270" s="7">
        <v>1547.69</v>
      </c>
      <c r="U270" s="8">
        <f>IFERROR(T270/T444, "NA")</f>
        <v>1.634936886454331E-3</v>
      </c>
      <c r="V270" s="9"/>
      <c r="W270" s="10">
        <f>IFERROR(-(Q270-T270), "NA")</f>
        <v>-636.9699999999998</v>
      </c>
      <c r="X270" s="8">
        <f>IFERROR(W270/W444, "NA")</f>
        <v>7.2395212371185475E-3</v>
      </c>
      <c r="Y270" s="9"/>
      <c r="Z270" s="7">
        <v>1829.25</v>
      </c>
      <c r="AA270" s="8">
        <f>IFERROR(Z270/Z444, "NA")</f>
        <v>2.1590813244405033E-3</v>
      </c>
      <c r="AB270" s="9"/>
      <c r="AC270" s="10">
        <f>IFERROR(-(Q270-Z270), "NA")</f>
        <v>-355.40999999999985</v>
      </c>
      <c r="AD270" s="8">
        <f>IFERROR(AC270/AC444, "NA")</f>
        <v>-3.1134011768220213E-2</v>
      </c>
    </row>
    <row r="271" spans="1:30" ht="16.5" customHeight="1" x14ac:dyDescent="0.45">
      <c r="A271" s="6" t="s">
        <v>246</v>
      </c>
      <c r="B271" s="7">
        <v>1196.1099999999999</v>
      </c>
      <c r="C271" s="8">
        <f>IFERROR(B271/B444, "NA")</f>
        <v>1.5780977016513879E-2</v>
      </c>
      <c r="D271" s="9"/>
      <c r="E271" s="7">
        <v>1186.53</v>
      </c>
      <c r="F271" s="8">
        <f>IFERROR(E271/E444, "NA")</f>
        <v>1.2000012136241446E-2</v>
      </c>
      <c r="G271" s="9"/>
      <c r="H271" s="10">
        <f>IFERROR(-(B271-E271), "NA")</f>
        <v>-9.5799999999999272</v>
      </c>
      <c r="I271" s="8">
        <f>IFERROR(H271/H444, "NA")</f>
        <v>4.1502440326162088E-4</v>
      </c>
      <c r="J271" s="9"/>
      <c r="K271" s="7">
        <v>1086.1600000000001</v>
      </c>
      <c r="L271" s="8">
        <f>IFERROR(K271/K444, "NA")</f>
        <v>1.2028419211273423E-2</v>
      </c>
      <c r="M271" s="9"/>
      <c r="N271" s="10">
        <f>IFERROR(-(B271-K271), "NA")</f>
        <v>-109.94999999999982</v>
      </c>
      <c r="O271" s="8">
        <f>IFERROR(N271/N444, "NA")</f>
        <v>7.5801134224884169E-3</v>
      </c>
      <c r="P271" s="9"/>
      <c r="Q271" s="7">
        <v>12005</v>
      </c>
      <c r="R271" s="8">
        <f>IFERROR(Q271/Q444, "NA")</f>
        <v>1.3981236121323031E-2</v>
      </c>
      <c r="S271" s="9"/>
      <c r="T271" s="7">
        <v>11359.64</v>
      </c>
      <c r="U271" s="8">
        <f>IFERROR(T271/T444, "NA")</f>
        <v>1.2000009338331367E-2</v>
      </c>
      <c r="V271" s="9"/>
      <c r="W271" s="10">
        <f>IFERROR(-(Q271-T271), "NA")</f>
        <v>-645.36000000000058</v>
      </c>
      <c r="X271" s="8">
        <f>IFERROR(W271/W444, "NA")</f>
        <v>7.3348782918926034E-3</v>
      </c>
      <c r="Y271" s="9"/>
      <c r="Z271" s="7">
        <v>10861.42</v>
      </c>
      <c r="AA271" s="8">
        <f>IFERROR(Z271/Z444, "NA")</f>
        <v>1.2819838228183448E-2</v>
      </c>
      <c r="AB271" s="9"/>
      <c r="AC271" s="10">
        <f>IFERROR(-(Q271-Z271), "NA")</f>
        <v>-1143.58</v>
      </c>
      <c r="AD271" s="8">
        <f>IFERROR(AC271/AC444, "NA")</f>
        <v>-0.10017791614727015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1.8662851434182094E-2</v>
      </c>
      <c r="D273" s="2"/>
      <c r="E273" s="14">
        <f>IFERROR(E269+E270+E271+E272, "NA")</f>
        <v>1336.98</v>
      </c>
      <c r="F273" s="15">
        <f>IFERROR(E273/E444, "NA")</f>
        <v>1.3521593407593646E-2</v>
      </c>
      <c r="G273" s="2"/>
      <c r="H273" s="14">
        <f>IFERROR(-(B273-E273), "NA")</f>
        <v>-77.559999999999945</v>
      </c>
      <c r="I273" s="15">
        <f>IFERROR(H273/H444, "NA")</f>
        <v>3.3600514318341897E-3</v>
      </c>
      <c r="J273" s="2"/>
      <c r="K273" s="14">
        <f>IFERROR(K269+K270+K271+K272, "NA")</f>
        <v>1269.04</v>
      </c>
      <c r="L273" s="15">
        <f>IFERROR(K273/K444, "NA")</f>
        <v>1.4053680043340228E-2</v>
      </c>
      <c r="M273" s="2"/>
      <c r="N273" s="14">
        <f>IFERROR(-(B273-K273), "NA")</f>
        <v>-145.5</v>
      </c>
      <c r="O273" s="15">
        <f>IFERROR(N273/N444, "NA")</f>
        <v>1.0030982291696831E-2</v>
      </c>
      <c r="P273" s="2"/>
      <c r="Q273" s="14">
        <f>IFERROR(Q269+Q270+Q271+Q272, "NA")</f>
        <v>14189.66</v>
      </c>
      <c r="R273" s="15">
        <f>IFERROR(Q273/Q444, "NA")</f>
        <v>1.6525529940965643E-2</v>
      </c>
      <c r="S273" s="2"/>
      <c r="T273" s="14">
        <f>IFERROR(T269+T270+T271+T272, "NA")</f>
        <v>12907.33</v>
      </c>
      <c r="U273" s="15">
        <f>IFERROR(T273/T444, "NA")</f>
        <v>1.3634946224785699E-2</v>
      </c>
      <c r="V273" s="2"/>
      <c r="W273" s="14">
        <f>IFERROR(-(Q273-T273), "NA")</f>
        <v>-1282.33</v>
      </c>
      <c r="X273" s="15">
        <f>IFERROR(W273/W444, "NA")</f>
        <v>1.4574399529011146E-2</v>
      </c>
      <c r="Y273" s="2"/>
      <c r="Z273" s="14">
        <f>IFERROR(Z269+Z270+Z271+Z272, "NA")</f>
        <v>12690.67</v>
      </c>
      <c r="AA273" s="15">
        <f>IFERROR(Z273/Z444, "NA")</f>
        <v>1.497891955262395E-2</v>
      </c>
      <c r="AB273" s="2"/>
      <c r="AC273" s="14">
        <f>IFERROR(-(Q273-Z273), "NA")</f>
        <v>-1498.9899999999998</v>
      </c>
      <c r="AD273" s="15">
        <f>IFERROR(AC273/AC444, "NA")</f>
        <v>-0.13131192791549035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1.2804768477679491E-2</v>
      </c>
      <c r="D287" s="9"/>
      <c r="E287" s="7">
        <v>1350</v>
      </c>
      <c r="F287" s="8">
        <f>IFERROR(E287/E444, "NA")</f>
        <v>1.3653271627287935E-2</v>
      </c>
      <c r="G287" s="9"/>
      <c r="H287" s="10">
        <f t="shared" si="72"/>
        <v>379.47</v>
      </c>
      <c r="I287" s="8">
        <f>IFERROR(H287/H444, "NA")</f>
        <v>-1.6439385209362053E-2</v>
      </c>
      <c r="J287" s="9"/>
      <c r="K287" s="7">
        <v>970.53</v>
      </c>
      <c r="L287" s="8">
        <f>IFERROR(K287/K444, "NA")</f>
        <v>1.0747902424244303E-2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9705.2999999999993</v>
      </c>
      <c r="R287" s="8">
        <f>IFERROR(Q287/Q444, "NA")</f>
        <v>1.130296467540828E-2</v>
      </c>
      <c r="S287" s="9"/>
      <c r="T287" s="7">
        <v>13500</v>
      </c>
      <c r="U287" s="8">
        <f>IFERROR(T287/T444, "NA")</f>
        <v>1.4261026411706134E-2</v>
      </c>
      <c r="V287" s="9"/>
      <c r="W287" s="10">
        <f t="shared" si="74"/>
        <v>3794.7000000000007</v>
      </c>
      <c r="X287" s="8">
        <f>IFERROR(W287/W444, "NA")</f>
        <v>-4.3128893414907714E-2</v>
      </c>
      <c r="Y287" s="9"/>
      <c r="Z287" s="7">
        <v>9705.2999999999993</v>
      </c>
      <c r="AA287" s="8">
        <f>IFERROR(Z287/Z444, "NA")</f>
        <v>1.1455258700610859E-2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185.81</v>
      </c>
      <c r="C288" s="8">
        <f>IFERROR(B288/B444, "NA")</f>
        <v>2.4514997278163751E-3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-185.81</v>
      </c>
      <c r="I288" s="8">
        <f>IFERROR(H288/H444, "NA")</f>
        <v>8.0496539008394954E-3</v>
      </c>
      <c r="J288" s="9"/>
      <c r="K288" s="7">
        <v>165.98</v>
      </c>
      <c r="L288" s="8">
        <f>IFERROR(K288/K444, "NA")</f>
        <v>1.8381058229792685E-3</v>
      </c>
      <c r="M288" s="9"/>
      <c r="N288" s="10">
        <f t="shared" si="73"/>
        <v>-19.830000000000013</v>
      </c>
      <c r="O288" s="8">
        <f>IFERROR(N288/N444, "NA")</f>
        <v>1.3671091329508472E-3</v>
      </c>
      <c r="P288" s="9"/>
      <c r="Q288" s="7">
        <v>2787.11</v>
      </c>
      <c r="R288" s="8">
        <f>IFERROR(Q288/Q444, "NA")</f>
        <v>3.2459177847647342E-3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-2787.11</v>
      </c>
      <c r="X288" s="8">
        <f>IFERROR(W288/W444, "NA")</f>
        <v>3.1677068049021907E-2</v>
      </c>
      <c r="Y288" s="9"/>
      <c r="Z288" s="7">
        <v>1198.8499999999999</v>
      </c>
      <c r="AA288" s="8">
        <f>IFERROR(Z288/Z444, "NA")</f>
        <v>1.415014156515237E-3</v>
      </c>
      <c r="AB288" s="9"/>
      <c r="AC288" s="10">
        <f t="shared" si="75"/>
        <v>-1588.2600000000002</v>
      </c>
      <c r="AD288" s="8">
        <f>IFERROR(AC288/AC444, "NA")</f>
        <v>-0.13913200397004435</v>
      </c>
    </row>
    <row r="289" spans="1:30" ht="16.5" customHeight="1" x14ac:dyDescent="0.45">
      <c r="A289" s="6" t="s">
        <v>262</v>
      </c>
      <c r="B289" s="7">
        <v>223.61</v>
      </c>
      <c r="C289" s="8">
        <f>IFERROR(B289/B444, "NA")</f>
        <v>2.9502171795760166E-3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-223.61</v>
      </c>
      <c r="I289" s="8">
        <f>IFERROR(H289/H444, "NA")</f>
        <v>9.687224093249661E-3</v>
      </c>
      <c r="J289" s="9"/>
      <c r="K289" s="7">
        <v>327.42</v>
      </c>
      <c r="L289" s="8">
        <f>IFERROR(K289/K444, "NA")</f>
        <v>3.6259345015054352E-3</v>
      </c>
      <c r="M289" s="9"/>
      <c r="N289" s="10">
        <f t="shared" si="73"/>
        <v>103.81</v>
      </c>
      <c r="O289" s="8">
        <f>IFERROR(N289/N444, "NA")</f>
        <v>-7.156812863924728E-3</v>
      </c>
      <c r="P289" s="9"/>
      <c r="Q289" s="7">
        <v>2326.4299999999998</v>
      </c>
      <c r="R289" s="8">
        <f>IFERROR(Q289/Q444, "NA")</f>
        <v>2.7094016784447758E-3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-2326.4299999999998</v>
      </c>
      <c r="X289" s="8">
        <f>IFERROR(W289/W444, "NA")</f>
        <v>2.6441181518234307E-2</v>
      </c>
      <c r="Y289" s="9"/>
      <c r="Z289" s="7">
        <v>2477.54</v>
      </c>
      <c r="AA289" s="8">
        <f>IFERROR(Z289/Z444, "NA")</f>
        <v>2.924264230998674E-3</v>
      </c>
      <c r="AB289" s="9"/>
      <c r="AC289" s="10">
        <f t="shared" si="75"/>
        <v>151.11000000000013</v>
      </c>
      <c r="AD289" s="8">
        <f>IFERROR(AC289/AC444, "NA")</f>
        <v>1.3237276717863206E-2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250.96</v>
      </c>
      <c r="L290" s="8">
        <f>IFERROR(K290/K444, "NA")</f>
        <v>2.7791965136454832E-3</v>
      </c>
      <c r="M290" s="9"/>
      <c r="N290" s="10">
        <f t="shared" si="73"/>
        <v>250.96</v>
      </c>
      <c r="O290" s="8">
        <f>IFERROR(N290/N444, "NA")</f>
        <v>-1.7301548563053173E-2</v>
      </c>
      <c r="P290" s="9"/>
      <c r="Q290" s="7">
        <v>4808.03</v>
      </c>
      <c r="R290" s="8">
        <f>IFERROR(Q290/Q444, "NA")</f>
        <v>5.5995170935780733E-3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-4808.03</v>
      </c>
      <c r="X290" s="8">
        <f>IFERROR(W290/W444, "NA")</f>
        <v>5.4645957099554297E-2</v>
      </c>
      <c r="Y290" s="9"/>
      <c r="Z290" s="7">
        <v>8227.02</v>
      </c>
      <c r="AA290" s="8">
        <f>IFERROR(Z290/Z444, "NA")</f>
        <v>9.710430634302861E-3</v>
      </c>
      <c r="AB290" s="9"/>
      <c r="AC290" s="10">
        <f t="shared" si="75"/>
        <v>3418.9900000000007</v>
      </c>
      <c r="AD290" s="8">
        <f>IFERROR(AC290/AC444, "NA")</f>
        <v>0.29950444527567399</v>
      </c>
    </row>
    <row r="291" spans="1:30" ht="16.5" customHeight="1" x14ac:dyDescent="0.45">
      <c r="A291" s="6" t="s">
        <v>264</v>
      </c>
      <c r="B291" s="7">
        <v>722.45</v>
      </c>
      <c r="C291" s="8">
        <f>IFERROR(B291/B444, "NA")</f>
        <v>9.5317043127976977E-3</v>
      </c>
      <c r="D291" s="9"/>
      <c r="E291" s="7">
        <v>1483.16</v>
      </c>
      <c r="F291" s="8">
        <f>IFERROR(E291/E444, "NA")</f>
        <v>1.4999989886465464E-2</v>
      </c>
      <c r="G291" s="9"/>
      <c r="H291" s="10">
        <f t="shared" si="72"/>
        <v>760.71</v>
      </c>
      <c r="I291" s="8">
        <f>IFERROR(H291/H444, "NA")</f>
        <v>-3.2955450292813153E-2</v>
      </c>
      <c r="J291" s="9"/>
      <c r="K291" s="7">
        <v>1594.87</v>
      </c>
      <c r="L291" s="8">
        <f>IFERROR(K291/K444, "NA")</f>
        <v>1.7662006470026182E-2</v>
      </c>
      <c r="M291" s="9"/>
      <c r="N291" s="10">
        <f t="shared" si="73"/>
        <v>872.41999999999985</v>
      </c>
      <c r="O291" s="8">
        <f>IFERROR(N291/N444, "NA")</f>
        <v>-6.0145907703932279E-2</v>
      </c>
      <c r="P291" s="9"/>
      <c r="Q291" s="7">
        <v>4375.55</v>
      </c>
      <c r="R291" s="8">
        <f>IFERROR(Q291/Q444, "NA")</f>
        <v>5.0958432078846306E-3</v>
      </c>
      <c r="S291" s="9"/>
      <c r="T291" s="7">
        <v>14199.53</v>
      </c>
      <c r="U291" s="8">
        <f>IFERROR(T291/T444, "NA")</f>
        <v>1.4999990545467676E-2</v>
      </c>
      <c r="V291" s="9"/>
      <c r="W291" s="10">
        <f t="shared" si="74"/>
        <v>9823.98</v>
      </c>
      <c r="X291" s="8">
        <f>IFERROR(W291/W444, "NA")</f>
        <v>-0.11165504159226948</v>
      </c>
      <c r="Y291" s="9"/>
      <c r="Z291" s="7">
        <v>7927.56</v>
      </c>
      <c r="AA291" s="8">
        <f>IFERROR(Z291/Z444, "NA")</f>
        <v>9.3569751233464841E-3</v>
      </c>
      <c r="AB291" s="9"/>
      <c r="AC291" s="10">
        <f t="shared" si="75"/>
        <v>3552.01</v>
      </c>
      <c r="AD291" s="8">
        <f>IFERROR(AC291/AC444, "NA")</f>
        <v>0.31115703311903414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2893.81</v>
      </c>
      <c r="R292" s="8">
        <f>IFERROR(Q292/Q444, "NA")</f>
        <v>3.3701824989792418E-3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-2893.81</v>
      </c>
      <c r="X292" s="8">
        <f>IFERROR(W292/W444, "NA")</f>
        <v>3.288977338208398E-2</v>
      </c>
      <c r="Y292" s="9"/>
      <c r="Z292" s="7">
        <v>3594.02</v>
      </c>
      <c r="AA292" s="8">
        <f>IFERROR(Z292/Z444, "NA")</f>
        <v>4.2420562862734218E-3</v>
      </c>
      <c r="AB292" s="9"/>
      <c r="AC292" s="10">
        <f t="shared" si="75"/>
        <v>700.21</v>
      </c>
      <c r="AD292" s="8">
        <f>IFERROR(AC292/AC444, "NA")</f>
        <v>6.133858467748652E-2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2724.85</v>
      </c>
      <c r="R293" s="8">
        <f>IFERROR(Q293/Q444, "NA")</f>
        <v>3.1734086834808045E-3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-2724.85</v>
      </c>
      <c r="X293" s="8">
        <f>IFERROR(W293/W444, "NA")</f>
        <v>3.0969448236121765E-2</v>
      </c>
      <c r="Y293" s="9"/>
      <c r="Z293" s="7">
        <v>343.94</v>
      </c>
      <c r="AA293" s="8">
        <f>IFERROR(Z293/Z444, "NA")</f>
        <v>4.0595568168816002E-4</v>
      </c>
      <c r="AB293" s="9"/>
      <c r="AC293" s="10">
        <f t="shared" si="75"/>
        <v>-2380.91</v>
      </c>
      <c r="AD293" s="8">
        <f>IFERROR(AC293/AC444, "NA")</f>
        <v>-0.20856835755626801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4.2877826626287266E-3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1.4079204678078831E-2</v>
      </c>
      <c r="J294" s="9"/>
      <c r="K294" s="7">
        <v>408.32</v>
      </c>
      <c r="L294" s="8">
        <f>IFERROR(K294/K444, "NA")</f>
        <v>4.5218422077292139E-3</v>
      </c>
      <c r="M294" s="9"/>
      <c r="N294" s="10">
        <f t="shared" si="73"/>
        <v>83.329999999999984</v>
      </c>
      <c r="O294" s="8">
        <f>IFERROR(N294/N444, "NA")</f>
        <v>-5.7448917825917295E-3</v>
      </c>
      <c r="P294" s="9"/>
      <c r="Q294" s="7">
        <v>3719.56</v>
      </c>
      <c r="R294" s="8">
        <f>IFERROR(Q294/Q444, "NA")</f>
        <v>4.3318656082822395E-3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-3719.56</v>
      </c>
      <c r="X294" s="8">
        <f>IFERROR(W294/W444, "NA")</f>
        <v>4.2274885179422378E-2</v>
      </c>
      <c r="Y294" s="9"/>
      <c r="Z294" s="7">
        <v>1649.77</v>
      </c>
      <c r="AA294" s="8">
        <f>IFERROR(Z294/Z444, "NA")</f>
        <v>1.9472393585470598E-3</v>
      </c>
      <c r="AB294" s="9"/>
      <c r="AC294" s="10">
        <f t="shared" si="75"/>
        <v>-2069.79</v>
      </c>
      <c r="AD294" s="8">
        <f>IFERROR(AC294/AC444, "NA")</f>
        <v>-0.18131416172236162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2427.3899999999994</v>
      </c>
      <c r="C295" s="15">
        <f>IFERROR(B295/B444, "NA")</f>
        <v>3.2025972360498298E-2</v>
      </c>
      <c r="D295" s="2"/>
      <c r="E295" s="14">
        <f>IFERROR(E286+E287+E288+E289+E290+E291+E292+E293+E294, "NA")</f>
        <v>2833.16</v>
      </c>
      <c r="F295" s="15">
        <f>IFERROR(E295/E444, "NA")</f>
        <v>2.8653261513753397E-2</v>
      </c>
      <c r="G295" s="2"/>
      <c r="H295" s="14">
        <f t="shared" si="72"/>
        <v>405.77000000000044</v>
      </c>
      <c r="I295" s="15">
        <f>IFERROR(H295/H444, "NA")</f>
        <v>-1.757875283000724E-2</v>
      </c>
      <c r="J295" s="2"/>
      <c r="K295" s="14">
        <f>IFERROR(K286+K287+K288+K289+K290+K291+K292+K293+K294, "NA")</f>
        <v>3718.0800000000004</v>
      </c>
      <c r="L295" s="15">
        <f>IFERROR(K295/K444, "NA")</f>
        <v>4.1174987940129894E-2</v>
      </c>
      <c r="M295" s="2"/>
      <c r="N295" s="14">
        <f t="shared" si="73"/>
        <v>1290.690000000001</v>
      </c>
      <c r="O295" s="15">
        <f>IFERROR(N295/N444, "NA")</f>
        <v>-8.8982051780551144E-2</v>
      </c>
      <c r="P295" s="2"/>
      <c r="Q295" s="14">
        <f>IFERROR(Q286+Q287+Q288+Q289+Q290+Q291+Q292+Q293+Q294, "NA")</f>
        <v>33340.639999999999</v>
      </c>
      <c r="R295" s="15">
        <f>IFERROR(Q295/Q444, "NA")</f>
        <v>3.8829101230822782E-2</v>
      </c>
      <c r="S295" s="2"/>
      <c r="T295" s="14">
        <f>IFERROR(T286+T287+T288+T289+T290+T291+T292+T293+T294, "NA")</f>
        <v>27699.53</v>
      </c>
      <c r="U295" s="15">
        <f>IFERROR(T295/T444, "NA")</f>
        <v>2.9261016957173806E-2</v>
      </c>
      <c r="V295" s="2"/>
      <c r="W295" s="14">
        <f t="shared" si="74"/>
        <v>-5641.1100000000006</v>
      </c>
      <c r="X295" s="15">
        <f>IFERROR(W295/W444, "NA")</f>
        <v>6.4114378457261451E-2</v>
      </c>
      <c r="Y295" s="2"/>
      <c r="Z295" s="14">
        <f>IFERROR(Z286+Z287+Z288+Z289+Z290+Z291+Z292+Z293+Z294, "NA")</f>
        <v>35124</v>
      </c>
      <c r="AA295" s="15">
        <f>IFERROR(Z295/Z444, "NA")</f>
        <v>4.145719417228276E-2</v>
      </c>
      <c r="AB295" s="2"/>
      <c r="AC295" s="14">
        <f t="shared" si="75"/>
        <v>1783.3600000000006</v>
      </c>
      <c r="AD295" s="15">
        <f>IFERROR(AC295/AC444, "NA")</f>
        <v>0.15622281654138387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1285.4100000000001</v>
      </c>
      <c r="F297" s="8">
        <f>IFERROR(E297/E444, "NA")</f>
        <v>1.3000038431431249E-2</v>
      </c>
      <c r="G297" s="9"/>
      <c r="H297" s="10">
        <f t="shared" ref="H297:H325" si="76">IFERROR(-(B297-E297), "NA")</f>
        <v>1285.4100000000001</v>
      </c>
      <c r="I297" s="8">
        <f>IFERROR(H297/H444, "NA")</f>
        <v>-5.5686484154125693E-2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12306.27</v>
      </c>
      <c r="U297" s="8">
        <f>IFERROR(T297/T444, "NA")</f>
        <v>1.3000003074043471E-2</v>
      </c>
      <c r="V297" s="9"/>
      <c r="W297" s="10">
        <f t="shared" ref="W297:W325" si="78">IFERROR(-(Q297-T297), "NA")</f>
        <v>12306.27</v>
      </c>
      <c r="X297" s="8">
        <f>IFERROR(W297/W444, "NA")</f>
        <v>-0.13986765941051368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268.14999999999998</v>
      </c>
      <c r="C299" s="8">
        <f>IFERROR(B299/B444, "NA")</f>
        <v>3.5378593833160802E-3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-268.14999999999998</v>
      </c>
      <c r="I299" s="8">
        <f>IFERROR(H299/H444, "NA")</f>
        <v>1.1616784314676876E-2</v>
      </c>
      <c r="J299" s="9"/>
      <c r="K299" s="7">
        <v>578.05999999999995</v>
      </c>
      <c r="L299" s="8">
        <f>IFERROR(K299/K444, "NA")</f>
        <v>6.4015872516652366E-3</v>
      </c>
      <c r="M299" s="9"/>
      <c r="N299" s="10">
        <f t="shared" si="77"/>
        <v>309.90999999999997</v>
      </c>
      <c r="O299" s="8">
        <f>IFERROR(N299/N444, "NA")</f>
        <v>-2.1365647574018997E-2</v>
      </c>
      <c r="P299" s="9"/>
      <c r="Q299" s="7">
        <v>6505.82</v>
      </c>
      <c r="R299" s="8">
        <f>IFERROR(Q299/Q444, "NA")</f>
        <v>7.576793467957167E-3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-6505.82</v>
      </c>
      <c r="X299" s="8">
        <f>IFERROR(W299/W444, "NA")</f>
        <v>7.3942292501798512E-2</v>
      </c>
      <c r="Y299" s="9"/>
      <c r="Z299" s="7">
        <v>5084.59</v>
      </c>
      <c r="AA299" s="8">
        <f>IFERROR(Z299/Z444, "NA")</f>
        <v>6.0013903574891014E-3</v>
      </c>
      <c r="AB299" s="9"/>
      <c r="AC299" s="10">
        <f t="shared" si="79"/>
        <v>-1421.2299999999996</v>
      </c>
      <c r="AD299" s="8">
        <f>IFERROR(AC299/AC444, "NA")</f>
        <v>-0.12450013096240291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58.33</v>
      </c>
      <c r="L305" s="8">
        <f>IFERROR(K305/K444, "NA")</f>
        <v>6.4596163787432662E-4</v>
      </c>
      <c r="M305" s="9"/>
      <c r="N305" s="10">
        <f t="shared" si="77"/>
        <v>58.33</v>
      </c>
      <c r="O305" s="8">
        <f>IFERROR(N305/N444, "NA")</f>
        <v>-4.0213553063551625E-3</v>
      </c>
      <c r="P305" s="9"/>
      <c r="Q305" s="7">
        <v>317.35000000000002</v>
      </c>
      <c r="R305" s="8">
        <f>IFERROR(Q305/Q444, "NA")</f>
        <v>3.6959144382356216E-4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-317.35000000000002</v>
      </c>
      <c r="X305" s="8">
        <f>IFERROR(W305/W444, "NA")</f>
        <v>3.6068607070969937E-3</v>
      </c>
      <c r="Y305" s="9"/>
      <c r="Z305" s="7">
        <v>567.86</v>
      </c>
      <c r="AA305" s="8">
        <f>IFERROR(Z305/Z444, "NA")</f>
        <v>6.7025060592963465E-4</v>
      </c>
      <c r="AB305" s="9"/>
      <c r="AC305" s="10">
        <f t="shared" si="79"/>
        <v>250.51</v>
      </c>
      <c r="AD305" s="8">
        <f>IFERROR(AC305/AC444, "NA")</f>
        <v>2.1944743502031031E-2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34.1</v>
      </c>
      <c r="C310" s="8">
        <f>IFERROR(B310/B444, "NA")</f>
        <v>4.4990119325406808E-4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-34.1</v>
      </c>
      <c r="I310" s="8">
        <f>IFERROR(H310/H444, "NA")</f>
        <v>1.4772789301901231E-3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-34.1</v>
      </c>
      <c r="O310" s="8">
        <f>IFERROR(N310/N444, "NA")</f>
        <v>2.3509037535866797E-3</v>
      </c>
      <c r="P310" s="9"/>
      <c r="Q310" s="7">
        <v>908.58</v>
      </c>
      <c r="R310" s="8">
        <f>IFERROR(Q310/Q444, "NA")</f>
        <v>1.0581483977602398E-3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-908.58</v>
      </c>
      <c r="X310" s="8">
        <f>IFERROR(W310/W444, "NA")</f>
        <v>1.0326521195065972E-2</v>
      </c>
      <c r="Y310" s="9"/>
      <c r="Z310" s="7">
        <v>83.34</v>
      </c>
      <c r="AA310" s="8">
        <f>IFERROR(Z310/Z444, "NA")</f>
        <v>9.8367001546465242E-5</v>
      </c>
      <c r="AB310" s="9"/>
      <c r="AC310" s="10">
        <f t="shared" si="79"/>
        <v>-825.24</v>
      </c>
      <c r="AD310" s="8">
        <f>IFERROR(AC310/AC444, "NA")</f>
        <v>-7.2291246367873888E-2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3.1130232530026208E-5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3.0380143910730306E-4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-2.3415552026238053E-3</v>
      </c>
    </row>
    <row r="312" spans="1:30" ht="16.5" customHeight="1" x14ac:dyDescent="0.45">
      <c r="A312" s="6" t="s">
        <v>284</v>
      </c>
      <c r="B312" s="7">
        <v>454.25</v>
      </c>
      <c r="C312" s="8">
        <f>IFERROR(B312/B444, "NA")</f>
        <v>5.993185250312622E-3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-454.25</v>
      </c>
      <c r="I312" s="8">
        <f>IFERROR(H312/H444, "NA")</f>
        <v>1.9679001584717401E-2</v>
      </c>
      <c r="J312" s="9"/>
      <c r="K312" s="7">
        <v>73.87</v>
      </c>
      <c r="L312" s="8">
        <f>IFERROR(K312/K444, "NA")</f>
        <v>8.1805565214772009E-4</v>
      </c>
      <c r="M312" s="9"/>
      <c r="N312" s="10">
        <f t="shared" si="77"/>
        <v>-380.38</v>
      </c>
      <c r="O312" s="8">
        <f>IFERROR(N312/N444, "NA")</f>
        <v>2.6223952193234642E-2</v>
      </c>
      <c r="P312" s="9"/>
      <c r="Q312" s="7">
        <v>3875.18</v>
      </c>
      <c r="R312" s="8">
        <f>IFERROR(Q312/Q444, "NA")</f>
        <v>4.5131034229594818E-3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-3875.18</v>
      </c>
      <c r="X312" s="8">
        <f>IFERROR(W312/W444, "NA")</f>
        <v>4.4043593744849931E-2</v>
      </c>
      <c r="Y312" s="9"/>
      <c r="Z312" s="7">
        <v>405.82</v>
      </c>
      <c r="AA312" s="8">
        <f>IFERROR(Z312/Z444, "NA")</f>
        <v>4.7899323935189013E-4</v>
      </c>
      <c r="AB312" s="9"/>
      <c r="AC312" s="10">
        <f t="shared" si="79"/>
        <v>-3469.3599999999997</v>
      </c>
      <c r="AD312" s="8">
        <f>IFERROR(AC312/AC444, "NA")</f>
        <v>-0.30391687084829494</v>
      </c>
    </row>
    <row r="313" spans="1:30" ht="16.5" customHeight="1" x14ac:dyDescent="0.45">
      <c r="A313" s="6" t="s">
        <v>285</v>
      </c>
      <c r="B313" s="7">
        <v>81</v>
      </c>
      <c r="C313" s="8">
        <f>IFERROR(B313/B444, "NA")</f>
        <v>1.0686802537706601E-3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-81</v>
      </c>
      <c r="I313" s="8">
        <f>IFERROR(H313/H444, "NA")</f>
        <v>3.5090789837360693E-3</v>
      </c>
      <c r="J313" s="9"/>
      <c r="K313" s="7">
        <v>22.5</v>
      </c>
      <c r="L313" s="8">
        <f>IFERROR(K313/K444, "NA")</f>
        <v>2.4917087008695951E-4</v>
      </c>
      <c r="M313" s="9"/>
      <c r="N313" s="10">
        <f t="shared" si="77"/>
        <v>-58.5</v>
      </c>
      <c r="O313" s="8">
        <f>IFERROR(N313/N444, "NA")</f>
        <v>4.0330753543935706E-3</v>
      </c>
      <c r="P313" s="9"/>
      <c r="Q313" s="7">
        <v>280.10000000000002</v>
      </c>
      <c r="R313" s="8">
        <f>IFERROR(Q313/Q444, "NA")</f>
        <v>3.2620943253499219E-4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-280.10000000000002</v>
      </c>
      <c r="X313" s="8">
        <f>IFERROR(W313/W444, "NA")</f>
        <v>3.1834935687974409E-3</v>
      </c>
      <c r="Y313" s="9"/>
      <c r="Z313" s="7">
        <v>22.5</v>
      </c>
      <c r="AA313" s="8">
        <f>IFERROR(Z313/Z444, "NA")</f>
        <v>2.6556965860276793E-5</v>
      </c>
      <c r="AB313" s="9"/>
      <c r="AC313" s="10">
        <f t="shared" si="79"/>
        <v>-257.60000000000002</v>
      </c>
      <c r="AD313" s="8">
        <f>IFERROR(AC313/AC444, "NA")</f>
        <v>-2.2565829412491294E-2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2.0206900245686167E-5</v>
      </c>
      <c r="AB316" s="9"/>
      <c r="AC316" s="10">
        <f t="shared" si="79"/>
        <v>17.12</v>
      </c>
      <c r="AD316" s="8">
        <f>IFERROR(AC316/AC444, "NA")</f>
        <v>1.4997166131283032E-3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5.4696638617987977E-3</v>
      </c>
      <c r="D318" s="9"/>
      <c r="E318" s="7">
        <v>915</v>
      </c>
      <c r="F318" s="8">
        <f>IFERROR(E318/E444, "NA")</f>
        <v>9.2538841029396E-3</v>
      </c>
      <c r="G318" s="9"/>
      <c r="H318" s="10">
        <f t="shared" si="76"/>
        <v>500.43</v>
      </c>
      <c r="I318" s="8">
        <f>IFERROR(H318/H444, "NA")</f>
        <v>-2.1679609825074584E-2</v>
      </c>
      <c r="J318" s="9"/>
      <c r="K318" s="7">
        <v>414.57</v>
      </c>
      <c r="L318" s="8">
        <f>IFERROR(K318/K444, "NA")</f>
        <v>4.5910563383089248E-3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4145.7</v>
      </c>
      <c r="R318" s="8">
        <f>IFERROR(Q318/Q444, "NA")</f>
        <v>4.8281558174234802E-3</v>
      </c>
      <c r="S318" s="9"/>
      <c r="T318" s="7">
        <v>9150</v>
      </c>
      <c r="U318" s="8">
        <f>IFERROR(T318/T444, "NA")</f>
        <v>9.6658067901563803E-3</v>
      </c>
      <c r="V318" s="9"/>
      <c r="W318" s="10">
        <f t="shared" si="78"/>
        <v>5004.3</v>
      </c>
      <c r="X318" s="8">
        <f>IFERROR(W318/W444, "NA")</f>
        <v>-5.6876675709864453E-2</v>
      </c>
      <c r="Y318" s="9"/>
      <c r="Z318" s="7">
        <v>4145.7</v>
      </c>
      <c r="AA318" s="8">
        <f>IFERROR(Z318/Z444, "NA")</f>
        <v>4.8932094829755328E-3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149.51</v>
      </c>
      <c r="C319" s="8">
        <f>IFERROR(B319/B444, "NA")</f>
        <v>1.9725726511265603E-3</v>
      </c>
      <c r="D319" s="9"/>
      <c r="E319" s="7">
        <v>149</v>
      </c>
      <c r="F319" s="8">
        <f>IFERROR(E319/E444, "NA")</f>
        <v>1.5069166462710387E-3</v>
      </c>
      <c r="G319" s="9"/>
      <c r="H319" s="10">
        <f t="shared" si="76"/>
        <v>-0.50999999999999091</v>
      </c>
      <c r="I319" s="8">
        <f>IFERROR(H319/H444, "NA")</f>
        <v>2.2094201008708192E-5</v>
      </c>
      <c r="J319" s="9"/>
      <c r="K319" s="7">
        <v>149.44</v>
      </c>
      <c r="L319" s="8">
        <f>IFERROR(K319/K444, "NA")</f>
        <v>1.6549375478131215E-3</v>
      </c>
      <c r="M319" s="9"/>
      <c r="N319" s="10">
        <f t="shared" si="77"/>
        <v>-6.9999999999993179E-2</v>
      </c>
      <c r="O319" s="8">
        <f>IFERROR(N319/N444, "NA")</f>
        <v>4.8259021334619225E-6</v>
      </c>
      <c r="P319" s="9"/>
      <c r="Q319" s="7">
        <v>1495.46</v>
      </c>
      <c r="R319" s="8">
        <f>IFERROR(Q319/Q444, "NA")</f>
        <v>1.7416392644726147E-3</v>
      </c>
      <c r="S319" s="9"/>
      <c r="T319" s="7">
        <v>1490</v>
      </c>
      <c r="U319" s="8">
        <f>IFERROR(T319/T444, "NA")</f>
        <v>1.5739947669216399E-3</v>
      </c>
      <c r="V319" s="9"/>
      <c r="W319" s="10">
        <f t="shared" si="78"/>
        <v>-5.4600000000000364</v>
      </c>
      <c r="X319" s="8">
        <f>IFERROR(W319/W444, "NA")</f>
        <v>6.2055961748069057E-5</v>
      </c>
      <c r="Y319" s="9"/>
      <c r="Z319" s="7">
        <v>1494.49</v>
      </c>
      <c r="AA319" s="8">
        <f>IFERROR(Z319/Z444, "NA")</f>
        <v>1.7639608848233361E-3</v>
      </c>
      <c r="AB319" s="9"/>
      <c r="AC319" s="10">
        <f t="shared" si="79"/>
        <v>-0.97000000000002728</v>
      </c>
      <c r="AD319" s="8">
        <f>IFERROR(AC319/AC444, "NA")</f>
        <v>-8.4972261374678451E-5</v>
      </c>
    </row>
    <row r="320" spans="1:30" ht="16.5" customHeight="1" x14ac:dyDescent="0.45">
      <c r="A320" s="6" t="s">
        <v>292</v>
      </c>
      <c r="B320" s="7">
        <v>1145.1199999999999</v>
      </c>
      <c r="C320" s="8">
        <f>IFERROR(B320/B444, "NA")</f>
        <v>1.5108236199973559E-2</v>
      </c>
      <c r="D320" s="9"/>
      <c r="E320" s="7">
        <v>800</v>
      </c>
      <c r="F320" s="8">
        <f>IFERROR(E320/E444, "NA")</f>
        <v>8.0908276309854428E-3</v>
      </c>
      <c r="G320" s="9"/>
      <c r="H320" s="10">
        <f t="shared" si="76"/>
        <v>-345.11999999999989</v>
      </c>
      <c r="I320" s="8">
        <f>IFERROR(H320/H444, "NA")</f>
        <v>1.4951275788481381E-2</v>
      </c>
      <c r="J320" s="9"/>
      <c r="K320" s="7">
        <v>577.21</v>
      </c>
      <c r="L320" s="8">
        <f>IFERROR(K320/K444, "NA")</f>
        <v>6.3921741299063969E-3</v>
      </c>
      <c r="M320" s="9"/>
      <c r="N320" s="10">
        <f t="shared" si="77"/>
        <v>-567.90999999999985</v>
      </c>
      <c r="O320" s="8">
        <f>IFERROR(N320/N444, "NA")</f>
        <v>3.9152544008780384E-2</v>
      </c>
      <c r="P320" s="9"/>
      <c r="Q320" s="7">
        <v>11723.75</v>
      </c>
      <c r="R320" s="8">
        <f>IFERROR(Q320/Q444, "NA")</f>
        <v>1.3653687378372418E-2</v>
      </c>
      <c r="S320" s="9"/>
      <c r="T320" s="7">
        <v>8000</v>
      </c>
      <c r="U320" s="8">
        <f>IFERROR(T320/T444, "NA")</f>
        <v>8.4509786143443753E-3</v>
      </c>
      <c r="V320" s="9"/>
      <c r="W320" s="10">
        <f t="shared" si="78"/>
        <v>-3723.75</v>
      </c>
      <c r="X320" s="8">
        <f>IFERROR(W320/W444, "NA")</f>
        <v>4.2322506879005607E-2</v>
      </c>
      <c r="Y320" s="9"/>
      <c r="Z320" s="7">
        <v>6884.1</v>
      </c>
      <c r="AA320" s="8">
        <f>IFERROR(Z320/Z444, "NA")</f>
        <v>8.125369274610288E-3</v>
      </c>
      <c r="AB320" s="9"/>
      <c r="AC320" s="10">
        <f t="shared" si="79"/>
        <v>-4839.6499999999996</v>
      </c>
      <c r="AD320" s="8">
        <f>IFERROR(AC320/AC444, "NA")</f>
        <v>-0.42395464408448552</v>
      </c>
    </row>
    <row r="321" spans="1:30" ht="16.5" customHeight="1" x14ac:dyDescent="0.45">
      <c r="A321" s="6" t="s">
        <v>293</v>
      </c>
      <c r="B321" s="7">
        <v>1199.67</v>
      </c>
      <c r="C321" s="8">
        <f>IFERROR(B321/B444, "NA")</f>
        <v>1.582794617334627E-2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-1199.67</v>
      </c>
      <c r="I321" s="8">
        <f>IFERROR(H321/H444, "NA")</f>
        <v>5.197205906689692E-2</v>
      </c>
      <c r="J321" s="9"/>
      <c r="K321" s="7">
        <v>3175.81</v>
      </c>
      <c r="L321" s="8">
        <f>IFERROR(K321/K444, "NA")</f>
        <v>3.5169748485816311E-2</v>
      </c>
      <c r="M321" s="9"/>
      <c r="N321" s="10">
        <f t="shared" si="77"/>
        <v>1976.1399999999999</v>
      </c>
      <c r="O321" s="8">
        <f>IFERROR(N321/N444, "NA")</f>
        <v>-0.13623797488600531</v>
      </c>
      <c r="P321" s="9"/>
      <c r="Q321" s="7">
        <v>15425.71</v>
      </c>
      <c r="R321" s="8">
        <f>IFERROR(Q321/Q444, "NA")</f>
        <v>1.7965055714206903E-2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-15425.71</v>
      </c>
      <c r="X321" s="8">
        <f>IFERROR(W321/W444, "NA")</f>
        <v>0.17532184426681316</v>
      </c>
      <c r="Y321" s="9"/>
      <c r="Z321" s="7">
        <v>21952.400000000001</v>
      </c>
      <c r="AA321" s="8">
        <f>IFERROR(Z321/Z444, "NA")</f>
        <v>2.5910628326717346E-2</v>
      </c>
      <c r="AB321" s="9"/>
      <c r="AC321" s="10">
        <f t="shared" si="79"/>
        <v>6526.6900000000023</v>
      </c>
      <c r="AD321" s="8">
        <f>IFERROR(AC321/AC444, "NA")</f>
        <v>0.57173980267163371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2.1409227750538895E-3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7.0298548974179259E-3</v>
      </c>
      <c r="J322" s="9"/>
      <c r="K322" s="7">
        <v>162.27000000000001</v>
      </c>
      <c r="L322" s="8">
        <f>IFERROR(K322/K444, "NA")</f>
        <v>1.7970203150671524E-3</v>
      </c>
      <c r="M322" s="9"/>
      <c r="N322" s="10">
        <f t="shared" si="77"/>
        <v>0</v>
      </c>
      <c r="O322" s="8">
        <f>IFERROR(N322/N444, "NA")</f>
        <v>0</v>
      </c>
      <c r="P322" s="9"/>
      <c r="Q322" s="7">
        <v>2675.52</v>
      </c>
      <c r="R322" s="8">
        <f>IFERROR(Q322/Q444, "NA")</f>
        <v>3.1159580897394579E-3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-2675.52</v>
      </c>
      <c r="X322" s="8">
        <f>IFERROR(W322/W444, "NA")</f>
        <v>3.04087851238448E-2</v>
      </c>
      <c r="Y322" s="9"/>
      <c r="Z322" s="7">
        <v>1901.23</v>
      </c>
      <c r="AA322" s="8">
        <f>IFERROR(Z322/Z444, "NA")</f>
        <v>2.2440400090015132E-3</v>
      </c>
      <c r="AB322" s="9"/>
      <c r="AC322" s="10">
        <f t="shared" si="79"/>
        <v>-774.29</v>
      </c>
      <c r="AD322" s="8">
        <f>IFERROR(AC322/AC444, "NA")</f>
        <v>-6.7828012638966928E-2</v>
      </c>
    </row>
    <row r="323" spans="1:30" ht="16.5" customHeight="1" x14ac:dyDescent="0.45">
      <c r="A323" s="6" t="s">
        <v>295</v>
      </c>
      <c r="B323" s="7">
        <v>14.25</v>
      </c>
      <c r="C323" s="8">
        <f>IFERROR(B323/B444, "NA")</f>
        <v>1.8800856316335688E-4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-14.25</v>
      </c>
      <c r="I323" s="8">
        <f>IFERROR(H323/H444, "NA")</f>
        <v>6.173379693609752E-4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-14.25</v>
      </c>
      <c r="O323" s="8">
        <f>IFERROR(N323/N444, "NA")</f>
        <v>9.8241579145484409E-4</v>
      </c>
      <c r="P323" s="9"/>
      <c r="Q323" s="7">
        <v>14.25</v>
      </c>
      <c r="R323" s="8">
        <f>IFERROR(Q323/Q444, "NA")</f>
        <v>1.6595802976164364E-5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-14.25</v>
      </c>
      <c r="X323" s="8">
        <f>IFERROR(W323/W444, "NA")</f>
        <v>1.6195924082600333E-4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-14.25</v>
      </c>
      <c r="AD323" s="8">
        <f>IFERROR(AC323/AC444, "NA")</f>
        <v>-1.2483038397826122E-3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3922.89</v>
      </c>
      <c r="C324" s="15">
        <f>IFERROR(B324/B444, "NA")</f>
        <v>5.1756976305115866E-2</v>
      </c>
      <c r="D324" s="2"/>
      <c r="E324" s="14">
        <f>IFERROR(E297+E298+E299+E300+E301+E302+E303+E304+E305+E306+E307+E308+E309+E310+E311+E312+E313+E314+E315+E316+E317+E318+E319+E320+E321+E322+E323, "NA")</f>
        <v>3149.41</v>
      </c>
      <c r="F324" s="15">
        <f>IFERROR(E324/E444, "NA")</f>
        <v>3.1851666811627329E-2</v>
      </c>
      <c r="G324" s="2"/>
      <c r="H324" s="14">
        <f t="shared" si="76"/>
        <v>-773.48</v>
      </c>
      <c r="I324" s="15">
        <f>IFERROR(H324/H444, "NA")</f>
        <v>3.3508671757286113E-2</v>
      </c>
      <c r="J324" s="2"/>
      <c r="K324" s="14">
        <f>IFERROR(K297+K298+K299+K300+K301+K302+K303+K304+K305+K306+K307+K308+K309+K310+K311+K312+K313+K314+K315+K316+K317+K318+K319+K320+K321+K322+K323, "NA")</f>
        <v>5212.0600000000004</v>
      </c>
      <c r="L324" s="15">
        <f>IFERROR(K324/K444, "NA")</f>
        <v>5.7719712228686153E-2</v>
      </c>
      <c r="M324" s="2"/>
      <c r="N324" s="14">
        <f t="shared" si="77"/>
        <v>1289.1700000000005</v>
      </c>
      <c r="O324" s="15">
        <f>IFERROR(N324/N444, "NA")</f>
        <v>-8.8877260762795923E-2</v>
      </c>
      <c r="P324" s="2"/>
      <c r="Q324" s="14">
        <f>IFERROR(Q297+Q298+Q299+Q300+Q301+Q302+Q303+Q304+Q305+Q306+Q307+Q308+Q309+Q310+Q311+Q312+Q313+Q314+Q315+Q316+Q317+Q318+Q319+Q320+Q321+Q322+Q323, "NA")</f>
        <v>47394.149999999994</v>
      </c>
      <c r="R324" s="15">
        <f>IFERROR(Q324/Q444, "NA")</f>
        <v>5.5196068464756505E-2</v>
      </c>
      <c r="S324" s="2"/>
      <c r="T324" s="14">
        <f>IFERROR(T297+T298+T299+T300+T301+T302+T303+T304+T305+T306+T307+T308+T309+T310+T311+T312+T313+T314+T315+T316+T317+T318+T319+T320+T321+T322+T323, "NA")</f>
        <v>30946.27</v>
      </c>
      <c r="U324" s="15">
        <f>IFERROR(T324/T444, "NA")</f>
        <v>3.2690783245465864E-2</v>
      </c>
      <c r="V324" s="2"/>
      <c r="W324" s="14">
        <f t="shared" si="78"/>
        <v>-16447.879999999994</v>
      </c>
      <c r="X324" s="15">
        <f>IFERROR(W324/W444, "NA")</f>
        <v>0.18693937950857561</v>
      </c>
      <c r="Y324" s="2"/>
      <c r="Z324" s="14">
        <f>IFERROR(Z297+Z298+Z299+Z300+Z301+Z302+Z303+Z304+Z305+Z306+Z307+Z308+Z309+Z310+Z311+Z312+Z313+Z314+Z315+Z316+Z317+Z318+Z319+Z320+Z321+Z322+Z323, "NA")</f>
        <v>42559.15</v>
      </c>
      <c r="AA324" s="15">
        <f>IFERROR(Z324/Z444, "NA")</f>
        <v>5.0232973048551073E-2</v>
      </c>
      <c r="AB324" s="2"/>
      <c r="AC324" s="14">
        <f t="shared" si="79"/>
        <v>-4834.9999999999927</v>
      </c>
      <c r="AD324" s="15">
        <f>IFERROR(AC324/AC444, "NA")</f>
        <v>-0.42354730283150321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19736.469999999998</v>
      </c>
      <c r="C325" s="15">
        <f>IFERROR(B325/B444, "NA")</f>
        <v>0.26039476256959282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21579.13</v>
      </c>
      <c r="F325" s="15">
        <f>IFERROR(E325/E444, "NA")</f>
        <v>0.21824127657078363</v>
      </c>
      <c r="G325" s="2"/>
      <c r="H325" s="14">
        <f t="shared" si="76"/>
        <v>1842.6600000000035</v>
      </c>
      <c r="I325" s="15">
        <f>IFERROR(H325/H444, "NA")</f>
        <v>-7.9827647903347135E-2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29189</v>
      </c>
      <c r="L325" s="15">
        <f>IFERROR(K325/K444, "NA")</f>
        <v>0.32324660119858944</v>
      </c>
      <c r="M325" s="2"/>
      <c r="N325" s="14">
        <f t="shared" si="77"/>
        <v>9452.5300000000025</v>
      </c>
      <c r="O325" s="15">
        <f>IFERROR(N325/N444, "NA")</f>
        <v>-0.65167120990881833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227047.35999999996</v>
      </c>
      <c r="R325" s="15">
        <f>IFERROR(Q325/Q444, "NA")</f>
        <v>0.26442338616268496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207379.56</v>
      </c>
      <c r="U325" s="15">
        <f>IFERROR(T325/T444, "NA")</f>
        <v>0.21907002832651828</v>
      </c>
      <c r="V325" s="2"/>
      <c r="W325" s="14">
        <f t="shared" si="78"/>
        <v>-19667.799999999959</v>
      </c>
      <c r="X325" s="15">
        <f>IFERROR(W325/W444, "NA")</f>
        <v>0.22353557591001133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221459.47999999998</v>
      </c>
      <c r="AA325" s="15">
        <f>IFERROR(Z325/Z444, "NA")</f>
        <v>0.26139074887976227</v>
      </c>
      <c r="AB325" s="2"/>
      <c r="AC325" s="14">
        <f t="shared" si="79"/>
        <v>-5587.8799999999756</v>
      </c>
      <c r="AD325" s="15">
        <f>IFERROR(AC325/AC444, "NA")</f>
        <v>-0.48949979370136371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6.0660929920698652E-2</v>
      </c>
      <c r="D329" s="9"/>
      <c r="E329" s="7">
        <v>4746.12</v>
      </c>
      <c r="F329" s="8">
        <f>IFERROR(E329/E444, "NA")</f>
        <v>4.8000048544965784E-2</v>
      </c>
      <c r="G329" s="9"/>
      <c r="H329" s="10">
        <f t="shared" si="80"/>
        <v>148.35999999999967</v>
      </c>
      <c r="I329" s="8">
        <f>IFERROR(H329/H444, "NA")</f>
        <v>-6.4272463953960754E-3</v>
      </c>
      <c r="J329" s="9"/>
      <c r="K329" s="7">
        <v>6377.92</v>
      </c>
      <c r="L329" s="8">
        <f>IFERROR(K329/K444, "NA")</f>
        <v>7.0630750033112047E-2</v>
      </c>
      <c r="M329" s="9"/>
      <c r="N329" s="10">
        <f t="shared" si="81"/>
        <v>1780.1599999999999</v>
      </c>
      <c r="O329" s="8">
        <f>IFERROR(N329/N444, "NA")</f>
        <v>-0.1227268277414916</v>
      </c>
      <c r="P329" s="9"/>
      <c r="Q329" s="7">
        <v>45977.599999999999</v>
      </c>
      <c r="R329" s="8">
        <f>IFERROR(Q329/Q444, "NA")</f>
        <v>5.35463291871505E-2</v>
      </c>
      <c r="S329" s="9"/>
      <c r="T329" s="7">
        <v>48993.53</v>
      </c>
      <c r="U329" s="8">
        <f>IFERROR(T329/T444, "NA")</f>
        <v>5.175540928390495E-2</v>
      </c>
      <c r="V329" s="9"/>
      <c r="W329" s="10">
        <f t="shared" si="82"/>
        <v>3015.9300000000003</v>
      </c>
      <c r="X329" s="8">
        <f>IFERROR(W329/W444, "NA")</f>
        <v>-3.4277735662060931E-2</v>
      </c>
      <c r="Y329" s="9"/>
      <c r="Z329" s="7">
        <v>63779.199999999997</v>
      </c>
      <c r="AA329" s="8">
        <f>IFERROR(Z329/Z444, "NA")</f>
        <v>7.5279201644256249E-2</v>
      </c>
      <c r="AB329" s="9"/>
      <c r="AC329" s="10">
        <f t="shared" si="83"/>
        <v>17801.599999999999</v>
      </c>
      <c r="AD329" s="8">
        <f>IFERROR(AC329/AC444, "NA")</f>
        <v>1.5594249567911682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2.2244645450153189E-2</v>
      </c>
      <c r="D330" s="9"/>
      <c r="E330" s="7">
        <v>1686</v>
      </c>
      <c r="F330" s="8">
        <f>IFERROR(E330/E444, "NA")</f>
        <v>1.7051419232301822E-2</v>
      </c>
      <c r="G330" s="9"/>
      <c r="H330" s="10">
        <f t="shared" si="80"/>
        <v>-1.999999999998181E-2</v>
      </c>
      <c r="I330" s="8">
        <f>IFERROR(H330/H444, "NA")</f>
        <v>8.6643925524268592E-7</v>
      </c>
      <c r="J330" s="9"/>
      <c r="K330" s="7">
        <v>1636.91</v>
      </c>
      <c r="L330" s="8">
        <f>IFERROR(K330/K444, "NA")</f>
        <v>1.8127568397957552E-2</v>
      </c>
      <c r="M330" s="9"/>
      <c r="N330" s="10">
        <f t="shared" si="81"/>
        <v>-49.1099999999999</v>
      </c>
      <c r="O330" s="8">
        <f>IFERROR(N330/N444, "NA")</f>
        <v>3.3857150539191088E-3</v>
      </c>
      <c r="P330" s="9"/>
      <c r="Q330" s="7">
        <v>18111.310000000001</v>
      </c>
      <c r="R330" s="8">
        <f>IFERROR(Q330/Q444, "NA")</f>
        <v>2.1092753150893713E-2</v>
      </c>
      <c r="S330" s="9"/>
      <c r="T330" s="7">
        <v>16860</v>
      </c>
      <c r="U330" s="8">
        <f>IFERROR(T330/T444, "NA")</f>
        <v>1.7810437429730774E-2</v>
      </c>
      <c r="V330" s="9"/>
      <c r="W330" s="10">
        <f t="shared" si="82"/>
        <v>-1251.3100000000013</v>
      </c>
      <c r="X330" s="8">
        <f>IFERROR(W330/W444, "NA")</f>
        <v>1.4221839834244661E-2</v>
      </c>
      <c r="Y330" s="9"/>
      <c r="Z330" s="7">
        <v>14867.92</v>
      </c>
      <c r="AA330" s="8">
        <f>IFERROR(Z330/Z444, "NA")</f>
        <v>1.7548748615703401E-2</v>
      </c>
      <c r="AB330" s="9"/>
      <c r="AC330" s="10">
        <f t="shared" si="83"/>
        <v>-3243.3900000000012</v>
      </c>
      <c r="AD330" s="8">
        <f>IFERROR(AC330/AC444, "NA")</f>
        <v>-0.28412183795877388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2.5252122781597906E-2</v>
      </c>
      <c r="D333" s="9"/>
      <c r="E333" s="7">
        <v>1686</v>
      </c>
      <c r="F333" s="8">
        <f>IFERROR(E333/E444, "NA")</f>
        <v>1.7051419232301822E-2</v>
      </c>
      <c r="G333" s="9"/>
      <c r="H333" s="10">
        <f t="shared" si="80"/>
        <v>-227.97000000000003</v>
      </c>
      <c r="I333" s="8">
        <f>IFERROR(H333/H444, "NA")</f>
        <v>9.8761078508927385E-3</v>
      </c>
      <c r="J333" s="9"/>
      <c r="K333" s="7">
        <v>1853.78</v>
      </c>
      <c r="L333" s="8">
        <f>IFERROR(K333/K444, "NA")</f>
        <v>2.052924335776906E-2</v>
      </c>
      <c r="M333" s="9"/>
      <c r="N333" s="10">
        <f t="shared" si="81"/>
        <v>-60.190000000000055</v>
      </c>
      <c r="O333" s="8">
        <f>IFERROR(N333/N444, "NA")</f>
        <v>4.1495864201871666E-3</v>
      </c>
      <c r="P333" s="9"/>
      <c r="Q333" s="7">
        <v>18380.96</v>
      </c>
      <c r="R333" s="8">
        <f>IFERROR(Q333/Q444, "NA")</f>
        <v>2.1406792327912851E-2</v>
      </c>
      <c r="S333" s="9"/>
      <c r="T333" s="7">
        <v>16860</v>
      </c>
      <c r="U333" s="8">
        <f>IFERROR(T333/T444, "NA")</f>
        <v>1.7810437429730774E-2</v>
      </c>
      <c r="V333" s="9"/>
      <c r="W333" s="10">
        <f t="shared" si="82"/>
        <v>-1520.9599999999991</v>
      </c>
      <c r="X333" s="8">
        <f>IFERROR(W333/W444, "NA")</f>
        <v>1.7286563293103008E-2</v>
      </c>
      <c r="Y333" s="9"/>
      <c r="Z333" s="7">
        <v>18748.62</v>
      </c>
      <c r="AA333" s="8">
        <f>IFERROR(Z333/Z444, "NA")</f>
        <v>2.2129176056324563E-2</v>
      </c>
      <c r="AB333" s="9"/>
      <c r="AC333" s="10">
        <f t="shared" si="83"/>
        <v>367.65999999999985</v>
      </c>
      <c r="AD333" s="8">
        <f>IFERROR(AC333/AC444, "NA")</f>
        <v>3.2207115069085968E-2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-4.6709243239805775E-3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-1.5337274476692352E-2</v>
      </c>
      <c r="J334" s="9"/>
      <c r="K334" s="7">
        <v>-491.1</v>
      </c>
      <c r="L334" s="8">
        <f>IFERROR(K334/K444, "NA")</f>
        <v>-5.4385695244313706E-3</v>
      </c>
      <c r="M334" s="9"/>
      <c r="N334" s="10">
        <f t="shared" si="81"/>
        <v>-137.07000000000005</v>
      </c>
      <c r="O334" s="8">
        <f>IFERROR(N334/N444, "NA")</f>
        <v>9.4498057919098627E-3</v>
      </c>
      <c r="P334" s="9"/>
      <c r="Q334" s="7">
        <v>-354.03</v>
      </c>
      <c r="R334" s="8">
        <f>IFERROR(Q334/Q444, "NA")</f>
        <v>-4.1230962299308553E-4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354.03</v>
      </c>
      <c r="X334" s="8">
        <f>IFERROR(W334/W444, "NA")</f>
        <v>-4.0237494757635051E-3</v>
      </c>
      <c r="Y334" s="9"/>
      <c r="Z334" s="7">
        <v>-491.1</v>
      </c>
      <c r="AA334" s="8">
        <f>IFERROR(Z334/Z444, "NA")</f>
        <v>-5.7965004151030813E-4</v>
      </c>
      <c r="AB334" s="9"/>
      <c r="AC334" s="10">
        <f t="shared" si="83"/>
        <v>-137.07000000000005</v>
      </c>
      <c r="AD334" s="8">
        <f>IFERROR(AC334/AC444, "NA")</f>
        <v>-1.2007368934666857E-2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2120.91</v>
      </c>
      <c r="F337" s="8">
        <f>IFERROR(E337/E444, "NA")</f>
        <v>2.1449896538541669E-2</v>
      </c>
      <c r="G337" s="9"/>
      <c r="H337" s="10">
        <f t="shared" ref="H337:H344" si="84">IFERROR(-(B337-E337), "NA")</f>
        <v>2120.91</v>
      </c>
      <c r="I337" s="8">
        <f>IFERROR(H337/H444, "NA")</f>
        <v>-9.1881984041921813E-2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28568.62</v>
      </c>
      <c r="U337" s="8">
        <f>IFERROR(T337/T444, "NA")</f>
        <v>3.0179099582666378E-2</v>
      </c>
      <c r="V337" s="9"/>
      <c r="W337" s="10">
        <f t="shared" ref="W337:W344" si="86">IFERROR(-(Q337-T337), "NA")</f>
        <v>28568.62</v>
      </c>
      <c r="X337" s="8">
        <f>IFERROR(W337/W444, "NA")</f>
        <v>-0.32469838643133858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2281.5700000000002</v>
      </c>
      <c r="C338" s="8">
        <f>IFERROR(B338/B444, "NA")</f>
        <v>3.0102084032043522E-2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-2281.5700000000002</v>
      </c>
      <c r="I338" s="8">
        <f>IFERROR(H338/H444, "NA")</f>
        <v>9.8842090579292649E-2</v>
      </c>
      <c r="J338" s="9"/>
      <c r="K338" s="7">
        <v>2072.16</v>
      </c>
      <c r="L338" s="8">
        <f>IFERROR(K338/K444, "NA")</f>
        <v>2.2947640451528625E-2</v>
      </c>
      <c r="M338" s="9"/>
      <c r="N338" s="10">
        <f t="shared" si="85"/>
        <v>-209.41000000000031</v>
      </c>
      <c r="O338" s="8">
        <f>IFERROR(N338/N444, "NA")</f>
        <v>1.4437030939548016E-2</v>
      </c>
      <c r="P338" s="9"/>
      <c r="Q338" s="7">
        <v>26202.59</v>
      </c>
      <c r="R338" s="8">
        <f>IFERROR(Q338/Q444, "NA")</f>
        <v>3.051600148106769E-2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-26202.59</v>
      </c>
      <c r="X338" s="8">
        <f>IFERROR(W338/W444, "NA")</f>
        <v>0.29780712870701942</v>
      </c>
      <c r="Y338" s="9"/>
      <c r="Z338" s="7">
        <v>22138.69</v>
      </c>
      <c r="AA338" s="8">
        <f>IFERROR(Z338/Z444, "NA")</f>
        <v>2.6130508200944497E-2</v>
      </c>
      <c r="AB338" s="9"/>
      <c r="AC338" s="10">
        <f t="shared" si="87"/>
        <v>-4063.9000000000015</v>
      </c>
      <c r="AD338" s="8">
        <f>IFERROR(AC338/AC444, "NA")</f>
        <v>-0.35599873505210944</v>
      </c>
    </row>
    <row r="339" spans="1:30" ht="16.5" customHeight="1" x14ac:dyDescent="0.45">
      <c r="A339" s="12" t="s">
        <v>309</v>
      </c>
      <c r="B339" s="7">
        <v>376.75</v>
      </c>
      <c r="C339" s="8">
        <f>IFERROR(B339/B444, "NA")</f>
        <v>4.970682538371558E-3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-376.75</v>
      </c>
      <c r="I339" s="8">
        <f>IFERROR(H339/H444, "NA")</f>
        <v>1.6321549470648941E-2</v>
      </c>
      <c r="J339" s="9"/>
      <c r="K339" s="7">
        <v>253.16</v>
      </c>
      <c r="L339" s="8">
        <f>IFERROR(K339/K444, "NA")</f>
        <v>2.8035598876095412E-3</v>
      </c>
      <c r="M339" s="9"/>
      <c r="N339" s="10">
        <f t="shared" si="85"/>
        <v>-123.59</v>
      </c>
      <c r="O339" s="8">
        <f>IFERROR(N339/N444, "NA")</f>
        <v>8.5204749239231013E-3</v>
      </c>
      <c r="P339" s="9"/>
      <c r="Q339" s="7">
        <v>3316.41</v>
      </c>
      <c r="R339" s="8">
        <f>IFERROR(Q339/Q444, "NA")</f>
        <v>3.8623499612758776E-3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-3316.41</v>
      </c>
      <c r="X339" s="8">
        <f>IFERROR(W339/W444, "NA")</f>
        <v>3.7692859359141448E-2</v>
      </c>
      <c r="Y339" s="9"/>
      <c r="Z339" s="7">
        <v>3102.24</v>
      </c>
      <c r="AA339" s="8">
        <f>IFERROR(Z339/Z444, "NA")</f>
        <v>3.6616036342393367E-3</v>
      </c>
      <c r="AB339" s="9"/>
      <c r="AC339" s="10">
        <f t="shared" si="87"/>
        <v>-214.17000000000007</v>
      </c>
      <c r="AD339" s="8">
        <f>IFERROR(AC339/AC444, "NA")</f>
        <v>-1.876134970991173E-2</v>
      </c>
    </row>
    <row r="340" spans="1:30" ht="16.5" customHeight="1" x14ac:dyDescent="0.45">
      <c r="A340" s="12" t="s">
        <v>310</v>
      </c>
      <c r="B340" s="7">
        <v>349.39</v>
      </c>
      <c r="C340" s="8">
        <f>IFERROR(B340/B444, "NA")</f>
        <v>4.6097060970979129E-3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-349.39</v>
      </c>
      <c r="I340" s="8">
        <f>IFERROR(H340/H444, "NA")</f>
        <v>1.5136260569475868E-2</v>
      </c>
      <c r="J340" s="9"/>
      <c r="K340" s="7">
        <v>390.07</v>
      </c>
      <c r="L340" s="8">
        <f>IFERROR(K340/K444, "NA")</f>
        <v>4.3197369464364581E-3</v>
      </c>
      <c r="M340" s="9"/>
      <c r="N340" s="10">
        <f t="shared" si="85"/>
        <v>40.680000000000007</v>
      </c>
      <c r="O340" s="8">
        <f>IFERROR(N340/N444, "NA")</f>
        <v>-2.8045385541321452E-3</v>
      </c>
      <c r="P340" s="9"/>
      <c r="Q340" s="7">
        <v>3937.2</v>
      </c>
      <c r="R340" s="8">
        <f>IFERROR(Q340/Q444, "NA")</f>
        <v>4.5853330159827599E-3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-3937.2</v>
      </c>
      <c r="X340" s="8">
        <f>IFERROR(W340/W444, "NA")</f>
        <v>4.474848582316774E-2</v>
      </c>
      <c r="Y340" s="9"/>
      <c r="Z340" s="7">
        <v>3678.29</v>
      </c>
      <c r="AA340" s="8">
        <f>IFERROR(Z340/Z444, "NA")</f>
        <v>4.3415209757421119E-3</v>
      </c>
      <c r="AB340" s="9"/>
      <c r="AC340" s="10">
        <f t="shared" si="87"/>
        <v>-258.90999999999985</v>
      </c>
      <c r="AD340" s="8">
        <f>IFERROR(AC340/AC444, "NA")</f>
        <v>-2.268058576548182E-2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3007.71</v>
      </c>
      <c r="C342" s="15">
        <f>IFERROR(B342/B444, "NA")</f>
        <v>3.9682472667512993E-2</v>
      </c>
      <c r="D342" s="2"/>
      <c r="E342" s="14">
        <f>IFERROR(E337+E338+E339+E340+E341, "NA")</f>
        <v>2120.91</v>
      </c>
      <c r="F342" s="15">
        <f>IFERROR(E342/E444, "NA")</f>
        <v>2.1449896538541669E-2</v>
      </c>
      <c r="G342" s="2"/>
      <c r="H342" s="14">
        <f t="shared" si="84"/>
        <v>-886.80000000000018</v>
      </c>
      <c r="I342" s="15">
        <f>IFERROR(H342/H444, "NA")</f>
        <v>3.8417916577495638E-2</v>
      </c>
      <c r="J342" s="2"/>
      <c r="K342" s="14">
        <f>IFERROR(K337+K338+K339+K340+K341, "NA")</f>
        <v>2715.39</v>
      </c>
      <c r="L342" s="15">
        <f>IFERROR(K342/K444, "NA")</f>
        <v>3.0070937285574622E-2</v>
      </c>
      <c r="M342" s="2"/>
      <c r="N342" s="14">
        <f t="shared" si="85"/>
        <v>-292.32000000000016</v>
      </c>
      <c r="O342" s="15">
        <f>IFERROR(N342/N444, "NA")</f>
        <v>2.0152967309338961E-2</v>
      </c>
      <c r="P342" s="2"/>
      <c r="Q342" s="14">
        <f>IFERROR(Q337+Q338+Q339+Q340+Q341, "NA")</f>
        <v>33456.199999999997</v>
      </c>
      <c r="R342" s="15">
        <f>IFERROR(Q342/Q444, "NA")</f>
        <v>3.8963684458326327E-2</v>
      </c>
      <c r="S342" s="2"/>
      <c r="T342" s="14">
        <f>IFERROR(T337+T338+T339+T340+T341, "NA")</f>
        <v>28568.62</v>
      </c>
      <c r="U342" s="15">
        <f>IFERROR(T342/T444, "NA")</f>
        <v>3.0179099582666378E-2</v>
      </c>
      <c r="V342" s="2"/>
      <c r="W342" s="14">
        <f t="shared" si="86"/>
        <v>-4887.5799999999981</v>
      </c>
      <c r="X342" s="15">
        <f>IFERROR(W342/W444, "NA")</f>
        <v>5.5550087457989963E-2</v>
      </c>
      <c r="Y342" s="2"/>
      <c r="Z342" s="14">
        <f>IFERROR(Z337+Z338+Z339+Z340+Z341, "NA")</f>
        <v>28919.22</v>
      </c>
      <c r="AA342" s="15">
        <f>IFERROR(Z342/Z444, "NA")</f>
        <v>3.4133632810925948E-2</v>
      </c>
      <c r="AB342" s="2"/>
      <c r="AC342" s="14">
        <f t="shared" si="87"/>
        <v>-4536.9799999999959</v>
      </c>
      <c r="AD342" s="15">
        <f>IFERROR(AC342/AC444, "NA")</f>
        <v>-0.39744067052750254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10851.43</v>
      </c>
      <c r="C343" s="15">
        <f>IFERROR(B343/B444, "NA")</f>
        <v>0.14316924649598217</v>
      </c>
      <c r="D343" s="2"/>
      <c r="E343" s="14">
        <f>IFERROR(E328+E329+E330+E331+E332+E333+E334+E335+E337+E338+E339+E340+E341, "NA")</f>
        <v>10239.029999999999</v>
      </c>
      <c r="F343" s="15">
        <f>IFERROR(E343/E444, "NA")</f>
        <v>0.10355278354811109</v>
      </c>
      <c r="G343" s="2"/>
      <c r="H343" s="14">
        <f t="shared" si="84"/>
        <v>-612.40000000000146</v>
      </c>
      <c r="I343" s="15">
        <f>IFERROR(H343/H444, "NA")</f>
        <v>2.6530369995555234E-2</v>
      </c>
      <c r="J343" s="2"/>
      <c r="K343" s="14">
        <f>IFERROR(K328+K329+K330+K331+K332+K333+K334+K335+K337+K338+K339+K340+K341, "NA")</f>
        <v>12092.9</v>
      </c>
      <c r="L343" s="15">
        <f>IFERROR(K343/K444, "NA")</f>
        <v>0.13391992954998191</v>
      </c>
      <c r="M343" s="2"/>
      <c r="N343" s="14">
        <f t="shared" si="85"/>
        <v>1241.4699999999993</v>
      </c>
      <c r="O343" s="15">
        <f>IFERROR(N343/N444, "NA")</f>
        <v>-8.5588753166136469E-2</v>
      </c>
      <c r="P343" s="2"/>
      <c r="Q343" s="14">
        <f>IFERROR(Q328+Q329+Q330+Q331+Q332+Q333+Q334+Q335+Q337+Q338+Q339+Q340+Q341, "NA")</f>
        <v>115572.04</v>
      </c>
      <c r="R343" s="15">
        <f>IFERROR(Q343/Q444, "NA")</f>
        <v>0.13459724950129029</v>
      </c>
      <c r="S343" s="2"/>
      <c r="T343" s="14">
        <f>IFERROR(T328+T329+T330+T331+T332+T333+T334+T335+T337+T338+T339+T340+T341, "NA")</f>
        <v>111282.15</v>
      </c>
      <c r="U343" s="15">
        <f>IFERROR(T343/T444, "NA")</f>
        <v>0.11755538372603287</v>
      </c>
      <c r="V343" s="2"/>
      <c r="W343" s="14">
        <f t="shared" si="86"/>
        <v>-4289.8899999999994</v>
      </c>
      <c r="X343" s="15">
        <f>IFERROR(W343/W444, "NA")</f>
        <v>4.8757005447513213E-2</v>
      </c>
      <c r="Y343" s="2"/>
      <c r="Z343" s="14">
        <f>IFERROR(Z328+Z329+Z330+Z331+Z332+Z333+Z334+Z335+Z337+Z338+Z339+Z340+Z341, "NA")</f>
        <v>125823.85999999999</v>
      </c>
      <c r="AA343" s="15">
        <f>IFERROR(Z343/Z444, "NA")</f>
        <v>0.14851110908569984</v>
      </c>
      <c r="AB343" s="2"/>
      <c r="AC343" s="14">
        <f t="shared" si="87"/>
        <v>10251.819999999992</v>
      </c>
      <c r="AD343" s="15">
        <f>IFERROR(AC343/AC444, "NA")</f>
        <v>0.89806219443931012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10851.43</v>
      </c>
      <c r="C344" s="15">
        <f>IFERROR(B344/B444, "NA")</f>
        <v>0.14316924649598217</v>
      </c>
      <c r="D344" s="2"/>
      <c r="E344" s="14">
        <f>IFERROR(E328+E329+E330+E331+E332+E333+E334+E335+E337+E338+E339+E340+E341, "NA")</f>
        <v>10239.029999999999</v>
      </c>
      <c r="F344" s="15">
        <f>IFERROR(E344/E444, "NA")</f>
        <v>0.10355278354811109</v>
      </c>
      <c r="G344" s="2"/>
      <c r="H344" s="14">
        <f t="shared" si="84"/>
        <v>-612.40000000000146</v>
      </c>
      <c r="I344" s="15">
        <f>IFERROR(H344/H444, "NA")</f>
        <v>2.6530369995555234E-2</v>
      </c>
      <c r="J344" s="2"/>
      <c r="K344" s="14">
        <f>IFERROR(K328+K329+K330+K331+K332+K333+K334+K335+K337+K338+K339+K340+K341, "NA")</f>
        <v>12092.9</v>
      </c>
      <c r="L344" s="15">
        <f>IFERROR(K344/K444, "NA")</f>
        <v>0.13391992954998191</v>
      </c>
      <c r="M344" s="2"/>
      <c r="N344" s="14">
        <f t="shared" si="85"/>
        <v>1241.4699999999993</v>
      </c>
      <c r="O344" s="15">
        <f>IFERROR(N344/N444, "NA")</f>
        <v>-8.5588753166136469E-2</v>
      </c>
      <c r="P344" s="2"/>
      <c r="Q344" s="14">
        <f>IFERROR(Q328+Q329+Q330+Q331+Q332+Q333+Q334+Q335+Q337+Q338+Q339+Q340+Q341, "NA")</f>
        <v>115572.04</v>
      </c>
      <c r="R344" s="15">
        <f>IFERROR(Q344/Q444, "NA")</f>
        <v>0.13459724950129029</v>
      </c>
      <c r="S344" s="2"/>
      <c r="T344" s="14">
        <f>IFERROR(T328+T329+T330+T331+T332+T333+T334+T335+T337+T338+T339+T340+T341, "NA")</f>
        <v>111282.15</v>
      </c>
      <c r="U344" s="15">
        <f>IFERROR(T344/T444, "NA")</f>
        <v>0.11755538372603287</v>
      </c>
      <c r="V344" s="2"/>
      <c r="W344" s="14">
        <f t="shared" si="86"/>
        <v>-4289.8899999999994</v>
      </c>
      <c r="X344" s="15">
        <f>IFERROR(W344/W444, "NA")</f>
        <v>4.8757005447513213E-2</v>
      </c>
      <c r="Y344" s="2"/>
      <c r="Z344" s="14">
        <f>IFERROR(Z328+Z329+Z330+Z331+Z332+Z333+Z334+Z335+Z337+Z338+Z339+Z340+Z341, "NA")</f>
        <v>125823.85999999999</v>
      </c>
      <c r="AA344" s="15">
        <f>IFERROR(Z344/Z444, "NA")</f>
        <v>0.14851110908569984</v>
      </c>
      <c r="AB344" s="2"/>
      <c r="AC344" s="14">
        <f t="shared" si="87"/>
        <v>10251.819999999992</v>
      </c>
      <c r="AD344" s="15">
        <f>IFERROR(AC344/AC444, "NA")</f>
        <v>0.89806219443931012</v>
      </c>
    </row>
    <row r="345" spans="1:30" ht="16.5" customHeight="1" x14ac:dyDescent="0.45">
      <c r="A345" s="22" t="s">
        <v>315</v>
      </c>
      <c r="B345" s="23">
        <f>IFERROR(B198-B325-B344, "NA")</f>
        <v>-4260.9900000000016</v>
      </c>
      <c r="C345" s="24">
        <f>IFERROR(B345/B444, "NA")</f>
        <v>-5.6217726845854903E-2</v>
      </c>
      <c r="D345" s="25"/>
      <c r="E345" s="23">
        <f>IFERROR(E198-E325-E344, "NA")</f>
        <v>14036.549999999992</v>
      </c>
      <c r="F345" s="24">
        <f>IFERROR(E345/E444, "NA")</f>
        <v>0.14195913322963583</v>
      </c>
      <c r="G345" s="25"/>
      <c r="H345" s="23">
        <f>IFERROR(B345-E345, "NA")</f>
        <v>-18297.539999999994</v>
      </c>
      <c r="I345" s="24">
        <f>IFERROR(H345/H444, "NA")</f>
        <v>0.79268534651938338</v>
      </c>
      <c r="J345" s="25"/>
      <c r="K345" s="23">
        <f>IFERROR(K198-K325-K344, "NA")</f>
        <v>-2045.0199999999804</v>
      </c>
      <c r="L345" s="24">
        <f>IFERROR(K345/K444, "NA")</f>
        <v>-2.2647085010899071E-2</v>
      </c>
      <c r="M345" s="25"/>
      <c r="N345" s="23">
        <f>IFERROR(B345-K345, "NA")</f>
        <v>-2215.9700000000212</v>
      </c>
      <c r="O345" s="24">
        <f>IFERROR(N345/N444, "NA")</f>
        <v>0.15277220500983943</v>
      </c>
      <c r="P345" s="25"/>
      <c r="Q345" s="23">
        <f>IFERROR(Q198-Q325-Q344, "NA")</f>
        <v>2181.2000000000262</v>
      </c>
      <c r="R345" s="24">
        <f>IFERROR(Q345/Q444, "NA")</f>
        <v>2.5402642422182558E-3</v>
      </c>
      <c r="S345" s="25"/>
      <c r="T345" s="23">
        <f>IFERROR(T198-T325-T344, "NA")</f>
        <v>111691.00000000009</v>
      </c>
      <c r="U345" s="24">
        <f>IFERROR(T345/T444, "NA")</f>
        <v>0.11798728155184231</v>
      </c>
      <c r="V345" s="25"/>
      <c r="W345" s="23">
        <f>IFERROR(Q345-T345, "NA")</f>
        <v>-109509.80000000006</v>
      </c>
      <c r="X345" s="24">
        <f>IFERROR(W345/W444, "NA")</f>
        <v>1.2446402856847347</v>
      </c>
      <c r="Y345" s="25"/>
      <c r="Z345" s="23">
        <f>IFERROR(Z198-Z325-Z344, "NA")</f>
        <v>-245.03000000026077</v>
      </c>
      <c r="AA345" s="24">
        <f>IFERROR(Z345/Z444, "NA")</f>
        <v>-2.8921125976669101E-4</v>
      </c>
      <c r="AB345" s="25"/>
      <c r="AC345" s="23">
        <f>IFERROR(Q345-Z345, "NA")</f>
        <v>2426.230000000287</v>
      </c>
      <c r="AD345" s="24">
        <f>IFERROR(AC345/AC444, "NA")</f>
        <v>0.21253840176814914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-4260.9900000000016</v>
      </c>
      <c r="C404" s="24">
        <f>IFERROR(B404/B444, "NA")</f>
        <v>-5.6217726845854903E-2</v>
      </c>
      <c r="D404" s="25"/>
      <c r="E404" s="23">
        <f>IFERROR(E345-E403, "NA")</f>
        <v>14036.549999999992</v>
      </c>
      <c r="F404" s="24">
        <f>IFERROR(E404/E444, "NA")</f>
        <v>0.14195913322963583</v>
      </c>
      <c r="G404" s="25"/>
      <c r="H404" s="23">
        <f>IFERROR(B404-E404, "NA")</f>
        <v>-18297.539999999994</v>
      </c>
      <c r="I404" s="24">
        <f>IFERROR(H404/H444, "NA")</f>
        <v>0.79268534651938338</v>
      </c>
      <c r="J404" s="25"/>
      <c r="K404" s="23">
        <f>IFERROR(K345-K403, "NA")</f>
        <v>-2045.0199999999804</v>
      </c>
      <c r="L404" s="24">
        <f>IFERROR(K404/K444, "NA")</f>
        <v>-2.2647085010899071E-2</v>
      </c>
      <c r="M404" s="25"/>
      <c r="N404" s="23">
        <f>IFERROR(B404-K404, "NA")</f>
        <v>-2215.9700000000212</v>
      </c>
      <c r="O404" s="24">
        <f>IFERROR(N404/N444, "NA")</f>
        <v>0.15277220500983943</v>
      </c>
      <c r="P404" s="25"/>
      <c r="Q404" s="23">
        <f>IFERROR(Q345-Q403, "NA")</f>
        <v>2181.2000000000262</v>
      </c>
      <c r="R404" s="24">
        <f>IFERROR(Q404/Q444, "NA")</f>
        <v>2.5402642422182558E-3</v>
      </c>
      <c r="S404" s="25"/>
      <c r="T404" s="23">
        <f>IFERROR(T345-T403, "NA")</f>
        <v>111691.00000000009</v>
      </c>
      <c r="U404" s="24">
        <f>IFERROR(T404/T444, "NA")</f>
        <v>0.11798728155184231</v>
      </c>
      <c r="V404" s="25"/>
      <c r="W404" s="23">
        <f>IFERROR(Q404-T404, "NA")</f>
        <v>-109509.80000000006</v>
      </c>
      <c r="X404" s="24">
        <f>IFERROR(W404/W444, "NA")</f>
        <v>1.2446402856847347</v>
      </c>
      <c r="Y404" s="25"/>
      <c r="Z404" s="23">
        <f>IFERROR(Z345-Z403, "NA")</f>
        <v>-245.03000000026077</v>
      </c>
      <c r="AA404" s="24">
        <f>IFERROR(Z404/Z444, "NA")</f>
        <v>-2.8921125976669101E-4</v>
      </c>
      <c r="AB404" s="25"/>
      <c r="AC404" s="23">
        <f>IFERROR(Q404-Z404, "NA")</f>
        <v>2426.230000000287</v>
      </c>
      <c r="AD404" s="24">
        <f>IFERROR(AC404/AC444, "NA")</f>
        <v>0.21253840176814914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-6.9518252154118124E-2</v>
      </c>
      <c r="AB407" s="9"/>
      <c r="AC407" s="10">
        <f t="shared" ref="AC407:AC429" si="103">IFERROR(-(Q407-Z407), "NA")</f>
        <v>-58898.32</v>
      </c>
      <c r="AD407" s="8">
        <f>IFERROR(AC407/AC444, "NA")</f>
        <v>-5.1595087026487736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-1736.85</v>
      </c>
      <c r="L408" s="8">
        <f>IFERROR(K408/K444, "NA")</f>
        <v>-1.9234330031579362E-2</v>
      </c>
      <c r="M408" s="9"/>
      <c r="N408" s="10">
        <f t="shared" si="101"/>
        <v>-1736.85</v>
      </c>
      <c r="O408" s="8">
        <f>IFERROR(N408/N444, "NA")</f>
        <v>0.11974097315005937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2284.3200000000002</v>
      </c>
      <c r="AA408" s="8">
        <f>IFERROR(Z408/Z444, "NA")</f>
        <v>2.6962048112865551E-3</v>
      </c>
      <c r="AB408" s="9"/>
      <c r="AC408" s="10">
        <f t="shared" si="103"/>
        <v>2284.3200000000002</v>
      </c>
      <c r="AD408" s="8">
        <f>IFERROR(AC408/AC444, "NA")</f>
        <v>0.20010704752927838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4837.84</v>
      </c>
      <c r="C410" s="8">
        <f>IFERROR(B410/B444, "NA")</f>
        <v>6.3828445418541366E-2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-4837.84</v>
      </c>
      <c r="I410" s="8">
        <f>IFERROR(H410/H444, "NA")</f>
        <v>0.2095847243293544</v>
      </c>
      <c r="J410" s="9"/>
      <c r="K410" s="7">
        <v>3672.26</v>
      </c>
      <c r="L410" s="8">
        <f>IFERROR(K410/K444, "NA")</f>
        <v>4.0667565306023917E-2</v>
      </c>
      <c r="M410" s="9"/>
      <c r="N410" s="10">
        <f t="shared" si="101"/>
        <v>-1165.58</v>
      </c>
      <c r="O410" s="8">
        <f>IFERROR(N410/N444, "NA")</f>
        <v>8.0356785838872791E-2</v>
      </c>
      <c r="P410" s="9"/>
      <c r="Q410" s="7">
        <v>42128.47</v>
      </c>
      <c r="R410" s="8">
        <f>IFERROR(Q410/Q444, "NA")</f>
        <v>4.9063564056649203E-2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-42128.47</v>
      </c>
      <c r="X410" s="8">
        <f>IFERROR(W410/W444, "NA")</f>
        <v>0.47881368549902148</v>
      </c>
      <c r="Y410" s="9"/>
      <c r="Z410" s="7">
        <v>35884.959999999999</v>
      </c>
      <c r="AA410" s="8">
        <f>IFERROR(Z410/Z444, "NA")</f>
        <v>4.2355362560773255E-2</v>
      </c>
      <c r="AB410" s="9"/>
      <c r="AC410" s="10">
        <f t="shared" si="103"/>
        <v>-6243.510000000002</v>
      </c>
      <c r="AD410" s="8">
        <f>IFERROR(AC410/AC444, "NA")</f>
        <v>-0.54693315836639578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14.69</v>
      </c>
      <c r="C417" s="8">
        <f>IFERROR(B417/B444, "NA")</f>
        <v>1.9381373985050615E-4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-14.69</v>
      </c>
      <c r="I417" s="8">
        <f>IFERROR(H417/H444, "NA")</f>
        <v>6.3639963297633156E-4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-14.69</v>
      </c>
      <c r="O417" s="8">
        <f>IFERROR(N417/N444, "NA")</f>
        <v>1.0127500334366078E-3</v>
      </c>
      <c r="P417" s="9"/>
      <c r="Q417" s="7">
        <v>-24.56</v>
      </c>
      <c r="R417" s="8">
        <f>IFERROR(Q417/Q444, "NA")</f>
        <v>-2.8603012006638367E-5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24.56</v>
      </c>
      <c r="X417" s="8">
        <f>IFERROR(W417/W444, "NA")</f>
        <v>-2.791381722587117E-4</v>
      </c>
      <c r="Y417" s="9"/>
      <c r="Z417" s="7">
        <v>-43.3</v>
      </c>
      <c r="AA417" s="8">
        <f>IFERROR(Z417/Z444, "NA")</f>
        <v>-5.1107405411110448E-5</v>
      </c>
      <c r="AB417" s="9"/>
      <c r="AC417" s="10">
        <f t="shared" si="103"/>
        <v>-18.739999999999998</v>
      </c>
      <c r="AD417" s="8">
        <f>IFERROR(AC417/AC444, "NA")</f>
        <v>-1.641629049650958E-3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3.6386699015321018E-3</v>
      </c>
      <c r="M424" s="9"/>
      <c r="N424" s="10">
        <f t="shared" si="101"/>
        <v>328.57</v>
      </c>
      <c r="O424" s="8">
        <f>IFERROR(N424/N444, "NA")</f>
        <v>-2.2652095199881976E-2</v>
      </c>
      <c r="P424" s="9"/>
      <c r="Q424" s="7">
        <v>239.6</v>
      </c>
      <c r="R424" s="8">
        <f>IFERROR(Q424/Q444, "NA")</f>
        <v>2.7904241355010395E-4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2.7231883580287998E-3</v>
      </c>
      <c r="Y424" s="9"/>
      <c r="Z424" s="7">
        <v>1642.85</v>
      </c>
      <c r="AA424" s="8">
        <f>IFERROR(Z424/Z444, "NA")</f>
        <v>1.9390716161580323E-3</v>
      </c>
      <c r="AB424" s="9"/>
      <c r="AC424" s="10">
        <f t="shared" si="103"/>
        <v>1403.25</v>
      </c>
      <c r="AD424" s="8">
        <f>IFERROR(AC424/AC444, "NA")</f>
        <v>0.12292507811754039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-130.75</v>
      </c>
      <c r="C426" s="8">
        <f>IFERROR(B426/B444, "NA")</f>
        <v>-1.7250610269199237E-3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130.75</v>
      </c>
      <c r="I426" s="8">
        <f>IFERROR(H426/H444, "NA")</f>
        <v>-5.6643466311542112E-3</v>
      </c>
      <c r="J426" s="9"/>
      <c r="K426" s="7">
        <v>-179.17</v>
      </c>
      <c r="L426" s="8">
        <f>IFERROR(K426/K444, "NA")</f>
        <v>-1.9841753241546904E-3</v>
      </c>
      <c r="M426" s="9"/>
      <c r="N426" s="10">
        <f t="shared" si="101"/>
        <v>-48.419999999999987</v>
      </c>
      <c r="O426" s="8">
        <f>IFERROR(N426/N444, "NA")</f>
        <v>3.3381454471749857E-3</v>
      </c>
      <c r="P426" s="9"/>
      <c r="Q426" s="7">
        <v>-1338.53</v>
      </c>
      <c r="R426" s="8">
        <f>IFERROR(Q426/Q444, "NA")</f>
        <v>-1.5588758005393181E-3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1338.53</v>
      </c>
      <c r="X426" s="8">
        <f>IFERROR(W426/W444, "NA")</f>
        <v>-1.5213144043707385E-2</v>
      </c>
      <c r="Y426" s="9"/>
      <c r="Z426" s="7">
        <v>-1703.34</v>
      </c>
      <c r="AA426" s="8">
        <f>IFERROR(Z426/Z444, "NA")</f>
        <v>-2.0104685434863944E-3</v>
      </c>
      <c r="AB426" s="9"/>
      <c r="AC426" s="10">
        <f t="shared" si="103"/>
        <v>-364.80999999999995</v>
      </c>
      <c r="AD426" s="8">
        <f>IFERROR(AC426/AC444, "NA")</f>
        <v>-3.1957454301129451E-2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4721.78</v>
      </c>
      <c r="C428" s="15">
        <f>IFERROR(B428/B444, "NA")</f>
        <v>6.2297198131471943E-2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-4721.78</v>
      </c>
      <c r="I428" s="15">
        <f>IFERROR(H428/H444, "NA")</f>
        <v>0.2045567773311765</v>
      </c>
      <c r="J428" s="2"/>
      <c r="K428" s="14">
        <f>IFERROR(K407+K408+K409+K410+K411+K412+K413+K414+K415+K416+K417+K418+K419+K420+K421+K422+K423+K424+K425+K426+K427, "NA")</f>
        <v>2084.8100000000004</v>
      </c>
      <c r="L428" s="15">
        <f>IFERROR(K428/K444, "NA")</f>
        <v>2.3087729851821965E-2</v>
      </c>
      <c r="M428" s="2"/>
      <c r="N428" s="14">
        <f t="shared" si="101"/>
        <v>-2636.9699999999993</v>
      </c>
      <c r="O428" s="15">
        <f>IFERROR(N428/N444, "NA")</f>
        <v>0.18179655926966173</v>
      </c>
      <c r="P428" s="2"/>
      <c r="Q428" s="14">
        <f>IFERROR(Q407+Q408+Q409+Q410+Q411+Q412+Q413+Q414+Q415+Q416+Q417+Q418+Q419+Q420+Q421+Q422+Q423+Q424+Q425+Q426+Q427, "NA")</f>
        <v>41004.980000000003</v>
      </c>
      <c r="R428" s="15">
        <f>IFERROR(Q428/Q444, "NA")</f>
        <v>4.775512765765335E-2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-41004.980000000003</v>
      </c>
      <c r="X428" s="15">
        <f>IFERROR(W428/W444, "NA")</f>
        <v>0.46604459164108425</v>
      </c>
      <c r="Y428" s="2"/>
      <c r="Z428" s="14">
        <f>IFERROR(Z407+Z408+Z409+Z410+Z411+Z412+Z413+Z414+Z415+Z416+Z417+Z418+Z419+Z420+Z421+Z422+Z423+Z424+Z425+Z426+Z427, "NA")</f>
        <v>-20832.830000000002</v>
      </c>
      <c r="AA428" s="15">
        <f>IFERROR(Z428/Z444, "NA")</f>
        <v>-2.4589189114797787E-2</v>
      </c>
      <c r="AB428" s="2"/>
      <c r="AC428" s="14">
        <f t="shared" si="103"/>
        <v>-61837.810000000005</v>
      </c>
      <c r="AD428" s="15">
        <f>IFERROR(AC428/AC444, "NA")</f>
        <v>-5.4170088187191316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4721.78</v>
      </c>
      <c r="C429" s="15">
        <f>IFERROR(B429/B444, "NA")</f>
        <v>6.2297198131471943E-2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-4721.78</v>
      </c>
      <c r="I429" s="15">
        <f>IFERROR(H429/H444, "NA")</f>
        <v>0.2045567773311765</v>
      </c>
      <c r="J429" s="2"/>
      <c r="K429" s="14">
        <f>IFERROR(K407+K408+K409+K410+K411+K412+K413+K414+K415+K416+K417+K418+K419+K420+K421+K422+K423+K424+K425+K426+K427, "NA")</f>
        <v>2084.8100000000004</v>
      </c>
      <c r="L429" s="15">
        <f>IFERROR(K429/K444, "NA")</f>
        <v>2.3087729851821965E-2</v>
      </c>
      <c r="M429" s="2"/>
      <c r="N429" s="14">
        <f t="shared" si="101"/>
        <v>-2636.9699999999993</v>
      </c>
      <c r="O429" s="15">
        <f>IFERROR(N429/N444, "NA")</f>
        <v>0.18179655926966173</v>
      </c>
      <c r="P429" s="2"/>
      <c r="Q429" s="14">
        <f>IFERROR(Q407+Q408+Q409+Q410+Q411+Q412+Q413+Q414+Q415+Q416+Q417+Q418+Q419+Q420+Q421+Q422+Q423+Q424+Q425+Q426+Q427, "NA")</f>
        <v>41004.980000000003</v>
      </c>
      <c r="R429" s="15">
        <f>IFERROR(Q429/Q444, "NA")</f>
        <v>4.775512765765335E-2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-41004.980000000003</v>
      </c>
      <c r="X429" s="15">
        <f>IFERROR(W429/W444, "NA")</f>
        <v>0.46604459164108425</v>
      </c>
      <c r="Y429" s="2"/>
      <c r="Z429" s="14">
        <f>IFERROR(Z407+Z408+Z409+Z410+Z411+Z412+Z413+Z414+Z415+Z416+Z417+Z418+Z419+Z420+Z421+Z422+Z423+Z424+Z425+Z426+Z427, "NA")</f>
        <v>-20832.830000000002</v>
      </c>
      <c r="AA429" s="15">
        <f>IFERROR(Z429/Z444, "NA")</f>
        <v>-2.4589189114797787E-2</v>
      </c>
      <c r="AB429" s="2"/>
      <c r="AC429" s="14">
        <f t="shared" si="103"/>
        <v>-61837.810000000005</v>
      </c>
      <c r="AD429" s="15">
        <f>IFERROR(AC429/AC444, "NA")</f>
        <v>-5.4170088187191316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-8982.77</v>
      </c>
      <c r="C443" s="24">
        <f>IFERROR(B443/B444, "NA")</f>
        <v>-0.11851492497732684</v>
      </c>
      <c r="D443" s="25"/>
      <c r="E443" s="23">
        <f>IFERROR(E404-E429-E442, "NA")</f>
        <v>14036.549999999992</v>
      </c>
      <c r="F443" s="24">
        <f>IFERROR(E443/E444, "NA")</f>
        <v>0.14195913322963583</v>
      </c>
      <c r="G443" s="25"/>
      <c r="H443" s="23">
        <f>IFERROR(B443-E443, "NA")</f>
        <v>-23019.319999999992</v>
      </c>
      <c r="I443" s="24">
        <f>IFERROR(H443/H444, "NA")</f>
        <v>0.99724212385055988</v>
      </c>
      <c r="J443" s="25"/>
      <c r="K443" s="23">
        <f>IFERROR(K404-K429-K442, "NA")</f>
        <v>-4129.8299999999808</v>
      </c>
      <c r="L443" s="24">
        <f>IFERROR(K443/K444, "NA")</f>
        <v>-4.5734814862721039E-2</v>
      </c>
      <c r="M443" s="25"/>
      <c r="N443" s="23">
        <f>IFERROR(B443-K443, "NA")</f>
        <v>-4852.9400000000196</v>
      </c>
      <c r="O443" s="24">
        <f>IFERROR(N443/N444, "NA")</f>
        <v>0.33456876427950111</v>
      </c>
      <c r="P443" s="25"/>
      <c r="Q443" s="23">
        <f>IFERROR(Q404-Q429-Q442, "NA")</f>
        <v>-38823.779999999977</v>
      </c>
      <c r="R443" s="24">
        <f>IFERROR(Q443/Q444, "NA")</f>
        <v>-4.5214863415435097E-2</v>
      </c>
      <c r="S443" s="25"/>
      <c r="T443" s="23">
        <f>IFERROR(T404-T429-T442, "NA")</f>
        <v>111691.00000000009</v>
      </c>
      <c r="U443" s="24">
        <f>IFERROR(T443/T444, "NA")</f>
        <v>0.11798728155184231</v>
      </c>
      <c r="V443" s="25"/>
      <c r="W443" s="23">
        <f>IFERROR(Q443-T443, "NA")</f>
        <v>-150514.78000000006</v>
      </c>
      <c r="X443" s="24">
        <f>IFERROR(W443/W444, "NA")</f>
        <v>1.7106848773258188</v>
      </c>
      <c r="Y443" s="25"/>
      <c r="Z443" s="23">
        <f>IFERROR(Z404-Z429-Z442, "NA")</f>
        <v>20587.799999999741</v>
      </c>
      <c r="AA443" s="24">
        <f>IFERROR(Z443/Z444, "NA")</f>
        <v>2.4299977855031095E-2</v>
      </c>
      <c r="AB443" s="25"/>
      <c r="AC443" s="23">
        <f>IFERROR(Q443-Z443, "NA")</f>
        <v>-59411.579999999718</v>
      </c>
      <c r="AD443" s="24">
        <f>IFERROR(AC443/AC444, "NA")</f>
        <v>-5.2044704169509819</v>
      </c>
    </row>
    <row r="444" spans="1:30" ht="15.75" hidden="1" x14ac:dyDescent="0.45">
      <c r="A444" s="26" t="s">
        <v>117</v>
      </c>
      <c r="B444" s="7">
        <v>75794.42</v>
      </c>
      <c r="C444" s="27"/>
      <c r="D444" s="9"/>
      <c r="E444" s="7">
        <v>98877.4</v>
      </c>
      <c r="F444" s="27"/>
      <c r="G444" s="9"/>
      <c r="H444" s="10">
        <f>IFERROR(B444-E444, "NA")</f>
        <v>-23082.979999999996</v>
      </c>
      <c r="I444" s="27"/>
      <c r="J444" s="9"/>
      <c r="K444" s="7">
        <v>90299.48</v>
      </c>
      <c r="L444" s="27"/>
      <c r="M444" s="9"/>
      <c r="N444" s="10">
        <f>IFERROR(B444-K444, "NA")</f>
        <v>-14505.059999999998</v>
      </c>
      <c r="O444" s="27"/>
      <c r="P444" s="9"/>
      <c r="Q444" s="7">
        <v>858650.83</v>
      </c>
      <c r="R444" s="27"/>
      <c r="S444" s="9"/>
      <c r="T444" s="7">
        <v>946635.93</v>
      </c>
      <c r="U444" s="27"/>
      <c r="V444" s="9"/>
      <c r="W444" s="10">
        <f>IFERROR(Q444-T444, "NA")</f>
        <v>-87985.100000000093</v>
      </c>
      <c r="X444" s="27"/>
      <c r="Y444" s="9"/>
      <c r="Z444" s="7">
        <v>847235.34</v>
      </c>
      <c r="AA444" s="27"/>
      <c r="AB444" s="9"/>
      <c r="AC444" s="10">
        <f>IFERROR(Q444-Z444, "NA")</f>
        <v>11415.489999999991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51982.61</v>
      </c>
      <c r="F10" s="8">
        <f>IFERROR(E10/E444, "NA")</f>
        <v>0.23999998707260056</v>
      </c>
      <c r="G10" s="9"/>
      <c r="H10" s="10">
        <f t="shared" ref="H10:H19" si="0">IFERROR(B10-E10, "NA")</f>
        <v>-51982.61</v>
      </c>
      <c r="I10" s="8">
        <f>IFERROR(H10/H444, "NA")</f>
        <v>1.4374382144141988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437032.56</v>
      </c>
      <c r="U10" s="8">
        <f>IFERROR(T10/T444, "NA")</f>
        <v>0.23999999604606126</v>
      </c>
      <c r="V10" s="9"/>
      <c r="W10" s="10">
        <f t="shared" ref="W10:W19" si="2">IFERROR(Q10-T10, "NA")</f>
        <v>-437032.56</v>
      </c>
      <c r="X10" s="8">
        <f>IFERROR(W10/W444, "NA")</f>
        <v>-221.67852414695946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52062.48</v>
      </c>
      <c r="C11" s="8">
        <f>IFERROR(B11/B444, "NA")</f>
        <v>0.28854533468084864</v>
      </c>
      <c r="D11" s="9"/>
      <c r="E11" s="7">
        <v>0</v>
      </c>
      <c r="F11" s="8">
        <f>IFERROR(E11/E444, "NA")</f>
        <v>0</v>
      </c>
      <c r="G11" s="9"/>
      <c r="H11" s="10">
        <f t="shared" si="0"/>
        <v>52062.48</v>
      </c>
      <c r="I11" s="8">
        <f>IFERROR(H11/H444, "NA")</f>
        <v>-1.4396468028283871</v>
      </c>
      <c r="J11" s="9"/>
      <c r="K11" s="7">
        <v>37716.51</v>
      </c>
      <c r="L11" s="8">
        <f>IFERROR(K11/K444, "NA")</f>
        <v>0.18719414971100842</v>
      </c>
      <c r="M11" s="9"/>
      <c r="N11" s="10">
        <f t="shared" si="1"/>
        <v>14345.970000000001</v>
      </c>
      <c r="O11" s="8">
        <f>IFERROR(N11/N444, "NA")</f>
        <v>-0.68143686293286376</v>
      </c>
      <c r="P11" s="9"/>
      <c r="Q11" s="7">
        <v>509063.22</v>
      </c>
      <c r="R11" s="8">
        <f>IFERROR(Q11/Q444, "NA")</f>
        <v>0.2792538867834688</v>
      </c>
      <c r="S11" s="9"/>
      <c r="T11" s="7">
        <v>0</v>
      </c>
      <c r="U11" s="8">
        <f>IFERROR(T11/T444, "NA")</f>
        <v>0</v>
      </c>
      <c r="V11" s="9"/>
      <c r="W11" s="10">
        <f t="shared" si="2"/>
        <v>509063.22</v>
      </c>
      <c r="X11" s="8">
        <f>IFERROR(W11/W444, "NA")</f>
        <v>258.21504765479932</v>
      </c>
      <c r="Y11" s="9"/>
      <c r="Z11" s="7">
        <v>403338.23</v>
      </c>
      <c r="AA11" s="8">
        <f>IFERROR(Z11/Z444, "NA")</f>
        <v>0.24295273157796532</v>
      </c>
      <c r="AB11" s="9"/>
      <c r="AC11" s="10">
        <f t="shared" si="3"/>
        <v>105724.98999999999</v>
      </c>
      <c r="AD11" s="8">
        <f>IFERROR(AC11/AC444, "NA")</f>
        <v>0.64945844773979844</v>
      </c>
    </row>
    <row r="12" spans="1:30" ht="16.5" customHeight="1" x14ac:dyDescent="0.45">
      <c r="A12" s="12" t="s">
        <v>14</v>
      </c>
      <c r="B12" s="7">
        <v>4291.2</v>
      </c>
      <c r="C12" s="8">
        <f>IFERROR(B12/B444, "NA")</f>
        <v>2.3783072573232346E-2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4291.2</v>
      </c>
      <c r="I12" s="8">
        <f>IFERROR(H12/H444, "NA")</f>
        <v>-0.1186615074867193</v>
      </c>
      <c r="J12" s="9"/>
      <c r="K12" s="7">
        <v>3806.2</v>
      </c>
      <c r="L12" s="8">
        <f>IFERROR(K12/K444, "NA")</f>
        <v>1.8890888171520646E-2</v>
      </c>
      <c r="M12" s="9"/>
      <c r="N12" s="10">
        <f t="shared" si="1"/>
        <v>485</v>
      </c>
      <c r="O12" s="8">
        <f>IFERROR(N12/N444, "NA")</f>
        <v>-2.303761115647383E-2</v>
      </c>
      <c r="P12" s="9"/>
      <c r="Q12" s="7">
        <v>48980.69</v>
      </c>
      <c r="R12" s="8">
        <f>IFERROR(Q12/Q444, "NA")</f>
        <v>2.6869055792001988E-2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48980.69</v>
      </c>
      <c r="X12" s="8">
        <f>IFERROR(W12/W444, "NA")</f>
        <v>24.844755436299156</v>
      </c>
      <c r="Y12" s="9"/>
      <c r="Z12" s="7">
        <v>36209.449999999997</v>
      </c>
      <c r="AA12" s="8">
        <f>IFERROR(Z12/Z444, "NA")</f>
        <v>2.1810937154248325E-2</v>
      </c>
      <c r="AB12" s="9"/>
      <c r="AC12" s="10">
        <f t="shared" si="3"/>
        <v>12771.240000000005</v>
      </c>
      <c r="AD12" s="8">
        <f>IFERROR(AC12/AC444, "NA")</f>
        <v>7.8452499320287736E-2</v>
      </c>
    </row>
    <row r="13" spans="1:30" ht="16.5" customHeight="1" x14ac:dyDescent="0.45">
      <c r="A13" s="12" t="s">
        <v>15</v>
      </c>
      <c r="B13" s="7">
        <v>118.5</v>
      </c>
      <c r="C13" s="8">
        <f>IFERROR(B13/B444, "NA")</f>
        <v>6.5676130218308005E-4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118.5</v>
      </c>
      <c r="I13" s="8">
        <f>IFERROR(H13/H444, "NA")</f>
        <v>-3.2767963826380122E-3</v>
      </c>
      <c r="J13" s="9"/>
      <c r="K13" s="7">
        <v>162</v>
      </c>
      <c r="L13" s="8">
        <f>IFERROR(K13/K444, "NA")</f>
        <v>8.0403654137626635E-4</v>
      </c>
      <c r="M13" s="9"/>
      <c r="N13" s="10">
        <f t="shared" si="1"/>
        <v>-43.5</v>
      </c>
      <c r="O13" s="8">
        <f>IFERROR(N13/N444, "NA")</f>
        <v>2.0662599697043541E-3</v>
      </c>
      <c r="P13" s="9"/>
      <c r="Q13" s="7">
        <v>3037</v>
      </c>
      <c r="R13" s="8">
        <f>IFERROR(Q13/Q444, "NA")</f>
        <v>1.6659896469467873E-3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3037</v>
      </c>
      <c r="X13" s="8">
        <f>IFERROR(W13/W444, "NA")</f>
        <v>1.5404748740787551</v>
      </c>
      <c r="Y13" s="9"/>
      <c r="Z13" s="7">
        <v>2517</v>
      </c>
      <c r="AA13" s="8">
        <f>IFERROR(Z13/Z444, "NA")</f>
        <v>1.5161271109404599E-3</v>
      </c>
      <c r="AB13" s="9"/>
      <c r="AC13" s="10">
        <f t="shared" si="3"/>
        <v>520</v>
      </c>
      <c r="AD13" s="8">
        <f>IFERROR(AC13/AC444, "NA")</f>
        <v>3.1943100001683164E-3</v>
      </c>
    </row>
    <row r="14" spans="1:30" ht="16.5" customHeight="1" x14ac:dyDescent="0.45">
      <c r="A14" s="12" t="s">
        <v>16</v>
      </c>
      <c r="B14" s="7">
        <v>75</v>
      </c>
      <c r="C14" s="8">
        <f>IFERROR(B14/B444, "NA")</f>
        <v>4.1567171024245578E-4</v>
      </c>
      <c r="D14" s="9"/>
      <c r="E14" s="7">
        <v>0</v>
      </c>
      <c r="F14" s="8">
        <f>IFERROR(E14/E444, "NA")</f>
        <v>0</v>
      </c>
      <c r="G14" s="9"/>
      <c r="H14" s="10">
        <f t="shared" si="0"/>
        <v>75</v>
      </c>
      <c r="I14" s="8">
        <f>IFERROR(H14/H444, "NA")</f>
        <v>-2.0739217611632989E-3</v>
      </c>
      <c r="J14" s="9"/>
      <c r="K14" s="7">
        <v>435</v>
      </c>
      <c r="L14" s="8">
        <f>IFERROR(K14/K444, "NA")</f>
        <v>2.1589870092510854E-3</v>
      </c>
      <c r="M14" s="9"/>
      <c r="N14" s="10">
        <f t="shared" si="1"/>
        <v>-360</v>
      </c>
      <c r="O14" s="8">
        <f>IFERROR(N14/N444, "NA")</f>
        <v>1.7100082507898101E-2</v>
      </c>
      <c r="P14" s="9"/>
      <c r="Q14" s="7">
        <v>3270</v>
      </c>
      <c r="R14" s="8">
        <f>IFERROR(Q14/Q444, "NA")</f>
        <v>1.7938051187079338E-3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3270</v>
      </c>
      <c r="X14" s="8">
        <f>IFERROR(W14/W444, "NA")</f>
        <v>1.6586607962586528</v>
      </c>
      <c r="Y14" s="9"/>
      <c r="Z14" s="7">
        <v>6512</v>
      </c>
      <c r="AA14" s="8">
        <f>IFERROR(Z14/Z444, "NA")</f>
        <v>3.9225346628701929E-3</v>
      </c>
      <c r="AB14" s="9"/>
      <c r="AC14" s="10">
        <f t="shared" si="3"/>
        <v>-3242</v>
      </c>
      <c r="AD14" s="8">
        <f>IFERROR(AC14/AC444, "NA")</f>
        <v>-1.9915294270280156E-2</v>
      </c>
    </row>
    <row r="15" spans="1:30" ht="16.5" customHeight="1" x14ac:dyDescent="0.45">
      <c r="A15" s="12" t="s">
        <v>17</v>
      </c>
      <c r="B15" s="7">
        <v>36</v>
      </c>
      <c r="C15" s="8">
        <f>IFERROR(B15/B444, "NA")</f>
        <v>1.9952242091637876E-4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36</v>
      </c>
      <c r="I15" s="8">
        <f>IFERROR(H15/H444, "NA")</f>
        <v>-9.9548244535838343E-4</v>
      </c>
      <c r="J15" s="9"/>
      <c r="K15" s="7">
        <v>64</v>
      </c>
      <c r="L15" s="8">
        <f>IFERROR(K15/K444, "NA")</f>
        <v>3.1764406572889537E-4</v>
      </c>
      <c r="M15" s="9"/>
      <c r="N15" s="10">
        <f t="shared" si="1"/>
        <v>-28</v>
      </c>
      <c r="O15" s="8">
        <f>IFERROR(N15/N444, "NA")</f>
        <v>1.3300064172809634E-3</v>
      </c>
      <c r="P15" s="9"/>
      <c r="Q15" s="7">
        <v>854</v>
      </c>
      <c r="R15" s="8">
        <f>IFERROR(Q15/Q444, "NA")</f>
        <v>4.6847387503870806E-4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854</v>
      </c>
      <c r="X15" s="8">
        <f>IFERROR(W15/W444, "NA")</f>
        <v>0.43317930275378885</v>
      </c>
      <c r="Y15" s="9"/>
      <c r="Z15" s="7">
        <v>881</v>
      </c>
      <c r="AA15" s="8">
        <f>IFERROR(Z15/Z444, "NA")</f>
        <v>5.3067460657073707E-4</v>
      </c>
      <c r="AB15" s="9"/>
      <c r="AC15" s="10">
        <f t="shared" si="3"/>
        <v>-27</v>
      </c>
      <c r="AD15" s="8">
        <f>IFERROR(AC15/AC444, "NA")</f>
        <v>-1.6585840385489336E-4</v>
      </c>
    </row>
    <row r="16" spans="1:30" ht="16.5" customHeight="1" x14ac:dyDescent="0.45">
      <c r="A16" s="12" t="s">
        <v>18</v>
      </c>
      <c r="B16" s="7">
        <v>0.51</v>
      </c>
      <c r="C16" s="8">
        <f>IFERROR(B16/B444, "NA")</f>
        <v>2.8265676296486993E-6</v>
      </c>
      <c r="D16" s="9"/>
      <c r="E16" s="7">
        <v>0</v>
      </c>
      <c r="F16" s="8">
        <f>IFERROR(E16/E444, "NA")</f>
        <v>0</v>
      </c>
      <c r="G16" s="9"/>
      <c r="H16" s="10">
        <f t="shared" si="0"/>
        <v>0.51</v>
      </c>
      <c r="I16" s="8">
        <f>IFERROR(H16/H444, "NA")</f>
        <v>-1.4102667975910433E-5</v>
      </c>
      <c r="J16" s="9"/>
      <c r="K16" s="7">
        <v>0</v>
      </c>
      <c r="L16" s="8">
        <f>IFERROR(K16/K444, "NA")</f>
        <v>0</v>
      </c>
      <c r="M16" s="9"/>
      <c r="N16" s="10">
        <f t="shared" si="1"/>
        <v>0.51</v>
      </c>
      <c r="O16" s="8">
        <f>IFERROR(N16/N444, "NA")</f>
        <v>-2.4225116886188976E-5</v>
      </c>
      <c r="P16" s="9"/>
      <c r="Q16" s="7">
        <v>4.1100000000000003</v>
      </c>
      <c r="R16" s="8">
        <f>IFERROR(Q16/Q444, "NA")</f>
        <v>2.2545990941558433E-6</v>
      </c>
      <c r="S16" s="9"/>
      <c r="T16" s="7">
        <v>0</v>
      </c>
      <c r="U16" s="8">
        <f>IFERROR(T16/T444, "NA")</f>
        <v>0</v>
      </c>
      <c r="V16" s="9"/>
      <c r="W16" s="10">
        <f t="shared" si="2"/>
        <v>4.1100000000000003</v>
      </c>
      <c r="X16" s="8">
        <f>IFERROR(W16/W444, "NA")</f>
        <v>2.0847387989672977E-3</v>
      </c>
      <c r="Y16" s="9"/>
      <c r="Z16" s="7">
        <v>1</v>
      </c>
      <c r="AA16" s="8">
        <f>IFERROR(Z16/Z444, "NA")</f>
        <v>6.023548315218355E-7</v>
      </c>
      <c r="AB16" s="9"/>
      <c r="AC16" s="10">
        <f t="shared" si="3"/>
        <v>3.1100000000000003</v>
      </c>
      <c r="AD16" s="8">
        <f>IFERROR(AC16/AC444, "NA")</f>
        <v>1.9104430962545126E-5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56583.69</v>
      </c>
      <c r="C18" s="15">
        <f>IFERROR(B18/B444, "NA")</f>
        <v>0.31360318925505254</v>
      </c>
      <c r="D18" s="2"/>
      <c r="E18" s="14">
        <f>IFERROR(E10+E11+E12+E13+E14+E15+E16+E17, "NA")</f>
        <v>51982.61</v>
      </c>
      <c r="F18" s="15">
        <f>IFERROR(E18/E444, "NA")</f>
        <v>0.23999998707260056</v>
      </c>
      <c r="G18" s="2"/>
      <c r="H18" s="14">
        <f t="shared" si="0"/>
        <v>4601.0800000000017</v>
      </c>
      <c r="I18" s="15">
        <f>IFERROR(H18/H444, "NA")</f>
        <v>-0.12723039915804313</v>
      </c>
      <c r="J18" s="2"/>
      <c r="K18" s="14">
        <f>IFERROR(K10+K11+K12+K13+K14+K15+K16+K17, "NA")</f>
        <v>42183.71</v>
      </c>
      <c r="L18" s="15">
        <f>IFERROR(K18/K444, "NA")</f>
        <v>0.20936570549888531</v>
      </c>
      <c r="M18" s="2"/>
      <c r="N18" s="14">
        <f t="shared" si="1"/>
        <v>14399.980000000003</v>
      </c>
      <c r="O18" s="15">
        <f>IFERROR(N18/N444, "NA")</f>
        <v>-0.68400235031134049</v>
      </c>
      <c r="P18" s="2"/>
      <c r="Q18" s="14">
        <f>IFERROR(Q10+Q11+Q12+Q13+Q14+Q15+Q16+Q17, "NA")</f>
        <v>565209.0199999999</v>
      </c>
      <c r="R18" s="15">
        <f>IFERROR(Q18/Q444, "NA")</f>
        <v>0.31005346581525833</v>
      </c>
      <c r="S18" s="2"/>
      <c r="T18" s="14">
        <f>IFERROR(T10+T11+T12+T13+T14+T15+T16+T17, "NA")</f>
        <v>437032.56</v>
      </c>
      <c r="U18" s="15">
        <f>IFERROR(T18/T444, "NA")</f>
        <v>0.23999999604606126</v>
      </c>
      <c r="V18" s="2"/>
      <c r="W18" s="14">
        <f t="shared" si="2"/>
        <v>128176.4599999999</v>
      </c>
      <c r="X18" s="15">
        <f>IFERROR(W18/W444, "NA")</f>
        <v>65.01567865602911</v>
      </c>
      <c r="Y18" s="2"/>
      <c r="Z18" s="14">
        <f>IFERROR(Z10+Z11+Z12+Z13+Z14+Z15+Z16+Z17, "NA")</f>
        <v>449458.68</v>
      </c>
      <c r="AA18" s="15">
        <f>IFERROR(Z18/Z444, "NA")</f>
        <v>0.27073360746742658</v>
      </c>
      <c r="AB18" s="2"/>
      <c r="AC18" s="14">
        <f t="shared" si="3"/>
        <v>115750.33999999991</v>
      </c>
      <c r="AD18" s="15">
        <f>IFERROR(AC18/AC444, "NA")</f>
        <v>0.7110432088170815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12129.28</v>
      </c>
      <c r="F21" s="8">
        <f>IFERROR(E21/E444, "NA")</f>
        <v>5.6000016990296421E-2</v>
      </c>
      <c r="G21" s="9"/>
      <c r="H21" s="10">
        <f t="shared" ref="H21:H29" si="4">IFERROR(B21-E21, "NA")</f>
        <v>-12129.28</v>
      </c>
      <c r="I21" s="8">
        <f>IFERROR(H21/H444, "NA")</f>
        <v>0.3354023698565704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101974.27</v>
      </c>
      <c r="U21" s="8">
        <f>IFERROR(T21/T444, "NA")</f>
        <v>5.6000002372363251E-2</v>
      </c>
      <c r="V21" s="9"/>
      <c r="W21" s="10">
        <f t="shared" ref="W21:W29" si="6">IFERROR(Q21-T21, "NA")</f>
        <v>-101974.27</v>
      </c>
      <c r="X21" s="8">
        <f>IFERROR(W21/W444, "NA")</f>
        <v>-51.724992011038182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7483.51</v>
      </c>
      <c r="C22" s="8">
        <f>IFERROR(B22/B444, "NA")</f>
        <v>4.1475778670886934E-2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7483.51</v>
      </c>
      <c r="I22" s="8">
        <f>IFERROR(H22/H444, "NA")</f>
        <v>-0.20693618985177545</v>
      </c>
      <c r="J22" s="9"/>
      <c r="K22" s="7">
        <v>7617.5</v>
      </c>
      <c r="L22" s="8">
        <f>IFERROR(K22/K444, "NA")</f>
        <v>3.7807088604529068E-2</v>
      </c>
      <c r="M22" s="9"/>
      <c r="N22" s="10">
        <f t="shared" si="5"/>
        <v>-133.98999999999978</v>
      </c>
      <c r="O22" s="8">
        <f>IFERROR(N22/N444, "NA")</f>
        <v>6.364555708981286E-3</v>
      </c>
      <c r="P22" s="9"/>
      <c r="Q22" s="7">
        <v>80369.960000000006</v>
      </c>
      <c r="R22" s="8">
        <f>IFERROR(Q22/Q444, "NA")</f>
        <v>4.4088087351177946E-2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80369.960000000006</v>
      </c>
      <c r="X22" s="8">
        <f>IFERROR(W22/W444, "NA")</f>
        <v>40.76651432687342</v>
      </c>
      <c r="Y22" s="9"/>
      <c r="Z22" s="7">
        <v>67632.320000000007</v>
      </c>
      <c r="AA22" s="8">
        <f>IFERROR(Z22/Z444, "NA")</f>
        <v>4.0738654719030869E-2</v>
      </c>
      <c r="AB22" s="9"/>
      <c r="AC22" s="10">
        <f t="shared" si="7"/>
        <v>12737.64</v>
      </c>
      <c r="AD22" s="8">
        <f>IFERROR(AC22/AC444, "NA")</f>
        <v>7.8246097751046059E-2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1065.53</v>
      </c>
      <c r="C24" s="8">
        <f>IFERROR(B24/B444, "NA")</f>
        <v>5.9054756988619183E-3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1065.53</v>
      </c>
      <c r="I24" s="8">
        <f>IFERROR(H24/H444, "NA")</f>
        <v>-2.9464344722297732E-2</v>
      </c>
      <c r="J24" s="9"/>
      <c r="K24" s="7">
        <v>1629.17</v>
      </c>
      <c r="L24" s="8">
        <f>IFERROR(K24/K444, "NA")</f>
        <v>8.0858778525553822E-3</v>
      </c>
      <c r="M24" s="9"/>
      <c r="N24" s="10">
        <f t="shared" si="5"/>
        <v>-563.6400000000001</v>
      </c>
      <c r="O24" s="8">
        <f>IFERROR(N24/N444, "NA")</f>
        <v>2.67730291798658E-2</v>
      </c>
      <c r="P24" s="9"/>
      <c r="Q24" s="7">
        <v>15436.82</v>
      </c>
      <c r="R24" s="8">
        <f>IFERROR(Q24/Q444, "NA")</f>
        <v>8.4680876858021416E-3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15436.82</v>
      </c>
      <c r="X24" s="8">
        <f>IFERROR(W24/W444, "NA")</f>
        <v>7.8301064687772159</v>
      </c>
      <c r="Y24" s="9"/>
      <c r="Z24" s="7">
        <v>7045.03</v>
      </c>
      <c r="AA24" s="8">
        <f>IFERROR(Z24/Z444, "NA")</f>
        <v>4.2436078587162768E-3</v>
      </c>
      <c r="AB24" s="9"/>
      <c r="AC24" s="10">
        <f t="shared" si="7"/>
        <v>8391.7900000000009</v>
      </c>
      <c r="AD24" s="8">
        <f>IFERROR(AC24/AC444, "NA")</f>
        <v>5.1549959069831688E-2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1629.67</v>
      </c>
      <c r="C26" s="8">
        <f>IFERROR(B26/B444, "NA")</f>
        <v>9.0321028804109717E-3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1629.67</v>
      </c>
      <c r="I26" s="8">
        <f>IFERROR(H26/H444, "NA")</f>
        <v>-4.5064107686866584E-2</v>
      </c>
      <c r="J26" s="9"/>
      <c r="K26" s="7">
        <v>3217.27</v>
      </c>
      <c r="L26" s="8">
        <f>IFERROR(K26/K444, "NA")</f>
        <v>1.59679175523063E-2</v>
      </c>
      <c r="M26" s="9"/>
      <c r="N26" s="10">
        <f t="shared" si="5"/>
        <v>-1587.6</v>
      </c>
      <c r="O26" s="8">
        <f>IFERROR(N26/N444, "NA")</f>
        <v>7.5411363859830619E-2</v>
      </c>
      <c r="P26" s="9"/>
      <c r="Q26" s="7">
        <v>20535.78</v>
      </c>
      <c r="R26" s="8">
        <f>IFERROR(Q26/Q444, "NA")</f>
        <v>1.126519488705199E-2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20535.78</v>
      </c>
      <c r="X26" s="8">
        <f>IFERROR(W26/W444, "NA")</f>
        <v>10.416481102933492</v>
      </c>
      <c r="Y26" s="9"/>
      <c r="Z26" s="7">
        <v>18011</v>
      </c>
      <c r="AA26" s="8">
        <f>IFERROR(Z26/Z444, "NA")</f>
        <v>1.0849012870539779E-2</v>
      </c>
      <c r="AB26" s="9"/>
      <c r="AC26" s="10">
        <f t="shared" si="7"/>
        <v>2524.7799999999988</v>
      </c>
      <c r="AD26" s="8">
        <f>IFERROR(AC26/AC444, "NA")</f>
        <v>1.5509480773509535E-2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179.91</v>
      </c>
      <c r="AA27" s="8">
        <f>IFERROR(Z27/Z444, "NA")</f>
        <v>1.0836965773909342E-4</v>
      </c>
      <c r="AB27" s="9"/>
      <c r="AC27" s="10">
        <f t="shared" si="7"/>
        <v>-179.91</v>
      </c>
      <c r="AD27" s="8">
        <f>IFERROR(AC27/AC444, "NA")</f>
        <v>-1.1051698310197726E-3</v>
      </c>
    </row>
    <row r="28" spans="1:30" ht="16.5" customHeight="1" x14ac:dyDescent="0.45">
      <c r="A28" s="12" t="s">
        <v>29</v>
      </c>
      <c r="B28" s="7">
        <v>904.49</v>
      </c>
      <c r="C28" s="8">
        <f>IFERROR(B28/B444, "NA")</f>
        <v>5.0129454026293175E-3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904.49</v>
      </c>
      <c r="I28" s="8">
        <f>IFERROR(H28/H444, "NA")</f>
        <v>-2.5011219916727896E-2</v>
      </c>
      <c r="J28" s="9"/>
      <c r="K28" s="7">
        <v>700.83</v>
      </c>
      <c r="L28" s="8">
        <f>IFERROR(K28/K444, "NA")</f>
        <v>3.4783514153872148E-3</v>
      </c>
      <c r="M28" s="9"/>
      <c r="N28" s="10">
        <f t="shared" si="5"/>
        <v>203.65999999999997</v>
      </c>
      <c r="O28" s="8">
        <f>IFERROR(N28/N444, "NA")</f>
        <v>-9.6738966765514637E-3</v>
      </c>
      <c r="P28" s="9"/>
      <c r="Q28" s="7">
        <v>8356.0499999999993</v>
      </c>
      <c r="R28" s="8">
        <f>IFERROR(Q28/Q444, "NA")</f>
        <v>4.5838303554065528E-3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8356.0499999999993</v>
      </c>
      <c r="X28" s="8">
        <f>IFERROR(W28/W444, "NA")</f>
        <v>4.2384870173018703</v>
      </c>
      <c r="Y28" s="9"/>
      <c r="Z28" s="7">
        <v>7434.62</v>
      </c>
      <c r="AA28" s="8">
        <f>IFERROR(Z28/Z444, "NA")</f>
        <v>4.4782792775288688E-3</v>
      </c>
      <c r="AB28" s="9"/>
      <c r="AC28" s="10">
        <f t="shared" si="7"/>
        <v>921.42999999999938</v>
      </c>
      <c r="AD28" s="8">
        <f>IFERROR(AC28/AC444, "NA")</f>
        <v>5.6602558912597876E-3</v>
      </c>
    </row>
    <row r="29" spans="1:30" ht="16.5" customHeight="1" x14ac:dyDescent="0.45">
      <c r="A29" s="13" t="s">
        <v>30</v>
      </c>
      <c r="B29" s="14">
        <f>IFERROR(B21+B22+B23+B24+B25+B26+B27+B28, "NA")</f>
        <v>11083.2</v>
      </c>
      <c r="C29" s="15">
        <f>IFERROR(B29/B444, "NA")</f>
        <v>6.1426302652789144E-2</v>
      </c>
      <c r="D29" s="2"/>
      <c r="E29" s="14">
        <f>IFERROR(E21+E22+E23+E24+E25+E26+E27+E28, "NA")</f>
        <v>12129.28</v>
      </c>
      <c r="F29" s="15">
        <f>IFERROR(E29/E444, "NA")</f>
        <v>5.6000016990296421E-2</v>
      </c>
      <c r="G29" s="2"/>
      <c r="H29" s="14">
        <f t="shared" si="4"/>
        <v>-1046.08</v>
      </c>
      <c r="I29" s="15">
        <f>IFERROR(H29/H444, "NA")</f>
        <v>2.8926507678902716E-2</v>
      </c>
      <c r="J29" s="2"/>
      <c r="K29" s="14">
        <f>IFERROR(K21+K22+K23+K24+K25+K26+K27+K28, "NA")</f>
        <v>13164.77</v>
      </c>
      <c r="L29" s="15">
        <f>IFERROR(K29/K444, "NA")</f>
        <v>6.5339235424777958E-2</v>
      </c>
      <c r="M29" s="2"/>
      <c r="N29" s="14">
        <f t="shared" si="5"/>
        <v>-2081.5699999999997</v>
      </c>
      <c r="O29" s="15">
        <f>IFERROR(N29/N444, "NA")</f>
        <v>9.887505207212624E-2</v>
      </c>
      <c r="P29" s="2"/>
      <c r="Q29" s="14">
        <f>IFERROR(Q21+Q22+Q23+Q24+Q25+Q26+Q27+Q28, "NA")</f>
        <v>124698.61</v>
      </c>
      <c r="R29" s="15">
        <f>IFERROR(Q29/Q444, "NA")</f>
        <v>6.8405200279438638E-2</v>
      </c>
      <c r="S29" s="2"/>
      <c r="T29" s="14">
        <f>IFERROR(T21+T22+T23+T24+T25+T26+T27+T28, "NA")</f>
        <v>101974.27</v>
      </c>
      <c r="U29" s="15">
        <f>IFERROR(T29/T444, "NA")</f>
        <v>5.6000002372363251E-2</v>
      </c>
      <c r="V29" s="2"/>
      <c r="W29" s="14">
        <f t="shared" si="6"/>
        <v>22724.339999999997</v>
      </c>
      <c r="X29" s="15">
        <f>IFERROR(W29/W444, "NA")</f>
        <v>11.526596904847814</v>
      </c>
      <c r="Y29" s="2"/>
      <c r="Z29" s="14">
        <f>IFERROR(Z21+Z22+Z23+Z24+Z25+Z26+Z27+Z28, "NA")</f>
        <v>100302.88</v>
      </c>
      <c r="AA29" s="15">
        <f>IFERROR(Z29/Z444, "NA")</f>
        <v>6.0417924383554887E-2</v>
      </c>
      <c r="AB29" s="2"/>
      <c r="AC29" s="14">
        <f t="shared" si="7"/>
        <v>24395.729999999996</v>
      </c>
      <c r="AD29" s="15">
        <f>IFERROR(AC29/AC444, "NA")</f>
        <v>0.14986062365462727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58263.85</v>
      </c>
      <c r="F31" s="8">
        <f>IFERROR(E31/E444, "NA")</f>
        <v>0.26900002225359476</v>
      </c>
      <c r="G31" s="9"/>
      <c r="H31" s="10">
        <f t="shared" ref="H31:H40" si="8">IFERROR(B31-E31, "NA")</f>
        <v>-58263.85</v>
      </c>
      <c r="I31" s="8">
        <f>IFERROR(H31/H444, "NA")</f>
        <v>1.6111288853887236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489840.68</v>
      </c>
      <c r="U31" s="8">
        <f>IFERROR(T31/T444, "NA")</f>
        <v>0.26900000600229867</v>
      </c>
      <c r="V31" s="9"/>
      <c r="W31" s="10">
        <f t="shared" ref="W31:W40" si="10">IFERROR(Q31-T31, "NA")</f>
        <v>-489840.68</v>
      </c>
      <c r="X31" s="8">
        <f>IFERROR(W31/W444, "NA")</f>
        <v>-248.46468878552903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18288.939999999999</v>
      </c>
      <c r="C33" s="8">
        <f>IFERROR(B33/B444, "NA")</f>
        <v>0.10136259957762211</v>
      </c>
      <c r="D33" s="9"/>
      <c r="E33" s="7">
        <v>0</v>
      </c>
      <c r="F33" s="8">
        <f>IFERROR(E33/E444, "NA")</f>
        <v>0</v>
      </c>
      <c r="G33" s="9"/>
      <c r="H33" s="10">
        <f t="shared" si="8"/>
        <v>18288.939999999999</v>
      </c>
      <c r="I33" s="8">
        <f>IFERROR(H33/H444, "NA")</f>
        <v>-0.50573107539479867</v>
      </c>
      <c r="J33" s="9"/>
      <c r="K33" s="7">
        <v>29743.49</v>
      </c>
      <c r="L33" s="8">
        <f>IFERROR(K33/K444, "NA")</f>
        <v>0.14762254832135535</v>
      </c>
      <c r="M33" s="9"/>
      <c r="N33" s="10">
        <f t="shared" si="9"/>
        <v>-11454.550000000003</v>
      </c>
      <c r="O33" s="8">
        <f>IFERROR(N33/N444, "NA")</f>
        <v>0.54409375025234519</v>
      </c>
      <c r="P33" s="9"/>
      <c r="Q33" s="7">
        <v>194741.13</v>
      </c>
      <c r="R33" s="8">
        <f>IFERROR(Q33/Q444, "NA")</f>
        <v>0.10682802318561686</v>
      </c>
      <c r="S33" s="9"/>
      <c r="T33" s="7">
        <v>0</v>
      </c>
      <c r="U33" s="8">
        <f>IFERROR(T33/T444, "NA")</f>
        <v>0</v>
      </c>
      <c r="V33" s="9"/>
      <c r="W33" s="10">
        <f t="shared" si="10"/>
        <v>194741.13</v>
      </c>
      <c r="X33" s="8">
        <f>IFERROR(W33/W444, "NA")</f>
        <v>98.779656804314939</v>
      </c>
      <c r="Y33" s="9"/>
      <c r="Z33" s="7">
        <v>163682.37</v>
      </c>
      <c r="AA33" s="8">
        <f>IFERROR(Z33/Z444, "NA")</f>
        <v>9.8594866404444731E-2</v>
      </c>
      <c r="AB33" s="9"/>
      <c r="AC33" s="10">
        <f t="shared" si="11"/>
        <v>31058.760000000009</v>
      </c>
      <c r="AD33" s="8">
        <f>IFERROR(AC33/AC444, "NA")</f>
        <v>0.19079097627082256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1086.57</v>
      </c>
      <c r="C35" s="8">
        <f>IFERROR(B35/B444, "NA")</f>
        <v>6.0220854693086015E-3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1086.57</v>
      </c>
      <c r="I35" s="8">
        <f>IFERROR(H35/H444, "NA")</f>
        <v>-3.0046148907029408E-2</v>
      </c>
      <c r="J35" s="9"/>
      <c r="K35" s="7">
        <v>2301.36</v>
      </c>
      <c r="L35" s="8">
        <f>IFERROR(K35/K444, "NA")</f>
        <v>1.1422083548528916E-2</v>
      </c>
      <c r="M35" s="9"/>
      <c r="N35" s="10">
        <f t="shared" si="9"/>
        <v>-1214.7900000000002</v>
      </c>
      <c r="O35" s="8">
        <f>IFERROR(N35/N444, "NA")</f>
        <v>5.7702803416026495E-2</v>
      </c>
      <c r="P35" s="9"/>
      <c r="Q35" s="7">
        <v>19408.84</v>
      </c>
      <c r="R35" s="8">
        <f>IFERROR(Q35/Q444, "NA")</f>
        <v>1.0646995883848102E-2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19408.84</v>
      </c>
      <c r="X35" s="8">
        <f>IFERROR(W35/W444, "NA")</f>
        <v>9.8448568834424446</v>
      </c>
      <c r="Y35" s="9"/>
      <c r="Z35" s="7">
        <v>7580.94</v>
      </c>
      <c r="AA35" s="8">
        <f>IFERROR(Z35/Z444, "NA")</f>
        <v>4.5664158364771435E-3</v>
      </c>
      <c r="AB35" s="9"/>
      <c r="AC35" s="10">
        <f t="shared" si="11"/>
        <v>11827.900000000001</v>
      </c>
      <c r="AD35" s="8">
        <f>IFERROR(AC35/AC444, "NA")</f>
        <v>7.2657652405751602E-2</v>
      </c>
    </row>
    <row r="36" spans="1:30" ht="16.5" customHeight="1" x14ac:dyDescent="0.45">
      <c r="A36" s="12" t="s">
        <v>36</v>
      </c>
      <c r="B36" s="7">
        <v>25312.63</v>
      </c>
      <c r="C36" s="8">
        <f>IFERROR(B36/B444, "NA")</f>
        <v>0.14028992270445992</v>
      </c>
      <c r="D36" s="9"/>
      <c r="E36" s="7">
        <v>0</v>
      </c>
      <c r="F36" s="8">
        <f>IFERROR(E36/E444, "NA")</f>
        <v>0</v>
      </c>
      <c r="G36" s="9"/>
      <c r="H36" s="10">
        <f t="shared" si="8"/>
        <v>25312.63</v>
      </c>
      <c r="I36" s="8">
        <f>IFERROR(H36/H444, "NA")</f>
        <v>-0.69995218919033275</v>
      </c>
      <c r="J36" s="9"/>
      <c r="K36" s="7">
        <v>26490.81</v>
      </c>
      <c r="L36" s="8">
        <f>IFERROR(K36/K444, "NA")</f>
        <v>0.13147888426330748</v>
      </c>
      <c r="M36" s="9"/>
      <c r="N36" s="10">
        <f t="shared" si="9"/>
        <v>-1178.1800000000003</v>
      </c>
      <c r="O36" s="8">
        <f>IFERROR(N36/N444, "NA")</f>
        <v>5.596382002543164E-2</v>
      </c>
      <c r="P36" s="9"/>
      <c r="Q36" s="7">
        <v>196383.24</v>
      </c>
      <c r="R36" s="8">
        <f>IFERROR(Q36/Q444, "NA")</f>
        <v>0.10772882603683444</v>
      </c>
      <c r="S36" s="9"/>
      <c r="T36" s="7">
        <v>0</v>
      </c>
      <c r="U36" s="8">
        <f>IFERROR(T36/T444, "NA")</f>
        <v>0</v>
      </c>
      <c r="V36" s="9"/>
      <c r="W36" s="10">
        <f t="shared" si="10"/>
        <v>196383.24</v>
      </c>
      <c r="X36" s="8">
        <f>IFERROR(W36/W444, "NA")</f>
        <v>99.612593648395759</v>
      </c>
      <c r="Y36" s="9"/>
      <c r="Z36" s="7">
        <v>205956.13</v>
      </c>
      <c r="AA36" s="8">
        <f>IFERROR(Z36/Z444, "NA")</f>
        <v>0.12405866998703925</v>
      </c>
      <c r="AB36" s="9"/>
      <c r="AC36" s="10">
        <f t="shared" si="11"/>
        <v>-9572.890000000014</v>
      </c>
      <c r="AD36" s="8">
        <f>IFERROR(AC36/AC444, "NA")</f>
        <v>-5.8805342802906384E-2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2071.4</v>
      </c>
      <c r="C39" s="8">
        <f>IFERROR(B39/B444, "NA")</f>
        <v>1.1480298407949639E-2</v>
      </c>
      <c r="D39" s="9"/>
      <c r="E39" s="7">
        <v>0</v>
      </c>
      <c r="F39" s="8">
        <f>IFERROR(E39/E444, "NA")</f>
        <v>0</v>
      </c>
      <c r="G39" s="9"/>
      <c r="H39" s="10">
        <f t="shared" si="8"/>
        <v>2071.4</v>
      </c>
      <c r="I39" s="8">
        <f>IFERROR(H39/H444, "NA")</f>
        <v>-5.7278953814315435E-2</v>
      </c>
      <c r="J39" s="9"/>
      <c r="K39" s="7">
        <v>2131.08</v>
      </c>
      <c r="L39" s="8">
        <f>IFERROR(K39/K444, "NA")</f>
        <v>1.0576951806148973E-2</v>
      </c>
      <c r="M39" s="9"/>
      <c r="N39" s="10">
        <f t="shared" si="9"/>
        <v>-59.679999999999836</v>
      </c>
      <c r="O39" s="8">
        <f>IFERROR(N39/N444, "NA")</f>
        <v>2.8348136779759885E-3</v>
      </c>
      <c r="P39" s="9"/>
      <c r="Q39" s="7">
        <v>24964.89</v>
      </c>
      <c r="R39" s="8">
        <f>IFERROR(Q39/Q444, "NA")</f>
        <v>1.3694846321094956E-2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24964.89</v>
      </c>
      <c r="X39" s="8">
        <f>IFERROR(W39/W444, "NA")</f>
        <v>12.663083891715498</v>
      </c>
      <c r="Y39" s="9"/>
      <c r="Z39" s="7">
        <v>19315.43</v>
      </c>
      <c r="AA39" s="8">
        <f>IFERROR(Z39/Z444, "NA")</f>
        <v>1.1634742583421807E-2</v>
      </c>
      <c r="AB39" s="9"/>
      <c r="AC39" s="10">
        <f t="shared" si="11"/>
        <v>5649.4599999999991</v>
      </c>
      <c r="AD39" s="8">
        <f>IFERROR(AC39/AC444, "NA")</f>
        <v>3.4704089564520951E-2</v>
      </c>
    </row>
    <row r="40" spans="1:30" ht="16.5" customHeight="1" x14ac:dyDescent="0.45">
      <c r="A40" s="13" t="s">
        <v>40</v>
      </c>
      <c r="B40" s="14">
        <f>IFERROR(B31+B32+B33+B34+B35+B36+B37+B38+B39, "NA")</f>
        <v>46759.54</v>
      </c>
      <c r="C40" s="15">
        <f>IFERROR(B40/B444, "NA")</f>
        <v>0.25915490615934028</v>
      </c>
      <c r="D40" s="2"/>
      <c r="E40" s="14">
        <f>IFERROR(E31+E32+E33+E34+E35+E36+E37+E38+E39, "NA")</f>
        <v>58263.85</v>
      </c>
      <c r="F40" s="15">
        <f>IFERROR(E40/E444, "NA")</f>
        <v>0.26900002225359476</v>
      </c>
      <c r="G40" s="2"/>
      <c r="H40" s="14">
        <f t="shared" si="8"/>
        <v>-11504.309999999998</v>
      </c>
      <c r="I40" s="15">
        <f>IFERROR(H40/H444, "NA")</f>
        <v>0.31812051808224728</v>
      </c>
      <c r="J40" s="2"/>
      <c r="K40" s="14">
        <f>IFERROR(K31+K32+K33+K34+K35+K36+K37+K38+K39, "NA")</f>
        <v>60666.740000000005</v>
      </c>
      <c r="L40" s="15">
        <f>IFERROR(K40/K444, "NA")</f>
        <v>0.3011004679393407</v>
      </c>
      <c r="M40" s="2"/>
      <c r="N40" s="14">
        <f t="shared" si="9"/>
        <v>-13907.200000000004</v>
      </c>
      <c r="O40" s="15">
        <f>IFERROR(N40/N444, "NA")</f>
        <v>0.66059518737177936</v>
      </c>
      <c r="P40" s="2"/>
      <c r="Q40" s="14">
        <f>IFERROR(Q31+Q32+Q33+Q34+Q35+Q36+Q37+Q38+Q39, "NA")</f>
        <v>435498.1</v>
      </c>
      <c r="R40" s="15">
        <f>IFERROR(Q40/Q444, "NA")</f>
        <v>0.23889869142739437</v>
      </c>
      <c r="S40" s="2"/>
      <c r="T40" s="14">
        <f>IFERROR(T31+T32+T33+T34+T35+T36+T37+T38+T39, "NA")</f>
        <v>489840.68</v>
      </c>
      <c r="U40" s="15">
        <f>IFERROR(T40/T444, "NA")</f>
        <v>0.26900000600229867</v>
      </c>
      <c r="V40" s="2"/>
      <c r="W40" s="14">
        <f t="shared" si="10"/>
        <v>-54342.580000000016</v>
      </c>
      <c r="X40" s="15">
        <f>IFERROR(W40/W444, "NA")</f>
        <v>-27.56449755766042</v>
      </c>
      <c r="Y40" s="2"/>
      <c r="Z40" s="14">
        <f>IFERROR(Z31+Z32+Z33+Z34+Z35+Z36+Z37+Z38+Z39, "NA")</f>
        <v>396534.87</v>
      </c>
      <c r="AA40" s="15">
        <f>IFERROR(Z40/Z444, "NA")</f>
        <v>0.23885469481138294</v>
      </c>
      <c r="AB40" s="2"/>
      <c r="AC40" s="14">
        <f t="shared" si="11"/>
        <v>38963.229999999981</v>
      </c>
      <c r="AD40" s="15">
        <f>IFERROR(AC40/AC444, "NA")</f>
        <v>0.23934737543818863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11294.14</v>
      </c>
      <c r="C43" s="8">
        <f>IFERROR(B43/B444, "NA")</f>
        <v>6.2595393193569715E-2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11294.14</v>
      </c>
      <c r="I43" s="8">
        <f>IFERROR(H43/H444, "NA")</f>
        <v>-0.31230883626166478</v>
      </c>
      <c r="J43" s="9"/>
      <c r="K43" s="7">
        <v>24682.76</v>
      </c>
      <c r="L43" s="8">
        <f>IFERROR(K43/K444, "NA")</f>
        <v>0.12250519124703982</v>
      </c>
      <c r="M43" s="9"/>
      <c r="N43" s="10">
        <f>IFERROR(B43-K43, "NA")</f>
        <v>-13388.619999999999</v>
      </c>
      <c r="O43" s="8">
        <f>IFERROR(N43/N444, "NA")</f>
        <v>0.63596251851915186</v>
      </c>
      <c r="P43" s="9"/>
      <c r="Q43" s="7">
        <v>135696.75</v>
      </c>
      <c r="R43" s="8">
        <f>IFERROR(Q43/Q444, "NA")</f>
        <v>7.4438386771263243E-2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135696.75</v>
      </c>
      <c r="X43" s="8">
        <f>IFERROR(W43/W444, "NA")</f>
        <v>68.830238350064633</v>
      </c>
      <c r="Y43" s="9"/>
      <c r="Z43" s="7">
        <v>51971.11</v>
      </c>
      <c r="AA43" s="8">
        <f>IFERROR(Z43/Z444, "NA")</f>
        <v>3.1305049208052778E-2</v>
      </c>
      <c r="AB43" s="9"/>
      <c r="AC43" s="10">
        <f>IFERROR(Q43-Z43, "NA")</f>
        <v>83725.64</v>
      </c>
      <c r="AD43" s="8">
        <f>IFERROR(AC43/AC444, "NA")</f>
        <v>0.51431855600479304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95518.05</v>
      </c>
      <c r="F46" s="8">
        <f>IFERROR(E46/E444, "NA")</f>
        <v>0.44099999529073308</v>
      </c>
      <c r="G46" s="9"/>
      <c r="H46" s="10">
        <f t="shared" ref="H46:H62" si="12">IFERROR(B46-E46, "NA")</f>
        <v>-95518.05</v>
      </c>
      <c r="I46" s="8">
        <f>IFERROR(H46/H444, "NA")</f>
        <v>2.6412928330517875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803047.36</v>
      </c>
      <c r="U46" s="8">
        <f>IFERROR(T46/T444, "NA")</f>
        <v>0.44100000975854048</v>
      </c>
      <c r="V46" s="9"/>
      <c r="W46" s="10">
        <f t="shared" ref="W46:W62" si="14">IFERROR(Q46-T46, "NA")</f>
        <v>-803047.36</v>
      </c>
      <c r="X46" s="8">
        <f>IFERROR(W46/W444, "NA")</f>
        <v>-407.33430384434524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39784.839999999997</v>
      </c>
      <c r="C48" s="8">
        <f>IFERROR(B48/B444, "NA")</f>
        <v>0.22049909979363283</v>
      </c>
      <c r="D48" s="9"/>
      <c r="E48" s="7">
        <v>0</v>
      </c>
      <c r="F48" s="8">
        <f>IFERROR(E48/E444, "NA")</f>
        <v>0</v>
      </c>
      <c r="G48" s="9"/>
      <c r="H48" s="10">
        <f t="shared" si="12"/>
        <v>39784.839999999997</v>
      </c>
      <c r="I48" s="8">
        <f>IFERROR(H48/H444, "NA")</f>
        <v>-1.100141939205334</v>
      </c>
      <c r="J48" s="9"/>
      <c r="K48" s="7">
        <v>44362.42</v>
      </c>
      <c r="L48" s="8">
        <f>IFERROR(K48/K444, "NA")</f>
        <v>0.22017905397457596</v>
      </c>
      <c r="M48" s="9"/>
      <c r="N48" s="10">
        <f t="shared" si="13"/>
        <v>-4577.5800000000017</v>
      </c>
      <c r="O48" s="8">
        <f>IFERROR(N48/N444, "NA")</f>
        <v>0.21743609912917838</v>
      </c>
      <c r="P48" s="9"/>
      <c r="Q48" s="7">
        <v>400010.27</v>
      </c>
      <c r="R48" s="8">
        <f>IFERROR(Q48/Q444, "NA")</f>
        <v>0.21943133634915676</v>
      </c>
      <c r="S48" s="9"/>
      <c r="T48" s="7">
        <v>0</v>
      </c>
      <c r="U48" s="8">
        <f>IFERROR(T48/T444, "NA")</f>
        <v>0</v>
      </c>
      <c r="V48" s="9"/>
      <c r="W48" s="10">
        <f t="shared" si="14"/>
        <v>400010.27</v>
      </c>
      <c r="X48" s="8">
        <f>IFERROR(W48/W444, "NA")</f>
        <v>202.89949631493539</v>
      </c>
      <c r="Y48" s="9"/>
      <c r="Z48" s="7">
        <v>477732.81</v>
      </c>
      <c r="AA48" s="8">
        <f>IFERROR(Z48/Z444, "NA")</f>
        <v>0.28776466628000302</v>
      </c>
      <c r="AB48" s="9"/>
      <c r="AC48" s="10">
        <f t="shared" si="15"/>
        <v>-77722.539999999979</v>
      </c>
      <c r="AD48" s="8">
        <f>IFERROR(AC48/AC444, "NA")</f>
        <v>-0.47744208992400367</v>
      </c>
    </row>
    <row r="49" spans="1:30" ht="16.5" customHeight="1" x14ac:dyDescent="0.45">
      <c r="A49" s="17" t="s">
        <v>47</v>
      </c>
      <c r="B49" s="7">
        <v>2700</v>
      </c>
      <c r="C49" s="8">
        <f>IFERROR(B49/B444, "NA")</f>
        <v>1.4964181568728406E-2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2700</v>
      </c>
      <c r="I49" s="8">
        <f>IFERROR(H49/H444, "NA")</f>
        <v>-7.4661183401878758E-2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2700</v>
      </c>
      <c r="O49" s="8">
        <f>IFERROR(N49/N444, "NA")</f>
        <v>-0.12825061880923577</v>
      </c>
      <c r="P49" s="9"/>
      <c r="Q49" s="7">
        <v>7541.23</v>
      </c>
      <c r="R49" s="8">
        <f>IFERROR(Q49/Q444, "NA")</f>
        <v>4.1368492279369512E-3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7541.23</v>
      </c>
      <c r="X49" s="8">
        <f>IFERROR(W49/W444, "NA")</f>
        <v>3.8251812099601343</v>
      </c>
      <c r="Y49" s="9"/>
      <c r="Z49" s="7">
        <v>3000</v>
      </c>
      <c r="AA49" s="8">
        <f>IFERROR(Z49/Z444, "NA")</f>
        <v>1.8070644945655065E-3</v>
      </c>
      <c r="AB49" s="9"/>
      <c r="AC49" s="10">
        <f t="shared" si="15"/>
        <v>4541.2299999999996</v>
      </c>
      <c r="AD49" s="8">
        <f>IFERROR(AC49/AC444, "NA")</f>
        <v>2.7896339234739158E-2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1930.74</v>
      </c>
      <c r="C51" s="8">
        <f>IFERROR(B51/B444, "NA")</f>
        <v>1.0700719971113586E-2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1930.74</v>
      </c>
      <c r="I51" s="8">
        <f>IFERROR(H51/H444, "NA")</f>
        <v>-5.3389382681979035E-2</v>
      </c>
      <c r="J51" s="9"/>
      <c r="K51" s="7">
        <v>4561.8</v>
      </c>
      <c r="L51" s="8">
        <f>IFERROR(K51/K444, "NA")</f>
        <v>2.264107342253242E-2</v>
      </c>
      <c r="M51" s="9"/>
      <c r="N51" s="10">
        <f t="shared" si="13"/>
        <v>-2631.0600000000004</v>
      </c>
      <c r="O51" s="8">
        <f>IFERROR(N51/N444, "NA")</f>
        <v>0.1249759530089733</v>
      </c>
      <c r="P51" s="9"/>
      <c r="Q51" s="7">
        <v>29505.82</v>
      </c>
      <c r="R51" s="8">
        <f>IFERROR(Q51/Q444, "NA")</f>
        <v>1.6185838210298141E-2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29505.82</v>
      </c>
      <c r="X51" s="8">
        <f>IFERROR(W51/W444, "NA")</f>
        <v>14.966405778429506</v>
      </c>
      <c r="Y51" s="9"/>
      <c r="Z51" s="7">
        <v>66651.58</v>
      </c>
      <c r="AA51" s="8">
        <f>IFERROR(Z51/Z444, "NA")</f>
        <v>4.0147901241564143E-2</v>
      </c>
      <c r="AB51" s="9"/>
      <c r="AC51" s="10">
        <f t="shared" si="15"/>
        <v>-37145.760000000002</v>
      </c>
      <c r="AD51" s="8">
        <f>IFERROR(AC51/AC444, "NA")</f>
        <v>-0.22818283198433123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9074.7999999999993</v>
      </c>
      <c r="R53" s="8">
        <f>IFERROR(Q53/Q444, "NA")</f>
        <v>4.9781109147555829E-3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9074.7999999999993</v>
      </c>
      <c r="X53" s="8">
        <f>IFERROR(W53/W444, "NA")</f>
        <v>4.6030626892623916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9074.7999999999993</v>
      </c>
      <c r="AD53" s="8">
        <f>IFERROR(AC53/AC444, "NA")</f>
        <v>5.57456238260143E-2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6.3907735880573172E-6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5.9092961089948952E-3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7.1564829811463244E-5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41.15</v>
      </c>
      <c r="R55" s="8">
        <f>IFERROR(Q55/Q444, "NA")</f>
        <v>2.2573419154382714E-5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2.0872749775548489E-2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2.5278049328255042E-4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11.65</v>
      </c>
      <c r="R56" s="8">
        <f>IFERROR(Q56/Q444, "NA")</f>
        <v>6.3907735880573172E-6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5.9092961089948952E-3</v>
      </c>
      <c r="Y56" s="9"/>
      <c r="Z56" s="7">
        <v>1363.07</v>
      </c>
      <c r="AA56" s="8">
        <f>IFERROR(Z56/Z444, "NA")</f>
        <v>8.2105180020246825E-4</v>
      </c>
      <c r="AB56" s="9"/>
      <c r="AC56" s="10">
        <f t="shared" si="15"/>
        <v>-1351.4199999999998</v>
      </c>
      <c r="AD56" s="8">
        <f>IFERROR(AC56/AC444, "NA")</f>
        <v>-8.301643116206665E-3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769.05</v>
      </c>
      <c r="C58" s="8">
        <f>IFERROR(B58/B444, "NA")</f>
        <v>4.2622977168261409E-3</v>
      </c>
      <c r="D58" s="9"/>
      <c r="E58" s="7">
        <v>0</v>
      </c>
      <c r="F58" s="8">
        <f>IFERROR(E58/E444, "NA")</f>
        <v>0</v>
      </c>
      <c r="G58" s="9"/>
      <c r="H58" s="10">
        <f t="shared" si="12"/>
        <v>769.05</v>
      </c>
      <c r="I58" s="8">
        <f>IFERROR(H58/H444, "NA")</f>
        <v>-2.1265993738968467E-2</v>
      </c>
      <c r="J58" s="9"/>
      <c r="K58" s="7">
        <v>0</v>
      </c>
      <c r="L58" s="8">
        <f>IFERROR(K58/K444, "NA")</f>
        <v>0</v>
      </c>
      <c r="M58" s="9"/>
      <c r="N58" s="10">
        <f t="shared" si="13"/>
        <v>769.05</v>
      </c>
      <c r="O58" s="8">
        <f>IFERROR(N58/N444, "NA")</f>
        <v>-3.6530051257497316E-2</v>
      </c>
      <c r="P58" s="9"/>
      <c r="Q58" s="7">
        <v>2558.71</v>
      </c>
      <c r="R58" s="8">
        <f>IFERROR(Q58/Q444, "NA")</f>
        <v>1.4036168487122865E-3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2558.71</v>
      </c>
      <c r="X58" s="8">
        <f>IFERROR(W58/W444, "NA")</f>
        <v>1.2978691027507576</v>
      </c>
      <c r="Y58" s="9"/>
      <c r="Z58" s="7">
        <v>5464.25</v>
      </c>
      <c r="AA58" s="8">
        <f>IFERROR(Z58/Z444, "NA")</f>
        <v>3.2914173881431895E-3</v>
      </c>
      <c r="AB58" s="9"/>
      <c r="AC58" s="10">
        <f t="shared" si="15"/>
        <v>-2905.54</v>
      </c>
      <c r="AD58" s="8">
        <f>IFERROR(AC58/AC444, "NA")</f>
        <v>-1.7848452842094326E-2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45184.63</v>
      </c>
      <c r="C61" s="15">
        <f>IFERROR(B61/B444, "NA")</f>
        <v>0.25042629905030095</v>
      </c>
      <c r="D61" s="2"/>
      <c r="E61" s="14">
        <f>IFERROR(E46+E47+E48+E49+E50+E51+E52+E53+E54+E55+E56+E57+E58+E59+E60, "NA")</f>
        <v>95518.05</v>
      </c>
      <c r="F61" s="15">
        <f>IFERROR(E61/E444, "NA")</f>
        <v>0.44099999529073308</v>
      </c>
      <c r="G61" s="2"/>
      <c r="H61" s="14">
        <f t="shared" si="12"/>
        <v>-50333.420000000006</v>
      </c>
      <c r="I61" s="15">
        <f>IFERROR(H61/H444, "NA")</f>
        <v>1.391834334023627</v>
      </c>
      <c r="J61" s="2"/>
      <c r="K61" s="14">
        <f>IFERROR(K46+K47+K48+K49+K50+K51+K52+K53+K54+K55+K56+K57+K58+K59+K60, "NA")</f>
        <v>48924.22</v>
      </c>
      <c r="L61" s="15">
        <f>IFERROR(K61/K444, "NA")</f>
        <v>0.2428201273971084</v>
      </c>
      <c r="M61" s="2"/>
      <c r="N61" s="14">
        <f t="shared" si="13"/>
        <v>-3739.5900000000038</v>
      </c>
      <c r="O61" s="15">
        <f>IFERROR(N61/N444, "NA")</f>
        <v>0.17763138207141868</v>
      </c>
      <c r="P61" s="2"/>
      <c r="Q61" s="14">
        <f>IFERROR(Q46+Q47+Q48+Q49+Q50+Q51+Q52+Q53+Q54+Q55+Q56+Q57+Q58+Q59+Q60, "NA")</f>
        <v>448755.28000000009</v>
      </c>
      <c r="R61" s="15">
        <f>IFERROR(Q61/Q444, "NA")</f>
        <v>0.24617110651719026</v>
      </c>
      <c r="S61" s="2"/>
      <c r="T61" s="14">
        <f>IFERROR(T46+T47+T48+T49+T50+T51+T52+T53+T54+T55+T56+T57+T58+T59+T60, "NA")</f>
        <v>803047.36</v>
      </c>
      <c r="U61" s="15">
        <f>IFERROR(T61/T444, "NA")</f>
        <v>0.44100000975854048</v>
      </c>
      <c r="V61" s="2"/>
      <c r="W61" s="14">
        <f t="shared" si="14"/>
        <v>-354292.0799999999</v>
      </c>
      <c r="X61" s="15">
        <f>IFERROR(W61/W444, "NA")</f>
        <v>-179.70959740701352</v>
      </c>
      <c r="Y61" s="2"/>
      <c r="Z61" s="14">
        <f>IFERROR(Z46+Z47+Z48+Z49+Z50+Z51+Z52+Z53+Z54+Z55+Z56+Z57+Z58+Z59+Z60, "NA")</f>
        <v>554211.71</v>
      </c>
      <c r="AA61" s="15">
        <f>IFERROR(Z61/Z444, "NA")</f>
        <v>0.33383210120447832</v>
      </c>
      <c r="AB61" s="2"/>
      <c r="AC61" s="14">
        <f t="shared" si="15"/>
        <v>-105456.42999999988</v>
      </c>
      <c r="AD61" s="15">
        <f>IFERROR(AC61/AC444, "NA")</f>
        <v>-0.64780870948278779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56478.77</v>
      </c>
      <c r="C62" s="15">
        <f>IFERROR(B62/B444, "NA")</f>
        <v>0.31302169224387066</v>
      </c>
      <c r="D62" s="2"/>
      <c r="E62" s="14">
        <f>IFERROR(E42+E43+E44+E46+E47+E48+E49+E50+E51+E52+E53+E54+E55+E56+E57+E58+E59+E60, "NA")</f>
        <v>95518.05</v>
      </c>
      <c r="F62" s="15">
        <f>IFERROR(E62/E444, "NA")</f>
        <v>0.44099999529073308</v>
      </c>
      <c r="G62" s="2"/>
      <c r="H62" s="14">
        <f t="shared" si="12"/>
        <v>-39039.280000000006</v>
      </c>
      <c r="I62" s="15">
        <f>IFERROR(H62/H444, "NA")</f>
        <v>1.0795254977619622</v>
      </c>
      <c r="J62" s="2"/>
      <c r="K62" s="14">
        <f>IFERROR(K42+K43+K44+K46+K47+K48+K49+K50+K51+K52+K53+K54+K55+K56+K57+K58+K59+K60, "NA")</f>
        <v>73606.98</v>
      </c>
      <c r="L62" s="15">
        <f>IFERROR(K62/K444, "NA")</f>
        <v>0.36532531864414819</v>
      </c>
      <c r="M62" s="2"/>
      <c r="N62" s="14">
        <f t="shared" si="13"/>
        <v>-17128.21</v>
      </c>
      <c r="O62" s="15">
        <f>IFERROR(N62/N444, "NA")</f>
        <v>0.81359390059057035</v>
      </c>
      <c r="P62" s="2"/>
      <c r="Q62" s="14">
        <f>IFERROR(Q42+Q43+Q44+Q46+Q47+Q48+Q49+Q50+Q51+Q52+Q53+Q54+Q55+Q56+Q57+Q58+Q59+Q60, "NA")</f>
        <v>584452.03</v>
      </c>
      <c r="R62" s="15">
        <f>IFERROR(Q62/Q444, "NA")</f>
        <v>0.32060949328845345</v>
      </c>
      <c r="S62" s="2"/>
      <c r="T62" s="14">
        <f>IFERROR(T42+T43+T44+T46+T47+T48+T49+T50+T51+T52+T53+T54+T55+T56+T57+T58+T59+T60, "NA")</f>
        <v>803047.36</v>
      </c>
      <c r="U62" s="15">
        <f>IFERROR(T62/T444, "NA")</f>
        <v>0.44100000975854048</v>
      </c>
      <c r="V62" s="2"/>
      <c r="W62" s="14">
        <f t="shared" si="14"/>
        <v>-218595.32999999996</v>
      </c>
      <c r="X62" s="15">
        <f>IFERROR(W62/W444, "NA")</f>
        <v>-110.8793590569489</v>
      </c>
      <c r="Y62" s="2"/>
      <c r="Z62" s="14">
        <f>IFERROR(Z42+Z43+Z44+Z46+Z47+Z48+Z49+Z50+Z51+Z52+Z53+Z54+Z55+Z56+Z57+Z58+Z59+Z60, "NA")</f>
        <v>606182.81999999995</v>
      </c>
      <c r="AA62" s="15">
        <f>IFERROR(Z62/Z444, "NA")</f>
        <v>0.36513715041253109</v>
      </c>
      <c r="AB62" s="2"/>
      <c r="AC62" s="14">
        <f t="shared" si="15"/>
        <v>-21730.789999999921</v>
      </c>
      <c r="AD62" s="15">
        <f>IFERROR(AC62/AC444, "NA")</f>
        <v>-0.13349015347799498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9420.4599999999991</v>
      </c>
      <c r="R65" s="8">
        <f>IFERROR(Q65/Q444, "NA")</f>
        <v>5.1677276356523975E-3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9420.4599999999991</v>
      </c>
      <c r="X65" s="8">
        <f>IFERROR(W65/W444, "NA")</f>
        <v>4.7783937873769995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9420.4599999999991</v>
      </c>
      <c r="AD65" s="8">
        <f>IFERROR(AC65/AC444, "NA")</f>
        <v>5.7868979969587717E-2</v>
      </c>
    </row>
    <row r="66" spans="1:30" ht="16.5" customHeight="1" x14ac:dyDescent="0.45">
      <c r="A66" s="12" t="s">
        <v>63</v>
      </c>
      <c r="B66" s="7">
        <v>10869.82</v>
      </c>
      <c r="C66" s="8">
        <f>IFERROR(B66/B444, "NA")</f>
        <v>6.0243688925702005E-2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10869.82</v>
      </c>
      <c r="I66" s="8">
        <f>IFERROR(H66/H444, "NA")</f>
        <v>-0.30057541650570735</v>
      </c>
      <c r="J66" s="9"/>
      <c r="K66" s="7">
        <v>10636.44</v>
      </c>
      <c r="L66" s="8">
        <f>IFERROR(K66/K444, "NA")</f>
        <v>5.2790656976272686E-2</v>
      </c>
      <c r="M66" s="9"/>
      <c r="N66" s="10">
        <f t="shared" si="17"/>
        <v>233.3799999999992</v>
      </c>
      <c r="O66" s="8">
        <f>IFERROR(N66/N444, "NA")</f>
        <v>-1.1085603488036793E-2</v>
      </c>
      <c r="P66" s="9"/>
      <c r="Q66" s="7">
        <v>121176.92</v>
      </c>
      <c r="R66" s="8">
        <f>IFERROR(Q66/Q444, "NA")</f>
        <v>6.6473327023015838E-2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121176.92</v>
      </c>
      <c r="X66" s="8">
        <f>IFERROR(W66/W444, "NA")</f>
        <v>61.46526196188718</v>
      </c>
      <c r="Y66" s="9"/>
      <c r="Z66" s="7">
        <v>119940.46</v>
      </c>
      <c r="AA66" s="8">
        <f>IFERROR(Z66/Z444, "NA")</f>
        <v>7.2246715575951456E-2</v>
      </c>
      <c r="AB66" s="9"/>
      <c r="AC66" s="10">
        <f t="shared" si="19"/>
        <v>1236.4599999999919</v>
      </c>
      <c r="AD66" s="8">
        <f>IFERROR(AC66/AC444, "NA")</f>
        <v>7.5954548900155584E-3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5.4213234057831289E-3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5.0128837872248324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6.0708782988775821E-2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10869.82</v>
      </c>
      <c r="C73" s="15">
        <f>IFERROR(B73/B444, "NA")</f>
        <v>6.0243688925702005E-2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10869.82</v>
      </c>
      <c r="I73" s="15">
        <f>IFERROR(H73/H444, "NA")</f>
        <v>-0.30057541650570735</v>
      </c>
      <c r="J73" s="2"/>
      <c r="K73" s="14">
        <f>IFERROR(K64+K65+K66+K67+K68+K69+K70+K71+K72, "NA")</f>
        <v>10636.44</v>
      </c>
      <c r="L73" s="15">
        <f>IFERROR(K73/K444, "NA")</f>
        <v>5.2790656976272686E-2</v>
      </c>
      <c r="M73" s="2"/>
      <c r="N73" s="14">
        <f t="shared" si="17"/>
        <v>233.3799999999992</v>
      </c>
      <c r="O73" s="15">
        <f>IFERROR(N73/N444, "NA")</f>
        <v>-1.1085603488036793E-2</v>
      </c>
      <c r="P73" s="2"/>
      <c r="Q73" s="14">
        <f>IFERROR(Q64+Q65+Q66+Q67+Q68+Q69+Q70+Q71+Q72, "NA")</f>
        <v>140480.13</v>
      </c>
      <c r="R73" s="15">
        <f>IFERROR(Q73/Q444, "NA")</f>
        <v>7.7062378064451362E-2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140480.13</v>
      </c>
      <c r="X73" s="15">
        <f>IFERROR(W73/W444, "NA")</f>
        <v>71.256539536489015</v>
      </c>
      <c r="Y73" s="2"/>
      <c r="Z73" s="14">
        <f>IFERROR(Z64+Z65+Z66+Z67+Z68+Z69+Z70+Z71+Z72, "NA")</f>
        <v>119940.46</v>
      </c>
      <c r="AA73" s="15">
        <f>IFERROR(Z73/Z444, "NA")</f>
        <v>7.2246715575951456E-2</v>
      </c>
      <c r="AB73" s="2"/>
      <c r="AC73" s="14">
        <f t="shared" si="19"/>
        <v>20539.669999999998</v>
      </c>
      <c r="AD73" s="15">
        <f>IFERROR(AC73/AC444, "NA")</f>
        <v>0.12617321784837915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6281.23</v>
      </c>
      <c r="F75" s="8">
        <f>IFERROR(E75/E444, "NA")</f>
        <v>2.8999989011710466E-2</v>
      </c>
      <c r="G75" s="9"/>
      <c r="H75" s="10">
        <f t="shared" ref="H75:H92" si="20">IFERROR(B75-E75, "NA")</f>
        <v>-6281.23</v>
      </c>
      <c r="I75" s="8">
        <f>IFERROR(H75/H444, "NA")</f>
        <v>0.17369039445162329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52808.09</v>
      </c>
      <c r="U75" s="8">
        <f>IFERROR(T75/T444, "NA")</f>
        <v>2.899999348149265E-2</v>
      </c>
      <c r="V75" s="9"/>
      <c r="W75" s="10">
        <f t="shared" ref="W75:W92" si="22">IFERROR(Q75-T75, "NA")</f>
        <v>-52808.09</v>
      </c>
      <c r="X75" s="8">
        <f>IFERROR(W75/W444, "NA")</f>
        <v>-26.786149421498042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850.28</v>
      </c>
      <c r="C77" s="8">
        <f>IFERROR(B77/B444, "NA")</f>
        <v>4.7124978904660702E-3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850.28</v>
      </c>
      <c r="I77" s="8">
        <f>IFERROR(H77/H444, "NA")</f>
        <v>-2.3512189267759064E-2</v>
      </c>
      <c r="J77" s="9"/>
      <c r="K77" s="7">
        <v>1727.15</v>
      </c>
      <c r="L77" s="8">
        <f>IFERROR(K77/K444, "NA")</f>
        <v>8.572171064432213E-3</v>
      </c>
      <c r="M77" s="9"/>
      <c r="N77" s="10">
        <f t="shared" si="21"/>
        <v>-876.87000000000012</v>
      </c>
      <c r="O77" s="8">
        <f>IFERROR(N77/N444, "NA")</f>
        <v>4.165152596861281E-2</v>
      </c>
      <c r="P77" s="9"/>
      <c r="Q77" s="7">
        <v>12696.37</v>
      </c>
      <c r="R77" s="8">
        <f>IFERROR(Q77/Q444, "NA")</f>
        <v>6.9647747691161622E-3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12696.37</v>
      </c>
      <c r="X77" s="8">
        <f>IFERROR(W77/W444, "NA")</f>
        <v>6.440052346726139</v>
      </c>
      <c r="Y77" s="9"/>
      <c r="Z77" s="7">
        <v>2977.08</v>
      </c>
      <c r="AA77" s="8">
        <f>IFERROR(Z77/Z444, "NA")</f>
        <v>1.7932585218270259E-3</v>
      </c>
      <c r="AB77" s="9"/>
      <c r="AC77" s="10">
        <f t="shared" si="23"/>
        <v>9719.2900000000009</v>
      </c>
      <c r="AD77" s="8">
        <f>IFERROR(AC77/AC444, "NA")</f>
        <v>5.9704663926030611E-2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8.9700000000000006</v>
      </c>
      <c r="C79" s="8">
        <f>IFERROR(B79/B444, "NA")</f>
        <v>4.9714336544997713E-5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8.9700000000000006</v>
      </c>
      <c r="I79" s="8">
        <f>IFERROR(H79/H444, "NA")</f>
        <v>-2.4804104263513057E-4</v>
      </c>
      <c r="J79" s="9"/>
      <c r="K79" s="7">
        <v>0</v>
      </c>
      <c r="L79" s="8">
        <f>IFERROR(K79/K444, "NA")</f>
        <v>0</v>
      </c>
      <c r="M79" s="9"/>
      <c r="N79" s="10">
        <f t="shared" si="21"/>
        <v>8.9700000000000006</v>
      </c>
      <c r="O79" s="8">
        <f>IFERROR(N79/N444, "NA")</f>
        <v>-4.2607705582179442E-4</v>
      </c>
      <c r="P79" s="9"/>
      <c r="Q79" s="7">
        <v>29.9</v>
      </c>
      <c r="R79" s="8">
        <f>IFERROR(Q79/Q444, "NA")</f>
        <v>1.6402071268919636E-5</v>
      </c>
      <c r="S79" s="9"/>
      <c r="T79" s="7">
        <v>0</v>
      </c>
      <c r="U79" s="8">
        <f>IFERROR(T79/T444, "NA")</f>
        <v>0</v>
      </c>
      <c r="V79" s="9"/>
      <c r="W79" s="10">
        <f t="shared" si="22"/>
        <v>29.9</v>
      </c>
      <c r="X79" s="8">
        <f>IFERROR(W79/W444, "NA")</f>
        <v>1.5166347953557712E-2</v>
      </c>
      <c r="Y79" s="9"/>
      <c r="Z79" s="7">
        <v>101.66</v>
      </c>
      <c r="AA79" s="8">
        <f>IFERROR(Z79/Z444, "NA")</f>
        <v>6.1235392172509791E-5</v>
      </c>
      <c r="AB79" s="9"/>
      <c r="AC79" s="10">
        <f t="shared" si="23"/>
        <v>-71.759999999999991</v>
      </c>
      <c r="AD79" s="8">
        <f>IFERROR(AC79/AC444, "NA")</f>
        <v>-4.4081478002322758E-4</v>
      </c>
    </row>
    <row r="80" spans="1:30" ht="16.5" customHeight="1" x14ac:dyDescent="0.45">
      <c r="A80" s="12" t="s">
        <v>76</v>
      </c>
      <c r="B80" s="7">
        <v>4001.19</v>
      </c>
      <c r="C80" s="8">
        <f>IFERROR(B80/B444, "NA")</f>
        <v>2.2175753204066822E-2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4001.19</v>
      </c>
      <c r="I80" s="8">
        <f>IFERROR(H80/H444, "NA")</f>
        <v>-0.11064206682065307</v>
      </c>
      <c r="J80" s="9"/>
      <c r="K80" s="7">
        <v>4434.18</v>
      </c>
      <c r="L80" s="8">
        <f>IFERROR(K80/K444, "NA")</f>
        <v>2.2007671302714894E-2</v>
      </c>
      <c r="M80" s="9"/>
      <c r="N80" s="10">
        <f t="shared" si="21"/>
        <v>-432.99000000000024</v>
      </c>
      <c r="O80" s="8">
        <f>IFERROR(N80/N444, "NA")</f>
        <v>2.0567124236374454E-2</v>
      </c>
      <c r="P80" s="9"/>
      <c r="Q80" s="7">
        <v>37965.35</v>
      </c>
      <c r="R80" s="8">
        <f>IFERROR(Q80/Q444, "NA")</f>
        <v>2.0826433994965823E-2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37965.35</v>
      </c>
      <c r="X80" s="8">
        <f>IFERROR(W80/W444, "NA")</f>
        <v>19.257381547779339</v>
      </c>
      <c r="Y80" s="9"/>
      <c r="Z80" s="7">
        <v>43652.94</v>
      </c>
      <c r="AA80" s="8">
        <f>IFERROR(Z80/Z444, "NA")</f>
        <v>2.6294559319132795E-2</v>
      </c>
      <c r="AB80" s="9"/>
      <c r="AC80" s="10">
        <f t="shared" si="23"/>
        <v>-5687.5900000000038</v>
      </c>
      <c r="AD80" s="8">
        <f>IFERROR(AC80/AC444, "NA")</f>
        <v>-3.4938318488187167E-2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1.4889565581041969E-4</v>
      </c>
      <c r="M85" s="9"/>
      <c r="N85" s="10">
        <f t="shared" si="21"/>
        <v>-30</v>
      </c>
      <c r="O85" s="8">
        <f>IFERROR(N85/N444, "NA")</f>
        <v>1.425006875658175E-3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180</v>
      </c>
      <c r="AA85" s="8">
        <f>IFERROR(Z85/Z444, "NA")</f>
        <v>1.0842386967393039E-4</v>
      </c>
      <c r="AB85" s="9"/>
      <c r="AC85" s="10">
        <f t="shared" si="23"/>
        <v>-180</v>
      </c>
      <c r="AD85" s="8">
        <f>IFERROR(AC85/AC444, "NA")</f>
        <v>-1.1057226923659555E-3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5.4213508339959529E-4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0.50129091490107081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6.0709090133968142E-3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4860.4400000000005</v>
      </c>
      <c r="C88" s="15">
        <f>IFERROR(B88/B444, "NA")</f>
        <v>2.693796543107789E-2</v>
      </c>
      <c r="D88" s="2"/>
      <c r="E88" s="14">
        <f>IFERROR(E75+E76+E77+E78+E79+E80+E81+E82+E83+E84+E85+E86+E87, "NA")</f>
        <v>6281.23</v>
      </c>
      <c r="F88" s="15">
        <f>IFERROR(E88/E444, "NA")</f>
        <v>2.8999989011710466E-2</v>
      </c>
      <c r="G88" s="2"/>
      <c r="H88" s="14">
        <f t="shared" si="20"/>
        <v>-1420.7899999999991</v>
      </c>
      <c r="I88" s="15">
        <f>IFERROR(H88/H444, "NA")</f>
        <v>3.9288097320576018E-2</v>
      </c>
      <c r="J88" s="2"/>
      <c r="K88" s="14">
        <f>IFERROR(K75+K76+K77+K78+K79+K80+K81+K82+K83+K84+K85+K86+K87, "NA")</f>
        <v>6191.33</v>
      </c>
      <c r="L88" s="15">
        <f>IFERROR(K88/K444, "NA")</f>
        <v>3.0728738022957527E-2</v>
      </c>
      <c r="M88" s="2"/>
      <c r="N88" s="14">
        <f t="shared" si="21"/>
        <v>-1330.8899999999994</v>
      </c>
      <c r="O88" s="15">
        <f>IFERROR(N88/N444, "NA")</f>
        <v>6.3217580024823597E-2</v>
      </c>
      <c r="P88" s="2"/>
      <c r="Q88" s="14">
        <f>IFERROR(Q75+Q76+Q77+Q78+Q79+Q80+Q81+Q82+Q83+Q84+Q85+Q86+Q87, "NA")</f>
        <v>51679.899999999994</v>
      </c>
      <c r="R88" s="15">
        <f>IFERROR(Q88/Q444, "NA")</f>
        <v>2.8349745918750498E-2</v>
      </c>
      <c r="S88" s="2"/>
      <c r="T88" s="14">
        <f>IFERROR(T75+T76+T77+T78+T79+T80+T81+T82+T83+T84+T85+T86+T87, "NA")</f>
        <v>52808.09</v>
      </c>
      <c r="U88" s="15">
        <f>IFERROR(T88/T444, "NA")</f>
        <v>2.899999348149265E-2</v>
      </c>
      <c r="V88" s="2"/>
      <c r="W88" s="14">
        <f t="shared" si="22"/>
        <v>-1128.1900000000023</v>
      </c>
      <c r="X88" s="15">
        <f>IFERROR(W88/W444, "NA")</f>
        <v>-0.57225826413793679</v>
      </c>
      <c r="Y88" s="2"/>
      <c r="Z88" s="14">
        <f>IFERROR(Z75+Z76+Z77+Z78+Z79+Z80+Z81+Z82+Z83+Z84+Z85+Z86+Z87, "NA")</f>
        <v>46911.68</v>
      </c>
      <c r="AA88" s="15">
        <f>IFERROR(Z88/Z444, "NA")</f>
        <v>2.825747710280626E-2</v>
      </c>
      <c r="AB88" s="2"/>
      <c r="AC88" s="14">
        <f t="shared" si="23"/>
        <v>4768.2199999999939</v>
      </c>
      <c r="AD88" s="15">
        <f>IFERROR(AC88/AC444, "NA")</f>
        <v>2.9290716978851057E-2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-0.06</v>
      </c>
      <c r="L89" s="8">
        <f>IFERROR(K89/K444, "NA")</f>
        <v>-2.9779131162083938E-7</v>
      </c>
      <c r="M89" s="9"/>
      <c r="N89" s="10">
        <f t="shared" si="21"/>
        <v>0.06</v>
      </c>
      <c r="O89" s="8">
        <f>IFERROR(N89/N444, "NA")</f>
        <v>-2.8500137513163501E-6</v>
      </c>
      <c r="P89" s="9"/>
      <c r="Q89" s="7">
        <v>196.91</v>
      </c>
      <c r="R89" s="8">
        <f>IFERROR(Q89/Q444, "NA")</f>
        <v>1.0801778774458079E-4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196.91</v>
      </c>
      <c r="X89" s="8">
        <f>IFERROR(W89/W444, "NA")</f>
        <v>9.9879785134951479E-2</v>
      </c>
      <c r="Y89" s="9"/>
      <c r="Z89" s="7">
        <v>-640.66</v>
      </c>
      <c r="AA89" s="8">
        <f>IFERROR(Z89/Z444, "NA")</f>
        <v>-3.8590464636277912E-4</v>
      </c>
      <c r="AB89" s="9"/>
      <c r="AC89" s="10">
        <f t="shared" si="23"/>
        <v>837.56999999999994</v>
      </c>
      <c r="AD89" s="8">
        <f>IFERROR(AC89/AC444, "NA")</f>
        <v>5.1451119746941856E-3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-7580.8</v>
      </c>
      <c r="F94" s="8">
        <f>IFERROR(E94/E444, "NA")</f>
        <v>-3.5000010618935262E-2</v>
      </c>
      <c r="G94" s="9"/>
      <c r="H94" s="10">
        <f t="shared" ref="H94:H124" si="24">IFERROR(B94-E94, "NA")</f>
        <v>7580.8</v>
      </c>
      <c r="I94" s="8">
        <f>IFERROR(H94/H444, "NA")</f>
        <v>-0.20962648116035648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-63733.93</v>
      </c>
      <c r="U94" s="8">
        <f>IFERROR(T94/T444, "NA")</f>
        <v>-3.5000007660756317E-2</v>
      </c>
      <c r="V94" s="9"/>
      <c r="W94" s="10">
        <f t="shared" ref="W94:W124" si="26">IFERROR(Q94-T94, "NA")</f>
        <v>63733.93</v>
      </c>
      <c r="X94" s="8">
        <f>IFERROR(W94/W444, "NA")</f>
        <v>32.328125713300686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-798.5</v>
      </c>
      <c r="C96" s="8">
        <f>IFERROR(B96/B444, "NA")</f>
        <v>-4.4255181417146789E-3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-798.5</v>
      </c>
      <c r="I96" s="8">
        <f>IFERROR(H96/H444, "NA")</f>
        <v>2.2080353683851923E-2</v>
      </c>
      <c r="J96" s="9"/>
      <c r="K96" s="7">
        <v>-189.38</v>
      </c>
      <c r="L96" s="8">
        <f>IFERROR(K96/K444, "NA")</f>
        <v>-9.3992864324590937E-4</v>
      </c>
      <c r="M96" s="9"/>
      <c r="N96" s="10">
        <f t="shared" si="25"/>
        <v>-609.12</v>
      </c>
      <c r="O96" s="8">
        <f>IFERROR(N96/N444, "NA")</f>
        <v>2.8933339603363587E-2</v>
      </c>
      <c r="P96" s="9"/>
      <c r="Q96" s="7">
        <v>-20219.419999999998</v>
      </c>
      <c r="R96" s="8">
        <f>IFERROR(Q96/Q444, "NA")</f>
        <v>-1.1091651098870203E-2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-20219.419999999998</v>
      </c>
      <c r="X96" s="8">
        <f>IFERROR(W96/W444, "NA")</f>
        <v>-10.256012011341936</v>
      </c>
      <c r="Y96" s="9"/>
      <c r="Z96" s="7">
        <v>-1180.1099999999999</v>
      </c>
      <c r="AA96" s="8">
        <f>IFERROR(Z96/Z444, "NA")</f>
        <v>-7.108449602272332E-4</v>
      </c>
      <c r="AB96" s="9"/>
      <c r="AC96" s="10">
        <f t="shared" si="27"/>
        <v>-19039.309999999998</v>
      </c>
      <c r="AD96" s="8">
        <f>IFERROR(AC96/AC444, "NA")</f>
        <v>-0.11695665063327812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-2119.08</v>
      </c>
      <c r="C98" s="8">
        <f>IFERROR(B98/B444, "NA")</f>
        <v>-1.1744554769874441E-2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-2119.08</v>
      </c>
      <c r="I98" s="8">
        <f>IFERROR(H98/H444, "NA")</f>
        <v>5.8597415008612312E-2</v>
      </c>
      <c r="J98" s="9"/>
      <c r="K98" s="7">
        <v>-2538.27</v>
      </c>
      <c r="L98" s="8">
        <f>IFERROR(K98/K444, "NA")</f>
        <v>-1.2597912542463801E-2</v>
      </c>
      <c r="M98" s="9"/>
      <c r="N98" s="10">
        <f t="shared" si="25"/>
        <v>419.19000000000005</v>
      </c>
      <c r="O98" s="8">
        <f>IFERROR(N98/N444, "NA")</f>
        <v>-1.9911621073571684E-2</v>
      </c>
      <c r="P98" s="9"/>
      <c r="Q98" s="7">
        <v>-23024.01</v>
      </c>
      <c r="R98" s="8">
        <f>IFERROR(Q98/Q444, "NA")</f>
        <v>-1.263014892696717E-2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-23024.01</v>
      </c>
      <c r="X98" s="8">
        <f>IFERROR(W98/W444, "NA")</f>
        <v>-11.678600232314123</v>
      </c>
      <c r="Y98" s="9"/>
      <c r="Z98" s="7">
        <v>-23527.11</v>
      </c>
      <c r="AA98" s="8">
        <f>IFERROR(Z98/Z444, "NA")</f>
        <v>-1.4171668380245691E-2</v>
      </c>
      <c r="AB98" s="9"/>
      <c r="AC98" s="10">
        <f t="shared" si="27"/>
        <v>503.10000000000218</v>
      </c>
      <c r="AD98" s="8">
        <f>IFERROR(AC98/AC444, "NA")</f>
        <v>3.0904949251628596E-3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-887</v>
      </c>
      <c r="C100" s="8">
        <f>IFERROR(B100/B444, "NA")</f>
        <v>-4.9160107598007763E-3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-887</v>
      </c>
      <c r="I100" s="8">
        <f>IFERROR(H100/H444, "NA")</f>
        <v>2.4527581362024615E-2</v>
      </c>
      <c r="J100" s="9"/>
      <c r="K100" s="7">
        <v>-652.98</v>
      </c>
      <c r="L100" s="8">
        <f>IFERROR(K100/K444, "NA")</f>
        <v>-3.2408628443695952E-3</v>
      </c>
      <c r="M100" s="9"/>
      <c r="N100" s="10">
        <f t="shared" si="25"/>
        <v>-234.01999999999998</v>
      </c>
      <c r="O100" s="8">
        <f>IFERROR(N100/N444, "NA")</f>
        <v>1.1116003634717537E-2</v>
      </c>
      <c r="P100" s="9"/>
      <c r="Q100" s="7">
        <v>-9071.41</v>
      </c>
      <c r="R100" s="8">
        <f>IFERROR(Q100/Q444, "NA")</f>
        <v>-4.9762512819260972E-3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-9071.41</v>
      </c>
      <c r="X100" s="8">
        <f>IFERROR(W100/W444, "NA")</f>
        <v>-4.6013431601800328</v>
      </c>
      <c r="Y100" s="9"/>
      <c r="Z100" s="7">
        <v>-7094.93</v>
      </c>
      <c r="AA100" s="8">
        <f>IFERROR(Z100/Z444, "NA")</f>
        <v>-4.2736653648092161E-3</v>
      </c>
      <c r="AB100" s="9"/>
      <c r="AC100" s="10">
        <f t="shared" si="27"/>
        <v>-1976.4799999999996</v>
      </c>
      <c r="AD100" s="8">
        <f>IFERROR(AC100/AC444, "NA")</f>
        <v>-1.2141326594485909E-2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-1749.94</v>
      </c>
      <c r="C102" s="8">
        <f>IFERROR(B102/B444, "NA")</f>
        <v>-9.6986740349557735E-3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-1749.94</v>
      </c>
      <c r="I102" s="8">
        <f>IFERROR(H102/H444, "NA")</f>
        <v>4.8389848623068048E-2</v>
      </c>
      <c r="J102" s="9"/>
      <c r="K102" s="7">
        <v>-656.93</v>
      </c>
      <c r="L102" s="8">
        <f>IFERROR(K102/K444, "NA")</f>
        <v>-3.2604674390513001E-3</v>
      </c>
      <c r="M102" s="9"/>
      <c r="N102" s="10">
        <f t="shared" si="25"/>
        <v>-1093.0100000000002</v>
      </c>
      <c r="O102" s="8">
        <f>IFERROR(N102/N444, "NA")</f>
        <v>5.1918225505438079E-2</v>
      </c>
      <c r="P102" s="9"/>
      <c r="Q102" s="7">
        <v>-17998.29</v>
      </c>
      <c r="R102" s="8">
        <f>IFERROR(Q102/Q444, "NA")</f>
        <v>-9.8732185718623296E-3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-17998.29</v>
      </c>
      <c r="X102" s="8">
        <f>IFERROR(W102/W444, "NA")</f>
        <v>-9.1293755421083027</v>
      </c>
      <c r="Y102" s="9"/>
      <c r="Z102" s="7">
        <v>-6490.84</v>
      </c>
      <c r="AA102" s="8">
        <f>IFERROR(Z102/Z444, "NA")</f>
        <v>-3.9097888346351908E-3</v>
      </c>
      <c r="AB102" s="9"/>
      <c r="AC102" s="10">
        <f t="shared" si="27"/>
        <v>-11507.45</v>
      </c>
      <c r="AD102" s="8">
        <f>IFERROR(AC102/AC444, "NA")</f>
        <v>-7.0689158868147875E-2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-409.96</v>
      </c>
      <c r="C104" s="8">
        <f>IFERROR(B104/B444, "NA")</f>
        <v>-2.2721169910799618E-3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-409.96</v>
      </c>
      <c r="I104" s="8">
        <f>IFERROR(H104/H444, "NA")</f>
        <v>1.133633286942008E-2</v>
      </c>
      <c r="J104" s="9"/>
      <c r="K104" s="7">
        <v>-549.19000000000005</v>
      </c>
      <c r="L104" s="8">
        <f>IFERROR(K104/K444, "NA")</f>
        <v>-2.7257335071508132E-3</v>
      </c>
      <c r="M104" s="9"/>
      <c r="N104" s="10">
        <f t="shared" si="25"/>
        <v>139.23000000000008</v>
      </c>
      <c r="O104" s="8">
        <f>IFERROR(N104/N444, "NA")</f>
        <v>-6.6134569099295945E-3</v>
      </c>
      <c r="P104" s="9"/>
      <c r="Q104" s="7">
        <v>-6958.88</v>
      </c>
      <c r="R104" s="8">
        <f>IFERROR(Q104/Q444, "NA")</f>
        <v>-3.8173928331725585E-3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-6958.88</v>
      </c>
      <c r="X104" s="8">
        <f>IFERROR(W104/W444, "NA")</f>
        <v>-3.5297924898680164</v>
      </c>
      <c r="Y104" s="9"/>
      <c r="Z104" s="7">
        <v>-4446.97</v>
      </c>
      <c r="AA104" s="8">
        <f>IFERROR(Z104/Z444, "NA")</f>
        <v>-2.6786538651326569E-3</v>
      </c>
      <c r="AB104" s="9"/>
      <c r="AC104" s="10">
        <f t="shared" si="27"/>
        <v>-2511.91</v>
      </c>
      <c r="AD104" s="8">
        <f>IFERROR(AC104/AC444, "NA")</f>
        <v>-1.5430421601005375E-2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-240.13</v>
      </c>
      <c r="C106" s="8">
        <f>IFERROR(B106/B444, "NA")</f>
        <v>-1.3308699704069453E-3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-240.13</v>
      </c>
      <c r="I106" s="8">
        <f>IFERROR(H106/H444, "NA")</f>
        <v>6.6401444334419062E-3</v>
      </c>
      <c r="J106" s="9"/>
      <c r="K106" s="7">
        <v>-379.78</v>
      </c>
      <c r="L106" s="8">
        <f>IFERROR(K106/K444, "NA")</f>
        <v>-1.8849197387893729E-3</v>
      </c>
      <c r="M106" s="9"/>
      <c r="N106" s="10">
        <f t="shared" si="25"/>
        <v>139.64999999999998</v>
      </c>
      <c r="O106" s="8">
        <f>IFERROR(N106/N444, "NA")</f>
        <v>-6.6334070061888038E-3</v>
      </c>
      <c r="P106" s="9"/>
      <c r="Q106" s="7">
        <v>-2002.19</v>
      </c>
      <c r="R106" s="8">
        <f>IFERROR(Q106/Q444, "NA")</f>
        <v>-1.0983298686929167E-3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-2002.19</v>
      </c>
      <c r="X106" s="8">
        <f>IFERROR(W106/W444, "NA")</f>
        <v>-1.0155822812419304</v>
      </c>
      <c r="Y106" s="9"/>
      <c r="Z106" s="7">
        <v>-15732.6</v>
      </c>
      <c r="AA106" s="8">
        <f>IFERROR(Z106/Z444, "NA")</f>
        <v>-9.4766076224004295E-3</v>
      </c>
      <c r="AB106" s="9"/>
      <c r="AC106" s="10">
        <f t="shared" si="27"/>
        <v>13730.41</v>
      </c>
      <c r="AD106" s="8">
        <f>IFERROR(AC106/AC444, "NA")</f>
        <v>8.4344588402713555E-2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-3.3478881535983615E-5</v>
      </c>
      <c r="AB108" s="9"/>
      <c r="AC108" s="10">
        <f t="shared" si="27"/>
        <v>55.58</v>
      </c>
      <c r="AD108" s="8">
        <f>IFERROR(AC108/AC444, "NA")</f>
        <v>3.4142259578722118E-4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-6.9571983040772001E-6</v>
      </c>
      <c r="AB111" s="9"/>
      <c r="AC111" s="10">
        <f t="shared" si="27"/>
        <v>11.55</v>
      </c>
      <c r="AD111" s="8">
        <f>IFERROR(AC111/AC444, "NA")</f>
        <v>7.0950539426815489E-5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-6204.6100000000006</v>
      </c>
      <c r="C118" s="15">
        <f>IFERROR(B118/B444, "NA")</f>
        <v>-3.4387744667832579E-2</v>
      </c>
      <c r="D118" s="2"/>
      <c r="E118" s="14">
        <f>IFERROR(E94+E95+E96+E97+E98+E99+E100+E101+E102+E103+E104+E105+E106+E107+E108+E109+E110+E111+E112+E113+E114+E115+E116+E117, "NA")</f>
        <v>-7580.8</v>
      </c>
      <c r="F118" s="15">
        <f>IFERROR(E118/E444, "NA")</f>
        <v>-3.5000010618935262E-2</v>
      </c>
      <c r="G118" s="2"/>
      <c r="H118" s="14">
        <f t="shared" si="24"/>
        <v>1376.1899999999996</v>
      </c>
      <c r="I118" s="15">
        <f>IFERROR(H118/H444, "NA")</f>
        <v>-3.8054805179937597E-2</v>
      </c>
      <c r="J118" s="2"/>
      <c r="K118" s="14">
        <f>IFERROR(K94+K95+K96+K97+K98+K99+K100+K101+K102+K103+K104+K105+K106+K107+K108+K109+K110+K111+K112+K113+K114+K115+K116+K117, "NA")</f>
        <v>-4966.53</v>
      </c>
      <c r="L118" s="15">
        <f>IFERROR(K118/K444, "NA")</f>
        <v>-2.4649824715070788E-2</v>
      </c>
      <c r="M118" s="2"/>
      <c r="N118" s="14">
        <f t="shared" si="25"/>
        <v>-1238.0800000000008</v>
      </c>
      <c r="O118" s="15">
        <f>IFERROR(N118/N444, "NA")</f>
        <v>5.8809083753829157E-2</v>
      </c>
      <c r="P118" s="2"/>
      <c r="Q118" s="14">
        <f>IFERROR(Q94+Q95+Q96+Q97+Q98+Q99+Q100+Q101+Q102+Q103+Q104+Q105+Q106+Q107+Q108+Q109+Q110+Q111+Q112+Q113+Q114+Q115+Q116+Q117, "NA")</f>
        <v>-79274.200000000012</v>
      </c>
      <c r="R118" s="15">
        <f>IFERROR(Q118/Q444, "NA")</f>
        <v>-4.3486992581491281E-2</v>
      </c>
      <c r="S118" s="2"/>
      <c r="T118" s="14">
        <f>IFERROR(T94+T95+T96+T97+T98+T99+T100+T101+T102+T103+T104+T105+T106+T107+T108+T109+T110+T111+T112+T113+T114+T115+T116+T117, "NA")</f>
        <v>-63733.93</v>
      </c>
      <c r="U118" s="15">
        <f>IFERROR(T118/T444, "NA")</f>
        <v>-3.5000007660756317E-2</v>
      </c>
      <c r="V118" s="2"/>
      <c r="W118" s="14">
        <f t="shared" si="26"/>
        <v>-15540.270000000011</v>
      </c>
      <c r="X118" s="15">
        <f>IFERROR(W118/W444, "NA")</f>
        <v>-7.8825800037536622</v>
      </c>
      <c r="Y118" s="2"/>
      <c r="Z118" s="14">
        <f>IFERROR(Z94+Z95+Z96+Z97+Z98+Z99+Z100+Z101+Z102+Z103+Z104+Z105+Z106+Z107+Z108+Z109+Z110+Z111+Z112+Z113+Z114+Z115+Z116+Z117, "NA")</f>
        <v>-58539.69000000001</v>
      </c>
      <c r="AA118" s="15">
        <f>IFERROR(Z118/Z444, "NA")</f>
        <v>-3.5261665107290487E-2</v>
      </c>
      <c r="AB118" s="2"/>
      <c r="AC118" s="14">
        <f t="shared" si="27"/>
        <v>-20734.510000000002</v>
      </c>
      <c r="AD118" s="15">
        <f>IFERROR(AC118/AC444, "NA")</f>
        <v>-0.12737010123382686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180430.85000000003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216594.22</v>
      </c>
      <c r="F122" s="15">
        <f>IFERROR(E122/E444, "NA")</f>
        <v>1</v>
      </c>
      <c r="G122" s="2"/>
      <c r="H122" s="14">
        <f t="shared" si="24"/>
        <v>-36163.369999999966</v>
      </c>
      <c r="I122" s="15">
        <f>IFERROR(H122/H444, "NA")</f>
        <v>0.99999999999999922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201483.38</v>
      </c>
      <c r="L122" s="15">
        <f>IFERROR(K122/K444, "NA")</f>
        <v>1</v>
      </c>
      <c r="M122" s="2"/>
      <c r="N122" s="14">
        <f t="shared" si="25"/>
        <v>-21052.52999999997</v>
      </c>
      <c r="O122" s="15">
        <f>IFERROR(N122/N444, "NA")</f>
        <v>0.99999999999999867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1822940.4999999998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1820969.0300000003</v>
      </c>
      <c r="U122" s="15">
        <f>IFERROR(T122/T444, "NA")</f>
        <v>1.0000000000000002</v>
      </c>
      <c r="V122" s="2"/>
      <c r="W122" s="14">
        <f t="shared" si="26"/>
        <v>1971.4699999995064</v>
      </c>
      <c r="X122" s="15">
        <f>IFERROR(W122/W444, "NA")</f>
        <v>0.99999999999976374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1660151.0399999998</v>
      </c>
      <c r="AA122" s="15">
        <f>IFERROR(Z122/Z444, "NA")</f>
        <v>0.99999999999999989</v>
      </c>
      <c r="AB122" s="2"/>
      <c r="AC122" s="14">
        <f t="shared" si="27"/>
        <v>162789.45999999996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180430.85000000003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216594.22</v>
      </c>
      <c r="F124" s="15">
        <f>IFERROR(E124/E444, "NA")</f>
        <v>1</v>
      </c>
      <c r="G124" s="2"/>
      <c r="H124" s="14">
        <f t="shared" si="24"/>
        <v>-36163.369999999966</v>
      </c>
      <c r="I124" s="15">
        <f>IFERROR(H124/H444, "NA")</f>
        <v>0.99999999999999922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201483.38</v>
      </c>
      <c r="L124" s="15">
        <f>IFERROR(K124/K444, "NA")</f>
        <v>1</v>
      </c>
      <c r="M124" s="2"/>
      <c r="N124" s="14">
        <f t="shared" si="25"/>
        <v>-21052.52999999997</v>
      </c>
      <c r="O124" s="15">
        <f>IFERROR(N124/N444, "NA")</f>
        <v>0.99999999999999867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1822940.4999999998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1820969.0300000003</v>
      </c>
      <c r="U124" s="15">
        <f>IFERROR(T124/T444, "NA")</f>
        <v>1.0000000000000002</v>
      </c>
      <c r="V124" s="2"/>
      <c r="W124" s="14">
        <f t="shared" si="26"/>
        <v>1971.4699999995064</v>
      </c>
      <c r="X124" s="15">
        <f>IFERROR(W124/W444, "NA")</f>
        <v>0.99999999999976374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1660151.0399999998</v>
      </c>
      <c r="AA124" s="15">
        <f>IFERROR(Z124/Z444, "NA")</f>
        <v>0.99999999999999989</v>
      </c>
      <c r="AB124" s="2"/>
      <c r="AC124" s="14">
        <f t="shared" si="27"/>
        <v>162789.45999999996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46134.57</v>
      </c>
      <c r="F129" s="8">
        <f>IFERROR(E129/E444, "NA")</f>
        <v>0.21300000526329835</v>
      </c>
      <c r="G129" s="9"/>
      <c r="H129" s="10">
        <f t="shared" ref="H129:H141" si="28">IFERROR(-(B129-E129), "NA")</f>
        <v>46134.57</v>
      </c>
      <c r="I129" s="8">
        <f>IFERROR(H129/H444, "NA")</f>
        <v>-1.2757265155321533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398495.26</v>
      </c>
      <c r="U129" s="8">
        <f>IFERROR(T129/T444, "NA")</f>
        <v>0.21883692332757576</v>
      </c>
      <c r="V129" s="9"/>
      <c r="W129" s="10">
        <f t="shared" ref="W129:W141" si="30">IFERROR(-(Q129-T129), "NA")</f>
        <v>398495.26</v>
      </c>
      <c r="X129" s="8">
        <f>IFERROR(W129/W444, "NA")</f>
        <v>202.13102913055013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8625.7800000000007</v>
      </c>
      <c r="C130" s="8">
        <f>IFERROR(B130/B444, "NA")</f>
        <v>4.7806569663668939E-2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-8625.7800000000007</v>
      </c>
      <c r="I130" s="8">
        <f>IFERROR(H130/H444, "NA")</f>
        <v>0.23852257132009549</v>
      </c>
      <c r="J130" s="9"/>
      <c r="K130" s="7">
        <v>11132.67</v>
      </c>
      <c r="L130" s="8">
        <f>IFERROR(K130/K444, "NA")</f>
        <v>5.5253540019032835E-2</v>
      </c>
      <c r="M130" s="9"/>
      <c r="N130" s="10">
        <f t="shared" si="29"/>
        <v>2506.8899999999994</v>
      </c>
      <c r="O130" s="8">
        <f>IFERROR(N130/N444, "NA")</f>
        <v>-0.11907784955062406</v>
      </c>
      <c r="P130" s="9"/>
      <c r="Q130" s="7">
        <v>93236.57</v>
      </c>
      <c r="R130" s="8">
        <f>IFERROR(Q130/Q444, "NA")</f>
        <v>5.1146249699318219E-2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-93236.57</v>
      </c>
      <c r="X130" s="8">
        <f>IFERROR(W130/W444, "NA")</f>
        <v>-47.292918482148515</v>
      </c>
      <c r="Y130" s="9"/>
      <c r="Z130" s="7">
        <v>102575.7</v>
      </c>
      <c r="AA130" s="8">
        <f>IFERROR(Z130/Z444, "NA")</f>
        <v>6.1786968491734338E-2</v>
      </c>
      <c r="AB130" s="9"/>
      <c r="AC130" s="10">
        <f t="shared" si="31"/>
        <v>9339.1299999999901</v>
      </c>
      <c r="AD130" s="8">
        <f>IFERROR(AC130/AC444, "NA")</f>
        <v>5.7369377599753649E-2</v>
      </c>
    </row>
    <row r="131" spans="1:30" ht="16.5" customHeight="1" x14ac:dyDescent="0.45">
      <c r="A131" s="12" t="s">
        <v>123</v>
      </c>
      <c r="B131" s="7">
        <v>4493.09</v>
      </c>
      <c r="C131" s="8">
        <f>IFERROR(B131/B444, "NA")</f>
        <v>2.4902005394310343E-2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-4493.09</v>
      </c>
      <c r="I131" s="8">
        <f>IFERROR(H131/H444, "NA")</f>
        <v>0.12424422834486942</v>
      </c>
      <c r="J131" s="9"/>
      <c r="K131" s="7">
        <v>5584.74</v>
      </c>
      <c r="L131" s="8">
        <f>IFERROR(K131/K444, "NA")</f>
        <v>2.7718117494356109E-2</v>
      </c>
      <c r="M131" s="9"/>
      <c r="N131" s="10">
        <f t="shared" si="29"/>
        <v>1091.6499999999996</v>
      </c>
      <c r="O131" s="8">
        <f>IFERROR(N131/N444, "NA")</f>
        <v>-5.1853625193741544E-2</v>
      </c>
      <c r="P131" s="9"/>
      <c r="Q131" s="7">
        <v>48428.99</v>
      </c>
      <c r="R131" s="8">
        <f>IFERROR(Q131/Q444, "NA")</f>
        <v>2.6566412891698879E-2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-48428.99</v>
      </c>
      <c r="X131" s="8">
        <f>IFERROR(W131/W444, "NA")</f>
        <v>-24.564913490948726</v>
      </c>
      <c r="Y131" s="9"/>
      <c r="Z131" s="7">
        <v>47900.53</v>
      </c>
      <c r="AA131" s="8">
        <f>IFERROR(Z131/Z444, "NA")</f>
        <v>2.8853115677956627E-2</v>
      </c>
      <c r="AB131" s="9"/>
      <c r="AC131" s="10">
        <f t="shared" si="31"/>
        <v>-528.45999999999913</v>
      </c>
      <c r="AD131" s="8">
        <f>IFERROR(AC131/AC444, "NA")</f>
        <v>-3.2462789667095111E-3</v>
      </c>
    </row>
    <row r="132" spans="1:30" ht="16.5" customHeight="1" x14ac:dyDescent="0.45">
      <c r="A132" s="12" t="s">
        <v>124</v>
      </c>
      <c r="B132" s="7">
        <v>7270.1</v>
      </c>
      <c r="C132" s="8">
        <f>IFERROR(B132/B444, "NA")</f>
        <v>4.0292998675115703E-2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-7270.1</v>
      </c>
      <c r="I132" s="8">
        <f>IFERROR(H132/H444, "NA")</f>
        <v>0.20103491461111067</v>
      </c>
      <c r="J132" s="9"/>
      <c r="K132" s="7">
        <v>7918.76</v>
      </c>
      <c r="L132" s="8">
        <f>IFERROR(K132/K444, "NA")</f>
        <v>3.9302298780177304E-2</v>
      </c>
      <c r="M132" s="9"/>
      <c r="N132" s="10">
        <f t="shared" si="29"/>
        <v>648.65999999999985</v>
      </c>
      <c r="O132" s="8">
        <f>IFERROR(N132/N444, "NA")</f>
        <v>-3.0811498665481055E-2</v>
      </c>
      <c r="P132" s="9"/>
      <c r="Q132" s="7">
        <v>81555.360000000001</v>
      </c>
      <c r="R132" s="8">
        <f>IFERROR(Q132/Q444, "NA")</f>
        <v>4.4738355420815987E-2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-81555.360000000001</v>
      </c>
      <c r="X132" s="8">
        <f>IFERROR(W132/W444, "NA")</f>
        <v>-41.367791546410118</v>
      </c>
      <c r="Y132" s="9"/>
      <c r="Z132" s="7">
        <v>60269.96</v>
      </c>
      <c r="AA132" s="8">
        <f>IFERROR(Z132/Z444, "NA")</f>
        <v>3.6303901601627761E-2</v>
      </c>
      <c r="AB132" s="9"/>
      <c r="AC132" s="10">
        <f t="shared" si="31"/>
        <v>-21285.4</v>
      </c>
      <c r="AD132" s="8">
        <f>IFERROR(AC132/AC444, "NA")</f>
        <v>-0.13075416553381286</v>
      </c>
    </row>
    <row r="133" spans="1:30" ht="16.5" customHeight="1" x14ac:dyDescent="0.45">
      <c r="A133" s="12" t="s">
        <v>125</v>
      </c>
      <c r="B133" s="7">
        <v>3893.66</v>
      </c>
      <c r="C133" s="8">
        <f>IFERROR(B133/B444, "NA")</f>
        <v>2.1579790817368535E-2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-3893.66</v>
      </c>
      <c r="I133" s="8">
        <f>IFERROR(H133/H444, "NA")</f>
        <v>0.10766861606094787</v>
      </c>
      <c r="J133" s="9"/>
      <c r="K133" s="7">
        <v>4565.63</v>
      </c>
      <c r="L133" s="8">
        <f>IFERROR(K133/K444, "NA")</f>
        <v>2.2660082434590882E-2</v>
      </c>
      <c r="M133" s="9"/>
      <c r="N133" s="10">
        <f t="shared" si="29"/>
        <v>671.97000000000025</v>
      </c>
      <c r="O133" s="8">
        <f>IFERROR(N133/N444, "NA")</f>
        <v>-3.1918729007867477E-2</v>
      </c>
      <c r="P133" s="9"/>
      <c r="Q133" s="7">
        <v>40502.629999999997</v>
      </c>
      <c r="R133" s="8">
        <f>IFERROR(Q133/Q444, "NA")</f>
        <v>2.2218295111661623E-2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-40502.629999999997</v>
      </c>
      <c r="X133" s="8">
        <f>IFERROR(W133/W444, "NA")</f>
        <v>-20.544380589103852</v>
      </c>
      <c r="Y133" s="9"/>
      <c r="Z133" s="7">
        <v>31962.39</v>
      </c>
      <c r="AA133" s="8">
        <f>IFERROR(Z133/Z444, "NA")</f>
        <v>1.9252700043485199E-2</v>
      </c>
      <c r="AB133" s="9"/>
      <c r="AC133" s="10">
        <f t="shared" si="31"/>
        <v>-8540.239999999998</v>
      </c>
      <c r="AD133" s="8">
        <f>IFERROR(AC133/AC444, "NA")</f>
        <v>-5.2461873145841262E-2</v>
      </c>
    </row>
    <row r="134" spans="1:30" ht="16.5" customHeight="1" x14ac:dyDescent="0.45">
      <c r="A134" s="12" t="s">
        <v>126</v>
      </c>
      <c r="B134" s="7">
        <v>1962.56</v>
      </c>
      <c r="C134" s="8">
        <f>IFERROR(B134/B444, "NA")</f>
        <v>1.0877075622045786E-2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-1962.56</v>
      </c>
      <c r="I134" s="8">
        <f>IFERROR(H134/H444, "NA")</f>
        <v>5.426927855451525E-2</v>
      </c>
      <c r="J134" s="9"/>
      <c r="K134" s="7">
        <v>1613.83</v>
      </c>
      <c r="L134" s="8">
        <f>IFERROR(K134/K444, "NA")</f>
        <v>8.0097425405509862E-3</v>
      </c>
      <c r="M134" s="9"/>
      <c r="N134" s="10">
        <f t="shared" si="29"/>
        <v>-348.73</v>
      </c>
      <c r="O134" s="8">
        <f>IFERROR(N134/N444, "NA")</f>
        <v>1.6564754924942516E-2</v>
      </c>
      <c r="P134" s="9"/>
      <c r="Q134" s="7">
        <v>16375.79</v>
      </c>
      <c r="R134" s="8">
        <f>IFERROR(Q134/Q444, "NA")</f>
        <v>8.9831730657144327E-3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-16375.79</v>
      </c>
      <c r="X134" s="8">
        <f>IFERROR(W134/W444, "NA")</f>
        <v>-8.3063855904478547</v>
      </c>
      <c r="Y134" s="9"/>
      <c r="Z134" s="7">
        <v>15175.36</v>
      </c>
      <c r="AA134" s="8">
        <f>IFERROR(Z134/Z444, "NA")</f>
        <v>9.1409514160832022E-3</v>
      </c>
      <c r="AB134" s="9"/>
      <c r="AC134" s="10">
        <f t="shared" si="31"/>
        <v>-1200.4300000000003</v>
      </c>
      <c r="AD134" s="8">
        <f>IFERROR(AC134/AC444, "NA")</f>
        <v>-7.3741260644270244E-3</v>
      </c>
    </row>
    <row r="135" spans="1:30" ht="16.5" customHeight="1" x14ac:dyDescent="0.45">
      <c r="A135" s="12" t="s">
        <v>127</v>
      </c>
      <c r="B135" s="7">
        <v>1610.55</v>
      </c>
      <c r="C135" s="8">
        <f>IFERROR(B135/B444, "NA")</f>
        <v>8.9261343057464946E-3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-1610.55</v>
      </c>
      <c r="I135" s="8">
        <f>IFERROR(H135/H444, "NA")</f>
        <v>4.4535395899220682E-2</v>
      </c>
      <c r="J135" s="9"/>
      <c r="K135" s="7">
        <v>1409.89</v>
      </c>
      <c r="L135" s="8">
        <f>IFERROR(K135/K444, "NA")</f>
        <v>6.9975498723517547E-3</v>
      </c>
      <c r="M135" s="9"/>
      <c r="N135" s="10">
        <f t="shared" si="29"/>
        <v>-200.65999999999985</v>
      </c>
      <c r="O135" s="8">
        <f>IFERROR(N135/N444, "NA")</f>
        <v>9.5313959889856397E-3</v>
      </c>
      <c r="P135" s="9"/>
      <c r="Q135" s="7">
        <v>18163.5</v>
      </c>
      <c r="R135" s="8">
        <f>IFERROR(Q135/Q444, "NA")</f>
        <v>9.9638468726763168E-3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-18163.5</v>
      </c>
      <c r="X135" s="8">
        <f>IFERROR(W135/W444, "NA")</f>
        <v>-9.213175954998178</v>
      </c>
      <c r="Y135" s="9"/>
      <c r="Z135" s="7">
        <v>16138.66</v>
      </c>
      <c r="AA135" s="8">
        <f>IFERROR(Z135/Z444, "NA")</f>
        <v>9.7211998252881848E-3</v>
      </c>
      <c r="AB135" s="9"/>
      <c r="AC135" s="10">
        <f t="shared" si="31"/>
        <v>-2024.8400000000001</v>
      </c>
      <c r="AD135" s="8">
        <f>IFERROR(AC135/AC444, "NA")</f>
        <v>-1.2438397424501566E-2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965.7</v>
      </c>
      <c r="L136" s="8">
        <f>IFERROR(K136/K444, "NA")</f>
        <v>4.7929511605374099E-3</v>
      </c>
      <c r="M136" s="9"/>
      <c r="N136" s="10">
        <f t="shared" si="29"/>
        <v>965.7</v>
      </c>
      <c r="O136" s="8">
        <f>IFERROR(N136/N444, "NA")</f>
        <v>-4.5870971327436658E-2</v>
      </c>
      <c r="P136" s="9"/>
      <c r="Q136" s="7">
        <v>6328.65</v>
      </c>
      <c r="R136" s="8">
        <f>IFERROR(Q136/Q444, "NA")</f>
        <v>3.471671181807634E-3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-3.2101173236215055</v>
      </c>
      <c r="Y136" s="9"/>
      <c r="Z136" s="7">
        <v>10927.38</v>
      </c>
      <c r="AA136" s="8">
        <f>IFERROR(Z136/Z444, "NA")</f>
        <v>6.5821601388750739E-3</v>
      </c>
      <c r="AB136" s="9"/>
      <c r="AC136" s="10">
        <f t="shared" si="31"/>
        <v>4598.7299999999996</v>
      </c>
      <c r="AD136" s="8">
        <f>IFERROR(AC136/AC444, "NA")</f>
        <v>2.8249556205911616E-2</v>
      </c>
    </row>
    <row r="137" spans="1:30" ht="16.5" customHeight="1" x14ac:dyDescent="0.45">
      <c r="A137" s="12" t="s">
        <v>129</v>
      </c>
      <c r="B137" s="7">
        <v>1053.4000000000001</v>
      </c>
      <c r="C137" s="8">
        <f>IFERROR(B137/B444, "NA")</f>
        <v>5.8382477275920391E-3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-1053.4000000000001</v>
      </c>
      <c r="I137" s="8">
        <f>IFERROR(H137/H444, "NA")</f>
        <v>2.9128922442792256E-2</v>
      </c>
      <c r="J137" s="9"/>
      <c r="K137" s="7">
        <v>804.13</v>
      </c>
      <c r="L137" s="8">
        <f>IFERROR(K137/K444, "NA")</f>
        <v>3.9910487902277596E-3</v>
      </c>
      <c r="M137" s="9"/>
      <c r="N137" s="10">
        <f t="shared" si="29"/>
        <v>-249.2700000000001</v>
      </c>
      <c r="O137" s="8">
        <f>IFERROR(N137/N444, "NA")</f>
        <v>1.1840382129843782E-2</v>
      </c>
      <c r="P137" s="9"/>
      <c r="Q137" s="7">
        <v>8788.94</v>
      </c>
      <c r="R137" s="8">
        <f>IFERROR(Q137/Q444, "NA")</f>
        <v>4.8212983363966075E-3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-8788.94</v>
      </c>
      <c r="X137" s="8">
        <f>IFERROR(W137/W444, "NA")</f>
        <v>-4.458064287054901</v>
      </c>
      <c r="Y137" s="9"/>
      <c r="Z137" s="7">
        <v>7646.04</v>
      </c>
      <c r="AA137" s="8">
        <f>IFERROR(Z137/Z444, "NA")</f>
        <v>4.6056291360092151E-3</v>
      </c>
      <c r="AB137" s="9"/>
      <c r="AC137" s="10">
        <f t="shared" si="31"/>
        <v>-1142.9000000000005</v>
      </c>
      <c r="AD137" s="8">
        <f>IFERROR(AC137/AC444, "NA")</f>
        <v>-7.0207248061391735E-3</v>
      </c>
    </row>
    <row r="138" spans="1:30" ht="16.5" customHeight="1" x14ac:dyDescent="0.45">
      <c r="A138" s="12" t="s">
        <v>130</v>
      </c>
      <c r="B138" s="7">
        <v>11195.54</v>
      </c>
      <c r="C138" s="8">
        <f>IFERROR(B138/B444, "NA")</f>
        <v>6.2048923451837643E-2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-11195.54</v>
      </c>
      <c r="I138" s="8">
        <f>IFERROR(H138/H444, "NA")</f>
        <v>0.30958232045298884</v>
      </c>
      <c r="J138" s="9"/>
      <c r="K138" s="7">
        <v>10347.549999999999</v>
      </c>
      <c r="L138" s="8">
        <f>IFERROR(K138/K444, "NA")</f>
        <v>5.135684144270361E-2</v>
      </c>
      <c r="M138" s="9"/>
      <c r="N138" s="10">
        <f t="shared" si="29"/>
        <v>-847.9900000000016</v>
      </c>
      <c r="O138" s="8">
        <f>IFERROR(N138/N444, "NA")</f>
        <v>4.0279719349645943E-2</v>
      </c>
      <c r="P138" s="9"/>
      <c r="Q138" s="7">
        <v>100659.48</v>
      </c>
      <c r="R138" s="8">
        <f>IFERROR(Q138/Q444, "NA")</f>
        <v>5.5218192804427788E-2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-100659.48</v>
      </c>
      <c r="X138" s="8">
        <f>IFERROR(W138/W444, "NA")</f>
        <v>-51.058083562012825</v>
      </c>
      <c r="Y138" s="9"/>
      <c r="Z138" s="7">
        <v>81906.259999999995</v>
      </c>
      <c r="AA138" s="8">
        <f>IFERROR(Z138/Z444, "NA")</f>
        <v>4.9336631442883652E-2</v>
      </c>
      <c r="AB138" s="9"/>
      <c r="AC138" s="10">
        <f t="shared" si="31"/>
        <v>-18753.22</v>
      </c>
      <c r="AD138" s="8">
        <f>IFERROR(AC138/AC444, "NA")</f>
        <v>-0.11519922727183937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40104.680000000008</v>
      </c>
      <c r="C141" s="15">
        <f>IFERROR(B141/B444, "NA")</f>
        <v>0.22227174565768551</v>
      </c>
      <c r="D141" s="2"/>
      <c r="E141" s="14">
        <f>IFERROR(E129+E130+E131+E132+E133+E134+E135+E136+E137+E138+E139+E140, "NA")</f>
        <v>46134.57</v>
      </c>
      <c r="F141" s="15">
        <f>IFERROR(E141/E444, "NA")</f>
        <v>0.21300000526329835</v>
      </c>
      <c r="G141" s="2"/>
      <c r="H141" s="14">
        <f t="shared" si="28"/>
        <v>6029.8899999999921</v>
      </c>
      <c r="I141" s="15">
        <f>IFERROR(H141/H444, "NA")</f>
        <v>-0.16674026784561263</v>
      </c>
      <c r="J141" s="2"/>
      <c r="K141" s="14">
        <f>IFERROR(K129+K130+K131+K132+K133+K134+K135+K136+K137+K138+K139+K140, "NA")</f>
        <v>44342.899999999994</v>
      </c>
      <c r="L141" s="15">
        <f>IFERROR(K141/K444, "NA")</f>
        <v>0.22008217253452861</v>
      </c>
      <c r="M141" s="2"/>
      <c r="N141" s="14">
        <f t="shared" si="29"/>
        <v>4238.2199999999866</v>
      </c>
      <c r="O141" s="15">
        <f>IFERROR(N141/N444, "NA")</f>
        <v>-0.20131642135173239</v>
      </c>
      <c r="P141" s="2"/>
      <c r="Q141" s="14">
        <f>IFERROR(Q129+Q130+Q131+Q132+Q133+Q134+Q135+Q136+Q137+Q138+Q139+Q140, "NA")</f>
        <v>414039.91</v>
      </c>
      <c r="R141" s="15">
        <f>IFERROR(Q141/Q444, "NA")</f>
        <v>0.22712749538451749</v>
      </c>
      <c r="S141" s="2"/>
      <c r="T141" s="14">
        <f>IFERROR(T129+T130+T131+T132+T133+T134+T135+T136+T137+T138+T139+T140, "NA")</f>
        <v>398495.26</v>
      </c>
      <c r="U141" s="15">
        <f>IFERROR(T141/T444, "NA")</f>
        <v>0.21883692332757576</v>
      </c>
      <c r="V141" s="2"/>
      <c r="W141" s="14">
        <f t="shared" si="30"/>
        <v>-15544.649999999965</v>
      </c>
      <c r="X141" s="15">
        <f>IFERROR(W141/W444, "NA")</f>
        <v>-7.884801696196333</v>
      </c>
      <c r="Y141" s="2"/>
      <c r="Z141" s="14">
        <f>IFERROR(Z129+Z130+Z131+Z132+Z133+Z134+Z135+Z136+Z137+Z138+Z139+Z140, "NA")</f>
        <v>374502.27999999991</v>
      </c>
      <c r="AA141" s="15">
        <f>IFERROR(Z141/Z444, "NA")</f>
        <v>0.2255832577739432</v>
      </c>
      <c r="AB141" s="2"/>
      <c r="AC141" s="14">
        <f t="shared" si="31"/>
        <v>-39537.630000000063</v>
      </c>
      <c r="AD141" s="15">
        <f>IFERROR(AC141/AC444, "NA")</f>
        <v>-0.24287585940760581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2745.07</v>
      </c>
      <c r="C144" s="8">
        <f>IFERROR(B144/B444, "NA")</f>
        <v>1.5213972555136774E-2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-2745.07</v>
      </c>
      <c r="I144" s="8">
        <f>IFERROR(H144/H444, "NA")</f>
        <v>7.5907472118887168E-2</v>
      </c>
      <c r="J144" s="9"/>
      <c r="K144" s="7">
        <v>1324.97</v>
      </c>
      <c r="L144" s="8">
        <f>IFERROR(K144/K444, "NA")</f>
        <v>6.5760759026377265E-3</v>
      </c>
      <c r="M144" s="9"/>
      <c r="N144" s="10">
        <f t="shared" si="33"/>
        <v>-1420.1000000000001</v>
      </c>
      <c r="O144" s="8">
        <f>IFERROR(N144/N444, "NA")</f>
        <v>6.7455075470739159E-2</v>
      </c>
      <c r="P144" s="9"/>
      <c r="Q144" s="7">
        <v>18464.189999999999</v>
      </c>
      <c r="R144" s="8">
        <f>IFERROR(Q144/Q444, "NA")</f>
        <v>1.0128794658958972E-2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-18464.189999999999</v>
      </c>
      <c r="X144" s="8">
        <f>IFERROR(W144/W444, "NA")</f>
        <v>-9.3656966628963474</v>
      </c>
      <c r="Y144" s="9"/>
      <c r="Z144" s="7">
        <v>13669.06</v>
      </c>
      <c r="AA144" s="8">
        <f>IFERROR(Z144/Z444, "NA")</f>
        <v>8.2336243333618608E-3</v>
      </c>
      <c r="AB144" s="9"/>
      <c r="AC144" s="10">
        <f t="shared" si="35"/>
        <v>-4795.1299999999992</v>
      </c>
      <c r="AD144" s="8">
        <f>IFERROR(AC144/AC444, "NA")</f>
        <v>-2.9456022521359801E-2</v>
      </c>
    </row>
    <row r="145" spans="1:30" ht="16.5" customHeight="1" x14ac:dyDescent="0.45">
      <c r="A145" s="12" t="s">
        <v>136</v>
      </c>
      <c r="B145" s="7">
        <v>236.99</v>
      </c>
      <c r="C145" s="8">
        <f>IFERROR(B145/B444, "NA")</f>
        <v>1.3134671814714611E-3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-236.99</v>
      </c>
      <c r="I145" s="8">
        <f>IFERROR(H145/H444, "NA")</f>
        <v>6.5533162423745362E-3</v>
      </c>
      <c r="J145" s="9"/>
      <c r="K145" s="7">
        <v>73.790000000000006</v>
      </c>
      <c r="L145" s="8">
        <f>IFERROR(K145/K444, "NA")</f>
        <v>3.6623368140836234E-4</v>
      </c>
      <c r="M145" s="9"/>
      <c r="N145" s="10">
        <f t="shared" si="33"/>
        <v>-163.19999999999999</v>
      </c>
      <c r="O145" s="8">
        <f>IFERROR(N145/N444, "NA")</f>
        <v>7.7520374035804718E-3</v>
      </c>
      <c r="P145" s="9"/>
      <c r="Q145" s="7">
        <v>1093.46</v>
      </c>
      <c r="R145" s="8">
        <f>IFERROR(Q145/Q444, "NA")</f>
        <v>5.9983307189675149E-4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-1093.46</v>
      </c>
      <c r="X145" s="8">
        <f>IFERROR(W145/W444, "NA")</f>
        <v>-0.55464196766880325</v>
      </c>
      <c r="Y145" s="9"/>
      <c r="Z145" s="7">
        <v>985.99</v>
      </c>
      <c r="AA145" s="8">
        <f>IFERROR(Z145/Z444, "NA")</f>
        <v>5.939158403322146E-4</v>
      </c>
      <c r="AB145" s="9"/>
      <c r="AC145" s="10">
        <f t="shared" si="35"/>
        <v>-107.47000000000003</v>
      </c>
      <c r="AD145" s="8">
        <f>IFERROR(AC145/AC444, "NA")</f>
        <v>-6.6017787638094044E-4</v>
      </c>
    </row>
    <row r="146" spans="1:30" ht="16.5" customHeight="1" x14ac:dyDescent="0.45">
      <c r="A146" s="12" t="s">
        <v>137</v>
      </c>
      <c r="B146" s="7">
        <v>143.82</v>
      </c>
      <c r="C146" s="8">
        <f>IFERROR(B146/B444, "NA")</f>
        <v>7.9709207156093307E-4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-143.82</v>
      </c>
      <c r="I146" s="8">
        <f>IFERROR(H146/H444, "NA")</f>
        <v>3.9769523692067422E-3</v>
      </c>
      <c r="J146" s="9"/>
      <c r="K146" s="7">
        <v>590.66999999999996</v>
      </c>
      <c r="L146" s="8">
        <f>IFERROR(K146/K444, "NA")</f>
        <v>2.9316065672513533E-3</v>
      </c>
      <c r="M146" s="9"/>
      <c r="N146" s="10">
        <f t="shared" si="33"/>
        <v>446.84999999999997</v>
      </c>
      <c r="O146" s="8">
        <f>IFERROR(N146/N444, "NA")</f>
        <v>-2.1225477412928517E-2</v>
      </c>
      <c r="P146" s="9"/>
      <c r="Q146" s="7">
        <v>1750.56</v>
      </c>
      <c r="R146" s="8">
        <f>IFERROR(Q146/Q444, "NA")</f>
        <v>9.6029464483344347E-4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-1750.56</v>
      </c>
      <c r="X146" s="8">
        <f>IFERROR(W146/W444, "NA")</f>
        <v>-0.88794655764481567</v>
      </c>
      <c r="Y146" s="9"/>
      <c r="Z146" s="7">
        <v>4360.46</v>
      </c>
      <c r="AA146" s="8">
        <f>IFERROR(Z146/Z444, "NA")</f>
        <v>2.6265441486577027E-3</v>
      </c>
      <c r="AB146" s="9"/>
      <c r="AC146" s="10">
        <f t="shared" si="35"/>
        <v>2609.9</v>
      </c>
      <c r="AD146" s="8">
        <f>IFERROR(AC146/AC444, "NA")</f>
        <v>1.603236474892171E-2</v>
      </c>
    </row>
    <row r="147" spans="1:30" ht="16.5" customHeight="1" x14ac:dyDescent="0.45">
      <c r="A147" s="12" t="s">
        <v>138</v>
      </c>
      <c r="B147" s="7">
        <v>52.95</v>
      </c>
      <c r="C147" s="8">
        <f>IFERROR(B147/B444, "NA")</f>
        <v>2.9346422743117378E-4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-52.95</v>
      </c>
      <c r="I147" s="8">
        <f>IFERROR(H147/H444, "NA")</f>
        <v>1.4641887633812891E-3</v>
      </c>
      <c r="J147" s="9"/>
      <c r="K147" s="7">
        <v>10.96</v>
      </c>
      <c r="L147" s="8">
        <f>IFERROR(K147/K444, "NA")</f>
        <v>5.4396546256073333E-5</v>
      </c>
      <c r="M147" s="9"/>
      <c r="N147" s="10">
        <f t="shared" si="33"/>
        <v>-41.99</v>
      </c>
      <c r="O147" s="8">
        <f>IFERROR(N147/N444, "NA")</f>
        <v>1.9945346236295591E-3</v>
      </c>
      <c r="P147" s="9"/>
      <c r="Q147" s="7">
        <v>385.95</v>
      </c>
      <c r="R147" s="8">
        <f>IFERROR(Q147/Q444, "NA")</f>
        <v>2.1171837479061988E-4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-385.95</v>
      </c>
      <c r="X147" s="8">
        <f>IFERROR(W147/W444, "NA")</f>
        <v>-0.19576762517309695</v>
      </c>
      <c r="Y147" s="9"/>
      <c r="Z147" s="7">
        <v>327.17</v>
      </c>
      <c r="AA147" s="8">
        <f>IFERROR(Z147/Z444, "NA")</f>
        <v>1.9707243022899892E-4</v>
      </c>
      <c r="AB147" s="9"/>
      <c r="AC147" s="10">
        <f t="shared" si="35"/>
        <v>-58.779999999999973</v>
      </c>
      <c r="AD147" s="8">
        <f>IFERROR(AC147/AC444, "NA")</f>
        <v>-3.6107988809594915E-4</v>
      </c>
    </row>
    <row r="148" spans="1:30" ht="16.5" customHeight="1" x14ac:dyDescent="0.45">
      <c r="A148" s="13" t="s">
        <v>139</v>
      </c>
      <c r="B148" s="14">
        <f>IFERROR(B143+B144+B145+B146+B147, "NA")</f>
        <v>3178.8300000000004</v>
      </c>
      <c r="C148" s="15">
        <f>IFERROR(B148/B444, "NA")</f>
        <v>1.7617996035600342E-2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-3178.8300000000004</v>
      </c>
      <c r="I148" s="15">
        <f>IFERROR(H148/H444, "NA")</f>
        <v>8.7901929493849743E-2</v>
      </c>
      <c r="J148" s="2"/>
      <c r="K148" s="14">
        <f>IFERROR(K143+K144+K145+K146+K147, "NA")</f>
        <v>2000.3899999999999</v>
      </c>
      <c r="L148" s="15">
        <f>IFERROR(K148/K444, "NA")</f>
        <v>9.9283126975535149E-3</v>
      </c>
      <c r="M148" s="2"/>
      <c r="N148" s="14">
        <f t="shared" si="33"/>
        <v>-1178.4400000000005</v>
      </c>
      <c r="O148" s="15">
        <f>IFERROR(N148/N444, "NA")</f>
        <v>5.5976170085020691E-2</v>
      </c>
      <c r="P148" s="2"/>
      <c r="Q148" s="14">
        <f>IFERROR(Q143+Q144+Q145+Q146+Q147, "NA")</f>
        <v>21694.16</v>
      </c>
      <c r="R148" s="15">
        <f>IFERROR(Q148/Q444, "NA")</f>
        <v>1.1900640750479788E-2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-21694.16</v>
      </c>
      <c r="X148" s="15">
        <f>IFERROR(W148/W444, "NA")</f>
        <v>-11.004052813383064</v>
      </c>
      <c r="Y148" s="2"/>
      <c r="Z148" s="14">
        <f>IFERROR(Z143+Z144+Z145+Z146+Z147, "NA")</f>
        <v>19342.679999999997</v>
      </c>
      <c r="AA148" s="15">
        <f>IFERROR(Z148/Z444, "NA")</f>
        <v>1.1651156752580775E-2</v>
      </c>
      <c r="AB148" s="2"/>
      <c r="AC148" s="14">
        <f t="shared" si="35"/>
        <v>-2351.4800000000032</v>
      </c>
      <c r="AD148" s="15">
        <f>IFERROR(AC148/AC444, "NA")</f>
        <v>-1.4444915536915005E-2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43283.51</v>
      </c>
      <c r="C149" s="15">
        <f>IFERROR(B149/B444, "NA")</f>
        <v>0.23988974169328584</v>
      </c>
      <c r="D149" s="2"/>
      <c r="E149" s="14">
        <f>IFERROR(E127+E129+E130+E131+E132+E133+E134+E135+E136+E137+E138+E139+E140+E143+E144+E145+E146+E147, "NA")</f>
        <v>46134.57</v>
      </c>
      <c r="F149" s="15">
        <f>IFERROR(E149/E444, "NA")</f>
        <v>0.21300000526329835</v>
      </c>
      <c r="G149" s="2"/>
      <c r="H149" s="14">
        <f t="shared" si="32"/>
        <v>2851.0599999999977</v>
      </c>
      <c r="I149" s="15">
        <f>IFERROR(H149/H444, "NA")</f>
        <v>-7.8838338351763071E-2</v>
      </c>
      <c r="J149" s="2"/>
      <c r="K149" s="14">
        <f>IFERROR(K127+K129+K130+K131+K132+K133+K134+K135+K136+K137+K138+K139+K140+K143+K144+K145+K146+K147, "NA")</f>
        <v>46343.289999999994</v>
      </c>
      <c r="L149" s="15">
        <f>IFERROR(K149/K444, "NA")</f>
        <v>0.23001048523208215</v>
      </c>
      <c r="M149" s="2"/>
      <c r="N149" s="14">
        <f t="shared" si="33"/>
        <v>3059.7799999999916</v>
      </c>
      <c r="O149" s="15">
        <f>IFERROR(N149/N444, "NA")</f>
        <v>-0.14534025126671196</v>
      </c>
      <c r="P149" s="2"/>
      <c r="Q149" s="14">
        <f>IFERROR(Q127+Q129+Q130+Q131+Q132+Q133+Q134+Q135+Q136+Q137+Q138+Q139+Q140+Q143+Q144+Q145+Q146+Q147, "NA")</f>
        <v>435734.07</v>
      </c>
      <c r="R149" s="15">
        <f>IFERROR(Q149/Q444, "NA")</f>
        <v>0.23902813613499727</v>
      </c>
      <c r="S149" s="2"/>
      <c r="T149" s="14">
        <f>IFERROR(T127+T129+T130+T131+T132+T133+T134+T135+T136+T137+T138+T139+T140+T143+T144+T145+T146+T147, "NA")</f>
        <v>398495.26</v>
      </c>
      <c r="U149" s="15">
        <f>IFERROR(T149/T444, "NA")</f>
        <v>0.21883692332757576</v>
      </c>
      <c r="V149" s="2"/>
      <c r="W149" s="14">
        <f t="shared" si="34"/>
        <v>-37238.81</v>
      </c>
      <c r="X149" s="15">
        <f>IFERROR(W149/W444, "NA")</f>
        <v>-18.888854509579414</v>
      </c>
      <c r="Y149" s="2"/>
      <c r="Z149" s="14">
        <f>IFERROR(Z127+Z129+Z130+Z131+Z132+Z133+Z134+Z135+Z136+Z137+Z138+Z139+Z140+Z143+Z144+Z145+Z146+Z147, "NA")</f>
        <v>393844.9599999999</v>
      </c>
      <c r="AA149" s="15">
        <f>IFERROR(Z149/Z444, "NA")</f>
        <v>0.23723441452652397</v>
      </c>
      <c r="AB149" s="2"/>
      <c r="AC149" s="14">
        <f t="shared" si="35"/>
        <v>-41889.110000000102</v>
      </c>
      <c r="AD149" s="15">
        <f>IFERROR(AC149/AC444, "NA")</f>
        <v>-0.25732077494452105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3682.1</v>
      </c>
      <c r="F153" s="8">
        <f>IFERROR(E153/E444, "NA")</f>
        <v>1.6999991966544628E-2</v>
      </c>
      <c r="G153" s="9"/>
      <c r="H153" s="10">
        <f t="shared" ref="H153:H158" si="36">IFERROR(-(B153-E153), "NA")</f>
        <v>3682.1</v>
      </c>
      <c r="I153" s="8">
        <f>IFERROR(H153/H444, "NA")</f>
        <v>-0.10181849755705843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32694.560000000001</v>
      </c>
      <c r="U153" s="8">
        <f>IFERROR(T153/T444, "NA")</f>
        <v>1.79544843769254E-2</v>
      </c>
      <c r="V153" s="9"/>
      <c r="W153" s="10">
        <f t="shared" ref="W153:W158" si="38">IFERROR(-(Q153-T153), "NA")</f>
        <v>32694.560000000001</v>
      </c>
      <c r="X153" s="8">
        <f>IFERROR(W153/W444, "NA")</f>
        <v>16.583848600283272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4844.87</v>
      </c>
      <c r="C154" s="8">
        <f>IFERROR(B154/B444, "NA")</f>
        <v>2.6851671984031555E-2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-4844.87</v>
      </c>
      <c r="I154" s="8">
        <f>IFERROR(H154/H444, "NA")</f>
        <v>0.13397175097342975</v>
      </c>
      <c r="J154" s="9"/>
      <c r="K154" s="7">
        <v>5201.8100000000004</v>
      </c>
      <c r="L154" s="8">
        <f>IFERROR(K154/K444, "NA")</f>
        <v>2.5817563711706643E-2</v>
      </c>
      <c r="M154" s="9"/>
      <c r="N154" s="10">
        <f t="shared" si="37"/>
        <v>356.94000000000051</v>
      </c>
      <c r="O154" s="8">
        <f>IFERROR(N154/N444, "NA")</f>
        <v>-1.695473180658099E-2</v>
      </c>
      <c r="P154" s="9"/>
      <c r="Q154" s="7">
        <v>50568.43</v>
      </c>
      <c r="R154" s="8">
        <f>IFERROR(Q154/Q444, "NA")</f>
        <v>2.7740033204594446E-2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-50568.43</v>
      </c>
      <c r="X154" s="8">
        <f>IFERROR(W154/W444, "NA")</f>
        <v>-25.650113874418945</v>
      </c>
      <c r="Y154" s="9"/>
      <c r="Z154" s="7">
        <v>46227.24</v>
      </c>
      <c r="AA154" s="8">
        <f>IFERROR(Z154/Z444, "NA")</f>
        <v>2.7845201361919453E-2</v>
      </c>
      <c r="AB154" s="9"/>
      <c r="AC154" s="10">
        <f t="shared" si="39"/>
        <v>-4341.1900000000023</v>
      </c>
      <c r="AD154" s="8">
        <f>IFERROR(AC154/AC444, "NA")</f>
        <v>-2.6667512749289808E-2</v>
      </c>
    </row>
    <row r="155" spans="1:30" ht="16.5" customHeight="1" x14ac:dyDescent="0.45">
      <c r="A155" s="12" t="s">
        <v>144</v>
      </c>
      <c r="B155" s="7">
        <v>3247.25</v>
      </c>
      <c r="C155" s="8">
        <f>IFERROR(B155/B444, "NA")</f>
        <v>1.7997199481130859E-2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-3247.25</v>
      </c>
      <c r="I155" s="8">
        <f>IFERROR(H155/H444, "NA")</f>
        <v>8.9793899185833637E-2</v>
      </c>
      <c r="J155" s="9"/>
      <c r="K155" s="7">
        <v>3024.65</v>
      </c>
      <c r="L155" s="8">
        <f>IFERROR(K155/K444, "NA")</f>
        <v>1.5011908178232865E-2</v>
      </c>
      <c r="M155" s="9"/>
      <c r="N155" s="10">
        <f t="shared" si="37"/>
        <v>-222.59999999999991</v>
      </c>
      <c r="O155" s="8">
        <f>IFERROR(N155/N444, "NA")</f>
        <v>1.0573551017383656E-2</v>
      </c>
      <c r="P155" s="9"/>
      <c r="Q155" s="7">
        <v>27868.48</v>
      </c>
      <c r="R155" s="8">
        <f>IFERROR(Q155/Q444, "NA")</f>
        <v>1.5287652010583998E-2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-27868.48</v>
      </c>
      <c r="X155" s="8">
        <f>IFERROR(W155/W444, "NA")</f>
        <v>-14.135888448721206</v>
      </c>
      <c r="Y155" s="9"/>
      <c r="Z155" s="7">
        <v>28501.279999999999</v>
      </c>
      <c r="AA155" s="8">
        <f>IFERROR(Z155/Z444, "NA")</f>
        <v>1.7167883712556658E-2</v>
      </c>
      <c r="AB155" s="9"/>
      <c r="AC155" s="10">
        <f t="shared" si="39"/>
        <v>632.79999999999927</v>
      </c>
      <c r="AD155" s="8">
        <f>IFERROR(AC155/AC444, "NA")</f>
        <v>3.8872295540509773E-3</v>
      </c>
    </row>
    <row r="156" spans="1:30" ht="16.5" customHeight="1" x14ac:dyDescent="0.45">
      <c r="A156" s="12" t="s">
        <v>145</v>
      </c>
      <c r="B156" s="7">
        <v>21.15</v>
      </c>
      <c r="C156" s="8">
        <f>IFERROR(B156/B444, "NA")</f>
        <v>1.1721942228837251E-4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-21.15</v>
      </c>
      <c r="I156" s="8">
        <f>IFERROR(H156/H444, "NA")</f>
        <v>5.8484593664805021E-4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-21.15</v>
      </c>
      <c r="O156" s="8">
        <f>IFERROR(N156/N444, "NA")</f>
        <v>1.0046298473390133E-3</v>
      </c>
      <c r="P156" s="9"/>
      <c r="Q156" s="7">
        <v>21.15</v>
      </c>
      <c r="R156" s="8">
        <f>IFERROR(Q156/Q444, "NA")</f>
        <v>1.160213402467058E-5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-21.15</v>
      </c>
      <c r="X156" s="8">
        <f>IFERROR(W156/W444, "NA")</f>
        <v>-1.0728035425342662E-2</v>
      </c>
      <c r="Y156" s="9"/>
      <c r="Z156" s="7">
        <v>255.66</v>
      </c>
      <c r="AA156" s="8">
        <f>IFERROR(Z156/Z444, "NA")</f>
        <v>1.5399803622687247E-4</v>
      </c>
      <c r="AB156" s="9"/>
      <c r="AC156" s="10">
        <f t="shared" si="39"/>
        <v>234.51</v>
      </c>
      <c r="AD156" s="8">
        <f>IFERROR(AC156/AC444, "NA")</f>
        <v>1.4405723810374457E-3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8113.2699999999995</v>
      </c>
      <c r="C158" s="15">
        <f>IFERROR(B158/B444, "NA")</f>
        <v>4.4966090887450787E-2</v>
      </c>
      <c r="D158" s="2"/>
      <c r="E158" s="14">
        <f>IFERROR(E153+E154+E155+E156+E157, "NA")</f>
        <v>3682.1</v>
      </c>
      <c r="F158" s="15">
        <f>IFERROR(E158/E444, "NA")</f>
        <v>1.6999991966544628E-2</v>
      </c>
      <c r="G158" s="2"/>
      <c r="H158" s="14">
        <f t="shared" si="36"/>
        <v>-4431.17</v>
      </c>
      <c r="I158" s="15">
        <f>IFERROR(H158/H444, "NA")</f>
        <v>0.12253199853885301</v>
      </c>
      <c r="J158" s="2"/>
      <c r="K158" s="14">
        <f>IFERROR(K153+K154+K155+K156+K157, "NA")</f>
        <v>8226.4600000000009</v>
      </c>
      <c r="L158" s="15">
        <f>IFERROR(K158/K444, "NA")</f>
        <v>4.082947188993951E-2</v>
      </c>
      <c r="M158" s="2"/>
      <c r="N158" s="14">
        <f t="shared" si="37"/>
        <v>113.19000000000142</v>
      </c>
      <c r="O158" s="15">
        <f>IFERROR(N158/N444, "NA")</f>
        <v>-5.376550941858362E-3</v>
      </c>
      <c r="P158" s="2"/>
      <c r="Q158" s="14">
        <f>IFERROR(Q153+Q154+Q155+Q156+Q157, "NA")</f>
        <v>78458.06</v>
      </c>
      <c r="R158" s="15">
        <f>IFERROR(Q158/Q444, "NA")</f>
        <v>4.3039287349203113E-2</v>
      </c>
      <c r="S158" s="2"/>
      <c r="T158" s="14">
        <f>IFERROR(T153+T154+T155+T156+T157, "NA")</f>
        <v>32694.560000000001</v>
      </c>
      <c r="U158" s="15">
        <f>IFERROR(T158/T444, "NA")</f>
        <v>1.79544843769254E-2</v>
      </c>
      <c r="V158" s="2"/>
      <c r="W158" s="14">
        <f t="shared" si="38"/>
        <v>-45763.5</v>
      </c>
      <c r="X158" s="15">
        <f>IFERROR(W158/W444, "NA")</f>
        <v>-23.212881758282219</v>
      </c>
      <c r="Y158" s="2"/>
      <c r="Z158" s="14">
        <f>IFERROR(Z153+Z154+Z155+Z156+Z157, "NA")</f>
        <v>74984.179999999993</v>
      </c>
      <c r="AA158" s="15">
        <f>IFERROR(Z158/Z444, "NA")</f>
        <v>4.5167083110702985E-2</v>
      </c>
      <c r="AB158" s="2"/>
      <c r="AC158" s="14">
        <f t="shared" si="39"/>
        <v>-3473.8800000000047</v>
      </c>
      <c r="AD158" s="15">
        <f>IFERROR(AC158/AC444, "NA")</f>
        <v>-2.1339710814201395E-2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361.49</v>
      </c>
      <c r="C161" s="8">
        <f>IFERROR(B161/B444, "NA")</f>
        <v>2.0034822204739377E-3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-361.49</v>
      </c>
      <c r="I161" s="8">
        <f>IFERROR(H161/H444, "NA")</f>
        <v>9.996026365905613E-3</v>
      </c>
      <c r="J161" s="9"/>
      <c r="K161" s="7">
        <v>63.3</v>
      </c>
      <c r="L161" s="8">
        <f>IFERROR(K161/K444, "NA")</f>
        <v>3.1416983375998552E-4</v>
      </c>
      <c r="M161" s="9"/>
      <c r="N161" s="10">
        <f t="shared" si="41"/>
        <v>-298.19</v>
      </c>
      <c r="O161" s="8">
        <f>IFERROR(N161/N444, "NA")</f>
        <v>1.4164093341750375E-2</v>
      </c>
      <c r="P161" s="9"/>
      <c r="Q161" s="7">
        <v>1848.99</v>
      </c>
      <c r="R161" s="8">
        <f>IFERROR(Q161/Q444, "NA")</f>
        <v>1.0142898245993218E-3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-1848.99</v>
      </c>
      <c r="X161" s="8">
        <f>IFERROR(W161/W444, "NA")</f>
        <v>-0.93787376931935373</v>
      </c>
      <c r="Y161" s="9"/>
      <c r="Z161" s="7">
        <v>2482.85</v>
      </c>
      <c r="AA161" s="8">
        <f>IFERROR(Z161/Z444, "NA")</f>
        <v>1.4955566934439892E-3</v>
      </c>
      <c r="AB161" s="9"/>
      <c r="AC161" s="10">
        <f t="shared" si="43"/>
        <v>633.8599999999999</v>
      </c>
      <c r="AD161" s="8">
        <f>IFERROR(AC161/AC444, "NA")</f>
        <v>3.8937410321282476E-3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361.49</v>
      </c>
      <c r="C166" s="15">
        <f>IFERROR(B166/B444, "NA")</f>
        <v>2.0034822204739377E-3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-361.49</v>
      </c>
      <c r="I166" s="15">
        <f>IFERROR(H166/H444, "NA")</f>
        <v>9.996026365905613E-3</v>
      </c>
      <c r="J166" s="2"/>
      <c r="K166" s="14">
        <f>IFERROR(K160+K161+K162+K163+K164+K165, "NA")</f>
        <v>63.3</v>
      </c>
      <c r="L166" s="15">
        <f>IFERROR(K166/K444, "NA")</f>
        <v>3.1416983375998552E-4</v>
      </c>
      <c r="M166" s="2"/>
      <c r="N166" s="14">
        <f t="shared" si="41"/>
        <v>-298.19</v>
      </c>
      <c r="O166" s="15">
        <f>IFERROR(N166/N444, "NA")</f>
        <v>1.4164093341750375E-2</v>
      </c>
      <c r="P166" s="2"/>
      <c r="Q166" s="14">
        <f>IFERROR(Q160+Q161+Q162+Q163+Q164+Q165, "NA")</f>
        <v>1848.99</v>
      </c>
      <c r="R166" s="15">
        <f>IFERROR(Q166/Q444, "NA")</f>
        <v>1.0142898245993218E-3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-1848.99</v>
      </c>
      <c r="X166" s="15">
        <f>IFERROR(W166/W444, "NA")</f>
        <v>-0.93787376931935373</v>
      </c>
      <c r="Y166" s="2"/>
      <c r="Z166" s="14">
        <f>IFERROR(Z160+Z161+Z162+Z163+Z164+Z165, "NA")</f>
        <v>2482.85</v>
      </c>
      <c r="AA166" s="15">
        <f>IFERROR(Z166/Z444, "NA")</f>
        <v>1.4955566934439892E-3</v>
      </c>
      <c r="AB166" s="2"/>
      <c r="AC166" s="14">
        <f t="shared" si="43"/>
        <v>633.8599999999999</v>
      </c>
      <c r="AD166" s="15">
        <f>IFERROR(AC166/AC444, "NA")</f>
        <v>3.8937410321282476E-3</v>
      </c>
    </row>
    <row r="167" spans="1:30" ht="16.5" customHeight="1" x14ac:dyDescent="0.45">
      <c r="A167" s="6" t="s">
        <v>155</v>
      </c>
      <c r="B167" s="7">
        <v>176.01</v>
      </c>
      <c r="C167" s="8">
        <f>IFERROR(B167/B444, "NA")</f>
        <v>9.7549836959699514E-4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-176.01</v>
      </c>
      <c r="I167" s="8">
        <f>IFERROR(H167/H444, "NA")</f>
        <v>4.8670795890980298E-3</v>
      </c>
      <c r="J167" s="9"/>
      <c r="K167" s="7">
        <v>146.16999999999999</v>
      </c>
      <c r="L167" s="8">
        <f>IFERROR(K167/K444, "NA")</f>
        <v>7.2546926699363485E-4</v>
      </c>
      <c r="M167" s="9"/>
      <c r="N167" s="10">
        <f t="shared" si="41"/>
        <v>-29.840000000000003</v>
      </c>
      <c r="O167" s="8">
        <f>IFERROR(N167/N444, "NA")</f>
        <v>1.4174068389879984E-3</v>
      </c>
      <c r="P167" s="9"/>
      <c r="Q167" s="7">
        <v>1595.19</v>
      </c>
      <c r="R167" s="8">
        <f>IFERROR(Q167/Q444, "NA")</f>
        <v>8.7506421630327493E-4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-1595.19</v>
      </c>
      <c r="X167" s="8">
        <f>IFERROR(W167/W444, "NA")</f>
        <v>-0.80913734421524175</v>
      </c>
      <c r="Y167" s="9"/>
      <c r="Z167" s="7">
        <v>1618.91</v>
      </c>
      <c r="AA167" s="8">
        <f>IFERROR(Z167/Z444, "NA")</f>
        <v>9.7515826029901471E-4</v>
      </c>
      <c r="AB167" s="9"/>
      <c r="AC167" s="10">
        <f t="shared" si="43"/>
        <v>23.720000000000027</v>
      </c>
      <c r="AD167" s="8">
        <f>IFERROR(AC167/AC444, "NA")</f>
        <v>1.4570967923844722E-4</v>
      </c>
    </row>
    <row r="168" spans="1:30" ht="16.5" customHeight="1" x14ac:dyDescent="0.45">
      <c r="A168" s="6" t="s">
        <v>156</v>
      </c>
      <c r="B168" s="7">
        <v>57.93</v>
      </c>
      <c r="C168" s="8">
        <f>IFERROR(B168/B444, "NA")</f>
        <v>3.2106482899127285E-4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-57.93</v>
      </c>
      <c r="I168" s="8">
        <f>IFERROR(H168/H444, "NA")</f>
        <v>1.601897168322532E-3</v>
      </c>
      <c r="J168" s="9"/>
      <c r="K168" s="7">
        <v>59.6</v>
      </c>
      <c r="L168" s="8">
        <f>IFERROR(K168/K444, "NA")</f>
        <v>2.958060362100338E-4</v>
      </c>
      <c r="M168" s="9"/>
      <c r="N168" s="10">
        <f t="shared" si="41"/>
        <v>1.6700000000000017</v>
      </c>
      <c r="O168" s="8">
        <f>IFERROR(N168/N444, "NA")</f>
        <v>-7.9325382744971828E-5</v>
      </c>
      <c r="P168" s="9"/>
      <c r="Q168" s="7">
        <v>697.15</v>
      </c>
      <c r="R168" s="8">
        <f>IFERROR(Q168/Q444, "NA")</f>
        <v>3.8243157140894064E-4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-697.15</v>
      </c>
      <c r="X168" s="8">
        <f>IFERROR(W168/W444, "NA")</f>
        <v>-0.35361938046229963</v>
      </c>
      <c r="Y168" s="9"/>
      <c r="Z168" s="7">
        <v>580.5</v>
      </c>
      <c r="AA168" s="8">
        <f>IFERROR(Z168/Z444, "NA")</f>
        <v>3.4966697969842552E-4</v>
      </c>
      <c r="AB168" s="9"/>
      <c r="AC168" s="10">
        <f t="shared" si="43"/>
        <v>-116.64999999999998</v>
      </c>
      <c r="AD168" s="8">
        <f>IFERROR(AC168/AC444, "NA")</f>
        <v>-7.1656973369160391E-4</v>
      </c>
    </row>
    <row r="169" spans="1:30" ht="16.5" customHeight="1" x14ac:dyDescent="0.45">
      <c r="A169" s="6" t="s">
        <v>157</v>
      </c>
      <c r="B169" s="7">
        <v>-1551.17</v>
      </c>
      <c r="C169" s="8">
        <f>IFERROR(B169/B444, "NA")</f>
        <v>-8.5970331570238683E-3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1551.17</v>
      </c>
      <c r="I169" s="8">
        <f>IFERROR(H169/H444, "NA")</f>
        <v>-4.2893402910182329E-2</v>
      </c>
      <c r="J169" s="9"/>
      <c r="K169" s="7">
        <v>-4017.83</v>
      </c>
      <c r="L169" s="8">
        <f>IFERROR(K169/K444, "NA")</f>
        <v>-1.9941247759492617E-2</v>
      </c>
      <c r="M169" s="9"/>
      <c r="N169" s="10">
        <f t="shared" si="41"/>
        <v>-2466.66</v>
      </c>
      <c r="O169" s="8">
        <f>IFERROR(N169/N444, "NA")</f>
        <v>0.11716691533036647</v>
      </c>
      <c r="P169" s="9"/>
      <c r="Q169" s="7">
        <v>-21981.4</v>
      </c>
      <c r="R169" s="8">
        <f>IFERROR(Q169/Q444, "NA")</f>
        <v>-1.2058210347512715E-2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21981.4</v>
      </c>
      <c r="X169" s="8">
        <f>IFERROR(W169/W444, "NA")</f>
        <v>11.14975120088072</v>
      </c>
      <c r="Y169" s="9"/>
      <c r="Z169" s="7">
        <v>-30280.07</v>
      </c>
      <c r="AA169" s="8">
        <f>IFERROR(Z169/Z444, "NA")</f>
        <v>-1.8239346463319386E-2</v>
      </c>
      <c r="AB169" s="9"/>
      <c r="AC169" s="10">
        <f t="shared" si="43"/>
        <v>-8298.6699999999983</v>
      </c>
      <c r="AD169" s="8">
        <f>IFERROR(AC169/AC444, "NA")</f>
        <v>-5.0977931863647685E-2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7157.5300000000007</v>
      </c>
      <c r="C170" s="15">
        <f>IFERROR(B170/B444, "NA")</f>
        <v>3.9669103149489127E-2</v>
      </c>
      <c r="D170" s="2"/>
      <c r="E170" s="14">
        <f>IFERROR(E151+E153+E154+E155+E156+E157+E160+E161+E162+E163+E164+E165+E167+E168+E169, "NA")</f>
        <v>3682.1</v>
      </c>
      <c r="F170" s="15">
        <f>IFERROR(E170/E444, "NA")</f>
        <v>1.6999991966544628E-2</v>
      </c>
      <c r="G170" s="2"/>
      <c r="H170" s="14">
        <f t="shared" si="40"/>
        <v>-3475.4300000000007</v>
      </c>
      <c r="I170" s="15">
        <f>IFERROR(H170/H444, "NA")</f>
        <v>9.610359875199688E-2</v>
      </c>
      <c r="J170" s="2"/>
      <c r="K170" s="14">
        <f>IFERROR(K151+K153+K154+K155+K156+K157+K160+K161+K162+K163+K164+K165+K167+K168+K169, "NA")</f>
        <v>4477.7000000000007</v>
      </c>
      <c r="L170" s="15">
        <f>IFERROR(K170/K444, "NA")</f>
        <v>2.2223669267410547E-2</v>
      </c>
      <c r="M170" s="2"/>
      <c r="N170" s="14">
        <f t="shared" si="41"/>
        <v>-2679.83</v>
      </c>
      <c r="O170" s="15">
        <f>IFERROR(N170/N444, "NA")</f>
        <v>0.12729253918650157</v>
      </c>
      <c r="P170" s="2"/>
      <c r="Q170" s="14">
        <f>IFERROR(Q151+Q153+Q154+Q155+Q156+Q157+Q160+Q161+Q162+Q163+Q164+Q165+Q167+Q168+Q169, "NA")</f>
        <v>60617.99</v>
      </c>
      <c r="R170" s="15">
        <f>IFERROR(Q170/Q444, "NA")</f>
        <v>3.3252862614001934E-2</v>
      </c>
      <c r="S170" s="2"/>
      <c r="T170" s="14">
        <f>IFERROR(T151+T153+T154+T155+T156+T157+T160+T161+T162+T163+T164+T165+T167+T168+T169, "NA")</f>
        <v>32694.560000000001</v>
      </c>
      <c r="U170" s="15">
        <f>IFERROR(T170/T444, "NA")</f>
        <v>1.79544843769254E-2</v>
      </c>
      <c r="V170" s="2"/>
      <c r="W170" s="14">
        <f t="shared" si="42"/>
        <v>-27923.429999999997</v>
      </c>
      <c r="X170" s="15">
        <f>IFERROR(W170/W444, "NA")</f>
        <v>-14.163761051398394</v>
      </c>
      <c r="Y170" s="2"/>
      <c r="Z170" s="14">
        <f>IFERROR(Z151+Z153+Z154+Z155+Z156+Z157+Z160+Z161+Z162+Z163+Z164+Z165+Z167+Z168+Z169, "NA")</f>
        <v>49386.37</v>
      </c>
      <c r="AA170" s="15">
        <f>IFERROR(Z170/Z444, "NA")</f>
        <v>2.9748118580825031E-2</v>
      </c>
      <c r="AB170" s="2"/>
      <c r="AC170" s="14">
        <f t="shared" si="43"/>
        <v>-11231.619999999995</v>
      </c>
      <c r="AD170" s="15">
        <f>IFERROR(AC170/AC444, "NA")</f>
        <v>-6.8994761700173948E-2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50441.040000000008</v>
      </c>
      <c r="C171" s="15">
        <f>IFERROR(B171/B444, "NA")</f>
        <v>0.27955884484277499</v>
      </c>
      <c r="D171" s="2"/>
      <c r="E171" s="14">
        <f>IFERROR(E127+E129+E130+E131+E132+E133+E134+E135+E136+E137+E138+E139+E140+E143+E144+E145+E146+E147+E151+E153+E154+E155+E156+E157+E160+E161+E162+E163+E164+E165+E167+E168+E169, "NA")</f>
        <v>49816.67</v>
      </c>
      <c r="F171" s="15">
        <f>IFERROR(E171/E444, "NA")</f>
        <v>0.22999999722984296</v>
      </c>
      <c r="G171" s="2"/>
      <c r="H171" s="14">
        <f t="shared" si="40"/>
        <v>-624.3700000000099</v>
      </c>
      <c r="I171" s="15">
        <f>IFERROR(H171/H444, "NA")</f>
        <v>1.7265260400233993E-2</v>
      </c>
      <c r="J171" s="2"/>
      <c r="K171" s="14">
        <f>IFERROR(K127+K129+K130+K131+K132+K133+K134+K135+K136+K137+K138+K139+K140+K143+K144+K145+K146+K147+K151+K153+K154+K155+K156+K157+K160+K161+K162+K163+K164+K165+K167+K168+K169, "NA")</f>
        <v>50820.989999999991</v>
      </c>
      <c r="L171" s="15">
        <f>IFERROR(K171/K444, "NA")</f>
        <v>0.25223415449949266</v>
      </c>
      <c r="M171" s="2"/>
      <c r="N171" s="14">
        <f t="shared" si="41"/>
        <v>379.94999999998254</v>
      </c>
      <c r="O171" s="15">
        <f>IFERROR(N171/N444, "NA")</f>
        <v>-1.8047712080209957E-2</v>
      </c>
      <c r="P171" s="2"/>
      <c r="Q171" s="14">
        <f>IFERROR(Q127+Q129+Q130+Q131+Q132+Q133+Q134+Q135+Q136+Q137+Q138+Q139+Q140+Q143+Q144+Q145+Q146+Q147+Q151+Q153+Q154+Q155+Q156+Q157+Q160+Q161+Q162+Q163+Q164+Q165+Q167+Q168+Q169, "NA")</f>
        <v>496352.06</v>
      </c>
      <c r="R171" s="15">
        <f>IFERROR(Q171/Q444, "NA")</f>
        <v>0.27228099874899919</v>
      </c>
      <c r="S171" s="2"/>
      <c r="T171" s="14">
        <f>IFERROR(T127+T129+T130+T131+T132+T133+T134+T135+T136+T137+T138+T139+T140+T143+T144+T145+T146+T147+T151+T153+T154+T155+T156+T157+T160+T161+T162+T163+T164+T165+T167+T168+T169, "NA")</f>
        <v>431189.82</v>
      </c>
      <c r="U171" s="15">
        <f>IFERROR(T171/T444, "NA")</f>
        <v>0.23679140770450116</v>
      </c>
      <c r="V171" s="2"/>
      <c r="W171" s="14">
        <f t="shared" si="42"/>
        <v>-65162.239999999991</v>
      </c>
      <c r="X171" s="15">
        <f>IFERROR(W171/W444, "NA")</f>
        <v>-33.052615560977806</v>
      </c>
      <c r="Y171" s="2"/>
      <c r="Z171" s="14">
        <f>IFERROR(Z127+Z129+Z130+Z131+Z132+Z133+Z134+Z135+Z136+Z137+Z138+Z139+Z140+Z143+Z144+Z145+Z146+Z147+Z151+Z153+Z154+Z155+Z156+Z157+Z160+Z161+Z162+Z163+Z164+Z165+Z167+Z168+Z169, "NA")</f>
        <v>443231.32999999978</v>
      </c>
      <c r="AA171" s="15">
        <f>IFERROR(Z171/Z444, "NA")</f>
        <v>0.26698253310734893</v>
      </c>
      <c r="AB171" s="2"/>
      <c r="AC171" s="14">
        <f t="shared" si="43"/>
        <v>-53120.730000000214</v>
      </c>
      <c r="AD171" s="15">
        <f>IFERROR(AC171/AC444, "NA")</f>
        <v>-0.3263155366446957</v>
      </c>
    </row>
    <row r="172" spans="1:30" ht="16.5" customHeight="1" x14ac:dyDescent="0.45">
      <c r="A172" s="22" t="s">
        <v>160</v>
      </c>
      <c r="B172" s="23">
        <f>IFERROR(B124-B171, "NA")</f>
        <v>129989.81000000003</v>
      </c>
      <c r="C172" s="24">
        <f>IFERROR(B172/B444, "NA")</f>
        <v>0.72044115515722518</v>
      </c>
      <c r="D172" s="25"/>
      <c r="E172" s="23">
        <f>IFERROR(E124-E171, "NA")</f>
        <v>166777.54999999999</v>
      </c>
      <c r="F172" s="24">
        <f>IFERROR(E172/E444, "NA")</f>
        <v>0.77000000277015701</v>
      </c>
      <c r="G172" s="25"/>
      <c r="H172" s="23">
        <f>IFERROR(B172-E172, "NA")</f>
        <v>-36787.739999999962</v>
      </c>
      <c r="I172" s="24">
        <f>IFERROR(H172/H444, "NA")</f>
        <v>1.0172652604002328</v>
      </c>
      <c r="J172" s="25"/>
      <c r="K172" s="23">
        <f>IFERROR(K124-K171, "NA")</f>
        <v>150662.39000000001</v>
      </c>
      <c r="L172" s="24">
        <f>IFERROR(K172/K444, "NA")</f>
        <v>0.74776584550050729</v>
      </c>
      <c r="M172" s="25"/>
      <c r="N172" s="23">
        <f>IFERROR(B172-K172, "NA")</f>
        <v>-20672.579999999987</v>
      </c>
      <c r="O172" s="24">
        <f>IFERROR(N172/N444, "NA")</f>
        <v>0.98195228791978861</v>
      </c>
      <c r="P172" s="25"/>
      <c r="Q172" s="23">
        <f>IFERROR(Q124-Q171, "NA")</f>
        <v>1326588.4399999997</v>
      </c>
      <c r="R172" s="24">
        <f>IFERROR(Q172/Q444, "NA")</f>
        <v>0.72771900125100064</v>
      </c>
      <c r="S172" s="25"/>
      <c r="T172" s="23">
        <f>IFERROR(T124-T171, "NA")</f>
        <v>1389779.2100000002</v>
      </c>
      <c r="U172" s="24">
        <f>IFERROR(T172/T444, "NA")</f>
        <v>0.76320859229549898</v>
      </c>
      <c r="V172" s="25"/>
      <c r="W172" s="23">
        <f>IFERROR(Q172-T172, "NA")</f>
        <v>-63190.770000000484</v>
      </c>
      <c r="X172" s="24">
        <f>IFERROR(W172/W444, "NA")</f>
        <v>-32.05261556097804</v>
      </c>
      <c r="Y172" s="25"/>
      <c r="Z172" s="23">
        <f>IFERROR(Z124-Z171, "NA")</f>
        <v>1216919.71</v>
      </c>
      <c r="AA172" s="24">
        <f>IFERROR(Z172/Z444, "NA")</f>
        <v>0.7330174668926509</v>
      </c>
      <c r="AB172" s="25"/>
      <c r="AC172" s="23">
        <f>IFERROR(Q172-Z172, "NA")</f>
        <v>109668.72999999975</v>
      </c>
      <c r="AD172" s="24">
        <f>IFERROR(AC172/AC444, "NA")</f>
        <v>0.6736844633553043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5.5849207605018762E-2</v>
      </c>
      <c r="D178" s="9"/>
      <c r="E178" s="7">
        <v>10307.69</v>
      </c>
      <c r="F178" s="8">
        <f>IFERROR(E178/E444, "NA")</f>
        <v>4.7589866433185524E-2</v>
      </c>
      <c r="G178" s="9"/>
      <c r="H178" s="10">
        <f t="shared" si="44"/>
        <v>230.77000000000044</v>
      </c>
      <c r="I178" s="8">
        <f>IFERROR(H178/H444, "NA")</f>
        <v>-6.3813189976487383E-3</v>
      </c>
      <c r="J178" s="9"/>
      <c r="K178" s="7">
        <v>4423.08</v>
      </c>
      <c r="L178" s="8">
        <f>IFERROR(K178/K444, "NA")</f>
        <v>2.1952579910065037E-2</v>
      </c>
      <c r="M178" s="9"/>
      <c r="N178" s="10">
        <f t="shared" si="45"/>
        <v>-5653.84</v>
      </c>
      <c r="O178" s="8">
        <f>IFERROR(N178/N444, "NA")</f>
        <v>0.26855869579570724</v>
      </c>
      <c r="P178" s="9"/>
      <c r="Q178" s="7">
        <v>108051.89</v>
      </c>
      <c r="R178" s="8">
        <f>IFERROR(Q178/Q444, "NA")</f>
        <v>5.9273404699714552E-2</v>
      </c>
      <c r="S178" s="9"/>
      <c r="T178" s="7">
        <v>110807.69</v>
      </c>
      <c r="U178" s="8">
        <f>IFERROR(T178/T444, "NA")</f>
        <v>6.0850947036699465E-2</v>
      </c>
      <c r="V178" s="9"/>
      <c r="W178" s="10">
        <f t="shared" si="46"/>
        <v>2755.8000000000029</v>
      </c>
      <c r="X178" s="8">
        <f>IFERROR(W178/W444, "NA")</f>
        <v>1.3978401903148625</v>
      </c>
      <c r="Y178" s="9"/>
      <c r="Z178" s="7">
        <v>47548.11</v>
      </c>
      <c r="AA178" s="8">
        <f>IFERROR(Z178/Z444, "NA")</f>
        <v>2.8640833788231703E-2</v>
      </c>
      <c r="AB178" s="9"/>
      <c r="AC178" s="10">
        <f t="shared" si="47"/>
        <v>-60503.78</v>
      </c>
      <c r="AD178" s="8">
        <f>IFERROR(AC178/AC444, "NA")</f>
        <v>-0.3716689028884303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26533.34</v>
      </c>
      <c r="C180" s="8">
        <f>IFERROR(B180/B444, "NA")</f>
        <v>0.1470554508832608</v>
      </c>
      <c r="D180" s="9"/>
      <c r="E180" s="7">
        <v>34005.29</v>
      </c>
      <c r="F180" s="8">
        <f>IFERROR(E180/E444, "NA")</f>
        <v>0.15699998827300193</v>
      </c>
      <c r="G180" s="9"/>
      <c r="H180" s="10">
        <f t="shared" si="44"/>
        <v>7471.9500000000007</v>
      </c>
      <c r="I180" s="8">
        <f>IFERROR(H180/H444, "NA")</f>
        <v>-0.20661652937765485</v>
      </c>
      <c r="J180" s="9"/>
      <c r="K180" s="7">
        <v>30132.98</v>
      </c>
      <c r="L180" s="8">
        <f>IFERROR(K180/K444, "NA")</f>
        <v>0.14955566062074202</v>
      </c>
      <c r="M180" s="9"/>
      <c r="N180" s="10">
        <f t="shared" si="45"/>
        <v>3599.6399999999994</v>
      </c>
      <c r="O180" s="8">
        <f>IFERROR(N180/N444, "NA")</f>
        <v>-0.1709837249964731</v>
      </c>
      <c r="P180" s="9"/>
      <c r="Q180" s="7">
        <v>287998.42</v>
      </c>
      <c r="R180" s="8">
        <f>IFERROR(Q180/Q444, "NA")</f>
        <v>0.15798563913632946</v>
      </c>
      <c r="S180" s="9"/>
      <c r="T180" s="7">
        <v>292855.21000000002</v>
      </c>
      <c r="U180" s="8">
        <f>IFERROR(T180/T444, "NA")</f>
        <v>0.16082382795933658</v>
      </c>
      <c r="V180" s="9"/>
      <c r="W180" s="10">
        <f t="shared" si="46"/>
        <v>4856.7900000000373</v>
      </c>
      <c r="X180" s="8">
        <f>IFERROR(W180/W444, "NA")</f>
        <v>2.4635373604468271</v>
      </c>
      <c r="Y180" s="9"/>
      <c r="Z180" s="7">
        <v>284279.7</v>
      </c>
      <c r="AA180" s="8">
        <f>IFERROR(Z180/Z444, "NA")</f>
        <v>0.17123725079857793</v>
      </c>
      <c r="AB180" s="9"/>
      <c r="AC180" s="10">
        <f t="shared" si="47"/>
        <v>-3718.7199999999721</v>
      </c>
      <c r="AD180" s="8">
        <f>IFERROR(AC180/AC444, "NA")</f>
        <v>-2.2843739391972755E-2</v>
      </c>
    </row>
    <row r="181" spans="1:30" ht="16.5" customHeight="1" x14ac:dyDescent="0.45">
      <c r="A181" s="12" t="s">
        <v>166</v>
      </c>
      <c r="B181" s="7">
        <v>1050.18</v>
      </c>
      <c r="C181" s="8">
        <f>IFERROR(B181/B444, "NA")</f>
        <v>5.820401555498963E-3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-1050.18</v>
      </c>
      <c r="I181" s="8">
        <f>IFERROR(H181/H444, "NA")</f>
        <v>2.903988206851298E-2</v>
      </c>
      <c r="J181" s="9"/>
      <c r="K181" s="7">
        <v>869.99</v>
      </c>
      <c r="L181" s="8">
        <f>IFERROR(K181/K444, "NA")</f>
        <v>4.3179243866169007E-3</v>
      </c>
      <c r="M181" s="9"/>
      <c r="N181" s="10">
        <f t="shared" si="45"/>
        <v>-180.19000000000005</v>
      </c>
      <c r="O181" s="8">
        <f>IFERROR(N181/N444, "NA")</f>
        <v>8.5590662974948887E-3</v>
      </c>
      <c r="P181" s="9"/>
      <c r="Q181" s="7">
        <v>6826.36</v>
      </c>
      <c r="R181" s="8">
        <f>IFERROR(Q181/Q444, "NA")</f>
        <v>3.7446970979030853E-3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-6826.36</v>
      </c>
      <c r="X181" s="8">
        <f>IFERROR(W181/W444, "NA")</f>
        <v>-3.4625736125835527</v>
      </c>
      <c r="Y181" s="9"/>
      <c r="Z181" s="7">
        <v>8687.34</v>
      </c>
      <c r="AA181" s="8">
        <f>IFERROR(Z181/Z444, "NA")</f>
        <v>5.2328612220729027E-3</v>
      </c>
      <c r="AB181" s="9"/>
      <c r="AC181" s="10">
        <f t="shared" si="47"/>
        <v>1860.9800000000005</v>
      </c>
      <c r="AD181" s="8">
        <f>IFERROR(AC181/AC444, "NA")</f>
        <v>1.1431821200217759E-2</v>
      </c>
    </row>
    <row r="182" spans="1:30" ht="16.5" customHeight="1" x14ac:dyDescent="0.45">
      <c r="A182" s="13" t="s">
        <v>167</v>
      </c>
      <c r="B182" s="14">
        <f>IFERROR(B177+B178+B179+B180+B181, "NA")</f>
        <v>37660.44</v>
      </c>
      <c r="C182" s="15">
        <f>IFERROR(B182/B444, "NA")</f>
        <v>0.20872506004377855</v>
      </c>
      <c r="D182" s="2"/>
      <c r="E182" s="14">
        <f>IFERROR(E177+E178+E179+E180+E181, "NA")</f>
        <v>44312.98</v>
      </c>
      <c r="F182" s="15">
        <f>IFERROR(E182/E444, "NA")</f>
        <v>0.20458985470618746</v>
      </c>
      <c r="G182" s="2"/>
      <c r="H182" s="14">
        <f t="shared" si="44"/>
        <v>6652.5400000000009</v>
      </c>
      <c r="I182" s="15">
        <f>IFERROR(H182/H444, "NA")</f>
        <v>-0.18395796630679059</v>
      </c>
      <c r="J182" s="2"/>
      <c r="K182" s="14">
        <f>IFERROR(K177+K178+K179+K180+K181, "NA")</f>
        <v>35426.049999999996</v>
      </c>
      <c r="L182" s="15">
        <f>IFERROR(K182/K444, "NA")</f>
        <v>0.17582616491742392</v>
      </c>
      <c r="M182" s="2"/>
      <c r="N182" s="14">
        <f t="shared" si="45"/>
        <v>-2234.3900000000067</v>
      </c>
      <c r="O182" s="15">
        <f>IFERROR(N182/N444, "NA")</f>
        <v>0.10613403709672932</v>
      </c>
      <c r="P182" s="2"/>
      <c r="Q182" s="14">
        <f>IFERROR(Q177+Q178+Q179+Q180+Q181, "NA")</f>
        <v>402876.67</v>
      </c>
      <c r="R182" s="15">
        <f>IFERROR(Q182/Q444, "NA")</f>
        <v>0.22100374093394709</v>
      </c>
      <c r="S182" s="2"/>
      <c r="T182" s="14">
        <f>IFERROR(T177+T178+T179+T180+T181, "NA")</f>
        <v>403662.9</v>
      </c>
      <c r="U182" s="15">
        <f>IFERROR(T182/T444, "NA")</f>
        <v>0.22167477499603605</v>
      </c>
      <c r="V182" s="2"/>
      <c r="W182" s="14">
        <f t="shared" si="46"/>
        <v>786.23000000003958</v>
      </c>
      <c r="X182" s="15">
        <f>IFERROR(W182/W444, "NA")</f>
        <v>0.39880393817813647</v>
      </c>
      <c r="Y182" s="2"/>
      <c r="Z182" s="14">
        <f>IFERROR(Z177+Z178+Z179+Z180+Z181, "NA")</f>
        <v>340515.15</v>
      </c>
      <c r="AA182" s="15">
        <f>IFERROR(Z182/Z444, "NA")</f>
        <v>0.20511094580888256</v>
      </c>
      <c r="AB182" s="2"/>
      <c r="AC182" s="14">
        <f t="shared" si="47"/>
        <v>-62361.51999999996</v>
      </c>
      <c r="AD182" s="15">
        <f>IFERROR(AC182/AC444, "NA")</f>
        <v>-0.38308082108018526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6.3736328903843216E-3</v>
      </c>
      <c r="D184" s="9"/>
      <c r="E184" s="7">
        <v>1150</v>
      </c>
      <c r="F184" s="8">
        <f>IFERROR(E184/E444, "NA")</f>
        <v>5.3094676302996449E-3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1.488956558104197E-3</v>
      </c>
      <c r="M184" s="9"/>
      <c r="N184" s="10">
        <f t="shared" si="45"/>
        <v>-850</v>
      </c>
      <c r="O184" s="8">
        <f>IFERROR(N184/N444, "NA")</f>
        <v>4.0375194810314964E-2</v>
      </c>
      <c r="P184" s="9"/>
      <c r="Q184" s="7">
        <v>6400</v>
      </c>
      <c r="R184" s="8">
        <f>IFERROR(Q184/Q444, "NA")</f>
        <v>3.5108112415078827E-3</v>
      </c>
      <c r="S184" s="9"/>
      <c r="T184" s="7">
        <v>11500</v>
      </c>
      <c r="U184" s="8">
        <f>IFERROR(T184/T444, "NA")</f>
        <v>6.3153188278001629E-3</v>
      </c>
      <c r="V184" s="9"/>
      <c r="W184" s="10">
        <f t="shared" si="46"/>
        <v>5100</v>
      </c>
      <c r="X184" s="8">
        <f>IFERROR(W184/W444, "NA")</f>
        <v>2.5869021593024861</v>
      </c>
      <c r="Y184" s="9"/>
      <c r="Z184" s="7">
        <v>4150</v>
      </c>
      <c r="AA184" s="8">
        <f>IFERROR(Z184/Z444, "NA")</f>
        <v>2.4997725508156174E-3</v>
      </c>
      <c r="AB184" s="9"/>
      <c r="AC184" s="10">
        <f t="shared" si="47"/>
        <v>-2250</v>
      </c>
      <c r="AD184" s="8">
        <f>IFERROR(AC184/AC444, "NA")</f>
        <v>-1.3821533654574445E-2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3600.6</v>
      </c>
      <c r="C186" s="8">
        <f>IFERROR(B186/B444, "NA")</f>
        <v>1.9955567465319814E-2</v>
      </c>
      <c r="D186" s="9"/>
      <c r="E186" s="7">
        <v>4094.71</v>
      </c>
      <c r="F186" s="8">
        <f>IFERROR(E186/E444, "NA")</f>
        <v>1.8904982783012399E-2</v>
      </c>
      <c r="G186" s="9"/>
      <c r="H186" s="10">
        <f t="shared" ref="H186:H197" si="48">IFERROR(-(B186-E186), "NA")</f>
        <v>494.11000000000013</v>
      </c>
      <c r="I186" s="8">
        <f>IFERROR(H186/H444, "NA")</f>
        <v>-1.3663273085445305E-2</v>
      </c>
      <c r="J186" s="9"/>
      <c r="K186" s="7">
        <v>3893.55</v>
      </c>
      <c r="L186" s="8">
        <f>IFERROR(K186/K444, "NA")</f>
        <v>1.932442268935532E-2</v>
      </c>
      <c r="M186" s="9"/>
      <c r="N186" s="10">
        <f t="shared" ref="N186:N197" si="49">IFERROR(-(B186-K186), "NA")</f>
        <v>292.95000000000027</v>
      </c>
      <c r="O186" s="8">
        <f>IFERROR(N186/N444, "NA")</f>
        <v>-1.3915192140802094E-2</v>
      </c>
      <c r="P186" s="9"/>
      <c r="Q186" s="7">
        <v>40188.31</v>
      </c>
      <c r="R186" s="8">
        <f>IFERROR(Q186/Q444, "NA")</f>
        <v>2.2045870394563068E-2</v>
      </c>
      <c r="S186" s="9"/>
      <c r="T186" s="7">
        <v>43946.35</v>
      </c>
      <c r="U186" s="8">
        <f>IFERROR(T186/T444, "NA")</f>
        <v>2.4133496658095277E-2</v>
      </c>
      <c r="V186" s="9"/>
      <c r="W186" s="10">
        <f t="shared" ref="W186:W197" si="50">IFERROR(-(Q186-T186), "NA")</f>
        <v>3758.0400000000009</v>
      </c>
      <c r="X186" s="8">
        <f>IFERROR(W186/W444, "NA")</f>
        <v>1.9062121158323759</v>
      </c>
      <c r="Y186" s="9"/>
      <c r="Z186" s="7">
        <v>34344.39</v>
      </c>
      <c r="AA186" s="8">
        <f>IFERROR(Z186/Z444, "NA")</f>
        <v>2.0687509252170212E-2</v>
      </c>
      <c r="AB186" s="9"/>
      <c r="AC186" s="10">
        <f t="shared" ref="AC186:AC197" si="51">IFERROR(-(Q186-Z186), "NA")</f>
        <v>-5843.9199999999983</v>
      </c>
      <c r="AD186" s="8">
        <f>IFERROR(AC186/AC444, "NA")</f>
        <v>-3.5898638646506963E-2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2.4094193260873422E-8</v>
      </c>
      <c r="AB187" s="9"/>
      <c r="AC187" s="10">
        <f t="shared" si="51"/>
        <v>0.04</v>
      </c>
      <c r="AD187" s="8">
        <f>IFERROR(AC187/AC444, "NA")</f>
        <v>2.4571615385910124E-7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3600.6</v>
      </c>
      <c r="C193" s="15">
        <f>IFERROR(B193/B444, "NA")</f>
        <v>1.9955567465319814E-2</v>
      </c>
      <c r="D193" s="2"/>
      <c r="E193" s="14">
        <f>IFERROR(E186+E187+E188+E189+E190+E191+E192, "NA")</f>
        <v>4094.71</v>
      </c>
      <c r="F193" s="15">
        <f>IFERROR(E193/E444, "NA")</f>
        <v>1.8904982783012399E-2</v>
      </c>
      <c r="G193" s="2"/>
      <c r="H193" s="14">
        <f t="shared" si="48"/>
        <v>494.11000000000013</v>
      </c>
      <c r="I193" s="15">
        <f>IFERROR(H193/H444, "NA")</f>
        <v>-1.3663273085445305E-2</v>
      </c>
      <c r="J193" s="2"/>
      <c r="K193" s="14">
        <f>IFERROR(K186+K187+K188+K189+K190+K191+K192, "NA")</f>
        <v>3893.55</v>
      </c>
      <c r="L193" s="15">
        <f>IFERROR(K193/K444, "NA")</f>
        <v>1.932442268935532E-2</v>
      </c>
      <c r="M193" s="2"/>
      <c r="N193" s="14">
        <f t="shared" si="49"/>
        <v>292.95000000000027</v>
      </c>
      <c r="O193" s="15">
        <f>IFERROR(N193/N444, "NA")</f>
        <v>-1.3915192140802094E-2</v>
      </c>
      <c r="P193" s="2"/>
      <c r="Q193" s="14">
        <f>IFERROR(Q186+Q187+Q188+Q189+Q190+Q191+Q192, "NA")</f>
        <v>40188.31</v>
      </c>
      <c r="R193" s="15">
        <f>IFERROR(Q193/Q444, "NA")</f>
        <v>2.2045870394563068E-2</v>
      </c>
      <c r="S193" s="2"/>
      <c r="T193" s="14">
        <f>IFERROR(T186+T187+T188+T189+T190+T191+T192, "NA")</f>
        <v>43946.35</v>
      </c>
      <c r="U193" s="15">
        <f>IFERROR(T193/T444, "NA")</f>
        <v>2.4133496658095277E-2</v>
      </c>
      <c r="V193" s="2"/>
      <c r="W193" s="14">
        <f t="shared" si="50"/>
        <v>3758.0400000000009</v>
      </c>
      <c r="X193" s="15">
        <f>IFERROR(W193/W444, "NA")</f>
        <v>1.9062121158323759</v>
      </c>
      <c r="Y193" s="2"/>
      <c r="Z193" s="14">
        <f>IFERROR(Z186+Z187+Z188+Z189+Z190+Z191+Z192, "NA")</f>
        <v>34344.43</v>
      </c>
      <c r="AA193" s="15">
        <f>IFERROR(Z193/Z444, "NA")</f>
        <v>2.0687533346363474E-2</v>
      </c>
      <c r="AB193" s="2"/>
      <c r="AC193" s="14">
        <f t="shared" si="51"/>
        <v>-5843.8799999999974</v>
      </c>
      <c r="AD193" s="15">
        <f>IFERROR(AC193/AC444, "NA")</f>
        <v>-3.5898392930353101E-2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1.5274549779042774E-3</v>
      </c>
      <c r="D194" s="9"/>
      <c r="E194" s="7">
        <v>363.7</v>
      </c>
      <c r="F194" s="8">
        <f>IFERROR(E194/E444, "NA")</f>
        <v>1.6791768496869398E-3</v>
      </c>
      <c r="G194" s="9"/>
      <c r="H194" s="10">
        <f t="shared" si="48"/>
        <v>88.099999999999966</v>
      </c>
      <c r="I194" s="8">
        <f>IFERROR(H194/H444, "NA")</f>
        <v>-2.4361667621131543E-3</v>
      </c>
      <c r="J194" s="9"/>
      <c r="K194" s="7">
        <v>275.60000000000002</v>
      </c>
      <c r="L194" s="8">
        <f>IFERROR(K194/K444, "NA")</f>
        <v>1.3678547580450557E-3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2689.22</v>
      </c>
      <c r="R194" s="8">
        <f>IFERROR(Q194/Q444, "NA")</f>
        <v>1.4752099698262229E-3</v>
      </c>
      <c r="S194" s="9"/>
      <c r="T194" s="7">
        <v>3321.3</v>
      </c>
      <c r="U194" s="8">
        <f>IFERROR(T194/T444, "NA")</f>
        <v>1.823918993284581E-3</v>
      </c>
      <c r="V194" s="9"/>
      <c r="W194" s="10">
        <f t="shared" si="50"/>
        <v>632.08000000000038</v>
      </c>
      <c r="X194" s="8">
        <f>IFERROR(W194/W444, "NA")</f>
        <v>0.3206135523239052</v>
      </c>
      <c r="Y194" s="9"/>
      <c r="Z194" s="7">
        <v>2495.19</v>
      </c>
      <c r="AA194" s="8">
        <f>IFERROR(Z194/Z444, "NA")</f>
        <v>1.5029897520649688E-3</v>
      </c>
      <c r="AB194" s="9"/>
      <c r="AC194" s="10">
        <f t="shared" si="51"/>
        <v>-194.02999999999975</v>
      </c>
      <c r="AD194" s="8">
        <f>IFERROR(AC194/AC444, "NA")</f>
        <v>-1.1919076333320338E-3</v>
      </c>
    </row>
    <row r="195" spans="1:30" ht="16.5" customHeight="1" x14ac:dyDescent="0.45">
      <c r="A195" s="6" t="s">
        <v>179</v>
      </c>
      <c r="B195" s="7">
        <v>209.07</v>
      </c>
      <c r="C195" s="8">
        <f>IFERROR(B195/B444, "NA")</f>
        <v>1.1587264594718695E-3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-209.07</v>
      </c>
      <c r="I195" s="8">
        <f>IFERROR(H195/H444, "NA")</f>
        <v>5.7812643014188122E-3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-209.07</v>
      </c>
      <c r="O195" s="8">
        <f>IFERROR(N195/N444, "NA")</f>
        <v>9.9308729164618217E-3</v>
      </c>
      <c r="P195" s="9"/>
      <c r="Q195" s="7">
        <v>1927.44</v>
      </c>
      <c r="R195" s="8">
        <f>IFERROR(Q195/Q444, "NA")</f>
        <v>1.0573246905206176E-3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-1927.44</v>
      </c>
      <c r="X195" s="8">
        <f>IFERROR(W195/W444, "NA")</f>
        <v>-0.97766641135803611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-1927.44</v>
      </c>
      <c r="AD195" s="8">
        <f>IFERROR(AC195/AC444, "NA")</f>
        <v>-1.1840078589854653E-2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42895.71</v>
      </c>
      <c r="C196" s="15">
        <f>IFERROR(B196/B444, "NA")</f>
        <v>0.23774044183685883</v>
      </c>
      <c r="D196" s="2"/>
      <c r="E196" s="14">
        <f>IFERROR(E175+E177+E178+E179+E180+E181+E183+E184+E186+E187+E188+E189+E190+E191+E192+E194+E195, "NA")</f>
        <v>49921.39</v>
      </c>
      <c r="F196" s="15">
        <f>IFERROR(E196/E444, "NA")</f>
        <v>0.23048348196918644</v>
      </c>
      <c r="G196" s="2"/>
      <c r="H196" s="14">
        <f t="shared" si="48"/>
        <v>7025.68</v>
      </c>
      <c r="I196" s="15">
        <f>IFERROR(H196/H444, "NA")</f>
        <v>-0.19427614185293021</v>
      </c>
      <c r="J196" s="2"/>
      <c r="K196" s="14">
        <f>IFERROR(K175+K177+K178+K179+K180+K181+K183+K184+K186+K187+K188+K189+K190+K191+K192+K194+K195, "NA")</f>
        <v>39895.199999999997</v>
      </c>
      <c r="L196" s="15">
        <f>IFERROR(K196/K444, "NA")</f>
        <v>0.19800739892292851</v>
      </c>
      <c r="M196" s="2"/>
      <c r="N196" s="14">
        <f t="shared" si="49"/>
        <v>-3000.510000000002</v>
      </c>
      <c r="O196" s="15">
        <f>IFERROR(N196/N444, "NA")</f>
        <v>0.14252491268270379</v>
      </c>
      <c r="P196" s="2"/>
      <c r="Q196" s="14">
        <f>IFERROR(Q175+Q177+Q178+Q179+Q180+Q181+Q183+Q184+Q186+Q187+Q188+Q189+Q190+Q191+Q192+Q194+Q195, "NA")</f>
        <v>454081.63999999996</v>
      </c>
      <c r="R196" s="15">
        <f>IFERROR(Q196/Q444, "NA")</f>
        <v>0.24909295723036487</v>
      </c>
      <c r="S196" s="2"/>
      <c r="T196" s="14">
        <f>IFERROR(T175+T177+T178+T179+T180+T181+T183+T184+T186+T187+T188+T189+T190+T191+T192+T194+T195, "NA")</f>
        <v>462430.55</v>
      </c>
      <c r="U196" s="15">
        <f>IFERROR(T196/T444, "NA")</f>
        <v>0.25394750947521605</v>
      </c>
      <c r="V196" s="2"/>
      <c r="W196" s="14">
        <f t="shared" si="50"/>
        <v>8348.9100000000326</v>
      </c>
      <c r="X196" s="15">
        <f>IFERROR(W196/W444, "NA")</f>
        <v>4.2348653542788632</v>
      </c>
      <c r="Y196" s="2"/>
      <c r="Z196" s="14">
        <f>IFERROR(Z175+Z177+Z178+Z179+Z180+Z181+Z183+Z184+Z186+Z187+Z188+Z189+Z190+Z191+Z192+Z194+Z195, "NA")</f>
        <v>381504.77</v>
      </c>
      <c r="AA196" s="15">
        <f>IFERROR(Z196/Z444, "NA")</f>
        <v>0.22980124145812661</v>
      </c>
      <c r="AB196" s="2"/>
      <c r="AC196" s="14">
        <f t="shared" si="51"/>
        <v>-72576.869999999937</v>
      </c>
      <c r="AD196" s="15">
        <f>IFERROR(AC196/AC444, "NA")</f>
        <v>-0.44583273388829936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42895.71</v>
      </c>
      <c r="C197" s="15">
        <f>IFERROR(B197/B444, "NA")</f>
        <v>0.23774044183685883</v>
      </c>
      <c r="D197" s="2"/>
      <c r="E197" s="14">
        <f>IFERROR(E175+E177+E178+E179+E180+E181+E183+E184+E186+E187+E188+E189+E190+E191+E192+E194+E195, "NA")</f>
        <v>49921.39</v>
      </c>
      <c r="F197" s="15">
        <f>IFERROR(E197/E444, "NA")</f>
        <v>0.23048348196918644</v>
      </c>
      <c r="G197" s="2"/>
      <c r="H197" s="14">
        <f t="shared" si="48"/>
        <v>7025.68</v>
      </c>
      <c r="I197" s="15">
        <f>IFERROR(H197/H444, "NA")</f>
        <v>-0.19427614185293021</v>
      </c>
      <c r="J197" s="2"/>
      <c r="K197" s="14">
        <f>IFERROR(K175+K177+K178+K179+K180+K181+K183+K184+K186+K187+K188+K189+K190+K191+K192+K194+K195, "NA")</f>
        <v>39895.199999999997</v>
      </c>
      <c r="L197" s="15">
        <f>IFERROR(K197/K444, "NA")</f>
        <v>0.19800739892292851</v>
      </c>
      <c r="M197" s="2"/>
      <c r="N197" s="14">
        <f t="shared" si="49"/>
        <v>-3000.510000000002</v>
      </c>
      <c r="O197" s="15">
        <f>IFERROR(N197/N444, "NA")</f>
        <v>0.14252491268270379</v>
      </c>
      <c r="P197" s="2"/>
      <c r="Q197" s="14">
        <f>IFERROR(Q175+Q177+Q178+Q179+Q180+Q181+Q183+Q184+Q186+Q187+Q188+Q189+Q190+Q191+Q192+Q194+Q195, "NA")</f>
        <v>454081.63999999996</v>
      </c>
      <c r="R197" s="15">
        <f>IFERROR(Q197/Q444, "NA")</f>
        <v>0.24909295723036487</v>
      </c>
      <c r="S197" s="2"/>
      <c r="T197" s="14">
        <f>IFERROR(T175+T177+T178+T179+T180+T181+T183+T184+T186+T187+T188+T189+T190+T191+T192+T194+T195, "NA")</f>
        <v>462430.55</v>
      </c>
      <c r="U197" s="15">
        <f>IFERROR(T197/T444, "NA")</f>
        <v>0.25394750947521605</v>
      </c>
      <c r="V197" s="2"/>
      <c r="W197" s="14">
        <f t="shared" si="50"/>
        <v>8348.9100000000326</v>
      </c>
      <c r="X197" s="15">
        <f>IFERROR(W197/W444, "NA")</f>
        <v>4.2348653542788632</v>
      </c>
      <c r="Y197" s="2"/>
      <c r="Z197" s="14">
        <f>IFERROR(Z175+Z177+Z178+Z179+Z180+Z181+Z183+Z184+Z186+Z187+Z188+Z189+Z190+Z191+Z192+Z194+Z195, "NA")</f>
        <v>381504.77</v>
      </c>
      <c r="AA197" s="15">
        <f>IFERROR(Z197/Z444, "NA")</f>
        <v>0.22980124145812661</v>
      </c>
      <c r="AB197" s="2"/>
      <c r="AC197" s="14">
        <f t="shared" si="51"/>
        <v>-72576.869999999937</v>
      </c>
      <c r="AD197" s="15">
        <f>IFERROR(AC197/AC444, "NA")</f>
        <v>-0.44583273388829936</v>
      </c>
    </row>
    <row r="198" spans="1:30" ht="16.5" customHeight="1" x14ac:dyDescent="0.45">
      <c r="A198" s="22" t="s">
        <v>181</v>
      </c>
      <c r="B198" s="23">
        <f>IFERROR(B172-B197, "NA")</f>
        <v>87094.100000000035</v>
      </c>
      <c r="C198" s="24">
        <f>IFERROR(B198/B444, "NA")</f>
        <v>0.4827007133203664</v>
      </c>
      <c r="D198" s="25"/>
      <c r="E198" s="23">
        <f>IFERROR(E172-E197, "NA")</f>
        <v>116856.15999999999</v>
      </c>
      <c r="F198" s="24">
        <f>IFERROR(E198/E444, "NA")</f>
        <v>0.53951652080097057</v>
      </c>
      <c r="G198" s="25"/>
      <c r="H198" s="23">
        <f>IFERROR(B198-E198, "NA")</f>
        <v>-29762.059999999954</v>
      </c>
      <c r="I198" s="24">
        <f>IFERROR(H198/H444, "NA")</f>
        <v>0.82298911854730239</v>
      </c>
      <c r="J198" s="25"/>
      <c r="K198" s="23">
        <f>IFERROR(K172-K197, "NA")</f>
        <v>110767.19000000002</v>
      </c>
      <c r="L198" s="24">
        <f>IFERROR(K198/K444, "NA")</f>
        <v>0.54975844657757877</v>
      </c>
      <c r="M198" s="25"/>
      <c r="N198" s="23">
        <f>IFERROR(B198-K198, "NA")</f>
        <v>-23673.089999999982</v>
      </c>
      <c r="O198" s="24">
        <f>IFERROR(N198/N444, "NA")</f>
        <v>1.1244772006024921</v>
      </c>
      <c r="P198" s="25"/>
      <c r="Q198" s="23">
        <f>IFERROR(Q172-Q197, "NA")</f>
        <v>872506.79999999981</v>
      </c>
      <c r="R198" s="24">
        <f>IFERROR(Q198/Q444, "NA")</f>
        <v>0.4786260440206358</v>
      </c>
      <c r="S198" s="25"/>
      <c r="T198" s="23">
        <f>IFERROR(T172-T197, "NA")</f>
        <v>927348.66000000015</v>
      </c>
      <c r="U198" s="24">
        <f>IFERROR(T198/T444, "NA")</f>
        <v>0.50926108282028282</v>
      </c>
      <c r="V198" s="25"/>
      <c r="W198" s="23">
        <f>IFERROR(Q198-T198, "NA")</f>
        <v>-54841.860000000335</v>
      </c>
      <c r="X198" s="24">
        <f>IFERROR(W198/W444, "NA")</f>
        <v>-27.81775020669912</v>
      </c>
      <c r="Y198" s="25"/>
      <c r="Z198" s="23">
        <f>IFERROR(Z172-Z197, "NA")</f>
        <v>835414.94</v>
      </c>
      <c r="AA198" s="24">
        <f>IFERROR(Z198/Z444, "NA")</f>
        <v>0.50321622543452427</v>
      </c>
      <c r="AB198" s="25"/>
      <c r="AC198" s="23">
        <f>IFERROR(Q198-Z198, "NA")</f>
        <v>37091.85999999987</v>
      </c>
      <c r="AD198" s="24">
        <f>IFERROR(AC198/AC444, "NA")</f>
        <v>0.2278517294670053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3682.1</v>
      </c>
      <c r="F201" s="8">
        <f>IFERROR(E201/E444, "NA")</f>
        <v>1.6999991966544628E-2</v>
      </c>
      <c r="G201" s="9"/>
      <c r="H201" s="10">
        <f t="shared" ref="H201:H209" si="52">IFERROR(-(B201-E201), "NA")</f>
        <v>3682.1</v>
      </c>
      <c r="I201" s="8">
        <f>IFERROR(H201/H444, "NA")</f>
        <v>-0.10181849755705843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31204.78</v>
      </c>
      <c r="U201" s="8">
        <f>IFERROR(T201/T444, "NA")</f>
        <v>1.713635953490104E-2</v>
      </c>
      <c r="V201" s="9"/>
      <c r="W201" s="10">
        <f t="shared" ref="W201:W209" si="54">IFERROR(-(Q201-T201), "NA")</f>
        <v>31204.78</v>
      </c>
      <c r="X201" s="8">
        <f>IFERROR(W201/W444, "NA")</f>
        <v>15.82817897305079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2069.85</v>
      </c>
      <c r="C202" s="8">
        <f>IFERROR(B202/B444, "NA")</f>
        <v>1.1471707859271294E-2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-2069.85</v>
      </c>
      <c r="I202" s="8">
        <f>IFERROR(H202/H444, "NA")</f>
        <v>5.7236092764584724E-2</v>
      </c>
      <c r="J202" s="9"/>
      <c r="K202" s="7">
        <v>1265.54</v>
      </c>
      <c r="L202" s="8">
        <f>IFERROR(K202/K444, "NA")</f>
        <v>6.2811136084772847E-3</v>
      </c>
      <c r="M202" s="9"/>
      <c r="N202" s="10">
        <f t="shared" si="53"/>
        <v>-804.31</v>
      </c>
      <c r="O202" s="8">
        <f>IFERROR(N202/N444, "NA")</f>
        <v>3.8204909338687559E-2</v>
      </c>
      <c r="P202" s="9"/>
      <c r="Q202" s="7">
        <v>16333.91</v>
      </c>
      <c r="R202" s="8">
        <f>IFERROR(Q202/Q444, "NA")</f>
        <v>8.960199194652815E-3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-16333.91</v>
      </c>
      <c r="X202" s="8">
        <f>IFERROR(W202/W444, "NA")</f>
        <v>-8.2851425585985243</v>
      </c>
      <c r="Y202" s="9"/>
      <c r="Z202" s="7">
        <v>12598.36</v>
      </c>
      <c r="AA202" s="8">
        <f>IFERROR(Z202/Z444, "NA")</f>
        <v>7.5886830152514318E-3</v>
      </c>
      <c r="AB202" s="9"/>
      <c r="AC202" s="10">
        <f t="shared" si="55"/>
        <v>-3735.5499999999993</v>
      </c>
      <c r="AD202" s="8">
        <f>IFERROR(AC202/AC444, "NA")</f>
        <v>-2.2947124463709136E-2</v>
      </c>
    </row>
    <row r="203" spans="1:30" ht="16.5" customHeight="1" x14ac:dyDescent="0.45">
      <c r="A203" s="6" t="s">
        <v>185</v>
      </c>
      <c r="B203" s="7">
        <v>1260.28</v>
      </c>
      <c r="C203" s="8">
        <f>IFERROR(B203/B444, "NA")</f>
        <v>6.9848365731248283E-3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-1260.28</v>
      </c>
      <c r="I203" s="8">
        <f>IFERROR(H203/H444, "NA")</f>
        <v>3.4849628228785096E-2</v>
      </c>
      <c r="J203" s="9"/>
      <c r="K203" s="7">
        <v>609.20000000000005</v>
      </c>
      <c r="L203" s="8">
        <f>IFERROR(K203/K444, "NA")</f>
        <v>3.023574450656923E-3</v>
      </c>
      <c r="M203" s="9"/>
      <c r="N203" s="10">
        <f t="shared" si="53"/>
        <v>-651.07999999999993</v>
      </c>
      <c r="O203" s="8">
        <f>IFERROR(N203/N444, "NA")</f>
        <v>3.0926449220117485E-2</v>
      </c>
      <c r="P203" s="9"/>
      <c r="Q203" s="7">
        <v>13820.47</v>
      </c>
      <c r="R203" s="8">
        <f>IFERROR(Q203/Q444, "NA")</f>
        <v>7.5814158498316315E-3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-13820.47</v>
      </c>
      <c r="X203" s="8">
        <f>IFERROR(W203/W444, "NA")</f>
        <v>-7.0102360167794568</v>
      </c>
      <c r="Y203" s="9"/>
      <c r="Z203" s="7">
        <v>9124.35</v>
      </c>
      <c r="AA203" s="8">
        <f>IFERROR(Z203/Z444, "NA")</f>
        <v>5.4960963069962598E-3</v>
      </c>
      <c r="AB203" s="9"/>
      <c r="AC203" s="10">
        <f t="shared" si="55"/>
        <v>-4696.119999999999</v>
      </c>
      <c r="AD203" s="8">
        <f>IFERROR(AC203/AC444, "NA")</f>
        <v>-2.8847813611520057E-2</v>
      </c>
    </row>
    <row r="204" spans="1:30" ht="16.5" customHeight="1" x14ac:dyDescent="0.45">
      <c r="A204" s="6" t="s">
        <v>186</v>
      </c>
      <c r="B204" s="7">
        <v>245.96</v>
      </c>
      <c r="C204" s="8">
        <f>IFERROR(B204/B444, "NA")</f>
        <v>1.3631815180164589E-3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-245.96</v>
      </c>
      <c r="I204" s="8">
        <f>IFERROR(H204/H444, "NA")</f>
        <v>6.801357285009667E-3</v>
      </c>
      <c r="J204" s="9"/>
      <c r="K204" s="7">
        <v>38.75</v>
      </c>
      <c r="L204" s="8">
        <f>IFERROR(K204/K444, "NA")</f>
        <v>1.923235554217921E-4</v>
      </c>
      <c r="M204" s="9"/>
      <c r="N204" s="10">
        <f t="shared" si="53"/>
        <v>-207.21</v>
      </c>
      <c r="O204" s="8">
        <f>IFERROR(N204/N444, "NA")</f>
        <v>9.842522490171016E-3</v>
      </c>
      <c r="P204" s="9"/>
      <c r="Q204" s="7">
        <v>2538.84</v>
      </c>
      <c r="R204" s="8">
        <f>IFERROR(Q204/Q444, "NA")</f>
        <v>1.3927168769359176E-3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-2538.84</v>
      </c>
      <c r="X204" s="8">
        <f>IFERROR(W204/W444, "NA")</f>
        <v>-1.2877903290438282</v>
      </c>
      <c r="Y204" s="9"/>
      <c r="Z204" s="7">
        <v>2100.2800000000002</v>
      </c>
      <c r="AA204" s="8">
        <f>IFERROR(Z204/Z444, "NA")</f>
        <v>1.2651138055486807E-3</v>
      </c>
      <c r="AB204" s="9"/>
      <c r="AC204" s="10">
        <f t="shared" si="55"/>
        <v>-438.55999999999995</v>
      </c>
      <c r="AD204" s="8">
        <f>IFERROR(AC204/AC444, "NA")</f>
        <v>-2.6940319109111858E-3</v>
      </c>
    </row>
    <row r="205" spans="1:30" ht="16.5" customHeight="1" x14ac:dyDescent="0.45">
      <c r="A205" s="6" t="s">
        <v>187</v>
      </c>
      <c r="B205" s="7">
        <v>716.95</v>
      </c>
      <c r="C205" s="8">
        <f>IFERROR(B205/B444, "NA")</f>
        <v>3.9735444354443827E-3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-716.95</v>
      </c>
      <c r="I205" s="8">
        <f>IFERROR(H205/H444, "NA")</f>
        <v>1.9825309422213697E-2</v>
      </c>
      <c r="J205" s="9"/>
      <c r="K205" s="7">
        <v>683.83</v>
      </c>
      <c r="L205" s="8">
        <f>IFERROR(K205/K444, "NA")</f>
        <v>3.393977210427977E-3</v>
      </c>
      <c r="M205" s="9"/>
      <c r="N205" s="10">
        <f t="shared" si="53"/>
        <v>-33.120000000000005</v>
      </c>
      <c r="O205" s="8">
        <f>IFERROR(N205/N444, "NA")</f>
        <v>1.5732075907266255E-3</v>
      </c>
      <c r="P205" s="9"/>
      <c r="Q205" s="7">
        <v>7712.82</v>
      </c>
      <c r="R205" s="8">
        <f>IFERROR(Q205/Q444, "NA")</f>
        <v>4.2309773687073168E-3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-7712.82</v>
      </c>
      <c r="X205" s="8">
        <f>IFERROR(W205/W444, "NA")</f>
        <v>-3.9122177867277257</v>
      </c>
      <c r="Y205" s="9"/>
      <c r="Z205" s="7">
        <v>5689.78</v>
      </c>
      <c r="AA205" s="8">
        <f>IFERROR(Z205/Z444, "NA")</f>
        <v>3.4272664732963088E-3</v>
      </c>
      <c r="AB205" s="9"/>
      <c r="AC205" s="10">
        <f t="shared" si="55"/>
        <v>-2023.04</v>
      </c>
      <c r="AD205" s="8">
        <f>IFERROR(AC205/AC444, "NA")</f>
        <v>-1.2427340197577904E-2</v>
      </c>
    </row>
    <row r="206" spans="1:30" ht="16.5" customHeight="1" x14ac:dyDescent="0.45">
      <c r="A206" s="6" t="s">
        <v>188</v>
      </c>
      <c r="B206" s="7">
        <v>56.15</v>
      </c>
      <c r="C206" s="8">
        <f>IFERROR(B206/B444, "NA")</f>
        <v>3.1119955373485188E-4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-56.15</v>
      </c>
      <c r="I206" s="8">
        <f>IFERROR(H206/H444, "NA")</f>
        <v>1.5526760918575897E-3</v>
      </c>
      <c r="J206" s="9"/>
      <c r="K206" s="7">
        <v>22.23</v>
      </c>
      <c r="L206" s="8">
        <f>IFERROR(K206/K444, "NA")</f>
        <v>1.10331680955521E-4</v>
      </c>
      <c r="M206" s="9"/>
      <c r="N206" s="10">
        <f t="shared" si="53"/>
        <v>-33.92</v>
      </c>
      <c r="O206" s="8">
        <f>IFERROR(N206/N444, "NA")</f>
        <v>1.6112077740775101E-3</v>
      </c>
      <c r="P206" s="9"/>
      <c r="Q206" s="7">
        <v>1518.72</v>
      </c>
      <c r="R206" s="8">
        <f>IFERROR(Q206/Q444, "NA")</f>
        <v>8.3311550760982055E-4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-1518.72</v>
      </c>
      <c r="X206" s="8">
        <f>IFERROR(W206/W444, "NA")</f>
        <v>-0.77034902889722978</v>
      </c>
      <c r="Y206" s="9"/>
      <c r="Z206" s="7">
        <v>1104.45</v>
      </c>
      <c r="AA206" s="8">
        <f>IFERROR(Z206/Z444, "NA")</f>
        <v>6.6527079367429125E-4</v>
      </c>
      <c r="AB206" s="9"/>
      <c r="AC206" s="10">
        <f t="shared" si="55"/>
        <v>-414.27</v>
      </c>
      <c r="AD206" s="8">
        <f>IFERROR(AC206/AC444, "NA")</f>
        <v>-2.544820776480247E-3</v>
      </c>
    </row>
    <row r="207" spans="1:30" ht="16.5" customHeight="1" x14ac:dyDescent="0.45">
      <c r="A207" s="6" t="s">
        <v>189</v>
      </c>
      <c r="B207" s="7">
        <v>158.85</v>
      </c>
      <c r="C207" s="8">
        <f>IFERROR(B207/B444, "NA")</f>
        <v>8.8039268229352129E-4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-158.85</v>
      </c>
      <c r="I207" s="8">
        <f>IFERROR(H207/H444, "NA")</f>
        <v>4.3925662901438669E-3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-158.85</v>
      </c>
      <c r="O207" s="8">
        <f>IFERROR(N207/N444, "NA")</f>
        <v>7.5454114066100374E-3</v>
      </c>
      <c r="P207" s="9"/>
      <c r="Q207" s="7">
        <v>1006.52</v>
      </c>
      <c r="R207" s="8">
        <f>IFERROR(Q207/Q444, "NA")</f>
        <v>5.5214089543789279E-4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-1006.52</v>
      </c>
      <c r="X207" s="8">
        <f>IFERROR(W207/W444, "NA")</f>
        <v>-0.51054289438845846</v>
      </c>
      <c r="Y207" s="9"/>
      <c r="Z207" s="7">
        <v>574.42999999999995</v>
      </c>
      <c r="AA207" s="8">
        <f>IFERROR(Z207/Z444, "NA")</f>
        <v>3.4601068587108795E-4</v>
      </c>
      <c r="AB207" s="9"/>
      <c r="AC207" s="10">
        <f t="shared" si="55"/>
        <v>-432.09000000000003</v>
      </c>
      <c r="AD207" s="8">
        <f>IFERROR(AC207/AC444, "NA")</f>
        <v>-2.6542873230244769E-3</v>
      </c>
    </row>
    <row r="208" spans="1:30" ht="16.5" customHeight="1" x14ac:dyDescent="0.45">
      <c r="A208" s="6" t="s">
        <v>190</v>
      </c>
      <c r="B208" s="7">
        <v>949.78</v>
      </c>
      <c r="C208" s="8">
        <f>IFERROR(B208/B444, "NA")</f>
        <v>5.2639556927210618E-3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-949.78</v>
      </c>
      <c r="I208" s="8">
        <f>IFERROR(H208/H444, "NA")</f>
        <v>2.6263592137569038E-2</v>
      </c>
      <c r="J208" s="9"/>
      <c r="K208" s="7">
        <v>186.4</v>
      </c>
      <c r="L208" s="8">
        <f>IFERROR(K208/K444, "NA")</f>
        <v>9.2513834143540777E-4</v>
      </c>
      <c r="M208" s="9"/>
      <c r="N208" s="10">
        <f t="shared" si="53"/>
        <v>-763.38</v>
      </c>
      <c r="O208" s="8">
        <f>IFERROR(N208/N444, "NA")</f>
        <v>3.6260724957997925E-2</v>
      </c>
      <c r="P208" s="9"/>
      <c r="Q208" s="7">
        <v>2631.25</v>
      </c>
      <c r="R208" s="8">
        <f>IFERROR(Q208/Q444, "NA")</f>
        <v>1.4434096998777524E-3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-2631.25</v>
      </c>
      <c r="X208" s="8">
        <f>IFERROR(W208/W444, "NA")</f>
        <v>-1.3346639816989543</v>
      </c>
      <c r="Y208" s="9"/>
      <c r="Z208" s="7">
        <v>2194.6999999999998</v>
      </c>
      <c r="AA208" s="8">
        <f>IFERROR(Z208/Z444, "NA")</f>
        <v>1.3219881487409723E-3</v>
      </c>
      <c r="AB208" s="9"/>
      <c r="AC208" s="10">
        <f t="shared" si="55"/>
        <v>-436.55000000000018</v>
      </c>
      <c r="AD208" s="8">
        <f>IFERROR(AC208/AC444, "NA")</f>
        <v>-2.6816846741797673E-3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5457.82</v>
      </c>
      <c r="C209" s="15">
        <f>IFERROR(B209/B444, "NA")</f>
        <v>3.0248818314606397E-2</v>
      </c>
      <c r="D209" s="2"/>
      <c r="E209" s="14">
        <f>IFERROR(E201+E202+E203+E204+E205+E206+E207+E208, "NA")</f>
        <v>3682.1</v>
      </c>
      <c r="F209" s="15">
        <f>IFERROR(E209/E444, "NA")</f>
        <v>1.6999991966544628E-2</v>
      </c>
      <c r="G209" s="2"/>
      <c r="H209" s="14">
        <f t="shared" si="52"/>
        <v>-1775.7199999999998</v>
      </c>
      <c r="I209" s="15">
        <f>IFERROR(H209/H444, "NA")</f>
        <v>4.9102724663105238E-2</v>
      </c>
      <c r="J209" s="2"/>
      <c r="K209" s="14">
        <f>IFERROR(K201+K202+K203+K204+K205+K206+K207+K208, "NA")</f>
        <v>2805.9500000000003</v>
      </c>
      <c r="L209" s="15">
        <f>IFERROR(K209/K444, "NA")</f>
        <v>1.3926458847374906E-2</v>
      </c>
      <c r="M209" s="2"/>
      <c r="N209" s="14">
        <f t="shared" si="53"/>
        <v>-2651.8699999999994</v>
      </c>
      <c r="O209" s="15">
        <f>IFERROR(N209/N444, "NA")</f>
        <v>0.12596443277838815</v>
      </c>
      <c r="P209" s="2"/>
      <c r="Q209" s="14">
        <f>IFERROR(Q201+Q202+Q203+Q204+Q205+Q206+Q207+Q208, "NA")</f>
        <v>45562.529999999992</v>
      </c>
      <c r="R209" s="15">
        <f>IFERROR(Q209/Q444, "NA")</f>
        <v>2.4993975393053144E-2</v>
      </c>
      <c r="S209" s="2"/>
      <c r="T209" s="14">
        <f>IFERROR(T201+T202+T203+T204+T205+T206+T207+T208, "NA")</f>
        <v>31204.78</v>
      </c>
      <c r="U209" s="15">
        <f>IFERROR(T209/T444, "NA")</f>
        <v>1.713635953490104E-2</v>
      </c>
      <c r="V209" s="2"/>
      <c r="W209" s="14">
        <f t="shared" si="54"/>
        <v>-14357.749999999993</v>
      </c>
      <c r="X209" s="15">
        <f>IFERROR(W209/W444, "NA")</f>
        <v>-7.2827636230833823</v>
      </c>
      <c r="Y209" s="2"/>
      <c r="Z209" s="14">
        <f>IFERROR(Z201+Z202+Z203+Z204+Z205+Z206+Z207+Z208, "NA")</f>
        <v>33386.35</v>
      </c>
      <c r="AA209" s="15">
        <f>IFERROR(Z209/Z444, "NA")</f>
        <v>2.0110429229379032E-2</v>
      </c>
      <c r="AB209" s="2"/>
      <c r="AC209" s="14">
        <f t="shared" si="55"/>
        <v>-12176.179999999993</v>
      </c>
      <c r="AD209" s="15">
        <f>IFERROR(AC209/AC444, "NA")</f>
        <v>-7.4797102957402745E-2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8613.09</v>
      </c>
      <c r="F213" s="8">
        <f>IFERROR(E213/E444, "NA")</f>
        <v>3.9766019610310933E-2</v>
      </c>
      <c r="G213" s="9"/>
      <c r="H213" s="10">
        <f t="shared" ref="H213:H227" si="56">IFERROR(-(B213-E213), "NA")</f>
        <v>8613.09</v>
      </c>
      <c r="I213" s="8">
        <f>IFERROR(H213/H444, "NA")</f>
        <v>-0.23817166375810664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83412.5</v>
      </c>
      <c r="U213" s="8">
        <f>IFERROR(T213/T444, "NA")</f>
        <v>4.5806654932511397E-2</v>
      </c>
      <c r="V213" s="9"/>
      <c r="W213" s="10">
        <f t="shared" ref="W213:W227" si="58">IFERROR(-(Q213-T213), "NA")</f>
        <v>83412.5</v>
      </c>
      <c r="X213" s="8">
        <f>IFERROR(W213/W444, "NA")</f>
        <v>42.309799286827179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3058.9</v>
      </c>
      <c r="C214" s="8">
        <f>IFERROR(B214/B444, "NA")</f>
        <v>1.6953309259475306E-2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-3058.9</v>
      </c>
      <c r="I214" s="8">
        <f>IFERROR(H214/H444, "NA")</f>
        <v>8.4585590336298866E-2</v>
      </c>
      <c r="J214" s="9"/>
      <c r="K214" s="7">
        <v>10001.620000000001</v>
      </c>
      <c r="L214" s="8">
        <f>IFERROR(K214/K444, "NA")</f>
        <v>4.9639925635553667E-2</v>
      </c>
      <c r="M214" s="9"/>
      <c r="N214" s="10">
        <f t="shared" si="57"/>
        <v>6942.7200000000012</v>
      </c>
      <c r="O214" s="8">
        <f>IFERROR(N214/N444, "NA")</f>
        <v>-0.32978079119231757</v>
      </c>
      <c r="P214" s="9"/>
      <c r="Q214" s="7">
        <v>38729.74</v>
      </c>
      <c r="R214" s="8">
        <f>IFERROR(Q214/Q444, "NA")</f>
        <v>2.1245751026980859E-2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-38729.74</v>
      </c>
      <c r="X214" s="8">
        <f>IFERROR(W214/W444, "NA")</f>
        <v>-19.645107457887033</v>
      </c>
      <c r="Y214" s="9"/>
      <c r="Z214" s="7">
        <v>26820.43</v>
      </c>
      <c r="AA214" s="8">
        <f>IFERROR(Z214/Z444, "NA")</f>
        <v>1.6155415593993184E-2</v>
      </c>
      <c r="AB214" s="9"/>
      <c r="AC214" s="10">
        <f t="shared" si="59"/>
        <v>-11909.309999999998</v>
      </c>
      <c r="AD214" s="8">
        <f>IFERROR(AC214/AC444, "NA")</f>
        <v>-7.3157746207893309E-2</v>
      </c>
    </row>
    <row r="215" spans="1:30" ht="16.5" customHeight="1" x14ac:dyDescent="0.45">
      <c r="A215" s="12" t="s">
        <v>195</v>
      </c>
      <c r="B215" s="7">
        <v>1193.26</v>
      </c>
      <c r="C215" s="8">
        <f>IFERROR(B215/B444, "NA")</f>
        <v>6.6133923328521704E-3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-1193.26</v>
      </c>
      <c r="I215" s="8">
        <f>IFERROR(H215/H444, "NA")</f>
        <v>3.2996371743009574E-2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-1193.26</v>
      </c>
      <c r="O215" s="8">
        <f>IFERROR(N215/N444, "NA")</f>
        <v>5.6680123481595804E-2</v>
      </c>
      <c r="P215" s="9"/>
      <c r="Q215" s="7">
        <v>3985.01</v>
      </c>
      <c r="R215" s="8">
        <f>IFERROR(Q215/Q444, "NA")</f>
        <v>2.1860340477377073E-3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-3985.01</v>
      </c>
      <c r="X215" s="8">
        <f>IFERROR(W215/W444, "NA")</f>
        <v>-2.0213394066356862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-3985.01</v>
      </c>
      <c r="AD215" s="8">
        <f>IFERROR(AC215/AC444, "NA")</f>
        <v>-2.447953325725143E-2</v>
      </c>
    </row>
    <row r="216" spans="1:30" ht="16.5" customHeight="1" x14ac:dyDescent="0.45">
      <c r="A216" s="12" t="s">
        <v>196</v>
      </c>
      <c r="B216" s="7">
        <v>50</v>
      </c>
      <c r="C216" s="8">
        <f>IFERROR(B216/B444, "NA")</f>
        <v>2.7711447349497052E-4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-50</v>
      </c>
      <c r="I216" s="8">
        <f>IFERROR(H216/H444, "NA")</f>
        <v>1.3826145074421993E-3</v>
      </c>
      <c r="J216" s="9"/>
      <c r="K216" s="7">
        <v>188</v>
      </c>
      <c r="L216" s="8">
        <f>IFERROR(K216/K444, "NA")</f>
        <v>9.3307944307863006E-4</v>
      </c>
      <c r="M216" s="9"/>
      <c r="N216" s="10">
        <f t="shared" si="57"/>
        <v>138</v>
      </c>
      <c r="O216" s="8">
        <f>IFERROR(N216/N444, "NA")</f>
        <v>-6.5550316280276058E-3</v>
      </c>
      <c r="P216" s="9"/>
      <c r="Q216" s="7">
        <v>783.89</v>
      </c>
      <c r="R216" s="8">
        <f>IFERROR(Q216/Q444, "NA")</f>
        <v>4.3001403501650217E-4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-783.89</v>
      </c>
      <c r="X216" s="8">
        <f>IFERROR(W216/W444, "NA")</f>
        <v>-0.39761700659914229</v>
      </c>
      <c r="Y216" s="9"/>
      <c r="Z216" s="7">
        <v>649.65</v>
      </c>
      <c r="AA216" s="8">
        <f>IFERROR(Z216/Z444, "NA")</f>
        <v>3.9131981629816041E-4</v>
      </c>
      <c r="AB216" s="9"/>
      <c r="AC216" s="10">
        <f t="shared" si="59"/>
        <v>-134.24</v>
      </c>
      <c r="AD216" s="8">
        <f>IFERROR(AC216/AC444, "NA")</f>
        <v>-8.2462341235114381E-4</v>
      </c>
    </row>
    <row r="217" spans="1:30" ht="16.5" customHeight="1" x14ac:dyDescent="0.45">
      <c r="A217" s="12" t="s">
        <v>197</v>
      </c>
      <c r="B217" s="7">
        <v>3473.18</v>
      </c>
      <c r="C217" s="8">
        <f>IFERROR(B217/B444, "NA")</f>
        <v>1.9249368941065232E-2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-3473.18</v>
      </c>
      <c r="I217" s="8">
        <f>IFERROR(H217/H444, "NA")</f>
        <v>9.6041381099161952E-2</v>
      </c>
      <c r="J217" s="9"/>
      <c r="K217" s="7">
        <v>9101.5300000000007</v>
      </c>
      <c r="L217" s="8">
        <f>IFERROR(K217/K444, "NA")</f>
        <v>4.5172609274273641E-2</v>
      </c>
      <c r="M217" s="9"/>
      <c r="N217" s="10">
        <f t="shared" si="57"/>
        <v>5628.35</v>
      </c>
      <c r="O217" s="8">
        <f>IFERROR(N217/N444, "NA")</f>
        <v>-0.2673479149536897</v>
      </c>
      <c r="P217" s="9"/>
      <c r="Q217" s="7">
        <v>34269.019999999997</v>
      </c>
      <c r="R217" s="8">
        <f>IFERROR(Q217/Q444, "NA")</f>
        <v>1.8798759476790383E-2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-34269.019999999997</v>
      </c>
      <c r="X217" s="8">
        <f>IFERROR(W217/W444, "NA")</f>
        <v>-17.382470948074523</v>
      </c>
      <c r="Y217" s="9"/>
      <c r="Z217" s="7">
        <v>45570.400000000001</v>
      </c>
      <c r="AA217" s="8">
        <f>IFERROR(Z217/Z444, "NA")</f>
        <v>2.7449550614382652E-2</v>
      </c>
      <c r="AB217" s="9"/>
      <c r="AC217" s="10">
        <f t="shared" si="59"/>
        <v>11301.380000000005</v>
      </c>
      <c r="AD217" s="8">
        <f>IFERROR(AC217/AC444, "NA")</f>
        <v>6.9423290672504273E-2</v>
      </c>
    </row>
    <row r="218" spans="1:30" ht="16.5" customHeight="1" x14ac:dyDescent="0.45">
      <c r="A218" s="13" t="s">
        <v>198</v>
      </c>
      <c r="B218" s="14">
        <f>IFERROR(B213+B214+B215+B216+B217, "NA")</f>
        <v>7775.34</v>
      </c>
      <c r="C218" s="15">
        <f>IFERROR(B218/B444, "NA")</f>
        <v>4.3093185006887677E-2</v>
      </c>
      <c r="D218" s="2"/>
      <c r="E218" s="14">
        <f>IFERROR(E213+E214+E215+E216+E217, "NA")</f>
        <v>8613.09</v>
      </c>
      <c r="F218" s="15">
        <f>IFERROR(E218/E444, "NA")</f>
        <v>3.9766019610310933E-2</v>
      </c>
      <c r="G218" s="2"/>
      <c r="H218" s="14">
        <f t="shared" si="56"/>
        <v>837.75</v>
      </c>
      <c r="I218" s="15">
        <f>IFERROR(H218/H444, "NA")</f>
        <v>-2.3165706072194051E-2</v>
      </c>
      <c r="J218" s="2"/>
      <c r="K218" s="14">
        <f>IFERROR(K213+K214+K215+K216+K217, "NA")</f>
        <v>19291.150000000001</v>
      </c>
      <c r="L218" s="15">
        <f>IFERROR(K218/K444, "NA")</f>
        <v>9.5745614352905933E-2</v>
      </c>
      <c r="M218" s="2"/>
      <c r="N218" s="14">
        <f t="shared" si="57"/>
        <v>11515.810000000001</v>
      </c>
      <c r="O218" s="15">
        <f>IFERROR(N218/N444, "NA")</f>
        <v>-0.54700361429243904</v>
      </c>
      <c r="P218" s="2"/>
      <c r="Q218" s="14">
        <f>IFERROR(Q213+Q214+Q215+Q216+Q217, "NA")</f>
        <v>77767.66</v>
      </c>
      <c r="R218" s="15">
        <f>IFERROR(Q218/Q444, "NA")</f>
        <v>4.2660558586525454E-2</v>
      </c>
      <c r="S218" s="2"/>
      <c r="T218" s="14">
        <f>IFERROR(T213+T214+T215+T216+T217, "NA")</f>
        <v>83412.5</v>
      </c>
      <c r="U218" s="15">
        <f>IFERROR(T218/T444, "NA")</f>
        <v>4.5806654932511397E-2</v>
      </c>
      <c r="V218" s="2"/>
      <c r="W218" s="14">
        <f t="shared" si="58"/>
        <v>5644.8399999999965</v>
      </c>
      <c r="X218" s="15">
        <f>IFERROR(W218/W444, "NA")</f>
        <v>2.8632644676307915</v>
      </c>
      <c r="Y218" s="2"/>
      <c r="Z218" s="14">
        <f>IFERROR(Z213+Z214+Z215+Z216+Z217, "NA")</f>
        <v>73040.48000000001</v>
      </c>
      <c r="AA218" s="15">
        <f>IFERROR(Z218/Z444, "NA")</f>
        <v>4.3996286024674001E-2</v>
      </c>
      <c r="AB218" s="2"/>
      <c r="AC218" s="14">
        <f t="shared" si="59"/>
        <v>-4727.179999999993</v>
      </c>
      <c r="AD218" s="15">
        <f>IFERROR(AC218/AC444, "NA")</f>
        <v>-2.9038612204991612E-2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322</v>
      </c>
      <c r="C222" s="8">
        <f>IFERROR(B222/B444, "NA")</f>
        <v>1.7846172093076099E-3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-322</v>
      </c>
      <c r="I222" s="8">
        <f>IFERROR(H222/H444, "NA")</f>
        <v>8.9040374279277627E-3</v>
      </c>
      <c r="J222" s="9"/>
      <c r="K222" s="7">
        <v>110.97</v>
      </c>
      <c r="L222" s="8">
        <f>IFERROR(K222/K444, "NA")</f>
        <v>5.5076503084274247E-4</v>
      </c>
      <c r="M222" s="9"/>
      <c r="N222" s="10">
        <f t="shared" si="57"/>
        <v>-211.03</v>
      </c>
      <c r="O222" s="8">
        <f>IFERROR(N222/N444, "NA")</f>
        <v>1.002397336567149E-2</v>
      </c>
      <c r="P222" s="9"/>
      <c r="Q222" s="7">
        <v>2922.33</v>
      </c>
      <c r="R222" s="8">
        <f>IFERROR(Q222/Q444, "NA")</f>
        <v>1.6030857836555829E-3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-2922.33</v>
      </c>
      <c r="X222" s="8">
        <f>IFERROR(W222/W444, "NA")</f>
        <v>-1.4823101543518498</v>
      </c>
      <c r="Y222" s="9"/>
      <c r="Z222" s="7">
        <v>1194.75</v>
      </c>
      <c r="AA222" s="8">
        <f>IFERROR(Z222/Z444, "NA")</f>
        <v>7.1966343496071301E-4</v>
      </c>
      <c r="AB222" s="9"/>
      <c r="AC222" s="10">
        <f t="shared" si="59"/>
        <v>-1727.58</v>
      </c>
      <c r="AD222" s="8">
        <f>IFERROR(AC222/AC444, "NA")</f>
        <v>-1.0612357827097654E-2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216.59</v>
      </c>
      <c r="F226" s="8">
        <f>IFERROR(E226/E444, "NA")</f>
        <v>9.9998051656226099E-4</v>
      </c>
      <c r="G226" s="9"/>
      <c r="H226" s="10">
        <f t="shared" si="56"/>
        <v>216.59</v>
      </c>
      <c r="I226" s="8">
        <f>IFERROR(H226/H444, "NA")</f>
        <v>-5.989209523338119E-3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1820.98</v>
      </c>
      <c r="U226" s="8">
        <f>IFERROR(T226/T444, "NA")</f>
        <v>1.0000060242650035E-3</v>
      </c>
      <c r="V226" s="9"/>
      <c r="W226" s="10">
        <f t="shared" si="58"/>
        <v>1820.98</v>
      </c>
      <c r="X226" s="8">
        <f>IFERROR(W226/W444, "NA")</f>
        <v>0.92366609687189039</v>
      </c>
      <c r="Y226" s="9"/>
      <c r="Z226" s="7">
        <v>1067.28</v>
      </c>
      <c r="AA226" s="8">
        <f>IFERROR(Z226/Z444, "NA")</f>
        <v>6.4288126458662462E-4</v>
      </c>
      <c r="AB226" s="9"/>
      <c r="AC226" s="10">
        <f t="shared" si="59"/>
        <v>1067.28</v>
      </c>
      <c r="AD226" s="8">
        <f>IFERROR(AC226/AC444, "NA")</f>
        <v>6.5561984172685392E-3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8097.34</v>
      </c>
      <c r="C227" s="15">
        <f>IFERROR(B227/B444, "NA")</f>
        <v>4.4877802216195292E-2</v>
      </c>
      <c r="D227" s="2"/>
      <c r="E227" s="14">
        <f>IFERROR(E211+E213+E214+E215+E216+E217+E219+E220+E221+E222+E223+E224+E225+E226, "NA")</f>
        <v>8829.68</v>
      </c>
      <c r="F227" s="15">
        <f>IFERROR(E227/E444, "NA")</f>
        <v>4.0766000126873196E-2</v>
      </c>
      <c r="G227" s="2"/>
      <c r="H227" s="14">
        <f t="shared" si="56"/>
        <v>732.34000000000015</v>
      </c>
      <c r="I227" s="15">
        <f>IFERROR(H227/H444, "NA")</f>
        <v>-2.0250878167604409E-2</v>
      </c>
      <c r="J227" s="2"/>
      <c r="K227" s="14">
        <f>IFERROR(K211+K213+K214+K215+K216+K217+K219+K220+K221+K222+K223+K224+K225+K226, "NA")</f>
        <v>19402.120000000003</v>
      </c>
      <c r="L227" s="15">
        <f>IFERROR(K227/K444, "NA")</f>
        <v>9.6296379383748687E-2</v>
      </c>
      <c r="M227" s="2"/>
      <c r="N227" s="14">
        <f t="shared" si="57"/>
        <v>11304.780000000002</v>
      </c>
      <c r="O227" s="15">
        <f>IFERROR(N227/N444, "NA")</f>
        <v>-0.53697964092676764</v>
      </c>
      <c r="P227" s="2"/>
      <c r="Q227" s="14">
        <f>IFERROR(Q211+Q213+Q214+Q215+Q216+Q217+Q219+Q220+Q221+Q222+Q223+Q224+Q225+Q226, "NA")</f>
        <v>80689.990000000005</v>
      </c>
      <c r="R227" s="15">
        <f>IFERROR(Q227/Q444, "NA")</f>
        <v>4.4263644370181036E-2</v>
      </c>
      <c r="S227" s="2"/>
      <c r="T227" s="14">
        <f>IFERROR(T211+T213+T214+T215+T216+T217+T219+T220+T221+T222+T223+T224+T225+T226, "NA")</f>
        <v>85233.48</v>
      </c>
      <c r="U227" s="15">
        <f>IFERROR(T227/T444, "NA")</f>
        <v>4.6806660956776401E-2</v>
      </c>
      <c r="V227" s="2"/>
      <c r="W227" s="14">
        <f t="shared" si="58"/>
        <v>4543.4899999999907</v>
      </c>
      <c r="X227" s="15">
        <f>IFERROR(W227/W444, "NA")</f>
        <v>2.3046204101508292</v>
      </c>
      <c r="Y227" s="2"/>
      <c r="Z227" s="14">
        <f>IFERROR(Z211+Z213+Z214+Z215+Z216+Z217+Z219+Z220+Z221+Z222+Z223+Z224+Z225+Z226, "NA")</f>
        <v>75302.510000000009</v>
      </c>
      <c r="AA227" s="15">
        <f>IFERROR(Z227/Z444, "NA")</f>
        <v>4.5358830724221338E-2</v>
      </c>
      <c r="AB227" s="2"/>
      <c r="AC227" s="14">
        <f t="shared" si="59"/>
        <v>-5387.4799999999959</v>
      </c>
      <c r="AD227" s="15">
        <f>IFERROR(AC227/AC444, "NA")</f>
        <v>-3.3094771614820745E-2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6443.68</v>
      </c>
      <c r="F229" s="8">
        <f>IFERROR(E229/E444, "NA")</f>
        <v>2.9750009026094974E-2</v>
      </c>
      <c r="G229" s="9"/>
      <c r="H229" s="10">
        <f t="shared" ref="H229:H236" si="60">IFERROR(-(B229-E229), "NA")</f>
        <v>6443.68</v>
      </c>
      <c r="I229" s="8">
        <f>IFERROR(H229/H444, "NA")</f>
        <v>-0.17818250898630303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54173.82</v>
      </c>
      <c r="U229" s="8">
        <f>IFERROR(T229/T444, "NA")</f>
        <v>2.974999525390061E-2</v>
      </c>
      <c r="V229" s="9"/>
      <c r="W229" s="10">
        <f t="shared" ref="W229:W236" si="62">IFERROR(-(Q229-T229), "NA")</f>
        <v>54173.82</v>
      </c>
      <c r="X229" s="8">
        <f>IFERROR(W229/W444, "NA")</f>
        <v>27.478896457973374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1.8070644945655063E-5</v>
      </c>
      <c r="AB230" s="9"/>
      <c r="AC230" s="10">
        <f t="shared" si="63"/>
        <v>30</v>
      </c>
      <c r="AD230" s="8">
        <f>IFERROR(AC230/AC444, "NA")</f>
        <v>1.8428711539432595E-4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443.97</v>
      </c>
      <c r="L231" s="8">
        <f>IFERROR(K231/K444, "NA")</f>
        <v>2.203506810338401E-3</v>
      </c>
      <c r="M231" s="9"/>
      <c r="N231" s="10">
        <f t="shared" si="61"/>
        <v>443.97</v>
      </c>
      <c r="O231" s="8">
        <f>IFERROR(N231/N444, "NA")</f>
        <v>-2.1088676752865337E-2</v>
      </c>
      <c r="P231" s="9"/>
      <c r="Q231" s="7">
        <v>2465.81</v>
      </c>
      <c r="R231" s="8">
        <f>IFERROR(Q231/Q444, "NA")</f>
        <v>1.3526552292847736E-3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-2465.81</v>
      </c>
      <c r="X231" s="8">
        <f>IFERROR(W231/W444, "NA")</f>
        <v>-1.2507469045940516</v>
      </c>
      <c r="Y231" s="9"/>
      <c r="Z231" s="7">
        <v>4056.04</v>
      </c>
      <c r="AA231" s="8">
        <f>IFERROR(Z231/Z444, "NA")</f>
        <v>2.4431752908458254E-3</v>
      </c>
      <c r="AB231" s="9"/>
      <c r="AC231" s="10">
        <f t="shared" si="63"/>
        <v>1590.23</v>
      </c>
      <c r="AD231" s="8">
        <f>IFERROR(AC231/AC444, "NA")</f>
        <v>9.7686299837839649E-3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235.54</v>
      </c>
      <c r="C233" s="8">
        <f>IFERROR(B233/B444, "NA")</f>
        <v>1.305430861740107E-3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-235.54</v>
      </c>
      <c r="I233" s="8">
        <f>IFERROR(H233/H444, "NA")</f>
        <v>6.5132204216587124E-3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-235.54</v>
      </c>
      <c r="O233" s="8">
        <f>IFERROR(N233/N444, "NA")</f>
        <v>1.1188203983084219E-2</v>
      </c>
      <c r="P233" s="9"/>
      <c r="Q233" s="7">
        <v>1188.2</v>
      </c>
      <c r="R233" s="8">
        <f>IFERROR(Q233/Q444, "NA")</f>
        <v>6.5180404955619787E-4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-1188.2</v>
      </c>
      <c r="X233" s="8">
        <f>IFERROR(W233/W444, "NA")</f>
        <v>-0.60269747954572828</v>
      </c>
      <c r="Y233" s="9"/>
      <c r="Z233" s="7">
        <v>17</v>
      </c>
      <c r="AA233" s="8">
        <f>IFERROR(Z233/Z444, "NA")</f>
        <v>1.0240032135871203E-5</v>
      </c>
      <c r="AB233" s="9"/>
      <c r="AC233" s="10">
        <f t="shared" si="63"/>
        <v>-1171.2</v>
      </c>
      <c r="AD233" s="8">
        <f>IFERROR(AC233/AC444, "NA")</f>
        <v>-7.1945689849944846E-3</v>
      </c>
    </row>
    <row r="234" spans="1:30" ht="16.5" customHeight="1" x14ac:dyDescent="0.45">
      <c r="A234" s="6" t="s">
        <v>213</v>
      </c>
      <c r="B234" s="7">
        <v>3893.3</v>
      </c>
      <c r="C234" s="8">
        <f>IFERROR(B234/B444, "NA")</f>
        <v>2.1577795593159373E-2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-3893.3</v>
      </c>
      <c r="I234" s="8">
        <f>IFERROR(H234/H444, "NA")</f>
        <v>0.1076586612364943</v>
      </c>
      <c r="J234" s="9"/>
      <c r="K234" s="7">
        <v>4446.26</v>
      </c>
      <c r="L234" s="8">
        <f>IFERROR(K234/K444, "NA")</f>
        <v>2.2067626620121225E-2</v>
      </c>
      <c r="M234" s="9"/>
      <c r="N234" s="10">
        <f t="shared" si="61"/>
        <v>552.96</v>
      </c>
      <c r="O234" s="8">
        <f>IFERROR(N234/N444, "NA")</f>
        <v>-2.6265726732131487E-2</v>
      </c>
      <c r="P234" s="9"/>
      <c r="Q234" s="7">
        <v>37162.42</v>
      </c>
      <c r="R234" s="8">
        <f>IFERROR(Q234/Q444, "NA")</f>
        <v>2.0385975296505838E-2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-37162.42</v>
      </c>
      <c r="X234" s="8">
        <f>IFERROR(W234/W444, "NA")</f>
        <v>-18.850106773118803</v>
      </c>
      <c r="Y234" s="9"/>
      <c r="Z234" s="7">
        <v>40141.699999999997</v>
      </c>
      <c r="AA234" s="8">
        <f>IFERROR(Z234/Z444, "NA")</f>
        <v>2.4179546940500063E-2</v>
      </c>
      <c r="AB234" s="9"/>
      <c r="AC234" s="10">
        <f t="shared" si="63"/>
        <v>2979.2799999999988</v>
      </c>
      <c r="AD234" s="8">
        <f>IFERROR(AC234/AC444, "NA")</f>
        <v>1.8301430571733571E-2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4128.84</v>
      </c>
      <c r="C236" s="15">
        <f>IFERROR(B236/B444, "NA")</f>
        <v>2.2883226454899482E-2</v>
      </c>
      <c r="D236" s="2"/>
      <c r="E236" s="14">
        <f>IFERROR(E229+E230+E231+E232+E233+E234+E235, "NA")</f>
        <v>6443.68</v>
      </c>
      <c r="F236" s="15">
        <f>IFERROR(E236/E444, "NA")</f>
        <v>2.9750009026094974E-2</v>
      </c>
      <c r="G236" s="2"/>
      <c r="H236" s="14">
        <f t="shared" si="60"/>
        <v>2314.84</v>
      </c>
      <c r="I236" s="15">
        <f>IFERROR(H236/H444, "NA")</f>
        <v>-6.4010627328150022E-2</v>
      </c>
      <c r="J236" s="2"/>
      <c r="K236" s="14">
        <f>IFERROR(K229+K230+K231+K232+K233+K234+K235, "NA")</f>
        <v>4890.2300000000005</v>
      </c>
      <c r="L236" s="15">
        <f>IFERROR(K236/K444, "NA")</f>
        <v>2.4271133430459627E-2</v>
      </c>
      <c r="M236" s="2"/>
      <c r="N236" s="14">
        <f t="shared" si="61"/>
        <v>761.39000000000033</v>
      </c>
      <c r="O236" s="15">
        <f>IFERROR(N236/N444, "NA")</f>
        <v>-3.6166199501912612E-2</v>
      </c>
      <c r="P236" s="2"/>
      <c r="Q236" s="14">
        <f>IFERROR(Q229+Q230+Q231+Q232+Q233+Q234+Q235, "NA")</f>
        <v>40816.43</v>
      </c>
      <c r="R236" s="15">
        <f>IFERROR(Q236/Q444, "NA")</f>
        <v>2.2390434575346809E-2</v>
      </c>
      <c r="S236" s="2"/>
      <c r="T236" s="14">
        <f>IFERROR(T229+T230+T231+T232+T233+T234+T235, "NA")</f>
        <v>54173.82</v>
      </c>
      <c r="U236" s="15">
        <f>IFERROR(T236/T444, "NA")</f>
        <v>2.974999525390061E-2</v>
      </c>
      <c r="V236" s="2"/>
      <c r="W236" s="14">
        <f t="shared" si="62"/>
        <v>13357.39</v>
      </c>
      <c r="X236" s="15">
        <f>IFERROR(W236/W444, "NA")</f>
        <v>6.7753453007147906</v>
      </c>
      <c r="Y236" s="2"/>
      <c r="Z236" s="14">
        <f>IFERROR(Z229+Z230+Z231+Z232+Z233+Z234+Z235, "NA")</f>
        <v>44244.74</v>
      </c>
      <c r="AA236" s="15">
        <f>IFERROR(Z236/Z444, "NA")</f>
        <v>2.6651032908427415E-2</v>
      </c>
      <c r="AB236" s="2"/>
      <c r="AC236" s="14">
        <f t="shared" si="63"/>
        <v>3428.3099999999977</v>
      </c>
      <c r="AD236" s="15">
        <f>IFERROR(AC236/AC444, "NA")</f>
        <v>2.1059778685917373E-2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19768.55</v>
      </c>
      <c r="F240" s="8">
        <f>IFERROR(E240/E444, "NA")</f>
        <v>9.1269979411269603E-2</v>
      </c>
      <c r="G240" s="9"/>
      <c r="H240" s="10">
        <f t="shared" ref="H240:H263" si="64">IFERROR(-(B240-E240), "NA")</f>
        <v>19768.55</v>
      </c>
      <c r="I240" s="8">
        <f>IFERROR(H240/H444, "NA")</f>
        <v>-0.54664568042192974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167052.29</v>
      </c>
      <c r="U240" s="8">
        <f>IFERROR(T240/T444, "NA")</f>
        <v>9.1738128022968088E-2</v>
      </c>
      <c r="V240" s="9"/>
      <c r="W240" s="10">
        <f t="shared" ref="W240:W263" si="66">IFERROR(-(Q240-T240), "NA")</f>
        <v>167052.29</v>
      </c>
      <c r="X240" s="8">
        <f>IFERROR(W240/W444, "NA")</f>
        <v>84.734888179887278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2593.7600000000002</v>
      </c>
      <c r="C242" s="8">
        <f>IFERROR(B242/B444, "NA")</f>
        <v>1.4375368735446295E-2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-2593.7600000000002</v>
      </c>
      <c r="I242" s="8">
        <f>IFERROR(H242/H444, "NA")</f>
        <v>7.1723404096465576E-2</v>
      </c>
      <c r="J242" s="9"/>
      <c r="K242" s="7">
        <v>3435.17</v>
      </c>
      <c r="L242" s="8">
        <f>IFERROR(K242/K444, "NA")</f>
        <v>1.7049396332342648E-2</v>
      </c>
      <c r="M242" s="9"/>
      <c r="N242" s="10">
        <f t="shared" si="65"/>
        <v>841.40999999999985</v>
      </c>
      <c r="O242" s="8">
        <f>IFERROR(N242/N444, "NA")</f>
        <v>-3.9967167841584827E-2</v>
      </c>
      <c r="P242" s="9"/>
      <c r="Q242" s="7">
        <v>26883.94</v>
      </c>
      <c r="R242" s="8">
        <f>IFERROR(Q242/Q444, "NA")</f>
        <v>1.4747568557503659E-2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-26883.94</v>
      </c>
      <c r="X242" s="8">
        <f>IFERROR(W242/W444, "NA")</f>
        <v>-13.636494595403622</v>
      </c>
      <c r="Y242" s="9"/>
      <c r="Z242" s="7">
        <v>22825.38</v>
      </c>
      <c r="AA242" s="8">
        <f>IFERROR(Z242/Z444, "NA")</f>
        <v>1.3748977924321873E-2</v>
      </c>
      <c r="AB242" s="9"/>
      <c r="AC242" s="10">
        <f t="shared" si="67"/>
        <v>-4058.5599999999977</v>
      </c>
      <c r="AD242" s="8">
        <f>IFERROR(AC242/AC444, "NA")</f>
        <v>-2.4931343835159835E-2</v>
      </c>
    </row>
    <row r="243" spans="1:30" ht="16.5" customHeight="1" x14ac:dyDescent="0.45">
      <c r="A243" s="12" t="s">
        <v>220</v>
      </c>
      <c r="B243" s="7">
        <v>6707.43</v>
      </c>
      <c r="C243" s="8">
        <f>IFERROR(B243/B444, "NA")</f>
        <v>3.7174518659087399E-2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-6707.43</v>
      </c>
      <c r="I243" s="8">
        <f>IFERROR(H243/H444, "NA")</f>
        <v>0.18547580051306062</v>
      </c>
      <c r="J243" s="9"/>
      <c r="K243" s="7">
        <v>7695.97</v>
      </c>
      <c r="L243" s="8">
        <f>IFERROR(K243/K444, "NA")</f>
        <v>3.819655000824386E-2</v>
      </c>
      <c r="M243" s="9"/>
      <c r="N243" s="10">
        <f t="shared" si="65"/>
        <v>988.54</v>
      </c>
      <c r="O243" s="8">
        <f>IFERROR(N243/N444, "NA")</f>
        <v>-4.6955876562104412E-2</v>
      </c>
      <c r="P243" s="9"/>
      <c r="Q243" s="7">
        <v>67303.289999999994</v>
      </c>
      <c r="R243" s="8">
        <f>IFERROR(Q243/Q444, "NA")</f>
        <v>3.692017923788516E-2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-67303.289999999994</v>
      </c>
      <c r="X243" s="8">
        <f>IFERROR(W243/W444, "NA")</f>
        <v>-34.138632593953218</v>
      </c>
      <c r="Y243" s="9"/>
      <c r="Z243" s="7">
        <v>72382.31</v>
      </c>
      <c r="AA243" s="8">
        <f>IFERROR(Z243/Z444, "NA")</f>
        <v>4.3599834145211264E-2</v>
      </c>
      <c r="AB243" s="9"/>
      <c r="AC243" s="10">
        <f t="shared" si="67"/>
        <v>5079.0200000000041</v>
      </c>
      <c r="AD243" s="8">
        <f>IFERROR(AC243/AC444, "NA")</f>
        <v>3.1199931494336336E-2</v>
      </c>
    </row>
    <row r="244" spans="1:30" ht="16.5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1935.14</v>
      </c>
      <c r="R244" s="8">
        <f>IFERROR(Q244/Q444, "NA")</f>
        <v>1.0615486352955569E-3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-1935.14</v>
      </c>
      <c r="X244" s="8">
        <f>IFERROR(W244/W444, "NA")</f>
        <v>-0.98157212638286528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-1935.14</v>
      </c>
      <c r="AD244" s="8">
        <f>IFERROR(AC244/AC444, "NA")</f>
        <v>-1.1887378949472531E-2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144.84</v>
      </c>
      <c r="C246" s="8">
        <f>IFERROR(B246/B444, "NA")</f>
        <v>8.0274520682023054E-4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-144.84</v>
      </c>
      <c r="I246" s="8">
        <f>IFERROR(H246/H444, "NA")</f>
        <v>4.0051577051585631E-3</v>
      </c>
      <c r="J246" s="9"/>
      <c r="K246" s="7">
        <v>647.78</v>
      </c>
      <c r="L246" s="8">
        <f>IFERROR(K246/K444, "NA")</f>
        <v>3.2150542640291221E-3</v>
      </c>
      <c r="M246" s="9"/>
      <c r="N246" s="10">
        <f t="shared" si="65"/>
        <v>502.93999999999994</v>
      </c>
      <c r="O246" s="8">
        <f>IFERROR(N246/N444, "NA")</f>
        <v>-2.3889765268117417E-2</v>
      </c>
      <c r="P246" s="9"/>
      <c r="Q246" s="7">
        <v>5438.72</v>
      </c>
      <c r="R246" s="8">
        <f>IFERROR(Q246/Q444, "NA")</f>
        <v>2.9834873930333987E-3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-5438.72</v>
      </c>
      <c r="X246" s="8">
        <f>IFERROR(W246/W444, "NA")</f>
        <v>-2.7587130415375722</v>
      </c>
      <c r="Y246" s="9"/>
      <c r="Z246" s="7">
        <v>2113.5</v>
      </c>
      <c r="AA246" s="8">
        <f>IFERROR(Z246/Z444, "NA")</f>
        <v>1.2730769364213993E-3</v>
      </c>
      <c r="AB246" s="9"/>
      <c r="AC246" s="10">
        <f t="shared" si="67"/>
        <v>-3325.2200000000003</v>
      </c>
      <c r="AD246" s="8">
        <f>IFERROR(AC246/AC444, "NA")</f>
        <v>-2.0426506728384017E-2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14.32</v>
      </c>
      <c r="AA247" s="8">
        <f>IFERROR(Z247/Z444, "NA")</f>
        <v>8.6257211873926838E-6</v>
      </c>
      <c r="AB247" s="9"/>
      <c r="AC247" s="10">
        <f t="shared" si="67"/>
        <v>14.32</v>
      </c>
      <c r="AD247" s="8">
        <f>IFERROR(AC247/AC444, "NA")</f>
        <v>8.7966383081558247E-5</v>
      </c>
    </row>
    <row r="248" spans="1:30" ht="16.5" customHeight="1" x14ac:dyDescent="0.45">
      <c r="A248" s="12" t="s">
        <v>225</v>
      </c>
      <c r="B248" s="7">
        <v>209.89</v>
      </c>
      <c r="C248" s="8">
        <f>IFERROR(B248/B444, "NA")</f>
        <v>1.163271136837187E-3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-209.89</v>
      </c>
      <c r="I248" s="8">
        <f>IFERROR(H248/H444, "NA")</f>
        <v>5.8039391793408635E-3</v>
      </c>
      <c r="J248" s="9"/>
      <c r="K248" s="7">
        <v>162.63</v>
      </c>
      <c r="L248" s="8">
        <f>IFERROR(K248/K444, "NA")</f>
        <v>8.0716335014828511E-4</v>
      </c>
      <c r="M248" s="9"/>
      <c r="N248" s="10">
        <f t="shared" si="65"/>
        <v>-47.259999999999991</v>
      </c>
      <c r="O248" s="8">
        <f>IFERROR(N248/N444, "NA")</f>
        <v>2.2448608314535115E-3</v>
      </c>
      <c r="P248" s="9"/>
      <c r="Q248" s="7">
        <v>1998.05</v>
      </c>
      <c r="R248" s="8">
        <f>IFERROR(Q248/Q444, "NA")</f>
        <v>1.0960588126710663E-3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-1998.05</v>
      </c>
      <c r="X248" s="8">
        <f>IFERROR(W248/W444, "NA")</f>
        <v>-1.0134823253714378</v>
      </c>
      <c r="Y248" s="9"/>
      <c r="Z248" s="7">
        <v>1736.79</v>
      </c>
      <c r="AA248" s="8">
        <f>IFERROR(Z248/Z444, "NA")</f>
        <v>1.0461638478388086E-3</v>
      </c>
      <c r="AB248" s="9"/>
      <c r="AC248" s="10">
        <f t="shared" si="67"/>
        <v>-261.26</v>
      </c>
      <c r="AD248" s="8">
        <f>IFERROR(AC248/AC444, "NA")</f>
        <v>-1.6048950589307197E-3</v>
      </c>
    </row>
    <row r="249" spans="1:30" ht="16.5" customHeight="1" x14ac:dyDescent="0.45">
      <c r="A249" s="12" t="s">
        <v>226</v>
      </c>
      <c r="B249" s="7">
        <v>4386.1899999999996</v>
      </c>
      <c r="C249" s="8">
        <f>IFERROR(B249/B444, "NA")</f>
        <v>2.4309534649978089E-2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-4386.1899999999996</v>
      </c>
      <c r="I249" s="8">
        <f>IFERROR(H249/H444, "NA")</f>
        <v>0.121288198527958</v>
      </c>
      <c r="J249" s="9"/>
      <c r="K249" s="7">
        <v>3727.02</v>
      </c>
      <c r="L249" s="8">
        <f>IFERROR(K249/K444, "NA")</f>
        <v>1.8497902903951681E-2</v>
      </c>
      <c r="M249" s="9"/>
      <c r="N249" s="10">
        <f t="shared" si="65"/>
        <v>-659.16999999999962</v>
      </c>
      <c r="O249" s="8">
        <f>IFERROR(N249/N444, "NA")</f>
        <v>3.1310726074253295E-2</v>
      </c>
      <c r="P249" s="9"/>
      <c r="Q249" s="7">
        <v>33216.46</v>
      </c>
      <c r="R249" s="8">
        <f>IFERROR(Q249/Q444, "NA")</f>
        <v>1.8221362682983893E-2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-33216.46</v>
      </c>
      <c r="X249" s="8">
        <f>IFERROR(W249/W444, "NA")</f>
        <v>-16.848574921251892</v>
      </c>
      <c r="Y249" s="9"/>
      <c r="Z249" s="7">
        <v>32180.05</v>
      </c>
      <c r="AA249" s="8">
        <f>IFERROR(Z249/Z444, "NA")</f>
        <v>1.938380859611424E-2</v>
      </c>
      <c r="AB249" s="9"/>
      <c r="AC249" s="10">
        <f t="shared" si="67"/>
        <v>-1036.4099999999999</v>
      </c>
      <c r="AD249" s="8">
        <f>IFERROR(AC249/AC444, "NA")</f>
        <v>-6.3665669755277772E-3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27.66</v>
      </c>
      <c r="L252" s="8">
        <f>IFERROR(K252/K444, "NA")</f>
        <v>1.3728179465720696E-4</v>
      </c>
      <c r="M252" s="9"/>
      <c r="N252" s="10">
        <f t="shared" si="65"/>
        <v>27.66</v>
      </c>
      <c r="O252" s="8">
        <f>IFERROR(N252/N444, "NA")</f>
        <v>-1.3138563393568375E-3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308.11</v>
      </c>
      <c r="AA252" s="8">
        <f>IFERROR(Z252/Z444, "NA")</f>
        <v>1.8559154714019275E-4</v>
      </c>
      <c r="AB252" s="9"/>
      <c r="AC252" s="10">
        <f t="shared" si="67"/>
        <v>308.11</v>
      </c>
      <c r="AD252" s="8">
        <f>IFERROR(AC252/AC444, "NA")</f>
        <v>1.8926901041381923E-3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2173.96</v>
      </c>
      <c r="C254" s="8">
        <f>IFERROR(B254/B444, "NA")</f>
        <v>1.2048715615982522E-2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-2173.96</v>
      </c>
      <c r="I254" s="8">
        <f>IFERROR(H254/H444, "NA")</f>
        <v>6.0114972691980871E-2</v>
      </c>
      <c r="J254" s="9"/>
      <c r="K254" s="7">
        <v>2127.29</v>
      </c>
      <c r="L254" s="8">
        <f>IFERROR(K254/K444, "NA")</f>
        <v>1.0558141321631589E-2</v>
      </c>
      <c r="M254" s="9"/>
      <c r="N254" s="10">
        <f t="shared" si="65"/>
        <v>-46.670000000000073</v>
      </c>
      <c r="O254" s="8">
        <f>IFERROR(N254/N444, "NA")</f>
        <v>2.216835696232238E-3</v>
      </c>
      <c r="P254" s="9"/>
      <c r="Q254" s="7">
        <v>24149.34</v>
      </c>
      <c r="R254" s="8">
        <f>IFERROR(Q254/Q444, "NA")</f>
        <v>1.324746474171812E-2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-24149.34</v>
      </c>
      <c r="X254" s="8">
        <f>IFERROR(W254/W444, "NA")</f>
        <v>-12.249407802299981</v>
      </c>
      <c r="Y254" s="9"/>
      <c r="Z254" s="7">
        <v>24210.12</v>
      </c>
      <c r="AA254" s="8">
        <f>IFERROR(Z254/Z444, "NA")</f>
        <v>1.4583082753723419E-2</v>
      </c>
      <c r="AB254" s="9"/>
      <c r="AC254" s="10">
        <f t="shared" si="67"/>
        <v>60.779999999998836</v>
      </c>
      <c r="AD254" s="8">
        <f>IFERROR(AC254/AC444, "NA")</f>
        <v>3.7336569578889722E-4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943.12</v>
      </c>
      <c r="L257" s="8">
        <f>IFERROR(K257/K444, "NA")</f>
        <v>4.6808823635974342E-3</v>
      </c>
      <c r="M257" s="9"/>
      <c r="N257" s="10">
        <f t="shared" si="65"/>
        <v>943.12</v>
      </c>
      <c r="O257" s="8">
        <f>IFERROR(N257/N444, "NA")</f>
        <v>-4.4798416152357939E-2</v>
      </c>
      <c r="P257" s="9"/>
      <c r="Q257" s="7">
        <v>328.82</v>
      </c>
      <c r="R257" s="8">
        <f>IFERROR(Q257/Q444, "NA")</f>
        <v>1.8037889881759717E-4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-0.166789248631734</v>
      </c>
      <c r="Y257" s="9"/>
      <c r="Z257" s="7">
        <v>943.12</v>
      </c>
      <c r="AA257" s="8">
        <f>IFERROR(Z257/Z444, "NA")</f>
        <v>5.6809288870487344E-4</v>
      </c>
      <c r="AB257" s="9"/>
      <c r="AC257" s="10">
        <f t="shared" si="67"/>
        <v>614.29999999999995</v>
      </c>
      <c r="AD257" s="8">
        <f>IFERROR(AC257/AC444, "NA")</f>
        <v>3.7735858328911474E-3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16216.07</v>
      </c>
      <c r="C262" s="15">
        <f>IFERROR(B262/B444, "NA")</f>
        <v>8.9874154004151718E-2</v>
      </c>
      <c r="D262" s="2"/>
      <c r="E262" s="14">
        <f>IFERROR(E240+E241+E242+E243+E244+E245+E246+E247+E248+E249+E250+E251+E252+E253+E254+E255+E256+E257+E258+E259+E260+E261, "NA")</f>
        <v>19768.55</v>
      </c>
      <c r="F262" s="15">
        <f>IFERROR(E262/E444, "NA")</f>
        <v>9.1269979411269603E-2</v>
      </c>
      <c r="G262" s="2"/>
      <c r="H262" s="14">
        <f t="shared" si="64"/>
        <v>3552.4799999999996</v>
      </c>
      <c r="I262" s="15">
        <f>IFERROR(H262/H444, "NA")</f>
        <v>-9.8234207707965274E-2</v>
      </c>
      <c r="J262" s="2"/>
      <c r="K262" s="14">
        <f>IFERROR(K240+K241+K242+K243+K244+K245+K246+K247+K248+K249+K250+K251+K252+K253+K254+K255+K256+K257+K258+K259+K260+K261, "NA")</f>
        <v>18766.64</v>
      </c>
      <c r="L262" s="15">
        <f>IFERROR(K262/K444, "NA")</f>
        <v>9.3142372338601814E-2</v>
      </c>
      <c r="M262" s="2"/>
      <c r="N262" s="14">
        <f t="shared" si="65"/>
        <v>2550.5699999999997</v>
      </c>
      <c r="O262" s="15">
        <f>IFERROR(N262/N444, "NA")</f>
        <v>-0.12115265956158237</v>
      </c>
      <c r="P262" s="2"/>
      <c r="Q262" s="14">
        <f>IFERROR(Q240+Q241+Q242+Q243+Q244+Q245+Q246+Q247+Q248+Q249+Q250+Q251+Q252+Q253+Q254+Q255+Q256+Q257+Q258+Q259+Q260+Q261, "NA")</f>
        <v>161253.76000000001</v>
      </c>
      <c r="R262" s="15">
        <f>IFERROR(Q262/Q444, "NA")</f>
        <v>8.8458048959908456E-2</v>
      </c>
      <c r="S262" s="2"/>
      <c r="T262" s="14">
        <f>IFERROR(T240+T241+T242+T243+T244+T245+T246+T247+T248+T249+T250+T251+T252+T253+T254+T255+T256+T257+T258+T259+T260+T261, "NA")</f>
        <v>167052.29</v>
      </c>
      <c r="U262" s="15">
        <f>IFERROR(T262/T444, "NA")</f>
        <v>9.1738128022968088E-2</v>
      </c>
      <c r="V262" s="2"/>
      <c r="W262" s="14">
        <f t="shared" si="66"/>
        <v>5798.5299999999988</v>
      </c>
      <c r="X262" s="15">
        <f>IFERROR(W262/W444, "NA")</f>
        <v>2.9412215250549494</v>
      </c>
      <c r="Y262" s="2"/>
      <c r="Z262" s="14">
        <f>IFERROR(Z240+Z241+Z242+Z243+Z244+Z245+Z246+Z247+Z248+Z249+Z250+Z251+Z252+Z253+Z254+Z255+Z256+Z257+Z258+Z259+Z260+Z261, "NA")</f>
        <v>156713.69999999998</v>
      </c>
      <c r="AA262" s="15">
        <f>IFERROR(Z262/Z444, "NA")</f>
        <v>9.4397254360663457E-2</v>
      </c>
      <c r="AB262" s="2"/>
      <c r="AC262" s="14">
        <f t="shared" si="67"/>
        <v>-4540.0600000000268</v>
      </c>
      <c r="AD262" s="15">
        <f>IFERROR(AC262/AC444, "NA")</f>
        <v>-2.7889152037238945E-2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16216.07</v>
      </c>
      <c r="C263" s="15">
        <f>IFERROR(B263/B444, "NA")</f>
        <v>8.9874154004151718E-2</v>
      </c>
      <c r="D263" s="2"/>
      <c r="E263" s="14">
        <f>IFERROR(E238+E240+E241+E242+E243+E244+E245+E246+E247+E248+E249+E250+E251+E252+E253+E254+E255+E256+E257+E258+E259+E260+E261, "NA")</f>
        <v>19768.55</v>
      </c>
      <c r="F263" s="15">
        <f>IFERROR(E263/E444, "NA")</f>
        <v>9.1269979411269603E-2</v>
      </c>
      <c r="G263" s="2"/>
      <c r="H263" s="14">
        <f t="shared" si="64"/>
        <v>3552.4799999999996</v>
      </c>
      <c r="I263" s="15">
        <f>IFERROR(H263/H444, "NA")</f>
        <v>-9.8234207707965274E-2</v>
      </c>
      <c r="J263" s="2"/>
      <c r="K263" s="14">
        <f>IFERROR(K238+K240+K241+K242+K243+K244+K245+K246+K247+K248+K249+K250+K251+K252+K253+K254+K255+K256+K257+K258+K259+K260+K261, "NA")</f>
        <v>18766.64</v>
      </c>
      <c r="L263" s="15">
        <f>IFERROR(K263/K444, "NA")</f>
        <v>9.3142372338601814E-2</v>
      </c>
      <c r="M263" s="2"/>
      <c r="N263" s="14">
        <f t="shared" si="65"/>
        <v>2550.5699999999997</v>
      </c>
      <c r="O263" s="15">
        <f>IFERROR(N263/N444, "NA")</f>
        <v>-0.12115265956158237</v>
      </c>
      <c r="P263" s="2"/>
      <c r="Q263" s="14">
        <f>IFERROR(Q238+Q240+Q241+Q242+Q243+Q244+Q245+Q246+Q247+Q248+Q249+Q250+Q251+Q252+Q253+Q254+Q255+Q256+Q257+Q258+Q259+Q260+Q261, "NA")</f>
        <v>161253.76000000001</v>
      </c>
      <c r="R263" s="15">
        <f>IFERROR(Q263/Q444, "NA")</f>
        <v>8.8458048959908456E-2</v>
      </c>
      <c r="S263" s="2"/>
      <c r="T263" s="14">
        <f>IFERROR(T238+T240+T241+T242+T243+T244+T245+T246+T247+T248+T249+T250+T251+T252+T253+T254+T255+T256+T257+T258+T259+T260+T261, "NA")</f>
        <v>167052.29</v>
      </c>
      <c r="U263" s="15">
        <f>IFERROR(T263/T444, "NA")</f>
        <v>9.1738128022968088E-2</v>
      </c>
      <c r="V263" s="2"/>
      <c r="W263" s="14">
        <f t="shared" si="66"/>
        <v>5798.5299999999988</v>
      </c>
      <c r="X263" s="15">
        <f>IFERROR(W263/W444, "NA")</f>
        <v>2.9412215250549494</v>
      </c>
      <c r="Y263" s="2"/>
      <c r="Z263" s="14">
        <f>IFERROR(Z238+Z240+Z241+Z242+Z243+Z244+Z245+Z246+Z247+Z248+Z249+Z250+Z251+Z252+Z253+Z254+Z255+Z256+Z257+Z258+Z259+Z260+Z261, "NA")</f>
        <v>156713.69999999998</v>
      </c>
      <c r="AA263" s="15">
        <f>IFERROR(Z263/Z444, "NA")</f>
        <v>9.4397254360663457E-2</v>
      </c>
      <c r="AB263" s="2"/>
      <c r="AC263" s="14">
        <f t="shared" si="67"/>
        <v>-4540.0600000000268</v>
      </c>
      <c r="AD263" s="15">
        <f>IFERROR(AC263/AC444, "NA")</f>
        <v>-2.7889152037238945E-2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4437.1899999999996</v>
      </c>
      <c r="C265" s="8">
        <f>IFERROR(B265/B444, "NA")</f>
        <v>2.459219141294296E-2</v>
      </c>
      <c r="D265" s="9"/>
      <c r="E265" s="7">
        <v>5414.86</v>
      </c>
      <c r="F265" s="8">
        <f>IFERROR(E265/E444, "NA")</f>
        <v>2.5000020776177682E-2</v>
      </c>
      <c r="G265" s="9"/>
      <c r="H265" s="10">
        <f>IFERROR(-(B265-E265), "NA")</f>
        <v>977.67000000000007</v>
      </c>
      <c r="I265" s="8">
        <f>IFERROR(H265/H444, "NA")</f>
        <v>-2.7034814509820301E-2</v>
      </c>
      <c r="J265" s="9"/>
      <c r="K265" s="7">
        <v>4447.78</v>
      </c>
      <c r="L265" s="8">
        <f>IFERROR(K265/K444, "NA")</f>
        <v>2.2075170666682284E-2</v>
      </c>
      <c r="M265" s="9"/>
      <c r="N265" s="10">
        <f>IFERROR(-(B265-K265), "NA")</f>
        <v>10.590000000000146</v>
      </c>
      <c r="O265" s="8">
        <f>IFERROR(N265/N444, "NA")</f>
        <v>-5.0302742710734273E-4</v>
      </c>
      <c r="P265" s="9"/>
      <c r="Q265" s="7">
        <v>45273.919999999998</v>
      </c>
      <c r="R265" s="8">
        <f>IFERROR(Q265/Q444, "NA")</f>
        <v>2.4835654262988834E-2</v>
      </c>
      <c r="S265" s="9"/>
      <c r="T265" s="7">
        <v>45772.54</v>
      </c>
      <c r="U265" s="8">
        <f>IFERROR(T265/T444, "NA")</f>
        <v>2.5136363796368355E-2</v>
      </c>
      <c r="V265" s="9"/>
      <c r="W265" s="10">
        <f>IFERROR(-(Q265-T265), "NA")</f>
        <v>498.62000000000262</v>
      </c>
      <c r="X265" s="8">
        <f>IFERROR(W265/W444, "NA")</f>
        <v>0.25291787346498285</v>
      </c>
      <c r="Y265" s="9"/>
      <c r="Z265" s="7">
        <v>40460.550000000003</v>
      </c>
      <c r="AA265" s="8">
        <f>IFERROR(Z265/Z444, "NA")</f>
        <v>2.4371607778530802E-2</v>
      </c>
      <c r="AB265" s="9"/>
      <c r="AC265" s="10">
        <f>IFERROR(-(Q265-Z265), "NA")</f>
        <v>-4813.3699999999953</v>
      </c>
      <c r="AD265" s="8">
        <f>IFERROR(AC265/AC444, "NA")</f>
        <v>-2.9568069087519525E-2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98.02</v>
      </c>
      <c r="AA266" s="8">
        <f>IFERROR(Z266/Z444, "NA")</f>
        <v>5.9042820585770315E-5</v>
      </c>
      <c r="AB266" s="9"/>
      <c r="AC266" s="10">
        <f>IFERROR(-(Q266-Z266), "NA")</f>
        <v>98.02</v>
      </c>
      <c r="AD266" s="8">
        <f>IFERROR(AC266/AC444, "NA")</f>
        <v>6.0212743503172759E-4</v>
      </c>
    </row>
    <row r="267" spans="1:30" ht="16.5" customHeight="1" x14ac:dyDescent="0.45">
      <c r="A267" s="19" t="s">
        <v>243</v>
      </c>
      <c r="B267" s="14">
        <f>IFERROR(B265+B266, "NA")</f>
        <v>4437.1899999999996</v>
      </c>
      <c r="C267" s="15">
        <f>IFERROR(B267/B444, "NA")</f>
        <v>2.459219141294296E-2</v>
      </c>
      <c r="D267" s="2"/>
      <c r="E267" s="14">
        <f>IFERROR(E265+E266, "NA")</f>
        <v>5414.86</v>
      </c>
      <c r="F267" s="15">
        <f>IFERROR(E267/E444, "NA")</f>
        <v>2.5000020776177682E-2</v>
      </c>
      <c r="G267" s="2"/>
      <c r="H267" s="14">
        <f>IFERROR(-(B267-E267), "NA")</f>
        <v>977.67000000000007</v>
      </c>
      <c r="I267" s="15">
        <f>IFERROR(H267/H444, "NA")</f>
        <v>-2.7034814509820301E-2</v>
      </c>
      <c r="J267" s="2"/>
      <c r="K267" s="14">
        <f>IFERROR(K265+K266, "NA")</f>
        <v>4447.78</v>
      </c>
      <c r="L267" s="15">
        <f>IFERROR(K267/K444, "NA")</f>
        <v>2.2075170666682284E-2</v>
      </c>
      <c r="M267" s="2"/>
      <c r="N267" s="14">
        <f>IFERROR(-(B267-K267), "NA")</f>
        <v>10.590000000000146</v>
      </c>
      <c r="O267" s="15">
        <f>IFERROR(N267/N444, "NA")</f>
        <v>-5.0302742710734273E-4</v>
      </c>
      <c r="P267" s="2"/>
      <c r="Q267" s="14">
        <f>IFERROR(Q265+Q266, "NA")</f>
        <v>45273.919999999998</v>
      </c>
      <c r="R267" s="15">
        <f>IFERROR(Q267/Q444, "NA")</f>
        <v>2.4835654262988834E-2</v>
      </c>
      <c r="S267" s="2"/>
      <c r="T267" s="14">
        <f>IFERROR(T265+T266, "NA")</f>
        <v>45772.54</v>
      </c>
      <c r="U267" s="15">
        <f>IFERROR(T267/T444, "NA")</f>
        <v>2.5136363796368355E-2</v>
      </c>
      <c r="V267" s="2"/>
      <c r="W267" s="14">
        <f>IFERROR(-(Q267-T267), "NA")</f>
        <v>498.62000000000262</v>
      </c>
      <c r="X267" s="15">
        <f>IFERROR(W267/W444, "NA")</f>
        <v>0.25291787346498285</v>
      </c>
      <c r="Y267" s="2"/>
      <c r="Z267" s="14">
        <f>IFERROR(Z265+Z266, "NA")</f>
        <v>40558.57</v>
      </c>
      <c r="AA267" s="15">
        <f>IFERROR(Z267/Z444, "NA")</f>
        <v>2.4430650599116571E-2</v>
      </c>
      <c r="AB267" s="2"/>
      <c r="AC267" s="14">
        <f>IFERROR(-(Q267-Z267), "NA")</f>
        <v>-4715.3499999999985</v>
      </c>
      <c r="AD267" s="15">
        <f>IFERROR(AC267/AC444, "NA")</f>
        <v>-2.8965941652487819E-2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1.3384629069807075E-3</v>
      </c>
      <c r="D270" s="9"/>
      <c r="E270" s="7">
        <v>272.77999999999997</v>
      </c>
      <c r="F270" s="8">
        <f>IFERROR(E270/E444, "NA")</f>
        <v>1.2594057219070757E-3</v>
      </c>
      <c r="G270" s="9"/>
      <c r="H270" s="10">
        <f>IFERROR(-(B270-E270), "NA")</f>
        <v>31.279999999999973</v>
      </c>
      <c r="I270" s="8">
        <f>IFERROR(H270/H444, "NA")</f>
        <v>-8.6496363585583907E-4</v>
      </c>
      <c r="J270" s="9"/>
      <c r="K270" s="7">
        <v>211.5</v>
      </c>
      <c r="L270" s="8">
        <f>IFERROR(K270/K444, "NA")</f>
        <v>1.0497143734634589E-3</v>
      </c>
      <c r="M270" s="9"/>
      <c r="N270" s="10">
        <f>IFERROR(-(B270-K270), "NA")</f>
        <v>-30</v>
      </c>
      <c r="O270" s="8">
        <f>IFERROR(N270/N444, "NA")</f>
        <v>1.425006875658175E-3</v>
      </c>
      <c r="P270" s="9"/>
      <c r="Q270" s="7">
        <v>2356</v>
      </c>
      <c r="R270" s="8">
        <f>IFERROR(Q270/Q444, "NA")</f>
        <v>1.2924173882800892E-3</v>
      </c>
      <c r="S270" s="9"/>
      <c r="T270" s="7">
        <v>2715.48</v>
      </c>
      <c r="U270" s="8">
        <f>IFERROR(T270/T444, "NA")</f>
        <v>1.4912279974360683E-3</v>
      </c>
      <c r="V270" s="9"/>
      <c r="W270" s="10">
        <f>IFERROR(-(Q270-T270), "NA")</f>
        <v>359.48</v>
      </c>
      <c r="X270" s="8">
        <f>IFERROR(W270/W444, "NA")</f>
        <v>0.18234109573059956</v>
      </c>
      <c r="Y270" s="9"/>
      <c r="Z270" s="7">
        <v>1874.11</v>
      </c>
      <c r="AA270" s="8">
        <f>IFERROR(Z270/Z444, "NA")</f>
        <v>1.1288792133033871E-3</v>
      </c>
      <c r="AB270" s="9"/>
      <c r="AC270" s="10">
        <f>IFERROR(-(Q270-Z270), "NA")</f>
        <v>-481.8900000000001</v>
      </c>
      <c r="AD270" s="8">
        <f>IFERROR(AC270/AC444, "NA")</f>
        <v>-2.960203934579058E-3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5.9208278406935391E-3</v>
      </c>
      <c r="D271" s="9"/>
      <c r="E271" s="7">
        <v>866.38</v>
      </c>
      <c r="F271" s="8">
        <f>IFERROR(E271/E444, "NA")</f>
        <v>4.0000144048165272E-3</v>
      </c>
      <c r="G271" s="9"/>
      <c r="H271" s="10">
        <f>IFERROR(-(B271-E271), "NA")</f>
        <v>-201.91999999999996</v>
      </c>
      <c r="I271" s="8">
        <f>IFERROR(H271/H444, "NA")</f>
        <v>5.5835504268545765E-3</v>
      </c>
      <c r="J271" s="9"/>
      <c r="K271" s="7">
        <v>801.04</v>
      </c>
      <c r="L271" s="8">
        <f>IFERROR(K271/K444, "NA")</f>
        <v>3.9757125376792858E-3</v>
      </c>
      <c r="M271" s="9"/>
      <c r="N271" s="10">
        <f>IFERROR(-(B271-K271), "NA")</f>
        <v>-267.26</v>
      </c>
      <c r="O271" s="8">
        <f>IFERROR(N271/N444, "NA")</f>
        <v>1.2694911252946795E-2</v>
      </c>
      <c r="P271" s="9"/>
      <c r="Q271" s="7">
        <v>9345.9</v>
      </c>
      <c r="R271" s="8">
        <f>IFERROR(Q271/Q444, "NA")</f>
        <v>5.1268266846888309E-3</v>
      </c>
      <c r="S271" s="9"/>
      <c r="T271" s="7">
        <v>7283.87</v>
      </c>
      <c r="U271" s="8">
        <f>IFERROR(T271/T444, "NA")</f>
        <v>3.9999966391520668E-3</v>
      </c>
      <c r="V271" s="9"/>
      <c r="W271" s="10">
        <f>IFERROR(-(Q271-T271), "NA")</f>
        <v>-2062.0299999999997</v>
      </c>
      <c r="X271" s="8">
        <f>IFERROR(W271/W444, "NA")</f>
        <v>-1.0459352665777459</v>
      </c>
      <c r="Y271" s="9"/>
      <c r="Z271" s="7">
        <v>6897.67</v>
      </c>
      <c r="AA271" s="8">
        <f>IFERROR(Z271/Z444, "NA")</f>
        <v>4.1548448507432193E-3</v>
      </c>
      <c r="AB271" s="9"/>
      <c r="AC271" s="10">
        <f>IFERROR(-(Q271-Z271), "NA")</f>
        <v>-2448.2299999999996</v>
      </c>
      <c r="AD271" s="8">
        <f>IFERROR(AC271/AC444, "NA")</f>
        <v>-1.5039241484061683E-2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7.259290747674247E-3</v>
      </c>
      <c r="D273" s="2"/>
      <c r="E273" s="14">
        <f>IFERROR(E269+E270+E271+E272, "NA")</f>
        <v>1139.1599999999999</v>
      </c>
      <c r="F273" s="15">
        <f>IFERROR(E273/E444, "NA")</f>
        <v>5.2594201267236029E-3</v>
      </c>
      <c r="G273" s="2"/>
      <c r="H273" s="14">
        <f>IFERROR(-(B273-E273), "NA")</f>
        <v>-170.6400000000001</v>
      </c>
      <c r="I273" s="15">
        <f>IFERROR(H273/H444, "NA")</f>
        <v>4.7185867909987408E-3</v>
      </c>
      <c r="J273" s="2"/>
      <c r="K273" s="14">
        <f>IFERROR(K269+K270+K271+K272, "NA")</f>
        <v>1012.54</v>
      </c>
      <c r="L273" s="15">
        <f>IFERROR(K273/K444, "NA")</f>
        <v>5.025426911142745E-3</v>
      </c>
      <c r="M273" s="2"/>
      <c r="N273" s="14">
        <f>IFERROR(-(B273-K273), "NA")</f>
        <v>-297.26</v>
      </c>
      <c r="O273" s="15">
        <f>IFERROR(N273/N444, "NA")</f>
        <v>1.4119918128604971E-2</v>
      </c>
      <c r="P273" s="2"/>
      <c r="Q273" s="14">
        <f>IFERROR(Q269+Q270+Q271+Q272, "NA")</f>
        <v>11701.9</v>
      </c>
      <c r="R273" s="15">
        <f>IFERROR(Q273/Q444, "NA")</f>
        <v>6.4192440729689201E-3</v>
      </c>
      <c r="S273" s="2"/>
      <c r="T273" s="14">
        <f>IFERROR(T269+T270+T271+T272, "NA")</f>
        <v>9999.35</v>
      </c>
      <c r="U273" s="15">
        <f>IFERROR(T273/T444, "NA")</f>
        <v>5.4912246365881358E-3</v>
      </c>
      <c r="V273" s="2"/>
      <c r="W273" s="14">
        <f>IFERROR(-(Q273-T273), "NA")</f>
        <v>-1702.5499999999993</v>
      </c>
      <c r="X273" s="15">
        <f>IFERROR(W273/W444, "NA")</f>
        <v>-0.86359417084714629</v>
      </c>
      <c r="Y273" s="2"/>
      <c r="Z273" s="14">
        <f>IFERROR(Z269+Z270+Z271+Z272, "NA")</f>
        <v>8771.7800000000007</v>
      </c>
      <c r="AA273" s="15">
        <f>IFERROR(Z273/Z444, "NA")</f>
        <v>5.2837240640466066E-3</v>
      </c>
      <c r="AB273" s="2"/>
      <c r="AC273" s="14">
        <f>IFERROR(-(Q273-Z273), "NA")</f>
        <v>-2930.119999999999</v>
      </c>
      <c r="AD273" s="15">
        <f>IFERROR(AC273/AC444, "NA")</f>
        <v>-1.7999445418640739E-2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1.6851788565733657E-3</v>
      </c>
      <c r="G287" s="9"/>
      <c r="H287" s="10">
        <f t="shared" si="72"/>
        <v>365</v>
      </c>
      <c r="I287" s="8">
        <f>IFERROR(H287/H444, "NA")</f>
        <v>-1.0093085904328055E-2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3650</v>
      </c>
      <c r="U287" s="8">
        <f>IFERROR(T287/T444, "NA")</f>
        <v>2.004427280127878E-3</v>
      </c>
      <c r="V287" s="9"/>
      <c r="W287" s="10">
        <f t="shared" si="74"/>
        <v>3650</v>
      </c>
      <c r="X287" s="8">
        <f>IFERROR(W287/W444, "NA")</f>
        <v>1.8514103689125636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146.85</v>
      </c>
      <c r="C288" s="8">
        <f>IFERROR(B288/B444, "NA")</f>
        <v>8.1388520865472835E-4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-146.85</v>
      </c>
      <c r="I288" s="8">
        <f>IFERROR(H288/H444, "NA")</f>
        <v>4.0607388083577388E-3</v>
      </c>
      <c r="J288" s="9"/>
      <c r="K288" s="7">
        <v>146.85</v>
      </c>
      <c r="L288" s="8">
        <f>IFERROR(K288/K444, "NA")</f>
        <v>7.2884423519200441E-4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1455.3</v>
      </c>
      <c r="R288" s="8">
        <f>IFERROR(Q288/Q444, "NA")</f>
        <v>7.983255624635033E-4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-1455.3</v>
      </c>
      <c r="X288" s="8">
        <f>IFERROR(W288/W444, "NA")</f>
        <v>-0.738180139692727</v>
      </c>
      <c r="Y288" s="9"/>
      <c r="Z288" s="7">
        <v>1455.3</v>
      </c>
      <c r="AA288" s="8">
        <f>IFERROR(Z288/Z444, "NA")</f>
        <v>8.7660698631372713E-4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247.3</v>
      </c>
      <c r="C289" s="8">
        <f>IFERROR(B289/B444, "NA")</f>
        <v>1.3706081859061242E-3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-247.3</v>
      </c>
      <c r="I289" s="8">
        <f>IFERROR(H289/H444, "NA")</f>
        <v>6.8384113538091183E-3</v>
      </c>
      <c r="J289" s="9"/>
      <c r="K289" s="7">
        <v>263.39</v>
      </c>
      <c r="L289" s="8">
        <f>IFERROR(K289/K444, "NA")</f>
        <v>1.3072542261302147E-3</v>
      </c>
      <c r="M289" s="9"/>
      <c r="N289" s="10">
        <f t="shared" si="73"/>
        <v>16.089999999999975</v>
      </c>
      <c r="O289" s="8">
        <f>IFERROR(N289/N444, "NA")</f>
        <v>-7.6427868764466676E-4</v>
      </c>
      <c r="P289" s="9"/>
      <c r="Q289" s="7">
        <v>2270.3200000000002</v>
      </c>
      <c r="R289" s="8">
        <f>IFERROR(Q289/Q444, "NA")</f>
        <v>1.2454164027844025E-3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-2270.3200000000002</v>
      </c>
      <c r="X289" s="8">
        <f>IFERROR(W289/W444, "NA")</f>
        <v>-1.1515873941779649</v>
      </c>
      <c r="Y289" s="9"/>
      <c r="Z289" s="7">
        <v>2250.2800000000002</v>
      </c>
      <c r="AA289" s="8">
        <f>IFERROR(Z289/Z444, "NA")</f>
        <v>1.355467030276956E-3</v>
      </c>
      <c r="AB289" s="9"/>
      <c r="AC289" s="10">
        <f t="shared" si="75"/>
        <v>-20.039999999999964</v>
      </c>
      <c r="AD289" s="8">
        <f>IFERROR(AC289/AC444, "NA")</f>
        <v>-1.231037930834095E-4</v>
      </c>
    </row>
    <row r="290" spans="1:30" ht="16.5" customHeight="1" x14ac:dyDescent="0.45">
      <c r="A290" s="6" t="s">
        <v>263</v>
      </c>
      <c r="B290" s="7">
        <v>1989.93</v>
      </c>
      <c r="C290" s="8">
        <f>IFERROR(B290/B444, "NA")</f>
        <v>1.1028768084836934E-2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-1989.93</v>
      </c>
      <c r="I290" s="8">
        <f>IFERROR(H290/H444, "NA")</f>
        <v>5.5026121735889118E-2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-1989.93</v>
      </c>
      <c r="O290" s="8">
        <f>IFERROR(N290/N444, "NA")</f>
        <v>9.4522131069282422E-2</v>
      </c>
      <c r="P290" s="9"/>
      <c r="Q290" s="7">
        <v>10964.72</v>
      </c>
      <c r="R290" s="8">
        <f>IFERROR(Q290/Q444, "NA")</f>
        <v>6.0148534743728601E-3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-10964.72</v>
      </c>
      <c r="X290" s="8">
        <f>IFERROR(W290/W444, "NA")</f>
        <v>-5.5616976164994423</v>
      </c>
      <c r="Y290" s="9"/>
      <c r="Z290" s="7">
        <v>872.63</v>
      </c>
      <c r="AA290" s="8">
        <f>IFERROR(Z290/Z444, "NA")</f>
        <v>5.2563289663089935E-4</v>
      </c>
      <c r="AB290" s="9"/>
      <c r="AC290" s="10">
        <f t="shared" si="75"/>
        <v>-10092.09</v>
      </c>
      <c r="AD290" s="8">
        <f>IFERROR(AC290/AC444, "NA")</f>
        <v>-6.1994738479997431E-2</v>
      </c>
    </row>
    <row r="291" spans="1:30" ht="16.5" customHeight="1" x14ac:dyDescent="0.45">
      <c r="A291" s="6" t="s">
        <v>264</v>
      </c>
      <c r="B291" s="7">
        <v>664.82</v>
      </c>
      <c r="C291" s="8">
        <f>IFERROR(B291/B444, "NA")</f>
        <v>3.6846248853785262E-3</v>
      </c>
      <c r="D291" s="9"/>
      <c r="E291" s="7">
        <v>2815.72</v>
      </c>
      <c r="F291" s="8">
        <f>IFERROR(E291/E444, "NA")</f>
        <v>1.2999977561728101E-2</v>
      </c>
      <c r="G291" s="9"/>
      <c r="H291" s="10">
        <f t="shared" si="72"/>
        <v>2150.8999999999996</v>
      </c>
      <c r="I291" s="8">
        <f>IFERROR(H291/H444, "NA")</f>
        <v>-5.9477310881148521E-2</v>
      </c>
      <c r="J291" s="9"/>
      <c r="K291" s="7">
        <v>2070.0500000000002</v>
      </c>
      <c r="L291" s="8">
        <f>IFERROR(K291/K444, "NA")</f>
        <v>1.0274048410345311E-2</v>
      </c>
      <c r="M291" s="9"/>
      <c r="N291" s="10">
        <f t="shared" si="73"/>
        <v>1405.23</v>
      </c>
      <c r="O291" s="8">
        <f>IFERROR(N291/N444, "NA")</f>
        <v>-6.6748747062704589E-2</v>
      </c>
      <c r="P291" s="9"/>
      <c r="Q291" s="7">
        <v>11775.35</v>
      </c>
      <c r="R291" s="8">
        <f>IFERROR(Q291/Q444, "NA")</f>
        <v>6.4595361176077882E-3</v>
      </c>
      <c r="S291" s="9"/>
      <c r="T291" s="7">
        <v>23672.59</v>
      </c>
      <c r="U291" s="8">
        <f>IFERROR(T291/T444, "NA")</f>
        <v>1.2999995941721205E-2</v>
      </c>
      <c r="V291" s="9"/>
      <c r="W291" s="10">
        <f t="shared" si="74"/>
        <v>11897.24</v>
      </c>
      <c r="X291" s="8">
        <f>IFERROR(W291/W444, "NA")</f>
        <v>6.0347050677921388</v>
      </c>
      <c r="Y291" s="9"/>
      <c r="Z291" s="7">
        <v>8455.51</v>
      </c>
      <c r="AA291" s="8">
        <f>IFERROR(Z291/Z444, "NA")</f>
        <v>5.0932173014811956E-3</v>
      </c>
      <c r="AB291" s="9"/>
      <c r="AC291" s="10">
        <f t="shared" si="75"/>
        <v>-3319.84</v>
      </c>
      <c r="AD291" s="8">
        <f>IFERROR(AC291/AC444, "NA")</f>
        <v>-2.0393457905689968E-2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681.63</v>
      </c>
      <c r="R292" s="8">
        <f>IFERROR(Q292/Q444, "NA")</f>
        <v>3.7391785414828403E-4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-0.34574708212653993</v>
      </c>
      <c r="Y292" s="9"/>
      <c r="Z292" s="7">
        <v>1839.18</v>
      </c>
      <c r="AA292" s="8">
        <f>IFERROR(Z292/Z444, "NA")</f>
        <v>1.1078389590383295E-3</v>
      </c>
      <c r="AB292" s="9"/>
      <c r="AC292" s="10">
        <f t="shared" si="75"/>
        <v>1157.5500000000002</v>
      </c>
      <c r="AD292" s="8">
        <f>IFERROR(AC292/AC444, "NA")</f>
        <v>7.1107183474900673E-3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2650.38</v>
      </c>
      <c r="R293" s="8">
        <f>IFERROR(Q293/Q444, "NA")</f>
        <v>1.4539037341043221E-3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-2650.38</v>
      </c>
      <c r="X293" s="8">
        <f>IFERROR(W293/W444, "NA")</f>
        <v>-1.3443674009749262</v>
      </c>
      <c r="Y293" s="9"/>
      <c r="Z293" s="7">
        <v>7973.84</v>
      </c>
      <c r="AA293" s="8">
        <f>IFERROR(Z293/Z444, "NA")</f>
        <v>4.8030810497820724E-3</v>
      </c>
      <c r="AB293" s="9"/>
      <c r="AC293" s="10">
        <f t="shared" si="75"/>
        <v>5323.46</v>
      </c>
      <c r="AD293" s="8">
        <f>IFERROR(AC293/AC444, "NA")</f>
        <v>3.270150291056928E-2</v>
      </c>
    </row>
    <row r="294" spans="1:30" ht="16.5" customHeight="1" x14ac:dyDescent="0.45">
      <c r="A294" s="6" t="s">
        <v>267</v>
      </c>
      <c r="B294" s="7">
        <v>175</v>
      </c>
      <c r="C294" s="8">
        <f>IFERROR(B294/B444, "NA")</f>
        <v>9.6990065723239675E-4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-175</v>
      </c>
      <c r="I294" s="8">
        <f>IFERROR(H294/H444, "NA")</f>
        <v>4.8391507760476979E-3</v>
      </c>
      <c r="J294" s="9"/>
      <c r="K294" s="7">
        <v>324.99</v>
      </c>
      <c r="L294" s="8">
        <f>IFERROR(K294/K444, "NA")</f>
        <v>1.6129866393942765E-3</v>
      </c>
      <c r="M294" s="9"/>
      <c r="N294" s="10">
        <f t="shared" si="73"/>
        <v>149.99</v>
      </c>
      <c r="O294" s="8">
        <f>IFERROR(N294/N444, "NA")</f>
        <v>-7.1245593759989897E-3</v>
      </c>
      <c r="P294" s="9"/>
      <c r="Q294" s="7">
        <v>3377.95</v>
      </c>
      <c r="R294" s="8">
        <f>IFERROR(Q294/Q444, "NA")</f>
        <v>1.8530226301955548E-3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-3377.95</v>
      </c>
      <c r="X294" s="8">
        <f>IFERROR(W294/W444, "NA")</f>
        <v>-1.7134168919638888</v>
      </c>
      <c r="Y294" s="9"/>
      <c r="Z294" s="7">
        <v>391.97</v>
      </c>
      <c r="AA294" s="8">
        <f>IFERROR(Z294/Z444, "NA")</f>
        <v>2.3610502331161389E-4</v>
      </c>
      <c r="AB294" s="9"/>
      <c r="AC294" s="10">
        <f t="shared" si="75"/>
        <v>-2985.9799999999996</v>
      </c>
      <c r="AD294" s="8">
        <f>IFERROR(AC294/AC444, "NA")</f>
        <v>-1.8342588027504977E-2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3223.9</v>
      </c>
      <c r="C295" s="15">
        <f>IFERROR(B295/B444, "NA")</f>
        <v>1.7867787022008707E-2</v>
      </c>
      <c r="D295" s="2"/>
      <c r="E295" s="14">
        <f>IFERROR(E286+E287+E288+E289+E290+E291+E292+E293+E294, "NA")</f>
        <v>3180.72</v>
      </c>
      <c r="F295" s="15">
        <f>IFERROR(E295/E444, "NA")</f>
        <v>1.4685156418301466E-2</v>
      </c>
      <c r="G295" s="2"/>
      <c r="H295" s="14">
        <f t="shared" si="72"/>
        <v>-43.180000000000291</v>
      </c>
      <c r="I295" s="15">
        <f>IFERROR(H295/H444, "NA")</f>
        <v>1.1940258886270914E-3</v>
      </c>
      <c r="J295" s="2"/>
      <c r="K295" s="14">
        <f>IFERROR(K286+K287+K288+K289+K290+K291+K292+K293+K294, "NA")</f>
        <v>2805.2799999999997</v>
      </c>
      <c r="L295" s="15">
        <f>IFERROR(K295/K444, "NA")</f>
        <v>1.3923133511061805E-2</v>
      </c>
      <c r="M295" s="2"/>
      <c r="N295" s="14">
        <f t="shared" si="73"/>
        <v>-418.62000000000035</v>
      </c>
      <c r="O295" s="15">
        <f>IFERROR(N295/N444, "NA")</f>
        <v>1.9884545942934193E-2</v>
      </c>
      <c r="P295" s="2"/>
      <c r="Q295" s="14">
        <f>IFERROR(Q286+Q287+Q288+Q289+Q290+Q291+Q292+Q293+Q294, "NA")</f>
        <v>33175.65</v>
      </c>
      <c r="R295" s="15">
        <f>IFERROR(Q295/Q444, "NA")</f>
        <v>1.8198975775676716E-2</v>
      </c>
      <c r="S295" s="2"/>
      <c r="T295" s="14">
        <f>IFERROR(T286+T287+T288+T289+T290+T291+T292+T293+T294, "NA")</f>
        <v>27322.59</v>
      </c>
      <c r="U295" s="15">
        <f>IFERROR(T295/T444, "NA")</f>
        <v>1.5004423221849084E-2</v>
      </c>
      <c r="V295" s="2"/>
      <c r="W295" s="14">
        <f t="shared" si="74"/>
        <v>-5853.0600000000013</v>
      </c>
      <c r="X295" s="15">
        <f>IFERROR(W295/W444, "NA")</f>
        <v>-2.9688810887307868</v>
      </c>
      <c r="Y295" s="2"/>
      <c r="Z295" s="14">
        <f>IFERROR(Z286+Z287+Z288+Z289+Z290+Z291+Z292+Z293+Z294, "NA")</f>
        <v>23238.710000000003</v>
      </c>
      <c r="AA295" s="15">
        <f>IFERROR(Z295/Z444, "NA")</f>
        <v>1.3997949246834795E-2</v>
      </c>
      <c r="AB295" s="2"/>
      <c r="AC295" s="14">
        <f t="shared" si="75"/>
        <v>-9936.9399999999987</v>
      </c>
      <c r="AD295" s="15">
        <f>IFERROR(AC295/AC444, "NA")</f>
        <v>-6.104166694821643E-2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2815.72</v>
      </c>
      <c r="F297" s="8">
        <f>IFERROR(E297/E444, "NA")</f>
        <v>1.2999977561728101E-2</v>
      </c>
      <c r="G297" s="9"/>
      <c r="H297" s="10">
        <f t="shared" ref="H297:H325" si="76">IFERROR(-(B297-E297), "NA")</f>
        <v>2815.72</v>
      </c>
      <c r="I297" s="8">
        <f>IFERROR(H297/H444, "NA")</f>
        <v>-7.7861106417902975E-2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23672.59</v>
      </c>
      <c r="U297" s="8">
        <f>IFERROR(T297/T444, "NA")</f>
        <v>1.2999995941721205E-2</v>
      </c>
      <c r="V297" s="9"/>
      <c r="W297" s="10">
        <f t="shared" ref="W297:W325" si="78">IFERROR(-(Q297-T297), "NA")</f>
        <v>23672.59</v>
      </c>
      <c r="X297" s="8">
        <f>IFERROR(W297/W444, "NA")</f>
        <v>12.007583173976949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1746.54</v>
      </c>
      <c r="C299" s="8">
        <f>IFERROR(B299/B444, "NA")</f>
        <v>9.679830250758116E-3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-1746.54</v>
      </c>
      <c r="I299" s="8">
        <f>IFERROR(H299/H444, "NA")</f>
        <v>4.829583083656197E-2</v>
      </c>
      <c r="J299" s="9"/>
      <c r="K299" s="7">
        <v>789.54</v>
      </c>
      <c r="L299" s="8">
        <f>IFERROR(K299/K444, "NA")</f>
        <v>3.9186358696186255E-3</v>
      </c>
      <c r="M299" s="9"/>
      <c r="N299" s="10">
        <f t="shared" si="77"/>
        <v>-957</v>
      </c>
      <c r="O299" s="8">
        <f>IFERROR(N299/N444, "NA")</f>
        <v>4.5457719333495787E-2</v>
      </c>
      <c r="P299" s="9"/>
      <c r="Q299" s="7">
        <v>10157.25</v>
      </c>
      <c r="R299" s="8">
        <f>IFERROR(Q299/Q444, "NA")</f>
        <v>5.5719042941884279E-3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-10157.25</v>
      </c>
      <c r="X299" s="8">
        <f>IFERROR(W299/W444, "NA")</f>
        <v>-5.1521199916814071</v>
      </c>
      <c r="Y299" s="9"/>
      <c r="Z299" s="7">
        <v>5564.03</v>
      </c>
      <c r="AA299" s="8">
        <f>IFERROR(Z299/Z444, "NA")</f>
        <v>3.3515203532324383E-3</v>
      </c>
      <c r="AB299" s="9"/>
      <c r="AC299" s="10">
        <f t="shared" si="79"/>
        <v>-4593.22</v>
      </c>
      <c r="AD299" s="8">
        <f>IFERROR(AC299/AC444, "NA")</f>
        <v>-2.8215708805717526E-2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20.97</v>
      </c>
      <c r="C310" s="8">
        <f>IFERROR(B310/B444, "NA")</f>
        <v>1.1622181018379062E-4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-20.97</v>
      </c>
      <c r="I310" s="8">
        <f>IFERROR(H310/H444, "NA")</f>
        <v>5.7986852442125836E-4</v>
      </c>
      <c r="J310" s="9"/>
      <c r="K310" s="7">
        <v>3.03</v>
      </c>
      <c r="L310" s="8">
        <f>IFERROR(K310/K444, "NA")</f>
        <v>1.5038461236852388E-5</v>
      </c>
      <c r="M310" s="9"/>
      <c r="N310" s="10">
        <f t="shared" si="77"/>
        <v>-17.939999999999998</v>
      </c>
      <c r="O310" s="8">
        <f>IFERROR(N310/N444, "NA")</f>
        <v>8.5215411164358862E-4</v>
      </c>
      <c r="P310" s="9"/>
      <c r="Q310" s="7">
        <v>1177.81</v>
      </c>
      <c r="R310" s="8">
        <f>IFERROR(Q310/Q444, "NA")</f>
        <v>6.4610446693131229E-4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-1177.81</v>
      </c>
      <c r="X310" s="8">
        <f>IFERROR(W310/W444, "NA")</f>
        <v>-0.59742730044079628</v>
      </c>
      <c r="Y310" s="9"/>
      <c r="Z310" s="7">
        <v>434.6</v>
      </c>
      <c r="AA310" s="8">
        <f>IFERROR(Z310/Z444, "NA")</f>
        <v>2.617834097793897E-4</v>
      </c>
      <c r="AB310" s="9"/>
      <c r="AC310" s="10">
        <f t="shared" si="79"/>
        <v>-743.20999999999992</v>
      </c>
      <c r="AD310" s="8">
        <f>IFERROR(AC310/AC444, "NA")</f>
        <v>-4.5654675677405656E-3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1.4663122575860266E-5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-1.3558410729050089E-2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-1.6419981981634441E-4</v>
      </c>
    </row>
    <row r="312" spans="1:30" ht="16.5" customHeight="1" x14ac:dyDescent="0.45">
      <c r="A312" s="6" t="s">
        <v>284</v>
      </c>
      <c r="B312" s="7">
        <v>395.73</v>
      </c>
      <c r="C312" s="8">
        <f>IFERROR(B312/B444, "NA")</f>
        <v>2.1932502119232935E-3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-395.73</v>
      </c>
      <c r="I312" s="8">
        <f>IFERROR(H312/H444, "NA")</f>
        <v>1.0942840780602031E-2</v>
      </c>
      <c r="J312" s="9"/>
      <c r="K312" s="7">
        <v>79.959999999999994</v>
      </c>
      <c r="L312" s="8">
        <f>IFERROR(K312/K444, "NA")</f>
        <v>3.968565546200386E-4</v>
      </c>
      <c r="M312" s="9"/>
      <c r="N312" s="10">
        <f t="shared" si="77"/>
        <v>-315.77000000000004</v>
      </c>
      <c r="O312" s="8">
        <f>IFERROR(N312/N444, "NA")</f>
        <v>1.4999147370886068E-2</v>
      </c>
      <c r="P312" s="9"/>
      <c r="Q312" s="7">
        <v>5990.02</v>
      </c>
      <c r="R312" s="8">
        <f>IFERROR(Q312/Q444, "NA")</f>
        <v>3.2859108676339139E-3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-5990.02</v>
      </c>
      <c r="X312" s="8">
        <f>IFERROR(W312/W444, "NA")</f>
        <v>-3.0383520926009959</v>
      </c>
      <c r="Y312" s="9"/>
      <c r="Z312" s="7">
        <v>2903.64</v>
      </c>
      <c r="AA312" s="8">
        <f>IFERROR(Z312/Z444, "NA")</f>
        <v>1.7490215830000624E-3</v>
      </c>
      <c r="AB312" s="9"/>
      <c r="AC312" s="10">
        <f t="shared" si="79"/>
        <v>-3086.3800000000006</v>
      </c>
      <c r="AD312" s="8">
        <f>IFERROR(AC312/AC444, "NA")</f>
        <v>-1.8959335573691328E-2</v>
      </c>
    </row>
    <row r="313" spans="1:30" ht="16.5" customHeight="1" x14ac:dyDescent="0.45">
      <c r="A313" s="6" t="s">
        <v>285</v>
      </c>
      <c r="B313" s="7">
        <v>284</v>
      </c>
      <c r="C313" s="8">
        <f>IFERROR(B313/B444, "NA")</f>
        <v>1.5740102094514324E-3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-284</v>
      </c>
      <c r="I313" s="8">
        <f>IFERROR(H313/H444, "NA")</f>
        <v>7.8532504022716925E-3</v>
      </c>
      <c r="J313" s="9"/>
      <c r="K313" s="7">
        <v>240</v>
      </c>
      <c r="L313" s="8">
        <f>IFERROR(K313/K444, "NA")</f>
        <v>1.1911652464833575E-3</v>
      </c>
      <c r="M313" s="9"/>
      <c r="N313" s="10">
        <f t="shared" si="77"/>
        <v>-44</v>
      </c>
      <c r="O313" s="8">
        <f>IFERROR(N313/N444, "NA")</f>
        <v>2.0900100842986568E-3</v>
      </c>
      <c r="P313" s="9"/>
      <c r="Q313" s="7">
        <v>2922.58</v>
      </c>
      <c r="R313" s="8">
        <f>IFERROR(Q313/Q444, "NA")</f>
        <v>1.6032229247197041E-3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-2922.58</v>
      </c>
      <c r="X313" s="8">
        <f>IFERROR(W313/W444, "NA")</f>
        <v>-1.4824369632812273</v>
      </c>
      <c r="Y313" s="9"/>
      <c r="Z313" s="7">
        <v>240</v>
      </c>
      <c r="AA313" s="8">
        <f>IFERROR(Z313/Z444, "NA")</f>
        <v>1.4456515956524051E-4</v>
      </c>
      <c r="AB313" s="9"/>
      <c r="AC313" s="10">
        <f t="shared" si="79"/>
        <v>-2682.58</v>
      </c>
      <c r="AD313" s="8">
        <f>IFERROR(AC313/AC444, "NA")</f>
        <v>-1.6478831000483696E-2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3.1995313633023078E-3</v>
      </c>
      <c r="G318" s="9"/>
      <c r="H318" s="10">
        <f t="shared" si="76"/>
        <v>693</v>
      </c>
      <c r="I318" s="8">
        <f>IFERROR(H318/H444, "NA")</f>
        <v>-1.9163037073148884E-2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6930</v>
      </c>
      <c r="U318" s="8">
        <f>IFERROR(T318/T444, "NA")</f>
        <v>3.805666041448272E-3</v>
      </c>
      <c r="V318" s="9"/>
      <c r="W318" s="10">
        <f t="shared" si="78"/>
        <v>6930</v>
      </c>
      <c r="X318" s="8">
        <f>IFERROR(W318/W444, "NA")</f>
        <v>3.5151435223463192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313.52</v>
      </c>
      <c r="C319" s="8">
        <f>IFERROR(B319/B444, "NA")</f>
        <v>1.7376185946028628E-3</v>
      </c>
      <c r="D319" s="9"/>
      <c r="E319" s="7">
        <v>294</v>
      </c>
      <c r="F319" s="8">
        <f>IFERROR(E319/E444, "NA")</f>
        <v>1.3573769420070396E-3</v>
      </c>
      <c r="G319" s="9"/>
      <c r="H319" s="10">
        <f t="shared" si="76"/>
        <v>-19.519999999999982</v>
      </c>
      <c r="I319" s="8">
        <f>IFERROR(H319/H444, "NA")</f>
        <v>5.3977270370543409E-4</v>
      </c>
      <c r="J319" s="9"/>
      <c r="K319" s="7">
        <v>293.72000000000003</v>
      </c>
      <c r="L319" s="8">
        <f>IFERROR(K319/K444, "NA")</f>
        <v>1.4577877341545493E-3</v>
      </c>
      <c r="M319" s="9"/>
      <c r="N319" s="10">
        <f t="shared" si="77"/>
        <v>-19.799999999999955</v>
      </c>
      <c r="O319" s="8">
        <f>IFERROR(N319/N444, "NA")</f>
        <v>9.4050453793439342E-4</v>
      </c>
      <c r="P319" s="9"/>
      <c r="Q319" s="7">
        <v>3137.8</v>
      </c>
      <c r="R319" s="8">
        <f>IFERROR(Q319/Q444, "NA")</f>
        <v>1.7212849240005367E-3</v>
      </c>
      <c r="S319" s="9"/>
      <c r="T319" s="7">
        <v>2940</v>
      </c>
      <c r="U319" s="8">
        <f>IFERROR(T319/T444, "NA")</f>
        <v>1.6145249872810852E-3</v>
      </c>
      <c r="V319" s="9"/>
      <c r="W319" s="10">
        <f t="shared" si="78"/>
        <v>-197.80000000000018</v>
      </c>
      <c r="X319" s="8">
        <f>IFERROR(W319/W444, "NA")</f>
        <v>-0.10033122492353573</v>
      </c>
      <c r="Y319" s="9"/>
      <c r="Z319" s="7">
        <v>2894</v>
      </c>
      <c r="AA319" s="8">
        <f>IFERROR(Z319/Z444, "NA")</f>
        <v>1.743214882424192E-3</v>
      </c>
      <c r="AB319" s="9"/>
      <c r="AC319" s="10">
        <f t="shared" si="79"/>
        <v>-243.80000000000018</v>
      </c>
      <c r="AD319" s="8">
        <f>IFERROR(AC319/AC444, "NA")</f>
        <v>-1.4976399577712233E-3</v>
      </c>
    </row>
    <row r="320" spans="1:30" ht="16.5" customHeight="1" x14ac:dyDescent="0.45">
      <c r="A320" s="6" t="s">
        <v>292</v>
      </c>
      <c r="B320" s="7">
        <v>1090.98</v>
      </c>
      <c r="C320" s="8">
        <f>IFERROR(B320/B444, "NA")</f>
        <v>6.0465269658708581E-3</v>
      </c>
      <c r="D320" s="9"/>
      <c r="E320" s="7">
        <v>833</v>
      </c>
      <c r="F320" s="8">
        <f>IFERROR(E320/E444, "NA")</f>
        <v>3.8459013356866123E-3</v>
      </c>
      <c r="G320" s="9"/>
      <c r="H320" s="10">
        <f t="shared" si="76"/>
        <v>-257.98</v>
      </c>
      <c r="I320" s="8">
        <f>IFERROR(H320/H444, "NA")</f>
        <v>7.1337378125987724E-3</v>
      </c>
      <c r="J320" s="9"/>
      <c r="K320" s="7">
        <v>591.19000000000005</v>
      </c>
      <c r="L320" s="8">
        <f>IFERROR(K320/K444, "NA")</f>
        <v>2.9341874252854011E-3</v>
      </c>
      <c r="M320" s="9"/>
      <c r="N320" s="10">
        <f t="shared" si="77"/>
        <v>-499.78999999999996</v>
      </c>
      <c r="O320" s="8">
        <f>IFERROR(N320/N444, "NA")</f>
        <v>2.3740139546173308E-2</v>
      </c>
      <c r="P320" s="9"/>
      <c r="Q320" s="7">
        <v>11009.7</v>
      </c>
      <c r="R320" s="8">
        <f>IFERROR(Q320/Q444, "NA")</f>
        <v>6.0395278946295834E-3</v>
      </c>
      <c r="S320" s="9"/>
      <c r="T320" s="7">
        <v>8330</v>
      </c>
      <c r="U320" s="8">
        <f>IFERROR(T320/T444, "NA")</f>
        <v>4.5744874639630749E-3</v>
      </c>
      <c r="V320" s="9"/>
      <c r="W320" s="10">
        <f t="shared" si="78"/>
        <v>-2679.7000000000007</v>
      </c>
      <c r="X320" s="8">
        <f>IFERROR(W320/W444, "NA")</f>
        <v>-1.3592395522123282</v>
      </c>
      <c r="Y320" s="9"/>
      <c r="Z320" s="7">
        <v>7547.04</v>
      </c>
      <c r="AA320" s="8">
        <f>IFERROR(Z320/Z444, "NA")</f>
        <v>4.545996007688553E-3</v>
      </c>
      <c r="AB320" s="9"/>
      <c r="AC320" s="10">
        <f t="shared" si="79"/>
        <v>-3462.6600000000008</v>
      </c>
      <c r="AD320" s="8">
        <f>IFERROR(AC320/AC444, "NA")</f>
        <v>-2.1270787433043892E-2</v>
      </c>
    </row>
    <row r="321" spans="1:30" ht="16.5" customHeight="1" x14ac:dyDescent="0.45">
      <c r="A321" s="6" t="s">
        <v>293</v>
      </c>
      <c r="B321" s="7">
        <v>1551.17</v>
      </c>
      <c r="C321" s="8">
        <f>IFERROR(B321/B444, "NA")</f>
        <v>8.5970331570238683E-3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-1551.17</v>
      </c>
      <c r="I321" s="8">
        <f>IFERROR(H321/H444, "NA")</f>
        <v>4.2893402910182329E-2</v>
      </c>
      <c r="J321" s="9"/>
      <c r="K321" s="7">
        <v>4017.83</v>
      </c>
      <c r="L321" s="8">
        <f>IFERROR(K321/K444, "NA")</f>
        <v>1.9941247759492617E-2</v>
      </c>
      <c r="M321" s="9"/>
      <c r="N321" s="10">
        <f t="shared" si="77"/>
        <v>2466.66</v>
      </c>
      <c r="O321" s="8">
        <f>IFERROR(N321/N444, "NA")</f>
        <v>-0.11716691533036647</v>
      </c>
      <c r="P321" s="9"/>
      <c r="Q321" s="7">
        <v>21981.4</v>
      </c>
      <c r="R321" s="8">
        <f>IFERROR(Q321/Q444, "NA")</f>
        <v>1.2058210347512715E-2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-21981.4</v>
      </c>
      <c r="X321" s="8">
        <f>IFERROR(W321/W444, "NA")</f>
        <v>-11.14975120088072</v>
      </c>
      <c r="Y321" s="9"/>
      <c r="Z321" s="7">
        <v>26638.04</v>
      </c>
      <c r="AA321" s="8">
        <f>IFERROR(Z321/Z444, "NA")</f>
        <v>1.6045552096271915E-2</v>
      </c>
      <c r="AB321" s="9"/>
      <c r="AC321" s="10">
        <f t="shared" si="79"/>
        <v>4656.6399999999994</v>
      </c>
      <c r="AD321" s="8">
        <f>IFERROR(AC321/AC444, "NA")</f>
        <v>2.8605291767661127E-2</v>
      </c>
    </row>
    <row r="322" spans="1:30" ht="16.5" customHeight="1" x14ac:dyDescent="0.45">
      <c r="A322" s="6" t="s">
        <v>294</v>
      </c>
      <c r="B322" s="7">
        <v>194.43</v>
      </c>
      <c r="C322" s="8">
        <f>IFERROR(B322/B444, "NA")</f>
        <v>1.0775873416325424E-3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-194.43</v>
      </c>
      <c r="I322" s="8">
        <f>IFERROR(H322/H444, "NA")</f>
        <v>5.3764347736397367E-3</v>
      </c>
      <c r="J322" s="9"/>
      <c r="K322" s="7">
        <v>159.94999999999999</v>
      </c>
      <c r="L322" s="8">
        <f>IFERROR(K322/K444, "NA")</f>
        <v>7.9386200489588762E-4</v>
      </c>
      <c r="M322" s="9"/>
      <c r="N322" s="10">
        <f t="shared" si="77"/>
        <v>-34.480000000000018</v>
      </c>
      <c r="O322" s="8">
        <f>IFERROR(N322/N444, "NA")</f>
        <v>1.6378079024231302E-3</v>
      </c>
      <c r="P322" s="9"/>
      <c r="Q322" s="7">
        <v>1938.19</v>
      </c>
      <c r="R322" s="8">
        <f>IFERROR(Q322/Q444, "NA")</f>
        <v>1.0632217562778379E-3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-1938.19</v>
      </c>
      <c r="X322" s="8">
        <f>IFERROR(W322/W444, "NA")</f>
        <v>-0.98311919532127168</v>
      </c>
      <c r="Y322" s="9"/>
      <c r="Z322" s="7">
        <v>2141.06</v>
      </c>
      <c r="AA322" s="8">
        <f>IFERROR(Z322/Z444, "NA")</f>
        <v>1.2896778355781411E-3</v>
      </c>
      <c r="AB322" s="9"/>
      <c r="AC322" s="10">
        <f t="shared" si="79"/>
        <v>202.86999999999989</v>
      </c>
      <c r="AD322" s="8">
        <f>IFERROR(AC322/AC444, "NA")</f>
        <v>1.246210903334896E-3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-32.42</v>
      </c>
      <c r="AA323" s="8">
        <f>IFERROR(Z323/Z444, "NA")</f>
        <v>-1.9528343637937909E-5</v>
      </c>
      <c r="AB323" s="9"/>
      <c r="AC323" s="10">
        <f t="shared" si="79"/>
        <v>-32.42</v>
      </c>
      <c r="AD323" s="8">
        <f>IFERROR(AC323/AC444, "NA")</f>
        <v>-1.9915294270280158E-4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5597.34</v>
      </c>
      <c r="C324" s="15">
        <f>IFERROR(B324/B444, "NA")</f>
        <v>3.1022078541446764E-2</v>
      </c>
      <c r="D324" s="2"/>
      <c r="E324" s="14">
        <f>IFERROR(E297+E298+E299+E300+E301+E302+E303+E304+E305+E306+E307+E308+E309+E310+E311+E312+E313+E314+E315+E316+E317+E318+E319+E320+E321+E322+E323, "NA")</f>
        <v>4635.7199999999993</v>
      </c>
      <c r="F324" s="15">
        <f>IFERROR(E324/E444, "NA")</f>
        <v>2.1402787202724059E-2</v>
      </c>
      <c r="G324" s="2"/>
      <c r="H324" s="14">
        <f t="shared" si="76"/>
        <v>-961.6200000000008</v>
      </c>
      <c r="I324" s="15">
        <f>IFERROR(H324/H444, "NA")</f>
        <v>2.6590995252931376E-2</v>
      </c>
      <c r="J324" s="2"/>
      <c r="K324" s="14">
        <f>IFERROR(K297+K298+K299+K300+K301+K302+K303+K304+K305+K306+K307+K308+K309+K310+K311+K312+K313+K314+K315+K316+K317+K318+K319+K320+K321+K322+K323, "NA")</f>
        <v>6175.22</v>
      </c>
      <c r="L324" s="15">
        <f>IFERROR(K324/K444, "NA")</f>
        <v>3.0648781055787333E-2</v>
      </c>
      <c r="M324" s="2"/>
      <c r="N324" s="14">
        <f t="shared" si="77"/>
        <v>577.88000000000011</v>
      </c>
      <c r="O324" s="15">
        <f>IFERROR(N324/N444, "NA")</f>
        <v>-2.7449432443511546E-2</v>
      </c>
      <c r="P324" s="2"/>
      <c r="Q324" s="14">
        <f>IFERROR(Q297+Q298+Q299+Q300+Q301+Q302+Q303+Q304+Q305+Q306+Q307+Q308+Q309+Q310+Q311+Q312+Q313+Q314+Q315+Q316+Q317+Q318+Q319+Q320+Q321+Q322+Q323, "NA")</f>
        <v>58341.48</v>
      </c>
      <c r="R324" s="15">
        <f>IFERROR(Q324/Q444, "NA")</f>
        <v>3.2004050598469891E-2</v>
      </c>
      <c r="S324" s="2"/>
      <c r="T324" s="14">
        <f>IFERROR(T297+T298+T299+T300+T301+T302+T303+T304+T305+T306+T307+T308+T309+T310+T311+T312+T313+T314+T315+T316+T317+T318+T319+T320+T321+T322+T323, "NA")</f>
        <v>41872.589999999997</v>
      </c>
      <c r="U324" s="15">
        <f>IFERROR(T324/T444, "NA")</f>
        <v>2.2994674434413637E-2</v>
      </c>
      <c r="V324" s="2"/>
      <c r="W324" s="14">
        <f t="shared" si="78"/>
        <v>-16468.890000000007</v>
      </c>
      <c r="X324" s="15">
        <f>IFERROR(W324/W444, "NA")</f>
        <v>-8.3536092357480669</v>
      </c>
      <c r="Y324" s="2"/>
      <c r="Z324" s="14">
        <f>IFERROR(Z297+Z298+Z299+Z300+Z301+Z302+Z303+Z304+Z305+Z306+Z307+Z308+Z309+Z310+Z311+Z312+Z313+Z314+Z315+Z316+Z317+Z318+Z319+Z320+Z321+Z322+Z323, "NA")</f>
        <v>48329.990000000005</v>
      </c>
      <c r="AA324" s="15">
        <f>IFERROR(Z324/Z444, "NA")</f>
        <v>2.9111802983901997E-2</v>
      </c>
      <c r="AB324" s="2"/>
      <c r="AC324" s="14">
        <f t="shared" si="79"/>
        <v>-10011.489999999998</v>
      </c>
      <c r="AD324" s="15">
        <f>IFERROR(AC324/AC444, "NA")</f>
        <v>-6.1499620429971327E-2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48468.30000000001</v>
      </c>
      <c r="C325" s="15">
        <f>IFERROR(B325/B444, "NA")</f>
        <v>0.26862534871392563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53094.469999999994</v>
      </c>
      <c r="F325" s="15">
        <f>IFERROR(E325/E444, "NA")</f>
        <v>0.24513336505470917</v>
      </c>
      <c r="G325" s="2"/>
      <c r="H325" s="14">
        <f t="shared" si="76"/>
        <v>4626.1699999999837</v>
      </c>
      <c r="I325" s="15">
        <f>IFERROR(H325/H444, "NA")</f>
        <v>-0.12792419511787714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60305.760000000002</v>
      </c>
      <c r="L325" s="15">
        <f>IFERROR(K325/K444, "NA")</f>
        <v>0.29930885614485919</v>
      </c>
      <c r="M325" s="2"/>
      <c r="N325" s="14">
        <f t="shared" si="77"/>
        <v>11837.459999999992</v>
      </c>
      <c r="O325" s="15">
        <f>IFERROR(N325/N444, "NA")</f>
        <v>-0.56228206301095363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476815.66</v>
      </c>
      <c r="R325" s="15">
        <f>IFERROR(Q325/Q444, "NA")</f>
        <v>0.2615640280085938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462631.44</v>
      </c>
      <c r="U325" s="15">
        <f>IFERROR(T325/T444, "NA")</f>
        <v>0.25405782985776532</v>
      </c>
      <c r="V325" s="2"/>
      <c r="W325" s="14">
        <f t="shared" si="78"/>
        <v>-14184.219999999972</v>
      </c>
      <c r="X325" s="15">
        <f>IFERROR(W325/W444, "NA")</f>
        <v>-7.1947430090238109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430546.35</v>
      </c>
      <c r="AA325" s="15">
        <f>IFERROR(Z325/Z444, "NA")</f>
        <v>0.2593416741165912</v>
      </c>
      <c r="AB325" s="2"/>
      <c r="AC325" s="14">
        <f t="shared" si="79"/>
        <v>-46269.31</v>
      </c>
      <c r="AD325" s="15">
        <f>IFERROR(AC325/AC444, "NA")</f>
        <v>-0.28422792237286126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5.6178862982688378E-2</v>
      </c>
      <c r="D329" s="9"/>
      <c r="E329" s="7">
        <v>9355</v>
      </c>
      <c r="F329" s="8">
        <f>IFERROR(E329/E444, "NA")</f>
        <v>4.3191364940394071E-2</v>
      </c>
      <c r="G329" s="9"/>
      <c r="H329" s="10">
        <f t="shared" si="80"/>
        <v>-781.39999999999964</v>
      </c>
      <c r="I329" s="8">
        <f>IFERROR(H329/H444, "NA")</f>
        <v>2.1607499522306679E-2</v>
      </c>
      <c r="J329" s="9"/>
      <c r="K329" s="7">
        <v>9841.17</v>
      </c>
      <c r="L329" s="8">
        <f>IFERROR(K329/K444, "NA")</f>
        <v>4.8843582036394266E-2</v>
      </c>
      <c r="M329" s="9"/>
      <c r="N329" s="10">
        <f t="shared" si="81"/>
        <v>-295.22999999999956</v>
      </c>
      <c r="O329" s="8">
        <f>IFERROR(N329/N444, "NA")</f>
        <v>1.402349266335208E-2</v>
      </c>
      <c r="P329" s="9"/>
      <c r="Q329" s="7">
        <v>101364</v>
      </c>
      <c r="R329" s="8">
        <f>IFERROR(Q329/Q444, "NA")</f>
        <v>5.560466729440703E-2</v>
      </c>
      <c r="S329" s="9"/>
      <c r="T329" s="7">
        <v>100576</v>
      </c>
      <c r="U329" s="8">
        <f>IFERROR(T329/T444, "NA")</f>
        <v>5.5232130993463406E-2</v>
      </c>
      <c r="V329" s="9"/>
      <c r="W329" s="10">
        <f t="shared" si="82"/>
        <v>-788</v>
      </c>
      <c r="X329" s="8">
        <f>IFERROR(W329/W444, "NA")</f>
        <v>-0.3997017453981096</v>
      </c>
      <c r="Y329" s="9"/>
      <c r="Z329" s="7">
        <v>98411.7</v>
      </c>
      <c r="AA329" s="8">
        <f>IFERROR(Z329/Z444, "NA")</f>
        <v>5.9278762973277416E-2</v>
      </c>
      <c r="AB329" s="9"/>
      <c r="AC329" s="10">
        <f t="shared" si="83"/>
        <v>-2952.3000000000029</v>
      </c>
      <c r="AD329" s="8">
        <f>IFERROR(AC329/AC444, "NA")</f>
        <v>-1.8135695025955634E-2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4.0383892222422054E-3</v>
      </c>
      <c r="D330" s="9"/>
      <c r="E330" s="7">
        <v>728</v>
      </c>
      <c r="F330" s="8">
        <f>IFERROR(E330/E444, "NA")</f>
        <v>3.3611238563983842E-3</v>
      </c>
      <c r="G330" s="9"/>
      <c r="H330" s="10">
        <f t="shared" si="80"/>
        <v>-0.64999999999997726</v>
      </c>
      <c r="I330" s="8">
        <f>IFERROR(H330/H444, "NA")</f>
        <v>1.797398859674796E-5</v>
      </c>
      <c r="J330" s="9"/>
      <c r="K330" s="7">
        <v>844.12</v>
      </c>
      <c r="L330" s="8">
        <f>IFERROR(K330/K444, "NA")</f>
        <v>4.1895266994230488E-3</v>
      </c>
      <c r="M330" s="9"/>
      <c r="N330" s="10">
        <f t="shared" si="81"/>
        <v>115.47000000000003</v>
      </c>
      <c r="O330" s="8">
        <f>IFERROR(N330/N444, "NA")</f>
        <v>-5.4848514644083171E-3</v>
      </c>
      <c r="P330" s="9"/>
      <c r="Q330" s="7">
        <v>6372.77</v>
      </c>
      <c r="R330" s="8">
        <f>IFERROR(Q330/Q444, "NA")</f>
        <v>3.4958738368037795E-3</v>
      </c>
      <c r="S330" s="9"/>
      <c r="T330" s="7">
        <v>7280</v>
      </c>
      <c r="U330" s="8">
        <f>IFERROR(T330/T444, "NA")</f>
        <v>3.9978713970769729E-3</v>
      </c>
      <c r="V330" s="9"/>
      <c r="W330" s="10">
        <f t="shared" si="82"/>
        <v>907.22999999999956</v>
      </c>
      <c r="X330" s="8">
        <f>IFERROR(W330/W444, "NA")</f>
        <v>0.46017945999686144</v>
      </c>
      <c r="Y330" s="9"/>
      <c r="Z330" s="7">
        <v>7863.85</v>
      </c>
      <c r="AA330" s="8">
        <f>IFERROR(Z330/Z444, "NA")</f>
        <v>4.7368280418629864E-3</v>
      </c>
      <c r="AB330" s="9"/>
      <c r="AC330" s="10">
        <f t="shared" si="83"/>
        <v>1491.08</v>
      </c>
      <c r="AD330" s="8">
        <f>IFERROR(AC330/AC444, "NA")</f>
        <v>9.1595610674057165E-3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8.4021108363675062E-5</v>
      </c>
      <c r="D332" s="9"/>
      <c r="E332" s="7">
        <v>15</v>
      </c>
      <c r="F332" s="8">
        <f>IFERROR(E332/E444, "NA")</f>
        <v>6.925392561260407E-5</v>
      </c>
      <c r="G332" s="9"/>
      <c r="H332" s="10">
        <f t="shared" si="80"/>
        <v>-0.16000000000000014</v>
      </c>
      <c r="I332" s="8">
        <f>IFERROR(H332/H444, "NA")</f>
        <v>4.4243664238150416E-6</v>
      </c>
      <c r="J332" s="9"/>
      <c r="K332" s="7">
        <v>15.16</v>
      </c>
      <c r="L332" s="8">
        <f>IFERROR(K332/K444, "NA")</f>
        <v>7.524193806953208E-5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1446.84</v>
      </c>
      <c r="R332" s="8">
        <f>IFERROR(Q332/Q444, "NA")</f>
        <v>7.9368470885363509E-4</v>
      </c>
      <c r="S332" s="9"/>
      <c r="T332" s="7">
        <v>150</v>
      </c>
      <c r="U332" s="8">
        <f>IFERROR(T332/T444, "NA")</f>
        <v>8.2373723840871687E-5</v>
      </c>
      <c r="V332" s="9"/>
      <c r="W332" s="10">
        <f t="shared" si="82"/>
        <v>-1296.8399999999999</v>
      </c>
      <c r="X332" s="8">
        <f>IFERROR(W332/W444, "NA")</f>
        <v>-0.65780356789604622</v>
      </c>
      <c r="Y332" s="9"/>
      <c r="Z332" s="7">
        <v>151.6</v>
      </c>
      <c r="AA332" s="8">
        <f>IFERROR(Z332/Z444, "NA")</f>
        <v>9.1316992458710257E-5</v>
      </c>
      <c r="AB332" s="9"/>
      <c r="AC332" s="10">
        <f t="shared" si="83"/>
        <v>-1295.24</v>
      </c>
      <c r="AD332" s="8">
        <f>IFERROR(AC332/AC444, "NA")</f>
        <v>-7.9565347781115573E-3</v>
      </c>
    </row>
    <row r="333" spans="1:30" ht="16.5" customHeight="1" x14ac:dyDescent="0.45">
      <c r="A333" s="6" t="s">
        <v>304</v>
      </c>
      <c r="B333" s="7">
        <v>418.75</v>
      </c>
      <c r="C333" s="8">
        <f>IFERROR(B333/B444, "NA")</f>
        <v>2.3208337155203778E-3</v>
      </c>
      <c r="D333" s="9"/>
      <c r="E333" s="7">
        <v>728</v>
      </c>
      <c r="F333" s="8">
        <f>IFERROR(E333/E444, "NA")</f>
        <v>3.3611238563983842E-3</v>
      </c>
      <c r="G333" s="9"/>
      <c r="H333" s="10">
        <f t="shared" si="80"/>
        <v>309.25</v>
      </c>
      <c r="I333" s="8">
        <f>IFERROR(H333/H444, "NA")</f>
        <v>-8.5514707285300022E-3</v>
      </c>
      <c r="J333" s="9"/>
      <c r="K333" s="7">
        <v>-127.47</v>
      </c>
      <c r="L333" s="8">
        <f>IFERROR(K333/K444, "NA")</f>
        <v>-6.3265764153847329E-4</v>
      </c>
      <c r="M333" s="9"/>
      <c r="N333" s="10">
        <f t="shared" si="81"/>
        <v>-546.22</v>
      </c>
      <c r="O333" s="8">
        <f>IFERROR(N333/N444, "NA")</f>
        <v>2.5945575187400281E-2</v>
      </c>
      <c r="P333" s="9"/>
      <c r="Q333" s="7">
        <v>9096.01</v>
      </c>
      <c r="R333" s="8">
        <f>IFERROR(Q333/Q444, "NA")</f>
        <v>4.9897459626356425E-3</v>
      </c>
      <c r="S333" s="9"/>
      <c r="T333" s="7">
        <v>7280</v>
      </c>
      <c r="U333" s="8">
        <f>IFERROR(T333/T444, "NA")</f>
        <v>3.9978713970769729E-3</v>
      </c>
      <c r="V333" s="9"/>
      <c r="W333" s="10">
        <f t="shared" si="82"/>
        <v>-1816.0100000000002</v>
      </c>
      <c r="X333" s="8">
        <f>IFERROR(W333/W444, "NA")</f>
        <v>-0.9211451353558644</v>
      </c>
      <c r="Y333" s="9"/>
      <c r="Z333" s="7">
        <v>8549.7900000000009</v>
      </c>
      <c r="AA333" s="8">
        <f>IFERROR(Z333/Z444, "NA")</f>
        <v>5.1500073149970743E-3</v>
      </c>
      <c r="AB333" s="9"/>
      <c r="AC333" s="10">
        <f t="shared" si="83"/>
        <v>-546.21999999999935</v>
      </c>
      <c r="AD333" s="8">
        <f>IFERROR(AC333/AC444, "NA")</f>
        <v>-3.3553769390229533E-3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-4.3257569312564895E-3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-2.1582612461172729E-2</v>
      </c>
      <c r="J334" s="9"/>
      <c r="K334" s="7">
        <v>-757.77</v>
      </c>
      <c r="L334" s="8">
        <f>IFERROR(K334/K444, "NA")</f>
        <v>-3.7609553701153909E-3</v>
      </c>
      <c r="M334" s="9"/>
      <c r="N334" s="10">
        <f t="shared" si="81"/>
        <v>22.730000000000018</v>
      </c>
      <c r="O334" s="8">
        <f>IFERROR(N334/N444, "NA")</f>
        <v>-1.0796802094570116E-3</v>
      </c>
      <c r="P334" s="9"/>
      <c r="Q334" s="7">
        <v>-780.5</v>
      </c>
      <c r="R334" s="8">
        <f>IFERROR(Q334/Q444, "NA")</f>
        <v>-4.2815440218701598E-4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780.5</v>
      </c>
      <c r="X334" s="8">
        <f>IFERROR(W334/W444, "NA")</f>
        <v>0.39589747751678245</v>
      </c>
      <c r="Y334" s="9"/>
      <c r="Z334" s="7">
        <v>-757.77</v>
      </c>
      <c r="AA334" s="8">
        <f>IFERROR(Z334/Z444, "NA")</f>
        <v>-4.5644642068230128E-4</v>
      </c>
      <c r="AB334" s="9"/>
      <c r="AC334" s="10">
        <f t="shared" si="83"/>
        <v>22.730000000000018</v>
      </c>
      <c r="AD334" s="8">
        <f>IFERROR(AC334/AC444, "NA")</f>
        <v>1.396282044304344E-4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1.8155392345498933E-3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-1.6787574753864105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-2.0330677428378966E-2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4175.71</v>
      </c>
      <c r="F337" s="8">
        <f>IFERROR(E337/E444, "NA")</f>
        <v>1.927895398132046E-2</v>
      </c>
      <c r="G337" s="9"/>
      <c r="H337" s="10">
        <f t="shared" ref="H337:H344" si="84">IFERROR(-(B337-E337), "NA")</f>
        <v>4175.71</v>
      </c>
      <c r="I337" s="8">
        <f>IFERROR(H337/H444, "NA")</f>
        <v>-0.11546794449742932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41009.300000000003</v>
      </c>
      <c r="U337" s="8">
        <f>IFERROR(T337/T444, "NA")</f>
        <v>2.2520591687383063E-2</v>
      </c>
      <c r="V337" s="9"/>
      <c r="W337" s="10">
        <f t="shared" ref="W337:W344" si="86">IFERROR(-(Q337-T337), "NA")</f>
        <v>41009.300000000003</v>
      </c>
      <c r="X337" s="8">
        <f>IFERROR(W337/W444, "NA")</f>
        <v>20.801381710094795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3067.66</v>
      </c>
      <c r="C338" s="8">
        <f>IFERROR(B338/B444, "NA")</f>
        <v>1.7001859715231625E-2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-3067.66</v>
      </c>
      <c r="I338" s="8">
        <f>IFERROR(H338/H444, "NA")</f>
        <v>8.4827824398002738E-2</v>
      </c>
      <c r="J338" s="9"/>
      <c r="K338" s="7">
        <v>2742.41</v>
      </c>
      <c r="L338" s="8">
        <f>IFERROR(K338/K444, "NA")</f>
        <v>1.3611097848368435E-2</v>
      </c>
      <c r="M338" s="9"/>
      <c r="N338" s="10">
        <f t="shared" si="85"/>
        <v>-325.25</v>
      </c>
      <c r="O338" s="8">
        <f>IFERROR(N338/N444, "NA")</f>
        <v>1.5449449543594049E-2</v>
      </c>
      <c r="P338" s="9"/>
      <c r="Q338" s="7">
        <v>37261.21</v>
      </c>
      <c r="R338" s="8">
        <f>IFERROR(Q338/Q444, "NA")</f>
        <v>2.0440167959404051E-2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-37261.21</v>
      </c>
      <c r="X338" s="8">
        <f>IFERROR(W338/W444, "NA")</f>
        <v>-18.900216589651645</v>
      </c>
      <c r="Y338" s="9"/>
      <c r="Z338" s="7">
        <v>26894.21</v>
      </c>
      <c r="AA338" s="8">
        <f>IFERROR(Z338/Z444, "NA")</f>
        <v>1.6199857333462863E-2</v>
      </c>
      <c r="AB338" s="9"/>
      <c r="AC338" s="10">
        <f t="shared" si="87"/>
        <v>-10367</v>
      </c>
      <c r="AD338" s="8">
        <f>IFERROR(AC338/AC444, "NA")</f>
        <v>-6.3683484176432562E-2</v>
      </c>
    </row>
    <row r="339" spans="1:30" ht="16.5" customHeight="1" x14ac:dyDescent="0.45">
      <c r="A339" s="12" t="s">
        <v>309</v>
      </c>
      <c r="B339" s="7">
        <v>344.14</v>
      </c>
      <c r="C339" s="8">
        <f>IFERROR(B339/B444, "NA")</f>
        <v>1.907323498171183E-3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-344.14</v>
      </c>
      <c r="I339" s="8">
        <f>IFERROR(H339/H444, "NA")</f>
        <v>9.5162591318231696E-3</v>
      </c>
      <c r="J339" s="9"/>
      <c r="K339" s="7">
        <v>378.04</v>
      </c>
      <c r="L339" s="8">
        <f>IFERROR(K339/K444, "NA")</f>
        <v>1.8762837907523688E-3</v>
      </c>
      <c r="M339" s="9"/>
      <c r="N339" s="10">
        <f t="shared" si="85"/>
        <v>33.900000000000034</v>
      </c>
      <c r="O339" s="8">
        <f>IFERROR(N339/N444, "NA")</f>
        <v>-1.6102577694937395E-3</v>
      </c>
      <c r="P339" s="9"/>
      <c r="Q339" s="7">
        <v>3493.79</v>
      </c>
      <c r="R339" s="8">
        <f>IFERROR(Q339/Q444, "NA")</f>
        <v>1.9165683136668475E-3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-3493.79</v>
      </c>
      <c r="X339" s="8">
        <f>IFERROR(W339/W444, "NA")</f>
        <v>-1.7721750774802809</v>
      </c>
      <c r="Y339" s="9"/>
      <c r="Z339" s="7">
        <v>4001.92</v>
      </c>
      <c r="AA339" s="8">
        <f>IFERROR(Z339/Z444, "NA")</f>
        <v>2.4105758473638638E-3</v>
      </c>
      <c r="AB339" s="9"/>
      <c r="AC339" s="10">
        <f t="shared" si="87"/>
        <v>508.13000000000011</v>
      </c>
      <c r="AD339" s="8">
        <f>IFERROR(AC339/AC444, "NA")</f>
        <v>3.1213937315106286E-3</v>
      </c>
    </row>
    <row r="340" spans="1:30" ht="16.5" customHeight="1" x14ac:dyDescent="0.45">
      <c r="A340" s="12" t="s">
        <v>310</v>
      </c>
      <c r="B340" s="7">
        <v>1700</v>
      </c>
      <c r="C340" s="8">
        <f>IFERROR(B340/B444, "NA")</f>
        <v>9.4218920988289965E-3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-1700</v>
      </c>
      <c r="I340" s="8">
        <f>IFERROR(H340/H444, "NA")</f>
        <v>4.7008893253034777E-2</v>
      </c>
      <c r="J340" s="9"/>
      <c r="K340" s="7">
        <v>567.26</v>
      </c>
      <c r="L340" s="8">
        <f>IFERROR(K340/K444, "NA")</f>
        <v>2.8154183238339558E-3</v>
      </c>
      <c r="M340" s="9"/>
      <c r="N340" s="10">
        <f t="shared" si="85"/>
        <v>-1132.74</v>
      </c>
      <c r="O340" s="8">
        <f>IFERROR(N340/N444, "NA")</f>
        <v>5.3805409611101376E-2</v>
      </c>
      <c r="P340" s="9"/>
      <c r="Q340" s="7">
        <v>11620.74</v>
      </c>
      <c r="R340" s="8">
        <f>IFERROR(Q340/Q444, "NA")</f>
        <v>6.3747225979125487E-3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-11620.74</v>
      </c>
      <c r="X340" s="8">
        <f>IFERROR(W340/W444, "NA")</f>
        <v>-5.8944543919005437</v>
      </c>
      <c r="Y340" s="9"/>
      <c r="Z340" s="7">
        <v>4613.49</v>
      </c>
      <c r="AA340" s="8">
        <f>IFERROR(Z340/Z444, "NA")</f>
        <v>2.7789579916776726E-3</v>
      </c>
      <c r="AB340" s="9"/>
      <c r="AC340" s="10">
        <f t="shared" si="87"/>
        <v>-7007.25</v>
      </c>
      <c r="AD340" s="8">
        <f>IFERROR(AC340/AC444, "NA")</f>
        <v>-4.3044862978229681E-2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2.1070121877716586E-3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1.0512571145886019E-2</v>
      </c>
      <c r="J341" s="9"/>
      <c r="K341" s="7">
        <v>351.45</v>
      </c>
      <c r="L341" s="8">
        <f>IFERROR(K341/K444, "NA")</f>
        <v>1.7443126078190666E-3</v>
      </c>
      <c r="M341" s="9"/>
      <c r="N341" s="10">
        <f t="shared" si="85"/>
        <v>-28.720000000000027</v>
      </c>
      <c r="O341" s="8">
        <f>IFERROR(N341/N444, "NA")</f>
        <v>1.3642065822967609E-3</v>
      </c>
      <c r="P341" s="9"/>
      <c r="Q341" s="7">
        <v>3801.7</v>
      </c>
      <c r="R341" s="8">
        <f>IFERROR(Q341/Q444, "NA")</f>
        <v>2.0854767338813304E-3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-3801.7</v>
      </c>
      <c r="X341" s="8">
        <f>IFERROR(W341/W444, "NA")</f>
        <v>-1.9283580272588747</v>
      </c>
      <c r="Y341" s="9"/>
      <c r="Z341" s="7">
        <v>3514.5</v>
      </c>
      <c r="AA341" s="8">
        <f>IFERROR(Z341/Z444, "NA")</f>
        <v>2.1169760553834908E-3</v>
      </c>
      <c r="AB341" s="9"/>
      <c r="AC341" s="10">
        <f t="shared" si="87"/>
        <v>-287.19999999999982</v>
      </c>
      <c r="AD341" s="8">
        <f>IFERROR(AC341/AC444, "NA")</f>
        <v>-1.7642419847083458E-3</v>
      </c>
    </row>
    <row r="342" spans="1:30" ht="16.5" customHeight="1" x14ac:dyDescent="0.45">
      <c r="A342" s="13" t="s">
        <v>312</v>
      </c>
      <c r="B342" s="14">
        <f>IFERROR(B337+B338+B339+B340+B341, "NA")</f>
        <v>5491.9699999999993</v>
      </c>
      <c r="C342" s="15">
        <f>IFERROR(B342/B444, "NA")</f>
        <v>3.0438087500003458E-2</v>
      </c>
      <c r="D342" s="2"/>
      <c r="E342" s="14">
        <f>IFERROR(E337+E338+E339+E340+E341, "NA")</f>
        <v>4175.71</v>
      </c>
      <c r="F342" s="15">
        <f>IFERROR(E342/E444, "NA")</f>
        <v>1.927895398132046E-2</v>
      </c>
      <c r="G342" s="2"/>
      <c r="H342" s="14">
        <f t="shared" si="84"/>
        <v>-1316.2599999999993</v>
      </c>
      <c r="I342" s="15">
        <f>IFERROR(H342/H444, "NA")</f>
        <v>3.6397603431317364E-2</v>
      </c>
      <c r="J342" s="2"/>
      <c r="K342" s="14">
        <f>IFERROR(K337+K338+K339+K340+K341, "NA")</f>
        <v>4039.16</v>
      </c>
      <c r="L342" s="15">
        <f>IFERROR(K342/K444, "NA")</f>
        <v>2.0047112570773826E-2</v>
      </c>
      <c r="M342" s="2"/>
      <c r="N342" s="14">
        <f t="shared" si="85"/>
        <v>-1452.8099999999995</v>
      </c>
      <c r="O342" s="15">
        <f>IFERROR(N342/N444, "NA")</f>
        <v>6.900880796749842E-2</v>
      </c>
      <c r="P342" s="2"/>
      <c r="Q342" s="14">
        <f>IFERROR(Q337+Q338+Q339+Q340+Q341, "NA")</f>
        <v>56177.439999999995</v>
      </c>
      <c r="R342" s="15">
        <f>IFERROR(Q342/Q444, "NA")</f>
        <v>3.0816935604864776E-2</v>
      </c>
      <c r="S342" s="2"/>
      <c r="T342" s="14">
        <f>IFERROR(T337+T338+T339+T340+T341, "NA")</f>
        <v>41009.300000000003</v>
      </c>
      <c r="U342" s="15">
        <f>IFERROR(T342/T444, "NA")</f>
        <v>2.2520591687383063E-2</v>
      </c>
      <c r="V342" s="2"/>
      <c r="W342" s="14">
        <f t="shared" si="86"/>
        <v>-15168.139999999992</v>
      </c>
      <c r="X342" s="15">
        <f>IFERROR(W342/W444, "NA")</f>
        <v>-7.6938223761965476</v>
      </c>
      <c r="Y342" s="2"/>
      <c r="Z342" s="14">
        <f>IFERROR(Z337+Z338+Z339+Z340+Z341, "NA")</f>
        <v>39024.119999999995</v>
      </c>
      <c r="AA342" s="15">
        <f>IFERROR(Z342/Z444, "NA")</f>
        <v>2.3506367227887889E-2</v>
      </c>
      <c r="AB342" s="2"/>
      <c r="AC342" s="14">
        <f t="shared" si="87"/>
        <v>-17153.32</v>
      </c>
      <c r="AD342" s="15">
        <f>IFERROR(AC342/AC444, "NA")</f>
        <v>-0.10537119540785997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16010.429999999998</v>
      </c>
      <c r="C343" s="15">
        <f>IFERROR(B343/B444, "NA")</f>
        <v>8.8734437597561597E-2</v>
      </c>
      <c r="D343" s="2"/>
      <c r="E343" s="14">
        <f>IFERROR(E328+E329+E330+E331+E332+E333+E334+E335+E337+E338+E339+E340+E341, "NA")</f>
        <v>15001.71</v>
      </c>
      <c r="F343" s="15">
        <f>IFERROR(E343/E444, "NA")</f>
        <v>6.9261820560123893E-2</v>
      </c>
      <c r="G343" s="2"/>
      <c r="H343" s="14">
        <f t="shared" si="84"/>
        <v>-1008.7199999999993</v>
      </c>
      <c r="I343" s="15">
        <f>IFERROR(H343/H444, "NA")</f>
        <v>2.7893418118941887E-2</v>
      </c>
      <c r="J343" s="2"/>
      <c r="K343" s="14">
        <f>IFERROR(K328+K329+K330+K331+K332+K333+K334+K335+K337+K338+K339+K340+K341, "NA")</f>
        <v>13854.370000000003</v>
      </c>
      <c r="L343" s="15">
        <f>IFERROR(K343/K444, "NA")</f>
        <v>6.8761850233006822E-2</v>
      </c>
      <c r="M343" s="2"/>
      <c r="N343" s="14">
        <f t="shared" si="85"/>
        <v>-2156.0599999999959</v>
      </c>
      <c r="O343" s="15">
        <f>IFERROR(N343/N444, "NA")</f>
        <v>0.1024133441443853</v>
      </c>
      <c r="P343" s="2"/>
      <c r="Q343" s="14">
        <f>IFERROR(Q328+Q329+Q330+Q331+Q332+Q333+Q334+Q335+Q337+Q338+Q339+Q340+Q341, "NA")</f>
        <v>176986.18</v>
      </c>
      <c r="R343" s="15">
        <f>IFERROR(Q343/Q444, "NA")</f>
        <v>9.7088292239927737E-2</v>
      </c>
      <c r="S343" s="2"/>
      <c r="T343" s="14">
        <f>IFERROR(T328+T329+T330+T331+T332+T333+T334+T335+T337+T338+T339+T340+T341, "NA")</f>
        <v>156295.29999999999</v>
      </c>
      <c r="U343" s="15">
        <f>IFERROR(T343/T444, "NA")</f>
        <v>8.5830839198841283E-2</v>
      </c>
      <c r="V343" s="2"/>
      <c r="W343" s="14">
        <f t="shared" si="86"/>
        <v>-20690.880000000005</v>
      </c>
      <c r="X343" s="15">
        <f>IFERROR(W343/W444, "NA")</f>
        <v>-10.495153362719341</v>
      </c>
      <c r="Y343" s="2"/>
      <c r="Z343" s="14">
        <f>IFERROR(Z328+Z329+Z330+Z331+Z332+Z333+Z334+Z335+Z337+Z338+Z339+Z340+Z341, "NA")</f>
        <v>153243.29</v>
      </c>
      <c r="AA343" s="15">
        <f>IFERROR(Z343/Z444, "NA")</f>
        <v>9.2306836129801784E-2</v>
      </c>
      <c r="AB343" s="2"/>
      <c r="AC343" s="14">
        <f t="shared" si="87"/>
        <v>-23742.889999999985</v>
      </c>
      <c r="AD343" s="15">
        <f>IFERROR(AC343/AC444, "NA")</f>
        <v>-0.14585029030749283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16010.429999999998</v>
      </c>
      <c r="C344" s="15">
        <f>IFERROR(B344/B444, "NA")</f>
        <v>8.8734437597561597E-2</v>
      </c>
      <c r="D344" s="2"/>
      <c r="E344" s="14">
        <f>IFERROR(E328+E329+E330+E331+E332+E333+E334+E335+E337+E338+E339+E340+E341, "NA")</f>
        <v>15001.71</v>
      </c>
      <c r="F344" s="15">
        <f>IFERROR(E344/E444, "NA")</f>
        <v>6.9261820560123893E-2</v>
      </c>
      <c r="G344" s="2"/>
      <c r="H344" s="14">
        <f t="shared" si="84"/>
        <v>-1008.7199999999993</v>
      </c>
      <c r="I344" s="15">
        <f>IFERROR(H344/H444, "NA")</f>
        <v>2.7893418118941887E-2</v>
      </c>
      <c r="J344" s="2"/>
      <c r="K344" s="14">
        <f>IFERROR(K328+K329+K330+K331+K332+K333+K334+K335+K337+K338+K339+K340+K341, "NA")</f>
        <v>13854.370000000003</v>
      </c>
      <c r="L344" s="15">
        <f>IFERROR(K344/K444, "NA")</f>
        <v>6.8761850233006822E-2</v>
      </c>
      <c r="M344" s="2"/>
      <c r="N344" s="14">
        <f t="shared" si="85"/>
        <v>-2156.0599999999959</v>
      </c>
      <c r="O344" s="15">
        <f>IFERROR(N344/N444, "NA")</f>
        <v>0.1024133441443853</v>
      </c>
      <c r="P344" s="2"/>
      <c r="Q344" s="14">
        <f>IFERROR(Q328+Q329+Q330+Q331+Q332+Q333+Q334+Q335+Q337+Q338+Q339+Q340+Q341, "NA")</f>
        <v>176986.18</v>
      </c>
      <c r="R344" s="15">
        <f>IFERROR(Q344/Q444, "NA")</f>
        <v>9.7088292239927737E-2</v>
      </c>
      <c r="S344" s="2"/>
      <c r="T344" s="14">
        <f>IFERROR(T328+T329+T330+T331+T332+T333+T334+T335+T337+T338+T339+T340+T341, "NA")</f>
        <v>156295.29999999999</v>
      </c>
      <c r="U344" s="15">
        <f>IFERROR(T344/T444, "NA")</f>
        <v>8.5830839198841283E-2</v>
      </c>
      <c r="V344" s="2"/>
      <c r="W344" s="14">
        <f t="shared" si="86"/>
        <v>-20690.880000000005</v>
      </c>
      <c r="X344" s="15">
        <f>IFERROR(W344/W444, "NA")</f>
        <v>-10.495153362719341</v>
      </c>
      <c r="Y344" s="2"/>
      <c r="Z344" s="14">
        <f>IFERROR(Z328+Z329+Z330+Z331+Z332+Z333+Z334+Z335+Z337+Z338+Z339+Z340+Z341, "NA")</f>
        <v>153243.29</v>
      </c>
      <c r="AA344" s="15">
        <f>IFERROR(Z344/Z444, "NA")</f>
        <v>9.2306836129801784E-2</v>
      </c>
      <c r="AB344" s="2"/>
      <c r="AC344" s="14">
        <f t="shared" si="87"/>
        <v>-23742.889999999985</v>
      </c>
      <c r="AD344" s="15">
        <f>IFERROR(AC344/AC444, "NA")</f>
        <v>-0.14585029030749283</v>
      </c>
    </row>
    <row r="345" spans="1:30" ht="16.5" customHeight="1" x14ac:dyDescent="0.45">
      <c r="A345" s="22" t="s">
        <v>315</v>
      </c>
      <c r="B345" s="23">
        <f>IFERROR(B198-B325-B344, "NA")</f>
        <v>22615.370000000024</v>
      </c>
      <c r="C345" s="24">
        <f>IFERROR(B345/B444, "NA")</f>
        <v>0.12534092700887917</v>
      </c>
      <c r="D345" s="25"/>
      <c r="E345" s="23">
        <f>IFERROR(E198-E325-E344, "NA")</f>
        <v>48759.979999999996</v>
      </c>
      <c r="F345" s="24">
        <f>IFERROR(E345/E444, "NA")</f>
        <v>0.22512133518613744</v>
      </c>
      <c r="G345" s="25"/>
      <c r="H345" s="23">
        <f>IFERROR(B345-E345, "NA")</f>
        <v>-26144.609999999971</v>
      </c>
      <c r="I345" s="24">
        <f>IFERROR(H345/H444, "NA")</f>
        <v>0.72295834154836713</v>
      </c>
      <c r="J345" s="25"/>
      <c r="K345" s="23">
        <f>IFERROR(K198-K325-K344, "NA")</f>
        <v>36607.060000000012</v>
      </c>
      <c r="L345" s="24">
        <f>IFERROR(K345/K444, "NA")</f>
        <v>0.18168774019971282</v>
      </c>
      <c r="M345" s="25"/>
      <c r="N345" s="23">
        <f>IFERROR(B345-K345, "NA")</f>
        <v>-13991.689999999988</v>
      </c>
      <c r="O345" s="24">
        <f>IFERROR(N345/N444, "NA")</f>
        <v>0.6646084817359238</v>
      </c>
      <c r="P345" s="25"/>
      <c r="Q345" s="23">
        <f>IFERROR(Q198-Q325-Q344, "NA")</f>
        <v>218704.95999999985</v>
      </c>
      <c r="R345" s="24">
        <f>IFERROR(Q345/Q444, "NA")</f>
        <v>0.11997372377211425</v>
      </c>
      <c r="S345" s="25"/>
      <c r="T345" s="23">
        <f>IFERROR(T198-T325-T344, "NA")</f>
        <v>308421.92000000016</v>
      </c>
      <c r="U345" s="24">
        <f>IFERROR(T345/T444, "NA")</f>
        <v>0.16937241376367623</v>
      </c>
      <c r="V345" s="25"/>
      <c r="W345" s="23">
        <f>IFERROR(Q345-T345, "NA")</f>
        <v>-89716.960000000312</v>
      </c>
      <c r="X345" s="24">
        <f>IFERROR(W345/W444, "NA")</f>
        <v>-45.507646578442269</v>
      </c>
      <c r="Y345" s="25"/>
      <c r="Z345" s="23">
        <f>IFERROR(Z198-Z325-Z344, "NA")</f>
        <v>251625.29999999996</v>
      </c>
      <c r="AA345" s="24">
        <f>IFERROR(Z345/Z444, "NA")</f>
        <v>0.15156771518813128</v>
      </c>
      <c r="AB345" s="25"/>
      <c r="AC345" s="23">
        <f>IFERROR(Q345-Z345, "NA")</f>
        <v>-32920.340000000113</v>
      </c>
      <c r="AD345" s="24">
        <f>IFERROR(AC345/AC444, "NA")</f>
        <v>-0.20222648321334882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22615.370000000024</v>
      </c>
      <c r="C404" s="24">
        <f>IFERROR(B404/B444, "NA")</f>
        <v>0.12534092700887917</v>
      </c>
      <c r="D404" s="25"/>
      <c r="E404" s="23">
        <f>IFERROR(E345-E403, "NA")</f>
        <v>48759.979999999996</v>
      </c>
      <c r="F404" s="24">
        <f>IFERROR(E404/E444, "NA")</f>
        <v>0.22512133518613744</v>
      </c>
      <c r="G404" s="25"/>
      <c r="H404" s="23">
        <f>IFERROR(B404-E404, "NA")</f>
        <v>-26144.609999999971</v>
      </c>
      <c r="I404" s="24">
        <f>IFERROR(H404/H444, "NA")</f>
        <v>0.72295834154836713</v>
      </c>
      <c r="J404" s="25"/>
      <c r="K404" s="23">
        <f>IFERROR(K345-K403, "NA")</f>
        <v>36607.060000000012</v>
      </c>
      <c r="L404" s="24">
        <f>IFERROR(K404/K444, "NA")</f>
        <v>0.18168774019971282</v>
      </c>
      <c r="M404" s="25"/>
      <c r="N404" s="23">
        <f>IFERROR(B404-K404, "NA")</f>
        <v>-13991.689999999988</v>
      </c>
      <c r="O404" s="24">
        <f>IFERROR(N404/N444, "NA")</f>
        <v>0.6646084817359238</v>
      </c>
      <c r="P404" s="25"/>
      <c r="Q404" s="23">
        <f>IFERROR(Q345-Q403, "NA")</f>
        <v>218704.95999999985</v>
      </c>
      <c r="R404" s="24">
        <f>IFERROR(Q404/Q444, "NA")</f>
        <v>0.11997372377211425</v>
      </c>
      <c r="S404" s="25"/>
      <c r="T404" s="23">
        <f>IFERROR(T345-T403, "NA")</f>
        <v>308421.92000000016</v>
      </c>
      <c r="U404" s="24">
        <f>IFERROR(T404/T444, "NA")</f>
        <v>0.16937241376367623</v>
      </c>
      <c r="V404" s="25"/>
      <c r="W404" s="23">
        <f>IFERROR(Q404-T404, "NA")</f>
        <v>-89716.960000000312</v>
      </c>
      <c r="X404" s="24">
        <f>IFERROR(W404/W444, "NA")</f>
        <v>-45.507646578442269</v>
      </c>
      <c r="Y404" s="25"/>
      <c r="Z404" s="23">
        <f>IFERROR(Z345-Z403, "NA")</f>
        <v>251625.29999999996</v>
      </c>
      <c r="AA404" s="24">
        <f>IFERROR(Z404/Z444, "NA")</f>
        <v>0.15156771518813128</v>
      </c>
      <c r="AB404" s="25"/>
      <c r="AC404" s="23">
        <f>IFERROR(Q404-Z404, "NA")</f>
        <v>-32920.340000000113</v>
      </c>
      <c r="AD404" s="24">
        <f>IFERROR(AC404/AC444, "NA")</f>
        <v>-0.20222648321334882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-25</v>
      </c>
      <c r="C407" s="8">
        <f>IFERROR(B407/B444, "NA")</f>
        <v>-1.3855723674748526E-4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25</v>
      </c>
      <c r="I407" s="8">
        <f>IFERROR(H407/H444, "NA")</f>
        <v>-6.9130725372109963E-4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25</v>
      </c>
      <c r="O407" s="8">
        <f>IFERROR(N407/N444, "NA")</f>
        <v>-1.1875057297151459E-3</v>
      </c>
      <c r="P407" s="9"/>
      <c r="Q407" s="7">
        <v>-25</v>
      </c>
      <c r="R407" s="8">
        <f>IFERROR(Q407/Q444, "NA")</f>
        <v>-1.3714106412140167E-5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25</v>
      </c>
      <c r="X407" s="8">
        <f>IFERROR(W407/W444, "NA")</f>
        <v>1.2680892937757284E-2</v>
      </c>
      <c r="Y407" s="9"/>
      <c r="Z407" s="7">
        <v>-40</v>
      </c>
      <c r="AA407" s="8">
        <f>IFERROR(Z407/Z444, "NA")</f>
        <v>-2.409419326087342E-5</v>
      </c>
      <c r="AB407" s="9"/>
      <c r="AC407" s="10">
        <f t="shared" ref="AC407:AC429" si="103">IFERROR(-(Q407-Z407), "NA")</f>
        <v>-15</v>
      </c>
      <c r="AD407" s="8">
        <f>IFERROR(AC407/AC444, "NA")</f>
        <v>-9.2143557697162975E-5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250</v>
      </c>
      <c r="R408" s="8">
        <f>IFERROR(Q408/Q444, "NA")</f>
        <v>1.3714106412140165E-4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-0.12680892937757285</v>
      </c>
      <c r="Y408" s="9"/>
      <c r="Z408" s="7">
        <v>5688.23</v>
      </c>
      <c r="AA408" s="8">
        <f>IFERROR(Z408/Z444, "NA")</f>
        <v>3.4263328233074502E-3</v>
      </c>
      <c r="AB408" s="9"/>
      <c r="AC408" s="10">
        <f t="shared" si="103"/>
        <v>5438.23</v>
      </c>
      <c r="AD408" s="8">
        <f>IFERROR(AC408/AC444, "NA")</f>
        <v>3.3406523985029503E-2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4119.5200000000004</v>
      </c>
      <c r="C410" s="8">
        <f>IFERROR(B410/B444, "NA")</f>
        <v>2.2831572317040021E-2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-4119.5200000000004</v>
      </c>
      <c r="I410" s="8">
        <f>IFERROR(H410/H444, "NA")</f>
        <v>0.11391416231396578</v>
      </c>
      <c r="J410" s="9"/>
      <c r="K410" s="7">
        <v>4690.57</v>
      </c>
      <c r="L410" s="8">
        <f>IFERROR(K410/K444, "NA")</f>
        <v>2.3280183209156008E-2</v>
      </c>
      <c r="M410" s="9"/>
      <c r="N410" s="10">
        <f t="shared" si="101"/>
        <v>571.04999999999927</v>
      </c>
      <c r="O410" s="8">
        <f>IFERROR(N410/N444, "NA")</f>
        <v>-2.7125005878153328E-2</v>
      </c>
      <c r="P410" s="9"/>
      <c r="Q410" s="7">
        <v>35025.75</v>
      </c>
      <c r="R410" s="8">
        <f>IFERROR(Q410/Q444, "NA")</f>
        <v>1.9213874506600736E-2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-35025.75</v>
      </c>
      <c r="X410" s="8">
        <f>IFERROR(W410/W444, "NA")</f>
        <v>-17.76631143258609</v>
      </c>
      <c r="Y410" s="9"/>
      <c r="Z410" s="7">
        <v>46209.63</v>
      </c>
      <c r="AA410" s="8">
        <f>IFERROR(Z410/Z444, "NA")</f>
        <v>2.7834593893336354E-2</v>
      </c>
      <c r="AB410" s="9"/>
      <c r="AC410" s="10">
        <f t="shared" si="103"/>
        <v>11183.879999999997</v>
      </c>
      <c r="AD410" s="8">
        <f>IFERROR(AC410/AC444, "NA")</f>
        <v>6.8701499470543118E-2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43.66</v>
      </c>
      <c r="C417" s="8">
        <f>IFERROR(B417/B444, "NA")</f>
        <v>2.4197635825580821E-4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-43.66</v>
      </c>
      <c r="I417" s="8">
        <f>IFERROR(H417/H444, "NA")</f>
        <v>1.2072989878985283E-3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-43.66</v>
      </c>
      <c r="O417" s="8">
        <f>IFERROR(N417/N444, "NA")</f>
        <v>2.0738600063745305E-3</v>
      </c>
      <c r="P417" s="9"/>
      <c r="Q417" s="7">
        <v>125.06</v>
      </c>
      <c r="R417" s="8">
        <f>IFERROR(Q417/Q444, "NA")</f>
        <v>6.8603445916089962E-5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-125.06</v>
      </c>
      <c r="X417" s="8">
        <f>IFERROR(W417/W444, "NA")</f>
        <v>-6.3434898831837047E-2</v>
      </c>
      <c r="Y417" s="9"/>
      <c r="Z417" s="7">
        <v>-135.87</v>
      </c>
      <c r="AA417" s="8">
        <f>IFERROR(Z417/Z444, "NA")</f>
        <v>-8.1841950958871793E-5</v>
      </c>
      <c r="AB417" s="9"/>
      <c r="AC417" s="10">
        <f t="shared" si="103"/>
        <v>-260.93</v>
      </c>
      <c r="AD417" s="8">
        <f>IFERROR(AC417/AC444, "NA")</f>
        <v>-1.6028679006613823E-3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-160</v>
      </c>
      <c r="R421" s="8">
        <f>IFERROR(Q421/Q444, "NA")</f>
        <v>-8.7770281037697056E-5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8.1157714801646616E-2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9.8286461543640492E-4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4138.18</v>
      </c>
      <c r="C428" s="15">
        <f>IFERROR(B428/B444, "NA")</f>
        <v>2.2934991438548342E-2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-4138.18</v>
      </c>
      <c r="I428" s="15">
        <f>IFERROR(H428/H444, "NA")</f>
        <v>0.11443015404814322</v>
      </c>
      <c r="J428" s="2"/>
      <c r="K428" s="14">
        <f>IFERROR(K407+K408+K409+K410+K411+K412+K413+K414+K415+K416+K417+K418+K419+K420+K421+K422+K423+K424+K425+K426+K427, "NA")</f>
        <v>4690.57</v>
      </c>
      <c r="L428" s="15">
        <f>IFERROR(K428/K444, "NA")</f>
        <v>2.3280183209156008E-2</v>
      </c>
      <c r="M428" s="2"/>
      <c r="N428" s="14">
        <f t="shared" si="101"/>
        <v>552.38999999999942</v>
      </c>
      <c r="O428" s="15">
        <f>IFERROR(N428/N444, "NA")</f>
        <v>-2.623865160149395E-2</v>
      </c>
      <c r="P428" s="2"/>
      <c r="Q428" s="14">
        <f>IFERROR(Q407+Q408+Q409+Q410+Q411+Q412+Q413+Q414+Q415+Q416+Q417+Q418+Q419+Q420+Q421+Q422+Q423+Q424+Q425+Q426+Q427, "NA")</f>
        <v>35215.81</v>
      </c>
      <c r="R428" s="15">
        <f>IFERROR(Q428/Q444, "NA")</f>
        <v>1.931813462918839E-2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-35215.81</v>
      </c>
      <c r="X428" s="15">
        <f>IFERROR(W428/W444, "NA")</f>
        <v>-17.862716653056093</v>
      </c>
      <c r="Y428" s="2"/>
      <c r="Z428" s="14">
        <f>IFERROR(Z407+Z408+Z409+Z410+Z411+Z412+Z413+Z414+Z415+Z416+Z417+Z418+Z419+Z420+Z421+Z422+Z423+Z424+Z425+Z426+Z427, "NA")</f>
        <v>51721.99</v>
      </c>
      <c r="AA428" s="15">
        <f>IFERROR(Z428/Z444, "NA")</f>
        <v>3.115499057242406E-2</v>
      </c>
      <c r="AB428" s="2"/>
      <c r="AC428" s="14">
        <f t="shared" si="103"/>
        <v>16506.18</v>
      </c>
      <c r="AD428" s="15">
        <f>IFERROR(AC428/AC444, "NA")</f>
        <v>0.1013958766126505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4138.18</v>
      </c>
      <c r="C429" s="15">
        <f>IFERROR(B429/B444, "NA")</f>
        <v>2.2934991438548342E-2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-4138.18</v>
      </c>
      <c r="I429" s="15">
        <f>IFERROR(H429/H444, "NA")</f>
        <v>0.11443015404814322</v>
      </c>
      <c r="J429" s="2"/>
      <c r="K429" s="14">
        <f>IFERROR(K407+K408+K409+K410+K411+K412+K413+K414+K415+K416+K417+K418+K419+K420+K421+K422+K423+K424+K425+K426+K427, "NA")</f>
        <v>4690.57</v>
      </c>
      <c r="L429" s="15">
        <f>IFERROR(K429/K444, "NA")</f>
        <v>2.3280183209156008E-2</v>
      </c>
      <c r="M429" s="2"/>
      <c r="N429" s="14">
        <f t="shared" si="101"/>
        <v>552.38999999999942</v>
      </c>
      <c r="O429" s="15">
        <f>IFERROR(N429/N444, "NA")</f>
        <v>-2.623865160149395E-2</v>
      </c>
      <c r="P429" s="2"/>
      <c r="Q429" s="14">
        <f>IFERROR(Q407+Q408+Q409+Q410+Q411+Q412+Q413+Q414+Q415+Q416+Q417+Q418+Q419+Q420+Q421+Q422+Q423+Q424+Q425+Q426+Q427, "NA")</f>
        <v>35215.81</v>
      </c>
      <c r="R429" s="15">
        <f>IFERROR(Q429/Q444, "NA")</f>
        <v>1.931813462918839E-2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-35215.81</v>
      </c>
      <c r="X429" s="15">
        <f>IFERROR(W429/W444, "NA")</f>
        <v>-17.862716653056093</v>
      </c>
      <c r="Y429" s="2"/>
      <c r="Z429" s="14">
        <f>IFERROR(Z407+Z408+Z409+Z410+Z411+Z412+Z413+Z414+Z415+Z416+Z417+Z418+Z419+Z420+Z421+Z422+Z423+Z424+Z425+Z426+Z427, "NA")</f>
        <v>51721.99</v>
      </c>
      <c r="AA429" s="15">
        <f>IFERROR(Z429/Z444, "NA")</f>
        <v>3.115499057242406E-2</v>
      </c>
      <c r="AB429" s="2"/>
      <c r="AC429" s="14">
        <f t="shared" si="103"/>
        <v>16506.18</v>
      </c>
      <c r="AD429" s="15">
        <f>IFERROR(AC429/AC444, "NA")</f>
        <v>0.1013958766126505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18477.190000000024</v>
      </c>
      <c r="C443" s="24">
        <f>IFERROR(B443/B444, "NA")</f>
        <v>0.10240593557033081</v>
      </c>
      <c r="D443" s="25"/>
      <c r="E443" s="23">
        <f>IFERROR(E404-E429-E442, "NA")</f>
        <v>48759.979999999996</v>
      </c>
      <c r="F443" s="24">
        <f>IFERROR(E443/E444, "NA")</f>
        <v>0.22512133518613744</v>
      </c>
      <c r="G443" s="25"/>
      <c r="H443" s="23">
        <f>IFERROR(B443-E443, "NA")</f>
        <v>-30282.789999999972</v>
      </c>
      <c r="I443" s="24">
        <f>IFERROR(H443/H444, "NA")</f>
        <v>0.83738849559651041</v>
      </c>
      <c r="J443" s="25"/>
      <c r="K443" s="23">
        <f>IFERROR(K404-K429-K442, "NA")</f>
        <v>31916.490000000013</v>
      </c>
      <c r="L443" s="24">
        <f>IFERROR(K443/K444, "NA")</f>
        <v>0.15840755699055681</v>
      </c>
      <c r="M443" s="25"/>
      <c r="N443" s="23">
        <f>IFERROR(B443-K443, "NA")</f>
        <v>-13439.299999999988</v>
      </c>
      <c r="O443" s="24">
        <f>IFERROR(N443/N444, "NA")</f>
        <v>0.63836983013442983</v>
      </c>
      <c r="P443" s="25"/>
      <c r="Q443" s="23">
        <f>IFERROR(Q404-Q429-Q442, "NA")</f>
        <v>183489.14999999985</v>
      </c>
      <c r="R443" s="24">
        <f>IFERROR(Q443/Q444, "NA")</f>
        <v>0.10065558914292587</v>
      </c>
      <c r="S443" s="25"/>
      <c r="T443" s="23">
        <f>IFERROR(T404-T429-T442, "NA")</f>
        <v>308421.92000000016</v>
      </c>
      <c r="U443" s="24">
        <f>IFERROR(T443/T444, "NA")</f>
        <v>0.16937241376367623</v>
      </c>
      <c r="V443" s="25"/>
      <c r="W443" s="23">
        <f>IFERROR(Q443-T443, "NA")</f>
        <v>-124932.77000000031</v>
      </c>
      <c r="X443" s="24">
        <f>IFERROR(W443/W444, "NA")</f>
        <v>-63.370363231498366</v>
      </c>
      <c r="Y443" s="25"/>
      <c r="Z443" s="23">
        <f>IFERROR(Z404-Z429-Z442, "NA")</f>
        <v>199903.30999999997</v>
      </c>
      <c r="AA443" s="24">
        <f>IFERROR(Z443/Z444, "NA")</f>
        <v>0.12041272461570723</v>
      </c>
      <c r="AB443" s="25"/>
      <c r="AC443" s="23">
        <f>IFERROR(Q443-Z443, "NA")</f>
        <v>-16414.16000000012</v>
      </c>
      <c r="AD443" s="24">
        <f>IFERROR(AC443/AC444, "NA")</f>
        <v>-0.10083060660069837</v>
      </c>
    </row>
    <row r="444" spans="1:30" ht="15.75" hidden="1" x14ac:dyDescent="0.45">
      <c r="A444" s="26" t="s">
        <v>117</v>
      </c>
      <c r="B444" s="7">
        <v>180430.85</v>
      </c>
      <c r="C444" s="27"/>
      <c r="D444" s="9"/>
      <c r="E444" s="7">
        <v>216594.22</v>
      </c>
      <c r="F444" s="27"/>
      <c r="G444" s="9"/>
      <c r="H444" s="10">
        <f>IFERROR(B444-E444, "NA")</f>
        <v>-36163.369999999995</v>
      </c>
      <c r="I444" s="27"/>
      <c r="J444" s="9"/>
      <c r="K444" s="7">
        <v>201483.38</v>
      </c>
      <c r="L444" s="27"/>
      <c r="M444" s="9"/>
      <c r="N444" s="10">
        <f>IFERROR(B444-K444, "NA")</f>
        <v>-21052.53</v>
      </c>
      <c r="O444" s="27"/>
      <c r="P444" s="9"/>
      <c r="Q444" s="7">
        <v>1822940.5</v>
      </c>
      <c r="R444" s="27"/>
      <c r="S444" s="9"/>
      <c r="T444" s="7">
        <v>1820969.03</v>
      </c>
      <c r="U444" s="27"/>
      <c r="V444" s="9"/>
      <c r="W444" s="10">
        <f>IFERROR(Q444-T444, "NA")</f>
        <v>1971.4699999999721</v>
      </c>
      <c r="X444" s="27"/>
      <c r="Y444" s="9"/>
      <c r="Z444" s="7">
        <v>1660151.04</v>
      </c>
      <c r="AA444" s="27"/>
      <c r="AB444" s="9"/>
      <c r="AC444" s="10">
        <f>IFERROR(Q444-Z444, "NA")</f>
        <v>162789.45999999996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60617.25</v>
      </c>
      <c r="F10" s="8">
        <f>IFERROR(E10/E444, "NA")</f>
        <v>0.49399993480404542</v>
      </c>
      <c r="G10" s="9"/>
      <c r="H10" s="10">
        <f t="shared" ref="H10:H19" si="0">IFERROR(B10-E10, "NA")</f>
        <v>-60617.25</v>
      </c>
      <c r="I10" s="8">
        <f>IFERROR(H10/H444, "NA")</f>
        <v>3.2656971491465545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533176.21</v>
      </c>
      <c r="U10" s="8">
        <f>IFERROR(T10/T444, "NA")</f>
        <v>0.49400001319368725</v>
      </c>
      <c r="V10" s="9"/>
      <c r="W10" s="10">
        <f t="shared" ref="W10:W19" si="2">IFERROR(Q10-T10, "NA")</f>
        <v>-533176.21</v>
      </c>
      <c r="X10" s="8">
        <f>IFERROR(W10/W444, "NA")</f>
        <v>6.2286336475942994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37446.050000000003</v>
      </c>
      <c r="C11" s="8">
        <f>IFERROR(B11/B444, "NA")</f>
        <v>0.3595562118615368</v>
      </c>
      <c r="D11" s="9"/>
      <c r="E11" s="7">
        <v>0</v>
      </c>
      <c r="F11" s="8">
        <f>IFERROR(E11/E444, "NA")</f>
        <v>0</v>
      </c>
      <c r="G11" s="9"/>
      <c r="H11" s="10">
        <f t="shared" si="0"/>
        <v>37446.050000000003</v>
      </c>
      <c r="I11" s="8">
        <f>IFERROR(H11/H444, "NA")</f>
        <v>-2.0173706120254442</v>
      </c>
      <c r="J11" s="9"/>
      <c r="K11" s="7">
        <v>40385.480000000003</v>
      </c>
      <c r="L11" s="8">
        <f>IFERROR(K11/K444, "NA")</f>
        <v>0.35709559570238331</v>
      </c>
      <c r="M11" s="9"/>
      <c r="N11" s="10">
        <f t="shared" si="1"/>
        <v>-2939.4300000000003</v>
      </c>
      <c r="O11" s="8">
        <f>IFERROR(N11/N444, "NA")</f>
        <v>0.32846022849174017</v>
      </c>
      <c r="P11" s="9"/>
      <c r="Q11" s="7">
        <v>429139.08</v>
      </c>
      <c r="R11" s="8">
        <f>IFERROR(Q11/Q444, "NA")</f>
        <v>0.43185840166502032</v>
      </c>
      <c r="S11" s="9"/>
      <c r="T11" s="7">
        <v>0</v>
      </c>
      <c r="U11" s="8">
        <f>IFERROR(T11/T444, "NA")</f>
        <v>0</v>
      </c>
      <c r="V11" s="9"/>
      <c r="W11" s="10">
        <f t="shared" si="2"/>
        <v>429139.08</v>
      </c>
      <c r="X11" s="8">
        <f>IFERROR(W11/W444, "NA")</f>
        <v>-5.0132583994804678</v>
      </c>
      <c r="Y11" s="9"/>
      <c r="Z11" s="7">
        <v>431934.61</v>
      </c>
      <c r="AA11" s="8">
        <f>IFERROR(Z11/Z444, "NA")</f>
        <v>0.45277458822119582</v>
      </c>
      <c r="AB11" s="9"/>
      <c r="AC11" s="10">
        <f t="shared" si="3"/>
        <v>-2795.5299999999697</v>
      </c>
      <c r="AD11" s="8">
        <f>IFERROR(AC11/AC444, "NA")</f>
        <v>-7.0362351524571848E-2</v>
      </c>
    </row>
    <row r="12" spans="1:30" ht="16.5" customHeight="1" x14ac:dyDescent="0.45">
      <c r="A12" s="12" t="s">
        <v>14</v>
      </c>
      <c r="B12" s="7">
        <v>3464.4</v>
      </c>
      <c r="C12" s="8">
        <f>IFERROR(B12/B444, "NA")</f>
        <v>3.3265098464941106E-2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3464.4</v>
      </c>
      <c r="I12" s="8">
        <f>IFERROR(H12/H444, "NA")</f>
        <v>-0.18664128121126122</v>
      </c>
      <c r="J12" s="9"/>
      <c r="K12" s="7">
        <v>4288.05</v>
      </c>
      <c r="L12" s="8">
        <f>IFERROR(K12/K444, "NA")</f>
        <v>3.7915700621896899E-2</v>
      </c>
      <c r="M12" s="9"/>
      <c r="N12" s="10">
        <f t="shared" si="1"/>
        <v>-823.65000000000009</v>
      </c>
      <c r="O12" s="8">
        <f>IFERROR(N12/N444, "NA")</f>
        <v>9.2036982407208812E-2</v>
      </c>
      <c r="P12" s="9"/>
      <c r="Q12" s="7">
        <v>41349</v>
      </c>
      <c r="R12" s="8">
        <f>IFERROR(Q12/Q444, "NA")</f>
        <v>4.1611015828357849E-2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41349</v>
      </c>
      <c r="X12" s="8">
        <f>IFERROR(W12/W444, "NA")</f>
        <v>-0.48304438169583125</v>
      </c>
      <c r="Y12" s="9"/>
      <c r="Z12" s="7">
        <v>44191.199999999997</v>
      </c>
      <c r="AA12" s="8">
        <f>IFERROR(Z12/Z444, "NA")</f>
        <v>4.6323336726826557E-2</v>
      </c>
      <c r="AB12" s="9"/>
      <c r="AC12" s="10">
        <f t="shared" si="3"/>
        <v>-2842.1999999999971</v>
      </c>
      <c r="AD12" s="8">
        <f>IFERROR(AC12/AC444, "NA")</f>
        <v>-7.1537016416615112E-2</v>
      </c>
    </row>
    <row r="13" spans="1:30" ht="16.5" customHeight="1" x14ac:dyDescent="0.45">
      <c r="A13" s="12" t="s">
        <v>15</v>
      </c>
      <c r="B13" s="7">
        <v>91</v>
      </c>
      <c r="C13" s="8">
        <f>IFERROR(B13/B444, "NA")</f>
        <v>8.737801524967212E-4</v>
      </c>
      <c r="D13" s="9"/>
      <c r="E13" s="7">
        <v>0</v>
      </c>
      <c r="F13" s="8">
        <f>IFERROR(E13/E444, "NA")</f>
        <v>0</v>
      </c>
      <c r="G13" s="9"/>
      <c r="H13" s="10">
        <f t="shared" si="0"/>
        <v>91</v>
      </c>
      <c r="I13" s="8">
        <f>IFERROR(H13/H444, "NA")</f>
        <v>-4.9025391381551696E-3</v>
      </c>
      <c r="J13" s="9"/>
      <c r="K13" s="7">
        <v>14.5</v>
      </c>
      <c r="L13" s="8">
        <f>IFERROR(K13/K444, "NA")</f>
        <v>1.2821157846049018E-4</v>
      </c>
      <c r="M13" s="9"/>
      <c r="N13" s="10">
        <f t="shared" si="1"/>
        <v>76.5</v>
      </c>
      <c r="O13" s="8">
        <f>IFERROR(N13/N444, "NA")</f>
        <v>-8.5483265393692387E-3</v>
      </c>
      <c r="P13" s="9"/>
      <c r="Q13" s="7">
        <v>1504.5</v>
      </c>
      <c r="R13" s="8">
        <f>IFERROR(Q13/Q444, "NA")</f>
        <v>1.5140335513256519E-3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1504.5</v>
      </c>
      <c r="X13" s="8">
        <f>IFERROR(W13/W444, "NA")</f>
        <v>-1.7575764160230673E-2</v>
      </c>
      <c r="Y13" s="9"/>
      <c r="Z13" s="7">
        <v>1120.5</v>
      </c>
      <c r="AA13" s="8">
        <f>IFERROR(Z13/Z444, "NA")</f>
        <v>1.1745618766272282E-3</v>
      </c>
      <c r="AB13" s="9"/>
      <c r="AC13" s="10">
        <f t="shared" si="3"/>
        <v>384</v>
      </c>
      <c r="AD13" s="8">
        <f>IFERROR(AC13/AC444, "NA")</f>
        <v>9.6651236028359126E-3</v>
      </c>
    </row>
    <row r="14" spans="1:30" ht="16.5" customHeight="1" x14ac:dyDescent="0.45">
      <c r="A14" s="12" t="s">
        <v>16</v>
      </c>
      <c r="B14" s="7">
        <v>240</v>
      </c>
      <c r="C14" s="8">
        <f>IFERROR(B14/B444, "NA")</f>
        <v>2.30447512746388E-3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240</v>
      </c>
      <c r="I14" s="8">
        <f>IFERROR(H14/H444, "NA")</f>
        <v>-1.2929773551178469E-2</v>
      </c>
      <c r="J14" s="9"/>
      <c r="K14" s="7">
        <v>375</v>
      </c>
      <c r="L14" s="8">
        <f>IFERROR(K14/K444, "NA")</f>
        <v>3.3158166843230224E-3</v>
      </c>
      <c r="M14" s="9"/>
      <c r="N14" s="10">
        <f t="shared" si="1"/>
        <v>-135</v>
      </c>
      <c r="O14" s="8">
        <f>IFERROR(N14/N444, "NA")</f>
        <v>1.5085282128298657E-2</v>
      </c>
      <c r="P14" s="9"/>
      <c r="Q14" s="7">
        <v>2675</v>
      </c>
      <c r="R14" s="8">
        <f>IFERROR(Q14/Q444, "NA")</f>
        <v>2.6919506479203183E-3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2675</v>
      </c>
      <c r="X14" s="8">
        <f>IFERROR(W14/W444, "NA")</f>
        <v>-3.124969699476042E-2</v>
      </c>
      <c r="Y14" s="9"/>
      <c r="Z14" s="7">
        <v>5835</v>
      </c>
      <c r="AA14" s="8">
        <f>IFERROR(Z14/Z444, "NA")</f>
        <v>6.1165270416063148E-3</v>
      </c>
      <c r="AB14" s="9"/>
      <c r="AC14" s="10">
        <f t="shared" si="3"/>
        <v>-3160</v>
      </c>
      <c r="AD14" s="8">
        <f>IFERROR(AC14/AC444, "NA")</f>
        <v>-7.9535912981670537E-2</v>
      </c>
    </row>
    <row r="15" spans="1:30" ht="16.5" customHeight="1" x14ac:dyDescent="0.45">
      <c r="A15" s="12" t="s">
        <v>17</v>
      </c>
      <c r="B15" s="7">
        <v>23</v>
      </c>
      <c r="C15" s="8">
        <f>IFERROR(B15/B444, "NA")</f>
        <v>2.2084553304862182E-4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23</v>
      </c>
      <c r="I15" s="8">
        <f>IFERROR(H15/H444, "NA")</f>
        <v>-1.2391032986546033E-3</v>
      </c>
      <c r="J15" s="9"/>
      <c r="K15" s="7">
        <v>22.5</v>
      </c>
      <c r="L15" s="8">
        <f>IFERROR(K15/K444, "NA")</f>
        <v>1.9894900105938134E-4</v>
      </c>
      <c r="M15" s="9"/>
      <c r="N15" s="10">
        <f t="shared" si="1"/>
        <v>0.5</v>
      </c>
      <c r="O15" s="8">
        <f>IFERROR(N15/N444, "NA")</f>
        <v>-5.5871415289995021E-5</v>
      </c>
      <c r="P15" s="9"/>
      <c r="Q15" s="7">
        <v>281</v>
      </c>
      <c r="R15" s="8">
        <f>IFERROR(Q15/Q444, "NA")</f>
        <v>2.8278061011798483E-4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281</v>
      </c>
      <c r="X15" s="8">
        <f>IFERROR(W15/W444, "NA")</f>
        <v>-3.2826784506645528E-3</v>
      </c>
      <c r="Y15" s="9"/>
      <c r="Z15" s="7">
        <v>397.5</v>
      </c>
      <c r="AA15" s="8">
        <f>IFERROR(Z15/Z444, "NA")</f>
        <v>4.1667857738449191E-4</v>
      </c>
      <c r="AB15" s="9"/>
      <c r="AC15" s="10">
        <f t="shared" si="3"/>
        <v>-116.5</v>
      </c>
      <c r="AD15" s="8">
        <f>IFERROR(AC15/AC444, "NA")</f>
        <v>-2.9322575513812078E-3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1.1069703598924675E-6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-1.2850342689434193E-5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2.7686551987290378E-5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41264.450000000004</v>
      </c>
      <c r="C18" s="15">
        <f>IFERROR(B18/B444, "NA")</f>
        <v>0.39622041113948714</v>
      </c>
      <c r="D18" s="2"/>
      <c r="E18" s="14">
        <f>IFERROR(E10+E11+E12+E13+E14+E15+E16+E17, "NA")</f>
        <v>60617.25</v>
      </c>
      <c r="F18" s="15">
        <f>IFERROR(E18/E444, "NA")</f>
        <v>0.49399993480404542</v>
      </c>
      <c r="G18" s="2"/>
      <c r="H18" s="14">
        <f t="shared" si="0"/>
        <v>-19352.799999999996</v>
      </c>
      <c r="I18" s="15">
        <f>IFERROR(H18/H444, "NA")</f>
        <v>1.042613839921861</v>
      </c>
      <c r="J18" s="2"/>
      <c r="K18" s="14">
        <f>IFERROR(K10+K11+K12+K13+K14+K15+K16+K17, "NA")</f>
        <v>45085.530000000006</v>
      </c>
      <c r="L18" s="15">
        <f>IFERROR(K18/K444, "NA")</f>
        <v>0.39865427358812311</v>
      </c>
      <c r="M18" s="2"/>
      <c r="N18" s="14">
        <f t="shared" si="1"/>
        <v>-3821.0800000000017</v>
      </c>
      <c r="O18" s="15">
        <f>IFERROR(N18/N444, "NA")</f>
        <v>0.42697829507258855</v>
      </c>
      <c r="P18" s="2"/>
      <c r="Q18" s="14">
        <f>IFERROR(Q10+Q11+Q12+Q13+Q14+Q15+Q16+Q17, "NA")</f>
        <v>474949.68</v>
      </c>
      <c r="R18" s="15">
        <f>IFERROR(Q18/Q444, "NA")</f>
        <v>0.47795928927310199</v>
      </c>
      <c r="S18" s="2"/>
      <c r="T18" s="14">
        <f>IFERROR(T10+T11+T12+T13+T14+T15+T16+T17, "NA")</f>
        <v>533176.21</v>
      </c>
      <c r="U18" s="15">
        <f>IFERROR(T18/T444, "NA")</f>
        <v>0.49400001319368725</v>
      </c>
      <c r="V18" s="2"/>
      <c r="W18" s="14">
        <f t="shared" si="2"/>
        <v>-58226.52999999997</v>
      </c>
      <c r="X18" s="15">
        <f>IFERROR(W18/W444, "NA")</f>
        <v>0.68020987646965481</v>
      </c>
      <c r="Y18" s="2"/>
      <c r="Z18" s="14">
        <f>IFERROR(Z10+Z11+Z12+Z13+Z14+Z15+Z16+Z17, "NA")</f>
        <v>483478.81</v>
      </c>
      <c r="AA18" s="15">
        <f>IFERROR(Z18/Z444, "NA")</f>
        <v>0.50680569244364038</v>
      </c>
      <c r="AB18" s="2"/>
      <c r="AC18" s="14">
        <f t="shared" si="3"/>
        <v>-8529.1300000000047</v>
      </c>
      <c r="AD18" s="15">
        <f>IFERROR(AC18/AC444, "NA")</f>
        <v>-0.21467472831941645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9571.15</v>
      </c>
      <c r="F21" s="8">
        <f>IFERROR(E21/E444, "NA")</f>
        <v>7.800003259797729E-2</v>
      </c>
      <c r="G21" s="9"/>
      <c r="H21" s="10">
        <f t="shared" ref="H21:H29" si="4">IFERROR(B21-E21, "NA")</f>
        <v>-9571.15</v>
      </c>
      <c r="I21" s="8">
        <f>IFERROR(H21/H444, "NA")</f>
        <v>0.51563667551817416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84185.72</v>
      </c>
      <c r="U21" s="8">
        <f>IFERROR(T21/T444, "NA")</f>
        <v>7.8000004521432159E-2</v>
      </c>
      <c r="V21" s="9"/>
      <c r="W21" s="10">
        <f t="shared" ref="W21:W29" si="6">IFERROR(Q21-T21, "NA")</f>
        <v>-84185.72</v>
      </c>
      <c r="X21" s="8">
        <f>IFERROR(W21/W444, "NA")</f>
        <v>0.98346850141523079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5296.05</v>
      </c>
      <c r="C22" s="8">
        <f>IFERROR(B22/B444, "NA")</f>
        <v>5.0852564578354506E-2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5296.05</v>
      </c>
      <c r="I22" s="8">
        <f>IFERROR(H22/H444, "NA")</f>
        <v>-0.2853196967321614</v>
      </c>
      <c r="J22" s="9"/>
      <c r="K22" s="7">
        <v>6425.33</v>
      </c>
      <c r="L22" s="8">
        <f>IFERROR(K22/K444, "NA")</f>
        <v>5.6813910443416653E-2</v>
      </c>
      <c r="M22" s="9"/>
      <c r="N22" s="10">
        <f t="shared" si="5"/>
        <v>-1129.2799999999997</v>
      </c>
      <c r="O22" s="8">
        <f>IFERROR(N22/N444, "NA")</f>
        <v>0.12618894371737113</v>
      </c>
      <c r="P22" s="9"/>
      <c r="Q22" s="7">
        <v>63104.08</v>
      </c>
      <c r="R22" s="8">
        <f>IFERROR(Q22/Q444, "NA")</f>
        <v>6.3503951043893683E-2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63104.08</v>
      </c>
      <c r="X22" s="8">
        <f>IFERROR(W22/W444, "NA")</f>
        <v>-0.73719004827406398</v>
      </c>
      <c r="Y22" s="9"/>
      <c r="Z22" s="7">
        <v>57626.879999999997</v>
      </c>
      <c r="AA22" s="8">
        <f>IFERROR(Z22/Z444, "NA")</f>
        <v>6.0407261327061201E-2</v>
      </c>
      <c r="AB22" s="9"/>
      <c r="AC22" s="10">
        <f t="shared" si="7"/>
        <v>5477.2000000000044</v>
      </c>
      <c r="AD22" s="8">
        <f>IFERROR(AC22/AC444, "NA")</f>
        <v>0.13785889322253361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655.69</v>
      </c>
      <c r="C24" s="8">
        <f>IFERROR(B24/B444, "NA")</f>
        <v>6.2959220680282981E-3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655.69</v>
      </c>
      <c r="I24" s="8">
        <f>IFERROR(H24/H444, "NA")</f>
        <v>-3.5324680082384215E-2</v>
      </c>
      <c r="J24" s="9"/>
      <c r="K24" s="7">
        <v>1404.52</v>
      </c>
      <c r="L24" s="8">
        <f>IFERROR(K24/K444, "NA")</f>
        <v>1.2419015598574322E-2</v>
      </c>
      <c r="M24" s="9"/>
      <c r="N24" s="10">
        <f t="shared" si="5"/>
        <v>-748.82999999999993</v>
      </c>
      <c r="O24" s="8">
        <f>IFERROR(N24/N444, "NA")</f>
        <v>8.3676383823213935E-2</v>
      </c>
      <c r="P24" s="9"/>
      <c r="Q24" s="7">
        <v>9534.8799999999992</v>
      </c>
      <c r="R24" s="8">
        <f>IFERROR(Q24/Q444, "NA")</f>
        <v>9.5952995864831709E-3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9534.8799999999992</v>
      </c>
      <c r="X24" s="8">
        <f>IFERROR(W24/W444, "NA")</f>
        <v>-0.11138770500239298</v>
      </c>
      <c r="Y24" s="9"/>
      <c r="Z24" s="7">
        <v>5634.68</v>
      </c>
      <c r="AA24" s="8">
        <f>IFERROR(Z24/Z444, "NA")</f>
        <v>5.9065420035644004E-3</v>
      </c>
      <c r="AB24" s="9"/>
      <c r="AC24" s="10">
        <f t="shared" si="7"/>
        <v>3900.1999999999989</v>
      </c>
      <c r="AD24" s="8">
        <f>IFERROR(AC24/AC444, "NA")</f>
        <v>9.8166445509845351E-2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1442.63</v>
      </c>
      <c r="AA27" s="8">
        <f>IFERROR(Z27/Z444, "NA")</f>
        <v>1.5122340027476468E-3</v>
      </c>
      <c r="AB27" s="9"/>
      <c r="AC27" s="10">
        <f t="shared" si="7"/>
        <v>-1442.63</v>
      </c>
      <c r="AD27" s="8">
        <f>IFERROR(AC27/AC444, "NA")</f>
        <v>-3.6310409539477013E-2</v>
      </c>
    </row>
    <row r="28" spans="1:30" ht="16.5" customHeight="1" x14ac:dyDescent="0.45">
      <c r="A28" s="12" t="s">
        <v>29</v>
      </c>
      <c r="B28" s="7">
        <v>868.55</v>
      </c>
      <c r="C28" s="8">
        <f>IFERROR(B28/B444, "NA")</f>
        <v>8.339799466494803E-3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868.55</v>
      </c>
      <c r="I28" s="8">
        <f>IFERROR(H28/H444, "NA")</f>
        <v>-4.6792311741150248E-2</v>
      </c>
      <c r="J28" s="9"/>
      <c r="K28" s="7">
        <v>910.62</v>
      </c>
      <c r="L28" s="8">
        <f>IFERROR(K28/K444, "NA")</f>
        <v>8.0518639708752806E-3</v>
      </c>
      <c r="M28" s="9"/>
      <c r="N28" s="10">
        <f t="shared" si="5"/>
        <v>-42.07000000000005</v>
      </c>
      <c r="O28" s="8">
        <f>IFERROR(N28/N444, "NA")</f>
        <v>4.7010208825001868E-3</v>
      </c>
      <c r="P28" s="9"/>
      <c r="Q28" s="7">
        <v>8720.1200000000008</v>
      </c>
      <c r="R28" s="8">
        <f>IFERROR(Q28/Q444, "NA")</f>
        <v>8.7753767042777295E-3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8720.1200000000008</v>
      </c>
      <c r="X28" s="8">
        <f>IFERROR(W28/W444, "NA")</f>
        <v>-0.10186957299362627</v>
      </c>
      <c r="Y28" s="9"/>
      <c r="Z28" s="7">
        <v>8596.98</v>
      </c>
      <c r="AA28" s="8">
        <f>IFERROR(Z28/Z444, "NA")</f>
        <v>9.0117670344727775E-3</v>
      </c>
      <c r="AB28" s="9"/>
      <c r="AC28" s="10">
        <f t="shared" si="7"/>
        <v>123.14000000000124</v>
      </c>
      <c r="AD28" s="8">
        <f>IFERROR(AC28/AC444, "NA")</f>
        <v>3.09938364701361E-3</v>
      </c>
    </row>
    <row r="29" spans="1:30" ht="16.5" customHeight="1" x14ac:dyDescent="0.45">
      <c r="A29" s="13" t="s">
        <v>30</v>
      </c>
      <c r="B29" s="14">
        <f>IFERROR(B21+B22+B23+B24+B25+B26+B27+B28, "NA")</f>
        <v>6820.29</v>
      </c>
      <c r="C29" s="15">
        <f>IFERROR(B29/B444, "NA")</f>
        <v>6.5488286112877603E-2</v>
      </c>
      <c r="D29" s="2"/>
      <c r="E29" s="14">
        <f>IFERROR(E21+E22+E23+E24+E25+E26+E27+E28, "NA")</f>
        <v>9571.15</v>
      </c>
      <c r="F29" s="15">
        <f>IFERROR(E29/E444, "NA")</f>
        <v>7.800003259797729E-2</v>
      </c>
      <c r="G29" s="2"/>
      <c r="H29" s="14">
        <f t="shared" si="4"/>
        <v>-2750.8599999999997</v>
      </c>
      <c r="I29" s="15">
        <f>IFERROR(H29/H444, "NA")</f>
        <v>0.14819998696247833</v>
      </c>
      <c r="J29" s="2"/>
      <c r="K29" s="14">
        <f>IFERROR(K21+K22+K23+K24+K25+K26+K27+K28, "NA")</f>
        <v>8740.4700000000012</v>
      </c>
      <c r="L29" s="15">
        <f>IFERROR(K29/K444, "NA")</f>
        <v>7.728479001286627E-2</v>
      </c>
      <c r="M29" s="2"/>
      <c r="N29" s="14">
        <f t="shared" si="5"/>
        <v>-1920.1800000000012</v>
      </c>
      <c r="O29" s="15">
        <f>IFERROR(N29/N444, "NA")</f>
        <v>0.21456634842308542</v>
      </c>
      <c r="P29" s="2"/>
      <c r="Q29" s="14">
        <f>IFERROR(Q21+Q22+Q23+Q24+Q25+Q26+Q27+Q28, "NA")</f>
        <v>81359.08</v>
      </c>
      <c r="R29" s="15">
        <f>IFERROR(Q29/Q444, "NA")</f>
        <v>8.1874627334654587E-2</v>
      </c>
      <c r="S29" s="2"/>
      <c r="T29" s="14">
        <f>IFERROR(T21+T22+T23+T24+T25+T26+T27+T28, "NA")</f>
        <v>84185.72</v>
      </c>
      <c r="U29" s="15">
        <f>IFERROR(T29/T444, "NA")</f>
        <v>7.8000004521432159E-2</v>
      </c>
      <c r="V29" s="2"/>
      <c r="W29" s="14">
        <f t="shared" si="6"/>
        <v>-2826.6399999999994</v>
      </c>
      <c r="X29" s="15">
        <f>IFERROR(W29/W444, "NA")</f>
        <v>3.3021175145147505E-2</v>
      </c>
      <c r="Y29" s="2"/>
      <c r="Z29" s="14">
        <f>IFERROR(Z21+Z22+Z23+Z24+Z25+Z26+Z27+Z28, "NA")</f>
        <v>73301.17</v>
      </c>
      <c r="AA29" s="15">
        <f>IFERROR(Z29/Z444, "NA")</f>
        <v>7.6837804367846027E-2</v>
      </c>
      <c r="AB29" s="2"/>
      <c r="AC29" s="14">
        <f t="shared" si="7"/>
        <v>8057.9100000000035</v>
      </c>
      <c r="AD29" s="15">
        <f>IFERROR(AC29/AC444, "NA")</f>
        <v>0.20281431283991552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29817.8</v>
      </c>
      <c r="F31" s="8">
        <f>IFERROR(E31/E444, "NA")</f>
        <v>0.24299999185050566</v>
      </c>
      <c r="G31" s="9"/>
      <c r="H31" s="10">
        <f t="shared" ref="H31:H40" si="8">IFERROR(B31-E31, "NA")</f>
        <v>-29817.8</v>
      </c>
      <c r="I31" s="8">
        <f>IFERROR(H31/H444, "NA")</f>
        <v>1.6064058408097057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262270.88</v>
      </c>
      <c r="U31" s="8">
        <f>IFERROR(T31/T444, "NA")</f>
        <v>0.24299999840638045</v>
      </c>
      <c r="V31" s="9"/>
      <c r="W31" s="10">
        <f t="shared" ref="W31:W40" si="10">IFERROR(Q31-T31, "NA")</f>
        <v>-262270.88</v>
      </c>
      <c r="X31" s="8">
        <f>IFERROR(W31/W444, "NA")</f>
        <v>3.0638824413267929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9694.35</v>
      </c>
      <c r="C33" s="8">
        <f>IFERROR(B33/B444, "NA")</f>
        <v>9.3084951883039432E-2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9694.35</v>
      </c>
      <c r="I33" s="8">
        <f>IFERROR(H33/H444, "NA")</f>
        <v>-0.52227395927444586</v>
      </c>
      <c r="J33" s="9"/>
      <c r="K33" s="7">
        <v>15921.08</v>
      </c>
      <c r="L33" s="8">
        <f>IFERROR(K33/K444, "NA")</f>
        <v>0.14077702052384422</v>
      </c>
      <c r="M33" s="9"/>
      <c r="N33" s="10">
        <f t="shared" si="9"/>
        <v>-6226.73</v>
      </c>
      <c r="O33" s="8">
        <f>IFERROR(N33/N444, "NA")</f>
        <v>0.69579243545734137</v>
      </c>
      <c r="P33" s="9"/>
      <c r="Q33" s="7">
        <v>104793.65</v>
      </c>
      <c r="R33" s="8">
        <f>IFERROR(Q33/Q444, "NA")</f>
        <v>0.10545769495904114</v>
      </c>
      <c r="S33" s="9"/>
      <c r="T33" s="7">
        <v>0</v>
      </c>
      <c r="U33" s="8">
        <f>IFERROR(T33/T444, "NA")</f>
        <v>0</v>
      </c>
      <c r="V33" s="9"/>
      <c r="W33" s="10">
        <f t="shared" si="10"/>
        <v>104793.65</v>
      </c>
      <c r="X33" s="8">
        <f>IFERROR(W33/W444, "NA")</f>
        <v>-1.2242130128878412</v>
      </c>
      <c r="Y33" s="9"/>
      <c r="Z33" s="7">
        <v>86516.47</v>
      </c>
      <c r="AA33" s="8">
        <f>IFERROR(Z33/Z444, "NA")</f>
        <v>9.069071607529075E-2</v>
      </c>
      <c r="AB33" s="9"/>
      <c r="AC33" s="10">
        <f t="shared" si="11"/>
        <v>18277.179999999993</v>
      </c>
      <c r="AD33" s="8">
        <f>IFERROR(AC33/AC444, "NA")</f>
        <v>0.46002917659187609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735.04</v>
      </c>
      <c r="C35" s="8">
        <f>IFERROR(B35/B444, "NA")</f>
        <v>7.0578391570460426E-3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735.04</v>
      </c>
      <c r="I35" s="8">
        <f>IFERROR(H35/H444, "NA")</f>
        <v>-3.9599586462742593E-2</v>
      </c>
      <c r="J35" s="9"/>
      <c r="K35" s="7">
        <v>1144.4000000000001</v>
      </c>
      <c r="L35" s="8">
        <f>IFERROR(K35/K444, "NA")</f>
        <v>1.0118988302771378E-2</v>
      </c>
      <c r="M35" s="9"/>
      <c r="N35" s="10">
        <f t="shared" si="9"/>
        <v>-409.36000000000013</v>
      </c>
      <c r="O35" s="8">
        <f>IFERROR(N35/N444, "NA")</f>
        <v>4.5743045126224742E-2</v>
      </c>
      <c r="P35" s="9"/>
      <c r="Q35" s="7">
        <v>12571.47</v>
      </c>
      <c r="R35" s="8">
        <f>IFERROR(Q35/Q444, "NA")</f>
        <v>1.265113151843396E-2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12571.47</v>
      </c>
      <c r="X35" s="8">
        <f>IFERROR(W35/W444, "NA")</f>
        <v>-0.14686154328176476</v>
      </c>
      <c r="Y35" s="9"/>
      <c r="Z35" s="7">
        <v>3450.7</v>
      </c>
      <c r="AA35" s="8">
        <f>IFERROR(Z35/Z444, "NA")</f>
        <v>3.6171893508947575E-3</v>
      </c>
      <c r="AB35" s="9"/>
      <c r="AC35" s="10">
        <f t="shared" si="11"/>
        <v>9120.77</v>
      </c>
      <c r="AD35" s="8">
        <f>IFERROR(AC35/AC444, "NA")</f>
        <v>0.22956606615374406</v>
      </c>
    </row>
    <row r="36" spans="1:30" ht="16.5" customHeight="1" x14ac:dyDescent="0.45">
      <c r="A36" s="12" t="s">
        <v>36</v>
      </c>
      <c r="B36" s="7">
        <v>11959.62</v>
      </c>
      <c r="C36" s="8">
        <f>IFERROR(B36/B444, "NA")</f>
        <v>0.11483602843299821</v>
      </c>
      <c r="D36" s="9"/>
      <c r="E36" s="7">
        <v>0</v>
      </c>
      <c r="F36" s="8">
        <f>IFERROR(E36/E444, "NA")</f>
        <v>0</v>
      </c>
      <c r="G36" s="9"/>
      <c r="H36" s="10">
        <f t="shared" si="8"/>
        <v>11959.62</v>
      </c>
      <c r="I36" s="8">
        <f>IFERROR(H36/H444, "NA")</f>
        <v>-0.64431324315893779</v>
      </c>
      <c r="J36" s="9"/>
      <c r="K36" s="7">
        <v>17141.71</v>
      </c>
      <c r="L36" s="8">
        <f>IFERROR(K36/K444, "NA")</f>
        <v>0.15157004804220478</v>
      </c>
      <c r="M36" s="9"/>
      <c r="N36" s="10">
        <f t="shared" si="9"/>
        <v>-5182.0899999999983</v>
      </c>
      <c r="O36" s="8">
        <f>IFERROR(N36/N444, "NA")</f>
        <v>0.57906140492026048</v>
      </c>
      <c r="P36" s="9"/>
      <c r="Q36" s="7">
        <v>124881.06</v>
      </c>
      <c r="R36" s="8">
        <f>IFERROR(Q36/Q444, "NA")</f>
        <v>0.12567239266541164</v>
      </c>
      <c r="S36" s="9"/>
      <c r="T36" s="7">
        <v>0</v>
      </c>
      <c r="U36" s="8">
        <f>IFERROR(T36/T444, "NA")</f>
        <v>0</v>
      </c>
      <c r="V36" s="9"/>
      <c r="W36" s="10">
        <f t="shared" si="10"/>
        <v>124881.06</v>
      </c>
      <c r="X36" s="8">
        <f>IFERROR(W36/W444, "NA")</f>
        <v>-1.4588767421998114</v>
      </c>
      <c r="Y36" s="9"/>
      <c r="Z36" s="7">
        <v>130082.98</v>
      </c>
      <c r="AA36" s="8">
        <f>IFERROR(Z36/Z444, "NA")</f>
        <v>0.13635922276310769</v>
      </c>
      <c r="AB36" s="9"/>
      <c r="AC36" s="10">
        <f t="shared" si="11"/>
        <v>-5201.9199999999983</v>
      </c>
      <c r="AD36" s="8">
        <f>IFERROR(AC36/AC444, "NA")</f>
        <v>-0.13093020773975045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838.4</v>
      </c>
      <c r="C39" s="8">
        <f>IFERROR(B39/B444, "NA")</f>
        <v>8.0502997786071531E-3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838.4</v>
      </c>
      <c r="I39" s="8">
        <f>IFERROR(H39/H444, "NA")</f>
        <v>-4.5168008938783449E-2</v>
      </c>
      <c r="J39" s="9"/>
      <c r="K39" s="7">
        <v>720.33</v>
      </c>
      <c r="L39" s="8">
        <f>IFERROR(K39/K444, "NA")</f>
        <v>6.3692859525824068E-3</v>
      </c>
      <c r="M39" s="9"/>
      <c r="N39" s="10">
        <f t="shared" si="9"/>
        <v>118.06999999999994</v>
      </c>
      <c r="O39" s="8">
        <f>IFERROR(N39/N444, "NA")</f>
        <v>-1.3193476006579418E-2</v>
      </c>
      <c r="P39" s="9"/>
      <c r="Q39" s="7">
        <v>8326.7000000000007</v>
      </c>
      <c r="R39" s="8">
        <f>IFERROR(Q39/Q444, "NA")</f>
        <v>8.3794637233787356E-3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8326.7000000000007</v>
      </c>
      <c r="X39" s="8">
        <f>IFERROR(W39/W444, "NA")</f>
        <v>-9.7273589520101539E-2</v>
      </c>
      <c r="Y39" s="9"/>
      <c r="Z39" s="7">
        <v>10454.99</v>
      </c>
      <c r="AA39" s="8">
        <f>IFERROR(Z39/Z444, "NA")</f>
        <v>1.0959422288727268E-2</v>
      </c>
      <c r="AB39" s="9"/>
      <c r="AC39" s="10">
        <f t="shared" si="11"/>
        <v>-2128.2899999999991</v>
      </c>
      <c r="AD39" s="8">
        <f>IFERROR(AC39/AC444, "NA")</f>
        <v>-5.3568192480936555E-2</v>
      </c>
    </row>
    <row r="40" spans="1:30" ht="16.5" customHeight="1" x14ac:dyDescent="0.45">
      <c r="A40" s="13" t="s">
        <v>40</v>
      </c>
      <c r="B40" s="14">
        <f>IFERROR(B31+B32+B33+B34+B35+B36+B37+B38+B39, "NA")</f>
        <v>23227.410000000003</v>
      </c>
      <c r="C40" s="15">
        <f>IFERROR(B40/B444, "NA")</f>
        <v>0.22302911925169086</v>
      </c>
      <c r="D40" s="2"/>
      <c r="E40" s="14">
        <f>IFERROR(E31+E32+E33+E34+E35+E36+E37+E38+E39, "NA")</f>
        <v>29817.8</v>
      </c>
      <c r="F40" s="15">
        <f>IFERROR(E40/E444, "NA")</f>
        <v>0.24299999185050566</v>
      </c>
      <c r="G40" s="2"/>
      <c r="H40" s="14">
        <f t="shared" si="8"/>
        <v>-6590.3899999999958</v>
      </c>
      <c r="I40" s="15">
        <f>IFERROR(H40/H444, "NA")</f>
        <v>0.35505104297479589</v>
      </c>
      <c r="J40" s="2"/>
      <c r="K40" s="14">
        <f>IFERROR(K31+K32+K33+K34+K35+K36+K37+K38+K39, "NA")</f>
        <v>34927.520000000004</v>
      </c>
      <c r="L40" s="15">
        <f>IFERROR(K40/K444, "NA")</f>
        <v>0.30883534282140279</v>
      </c>
      <c r="M40" s="2"/>
      <c r="N40" s="14">
        <f t="shared" si="9"/>
        <v>-11700.11</v>
      </c>
      <c r="O40" s="15">
        <f>IFERROR(N40/N444, "NA")</f>
        <v>1.3074034094972473</v>
      </c>
      <c r="P40" s="2"/>
      <c r="Q40" s="14">
        <f>IFERROR(Q31+Q32+Q33+Q34+Q35+Q36+Q37+Q38+Q39, "NA")</f>
        <v>250572.88</v>
      </c>
      <c r="R40" s="15">
        <f>IFERROR(Q40/Q444, "NA")</f>
        <v>0.25216068286626547</v>
      </c>
      <c r="S40" s="2"/>
      <c r="T40" s="14">
        <f>IFERROR(T31+T32+T33+T34+T35+T36+T37+T38+T39, "NA")</f>
        <v>262270.88</v>
      </c>
      <c r="U40" s="15">
        <f>IFERROR(T40/T444, "NA")</f>
        <v>0.24299999840638045</v>
      </c>
      <c r="V40" s="2"/>
      <c r="W40" s="14">
        <f t="shared" si="10"/>
        <v>-11698</v>
      </c>
      <c r="X40" s="15">
        <f>IFERROR(W40/W444, "NA")</f>
        <v>0.13665755343727379</v>
      </c>
      <c r="Y40" s="2"/>
      <c r="Z40" s="14">
        <f>IFERROR(Z31+Z32+Z33+Z34+Z35+Z36+Z37+Z38+Z39, "NA")</f>
        <v>230505.13999999998</v>
      </c>
      <c r="AA40" s="15">
        <f>IFERROR(Z40/Z444, "NA")</f>
        <v>0.24162655047802048</v>
      </c>
      <c r="AB40" s="2"/>
      <c r="AC40" s="14">
        <f t="shared" si="11"/>
        <v>20067.74000000002</v>
      </c>
      <c r="AD40" s="15">
        <f>IFERROR(AC40/AC444, "NA")</f>
        <v>0.5050968425249337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4533.7</v>
      </c>
      <c r="C43" s="8">
        <f>IFERROR(B43/B444, "NA")</f>
        <v>4.3532495355762466E-2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4533.7</v>
      </c>
      <c r="I43" s="8">
        <f>IFERROR(H43/H444, "NA")</f>
        <v>-0.24424880978740759</v>
      </c>
      <c r="J43" s="9"/>
      <c r="K43" s="7">
        <v>10895.87</v>
      </c>
      <c r="L43" s="8">
        <f>IFERROR(K43/K444, "NA")</f>
        <v>9.6343220096572507E-2</v>
      </c>
      <c r="M43" s="9"/>
      <c r="N43" s="10">
        <f>IFERROR(B43-K43, "NA")</f>
        <v>-6362.170000000001</v>
      </c>
      <c r="O43" s="8">
        <f>IFERROR(N43/N444, "NA")</f>
        <v>0.71092688443109542</v>
      </c>
      <c r="P43" s="9"/>
      <c r="Q43" s="7">
        <v>55767.040000000001</v>
      </c>
      <c r="R43" s="8">
        <f>IFERROR(Q43/Q444, "NA")</f>
        <v>5.6120418489943293E-2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55767.040000000001</v>
      </c>
      <c r="X43" s="8">
        <f>IFERROR(W43/W444, "NA")</f>
        <v>-0.65147779525034921</v>
      </c>
      <c r="Y43" s="9"/>
      <c r="Z43" s="7">
        <v>14034.27</v>
      </c>
      <c r="AA43" s="8">
        <f>IFERROR(Z43/Z444, "NA")</f>
        <v>1.4711395366615983E-2</v>
      </c>
      <c r="AB43" s="9"/>
      <c r="AC43" s="10">
        <f>IFERROR(Q43-Z43, "NA")</f>
        <v>41732.770000000004</v>
      </c>
      <c r="AD43" s="8">
        <f>IFERROR(AC43/AC444, "NA")</f>
        <v>1.0503968237987567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24909.52</v>
      </c>
      <c r="F46" s="8">
        <f>IFERROR(E46/E444, "NA")</f>
        <v>0.20299999185050568</v>
      </c>
      <c r="G46" s="9"/>
      <c r="H46" s="10">
        <f t="shared" ref="H46:H62" si="12">IFERROR(B46-E46, "NA")</f>
        <v>-24909.52</v>
      </c>
      <c r="I46" s="8">
        <f>IFERROR(H46/H444, "NA")</f>
        <v>1.3419768869522963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219098.7</v>
      </c>
      <c r="U46" s="8">
        <f>IFERROR(T46/T444, "NA")</f>
        <v>0.20299998135835756</v>
      </c>
      <c r="V46" s="9"/>
      <c r="W46" s="10">
        <f t="shared" ref="W46:W62" si="14">IFERROR(Q46-T46, "NA")</f>
        <v>-219098.7</v>
      </c>
      <c r="X46" s="8">
        <f>IFERROR(W46/W444, "NA")</f>
        <v>2.5595394343723048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23266.44</v>
      </c>
      <c r="C48" s="8">
        <f>IFERROR(B48/B444, "NA")</f>
        <v>0.22340388451929463</v>
      </c>
      <c r="D48" s="9"/>
      <c r="E48" s="7">
        <v>0</v>
      </c>
      <c r="F48" s="8">
        <f>IFERROR(E48/E444, "NA")</f>
        <v>0</v>
      </c>
      <c r="G48" s="9"/>
      <c r="H48" s="10">
        <f t="shared" si="12"/>
        <v>23266.44</v>
      </c>
      <c r="I48" s="8">
        <f>IFERROR(H48/H444, "NA")</f>
        <v>-1.2534575022586698</v>
      </c>
      <c r="J48" s="9"/>
      <c r="K48" s="7">
        <v>16193.86</v>
      </c>
      <c r="L48" s="8">
        <f>IFERROR(K48/K444, "NA")</f>
        <v>0.14318898979090991</v>
      </c>
      <c r="M48" s="9"/>
      <c r="N48" s="10">
        <f t="shared" si="13"/>
        <v>7072.5799999999981</v>
      </c>
      <c r="O48" s="8">
        <f>IFERROR(N48/N444, "NA")</f>
        <v>-0.79031010870342577</v>
      </c>
      <c r="P48" s="9"/>
      <c r="Q48" s="7">
        <v>97858.36</v>
      </c>
      <c r="R48" s="8">
        <f>IFERROR(Q48/Q444, "NA")</f>
        <v>9.8478458170624214E-2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97858.36</v>
      </c>
      <c r="X48" s="8">
        <f>IFERROR(W48/W444, "NA")</f>
        <v>-1.1431940554781994</v>
      </c>
      <c r="Y48" s="9"/>
      <c r="Z48" s="7">
        <v>160868.44</v>
      </c>
      <c r="AA48" s="8">
        <f>IFERROR(Z48/Z444, "NA")</f>
        <v>0.16863001943462264</v>
      </c>
      <c r="AB48" s="9"/>
      <c r="AC48" s="10">
        <f t="shared" si="15"/>
        <v>-63010.080000000002</v>
      </c>
      <c r="AD48" s="8">
        <f>IFERROR(AC48/AC444, "NA")</f>
        <v>-1.5859380505848415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1117.1600000000001</v>
      </c>
      <c r="R49" s="8">
        <f>IFERROR(Q49/Q444, "NA")</f>
        <v>1.1242390975067899E-3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1117.1600000000001</v>
      </c>
      <c r="X49" s="8">
        <f>IFERROR(W49/W444, "NA")</f>
        <v>-1.3050808035389366E-2</v>
      </c>
      <c r="Y49" s="9"/>
      <c r="Z49" s="7">
        <v>890.27</v>
      </c>
      <c r="AA49" s="8">
        <f>IFERROR(Z49/Z444, "NA")</f>
        <v>9.3322374110211723E-4</v>
      </c>
      <c r="AB49" s="9"/>
      <c r="AC49" s="10">
        <f t="shared" si="15"/>
        <v>226.8900000000001</v>
      </c>
      <c r="AD49" s="8">
        <f>IFERROR(AC49/AC444, "NA")</f>
        <v>5.7107288912693786E-3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3.1347387918773048E-5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-3.6389834070534098E-4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7.8403281309463192E-4</v>
      </c>
    </row>
    <row r="55" spans="1:30" ht="16.5" customHeight="1" x14ac:dyDescent="0.45">
      <c r="A55" s="17" t="s">
        <v>53</v>
      </c>
      <c r="B55" s="7">
        <v>297.55</v>
      </c>
      <c r="C55" s="8">
        <f>IFERROR(B55/B444, "NA")</f>
        <v>2.8570690590703231E-3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297.55</v>
      </c>
      <c r="I55" s="8">
        <f>IFERROR(H55/H444, "NA")</f>
        <v>-1.6030225500638141E-2</v>
      </c>
      <c r="J55" s="9"/>
      <c r="K55" s="7">
        <v>805.39</v>
      </c>
      <c r="L55" s="8">
        <f>IFERROR(K55/K444, "NA")</f>
        <v>7.1214015983651164E-3</v>
      </c>
      <c r="M55" s="9"/>
      <c r="N55" s="10">
        <f t="shared" si="13"/>
        <v>-507.84</v>
      </c>
      <c r="O55" s="8">
        <f>IFERROR(N55/N444, "NA")</f>
        <v>5.6747479081742144E-2</v>
      </c>
      <c r="P55" s="9"/>
      <c r="Q55" s="7">
        <v>3559.1</v>
      </c>
      <c r="R55" s="8">
        <f>IFERROR(Q55/Q444, "NA")</f>
        <v>3.5816529162666184E-3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3559.1</v>
      </c>
      <c r="X55" s="8">
        <f>IFERROR(W55/W444, "NA")</f>
        <v>-4.157786787815021E-2</v>
      </c>
      <c r="Y55" s="9"/>
      <c r="Z55" s="7">
        <v>4450.4399999999996</v>
      </c>
      <c r="AA55" s="8">
        <f>IFERROR(Z55/Z444, "NA")</f>
        <v>4.665164799836574E-3</v>
      </c>
      <c r="AB55" s="9"/>
      <c r="AC55" s="10">
        <f t="shared" si="15"/>
        <v>-891.33999999999969</v>
      </c>
      <c r="AD55" s="8">
        <f>IFERROR(AC55/AC444, "NA")</f>
        <v>-2.2434664771228539E-2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4294.58</v>
      </c>
      <c r="AA59" s="8">
        <f>IFERROR(Z59/Z444, "NA")</f>
        <v>4.5017848675821164E-3</v>
      </c>
      <c r="AB59" s="9"/>
      <c r="AC59" s="10">
        <f t="shared" si="15"/>
        <v>-4294.58</v>
      </c>
      <c r="AD59" s="8">
        <f>IFERROR(AC59/AC444, "NA")</f>
        <v>-0.10809282948507046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1.293142647692564E-5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-1.5011536687202669E-4</v>
      </c>
      <c r="Y60" s="9"/>
      <c r="Z60" s="7">
        <v>319.54000000000002</v>
      </c>
      <c r="AA60" s="8">
        <f>IFERROR(Z60/Z444, "NA")</f>
        <v>3.349571638174605E-4</v>
      </c>
      <c r="AB60" s="9"/>
      <c r="AC60" s="10">
        <f t="shared" si="15"/>
        <v>-306.69</v>
      </c>
      <c r="AD60" s="8">
        <f>IFERROR(AC60/AC444, "NA")</f>
        <v>-7.7192623899837139E-3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23563.989999999998</v>
      </c>
      <c r="C61" s="15">
        <f>IFERROR(B61/B444, "NA")</f>
        <v>0.22626095357836495</v>
      </c>
      <c r="D61" s="2"/>
      <c r="E61" s="14">
        <f>IFERROR(E46+E47+E48+E49+E50+E51+E52+E53+E54+E55+E56+E57+E58+E59+E60, "NA")</f>
        <v>24909.52</v>
      </c>
      <c r="F61" s="15">
        <f>IFERROR(E61/E444, "NA")</f>
        <v>0.20299999185050568</v>
      </c>
      <c r="G61" s="2"/>
      <c r="H61" s="14">
        <f t="shared" si="12"/>
        <v>-1345.5300000000025</v>
      </c>
      <c r="I61" s="15">
        <f>IFERROR(H61/H444, "NA")</f>
        <v>7.2489159192988331E-2</v>
      </c>
      <c r="J61" s="2"/>
      <c r="K61" s="14">
        <f>IFERROR(K46+K47+K48+K49+K50+K51+K52+K53+K54+K55+K56+K57+K58+K59+K60, "NA")</f>
        <v>16999.25</v>
      </c>
      <c r="L61" s="15">
        <f>IFERROR(K61/K444, "NA")</f>
        <v>0.15031039138927502</v>
      </c>
      <c r="M61" s="2"/>
      <c r="N61" s="14">
        <f t="shared" si="13"/>
        <v>6564.739999999998</v>
      </c>
      <c r="O61" s="15">
        <f>IFERROR(N61/N444, "NA")</f>
        <v>-0.73356262962168362</v>
      </c>
      <c r="P61" s="2"/>
      <c r="Q61" s="14">
        <f>IFERROR(Q46+Q47+Q48+Q49+Q50+Q51+Q52+Q53+Q54+Q55+Q56+Q57+Q58+Q59+Q60, "NA")</f>
        <v>102578.62000000001</v>
      </c>
      <c r="R61" s="15">
        <f>IFERROR(Q61/Q444, "NA")</f>
        <v>0.10322862899879333</v>
      </c>
      <c r="S61" s="2"/>
      <c r="T61" s="14">
        <f>IFERROR(T46+T47+T48+T49+T50+T51+T52+T53+T54+T55+T56+T57+T58+T59+T60, "NA")</f>
        <v>219098.7</v>
      </c>
      <c r="U61" s="15">
        <f>IFERROR(T61/T444, "NA")</f>
        <v>0.20299998135835756</v>
      </c>
      <c r="V61" s="2"/>
      <c r="W61" s="14">
        <f t="shared" si="14"/>
        <v>-116520.08</v>
      </c>
      <c r="X61" s="15">
        <f>IFERROR(W61/W444, "NA")</f>
        <v>1.3612026892729883</v>
      </c>
      <c r="Y61" s="2"/>
      <c r="Z61" s="14">
        <f>IFERROR(Z46+Z47+Z48+Z49+Z50+Z51+Z52+Z53+Z54+Z55+Z56+Z57+Z58+Z59+Z60, "NA")</f>
        <v>170823.27</v>
      </c>
      <c r="AA61" s="15">
        <f>IFERROR(Z61/Z444, "NA")</f>
        <v>0.17906515000696088</v>
      </c>
      <c r="AB61" s="2"/>
      <c r="AC61" s="14">
        <f t="shared" si="15"/>
        <v>-68244.64999999998</v>
      </c>
      <c r="AD61" s="15">
        <f>IFERROR(AC61/AC444, "NA")</f>
        <v>-1.7176900455267596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28097.69</v>
      </c>
      <c r="C62" s="15">
        <f>IFERROR(B62/B444, "NA")</f>
        <v>0.26979344893412743</v>
      </c>
      <c r="D62" s="2"/>
      <c r="E62" s="14">
        <f>IFERROR(E42+E43+E44+E46+E47+E48+E49+E50+E51+E52+E53+E54+E55+E56+E57+E58+E59+E60, "NA")</f>
        <v>24909.52</v>
      </c>
      <c r="F62" s="15">
        <f>IFERROR(E62/E444, "NA")</f>
        <v>0.20299999185050568</v>
      </c>
      <c r="G62" s="2"/>
      <c r="H62" s="14">
        <f t="shared" si="12"/>
        <v>3188.1699999999983</v>
      </c>
      <c r="I62" s="15">
        <f>IFERROR(H62/H444, "NA")</f>
        <v>-0.17175965059441933</v>
      </c>
      <c r="J62" s="2"/>
      <c r="K62" s="14">
        <f>IFERROR(K42+K43+K44+K46+K47+K48+K49+K50+K51+K52+K53+K54+K55+K56+K57+K58+K59+K60, "NA")</f>
        <v>27895.120000000003</v>
      </c>
      <c r="L62" s="15">
        <f>IFERROR(K62/K444, "NA")</f>
        <v>0.24665361148584755</v>
      </c>
      <c r="M62" s="2"/>
      <c r="N62" s="14">
        <f t="shared" si="13"/>
        <v>202.56999999999607</v>
      </c>
      <c r="O62" s="15">
        <f>IFERROR(N62/N444, "NA")</f>
        <v>-2.2635745190588145E-2</v>
      </c>
      <c r="P62" s="2"/>
      <c r="Q62" s="14">
        <f>IFERROR(Q42+Q43+Q44+Q46+Q47+Q48+Q49+Q50+Q51+Q52+Q53+Q54+Q55+Q56+Q57+Q58+Q59+Q60, "NA")</f>
        <v>158345.66</v>
      </c>
      <c r="R62" s="15">
        <f>IFERROR(Q62/Q444, "NA")</f>
        <v>0.1593490474887366</v>
      </c>
      <c r="S62" s="2"/>
      <c r="T62" s="14">
        <f>IFERROR(T42+T43+T44+T46+T47+T48+T49+T50+T51+T52+T53+T54+T55+T56+T57+T58+T59+T60, "NA")</f>
        <v>219098.7</v>
      </c>
      <c r="U62" s="15">
        <f>IFERROR(T62/T444, "NA")</f>
        <v>0.20299998135835756</v>
      </c>
      <c r="V62" s="2"/>
      <c r="W62" s="14">
        <f t="shared" si="14"/>
        <v>-60753.040000000008</v>
      </c>
      <c r="X62" s="15">
        <f>IFERROR(W62/W444, "NA")</f>
        <v>0.70972489402263916</v>
      </c>
      <c r="Y62" s="2"/>
      <c r="Z62" s="14">
        <f>IFERROR(Z42+Z43+Z44+Z46+Z47+Z48+Z49+Z50+Z51+Z52+Z53+Z54+Z55+Z56+Z57+Z58+Z59+Z60, "NA")</f>
        <v>184857.53999999998</v>
      </c>
      <c r="AA62" s="15">
        <f>IFERROR(Z62/Z444, "NA")</f>
        <v>0.19377654537357686</v>
      </c>
      <c r="AB62" s="2"/>
      <c r="AC62" s="14">
        <f t="shared" si="15"/>
        <v>-26511.879999999976</v>
      </c>
      <c r="AD62" s="15">
        <f>IFERROR(AC62/AC444, "NA")</f>
        <v>-0.66729322172800298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1955.76</v>
      </c>
      <c r="C65" s="8">
        <f>IFERROR(B65/B444, "NA")</f>
        <v>1.8779167813703156E-2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1955.76</v>
      </c>
      <c r="I65" s="8">
        <f>IFERROR(H65/H444, "NA")</f>
        <v>-0.10536472466855334</v>
      </c>
      <c r="J65" s="9"/>
      <c r="K65" s="7">
        <v>925.8</v>
      </c>
      <c r="L65" s="8">
        <f>IFERROR(K65/K444, "NA")</f>
        <v>8.1860882302566759E-3</v>
      </c>
      <c r="M65" s="9"/>
      <c r="N65" s="10">
        <f t="shared" si="17"/>
        <v>1029.96</v>
      </c>
      <c r="O65" s="8">
        <f>IFERROR(N65/N444, "NA")</f>
        <v>-0.11509064578416656</v>
      </c>
      <c r="P65" s="9"/>
      <c r="Q65" s="7">
        <v>25368.83</v>
      </c>
      <c r="R65" s="8">
        <f>IFERROR(Q65/Q444, "NA")</f>
        <v>2.5529584431955295E-2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25368.83</v>
      </c>
      <c r="X65" s="8">
        <f>IFERROR(W65/W444, "NA")</f>
        <v>-0.29636196284545346</v>
      </c>
      <c r="Y65" s="9"/>
      <c r="Z65" s="7">
        <v>2930.84</v>
      </c>
      <c r="AA65" s="8">
        <f>IFERROR(Z65/Z444, "NA")</f>
        <v>3.0722471490353819E-3</v>
      </c>
      <c r="AB65" s="9"/>
      <c r="AC65" s="10">
        <f t="shared" si="19"/>
        <v>22437.99</v>
      </c>
      <c r="AD65" s="8">
        <f>IFERROR(AC65/AC444, "NA")</f>
        <v>0.56475506965936506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15344</v>
      </c>
      <c r="R66" s="8">
        <f>IFERROR(Q66/Q444, "NA")</f>
        <v>1.5441230183809109E-2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15344</v>
      </c>
      <c r="X66" s="8">
        <f>IFERROR(W66/W444, "NA")</f>
        <v>-0.17925059838788931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15344</v>
      </c>
      <c r="AD66" s="8">
        <f>IFERROR(AC66/AC444, "NA")</f>
        <v>0.38620223062998504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16898.55</v>
      </c>
      <c r="R68" s="8">
        <f>IFERROR(Q68/Q444, "NA")</f>
        <v>1.7005630886509866E-2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16898.55</v>
      </c>
      <c r="X68" s="8">
        <f>IFERROR(W68/W444, "NA")</f>
        <v>-0.19741105314048923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16898.55</v>
      </c>
      <c r="AD68" s="8">
        <f>IFERROR(AC68/AC444, "NA")</f>
        <v>0.42532962098620525</v>
      </c>
    </row>
    <row r="69" spans="1:30" ht="16.5" customHeight="1" x14ac:dyDescent="0.45">
      <c r="A69" s="12" t="s">
        <v>66</v>
      </c>
      <c r="B69" s="7">
        <v>4203</v>
      </c>
      <c r="C69" s="8">
        <f>IFERROR(B69/B444, "NA")</f>
        <v>4.0357120669711199E-2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4203</v>
      </c>
      <c r="I69" s="8">
        <f>IFERROR(H69/H444, "NA")</f>
        <v>-0.22643265931501294</v>
      </c>
      <c r="J69" s="9"/>
      <c r="K69" s="7">
        <v>0</v>
      </c>
      <c r="L69" s="8">
        <f>IFERROR(K69/K444, "NA")</f>
        <v>0</v>
      </c>
      <c r="M69" s="9"/>
      <c r="N69" s="10">
        <f t="shared" si="17"/>
        <v>4203</v>
      </c>
      <c r="O69" s="8">
        <f>IFERROR(N69/N444, "NA")</f>
        <v>-0.46965511692769818</v>
      </c>
      <c r="P69" s="9"/>
      <c r="Q69" s="7">
        <v>10065</v>
      </c>
      <c r="R69" s="8">
        <f>IFERROR(Q69/Q444, "NA")</f>
        <v>1.0128778793016076E-2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10065</v>
      </c>
      <c r="X69" s="8">
        <f>IFERROR(W69/W444, "NA")</f>
        <v>-0.11758063560832285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10065</v>
      </c>
      <c r="AD69" s="8">
        <f>IFERROR(AC69/AC444, "NA")</f>
        <v>0.25333195068370695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6158.76</v>
      </c>
      <c r="C73" s="15">
        <f>IFERROR(B73/B444, "NA")</f>
        <v>5.9136288483414359E-2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6158.76</v>
      </c>
      <c r="I73" s="15">
        <f>IFERROR(H73/H444, "NA")</f>
        <v>-0.33179738398356629</v>
      </c>
      <c r="J73" s="2"/>
      <c r="K73" s="14">
        <f>IFERROR(K64+K65+K66+K67+K68+K69+K70+K71+K72, "NA")</f>
        <v>925.8</v>
      </c>
      <c r="L73" s="15">
        <f>IFERROR(K73/K444, "NA")</f>
        <v>8.1860882302566759E-3</v>
      </c>
      <c r="M73" s="2"/>
      <c r="N73" s="14">
        <f t="shared" si="17"/>
        <v>5232.96</v>
      </c>
      <c r="O73" s="15">
        <f>IFERROR(N73/N444, "NA")</f>
        <v>-0.58474576271186474</v>
      </c>
      <c r="P73" s="2"/>
      <c r="Q73" s="14">
        <f>IFERROR(Q64+Q65+Q66+Q67+Q68+Q69+Q70+Q71+Q72, "NA")</f>
        <v>67676.38</v>
      </c>
      <c r="R73" s="15">
        <f>IFERROR(Q73/Q444, "NA")</f>
        <v>6.8105224295290354E-2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67676.38</v>
      </c>
      <c r="X73" s="15">
        <f>IFERROR(W73/W444, "NA")</f>
        <v>-0.79060424998215495</v>
      </c>
      <c r="Y73" s="2"/>
      <c r="Z73" s="14">
        <f>IFERROR(Z64+Z65+Z66+Z67+Z68+Z69+Z70+Z71+Z72, "NA")</f>
        <v>2930.84</v>
      </c>
      <c r="AA73" s="15">
        <f>IFERROR(Z73/Z444, "NA")</f>
        <v>3.0722471490353819E-3</v>
      </c>
      <c r="AB73" s="2"/>
      <c r="AC73" s="14">
        <f t="shared" si="19"/>
        <v>64745.540000000008</v>
      </c>
      <c r="AD73" s="15">
        <f>IFERROR(AC73/AC444, "NA")</f>
        <v>1.6296188719592626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2086.02</v>
      </c>
      <c r="F75" s="8">
        <f>IFERROR(E75/E444, "NA")</f>
        <v>1.7000008149494324E-2</v>
      </c>
      <c r="G75" s="9"/>
      <c r="H75" s="10">
        <f t="shared" ref="H75:H92" si="20">IFERROR(B75-E75, "NA")</f>
        <v>-2086.02</v>
      </c>
      <c r="I75" s="8">
        <f>IFERROR(H75/H444, "NA")</f>
        <v>0.11238235926345547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18348.169999999998</v>
      </c>
      <c r="U75" s="8">
        <f>IFERROR(T75/T444, "NA")</f>
        <v>1.7000001223010337E-2</v>
      </c>
      <c r="V75" s="9"/>
      <c r="W75" s="10">
        <f t="shared" ref="W75:W92" si="22">IFERROR(Q75-T75, "NA")</f>
        <v>-18348.169999999998</v>
      </c>
      <c r="X75" s="8">
        <f>IFERROR(W75/W444, "NA")</f>
        <v>0.2143457020218143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503.75</v>
      </c>
      <c r="C77" s="8">
        <f>IFERROR(B77/B444, "NA")</f>
        <v>4.8369972727497065E-3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503.75</v>
      </c>
      <c r="I77" s="8">
        <f>IFERROR(H77/H444, "NA")</f>
        <v>-2.7139055943358976E-2</v>
      </c>
      <c r="J77" s="9"/>
      <c r="K77" s="7">
        <v>630.66</v>
      </c>
      <c r="L77" s="8">
        <f>IFERROR(K77/K444, "NA")</f>
        <v>5.5764078670270858E-3</v>
      </c>
      <c r="M77" s="9"/>
      <c r="N77" s="10">
        <f t="shared" si="21"/>
        <v>-126.90999999999997</v>
      </c>
      <c r="O77" s="8">
        <f>IFERROR(N77/N444, "NA")</f>
        <v>1.4181282628906533E-2</v>
      </c>
      <c r="P77" s="9"/>
      <c r="Q77" s="7">
        <v>3721.33</v>
      </c>
      <c r="R77" s="8">
        <f>IFERROR(Q77/Q444, "NA")</f>
        <v>3.7449109176169414E-3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3721.33</v>
      </c>
      <c r="X77" s="8">
        <f>IFERROR(W77/W444, "NA")</f>
        <v>-4.34730597822474E-2</v>
      </c>
      <c r="Y77" s="9"/>
      <c r="Z77" s="7">
        <v>1728.75</v>
      </c>
      <c r="AA77" s="8">
        <f>IFERROR(Z77/Z444, "NA")</f>
        <v>1.8121587186250073E-3</v>
      </c>
      <c r="AB77" s="9"/>
      <c r="AC77" s="10">
        <f t="shared" si="23"/>
        <v>1992.58</v>
      </c>
      <c r="AD77" s="8">
        <f>IFERROR(AC77/AC444, "NA")</f>
        <v>5.0152427053486416E-2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5.9550968506196192E-5</v>
      </c>
      <c r="AB79" s="9"/>
      <c r="AC79" s="10">
        <f t="shared" si="23"/>
        <v>-56.81</v>
      </c>
      <c r="AD79" s="8">
        <f>IFERROR(AC79/AC444, "NA")</f>
        <v>-1.4298845621799694E-3</v>
      </c>
    </row>
    <row r="80" spans="1:30" ht="16.5" customHeight="1" x14ac:dyDescent="0.45">
      <c r="A80" s="12" t="s">
        <v>76</v>
      </c>
      <c r="B80" s="7">
        <v>2301.81</v>
      </c>
      <c r="C80" s="8">
        <f>IFERROR(B80/B444, "NA")</f>
        <v>2.2101932888115138E-2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2301.81</v>
      </c>
      <c r="I80" s="8">
        <f>IFERROR(H80/H444, "NA")</f>
        <v>-0.1240078419076588</v>
      </c>
      <c r="J80" s="9"/>
      <c r="K80" s="7">
        <v>1708.74</v>
      </c>
      <c r="L80" s="8">
        <f>IFERROR(K80/K444, "NA")</f>
        <v>1.5108982936453656E-2</v>
      </c>
      <c r="M80" s="9"/>
      <c r="N80" s="10">
        <f t="shared" si="21"/>
        <v>593.06999999999994</v>
      </c>
      <c r="O80" s="8">
        <f>IFERROR(N80/N444, "NA")</f>
        <v>-6.6271320532074685E-2</v>
      </c>
      <c r="P80" s="9"/>
      <c r="Q80" s="7">
        <v>10188.59</v>
      </c>
      <c r="R80" s="8">
        <f>IFERROR(Q80/Q444, "NA")</f>
        <v>1.0253151944633448E-2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10188.59</v>
      </c>
      <c r="X80" s="8">
        <f>IFERROR(W80/W444, "NA")</f>
        <v>-0.11902443002012937</v>
      </c>
      <c r="Y80" s="9"/>
      <c r="Z80" s="7">
        <v>15303.92</v>
      </c>
      <c r="AA80" s="8">
        <f>IFERROR(Z80/Z444, "NA")</f>
        <v>1.6042303431461818E-2</v>
      </c>
      <c r="AB80" s="9"/>
      <c r="AC80" s="10">
        <f t="shared" si="23"/>
        <v>-5115.33</v>
      </c>
      <c r="AD80" s="8">
        <f>IFERROR(AC80/AC444, "NA")</f>
        <v>-0.12875077270649643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2.5158417270283347E-5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-2.9205324294168615E-4</v>
      </c>
      <c r="Y82" s="9"/>
      <c r="Z82" s="7">
        <v>25</v>
      </c>
      <c r="AA82" s="8">
        <f>IFERROR(Z82/Z444, "NA")</f>
        <v>2.6206199835502637E-5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149.96</v>
      </c>
      <c r="C83" s="8">
        <f>IFERROR(B83/B444, "NA")</f>
        <v>1.4399128754770145E-3</v>
      </c>
      <c r="D83" s="9"/>
      <c r="E83" s="7">
        <v>0</v>
      </c>
      <c r="F83" s="8">
        <f>IFERROR(E83/E444, "NA")</f>
        <v>0</v>
      </c>
      <c r="G83" s="9"/>
      <c r="H83" s="10">
        <f t="shared" si="20"/>
        <v>149.96</v>
      </c>
      <c r="I83" s="8">
        <f>IFERROR(H83/H444, "NA")</f>
        <v>-8.0789535072280146E-3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149.96</v>
      </c>
      <c r="O83" s="8">
        <f>IFERROR(N83/N444, "NA")</f>
        <v>-1.6756954873775307E-2</v>
      </c>
      <c r="P83" s="9"/>
      <c r="Q83" s="7">
        <v>326.77999999999997</v>
      </c>
      <c r="R83" s="8">
        <f>IFERROR(Q83/Q444, "NA")</f>
        <v>3.2885070382332769E-4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326.77999999999997</v>
      </c>
      <c r="X83" s="8">
        <f>IFERROR(W83/W444, "NA")</f>
        <v>-3.8174863491393682E-3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326.77999999999997</v>
      </c>
      <c r="AD83" s="8">
        <f>IFERROR(AC83/AC444, "NA")</f>
        <v>8.2249195076424982E-3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2955.52</v>
      </c>
      <c r="C88" s="15">
        <f>IFERROR(B88/B444, "NA")</f>
        <v>2.8378843036341861E-2</v>
      </c>
      <c r="D88" s="2"/>
      <c r="E88" s="14">
        <f>IFERROR(E75+E76+E77+E78+E79+E80+E81+E82+E83+E84+E85+E86+E87, "NA")</f>
        <v>2086.02</v>
      </c>
      <c r="F88" s="15">
        <f>IFERROR(E88/E444, "NA")</f>
        <v>1.7000008149494324E-2</v>
      </c>
      <c r="G88" s="2"/>
      <c r="H88" s="14">
        <f t="shared" si="20"/>
        <v>869.5</v>
      </c>
      <c r="I88" s="15">
        <f>IFERROR(H88/H444, "NA")</f>
        <v>-4.6843492094790329E-2</v>
      </c>
      <c r="J88" s="2"/>
      <c r="K88" s="14">
        <f>IFERROR(K75+K76+K77+K78+K79+K80+K81+K82+K83+K84+K85+K86+K87, "NA")</f>
        <v>2339.4</v>
      </c>
      <c r="L88" s="15">
        <f>IFERROR(K88/K444, "NA")</f>
        <v>2.0685390803480742E-2</v>
      </c>
      <c r="M88" s="2"/>
      <c r="N88" s="14">
        <f t="shared" si="21"/>
        <v>616.11999999999989</v>
      </c>
      <c r="O88" s="15">
        <f>IFERROR(N88/N444, "NA")</f>
        <v>-6.884699277694345E-2</v>
      </c>
      <c r="P88" s="2"/>
      <c r="Q88" s="14">
        <f>IFERROR(Q75+Q76+Q77+Q78+Q79+Q80+Q81+Q82+Q83+Q84+Q85+Q86+Q87, "NA")</f>
        <v>14261.7</v>
      </c>
      <c r="R88" s="15">
        <f>IFERROR(Q88/Q444, "NA")</f>
        <v>1.4352071983344003E-2</v>
      </c>
      <c r="S88" s="2"/>
      <c r="T88" s="14">
        <f>IFERROR(T75+T76+T77+T78+T79+T80+T81+T82+T83+T84+T85+T86+T87, "NA")</f>
        <v>18348.169999999998</v>
      </c>
      <c r="U88" s="15">
        <f>IFERROR(T88/T444, "NA")</f>
        <v>1.7000001223010337E-2</v>
      </c>
      <c r="V88" s="2"/>
      <c r="W88" s="14">
        <f t="shared" si="22"/>
        <v>-4086.4699999999975</v>
      </c>
      <c r="X88" s="15">
        <f>IFERROR(W88/W444, "NA")</f>
        <v>4.7738672627356461E-2</v>
      </c>
      <c r="Y88" s="2"/>
      <c r="Z88" s="14">
        <f>IFERROR(Z75+Z76+Z77+Z78+Z79+Z80+Z81+Z82+Z83+Z84+Z85+Z86+Z87, "NA")</f>
        <v>17114.48</v>
      </c>
      <c r="AA88" s="15">
        <f>IFERROR(Z88/Z444, "NA")</f>
        <v>1.7940219318428527E-2</v>
      </c>
      <c r="AB88" s="2"/>
      <c r="AC88" s="14">
        <f t="shared" si="23"/>
        <v>-2852.7799999999988</v>
      </c>
      <c r="AD88" s="15">
        <f>IFERROR(AC88/AC444, "NA")</f>
        <v>-7.180331070754746E-2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-28.94</v>
      </c>
      <c r="L89" s="8">
        <f>IFERROR(K89/K444, "NA")</f>
        <v>-2.5589262625148873E-4</v>
      </c>
      <c r="M89" s="9"/>
      <c r="N89" s="10">
        <f t="shared" si="21"/>
        <v>28.94</v>
      </c>
      <c r="O89" s="8">
        <f>IFERROR(N89/N444, "NA")</f>
        <v>-3.2338375169849122E-3</v>
      </c>
      <c r="P89" s="9"/>
      <c r="Q89" s="7">
        <v>-140.33000000000001</v>
      </c>
      <c r="R89" s="8">
        <f>IFERROR(Q89/Q444, "NA")</f>
        <v>-1.412192278215545E-4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-140.33000000000001</v>
      </c>
      <c r="X89" s="8">
        <f>IFERROR(W89/W444, "NA")</f>
        <v>1.6393532632802731E-3</v>
      </c>
      <c r="Y89" s="9"/>
      <c r="Z89" s="7">
        <v>1444.74</v>
      </c>
      <c r="AA89" s="8">
        <f>IFERROR(Z89/Z444, "NA")</f>
        <v>1.5144458060137632E-3</v>
      </c>
      <c r="AB89" s="9"/>
      <c r="AC89" s="10">
        <f t="shared" si="23"/>
        <v>-1585.07</v>
      </c>
      <c r="AD89" s="8">
        <f>IFERROR(AC89/AC444, "NA")</f>
        <v>-3.9895566325903957E-2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-4294.74</v>
      </c>
      <c r="F94" s="8">
        <f>IFERROR(E94/E444, "NA")</f>
        <v>-3.4999959252528377E-2</v>
      </c>
      <c r="G94" s="9"/>
      <c r="H94" s="10">
        <f t="shared" ref="H94:H124" si="24">IFERROR(B94-E94, "NA")</f>
        <v>4294.74</v>
      </c>
      <c r="I94" s="8">
        <f>IFERROR(H94/H444, "NA")</f>
        <v>-0.23137506525495091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-37775.64</v>
      </c>
      <c r="U94" s="8">
        <f>IFERROR(T94/T444, "NA")</f>
        <v>-3.4999998702867817E-2</v>
      </c>
      <c r="V94" s="9"/>
      <c r="W94" s="10">
        <f t="shared" ref="W94:W124" si="26">IFERROR(Q94-T94, "NA")</f>
        <v>37775.64</v>
      </c>
      <c r="X94" s="8">
        <f>IFERROR(W94/W444, "NA")</f>
        <v>-0.44129992664790713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-1927.3</v>
      </c>
      <c r="C96" s="8">
        <f>IFERROR(B96/B444, "NA")</f>
        <v>-1.8505895471504732E-2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-1927.3</v>
      </c>
      <c r="I96" s="8">
        <f>IFERROR(H96/H444, "NA")</f>
        <v>0.10383146902160943</v>
      </c>
      <c r="J96" s="9"/>
      <c r="K96" s="7">
        <v>-72.3</v>
      </c>
      <c r="L96" s="8">
        <f>IFERROR(K96/K444, "NA")</f>
        <v>-6.392894567374787E-4</v>
      </c>
      <c r="M96" s="9"/>
      <c r="N96" s="10">
        <f t="shared" si="25"/>
        <v>-1855</v>
      </c>
      <c r="O96" s="8">
        <f>IFERROR(N96/N444, "NA")</f>
        <v>0.20728295072588154</v>
      </c>
      <c r="P96" s="9"/>
      <c r="Q96" s="7">
        <v>-19601</v>
      </c>
      <c r="R96" s="8">
        <f>IFERROR(Q96/Q444, "NA")</f>
        <v>-1.9725205476592955E-2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-19601</v>
      </c>
      <c r="X96" s="8">
        <f>IFERROR(W96/W444, "NA")</f>
        <v>0.22898142459599963</v>
      </c>
      <c r="Y96" s="9"/>
      <c r="Z96" s="7">
        <v>-903.91</v>
      </c>
      <c r="AA96" s="8">
        <f>IFERROR(Z96/Z444, "NA")</f>
        <v>-9.475218437323675E-4</v>
      </c>
      <c r="AB96" s="9"/>
      <c r="AC96" s="10">
        <f t="shared" si="27"/>
        <v>-18697.09</v>
      </c>
      <c r="AD96" s="8">
        <f>IFERROR(AC96/AC444, "NA")</f>
        <v>-0.47059814026913366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-1621.59</v>
      </c>
      <c r="C98" s="8">
        <f>IFERROR(B98/B444, "NA")</f>
        <v>-1.5570474258100637E-2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-1621.59</v>
      </c>
      <c r="I98" s="8">
        <f>IFERROR(H98/H444, "NA")</f>
        <v>8.7361631220231217E-2</v>
      </c>
      <c r="J98" s="9"/>
      <c r="K98" s="7">
        <v>-3600.38</v>
      </c>
      <c r="L98" s="8">
        <f>IFERROR(K98/K444, "NA")</f>
        <v>-3.1835200197074462E-2</v>
      </c>
      <c r="M98" s="9"/>
      <c r="N98" s="10">
        <f t="shared" si="25"/>
        <v>1978.7900000000002</v>
      </c>
      <c r="O98" s="8">
        <f>IFERROR(N98/N444, "NA")</f>
        <v>-0.22111559572337852</v>
      </c>
      <c r="P98" s="9"/>
      <c r="Q98" s="7">
        <v>-18947.79</v>
      </c>
      <c r="R98" s="8">
        <f>IFERROR(Q98/Q444, "NA")</f>
        <v>-1.9067856286788087E-2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-18947.79</v>
      </c>
      <c r="X98" s="8">
        <f>IFERROR(W98/W444, "NA")</f>
        <v>0.2213505406431221</v>
      </c>
      <c r="Y98" s="9"/>
      <c r="Z98" s="7">
        <v>-20605.150000000001</v>
      </c>
      <c r="AA98" s="8">
        <f>IFERROR(Z98/Z444, "NA")</f>
        <v>-2.1599307141620287E-2</v>
      </c>
      <c r="AB98" s="9"/>
      <c r="AC98" s="10">
        <f t="shared" si="27"/>
        <v>1657.3600000000006</v>
      </c>
      <c r="AD98" s="8">
        <f>IFERROR(AC98/AC444, "NA")</f>
        <v>4.1715076183323263E-2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-104.2</v>
      </c>
      <c r="C100" s="8">
        <f>IFERROR(B100/B444, "NA")</f>
        <v>-1.0005262845072347E-3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-104.2</v>
      </c>
      <c r="I100" s="8">
        <f>IFERROR(H100/H444, "NA")</f>
        <v>5.6136766834699861E-3</v>
      </c>
      <c r="J100" s="9"/>
      <c r="K100" s="7">
        <v>-1737.21</v>
      </c>
      <c r="L100" s="8">
        <f>IFERROR(K100/K444, "NA")</f>
        <v>-1.5360719739127459E-2</v>
      </c>
      <c r="M100" s="9"/>
      <c r="N100" s="10">
        <f t="shared" si="25"/>
        <v>1633.01</v>
      </c>
      <c r="O100" s="8">
        <f>IFERROR(N100/N444, "NA")</f>
        <v>-0.18247715976542955</v>
      </c>
      <c r="P100" s="9"/>
      <c r="Q100" s="7">
        <v>-2303.7800000000002</v>
      </c>
      <c r="R100" s="8">
        <f>IFERROR(Q100/Q444, "NA")</f>
        <v>-2.3183783415573352E-3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-2303.7800000000002</v>
      </c>
      <c r="X100" s="8">
        <f>IFERROR(W100/W444, "NA")</f>
        <v>2.6913056800967915E-2</v>
      </c>
      <c r="Y100" s="9"/>
      <c r="Z100" s="7">
        <v>-7392.66</v>
      </c>
      <c r="AA100" s="8">
        <f>IFERROR(Z100/Z444, "NA")</f>
        <v>-7.7493410110370765E-3</v>
      </c>
      <c r="AB100" s="9"/>
      <c r="AC100" s="10">
        <f t="shared" si="27"/>
        <v>5088.8799999999992</v>
      </c>
      <c r="AD100" s="8">
        <f>IFERROR(AC100/AC444, "NA")</f>
        <v>0.12808503697916565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-458.6</v>
      </c>
      <c r="C102" s="8">
        <f>IFERROR(B102/B444, "NA")</f>
        <v>-4.4034678893955645E-3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-458.6</v>
      </c>
      <c r="I102" s="8">
        <f>IFERROR(H102/H444, "NA")</f>
        <v>2.4706642294043527E-2</v>
      </c>
      <c r="J102" s="9"/>
      <c r="K102" s="7">
        <v>-278.91000000000003</v>
      </c>
      <c r="L102" s="8">
        <f>IFERROR(K102/K444, "NA")</f>
        <v>-2.4661718171320912E-3</v>
      </c>
      <c r="M102" s="9"/>
      <c r="N102" s="10">
        <f t="shared" si="25"/>
        <v>-179.69</v>
      </c>
      <c r="O102" s="8">
        <f>IFERROR(N102/N444, "NA")</f>
        <v>2.0079069226918413E-2</v>
      </c>
      <c r="P102" s="9"/>
      <c r="Q102" s="7">
        <v>-7485.05</v>
      </c>
      <c r="R102" s="8">
        <f>IFERROR(Q102/Q444, "NA")</f>
        <v>-7.5324804475573751E-3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-7485.05</v>
      </c>
      <c r="X102" s="8">
        <f>IFERROR(W102/W444, "NA")</f>
        <v>8.7441325043226728E-2</v>
      </c>
      <c r="Y102" s="9"/>
      <c r="Z102" s="7">
        <v>-3074.17</v>
      </c>
      <c r="AA102" s="8">
        <f>IFERROR(Z102/Z444, "NA")</f>
        <v>-3.2224925339322855E-3</v>
      </c>
      <c r="AB102" s="9"/>
      <c r="AC102" s="10">
        <f t="shared" si="27"/>
        <v>-4410.88</v>
      </c>
      <c r="AD102" s="8">
        <f>IFERROR(AC102/AC444, "NA")</f>
        <v>-0.11102005311790852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-267.24</v>
      </c>
      <c r="C104" s="8">
        <f>IFERROR(B104/B444, "NA")</f>
        <v>-2.5660330544310305E-3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-267.24</v>
      </c>
      <c r="I104" s="8">
        <f>IFERROR(H104/H444, "NA")</f>
        <v>1.4397302849237226E-2</v>
      </c>
      <c r="J104" s="9"/>
      <c r="K104" s="7">
        <v>-576.36</v>
      </c>
      <c r="L104" s="8">
        <f>IFERROR(K104/K444, "NA")</f>
        <v>-5.096277611137112E-3</v>
      </c>
      <c r="M104" s="9"/>
      <c r="N104" s="10">
        <f t="shared" si="25"/>
        <v>309.12</v>
      </c>
      <c r="O104" s="8">
        <f>IFERROR(N104/N444, "NA")</f>
        <v>-3.4541943788886524E-2</v>
      </c>
      <c r="P104" s="9"/>
      <c r="Q104" s="7">
        <v>-4921.97</v>
      </c>
      <c r="R104" s="8">
        <f>IFERROR(Q104/Q444, "NA")</f>
        <v>-4.9531590020726619E-3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-4921.97</v>
      </c>
      <c r="X104" s="8">
        <f>IFERROR(W104/W444, "NA")</f>
        <v>5.7499092006467648E-2</v>
      </c>
      <c r="Y104" s="9"/>
      <c r="Z104" s="7">
        <v>-5636.38</v>
      </c>
      <c r="AA104" s="8">
        <f>IFERROR(Z104/Z444, "NA")</f>
        <v>-5.9083240251532141E-3</v>
      </c>
      <c r="AB104" s="9"/>
      <c r="AC104" s="10">
        <f t="shared" si="27"/>
        <v>714.40999999999985</v>
      </c>
      <c r="AD104" s="8">
        <f>IFERROR(AC104/AC444, "NA")</f>
        <v>1.7981408732036467E-2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-525.42999999999995</v>
      </c>
      <c r="L106" s="8">
        <f>IFERROR(K106/K444, "NA")</f>
        <v>-4.6459454945169208E-3</v>
      </c>
      <c r="M106" s="9"/>
      <c r="N106" s="10">
        <f t="shared" si="25"/>
        <v>525.42999999999995</v>
      </c>
      <c r="O106" s="8">
        <f>IFERROR(N106/N444, "NA")</f>
        <v>-5.8713035471644165E-2</v>
      </c>
      <c r="P106" s="9"/>
      <c r="Q106" s="7">
        <v>-62.25</v>
      </c>
      <c r="R106" s="8">
        <f>IFERROR(Q106/Q444, "NA")</f>
        <v>-6.2644459003005531E-5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-62.25</v>
      </c>
      <c r="X106" s="8">
        <f>IFERROR(W106/W444, "NA")</f>
        <v>7.2721257492479861E-4</v>
      </c>
      <c r="Y106" s="9"/>
      <c r="Z106" s="7">
        <v>-1972.72</v>
      </c>
      <c r="AA106" s="8">
        <f>IFERROR(Z106/Z444, "NA")</f>
        <v>-2.0678997815797105E-3</v>
      </c>
      <c r="AB106" s="9"/>
      <c r="AC106" s="10">
        <f t="shared" si="27"/>
        <v>1910.47</v>
      </c>
      <c r="AD106" s="8">
        <f>IFERROR(AC106/AC444, "NA")</f>
        <v>4.808575179559877E-2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-75</v>
      </c>
      <c r="AA108" s="8">
        <f>IFERROR(Z108/Z444, "NA")</f>
        <v>-7.8618599506507912E-5</v>
      </c>
      <c r="AB108" s="9"/>
      <c r="AC108" s="10">
        <f t="shared" si="27"/>
        <v>75</v>
      </c>
      <c r="AD108" s="8">
        <f>IFERROR(AC108/AC444, "NA")</f>
        <v>1.8877194536788893E-3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-4378.9299999999994</v>
      </c>
      <c r="C118" s="15">
        <f>IFERROR(B118/B444, "NA")</f>
        <v>-4.2046396957939193E-2</v>
      </c>
      <c r="D118" s="2"/>
      <c r="E118" s="14">
        <f>IFERROR(E94+E95+E96+E97+E98+E99+E100+E101+E102+E103+E104+E105+E106+E107+E108+E109+E110+E111+E112+E113+E114+E115+E116+E117, "NA")</f>
        <v>-4294.74</v>
      </c>
      <c r="F118" s="15">
        <f>IFERROR(E118/E444, "NA")</f>
        <v>-3.4999959252528377E-2</v>
      </c>
      <c r="G118" s="2"/>
      <c r="H118" s="14">
        <f t="shared" si="24"/>
        <v>-84.1899999999996</v>
      </c>
      <c r="I118" s="15">
        <f>IFERROR(H118/H444, "NA")</f>
        <v>4.5356568136404587E-3</v>
      </c>
      <c r="J118" s="2"/>
      <c r="K118" s="14">
        <f>IFERROR(K94+K95+K96+K97+K98+K99+K100+K101+K102+K103+K104+K105+K106+K107+K108+K109+K110+K111+K112+K113+K114+K115+K116+K117, "NA")</f>
        <v>-6790.59</v>
      </c>
      <c r="L118" s="15">
        <f>IFERROR(K118/K444, "NA")</f>
        <v>-6.0043604315725523E-2</v>
      </c>
      <c r="M118" s="2"/>
      <c r="N118" s="14">
        <f t="shared" si="25"/>
        <v>2411.6600000000008</v>
      </c>
      <c r="O118" s="15">
        <f>IFERROR(N118/N444, "NA")</f>
        <v>-0.26948571479653888</v>
      </c>
      <c r="P118" s="2"/>
      <c r="Q118" s="14">
        <f>IFERROR(Q94+Q95+Q96+Q97+Q98+Q99+Q100+Q101+Q102+Q103+Q104+Q105+Q106+Q107+Q108+Q109+Q110+Q111+Q112+Q113+Q114+Q115+Q116+Q117, "NA")</f>
        <v>-53321.840000000004</v>
      </c>
      <c r="R118" s="15">
        <f>IFERROR(Q118/Q444, "NA")</f>
        <v>-5.3659724013571421E-2</v>
      </c>
      <c r="S118" s="2"/>
      <c r="T118" s="14">
        <f>IFERROR(T94+T95+T96+T97+T98+T99+T100+T101+T102+T103+T104+T105+T106+T107+T108+T109+T110+T111+T112+T113+T114+T115+T116+T117, "NA")</f>
        <v>-37775.64</v>
      </c>
      <c r="U118" s="15">
        <f>IFERROR(T118/T444, "NA")</f>
        <v>-3.4999998702867817E-2</v>
      </c>
      <c r="V118" s="2"/>
      <c r="W118" s="14">
        <f t="shared" si="26"/>
        <v>-15546.200000000004</v>
      </c>
      <c r="X118" s="15">
        <f>IFERROR(W118/W444, "NA")</f>
        <v>0.18161272501680173</v>
      </c>
      <c r="Y118" s="2"/>
      <c r="Z118" s="14">
        <f>IFERROR(Z94+Z95+Z96+Z97+Z98+Z99+Z100+Z101+Z102+Z103+Z104+Z105+Z106+Z107+Z108+Z109+Z110+Z111+Z112+Z113+Z114+Z115+Z116+Z117, "NA")</f>
        <v>-39659.99</v>
      </c>
      <c r="AA118" s="15">
        <f>IFERROR(Z118/Z444, "NA")</f>
        <v>-4.1573504936561444E-2</v>
      </c>
      <c r="AB118" s="2"/>
      <c r="AC118" s="14">
        <f t="shared" si="27"/>
        <v>-13661.850000000006</v>
      </c>
      <c r="AD118" s="15">
        <f>IFERROR(AC118/AC444, "NA")</f>
        <v>-0.34386320024323924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104145.19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122707</v>
      </c>
      <c r="F122" s="15">
        <f>IFERROR(E122/E444, "NA")</f>
        <v>1</v>
      </c>
      <c r="G122" s="2"/>
      <c r="H122" s="14">
        <f t="shared" si="24"/>
        <v>-18561.809999999998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113094.31</v>
      </c>
      <c r="L122" s="15">
        <f>IFERROR(K122/K444, "NA")</f>
        <v>1</v>
      </c>
      <c r="M122" s="2"/>
      <c r="N122" s="14">
        <f t="shared" si="25"/>
        <v>-8949.1199999999953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993703.20999999985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1079304.04</v>
      </c>
      <c r="U122" s="15">
        <f>IFERROR(T122/T444, "NA")</f>
        <v>1</v>
      </c>
      <c r="V122" s="2"/>
      <c r="W122" s="14">
        <f t="shared" si="26"/>
        <v>-85600.830000000191</v>
      </c>
      <c r="X122" s="15">
        <f>IFERROR(W122/W444, "NA")</f>
        <v>1.0000000000000013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953972.72999999975</v>
      </c>
      <c r="AA122" s="15">
        <f>IFERROR(Z122/Z444, "NA")</f>
        <v>0.99999999999999978</v>
      </c>
      <c r="AB122" s="2"/>
      <c r="AC122" s="14">
        <f t="shared" si="27"/>
        <v>39730.480000000098</v>
      </c>
      <c r="AD122" s="15">
        <f>IFERROR(AC122/AC444, "NA")</f>
        <v>1.0000000000000029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104145.19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122707</v>
      </c>
      <c r="F124" s="15">
        <f>IFERROR(E124/E444, "NA")</f>
        <v>1</v>
      </c>
      <c r="G124" s="2"/>
      <c r="H124" s="14">
        <f t="shared" si="24"/>
        <v>-18561.809999999998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113094.31</v>
      </c>
      <c r="L124" s="15">
        <f>IFERROR(K124/K444, "NA")</f>
        <v>1</v>
      </c>
      <c r="M124" s="2"/>
      <c r="N124" s="14">
        <f t="shared" si="25"/>
        <v>-8949.1199999999953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993703.20999999985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1079304.04</v>
      </c>
      <c r="U124" s="15">
        <f>IFERROR(T124/T444, "NA")</f>
        <v>1</v>
      </c>
      <c r="V124" s="2"/>
      <c r="W124" s="14">
        <f t="shared" si="26"/>
        <v>-85600.830000000191</v>
      </c>
      <c r="X124" s="15">
        <f>IFERROR(W124/W444, "NA")</f>
        <v>1.0000000000000013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953972.72999999975</v>
      </c>
      <c r="AA124" s="15">
        <f>IFERROR(Z124/Z444, "NA")</f>
        <v>0.99999999999999978</v>
      </c>
      <c r="AB124" s="2"/>
      <c r="AC124" s="14">
        <f t="shared" si="27"/>
        <v>39730.480000000098</v>
      </c>
      <c r="AD124" s="15">
        <f>IFERROR(AC124/AC444, "NA")</f>
        <v>1.0000000000000029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26750.12</v>
      </c>
      <c r="F129" s="8">
        <f>IFERROR(E129/E444, "NA")</f>
        <v>0.21799995110303405</v>
      </c>
      <c r="G129" s="9"/>
      <c r="H129" s="10">
        <f t="shared" ref="H129:H141" si="28">IFERROR(-(B129-E129), "NA")</f>
        <v>26750.12</v>
      </c>
      <c r="I129" s="8">
        <f>IFERROR(H129/H444, "NA")</f>
        <v>-1.4411374752785424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241369.81</v>
      </c>
      <c r="U129" s="8">
        <f>IFERROR(T129/T444, "NA")</f>
        <v>0.22363467665700573</v>
      </c>
      <c r="V129" s="9"/>
      <c r="W129" s="10">
        <f t="shared" ref="W129:W141" si="30">IFERROR(-(Q129-T129), "NA")</f>
        <v>241369.81</v>
      </c>
      <c r="X129" s="8">
        <f>IFERROR(W129/W444, "NA")</f>
        <v>-2.8197134303487452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4255</v>
      </c>
      <c r="C130" s="8">
        <f>IFERROR(B130/B444, "NA")</f>
        <v>4.0856423613995038E-2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-4255</v>
      </c>
      <c r="I130" s="8">
        <f>IFERROR(H130/H444, "NA")</f>
        <v>0.22923411025110163</v>
      </c>
      <c r="J130" s="9"/>
      <c r="K130" s="7">
        <v>5935.18</v>
      </c>
      <c r="L130" s="8">
        <f>IFERROR(K130/K444, "NA")</f>
        <v>5.247991698256084E-2</v>
      </c>
      <c r="M130" s="9"/>
      <c r="N130" s="10">
        <f t="shared" si="29"/>
        <v>1680.1800000000003</v>
      </c>
      <c r="O130" s="8">
        <f>IFERROR(N130/N444, "NA")</f>
        <v>-0.18774806908388772</v>
      </c>
      <c r="P130" s="9"/>
      <c r="Q130" s="7">
        <v>47786.41</v>
      </c>
      <c r="R130" s="8">
        <f>IFERROR(Q130/Q444, "NA")</f>
        <v>4.808921770515364E-2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-47786.41</v>
      </c>
      <c r="X130" s="8">
        <f>IFERROR(W130/W444, "NA")</f>
        <v>0.55824704036164086</v>
      </c>
      <c r="Y130" s="9"/>
      <c r="Z130" s="7">
        <v>56186.71</v>
      </c>
      <c r="AA130" s="8">
        <f>IFERROR(Z130/Z444, "NA")</f>
        <v>5.8897606014377372E-2</v>
      </c>
      <c r="AB130" s="9"/>
      <c r="AC130" s="10">
        <f t="shared" si="31"/>
        <v>8400.2999999999956</v>
      </c>
      <c r="AD130" s="8">
        <f>IFERROR(AC130/AC444, "NA")</f>
        <v>0.2114321296898502</v>
      </c>
    </row>
    <row r="131" spans="1:30" ht="16.5" customHeight="1" x14ac:dyDescent="0.45">
      <c r="A131" s="12" t="s">
        <v>123</v>
      </c>
      <c r="B131" s="7">
        <v>2502.41</v>
      </c>
      <c r="C131" s="8">
        <f>IFERROR(B131/B444, "NA")</f>
        <v>2.402809001548703E-2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-2502.41</v>
      </c>
      <c r="I131" s="8">
        <f>IFERROR(H131/H444, "NA")</f>
        <v>0.13481497763418546</v>
      </c>
      <c r="J131" s="9"/>
      <c r="K131" s="7">
        <v>2619.66</v>
      </c>
      <c r="L131" s="8">
        <f>IFERROR(K131/K444, "NA")</f>
        <v>2.3163499560676395E-2</v>
      </c>
      <c r="M131" s="9"/>
      <c r="N131" s="10">
        <f t="shared" si="29"/>
        <v>117.25</v>
      </c>
      <c r="O131" s="8">
        <f>IFERROR(N131/N444, "NA")</f>
        <v>-1.3101846885503832E-2</v>
      </c>
      <c r="P131" s="9"/>
      <c r="Q131" s="7">
        <v>27724.37</v>
      </c>
      <c r="R131" s="8">
        <f>IFERROR(Q131/Q444, "NA")</f>
        <v>2.7900050760629021E-2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-27724.37</v>
      </c>
      <c r="X131" s="8">
        <f>IFERROR(W131/W444, "NA")</f>
        <v>0.32387968668060785</v>
      </c>
      <c r="Y131" s="9"/>
      <c r="Z131" s="7">
        <v>27318.81</v>
      </c>
      <c r="AA131" s="8">
        <f>IFERROR(Z131/Z444, "NA")</f>
        <v>2.8636887765125112E-2</v>
      </c>
      <c r="AB131" s="9"/>
      <c r="AC131" s="10">
        <f t="shared" si="31"/>
        <v>-405.55999999999767</v>
      </c>
      <c r="AD131" s="8">
        <f>IFERROR(AC131/AC444, "NA")</f>
        <v>-1.0207780021786746E-2</v>
      </c>
    </row>
    <row r="132" spans="1:30" ht="16.5" customHeight="1" x14ac:dyDescent="0.45">
      <c r="A132" s="12" t="s">
        <v>124</v>
      </c>
      <c r="B132" s="7">
        <v>4062.92</v>
      </c>
      <c r="C132" s="8">
        <f>IFERROR(B132/B444, "NA")</f>
        <v>3.9012075353648111E-2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-4062.92</v>
      </c>
      <c r="I132" s="8">
        <f>IFERROR(H132/H444, "NA")</f>
        <v>0.21888598148564178</v>
      </c>
      <c r="J132" s="9"/>
      <c r="K132" s="7">
        <v>4005.59</v>
      </c>
      <c r="L132" s="8">
        <f>IFERROR(K132/K444, "NA")</f>
        <v>3.5418139073486544E-2</v>
      </c>
      <c r="M132" s="9"/>
      <c r="N132" s="10">
        <f t="shared" si="29"/>
        <v>-57.329999999999927</v>
      </c>
      <c r="O132" s="8">
        <f>IFERROR(N132/N444, "NA")</f>
        <v>6.4062164771508216E-3</v>
      </c>
      <c r="P132" s="9"/>
      <c r="Q132" s="7">
        <v>43174.29</v>
      </c>
      <c r="R132" s="8">
        <f>IFERROR(Q132/Q444, "NA")</f>
        <v>4.3447872126728869E-2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-43174.29</v>
      </c>
      <c r="X132" s="8">
        <f>IFERROR(W132/W444, "NA")</f>
        <v>0.50436765624819246</v>
      </c>
      <c r="Y132" s="9"/>
      <c r="Z132" s="7">
        <v>33360.379999999997</v>
      </c>
      <c r="AA132" s="8">
        <f>IFERROR(Z132/Z444, "NA")</f>
        <v>3.4969951394732211E-2</v>
      </c>
      <c r="AB132" s="9"/>
      <c r="AC132" s="10">
        <f t="shared" si="31"/>
        <v>-9813.9100000000035</v>
      </c>
      <c r="AD132" s="8">
        <f>IFERROR(AC132/AC444, "NA")</f>
        <v>-0.24701211764871725</v>
      </c>
    </row>
    <row r="133" spans="1:30" ht="16.5" customHeight="1" x14ac:dyDescent="0.45">
      <c r="A133" s="12" t="s">
        <v>125</v>
      </c>
      <c r="B133" s="7">
        <v>2685.58</v>
      </c>
      <c r="C133" s="8">
        <f>IFERROR(B133/B444, "NA")</f>
        <v>2.5786884636726862E-2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-2685.58</v>
      </c>
      <c r="I133" s="8">
        <f>IFERROR(H133/H444, "NA")</f>
        <v>0.14468308855655782</v>
      </c>
      <c r="J133" s="9"/>
      <c r="K133" s="7">
        <v>2276.23</v>
      </c>
      <c r="L133" s="8">
        <f>IFERROR(K133/K444, "NA")</f>
        <v>2.0126830430284248E-2</v>
      </c>
      <c r="M133" s="9"/>
      <c r="N133" s="10">
        <f t="shared" si="29"/>
        <v>-409.34999999999991</v>
      </c>
      <c r="O133" s="8">
        <f>IFERROR(N133/N444, "NA")</f>
        <v>4.5741927697918912E-2</v>
      </c>
      <c r="P133" s="9"/>
      <c r="Q133" s="7">
        <v>23698.080000000002</v>
      </c>
      <c r="R133" s="8">
        <f>IFERROR(Q133/Q444, "NA")</f>
        <v>2.3848247405782258E-2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-23698.080000000002</v>
      </c>
      <c r="X133" s="8">
        <f>IFERROR(W133/W444, "NA")</f>
        <v>0.27684404461966061</v>
      </c>
      <c r="Y133" s="9"/>
      <c r="Z133" s="7">
        <v>19573.96</v>
      </c>
      <c r="AA133" s="8">
        <f>IFERROR(Z133/Z444, "NA")</f>
        <v>2.0518364293285407E-2</v>
      </c>
      <c r="AB133" s="9"/>
      <c r="AC133" s="10">
        <f t="shared" si="31"/>
        <v>-4124.1200000000026</v>
      </c>
      <c r="AD133" s="8">
        <f>IFERROR(AC133/AC444, "NA")</f>
        <v>-0.10380242071074915</v>
      </c>
    </row>
    <row r="134" spans="1:30" ht="16.5" customHeight="1" x14ac:dyDescent="0.45">
      <c r="A134" s="12" t="s">
        <v>126</v>
      </c>
      <c r="B134" s="7">
        <v>1300.83</v>
      </c>
      <c r="C134" s="8">
        <f>IFERROR(B134/B444, "NA")</f>
        <v>1.2490543250245161E-2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-1300.83</v>
      </c>
      <c r="I134" s="8">
        <f>IFERROR(H134/H444, "NA")</f>
        <v>7.0080988869081193E-2</v>
      </c>
      <c r="J134" s="9"/>
      <c r="K134" s="7">
        <v>1015.89</v>
      </c>
      <c r="L134" s="8">
        <f>IFERROR(K134/K444, "NA")</f>
        <v>8.9826800304984404E-3</v>
      </c>
      <c r="M134" s="9"/>
      <c r="N134" s="10">
        <f t="shared" si="29"/>
        <v>-284.93999999999994</v>
      </c>
      <c r="O134" s="8">
        <f>IFERROR(N134/N444, "NA")</f>
        <v>3.1840002145462357E-2</v>
      </c>
      <c r="P134" s="9"/>
      <c r="Q134" s="7">
        <v>9907.6200000000008</v>
      </c>
      <c r="R134" s="8">
        <f>IFERROR(Q134/Q444, "NA")</f>
        <v>9.9704015246161893E-3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-9907.6200000000008</v>
      </c>
      <c r="X134" s="8">
        <f>IFERROR(W134/W444, "NA")</f>
        <v>0.11574210203335636</v>
      </c>
      <c r="Y134" s="9"/>
      <c r="Z134" s="7">
        <v>9638.59</v>
      </c>
      <c r="AA134" s="8">
        <f>IFERROR(Z134/Z444, "NA")</f>
        <v>1.0103632626899095E-2</v>
      </c>
      <c r="AB134" s="9"/>
      <c r="AC134" s="10">
        <f t="shared" si="31"/>
        <v>-269.03000000000065</v>
      </c>
      <c r="AD134" s="8">
        <f>IFERROR(AC134/AC444, "NA")</f>
        <v>-6.7713755283097705E-3</v>
      </c>
    </row>
    <row r="135" spans="1:30" ht="16.5" customHeight="1" x14ac:dyDescent="0.45">
      <c r="A135" s="12" t="s">
        <v>127</v>
      </c>
      <c r="B135" s="7">
        <v>847.91</v>
      </c>
      <c r="C135" s="8">
        <f>IFERROR(B135/B444, "NA")</f>
        <v>8.1416146055329104E-3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-847.91</v>
      </c>
      <c r="I135" s="8">
        <f>IFERROR(H135/H444, "NA")</f>
        <v>4.5680351215748899E-2</v>
      </c>
      <c r="J135" s="9"/>
      <c r="K135" s="7">
        <v>883.69</v>
      </c>
      <c r="L135" s="8">
        <f>IFERROR(K135/K444, "NA")</f>
        <v>7.8137441220517637E-3</v>
      </c>
      <c r="M135" s="9"/>
      <c r="N135" s="10">
        <f t="shared" si="29"/>
        <v>35.780000000000086</v>
      </c>
      <c r="O135" s="8">
        <f>IFERROR(N135/N444, "NA")</f>
        <v>-3.9981584781520535E-3</v>
      </c>
      <c r="P135" s="9"/>
      <c r="Q135" s="7">
        <v>8159.84</v>
      </c>
      <c r="R135" s="8">
        <f>IFERROR(Q135/Q444, "NA")</f>
        <v>8.2115463831499546E-3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-8159.84</v>
      </c>
      <c r="X135" s="8">
        <f>IFERROR(W135/W444, "NA")</f>
        <v>9.5324309355411543E-2</v>
      </c>
      <c r="Y135" s="9"/>
      <c r="Z135" s="7">
        <v>8238.2999999999993</v>
      </c>
      <c r="AA135" s="8">
        <f>IFERROR(Z135/Z444, "NA")</f>
        <v>8.635781444192853E-3</v>
      </c>
      <c r="AB135" s="9"/>
      <c r="AC135" s="10">
        <f t="shared" si="31"/>
        <v>78.459999999999127</v>
      </c>
      <c r="AD135" s="8">
        <f>IFERROR(AC135/AC444, "NA")</f>
        <v>1.9748062444752534E-3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571.32000000000005</v>
      </c>
      <c r="L136" s="8">
        <f>IFERROR(K136/K444, "NA")</f>
        <v>5.0517130348998115E-3</v>
      </c>
      <c r="M136" s="9"/>
      <c r="N136" s="10">
        <f t="shared" si="29"/>
        <v>571.32000000000005</v>
      </c>
      <c r="O136" s="8">
        <f>IFERROR(N136/N444, "NA")</f>
        <v>-6.3840913966959914E-2</v>
      </c>
      <c r="P136" s="9"/>
      <c r="Q136" s="7">
        <v>4036.02</v>
      </c>
      <c r="R136" s="8">
        <f>IFERROR(Q136/Q444, "NA")</f>
        <v>4.0615950108483598E-3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-4036.02</v>
      </c>
      <c r="X136" s="8">
        <f>IFERROR(W136/W444, "NA")</f>
        <v>4.7149309183100167E-2</v>
      </c>
      <c r="Y136" s="9"/>
      <c r="Z136" s="7">
        <v>6784.75</v>
      </c>
      <c r="AA136" s="8">
        <f>IFERROR(Z136/Z444, "NA")</f>
        <v>7.1121005733570603E-3</v>
      </c>
      <c r="AB136" s="9"/>
      <c r="AC136" s="10">
        <f t="shared" si="31"/>
        <v>2748.73</v>
      </c>
      <c r="AD136" s="8">
        <f>IFERROR(AC136/AC444, "NA")</f>
        <v>6.9184414585476972E-2</v>
      </c>
    </row>
    <row r="137" spans="1:30" ht="16.5" customHeight="1" x14ac:dyDescent="0.45">
      <c r="A137" s="12" t="s">
        <v>129</v>
      </c>
      <c r="B137" s="7">
        <v>644.91</v>
      </c>
      <c r="C137" s="8">
        <f>IFERROR(B137/B444, "NA")</f>
        <v>6.1924127268863779E-3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-644.91</v>
      </c>
      <c r="I137" s="8">
        <f>IFERROR(H137/H444, "NA")</f>
        <v>3.474391775371044E-2</v>
      </c>
      <c r="J137" s="9"/>
      <c r="K137" s="7">
        <v>-199.4</v>
      </c>
      <c r="L137" s="8">
        <f>IFERROR(K137/K444, "NA")</f>
        <v>-1.7631302582773616E-3</v>
      </c>
      <c r="M137" s="9"/>
      <c r="N137" s="10">
        <f t="shared" si="29"/>
        <v>-844.31</v>
      </c>
      <c r="O137" s="8">
        <f>IFERROR(N137/N444, "NA")</f>
        <v>9.4345589286991396E-2</v>
      </c>
      <c r="P137" s="9"/>
      <c r="Q137" s="7">
        <v>5411.64</v>
      </c>
      <c r="R137" s="8">
        <f>IFERROR(Q137/Q444, "NA")</f>
        <v>5.4459318894622471E-3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-5411.64</v>
      </c>
      <c r="X137" s="8">
        <f>IFERROR(W137/W444, "NA")</f>
        <v>6.3219480465317862E-2</v>
      </c>
      <c r="Y137" s="9"/>
      <c r="Z137" s="7">
        <v>3315.06</v>
      </c>
      <c r="AA137" s="8">
        <f>IFERROR(Z137/Z444, "NA")</f>
        <v>3.4750049930672546E-3</v>
      </c>
      <c r="AB137" s="9"/>
      <c r="AC137" s="10">
        <f t="shared" si="31"/>
        <v>-2096.5800000000004</v>
      </c>
      <c r="AD137" s="8">
        <f>IFERROR(AC137/AC444, "NA")</f>
        <v>-5.2770064695921153E-2</v>
      </c>
    </row>
    <row r="138" spans="1:30" ht="16.5" customHeight="1" x14ac:dyDescent="0.45">
      <c r="A138" s="12" t="s">
        <v>130</v>
      </c>
      <c r="B138" s="7">
        <v>6405.13</v>
      </c>
      <c r="C138" s="8">
        <f>IFERROR(B138/B444, "NA")</f>
        <v>6.1501928221553009E-2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-6405.13</v>
      </c>
      <c r="I138" s="8">
        <f>IFERROR(H138/H444, "NA")</f>
        <v>0.34507033527441566</v>
      </c>
      <c r="J138" s="9"/>
      <c r="K138" s="7">
        <v>4410.04</v>
      </c>
      <c r="L138" s="8">
        <f>IFERROR(K138/K444, "NA")</f>
        <v>3.8994357894751731E-2</v>
      </c>
      <c r="M138" s="9"/>
      <c r="N138" s="10">
        <f t="shared" si="29"/>
        <v>-1995.0900000000001</v>
      </c>
      <c r="O138" s="8">
        <f>IFERROR(N138/N444, "NA")</f>
        <v>0.22293700386183235</v>
      </c>
      <c r="P138" s="9"/>
      <c r="Q138" s="7">
        <v>59395.199999999997</v>
      </c>
      <c r="R138" s="8">
        <f>IFERROR(Q138/Q444, "NA")</f>
        <v>5.9771569018077342E-2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-59395.199999999997</v>
      </c>
      <c r="X138" s="8">
        <f>IFERROR(W138/W444, "NA")</f>
        <v>0.69386243100680156</v>
      </c>
      <c r="Y138" s="9"/>
      <c r="Z138" s="7">
        <v>42713.279999999999</v>
      </c>
      <c r="AA138" s="8">
        <f>IFERROR(Z138/Z444, "NA")</f>
        <v>4.4774110052391118E-2</v>
      </c>
      <c r="AB138" s="9"/>
      <c r="AC138" s="10">
        <f t="shared" si="31"/>
        <v>-16681.919999999998</v>
      </c>
      <c r="AD138" s="8">
        <f>IFERROR(AC138/AC444, "NA")</f>
        <v>-0.41987713211619909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8.91</v>
      </c>
      <c r="C140" s="8">
        <f>IFERROR(B140/B444, "NA")</f>
        <v>8.5553639107096549E-5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-8.91</v>
      </c>
      <c r="I140" s="8">
        <f>IFERROR(H140/H444, "NA")</f>
        <v>4.800178430875007E-4</v>
      </c>
      <c r="J140" s="9"/>
      <c r="K140" s="7">
        <v>30.75</v>
      </c>
      <c r="L140" s="8">
        <f>IFERROR(K140/K444, "NA")</f>
        <v>2.7189696811448781E-4</v>
      </c>
      <c r="M140" s="9"/>
      <c r="N140" s="10">
        <f t="shared" si="29"/>
        <v>21.84</v>
      </c>
      <c r="O140" s="8">
        <f>IFERROR(N140/N444, "NA")</f>
        <v>-2.4404634198669827E-3</v>
      </c>
      <c r="P140" s="9"/>
      <c r="Q140" s="7">
        <v>107.2</v>
      </c>
      <c r="R140" s="8">
        <f>IFERROR(Q140/Q444, "NA")</f>
        <v>1.0787929325497501E-4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-107.2</v>
      </c>
      <c r="X140" s="8">
        <f>IFERROR(W140/W444, "NA")</f>
        <v>1.2523243057339503E-3</v>
      </c>
      <c r="Y140" s="9"/>
      <c r="Z140" s="7">
        <v>239.58</v>
      </c>
      <c r="AA140" s="8">
        <f>IFERROR(Z140/Z444, "NA")</f>
        <v>2.5113925426358886E-4</v>
      </c>
      <c r="AB140" s="9"/>
      <c r="AC140" s="10">
        <f t="shared" si="31"/>
        <v>132.38</v>
      </c>
      <c r="AD140" s="8">
        <f>IFERROR(AC140/AC444, "NA")</f>
        <v>3.3319506837068179E-3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22713.599999999999</v>
      </c>
      <c r="C141" s="15">
        <f>IFERROR(B141/B444, "NA")</f>
        <v>0.21809552606318158</v>
      </c>
      <c r="D141" s="2"/>
      <c r="E141" s="14">
        <f>IFERROR(E129+E130+E131+E132+E133+E134+E135+E136+E137+E138+E139+E140, "NA")</f>
        <v>26750.12</v>
      </c>
      <c r="F141" s="15">
        <f>IFERROR(E141/E444, "NA")</f>
        <v>0.21799995110303405</v>
      </c>
      <c r="G141" s="2"/>
      <c r="H141" s="14">
        <f t="shared" si="28"/>
        <v>4036.5200000000004</v>
      </c>
      <c r="I141" s="15">
        <f>IFERROR(H141/H444, "NA")</f>
        <v>-0.21746370639501217</v>
      </c>
      <c r="J141" s="2"/>
      <c r="K141" s="14">
        <f>IFERROR(K129+K130+K131+K132+K133+K134+K135+K136+K137+K138+K139+K140, "NA")</f>
        <v>21548.949999999997</v>
      </c>
      <c r="L141" s="15">
        <f>IFERROR(K141/K444, "NA")</f>
        <v>0.19053964783904687</v>
      </c>
      <c r="M141" s="2"/>
      <c r="N141" s="14">
        <f t="shared" si="29"/>
        <v>-1164.6500000000015</v>
      </c>
      <c r="O141" s="15">
        <f>IFERROR(N141/N444, "NA")</f>
        <v>0.13014128763498556</v>
      </c>
      <c r="P141" s="2"/>
      <c r="Q141" s="14">
        <f>IFERROR(Q129+Q130+Q131+Q132+Q133+Q134+Q135+Q136+Q137+Q138+Q139+Q140, "NA")</f>
        <v>229400.67000000004</v>
      </c>
      <c r="R141" s="15">
        <f>IFERROR(Q141/Q444, "NA")</f>
        <v>0.23085431111770288</v>
      </c>
      <c r="S141" s="2"/>
      <c r="T141" s="14">
        <f>IFERROR(T129+T130+T131+T132+T133+T134+T135+T136+T137+T138+T139+T140, "NA")</f>
        <v>241369.81</v>
      </c>
      <c r="U141" s="15">
        <f>IFERROR(T141/T444, "NA")</f>
        <v>0.22363467665700573</v>
      </c>
      <c r="V141" s="2"/>
      <c r="W141" s="14">
        <f t="shared" si="30"/>
        <v>11969.139999999956</v>
      </c>
      <c r="X141" s="15">
        <f>IFERROR(W141/W444, "NA")</f>
        <v>-0.13982504608892163</v>
      </c>
      <c r="Y141" s="2"/>
      <c r="Z141" s="14">
        <f>IFERROR(Z129+Z130+Z131+Z132+Z133+Z134+Z135+Z136+Z137+Z138+Z139+Z140, "NA")</f>
        <v>207369.41999999995</v>
      </c>
      <c r="AA141" s="15">
        <f>IFERROR(Z141/Z444, "NA")</f>
        <v>0.21737457841169103</v>
      </c>
      <c r="AB141" s="2"/>
      <c r="AC141" s="14">
        <f t="shared" si="31"/>
        <v>-22031.250000000087</v>
      </c>
      <c r="AD141" s="15">
        <f>IFERROR(AC141/AC444, "NA")</f>
        <v>-0.55451758951817587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1819.15</v>
      </c>
      <c r="C144" s="8">
        <f>IFERROR(B144/B444, "NA")</f>
        <v>1.7467441367191323E-2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-1819.15</v>
      </c>
      <c r="I144" s="8">
        <f>IFERROR(H144/H444, "NA")</f>
        <v>9.8004989815109647E-2</v>
      </c>
      <c r="J144" s="9"/>
      <c r="K144" s="7">
        <v>1665.57</v>
      </c>
      <c r="L144" s="8">
        <f>IFERROR(K144/K444, "NA")</f>
        <v>1.4727266119754388E-2</v>
      </c>
      <c r="M144" s="9"/>
      <c r="N144" s="10">
        <f t="shared" si="33"/>
        <v>-153.58000000000015</v>
      </c>
      <c r="O144" s="8">
        <f>IFERROR(N144/N444, "NA")</f>
        <v>1.7161463920474889E-2</v>
      </c>
      <c r="P144" s="9"/>
      <c r="Q144" s="7">
        <v>14569.97</v>
      </c>
      <c r="R144" s="8">
        <f>IFERROR(Q144/Q444, "NA")</f>
        <v>1.4662295395020411E-2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-14569.97</v>
      </c>
      <c r="X144" s="8">
        <f>IFERROR(W144/W444, "NA")</f>
        <v>0.17020827952252315</v>
      </c>
      <c r="Y144" s="9"/>
      <c r="Z144" s="7">
        <v>11155.46</v>
      </c>
      <c r="AA144" s="8">
        <f>IFERROR(Z144/Z444, "NA")</f>
        <v>1.1693688560678249E-2</v>
      </c>
      <c r="AB144" s="9"/>
      <c r="AC144" s="10">
        <f t="shared" si="35"/>
        <v>-3414.51</v>
      </c>
      <c r="AD144" s="8">
        <f>IFERROR(AC144/AC444, "NA")</f>
        <v>-8.5941826023748058E-2</v>
      </c>
    </row>
    <row r="145" spans="1:30" ht="16.5" customHeight="1" x14ac:dyDescent="0.45">
      <c r="A145" s="12" t="s">
        <v>136</v>
      </c>
      <c r="B145" s="7">
        <v>19.41</v>
      </c>
      <c r="C145" s="8">
        <f>IFERROR(B145/B444, "NA")</f>
        <v>1.863744259336413E-4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-19.41</v>
      </c>
      <c r="I145" s="8">
        <f>IFERROR(H145/H444, "NA")</f>
        <v>1.0456954359515588E-3</v>
      </c>
      <c r="J145" s="9"/>
      <c r="K145" s="7">
        <v>4.8</v>
      </c>
      <c r="L145" s="8">
        <f>IFERROR(K145/K444, "NA")</f>
        <v>4.244245355933468E-5</v>
      </c>
      <c r="M145" s="9"/>
      <c r="N145" s="10">
        <f t="shared" si="33"/>
        <v>-14.61</v>
      </c>
      <c r="O145" s="8">
        <f>IFERROR(N145/N444, "NA")</f>
        <v>1.6325627547736545E-3</v>
      </c>
      <c r="P145" s="9"/>
      <c r="Q145" s="7">
        <v>538.44000000000005</v>
      </c>
      <c r="R145" s="8">
        <f>IFERROR(Q145/Q444, "NA")</f>
        <v>5.4185192780045472E-4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-538.44000000000005</v>
      </c>
      <c r="X145" s="8">
        <f>IFERROR(W145/W444, "NA")</f>
        <v>6.2901259251808605E-3</v>
      </c>
      <c r="Y145" s="9"/>
      <c r="Z145" s="7">
        <v>372.52</v>
      </c>
      <c r="AA145" s="8">
        <f>IFERROR(Z145/Z444, "NA")</f>
        <v>3.9049334250885765E-4</v>
      </c>
      <c r="AB145" s="9"/>
      <c r="AC145" s="10">
        <f t="shared" si="35"/>
        <v>-165.92000000000007</v>
      </c>
      <c r="AD145" s="8">
        <f>IFERROR(AC145/AC444, "NA")</f>
        <v>-4.1761388233920189E-3</v>
      </c>
    </row>
    <row r="146" spans="1:30" ht="16.5" customHeight="1" x14ac:dyDescent="0.45">
      <c r="A146" s="12" t="s">
        <v>137</v>
      </c>
      <c r="B146" s="7">
        <v>294.51</v>
      </c>
      <c r="C146" s="8">
        <f>IFERROR(B146/B444, "NA")</f>
        <v>2.8278790407891136E-3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-294.51</v>
      </c>
      <c r="I146" s="8">
        <f>IFERROR(H146/H444, "NA")</f>
        <v>1.5866448368989879E-2</v>
      </c>
      <c r="J146" s="9"/>
      <c r="K146" s="7">
        <v>139.36000000000001</v>
      </c>
      <c r="L146" s="8">
        <f>IFERROR(K146/K444, "NA")</f>
        <v>1.2322459016726839E-3</v>
      </c>
      <c r="M146" s="9"/>
      <c r="N146" s="10">
        <f t="shared" si="33"/>
        <v>-155.14999999999998</v>
      </c>
      <c r="O146" s="8">
        <f>IFERROR(N146/N444, "NA")</f>
        <v>1.7336900164485452E-2</v>
      </c>
      <c r="P146" s="9"/>
      <c r="Q146" s="7">
        <v>475</v>
      </c>
      <c r="R146" s="8">
        <f>IFERROR(Q146/Q444, "NA")</f>
        <v>4.780099281353836E-4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-475</v>
      </c>
      <c r="X146" s="8">
        <f>IFERROR(W146/W444, "NA")</f>
        <v>5.5490116158920374E-3</v>
      </c>
      <c r="Y146" s="9"/>
      <c r="Z146" s="7">
        <v>3321.21</v>
      </c>
      <c r="AA146" s="8">
        <f>IFERROR(Z146/Z444, "NA")</f>
        <v>3.4814517182267884E-3</v>
      </c>
      <c r="AB146" s="9"/>
      <c r="AC146" s="10">
        <f t="shared" si="35"/>
        <v>2846.21</v>
      </c>
      <c r="AD146" s="8">
        <f>IFERROR(AC146/AC444, "NA")</f>
        <v>7.1637946483405213E-2</v>
      </c>
    </row>
    <row r="147" spans="1:30" ht="16.5" customHeight="1" x14ac:dyDescent="0.45">
      <c r="A147" s="12" t="s">
        <v>138</v>
      </c>
      <c r="B147" s="7">
        <v>43.76</v>
      </c>
      <c r="C147" s="8">
        <f>IFERROR(B147/B444, "NA")</f>
        <v>4.2018263157424745E-4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-43.76</v>
      </c>
      <c r="I147" s="8">
        <f>IFERROR(H147/H444, "NA")</f>
        <v>2.357528710831541E-3</v>
      </c>
      <c r="J147" s="9"/>
      <c r="K147" s="7">
        <v>12.46</v>
      </c>
      <c r="L147" s="8">
        <f>IFERROR(K147/K444, "NA")</f>
        <v>1.1017353569777296E-4</v>
      </c>
      <c r="M147" s="9"/>
      <c r="N147" s="10">
        <f t="shared" si="33"/>
        <v>-31.299999999999997</v>
      </c>
      <c r="O147" s="8">
        <f>IFERROR(N147/N444, "NA")</f>
        <v>3.4975505971536879E-3</v>
      </c>
      <c r="P147" s="9"/>
      <c r="Q147" s="7">
        <v>141.05000000000001</v>
      </c>
      <c r="R147" s="8">
        <f>IFERROR(Q147/Q444, "NA")</f>
        <v>1.4194379023893866E-4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-141.05000000000001</v>
      </c>
      <c r="X147" s="8">
        <f>IFERROR(W147/W444, "NA")</f>
        <v>1.6477643966769935E-3</v>
      </c>
      <c r="Y147" s="9"/>
      <c r="Z147" s="7">
        <v>-137.43</v>
      </c>
      <c r="AA147" s="8">
        <f>IFERROR(Z147/Z444, "NA")</f>
        <v>-1.4406072173572508E-4</v>
      </c>
      <c r="AB147" s="9"/>
      <c r="AC147" s="10">
        <f t="shared" si="35"/>
        <v>-278.48</v>
      </c>
      <c r="AD147" s="8">
        <f>IFERROR(AC147/AC444, "NA")</f>
        <v>-7.0092281794732949E-3</v>
      </c>
    </row>
    <row r="148" spans="1:30" ht="16.5" customHeight="1" x14ac:dyDescent="0.45">
      <c r="A148" s="13" t="s">
        <v>139</v>
      </c>
      <c r="B148" s="14">
        <f>IFERROR(B143+B144+B145+B146+B147, "NA")</f>
        <v>2176.8300000000004</v>
      </c>
      <c r="C148" s="15">
        <f>IFERROR(B148/B444, "NA")</f>
        <v>2.0901877465488328E-2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-2176.8300000000004</v>
      </c>
      <c r="I148" s="15">
        <f>IFERROR(H148/H444, "NA")</f>
        <v>0.11727466233088264</v>
      </c>
      <c r="J148" s="2"/>
      <c r="K148" s="14">
        <f>IFERROR(K143+K144+K145+K146+K147, "NA")</f>
        <v>1822.19</v>
      </c>
      <c r="L148" s="15">
        <f>IFERROR(K148/K444, "NA")</f>
        <v>1.6112128010684183E-2</v>
      </c>
      <c r="M148" s="2"/>
      <c r="N148" s="14">
        <f t="shared" si="33"/>
        <v>-354.64000000000033</v>
      </c>
      <c r="O148" s="15">
        <f>IFERROR(N148/N444, "NA")</f>
        <v>3.9628477436887709E-2</v>
      </c>
      <c r="P148" s="2"/>
      <c r="Q148" s="14">
        <f>IFERROR(Q143+Q144+Q145+Q146+Q147, "NA")</f>
        <v>15724.46</v>
      </c>
      <c r="R148" s="15">
        <f>IFERROR(Q148/Q444, "NA")</f>
        <v>1.5824101041195186E-2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-15724.46</v>
      </c>
      <c r="X148" s="15">
        <f>IFERROR(W148/W444, "NA")</f>
        <v>0.18369518146027305</v>
      </c>
      <c r="Y148" s="2"/>
      <c r="Z148" s="14">
        <f>IFERROR(Z143+Z144+Z145+Z146+Z147, "NA")</f>
        <v>14711.759999999998</v>
      </c>
      <c r="AA148" s="15">
        <f>IFERROR(Z148/Z444, "NA")</f>
        <v>1.5421572899678168E-2</v>
      </c>
      <c r="AB148" s="2"/>
      <c r="AC148" s="14">
        <f t="shared" si="35"/>
        <v>-1012.7000000000007</v>
      </c>
      <c r="AD148" s="15">
        <f>IFERROR(AC148/AC444, "NA")</f>
        <v>-2.5489246543208166E-2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24890.429999999997</v>
      </c>
      <c r="C149" s="15">
        <f>IFERROR(B149/B444, "NA")</f>
        <v>0.23899740352866988</v>
      </c>
      <c r="D149" s="2"/>
      <c r="E149" s="14">
        <f>IFERROR(E127+E129+E130+E131+E132+E133+E134+E135+E136+E137+E138+E139+E140+E143+E144+E145+E146+E147, "NA")</f>
        <v>26750.12</v>
      </c>
      <c r="F149" s="15">
        <f>IFERROR(E149/E444, "NA")</f>
        <v>0.21799995110303405</v>
      </c>
      <c r="G149" s="2"/>
      <c r="H149" s="14">
        <f t="shared" si="32"/>
        <v>1859.6900000000023</v>
      </c>
      <c r="I149" s="15">
        <f>IFERROR(H149/H444, "NA")</f>
        <v>-0.10018904406412966</v>
      </c>
      <c r="J149" s="2"/>
      <c r="K149" s="14">
        <f>IFERROR(K127+K129+K130+K131+K132+K133+K134+K135+K136+K137+K138+K139+K140+K143+K144+K145+K146+K147, "NA")</f>
        <v>23371.139999999996</v>
      </c>
      <c r="L149" s="15">
        <f>IFERROR(K149/K444, "NA")</f>
        <v>0.20665177584973105</v>
      </c>
      <c r="M149" s="2"/>
      <c r="N149" s="14">
        <f t="shared" si="33"/>
        <v>-1519.2900000000009</v>
      </c>
      <c r="O149" s="15">
        <f>IFERROR(N149/N444, "NA")</f>
        <v>0.16976976507187316</v>
      </c>
      <c r="P149" s="2"/>
      <c r="Q149" s="14">
        <f>IFERROR(Q127+Q129+Q130+Q131+Q132+Q133+Q134+Q135+Q136+Q137+Q138+Q139+Q140+Q143+Q144+Q145+Q146+Q147, "NA")</f>
        <v>245125.13000000003</v>
      </c>
      <c r="R149" s="15">
        <f>IFERROR(Q149/Q444, "NA")</f>
        <v>0.24667841215889807</v>
      </c>
      <c r="S149" s="2"/>
      <c r="T149" s="14">
        <f>IFERROR(T127+T129+T130+T131+T132+T133+T134+T135+T136+T137+T138+T139+T140+T143+T144+T145+T146+T147, "NA")</f>
        <v>241369.81</v>
      </c>
      <c r="U149" s="15">
        <f>IFERROR(T149/T444, "NA")</f>
        <v>0.22363467665700573</v>
      </c>
      <c r="V149" s="2"/>
      <c r="W149" s="14">
        <f t="shared" si="34"/>
        <v>-3755.3200000000361</v>
      </c>
      <c r="X149" s="15">
        <f>IFERROR(W149/W444, "NA")</f>
        <v>4.3870135371351336E-2</v>
      </c>
      <c r="Y149" s="2"/>
      <c r="Z149" s="14">
        <f>IFERROR(Z127+Z129+Z130+Z131+Z132+Z133+Z134+Z135+Z136+Z137+Z138+Z139+Z140+Z143+Z144+Z145+Z146+Z147, "NA")</f>
        <v>222081.17999999993</v>
      </c>
      <c r="AA149" s="15">
        <f>IFERROR(Z149/Z444, "NA")</f>
        <v>0.23279615131136919</v>
      </c>
      <c r="AB149" s="2"/>
      <c r="AC149" s="14">
        <f t="shared" si="35"/>
        <v>-23043.950000000099</v>
      </c>
      <c r="AD149" s="15">
        <f>IFERROR(AC149/AC444, "NA")</f>
        <v>-0.58000683606138437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2208.73</v>
      </c>
      <c r="F153" s="8">
        <f>IFERROR(E153/E444, "NA")</f>
        <v>1.8000032597977295E-2</v>
      </c>
      <c r="G153" s="9"/>
      <c r="H153" s="10">
        <f t="shared" ref="H153:H158" si="36">IFERROR(-(B153-E153), "NA")</f>
        <v>2208.73</v>
      </c>
      <c r="I153" s="8">
        <f>IFERROR(H153/H444, "NA")</f>
        <v>-0.11899324473206009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20576.22</v>
      </c>
      <c r="U153" s="8">
        <f>IFERROR(T153/T444, "NA")</f>
        <v>1.9064340757957321E-2</v>
      </c>
      <c r="V153" s="9"/>
      <c r="W153" s="10">
        <f t="shared" ref="W153:W158" si="38">IFERROR(-(Q153-T153), "NA")</f>
        <v>20576.22</v>
      </c>
      <c r="X153" s="8">
        <f>IFERROR(W153/W444, "NA")</f>
        <v>-0.24037407113926329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3088.74</v>
      </c>
      <c r="C154" s="8">
        <f>IFERROR(B154/B444, "NA")</f>
        <v>2.9658018771678268E-2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-3088.74</v>
      </c>
      <c r="I154" s="8">
        <f>IFERROR(H154/H444, "NA")</f>
        <v>0.16640295316027909</v>
      </c>
      <c r="J154" s="9"/>
      <c r="K154" s="7">
        <v>3930.12</v>
      </c>
      <c r="L154" s="8">
        <f>IFERROR(K154/K444, "NA")</f>
        <v>3.4750819913044254E-2</v>
      </c>
      <c r="M154" s="9"/>
      <c r="N154" s="10">
        <f t="shared" si="37"/>
        <v>841.38000000000011</v>
      </c>
      <c r="O154" s="8">
        <f>IFERROR(N154/N444, "NA")</f>
        <v>-9.4018182793392038E-2</v>
      </c>
      <c r="P154" s="9"/>
      <c r="Q154" s="7">
        <v>32225.98</v>
      </c>
      <c r="R154" s="8">
        <f>IFERROR(Q154/Q444, "NA")</f>
        <v>3.2430186071352229E-2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-32225.98</v>
      </c>
      <c r="X154" s="8">
        <f>IFERROR(W154/W444, "NA")</f>
        <v>0.37646807863895682</v>
      </c>
      <c r="Y154" s="9"/>
      <c r="Z154" s="7">
        <v>32076.74</v>
      </c>
      <c r="AA154" s="8">
        <f>IFERROR(Z154/Z444, "NA")</f>
        <v>3.3624378340458436E-2</v>
      </c>
      <c r="AB154" s="9"/>
      <c r="AC154" s="10">
        <f t="shared" si="39"/>
        <v>-149.23999999999796</v>
      </c>
      <c r="AD154" s="8">
        <f>IFERROR(AC154/AC444, "NA")</f>
        <v>-3.7563100168937812E-3</v>
      </c>
    </row>
    <row r="155" spans="1:30" ht="16.5" customHeight="1" x14ac:dyDescent="0.45">
      <c r="A155" s="12" t="s">
        <v>144</v>
      </c>
      <c r="B155" s="7">
        <v>1529.17</v>
      </c>
      <c r="C155" s="8">
        <f>IFERROR(B155/B444, "NA")</f>
        <v>1.4683059294433089E-2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-1529.17</v>
      </c>
      <c r="I155" s="8">
        <f>IFERROR(H155/H444, "NA")</f>
        <v>8.2382590921898258E-2</v>
      </c>
      <c r="J155" s="9"/>
      <c r="K155" s="7">
        <v>1120.6500000000001</v>
      </c>
      <c r="L155" s="8">
        <f>IFERROR(K155/K444, "NA")</f>
        <v>9.9089865794309197E-3</v>
      </c>
      <c r="M155" s="9"/>
      <c r="N155" s="10">
        <f t="shared" si="37"/>
        <v>-408.52</v>
      </c>
      <c r="O155" s="8">
        <f>IFERROR(N155/N444, "NA")</f>
        <v>4.5649181148537533E-2</v>
      </c>
      <c r="P155" s="9"/>
      <c r="Q155" s="7">
        <v>9488.0300000000007</v>
      </c>
      <c r="R155" s="8">
        <f>IFERROR(Q155/Q444, "NA")</f>
        <v>9.5481527125186611E-3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-9488.0300000000007</v>
      </c>
      <c r="X155" s="8">
        <f>IFERROR(W155/W444, "NA")</f>
        <v>0.11084039722512028</v>
      </c>
      <c r="Y155" s="9"/>
      <c r="Z155" s="7">
        <v>8643.91</v>
      </c>
      <c r="AA155" s="8">
        <f>IFERROR(Z155/Z444, "NA")</f>
        <v>9.0609613128039834E-3</v>
      </c>
      <c r="AB155" s="9"/>
      <c r="AC155" s="10">
        <f t="shared" si="39"/>
        <v>-844.1200000000008</v>
      </c>
      <c r="AD155" s="8">
        <f>IFERROR(AC155/AC444, "NA")</f>
        <v>-2.1246156603192339E-2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1.3735193457783642E-4</v>
      </c>
      <c r="AB156" s="9"/>
      <c r="AC156" s="10">
        <f t="shared" si="39"/>
        <v>131.03</v>
      </c>
      <c r="AD156" s="8">
        <f>IFERROR(AC156/AC444, "NA")</f>
        <v>3.2979717335405983E-3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4617.91</v>
      </c>
      <c r="C158" s="15">
        <f>IFERROR(B158/B444, "NA")</f>
        <v>4.4341078066111358E-2</v>
      </c>
      <c r="D158" s="2"/>
      <c r="E158" s="14">
        <f>IFERROR(E153+E154+E155+E156+E157, "NA")</f>
        <v>2208.73</v>
      </c>
      <c r="F158" s="15">
        <f>IFERROR(E158/E444, "NA")</f>
        <v>1.8000032597977295E-2</v>
      </c>
      <c r="G158" s="2"/>
      <c r="H158" s="14">
        <f t="shared" si="36"/>
        <v>-2409.1799999999998</v>
      </c>
      <c r="I158" s="15">
        <f>IFERROR(H158/H444, "NA")</f>
        <v>0.12979229935011727</v>
      </c>
      <c r="J158" s="2"/>
      <c r="K158" s="14">
        <f>IFERROR(K153+K154+K155+K156+K157, "NA")</f>
        <v>5050.7700000000004</v>
      </c>
      <c r="L158" s="15">
        <f>IFERROR(K158/K444, "NA")</f>
        <v>4.4659806492475182E-2</v>
      </c>
      <c r="M158" s="2"/>
      <c r="N158" s="14">
        <f t="shared" si="37"/>
        <v>432.86000000000058</v>
      </c>
      <c r="O158" s="15">
        <f>IFERROR(N158/N444, "NA")</f>
        <v>-4.8369001644854553E-2</v>
      </c>
      <c r="P158" s="2"/>
      <c r="Q158" s="14">
        <f>IFERROR(Q153+Q154+Q155+Q156+Q157, "NA")</f>
        <v>41714.01</v>
      </c>
      <c r="R158" s="15">
        <f>IFERROR(Q158/Q444, "NA")</f>
        <v>4.1978338783870896E-2</v>
      </c>
      <c r="S158" s="2"/>
      <c r="T158" s="14">
        <f>IFERROR(T153+T154+T155+T156+T157, "NA")</f>
        <v>20576.22</v>
      </c>
      <c r="U158" s="15">
        <f>IFERROR(T158/T444, "NA")</f>
        <v>1.9064340757957321E-2</v>
      </c>
      <c r="V158" s="2"/>
      <c r="W158" s="14">
        <f t="shared" si="38"/>
        <v>-21137.79</v>
      </c>
      <c r="X158" s="15">
        <f>IFERROR(W158/W444, "NA")</f>
        <v>0.24693440472481379</v>
      </c>
      <c r="Y158" s="2"/>
      <c r="Z158" s="14">
        <f>IFERROR(Z153+Z154+Z155+Z156+Z157, "NA")</f>
        <v>40851.68</v>
      </c>
      <c r="AA158" s="15">
        <f>IFERROR(Z158/Z444, "NA")</f>
        <v>4.2822691587840252E-2</v>
      </c>
      <c r="AB158" s="2"/>
      <c r="AC158" s="14">
        <f t="shared" si="39"/>
        <v>-862.33000000000175</v>
      </c>
      <c r="AD158" s="15">
        <f>IFERROR(AC158/AC444, "NA")</f>
        <v>-2.1704494886545599E-2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390.36</v>
      </c>
      <c r="C161" s="8">
        <f>IFERROR(B161/B444, "NA")</f>
        <v>3.7482287948200008E-3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-390.36</v>
      </c>
      <c r="I161" s="8">
        <f>IFERROR(H161/H444, "NA")</f>
        <v>2.1030276680991781E-2</v>
      </c>
      <c r="J161" s="9"/>
      <c r="K161" s="7">
        <v>140.9</v>
      </c>
      <c r="L161" s="8">
        <f>IFERROR(K161/K444, "NA")</f>
        <v>1.2458628555229703E-3</v>
      </c>
      <c r="M161" s="9"/>
      <c r="N161" s="10">
        <f t="shared" si="41"/>
        <v>-249.46</v>
      </c>
      <c r="O161" s="8">
        <f>IFERROR(N161/N444, "NA")</f>
        <v>2.7875366516484319E-2</v>
      </c>
      <c r="P161" s="9"/>
      <c r="Q161" s="7">
        <v>3091.39</v>
      </c>
      <c r="R161" s="8">
        <f>IFERROR(Q161/Q444, "NA")</f>
        <v>3.1109791826072495E-3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-3091.39</v>
      </c>
      <c r="X161" s="8">
        <f>IFERROR(W161/W444, "NA")</f>
        <v>3.6114018987899968E-2</v>
      </c>
      <c r="Y161" s="9"/>
      <c r="Z161" s="7">
        <v>3920.79</v>
      </c>
      <c r="AA161" s="8">
        <f>IFERROR(Z161/Z444, "NA")</f>
        <v>4.1099602501216154E-3</v>
      </c>
      <c r="AB161" s="9"/>
      <c r="AC161" s="10">
        <f t="shared" si="43"/>
        <v>829.40000000000009</v>
      </c>
      <c r="AD161" s="8">
        <f>IFERROR(AC161/AC444, "NA")</f>
        <v>2.0875660198416947E-2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2.8512345421026871E-6</v>
      </c>
      <c r="AB162" s="9"/>
      <c r="AC162" s="10">
        <f t="shared" si="43"/>
        <v>2.72</v>
      </c>
      <c r="AD162" s="8">
        <f>IFERROR(AC162/AC444, "NA")</f>
        <v>6.8461292186754386E-5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390.36</v>
      </c>
      <c r="C166" s="15">
        <f>IFERROR(B166/B444, "NA")</f>
        <v>3.7482287948200008E-3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-390.36</v>
      </c>
      <c r="I166" s="15">
        <f>IFERROR(H166/H444, "NA")</f>
        <v>2.1030276680991781E-2</v>
      </c>
      <c r="J166" s="2"/>
      <c r="K166" s="14">
        <f>IFERROR(K160+K161+K162+K163+K164+K165, "NA")</f>
        <v>140.9</v>
      </c>
      <c r="L166" s="15">
        <f>IFERROR(K166/K444, "NA")</f>
        <v>1.2458628555229703E-3</v>
      </c>
      <c r="M166" s="2"/>
      <c r="N166" s="14">
        <f t="shared" si="41"/>
        <v>-249.46</v>
      </c>
      <c r="O166" s="15">
        <f>IFERROR(N166/N444, "NA")</f>
        <v>2.7875366516484319E-2</v>
      </c>
      <c r="P166" s="2"/>
      <c r="Q166" s="14">
        <f>IFERROR(Q160+Q161+Q162+Q163+Q164+Q165, "NA")</f>
        <v>3091.39</v>
      </c>
      <c r="R166" s="15">
        <f>IFERROR(Q166/Q444, "NA")</f>
        <v>3.1109791826072495E-3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-3091.39</v>
      </c>
      <c r="X166" s="15">
        <f>IFERROR(W166/W444, "NA")</f>
        <v>3.6114018987899968E-2</v>
      </c>
      <c r="Y166" s="2"/>
      <c r="Z166" s="14">
        <f>IFERROR(Z160+Z161+Z162+Z163+Z164+Z165, "NA")</f>
        <v>3923.5099999999998</v>
      </c>
      <c r="AA166" s="15">
        <f>IFERROR(Z166/Z444, "NA")</f>
        <v>4.1128114846637172E-3</v>
      </c>
      <c r="AB166" s="2"/>
      <c r="AC166" s="14">
        <f t="shared" si="43"/>
        <v>832.11999999999989</v>
      </c>
      <c r="AD166" s="15">
        <f>IFERROR(AC166/AC444, "NA")</f>
        <v>2.0944121490603696E-2</v>
      </c>
    </row>
    <row r="167" spans="1:30" ht="16.5" customHeight="1" x14ac:dyDescent="0.45">
      <c r="A167" s="6" t="s">
        <v>155</v>
      </c>
      <c r="B167" s="7">
        <v>385.3</v>
      </c>
      <c r="C167" s="8">
        <f>IFERROR(B167/B444, "NA")</f>
        <v>3.699642777549304E-3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-385.3</v>
      </c>
      <c r="I167" s="8">
        <f>IFERROR(H167/H444, "NA")</f>
        <v>2.075767395528777E-2</v>
      </c>
      <c r="J167" s="9"/>
      <c r="K167" s="7">
        <v>430.8</v>
      </c>
      <c r="L167" s="8">
        <f>IFERROR(K167/K444, "NA")</f>
        <v>3.809210206950288E-3</v>
      </c>
      <c r="M167" s="9"/>
      <c r="N167" s="10">
        <f t="shared" si="41"/>
        <v>45.5</v>
      </c>
      <c r="O167" s="8">
        <f>IFERROR(N167/N444, "NA")</f>
        <v>-5.0842987913895469E-3</v>
      </c>
      <c r="P167" s="9"/>
      <c r="Q167" s="7">
        <v>3409.37</v>
      </c>
      <c r="R167" s="8">
        <f>IFERROR(Q167/Q444, "NA")</f>
        <v>3.4309741235514376E-3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-3409.37</v>
      </c>
      <c r="X167" s="8">
        <f>IFERROR(W167/W444, "NA")</f>
        <v>3.982870259552386E-2</v>
      </c>
      <c r="Y167" s="9"/>
      <c r="Z167" s="7">
        <v>3568.81</v>
      </c>
      <c r="AA167" s="8">
        <f>IFERROR(Z167/Z444, "NA")</f>
        <v>3.7409979213976065E-3</v>
      </c>
      <c r="AB167" s="9"/>
      <c r="AC167" s="10">
        <f t="shared" si="43"/>
        <v>159.44000000000005</v>
      </c>
      <c r="AD167" s="8">
        <f>IFERROR(AC167/AC444, "NA")</f>
        <v>4.0130398625941631E-3</v>
      </c>
    </row>
    <row r="168" spans="1:30" ht="16.5" customHeight="1" x14ac:dyDescent="0.45">
      <c r="A168" s="6" t="s">
        <v>156</v>
      </c>
      <c r="B168" s="7">
        <v>36.31</v>
      </c>
      <c r="C168" s="8">
        <f>IFERROR(B168/B444, "NA")</f>
        <v>3.4864788282588954E-4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-36.31</v>
      </c>
      <c r="I168" s="8">
        <f>IFERROR(H168/H444, "NA")</f>
        <v>1.9561669901803761E-3</v>
      </c>
      <c r="J168" s="9"/>
      <c r="K168" s="7">
        <v>35.6</v>
      </c>
      <c r="L168" s="8">
        <f>IFERROR(K168/K444, "NA")</f>
        <v>3.147815305650656E-4</v>
      </c>
      <c r="M168" s="9"/>
      <c r="N168" s="10">
        <f t="shared" si="41"/>
        <v>-0.71000000000000085</v>
      </c>
      <c r="O168" s="8">
        <f>IFERROR(N168/N444, "NA")</f>
        <v>7.9337409711793033E-5</v>
      </c>
      <c r="P168" s="9"/>
      <c r="Q168" s="7">
        <v>500.78</v>
      </c>
      <c r="R168" s="8">
        <f>IFERROR(Q168/Q444, "NA")</f>
        <v>5.0395328802449978E-4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-500.78</v>
      </c>
      <c r="X168" s="8">
        <f>IFERROR(W168/W444, "NA")</f>
        <v>5.8501769200135041E-3</v>
      </c>
      <c r="Y168" s="9"/>
      <c r="Z168" s="7">
        <v>407.8</v>
      </c>
      <c r="AA168" s="8">
        <f>IFERROR(Z168/Z444, "NA")</f>
        <v>4.2747553171671902E-4</v>
      </c>
      <c r="AB168" s="9"/>
      <c r="AC168" s="10">
        <f t="shared" si="43"/>
        <v>-92.979999999999961</v>
      </c>
      <c r="AD168" s="8">
        <f>IFERROR(AC168/AC444, "NA")</f>
        <v>-2.3402687307075075E-3</v>
      </c>
    </row>
    <row r="169" spans="1:30" ht="16.5" customHeight="1" x14ac:dyDescent="0.45">
      <c r="A169" s="6" t="s">
        <v>157</v>
      </c>
      <c r="B169" s="7">
        <v>-1094.74</v>
      </c>
      <c r="C169" s="8">
        <f>IFERROR(B169/B444, "NA")</f>
        <v>-1.0511671254332533E-2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1094.74</v>
      </c>
      <c r="I169" s="8">
        <f>IFERROR(H169/H444, "NA")</f>
        <v>-5.8978084572571324E-2</v>
      </c>
      <c r="J169" s="9"/>
      <c r="K169" s="7">
        <v>-2917.14</v>
      </c>
      <c r="L169" s="8">
        <f>IFERROR(K169/K444, "NA")</f>
        <v>-2.579387062001616E-2</v>
      </c>
      <c r="M169" s="9"/>
      <c r="N169" s="10">
        <f t="shared" si="41"/>
        <v>-1822.3999999999999</v>
      </c>
      <c r="O169" s="8">
        <f>IFERROR(N169/N444, "NA")</f>
        <v>0.20364013444897383</v>
      </c>
      <c r="P169" s="9"/>
      <c r="Q169" s="7">
        <v>-15698.48</v>
      </c>
      <c r="R169" s="8">
        <f>IFERROR(Q169/Q444, "NA")</f>
        <v>-1.579795641396791E-2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15698.48</v>
      </c>
      <c r="X169" s="8">
        <f>IFERROR(W169/W444, "NA")</f>
        <v>-0.18339167973020806</v>
      </c>
      <c r="Y169" s="9"/>
      <c r="Z169" s="7">
        <v>-20443.490000000002</v>
      </c>
      <c r="AA169" s="8">
        <f>IFERROR(Z169/Z444, "NA")</f>
        <v>-2.1429847371003993E-2</v>
      </c>
      <c r="AB169" s="9"/>
      <c r="AC169" s="10">
        <f t="shared" si="43"/>
        <v>-4745.010000000002</v>
      </c>
      <c r="AD169" s="8">
        <f>IFERROR(AC169/AC444, "NA")</f>
        <v>-0.11942996913201161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4335.1400000000003</v>
      </c>
      <c r="C170" s="15">
        <f>IFERROR(B170/B444, "NA")</f>
        <v>4.162592626697402E-2</v>
      </c>
      <c r="D170" s="2"/>
      <c r="E170" s="14">
        <f>IFERROR(E151+E153+E154+E155+E156+E157+E160+E161+E162+E163+E164+E165+E167+E168+E169, "NA")</f>
        <v>2208.73</v>
      </c>
      <c r="F170" s="15">
        <f>IFERROR(E170/E444, "NA")</f>
        <v>1.8000032597977295E-2</v>
      </c>
      <c r="G170" s="2"/>
      <c r="H170" s="14">
        <f t="shared" si="40"/>
        <v>-2126.4100000000003</v>
      </c>
      <c r="I170" s="15">
        <f>IFERROR(H170/H444, "NA")</f>
        <v>0.1145583324040059</v>
      </c>
      <c r="J170" s="2"/>
      <c r="K170" s="14">
        <f>IFERROR(K151+K153+K154+K155+K156+K157+K160+K161+K162+K163+K164+K165+K167+K168+K169, "NA")</f>
        <v>2740.9300000000007</v>
      </c>
      <c r="L170" s="15">
        <f>IFERROR(K170/K444, "NA")</f>
        <v>2.4235790465497342E-2</v>
      </c>
      <c r="M170" s="2"/>
      <c r="N170" s="14">
        <f t="shared" si="41"/>
        <v>-1594.2099999999996</v>
      </c>
      <c r="O170" s="15">
        <f>IFERROR(N170/N444, "NA")</f>
        <v>0.1781415379389259</v>
      </c>
      <c r="P170" s="2"/>
      <c r="Q170" s="14">
        <f>IFERROR(Q151+Q153+Q154+Q155+Q156+Q157+Q160+Q161+Q162+Q163+Q164+Q165+Q167+Q168+Q169, "NA")</f>
        <v>33017.070000000007</v>
      </c>
      <c r="R170" s="15">
        <f>IFERROR(Q170/Q444, "NA")</f>
        <v>3.3226288964086179E-2</v>
      </c>
      <c r="S170" s="2"/>
      <c r="T170" s="14">
        <f>IFERROR(T151+T153+T154+T155+T156+T157+T160+T161+T162+T163+T164+T165+T167+T168+T169, "NA")</f>
        <v>20576.22</v>
      </c>
      <c r="U170" s="15">
        <f>IFERROR(T170/T444, "NA")</f>
        <v>1.9064340757957321E-2</v>
      </c>
      <c r="V170" s="2"/>
      <c r="W170" s="14">
        <f t="shared" si="42"/>
        <v>-12440.850000000006</v>
      </c>
      <c r="X170" s="15">
        <f>IFERROR(W170/W444, "NA")</f>
        <v>0.14533562349804313</v>
      </c>
      <c r="Y170" s="2"/>
      <c r="Z170" s="14">
        <f>IFERROR(Z151+Z153+Z154+Z155+Z156+Z157+Z160+Z161+Z162+Z163+Z164+Z165+Z167+Z168+Z169, "NA")</f>
        <v>28308.31</v>
      </c>
      <c r="AA170" s="15">
        <f>IFERROR(Z170/Z444, "NA")</f>
        <v>2.9674129154614308E-2</v>
      </c>
      <c r="AB170" s="2"/>
      <c r="AC170" s="14">
        <f t="shared" si="43"/>
        <v>-4708.7600000000057</v>
      </c>
      <c r="AD170" s="15">
        <f>IFERROR(AC170/AC444, "NA")</f>
        <v>-0.11851757139606689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29225.569999999996</v>
      </c>
      <c r="C171" s="15">
        <f>IFERROR(B171/B444, "NA")</f>
        <v>0.28062332979564392</v>
      </c>
      <c r="D171" s="2"/>
      <c r="E171" s="14">
        <f>IFERROR(E127+E129+E130+E131+E132+E133+E134+E135+E136+E137+E138+E139+E140+E143+E144+E145+E146+E147+E151+E153+E154+E155+E156+E157+E160+E161+E162+E163+E164+E165+E167+E168+E169, "NA")</f>
        <v>28958.85</v>
      </c>
      <c r="F171" s="15">
        <f>IFERROR(E171/E444, "NA")</f>
        <v>0.23599998370101133</v>
      </c>
      <c r="G171" s="2"/>
      <c r="H171" s="14">
        <f t="shared" si="40"/>
        <v>-266.71999999999753</v>
      </c>
      <c r="I171" s="15">
        <f>IFERROR(H171/H444, "NA")</f>
        <v>1.4369288339876206E-2</v>
      </c>
      <c r="J171" s="2"/>
      <c r="K171" s="14">
        <f>IFERROR(K127+K129+K130+K131+K132+K133+K134+K135+K136+K137+K138+K139+K140+K143+K144+K145+K146+K147+K151+K153+K154+K155+K156+K157+K160+K161+K162+K163+K164+K165+K167+K168+K169, "NA")</f>
        <v>26112.069999999996</v>
      </c>
      <c r="L171" s="15">
        <f>IFERROR(K171/K444, "NA")</f>
        <v>0.23088756631522839</v>
      </c>
      <c r="M171" s="2"/>
      <c r="N171" s="14">
        <f t="shared" si="41"/>
        <v>-3113.5</v>
      </c>
      <c r="O171" s="15">
        <f>IFERROR(N171/N444, "NA")</f>
        <v>0.34791130301079903</v>
      </c>
      <c r="P171" s="2"/>
      <c r="Q171" s="14">
        <f>IFERROR(Q127+Q129+Q130+Q131+Q132+Q133+Q134+Q135+Q136+Q137+Q138+Q139+Q140+Q143+Q144+Q145+Q146+Q147+Q151+Q153+Q154+Q155+Q156+Q157+Q160+Q161+Q162+Q163+Q164+Q165+Q167+Q168+Q169, "NA")</f>
        <v>278142.20000000013</v>
      </c>
      <c r="R171" s="15">
        <f>IFERROR(Q171/Q444, "NA")</f>
        <v>0.27990470112298432</v>
      </c>
      <c r="S171" s="2"/>
      <c r="T171" s="14">
        <f>IFERROR(T127+T129+T130+T131+T132+T133+T134+T135+T136+T137+T138+T139+T140+T143+T144+T145+T146+T147+T151+T153+T154+T155+T156+T157+T160+T161+T162+T163+T164+T165+T167+T168+T169, "NA")</f>
        <v>261946.03</v>
      </c>
      <c r="U171" s="15">
        <f>IFERROR(T171/T444, "NA")</f>
        <v>0.24269901741496305</v>
      </c>
      <c r="V171" s="2"/>
      <c r="W171" s="14">
        <f t="shared" si="42"/>
        <v>-16196.170000000129</v>
      </c>
      <c r="X171" s="15">
        <f>IFERROR(W171/W444, "NA")</f>
        <v>0.18920575886939547</v>
      </c>
      <c r="Y171" s="2"/>
      <c r="Z171" s="14">
        <f>IFERROR(Z127+Z129+Z130+Z131+Z132+Z133+Z134+Z135+Z136+Z137+Z138+Z139+Z140+Z143+Z144+Z145+Z146+Z147+Z151+Z153+Z154+Z155+Z156+Z157+Z160+Z161+Z162+Z163+Z164+Z165+Z167+Z168+Z169, "NA")</f>
        <v>250389.48999999987</v>
      </c>
      <c r="AA171" s="15">
        <f>IFERROR(Z171/Z444, "NA")</f>
        <v>0.26247028046598342</v>
      </c>
      <c r="AB171" s="2"/>
      <c r="AC171" s="14">
        <f t="shared" si="43"/>
        <v>-27752.710000000254</v>
      </c>
      <c r="AD171" s="15">
        <f>IFERROR(AC171/AC444, "NA")</f>
        <v>-0.69852440745745503</v>
      </c>
    </row>
    <row r="172" spans="1:30" ht="16.5" customHeight="1" x14ac:dyDescent="0.45">
      <c r="A172" s="22" t="s">
        <v>160</v>
      </c>
      <c r="B172" s="23">
        <f>IFERROR(B124-B171, "NA")</f>
        <v>74919.62000000001</v>
      </c>
      <c r="C172" s="24">
        <f>IFERROR(B172/B444, "NA")</f>
        <v>0.71937667020435614</v>
      </c>
      <c r="D172" s="25"/>
      <c r="E172" s="23">
        <f>IFERROR(E124-E171, "NA")</f>
        <v>93748.15</v>
      </c>
      <c r="F172" s="24">
        <f>IFERROR(E172/E444, "NA")</f>
        <v>0.76400001629898862</v>
      </c>
      <c r="G172" s="25"/>
      <c r="H172" s="23">
        <f>IFERROR(B172-E172, "NA")</f>
        <v>-18828.529999999984</v>
      </c>
      <c r="I172" s="24">
        <f>IFERROR(H172/H444, "NA")</f>
        <v>1.0143692883398756</v>
      </c>
      <c r="J172" s="25"/>
      <c r="K172" s="23">
        <f>IFERROR(K124-K171, "NA")</f>
        <v>86982.24</v>
      </c>
      <c r="L172" s="24">
        <f>IFERROR(K172/K444, "NA")</f>
        <v>0.76911243368477167</v>
      </c>
      <c r="M172" s="25"/>
      <c r="N172" s="23">
        <f>IFERROR(B172-K172, "NA")</f>
        <v>-12062.619999999995</v>
      </c>
      <c r="O172" s="24">
        <f>IFERROR(N172/N444, "NA")</f>
        <v>1.347911303010799</v>
      </c>
      <c r="P172" s="25"/>
      <c r="Q172" s="23">
        <f>IFERROR(Q124-Q171, "NA")</f>
        <v>715561.00999999978</v>
      </c>
      <c r="R172" s="24">
        <f>IFERROR(Q172/Q444, "NA")</f>
        <v>0.72009529887701562</v>
      </c>
      <c r="S172" s="25"/>
      <c r="T172" s="23">
        <f>IFERROR(T124-T171, "NA")</f>
        <v>817358.01</v>
      </c>
      <c r="U172" s="24">
        <f>IFERROR(T172/T444, "NA")</f>
        <v>0.75730098258503686</v>
      </c>
      <c r="V172" s="25"/>
      <c r="W172" s="23">
        <f>IFERROR(Q172-T172, "NA")</f>
        <v>-101797.00000000023</v>
      </c>
      <c r="X172" s="24">
        <f>IFERROR(W172/W444, "NA")</f>
        <v>1.1892057588693958</v>
      </c>
      <c r="Y172" s="25"/>
      <c r="Z172" s="23">
        <f>IFERROR(Z124-Z171, "NA")</f>
        <v>703583.23999999987</v>
      </c>
      <c r="AA172" s="24">
        <f>IFERROR(Z172/Z444, "NA")</f>
        <v>0.73752971953401636</v>
      </c>
      <c r="AB172" s="25"/>
      <c r="AC172" s="23">
        <f>IFERROR(Q172-Z172, "NA")</f>
        <v>11977.769999999902</v>
      </c>
      <c r="AD172" s="24">
        <f>IFERROR(AC172/AC444, "NA")</f>
        <v>0.30147559254254941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5.4155165495401177E-2</v>
      </c>
      <c r="D178" s="9"/>
      <c r="E178" s="7">
        <v>5576.92</v>
      </c>
      <c r="F178" s="8">
        <f>IFERROR(E178/E444, "NA")</f>
        <v>4.5449077884717255E-2</v>
      </c>
      <c r="G178" s="9"/>
      <c r="H178" s="10">
        <f t="shared" si="44"/>
        <v>-63.079999999999927</v>
      </c>
      <c r="I178" s="8">
        <f>IFERROR(H178/H444, "NA")</f>
        <v>3.3983754817014039E-3</v>
      </c>
      <c r="J178" s="9"/>
      <c r="K178" s="7">
        <v>5423.08</v>
      </c>
      <c r="L178" s="8">
        <f>IFERROR(K178/K444, "NA")</f>
        <v>4.7951837718449318E-2</v>
      </c>
      <c r="M178" s="9"/>
      <c r="N178" s="10">
        <f t="shared" si="45"/>
        <v>-216.92000000000007</v>
      </c>
      <c r="O178" s="8">
        <f>IFERROR(N178/N444, "NA")</f>
        <v>2.4239254809411449E-2</v>
      </c>
      <c r="P178" s="9"/>
      <c r="Q178" s="7">
        <v>60355</v>
      </c>
      <c r="R178" s="8">
        <f>IFERROR(Q178/Q444, "NA")</f>
        <v>6.0737450973918063E-2</v>
      </c>
      <c r="S178" s="9"/>
      <c r="T178" s="7">
        <v>59951.89</v>
      </c>
      <c r="U178" s="8">
        <f>IFERROR(T178/T444, "NA")</f>
        <v>5.5546804031234791E-2</v>
      </c>
      <c r="V178" s="9"/>
      <c r="W178" s="10">
        <f t="shared" si="46"/>
        <v>-403.11000000000058</v>
      </c>
      <c r="X178" s="8">
        <f>IFERROR(W178/W444, "NA")</f>
        <v>4.709183310488931E-3</v>
      </c>
      <c r="Y178" s="9"/>
      <c r="Z178" s="7">
        <v>58298.11</v>
      </c>
      <c r="AA178" s="8">
        <f>IFERROR(Z178/Z444, "NA")</f>
        <v>6.1110876827684582E-2</v>
      </c>
      <c r="AB178" s="9"/>
      <c r="AC178" s="10">
        <f t="shared" si="47"/>
        <v>-2056.8899999999994</v>
      </c>
      <c r="AD178" s="8">
        <f>IFERROR(AC178/AC444, "NA")</f>
        <v>-5.1771083561034256E-2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20020.52</v>
      </c>
      <c r="C180" s="8">
        <f>IFERROR(B180/B444, "NA")</f>
        <v>0.19223662657872148</v>
      </c>
      <c r="D180" s="9"/>
      <c r="E180" s="7">
        <v>23191.62</v>
      </c>
      <c r="F180" s="8">
        <f>IFERROR(E180/E444, "NA")</f>
        <v>0.18899997555151701</v>
      </c>
      <c r="G180" s="9"/>
      <c r="H180" s="10">
        <f t="shared" si="44"/>
        <v>3171.0999999999985</v>
      </c>
      <c r="I180" s="8">
        <f>IFERROR(H180/H444, "NA")</f>
        <v>-0.17084002045059177</v>
      </c>
      <c r="J180" s="9"/>
      <c r="K180" s="7">
        <v>20886.36</v>
      </c>
      <c r="L180" s="8">
        <f>IFERROR(K180/K444, "NA")</f>
        <v>0.18468090923407199</v>
      </c>
      <c r="M180" s="9"/>
      <c r="N180" s="10">
        <f t="shared" si="45"/>
        <v>865.84000000000015</v>
      </c>
      <c r="O180" s="8">
        <f>IFERROR(N180/N444, "NA")</f>
        <v>-9.6751412429378597E-2</v>
      </c>
      <c r="P180" s="9"/>
      <c r="Q180" s="7">
        <v>197646.85</v>
      </c>
      <c r="R180" s="8">
        <f>IFERROR(Q180/Q444, "NA")</f>
        <v>0.19889927697828411</v>
      </c>
      <c r="S180" s="9"/>
      <c r="T180" s="7">
        <v>211665.19</v>
      </c>
      <c r="U180" s="8">
        <f>IFERROR(T180/T444, "NA")</f>
        <v>0.19611266349007644</v>
      </c>
      <c r="V180" s="9"/>
      <c r="W180" s="10">
        <f t="shared" si="46"/>
        <v>14018.339999999997</v>
      </c>
      <c r="X180" s="8">
        <f>IFERROR(W180/W444, "NA")</f>
        <v>-0.16376406630636625</v>
      </c>
      <c r="Y180" s="9"/>
      <c r="Z180" s="7">
        <v>195070.56</v>
      </c>
      <c r="AA180" s="8">
        <f>IFERROR(Z180/Z444, "NA")</f>
        <v>0.20448232309533629</v>
      </c>
      <c r="AB180" s="9"/>
      <c r="AC180" s="10">
        <f t="shared" si="47"/>
        <v>-2576.2900000000081</v>
      </c>
      <c r="AD180" s="8">
        <f>IFERROR(AC180/AC444, "NA")</f>
        <v>-6.4844170017578681E-2</v>
      </c>
    </row>
    <row r="181" spans="1:30" ht="16.5" customHeight="1" x14ac:dyDescent="0.45">
      <c r="A181" s="12" t="s">
        <v>166</v>
      </c>
      <c r="B181" s="7">
        <v>67.849999999999994</v>
      </c>
      <c r="C181" s="8">
        <f>IFERROR(B181/B444, "NA")</f>
        <v>6.5149432249343438E-4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-67.849999999999994</v>
      </c>
      <c r="I181" s="8">
        <f>IFERROR(H181/H444, "NA")</f>
        <v>3.6553547310310794E-3</v>
      </c>
      <c r="J181" s="9"/>
      <c r="K181" s="7">
        <v>310.87</v>
      </c>
      <c r="L181" s="8">
        <f>IFERROR(K181/K444, "NA")</f>
        <v>2.7487678204146612E-3</v>
      </c>
      <c r="M181" s="9"/>
      <c r="N181" s="10">
        <f t="shared" si="45"/>
        <v>243.02</v>
      </c>
      <c r="O181" s="8">
        <f>IFERROR(N181/N444, "NA")</f>
        <v>-2.7155742687549181E-2</v>
      </c>
      <c r="P181" s="9"/>
      <c r="Q181" s="7">
        <v>1937.71</v>
      </c>
      <c r="R181" s="8">
        <f>IFERROR(Q181/Q444, "NA")</f>
        <v>1.9499886691520299E-3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-1937.71</v>
      </c>
      <c r="X181" s="8">
        <f>IFERROR(W181/W444, "NA")</f>
        <v>2.2636579575221388E-2</v>
      </c>
      <c r="Y181" s="9"/>
      <c r="Z181" s="7">
        <v>808.85</v>
      </c>
      <c r="AA181" s="8">
        <f>IFERROR(Z181/Z444, "NA")</f>
        <v>8.4787538947785231E-4</v>
      </c>
      <c r="AB181" s="9"/>
      <c r="AC181" s="10">
        <f t="shared" si="47"/>
        <v>-1128.8600000000001</v>
      </c>
      <c r="AD181" s="8">
        <f>IFERROR(AC181/AC444, "NA")</f>
        <v>-2.8412946433066015E-2</v>
      </c>
    </row>
    <row r="182" spans="1:30" ht="16.5" customHeight="1" x14ac:dyDescent="0.45">
      <c r="A182" s="13" t="s">
        <v>167</v>
      </c>
      <c r="B182" s="14">
        <f>IFERROR(B177+B178+B179+B180+B181, "NA")</f>
        <v>25728.37</v>
      </c>
      <c r="C182" s="15">
        <f>IFERROR(B182/B444, "NA")</f>
        <v>0.2470432863966161</v>
      </c>
      <c r="D182" s="2"/>
      <c r="E182" s="14">
        <f>IFERROR(E177+E178+E179+E180+E181, "NA")</f>
        <v>28768.54</v>
      </c>
      <c r="F182" s="15">
        <f>IFERROR(E182/E444, "NA")</f>
        <v>0.23444905343623429</v>
      </c>
      <c r="G182" s="2"/>
      <c r="H182" s="14">
        <f t="shared" si="44"/>
        <v>3040.1700000000019</v>
      </c>
      <c r="I182" s="15">
        <f>IFERROR(H182/H444, "NA")</f>
        <v>-0.16378629023785946</v>
      </c>
      <c r="J182" s="2"/>
      <c r="K182" s="14">
        <f>IFERROR(K177+K178+K179+K180+K181, "NA")</f>
        <v>26620.31</v>
      </c>
      <c r="L182" s="15">
        <f>IFERROR(K182/K444, "NA")</f>
        <v>0.23538151477293598</v>
      </c>
      <c r="M182" s="2"/>
      <c r="N182" s="14">
        <f t="shared" si="45"/>
        <v>891.94000000000233</v>
      </c>
      <c r="O182" s="15">
        <f>IFERROR(N182/N444, "NA")</f>
        <v>-9.9667900307516585E-2</v>
      </c>
      <c r="P182" s="2"/>
      <c r="Q182" s="14">
        <f>IFERROR(Q177+Q178+Q179+Q180+Q181, "NA")</f>
        <v>259939.56</v>
      </c>
      <c r="R182" s="15">
        <f>IFERROR(Q182/Q444, "NA")</f>
        <v>0.26158671662135419</v>
      </c>
      <c r="S182" s="2"/>
      <c r="T182" s="14">
        <f>IFERROR(T177+T178+T179+T180+T181, "NA")</f>
        <v>271617.08</v>
      </c>
      <c r="U182" s="15">
        <f>IFERROR(T182/T444, "NA")</f>
        <v>0.25165946752131124</v>
      </c>
      <c r="V182" s="2"/>
      <c r="W182" s="14">
        <f t="shared" si="46"/>
        <v>11677.520000000019</v>
      </c>
      <c r="X182" s="15">
        <f>IFERROR(W182/W444, "NA")</f>
        <v>-0.1364183034206562</v>
      </c>
      <c r="Y182" s="2"/>
      <c r="Z182" s="14">
        <f>IFERROR(Z177+Z178+Z179+Z180+Z181, "NA")</f>
        <v>254177.52</v>
      </c>
      <c r="AA182" s="15">
        <f>IFERROR(Z182/Z444, "NA")</f>
        <v>0.26644107531249872</v>
      </c>
      <c r="AB182" s="2"/>
      <c r="AC182" s="14">
        <f t="shared" si="47"/>
        <v>-5762.0400000000081</v>
      </c>
      <c r="AD182" s="15">
        <f>IFERROR(AC182/AC444, "NA")</f>
        <v>-0.14502820001167896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4.800989848883083E-3</v>
      </c>
      <c r="D184" s="9"/>
      <c r="E184" s="7">
        <v>500</v>
      </c>
      <c r="F184" s="8">
        <f>IFERROR(E184/E444, "NA")</f>
        <v>4.0747471619386015E-3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2.6526533474584175E-3</v>
      </c>
      <c r="M184" s="9"/>
      <c r="N184" s="10">
        <f t="shared" si="45"/>
        <v>-200</v>
      </c>
      <c r="O184" s="8">
        <f>IFERROR(N184/N444, "NA")</f>
        <v>2.234856611599801E-2</v>
      </c>
      <c r="P184" s="9"/>
      <c r="Q184" s="7">
        <v>2700</v>
      </c>
      <c r="R184" s="8">
        <f>IFERROR(Q184/Q444, "NA")</f>
        <v>2.7171090651906017E-3</v>
      </c>
      <c r="S184" s="9"/>
      <c r="T184" s="7">
        <v>5000</v>
      </c>
      <c r="U184" s="8">
        <f>IFERROR(T184/T444, "NA")</f>
        <v>4.6326149210003881E-3</v>
      </c>
      <c r="V184" s="9"/>
      <c r="W184" s="10">
        <f t="shared" si="46"/>
        <v>2300</v>
      </c>
      <c r="X184" s="8">
        <f>IFERROR(W184/W444, "NA")</f>
        <v>-2.6868898350635127E-2</v>
      </c>
      <c r="Y184" s="9"/>
      <c r="Z184" s="7">
        <v>2150</v>
      </c>
      <c r="AA184" s="8">
        <f>IFERROR(Z184/Z444, "NA")</f>
        <v>2.2537331858532269E-3</v>
      </c>
      <c r="AB184" s="9"/>
      <c r="AC184" s="10">
        <f t="shared" si="47"/>
        <v>-550</v>
      </c>
      <c r="AD184" s="8">
        <f>IFERROR(AC184/AC444, "NA")</f>
        <v>-1.3843275993645187E-2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2289.11</v>
      </c>
      <c r="C186" s="8">
        <f>IFERROR(B186/B444, "NA")</f>
        <v>2.197998774595351E-2</v>
      </c>
      <c r="D186" s="9"/>
      <c r="E186" s="7">
        <v>2636.13</v>
      </c>
      <c r="F186" s="8">
        <f>IFERROR(E186/E444, "NA")</f>
        <v>2.1483126472002415E-2</v>
      </c>
      <c r="G186" s="9"/>
      <c r="H186" s="10">
        <f t="shared" ref="H186:H197" si="48">IFERROR(-(B186-E186), "NA")</f>
        <v>347.02</v>
      </c>
      <c r="I186" s="8">
        <f>IFERROR(H186/H444, "NA")</f>
        <v>-1.8695375073874802E-2</v>
      </c>
      <c r="J186" s="9"/>
      <c r="K186" s="7">
        <v>2360.4499999999998</v>
      </c>
      <c r="L186" s="8">
        <f>IFERROR(K186/K444, "NA")</f>
        <v>2.0871518646694072E-2</v>
      </c>
      <c r="M186" s="9"/>
      <c r="N186" s="10">
        <f t="shared" ref="N186:N197" si="49">IFERROR(-(B186-K186), "NA")</f>
        <v>71.339999999999691</v>
      </c>
      <c r="O186" s="8">
        <f>IFERROR(N186/N444, "NA")</f>
        <v>-7.9717335335764555E-3</v>
      </c>
      <c r="P186" s="9"/>
      <c r="Q186" s="7">
        <v>23375.68</v>
      </c>
      <c r="R186" s="8">
        <f>IFERROR(Q186/Q444, "NA")</f>
        <v>2.3523804456664684E-2</v>
      </c>
      <c r="S186" s="9"/>
      <c r="T186" s="7">
        <v>29232.560000000001</v>
      </c>
      <c r="U186" s="8">
        <f>IFERROR(T186/T444, "NA")</f>
        <v>2.7084638727007823E-2</v>
      </c>
      <c r="V186" s="9"/>
      <c r="W186" s="10">
        <f t="shared" ref="W186:W197" si="50">IFERROR(-(Q186-T186), "NA")</f>
        <v>5856.880000000001</v>
      </c>
      <c r="X186" s="8">
        <f>IFERROR(W186/W444, "NA")</f>
        <v>-6.8420831900812135E-2</v>
      </c>
      <c r="Y186" s="9"/>
      <c r="Z186" s="7">
        <v>23098.86</v>
      </c>
      <c r="AA186" s="8">
        <f>IFERROR(Z186/Z444, "NA")</f>
        <v>2.4213333645291938E-2</v>
      </c>
      <c r="AB186" s="9"/>
      <c r="AC186" s="10">
        <f t="shared" ref="AC186:AC197" si="51">IFERROR(-(Q186-Z186), "NA")</f>
        <v>-276.81999999999971</v>
      </c>
      <c r="AD186" s="8">
        <f>IFERROR(AC186/AC444, "NA")</f>
        <v>-6.9674466555651945E-3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2.0964959868402109E-8</v>
      </c>
      <c r="AB187" s="9"/>
      <c r="AC187" s="10">
        <f t="shared" si="51"/>
        <v>0.02</v>
      </c>
      <c r="AD187" s="8">
        <f>IFERROR(AC187/AC444, "NA")</f>
        <v>5.0339185431437047E-7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2289.11</v>
      </c>
      <c r="C193" s="15">
        <f>IFERROR(B193/B444, "NA")</f>
        <v>2.197998774595351E-2</v>
      </c>
      <c r="D193" s="2"/>
      <c r="E193" s="14">
        <f>IFERROR(E186+E187+E188+E189+E190+E191+E192, "NA")</f>
        <v>2636.13</v>
      </c>
      <c r="F193" s="15">
        <f>IFERROR(E193/E444, "NA")</f>
        <v>2.1483126472002415E-2</v>
      </c>
      <c r="G193" s="2"/>
      <c r="H193" s="14">
        <f t="shared" si="48"/>
        <v>347.02</v>
      </c>
      <c r="I193" s="15">
        <f>IFERROR(H193/H444, "NA")</f>
        <v>-1.8695375073874802E-2</v>
      </c>
      <c r="J193" s="2"/>
      <c r="K193" s="14">
        <f>IFERROR(K186+K187+K188+K189+K190+K191+K192, "NA")</f>
        <v>2360.4499999999998</v>
      </c>
      <c r="L193" s="15">
        <f>IFERROR(K193/K444, "NA")</f>
        <v>2.0871518646694072E-2</v>
      </c>
      <c r="M193" s="2"/>
      <c r="N193" s="14">
        <f t="shared" si="49"/>
        <v>71.339999999999691</v>
      </c>
      <c r="O193" s="15">
        <f>IFERROR(N193/N444, "NA")</f>
        <v>-7.9717335335764555E-3</v>
      </c>
      <c r="P193" s="2"/>
      <c r="Q193" s="14">
        <f>IFERROR(Q186+Q187+Q188+Q189+Q190+Q191+Q192, "NA")</f>
        <v>23375.68</v>
      </c>
      <c r="R193" s="15">
        <f>IFERROR(Q193/Q444, "NA")</f>
        <v>2.3523804456664684E-2</v>
      </c>
      <c r="S193" s="2"/>
      <c r="T193" s="14">
        <f>IFERROR(T186+T187+T188+T189+T190+T191+T192, "NA")</f>
        <v>29232.560000000001</v>
      </c>
      <c r="U193" s="15">
        <f>IFERROR(T193/T444, "NA")</f>
        <v>2.7084638727007823E-2</v>
      </c>
      <c r="V193" s="2"/>
      <c r="W193" s="14">
        <f t="shared" si="50"/>
        <v>5856.880000000001</v>
      </c>
      <c r="X193" s="15">
        <f>IFERROR(W193/W444, "NA")</f>
        <v>-6.8420831900812135E-2</v>
      </c>
      <c r="Y193" s="2"/>
      <c r="Z193" s="14">
        <f>IFERROR(Z186+Z187+Z188+Z189+Z190+Z191+Z192, "NA")</f>
        <v>23098.880000000001</v>
      </c>
      <c r="AA193" s="15">
        <f>IFERROR(Z193/Z444, "NA")</f>
        <v>2.4213354610251807E-2</v>
      </c>
      <c r="AB193" s="2"/>
      <c r="AC193" s="14">
        <f t="shared" si="51"/>
        <v>-276.79999999999927</v>
      </c>
      <c r="AD193" s="15">
        <f>IFERROR(AC193/AC444, "NA")</f>
        <v>-6.9669432637108689E-3</v>
      </c>
    </row>
    <row r="194" spans="1:30" ht="16.5" customHeight="1" x14ac:dyDescent="0.45">
      <c r="A194" s="6" t="s">
        <v>178</v>
      </c>
      <c r="B194" s="7">
        <v>284</v>
      </c>
      <c r="C194" s="8">
        <f>IFERROR(B194/B444, "NA")</f>
        <v>2.7269622341655913E-3</v>
      </c>
      <c r="D194" s="9"/>
      <c r="E194" s="7">
        <v>234.15</v>
      </c>
      <c r="F194" s="8">
        <f>IFERROR(E194/E444, "NA")</f>
        <v>1.9082040959358473E-3</v>
      </c>
      <c r="G194" s="9"/>
      <c r="H194" s="10">
        <f t="shared" si="48"/>
        <v>-49.849999999999994</v>
      </c>
      <c r="I194" s="8">
        <f>IFERROR(H194/H444, "NA")</f>
        <v>2.6856217146926944E-3</v>
      </c>
      <c r="J194" s="9"/>
      <c r="K194" s="7">
        <v>236</v>
      </c>
      <c r="L194" s="8">
        <f>IFERROR(K194/K444, "NA")</f>
        <v>2.0867539666672885E-3</v>
      </c>
      <c r="M194" s="9"/>
      <c r="N194" s="10">
        <f t="shared" si="49"/>
        <v>-48</v>
      </c>
      <c r="O194" s="8">
        <f>IFERROR(N194/N444, "NA")</f>
        <v>5.3636558678395226E-3</v>
      </c>
      <c r="P194" s="9"/>
      <c r="Q194" s="7">
        <v>2566</v>
      </c>
      <c r="R194" s="8">
        <f>IFERROR(Q194/Q444, "NA")</f>
        <v>2.5822599486218828E-3</v>
      </c>
      <c r="S194" s="9"/>
      <c r="T194" s="7">
        <v>2212.9499999999998</v>
      </c>
      <c r="U194" s="8">
        <f>IFERROR(T194/T444, "NA")</f>
        <v>2.0503490378855618E-3</v>
      </c>
      <c r="V194" s="9"/>
      <c r="W194" s="10">
        <f t="shared" si="50"/>
        <v>-353.05000000000018</v>
      </c>
      <c r="X194" s="8">
        <f>IFERROR(W194/W444, "NA")</f>
        <v>4.1243758968224943E-3</v>
      </c>
      <c r="Y194" s="9"/>
      <c r="Z194" s="7">
        <v>2037</v>
      </c>
      <c r="AA194" s="8">
        <f>IFERROR(Z194/Z444, "NA")</f>
        <v>2.1352811625967548E-3</v>
      </c>
      <c r="AB194" s="9"/>
      <c r="AC194" s="10">
        <f t="shared" si="51"/>
        <v>-529</v>
      </c>
      <c r="AD194" s="8">
        <f>IFERROR(AC194/AC444, "NA")</f>
        <v>-1.3314714546615099E-2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28801.48</v>
      </c>
      <c r="C196" s="15">
        <f>IFERROR(B196/B444, "NA")</f>
        <v>0.27655122622561829</v>
      </c>
      <c r="D196" s="2"/>
      <c r="E196" s="14">
        <f>IFERROR(E175+E177+E178+E179+E180+E181+E183+E184+E186+E187+E188+E189+E190+E191+E192+E194+E195, "NA")</f>
        <v>32138.820000000003</v>
      </c>
      <c r="F196" s="15">
        <f>IFERROR(E196/E444, "NA")</f>
        <v>0.26191513116611115</v>
      </c>
      <c r="G196" s="2"/>
      <c r="H196" s="14">
        <f t="shared" si="48"/>
        <v>3337.3400000000038</v>
      </c>
      <c r="I196" s="15">
        <f>IFERROR(H196/H444, "NA")</f>
        <v>-0.17979604359704168</v>
      </c>
      <c r="J196" s="2"/>
      <c r="K196" s="14">
        <f>IFERROR(K175+K177+K178+K179+K180+K181+K183+K184+K186+K187+K188+K189+K190+K191+K192+K194+K195, "NA")</f>
        <v>29516.760000000002</v>
      </c>
      <c r="L196" s="15">
        <f>IFERROR(K196/K444, "NA")</f>
        <v>0.26099244073375577</v>
      </c>
      <c r="M196" s="2"/>
      <c r="N196" s="14">
        <f t="shared" si="49"/>
        <v>715.28000000000247</v>
      </c>
      <c r="O196" s="15">
        <f>IFERROR(N196/N444, "NA")</f>
        <v>-7.9927411857255562E-2</v>
      </c>
      <c r="P196" s="2"/>
      <c r="Q196" s="14">
        <f>IFERROR(Q175+Q177+Q178+Q179+Q180+Q181+Q183+Q184+Q186+Q187+Q188+Q189+Q190+Q191+Q192+Q194+Q195, "NA")</f>
        <v>288581.24</v>
      </c>
      <c r="R196" s="15">
        <f>IFERROR(Q196/Q444, "NA")</f>
        <v>0.29040989009183132</v>
      </c>
      <c r="S196" s="2"/>
      <c r="T196" s="14">
        <f>IFERROR(T175+T177+T178+T179+T180+T181+T183+T184+T186+T187+T188+T189+T190+T191+T192+T194+T195, "NA")</f>
        <v>308062.59000000003</v>
      </c>
      <c r="U196" s="15">
        <f>IFERROR(T196/T444, "NA")</f>
        <v>0.28542707020720504</v>
      </c>
      <c r="V196" s="2"/>
      <c r="W196" s="14">
        <f t="shared" si="50"/>
        <v>19481.350000000035</v>
      </c>
      <c r="X196" s="15">
        <f>IFERROR(W196/W444, "NA")</f>
        <v>-0.22758365777528114</v>
      </c>
      <c r="Y196" s="2"/>
      <c r="Z196" s="14">
        <f>IFERROR(Z175+Z177+Z178+Z179+Z180+Z181+Z183+Z184+Z186+Z187+Z188+Z189+Z190+Z191+Z192+Z194+Z195, "NA")</f>
        <v>281463.40000000002</v>
      </c>
      <c r="AA196" s="15">
        <f>IFERROR(Z196/Z444, "NA")</f>
        <v>0.29504344427120055</v>
      </c>
      <c r="AB196" s="2"/>
      <c r="AC196" s="14">
        <f t="shared" si="51"/>
        <v>-7117.8399999999674</v>
      </c>
      <c r="AD196" s="15">
        <f>IFERROR(AC196/AC444, "NA")</f>
        <v>-0.17915313381564912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28801.48</v>
      </c>
      <c r="C197" s="15">
        <f>IFERROR(B197/B444, "NA")</f>
        <v>0.27655122622561829</v>
      </c>
      <c r="D197" s="2"/>
      <c r="E197" s="14">
        <f>IFERROR(E175+E177+E178+E179+E180+E181+E183+E184+E186+E187+E188+E189+E190+E191+E192+E194+E195, "NA")</f>
        <v>32138.820000000003</v>
      </c>
      <c r="F197" s="15">
        <f>IFERROR(E197/E444, "NA")</f>
        <v>0.26191513116611115</v>
      </c>
      <c r="G197" s="2"/>
      <c r="H197" s="14">
        <f t="shared" si="48"/>
        <v>3337.3400000000038</v>
      </c>
      <c r="I197" s="15">
        <f>IFERROR(H197/H444, "NA")</f>
        <v>-0.17979604359704168</v>
      </c>
      <c r="J197" s="2"/>
      <c r="K197" s="14">
        <f>IFERROR(K175+K177+K178+K179+K180+K181+K183+K184+K186+K187+K188+K189+K190+K191+K192+K194+K195, "NA")</f>
        <v>29516.760000000002</v>
      </c>
      <c r="L197" s="15">
        <f>IFERROR(K197/K444, "NA")</f>
        <v>0.26099244073375577</v>
      </c>
      <c r="M197" s="2"/>
      <c r="N197" s="14">
        <f t="shared" si="49"/>
        <v>715.28000000000247</v>
      </c>
      <c r="O197" s="15">
        <f>IFERROR(N197/N444, "NA")</f>
        <v>-7.9927411857255562E-2</v>
      </c>
      <c r="P197" s="2"/>
      <c r="Q197" s="14">
        <f>IFERROR(Q175+Q177+Q178+Q179+Q180+Q181+Q183+Q184+Q186+Q187+Q188+Q189+Q190+Q191+Q192+Q194+Q195, "NA")</f>
        <v>288581.24</v>
      </c>
      <c r="R197" s="15">
        <f>IFERROR(Q197/Q444, "NA")</f>
        <v>0.29040989009183132</v>
      </c>
      <c r="S197" s="2"/>
      <c r="T197" s="14">
        <f>IFERROR(T175+T177+T178+T179+T180+T181+T183+T184+T186+T187+T188+T189+T190+T191+T192+T194+T195, "NA")</f>
        <v>308062.59000000003</v>
      </c>
      <c r="U197" s="15">
        <f>IFERROR(T197/T444, "NA")</f>
        <v>0.28542707020720504</v>
      </c>
      <c r="V197" s="2"/>
      <c r="W197" s="14">
        <f t="shared" si="50"/>
        <v>19481.350000000035</v>
      </c>
      <c r="X197" s="15">
        <f>IFERROR(W197/W444, "NA")</f>
        <v>-0.22758365777528114</v>
      </c>
      <c r="Y197" s="2"/>
      <c r="Z197" s="14">
        <f>IFERROR(Z175+Z177+Z178+Z179+Z180+Z181+Z183+Z184+Z186+Z187+Z188+Z189+Z190+Z191+Z192+Z194+Z195, "NA")</f>
        <v>281463.40000000002</v>
      </c>
      <c r="AA197" s="15">
        <f>IFERROR(Z197/Z444, "NA")</f>
        <v>0.29504344427120055</v>
      </c>
      <c r="AB197" s="2"/>
      <c r="AC197" s="14">
        <f t="shared" si="51"/>
        <v>-7117.8399999999674</v>
      </c>
      <c r="AD197" s="15">
        <f>IFERROR(AC197/AC444, "NA")</f>
        <v>-0.17915313381564912</v>
      </c>
    </row>
    <row r="198" spans="1:30" ht="16.5" customHeight="1" x14ac:dyDescent="0.45">
      <c r="A198" s="22" t="s">
        <v>181</v>
      </c>
      <c r="B198" s="23">
        <f>IFERROR(B172-B197, "NA")</f>
        <v>46118.140000000014</v>
      </c>
      <c r="C198" s="24">
        <f>IFERROR(B198/B444, "NA")</f>
        <v>0.44282544397873791</v>
      </c>
      <c r="D198" s="25"/>
      <c r="E198" s="23">
        <f>IFERROR(E172-E197, "NA")</f>
        <v>61609.329999999987</v>
      </c>
      <c r="F198" s="24">
        <f>IFERROR(E198/E444, "NA")</f>
        <v>0.50208488513287741</v>
      </c>
      <c r="G198" s="25"/>
      <c r="H198" s="23">
        <f>IFERROR(B198-E198, "NA")</f>
        <v>-15491.189999999973</v>
      </c>
      <c r="I198" s="24">
        <f>IFERROR(H198/H444, "NA")</f>
        <v>0.83457324474283356</v>
      </c>
      <c r="J198" s="25"/>
      <c r="K198" s="23">
        <f>IFERROR(K172-K197, "NA")</f>
        <v>57465.48</v>
      </c>
      <c r="L198" s="24">
        <f>IFERROR(K198/K444, "NA")</f>
        <v>0.50811999295101584</v>
      </c>
      <c r="M198" s="25"/>
      <c r="N198" s="23">
        <f>IFERROR(B198-K198, "NA")</f>
        <v>-11347.339999999989</v>
      </c>
      <c r="O198" s="24">
        <f>IFERROR(N198/N444, "NA")</f>
        <v>1.267983891153543</v>
      </c>
      <c r="P198" s="25"/>
      <c r="Q198" s="23">
        <f>IFERROR(Q172-Q197, "NA")</f>
        <v>426979.76999999979</v>
      </c>
      <c r="R198" s="24">
        <f>IFERROR(Q198/Q444, "NA")</f>
        <v>0.42968540878518424</v>
      </c>
      <c r="S198" s="25"/>
      <c r="T198" s="23">
        <f>IFERROR(T172-T197, "NA")</f>
        <v>509295.42</v>
      </c>
      <c r="U198" s="24">
        <f>IFERROR(T198/T444, "NA")</f>
        <v>0.47187391237783188</v>
      </c>
      <c r="V198" s="25"/>
      <c r="W198" s="23">
        <f>IFERROR(Q198-T198, "NA")</f>
        <v>-82315.650000000198</v>
      </c>
      <c r="X198" s="24">
        <f>IFERROR(W198/W444, "NA")</f>
        <v>0.96162210109411472</v>
      </c>
      <c r="Y198" s="25"/>
      <c r="Z198" s="23">
        <f>IFERROR(Z172-Z197, "NA")</f>
        <v>422119.83999999985</v>
      </c>
      <c r="AA198" s="24">
        <f>IFERROR(Z198/Z444, "NA")</f>
        <v>0.44248627526281581</v>
      </c>
      <c r="AB198" s="25"/>
      <c r="AC198" s="23">
        <f>IFERROR(Q198-Z198, "NA")</f>
        <v>4859.9299999999348</v>
      </c>
      <c r="AD198" s="24">
        <f>IFERROR(AC198/AC444, "NA")</f>
        <v>0.12232245872690028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2208.73</v>
      </c>
      <c r="F201" s="8">
        <f>IFERROR(E201/E444, "NA")</f>
        <v>1.8000032597977295E-2</v>
      </c>
      <c r="G201" s="9"/>
      <c r="H201" s="10">
        <f t="shared" ref="H201:H209" si="52">IFERROR(-(B201-E201), "NA")</f>
        <v>2208.73</v>
      </c>
      <c r="I201" s="8">
        <f>IFERROR(H201/H444, "NA")</f>
        <v>-0.11899324473206009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19682.75</v>
      </c>
      <c r="U201" s="8">
        <f>IFERROR(T201/T444, "NA")</f>
        <v>1.8236520267264078E-2</v>
      </c>
      <c r="V201" s="9"/>
      <c r="W201" s="10">
        <f t="shared" ref="W201:W209" si="54">IFERROR(-(Q201-T201), "NA")</f>
        <v>19682.75</v>
      </c>
      <c r="X201" s="8">
        <f>IFERROR(W201/W444, "NA")</f>
        <v>-0.22993643870041894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1046.18</v>
      </c>
      <c r="C202" s="8">
        <f>IFERROR(B202/B444, "NA")</f>
        <v>1.0045399120209009E-2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-1046.18</v>
      </c>
      <c r="I202" s="8">
        <f>IFERROR(H202/H444, "NA")</f>
        <v>5.6361960390716219E-2</v>
      </c>
      <c r="J202" s="9"/>
      <c r="K202" s="7">
        <v>844.22</v>
      </c>
      <c r="L202" s="8">
        <f>IFERROR(K202/K444, "NA")</f>
        <v>7.4647433633044848E-3</v>
      </c>
      <c r="M202" s="9"/>
      <c r="N202" s="10">
        <f t="shared" si="53"/>
        <v>-201.96000000000004</v>
      </c>
      <c r="O202" s="8">
        <f>IFERROR(N202/N444, "NA")</f>
        <v>2.2567582063934794E-2</v>
      </c>
      <c r="P202" s="9"/>
      <c r="Q202" s="7">
        <v>10058.49</v>
      </c>
      <c r="R202" s="8">
        <f>IFERROR(Q202/Q444, "NA")</f>
        <v>1.0122227541158895E-2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-10058.49</v>
      </c>
      <c r="X202" s="8">
        <f>IFERROR(W202/W444, "NA")</f>
        <v>0.11750458494386083</v>
      </c>
      <c r="Y202" s="9"/>
      <c r="Z202" s="7">
        <v>9262.3700000000008</v>
      </c>
      <c r="AA202" s="8">
        <f>IFERROR(Z202/Z444, "NA")</f>
        <v>9.7092607668145831E-3</v>
      </c>
      <c r="AB202" s="9"/>
      <c r="AC202" s="10">
        <f t="shared" si="55"/>
        <v>-796.11999999999898</v>
      </c>
      <c r="AD202" s="8">
        <f>IFERROR(AC202/AC444, "NA")</f>
        <v>-2.0038016152837804E-2</v>
      </c>
    </row>
    <row r="203" spans="1:30" ht="16.5" customHeight="1" x14ac:dyDescent="0.45">
      <c r="A203" s="6" t="s">
        <v>185</v>
      </c>
      <c r="B203" s="7">
        <v>524.70000000000005</v>
      </c>
      <c r="C203" s="8">
        <f>IFERROR(B203/B444, "NA")</f>
        <v>5.038158747417908E-3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-524.70000000000005</v>
      </c>
      <c r="I203" s="8">
        <f>IFERROR(H203/H444, "NA")</f>
        <v>2.8267717426263932E-2</v>
      </c>
      <c r="J203" s="9"/>
      <c r="K203" s="7">
        <v>2359.9299999999998</v>
      </c>
      <c r="L203" s="8">
        <f>IFERROR(K203/K444, "NA")</f>
        <v>2.0866920714225145E-2</v>
      </c>
      <c r="M203" s="9"/>
      <c r="N203" s="10">
        <f t="shared" si="53"/>
        <v>1835.2299999999998</v>
      </c>
      <c r="O203" s="8">
        <f>IFERROR(N203/N444, "NA")</f>
        <v>-0.20507379496531511</v>
      </c>
      <c r="P203" s="9"/>
      <c r="Q203" s="7">
        <v>7830.61</v>
      </c>
      <c r="R203" s="8">
        <f>IFERROR(Q203/Q444, "NA")</f>
        <v>7.8802301544341393E-3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-7830.61</v>
      </c>
      <c r="X203" s="8">
        <f>IFERROR(W203/W444, "NA")</f>
        <v>9.1478201788463887E-2</v>
      </c>
      <c r="Y203" s="9"/>
      <c r="Z203" s="7">
        <v>7469.74</v>
      </c>
      <c r="AA203" s="8">
        <f>IFERROR(Z203/Z444, "NA")</f>
        <v>7.8301399663698989E-3</v>
      </c>
      <c r="AB203" s="9"/>
      <c r="AC203" s="10">
        <f t="shared" si="55"/>
        <v>-360.86999999999989</v>
      </c>
      <c r="AD203" s="8">
        <f>IFERROR(AC203/AC444, "NA")</f>
        <v>-9.0829509233213406E-3</v>
      </c>
    </row>
    <row r="204" spans="1:30" ht="16.5" customHeight="1" x14ac:dyDescent="0.45">
      <c r="A204" s="6" t="s">
        <v>186</v>
      </c>
      <c r="B204" s="7">
        <v>272.16000000000003</v>
      </c>
      <c r="C204" s="8">
        <f>IFERROR(B204/B444, "NA")</f>
        <v>2.61327479454404E-3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-272.16000000000003</v>
      </c>
      <c r="I204" s="8">
        <f>IFERROR(H204/H444, "NA")</f>
        <v>1.4662363207036386E-2</v>
      </c>
      <c r="J204" s="9"/>
      <c r="K204" s="7">
        <v>14.52</v>
      </c>
      <c r="L204" s="8">
        <f>IFERROR(K204/K444, "NA")</f>
        <v>1.2838842201698741E-4</v>
      </c>
      <c r="M204" s="9"/>
      <c r="N204" s="10">
        <f t="shared" si="53"/>
        <v>-257.64000000000004</v>
      </c>
      <c r="O204" s="8">
        <f>IFERROR(N204/N444, "NA")</f>
        <v>2.8789422870628641E-2</v>
      </c>
      <c r="P204" s="9"/>
      <c r="Q204" s="7">
        <v>2534.91</v>
      </c>
      <c r="R204" s="8">
        <f>IFERROR(Q204/Q444, "NA")</f>
        <v>2.5509729409045586E-3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-2534.91</v>
      </c>
      <c r="X204" s="8">
        <f>IFERROR(W204/W444, "NA")</f>
        <v>2.9613147442612387E-2</v>
      </c>
      <c r="Y204" s="9"/>
      <c r="Z204" s="7">
        <v>1113.43</v>
      </c>
      <c r="AA204" s="8">
        <f>IFERROR(Z204/Z444, "NA")</f>
        <v>1.167150763313748E-3</v>
      </c>
      <c r="AB204" s="9"/>
      <c r="AC204" s="10">
        <f t="shared" si="55"/>
        <v>-1421.4799999999998</v>
      </c>
      <c r="AD204" s="8">
        <f>IFERROR(AC204/AC444, "NA")</f>
        <v>-3.5778072653539564E-2</v>
      </c>
    </row>
    <row r="205" spans="1:30" ht="16.5" customHeight="1" x14ac:dyDescent="0.45">
      <c r="A205" s="6" t="s">
        <v>187</v>
      </c>
      <c r="B205" s="7">
        <v>348.92</v>
      </c>
      <c r="C205" s="8">
        <f>IFERROR(B205/B444, "NA")</f>
        <v>3.3503227561445708E-3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-348.92</v>
      </c>
      <c r="I205" s="8">
        <f>IFERROR(H205/H444, "NA")</f>
        <v>1.8797735781154967E-2</v>
      </c>
      <c r="J205" s="9"/>
      <c r="K205" s="7">
        <v>344</v>
      </c>
      <c r="L205" s="8">
        <f>IFERROR(K205/K444, "NA")</f>
        <v>3.041709171752319E-3</v>
      </c>
      <c r="M205" s="9"/>
      <c r="N205" s="10">
        <f t="shared" si="53"/>
        <v>-4.9200000000000159</v>
      </c>
      <c r="O205" s="8">
        <f>IFERROR(N205/N444, "NA")</f>
        <v>5.4977472645355286E-4</v>
      </c>
      <c r="P205" s="9"/>
      <c r="Q205" s="7">
        <v>3639.45</v>
      </c>
      <c r="R205" s="8">
        <f>IFERROR(Q205/Q444, "NA")</f>
        <v>3.6625120693733093E-3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-3639.45</v>
      </c>
      <c r="X205" s="8">
        <f>IFERROR(W205/W444, "NA")</f>
        <v>4.2516527000964789E-2</v>
      </c>
      <c r="Y205" s="9"/>
      <c r="Z205" s="7">
        <v>3532.09</v>
      </c>
      <c r="AA205" s="8">
        <f>IFERROR(Z205/Z444, "NA")</f>
        <v>3.7025062550792203E-3</v>
      </c>
      <c r="AB205" s="9"/>
      <c r="AC205" s="10">
        <f t="shared" si="55"/>
        <v>-107.35999999999967</v>
      </c>
      <c r="AD205" s="8">
        <f>IFERROR(AC205/AC444, "NA")</f>
        <v>-2.7022074739595325E-3</v>
      </c>
    </row>
    <row r="206" spans="1:30" ht="16.5" customHeight="1" x14ac:dyDescent="0.45">
      <c r="A206" s="6" t="s">
        <v>188</v>
      </c>
      <c r="B206" s="7">
        <v>39.369999999999997</v>
      </c>
      <c r="C206" s="8">
        <f>IFERROR(B206/B444, "NA")</f>
        <v>3.7802994070105394E-4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-39.369999999999997</v>
      </c>
      <c r="I206" s="8">
        <f>IFERROR(H206/H444, "NA")</f>
        <v>2.1210216029579013E-3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-39.369999999999997</v>
      </c>
      <c r="O206" s="8">
        <f>IFERROR(N206/N444, "NA")</f>
        <v>4.3993152399342079E-3</v>
      </c>
      <c r="P206" s="9"/>
      <c r="Q206" s="7">
        <v>577.5</v>
      </c>
      <c r="R206" s="8">
        <f>IFERROR(Q206/Q444, "NA")</f>
        <v>5.8115943894354539E-4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-577.5</v>
      </c>
      <c r="X206" s="8">
        <f>IFERROR(W206/W444, "NA")</f>
        <v>6.7464299119529506E-3</v>
      </c>
      <c r="Y206" s="9"/>
      <c r="Z206" s="7">
        <v>435.18</v>
      </c>
      <c r="AA206" s="8">
        <f>IFERROR(Z206/Z444, "NA")</f>
        <v>4.561765617765615E-4</v>
      </c>
      <c r="AB206" s="9"/>
      <c r="AC206" s="10">
        <f t="shared" si="55"/>
        <v>-142.32</v>
      </c>
      <c r="AD206" s="8">
        <f>IFERROR(AC206/AC444, "NA")</f>
        <v>-3.58213643530106E-3</v>
      </c>
    </row>
    <row r="207" spans="1:30" ht="16.5" customHeight="1" x14ac:dyDescent="0.45">
      <c r="A207" s="6" t="s">
        <v>189</v>
      </c>
      <c r="B207" s="7">
        <v>140.85</v>
      </c>
      <c r="C207" s="8">
        <f>IFERROR(B207/B444, "NA")</f>
        <v>1.3524388404303645E-3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-140.85</v>
      </c>
      <c r="I207" s="8">
        <f>IFERROR(H207/H444, "NA")</f>
        <v>7.5881608528478644E-3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-140.85</v>
      </c>
      <c r="O207" s="8">
        <f>IFERROR(N207/N444, "NA")</f>
        <v>1.5738977687191597E-2</v>
      </c>
      <c r="P207" s="9"/>
      <c r="Q207" s="7">
        <v>988.52</v>
      </c>
      <c r="R207" s="8">
        <f>IFERROR(Q207/Q444, "NA")</f>
        <v>9.9478394560081982E-4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-988.52</v>
      </c>
      <c r="X207" s="8">
        <f>IFERROR(W207/W444, "NA")</f>
        <v>1.1548018868508625E-2</v>
      </c>
      <c r="Y207" s="9"/>
      <c r="Z207" s="7">
        <v>574.41999999999996</v>
      </c>
      <c r="AA207" s="8">
        <f>IFERROR(Z207/Z444, "NA")</f>
        <v>6.0213461238037692E-4</v>
      </c>
      <c r="AB207" s="9"/>
      <c r="AC207" s="10">
        <f t="shared" si="55"/>
        <v>-414.1</v>
      </c>
      <c r="AD207" s="8">
        <f>IFERROR(AC207/AC444, "NA")</f>
        <v>-1.0422728343579041E-2</v>
      </c>
    </row>
    <row r="208" spans="1:30" ht="16.5" customHeight="1" x14ac:dyDescent="0.45">
      <c r="A208" s="6" t="s">
        <v>190</v>
      </c>
      <c r="B208" s="7">
        <v>220.11</v>
      </c>
      <c r="C208" s="8">
        <f>IFERROR(B208/B444, "NA")</f>
        <v>2.113491751275311E-3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-220.11</v>
      </c>
      <c r="I208" s="8">
        <f>IFERROR(H208/H444, "NA")</f>
        <v>1.1858218568124555E-2</v>
      </c>
      <c r="J208" s="9"/>
      <c r="K208" s="7">
        <v>233.93</v>
      </c>
      <c r="L208" s="8">
        <f>IFERROR(K208/K444, "NA")</f>
        <v>2.0684506585698257E-3</v>
      </c>
      <c r="M208" s="9"/>
      <c r="N208" s="10">
        <f t="shared" si="53"/>
        <v>13.819999999999993</v>
      </c>
      <c r="O208" s="8">
        <f>IFERROR(N208/N444, "NA")</f>
        <v>-1.5442859186154618E-3</v>
      </c>
      <c r="P208" s="9"/>
      <c r="Q208" s="7">
        <v>1500.01</v>
      </c>
      <c r="R208" s="8">
        <f>IFERROR(Q208/Q444, "NA")</f>
        <v>1.5095150995839089E-3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-1500.01</v>
      </c>
      <c r="X208" s="8">
        <f>IFERROR(W208/W444, "NA")</f>
        <v>1.7523311397798346E-2</v>
      </c>
      <c r="Y208" s="9"/>
      <c r="Z208" s="7">
        <v>1465.64</v>
      </c>
      <c r="AA208" s="8">
        <f>IFERROR(Z208/Z444, "NA")</f>
        <v>1.5363541890762434E-3</v>
      </c>
      <c r="AB208" s="9"/>
      <c r="AC208" s="10">
        <f t="shared" si="55"/>
        <v>-34.369999999999891</v>
      </c>
      <c r="AD208" s="8">
        <f>IFERROR(AC208/AC444, "NA")</f>
        <v>-8.650789016392429E-4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2592.29</v>
      </c>
      <c r="C209" s="15">
        <f>IFERROR(B209/B444, "NA")</f>
        <v>2.4891115950722256E-2</v>
      </c>
      <c r="D209" s="2"/>
      <c r="E209" s="14">
        <f>IFERROR(E201+E202+E203+E204+E205+E206+E207+E208, "NA")</f>
        <v>2208.73</v>
      </c>
      <c r="F209" s="15">
        <f>IFERROR(E209/E444, "NA")</f>
        <v>1.8000032597977295E-2</v>
      </c>
      <c r="G209" s="2"/>
      <c r="H209" s="14">
        <f t="shared" si="52"/>
        <v>-383.55999999999995</v>
      </c>
      <c r="I209" s="15">
        <f>IFERROR(H209/H444, "NA")</f>
        <v>2.0663933097041721E-2</v>
      </c>
      <c r="J209" s="2"/>
      <c r="K209" s="14">
        <f>IFERROR(K201+K202+K203+K204+K205+K206+K207+K208, "NA")</f>
        <v>3796.5999999999995</v>
      </c>
      <c r="L209" s="15">
        <f>IFERROR(K209/K444, "NA")</f>
        <v>3.3570212329868759E-2</v>
      </c>
      <c r="M209" s="2"/>
      <c r="N209" s="14">
        <f t="shared" si="53"/>
        <v>1204.3099999999995</v>
      </c>
      <c r="O209" s="15">
        <f>IFERROR(N209/N444, "NA")</f>
        <v>-0.13457300829578775</v>
      </c>
      <c r="P209" s="2"/>
      <c r="Q209" s="14">
        <f>IFERROR(Q201+Q202+Q203+Q204+Q205+Q206+Q207+Q208, "NA")</f>
        <v>27129.489999999998</v>
      </c>
      <c r="R209" s="15">
        <f>IFERROR(Q209/Q444, "NA")</f>
        <v>2.7301401189999176E-2</v>
      </c>
      <c r="S209" s="2"/>
      <c r="T209" s="14">
        <f>IFERROR(T201+T202+T203+T204+T205+T206+T207+T208, "NA")</f>
        <v>19682.75</v>
      </c>
      <c r="U209" s="15">
        <f>IFERROR(T209/T444, "NA")</f>
        <v>1.8236520267264078E-2</v>
      </c>
      <c r="V209" s="2"/>
      <c r="W209" s="14">
        <f t="shared" si="54"/>
        <v>-7446.739999999998</v>
      </c>
      <c r="X209" s="15">
        <f>IFERROR(W209/W444, "NA")</f>
        <v>8.6993782653742857E-2</v>
      </c>
      <c r="Y209" s="2"/>
      <c r="Z209" s="14">
        <f>IFERROR(Z201+Z202+Z203+Z204+Z205+Z206+Z207+Z208, "NA")</f>
        <v>23852.87</v>
      </c>
      <c r="AA209" s="15">
        <f>IFERROR(Z209/Z444, "NA")</f>
        <v>2.5003723114810628E-2</v>
      </c>
      <c r="AB209" s="2"/>
      <c r="AC209" s="14">
        <f t="shared" si="55"/>
        <v>-3276.619999999999</v>
      </c>
      <c r="AD209" s="15">
        <f>IFERROR(AC209/AC444, "NA")</f>
        <v>-8.2471190884177606E-2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5937.98</v>
      </c>
      <c r="F213" s="8">
        <f>IFERROR(E213/E444, "NA")</f>
        <v>4.8391534305296351E-2</v>
      </c>
      <c r="G213" s="9"/>
      <c r="H213" s="10">
        <f t="shared" ref="H213:H227" si="56">IFERROR(-(B213-E213), "NA")</f>
        <v>5937.98</v>
      </c>
      <c r="I213" s="8">
        <f>IFERROR(H213/H444, "NA")</f>
        <v>-0.31990306979761135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43425.440000000002</v>
      </c>
      <c r="U213" s="8">
        <f>IFERROR(T213/T444, "NA")</f>
        <v>4.0234668259001419E-2</v>
      </c>
      <c r="V213" s="9"/>
      <c r="W213" s="10">
        <f t="shared" ref="W213:W227" si="58">IFERROR(-(Q213-T213), "NA")</f>
        <v>43425.440000000002</v>
      </c>
      <c r="X213" s="8">
        <f>IFERROR(W213/W444, "NA")</f>
        <v>-0.50730162312678473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1513.67</v>
      </c>
      <c r="C214" s="8">
        <f>IFERROR(B214/B444, "NA")</f>
        <v>1.4534228609117714E-2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-1513.67</v>
      </c>
      <c r="I214" s="8">
        <f>IFERROR(H214/H444, "NA")</f>
        <v>8.1547543046717977E-2</v>
      </c>
      <c r="J214" s="9"/>
      <c r="K214" s="7">
        <v>5590.32</v>
      </c>
      <c r="L214" s="8">
        <f>IFERROR(K214/K444, "NA")</f>
        <v>4.9430603537879134E-2</v>
      </c>
      <c r="M214" s="9"/>
      <c r="N214" s="10">
        <f t="shared" si="57"/>
        <v>4076.6499999999996</v>
      </c>
      <c r="O214" s="8">
        <f>IFERROR(N214/N444, "NA")</f>
        <v>-0.45553641028391639</v>
      </c>
      <c r="P214" s="9"/>
      <c r="Q214" s="7">
        <v>22427.03</v>
      </c>
      <c r="R214" s="8">
        <f>IFERROR(Q214/Q444, "NA")</f>
        <v>2.2569143154926509E-2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-22427.03</v>
      </c>
      <c r="X214" s="8">
        <f>IFERROR(W214/W444, "NA")</f>
        <v>0.26199547364201936</v>
      </c>
      <c r="Y214" s="9"/>
      <c r="Z214" s="7">
        <v>12494.46</v>
      </c>
      <c r="AA214" s="8">
        <f>IFERROR(Z214/Z444, "NA")</f>
        <v>1.309729262386777E-2</v>
      </c>
      <c r="AB214" s="9"/>
      <c r="AC214" s="10">
        <f t="shared" si="59"/>
        <v>-9932.57</v>
      </c>
      <c r="AD214" s="8">
        <f>IFERROR(AC214/AC444, "NA")</f>
        <v>-0.24999874152036433</v>
      </c>
    </row>
    <row r="215" spans="1:30" ht="16.5" customHeight="1" x14ac:dyDescent="0.45">
      <c r="A215" s="12" t="s">
        <v>195</v>
      </c>
      <c r="B215" s="7">
        <v>1164.54</v>
      </c>
      <c r="C215" s="8">
        <f>IFERROR(B215/B444, "NA")</f>
        <v>1.1181889437236612E-2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-1164.54</v>
      </c>
      <c r="I215" s="8">
        <f>IFERROR(H215/H444, "NA")</f>
        <v>6.2738493713705726E-2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-1164.54</v>
      </c>
      <c r="O215" s="8">
        <f>IFERROR(N215/N444, "NA")</f>
        <v>0.13012899592362159</v>
      </c>
      <c r="P215" s="9"/>
      <c r="Q215" s="7">
        <v>2611.6</v>
      </c>
      <c r="R215" s="8">
        <f>IFERROR(Q215/Q444, "NA")</f>
        <v>2.6281489017228798E-3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-2611.6</v>
      </c>
      <c r="X215" s="8">
        <f>IFERROR(W215/W444, "NA")</f>
        <v>3.0509049970660302E-2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-2611.6</v>
      </c>
      <c r="AD215" s="8">
        <f>IFERROR(AC215/AC444, "NA")</f>
        <v>-6.5732908336370494E-2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153</v>
      </c>
      <c r="L216" s="8">
        <f>IFERROR(K216/K444, "NA")</f>
        <v>1.352853207203793E-3</v>
      </c>
      <c r="M216" s="9"/>
      <c r="N216" s="10">
        <f t="shared" si="57"/>
        <v>153</v>
      </c>
      <c r="O216" s="8">
        <f>IFERROR(N216/N444, "NA")</f>
        <v>-1.7096653078738477E-2</v>
      </c>
      <c r="P216" s="9"/>
      <c r="Q216" s="7">
        <v>5.73</v>
      </c>
      <c r="R216" s="8">
        <f>IFERROR(Q216/Q444, "NA")</f>
        <v>5.7663092383489437E-6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6.6938603282234473E-5</v>
      </c>
      <c r="Y216" s="9"/>
      <c r="Z216" s="7">
        <v>424.64</v>
      </c>
      <c r="AA216" s="8">
        <f>IFERROR(Z216/Z444, "NA")</f>
        <v>4.4512802792591357E-4</v>
      </c>
      <c r="AB216" s="9"/>
      <c r="AC216" s="10">
        <f t="shared" si="59"/>
        <v>418.90999999999997</v>
      </c>
      <c r="AD216" s="8">
        <f>IFERROR(AC216/AC444, "NA")</f>
        <v>1.0543794084541645E-2</v>
      </c>
    </row>
    <row r="217" spans="1:30" ht="16.5" customHeight="1" x14ac:dyDescent="0.45">
      <c r="A217" s="12" t="s">
        <v>197</v>
      </c>
      <c r="B217" s="7">
        <v>1822.91</v>
      </c>
      <c r="C217" s="8">
        <f>IFERROR(B217/B444, "NA")</f>
        <v>1.7503544810854924E-2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-1822.91</v>
      </c>
      <c r="I217" s="8">
        <f>IFERROR(H217/H444, "NA")</f>
        <v>9.8207556267411442E-2</v>
      </c>
      <c r="J217" s="9"/>
      <c r="K217" s="7">
        <v>5878.12</v>
      </c>
      <c r="L217" s="8">
        <f>IFERROR(K217/K444, "NA")</f>
        <v>5.1975382315874244E-2</v>
      </c>
      <c r="M217" s="9"/>
      <c r="N217" s="10">
        <f t="shared" si="57"/>
        <v>4055.21</v>
      </c>
      <c r="O217" s="8">
        <f>IFERROR(N217/N444, "NA")</f>
        <v>-0.45314064399628146</v>
      </c>
      <c r="P217" s="9"/>
      <c r="Q217" s="7">
        <v>21177.040000000001</v>
      </c>
      <c r="R217" s="8">
        <f>IFERROR(Q217/Q444, "NA")</f>
        <v>2.1311232354779251E-2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-21177.040000000001</v>
      </c>
      <c r="X217" s="8">
        <f>IFERROR(W217/W444, "NA")</f>
        <v>0.24739292831623225</v>
      </c>
      <c r="Y217" s="9"/>
      <c r="Z217" s="7">
        <v>26311.37</v>
      </c>
      <c r="AA217" s="8">
        <f>IFERROR(Z217/Z444, "NA")</f>
        <v>2.758084080663396E-2</v>
      </c>
      <c r="AB217" s="9"/>
      <c r="AC217" s="10">
        <f t="shared" si="59"/>
        <v>5134.3299999999981</v>
      </c>
      <c r="AD217" s="8">
        <f>IFERROR(AC217/AC444, "NA")</f>
        <v>0.12922899496809503</v>
      </c>
    </row>
    <row r="218" spans="1:30" ht="16.5" customHeight="1" x14ac:dyDescent="0.45">
      <c r="A218" s="13" t="s">
        <v>198</v>
      </c>
      <c r="B218" s="14">
        <f>IFERROR(B213+B214+B215+B216+B217, "NA")</f>
        <v>4501.12</v>
      </c>
      <c r="C218" s="15">
        <f>IFERROR(B218/B444, "NA")</f>
        <v>4.3219662857209247E-2</v>
      </c>
      <c r="D218" s="2"/>
      <c r="E218" s="14">
        <f>IFERROR(E213+E214+E215+E216+E217, "NA")</f>
        <v>5937.98</v>
      </c>
      <c r="F218" s="15">
        <f>IFERROR(E218/E444, "NA")</f>
        <v>4.8391534305296351E-2</v>
      </c>
      <c r="G218" s="2"/>
      <c r="H218" s="14">
        <f t="shared" si="56"/>
        <v>1436.8599999999997</v>
      </c>
      <c r="I218" s="15">
        <f>IFERROR(H218/H444, "NA")</f>
        <v>-7.740947676977622E-2</v>
      </c>
      <c r="J218" s="2"/>
      <c r="K218" s="14">
        <f>IFERROR(K213+K214+K215+K216+K217, "NA")</f>
        <v>11621.439999999999</v>
      </c>
      <c r="L218" s="15">
        <f>IFERROR(K218/K444, "NA")</f>
        <v>0.10275883906095717</v>
      </c>
      <c r="M218" s="2"/>
      <c r="N218" s="14">
        <f t="shared" si="57"/>
        <v>7120.3199999999988</v>
      </c>
      <c r="O218" s="15">
        <f>IFERROR(N218/N444, "NA")</f>
        <v>-0.79564471143531457</v>
      </c>
      <c r="P218" s="2"/>
      <c r="Q218" s="14">
        <f>IFERROR(Q213+Q214+Q215+Q216+Q217, "NA")</f>
        <v>46221.399999999994</v>
      </c>
      <c r="R218" s="15">
        <f>IFERROR(Q218/Q444, "NA")</f>
        <v>4.6514290720666984E-2</v>
      </c>
      <c r="S218" s="2"/>
      <c r="T218" s="14">
        <f>IFERROR(T213+T214+T215+T216+T217, "NA")</f>
        <v>43425.440000000002</v>
      </c>
      <c r="U218" s="15">
        <f>IFERROR(T218/T444, "NA")</f>
        <v>4.0234668259001419E-2</v>
      </c>
      <c r="V218" s="2"/>
      <c r="W218" s="14">
        <f t="shared" si="58"/>
        <v>-2795.9599999999919</v>
      </c>
      <c r="X218" s="15">
        <f>IFERROR(W218/W444, "NA")</f>
        <v>3.2662767405409382E-2</v>
      </c>
      <c r="Y218" s="2"/>
      <c r="Z218" s="14">
        <f>IFERROR(Z213+Z214+Z215+Z216+Z217, "NA")</f>
        <v>39230.47</v>
      </c>
      <c r="AA218" s="15">
        <f>IFERROR(Z218/Z444, "NA")</f>
        <v>4.1123261458427644E-2</v>
      </c>
      <c r="AB218" s="2"/>
      <c r="AC218" s="14">
        <f t="shared" si="59"/>
        <v>-6990.929999999993</v>
      </c>
      <c r="AD218" s="15">
        <f>IFERROR(AC218/AC444, "NA")</f>
        <v>-0.17595886080409792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206.56</v>
      </c>
      <c r="C222" s="8">
        <f>IFERROR(B222/B444, "NA")</f>
        <v>1.9833849263705796E-3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-206.56</v>
      </c>
      <c r="I222" s="8">
        <f>IFERROR(H222/H444, "NA")</f>
        <v>1.1128225103047604E-2</v>
      </c>
      <c r="J222" s="9"/>
      <c r="K222" s="7">
        <v>101.95</v>
      </c>
      <c r="L222" s="8">
        <f>IFERROR(K222/K444, "NA")</f>
        <v>9.0146002924461897E-4</v>
      </c>
      <c r="M222" s="9"/>
      <c r="N222" s="10">
        <f t="shared" si="57"/>
        <v>-104.61</v>
      </c>
      <c r="O222" s="8">
        <f>IFERROR(N222/N444, "NA")</f>
        <v>1.1689417506972759E-2</v>
      </c>
      <c r="P222" s="9"/>
      <c r="Q222" s="7">
        <v>2004.89</v>
      </c>
      <c r="R222" s="8">
        <f>IFERROR(Q222/Q444, "NA")</f>
        <v>2.0175943680407352E-3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-2004.89</v>
      </c>
      <c r="X222" s="8">
        <f>IFERROR(W222/W444, "NA")</f>
        <v>2.3421385049654291E-2</v>
      </c>
      <c r="Y222" s="9"/>
      <c r="Z222" s="7">
        <v>402.21</v>
      </c>
      <c r="AA222" s="8">
        <f>IFERROR(Z222/Z444, "NA")</f>
        <v>4.216158254335006E-4</v>
      </c>
      <c r="AB222" s="9"/>
      <c r="AC222" s="10">
        <f t="shared" si="59"/>
        <v>-1602.68</v>
      </c>
      <c r="AD222" s="8">
        <f>IFERROR(AC222/AC444, "NA")</f>
        <v>-4.0338802853627766E-2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122.71</v>
      </c>
      <c r="F226" s="8">
        <f>IFERROR(E226/E444, "NA")</f>
        <v>1.0000244484829716E-3</v>
      </c>
      <c r="G226" s="9"/>
      <c r="H226" s="10">
        <f t="shared" si="56"/>
        <v>122.71</v>
      </c>
      <c r="I226" s="8">
        <f>IFERROR(H226/H444, "NA")</f>
        <v>-6.6108854686046251E-3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1079.31</v>
      </c>
      <c r="U226" s="8">
        <f>IFERROR(T226/T444, "NA")</f>
        <v>1.0000055220769858E-3</v>
      </c>
      <c r="V226" s="9"/>
      <c r="W226" s="10">
        <f t="shared" si="58"/>
        <v>1079.31</v>
      </c>
      <c r="X226" s="8">
        <f>IFERROR(W226/W444, "NA")</f>
        <v>-1.2608639425575652E-2</v>
      </c>
      <c r="Y226" s="9"/>
      <c r="Z226" s="7">
        <v>1334.74</v>
      </c>
      <c r="AA226" s="8">
        <f>IFERROR(Z226/Z444, "NA")</f>
        <v>1.3991385267375514E-3</v>
      </c>
      <c r="AB226" s="9"/>
      <c r="AC226" s="10">
        <f t="shared" si="59"/>
        <v>1334.74</v>
      </c>
      <c r="AD226" s="8">
        <f>IFERROR(AC226/AC444, "NA")</f>
        <v>3.3594862181378145E-2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4707.68</v>
      </c>
      <c r="C227" s="15">
        <f>IFERROR(B227/B444, "NA")</f>
        <v>4.5203047783579829E-2</v>
      </c>
      <c r="D227" s="2"/>
      <c r="E227" s="14">
        <f>IFERROR(E211+E213+E214+E215+E216+E217+E219+E220+E221+E222+E223+E224+E225+E226, "NA")</f>
        <v>6060.69</v>
      </c>
      <c r="F227" s="15">
        <f>IFERROR(E227/E444, "NA")</f>
        <v>4.9391558753779326E-2</v>
      </c>
      <c r="G227" s="2"/>
      <c r="H227" s="14">
        <f t="shared" si="56"/>
        <v>1353.0099999999993</v>
      </c>
      <c r="I227" s="15">
        <f>IFERROR(H227/H444, "NA")</f>
        <v>-7.2892137135333213E-2</v>
      </c>
      <c r="J227" s="2"/>
      <c r="K227" s="14">
        <f>IFERROR(K211+K213+K214+K215+K216+K217+K219+K220+K221+K222+K223+K224+K225+K226, "NA")</f>
        <v>11723.39</v>
      </c>
      <c r="L227" s="15">
        <f>IFERROR(K227/K444, "NA")</f>
        <v>0.10366029909020179</v>
      </c>
      <c r="M227" s="2"/>
      <c r="N227" s="14">
        <f t="shared" si="57"/>
        <v>7015.7099999999991</v>
      </c>
      <c r="O227" s="15">
        <f>IFERROR(N227/N444, "NA")</f>
        <v>-0.78395529392834185</v>
      </c>
      <c r="P227" s="2"/>
      <c r="Q227" s="14">
        <f>IFERROR(Q211+Q213+Q214+Q215+Q216+Q217+Q219+Q220+Q221+Q222+Q223+Q224+Q225+Q226, "NA")</f>
        <v>48226.289999999994</v>
      </c>
      <c r="R227" s="15">
        <f>IFERROR(Q227/Q444, "NA")</f>
        <v>4.8531885088707719E-2</v>
      </c>
      <c r="S227" s="2"/>
      <c r="T227" s="14">
        <f>IFERROR(T211+T213+T214+T215+T216+T217+T219+T220+T221+T222+T223+T224+T225+T226, "NA")</f>
        <v>44504.75</v>
      </c>
      <c r="U227" s="15">
        <f>IFERROR(T227/T444, "NA")</f>
        <v>4.1234673781078403E-2</v>
      </c>
      <c r="V227" s="2"/>
      <c r="W227" s="14">
        <f t="shared" si="58"/>
        <v>-3721.5399999999936</v>
      </c>
      <c r="X227" s="15">
        <f>IFERROR(W227/W444, "NA")</f>
        <v>4.3475513029488037E-2</v>
      </c>
      <c r="Y227" s="2"/>
      <c r="Z227" s="14">
        <f>IFERROR(Z211+Z213+Z214+Z215+Z216+Z217+Z219+Z220+Z221+Z222+Z223+Z224+Z225+Z226, "NA")</f>
        <v>40967.42</v>
      </c>
      <c r="AA227" s="15">
        <f>IFERROR(Z227/Z444, "NA")</f>
        <v>4.2944015810598694E-2</v>
      </c>
      <c r="AB227" s="2"/>
      <c r="AC227" s="14">
        <f t="shared" si="59"/>
        <v>-7258.8699999999953</v>
      </c>
      <c r="AD227" s="15">
        <f>IFERROR(AC227/AC444, "NA")</f>
        <v>-0.1827028014763476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1619.73</v>
      </c>
      <c r="F229" s="8">
        <f>IFERROR(E229/E444, "NA")</f>
        <v>1.3199980441213623E-2</v>
      </c>
      <c r="G229" s="9"/>
      <c r="H229" s="10">
        <f t="shared" ref="H229:H236" si="60">IFERROR(-(B229-E229), "NA")</f>
        <v>1619.73</v>
      </c>
      <c r="I229" s="8">
        <f>IFERROR(H229/H444, "NA")</f>
        <v>-8.7261425475209597E-2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14246.83</v>
      </c>
      <c r="U229" s="8">
        <f>IFERROR(T229/T444, "NA")</f>
        <v>1.3200015446991191E-2</v>
      </c>
      <c r="V229" s="9"/>
      <c r="W229" s="10">
        <f t="shared" ref="W229:W236" si="62">IFERROR(-(Q229-T229), "NA")</f>
        <v>14246.83</v>
      </c>
      <c r="X229" s="8">
        <f>IFERROR(W229/W444, "NA")</f>
        <v>-0.16643331612555612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-4.7171159703904743E-5</v>
      </c>
      <c r="AB230" s="9"/>
      <c r="AC230" s="10">
        <f t="shared" si="63"/>
        <v>-45</v>
      </c>
      <c r="AD230" s="8">
        <f>IFERROR(AC230/AC444, "NA")</f>
        <v>-1.1326316722073335E-3</v>
      </c>
    </row>
    <row r="231" spans="1:30" ht="16.5" customHeight="1" x14ac:dyDescent="0.45">
      <c r="A231" s="6" t="s">
        <v>210</v>
      </c>
      <c r="B231" s="7">
        <v>203</v>
      </c>
      <c r="C231" s="8">
        <f>IFERROR(B231/B444, "NA")</f>
        <v>1.9492018786465318E-3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-203</v>
      </c>
      <c r="I231" s="8">
        <f>IFERROR(H231/H444, "NA")</f>
        <v>1.0936433462038455E-2</v>
      </c>
      <c r="J231" s="9"/>
      <c r="K231" s="7">
        <v>294</v>
      </c>
      <c r="L231" s="8">
        <f>IFERROR(K231/K444, "NA")</f>
        <v>2.5996002805092492E-3</v>
      </c>
      <c r="M231" s="9"/>
      <c r="N231" s="10">
        <f t="shared" si="61"/>
        <v>91</v>
      </c>
      <c r="O231" s="8">
        <f>IFERROR(N231/N444, "NA")</f>
        <v>-1.0168597582779094E-2</v>
      </c>
      <c r="P231" s="9"/>
      <c r="Q231" s="7">
        <v>1998.13</v>
      </c>
      <c r="R231" s="8">
        <f>IFERROR(Q231/Q444, "NA")</f>
        <v>2.0107915320108508E-3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-1998.13</v>
      </c>
      <c r="X231" s="8">
        <f>IFERROR(W231/W444, "NA")</f>
        <v>2.3342413852762856E-2</v>
      </c>
      <c r="Y231" s="9"/>
      <c r="Z231" s="7">
        <v>3249.56</v>
      </c>
      <c r="AA231" s="8">
        <f>IFERROR(Z231/Z444, "NA")</f>
        <v>3.4063447494982377E-3</v>
      </c>
      <c r="AB231" s="9"/>
      <c r="AC231" s="10">
        <f t="shared" si="63"/>
        <v>1251.4299999999998</v>
      </c>
      <c r="AD231" s="8">
        <f>IFERROR(AC231/AC444, "NA")</f>
        <v>3.1497983412231624E-2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2302.29</v>
      </c>
      <c r="C234" s="8">
        <f>IFERROR(B234/B444, "NA")</f>
        <v>2.2106541838370068E-2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-2302.29</v>
      </c>
      <c r="I234" s="8">
        <f>IFERROR(H234/H444, "NA")</f>
        <v>0.12403370145476116</v>
      </c>
      <c r="J234" s="9"/>
      <c r="K234" s="7">
        <v>1651.74</v>
      </c>
      <c r="L234" s="8">
        <f>IFERROR(K234/K444, "NA")</f>
        <v>1.4604978800436557E-2</v>
      </c>
      <c r="M234" s="9"/>
      <c r="N234" s="10">
        <f t="shared" si="61"/>
        <v>-650.54999999999995</v>
      </c>
      <c r="O234" s="8">
        <f>IFERROR(N234/N444, "NA")</f>
        <v>7.2694298433812518E-2</v>
      </c>
      <c r="P234" s="9"/>
      <c r="Q234" s="7">
        <v>11972.61</v>
      </c>
      <c r="R234" s="8">
        <f>IFERROR(Q234/Q444, "NA")</f>
        <v>1.2048476727774685E-2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-11972.61</v>
      </c>
      <c r="X234" s="8">
        <f>IFERROR(W234/W444, "NA")</f>
        <v>0.13986558307904245</v>
      </c>
      <c r="Y234" s="9"/>
      <c r="Z234" s="7">
        <v>14419.64</v>
      </c>
      <c r="AA234" s="8">
        <f>IFERROR(Z234/Z444, "NA")</f>
        <v>1.5115358695840289E-2</v>
      </c>
      <c r="AB234" s="9"/>
      <c r="AC234" s="10">
        <f t="shared" si="63"/>
        <v>2447.0299999999988</v>
      </c>
      <c r="AD234" s="8">
        <f>IFERROR(AC234/AC444, "NA")</f>
        <v>6.1590748463144669E-2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2505.29</v>
      </c>
      <c r="C236" s="15">
        <f>IFERROR(B236/B444, "NA")</f>
        <v>2.40557437170166E-2</v>
      </c>
      <c r="D236" s="2"/>
      <c r="E236" s="14">
        <f>IFERROR(E229+E230+E231+E232+E233+E234+E235, "NA")</f>
        <v>1619.73</v>
      </c>
      <c r="F236" s="15">
        <f>IFERROR(E236/E444, "NA")</f>
        <v>1.3199980441213623E-2</v>
      </c>
      <c r="G236" s="2"/>
      <c r="H236" s="14">
        <f t="shared" si="60"/>
        <v>-885.56</v>
      </c>
      <c r="I236" s="15">
        <f>IFERROR(H236/H444, "NA")</f>
        <v>4.7708709441590023E-2</v>
      </c>
      <c r="J236" s="2"/>
      <c r="K236" s="14">
        <f>IFERROR(K229+K230+K231+K232+K233+K234+K235, "NA")</f>
        <v>1945.74</v>
      </c>
      <c r="L236" s="15">
        <f>IFERROR(K236/K444, "NA")</f>
        <v>1.7204579080945807E-2</v>
      </c>
      <c r="M236" s="2"/>
      <c r="N236" s="14">
        <f t="shared" si="61"/>
        <v>-559.54999999999995</v>
      </c>
      <c r="O236" s="15">
        <f>IFERROR(N236/N444, "NA")</f>
        <v>6.2525700851033428E-2</v>
      </c>
      <c r="P236" s="2"/>
      <c r="Q236" s="14">
        <f>IFERROR(Q229+Q230+Q231+Q232+Q233+Q234+Q235, "NA")</f>
        <v>13970.740000000002</v>
      </c>
      <c r="R236" s="15">
        <f>IFERROR(Q236/Q444, "NA")</f>
        <v>1.4059268259785537E-2</v>
      </c>
      <c r="S236" s="2"/>
      <c r="T236" s="14">
        <f>IFERROR(T229+T230+T231+T232+T233+T234+T235, "NA")</f>
        <v>14246.83</v>
      </c>
      <c r="U236" s="15">
        <f>IFERROR(T236/T444, "NA")</f>
        <v>1.3200015446991191E-2</v>
      </c>
      <c r="V236" s="2"/>
      <c r="W236" s="14">
        <f t="shared" si="62"/>
        <v>276.08999999999833</v>
      </c>
      <c r="X236" s="15">
        <f>IFERROR(W236/W444, "NA")</f>
        <v>-3.2253191937507857E-3</v>
      </c>
      <c r="Y236" s="2"/>
      <c r="Z236" s="14">
        <f>IFERROR(Z229+Z230+Z231+Z232+Z233+Z234+Z235, "NA")</f>
        <v>17624.2</v>
      </c>
      <c r="AA236" s="15">
        <f>IFERROR(Z236/Z444, "NA")</f>
        <v>1.8474532285634622E-2</v>
      </c>
      <c r="AB236" s="2"/>
      <c r="AC236" s="14">
        <f t="shared" si="63"/>
        <v>3653.4599999999991</v>
      </c>
      <c r="AD236" s="15">
        <f>IFERROR(AC236/AC444, "NA")</f>
        <v>9.1956100203168967E-2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7492.98</v>
      </c>
      <c r="F240" s="8">
        <f>IFERROR(E240/E444, "NA")</f>
        <v>6.1063997978925401E-2</v>
      </c>
      <c r="G240" s="9"/>
      <c r="H240" s="10">
        <f t="shared" ref="H240:H263" si="64">IFERROR(-(B240-E240), "NA")</f>
        <v>7492.98</v>
      </c>
      <c r="I240" s="8">
        <f>IFERROR(H240/H444, "NA")</f>
        <v>-0.40367722759795516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66231.61</v>
      </c>
      <c r="U240" s="8">
        <f>IFERROR(T240/T444, "NA")</f>
        <v>6.1365108945575703E-2</v>
      </c>
      <c r="V240" s="9"/>
      <c r="W240" s="10">
        <f t="shared" ref="W240:W263" si="66">IFERROR(-(Q240-T240), "NA")</f>
        <v>66231.61</v>
      </c>
      <c r="X240" s="8">
        <f>IFERROR(W240/W444, "NA")</f>
        <v>-0.77372625942996043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1414.16</v>
      </c>
      <c r="C242" s="8">
        <f>IFERROR(B242/B444, "NA")</f>
        <v>1.3578735609393003E-2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-1414.16</v>
      </c>
      <c r="I242" s="8">
        <f>IFERROR(H242/H444, "NA")</f>
        <v>7.6186535688060608E-2</v>
      </c>
      <c r="J242" s="9"/>
      <c r="K242" s="7">
        <v>1877.19</v>
      </c>
      <c r="L242" s="8">
        <f>IFERROR(K242/K444, "NA")</f>
        <v>1.6598447791051556E-2</v>
      </c>
      <c r="M242" s="9"/>
      <c r="N242" s="10">
        <f t="shared" si="65"/>
        <v>463.03</v>
      </c>
      <c r="O242" s="8">
        <f>IFERROR(N242/N444, "NA")</f>
        <v>-5.1740282843452785E-2</v>
      </c>
      <c r="P242" s="9"/>
      <c r="Q242" s="7">
        <v>14464.25</v>
      </c>
      <c r="R242" s="8">
        <f>IFERROR(Q242/Q444, "NA")</f>
        <v>1.4555905480067837E-2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-14464.25</v>
      </c>
      <c r="X242" s="8">
        <f>IFERROR(W242/W444, "NA")</f>
        <v>0.16897324476877137</v>
      </c>
      <c r="Y242" s="9"/>
      <c r="Z242" s="7">
        <v>12349.05</v>
      </c>
      <c r="AA242" s="8">
        <f>IFERROR(Z242/Z444, "NA")</f>
        <v>1.2944866883144552E-2</v>
      </c>
      <c r="AB242" s="9"/>
      <c r="AC242" s="10">
        <f t="shared" si="67"/>
        <v>-2115.2000000000007</v>
      </c>
      <c r="AD242" s="8">
        <f>IFERROR(AC242/AC444, "NA")</f>
        <v>-5.3238722512287839E-2</v>
      </c>
    </row>
    <row r="243" spans="1:30" ht="16.5" customHeight="1" x14ac:dyDescent="0.45">
      <c r="A243" s="12" t="s">
        <v>220</v>
      </c>
      <c r="B243" s="7">
        <v>3838.85</v>
      </c>
      <c r="C243" s="8">
        <f>IFERROR(B243/B444, "NA")</f>
        <v>3.6860559762769647E-2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-3838.85</v>
      </c>
      <c r="I243" s="8">
        <f>IFERROR(H243/H444, "NA")</f>
        <v>0.20681442165392278</v>
      </c>
      <c r="J243" s="9"/>
      <c r="K243" s="7">
        <v>2772.91</v>
      </c>
      <c r="L243" s="8">
        <f>IFERROR(K243/K444, "NA")</f>
        <v>2.4518563312336403E-2</v>
      </c>
      <c r="M243" s="9"/>
      <c r="N243" s="10">
        <f t="shared" si="65"/>
        <v>-1065.94</v>
      </c>
      <c r="O243" s="8">
        <f>IFERROR(N243/N444, "NA")</f>
        <v>0.1191111528284346</v>
      </c>
      <c r="P243" s="9"/>
      <c r="Q243" s="7">
        <v>17028.77</v>
      </c>
      <c r="R243" s="8">
        <f>IFERROR(Q243/Q444, "NA")</f>
        <v>1.7136676050387319E-2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-17028.77</v>
      </c>
      <c r="X243" s="8">
        <f>IFERROR(W243/W444, "NA")</f>
        <v>0.1989323000723239</v>
      </c>
      <c r="Y243" s="9"/>
      <c r="Z243" s="7">
        <v>23931.82</v>
      </c>
      <c r="AA243" s="8">
        <f>IFERROR(Z243/Z444, "NA")</f>
        <v>2.5086482293891148E-2</v>
      </c>
      <c r="AB243" s="9"/>
      <c r="AC243" s="10">
        <f t="shared" si="67"/>
        <v>6903.0499999999993</v>
      </c>
      <c r="AD243" s="8">
        <f>IFERROR(AC243/AC444, "NA")</f>
        <v>0.17374695699624074</v>
      </c>
    </row>
    <row r="244" spans="1:30" ht="16.5" customHeight="1" x14ac:dyDescent="0.45">
      <c r="A244" s="12" t="s">
        <v>221</v>
      </c>
      <c r="B244" s="7">
        <v>610.71</v>
      </c>
      <c r="C244" s="8">
        <f>IFERROR(B244/B444, "NA")</f>
        <v>5.8640250212227754E-3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-610.71</v>
      </c>
      <c r="I244" s="8">
        <f>IFERROR(H244/H444, "NA")</f>
        <v>3.2901425022667519E-2</v>
      </c>
      <c r="J244" s="9"/>
      <c r="K244" s="7">
        <v>270.57</v>
      </c>
      <c r="L244" s="8">
        <f>IFERROR(K244/K444, "NA")</f>
        <v>2.392428054072747E-3</v>
      </c>
      <c r="M244" s="9"/>
      <c r="N244" s="10">
        <f t="shared" si="65"/>
        <v>-340.14000000000004</v>
      </c>
      <c r="O244" s="8">
        <f>IFERROR(N244/N444, "NA")</f>
        <v>3.8008206393477822E-2</v>
      </c>
      <c r="P244" s="9"/>
      <c r="Q244" s="7">
        <v>6176.68</v>
      </c>
      <c r="R244" s="8">
        <f>IFERROR(Q244/Q444, "NA")</f>
        <v>6.2158197114005505E-3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-6176.68</v>
      </c>
      <c r="X244" s="8">
        <f>IFERROR(W244/W444, "NA")</f>
        <v>7.2156776984522164E-2</v>
      </c>
      <c r="Y244" s="9"/>
      <c r="Z244" s="7">
        <v>766.37</v>
      </c>
      <c r="AA244" s="8">
        <f>IFERROR(Z244/Z444, "NA")</f>
        <v>8.0334581471736618E-4</v>
      </c>
      <c r="AB244" s="9"/>
      <c r="AC244" s="10">
        <f t="shared" si="67"/>
        <v>-5410.31</v>
      </c>
      <c r="AD244" s="8">
        <f>IFERROR(AC244/AC444, "NA")</f>
        <v>-0.13617529916577908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109.34</v>
      </c>
      <c r="C246" s="8">
        <f>IFERROR(B246/B444, "NA")</f>
        <v>1.0498804601537528E-3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-109.34</v>
      </c>
      <c r="I246" s="8">
        <f>IFERROR(H246/H444, "NA")</f>
        <v>5.8905893336910582E-3</v>
      </c>
      <c r="J246" s="9"/>
      <c r="K246" s="7">
        <v>322.41000000000003</v>
      </c>
      <c r="L246" s="8">
        <f>IFERROR(K246/K444, "NA")</f>
        <v>2.8508065525135618E-3</v>
      </c>
      <c r="M246" s="9"/>
      <c r="N246" s="10">
        <f t="shared" si="65"/>
        <v>213.07000000000002</v>
      </c>
      <c r="O246" s="8">
        <f>IFERROR(N246/N444, "NA")</f>
        <v>-2.3809044911678481E-2</v>
      </c>
      <c r="P246" s="9"/>
      <c r="Q246" s="7">
        <v>3466.73</v>
      </c>
      <c r="R246" s="8">
        <f>IFERROR(Q246/Q444, "NA")</f>
        <v>3.4886975961363757E-3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-3466.73</v>
      </c>
      <c r="X246" s="8">
        <f>IFERROR(W246/W444, "NA")</f>
        <v>4.0498789556129268E-2</v>
      </c>
      <c r="Y246" s="9"/>
      <c r="Z246" s="7">
        <v>943.7</v>
      </c>
      <c r="AA246" s="8">
        <f>IFERROR(Z246/Z444, "NA")</f>
        <v>9.8923163139055348E-4</v>
      </c>
      <c r="AB246" s="9"/>
      <c r="AC246" s="10">
        <f t="shared" si="67"/>
        <v>-2523.0299999999997</v>
      </c>
      <c r="AD246" s="8">
        <f>IFERROR(AC246/AC444, "NA")</f>
        <v>-6.3503637509539301E-2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141.09</v>
      </c>
      <c r="AA247" s="8">
        <f>IFERROR(Z247/Z444, "NA")</f>
        <v>1.4789730939164267E-4</v>
      </c>
      <c r="AB247" s="9"/>
      <c r="AC247" s="10">
        <f t="shared" si="67"/>
        <v>141.09</v>
      </c>
      <c r="AD247" s="8">
        <f>IFERROR(AC247/AC444, "NA")</f>
        <v>3.5511778362607264E-3</v>
      </c>
    </row>
    <row r="248" spans="1:30" ht="16.5" customHeight="1" x14ac:dyDescent="0.45">
      <c r="A248" s="12" t="s">
        <v>225</v>
      </c>
      <c r="B248" s="7">
        <v>259.55</v>
      </c>
      <c r="C248" s="8">
        <f>IFERROR(B248/B444, "NA")</f>
        <v>2.4921938305552086E-3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-259.55</v>
      </c>
      <c r="I248" s="8">
        <f>IFERROR(H248/H444, "NA")</f>
        <v>1.3983011355034883E-2</v>
      </c>
      <c r="J248" s="9"/>
      <c r="K248" s="7">
        <v>272.08</v>
      </c>
      <c r="L248" s="8">
        <f>IFERROR(K248/K444, "NA")</f>
        <v>2.4057797425882876E-3</v>
      </c>
      <c r="M248" s="9"/>
      <c r="N248" s="10">
        <f t="shared" si="65"/>
        <v>12.529999999999973</v>
      </c>
      <c r="O248" s="8">
        <f>IFERROR(N248/N444, "NA")</f>
        <v>-1.4001376671672722E-3</v>
      </c>
      <c r="P248" s="9"/>
      <c r="Q248" s="7">
        <v>2643.76</v>
      </c>
      <c r="R248" s="8">
        <f>IFERROR(Q248/Q444, "NA")</f>
        <v>2.6605126896993726E-3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-2643.76</v>
      </c>
      <c r="X248" s="8">
        <f>IFERROR(W248/W444, "NA")</f>
        <v>3.0884747262380493E-2</v>
      </c>
      <c r="Y248" s="9"/>
      <c r="Z248" s="7">
        <v>2532.25</v>
      </c>
      <c r="AA248" s="8">
        <f>IFERROR(Z248/Z444, "NA")</f>
        <v>2.6544259813380618E-3</v>
      </c>
      <c r="AB248" s="9"/>
      <c r="AC248" s="10">
        <f t="shared" si="67"/>
        <v>-111.51000000000022</v>
      </c>
      <c r="AD248" s="8">
        <f>IFERROR(AC248/AC444, "NA")</f>
        <v>-2.8066612837297782E-3</v>
      </c>
    </row>
    <row r="249" spans="1:30" ht="16.5" customHeight="1" x14ac:dyDescent="0.45">
      <c r="A249" s="12" t="s">
        <v>226</v>
      </c>
      <c r="B249" s="7">
        <v>1808</v>
      </c>
      <c r="C249" s="8">
        <f>IFERROR(B249/B444, "NA")</f>
        <v>1.736037929356123E-2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-1808</v>
      </c>
      <c r="I249" s="8">
        <f>IFERROR(H249/H444, "NA")</f>
        <v>9.7404294085544477E-2</v>
      </c>
      <c r="J249" s="9"/>
      <c r="K249" s="7">
        <v>1536.43</v>
      </c>
      <c r="L249" s="8">
        <f>IFERROR(K249/K444, "NA")</f>
        <v>1.3585387275451789E-2</v>
      </c>
      <c r="M249" s="9"/>
      <c r="N249" s="10">
        <f t="shared" si="65"/>
        <v>-271.56999999999994</v>
      </c>
      <c r="O249" s="8">
        <f>IFERROR(N249/N444, "NA")</f>
        <v>3.034600050060789E-2</v>
      </c>
      <c r="P249" s="9"/>
      <c r="Q249" s="7">
        <v>17254.32</v>
      </c>
      <c r="R249" s="8">
        <f>IFERROR(Q249/Q444, "NA")</f>
        <v>1.7363655290999817E-2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-17254.32</v>
      </c>
      <c r="X249" s="8">
        <f>IFERROR(W249/W444, "NA")</f>
        <v>0.20156720443014378</v>
      </c>
      <c r="Y249" s="9"/>
      <c r="Z249" s="7">
        <v>14651.74</v>
      </c>
      <c r="AA249" s="8">
        <f>IFERROR(Z249/Z444, "NA")</f>
        <v>1.5358657055113096E-2</v>
      </c>
      <c r="AB249" s="9"/>
      <c r="AC249" s="10">
        <f t="shared" si="67"/>
        <v>-2602.58</v>
      </c>
      <c r="AD249" s="8">
        <f>IFERROR(AC249/AC444, "NA")</f>
        <v>-6.5505878610074716E-2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6.289487960520632E-7</v>
      </c>
      <c r="AB250" s="9"/>
      <c r="AC250" s="10">
        <f t="shared" si="67"/>
        <v>0.6</v>
      </c>
      <c r="AD250" s="8">
        <f>IFERROR(AC250/AC444, "NA")</f>
        <v>1.5101755629431113E-5</v>
      </c>
    </row>
    <row r="251" spans="1:30" ht="16.5" customHeight="1" x14ac:dyDescent="0.45">
      <c r="A251" s="12" t="s">
        <v>228</v>
      </c>
      <c r="B251" s="7">
        <v>122.5</v>
      </c>
      <c r="C251" s="8">
        <f>IFERROR(B251/B444, "NA")</f>
        <v>1.1762425129763555E-3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-122.5</v>
      </c>
      <c r="I251" s="8">
        <f>IFERROR(H251/H444, "NA")</f>
        <v>6.5995719167473441E-3</v>
      </c>
      <c r="J251" s="9"/>
      <c r="K251" s="7">
        <v>74.97</v>
      </c>
      <c r="L251" s="8">
        <f>IFERROR(K251/K444, "NA")</f>
        <v>6.6289807152985862E-4</v>
      </c>
      <c r="M251" s="9"/>
      <c r="N251" s="10">
        <f t="shared" si="65"/>
        <v>-47.53</v>
      </c>
      <c r="O251" s="8">
        <f>IFERROR(N251/N444, "NA")</f>
        <v>5.3111367374669271E-3</v>
      </c>
      <c r="P251" s="9"/>
      <c r="Q251" s="7">
        <v>556.21</v>
      </c>
      <c r="R251" s="8">
        <f>IFERROR(Q251/Q444, "NA")</f>
        <v>5.5973453079617209E-4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-556.21</v>
      </c>
      <c r="X251" s="8">
        <f>IFERROR(W251/W444, "NA")</f>
        <v>6.497717370263811E-3</v>
      </c>
      <c r="Y251" s="9"/>
      <c r="Z251" s="7">
        <v>644.08000000000004</v>
      </c>
      <c r="AA251" s="8">
        <f>IFERROR(Z251/Z444, "NA")</f>
        <v>6.7515556760202157E-4</v>
      </c>
      <c r="AB251" s="9"/>
      <c r="AC251" s="10">
        <f t="shared" si="67"/>
        <v>87.87</v>
      </c>
      <c r="AD251" s="8">
        <f>IFERROR(AC251/AC444, "NA")</f>
        <v>2.2116521119301866E-3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224.54</v>
      </c>
      <c r="AA255" s="8">
        <f>IFERROR(Z255/Z444, "NA")</f>
        <v>2.3537360444255047E-4</v>
      </c>
      <c r="AB255" s="9"/>
      <c r="AC255" s="10">
        <f t="shared" si="67"/>
        <v>224.54</v>
      </c>
      <c r="AD255" s="8">
        <f>IFERROR(AC255/AC444, "NA")</f>
        <v>5.6515803483874368E-3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8.1836720846307619E-5</v>
      </c>
      <c r="AB256" s="9"/>
      <c r="AC256" s="10">
        <f t="shared" si="67"/>
        <v>78.069999999999993</v>
      </c>
      <c r="AD256" s="8">
        <f>IFERROR(AC256/AC444, "NA")</f>
        <v>1.9649901033161449E-3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4475.75</v>
      </c>
      <c r="R258" s="8">
        <f>IFERROR(Q258/Q444, "NA")</f>
        <v>4.5041114438988282E-3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-4475.75</v>
      </c>
      <c r="X258" s="8">
        <f>IFERROR(W258/W444, "NA")</f>
        <v>5.2286292083850078E-2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-4475.75</v>
      </c>
      <c r="AD258" s="8">
        <f>IFERROR(AC258/AC444, "NA")</f>
        <v>-0.11265280459737718</v>
      </c>
    </row>
    <row r="259" spans="1:30" ht="16.5" customHeight="1" x14ac:dyDescent="0.45">
      <c r="A259" s="12" t="s">
        <v>236</v>
      </c>
      <c r="B259" s="7">
        <v>247.2</v>
      </c>
      <c r="C259" s="8">
        <f>IFERROR(B259/B444, "NA")</f>
        <v>2.3736093812877961E-3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-247.2</v>
      </c>
      <c r="I259" s="8">
        <f>IFERROR(H259/H444, "NA")</f>
        <v>1.3317666757713823E-2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-247.2</v>
      </c>
      <c r="O259" s="8">
        <f>IFERROR(N259/N444, "NA")</f>
        <v>2.7622827719373539E-2</v>
      </c>
      <c r="P259" s="9"/>
      <c r="Q259" s="7">
        <v>1350.6</v>
      </c>
      <c r="R259" s="8">
        <f>IFERROR(Q259/Q444, "NA")</f>
        <v>1.3591583346097874E-3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-1350.6</v>
      </c>
      <c r="X259" s="8">
        <f>IFERROR(W259/W444, "NA")</f>
        <v>1.5777884396681652E-2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-1350.6</v>
      </c>
      <c r="AD259" s="8">
        <f>IFERROR(AC259/AC444, "NA")</f>
        <v>-3.3994051921849434E-2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8410.3100000000013</v>
      </c>
      <c r="C262" s="15">
        <f>IFERROR(B262/B444, "NA")</f>
        <v>8.0755625871919784E-2</v>
      </c>
      <c r="D262" s="2"/>
      <c r="E262" s="14">
        <f>IFERROR(E240+E241+E242+E243+E244+E245+E246+E247+E248+E249+E250+E251+E252+E253+E254+E255+E256+E257+E258+E259+E260+E261, "NA")</f>
        <v>7492.98</v>
      </c>
      <c r="F262" s="15">
        <f>IFERROR(E262/E444, "NA")</f>
        <v>6.1063997978925401E-2</v>
      </c>
      <c r="G262" s="2"/>
      <c r="H262" s="14">
        <f t="shared" si="64"/>
        <v>-917.33000000000175</v>
      </c>
      <c r="I262" s="15">
        <f>IFERROR(H262/H444, "NA")</f>
        <v>4.942028821542737E-2</v>
      </c>
      <c r="J262" s="2"/>
      <c r="K262" s="14">
        <f>IFERROR(K240+K241+K242+K243+K244+K245+K246+K247+K248+K249+K250+K251+K252+K253+K254+K255+K256+K257+K258+K259+K260+K261, "NA")</f>
        <v>7126.56</v>
      </c>
      <c r="L262" s="15">
        <f>IFERROR(K262/K444, "NA")</f>
        <v>6.3014310799544213E-2</v>
      </c>
      <c r="M262" s="2"/>
      <c r="N262" s="14">
        <f t="shared" si="65"/>
        <v>-1283.7500000000009</v>
      </c>
      <c r="O262" s="15">
        <f>IFERROR(N262/N444, "NA")</f>
        <v>0.14344985875706232</v>
      </c>
      <c r="P262" s="2"/>
      <c r="Q262" s="14">
        <f>IFERROR(Q240+Q241+Q242+Q243+Q244+Q245+Q246+Q247+Q248+Q249+Q250+Q251+Q252+Q253+Q254+Q255+Q256+Q257+Q258+Q259+Q260+Q261, "NA")</f>
        <v>67417.070000000007</v>
      </c>
      <c r="R262" s="15">
        <f>IFERROR(Q262/Q444, "NA")</f>
        <v>6.784427112799607E-2</v>
      </c>
      <c r="S262" s="2"/>
      <c r="T262" s="14">
        <f>IFERROR(T240+T241+T242+T243+T244+T245+T246+T247+T248+T249+T250+T251+T252+T253+T254+T255+T256+T257+T258+T259+T260+T261, "NA")</f>
        <v>66231.61</v>
      </c>
      <c r="U262" s="15">
        <f>IFERROR(T262/T444, "NA")</f>
        <v>6.1365108945575703E-2</v>
      </c>
      <c r="V262" s="2"/>
      <c r="W262" s="14">
        <f t="shared" si="66"/>
        <v>-1185.4600000000064</v>
      </c>
      <c r="X262" s="15">
        <f>IFERROR(W262/W444, "NA")</f>
        <v>1.3848697495106126E-2</v>
      </c>
      <c r="Y262" s="2"/>
      <c r="Z262" s="14">
        <f>IFERROR(Z240+Z241+Z242+Z243+Z244+Z245+Z246+Z247+Z248+Z249+Z250+Z251+Z252+Z253+Z254+Z255+Z256+Z257+Z258+Z259+Z260+Z261, "NA")</f>
        <v>56263.30999999999</v>
      </c>
      <c r="AA262" s="15">
        <f>IFERROR(Z262/Z444, "NA")</f>
        <v>5.897790181067334E-2</v>
      </c>
      <c r="AB262" s="2"/>
      <c r="AC262" s="14">
        <f t="shared" si="67"/>
        <v>-11153.760000000017</v>
      </c>
      <c r="AD262" s="15">
        <f>IFERROR(AC262/AC444, "NA")</f>
        <v>-0.28073559644887303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8410.3100000000013</v>
      </c>
      <c r="C263" s="15">
        <f>IFERROR(B263/B444, "NA")</f>
        <v>8.0755625871919784E-2</v>
      </c>
      <c r="D263" s="2"/>
      <c r="E263" s="14">
        <f>IFERROR(E238+E240+E241+E242+E243+E244+E245+E246+E247+E248+E249+E250+E251+E252+E253+E254+E255+E256+E257+E258+E259+E260+E261, "NA")</f>
        <v>7492.98</v>
      </c>
      <c r="F263" s="15">
        <f>IFERROR(E263/E444, "NA")</f>
        <v>6.1063997978925401E-2</v>
      </c>
      <c r="G263" s="2"/>
      <c r="H263" s="14">
        <f t="shared" si="64"/>
        <v>-917.33000000000175</v>
      </c>
      <c r="I263" s="15">
        <f>IFERROR(H263/H444, "NA")</f>
        <v>4.942028821542737E-2</v>
      </c>
      <c r="J263" s="2"/>
      <c r="K263" s="14">
        <f>IFERROR(K238+K240+K241+K242+K243+K244+K245+K246+K247+K248+K249+K250+K251+K252+K253+K254+K255+K256+K257+K258+K259+K260+K261, "NA")</f>
        <v>7126.56</v>
      </c>
      <c r="L263" s="15">
        <f>IFERROR(K263/K444, "NA")</f>
        <v>6.3014310799544213E-2</v>
      </c>
      <c r="M263" s="2"/>
      <c r="N263" s="14">
        <f t="shared" si="65"/>
        <v>-1283.7500000000009</v>
      </c>
      <c r="O263" s="15">
        <f>IFERROR(N263/N444, "NA")</f>
        <v>0.14344985875706232</v>
      </c>
      <c r="P263" s="2"/>
      <c r="Q263" s="14">
        <f>IFERROR(Q238+Q240+Q241+Q242+Q243+Q244+Q245+Q246+Q247+Q248+Q249+Q250+Q251+Q252+Q253+Q254+Q255+Q256+Q257+Q258+Q259+Q260+Q261, "NA")</f>
        <v>67417.070000000007</v>
      </c>
      <c r="R263" s="15">
        <f>IFERROR(Q263/Q444, "NA")</f>
        <v>6.784427112799607E-2</v>
      </c>
      <c r="S263" s="2"/>
      <c r="T263" s="14">
        <f>IFERROR(T238+T240+T241+T242+T243+T244+T245+T246+T247+T248+T249+T250+T251+T252+T253+T254+T255+T256+T257+T258+T259+T260+T261, "NA")</f>
        <v>66231.61</v>
      </c>
      <c r="U263" s="15">
        <f>IFERROR(T263/T444, "NA")</f>
        <v>6.1365108945575703E-2</v>
      </c>
      <c r="V263" s="2"/>
      <c r="W263" s="14">
        <f t="shared" si="66"/>
        <v>-1185.4600000000064</v>
      </c>
      <c r="X263" s="15">
        <f>IFERROR(W263/W444, "NA")</f>
        <v>1.3848697495106126E-2</v>
      </c>
      <c r="Y263" s="2"/>
      <c r="Z263" s="14">
        <f>IFERROR(Z238+Z240+Z241+Z242+Z243+Z244+Z245+Z246+Z247+Z248+Z249+Z250+Z251+Z252+Z253+Z254+Z255+Z256+Z257+Z258+Z259+Z260+Z261, "NA")</f>
        <v>56263.30999999999</v>
      </c>
      <c r="AA263" s="15">
        <f>IFERROR(Z263/Z444, "NA")</f>
        <v>5.897790181067334E-2</v>
      </c>
      <c r="AB263" s="2"/>
      <c r="AC263" s="14">
        <f t="shared" si="67"/>
        <v>-11153.760000000017</v>
      </c>
      <c r="AD263" s="15">
        <f>IFERROR(AC263/AC444, "NA")</f>
        <v>-0.28073559644887303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2680.62</v>
      </c>
      <c r="C265" s="8">
        <f>IFERROR(B265/B444, "NA")</f>
        <v>2.573925881742594E-2</v>
      </c>
      <c r="D265" s="9"/>
      <c r="E265" s="7">
        <v>3190.38</v>
      </c>
      <c r="F265" s="8">
        <f>IFERROR(E265/E444, "NA")</f>
        <v>2.5999983701011354E-2</v>
      </c>
      <c r="G265" s="9"/>
      <c r="H265" s="10">
        <f>IFERROR(-(B265-E265), "NA")</f>
        <v>509.76000000000022</v>
      </c>
      <c r="I265" s="8">
        <f>IFERROR(H265/H444, "NA")</f>
        <v>-2.7462839022703082E-2</v>
      </c>
      <c r="J265" s="9"/>
      <c r="K265" s="7">
        <v>2701.35</v>
      </c>
      <c r="L265" s="8">
        <f>IFERROR(K265/K444, "NA")</f>
        <v>2.388581706718932E-2</v>
      </c>
      <c r="M265" s="9"/>
      <c r="N265" s="10">
        <f>IFERROR(-(B265-K265), "NA")</f>
        <v>20.730000000000018</v>
      </c>
      <c r="O265" s="8">
        <f>IFERROR(N265/N444, "NA")</f>
        <v>-2.3164288779231957E-3</v>
      </c>
      <c r="P265" s="9"/>
      <c r="Q265" s="7">
        <v>24073.9</v>
      </c>
      <c r="R265" s="8">
        <f>IFERROR(Q265/Q444, "NA")</f>
        <v>2.4226448860922973E-2</v>
      </c>
      <c r="S265" s="9"/>
      <c r="T265" s="7">
        <v>28189.53</v>
      </c>
      <c r="U265" s="8">
        <f>IFERROR(T265/T444, "NA")</f>
        <v>2.6118247458797615E-2</v>
      </c>
      <c r="V265" s="9"/>
      <c r="W265" s="10">
        <f>IFERROR(-(Q265-T265), "NA")</f>
        <v>4115.6299999999974</v>
      </c>
      <c r="X265" s="8">
        <f>IFERROR(W265/W444, "NA")</f>
        <v>-4.8079323529923647E-2</v>
      </c>
      <c r="Y265" s="9"/>
      <c r="Z265" s="7">
        <v>24776.16</v>
      </c>
      <c r="AA265" s="8">
        <f>IFERROR(Z265/Z444, "NA")</f>
        <v>2.5971560004655479E-2</v>
      </c>
      <c r="AB265" s="9"/>
      <c r="AC265" s="10">
        <f>IFERROR(-(Q265-Z265), "NA")</f>
        <v>702.2599999999984</v>
      </c>
      <c r="AD265" s="8">
        <f>IFERROR(AC265/AC444, "NA")</f>
        <v>1.7675598180540451E-2</v>
      </c>
    </row>
    <row r="266" spans="1:30" ht="16.5" customHeight="1" x14ac:dyDescent="0.45">
      <c r="A266" s="6" t="s">
        <v>242</v>
      </c>
      <c r="B266" s="7">
        <v>30.54</v>
      </c>
      <c r="C266" s="8">
        <f>IFERROR(B266/B444, "NA")</f>
        <v>2.932444599697787E-4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-30.54</v>
      </c>
      <c r="I266" s="8">
        <f>IFERROR(H266/H444, "NA")</f>
        <v>1.6453136843874601E-3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-30.54</v>
      </c>
      <c r="O266" s="8">
        <f>IFERROR(N266/N444, "NA")</f>
        <v>3.4126260459128961E-3</v>
      </c>
      <c r="P266" s="9"/>
      <c r="Q266" s="7">
        <v>30.54</v>
      </c>
      <c r="R266" s="8">
        <f>IFERROR(Q266/Q444, "NA")</f>
        <v>3.0733522537378139E-5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-30.54</v>
      </c>
      <c r="X266" s="8">
        <f>IFERROR(W266/W444, "NA")</f>
        <v>3.5677224157756383E-4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-30.54</v>
      </c>
      <c r="AD266" s="8">
        <f>IFERROR(AC266/AC444, "NA")</f>
        <v>-7.6867936153804373E-4</v>
      </c>
    </row>
    <row r="267" spans="1:30" ht="16.5" customHeight="1" x14ac:dyDescent="0.45">
      <c r="A267" s="19" t="s">
        <v>243</v>
      </c>
      <c r="B267" s="14">
        <f>IFERROR(B265+B266, "NA")</f>
        <v>2711.16</v>
      </c>
      <c r="C267" s="15">
        <f>IFERROR(B267/B444, "NA")</f>
        <v>2.6032503277395719E-2</v>
      </c>
      <c r="D267" s="2"/>
      <c r="E267" s="14">
        <f>IFERROR(E265+E266, "NA")</f>
        <v>3190.38</v>
      </c>
      <c r="F267" s="15">
        <f>IFERROR(E267/E444, "NA")</f>
        <v>2.5999983701011354E-2</v>
      </c>
      <c r="G267" s="2"/>
      <c r="H267" s="14">
        <f>IFERROR(-(B267-E267), "NA")</f>
        <v>479.22000000000025</v>
      </c>
      <c r="I267" s="15">
        <f>IFERROR(H267/H444, "NA")</f>
        <v>-2.5817525338315623E-2</v>
      </c>
      <c r="J267" s="2"/>
      <c r="K267" s="14">
        <f>IFERROR(K265+K266, "NA")</f>
        <v>2701.35</v>
      </c>
      <c r="L267" s="15">
        <f>IFERROR(K267/K444, "NA")</f>
        <v>2.388581706718932E-2</v>
      </c>
      <c r="M267" s="2"/>
      <c r="N267" s="14">
        <f>IFERROR(-(B267-K267), "NA")</f>
        <v>-9.8099999999999454</v>
      </c>
      <c r="O267" s="15">
        <f>IFERROR(N267/N444, "NA")</f>
        <v>1.0961971679896963E-3</v>
      </c>
      <c r="P267" s="2"/>
      <c r="Q267" s="14">
        <f>IFERROR(Q265+Q266, "NA")</f>
        <v>24104.440000000002</v>
      </c>
      <c r="R267" s="15">
        <f>IFERROR(Q267/Q444, "NA")</f>
        <v>2.4257182383460352E-2</v>
      </c>
      <c r="S267" s="2"/>
      <c r="T267" s="14">
        <f>IFERROR(T265+T266, "NA")</f>
        <v>28189.53</v>
      </c>
      <c r="U267" s="15">
        <f>IFERROR(T267/T444, "NA")</f>
        <v>2.6118247458797615E-2</v>
      </c>
      <c r="V267" s="2"/>
      <c r="W267" s="14">
        <f>IFERROR(-(Q267-T267), "NA")</f>
        <v>4085.0899999999965</v>
      </c>
      <c r="X267" s="15">
        <f>IFERROR(W267/W444, "NA")</f>
        <v>-4.7722551288346071E-2</v>
      </c>
      <c r="Y267" s="2"/>
      <c r="Z267" s="14">
        <f>IFERROR(Z265+Z266, "NA")</f>
        <v>24776.16</v>
      </c>
      <c r="AA267" s="15">
        <f>IFERROR(Z267/Z444, "NA")</f>
        <v>2.5971560004655479E-2</v>
      </c>
      <c r="AB267" s="2"/>
      <c r="AC267" s="14">
        <f>IFERROR(-(Q267-Z267), "NA")</f>
        <v>671.71999999999753</v>
      </c>
      <c r="AD267" s="15">
        <f>IFERROR(AC267/AC444, "NA")</f>
        <v>1.6906918819002383E-2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2.956641588536158E-3</v>
      </c>
      <c r="D270" s="9"/>
      <c r="E270" s="7">
        <v>175.61</v>
      </c>
      <c r="F270" s="8">
        <f>IFERROR(E270/E444, "NA")</f>
        <v>1.4311326982160758E-3</v>
      </c>
      <c r="G270" s="9"/>
      <c r="H270" s="10">
        <f>IFERROR(-(B270-E270), "NA")</f>
        <v>-132.31</v>
      </c>
      <c r="I270" s="8">
        <f>IFERROR(H270/H444, "NA")</f>
        <v>7.128076410651764E-3</v>
      </c>
      <c r="J270" s="9"/>
      <c r="K270" s="7">
        <v>352</v>
      </c>
      <c r="L270" s="8">
        <f>IFERROR(K270/K444, "NA")</f>
        <v>3.1124465943512102E-3</v>
      </c>
      <c r="M270" s="9"/>
      <c r="N270" s="10">
        <f>IFERROR(-(B270-K270), "NA")</f>
        <v>44.079999999999984</v>
      </c>
      <c r="O270" s="8">
        <f>IFERROR(N270/N444, "NA")</f>
        <v>-4.9256239719659596E-3</v>
      </c>
      <c r="P270" s="9"/>
      <c r="Q270" s="7">
        <v>3633.67</v>
      </c>
      <c r="R270" s="8">
        <f>IFERROR(Q270/Q444, "NA")</f>
        <v>3.65669544330042E-3</v>
      </c>
      <c r="S270" s="9"/>
      <c r="T270" s="7">
        <v>1798.36</v>
      </c>
      <c r="U270" s="8">
        <f>IFERROR(T270/T444, "NA")</f>
        <v>1.6662218738660516E-3</v>
      </c>
      <c r="V270" s="9"/>
      <c r="W270" s="10">
        <f>IFERROR(-(Q270-T270), "NA")</f>
        <v>-1835.3100000000002</v>
      </c>
      <c r="X270" s="8">
        <f>IFERROR(W270/W444, "NA")</f>
        <v>2.1440329492132246E-2</v>
      </c>
      <c r="Y270" s="9"/>
      <c r="Z270" s="7">
        <v>3131.5</v>
      </c>
      <c r="AA270" s="8">
        <f>IFERROR(Z270/Z444, "NA")</f>
        <v>3.28258859139506E-3</v>
      </c>
      <c r="AB270" s="9"/>
      <c r="AC270" s="10">
        <f>IFERROR(-(Q270-Z270), "NA")</f>
        <v>-502.17000000000007</v>
      </c>
      <c r="AD270" s="8">
        <f>IFERROR(AC270/AC444, "NA")</f>
        <v>-1.2639414374052372E-2</v>
      </c>
    </row>
    <row r="271" spans="1:30" ht="16.5" customHeight="1" x14ac:dyDescent="0.45">
      <c r="A271" s="6" t="s">
        <v>246</v>
      </c>
      <c r="B271" s="7">
        <v>905.41</v>
      </c>
      <c r="C271" s="8">
        <f>IFERROR(B271/B444, "NA")</f>
        <v>8.6937284381544636E-3</v>
      </c>
      <c r="D271" s="9"/>
      <c r="E271" s="7">
        <v>736.24</v>
      </c>
      <c r="F271" s="8">
        <f>IFERROR(E271/E444, "NA")</f>
        <v>5.9999837010113527E-3</v>
      </c>
      <c r="G271" s="9"/>
      <c r="H271" s="10">
        <f>IFERROR(-(B271-E271), "NA")</f>
        <v>-169.16999999999996</v>
      </c>
      <c r="I271" s="8">
        <f>IFERROR(H271/H444, "NA")</f>
        <v>9.1138741318869208E-3</v>
      </c>
      <c r="J271" s="9"/>
      <c r="K271" s="7">
        <v>223</v>
      </c>
      <c r="L271" s="8">
        <f>IFERROR(K271/K444, "NA")</f>
        <v>1.9718056549440904E-3</v>
      </c>
      <c r="M271" s="9"/>
      <c r="N271" s="10">
        <f>IFERROR(-(B271-K271), "NA")</f>
        <v>-682.41</v>
      </c>
      <c r="O271" s="8">
        <f>IFERROR(N271/N444, "NA")</f>
        <v>7.6254425016091004E-2</v>
      </c>
      <c r="P271" s="9"/>
      <c r="Q271" s="7">
        <v>9338.15</v>
      </c>
      <c r="R271" s="8">
        <f>IFERROR(Q271/Q444, "NA")</f>
        <v>9.397322969299857E-3</v>
      </c>
      <c r="S271" s="9"/>
      <c r="T271" s="7">
        <v>6475.82</v>
      </c>
      <c r="U271" s="8">
        <f>IFERROR(T271/T444, "NA")</f>
        <v>5.9999960715425467E-3</v>
      </c>
      <c r="V271" s="9"/>
      <c r="W271" s="10">
        <f>IFERROR(-(Q271-T271), "NA")</f>
        <v>-2862.33</v>
      </c>
      <c r="X271" s="8">
        <f>IFERROR(W271/W444, "NA")</f>
        <v>3.343811035477106E-2</v>
      </c>
      <c r="Y271" s="9"/>
      <c r="Z271" s="7">
        <v>6003.1</v>
      </c>
      <c r="AA271" s="8">
        <f>IFERROR(Z271/Z444, "NA")</f>
        <v>6.2927375293002352E-3</v>
      </c>
      <c r="AB271" s="9"/>
      <c r="AC271" s="10">
        <f>IFERROR(-(Q271-Z271), "NA")</f>
        <v>-3335.0499999999993</v>
      </c>
      <c r="AD271" s="8">
        <f>IFERROR(AC271/AC444, "NA")</f>
        <v>-8.3941850186557046E-2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1213.33</v>
      </c>
      <c r="C273" s="15">
        <f>IFERROR(B273/B444, "NA")</f>
        <v>1.1650370026690622E-2</v>
      </c>
      <c r="D273" s="2"/>
      <c r="E273" s="14">
        <f>IFERROR(E269+E270+E271+E272, "NA")</f>
        <v>911.85</v>
      </c>
      <c r="F273" s="15">
        <f>IFERROR(E273/E444, "NA")</f>
        <v>7.4311163992274278E-3</v>
      </c>
      <c r="G273" s="2"/>
      <c r="H273" s="14">
        <f>IFERROR(-(B273-E273), "NA")</f>
        <v>-301.4799999999999</v>
      </c>
      <c r="I273" s="15">
        <f>IFERROR(H273/H444, "NA")</f>
        <v>1.6241950542538682E-2</v>
      </c>
      <c r="J273" s="2"/>
      <c r="K273" s="14">
        <f>IFERROR(K269+K270+K271+K272, "NA")</f>
        <v>575</v>
      </c>
      <c r="L273" s="15">
        <f>IFERROR(K273/K444, "NA")</f>
        <v>5.0842522492953006E-3</v>
      </c>
      <c r="M273" s="2"/>
      <c r="N273" s="14">
        <f>IFERROR(-(B273-K273), "NA")</f>
        <v>-638.32999999999993</v>
      </c>
      <c r="O273" s="15">
        <f>IFERROR(N273/N444, "NA")</f>
        <v>7.1328801044125034E-2</v>
      </c>
      <c r="P273" s="2"/>
      <c r="Q273" s="14">
        <f>IFERROR(Q269+Q270+Q271+Q272, "NA")</f>
        <v>12971.82</v>
      </c>
      <c r="R273" s="15">
        <f>IFERROR(Q273/Q444, "NA")</f>
        <v>1.3054018412600277E-2</v>
      </c>
      <c r="S273" s="2"/>
      <c r="T273" s="14">
        <f>IFERROR(T269+T270+T271+T272, "NA")</f>
        <v>8274.18</v>
      </c>
      <c r="U273" s="15">
        <f>IFERROR(T273/T444, "NA")</f>
        <v>7.666217945408599E-3</v>
      </c>
      <c r="V273" s="2"/>
      <c r="W273" s="14">
        <f>IFERROR(-(Q273-T273), "NA")</f>
        <v>-4697.6399999999994</v>
      </c>
      <c r="X273" s="15">
        <f>IFERROR(W273/W444, "NA")</f>
        <v>5.4878439846903299E-2</v>
      </c>
      <c r="Y273" s="2"/>
      <c r="Z273" s="14">
        <f>IFERROR(Z269+Z270+Z271+Z272, "NA")</f>
        <v>9134.6</v>
      </c>
      <c r="AA273" s="15">
        <f>IFERROR(Z273/Z444, "NA")</f>
        <v>9.5753261206952961E-3</v>
      </c>
      <c r="AB273" s="2"/>
      <c r="AC273" s="14">
        <f>IFERROR(-(Q273-Z273), "NA")</f>
        <v>-3837.2199999999993</v>
      </c>
      <c r="AD273" s="15">
        <f>IFERROR(AC273/AC444, "NA")</f>
        <v>-9.658126456060942E-2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2.6974826212033541E-3</v>
      </c>
      <c r="G287" s="9"/>
      <c r="H287" s="10">
        <f t="shared" si="72"/>
        <v>331</v>
      </c>
      <c r="I287" s="8">
        <f>IFERROR(H287/H444, "NA")</f>
        <v>-1.7832312689333638E-2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3310</v>
      </c>
      <c r="U287" s="8">
        <f>IFERROR(T287/T444, "NA")</f>
        <v>3.0667910777022571E-3</v>
      </c>
      <c r="V287" s="9"/>
      <c r="W287" s="10">
        <f t="shared" si="74"/>
        <v>3310</v>
      </c>
      <c r="X287" s="8">
        <f>IFERROR(W287/W444, "NA")</f>
        <v>-3.8667849365479248E-2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1.320272208442848E-3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7.4076827636959984E-3</v>
      </c>
      <c r="J288" s="9"/>
      <c r="K288" s="7">
        <v>142.19999999999999</v>
      </c>
      <c r="L288" s="8">
        <f>IFERROR(K288/K444, "NA")</f>
        <v>1.25735768669529E-3</v>
      </c>
      <c r="M288" s="9"/>
      <c r="N288" s="10">
        <f t="shared" si="73"/>
        <v>4.6999999999999886</v>
      </c>
      <c r="O288" s="8">
        <f>IFERROR(N288/N444, "NA")</f>
        <v>-5.2519130372595199E-4</v>
      </c>
      <c r="P288" s="9"/>
      <c r="Q288" s="7">
        <v>1375</v>
      </c>
      <c r="R288" s="8">
        <f>IFERROR(Q288/Q444, "NA")</f>
        <v>1.3837129498655842E-3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-1375</v>
      </c>
      <c r="X288" s="8">
        <f>IFERROR(W288/W444, "NA")</f>
        <v>1.6062928361792739E-2</v>
      </c>
      <c r="Y288" s="9"/>
      <c r="Z288" s="7">
        <v>1351.5</v>
      </c>
      <c r="AA288" s="8">
        <f>IFERROR(Z288/Z444, "NA")</f>
        <v>1.4167071631072726E-3</v>
      </c>
      <c r="AB288" s="9"/>
      <c r="AC288" s="10">
        <f t="shared" si="75"/>
        <v>-23.5</v>
      </c>
      <c r="AD288" s="8">
        <f>IFERROR(AC288/AC444, "NA")</f>
        <v>-5.9148542881938527E-4</v>
      </c>
    </row>
    <row r="289" spans="1:30" ht="16.5" customHeight="1" x14ac:dyDescent="0.45">
      <c r="A289" s="6" t="s">
        <v>262</v>
      </c>
      <c r="B289" s="7">
        <v>233.81</v>
      </c>
      <c r="C289" s="8">
        <f>IFERROR(B289/B444, "NA")</f>
        <v>2.2450388731347073E-3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-233.81</v>
      </c>
      <c r="I289" s="8">
        <f>IFERROR(H289/H444, "NA")</f>
        <v>1.2596293141670992E-2</v>
      </c>
      <c r="J289" s="9"/>
      <c r="K289" s="7">
        <v>208.38</v>
      </c>
      <c r="L289" s="8">
        <f>IFERROR(K289/K444, "NA")</f>
        <v>1.8425330151446168E-3</v>
      </c>
      <c r="M289" s="9"/>
      <c r="N289" s="10">
        <f t="shared" si="73"/>
        <v>-25.430000000000007</v>
      </c>
      <c r="O289" s="8">
        <f>IFERROR(N289/N444, "NA")</f>
        <v>2.8416201816491475E-3</v>
      </c>
      <c r="P289" s="9"/>
      <c r="Q289" s="7">
        <v>2255.81</v>
      </c>
      <c r="R289" s="8">
        <f>IFERROR(Q289/Q444, "NA")</f>
        <v>2.2701043704991151E-3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-2255.81</v>
      </c>
      <c r="X289" s="8">
        <f>IFERROR(W289/W444, "NA")</f>
        <v>2.6352665038411403E-2</v>
      </c>
      <c r="Y289" s="9"/>
      <c r="Z289" s="7">
        <v>1995.6</v>
      </c>
      <c r="AA289" s="8">
        <f>IFERROR(Z289/Z444, "NA")</f>
        <v>2.0918836956691621E-3</v>
      </c>
      <c r="AB289" s="9"/>
      <c r="AC289" s="10">
        <f t="shared" si="75"/>
        <v>-260.21000000000004</v>
      </c>
      <c r="AD289" s="8">
        <f>IFERROR(AC289/AC444, "NA")</f>
        <v>-6.5493797205571176E-3</v>
      </c>
    </row>
    <row r="290" spans="1:30" ht="16.5" customHeight="1" x14ac:dyDescent="0.45">
      <c r="A290" s="6" t="s">
        <v>263</v>
      </c>
      <c r="B290" s="7">
        <v>-1534.76</v>
      </c>
      <c r="C290" s="8">
        <f>IFERROR(B290/B444, "NA")</f>
        <v>-1.4736734360943601E-2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1534.76</v>
      </c>
      <c r="I290" s="8">
        <f>IFERROR(H290/H444, "NA")</f>
        <v>-8.2683746897527777E-2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1534.76</v>
      </c>
      <c r="O290" s="8">
        <f>IFERROR(N290/N444, "NA")</f>
        <v>-0.17149842666094553</v>
      </c>
      <c r="P290" s="9"/>
      <c r="Q290" s="7">
        <v>9924.2800000000007</v>
      </c>
      <c r="R290" s="8">
        <f>IFERROR(Q290/Q444, "NA")</f>
        <v>9.9871670938851062E-3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-9924.2800000000007</v>
      </c>
      <c r="X290" s="8">
        <f>IFERROR(W290/W444, "NA")</f>
        <v>0.1159367263144527</v>
      </c>
      <c r="Y290" s="9"/>
      <c r="Z290" s="7">
        <v>6762.18</v>
      </c>
      <c r="AA290" s="8">
        <f>IFERROR(Z290/Z444, "NA")</f>
        <v>7.0884416161455686E-3</v>
      </c>
      <c r="AB290" s="9"/>
      <c r="AC290" s="10">
        <f t="shared" si="75"/>
        <v>-3162.1000000000004</v>
      </c>
      <c r="AD290" s="8">
        <f>IFERROR(AC290/AC444, "NA")</f>
        <v>-7.9588769126373554E-2</v>
      </c>
    </row>
    <row r="291" spans="1:30" ht="16.5" customHeight="1" x14ac:dyDescent="0.45">
      <c r="A291" s="6" t="s">
        <v>264</v>
      </c>
      <c r="B291" s="7">
        <v>2006</v>
      </c>
      <c r="C291" s="8">
        <f>IFERROR(B291/B444, "NA")</f>
        <v>1.9261571273718931E-2</v>
      </c>
      <c r="D291" s="9"/>
      <c r="E291" s="7">
        <v>1472.48</v>
      </c>
      <c r="F291" s="8">
        <f>IFERROR(E291/E444, "NA")</f>
        <v>1.1999967402022705E-2</v>
      </c>
      <c r="G291" s="9"/>
      <c r="H291" s="10">
        <f t="shared" si="72"/>
        <v>-533.52</v>
      </c>
      <c r="I291" s="8">
        <f>IFERROR(H291/H444, "NA")</f>
        <v>2.8742886604269737E-2</v>
      </c>
      <c r="J291" s="9"/>
      <c r="K291" s="7">
        <v>244.95</v>
      </c>
      <c r="L291" s="8">
        <f>IFERROR(K291/K444, "NA")</f>
        <v>2.1658914581997981E-3</v>
      </c>
      <c r="M291" s="9"/>
      <c r="N291" s="10">
        <f t="shared" si="73"/>
        <v>-1761.05</v>
      </c>
      <c r="O291" s="8">
        <f>IFERROR(N291/N444, "NA")</f>
        <v>0.19678471179289148</v>
      </c>
      <c r="P291" s="9"/>
      <c r="Q291" s="7">
        <v>17857.22</v>
      </c>
      <c r="R291" s="8">
        <f>IFERROR(Q291/Q444, "NA")</f>
        <v>1.7970375681889968E-2</v>
      </c>
      <c r="S291" s="9"/>
      <c r="T291" s="7">
        <v>12951.64</v>
      </c>
      <c r="U291" s="8">
        <f>IFERROR(T291/T444, "NA")</f>
        <v>1.1999992143085093E-2</v>
      </c>
      <c r="V291" s="9"/>
      <c r="W291" s="10">
        <f t="shared" si="74"/>
        <v>-4905.5800000000017</v>
      </c>
      <c r="X291" s="8">
        <f>IFERROR(W291/W444, "NA")</f>
        <v>5.7307621900395095E-2</v>
      </c>
      <c r="Y291" s="9"/>
      <c r="Z291" s="7">
        <v>4450.4399999999996</v>
      </c>
      <c r="AA291" s="8">
        <f>IFERROR(Z291/Z444, "NA")</f>
        <v>4.665164799836574E-3</v>
      </c>
      <c r="AB291" s="9"/>
      <c r="AC291" s="10">
        <f t="shared" si="75"/>
        <v>-13406.780000000002</v>
      </c>
      <c r="AD291" s="8">
        <f>IFERROR(AC291/AC444, "NA")</f>
        <v>-0.33744319222924085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2647.1</v>
      </c>
      <c r="R292" s="8">
        <f>IFERROR(Q292/Q444, "NA")</f>
        <v>2.6638738542466818E-3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-2647.1</v>
      </c>
      <c r="X292" s="8">
        <f>IFERROR(W292/W444, "NA")</f>
        <v>3.0923765575637498E-2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-2647.1</v>
      </c>
      <c r="AD292" s="8">
        <f>IFERROR(AC292/AC444, "NA")</f>
        <v>-6.6626428877778504E-2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1398.84</v>
      </c>
      <c r="R293" s="8">
        <f>IFERROR(Q293/Q444, "NA")</f>
        <v>1.4077040165745263E-3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1.6341430334261931E-2</v>
      </c>
      <c r="Y293" s="9"/>
      <c r="Z293" s="7">
        <v>1091.2</v>
      </c>
      <c r="AA293" s="8">
        <f>IFERROR(Z293/Z444, "NA")</f>
        <v>1.1438482104200191E-3</v>
      </c>
      <c r="AB293" s="9"/>
      <c r="AC293" s="10">
        <f t="shared" si="75"/>
        <v>-307.63999999999987</v>
      </c>
      <c r="AD293" s="8">
        <f>IFERROR(AC293/AC444, "NA")</f>
        <v>-7.7431735030636436E-3</v>
      </c>
    </row>
    <row r="294" spans="1:30" ht="16.5" customHeight="1" x14ac:dyDescent="0.45">
      <c r="A294" s="6" t="s">
        <v>267</v>
      </c>
      <c r="B294" s="7">
        <v>312.49</v>
      </c>
      <c r="C294" s="8">
        <f>IFERROR(B294/B444, "NA")</f>
        <v>3.0005226357549494E-3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-312.49</v>
      </c>
      <c r="I294" s="8">
        <f>IFERROR(H294/H444, "NA")</f>
        <v>1.6835103904199001E-2</v>
      </c>
      <c r="J294" s="9"/>
      <c r="K294" s="7">
        <v>324.99</v>
      </c>
      <c r="L294" s="8">
        <f>IFERROR(K294/K444, "NA")</f>
        <v>2.8736193713017038E-3</v>
      </c>
      <c r="M294" s="9"/>
      <c r="N294" s="10">
        <f t="shared" si="73"/>
        <v>12.5</v>
      </c>
      <c r="O294" s="8">
        <f>IFERROR(N294/N444, "NA")</f>
        <v>-1.3967853822498756E-3</v>
      </c>
      <c r="P294" s="9"/>
      <c r="Q294" s="7">
        <v>3759.4</v>
      </c>
      <c r="R294" s="8">
        <f>IFERROR(Q294/Q444, "NA")</f>
        <v>3.783222155436129E-3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-3759.4</v>
      </c>
      <c r="X294" s="8">
        <f>IFERROR(W294/W444, "NA")</f>
        <v>4.3917798460599004E-2</v>
      </c>
      <c r="Y294" s="9"/>
      <c r="Z294" s="7">
        <v>808.97</v>
      </c>
      <c r="AA294" s="8">
        <f>IFERROR(Z294/Z444, "NA")</f>
        <v>8.4800117923706272E-4</v>
      </c>
      <c r="AB294" s="9"/>
      <c r="AC294" s="10">
        <f t="shared" si="75"/>
        <v>-2950.4300000000003</v>
      </c>
      <c r="AD294" s="8">
        <f>IFERROR(AC294/AC444, "NA")</f>
        <v>-7.4261121436237407E-2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1155.04</v>
      </c>
      <c r="C295" s="15">
        <f>IFERROR(B295/B444, "NA")</f>
        <v>1.1090670630107833E-2</v>
      </c>
      <c r="D295" s="2"/>
      <c r="E295" s="14">
        <f>IFERROR(E286+E287+E288+E289+E290+E291+E292+E293+E294, "NA")</f>
        <v>1803.48</v>
      </c>
      <c r="F295" s="15">
        <f>IFERROR(E295/E444, "NA")</f>
        <v>1.4697450023226059E-2</v>
      </c>
      <c r="G295" s="2"/>
      <c r="H295" s="14">
        <f t="shared" si="72"/>
        <v>648.44000000000005</v>
      </c>
      <c r="I295" s="15">
        <f>IFERROR(H295/H444, "NA")</f>
        <v>-3.4934093173025697E-2</v>
      </c>
      <c r="J295" s="2"/>
      <c r="K295" s="14">
        <f>IFERROR(K286+K287+K288+K289+K290+K291+K292+K293+K294, "NA")</f>
        <v>920.52</v>
      </c>
      <c r="L295" s="15">
        <f>IFERROR(K295/K444, "NA")</f>
        <v>8.1394015313414093E-3</v>
      </c>
      <c r="M295" s="2"/>
      <c r="N295" s="14">
        <f t="shared" si="73"/>
        <v>-234.51999999999998</v>
      </c>
      <c r="O295" s="15">
        <f>IFERROR(N295/N444, "NA")</f>
        <v>2.6205928627619262E-2</v>
      </c>
      <c r="P295" s="2"/>
      <c r="Q295" s="14">
        <f>IFERROR(Q286+Q287+Q288+Q289+Q290+Q291+Q292+Q293+Q294, "NA")</f>
        <v>39217.65</v>
      </c>
      <c r="R295" s="15">
        <f>IFERROR(Q295/Q444, "NA")</f>
        <v>3.9466160122397113E-2</v>
      </c>
      <c r="S295" s="2"/>
      <c r="T295" s="14">
        <f>IFERROR(T286+T287+T288+T289+T290+T291+T292+T293+T294, "NA")</f>
        <v>16261.64</v>
      </c>
      <c r="U295" s="15">
        <f>IFERROR(T295/T444, "NA")</f>
        <v>1.506678322078735E-2</v>
      </c>
      <c r="V295" s="2"/>
      <c r="W295" s="14">
        <f t="shared" si="74"/>
        <v>-22956.010000000002</v>
      </c>
      <c r="X295" s="15">
        <f>IFERROR(W295/W444, "NA")</f>
        <v>0.26817508662007111</v>
      </c>
      <c r="Y295" s="2"/>
      <c r="Z295" s="14">
        <f>IFERROR(Z286+Z287+Z288+Z289+Z290+Z291+Z292+Z293+Z294, "NA")</f>
        <v>16459.890000000003</v>
      </c>
      <c r="AA295" s="15">
        <f>IFERROR(Z295/Z444, "NA")</f>
        <v>1.7254046664415663E-2</v>
      </c>
      <c r="AB295" s="2"/>
      <c r="AC295" s="14">
        <f t="shared" si="75"/>
        <v>-22757.759999999998</v>
      </c>
      <c r="AD295" s="15">
        <f>IFERROR(AC295/AC444, "NA")</f>
        <v>-0.57280355032207031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1595.19</v>
      </c>
      <c r="F297" s="8">
        <f>IFERROR(E297/E444, "NA")</f>
        <v>1.2999991850505677E-2</v>
      </c>
      <c r="G297" s="9"/>
      <c r="H297" s="10">
        <f t="shared" ref="H297:H325" si="76">IFERROR(-(B297-E297), "NA")</f>
        <v>1595.19</v>
      </c>
      <c r="I297" s="8">
        <f>IFERROR(H297/H444, "NA")</f>
        <v>-8.5939356129601602E-2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14030.95</v>
      </c>
      <c r="U297" s="8">
        <f>IFERROR(T297/T444, "NA")</f>
        <v>1.2999997665162079E-2</v>
      </c>
      <c r="V297" s="9"/>
      <c r="W297" s="10">
        <f t="shared" ref="W297:W325" si="78">IFERROR(-(Q297-T297), "NA")</f>
        <v>14030.95</v>
      </c>
      <c r="X297" s="8">
        <f>IFERROR(W297/W444, "NA")</f>
        <v>-0.16391137796210609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150</v>
      </c>
      <c r="C299" s="8">
        <f>IFERROR(B299/B444, "NA")</f>
        <v>1.440296954664925E-3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-150</v>
      </c>
      <c r="I299" s="8">
        <f>IFERROR(H299/H444, "NA")</f>
        <v>8.0811084694865434E-3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-150</v>
      </c>
      <c r="O299" s="8">
        <f>IFERROR(N299/N444, "NA")</f>
        <v>1.6761424586998506E-2</v>
      </c>
      <c r="P299" s="9"/>
      <c r="Q299" s="7">
        <v>561.65</v>
      </c>
      <c r="R299" s="8">
        <f>IFERROR(Q299/Q444, "NA")</f>
        <v>5.6520900239418565E-4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-561.65</v>
      </c>
      <c r="X299" s="8">
        <f>IFERROR(W299/W444, "NA")</f>
        <v>6.5612681559279211E-3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-561.65</v>
      </c>
      <c r="AD299" s="8">
        <f>IFERROR(AC299/AC444, "NA")</f>
        <v>-1.4136501748783307E-2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100</v>
      </c>
      <c r="L304" s="8">
        <f>IFERROR(K304/K444, "NA")</f>
        <v>8.8421778248613922E-4</v>
      </c>
      <c r="M304" s="9"/>
      <c r="N304" s="10">
        <f t="shared" si="77"/>
        <v>100</v>
      </c>
      <c r="O304" s="8">
        <f>IFERROR(N304/N444, "NA")</f>
        <v>-1.1174283057999005E-2</v>
      </c>
      <c r="P304" s="9"/>
      <c r="Q304" s="7">
        <v>268.25</v>
      </c>
      <c r="R304" s="8">
        <f>IFERROR(Q304/Q444, "NA")</f>
        <v>2.6994981731014032E-4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3.1337312967642927E-3</v>
      </c>
      <c r="Y304" s="9"/>
      <c r="Z304" s="7">
        <v>174.68</v>
      </c>
      <c r="AA304" s="8">
        <f>IFERROR(Z304/Z444, "NA")</f>
        <v>1.8310795949062403E-4</v>
      </c>
      <c r="AB304" s="9"/>
      <c r="AC304" s="10">
        <f t="shared" si="79"/>
        <v>-93.57</v>
      </c>
      <c r="AD304" s="8">
        <f>IFERROR(AC304/AC444, "NA")</f>
        <v>-2.3551187904097821E-3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356.26</v>
      </c>
      <c r="R305" s="8">
        <f>IFERROR(Q305/Q444, "NA")</f>
        <v>3.5851750946844582E-4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-356.26</v>
      </c>
      <c r="X305" s="8">
        <f>IFERROR(W305/W444, "NA")</f>
        <v>4.1618755332162045E-3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-356.26</v>
      </c>
      <c r="AD305" s="8">
        <f>IFERROR(AC305/AC444, "NA")</f>
        <v>-8.9669191009018809E-3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27.19</v>
      </c>
      <c r="C310" s="8">
        <f>IFERROR(B310/B444, "NA")</f>
        <v>2.6107782798226209E-4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-27.19</v>
      </c>
      <c r="I310" s="8">
        <f>IFERROR(H310/H444, "NA")</f>
        <v>1.4648355952355942E-3</v>
      </c>
      <c r="J310" s="9"/>
      <c r="K310" s="7">
        <v>20.68</v>
      </c>
      <c r="L310" s="8">
        <f>IFERROR(K310/K444, "NA")</f>
        <v>1.8285623741813359E-4</v>
      </c>
      <c r="M310" s="9"/>
      <c r="N310" s="10">
        <f t="shared" si="77"/>
        <v>-6.5100000000000016</v>
      </c>
      <c r="O310" s="8">
        <f>IFERROR(N310/N444, "NA")</f>
        <v>7.2744582707573533E-4</v>
      </c>
      <c r="P310" s="9"/>
      <c r="Q310" s="7">
        <v>350.99</v>
      </c>
      <c r="R310" s="8">
        <f>IFERROR(Q310/Q444, "NA")</f>
        <v>3.5321411510787009E-4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-350.99</v>
      </c>
      <c r="X310" s="8">
        <f>IFERROR(W310/W444, "NA")</f>
        <v>4.1003107096040971E-3</v>
      </c>
      <c r="Y310" s="9"/>
      <c r="Z310" s="7">
        <v>729.23</v>
      </c>
      <c r="AA310" s="8">
        <f>IFERROR(Z310/Z444, "NA")</f>
        <v>7.6441388424174355E-4</v>
      </c>
      <c r="AB310" s="9"/>
      <c r="AC310" s="10">
        <f t="shared" si="79"/>
        <v>378.24</v>
      </c>
      <c r="AD310" s="8">
        <f>IFERROR(AC310/AC444, "NA")</f>
        <v>9.5201467487933747E-3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6.1004130196983058E-5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7.0817070348500066E-4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-1.5257807104268569E-3</v>
      </c>
    </row>
    <row r="312" spans="1:30" ht="16.5" customHeight="1" x14ac:dyDescent="0.45">
      <c r="A312" s="6" t="s">
        <v>284</v>
      </c>
      <c r="B312" s="7">
        <v>129.35</v>
      </c>
      <c r="C312" s="8">
        <f>IFERROR(B312/B444, "NA")</f>
        <v>1.2420160739060537E-3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-129.35</v>
      </c>
      <c r="I312" s="8">
        <f>IFERROR(H312/H444, "NA")</f>
        <v>6.9686092035205621E-3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-129.35</v>
      </c>
      <c r="O312" s="8">
        <f>IFERROR(N312/N444, "NA")</f>
        <v>1.4453935135521711E-2</v>
      </c>
      <c r="P312" s="9"/>
      <c r="Q312" s="7">
        <v>2074.62</v>
      </c>
      <c r="R312" s="8">
        <f>IFERROR(Q312/Q444, "NA")</f>
        <v>2.0877662254910096E-3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-2074.62</v>
      </c>
      <c r="X312" s="8">
        <f>IFERROR(W312/W444, "NA")</f>
        <v>2.4235979954867239E-2</v>
      </c>
      <c r="Y312" s="9"/>
      <c r="Z312" s="7">
        <v>146.1</v>
      </c>
      <c r="AA312" s="8">
        <f>IFERROR(Z312/Z444, "NA")</f>
        <v>1.5314903183867739E-4</v>
      </c>
      <c r="AB312" s="9"/>
      <c r="AC312" s="10">
        <f t="shared" si="79"/>
        <v>-1928.52</v>
      </c>
      <c r="AD312" s="8">
        <f>IFERROR(AC312/AC444, "NA")</f>
        <v>-4.8540062944117487E-2</v>
      </c>
    </row>
    <row r="313" spans="1:30" ht="16.5" customHeight="1" x14ac:dyDescent="0.45">
      <c r="A313" s="6" t="s">
        <v>285</v>
      </c>
      <c r="B313" s="7">
        <v>20</v>
      </c>
      <c r="C313" s="8">
        <f>IFERROR(B313/B444, "NA")</f>
        <v>1.9203959395532332E-4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-20</v>
      </c>
      <c r="I313" s="8">
        <f>IFERROR(H313/H444, "NA")</f>
        <v>1.0774811292648724E-3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-20</v>
      </c>
      <c r="O313" s="8">
        <f>IFERROR(N313/N444, "NA")</f>
        <v>2.2348566115998011E-3</v>
      </c>
      <c r="P313" s="9"/>
      <c r="Q313" s="7">
        <v>87</v>
      </c>
      <c r="R313" s="8">
        <f>IFERROR(Q313/Q444, "NA")</f>
        <v>8.7551292100586058E-5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-87</v>
      </c>
      <c r="X313" s="8">
        <f>IFERROR(W313/W444, "NA")</f>
        <v>1.016345285437068E-3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-87</v>
      </c>
      <c r="AD313" s="8">
        <f>IFERROR(AC313/AC444, "NA")</f>
        <v>-2.1897545662675115E-3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3.9182798552674395E-3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-408.07</v>
      </c>
      <c r="I315" s="8">
        <f>IFERROR(H315/H444, "NA")</f>
        <v>2.1984386220955825E-2</v>
      </c>
      <c r="J315" s="9"/>
      <c r="K315" s="7">
        <v>455.52</v>
      </c>
      <c r="L315" s="8">
        <f>IFERROR(K315/K444, "NA")</f>
        <v>4.0277888427808616E-3</v>
      </c>
      <c r="M315" s="9"/>
      <c r="N315" s="10">
        <f t="shared" si="77"/>
        <v>47.449999999999989</v>
      </c>
      <c r="O315" s="8">
        <f>IFERROR(N315/N444, "NA")</f>
        <v>-5.302197311020526E-3</v>
      </c>
      <c r="P315" s="9"/>
      <c r="Q315" s="7">
        <v>4412.93</v>
      </c>
      <c r="R315" s="8">
        <f>IFERROR(Q315/Q444, "NA")</f>
        <v>4.4408933729820597E-3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-4412.93</v>
      </c>
      <c r="X315" s="8">
        <f>IFERROR(W315/W444, "NA")</f>
        <v>5.1552420694986209E-2</v>
      </c>
      <c r="Y315" s="9"/>
      <c r="Z315" s="7">
        <v>5604.65</v>
      </c>
      <c r="AA315" s="8">
        <f>IFERROR(Z315/Z444, "NA")</f>
        <v>5.8750631163219935E-3</v>
      </c>
      <c r="AB315" s="9"/>
      <c r="AC315" s="10">
        <f t="shared" si="79"/>
        <v>1191.7199999999993</v>
      </c>
      <c r="AD315" s="8">
        <f>IFERROR(AC315/AC444, "NA")</f>
        <v>2.9995107031176062E-2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3.9807887430998974E-3</v>
      </c>
      <c r="D318" s="9"/>
      <c r="E318" s="7">
        <v>415</v>
      </c>
      <c r="F318" s="8">
        <f>IFERROR(E318/E444, "NA")</f>
        <v>3.3820401444090396E-3</v>
      </c>
      <c r="G318" s="9"/>
      <c r="H318" s="10">
        <f t="shared" si="76"/>
        <v>0.42000000000001592</v>
      </c>
      <c r="I318" s="8">
        <f>IFERROR(H318/H444, "NA")</f>
        <v>-2.2627103714563178E-5</v>
      </c>
      <c r="J318" s="9"/>
      <c r="K318" s="7">
        <v>414.58</v>
      </c>
      <c r="L318" s="8">
        <f>IFERROR(K318/K444, "NA")</f>
        <v>3.6657900826310361E-3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4145.8</v>
      </c>
      <c r="R318" s="8">
        <f>IFERROR(Q318/Q444, "NA")</f>
        <v>4.1720706527656288E-3</v>
      </c>
      <c r="S318" s="9"/>
      <c r="T318" s="7">
        <v>4150</v>
      </c>
      <c r="U318" s="8">
        <f>IFERROR(T318/T444, "NA")</f>
        <v>3.8450703844303221E-3</v>
      </c>
      <c r="V318" s="9"/>
      <c r="W318" s="10">
        <f t="shared" si="78"/>
        <v>4.1999999999998181</v>
      </c>
      <c r="X318" s="8">
        <f>IFERROR(W318/W444, "NA")</f>
        <v>-4.9064944814201149E-5</v>
      </c>
      <c r="Y318" s="9"/>
      <c r="Z318" s="7">
        <v>4145.8</v>
      </c>
      <c r="AA318" s="8">
        <f>IFERROR(Z318/Z444, "NA")</f>
        <v>4.345826531121073E-3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308.56</v>
      </c>
      <c r="C319" s="8">
        <f>IFERROR(B319/B444, "NA")</f>
        <v>2.9627868555427285E-3</v>
      </c>
      <c r="D319" s="9"/>
      <c r="E319" s="7">
        <v>249</v>
      </c>
      <c r="F319" s="8">
        <f>IFERROR(E319/E444, "NA")</f>
        <v>2.0292240866454235E-3</v>
      </c>
      <c r="G319" s="9"/>
      <c r="H319" s="10">
        <f t="shared" si="76"/>
        <v>-59.56</v>
      </c>
      <c r="I319" s="8">
        <f>IFERROR(H319/H444, "NA")</f>
        <v>3.2087388029507905E-3</v>
      </c>
      <c r="J319" s="9"/>
      <c r="K319" s="7">
        <v>249.03</v>
      </c>
      <c r="L319" s="8">
        <f>IFERROR(K319/K444, "NA")</f>
        <v>2.2019675437252324E-3</v>
      </c>
      <c r="M319" s="9"/>
      <c r="N319" s="10">
        <f t="shared" si="77"/>
        <v>-59.53</v>
      </c>
      <c r="O319" s="8">
        <f>IFERROR(N319/N444, "NA")</f>
        <v>6.6520507044268073E-3</v>
      </c>
      <c r="P319" s="9"/>
      <c r="Q319" s="7">
        <v>2863.67</v>
      </c>
      <c r="R319" s="8">
        <f>IFERROR(Q319/Q444, "NA")</f>
        <v>2.8818161913756928E-3</v>
      </c>
      <c r="S319" s="9"/>
      <c r="T319" s="7">
        <v>2490</v>
      </c>
      <c r="U319" s="8">
        <f>IFERROR(T319/T444, "NA")</f>
        <v>2.3070422306581935E-3</v>
      </c>
      <c r="V319" s="9"/>
      <c r="W319" s="10">
        <f t="shared" si="78"/>
        <v>-373.67000000000007</v>
      </c>
      <c r="X319" s="8">
        <f>IFERROR(W319/W444, "NA")</f>
        <v>4.3652614116007956E-3</v>
      </c>
      <c r="Y319" s="9"/>
      <c r="Z319" s="7">
        <v>2344.6999999999998</v>
      </c>
      <c r="AA319" s="8">
        <f>IFERROR(Z319/Z444, "NA")</f>
        <v>2.4578270701721208E-3</v>
      </c>
      <c r="AB319" s="9"/>
      <c r="AC319" s="10">
        <f t="shared" si="79"/>
        <v>-518.97000000000025</v>
      </c>
      <c r="AD319" s="8">
        <f>IFERROR(AC319/AC444, "NA")</f>
        <v>-1.3062263531676449E-2</v>
      </c>
    </row>
    <row r="320" spans="1:30" ht="16.5" customHeight="1" x14ac:dyDescent="0.45">
      <c r="A320" s="6" t="s">
        <v>292</v>
      </c>
      <c r="B320" s="7">
        <v>1148.27</v>
      </c>
      <c r="C320" s="8">
        <f>IFERROR(B320/B444, "NA")</f>
        <v>1.1025665227553955E-2</v>
      </c>
      <c r="D320" s="9"/>
      <c r="E320" s="7">
        <v>878</v>
      </c>
      <c r="F320" s="8">
        <f>IFERROR(E320/E444, "NA")</f>
        <v>7.1552560163641848E-3</v>
      </c>
      <c r="G320" s="9"/>
      <c r="H320" s="10">
        <f t="shared" si="76"/>
        <v>-270.27</v>
      </c>
      <c r="I320" s="8">
        <f>IFERROR(H320/H444, "NA")</f>
        <v>1.4560541240320853E-2</v>
      </c>
      <c r="J320" s="9"/>
      <c r="K320" s="7">
        <v>678.92</v>
      </c>
      <c r="L320" s="8">
        <f>IFERROR(K320/K444, "NA")</f>
        <v>6.0031313688548964E-3</v>
      </c>
      <c r="M320" s="9"/>
      <c r="N320" s="10">
        <f t="shared" si="77"/>
        <v>-469.35</v>
      </c>
      <c r="O320" s="8">
        <f>IFERROR(N320/N444, "NA")</f>
        <v>5.2446497532718329E-2</v>
      </c>
      <c r="P320" s="9"/>
      <c r="Q320" s="7">
        <v>11879.98</v>
      </c>
      <c r="R320" s="8">
        <f>IFERROR(Q320/Q444, "NA")</f>
        <v>1.1955259760104831E-2</v>
      </c>
      <c r="S320" s="9"/>
      <c r="T320" s="7">
        <v>8780</v>
      </c>
      <c r="U320" s="8">
        <f>IFERROR(T320/T444, "NA")</f>
        <v>8.1348718012766823E-3</v>
      </c>
      <c r="V320" s="9"/>
      <c r="W320" s="10">
        <f t="shared" si="78"/>
        <v>-3099.9799999999996</v>
      </c>
      <c r="X320" s="8">
        <f>IFERROR(W320/W444, "NA")</f>
        <v>3.6214368482174727E-2</v>
      </c>
      <c r="Y320" s="9"/>
      <c r="Z320" s="7">
        <v>8117.12</v>
      </c>
      <c r="AA320" s="8">
        <f>IFERROR(Z320/Z444, "NA")</f>
        <v>8.5087547523502068E-3</v>
      </c>
      <c r="AB320" s="9"/>
      <c r="AC320" s="10">
        <f t="shared" si="79"/>
        <v>-3762.8599999999997</v>
      </c>
      <c r="AD320" s="8">
        <f>IFERROR(AC320/AC444, "NA")</f>
        <v>-9.4709653646268599E-2</v>
      </c>
    </row>
    <row r="321" spans="1:30" ht="16.5" customHeight="1" x14ac:dyDescent="0.45">
      <c r="A321" s="6" t="s">
        <v>293</v>
      </c>
      <c r="B321" s="7">
        <v>1094.74</v>
      </c>
      <c r="C321" s="8">
        <f>IFERROR(B321/B444, "NA")</f>
        <v>1.0511671254332533E-2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-1094.74</v>
      </c>
      <c r="I321" s="8">
        <f>IFERROR(H321/H444, "NA")</f>
        <v>5.8978084572571324E-2</v>
      </c>
      <c r="J321" s="9"/>
      <c r="K321" s="7">
        <v>2917.14</v>
      </c>
      <c r="L321" s="8">
        <f>IFERROR(K321/K444, "NA")</f>
        <v>2.579387062001616E-2</v>
      </c>
      <c r="M321" s="9"/>
      <c r="N321" s="10">
        <f t="shared" si="77"/>
        <v>1822.3999999999999</v>
      </c>
      <c r="O321" s="8">
        <f>IFERROR(N321/N444, "NA")</f>
        <v>-0.20364013444897383</v>
      </c>
      <c r="P321" s="9"/>
      <c r="Q321" s="7">
        <v>15698.48</v>
      </c>
      <c r="R321" s="8">
        <f>IFERROR(Q321/Q444, "NA")</f>
        <v>1.579795641396791E-2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-15698.48</v>
      </c>
      <c r="X321" s="8">
        <f>IFERROR(W321/W444, "NA")</f>
        <v>0.18339167973020806</v>
      </c>
      <c r="Y321" s="9"/>
      <c r="Z321" s="7">
        <v>20443.490000000002</v>
      </c>
      <c r="AA321" s="8">
        <f>IFERROR(Z321/Z444, "NA")</f>
        <v>2.1429847371003993E-2</v>
      </c>
      <c r="AB321" s="9"/>
      <c r="AC321" s="10">
        <f t="shared" si="79"/>
        <v>4745.010000000002</v>
      </c>
      <c r="AD321" s="8">
        <f>IFERROR(AC321/AC444, "NA")</f>
        <v>0.11942996913201161</v>
      </c>
    </row>
    <row r="322" spans="1:30" ht="16.5" customHeight="1" x14ac:dyDescent="0.45">
      <c r="A322" s="6" t="s">
        <v>294</v>
      </c>
      <c r="B322" s="7">
        <v>302.16000000000003</v>
      </c>
      <c r="C322" s="8">
        <f>IFERROR(B322/B444, "NA")</f>
        <v>2.901334185477025E-3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-302.16000000000003</v>
      </c>
      <c r="I322" s="8">
        <f>IFERROR(H322/H444, "NA")</f>
        <v>1.6278584900933694E-2</v>
      </c>
      <c r="J322" s="9"/>
      <c r="K322" s="7">
        <v>349.72</v>
      </c>
      <c r="L322" s="8">
        <f>IFERROR(K322/K444, "NA")</f>
        <v>3.0922864289105265E-3</v>
      </c>
      <c r="M322" s="9"/>
      <c r="N322" s="10">
        <f t="shared" si="77"/>
        <v>47.56</v>
      </c>
      <c r="O322" s="8">
        <f>IFERROR(N322/N444, "NA")</f>
        <v>-5.3144890223843265E-3</v>
      </c>
      <c r="P322" s="9"/>
      <c r="Q322" s="7">
        <v>3647.89</v>
      </c>
      <c r="R322" s="8">
        <f>IFERROR(Q322/Q444, "NA")</f>
        <v>3.6710055510437568E-3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-3647.89</v>
      </c>
      <c r="X322" s="8">
        <f>IFERROR(W322/W444, "NA")</f>
        <v>4.26151241757819E-2</v>
      </c>
      <c r="Y322" s="9"/>
      <c r="Z322" s="7">
        <v>3566.17</v>
      </c>
      <c r="AA322" s="8">
        <f>IFERROR(Z322/Z444, "NA")</f>
        <v>3.7382305466949774E-3</v>
      </c>
      <c r="AB322" s="9"/>
      <c r="AC322" s="10">
        <f t="shared" si="79"/>
        <v>-81.7199999999998</v>
      </c>
      <c r="AD322" s="8">
        <f>IFERROR(AC322/AC444, "NA")</f>
        <v>-2.0568591167285126E-3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4002.9199999999992</v>
      </c>
      <c r="C324" s="15">
        <f>IFERROR(B324/B444, "NA")</f>
        <v>3.8435956571782136E-2</v>
      </c>
      <c r="D324" s="2"/>
      <c r="E324" s="14">
        <f>IFERROR(E297+E298+E299+E300+E301+E302+E303+E304+E305+E306+E307+E308+E309+E310+E311+E312+E313+E314+E315+E316+E317+E318+E319+E320+E321+E322+E323, "NA")</f>
        <v>3137.19</v>
      </c>
      <c r="F324" s="15">
        <f>IFERROR(E324/E444, "NA")</f>
        <v>2.5566512097924324E-2</v>
      </c>
      <c r="G324" s="2"/>
      <c r="H324" s="14">
        <f t="shared" si="76"/>
        <v>-865.72999999999911</v>
      </c>
      <c r="I324" s="15">
        <f>IFERROR(H324/H444, "NA")</f>
        <v>4.6640386901923854E-2</v>
      </c>
      <c r="J324" s="2"/>
      <c r="K324" s="14">
        <f>IFERROR(K297+K298+K299+K300+K301+K302+K303+K304+K305+K306+K307+K308+K309+K310+K311+K312+K313+K314+K315+K316+K317+K318+K319+K320+K321+K322+K323, "NA")</f>
        <v>5185.59</v>
      </c>
      <c r="L324" s="15">
        <f>IFERROR(K324/K444, "NA")</f>
        <v>4.5851908906822988E-2</v>
      </c>
      <c r="M324" s="2"/>
      <c r="N324" s="14">
        <f t="shared" si="77"/>
        <v>1182.670000000001</v>
      </c>
      <c r="O324" s="15">
        <f>IFERROR(N324/N444, "NA")</f>
        <v>-0.13215489344203693</v>
      </c>
      <c r="P324" s="2"/>
      <c r="Q324" s="14">
        <f>IFERROR(Q297+Q298+Q299+Q300+Q301+Q302+Q303+Q304+Q305+Q306+Q307+Q308+Q309+Q310+Q311+Q312+Q313+Q314+Q315+Q316+Q317+Q318+Q319+Q320+Q321+Q322+Q323, "NA")</f>
        <v>46408.14</v>
      </c>
      <c r="R324" s="15">
        <f>IFERROR(Q324/Q444, "NA")</f>
        <v>4.6702214034309096E-2</v>
      </c>
      <c r="S324" s="2"/>
      <c r="T324" s="14">
        <f>IFERROR(T297+T298+T299+T300+T301+T302+T303+T304+T305+T306+T307+T308+T309+T310+T311+T312+T313+T314+T315+T316+T317+T318+T319+T320+T321+T322+T323, "NA")</f>
        <v>29450.95</v>
      </c>
      <c r="U324" s="15">
        <f>IFERROR(T324/T444, "NA")</f>
        <v>2.7286982081527276E-2</v>
      </c>
      <c r="V324" s="2"/>
      <c r="W324" s="14">
        <f t="shared" si="78"/>
        <v>-16957.189999999999</v>
      </c>
      <c r="X324" s="15">
        <f>IFERROR(W324/W444, "NA")</f>
        <v>0.19809609322713323</v>
      </c>
      <c r="Y324" s="2"/>
      <c r="Z324" s="14">
        <f>IFERROR(Z297+Z298+Z299+Z300+Z301+Z302+Z303+Z304+Z305+Z306+Z307+Z308+Z309+Z310+Z311+Z312+Z313+Z314+Z315+Z316+Z317+Z318+Z319+Z320+Z321+Z322+Z323, "NA")</f>
        <v>45271.94</v>
      </c>
      <c r="AA324" s="15">
        <f>IFERROR(Z324/Z444, "NA")</f>
        <v>4.7456220263235413E-2</v>
      </c>
      <c r="AB324" s="2"/>
      <c r="AC324" s="14">
        <f t="shared" si="79"/>
        <v>-1136.1999999999971</v>
      </c>
      <c r="AD324" s="15">
        <f>IFERROR(AC324/AC444, "NA")</f>
        <v>-2.8597691243599312E-2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27298.020000000004</v>
      </c>
      <c r="C325" s="15">
        <f>IFERROR(B325/B444, "NA")</f>
        <v>0.26211503382921481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26425.03</v>
      </c>
      <c r="F325" s="15">
        <f>IFERROR(E325/E444, "NA")</f>
        <v>0.2153506319932848</v>
      </c>
      <c r="G325" s="2"/>
      <c r="H325" s="14">
        <f t="shared" si="76"/>
        <v>-872.99000000000524</v>
      </c>
      <c r="I325" s="15">
        <f>IFERROR(H325/H444, "NA")</f>
        <v>4.7031512551847336E-2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33974.750000000007</v>
      </c>
      <c r="L325" s="15">
        <f>IFERROR(K325/K444, "NA")</f>
        <v>0.30041078105520963</v>
      </c>
      <c r="M325" s="2"/>
      <c r="N325" s="14">
        <f t="shared" si="77"/>
        <v>6676.7300000000032</v>
      </c>
      <c r="O325" s="15">
        <f>IFERROR(N325/N444, "NA")</f>
        <v>-0.74607670921833735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279445.64</v>
      </c>
      <c r="R325" s="15">
        <f>IFERROR(Q325/Q444, "NA")</f>
        <v>0.28121640061925535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226842.23999999999</v>
      </c>
      <c r="U325" s="15">
        <f>IFERROR(T325/T444, "NA")</f>
        <v>0.21017454914743022</v>
      </c>
      <c r="V325" s="2"/>
      <c r="W325" s="14">
        <f t="shared" si="78"/>
        <v>-52603.400000000023</v>
      </c>
      <c r="X325" s="15">
        <f>IFERROR(W325/W444, "NA")</f>
        <v>0.61451974239034801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234350.39</v>
      </c>
      <c r="AA325" s="15">
        <f>IFERROR(Z325/Z444, "NA")</f>
        <v>0.24565732607471916</v>
      </c>
      <c r="AB325" s="2"/>
      <c r="AC325" s="14">
        <f t="shared" si="79"/>
        <v>-45095.25</v>
      </c>
      <c r="AD325" s="15">
        <f>IFERROR(AC325/AC444, "NA")</f>
        <v>-1.1350290759135058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0.10986508354346465</v>
      </c>
      <c r="D329" s="9"/>
      <c r="E329" s="7">
        <v>10560</v>
      </c>
      <c r="F329" s="8">
        <f>IFERROR(E329/E444, "NA")</f>
        <v>8.6058660060143274E-2</v>
      </c>
      <c r="G329" s="9"/>
      <c r="H329" s="10">
        <f t="shared" si="80"/>
        <v>-881.92000000000007</v>
      </c>
      <c r="I329" s="8">
        <f>IFERROR(H329/H444, "NA")</f>
        <v>4.7512607876063817E-2</v>
      </c>
      <c r="J329" s="9"/>
      <c r="K329" s="7">
        <v>4125.3</v>
      </c>
      <c r="L329" s="8">
        <f>IFERROR(K329/K444, "NA")</f>
        <v>3.6476636180900704E-2</v>
      </c>
      <c r="M329" s="9"/>
      <c r="N329" s="10">
        <f t="shared" si="81"/>
        <v>-7316.62</v>
      </c>
      <c r="O329" s="8">
        <f>IFERROR(N329/N444, "NA")</f>
        <v>0.81757982907816673</v>
      </c>
      <c r="P329" s="9"/>
      <c r="Q329" s="7">
        <v>95273.05</v>
      </c>
      <c r="R329" s="8">
        <f>IFERROR(Q329/Q444, "NA")</f>
        <v>9.5876765860502755E-2</v>
      </c>
      <c r="S329" s="9"/>
      <c r="T329" s="7">
        <v>94385</v>
      </c>
      <c r="U329" s="8">
        <f>IFERROR(T329/T444, "NA")</f>
        <v>8.7449871863724327E-2</v>
      </c>
      <c r="V329" s="9"/>
      <c r="W329" s="10">
        <f t="shared" si="82"/>
        <v>-888.05000000000291</v>
      </c>
      <c r="X329" s="8">
        <f>IFERROR(W329/W444, "NA")</f>
        <v>1.037431529577461E-2</v>
      </c>
      <c r="Y329" s="9"/>
      <c r="Z329" s="7">
        <v>41253</v>
      </c>
      <c r="AA329" s="8">
        <f>IFERROR(Z329/Z444, "NA")</f>
        <v>4.3243374472559611E-2</v>
      </c>
      <c r="AB329" s="9"/>
      <c r="AC329" s="10">
        <f t="shared" si="83"/>
        <v>-54020.05</v>
      </c>
      <c r="AD329" s="8">
        <f>IFERROR(AC329/AC444, "NA")</f>
        <v>-1.3596626569827506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9.8557600211781268E-3</v>
      </c>
      <c r="D330" s="9"/>
      <c r="E330" s="7">
        <v>1117</v>
      </c>
      <c r="F330" s="8">
        <f>IFERROR(E330/E444, "NA")</f>
        <v>9.1029851597708364E-3</v>
      </c>
      <c r="G330" s="9"/>
      <c r="H330" s="10">
        <f t="shared" si="80"/>
        <v>90.569999999999936</v>
      </c>
      <c r="I330" s="8">
        <f>IFERROR(H330/H444, "NA")</f>
        <v>-4.8793732938759715E-3</v>
      </c>
      <c r="J330" s="9"/>
      <c r="K330" s="7">
        <v>1117.48</v>
      </c>
      <c r="L330" s="8">
        <f>IFERROR(K330/K444, "NA")</f>
        <v>9.8809568757261095E-3</v>
      </c>
      <c r="M330" s="9"/>
      <c r="N330" s="10">
        <f t="shared" si="81"/>
        <v>91.049999999999955</v>
      </c>
      <c r="O330" s="8">
        <f>IFERROR(N330/N444, "NA")</f>
        <v>-1.0174184724308089E-2</v>
      </c>
      <c r="P330" s="9"/>
      <c r="Q330" s="7">
        <v>8054.6</v>
      </c>
      <c r="R330" s="8">
        <f>IFERROR(Q330/Q444, "NA")</f>
        <v>8.1056395098089706E-3</v>
      </c>
      <c r="S330" s="9"/>
      <c r="T330" s="7">
        <v>11170</v>
      </c>
      <c r="U330" s="8">
        <f>IFERROR(T330/T444, "NA")</f>
        <v>1.0349261733514867E-2</v>
      </c>
      <c r="V330" s="9"/>
      <c r="W330" s="10">
        <f t="shared" si="82"/>
        <v>3115.3999999999996</v>
      </c>
      <c r="X330" s="8">
        <f>IFERROR(W330/W444, "NA")</f>
        <v>-3.639450692242116E-2</v>
      </c>
      <c r="Y330" s="9"/>
      <c r="Z330" s="7">
        <v>10202.08</v>
      </c>
      <c r="AA330" s="8">
        <f>IFERROR(Z330/Z444, "NA")</f>
        <v>1.069430988871139E-2</v>
      </c>
      <c r="AB330" s="9"/>
      <c r="AC330" s="10">
        <f t="shared" si="83"/>
        <v>2147.4799999999996</v>
      </c>
      <c r="AD330" s="8">
        <f>IFERROR(AC330/AC444, "NA")</f>
        <v>5.4051196965151205E-2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8.2592388568305461E-3</v>
      </c>
      <c r="D333" s="9"/>
      <c r="E333" s="7">
        <v>726</v>
      </c>
      <c r="F333" s="8">
        <f>IFERROR(E333/E444, "NA")</f>
        <v>5.9165328791348495E-3</v>
      </c>
      <c r="G333" s="9"/>
      <c r="H333" s="10">
        <f t="shared" si="80"/>
        <v>-134.15999999999997</v>
      </c>
      <c r="I333" s="8">
        <f>IFERROR(H333/H444, "NA")</f>
        <v>7.2277434151087625E-3</v>
      </c>
      <c r="J333" s="9"/>
      <c r="K333" s="7">
        <v>726.35</v>
      </c>
      <c r="L333" s="8">
        <f>IFERROR(K333/K444, "NA")</f>
        <v>6.4225158630880725E-3</v>
      </c>
      <c r="M333" s="9"/>
      <c r="N333" s="10">
        <f t="shared" si="81"/>
        <v>-133.80999999999995</v>
      </c>
      <c r="O333" s="8">
        <f>IFERROR(N333/N444, "NA")</f>
        <v>1.4952308159908462E-2</v>
      </c>
      <c r="P333" s="9"/>
      <c r="Q333" s="7">
        <v>9890.6299999999992</v>
      </c>
      <c r="R333" s="8">
        <f>IFERROR(Q333/Q444, "NA")</f>
        <v>9.9533038642393035E-3</v>
      </c>
      <c r="S333" s="9"/>
      <c r="T333" s="7">
        <v>7260</v>
      </c>
      <c r="U333" s="8">
        <f>IFERROR(T333/T444, "NA")</f>
        <v>6.726556865292564E-3</v>
      </c>
      <c r="V333" s="9"/>
      <c r="W333" s="10">
        <f t="shared" si="82"/>
        <v>-2630.6299999999992</v>
      </c>
      <c r="X333" s="8">
        <f>IFERROR(W333/W444, "NA")</f>
        <v>3.0731360899187508E-2</v>
      </c>
      <c r="Y333" s="9"/>
      <c r="Z333" s="7">
        <v>7054.17</v>
      </c>
      <c r="AA333" s="8">
        <f>IFERROR(Z333/Z444, "NA")</f>
        <v>7.3945195477443052E-3</v>
      </c>
      <c r="AB333" s="9"/>
      <c r="AC333" s="10">
        <f t="shared" si="83"/>
        <v>-2836.4599999999991</v>
      </c>
      <c r="AD333" s="8">
        <f>IFERROR(AC333/AC444, "NA")</f>
        <v>-7.1392542954426944E-2</v>
      </c>
    </row>
    <row r="334" spans="1:30" ht="16.5" customHeight="1" x14ac:dyDescent="0.45">
      <c r="A334" s="6" t="s">
        <v>305</v>
      </c>
      <c r="B334" s="7">
        <v>-881.03</v>
      </c>
      <c r="C334" s="8">
        <f>IFERROR(B334/B444, "NA")</f>
        <v>-8.4596321731229256E-3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881.03</v>
      </c>
      <c r="I334" s="8">
        <f>IFERROR(H334/H444, "NA")</f>
        <v>-4.7464659965811527E-2</v>
      </c>
      <c r="J334" s="9"/>
      <c r="K334" s="7">
        <v>-317.64999999999998</v>
      </c>
      <c r="L334" s="8">
        <f>IFERROR(K334/K444, "NA")</f>
        <v>-2.8087177860672209E-3</v>
      </c>
      <c r="M334" s="9"/>
      <c r="N334" s="10">
        <f t="shared" si="81"/>
        <v>563.38</v>
      </c>
      <c r="O334" s="8">
        <f>IFERROR(N334/N444, "NA")</f>
        <v>-6.2953675892154795E-2</v>
      </c>
      <c r="P334" s="9"/>
      <c r="Q334" s="7">
        <v>-881.03</v>
      </c>
      <c r="R334" s="8">
        <f>IFERROR(Q334/Q444, "NA")</f>
        <v>-8.8661281470550949E-4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881.03</v>
      </c>
      <c r="X334" s="8">
        <f>IFERROR(W334/W444, "NA")</f>
        <v>-1.029230674515655E-2</v>
      </c>
      <c r="Y334" s="9"/>
      <c r="Z334" s="7">
        <v>-317.64999999999998</v>
      </c>
      <c r="AA334" s="8">
        <f>IFERROR(Z334/Z444, "NA")</f>
        <v>-3.3297597510989648E-4</v>
      </c>
      <c r="AB334" s="9"/>
      <c r="AC334" s="10">
        <f t="shared" si="83"/>
        <v>563.38</v>
      </c>
      <c r="AD334" s="8">
        <f>IFERROR(AC334/AC444, "NA")</f>
        <v>1.4180045144181502E-2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1851.87</v>
      </c>
      <c r="F337" s="8">
        <f>IFERROR(E337/E444, "NA")</f>
        <v>1.5091804053558476E-2</v>
      </c>
      <c r="G337" s="9"/>
      <c r="H337" s="10">
        <f t="shared" ref="H337:H344" si="84">IFERROR(-(B337-E337), "NA")</f>
        <v>1851.87</v>
      </c>
      <c r="I337" s="8">
        <f>IFERROR(H337/H444, "NA")</f>
        <v>-9.976774894258697E-2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21111.41</v>
      </c>
      <c r="U337" s="8">
        <f>IFERROR(T337/T444, "NA")</f>
        <v>1.9560206593871362E-2</v>
      </c>
      <c r="V337" s="9"/>
      <c r="W337" s="10">
        <f t="shared" ref="W337:W344" si="86">IFERROR(-(Q337-T337), "NA")</f>
        <v>21111.41</v>
      </c>
      <c r="X337" s="8">
        <f>IFERROR(W337/W444, "NA")</f>
        <v>-0.24662623014286172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1346.2</v>
      </c>
      <c r="C338" s="8">
        <f>IFERROR(B338/B444, "NA")</f>
        <v>1.2926185069132814E-2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-1346.2</v>
      </c>
      <c r="I338" s="8">
        <f>IFERROR(H338/H444, "NA")</f>
        <v>7.2525254810818562E-2</v>
      </c>
      <c r="J338" s="9"/>
      <c r="K338" s="7">
        <v>1115.95</v>
      </c>
      <c r="L338" s="8">
        <f>IFERROR(K338/K444, "NA")</f>
        <v>9.8674283436540715E-3</v>
      </c>
      <c r="M338" s="9"/>
      <c r="N338" s="10">
        <f t="shared" si="85"/>
        <v>-230.25</v>
      </c>
      <c r="O338" s="8">
        <f>IFERROR(N338/N444, "NA")</f>
        <v>2.5728786741042706E-2</v>
      </c>
      <c r="P338" s="9"/>
      <c r="Q338" s="7">
        <v>12270.46</v>
      </c>
      <c r="R338" s="8">
        <f>IFERROR(Q338/Q444, "NA")</f>
        <v>1.234821411113284E-2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-12270.46</v>
      </c>
      <c r="X338" s="8">
        <f>IFERROR(W338/W444, "NA")</f>
        <v>0.1433451054154497</v>
      </c>
      <c r="Y338" s="9"/>
      <c r="Z338" s="7">
        <v>11993.55</v>
      </c>
      <c r="AA338" s="8">
        <f>IFERROR(Z338/Z444, "NA")</f>
        <v>1.2572214721483704E-2</v>
      </c>
      <c r="AB338" s="9"/>
      <c r="AC338" s="10">
        <f t="shared" si="87"/>
        <v>-276.90999999999985</v>
      </c>
      <c r="AD338" s="8">
        <f>IFERROR(AC338/AC444, "NA")</f>
        <v>-6.9697119189096124E-3</v>
      </c>
    </row>
    <row r="339" spans="1:30" ht="16.5" customHeight="1" x14ac:dyDescent="0.45">
      <c r="A339" s="12" t="s">
        <v>309</v>
      </c>
      <c r="B339" s="7">
        <v>288.95</v>
      </c>
      <c r="C339" s="8">
        <f>IFERROR(B339/B444, "NA")</f>
        <v>2.7744920336695337E-3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-288.95</v>
      </c>
      <c r="I339" s="8">
        <f>IFERROR(H339/H444, "NA")</f>
        <v>1.5566908615054244E-2</v>
      </c>
      <c r="J339" s="9"/>
      <c r="K339" s="7">
        <v>312.51</v>
      </c>
      <c r="L339" s="8">
        <f>IFERROR(K339/K444, "NA")</f>
        <v>2.7632689920474335E-3</v>
      </c>
      <c r="M339" s="9"/>
      <c r="N339" s="10">
        <f t="shared" si="85"/>
        <v>23.560000000000002</v>
      </c>
      <c r="O339" s="8">
        <f>IFERROR(N339/N444, "NA")</f>
        <v>-2.6326610884645656E-3</v>
      </c>
      <c r="P339" s="9"/>
      <c r="Q339" s="7">
        <v>4340.18</v>
      </c>
      <c r="R339" s="8">
        <f>IFERROR(Q339/Q444, "NA")</f>
        <v>4.3676823787255356E-3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-4340.18</v>
      </c>
      <c r="X339" s="8">
        <f>IFERROR(W339/W444, "NA")</f>
        <v>5.0702545758025901E-2</v>
      </c>
      <c r="Y339" s="9"/>
      <c r="Z339" s="7">
        <v>3795.47</v>
      </c>
      <c r="AA339" s="8">
        <f>IFERROR(Z339/Z444, "NA")</f>
        <v>3.978593811586207E-3</v>
      </c>
      <c r="AB339" s="9"/>
      <c r="AC339" s="10">
        <f t="shared" si="87"/>
        <v>-544.71000000000049</v>
      </c>
      <c r="AD339" s="8">
        <f>IFERROR(AC339/AC444, "NA")</f>
        <v>-1.371012884817905E-2</v>
      </c>
    </row>
    <row r="340" spans="1:30" ht="16.5" customHeight="1" x14ac:dyDescent="0.45">
      <c r="A340" s="12" t="s">
        <v>310</v>
      </c>
      <c r="B340" s="7">
        <v>230.63</v>
      </c>
      <c r="C340" s="8">
        <f>IFERROR(B340/B444, "NA")</f>
        <v>2.2145045776958108E-3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-230.63</v>
      </c>
      <c r="I340" s="8">
        <f>IFERROR(H340/H444, "NA")</f>
        <v>1.2424973642117877E-2</v>
      </c>
      <c r="J340" s="9"/>
      <c r="K340" s="7">
        <v>360</v>
      </c>
      <c r="L340" s="8">
        <f>IFERROR(K340/K444, "NA")</f>
        <v>3.1831840169501014E-3</v>
      </c>
      <c r="M340" s="9"/>
      <c r="N340" s="10">
        <f t="shared" si="85"/>
        <v>129.37</v>
      </c>
      <c r="O340" s="8">
        <f>IFERROR(N340/N444, "NA")</f>
        <v>-1.4456169992133313E-2</v>
      </c>
      <c r="P340" s="9"/>
      <c r="Q340" s="7">
        <v>3898.54</v>
      </c>
      <c r="R340" s="8">
        <f>IFERROR(Q340/Q444, "NA")</f>
        <v>3.9232438425956181E-3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-3898.54</v>
      </c>
      <c r="X340" s="8">
        <f>IFERROR(W340/W444, "NA")</f>
        <v>4.5543249989515248E-2</v>
      </c>
      <c r="Y340" s="9"/>
      <c r="Z340" s="7">
        <v>3424.82</v>
      </c>
      <c r="AA340" s="8">
        <f>IFERROR(Z340/Z444, "NA")</f>
        <v>3.5900606928250456E-3</v>
      </c>
      <c r="AB340" s="9"/>
      <c r="AC340" s="10">
        <f t="shared" si="87"/>
        <v>-473.7199999999998</v>
      </c>
      <c r="AD340" s="8">
        <f>IFERROR(AC340/AC444, "NA")</f>
        <v>-1.1923339461290174E-2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1865.7800000000002</v>
      </c>
      <c r="C342" s="15">
        <f>IFERROR(B342/B444, "NA")</f>
        <v>1.791518168049816E-2</v>
      </c>
      <c r="D342" s="2"/>
      <c r="E342" s="14">
        <f>IFERROR(E337+E338+E339+E340+E341, "NA")</f>
        <v>1851.87</v>
      </c>
      <c r="F342" s="15">
        <f>IFERROR(E342/E444, "NA")</f>
        <v>1.5091804053558476E-2</v>
      </c>
      <c r="G342" s="2"/>
      <c r="H342" s="14">
        <f t="shared" si="84"/>
        <v>-13.910000000000309</v>
      </c>
      <c r="I342" s="15">
        <f>IFERROR(H342/H444, "NA")</f>
        <v>7.4938812540373549E-4</v>
      </c>
      <c r="J342" s="2"/>
      <c r="K342" s="14">
        <f>IFERROR(K337+K338+K339+K340+K341, "NA")</f>
        <v>1788.46</v>
      </c>
      <c r="L342" s="15">
        <f>IFERROR(K342/K444, "NA")</f>
        <v>1.5813881352651608E-2</v>
      </c>
      <c r="M342" s="2"/>
      <c r="N342" s="14">
        <f t="shared" si="85"/>
        <v>-77.320000000000164</v>
      </c>
      <c r="O342" s="15">
        <f>IFERROR(N342/N444, "NA")</f>
        <v>8.6399556604448494E-3</v>
      </c>
      <c r="P342" s="2"/>
      <c r="Q342" s="14">
        <f>IFERROR(Q337+Q338+Q339+Q340+Q341, "NA")</f>
        <v>20509.18</v>
      </c>
      <c r="R342" s="15">
        <f>IFERROR(Q342/Q444, "NA")</f>
        <v>2.0639140332453995E-2</v>
      </c>
      <c r="S342" s="2"/>
      <c r="T342" s="14">
        <f>IFERROR(T337+T338+T339+T340+T341, "NA")</f>
        <v>21111.41</v>
      </c>
      <c r="U342" s="15">
        <f>IFERROR(T342/T444, "NA")</f>
        <v>1.9560206593871362E-2</v>
      </c>
      <c r="V342" s="2"/>
      <c r="W342" s="14">
        <f t="shared" si="86"/>
        <v>602.22999999999956</v>
      </c>
      <c r="X342" s="15">
        <f>IFERROR(W342/W444, "NA")</f>
        <v>-7.0353289798708619E-3</v>
      </c>
      <c r="Y342" s="2"/>
      <c r="Z342" s="14">
        <f>IFERROR(Z337+Z338+Z339+Z340+Z341, "NA")</f>
        <v>19213.84</v>
      </c>
      <c r="AA342" s="15">
        <f>IFERROR(Z342/Z444, "NA")</f>
        <v>2.0140869225894958E-2</v>
      </c>
      <c r="AB342" s="2"/>
      <c r="AC342" s="14">
        <f t="shared" si="87"/>
        <v>-1295.3400000000001</v>
      </c>
      <c r="AD342" s="15">
        <f>IFERROR(AC342/AC444, "NA")</f>
        <v>-3.2603180228378832E-2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14313.26</v>
      </c>
      <c r="C343" s="15">
        <f>IFERROR(B343/B444, "NA")</f>
        <v>0.13743563192884856</v>
      </c>
      <c r="D343" s="2"/>
      <c r="E343" s="14">
        <f>IFERROR(E328+E329+E330+E331+E332+E333+E334+E335+E337+E338+E339+E340+E341, "NA")</f>
        <v>14254.869999999999</v>
      </c>
      <c r="F343" s="15">
        <f>IFERROR(E343/E444, "NA")</f>
        <v>0.11616998215260742</v>
      </c>
      <c r="G343" s="2"/>
      <c r="H343" s="14">
        <f t="shared" si="84"/>
        <v>-58.390000000001237</v>
      </c>
      <c r="I343" s="15">
        <f>IFERROR(H343/H444, "NA")</f>
        <v>3.145706156888862E-3</v>
      </c>
      <c r="J343" s="2"/>
      <c r="K343" s="14">
        <f>IFERROR(K328+K329+K330+K331+K332+K333+K334+K335+K337+K338+K339+K340+K341, "NA")</f>
        <v>7439.9400000000014</v>
      </c>
      <c r="L343" s="15">
        <f>IFERROR(K343/K444, "NA")</f>
        <v>6.5785272486299284E-2</v>
      </c>
      <c r="M343" s="2"/>
      <c r="N343" s="14">
        <f t="shared" si="85"/>
        <v>-6873.3199999999988</v>
      </c>
      <c r="O343" s="15">
        <f>IFERROR(N343/N444, "NA")</f>
        <v>0.76804423228205709</v>
      </c>
      <c r="P343" s="2"/>
      <c r="Q343" s="14">
        <f>IFERROR(Q328+Q329+Q330+Q331+Q332+Q333+Q334+Q335+Q337+Q338+Q339+Q340+Q341, "NA")</f>
        <v>132846.43000000002</v>
      </c>
      <c r="R343" s="15">
        <f>IFERROR(Q343/Q444, "NA")</f>
        <v>0.13368823675229954</v>
      </c>
      <c r="S343" s="2"/>
      <c r="T343" s="14">
        <f>IFERROR(T328+T329+T330+T331+T332+T333+T334+T335+T337+T338+T339+T340+T341, "NA")</f>
        <v>133926.41</v>
      </c>
      <c r="U343" s="15">
        <f>IFERROR(T343/T444, "NA")</f>
        <v>0.12408589705640312</v>
      </c>
      <c r="V343" s="2"/>
      <c r="W343" s="14">
        <f t="shared" si="86"/>
        <v>1079.9799999999814</v>
      </c>
      <c r="X343" s="15">
        <f>IFERROR(W343/W444, "NA")</f>
        <v>-1.2616466452486272E-2</v>
      </c>
      <c r="Y343" s="2"/>
      <c r="Z343" s="14">
        <f>IFERROR(Z328+Z329+Z330+Z331+Z332+Z333+Z334+Z335+Z337+Z338+Z339+Z340+Z341, "NA")</f>
        <v>77405.440000000002</v>
      </c>
      <c r="AA343" s="15">
        <f>IFERROR(Z343/Z444, "NA")</f>
        <v>8.1140097159800362E-2</v>
      </c>
      <c r="AB343" s="2"/>
      <c r="AC343" s="14">
        <f t="shared" si="87"/>
        <v>-55440.99000000002</v>
      </c>
      <c r="AD343" s="15">
        <f>IFERROR(AC343/AC444, "NA")</f>
        <v>-1.395427138056224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14313.26</v>
      </c>
      <c r="C344" s="15">
        <f>IFERROR(B344/B444, "NA")</f>
        <v>0.13743563192884856</v>
      </c>
      <c r="D344" s="2"/>
      <c r="E344" s="14">
        <f>IFERROR(E328+E329+E330+E331+E332+E333+E334+E335+E337+E338+E339+E340+E341, "NA")</f>
        <v>14254.869999999999</v>
      </c>
      <c r="F344" s="15">
        <f>IFERROR(E344/E444, "NA")</f>
        <v>0.11616998215260742</v>
      </c>
      <c r="G344" s="2"/>
      <c r="H344" s="14">
        <f t="shared" si="84"/>
        <v>-58.390000000001237</v>
      </c>
      <c r="I344" s="15">
        <f>IFERROR(H344/H444, "NA")</f>
        <v>3.145706156888862E-3</v>
      </c>
      <c r="J344" s="2"/>
      <c r="K344" s="14">
        <f>IFERROR(K328+K329+K330+K331+K332+K333+K334+K335+K337+K338+K339+K340+K341, "NA")</f>
        <v>7439.9400000000014</v>
      </c>
      <c r="L344" s="15">
        <f>IFERROR(K344/K444, "NA")</f>
        <v>6.5785272486299284E-2</v>
      </c>
      <c r="M344" s="2"/>
      <c r="N344" s="14">
        <f t="shared" si="85"/>
        <v>-6873.3199999999988</v>
      </c>
      <c r="O344" s="15">
        <f>IFERROR(N344/N444, "NA")</f>
        <v>0.76804423228205709</v>
      </c>
      <c r="P344" s="2"/>
      <c r="Q344" s="14">
        <f>IFERROR(Q328+Q329+Q330+Q331+Q332+Q333+Q334+Q335+Q337+Q338+Q339+Q340+Q341, "NA")</f>
        <v>132846.43000000002</v>
      </c>
      <c r="R344" s="15">
        <f>IFERROR(Q344/Q444, "NA")</f>
        <v>0.13368823675229954</v>
      </c>
      <c r="S344" s="2"/>
      <c r="T344" s="14">
        <f>IFERROR(T328+T329+T330+T331+T332+T333+T334+T335+T337+T338+T339+T340+T341, "NA")</f>
        <v>133926.41</v>
      </c>
      <c r="U344" s="15">
        <f>IFERROR(T344/T444, "NA")</f>
        <v>0.12408589705640312</v>
      </c>
      <c r="V344" s="2"/>
      <c r="W344" s="14">
        <f t="shared" si="86"/>
        <v>1079.9799999999814</v>
      </c>
      <c r="X344" s="15">
        <f>IFERROR(W344/W444, "NA")</f>
        <v>-1.2616466452486272E-2</v>
      </c>
      <c r="Y344" s="2"/>
      <c r="Z344" s="14">
        <f>IFERROR(Z328+Z329+Z330+Z331+Z332+Z333+Z334+Z335+Z337+Z338+Z339+Z340+Z341, "NA")</f>
        <v>77405.440000000002</v>
      </c>
      <c r="AA344" s="15">
        <f>IFERROR(Z344/Z444, "NA")</f>
        <v>8.1140097159800362E-2</v>
      </c>
      <c r="AB344" s="2"/>
      <c r="AC344" s="14">
        <f t="shared" si="87"/>
        <v>-55440.99000000002</v>
      </c>
      <c r="AD344" s="15">
        <f>IFERROR(AC344/AC444, "NA")</f>
        <v>-1.395427138056224</v>
      </c>
    </row>
    <row r="345" spans="1:30" ht="16.5" customHeight="1" x14ac:dyDescent="0.45">
      <c r="A345" s="22" t="s">
        <v>315</v>
      </c>
      <c r="B345" s="23">
        <f>IFERROR(B198-B325-B344, "NA")</f>
        <v>4506.8600000000097</v>
      </c>
      <c r="C345" s="24">
        <f>IFERROR(B345/B444, "NA")</f>
        <v>4.327477822067452E-2</v>
      </c>
      <c r="D345" s="25"/>
      <c r="E345" s="23">
        <f>IFERROR(E198-E325-E344, "NA")</f>
        <v>20929.429999999989</v>
      </c>
      <c r="F345" s="24">
        <f>IFERROR(E345/E444, "NA")</f>
        <v>0.17056427098698518</v>
      </c>
      <c r="G345" s="25"/>
      <c r="H345" s="23">
        <f>IFERROR(B345-E345, "NA")</f>
        <v>-16422.569999999978</v>
      </c>
      <c r="I345" s="24">
        <f>IFERROR(H345/H444, "NA")</f>
        <v>0.8847504634515696</v>
      </c>
      <c r="J345" s="25"/>
      <c r="K345" s="23">
        <f>IFERROR(K198-K325-K344, "NA")</f>
        <v>16050.789999999994</v>
      </c>
      <c r="L345" s="24">
        <f>IFERROR(K345/K444, "NA")</f>
        <v>0.14192393940950693</v>
      </c>
      <c r="M345" s="25"/>
      <c r="N345" s="23">
        <f>IFERROR(B345-K345, "NA")</f>
        <v>-11543.929999999984</v>
      </c>
      <c r="O345" s="24">
        <f>IFERROR(N345/N444, "NA")</f>
        <v>1.2899514142172628</v>
      </c>
      <c r="P345" s="25"/>
      <c r="Q345" s="23">
        <f>IFERROR(Q198-Q325-Q344, "NA")</f>
        <v>14687.69999999975</v>
      </c>
      <c r="R345" s="24">
        <f>IFERROR(Q345/Q444, "NA")</f>
        <v>1.4780771413629377E-2</v>
      </c>
      <c r="S345" s="25"/>
      <c r="T345" s="23">
        <f>IFERROR(T198-T325-T344, "NA")</f>
        <v>148526.76999999999</v>
      </c>
      <c r="U345" s="24">
        <f>IFERROR(T345/T444, "NA")</f>
        <v>0.13761346617399856</v>
      </c>
      <c r="V345" s="25"/>
      <c r="W345" s="23">
        <f>IFERROR(Q345-T345, "NA")</f>
        <v>-133839.07000000024</v>
      </c>
      <c r="X345" s="24">
        <f>IFERROR(W345/W444, "NA")</f>
        <v>1.5635253770319766</v>
      </c>
      <c r="Y345" s="25"/>
      <c r="Z345" s="23">
        <f>IFERROR(Z198-Z325-Z344, "NA")</f>
        <v>110364.00999999983</v>
      </c>
      <c r="AA345" s="24">
        <f>IFERROR(Z345/Z444, "NA")</f>
        <v>0.11568885202829628</v>
      </c>
      <c r="AB345" s="25"/>
      <c r="AC345" s="23">
        <f>IFERROR(Q345-Z345, "NA")</f>
        <v>-95676.310000000085</v>
      </c>
      <c r="AD345" s="24">
        <f>IFERROR(AC345/AC444, "NA")</f>
        <v>-2.4081337552428295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4506.8600000000097</v>
      </c>
      <c r="C404" s="24">
        <f>IFERROR(B404/B444, "NA")</f>
        <v>4.327477822067452E-2</v>
      </c>
      <c r="D404" s="25"/>
      <c r="E404" s="23">
        <f>IFERROR(E345-E403, "NA")</f>
        <v>20929.429999999989</v>
      </c>
      <c r="F404" s="24">
        <f>IFERROR(E404/E444, "NA")</f>
        <v>0.17056427098698518</v>
      </c>
      <c r="G404" s="25"/>
      <c r="H404" s="23">
        <f>IFERROR(B404-E404, "NA")</f>
        <v>-16422.569999999978</v>
      </c>
      <c r="I404" s="24">
        <f>IFERROR(H404/H444, "NA")</f>
        <v>0.8847504634515696</v>
      </c>
      <c r="J404" s="25"/>
      <c r="K404" s="23">
        <f>IFERROR(K345-K403, "NA")</f>
        <v>16050.789999999994</v>
      </c>
      <c r="L404" s="24">
        <f>IFERROR(K404/K444, "NA")</f>
        <v>0.14192393940950693</v>
      </c>
      <c r="M404" s="25"/>
      <c r="N404" s="23">
        <f>IFERROR(B404-K404, "NA")</f>
        <v>-11543.929999999984</v>
      </c>
      <c r="O404" s="24">
        <f>IFERROR(N404/N444, "NA")</f>
        <v>1.2899514142172628</v>
      </c>
      <c r="P404" s="25"/>
      <c r="Q404" s="23">
        <f>IFERROR(Q345-Q403, "NA")</f>
        <v>14687.69999999975</v>
      </c>
      <c r="R404" s="24">
        <f>IFERROR(Q404/Q444, "NA")</f>
        <v>1.4780771413629377E-2</v>
      </c>
      <c r="S404" s="25"/>
      <c r="T404" s="23">
        <f>IFERROR(T345-T403, "NA")</f>
        <v>148526.76999999999</v>
      </c>
      <c r="U404" s="24">
        <f>IFERROR(T404/T444, "NA")</f>
        <v>0.13761346617399856</v>
      </c>
      <c r="V404" s="25"/>
      <c r="W404" s="23">
        <f>IFERROR(Q404-T404, "NA")</f>
        <v>-133839.07000000024</v>
      </c>
      <c r="X404" s="24">
        <f>IFERROR(W404/W444, "NA")</f>
        <v>1.5635253770319766</v>
      </c>
      <c r="Y404" s="25"/>
      <c r="Z404" s="23">
        <f>IFERROR(Z345-Z403, "NA")</f>
        <v>110364.00999999983</v>
      </c>
      <c r="AA404" s="24">
        <f>IFERROR(Z404/Z444, "NA")</f>
        <v>0.11568885202829628</v>
      </c>
      <c r="AB404" s="25"/>
      <c r="AC404" s="23">
        <f>IFERROR(Q404-Z404, "NA")</f>
        <v>-95676.310000000085</v>
      </c>
      <c r="AD404" s="24">
        <f>IFERROR(AC404/AC444, "NA")</f>
        <v>-2.4081337552428295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-2279.96</v>
      </c>
      <c r="L408" s="8">
        <f>IFERROR(K408/K444, "NA")</f>
        <v>-2.015981175357098E-2</v>
      </c>
      <c r="M408" s="9"/>
      <c r="N408" s="10">
        <f t="shared" si="101"/>
        <v>-2279.96</v>
      </c>
      <c r="O408" s="8">
        <f>IFERROR(N408/N444, "NA")</f>
        <v>0.2547691840091541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661.5</v>
      </c>
      <c r="AA408" s="8">
        <f>IFERROR(Z408/Z444, "NA")</f>
        <v>6.9341604764739978E-4</v>
      </c>
      <c r="AB408" s="9"/>
      <c r="AC408" s="10">
        <f t="shared" si="103"/>
        <v>661.5</v>
      </c>
      <c r="AD408" s="8">
        <f>IFERROR(AC408/AC444, "NA")</f>
        <v>1.6649685581447804E-2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3333.25</v>
      </c>
      <c r="C410" s="8">
        <f>IFERROR(B410/B444, "NA")</f>
        <v>3.2005798827579077E-2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-3333.25</v>
      </c>
      <c r="I410" s="8">
        <f>IFERROR(H410/H444, "NA")</f>
        <v>0.17957569870610682</v>
      </c>
      <c r="J410" s="9"/>
      <c r="K410" s="7">
        <v>3009.38</v>
      </c>
      <c r="L410" s="8">
        <f>IFERROR(K410/K444, "NA")</f>
        <v>2.6609473102581379E-2</v>
      </c>
      <c r="M410" s="9"/>
      <c r="N410" s="10">
        <f t="shared" si="101"/>
        <v>-323.86999999999989</v>
      </c>
      <c r="O410" s="8">
        <f>IFERROR(N410/N444, "NA")</f>
        <v>3.6190150539941367E-2</v>
      </c>
      <c r="P410" s="9"/>
      <c r="Q410" s="7">
        <v>30545.45</v>
      </c>
      <c r="R410" s="8">
        <f>IFERROR(Q410/Q444, "NA")</f>
        <v>3.0739007072343061E-2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-30545.45</v>
      </c>
      <c r="X410" s="8">
        <f>IFERROR(W410/W444, "NA")</f>
        <v>0.35683590918452512</v>
      </c>
      <c r="Y410" s="9"/>
      <c r="Z410" s="7">
        <v>54076.13</v>
      </c>
      <c r="AA410" s="8">
        <f>IFERROR(Z410/Z444, "NA")</f>
        <v>5.6685194764424761E-2</v>
      </c>
      <c r="AB410" s="9"/>
      <c r="AC410" s="10">
        <f t="shared" si="103"/>
        <v>23530.679999999997</v>
      </c>
      <c r="AD410" s="8">
        <f>IFERROR(AC410/AC444, "NA")</f>
        <v>0.59225763192390346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-28.79</v>
      </c>
      <c r="C416" s="8">
        <f>IFERROR(B416/B444, "NA")</f>
        <v>-2.7644099549868791E-4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28.79</v>
      </c>
      <c r="I416" s="8">
        <f>IFERROR(H416/H444, "NA")</f>
        <v>-1.5510340855767839E-3</v>
      </c>
      <c r="J416" s="9"/>
      <c r="K416" s="7">
        <v>-32.6</v>
      </c>
      <c r="L416" s="8">
        <f>IFERROR(K416/K444, "NA")</f>
        <v>-2.8825499709048141E-4</v>
      </c>
      <c r="M416" s="9"/>
      <c r="N416" s="10">
        <f t="shared" si="101"/>
        <v>-3.8100000000000023</v>
      </c>
      <c r="O416" s="8">
        <f>IFERROR(N416/N444, "NA")</f>
        <v>4.2574018450976231E-4</v>
      </c>
      <c r="P416" s="9"/>
      <c r="Q416" s="7">
        <v>-259.88</v>
      </c>
      <c r="R416" s="8">
        <f>IFERROR(Q416/Q444, "NA")</f>
        <v>-2.6152677920804947E-4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259.88</v>
      </c>
      <c r="X416" s="8">
        <f>IFERROR(W416/W444, "NA")</f>
        <v>-3.0359518710274163E-3</v>
      </c>
      <c r="Y416" s="9"/>
      <c r="Z416" s="7">
        <v>-309.58999999999997</v>
      </c>
      <c r="AA416" s="8">
        <f>IFERROR(Z416/Z444, "NA")</f>
        <v>-3.2452709628293043E-4</v>
      </c>
      <c r="AB416" s="9"/>
      <c r="AC416" s="10">
        <f t="shared" si="103"/>
        <v>-49.70999999999998</v>
      </c>
      <c r="AD416" s="8">
        <f>IFERROR(AC416/AC444, "NA")</f>
        <v>-1.2511804538983672E-3</v>
      </c>
    </row>
    <row r="417" spans="1:30" ht="16.5" customHeight="1" x14ac:dyDescent="0.45">
      <c r="A417" s="6" t="s">
        <v>382</v>
      </c>
      <c r="B417" s="7">
        <v>21.96</v>
      </c>
      <c r="C417" s="8">
        <f>IFERROR(B417/B444, "NA")</f>
        <v>2.1085947416294503E-4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-21.96</v>
      </c>
      <c r="I417" s="8">
        <f>IFERROR(H417/H444, "NA")</f>
        <v>1.1830742799328301E-3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-21.96</v>
      </c>
      <c r="O417" s="8">
        <f>IFERROR(N417/N444, "NA")</f>
        <v>2.4538725595365813E-3</v>
      </c>
      <c r="P417" s="9"/>
      <c r="Q417" s="7">
        <v>70.56</v>
      </c>
      <c r="R417" s="8">
        <f>IFERROR(Q417/Q444, "NA")</f>
        <v>7.1007116903647725E-5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-70.56</v>
      </c>
      <c r="X417" s="8">
        <f>IFERROR(W417/W444, "NA")</f>
        <v>8.2429107287861514E-4</v>
      </c>
      <c r="Y417" s="9"/>
      <c r="Z417" s="7">
        <v>14.34</v>
      </c>
      <c r="AA417" s="8">
        <f>IFERROR(Z417/Z444, "NA")</f>
        <v>1.5031876225644312E-5</v>
      </c>
      <c r="AB417" s="9"/>
      <c r="AC417" s="10">
        <f t="shared" si="103"/>
        <v>-56.22</v>
      </c>
      <c r="AD417" s="8">
        <f>IFERROR(AC417/AC444, "NA")</f>
        <v>-1.4150345024776954E-3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3326.42</v>
      </c>
      <c r="C428" s="15">
        <f>IFERROR(B428/B444, "NA")</f>
        <v>3.1940217306243329E-2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-3326.42</v>
      </c>
      <c r="I428" s="15">
        <f>IFERROR(H428/H444, "NA")</f>
        <v>0.17920773890046285</v>
      </c>
      <c r="J428" s="2"/>
      <c r="K428" s="14">
        <f>IFERROR(K407+K408+K409+K410+K411+K412+K413+K414+K415+K416+K417+K418+K419+K420+K421+K422+K423+K424+K425+K426+K427, "NA")</f>
        <v>696.82</v>
      </c>
      <c r="L428" s="15">
        <f>IFERROR(K428/K444, "NA")</f>
        <v>6.1614063519199163E-3</v>
      </c>
      <c r="M428" s="2"/>
      <c r="N428" s="14">
        <f t="shared" si="101"/>
        <v>-2629.6</v>
      </c>
      <c r="O428" s="15">
        <f>IFERROR(N428/N444, "NA")</f>
        <v>0.29383894729314181</v>
      </c>
      <c r="P428" s="2"/>
      <c r="Q428" s="14">
        <f>IFERROR(Q407+Q408+Q409+Q410+Q411+Q412+Q413+Q414+Q415+Q416+Q417+Q418+Q419+Q420+Q421+Q422+Q423+Q424+Q425+Q426+Q427, "NA")</f>
        <v>30356.13</v>
      </c>
      <c r="R428" s="15">
        <f>IFERROR(Q428/Q444, "NA")</f>
        <v>3.0548487410038658E-2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-30356.13</v>
      </c>
      <c r="X428" s="15">
        <f>IFERROR(W428/W444, "NA")</f>
        <v>0.35462424838637635</v>
      </c>
      <c r="Y428" s="2"/>
      <c r="Z428" s="14">
        <f>IFERROR(Z407+Z408+Z409+Z410+Z411+Z412+Z413+Z414+Z415+Z416+Z417+Z418+Z419+Z420+Z421+Z422+Z423+Z424+Z425+Z426+Z427, "NA")</f>
        <v>54442.38</v>
      </c>
      <c r="AA428" s="15">
        <f>IFERROR(Z428/Z444, "NA")</f>
        <v>5.7069115592014878E-2</v>
      </c>
      <c r="AB428" s="2"/>
      <c r="AC428" s="14">
        <f t="shared" si="103"/>
        <v>24086.249999999996</v>
      </c>
      <c r="AD428" s="15">
        <f>IFERROR(AC428/AC444, "NA")</f>
        <v>0.60624110254897523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3326.42</v>
      </c>
      <c r="C429" s="15">
        <f>IFERROR(B429/B444, "NA")</f>
        <v>3.1940217306243329E-2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-3326.42</v>
      </c>
      <c r="I429" s="15">
        <f>IFERROR(H429/H444, "NA")</f>
        <v>0.17920773890046285</v>
      </c>
      <c r="J429" s="2"/>
      <c r="K429" s="14">
        <f>IFERROR(K407+K408+K409+K410+K411+K412+K413+K414+K415+K416+K417+K418+K419+K420+K421+K422+K423+K424+K425+K426+K427, "NA")</f>
        <v>696.82</v>
      </c>
      <c r="L429" s="15">
        <f>IFERROR(K429/K444, "NA")</f>
        <v>6.1614063519199163E-3</v>
      </c>
      <c r="M429" s="2"/>
      <c r="N429" s="14">
        <f t="shared" si="101"/>
        <v>-2629.6</v>
      </c>
      <c r="O429" s="15">
        <f>IFERROR(N429/N444, "NA")</f>
        <v>0.29383894729314181</v>
      </c>
      <c r="P429" s="2"/>
      <c r="Q429" s="14">
        <f>IFERROR(Q407+Q408+Q409+Q410+Q411+Q412+Q413+Q414+Q415+Q416+Q417+Q418+Q419+Q420+Q421+Q422+Q423+Q424+Q425+Q426+Q427, "NA")</f>
        <v>30356.13</v>
      </c>
      <c r="R429" s="15">
        <f>IFERROR(Q429/Q444, "NA")</f>
        <v>3.0548487410038658E-2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-30356.13</v>
      </c>
      <c r="X429" s="15">
        <f>IFERROR(W429/W444, "NA")</f>
        <v>0.35462424838637635</v>
      </c>
      <c r="Y429" s="2"/>
      <c r="Z429" s="14">
        <f>IFERROR(Z407+Z408+Z409+Z410+Z411+Z412+Z413+Z414+Z415+Z416+Z417+Z418+Z419+Z420+Z421+Z422+Z423+Z424+Z425+Z426+Z427, "NA")</f>
        <v>54442.38</v>
      </c>
      <c r="AA429" s="15">
        <f>IFERROR(Z429/Z444, "NA")</f>
        <v>5.7069115592014878E-2</v>
      </c>
      <c r="AB429" s="2"/>
      <c r="AC429" s="14">
        <f t="shared" si="103"/>
        <v>24086.249999999996</v>
      </c>
      <c r="AD429" s="15">
        <f>IFERROR(AC429/AC444, "NA")</f>
        <v>0.60624110254897523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1180.4400000000096</v>
      </c>
      <c r="C443" s="24">
        <f>IFERROR(B443/B444, "NA")</f>
        <v>1.1334560914431186E-2</v>
      </c>
      <c r="D443" s="25"/>
      <c r="E443" s="23">
        <f>IFERROR(E404-E429-E442, "NA")</f>
        <v>20929.429999999989</v>
      </c>
      <c r="F443" s="24">
        <f>IFERROR(E443/E444, "NA")</f>
        <v>0.17056427098698518</v>
      </c>
      <c r="G443" s="25"/>
      <c r="H443" s="23">
        <f>IFERROR(B443-E443, "NA")</f>
        <v>-19748.98999999998</v>
      </c>
      <c r="I443" s="24">
        <f>IFERROR(H443/H444, "NA")</f>
        <v>1.0639582023520326</v>
      </c>
      <c r="J443" s="25"/>
      <c r="K443" s="23">
        <f>IFERROR(K404-K429-K442, "NA")</f>
        <v>15353.969999999994</v>
      </c>
      <c r="L443" s="24">
        <f>IFERROR(K443/K444, "NA")</f>
        <v>0.13576253305758701</v>
      </c>
      <c r="M443" s="25"/>
      <c r="N443" s="23">
        <f>IFERROR(B443-K443, "NA")</f>
        <v>-14173.529999999984</v>
      </c>
      <c r="O443" s="24">
        <f>IFERROR(N443/N444, "NA")</f>
        <v>1.5837903615104045</v>
      </c>
      <c r="P443" s="25"/>
      <c r="Q443" s="23">
        <f>IFERROR(Q404-Q429-Q442, "NA")</f>
        <v>-15668.430000000251</v>
      </c>
      <c r="R443" s="24">
        <f>IFERROR(Q443/Q444, "NA")</f>
        <v>-1.5767715996409283E-2</v>
      </c>
      <c r="S443" s="25"/>
      <c r="T443" s="23">
        <f>IFERROR(T404-T429-T442, "NA")</f>
        <v>148526.76999999999</v>
      </c>
      <c r="U443" s="24">
        <f>IFERROR(T443/T444, "NA")</f>
        <v>0.13761346617399856</v>
      </c>
      <c r="V443" s="25"/>
      <c r="W443" s="23">
        <f>IFERROR(Q443-T443, "NA")</f>
        <v>-164195.20000000024</v>
      </c>
      <c r="X443" s="24">
        <f>IFERROR(W443/W444, "NA")</f>
        <v>1.9181496254183528</v>
      </c>
      <c r="Y443" s="25"/>
      <c r="Z443" s="23">
        <f>IFERROR(Z404-Z429-Z442, "NA")</f>
        <v>55921.629999999837</v>
      </c>
      <c r="AA443" s="24">
        <f>IFERROR(Z443/Z444, "NA")</f>
        <v>5.8619736436281399E-2</v>
      </c>
      <c r="AB443" s="25"/>
      <c r="AC443" s="23">
        <f>IFERROR(Q443-Z443, "NA")</f>
        <v>-71590.060000000085</v>
      </c>
      <c r="AD443" s="24">
        <f>IFERROR(AC443/AC444, "NA")</f>
        <v>-1.8018926526938541</v>
      </c>
    </row>
    <row r="444" spans="1:30" ht="15.75" hidden="1" x14ac:dyDescent="0.45">
      <c r="A444" s="26" t="s">
        <v>117</v>
      </c>
      <c r="B444" s="7">
        <v>104145.19</v>
      </c>
      <c r="C444" s="27"/>
      <c r="D444" s="9"/>
      <c r="E444" s="7">
        <v>122707</v>
      </c>
      <c r="F444" s="27"/>
      <c r="G444" s="9"/>
      <c r="H444" s="10">
        <f>IFERROR(B444-E444, "NA")</f>
        <v>-18561.809999999998</v>
      </c>
      <c r="I444" s="27"/>
      <c r="J444" s="9"/>
      <c r="K444" s="7">
        <v>113094.31</v>
      </c>
      <c r="L444" s="27"/>
      <c r="M444" s="9"/>
      <c r="N444" s="10">
        <f>IFERROR(B444-K444, "NA")</f>
        <v>-8949.1199999999953</v>
      </c>
      <c r="O444" s="27"/>
      <c r="P444" s="9"/>
      <c r="Q444" s="7">
        <v>993703.21</v>
      </c>
      <c r="R444" s="27"/>
      <c r="S444" s="9"/>
      <c r="T444" s="7">
        <v>1079304.04</v>
      </c>
      <c r="U444" s="27"/>
      <c r="V444" s="9"/>
      <c r="W444" s="10">
        <f>IFERROR(Q444-T444, "NA")</f>
        <v>-85600.830000000075</v>
      </c>
      <c r="X444" s="27"/>
      <c r="Y444" s="9"/>
      <c r="Z444" s="7">
        <v>953972.73</v>
      </c>
      <c r="AA444" s="27"/>
      <c r="AB444" s="9"/>
      <c r="AC444" s="10">
        <f>IFERROR(Q444-Z444, "NA")</f>
        <v>39730.479999999981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70113.149999999994</v>
      </c>
      <c r="F10" s="8">
        <f>IFERROR(E10/E444, "NA")</f>
        <v>0.5890000302425451</v>
      </c>
      <c r="G10" s="9"/>
      <c r="H10" s="10">
        <f t="shared" ref="H10:H19" si="0">IFERROR(B10-E10, "NA")</f>
        <v>-70113.149999999994</v>
      </c>
      <c r="I10" s="8">
        <f>IFERROR(H10/H444, "NA")</f>
        <v>5.6506042836603232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714028.23</v>
      </c>
      <c r="U10" s="8">
        <f>IFERROR(T10/T444, "NA")</f>
        <v>0.58899998413722421</v>
      </c>
      <c r="V10" s="9"/>
      <c r="W10" s="10">
        <f t="shared" ref="W10:W19" si="2">IFERROR(Q10-T10, "NA")</f>
        <v>-714028.23</v>
      </c>
      <c r="X10" s="8">
        <f>IFERROR(W10/W444, "NA")</f>
        <v>7.649528222750595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53332.800000000003</v>
      </c>
      <c r="C11" s="8">
        <f>IFERROR(B11/B444, "NA")</f>
        <v>0.50016918391829956</v>
      </c>
      <c r="D11" s="9"/>
      <c r="E11" s="7">
        <v>0</v>
      </c>
      <c r="F11" s="8">
        <f>IFERROR(E11/E444, "NA")</f>
        <v>0</v>
      </c>
      <c r="G11" s="9"/>
      <c r="H11" s="10">
        <f t="shared" si="0"/>
        <v>53332.800000000003</v>
      </c>
      <c r="I11" s="8">
        <f>IFERROR(H11/H444, "NA")</f>
        <v>-4.2982314749743713</v>
      </c>
      <c r="J11" s="9"/>
      <c r="K11" s="7">
        <v>50951.32</v>
      </c>
      <c r="L11" s="8">
        <f>IFERROR(K11/K444, "NA")</f>
        <v>0.47083164919506043</v>
      </c>
      <c r="M11" s="9"/>
      <c r="N11" s="10">
        <f t="shared" si="1"/>
        <v>2381.4800000000032</v>
      </c>
      <c r="O11" s="8">
        <f>IFERROR(N11/N444, "NA")</f>
        <v>-1.5015068786805081</v>
      </c>
      <c r="P11" s="9"/>
      <c r="Q11" s="7">
        <v>606450.68999999994</v>
      </c>
      <c r="R11" s="8">
        <f>IFERROR(Q11/Q444, "NA")</f>
        <v>0.54199196984109688</v>
      </c>
      <c r="S11" s="9"/>
      <c r="T11" s="7">
        <v>0</v>
      </c>
      <c r="U11" s="8">
        <f>IFERROR(T11/T444, "NA")</f>
        <v>0</v>
      </c>
      <c r="V11" s="9"/>
      <c r="W11" s="10">
        <f t="shared" si="2"/>
        <v>606450.68999999994</v>
      </c>
      <c r="X11" s="8">
        <f>IFERROR(W11/W444, "NA")</f>
        <v>-6.4970283721997539</v>
      </c>
      <c r="Y11" s="9"/>
      <c r="Z11" s="7">
        <v>565257.04</v>
      </c>
      <c r="AA11" s="8">
        <f>IFERROR(Z11/Z444, "NA")</f>
        <v>0.53188609673834197</v>
      </c>
      <c r="AB11" s="9"/>
      <c r="AC11" s="10">
        <f t="shared" si="3"/>
        <v>41193.649999999907</v>
      </c>
      <c r="AD11" s="8">
        <f>IFERROR(AC11/AC444, "NA")</f>
        <v>0.73313285347255797</v>
      </c>
    </row>
    <row r="12" spans="1:30" ht="16.5" customHeight="1" x14ac:dyDescent="0.45">
      <c r="A12" s="12" t="s">
        <v>14</v>
      </c>
      <c r="B12" s="7">
        <v>5592.05</v>
      </c>
      <c r="C12" s="8">
        <f>IFERROR(B12/B444, "NA")</f>
        <v>5.2443732279766425E-2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5592.05</v>
      </c>
      <c r="I12" s="8">
        <f>IFERROR(H12/H444, "NA")</f>
        <v>-0.45067810652413581</v>
      </c>
      <c r="J12" s="9"/>
      <c r="K12" s="7">
        <v>5776.85</v>
      </c>
      <c r="L12" s="8">
        <f>IFERROR(K12/K444, "NA")</f>
        <v>5.3382793863878016E-2</v>
      </c>
      <c r="M12" s="9"/>
      <c r="N12" s="10">
        <f t="shared" si="1"/>
        <v>-184.80000000000018</v>
      </c>
      <c r="O12" s="8">
        <f>IFERROR(N12/N444, "NA")</f>
        <v>0.11651513814105421</v>
      </c>
      <c r="P12" s="9"/>
      <c r="Q12" s="7">
        <v>66546.350000000006</v>
      </c>
      <c r="R12" s="8">
        <f>IFERROR(Q12/Q444, "NA")</f>
        <v>5.9473239814823331E-2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66546.350000000006</v>
      </c>
      <c r="X12" s="8">
        <f>IFERROR(W12/W444, "NA")</f>
        <v>-0.71292444900398277</v>
      </c>
      <c r="Y12" s="9"/>
      <c r="Z12" s="7">
        <v>63618.1</v>
      </c>
      <c r="AA12" s="8">
        <f>IFERROR(Z12/Z444, "NA")</f>
        <v>5.9862293605241097E-2</v>
      </c>
      <c r="AB12" s="9"/>
      <c r="AC12" s="10">
        <f t="shared" si="3"/>
        <v>2928.2500000000073</v>
      </c>
      <c r="AD12" s="8">
        <f>IFERROR(AC12/AC444, "NA")</f>
        <v>5.2114738028337576E-2</v>
      </c>
    </row>
    <row r="13" spans="1:30" ht="16.5" customHeight="1" x14ac:dyDescent="0.45">
      <c r="A13" s="12" t="s">
        <v>15</v>
      </c>
      <c r="B13" s="7">
        <v>144</v>
      </c>
      <c r="C13" s="8">
        <f>IFERROR(B13/B444, "NA")</f>
        <v>1.3504703012824216E-3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144</v>
      </c>
      <c r="I13" s="8">
        <f>IFERROR(H13/H444, "NA")</f>
        <v>-1.160534103584116E-2</v>
      </c>
      <c r="J13" s="9"/>
      <c r="K13" s="7">
        <v>124</v>
      </c>
      <c r="L13" s="8">
        <f>IFERROR(K13/K444, "NA")</f>
        <v>1.1458608825087849E-3</v>
      </c>
      <c r="M13" s="9"/>
      <c r="N13" s="10">
        <f t="shared" si="1"/>
        <v>20</v>
      </c>
      <c r="O13" s="8">
        <f>IFERROR(N13/N444, "NA")</f>
        <v>-1.2609863435179015E-2</v>
      </c>
      <c r="P13" s="9"/>
      <c r="Q13" s="7">
        <v>3054</v>
      </c>
      <c r="R13" s="8">
        <f>IFERROR(Q13/Q444, "NA")</f>
        <v>2.7293949915280168E-3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3054</v>
      </c>
      <c r="X13" s="8">
        <f>IFERROR(W13/W444, "NA")</f>
        <v>-3.2718117030583395E-2</v>
      </c>
      <c r="Y13" s="9"/>
      <c r="Z13" s="7">
        <v>1964.99</v>
      </c>
      <c r="AA13" s="8">
        <f>IFERROR(Z13/Z444, "NA")</f>
        <v>1.8489833602600943E-3</v>
      </c>
      <c r="AB13" s="9"/>
      <c r="AC13" s="10">
        <f t="shared" si="3"/>
        <v>1089.01</v>
      </c>
      <c r="AD13" s="8">
        <f>IFERROR(AC13/AC444, "NA")</f>
        <v>1.9381361174844961E-2</v>
      </c>
    </row>
    <row r="14" spans="1:30" ht="16.5" customHeight="1" x14ac:dyDescent="0.45">
      <c r="A14" s="12" t="s">
        <v>16</v>
      </c>
      <c r="B14" s="7">
        <v>20</v>
      </c>
      <c r="C14" s="8">
        <f>IFERROR(B14/B444, "NA")</f>
        <v>1.8756531962255856E-4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20</v>
      </c>
      <c r="I14" s="8">
        <f>IFERROR(H14/H444, "NA")</f>
        <v>-1.6118529216446055E-3</v>
      </c>
      <c r="J14" s="9"/>
      <c r="K14" s="7">
        <v>470</v>
      </c>
      <c r="L14" s="8">
        <f>IFERROR(K14/K444, "NA")</f>
        <v>4.3431823772510387E-3</v>
      </c>
      <c r="M14" s="9"/>
      <c r="N14" s="10">
        <f t="shared" si="1"/>
        <v>-450</v>
      </c>
      <c r="O14" s="8">
        <f>IFERROR(N14/N444, "NA")</f>
        <v>0.28372192729152784</v>
      </c>
      <c r="P14" s="9"/>
      <c r="Q14" s="7">
        <v>3265</v>
      </c>
      <c r="R14" s="8">
        <f>IFERROR(Q14/Q444, "NA")</f>
        <v>2.9179681229007776E-3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3265</v>
      </c>
      <c r="X14" s="8">
        <f>IFERROR(W14/W444, "NA")</f>
        <v>-3.4978602522873208E-2</v>
      </c>
      <c r="Y14" s="9"/>
      <c r="Z14" s="7">
        <v>6150</v>
      </c>
      <c r="AA14" s="8">
        <f>IFERROR(Z14/Z444, "NA")</f>
        <v>5.7869239363048056E-3</v>
      </c>
      <c r="AB14" s="9"/>
      <c r="AC14" s="10">
        <f t="shared" si="3"/>
        <v>-2885</v>
      </c>
      <c r="AD14" s="8">
        <f>IFERROR(AC14/AC444, "NA")</f>
        <v>-5.1345007841459414E-2</v>
      </c>
    </row>
    <row r="15" spans="1:30" ht="16.5" customHeight="1" x14ac:dyDescent="0.45">
      <c r="A15" s="12" t="s">
        <v>17</v>
      </c>
      <c r="B15" s="7">
        <v>84</v>
      </c>
      <c r="C15" s="8">
        <f>IFERROR(B15/B444, "NA")</f>
        <v>7.8777434241474595E-4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84</v>
      </c>
      <c r="I15" s="8">
        <f>IFERROR(H15/H444, "NA")</f>
        <v>-6.7697822709073437E-3</v>
      </c>
      <c r="J15" s="9"/>
      <c r="K15" s="7">
        <v>20</v>
      </c>
      <c r="L15" s="8">
        <f>IFERROR(K15/K444, "NA")</f>
        <v>1.8481627137238463E-4</v>
      </c>
      <c r="M15" s="9"/>
      <c r="N15" s="10">
        <f t="shared" si="1"/>
        <v>64</v>
      </c>
      <c r="O15" s="8">
        <f>IFERROR(N15/N444, "NA")</f>
        <v>-4.0351562992572851E-2</v>
      </c>
      <c r="P15" s="9"/>
      <c r="Q15" s="7">
        <v>520</v>
      </c>
      <c r="R15" s="8">
        <f>IFERROR(Q15/Q444, "NA")</f>
        <v>4.6472999200869967E-4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520</v>
      </c>
      <c r="X15" s="8">
        <f>IFERROR(W15/W444, "NA")</f>
        <v>-5.5708647203350902E-3</v>
      </c>
      <c r="Y15" s="9"/>
      <c r="Z15" s="7">
        <v>571</v>
      </c>
      <c r="AA15" s="8">
        <f>IFERROR(Z15/Z444, "NA")</f>
        <v>5.372900109967551E-4</v>
      </c>
      <c r="AB15" s="9"/>
      <c r="AC15" s="10">
        <f t="shared" si="3"/>
        <v>-51</v>
      </c>
      <c r="AD15" s="8">
        <f>IFERROR(AC15/AC444, "NA")</f>
        <v>-9.0765871747467244E-4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59172.850000000006</v>
      </c>
      <c r="C18" s="15">
        <f>IFERROR(B18/B444, "NA")</f>
        <v>0.55493872616138573</v>
      </c>
      <c r="D18" s="2"/>
      <c r="E18" s="14">
        <f>IFERROR(E10+E11+E12+E13+E14+E15+E16+E17, "NA")</f>
        <v>70113.149999999994</v>
      </c>
      <c r="F18" s="15">
        <f>IFERROR(E18/E444, "NA")</f>
        <v>0.5890000302425451</v>
      </c>
      <c r="G18" s="2"/>
      <c r="H18" s="14">
        <f t="shared" si="0"/>
        <v>-10940.299999999988</v>
      </c>
      <c r="I18" s="15">
        <f>IFERROR(H18/H444, "NA")</f>
        <v>0.88170772593342295</v>
      </c>
      <c r="J18" s="2"/>
      <c r="K18" s="14">
        <f>IFERROR(K10+K11+K12+K13+K14+K15+K16+K17, "NA")</f>
        <v>57342.17</v>
      </c>
      <c r="L18" s="15">
        <f>IFERROR(K18/K444, "NA")</f>
        <v>0.52988830259007069</v>
      </c>
      <c r="M18" s="2"/>
      <c r="N18" s="14">
        <f t="shared" si="1"/>
        <v>1830.6800000000076</v>
      </c>
      <c r="O18" s="15">
        <f>IFERROR(N18/N444, "NA")</f>
        <v>-1.1542312396756809</v>
      </c>
      <c r="P18" s="2"/>
      <c r="Q18" s="14">
        <f>IFERROR(Q10+Q11+Q12+Q13+Q14+Q15+Q16+Q17, "NA")</f>
        <v>679836.03999999992</v>
      </c>
      <c r="R18" s="15">
        <f>IFERROR(Q18/Q444, "NA")</f>
        <v>0.60757730276235766</v>
      </c>
      <c r="S18" s="2"/>
      <c r="T18" s="14">
        <f>IFERROR(T10+T11+T12+T13+T14+T15+T16+T17, "NA")</f>
        <v>714028.23</v>
      </c>
      <c r="U18" s="15">
        <f>IFERROR(T18/T444, "NA")</f>
        <v>0.58899998413722421</v>
      </c>
      <c r="V18" s="2"/>
      <c r="W18" s="14">
        <f t="shared" si="2"/>
        <v>-34192.190000000061</v>
      </c>
      <c r="X18" s="15">
        <f>IFERROR(W18/W444, "NA")</f>
        <v>0.36630781727306655</v>
      </c>
      <c r="Y18" s="2"/>
      <c r="Z18" s="14">
        <f>IFERROR(Z10+Z11+Z12+Z13+Z14+Z15+Z16+Z17, "NA")</f>
        <v>637561.13</v>
      </c>
      <c r="AA18" s="15">
        <f>IFERROR(Z18/Z444, "NA")</f>
        <v>0.59992158765114467</v>
      </c>
      <c r="AB18" s="2"/>
      <c r="AC18" s="14">
        <f t="shared" si="3"/>
        <v>42274.909999999916</v>
      </c>
      <c r="AD18" s="15">
        <f>IFERROR(AC18/AC444, "NA")</f>
        <v>0.75237628611680651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9880.1200000000008</v>
      </c>
      <c r="F21" s="8">
        <f>IFERROR(E21/E444, "NA")</f>
        <v>8.29999932794344E-2</v>
      </c>
      <c r="G21" s="9"/>
      <c r="H21" s="10">
        <f t="shared" ref="H21:H29" si="4">IFERROR(B21-E21, "NA")</f>
        <v>-9880.1200000000008</v>
      </c>
      <c r="I21" s="8">
        <f>IFERROR(H21/H444, "NA")</f>
        <v>0.79626501440996511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100618.58</v>
      </c>
      <c r="U21" s="8">
        <f>IFERROR(T21/T444, "NA")</f>
        <v>8.2999998506935818E-2</v>
      </c>
      <c r="V21" s="9"/>
      <c r="W21" s="10">
        <f t="shared" ref="W21:W29" si="6">IFERROR(Q21-T21, "NA")</f>
        <v>-100618.58</v>
      </c>
      <c r="X21" s="8">
        <f>IFERROR(W21/W444, "NA")</f>
        <v>1.0779471106388729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6356.85</v>
      </c>
      <c r="C22" s="8">
        <f>IFERROR(B22/B444, "NA")</f>
        <v>5.9616230102133072E-2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6356.85</v>
      </c>
      <c r="I22" s="8">
        <f>IFERROR(H22/H444, "NA")</f>
        <v>-0.51231536224782559</v>
      </c>
      <c r="J22" s="9"/>
      <c r="K22" s="7">
        <v>7706.49</v>
      </c>
      <c r="L22" s="8">
        <f>IFERROR(K22/K444, "NA")</f>
        <v>7.1214237358428426E-2</v>
      </c>
      <c r="M22" s="9"/>
      <c r="N22" s="10">
        <f t="shared" si="5"/>
        <v>-1349.6399999999994</v>
      </c>
      <c r="O22" s="8">
        <f>IFERROR(N22/N444, "NA")</f>
        <v>0.85093880433274993</v>
      </c>
      <c r="P22" s="9"/>
      <c r="Q22" s="7">
        <v>79097.34</v>
      </c>
      <c r="R22" s="8">
        <f>IFERROR(Q22/Q444, "NA")</f>
        <v>7.0690204204056528E-2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79097.34</v>
      </c>
      <c r="X22" s="8">
        <f>IFERROR(W22/W444, "NA")</f>
        <v>-0.84738573245836446</v>
      </c>
      <c r="Y22" s="9"/>
      <c r="Z22" s="7">
        <v>74312.28</v>
      </c>
      <c r="AA22" s="8">
        <f>IFERROR(Z22/Z444, "NA")</f>
        <v>6.9925123885103233E-2</v>
      </c>
      <c r="AB22" s="9"/>
      <c r="AC22" s="10">
        <f t="shared" si="7"/>
        <v>4785.0599999999977</v>
      </c>
      <c r="AD22" s="8">
        <f>IFERROR(AC22/AC444, "NA")</f>
        <v>8.5160812208614781E-2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730.61</v>
      </c>
      <c r="C24" s="8">
        <f>IFERROR(B24/B444, "NA")</f>
        <v>6.8518549084718751E-3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730.61</v>
      </c>
      <c r="I24" s="8">
        <f>IFERROR(H24/H444, "NA")</f>
        <v>-5.8881793154138266E-2</v>
      </c>
      <c r="J24" s="9"/>
      <c r="K24" s="7">
        <v>1449.4</v>
      </c>
      <c r="L24" s="8">
        <f>IFERROR(K24/K444, "NA")</f>
        <v>1.3393635186356716E-2</v>
      </c>
      <c r="M24" s="9"/>
      <c r="N24" s="10">
        <f t="shared" si="5"/>
        <v>-718.79000000000008</v>
      </c>
      <c r="O24" s="8">
        <f>IFERROR(N24/N444, "NA")</f>
        <v>0.45319218692861629</v>
      </c>
      <c r="P24" s="9"/>
      <c r="Q24" s="7">
        <v>9178.43</v>
      </c>
      <c r="R24" s="8">
        <f>IFERROR(Q24/Q444, "NA")</f>
        <v>8.2028686549084802E-3</v>
      </c>
      <c r="S24" s="9"/>
      <c r="T24" s="7">
        <v>0</v>
      </c>
      <c r="U24" s="8">
        <f>IFERROR(T24/T444, "NA")</f>
        <v>0</v>
      </c>
      <c r="V24" s="9"/>
      <c r="W24" s="10">
        <f t="shared" si="6"/>
        <v>9178.43</v>
      </c>
      <c r="X24" s="8">
        <f>IFERROR(W24/W444, "NA")</f>
        <v>-9.8330368990510009E-2</v>
      </c>
      <c r="Y24" s="9"/>
      <c r="Z24" s="7">
        <v>5558.09</v>
      </c>
      <c r="AA24" s="8">
        <f>IFERROR(Z24/Z444, "NA")</f>
        <v>5.2299583839246142E-3</v>
      </c>
      <c r="AB24" s="9"/>
      <c r="AC24" s="10">
        <f t="shared" si="7"/>
        <v>3620.34</v>
      </c>
      <c r="AD24" s="8">
        <f>IFERROR(AC24/AC444, "NA")</f>
        <v>6.4432022769063846E-2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916.47</v>
      </c>
      <c r="C28" s="8">
        <f>IFERROR(B28/B444, "NA")</f>
        <v>8.5948994237243122E-3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916.47</v>
      </c>
      <c r="I28" s="8">
        <f>IFERROR(H28/H444, "NA")</f>
        <v>-7.3860742354981579E-2</v>
      </c>
      <c r="J28" s="9"/>
      <c r="K28" s="7">
        <v>922.46</v>
      </c>
      <c r="L28" s="8">
        <f>IFERROR(K28/K444, "NA")</f>
        <v>8.5242808845084964E-3</v>
      </c>
      <c r="M28" s="9"/>
      <c r="N28" s="10">
        <f t="shared" si="5"/>
        <v>-5.9900000000000091</v>
      </c>
      <c r="O28" s="8">
        <f>IFERROR(N28/N444, "NA")</f>
        <v>3.7766540988361211E-3</v>
      </c>
      <c r="P28" s="9"/>
      <c r="Q28" s="7">
        <v>8937.08</v>
      </c>
      <c r="R28" s="8">
        <f>IFERROR(Q28/Q444, "NA")</f>
        <v>7.9871713788098268E-3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8937.08</v>
      </c>
      <c r="X28" s="8">
        <f>IFERROR(W28/W444, "NA")</f>
        <v>-9.5744737836177554E-2</v>
      </c>
      <c r="Y28" s="9"/>
      <c r="Z28" s="7">
        <v>8822.1200000000008</v>
      </c>
      <c r="AA28" s="8">
        <f>IFERROR(Z28/Z444, "NA")</f>
        <v>8.3012906336509523E-3</v>
      </c>
      <c r="AB28" s="9"/>
      <c r="AC28" s="10">
        <f t="shared" si="7"/>
        <v>114.95999999999913</v>
      </c>
      <c r="AD28" s="8">
        <f>IFERROR(AC28/AC444, "NA")</f>
        <v>2.0459695325664227E-3</v>
      </c>
    </row>
    <row r="29" spans="1:30" ht="16.5" customHeight="1" x14ac:dyDescent="0.45">
      <c r="A29" s="13" t="s">
        <v>30</v>
      </c>
      <c r="B29" s="14">
        <f>IFERROR(B21+B22+B23+B24+B25+B26+B27+B28, "NA")</f>
        <v>8003.93</v>
      </c>
      <c r="C29" s="15">
        <f>IFERROR(B29/B444, "NA")</f>
        <v>7.5062984434329252E-2</v>
      </c>
      <c r="D29" s="2"/>
      <c r="E29" s="14">
        <f>IFERROR(E21+E22+E23+E24+E25+E26+E27+E28, "NA")</f>
        <v>9880.1200000000008</v>
      </c>
      <c r="F29" s="15">
        <f>IFERROR(E29/E444, "NA")</f>
        <v>8.29999932794344E-2</v>
      </c>
      <c r="G29" s="2"/>
      <c r="H29" s="14">
        <f t="shared" si="4"/>
        <v>-1876.1900000000005</v>
      </c>
      <c r="I29" s="15">
        <f>IFERROR(H29/H444, "NA")</f>
        <v>0.15120711665301967</v>
      </c>
      <c r="J29" s="2"/>
      <c r="K29" s="14">
        <f>IFERROR(K21+K22+K23+K24+K25+K26+K27+K28, "NA")</f>
        <v>10078.349999999999</v>
      </c>
      <c r="L29" s="15">
        <f>IFERROR(K29/K444, "NA")</f>
        <v>9.3132153429293624E-2</v>
      </c>
      <c r="M29" s="2"/>
      <c r="N29" s="14">
        <f t="shared" si="5"/>
        <v>-2074.4199999999983</v>
      </c>
      <c r="O29" s="15">
        <f>IFERROR(N29/N444, "NA")</f>
        <v>1.3079076453602017</v>
      </c>
      <c r="P29" s="2"/>
      <c r="Q29" s="14">
        <f>IFERROR(Q21+Q22+Q23+Q24+Q25+Q26+Q27+Q28, "NA")</f>
        <v>97212.849999999991</v>
      </c>
      <c r="R29" s="15">
        <f>IFERROR(Q29/Q444, "NA")</f>
        <v>8.6880244237774837E-2</v>
      </c>
      <c r="S29" s="2"/>
      <c r="T29" s="14">
        <f>IFERROR(T21+T22+T23+T24+T25+T26+T27+T28, "NA")</f>
        <v>100618.58</v>
      </c>
      <c r="U29" s="15">
        <f>IFERROR(T29/T444, "NA")</f>
        <v>8.2999998506935818E-2</v>
      </c>
      <c r="V29" s="2"/>
      <c r="W29" s="14">
        <f t="shared" si="6"/>
        <v>-3405.7300000000105</v>
      </c>
      <c r="X29" s="15">
        <f>IFERROR(W29/W444, "NA")</f>
        <v>3.6486271353820932E-2</v>
      </c>
      <c r="Y29" s="2"/>
      <c r="Z29" s="14">
        <f>IFERROR(Z21+Z22+Z23+Z24+Z25+Z26+Z27+Z28, "NA")</f>
        <v>88692.489999999991</v>
      </c>
      <c r="AA29" s="15">
        <f>IFERROR(Z29/Z444, "NA")</f>
        <v>8.3456372902678794E-2</v>
      </c>
      <c r="AB29" s="2"/>
      <c r="AC29" s="14">
        <f t="shared" si="7"/>
        <v>8520.36</v>
      </c>
      <c r="AD29" s="15">
        <f>IFERROR(AC29/AC444, "NA")</f>
        <v>0.15163880451024511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17974.68</v>
      </c>
      <c r="F31" s="8">
        <f>IFERROR(E31/E444, "NA")</f>
        <v>0.15100002016169681</v>
      </c>
      <c r="G31" s="9"/>
      <c r="H31" s="10">
        <f t="shared" ref="H31:H40" si="8">IFERROR(B31-E31, "NA")</f>
        <v>-17974.68</v>
      </c>
      <c r="I31" s="8">
        <f>IFERROR(H31/H444, "NA")</f>
        <v>1.448627023681343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183053.09</v>
      </c>
      <c r="U31" s="8">
        <f>IFERROR(T31/T444, "NA")</f>
        <v>0.1510000061289872</v>
      </c>
      <c r="V31" s="9"/>
      <c r="W31" s="10">
        <f t="shared" ref="W31:W40" si="10">IFERROR(Q31-T31, "NA")</f>
        <v>-183053.09</v>
      </c>
      <c r="X31" s="8">
        <f>IFERROR(W31/W444, "NA")</f>
        <v>1.9610846173640848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7783.6</v>
      </c>
      <c r="C33" s="8">
        <f>IFERROR(B33/B444, "NA")</f>
        <v>7.2996671090707343E-2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7783.6</v>
      </c>
      <c r="I33" s="8">
        <f>IFERROR(H33/H444, "NA")</f>
        <v>-0.62730092004564764</v>
      </c>
      <c r="J33" s="9"/>
      <c r="K33" s="7">
        <v>10931.68</v>
      </c>
      <c r="L33" s="8">
        <f>IFERROR(K33/K444, "NA")</f>
        <v>0.1010176168718035</v>
      </c>
      <c r="M33" s="9"/>
      <c r="N33" s="10">
        <f t="shared" si="9"/>
        <v>-3148.08</v>
      </c>
      <c r="O33" s="8">
        <f>IFERROR(N33/N444, "NA")</f>
        <v>1.9848429441509177</v>
      </c>
      <c r="P33" s="9"/>
      <c r="Q33" s="7">
        <v>86677.05</v>
      </c>
      <c r="R33" s="8">
        <f>IFERROR(Q33/Q444, "NA")</f>
        <v>7.7464278372764733E-2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86677.05</v>
      </c>
      <c r="X33" s="8">
        <f>IFERROR(W33/W444, "NA")</f>
        <v>-0.92858869213023199</v>
      </c>
      <c r="Y33" s="9"/>
      <c r="Z33" s="7">
        <v>69636.350000000006</v>
      </c>
      <c r="AA33" s="8">
        <f>IFERROR(Z33/Z444, "NA")</f>
        <v>6.5525245634455151E-2</v>
      </c>
      <c r="AB33" s="9"/>
      <c r="AC33" s="10">
        <f t="shared" si="11"/>
        <v>17040.699999999997</v>
      </c>
      <c r="AD33" s="8">
        <f>IFERROR(AC33/AC444, "NA")</f>
        <v>0.30327725307589509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597.76</v>
      </c>
      <c r="C35" s="8">
        <f>IFERROR(B35/B444, "NA")</f>
        <v>5.6059522728790301E-3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597.76</v>
      </c>
      <c r="I35" s="8">
        <f>IFERROR(H35/H444, "NA")</f>
        <v>-4.817506012211397E-2</v>
      </c>
      <c r="J35" s="9"/>
      <c r="K35" s="7">
        <v>1877.21</v>
      </c>
      <c r="L35" s="8">
        <f>IFERROR(K35/K444, "NA")</f>
        <v>1.7346947639147708E-2</v>
      </c>
      <c r="M35" s="9"/>
      <c r="N35" s="10">
        <f t="shared" si="9"/>
        <v>-1279.45</v>
      </c>
      <c r="O35" s="8">
        <f>IFERROR(N35/N444, "NA")</f>
        <v>0.8066844886069896</v>
      </c>
      <c r="P35" s="9"/>
      <c r="Q35" s="7">
        <v>9739.24</v>
      </c>
      <c r="R35" s="8">
        <f>IFERROR(Q35/Q444, "NA")</f>
        <v>8.7040710141746309E-3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9739.24</v>
      </c>
      <c r="X35" s="8">
        <f>IFERROR(W35/W444, "NA")</f>
        <v>-0.10433843945937754</v>
      </c>
      <c r="Y35" s="9"/>
      <c r="Z35" s="7">
        <v>5272.13</v>
      </c>
      <c r="AA35" s="8">
        <f>IFERROR(Z35/Z444, "NA")</f>
        <v>4.9608805353350662E-3</v>
      </c>
      <c r="AB35" s="9"/>
      <c r="AC35" s="10">
        <f t="shared" si="11"/>
        <v>4467.1099999999997</v>
      </c>
      <c r="AD35" s="8">
        <f>IFERROR(AC35/AC444, "NA")</f>
        <v>7.9502183008201638E-2</v>
      </c>
    </row>
    <row r="36" spans="1:30" ht="16.5" customHeight="1" x14ac:dyDescent="0.45">
      <c r="A36" s="12" t="s">
        <v>36</v>
      </c>
      <c r="B36" s="7">
        <v>8997.77</v>
      </c>
      <c r="C36" s="8">
        <f>IFERROR(B36/B444, "NA")</f>
        <v>8.4383480297013438E-2</v>
      </c>
      <c r="D36" s="9"/>
      <c r="E36" s="7">
        <v>0</v>
      </c>
      <c r="F36" s="8">
        <f>IFERROR(E36/E444, "NA")</f>
        <v>0</v>
      </c>
      <c r="G36" s="9"/>
      <c r="H36" s="10">
        <f t="shared" si="8"/>
        <v>8997.77</v>
      </c>
      <c r="I36" s="8">
        <f>IFERROR(H36/H444, "NA")</f>
        <v>-0.72515409313930912</v>
      </c>
      <c r="J36" s="9"/>
      <c r="K36" s="7">
        <v>5358.1</v>
      </c>
      <c r="L36" s="8">
        <f>IFERROR(K36/K444, "NA")</f>
        <v>4.9513203182018711E-2</v>
      </c>
      <c r="M36" s="9"/>
      <c r="N36" s="10">
        <f t="shared" si="9"/>
        <v>3639.67</v>
      </c>
      <c r="O36" s="8">
        <f>IFERROR(N36/N444, "NA")</f>
        <v>-2.2947870824559002</v>
      </c>
      <c r="P36" s="9"/>
      <c r="Q36" s="7">
        <v>74961.850000000006</v>
      </c>
      <c r="R36" s="8">
        <f>IFERROR(Q36/Q444, "NA")</f>
        <v>6.6994269137417975E-2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74961.850000000006</v>
      </c>
      <c r="X36" s="8">
        <f>IFERROR(W36/W444, "NA")</f>
        <v>-0.80308139526163658</v>
      </c>
      <c r="Y36" s="9"/>
      <c r="Z36" s="7">
        <v>72118.39</v>
      </c>
      <c r="AA36" s="8">
        <f>IFERROR(Z36/Z444, "NA")</f>
        <v>6.7860754038823592E-2</v>
      </c>
      <c r="AB36" s="9"/>
      <c r="AC36" s="10">
        <f t="shared" si="11"/>
        <v>2843.4600000000064</v>
      </c>
      <c r="AD36" s="8">
        <f>IFERROR(AC36/AC444, "NA")</f>
        <v>5.0605710917461529E-2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886.15</v>
      </c>
      <c r="L39" s="8">
        <f>IFERROR(K39/K444, "NA")</f>
        <v>8.188746943831933E-3</v>
      </c>
      <c r="M39" s="9"/>
      <c r="N39" s="10">
        <f t="shared" si="9"/>
        <v>-886.15</v>
      </c>
      <c r="O39" s="8">
        <f>IFERROR(N39/N444, "NA")</f>
        <v>0.55871152415419423</v>
      </c>
      <c r="P39" s="9"/>
      <c r="Q39" s="7">
        <v>6889.17</v>
      </c>
      <c r="R39" s="8">
        <f>IFERROR(Q39/Q444, "NA")</f>
        <v>6.1569306135511028E-3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6889.17</v>
      </c>
      <c r="X39" s="8">
        <f>IFERROR(W39/W444, "NA")</f>
        <v>-7.3805065587290178E-2</v>
      </c>
      <c r="Y39" s="9"/>
      <c r="Z39" s="7">
        <v>10347.86</v>
      </c>
      <c r="AA39" s="8">
        <f>IFERROR(Z39/Z444, "NA")</f>
        <v>9.7369558900050491E-3</v>
      </c>
      <c r="AB39" s="9"/>
      <c r="AC39" s="10">
        <f t="shared" si="11"/>
        <v>-3458.6900000000005</v>
      </c>
      <c r="AD39" s="8">
        <f>IFERROR(AC39/AC444, "NA")</f>
        <v>-6.1555100579264221E-2</v>
      </c>
    </row>
    <row r="40" spans="1:30" ht="16.5" customHeight="1" x14ac:dyDescent="0.45">
      <c r="A40" s="13" t="s">
        <v>40</v>
      </c>
      <c r="B40" s="14">
        <f>IFERROR(B31+B32+B33+B34+B35+B36+B37+B38+B39, "NA")</f>
        <v>17379.13</v>
      </c>
      <c r="C40" s="15">
        <f>IFERROR(B40/B444, "NA")</f>
        <v>0.16298610366059982</v>
      </c>
      <c r="D40" s="2"/>
      <c r="E40" s="14">
        <f>IFERROR(E31+E32+E33+E34+E35+E36+E37+E38+E39, "NA")</f>
        <v>17974.68</v>
      </c>
      <c r="F40" s="15">
        <f>IFERROR(E40/E444, "NA")</f>
        <v>0.15100002016169681</v>
      </c>
      <c r="G40" s="2"/>
      <c r="H40" s="14">
        <f t="shared" si="8"/>
        <v>-595.54999999999927</v>
      </c>
      <c r="I40" s="15">
        <f>IFERROR(H40/H444, "NA")</f>
        <v>4.7996950374272186E-2</v>
      </c>
      <c r="J40" s="2"/>
      <c r="K40" s="14">
        <f>IFERROR(K31+K32+K33+K34+K35+K36+K37+K38+K39, "NA")</f>
        <v>19053.14</v>
      </c>
      <c r="L40" s="15">
        <f>IFERROR(K40/K444, "NA")</f>
        <v>0.17606651463680184</v>
      </c>
      <c r="M40" s="2"/>
      <c r="N40" s="14">
        <f t="shared" si="9"/>
        <v>-1674.0099999999984</v>
      </c>
      <c r="O40" s="15">
        <f>IFERROR(N40/N444, "NA")</f>
        <v>1.0554518744562003</v>
      </c>
      <c r="P40" s="2"/>
      <c r="Q40" s="14">
        <f>IFERROR(Q31+Q32+Q33+Q34+Q35+Q36+Q37+Q38+Q39, "NA")</f>
        <v>178267.31000000003</v>
      </c>
      <c r="R40" s="15">
        <f>IFERROR(Q40/Q444, "NA")</f>
        <v>0.15931954913790847</v>
      </c>
      <c r="S40" s="2"/>
      <c r="T40" s="14">
        <f>IFERROR(T31+T32+T33+T34+T35+T36+T37+T38+T39, "NA")</f>
        <v>183053.09</v>
      </c>
      <c r="U40" s="15">
        <f>IFERROR(T40/T444, "NA")</f>
        <v>0.1510000061289872</v>
      </c>
      <c r="V40" s="2"/>
      <c r="W40" s="14">
        <f t="shared" si="10"/>
        <v>-4785.7799999999697</v>
      </c>
      <c r="X40" s="15">
        <f>IFERROR(W40/W444, "NA")</f>
        <v>5.1271024925548268E-2</v>
      </c>
      <c r="Y40" s="2"/>
      <c r="Z40" s="14">
        <f>IFERROR(Z31+Z32+Z33+Z34+Z35+Z36+Z37+Z38+Z39, "NA")</f>
        <v>157374.72999999998</v>
      </c>
      <c r="AA40" s="15">
        <f>IFERROR(Z40/Z444, "NA")</f>
        <v>0.14808383609861883</v>
      </c>
      <c r="AB40" s="2"/>
      <c r="AC40" s="14">
        <f t="shared" si="11"/>
        <v>20892.580000000045</v>
      </c>
      <c r="AD40" s="15">
        <f>IFERROR(AC40/AC444, "NA")</f>
        <v>0.37183004642229478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2573.87</v>
      </c>
      <c r="C43" s="8">
        <f>IFERROR(B43/B444, "NA")</f>
        <v>2.4138437460845739E-2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2573.87</v>
      </c>
      <c r="I43" s="8">
        <f>IFERROR(H43/H444, "NA")</f>
        <v>-0.20743499397167003</v>
      </c>
      <c r="J43" s="9"/>
      <c r="K43" s="7">
        <v>2709.13</v>
      </c>
      <c r="L43" s="8">
        <f>IFERROR(K43/K444, "NA")</f>
        <v>2.5034565263153421E-2</v>
      </c>
      <c r="M43" s="9"/>
      <c r="N43" s="10">
        <f>IFERROR(B43-K43, "NA")</f>
        <v>-135.26000000000022</v>
      </c>
      <c r="O43" s="8">
        <f>IFERROR(N43/N444, "NA")</f>
        <v>8.528050641211582E-2</v>
      </c>
      <c r="P43" s="9"/>
      <c r="Q43" s="7">
        <v>24503.09</v>
      </c>
      <c r="R43" s="8">
        <f>IFERROR(Q43/Q444, "NA")</f>
        <v>2.1898693884400862E-2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24503.09</v>
      </c>
      <c r="X43" s="8">
        <f>IFERROR(W43/W444, "NA")</f>
        <v>-0.2625065377311453</v>
      </c>
      <c r="Y43" s="9"/>
      <c r="Z43" s="7">
        <v>20374.38</v>
      </c>
      <c r="AA43" s="8">
        <f>IFERROR(Z43/Z444, "NA")</f>
        <v>1.9171542651930065E-2</v>
      </c>
      <c r="AB43" s="9"/>
      <c r="AC43" s="10">
        <f>IFERROR(Q43-Z43, "NA")</f>
        <v>4128.7099999999991</v>
      </c>
      <c r="AD43" s="8">
        <f>IFERROR(AC43/AC444, "NA")</f>
        <v>7.3479600459310859E-2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23688.48</v>
      </c>
      <c r="F46" s="8">
        <f>IFERROR(E46/E444, "NA")</f>
        <v>0.19899997983830317</v>
      </c>
      <c r="G46" s="9"/>
      <c r="H46" s="10">
        <f t="shared" ref="H46:H62" si="12">IFERROR(B46-E46, "NA")</f>
        <v>-23688.48</v>
      </c>
      <c r="I46" s="8">
        <f>IFERROR(H46/H444, "NA")</f>
        <v>1.9091172848659903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241242.14</v>
      </c>
      <c r="U46" s="8">
        <f>IFERROR(T46/T444, "NA")</f>
        <v>0.19899999840794813</v>
      </c>
      <c r="V46" s="9"/>
      <c r="W46" s="10">
        <f t="shared" ref="W46:W62" si="14">IFERROR(Q46-T46, "NA")</f>
        <v>-241242.14</v>
      </c>
      <c r="X46" s="8">
        <f>IFERROR(W46/W444, "NA")</f>
        <v>2.584475628431036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17520.080000000002</v>
      </c>
      <c r="C48" s="8">
        <f>IFERROR(B48/B444, "NA")</f>
        <v>0.16430797025063978</v>
      </c>
      <c r="D48" s="9"/>
      <c r="E48" s="7">
        <v>0</v>
      </c>
      <c r="F48" s="8">
        <f>IFERROR(E48/E444, "NA")</f>
        <v>0</v>
      </c>
      <c r="G48" s="9"/>
      <c r="H48" s="10">
        <f t="shared" si="12"/>
        <v>17520.080000000002</v>
      </c>
      <c r="I48" s="8">
        <f>IFERROR(H48/H444, "NA")</f>
        <v>-1.4119896067723612</v>
      </c>
      <c r="J48" s="9"/>
      <c r="K48" s="7">
        <v>22356.7</v>
      </c>
      <c r="L48" s="8">
        <f>IFERROR(K48/K444, "NA")</f>
        <v>0.20659409670954959</v>
      </c>
      <c r="M48" s="9"/>
      <c r="N48" s="10">
        <f t="shared" si="13"/>
        <v>-4836.619999999999</v>
      </c>
      <c r="O48" s="8">
        <f>IFERROR(N48/N444, "NA")</f>
        <v>3.0494558843927759</v>
      </c>
      <c r="P48" s="9"/>
      <c r="Q48" s="7">
        <v>137769.04</v>
      </c>
      <c r="R48" s="8">
        <f>IFERROR(Q48/Q444, "NA")</f>
        <v>0.12312577857355043</v>
      </c>
      <c r="S48" s="9"/>
      <c r="T48" s="7">
        <v>0</v>
      </c>
      <c r="U48" s="8">
        <f>IFERROR(T48/T444, "NA")</f>
        <v>0</v>
      </c>
      <c r="V48" s="9"/>
      <c r="W48" s="10">
        <f t="shared" si="14"/>
        <v>137769.04</v>
      </c>
      <c r="X48" s="8">
        <f>IFERROR(W48/W444, "NA")</f>
        <v>-1.4759474701739113</v>
      </c>
      <c r="Y48" s="9"/>
      <c r="Z48" s="7">
        <v>169586.66</v>
      </c>
      <c r="AA48" s="8">
        <f>IFERROR(Z48/Z444, "NA")</f>
        <v>0.1595748133385341</v>
      </c>
      <c r="AB48" s="9"/>
      <c r="AC48" s="10">
        <f t="shared" si="15"/>
        <v>-31817.619999999995</v>
      </c>
      <c r="AD48" s="8">
        <f>IFERROR(AC48/AC444, "NA")</f>
        <v>-0.56626549337836241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36153.550000000003</v>
      </c>
      <c r="R49" s="8">
        <f>IFERROR(Q49/Q444, "NA")</f>
        <v>3.2310844235742549E-2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36153.550000000003</v>
      </c>
      <c r="X49" s="8">
        <f>IFERROR(W49/W444, "NA")</f>
        <v>-0.38732026194205904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36153.550000000003</v>
      </c>
      <c r="AD49" s="8">
        <f>IFERROR(AC49/AC444, "NA")</f>
        <v>0.64343303578738131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1.041173924404106E-5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-1.2480879613827655E-4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2.0733772663882226E-4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2.9313737957471822E-5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-3.5139300543652105E-4</v>
      </c>
      <c r="Y56" s="9"/>
      <c r="Z56" s="7">
        <v>887.25</v>
      </c>
      <c r="AA56" s="8">
        <f>IFERROR(Z56/Z444, "NA")</f>
        <v>8.3486963617665673E-4</v>
      </c>
      <c r="AB56" s="9"/>
      <c r="AC56" s="10">
        <f t="shared" si="15"/>
        <v>-854.45</v>
      </c>
      <c r="AD56" s="8">
        <f>IFERROR(AC56/AC444, "NA")</f>
        <v>-1.5206842963651646E-2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17520.080000000002</v>
      </c>
      <c r="C61" s="15">
        <f>IFERROR(B61/B444, "NA")</f>
        <v>0.16430797025063978</v>
      </c>
      <c r="D61" s="2"/>
      <c r="E61" s="14">
        <f>IFERROR(E46+E47+E48+E49+E50+E51+E52+E53+E54+E55+E56+E57+E58+E59+E60, "NA")</f>
        <v>23688.48</v>
      </c>
      <c r="F61" s="15">
        <f>IFERROR(E61/E444, "NA")</f>
        <v>0.19899997983830317</v>
      </c>
      <c r="G61" s="2"/>
      <c r="H61" s="14">
        <f t="shared" si="12"/>
        <v>-6168.3999999999978</v>
      </c>
      <c r="I61" s="15">
        <f>IFERROR(H61/H444, "NA")</f>
        <v>0.49712767809362907</v>
      </c>
      <c r="J61" s="2"/>
      <c r="K61" s="14">
        <f>IFERROR(K46+K47+K48+K49+K50+K51+K52+K53+K54+K55+K56+K57+K58+K59+K60, "NA")</f>
        <v>22356.7</v>
      </c>
      <c r="L61" s="15">
        <f>IFERROR(K61/K444, "NA")</f>
        <v>0.20659409670954959</v>
      </c>
      <c r="M61" s="2"/>
      <c r="N61" s="14">
        <f t="shared" si="13"/>
        <v>-4836.619999999999</v>
      </c>
      <c r="O61" s="15">
        <f>IFERROR(N61/N444, "NA")</f>
        <v>3.0494558843927759</v>
      </c>
      <c r="P61" s="2"/>
      <c r="Q61" s="14">
        <f>IFERROR(Q46+Q47+Q48+Q49+Q50+Q51+Q52+Q53+Q54+Q55+Q56+Q57+Q58+Q59+Q60, "NA")</f>
        <v>173967.04</v>
      </c>
      <c r="R61" s="15">
        <f>IFERROR(Q61/Q444, "NA")</f>
        <v>0.15547634828649451</v>
      </c>
      <c r="S61" s="2"/>
      <c r="T61" s="14">
        <f>IFERROR(T46+T47+T48+T49+T50+T51+T52+T53+T54+T55+T56+T57+T58+T59+T60, "NA")</f>
        <v>241242.14</v>
      </c>
      <c r="U61" s="15">
        <f>IFERROR(T61/T444, "NA")</f>
        <v>0.19899999840794813</v>
      </c>
      <c r="V61" s="2"/>
      <c r="W61" s="14">
        <f t="shared" si="14"/>
        <v>-67275.100000000006</v>
      </c>
      <c r="X61" s="15">
        <f>IFERROR(W61/W444, "NA")</f>
        <v>0.72073169451349084</v>
      </c>
      <c r="Y61" s="2"/>
      <c r="Z61" s="14">
        <f>IFERROR(Z46+Z47+Z48+Z49+Z50+Z51+Z52+Z53+Z54+Z55+Z56+Z57+Z58+Z59+Z60, "NA")</f>
        <v>170473.91</v>
      </c>
      <c r="AA61" s="15">
        <f>IFERROR(Z61/Z444, "NA")</f>
        <v>0.16040968297471075</v>
      </c>
      <c r="AB61" s="2"/>
      <c r="AC61" s="14">
        <f t="shared" si="15"/>
        <v>3493.1300000000047</v>
      </c>
      <c r="AD61" s="15">
        <f>IFERROR(AC61/AC444, "NA")</f>
        <v>6.2168037172006016E-2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20093.95</v>
      </c>
      <c r="C62" s="15">
        <f>IFERROR(B62/B444, "NA")</f>
        <v>0.18844640771148552</v>
      </c>
      <c r="D62" s="2"/>
      <c r="E62" s="14">
        <f>IFERROR(E42+E43+E44+E46+E47+E48+E49+E50+E51+E52+E53+E54+E55+E56+E57+E58+E59+E60, "NA")</f>
        <v>23688.48</v>
      </c>
      <c r="F62" s="15">
        <f>IFERROR(E62/E444, "NA")</f>
        <v>0.19899997983830317</v>
      </c>
      <c r="G62" s="2"/>
      <c r="H62" s="14">
        <f t="shared" si="12"/>
        <v>-3594.5299999999988</v>
      </c>
      <c r="I62" s="15">
        <f>IFERROR(H62/H444, "NA")</f>
        <v>0.28969268412195909</v>
      </c>
      <c r="J62" s="2"/>
      <c r="K62" s="14">
        <f>IFERROR(K42+K43+K44+K46+K47+K48+K49+K50+K51+K52+K53+K54+K55+K56+K57+K58+K59+K60, "NA")</f>
        <v>25065.83</v>
      </c>
      <c r="L62" s="15">
        <f>IFERROR(K62/K444, "NA")</f>
        <v>0.23162866197270301</v>
      </c>
      <c r="M62" s="2"/>
      <c r="N62" s="14">
        <f t="shared" si="13"/>
        <v>-4971.880000000001</v>
      </c>
      <c r="O62" s="15">
        <f>IFERROR(N62/N444, "NA")</f>
        <v>3.1347363908048926</v>
      </c>
      <c r="P62" s="2"/>
      <c r="Q62" s="14">
        <f>IFERROR(Q42+Q43+Q44+Q46+Q47+Q48+Q49+Q50+Q51+Q52+Q53+Q54+Q55+Q56+Q57+Q58+Q59+Q60, "NA")</f>
        <v>198470.12999999998</v>
      </c>
      <c r="R62" s="15">
        <f>IFERROR(Q62/Q444, "NA")</f>
        <v>0.17737504217089534</v>
      </c>
      <c r="S62" s="2"/>
      <c r="T62" s="14">
        <f>IFERROR(T42+T43+T44+T46+T47+T48+T49+T50+T51+T52+T53+T54+T55+T56+T57+T58+T59+T60, "NA")</f>
        <v>241242.14</v>
      </c>
      <c r="U62" s="15">
        <f>IFERROR(T62/T444, "NA")</f>
        <v>0.19899999840794813</v>
      </c>
      <c r="V62" s="2"/>
      <c r="W62" s="14">
        <f t="shared" si="14"/>
        <v>-42772.010000000038</v>
      </c>
      <c r="X62" s="15">
        <f>IFERROR(W62/W444, "NA")</f>
        <v>0.45822515678234593</v>
      </c>
      <c r="Y62" s="2"/>
      <c r="Z62" s="14">
        <f>IFERROR(Z42+Z43+Z44+Z46+Z47+Z48+Z49+Z50+Z51+Z52+Z53+Z54+Z55+Z56+Z57+Z58+Z59+Z60, "NA")</f>
        <v>190848.29</v>
      </c>
      <c r="AA62" s="15">
        <f>IFERROR(Z62/Z444, "NA")</f>
        <v>0.17958122562664083</v>
      </c>
      <c r="AB62" s="2"/>
      <c r="AC62" s="14">
        <f t="shared" si="15"/>
        <v>7621.8399999999674</v>
      </c>
      <c r="AD62" s="15">
        <f>IFERROR(AC62/AC444, "NA")</f>
        <v>0.13564763763131624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5667.36</v>
      </c>
      <c r="C65" s="8">
        <f>IFERROR(B65/B444, "NA")</f>
        <v>5.3150009490805165E-2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5667.36</v>
      </c>
      <c r="I65" s="8">
        <f>IFERROR(H65/H444, "NA")</f>
        <v>-0.45674753870058854</v>
      </c>
      <c r="J65" s="9"/>
      <c r="K65" s="7">
        <v>0</v>
      </c>
      <c r="L65" s="8">
        <f>IFERROR(K65/K444, "NA")</f>
        <v>0</v>
      </c>
      <c r="M65" s="9"/>
      <c r="N65" s="10">
        <f t="shared" si="17"/>
        <v>5667.36</v>
      </c>
      <c r="O65" s="8">
        <f>IFERROR(N65/N444, "NA")</f>
        <v>-3.5732317818998069</v>
      </c>
      <c r="P65" s="9"/>
      <c r="Q65" s="7">
        <v>19501.419999999998</v>
      </c>
      <c r="R65" s="8">
        <f>IFERROR(Q65/Q444, "NA")</f>
        <v>1.7428643770689027E-2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19501.419999999998</v>
      </c>
      <c r="X65" s="8">
        <f>IFERROR(W65/W444, "NA")</f>
        <v>-0.20892263975853292</v>
      </c>
      <c r="Y65" s="9"/>
      <c r="Z65" s="7">
        <v>2104.2800000000002</v>
      </c>
      <c r="AA65" s="8">
        <f>IFERROR(Z65/Z444, "NA")</f>
        <v>1.9800501301930856E-3</v>
      </c>
      <c r="AB65" s="9"/>
      <c r="AC65" s="10">
        <f t="shared" si="19"/>
        <v>17397.14</v>
      </c>
      <c r="AD65" s="8">
        <f>IFERROR(AC65/AC444, "NA")</f>
        <v>0.30962089764955536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11.85</v>
      </c>
      <c r="R66" s="8">
        <f>IFERROR(Q66/Q444, "NA")</f>
        <v>1.059048154865979E-5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-1.269514364153285E-4</v>
      </c>
      <c r="Y66" s="9"/>
      <c r="Z66" s="7">
        <v>12322.44</v>
      </c>
      <c r="AA66" s="8">
        <f>IFERROR(Z66/Z444, "NA")</f>
        <v>1.1594963087752812E-2</v>
      </c>
      <c r="AB66" s="9"/>
      <c r="AC66" s="10">
        <f t="shared" si="19"/>
        <v>-12310.59</v>
      </c>
      <c r="AD66" s="8">
        <f>IFERROR(AC66/AC444, "NA")</f>
        <v>-0.21909439864228486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5667.36</v>
      </c>
      <c r="C73" s="15">
        <f>IFERROR(B73/B444, "NA")</f>
        <v>5.3150009490805165E-2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5667.36</v>
      </c>
      <c r="I73" s="15">
        <f>IFERROR(H73/H444, "NA")</f>
        <v>-0.45674753870058854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5667.36</v>
      </c>
      <c r="O73" s="15">
        <f>IFERROR(N73/N444, "NA")</f>
        <v>-3.5732317818998069</v>
      </c>
      <c r="P73" s="2"/>
      <c r="Q73" s="14">
        <f>IFERROR(Q64+Q65+Q66+Q67+Q68+Q69+Q70+Q71+Q72, "NA")</f>
        <v>19513.269999999997</v>
      </c>
      <c r="R73" s="15">
        <f>IFERROR(Q73/Q444, "NA")</f>
        <v>1.7439234252237687E-2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19513.269999999997</v>
      </c>
      <c r="X73" s="15">
        <f>IFERROR(W73/W444, "NA")</f>
        <v>-0.20904959119494823</v>
      </c>
      <c r="Y73" s="2"/>
      <c r="Z73" s="14">
        <f>IFERROR(Z64+Z65+Z66+Z67+Z68+Z69+Z70+Z71+Z72, "NA")</f>
        <v>14426.720000000001</v>
      </c>
      <c r="AA73" s="15">
        <f>IFERROR(Z73/Z444, "NA")</f>
        <v>1.3575013217945898E-2</v>
      </c>
      <c r="AB73" s="2"/>
      <c r="AC73" s="14">
        <f t="shared" si="19"/>
        <v>5086.5499999999956</v>
      </c>
      <c r="AD73" s="15">
        <f>IFERROR(AC73/AC444, "NA")</f>
        <v>9.0526499007270417E-2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1547.49</v>
      </c>
      <c r="F75" s="8">
        <f>IFERROR(E75/E444, "NA")</f>
        <v>1.3000010080848404E-2</v>
      </c>
      <c r="G75" s="9"/>
      <c r="H75" s="10">
        <f t="shared" ref="H75:H92" si="20">IFERROR(B75-E75, "NA")</f>
        <v>-1547.49</v>
      </c>
      <c r="I75" s="8">
        <f>IFERROR(H75/H444, "NA")</f>
        <v>0.12471631388579053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15759.54</v>
      </c>
      <c r="U75" s="8">
        <f>IFERROR(T75/T444, "NA")</f>
        <v>1.3000002548932766E-2</v>
      </c>
      <c r="V75" s="9"/>
      <c r="W75" s="10">
        <f t="shared" ref="W75:W92" si="22">IFERROR(Q75-T75, "NA")</f>
        <v>-15759.54</v>
      </c>
      <c r="X75" s="8">
        <f>IFERROR(W75/W444, "NA")</f>
        <v>0.16883512575905707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257.39</v>
      </c>
      <c r="C77" s="8">
        <f>IFERROR(B77/B444, "NA")</f>
        <v>2.4138718808825173E-3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257.39</v>
      </c>
      <c r="I77" s="8">
        <f>IFERROR(H77/H444, "NA")</f>
        <v>-2.0743741175105249E-2</v>
      </c>
      <c r="J77" s="9"/>
      <c r="K77" s="7">
        <v>177.51</v>
      </c>
      <c r="L77" s="8">
        <f>IFERROR(K77/K444, "NA")</f>
        <v>1.6403368165655997E-3</v>
      </c>
      <c r="M77" s="9"/>
      <c r="N77" s="10">
        <f t="shared" si="21"/>
        <v>79.88</v>
      </c>
      <c r="O77" s="8">
        <f>IFERROR(N77/N444, "NA")</f>
        <v>-5.0363794560104987E-2</v>
      </c>
      <c r="P77" s="9"/>
      <c r="Q77" s="7">
        <v>2651.22</v>
      </c>
      <c r="R77" s="8">
        <f>IFERROR(Q77/Q444, "NA")</f>
        <v>2.3694258642563549E-3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2651.22</v>
      </c>
      <c r="X77" s="8">
        <f>IFERROR(W77/W444, "NA")</f>
        <v>-2.8403053776628454E-2</v>
      </c>
      <c r="Y77" s="9"/>
      <c r="Z77" s="7">
        <v>865.08</v>
      </c>
      <c r="AA77" s="8">
        <f>IFERROR(Z77/Z444, "NA")</f>
        <v>8.1400848110870915E-4</v>
      </c>
      <c r="AB77" s="9"/>
      <c r="AC77" s="10">
        <f t="shared" si="23"/>
        <v>1786.1399999999999</v>
      </c>
      <c r="AD77" s="8">
        <f>IFERROR(AC77/AC444, "NA")</f>
        <v>3.1788343953533554E-2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5.1100000000000003</v>
      </c>
      <c r="R79" s="8">
        <f>IFERROR(Q79/Q444, "NA")</f>
        <v>4.566865883008568E-6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-5.4744459078677521E-5</v>
      </c>
      <c r="Y79" s="9"/>
      <c r="Z79" s="7">
        <v>17.940000000000001</v>
      </c>
      <c r="AA79" s="8">
        <f>IFERROR(Z79/Z444, "NA")</f>
        <v>1.6880880555659873E-5</v>
      </c>
      <c r="AB79" s="9"/>
      <c r="AC79" s="10">
        <f t="shared" si="23"/>
        <v>-12.830000000000002</v>
      </c>
      <c r="AD79" s="8">
        <f>IFERROR(AC79/AC444, "NA")</f>
        <v>-2.2833845774902057E-4</v>
      </c>
    </row>
    <row r="80" spans="1:30" ht="16.5" customHeight="1" x14ac:dyDescent="0.45">
      <c r="A80" s="12" t="s">
        <v>76</v>
      </c>
      <c r="B80" s="7">
        <v>1390</v>
      </c>
      <c r="C80" s="8">
        <f>IFERROR(B80/B444, "NA")</f>
        <v>1.303578971376782E-2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1390</v>
      </c>
      <c r="I80" s="8">
        <f>IFERROR(H80/H444, "NA")</f>
        <v>-0.11202377805430008</v>
      </c>
      <c r="J80" s="9"/>
      <c r="K80" s="7">
        <v>2214.87</v>
      </c>
      <c r="L80" s="8">
        <f>IFERROR(K80/K444, "NA")</f>
        <v>2.0467200748727678E-2</v>
      </c>
      <c r="M80" s="9"/>
      <c r="N80" s="10">
        <f t="shared" si="21"/>
        <v>-824.86999999999989</v>
      </c>
      <c r="O80" s="8">
        <f>IFERROR(N80/N444, "NA")</f>
        <v>0.52007490258880562</v>
      </c>
      <c r="P80" s="9"/>
      <c r="Q80" s="7">
        <v>11830.41</v>
      </c>
      <c r="R80" s="8">
        <f>IFERROR(Q80/Q444, "NA")</f>
        <v>1.0572973739922385E-2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11830.41</v>
      </c>
      <c r="X80" s="8">
        <f>IFERROR(W80/W444, "NA")</f>
        <v>-0.12674156480019125</v>
      </c>
      <c r="Y80" s="9"/>
      <c r="Z80" s="7">
        <v>14649.35</v>
      </c>
      <c r="AA80" s="8">
        <f>IFERROR(Z80/Z444, "NA")</f>
        <v>1.3784499864440131E-2</v>
      </c>
      <c r="AB80" s="9"/>
      <c r="AC80" s="10">
        <f t="shared" si="23"/>
        <v>-2818.9400000000005</v>
      </c>
      <c r="AD80" s="8">
        <f>IFERROR(AC80/AC444, "NA")</f>
        <v>-5.0169322843883403E-2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1647.3899999999999</v>
      </c>
      <c r="C88" s="15">
        <f>IFERROR(B88/B444, "NA")</f>
        <v>1.5449661594650336E-2</v>
      </c>
      <c r="D88" s="2"/>
      <c r="E88" s="14">
        <f>IFERROR(E75+E76+E77+E78+E79+E80+E81+E82+E83+E84+E85+E86+E87, "NA")</f>
        <v>1547.49</v>
      </c>
      <c r="F88" s="15">
        <f>IFERROR(E88/E444, "NA")</f>
        <v>1.3000010080848404E-2</v>
      </c>
      <c r="G88" s="2"/>
      <c r="H88" s="14">
        <f t="shared" si="20"/>
        <v>99.899999999999864</v>
      </c>
      <c r="I88" s="15">
        <f>IFERROR(H88/H444, "NA")</f>
        <v>-8.0512053436147934E-3</v>
      </c>
      <c r="J88" s="2"/>
      <c r="K88" s="14">
        <f>IFERROR(K75+K76+K77+K78+K79+K80+K81+K82+K83+K84+K85+K86+K87, "NA")</f>
        <v>2392.38</v>
      </c>
      <c r="L88" s="15">
        <f>IFERROR(K88/K444, "NA")</f>
        <v>2.2107537565293277E-2</v>
      </c>
      <c r="M88" s="2"/>
      <c r="N88" s="14">
        <f t="shared" si="21"/>
        <v>-744.99000000000024</v>
      </c>
      <c r="O88" s="15">
        <f>IFERROR(N88/N444, "NA")</f>
        <v>0.46971110802870086</v>
      </c>
      <c r="P88" s="2"/>
      <c r="Q88" s="14">
        <f>IFERROR(Q75+Q76+Q77+Q78+Q79+Q80+Q81+Q82+Q83+Q84+Q85+Q86+Q87, "NA")</f>
        <v>14486.74</v>
      </c>
      <c r="R88" s="15">
        <f>IFERROR(Q88/Q444, "NA")</f>
        <v>1.2946966470061749E-2</v>
      </c>
      <c r="S88" s="2"/>
      <c r="T88" s="14">
        <f>IFERROR(T75+T76+T77+T78+T79+T80+T81+T82+T83+T84+T85+T86+T87, "NA")</f>
        <v>15759.54</v>
      </c>
      <c r="U88" s="15">
        <f>IFERROR(T88/T444, "NA")</f>
        <v>1.3000002548932766E-2</v>
      </c>
      <c r="V88" s="2"/>
      <c r="W88" s="14">
        <f t="shared" si="22"/>
        <v>-1272.8000000000011</v>
      </c>
      <c r="X88" s="15">
        <f>IFERROR(W88/W444, "NA")</f>
        <v>1.3635762723158671E-2</v>
      </c>
      <c r="Y88" s="2"/>
      <c r="Z88" s="14">
        <f>IFERROR(Z75+Z76+Z77+Z78+Z79+Z80+Z81+Z82+Z83+Z84+Z85+Z86+Z87, "NA")</f>
        <v>15532.37</v>
      </c>
      <c r="AA88" s="15">
        <f>IFERROR(Z88/Z444, "NA")</f>
        <v>1.4615389226104501E-2</v>
      </c>
      <c r="AB88" s="2"/>
      <c r="AC88" s="14">
        <f t="shared" si="23"/>
        <v>-1045.630000000001</v>
      </c>
      <c r="AD88" s="15">
        <f>IFERROR(AC88/AC444, "NA")</f>
        <v>-1.8609317348098876E-2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121.65</v>
      </c>
      <c r="R89" s="8">
        <f>IFERROR(Q89/Q444, "NA")</f>
        <v>1.0872000678434292E-4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121.65</v>
      </c>
      <c r="X89" s="8">
        <f>IFERROR(W89/W444, "NA")</f>
        <v>-1.3032609485168533E-3</v>
      </c>
      <c r="Y89" s="9"/>
      <c r="Z89" s="7">
        <v>1317.44</v>
      </c>
      <c r="AA89" s="8">
        <f>IFERROR(Z89/Z444, "NA")</f>
        <v>1.2396626131130736E-3</v>
      </c>
      <c r="AB89" s="9"/>
      <c r="AC89" s="10">
        <f t="shared" si="23"/>
        <v>-1195.79</v>
      </c>
      <c r="AD89" s="8">
        <f>IFERROR(AC89/AC444, "NA")</f>
        <v>-2.1281749368020363E-2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-4166.32</v>
      </c>
      <c r="F94" s="8">
        <f>IFERROR(E94/E444, "NA")</f>
        <v>-3.500003360282801E-2</v>
      </c>
      <c r="G94" s="9"/>
      <c r="H94" s="10">
        <f t="shared" ref="H94:H124" si="24">IFERROR(B94-E94, "NA")</f>
        <v>4166.32</v>
      </c>
      <c r="I94" s="8">
        <f>IFERROR(H94/H444, "NA")</f>
        <v>-0.33577475322531763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-42429.51</v>
      </c>
      <c r="U94" s="8">
        <f>IFERROR(T94/T444, "NA")</f>
        <v>-3.4999989730028179E-2</v>
      </c>
      <c r="V94" s="9"/>
      <c r="W94" s="10">
        <f t="shared" ref="W94:W124" si="26">IFERROR(Q94-T94, "NA")</f>
        <v>42429.51</v>
      </c>
      <c r="X94" s="8">
        <f>IFERROR(W94/W444, "NA")</f>
        <v>-0.45455588530789409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-1630.85</v>
      </c>
      <c r="C96" s="8">
        <f>IFERROR(B96/B444, "NA")</f>
        <v>-1.5294545075322479E-2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-1630.85</v>
      </c>
      <c r="I96" s="8">
        <f>IFERROR(H96/H444, "NA")</f>
        <v>0.13143451686320523</v>
      </c>
      <c r="J96" s="9"/>
      <c r="K96" s="7">
        <v>-213.15</v>
      </c>
      <c r="L96" s="8">
        <f>IFERROR(K96/K444, "NA")</f>
        <v>-1.9696794121511893E-3</v>
      </c>
      <c r="M96" s="9"/>
      <c r="N96" s="10">
        <f t="shared" si="25"/>
        <v>-1417.6999999999998</v>
      </c>
      <c r="O96" s="8">
        <f>IFERROR(N96/N444, "NA")</f>
        <v>0.89385016960266439</v>
      </c>
      <c r="P96" s="9"/>
      <c r="Q96" s="7">
        <v>-16825.82</v>
      </c>
      <c r="R96" s="8">
        <f>IFERROR(Q96/Q444, "NA")</f>
        <v>-1.5037429219499651E-2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-16825.82</v>
      </c>
      <c r="X96" s="8">
        <f>IFERROR(W96/W444, "NA")</f>
        <v>0.18025839813213185</v>
      </c>
      <c r="Y96" s="9"/>
      <c r="Z96" s="7">
        <v>-1159.06</v>
      </c>
      <c r="AA96" s="8">
        <f>IFERROR(Z96/Z444, "NA")</f>
        <v>-1.0906328548964956E-3</v>
      </c>
      <c r="AB96" s="9"/>
      <c r="AC96" s="10">
        <f t="shared" si="27"/>
        <v>-15666.76</v>
      </c>
      <c r="AD96" s="8">
        <f>IFERROR(AC96/AC444, "NA")</f>
        <v>-0.27882492722712743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-2067.9499999999998</v>
      </c>
      <c r="C98" s="8">
        <f>IFERROR(B98/B444, "NA")</f>
        <v>-1.9393785135673497E-2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-2067.9499999999998</v>
      </c>
      <c r="I98" s="8">
        <f>IFERROR(H98/H444, "NA")</f>
        <v>0.16666156246574809</v>
      </c>
      <c r="J98" s="9"/>
      <c r="K98" s="7">
        <v>-3250.91</v>
      </c>
      <c r="L98" s="8">
        <f>IFERROR(K98/K444, "NA")</f>
        <v>-3.0041053238359944E-2</v>
      </c>
      <c r="M98" s="9"/>
      <c r="N98" s="10">
        <f t="shared" si="25"/>
        <v>1182.96</v>
      </c>
      <c r="O98" s="8">
        <f>IFERROR(N98/N444, "NA")</f>
        <v>-0.74584820246396843</v>
      </c>
      <c r="P98" s="9"/>
      <c r="Q98" s="7">
        <v>-25400.15</v>
      </c>
      <c r="R98" s="8">
        <f>IFERROR(Q98/Q444, "NA")</f>
        <v>-2.2700406743307255E-2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-25400.15</v>
      </c>
      <c r="X98" s="8">
        <f>IFERROR(W98/W444, "NA")</f>
        <v>0.27211692216580646</v>
      </c>
      <c r="Y98" s="9"/>
      <c r="Z98" s="7">
        <v>-22818.32</v>
      </c>
      <c r="AA98" s="8">
        <f>IFERROR(Z98/Z444, "NA")</f>
        <v>-2.1471200356790676E-2</v>
      </c>
      <c r="AB98" s="9"/>
      <c r="AC98" s="10">
        <f t="shared" si="27"/>
        <v>-2581.8300000000017</v>
      </c>
      <c r="AD98" s="8">
        <f>IFERROR(AC98/AC444, "NA")</f>
        <v>-4.594942169681638E-2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0</v>
      </c>
      <c r="C100" s="8">
        <f>IFERROR(B100/B444, "NA")</f>
        <v>0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0</v>
      </c>
      <c r="I100" s="8">
        <f>IFERROR(H100/H444, "NA")</f>
        <v>0</v>
      </c>
      <c r="J100" s="9"/>
      <c r="K100" s="7">
        <v>-6.5</v>
      </c>
      <c r="L100" s="8">
        <f>IFERROR(K100/K444, "NA")</f>
        <v>-6.0065288196025009E-5</v>
      </c>
      <c r="M100" s="9"/>
      <c r="N100" s="10">
        <f t="shared" si="25"/>
        <v>6.5</v>
      </c>
      <c r="O100" s="8">
        <f>IFERROR(N100/N444, "NA")</f>
        <v>-4.0982056164331803E-3</v>
      </c>
      <c r="P100" s="9"/>
      <c r="Q100" s="7">
        <v>-1584.34</v>
      </c>
      <c r="R100" s="8">
        <f>IFERROR(Q100/Q444, "NA")</f>
        <v>-1.4159429144981984E-3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-1584.34</v>
      </c>
      <c r="X100" s="8">
        <f>IFERROR(W100/W444, "NA")</f>
        <v>1.6973353482722494E-2</v>
      </c>
      <c r="Y100" s="9"/>
      <c r="Z100" s="7">
        <v>-4787.26</v>
      </c>
      <c r="AA100" s="8">
        <f>IFERROR(Z100/Z444, "NA")</f>
        <v>-4.504635688343828E-3</v>
      </c>
      <c r="AB100" s="9"/>
      <c r="AC100" s="10">
        <f t="shared" si="27"/>
        <v>3202.92</v>
      </c>
      <c r="AD100" s="8">
        <f>IFERROR(AC100/AC444, "NA")</f>
        <v>5.7003103124979963E-2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-678.42</v>
      </c>
      <c r="C102" s="8">
        <f>IFERROR(B102/B444, "NA")</f>
        <v>-6.3624032069168083E-3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-678.42</v>
      </c>
      <c r="I102" s="8">
        <f>IFERROR(H102/H444, "NA")</f>
        <v>5.467566295510666E-2</v>
      </c>
      <c r="J102" s="9"/>
      <c r="K102" s="7">
        <v>-596.11</v>
      </c>
      <c r="L102" s="8">
        <f>IFERROR(K102/K444, "NA")</f>
        <v>-5.5085413763896101E-3</v>
      </c>
      <c r="M102" s="9"/>
      <c r="N102" s="10">
        <f t="shared" si="25"/>
        <v>-82.309999999999945</v>
      </c>
      <c r="O102" s="8">
        <f>IFERROR(N102/N444, "NA")</f>
        <v>5.1895892967479207E-2</v>
      </c>
      <c r="P102" s="9"/>
      <c r="Q102" s="7">
        <v>-13170.75</v>
      </c>
      <c r="R102" s="8">
        <f>IFERROR(Q102/Q444, "NA")</f>
        <v>-1.1770851042785732E-2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-13170.75</v>
      </c>
      <c r="X102" s="8">
        <f>IFERROR(W102/W444, "NA")</f>
        <v>0.14110089714491036</v>
      </c>
      <c r="Y102" s="9"/>
      <c r="Z102" s="7">
        <v>-4294.03</v>
      </c>
      <c r="AA102" s="8">
        <f>IFERROR(Z102/Z444, "NA")</f>
        <v>-4.0405243886521827E-3</v>
      </c>
      <c r="AB102" s="9"/>
      <c r="AC102" s="10">
        <f t="shared" si="27"/>
        <v>-8876.7200000000012</v>
      </c>
      <c r="AD102" s="8">
        <f>IFERROR(AC102/AC444, "NA")</f>
        <v>-0.15798102530552502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-932.87</v>
      </c>
      <c r="C104" s="8">
        <f>IFERROR(B104/B444, "NA")</f>
        <v>-8.7487029858148106E-3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-932.87</v>
      </c>
      <c r="I104" s="8">
        <f>IFERROR(H104/H444, "NA")</f>
        <v>7.5182461750730165E-2</v>
      </c>
      <c r="J104" s="9"/>
      <c r="K104" s="7">
        <v>-1132.52</v>
      </c>
      <c r="L104" s="8">
        <f>IFERROR(K104/K444, "NA")</f>
        <v>-1.0465406182732652E-2</v>
      </c>
      <c r="M104" s="9"/>
      <c r="N104" s="10">
        <f t="shared" si="25"/>
        <v>199.64999999999998</v>
      </c>
      <c r="O104" s="8">
        <f>IFERROR(N104/N444, "NA")</f>
        <v>-0.12587796174167451</v>
      </c>
      <c r="P104" s="9"/>
      <c r="Q104" s="7">
        <v>-10776.4</v>
      </c>
      <c r="R104" s="8">
        <f>IFERROR(Q104/Q444, "NA")</f>
        <v>-9.6309928574664447E-3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-10776.4</v>
      </c>
      <c r="X104" s="8">
        <f>IFERROR(W104/W444, "NA")</f>
        <v>0.11544974340811358</v>
      </c>
      <c r="Y104" s="9"/>
      <c r="Z104" s="7">
        <v>-7867.32</v>
      </c>
      <c r="AA104" s="8">
        <f>IFERROR(Z104/Z444, "NA")</f>
        <v>-7.4028589304991092E-3</v>
      </c>
      <c r="AB104" s="9"/>
      <c r="AC104" s="10">
        <f t="shared" si="27"/>
        <v>-2909.08</v>
      </c>
      <c r="AD104" s="8">
        <f>IFERROR(AC104/AC444, "NA")</f>
        <v>-5.1773565133945494E-2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-25</v>
      </c>
      <c r="C106" s="8">
        <f>IFERROR(B106/B444, "NA")</f>
        <v>-2.3445664952819817E-4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-25</v>
      </c>
      <c r="I106" s="8">
        <f>IFERROR(H106/H444, "NA")</f>
        <v>2.0148161520557569E-3</v>
      </c>
      <c r="J106" s="9"/>
      <c r="K106" s="7">
        <v>-517.1</v>
      </c>
      <c r="L106" s="8">
        <f>IFERROR(K106/K444, "NA")</f>
        <v>-4.778424696333005E-3</v>
      </c>
      <c r="M106" s="9"/>
      <c r="N106" s="10">
        <f t="shared" si="25"/>
        <v>492.1</v>
      </c>
      <c r="O106" s="8">
        <f>IFERROR(N106/N444, "NA")</f>
        <v>-0.31026568982257968</v>
      </c>
      <c r="P106" s="9"/>
      <c r="Q106" s="7">
        <v>-1221.24</v>
      </c>
      <c r="R106" s="8">
        <f>IFERROR(Q106/Q444, "NA")</f>
        <v>-1.0914362604628931E-3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-1221.24</v>
      </c>
      <c r="X106" s="8">
        <f>IFERROR(W106/W444, "NA")</f>
        <v>1.3083390059734664E-2</v>
      </c>
      <c r="Y106" s="9"/>
      <c r="Z106" s="7">
        <v>-2081.41</v>
      </c>
      <c r="AA106" s="8">
        <f>IFERROR(Z106/Z444, "NA")</f>
        <v>-1.9585303008559651E-3</v>
      </c>
      <c r="AB106" s="9"/>
      <c r="AC106" s="10">
        <f t="shared" si="27"/>
        <v>860.16999999999985</v>
      </c>
      <c r="AD106" s="8">
        <f>IFERROR(AC106/AC444, "NA")</f>
        <v>1.530864311784684E-2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-4.7048162083778908E-6</v>
      </c>
      <c r="AB108" s="9"/>
      <c r="AC108" s="10">
        <f t="shared" si="27"/>
        <v>5</v>
      </c>
      <c r="AD108" s="8">
        <f>IFERROR(AC108/AC444, "NA")</f>
        <v>8.8986148772026712E-5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-5335.0899999999992</v>
      </c>
      <c r="C118" s="15">
        <f>IFERROR(B118/B444, "NA")</f>
        <v>-5.0033893053255785E-2</v>
      </c>
      <c r="D118" s="2"/>
      <c r="E118" s="14">
        <f>IFERROR(E94+E95+E96+E97+E98+E99+E100+E101+E102+E103+E104+E105+E106+E107+E108+E109+E110+E111+E112+E113+E114+E115+E116+E117, "NA")</f>
        <v>-4166.32</v>
      </c>
      <c r="F118" s="15">
        <f>IFERROR(E118/E444, "NA")</f>
        <v>-3.500003360282801E-2</v>
      </c>
      <c r="G118" s="2"/>
      <c r="H118" s="14">
        <f t="shared" si="24"/>
        <v>-1168.7699999999995</v>
      </c>
      <c r="I118" s="15">
        <f>IFERROR(H118/H444, "NA")</f>
        <v>9.4194266961528245E-2</v>
      </c>
      <c r="J118" s="2"/>
      <c r="K118" s="14">
        <f>IFERROR(K94+K95+K96+K97+K98+K99+K100+K101+K102+K103+K104+K105+K106+K107+K108+K109+K110+K111+K112+K113+K114+K115+K116+K117, "NA")</f>
        <v>-5716.2900000000009</v>
      </c>
      <c r="L118" s="15">
        <f>IFERROR(K118/K444, "NA")</f>
        <v>-5.2823170194162439E-2</v>
      </c>
      <c r="M118" s="2"/>
      <c r="N118" s="14">
        <f t="shared" si="25"/>
        <v>381.20000000000164</v>
      </c>
      <c r="O118" s="15">
        <f>IFERROR(N118/N444, "NA")</f>
        <v>-0.24034399707451307</v>
      </c>
      <c r="P118" s="2"/>
      <c r="Q118" s="14">
        <f>IFERROR(Q94+Q95+Q96+Q97+Q98+Q99+Q100+Q101+Q102+Q103+Q104+Q105+Q106+Q107+Q108+Q109+Q110+Q111+Q112+Q113+Q114+Q115+Q116+Q117, "NA")</f>
        <v>-68978.7</v>
      </c>
      <c r="R118" s="15">
        <f>IFERROR(Q118/Q444, "NA")</f>
        <v>-6.1647059038020174E-2</v>
      </c>
      <c r="S118" s="2"/>
      <c r="T118" s="14">
        <f>IFERROR(T94+T95+T96+T97+T98+T99+T100+T101+T102+T103+T104+T105+T106+T107+T108+T109+T110+T111+T112+T113+T114+T115+T116+T117, "NA")</f>
        <v>-42429.51</v>
      </c>
      <c r="U118" s="15">
        <f>IFERROR(T118/T444, "NA")</f>
        <v>-3.4999989730028179E-2</v>
      </c>
      <c r="V118" s="2"/>
      <c r="W118" s="14">
        <f t="shared" si="26"/>
        <v>-26549.189999999995</v>
      </c>
      <c r="X118" s="15">
        <f>IFERROR(W118/W444, "NA")</f>
        <v>0.28442681908552525</v>
      </c>
      <c r="Y118" s="2"/>
      <c r="Z118" s="14">
        <f>IFERROR(Z94+Z95+Z96+Z97+Z98+Z99+Z100+Z101+Z102+Z103+Z104+Z105+Z106+Z107+Z108+Z109+Z110+Z111+Z112+Z113+Z114+Z115+Z116+Z117, "NA")</f>
        <v>-43012.399999999994</v>
      </c>
      <c r="AA118" s="15">
        <f>IFERROR(Z118/Z444, "NA")</f>
        <v>-4.0473087336246633E-2</v>
      </c>
      <c r="AB118" s="2"/>
      <c r="AC118" s="14">
        <f t="shared" si="27"/>
        <v>-25966.300000000003</v>
      </c>
      <c r="AD118" s="15">
        <f>IFERROR(AC118/AC444, "NA")</f>
        <v>-0.4621282069718155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106629.52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119037.59999999998</v>
      </c>
      <c r="F122" s="15">
        <f>IFERROR(E122/E444, "NA")</f>
        <v>0.99999999999999978</v>
      </c>
      <c r="G122" s="2"/>
      <c r="H122" s="14">
        <f t="shared" si="24"/>
        <v>-12408.079999999973</v>
      </c>
      <c r="I122" s="15">
        <f>IFERROR(H122/H444, "NA")</f>
        <v>0.99999999999999767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108215.58</v>
      </c>
      <c r="L122" s="15">
        <f>IFERROR(K122/K444, "NA")</f>
        <v>1</v>
      </c>
      <c r="M122" s="2"/>
      <c r="N122" s="14">
        <f t="shared" si="25"/>
        <v>-1586.0599999999977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1118929.2899999998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1212272.07</v>
      </c>
      <c r="U122" s="15">
        <f>IFERROR(T122/T444, "NA")</f>
        <v>1</v>
      </c>
      <c r="V122" s="2"/>
      <c r="W122" s="14">
        <f t="shared" si="26"/>
        <v>-93342.780000000261</v>
      </c>
      <c r="X122" s="15">
        <f>IFERROR(W122/W444, "NA")</f>
        <v>1.0000000000000024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1062740.7699999998</v>
      </c>
      <c r="AA122" s="15">
        <f>IFERROR(Z122/Z444, "NA")</f>
        <v>0.99999999999999978</v>
      </c>
      <c r="AB122" s="2"/>
      <c r="AC122" s="14">
        <f t="shared" si="27"/>
        <v>56188.520000000019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106629.52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119037.59999999998</v>
      </c>
      <c r="F124" s="15">
        <f>IFERROR(E124/E444, "NA")</f>
        <v>0.99999999999999978</v>
      </c>
      <c r="G124" s="2"/>
      <c r="H124" s="14">
        <f t="shared" si="24"/>
        <v>-12408.079999999973</v>
      </c>
      <c r="I124" s="15">
        <f>IFERROR(H124/H444, "NA")</f>
        <v>0.99999999999999767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108215.58</v>
      </c>
      <c r="L124" s="15">
        <f>IFERROR(K124/K444, "NA")</f>
        <v>1</v>
      </c>
      <c r="M124" s="2"/>
      <c r="N124" s="14">
        <f t="shared" si="25"/>
        <v>-1586.0599999999977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1118929.2899999998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1212272.07</v>
      </c>
      <c r="U124" s="15">
        <f>IFERROR(T124/T444, "NA")</f>
        <v>1</v>
      </c>
      <c r="V124" s="2"/>
      <c r="W124" s="14">
        <f t="shared" si="26"/>
        <v>-93342.780000000261</v>
      </c>
      <c r="X124" s="15">
        <f>IFERROR(W124/W444, "NA")</f>
        <v>1.0000000000000024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1062740.7699999998</v>
      </c>
      <c r="AA124" s="15">
        <f>IFERROR(Z124/Z444, "NA")</f>
        <v>0.99999999999999978</v>
      </c>
      <c r="AB124" s="2"/>
      <c r="AC124" s="14">
        <f t="shared" si="27"/>
        <v>56188.520000000019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26545.38</v>
      </c>
      <c r="F129" s="8">
        <f>IFERROR(E129/E444, "NA")</f>
        <v>0.22299995967660638</v>
      </c>
      <c r="G129" s="9"/>
      <c r="H129" s="10">
        <f t="shared" ref="H129:H141" si="28">IFERROR(-(B129-E129), "NA")</f>
        <v>26545.38</v>
      </c>
      <c r="I129" s="8">
        <f>IFERROR(H129/H444, "NA")</f>
        <v>-2.1393624154583142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280739.81</v>
      </c>
      <c r="U129" s="8">
        <f>IFERROR(T129/T444, "NA")</f>
        <v>0.23158152113493796</v>
      </c>
      <c r="V129" s="9"/>
      <c r="W129" s="10">
        <f t="shared" ref="W129:W141" si="30">IFERROR(-(Q129-T129), "NA")</f>
        <v>280739.81</v>
      </c>
      <c r="X129" s="8">
        <f>IFERROR(W129/W444, "NA")</f>
        <v>-3.00762212138957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5173.5600000000004</v>
      </c>
      <c r="C130" s="8">
        <f>IFERROR(B130/B444, "NA")</f>
        <v>4.8519021749324202E-2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-5173.5600000000004</v>
      </c>
      <c r="I130" s="8">
        <f>IFERROR(H130/H444, "NA")</f>
        <v>0.41695089006518332</v>
      </c>
      <c r="J130" s="9"/>
      <c r="K130" s="7">
        <v>7341.14</v>
      </c>
      <c r="L130" s="8">
        <f>IFERROR(K130/K444, "NA")</f>
        <v>6.783810612113339E-2</v>
      </c>
      <c r="M130" s="9"/>
      <c r="N130" s="10">
        <f t="shared" si="29"/>
        <v>2167.58</v>
      </c>
      <c r="O130" s="8">
        <f>IFERROR(N130/N444, "NA")</f>
        <v>-1.3666443892412665</v>
      </c>
      <c r="P130" s="9"/>
      <c r="Q130" s="7">
        <v>60233.05</v>
      </c>
      <c r="R130" s="8">
        <f>IFERROR(Q130/Q444, "NA")</f>
        <v>5.3830970856076167E-2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-60233.05</v>
      </c>
      <c r="X130" s="8">
        <f>IFERROR(W130/W444, "NA")</f>
        <v>0.64528879469842215</v>
      </c>
      <c r="Y130" s="9"/>
      <c r="Z130" s="7">
        <v>68333.039999999994</v>
      </c>
      <c r="AA130" s="8">
        <f>IFERROR(Z130/Z444, "NA")</f>
        <v>6.4298878831946946E-2</v>
      </c>
      <c r="AB130" s="9"/>
      <c r="AC130" s="10">
        <f t="shared" si="31"/>
        <v>8099.9899999999907</v>
      </c>
      <c r="AD130" s="8">
        <f>IFERROR(AC130/AC444, "NA")</f>
        <v>0.14415738303838557</v>
      </c>
    </row>
    <row r="131" spans="1:30" ht="16.5" customHeight="1" x14ac:dyDescent="0.45">
      <c r="A131" s="12" t="s">
        <v>123</v>
      </c>
      <c r="B131" s="7">
        <v>3680.02</v>
      </c>
      <c r="C131" s="8">
        <f>IFERROR(B131/B444, "NA")</f>
        <v>3.4512206375870394E-2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-3680.02</v>
      </c>
      <c r="I131" s="8">
        <f>IFERROR(H131/H444, "NA")</f>
        <v>0.29658254943552909</v>
      </c>
      <c r="J131" s="9"/>
      <c r="K131" s="7">
        <v>4336.59</v>
      </c>
      <c r="L131" s="8">
        <f>IFERROR(K131/K444, "NA")</f>
        <v>4.0073619713538476E-2</v>
      </c>
      <c r="M131" s="9"/>
      <c r="N131" s="10">
        <f t="shared" si="29"/>
        <v>656.57000000000016</v>
      </c>
      <c r="O131" s="8">
        <f>IFERROR(N131/N444, "NA")</f>
        <v>-0.41396290178177442</v>
      </c>
      <c r="P131" s="9"/>
      <c r="Q131" s="7">
        <v>36074.11</v>
      </c>
      <c r="R131" s="8">
        <f>IFERROR(Q131/Q444, "NA")</f>
        <v>3.2239847792347988E-2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-36074.11</v>
      </c>
      <c r="X131" s="8">
        <f>IFERROR(W131/W444, "NA")</f>
        <v>0.38646920522401401</v>
      </c>
      <c r="Y131" s="9"/>
      <c r="Z131" s="7">
        <v>36405.67</v>
      </c>
      <c r="AA131" s="8">
        <f>IFERROR(Z131/Z444, "NA")</f>
        <v>3.4256397258571346E-2</v>
      </c>
      <c r="AB131" s="9"/>
      <c r="AC131" s="10">
        <f t="shared" si="31"/>
        <v>331.55999999999767</v>
      </c>
      <c r="AD131" s="8">
        <f>IFERROR(AC131/AC444, "NA")</f>
        <v>5.900849497370594E-3</v>
      </c>
    </row>
    <row r="132" spans="1:30" ht="16.5" customHeight="1" x14ac:dyDescent="0.45">
      <c r="A132" s="12" t="s">
        <v>124</v>
      </c>
      <c r="B132" s="7">
        <v>4481.92</v>
      </c>
      <c r="C132" s="8">
        <f>IFERROR(B132/B444, "NA")</f>
        <v>4.2032637866136882E-2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-4481.92</v>
      </c>
      <c r="I132" s="8">
        <f>IFERROR(H132/H444, "NA")</f>
        <v>0.36120979232886952</v>
      </c>
      <c r="J132" s="9"/>
      <c r="K132" s="7">
        <v>4096.84</v>
      </c>
      <c r="L132" s="8">
        <f>IFERROR(K132/K444, "NA")</f>
        <v>3.7858134660462013E-2</v>
      </c>
      <c r="M132" s="9"/>
      <c r="N132" s="10">
        <f t="shared" si="29"/>
        <v>-385.07999999999993</v>
      </c>
      <c r="O132" s="8">
        <f>IFERROR(N132/N444, "NA")</f>
        <v>0.24279031058093672</v>
      </c>
      <c r="P132" s="9"/>
      <c r="Q132" s="7">
        <v>52728.39</v>
      </c>
      <c r="R132" s="8">
        <f>IFERROR(Q132/Q444, "NA")</f>
        <v>4.7123969737176148E-2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-52728.39</v>
      </c>
      <c r="X132" s="8">
        <f>IFERROR(W132/W444, "NA")</f>
        <v>0.56488986079051839</v>
      </c>
      <c r="Y132" s="9"/>
      <c r="Z132" s="7">
        <v>38773.54</v>
      </c>
      <c r="AA132" s="8">
        <f>IFERROR(Z132/Z444, "NA")</f>
        <v>3.6484475889637699E-2</v>
      </c>
      <c r="AB132" s="9"/>
      <c r="AC132" s="10">
        <f t="shared" si="31"/>
        <v>-13954.849999999999</v>
      </c>
      <c r="AD132" s="8">
        <f>IFERROR(AC132/AC444, "NA")</f>
        <v>-0.24835767163826336</v>
      </c>
    </row>
    <row r="133" spans="1:30" ht="16.5" customHeight="1" x14ac:dyDescent="0.45">
      <c r="A133" s="12" t="s">
        <v>125</v>
      </c>
      <c r="B133" s="7">
        <v>3118.45</v>
      </c>
      <c r="C133" s="8">
        <f>IFERROR(B133/B444, "NA")</f>
        <v>2.9245653548848383E-2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-3118.45</v>
      </c>
      <c r="I133" s="8">
        <f>IFERROR(H133/H444, "NA")</f>
        <v>0.25132413717513097</v>
      </c>
      <c r="J133" s="9"/>
      <c r="K133" s="7">
        <v>2585.98</v>
      </c>
      <c r="L133" s="8">
        <f>IFERROR(K133/K444, "NA")</f>
        <v>2.3896559072177963E-2</v>
      </c>
      <c r="M133" s="9"/>
      <c r="N133" s="10">
        <f t="shared" si="29"/>
        <v>-532.4699999999998</v>
      </c>
      <c r="O133" s="8">
        <f>IFERROR(N133/N444, "NA")</f>
        <v>0.33571869916648839</v>
      </c>
      <c r="P133" s="9"/>
      <c r="Q133" s="7">
        <v>29091.31</v>
      </c>
      <c r="R133" s="8">
        <f>IFERROR(Q133/Q444, "NA")</f>
        <v>2.5999238968889626E-2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-29091.31</v>
      </c>
      <c r="X133" s="8">
        <f>IFERROR(W133/W444, "NA")</f>
        <v>0.31166106259102194</v>
      </c>
      <c r="Y133" s="9"/>
      <c r="Z133" s="7">
        <v>24374.67</v>
      </c>
      <c r="AA133" s="8">
        <f>IFERROR(Z133/Z444, "NA")</f>
        <v>2.2935668497972461E-2</v>
      </c>
      <c r="AB133" s="9"/>
      <c r="AC133" s="10">
        <f t="shared" si="31"/>
        <v>-4716.6400000000031</v>
      </c>
      <c r="AD133" s="8">
        <f>IFERROR(AC133/AC444, "NA")</f>
        <v>-8.3943125748818473E-2</v>
      </c>
    </row>
    <row r="134" spans="1:30" ht="16.5" customHeight="1" x14ac:dyDescent="0.45">
      <c r="A134" s="12" t="s">
        <v>126</v>
      </c>
      <c r="B134" s="7">
        <v>1386.32</v>
      </c>
      <c r="C134" s="8">
        <f>IFERROR(B134/B444, "NA")</f>
        <v>1.3001277694957267E-2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-1386.32</v>
      </c>
      <c r="I134" s="8">
        <f>IFERROR(H134/H444, "NA")</f>
        <v>0.11172719711671747</v>
      </c>
      <c r="J134" s="9"/>
      <c r="K134" s="7">
        <v>1060.19</v>
      </c>
      <c r="L134" s="8">
        <f>IFERROR(K134/K444, "NA")</f>
        <v>9.7970181373144248E-3</v>
      </c>
      <c r="M134" s="9"/>
      <c r="N134" s="10">
        <f t="shared" si="29"/>
        <v>-326.12999999999988</v>
      </c>
      <c r="O134" s="8">
        <f>IFERROR(N134/N444, "NA")</f>
        <v>0.20562273810574655</v>
      </c>
      <c r="P134" s="9"/>
      <c r="Q134" s="7">
        <v>10030.17</v>
      </c>
      <c r="R134" s="8">
        <f>IFERROR(Q134/Q444, "NA")</f>
        <v>8.9640785075882669E-3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-10030.17</v>
      </c>
      <c r="X134" s="8">
        <f>IFERROR(W134/W444, "NA")</f>
        <v>0.10745523113839117</v>
      </c>
      <c r="Y134" s="9"/>
      <c r="Z134" s="7">
        <v>10976.55</v>
      </c>
      <c r="AA134" s="8">
        <f>IFERROR(Z134/Z444, "NA")</f>
        <v>1.0328530070414066E-2</v>
      </c>
      <c r="AB134" s="9"/>
      <c r="AC134" s="10">
        <f t="shared" si="31"/>
        <v>946.3799999999992</v>
      </c>
      <c r="AD134" s="8">
        <f>IFERROR(AC134/AC444, "NA")</f>
        <v>1.6842942294974114E-2</v>
      </c>
    </row>
    <row r="135" spans="1:30" ht="16.5" customHeight="1" x14ac:dyDescent="0.45">
      <c r="A135" s="12" t="s">
        <v>127</v>
      </c>
      <c r="B135" s="7">
        <v>787.08</v>
      </c>
      <c r="C135" s="8">
        <f>IFERROR(B135/B444, "NA")</f>
        <v>7.3814455884261693E-3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-787.08</v>
      </c>
      <c r="I135" s="8">
        <f>IFERROR(H135/H444, "NA")</f>
        <v>6.3432859878401804E-2</v>
      </c>
      <c r="J135" s="9"/>
      <c r="K135" s="7">
        <v>738.98</v>
      </c>
      <c r="L135" s="8">
        <f>IFERROR(K135/K444, "NA")</f>
        <v>6.82877641093824E-3</v>
      </c>
      <c r="M135" s="9"/>
      <c r="N135" s="10">
        <f t="shared" si="29"/>
        <v>-48.100000000000023</v>
      </c>
      <c r="O135" s="8">
        <f>IFERROR(N135/N444, "NA")</f>
        <v>3.0326721561605548E-2</v>
      </c>
      <c r="P135" s="9"/>
      <c r="Q135" s="7">
        <v>7955.08</v>
      </c>
      <c r="R135" s="8">
        <f>IFERROR(Q135/Q444, "NA")</f>
        <v>7.1095466631318589E-3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-7955.08</v>
      </c>
      <c r="X135" s="8">
        <f>IFERROR(W135/W444, "NA")</f>
        <v>8.5224374075852441E-2</v>
      </c>
      <c r="Y135" s="9"/>
      <c r="Z135" s="7">
        <v>6641.9</v>
      </c>
      <c r="AA135" s="8">
        <f>IFERROR(Z135/Z444, "NA")</f>
        <v>6.2497837548850218E-3</v>
      </c>
      <c r="AB135" s="9"/>
      <c r="AC135" s="10">
        <f t="shared" si="31"/>
        <v>-1313.1800000000003</v>
      </c>
      <c r="AD135" s="8">
        <f>IFERROR(AC135/AC444, "NA")</f>
        <v>-2.3370966168890013E-2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868.99</v>
      </c>
      <c r="L136" s="8">
        <f>IFERROR(K136/K444, "NA")</f>
        <v>8.0301745829944263E-3</v>
      </c>
      <c r="M136" s="9"/>
      <c r="N136" s="10">
        <f t="shared" si="29"/>
        <v>868.99</v>
      </c>
      <c r="O136" s="8">
        <f>IFERROR(N136/N444, "NA")</f>
        <v>-0.54789226132681068</v>
      </c>
      <c r="P136" s="9"/>
      <c r="Q136" s="7">
        <v>4617.18</v>
      </c>
      <c r="R136" s="8">
        <f>IFERROR(Q136/Q444, "NA")</f>
        <v>4.1264269701975541E-3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4.9464779171993795E-2</v>
      </c>
      <c r="Y136" s="9"/>
      <c r="Z136" s="7">
        <v>9449.39</v>
      </c>
      <c r="AA136" s="8">
        <f>IFERROR(Z136/Z444, "NA")</f>
        <v>8.8915286462567904E-3</v>
      </c>
      <c r="AB136" s="9"/>
      <c r="AC136" s="10">
        <f t="shared" si="31"/>
        <v>4832.2099999999991</v>
      </c>
      <c r="AD136" s="8">
        <f>IFERROR(AC136/AC444, "NA")</f>
        <v>8.599995159153502E-2</v>
      </c>
    </row>
    <row r="137" spans="1:30" ht="16.5" customHeight="1" x14ac:dyDescent="0.45">
      <c r="A137" s="12" t="s">
        <v>129</v>
      </c>
      <c r="B137" s="7">
        <v>621.95000000000005</v>
      </c>
      <c r="C137" s="8">
        <f>IFERROR(B137/B444, "NA")</f>
        <v>5.832812526962515E-3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-621.95000000000005</v>
      </c>
      <c r="I137" s="8">
        <f>IFERROR(H137/H444, "NA")</f>
        <v>5.0124596230843123E-2</v>
      </c>
      <c r="J137" s="9"/>
      <c r="K137" s="7">
        <v>759.27</v>
      </c>
      <c r="L137" s="8">
        <f>IFERROR(K137/K444, "NA")</f>
        <v>7.0162725182455242E-3</v>
      </c>
      <c r="M137" s="9"/>
      <c r="N137" s="10">
        <f t="shared" si="29"/>
        <v>137.31999999999994</v>
      </c>
      <c r="O137" s="8">
        <f>IFERROR(N137/N444, "NA")</f>
        <v>-8.6579322345939083E-2</v>
      </c>
      <c r="P137" s="9"/>
      <c r="Q137" s="7">
        <v>6312.16</v>
      </c>
      <c r="R137" s="8">
        <f>IFERROR(Q137/Q444, "NA")</f>
        <v>5.6412501276108338E-3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-6312.16</v>
      </c>
      <c r="X137" s="8">
        <f>IFERROR(W137/W444, "NA")</f>
        <v>6.7623441255981423E-2</v>
      </c>
      <c r="Y137" s="9"/>
      <c r="Z137" s="7">
        <v>6570.46</v>
      </c>
      <c r="AA137" s="8">
        <f>IFERROR(Z137/Z444, "NA")</f>
        <v>6.1825613408997187E-3</v>
      </c>
      <c r="AB137" s="9"/>
      <c r="AC137" s="10">
        <f t="shared" si="31"/>
        <v>258.30000000000018</v>
      </c>
      <c r="AD137" s="8">
        <f>IFERROR(AC137/AC444, "NA")</f>
        <v>4.5970244455629033E-3</v>
      </c>
    </row>
    <row r="138" spans="1:30" ht="16.5" customHeight="1" x14ac:dyDescent="0.45">
      <c r="A138" s="12" t="s">
        <v>130</v>
      </c>
      <c r="B138" s="7">
        <v>6552.54</v>
      </c>
      <c r="C138" s="8">
        <f>IFERROR(B138/B444, "NA")</f>
        <v>6.1451462971979988E-2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-6552.54</v>
      </c>
      <c r="I138" s="8">
        <f>IFERROR(H138/H444, "NA")</f>
        <v>0.52808653715965714</v>
      </c>
      <c r="J138" s="9"/>
      <c r="K138" s="7">
        <v>4246.32</v>
      </c>
      <c r="L138" s="8">
        <f>IFERROR(K138/K444, "NA")</f>
        <v>3.9239451472699215E-2</v>
      </c>
      <c r="M138" s="9"/>
      <c r="N138" s="10">
        <f t="shared" si="29"/>
        <v>-2306.2200000000003</v>
      </c>
      <c r="O138" s="8">
        <f>IFERROR(N138/N444, "NA")</f>
        <v>1.4540559625739276</v>
      </c>
      <c r="P138" s="9"/>
      <c r="Q138" s="7">
        <v>67782.009999999995</v>
      </c>
      <c r="R138" s="8">
        <f>IFERROR(Q138/Q444, "NA")</f>
        <v>6.057756339544923E-2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-67782.009999999995</v>
      </c>
      <c r="X138" s="8">
        <f>IFERROR(W138/W444, "NA")</f>
        <v>0.72616232342769282</v>
      </c>
      <c r="Y138" s="9"/>
      <c r="Z138" s="7">
        <v>51003.839999999997</v>
      </c>
      <c r="AA138" s="8">
        <f>IFERROR(Z138/Z444, "NA")</f>
        <v>4.7992738624302513E-2</v>
      </c>
      <c r="AB138" s="9"/>
      <c r="AC138" s="10">
        <f t="shared" si="31"/>
        <v>-16778.169999999998</v>
      </c>
      <c r="AD138" s="8">
        <f>IFERROR(AC138/AC444, "NA")</f>
        <v>-0.29860494634847107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25801.840000000004</v>
      </c>
      <c r="C141" s="15">
        <f>IFERROR(B141/B444, "NA")</f>
        <v>0.24197651832250583</v>
      </c>
      <c r="D141" s="2"/>
      <c r="E141" s="14">
        <f>IFERROR(E129+E130+E131+E132+E133+E134+E135+E136+E137+E138+E139+E140, "NA")</f>
        <v>26545.38</v>
      </c>
      <c r="F141" s="15">
        <f>IFERROR(E141/E444, "NA")</f>
        <v>0.22299995967660638</v>
      </c>
      <c r="G141" s="2"/>
      <c r="H141" s="14">
        <f t="shared" si="28"/>
        <v>743.53999999999724</v>
      </c>
      <c r="I141" s="15">
        <f>IFERROR(H141/H444, "NA")</f>
        <v>-5.9923856067981278E-2</v>
      </c>
      <c r="J141" s="2"/>
      <c r="K141" s="14">
        <f>IFERROR(K129+K130+K131+K132+K133+K134+K135+K136+K137+K138+K139+K140, "NA")</f>
        <v>26034.3</v>
      </c>
      <c r="L141" s="15">
        <f>IFERROR(K141/K444, "NA")</f>
        <v>0.24057811268950366</v>
      </c>
      <c r="M141" s="2"/>
      <c r="N141" s="14">
        <f t="shared" si="29"/>
        <v>232.45999999999549</v>
      </c>
      <c r="O141" s="15">
        <f>IFERROR(N141/N444, "NA")</f>
        <v>-0.14656444270708285</v>
      </c>
      <c r="P141" s="2"/>
      <c r="Q141" s="14">
        <f>IFERROR(Q129+Q130+Q131+Q132+Q133+Q134+Q135+Q136+Q137+Q138+Q139+Q140, "NA")</f>
        <v>274823.45999999996</v>
      </c>
      <c r="R141" s="15">
        <f>IFERROR(Q141/Q444, "NA")</f>
        <v>0.24561289301846764</v>
      </c>
      <c r="S141" s="2"/>
      <c r="T141" s="14">
        <f>IFERROR(T129+T130+T131+T132+T133+T134+T135+T136+T137+T138+T139+T140, "NA")</f>
        <v>280739.81</v>
      </c>
      <c r="U141" s="15">
        <f>IFERROR(T141/T444, "NA")</f>
        <v>0.23158152113493796</v>
      </c>
      <c r="V141" s="2"/>
      <c r="W141" s="14">
        <f t="shared" si="30"/>
        <v>5916.3500000000349</v>
      </c>
      <c r="X141" s="15">
        <f>IFERROR(W141/W444, "NA")</f>
        <v>-6.3383049015682119E-2</v>
      </c>
      <c r="Y141" s="2"/>
      <c r="Z141" s="14">
        <f>IFERROR(Z129+Z130+Z131+Z132+Z133+Z134+Z135+Z136+Z137+Z138+Z139+Z140, "NA")</f>
        <v>252529.05999999994</v>
      </c>
      <c r="AA141" s="15">
        <f>IFERROR(Z141/Z444, "NA")</f>
        <v>0.23762056291488651</v>
      </c>
      <c r="AB141" s="2"/>
      <c r="AC141" s="14">
        <f t="shared" si="31"/>
        <v>-22294.400000000023</v>
      </c>
      <c r="AD141" s="15">
        <f>IFERROR(AC141/AC444, "NA")</f>
        <v>-0.39677855903661485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1871.41</v>
      </c>
      <c r="C144" s="8">
        <f>IFERROR(B144/B444, "NA")</f>
        <v>1.7550580739742614E-2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-1871.41</v>
      </c>
      <c r="I144" s="8">
        <f>IFERROR(H144/H444, "NA")</f>
        <v>0.15082188380474656</v>
      </c>
      <c r="J144" s="9"/>
      <c r="K144" s="7">
        <v>1360.48</v>
      </c>
      <c r="L144" s="8">
        <f>IFERROR(K144/K444, "NA")</f>
        <v>1.2571942043835093E-2</v>
      </c>
      <c r="M144" s="9"/>
      <c r="N144" s="10">
        <f t="shared" si="33"/>
        <v>-510.93000000000006</v>
      </c>
      <c r="O144" s="8">
        <f>IFERROR(N144/N444, "NA")</f>
        <v>0.32213787624680074</v>
      </c>
      <c r="P144" s="9"/>
      <c r="Q144" s="7">
        <v>15132.58</v>
      </c>
      <c r="R144" s="8">
        <f>IFERROR(Q144/Q444, "NA")</f>
        <v>1.3524161120136555E-2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-15132.58</v>
      </c>
      <c r="X144" s="8">
        <f>IFERROR(W144/W444, "NA")</f>
        <v>0.16211837701855458</v>
      </c>
      <c r="Y144" s="9"/>
      <c r="Z144" s="7">
        <v>10324.1</v>
      </c>
      <c r="AA144" s="8">
        <f>IFERROR(Z144/Z444, "NA")</f>
        <v>9.7145986033828364E-3</v>
      </c>
      <c r="AB144" s="9"/>
      <c r="AC144" s="10">
        <f t="shared" si="35"/>
        <v>-4808.4799999999996</v>
      </c>
      <c r="AD144" s="8">
        <f>IFERROR(AC144/AC444, "NA")</f>
        <v>-8.557762332946299E-2</v>
      </c>
    </row>
    <row r="145" spans="1:30" ht="16.5" customHeight="1" x14ac:dyDescent="0.45">
      <c r="A145" s="12" t="s">
        <v>136</v>
      </c>
      <c r="B145" s="7">
        <v>45.75</v>
      </c>
      <c r="C145" s="8">
        <f>IFERROR(B145/B444, "NA")</f>
        <v>4.290556686366027E-4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-45.75</v>
      </c>
      <c r="I145" s="8">
        <f>IFERROR(H145/H444, "NA")</f>
        <v>3.6871135582620352E-3</v>
      </c>
      <c r="J145" s="9"/>
      <c r="K145" s="7">
        <v>25.02</v>
      </c>
      <c r="L145" s="8">
        <f>IFERROR(K145/K444, "NA")</f>
        <v>2.3120515548685319E-4</v>
      </c>
      <c r="M145" s="9"/>
      <c r="N145" s="10">
        <f t="shared" si="33"/>
        <v>-20.73</v>
      </c>
      <c r="O145" s="8">
        <f>IFERROR(N145/N444, "NA")</f>
        <v>1.307012345056305E-2</v>
      </c>
      <c r="P145" s="9"/>
      <c r="Q145" s="7">
        <v>716.14</v>
      </c>
      <c r="R145" s="8">
        <f>IFERROR(Q145/Q444, "NA")</f>
        <v>6.4002257014828879E-4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-716.14</v>
      </c>
      <c r="X145" s="8">
        <f>IFERROR(W145/W444, "NA")</f>
        <v>7.6721520400399451E-3</v>
      </c>
      <c r="Y145" s="9"/>
      <c r="Z145" s="7">
        <v>646.08000000000004</v>
      </c>
      <c r="AA145" s="8">
        <f>IFERROR(Z145/Z444, "NA")</f>
        <v>6.0793753118175756E-4</v>
      </c>
      <c r="AB145" s="9"/>
      <c r="AC145" s="10">
        <f t="shared" si="35"/>
        <v>-70.059999999999945</v>
      </c>
      <c r="AD145" s="8">
        <f>IFERROR(AC145/AC444, "NA")</f>
        <v>-1.2468739165936373E-3</v>
      </c>
    </row>
    <row r="146" spans="1:30" ht="16.5" customHeight="1" x14ac:dyDescent="0.45">
      <c r="A146" s="12" t="s">
        <v>137</v>
      </c>
      <c r="B146" s="7">
        <v>-14.95</v>
      </c>
      <c r="C146" s="8">
        <f>IFERROR(B146/B444, "NA")</f>
        <v>-1.4020507641786251E-4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14.95</v>
      </c>
      <c r="I146" s="8">
        <f>IFERROR(H146/H444, "NA")</f>
        <v>-1.2048600589293426E-3</v>
      </c>
      <c r="J146" s="9"/>
      <c r="K146" s="7">
        <v>267.02999999999997</v>
      </c>
      <c r="L146" s="8">
        <f>IFERROR(K146/K444, "NA")</f>
        <v>2.4675744472283934E-3</v>
      </c>
      <c r="M146" s="9"/>
      <c r="N146" s="10">
        <f t="shared" si="33"/>
        <v>281.97999999999996</v>
      </c>
      <c r="O146" s="8">
        <f>IFERROR(N146/N444, "NA")</f>
        <v>-0.17778646457258893</v>
      </c>
      <c r="P146" s="9"/>
      <c r="Q146" s="7">
        <v>919.74</v>
      </c>
      <c r="R146" s="8">
        <f>IFERROR(Q146/Q444, "NA")</f>
        <v>8.2198223625015655E-4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-919.74</v>
      </c>
      <c r="X146" s="8">
        <f>IFERROR(W146/W444, "NA")</f>
        <v>9.853359842078838E-3</v>
      </c>
      <c r="Y146" s="9"/>
      <c r="Z146" s="7">
        <v>3271.15</v>
      </c>
      <c r="AA146" s="8">
        <f>IFERROR(Z146/Z444, "NA")</f>
        <v>3.0780319080070673E-3</v>
      </c>
      <c r="AB146" s="9"/>
      <c r="AC146" s="10">
        <f t="shared" si="35"/>
        <v>2351.41</v>
      </c>
      <c r="AD146" s="8">
        <f>IFERROR(AC146/AC444, "NA")</f>
        <v>4.1848584016806266E-2</v>
      </c>
    </row>
    <row r="147" spans="1:30" ht="16.5" customHeight="1" x14ac:dyDescent="0.45">
      <c r="A147" s="12" t="s">
        <v>138</v>
      </c>
      <c r="B147" s="7">
        <v>20.69</v>
      </c>
      <c r="C147" s="8">
        <f>IFERROR(B147/B444, "NA")</f>
        <v>1.9403632314953683E-4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-20.69</v>
      </c>
      <c r="I147" s="8">
        <f>IFERROR(H147/H444, "NA")</f>
        <v>1.6674618474413446E-3</v>
      </c>
      <c r="J147" s="9"/>
      <c r="K147" s="7">
        <v>-42.06</v>
      </c>
      <c r="L147" s="8">
        <f>IFERROR(K147/K444, "NA")</f>
        <v>-3.8866861869612493E-4</v>
      </c>
      <c r="M147" s="9"/>
      <c r="N147" s="10">
        <f t="shared" si="33"/>
        <v>-62.75</v>
      </c>
      <c r="O147" s="8">
        <f>IFERROR(N147/N444, "NA")</f>
        <v>3.9563446527874163E-2</v>
      </c>
      <c r="P147" s="9"/>
      <c r="Q147" s="7">
        <v>153.54</v>
      </c>
      <c r="R147" s="8">
        <f>IFERROR(Q147/Q444, "NA")</f>
        <v>1.372204672557995E-4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-153.54</v>
      </c>
      <c r="X147" s="8">
        <f>IFERROR(W147/W444, "NA")</f>
        <v>1.644904940692788E-3</v>
      </c>
      <c r="Y147" s="9"/>
      <c r="Z147" s="7">
        <v>163.07</v>
      </c>
      <c r="AA147" s="8">
        <f>IFERROR(Z147/Z444, "NA")</f>
        <v>1.5344287582003653E-4</v>
      </c>
      <c r="AB147" s="9"/>
      <c r="AC147" s="10">
        <f t="shared" si="35"/>
        <v>9.5300000000000011</v>
      </c>
      <c r="AD147" s="8">
        <f>IFERROR(AC147/AC444, "NA")</f>
        <v>1.6960759955948293E-4</v>
      </c>
    </row>
    <row r="148" spans="1:30" ht="16.5" customHeight="1" x14ac:dyDescent="0.45">
      <c r="A148" s="13" t="s">
        <v>139</v>
      </c>
      <c r="B148" s="14">
        <f>IFERROR(B143+B144+B145+B146+B147, "NA")</f>
        <v>1922.9</v>
      </c>
      <c r="C148" s="15">
        <f>IFERROR(B148/B444, "NA")</f>
        <v>1.8033467655110894E-2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-1922.9</v>
      </c>
      <c r="I148" s="15">
        <f>IFERROR(H148/H444, "NA")</f>
        <v>0.15497159915152062</v>
      </c>
      <c r="J148" s="2"/>
      <c r="K148" s="14">
        <f>IFERROR(K143+K144+K145+K146+K147, "NA")</f>
        <v>1610.47</v>
      </c>
      <c r="L148" s="15">
        <f>IFERROR(K148/K444, "NA")</f>
        <v>1.4882053027854215E-2</v>
      </c>
      <c r="M148" s="2"/>
      <c r="N148" s="14">
        <f t="shared" si="33"/>
        <v>-312.43000000000006</v>
      </c>
      <c r="O148" s="15">
        <f>IFERROR(N148/N444, "NA")</f>
        <v>0.19698498165264902</v>
      </c>
      <c r="P148" s="2"/>
      <c r="Q148" s="14">
        <f>IFERROR(Q143+Q144+Q145+Q146+Q147, "NA")</f>
        <v>16922</v>
      </c>
      <c r="R148" s="15">
        <f>IFERROR(Q148/Q444, "NA")</f>
        <v>1.5123386393790799E-2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-16922</v>
      </c>
      <c r="X148" s="15">
        <f>IFERROR(W148/W444, "NA")</f>
        <v>0.18128879384136615</v>
      </c>
      <c r="Y148" s="2"/>
      <c r="Z148" s="14">
        <f>IFERROR(Z143+Z144+Z145+Z146+Z147, "NA")</f>
        <v>14404.4</v>
      </c>
      <c r="AA148" s="15">
        <f>IFERROR(Z148/Z444, "NA")</f>
        <v>1.3554010918391698E-2</v>
      </c>
      <c r="AB148" s="2"/>
      <c r="AC148" s="14">
        <f t="shared" si="35"/>
        <v>-2517.6000000000004</v>
      </c>
      <c r="AD148" s="15">
        <f>IFERROR(AC148/AC444, "NA")</f>
        <v>-4.4806305629690894E-2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27724.74</v>
      </c>
      <c r="C149" s="15">
        <f>IFERROR(B149/B444, "NA")</f>
        <v>0.26000998597761671</v>
      </c>
      <c r="D149" s="2"/>
      <c r="E149" s="14">
        <f>IFERROR(E127+E129+E130+E131+E132+E133+E134+E135+E136+E137+E138+E139+E140+E143+E144+E145+E146+E147, "NA")</f>
        <v>26545.38</v>
      </c>
      <c r="F149" s="15">
        <f>IFERROR(E149/E444, "NA")</f>
        <v>0.22299995967660638</v>
      </c>
      <c r="G149" s="2"/>
      <c r="H149" s="14">
        <f t="shared" si="32"/>
        <v>-1179.3600000000006</v>
      </c>
      <c r="I149" s="15">
        <f>IFERROR(H149/H444, "NA")</f>
        <v>9.5047743083539152E-2</v>
      </c>
      <c r="J149" s="2"/>
      <c r="K149" s="14">
        <f>IFERROR(K127+K129+K130+K131+K132+K133+K134+K135+K136+K137+K138+K139+K140+K143+K144+K145+K146+K147, "NA")</f>
        <v>27644.769999999997</v>
      </c>
      <c r="L149" s="15">
        <f>IFERROR(K149/K444, "NA")</f>
        <v>0.25546016571735786</v>
      </c>
      <c r="M149" s="2"/>
      <c r="N149" s="14">
        <f t="shared" si="33"/>
        <v>-79.970000000004802</v>
      </c>
      <c r="O149" s="15">
        <f>IFERROR(N149/N444, "NA")</f>
        <v>5.0420538945566321E-2</v>
      </c>
      <c r="P149" s="2"/>
      <c r="Q149" s="14">
        <f>IFERROR(Q127+Q129+Q130+Q131+Q132+Q133+Q134+Q135+Q136+Q137+Q138+Q139+Q140+Q143+Q144+Q145+Q146+Q147, "NA")</f>
        <v>291745.45999999996</v>
      </c>
      <c r="R149" s="15">
        <f>IFERROR(Q149/Q444, "NA")</f>
        <v>0.26073627941225846</v>
      </c>
      <c r="S149" s="2"/>
      <c r="T149" s="14">
        <f>IFERROR(T127+T129+T130+T131+T132+T133+T134+T135+T136+T137+T138+T139+T140+T143+T144+T145+T146+T147, "NA")</f>
        <v>280739.81</v>
      </c>
      <c r="U149" s="15">
        <f>IFERROR(T149/T444, "NA")</f>
        <v>0.23158152113493796</v>
      </c>
      <c r="V149" s="2"/>
      <c r="W149" s="14">
        <f t="shared" si="34"/>
        <v>-11005.649999999965</v>
      </c>
      <c r="X149" s="15">
        <f>IFERROR(W149/W444, "NA")</f>
        <v>0.11790574482568401</v>
      </c>
      <c r="Y149" s="2"/>
      <c r="Z149" s="14">
        <f>IFERROR(Z127+Z129+Z130+Z131+Z132+Z133+Z134+Z135+Z136+Z137+Z138+Z139+Z140+Z143+Z144+Z145+Z146+Z147, "NA")</f>
        <v>266933.45999999996</v>
      </c>
      <c r="AA149" s="15">
        <f>IFERROR(Z149/Z444, "NA")</f>
        <v>0.25117457383327824</v>
      </c>
      <c r="AB149" s="2"/>
      <c r="AC149" s="14">
        <f t="shared" si="35"/>
        <v>-24812</v>
      </c>
      <c r="AD149" s="15">
        <f>IFERROR(AC149/AC444, "NA")</f>
        <v>-0.44158486466630537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1785.56</v>
      </c>
      <c r="F153" s="8">
        <f>IFERROR(E153/E444, "NA")</f>
        <v>1.4999966397171985E-2</v>
      </c>
      <c r="G153" s="9"/>
      <c r="H153" s="10">
        <f t="shared" ref="H153:H158" si="36">IFERROR(-(B153-E153), "NA")</f>
        <v>1785.56</v>
      </c>
      <c r="I153" s="8">
        <f>IFERROR(H153/H444, "NA")</f>
        <v>-0.14390300513858709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19206.25</v>
      </c>
      <c r="U153" s="8">
        <f>IFERROR(T153/T444, "NA")</f>
        <v>1.5843184442911398E-2</v>
      </c>
      <c r="V153" s="9"/>
      <c r="W153" s="10">
        <f t="shared" ref="W153:W158" si="38">IFERROR(-(Q153-T153), "NA")</f>
        <v>19206.25</v>
      </c>
      <c r="X153" s="8">
        <f>IFERROR(W153/W444, "NA")</f>
        <v>-0.20576042410564582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2955.63</v>
      </c>
      <c r="C154" s="8">
        <f>IFERROR(B154/B444, "NA")</f>
        <v>2.7718684281801138E-2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-2955.63</v>
      </c>
      <c r="I154" s="8">
        <f>IFERROR(H154/H444, "NA")</f>
        <v>0.23820204254002228</v>
      </c>
      <c r="J154" s="9"/>
      <c r="K154" s="7">
        <v>3281.65</v>
      </c>
      <c r="L154" s="8">
        <f>IFERROR(K154/K444, "NA")</f>
        <v>3.0325115847459304E-2</v>
      </c>
      <c r="M154" s="9"/>
      <c r="N154" s="10">
        <f t="shared" si="37"/>
        <v>326.02</v>
      </c>
      <c r="O154" s="8">
        <f>IFERROR(N154/N444, "NA")</f>
        <v>-0.20555338385685312</v>
      </c>
      <c r="P154" s="9"/>
      <c r="Q154" s="7">
        <v>38786.1</v>
      </c>
      <c r="R154" s="8">
        <f>IFERROR(Q154/Q444, "NA")</f>
        <v>3.4663584505862738E-2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-38786.1</v>
      </c>
      <c r="X154" s="8">
        <f>IFERROR(W154/W444, "NA")</f>
        <v>0.41552330024882467</v>
      </c>
      <c r="Y154" s="9"/>
      <c r="Z154" s="7">
        <v>35075.83</v>
      </c>
      <c r="AA154" s="8">
        <f>IFERROR(Z154/Z444, "NA")</f>
        <v>3.3005066701261493E-2</v>
      </c>
      <c r="AB154" s="9"/>
      <c r="AC154" s="10">
        <f t="shared" si="39"/>
        <v>-3710.2699999999968</v>
      </c>
      <c r="AD154" s="8">
        <f>IFERROR(AC154/AC444, "NA")</f>
        <v>-6.6032527640877456E-2</v>
      </c>
    </row>
    <row r="155" spans="1:30" ht="16.5" customHeight="1" x14ac:dyDescent="0.45">
      <c r="A155" s="12" t="s">
        <v>144</v>
      </c>
      <c r="B155" s="7">
        <v>1079.3900000000001</v>
      </c>
      <c r="C155" s="8">
        <f>IFERROR(B155/B444, "NA")</f>
        <v>1.0122806517369675E-2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-1079.3900000000001</v>
      </c>
      <c r="I155" s="8">
        <f>IFERROR(H155/H444, "NA")</f>
        <v>8.6990896254698552E-2</v>
      </c>
      <c r="J155" s="9"/>
      <c r="K155" s="7">
        <v>1271.57</v>
      </c>
      <c r="L155" s="8">
        <f>IFERROR(K155/K444, "NA")</f>
        <v>1.1750341309449156E-2</v>
      </c>
      <c r="M155" s="9"/>
      <c r="N155" s="10">
        <f t="shared" si="37"/>
        <v>192.17999999999984</v>
      </c>
      <c r="O155" s="8">
        <f>IFERROR(N155/N444, "NA")</f>
        <v>-0.12116817774863506</v>
      </c>
      <c r="P155" s="9"/>
      <c r="Q155" s="7">
        <v>10849.61</v>
      </c>
      <c r="R155" s="8">
        <f>IFERROR(Q155/Q444, "NA")</f>
        <v>9.6964214780721307E-3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-10849.61</v>
      </c>
      <c r="X155" s="8">
        <f>IFERROR(W155/W444, "NA")</f>
        <v>0.11623405688152846</v>
      </c>
      <c r="Y155" s="9"/>
      <c r="Z155" s="7">
        <v>11908.22</v>
      </c>
      <c r="AA155" s="8">
        <f>IFERROR(Z155/Z444, "NA")</f>
        <v>1.1205197293785952E-2</v>
      </c>
      <c r="AB155" s="9"/>
      <c r="AC155" s="10">
        <f t="shared" si="39"/>
        <v>1058.6099999999988</v>
      </c>
      <c r="AD155" s="8">
        <f>IFERROR(AC155/AC444, "NA")</f>
        <v>1.8840325390311018E-2</v>
      </c>
    </row>
    <row r="156" spans="1:30" ht="16.5" customHeight="1" x14ac:dyDescent="0.45">
      <c r="A156" s="12" t="s">
        <v>145</v>
      </c>
      <c r="B156" s="7">
        <v>203.19</v>
      </c>
      <c r="C156" s="8">
        <f>IFERROR(B156/B444, "NA")</f>
        <v>1.9055698647053837E-3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-203.19</v>
      </c>
      <c r="I156" s="8">
        <f>IFERROR(H156/H444, "NA")</f>
        <v>1.6375619757448369E-2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-203.19</v>
      </c>
      <c r="O156" s="8">
        <f>IFERROR(N156/N444, "NA")</f>
        <v>0.1281099075697012</v>
      </c>
      <c r="P156" s="9"/>
      <c r="Q156" s="7">
        <v>203.19</v>
      </c>
      <c r="R156" s="8">
        <f>IFERROR(Q156/Q444, "NA")</f>
        <v>1.8159324437739939E-4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-203.19</v>
      </c>
      <c r="X156" s="8">
        <f>IFERROR(W156/W444, "NA")</f>
        <v>2.1768153894709363E-3</v>
      </c>
      <c r="Y156" s="9"/>
      <c r="Z156" s="7">
        <v>54.77</v>
      </c>
      <c r="AA156" s="8">
        <f>IFERROR(Z156/Z444, "NA")</f>
        <v>5.1536556746571414E-5</v>
      </c>
      <c r="AB156" s="9"/>
      <c r="AC156" s="10">
        <f t="shared" si="39"/>
        <v>-148.41999999999999</v>
      </c>
      <c r="AD156" s="8">
        <f>IFERROR(AC156/AC444, "NA")</f>
        <v>-2.6414648401488407E-3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4238.21</v>
      </c>
      <c r="C158" s="15">
        <f>IFERROR(B158/B444, "NA")</f>
        <v>3.9747060663876191E-2</v>
      </c>
      <c r="D158" s="2"/>
      <c r="E158" s="14">
        <f>IFERROR(E153+E154+E155+E156+E157, "NA")</f>
        <v>1785.56</v>
      </c>
      <c r="F158" s="15">
        <f>IFERROR(E158/E444, "NA")</f>
        <v>1.4999966397171985E-2</v>
      </c>
      <c r="G158" s="2"/>
      <c r="H158" s="14">
        <f t="shared" si="36"/>
        <v>-2452.65</v>
      </c>
      <c r="I158" s="15">
        <f>IFERROR(H158/H444, "NA")</f>
        <v>0.19766555341358211</v>
      </c>
      <c r="J158" s="2"/>
      <c r="K158" s="14">
        <f>IFERROR(K153+K154+K155+K156+K157, "NA")</f>
        <v>4553.22</v>
      </c>
      <c r="L158" s="15">
        <f>IFERROR(K158/K444, "NA")</f>
        <v>4.2075457156908462E-2</v>
      </c>
      <c r="M158" s="2"/>
      <c r="N158" s="14">
        <f t="shared" si="37"/>
        <v>315.01000000000022</v>
      </c>
      <c r="O158" s="15">
        <f>IFERROR(N158/N444, "NA")</f>
        <v>-0.19861165403578723</v>
      </c>
      <c r="P158" s="2"/>
      <c r="Q158" s="14">
        <f>IFERROR(Q153+Q154+Q155+Q156+Q157, "NA")</f>
        <v>49838.9</v>
      </c>
      <c r="R158" s="15">
        <f>IFERROR(Q158/Q444, "NA")</f>
        <v>4.4541599228312273E-2</v>
      </c>
      <c r="S158" s="2"/>
      <c r="T158" s="14">
        <f>IFERROR(T153+T154+T155+T156+T157, "NA")</f>
        <v>19206.25</v>
      </c>
      <c r="U158" s="15">
        <f>IFERROR(T158/T444, "NA")</f>
        <v>1.5843184442911398E-2</v>
      </c>
      <c r="V158" s="2"/>
      <c r="W158" s="14">
        <f t="shared" si="38"/>
        <v>-30632.65</v>
      </c>
      <c r="X158" s="15">
        <f>IFERROR(W158/W444, "NA")</f>
        <v>0.32817374841417829</v>
      </c>
      <c r="Y158" s="2"/>
      <c r="Z158" s="14">
        <f>IFERROR(Z153+Z154+Z155+Z156+Z157, "NA")</f>
        <v>47038.82</v>
      </c>
      <c r="AA158" s="15">
        <f>IFERROR(Z158/Z444, "NA")</f>
        <v>4.4261800551794017E-2</v>
      </c>
      <c r="AB158" s="2"/>
      <c r="AC158" s="14">
        <f t="shared" si="39"/>
        <v>-2800.0800000000017</v>
      </c>
      <c r="AD158" s="15">
        <f>IFERROR(AC158/AC444, "NA")</f>
        <v>-4.9833667090715343E-2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355.03</v>
      </c>
      <c r="C161" s="8">
        <f>IFERROR(B161/B444, "NA")</f>
        <v>3.3295657712798478E-3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-355.03</v>
      </c>
      <c r="I161" s="8">
        <f>IFERROR(H161/H444, "NA")</f>
        <v>2.8612807138574212E-2</v>
      </c>
      <c r="J161" s="9"/>
      <c r="K161" s="7">
        <v>451.51</v>
      </c>
      <c r="L161" s="8">
        <f>IFERROR(K161/K444, "NA")</f>
        <v>4.1723197343672691E-3</v>
      </c>
      <c r="M161" s="9"/>
      <c r="N161" s="10">
        <f t="shared" si="41"/>
        <v>96.480000000000018</v>
      </c>
      <c r="O161" s="8">
        <f>IFERROR(N161/N444, "NA")</f>
        <v>-6.0829981211303584E-2</v>
      </c>
      <c r="P161" s="9"/>
      <c r="Q161" s="7">
        <v>3028.87</v>
      </c>
      <c r="R161" s="8">
        <f>IFERROR(Q161/Q444, "NA")</f>
        <v>2.7069360209526733E-3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-3028.87</v>
      </c>
      <c r="X161" s="8">
        <f>IFERROR(W161/W444, "NA")</f>
        <v>3.2448894279771816E-2</v>
      </c>
      <c r="Y161" s="9"/>
      <c r="Z161" s="7">
        <v>4171.5</v>
      </c>
      <c r="AA161" s="8">
        <f>IFERROR(Z161/Z444, "NA")</f>
        <v>3.9252281626496743E-3</v>
      </c>
      <c r="AB161" s="9"/>
      <c r="AC161" s="10">
        <f t="shared" si="43"/>
        <v>1142.6300000000001</v>
      </c>
      <c r="AD161" s="8">
        <f>IFERROR(AC161/AC444, "NA")</f>
        <v>2.0335648634276178E-2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355.03</v>
      </c>
      <c r="C166" s="15">
        <f>IFERROR(B166/B444, "NA")</f>
        <v>3.3295657712798478E-3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-355.03</v>
      </c>
      <c r="I166" s="15">
        <f>IFERROR(H166/H444, "NA")</f>
        <v>2.8612807138574212E-2</v>
      </c>
      <c r="J166" s="2"/>
      <c r="K166" s="14">
        <f>IFERROR(K160+K161+K162+K163+K164+K165, "NA")</f>
        <v>451.51</v>
      </c>
      <c r="L166" s="15">
        <f>IFERROR(K166/K444, "NA")</f>
        <v>4.1723197343672691E-3</v>
      </c>
      <c r="M166" s="2"/>
      <c r="N166" s="14">
        <f t="shared" si="41"/>
        <v>96.480000000000018</v>
      </c>
      <c r="O166" s="15">
        <f>IFERROR(N166/N444, "NA")</f>
        <v>-6.0829981211303584E-2</v>
      </c>
      <c r="P166" s="2"/>
      <c r="Q166" s="14">
        <f>IFERROR(Q160+Q161+Q162+Q163+Q164+Q165, "NA")</f>
        <v>3028.87</v>
      </c>
      <c r="R166" s="15">
        <f>IFERROR(Q166/Q444, "NA")</f>
        <v>2.7069360209526733E-3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-3028.87</v>
      </c>
      <c r="X166" s="15">
        <f>IFERROR(W166/W444, "NA")</f>
        <v>3.2448894279771816E-2</v>
      </c>
      <c r="Y166" s="2"/>
      <c r="Z166" s="14">
        <f>IFERROR(Z160+Z161+Z162+Z163+Z164+Z165, "NA")</f>
        <v>4171.5</v>
      </c>
      <c r="AA166" s="15">
        <f>IFERROR(Z166/Z444, "NA")</f>
        <v>3.9252281626496743E-3</v>
      </c>
      <c r="AB166" s="2"/>
      <c r="AC166" s="14">
        <f t="shared" si="43"/>
        <v>1142.6300000000001</v>
      </c>
      <c r="AD166" s="15">
        <f>IFERROR(AC166/AC444, "NA")</f>
        <v>2.0335648634276178E-2</v>
      </c>
    </row>
    <row r="167" spans="1:30" ht="16.5" customHeight="1" x14ac:dyDescent="0.45">
      <c r="A167" s="6" t="s">
        <v>155</v>
      </c>
      <c r="B167" s="7">
        <v>134.72999999999999</v>
      </c>
      <c r="C167" s="8">
        <f>IFERROR(B167/B444, "NA")</f>
        <v>1.2635337756373656E-3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-134.72999999999999</v>
      </c>
      <c r="I167" s="8">
        <f>IFERROR(H167/H444, "NA")</f>
        <v>1.0858247206658884E-2</v>
      </c>
      <c r="J167" s="9"/>
      <c r="K167" s="7">
        <v>81.12</v>
      </c>
      <c r="L167" s="8">
        <f>IFERROR(K167/K444, "NA")</f>
        <v>7.4961479668639211E-4</v>
      </c>
      <c r="M167" s="9"/>
      <c r="N167" s="10">
        <f t="shared" si="41"/>
        <v>-53.609999999999985</v>
      </c>
      <c r="O167" s="8">
        <f>IFERROR(N167/N444, "NA")</f>
        <v>3.3800738937997343E-2</v>
      </c>
      <c r="P167" s="9"/>
      <c r="Q167" s="7">
        <v>1297.08</v>
      </c>
      <c r="R167" s="8">
        <f>IFERROR(Q167/Q444, "NA")</f>
        <v>1.1592153423743156E-3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-1297.08</v>
      </c>
      <c r="X167" s="8">
        <f>IFERROR(W167/W444, "NA")</f>
        <v>1.3895879252792766E-2</v>
      </c>
      <c r="Y167" s="9"/>
      <c r="Z167" s="7">
        <v>1329.55</v>
      </c>
      <c r="AA167" s="8">
        <f>IFERROR(Z167/Z444, "NA")</f>
        <v>1.2510576779697648E-3</v>
      </c>
      <c r="AB167" s="9"/>
      <c r="AC167" s="10">
        <f t="shared" si="43"/>
        <v>32.470000000000027</v>
      </c>
      <c r="AD167" s="8">
        <f>IFERROR(AC167/AC444, "NA")</f>
        <v>5.7787605012554191E-4</v>
      </c>
    </row>
    <row r="168" spans="1:30" ht="16.5" customHeight="1" x14ac:dyDescent="0.45">
      <c r="A168" s="6" t="s">
        <v>156</v>
      </c>
      <c r="B168" s="7">
        <v>42.31</v>
      </c>
      <c r="C168" s="8">
        <f>IFERROR(B168/B444, "NA")</f>
        <v>3.9679443366152261E-4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-42.31</v>
      </c>
      <c r="I168" s="8">
        <f>IFERROR(H168/H444, "NA")</f>
        <v>3.4098748557391634E-3</v>
      </c>
      <c r="J168" s="9"/>
      <c r="K168" s="7">
        <v>53.4</v>
      </c>
      <c r="L168" s="8">
        <f>IFERROR(K168/K444, "NA")</f>
        <v>4.9345944456426693E-4</v>
      </c>
      <c r="M168" s="9"/>
      <c r="N168" s="10">
        <f t="shared" si="41"/>
        <v>11.089999999999996</v>
      </c>
      <c r="O168" s="8">
        <f>IFERROR(N168/N444, "NA")</f>
        <v>-6.9921692748067619E-3</v>
      </c>
      <c r="P168" s="9"/>
      <c r="Q168" s="7">
        <v>578.98</v>
      </c>
      <c r="R168" s="8">
        <f>IFERROR(Q168/Q444, "NA")</f>
        <v>5.1744109764076331E-4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-578.98</v>
      </c>
      <c r="X168" s="8">
        <f>IFERROR(W168/W444, "NA")</f>
        <v>6.202729338037713E-3</v>
      </c>
      <c r="Y168" s="9"/>
      <c r="Z168" s="7">
        <v>521.5</v>
      </c>
      <c r="AA168" s="8">
        <f>IFERROR(Z168/Z444, "NA")</f>
        <v>4.90712330533814E-4</v>
      </c>
      <c r="AB168" s="9"/>
      <c r="AC168" s="10">
        <f t="shared" si="43"/>
        <v>-57.480000000000018</v>
      </c>
      <c r="AD168" s="8">
        <f>IFERROR(AC168/AC444, "NA")</f>
        <v>-1.0229847662832194E-3</v>
      </c>
    </row>
    <row r="169" spans="1:30" ht="16.5" customHeight="1" x14ac:dyDescent="0.45">
      <c r="A169" s="6" t="s">
        <v>157</v>
      </c>
      <c r="B169" s="7">
        <v>-1333.77</v>
      </c>
      <c r="C169" s="8">
        <f>IFERROR(B169/B444, "NA")</f>
        <v>-1.2508449817648995E-2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1333.77</v>
      </c>
      <c r="I169" s="8">
        <f>IFERROR(H169/H444, "NA")</f>
        <v>-0.10749205356509628</v>
      </c>
      <c r="J169" s="9"/>
      <c r="K169" s="7">
        <v>-2556.5</v>
      </c>
      <c r="L169" s="8">
        <f>IFERROR(K169/K444, "NA")</f>
        <v>-2.3624139888175067E-2</v>
      </c>
      <c r="M169" s="9"/>
      <c r="N169" s="10">
        <f t="shared" si="41"/>
        <v>-1222.73</v>
      </c>
      <c r="O169" s="8">
        <f>IFERROR(N169/N444, "NA")</f>
        <v>0.77092291590482187</v>
      </c>
      <c r="P169" s="9"/>
      <c r="Q169" s="7">
        <v>-20126.189999999999</v>
      </c>
      <c r="R169" s="8">
        <f>IFERROR(Q169/Q444, "NA")</f>
        <v>-1.7987007918972252E-2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20126.189999999999</v>
      </c>
      <c r="X169" s="8">
        <f>IFERROR(W169/W444, "NA")</f>
        <v>-0.21561592658800169</v>
      </c>
      <c r="Y169" s="9"/>
      <c r="Z169" s="7">
        <v>-26103.23</v>
      </c>
      <c r="AA169" s="8">
        <f>IFERROR(Z169/Z444, "NA")</f>
        <v>-2.45621799190032E-2</v>
      </c>
      <c r="AB169" s="9"/>
      <c r="AC169" s="10">
        <f t="shared" si="43"/>
        <v>-5977.0400000000009</v>
      </c>
      <c r="AD169" s="8">
        <f>IFERROR(AC169/AC444, "NA")</f>
        <v>-0.10637475413127093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3436.5099999999998</v>
      </c>
      <c r="C170" s="15">
        <f>IFERROR(B170/B444, "NA")</f>
        <v>3.2228504826805934E-2</v>
      </c>
      <c r="D170" s="2"/>
      <c r="E170" s="14">
        <f>IFERROR(E151+E153+E154+E155+E156+E157+E160+E161+E162+E163+E164+E165+E167+E168+E169, "NA")</f>
        <v>1785.56</v>
      </c>
      <c r="F170" s="15">
        <f>IFERROR(E170/E444, "NA")</f>
        <v>1.4999966397171985E-2</v>
      </c>
      <c r="G170" s="2"/>
      <c r="H170" s="14">
        <f t="shared" si="40"/>
        <v>-1650.9499999999998</v>
      </c>
      <c r="I170" s="15">
        <f>IFERROR(H170/H444, "NA")</f>
        <v>0.13305442904945805</v>
      </c>
      <c r="J170" s="2"/>
      <c r="K170" s="14">
        <f>IFERROR(K151+K153+K154+K155+K156+K157+K160+K161+K162+K163+K164+K165+K167+K168+K169, "NA")</f>
        <v>2582.75</v>
      </c>
      <c r="L170" s="15">
        <f>IFERROR(K170/K444, "NA")</f>
        <v>2.3866711244351323E-2</v>
      </c>
      <c r="M170" s="2"/>
      <c r="N170" s="14">
        <f t="shared" si="41"/>
        <v>-853.75999999999976</v>
      </c>
      <c r="O170" s="15">
        <f>IFERROR(N170/N444, "NA")</f>
        <v>0.53828985032092169</v>
      </c>
      <c r="P170" s="2"/>
      <c r="Q170" s="14">
        <f>IFERROR(Q151+Q153+Q154+Q155+Q156+Q157+Q160+Q161+Q162+Q163+Q164+Q165+Q167+Q168+Q169, "NA")</f>
        <v>34617.640000000014</v>
      </c>
      <c r="R170" s="15">
        <f>IFERROR(Q170/Q444, "NA")</f>
        <v>3.0938183770307784E-2</v>
      </c>
      <c r="S170" s="2"/>
      <c r="T170" s="14">
        <f>IFERROR(T151+T153+T154+T155+T156+T157+T160+T161+T162+T163+T164+T165+T167+T168+T169, "NA")</f>
        <v>19206.25</v>
      </c>
      <c r="U170" s="15">
        <f>IFERROR(T170/T444, "NA")</f>
        <v>1.5843184442911398E-2</v>
      </c>
      <c r="V170" s="2"/>
      <c r="W170" s="14">
        <f t="shared" si="42"/>
        <v>-15411.390000000014</v>
      </c>
      <c r="X170" s="15">
        <f>IFERROR(W170/W444, "NA")</f>
        <v>0.16510532469677899</v>
      </c>
      <c r="Y170" s="2"/>
      <c r="Z170" s="14">
        <f>IFERROR(Z151+Z153+Z154+Z155+Z156+Z157+Z160+Z161+Z162+Z163+Z164+Z165+Z167+Z168+Z169, "NA")</f>
        <v>26958.140000000003</v>
      </c>
      <c r="AA170" s="15">
        <f>IFERROR(Z170/Z444, "NA")</f>
        <v>2.5366618803944072E-2</v>
      </c>
      <c r="AB170" s="2"/>
      <c r="AC170" s="14">
        <f t="shared" si="43"/>
        <v>-7659.5000000000109</v>
      </c>
      <c r="AD170" s="15">
        <f>IFERROR(AC170/AC444, "NA")</f>
        <v>-0.1363178813038679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31161.25</v>
      </c>
      <c r="C171" s="15">
        <f>IFERROR(B171/B444, "NA")</f>
        <v>0.2922384908044226</v>
      </c>
      <c r="D171" s="2"/>
      <c r="E171" s="14">
        <f>IFERROR(E127+E129+E130+E131+E132+E133+E134+E135+E136+E137+E138+E139+E140+E143+E144+E145+E146+E147+E151+E153+E154+E155+E156+E157+E160+E161+E162+E163+E164+E165+E167+E168+E169, "NA")</f>
        <v>28330.940000000002</v>
      </c>
      <c r="F171" s="15">
        <f>IFERROR(E171/E444, "NA")</f>
        <v>0.23799992607377837</v>
      </c>
      <c r="G171" s="2"/>
      <c r="H171" s="14">
        <f t="shared" si="40"/>
        <v>-2830.3099999999977</v>
      </c>
      <c r="I171" s="15">
        <f>IFERROR(H171/H444, "NA")</f>
        <v>0.22810217213299699</v>
      </c>
      <c r="J171" s="2"/>
      <c r="K171" s="14">
        <f>IFERROR(K127+K129+K130+K131+K132+K133+K134+K135+K136+K137+K138+K139+K140+K143+K144+K145+K146+K147+K151+K153+K154+K155+K156+K157+K160+K161+K162+K163+K164+K165+K167+K168+K169, "NA")</f>
        <v>30227.519999999997</v>
      </c>
      <c r="L171" s="15">
        <f>IFERROR(K171/K444, "NA")</f>
        <v>0.27932687696170916</v>
      </c>
      <c r="M171" s="2"/>
      <c r="N171" s="14">
        <f t="shared" si="41"/>
        <v>-933.7300000000032</v>
      </c>
      <c r="O171" s="15">
        <f>IFERROR(N171/N444, "NA")</f>
        <v>0.58871038926648711</v>
      </c>
      <c r="P171" s="2"/>
      <c r="Q171" s="14">
        <f>IFERROR(Q127+Q129+Q130+Q131+Q132+Q133+Q134+Q135+Q136+Q137+Q138+Q139+Q140+Q143+Q144+Q145+Q146+Q147+Q151+Q153+Q154+Q155+Q156+Q157+Q160+Q161+Q162+Q163+Q164+Q165+Q167+Q168+Q169, "NA")</f>
        <v>326363.09999999992</v>
      </c>
      <c r="R171" s="15">
        <f>IFERROR(Q171/Q444, "NA")</f>
        <v>0.29167446318256618</v>
      </c>
      <c r="S171" s="2"/>
      <c r="T171" s="14">
        <f>IFERROR(T127+T129+T130+T131+T132+T133+T134+T135+T136+T137+T138+T139+T140+T143+T144+T145+T146+T147+T151+T153+T154+T155+T156+T157+T160+T161+T162+T163+T164+T165+T167+T168+T169, "NA")</f>
        <v>299946.06</v>
      </c>
      <c r="U171" s="15">
        <f>IFERROR(T171/T444, "NA")</f>
        <v>0.24742470557784935</v>
      </c>
      <c r="V171" s="2"/>
      <c r="W171" s="14">
        <f t="shared" si="42"/>
        <v>-26417.039999999921</v>
      </c>
      <c r="X171" s="15">
        <f>IFERROR(W171/W444, "NA")</f>
        <v>0.28301106952246241</v>
      </c>
      <c r="Y171" s="2"/>
      <c r="Z171" s="14">
        <f>IFERROR(Z127+Z129+Z130+Z131+Z132+Z133+Z134+Z135+Z136+Z137+Z138+Z139+Z140+Z143+Z144+Z145+Z146+Z147+Z151+Z153+Z154+Z155+Z156+Z157+Z160+Z161+Z162+Z163+Z164+Z165+Z167+Z168+Z169, "NA")</f>
        <v>293891.59999999998</v>
      </c>
      <c r="AA171" s="15">
        <f>IFERROR(Z171/Z444, "NA")</f>
        <v>0.27654119263722232</v>
      </c>
      <c r="AB171" s="2"/>
      <c r="AC171" s="14">
        <f t="shared" si="43"/>
        <v>-32471.499999999942</v>
      </c>
      <c r="AD171" s="15">
        <f>IFERROR(AC171/AC444, "NA")</f>
        <v>-0.57790274597017199</v>
      </c>
    </row>
    <row r="172" spans="1:30" ht="16.5" customHeight="1" x14ac:dyDescent="0.45">
      <c r="A172" s="22" t="s">
        <v>160</v>
      </c>
      <c r="B172" s="23">
        <f>IFERROR(B124-B171, "NA")</f>
        <v>75468.27</v>
      </c>
      <c r="C172" s="24">
        <f>IFERROR(B172/B444, "NA")</f>
        <v>0.70776150919557734</v>
      </c>
      <c r="D172" s="25"/>
      <c r="E172" s="23">
        <f>IFERROR(E124-E171, "NA")</f>
        <v>90706.659999999974</v>
      </c>
      <c r="F172" s="24">
        <f>IFERROR(E172/E444, "NA")</f>
        <v>0.76200007392622138</v>
      </c>
      <c r="G172" s="25"/>
      <c r="H172" s="23">
        <f>IFERROR(B172-E172, "NA")</f>
        <v>-15238.38999999997</v>
      </c>
      <c r="I172" s="24">
        <f>IFERROR(H172/H444, "NA")</f>
        <v>1.2281021721329946</v>
      </c>
      <c r="J172" s="25"/>
      <c r="K172" s="23">
        <f>IFERROR(K124-K171, "NA")</f>
        <v>77988.06</v>
      </c>
      <c r="L172" s="24">
        <f>IFERROR(K172/K444, "NA")</f>
        <v>0.72067312303829079</v>
      </c>
      <c r="M172" s="25"/>
      <c r="N172" s="23">
        <f>IFERROR(B172-K172, "NA")</f>
        <v>-2519.7899999999936</v>
      </c>
      <c r="O172" s="24">
        <f>IFERROR(N172/N444, "NA")</f>
        <v>1.5887103892664824</v>
      </c>
      <c r="P172" s="25"/>
      <c r="Q172" s="23">
        <f>IFERROR(Q124-Q171, "NA")</f>
        <v>792566.19</v>
      </c>
      <c r="R172" s="24">
        <f>IFERROR(Q172/Q444, "NA")</f>
        <v>0.70832553681743371</v>
      </c>
      <c r="S172" s="25"/>
      <c r="T172" s="23">
        <f>IFERROR(T124-T171, "NA")</f>
        <v>912326.01</v>
      </c>
      <c r="U172" s="24">
        <f>IFERROR(T172/T444, "NA")</f>
        <v>0.75257529442215065</v>
      </c>
      <c r="V172" s="25"/>
      <c r="W172" s="23">
        <f>IFERROR(Q172-T172, "NA")</f>
        <v>-119759.82000000007</v>
      </c>
      <c r="X172" s="24">
        <f>IFERROR(W172/W444, "NA")</f>
        <v>1.2830110695224637</v>
      </c>
      <c r="Y172" s="25"/>
      <c r="Z172" s="23">
        <f>IFERROR(Z124-Z171, "NA")</f>
        <v>768849.16999999981</v>
      </c>
      <c r="AA172" s="24">
        <f>IFERROR(Z172/Z444, "NA")</f>
        <v>0.72345880736277746</v>
      </c>
      <c r="AB172" s="25"/>
      <c r="AC172" s="23">
        <f>IFERROR(Q172-Z172, "NA")</f>
        <v>23717.020000000135</v>
      </c>
      <c r="AD172" s="24">
        <f>IFERROR(AC172/AC444, "NA")</f>
        <v>0.42209725402982901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5.4826843448230841E-2</v>
      </c>
      <c r="D178" s="9"/>
      <c r="E178" s="7">
        <v>5692.31</v>
      </c>
      <c r="F178" s="8">
        <f>IFERROR(E178/E444, "NA")</f>
        <v>4.781942848310114E-2</v>
      </c>
      <c r="G178" s="9"/>
      <c r="H178" s="10">
        <f t="shared" si="44"/>
        <v>-153.84999999999945</v>
      </c>
      <c r="I178" s="8">
        <f>IFERROR(H178/H444, "NA")</f>
        <v>1.2399178599751084E-2</v>
      </c>
      <c r="J178" s="9"/>
      <c r="K178" s="7">
        <v>5615.4</v>
      </c>
      <c r="L178" s="8">
        <f>IFERROR(K178/K444, "NA")</f>
        <v>5.189086451322443E-2</v>
      </c>
      <c r="M178" s="9"/>
      <c r="N178" s="10">
        <f t="shared" si="45"/>
        <v>-230.76000000000022</v>
      </c>
      <c r="O178" s="8">
        <f>IFERROR(N178/N444, "NA")</f>
        <v>0.14549260431509561</v>
      </c>
      <c r="P178" s="9"/>
      <c r="Q178" s="7">
        <v>62571.22</v>
      </c>
      <c r="R178" s="8">
        <f>IFERROR(Q178/Q444, "NA")</f>
        <v>5.5920620328028053E-2</v>
      </c>
      <c r="S178" s="9"/>
      <c r="T178" s="7">
        <v>61192.31</v>
      </c>
      <c r="U178" s="8">
        <f>IFERROR(T178/T444, "NA")</f>
        <v>5.047737344967454E-2</v>
      </c>
      <c r="V178" s="9"/>
      <c r="W178" s="10">
        <f t="shared" si="46"/>
        <v>-1378.9100000000035</v>
      </c>
      <c r="X178" s="8">
        <f>IFERROR(W178/W444, "NA")</f>
        <v>1.4772540522148613E-2</v>
      </c>
      <c r="Y178" s="9"/>
      <c r="Z178" s="7">
        <v>60365.55</v>
      </c>
      <c r="AA178" s="8">
        <f>IFERROR(Z178/Z444, "NA")</f>
        <v>5.6801763613529198E-2</v>
      </c>
      <c r="AB178" s="9"/>
      <c r="AC178" s="10">
        <f t="shared" si="47"/>
        <v>-2205.6699999999983</v>
      </c>
      <c r="AD178" s="8">
        <f>IFERROR(AC178/AC444, "NA")</f>
        <v>-3.9254815752399204E-2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18713.810000000001</v>
      </c>
      <c r="C180" s="8">
        <f>IFERROR(B180/B444, "NA")</f>
        <v>0.17550308770029163</v>
      </c>
      <c r="D180" s="9"/>
      <c r="E180" s="7">
        <v>22736.18</v>
      </c>
      <c r="F180" s="8">
        <f>IFERROR(E180/E444, "NA")</f>
        <v>0.1909999865588688</v>
      </c>
      <c r="G180" s="9"/>
      <c r="H180" s="10">
        <f t="shared" si="44"/>
        <v>4022.369999999999</v>
      </c>
      <c r="I180" s="8">
        <f>IFERROR(H180/H444, "NA")</f>
        <v>-0.32417344182178054</v>
      </c>
      <c r="J180" s="9"/>
      <c r="K180" s="7">
        <v>20369.55</v>
      </c>
      <c r="L180" s="8">
        <f>IFERROR(K180/K444, "NA")</f>
        <v>0.18823121402666787</v>
      </c>
      <c r="M180" s="9"/>
      <c r="N180" s="10">
        <f t="shared" si="45"/>
        <v>1655.739999999998</v>
      </c>
      <c r="O180" s="8">
        <f>IFERROR(N180/N444, "NA")</f>
        <v>-1.0439327642081639</v>
      </c>
      <c r="P180" s="9"/>
      <c r="Q180" s="7">
        <v>207406.56</v>
      </c>
      <c r="R180" s="8">
        <f>IFERROR(Q180/Q444, "NA")</f>
        <v>0.18536163263721517</v>
      </c>
      <c r="S180" s="9"/>
      <c r="T180" s="7">
        <v>235031.38</v>
      </c>
      <c r="U180" s="8">
        <f>IFERROR(T180/T444, "NA")</f>
        <v>0.19387675903479323</v>
      </c>
      <c r="V180" s="9"/>
      <c r="W180" s="10">
        <f t="shared" si="46"/>
        <v>27624.820000000007</v>
      </c>
      <c r="X180" s="8">
        <f>IFERROR(W180/W444, "NA")</f>
        <v>-0.29595025989155238</v>
      </c>
      <c r="Y180" s="9"/>
      <c r="Z180" s="7">
        <v>213917.05</v>
      </c>
      <c r="AA180" s="8">
        <f>IFERROR(Z180/Z444, "NA")</f>
        <v>0.20128808081767671</v>
      </c>
      <c r="AB180" s="9"/>
      <c r="AC180" s="10">
        <f t="shared" si="47"/>
        <v>6510.4899999999907</v>
      </c>
      <c r="AD180" s="8">
        <f>IFERROR(AC180/AC444, "NA")</f>
        <v>0.11586868634375827</v>
      </c>
    </row>
    <row r="181" spans="1:30" ht="16.5" customHeight="1" x14ac:dyDescent="0.45">
      <c r="A181" s="12" t="s">
        <v>166</v>
      </c>
      <c r="B181" s="7">
        <v>335.03</v>
      </c>
      <c r="C181" s="8">
        <f>IFERROR(B181/B444, "NA")</f>
        <v>3.1420004516572891E-3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-335.03</v>
      </c>
      <c r="I181" s="8">
        <f>IFERROR(H181/H444, "NA")</f>
        <v>2.7000954216929607E-2</v>
      </c>
      <c r="J181" s="9"/>
      <c r="K181" s="7">
        <v>74.849999999999994</v>
      </c>
      <c r="L181" s="8">
        <f>IFERROR(K181/K444, "NA")</f>
        <v>6.9167489561114946E-4</v>
      </c>
      <c r="M181" s="9"/>
      <c r="N181" s="10">
        <f t="shared" si="45"/>
        <v>-260.17999999999995</v>
      </c>
      <c r="O181" s="8">
        <f>IFERROR(N181/N444, "NA")</f>
        <v>0.16404171342824378</v>
      </c>
      <c r="P181" s="9"/>
      <c r="Q181" s="7">
        <v>4967.62</v>
      </c>
      <c r="R181" s="8">
        <f>IFERROR(Q181/Q444, "NA")</f>
        <v>4.4396192363504935E-3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-4967.62</v>
      </c>
      <c r="X181" s="8">
        <f>IFERROR(W181/W444, "NA")</f>
        <v>5.321911346544423E-2</v>
      </c>
      <c r="Y181" s="9"/>
      <c r="Z181" s="7">
        <v>1559.9</v>
      </c>
      <c r="AA181" s="8">
        <f>IFERROR(Z181/Z444, "NA")</f>
        <v>1.4678085606897344E-3</v>
      </c>
      <c r="AB181" s="9"/>
      <c r="AC181" s="10">
        <f t="shared" si="47"/>
        <v>-3407.72</v>
      </c>
      <c r="AD181" s="8">
        <f>IFERROR(AC181/AC444, "NA")</f>
        <v>-6.0647975778682167E-2</v>
      </c>
    </row>
    <row r="182" spans="1:30" ht="16.5" customHeight="1" x14ac:dyDescent="0.45">
      <c r="A182" s="13" t="s">
        <v>167</v>
      </c>
      <c r="B182" s="14">
        <f>IFERROR(B177+B178+B179+B180+B181, "NA")</f>
        <v>24895</v>
      </c>
      <c r="C182" s="15">
        <f>IFERROR(B182/B444, "NA")</f>
        <v>0.23347193160017976</v>
      </c>
      <c r="D182" s="2"/>
      <c r="E182" s="14">
        <f>IFERROR(E177+E178+E179+E180+E181, "NA")</f>
        <v>28428.49</v>
      </c>
      <c r="F182" s="15">
        <f>IFERROR(E182/E444, "NA")</f>
        <v>0.23881941504196993</v>
      </c>
      <c r="G182" s="2"/>
      <c r="H182" s="14">
        <f t="shared" si="44"/>
        <v>3533.4900000000016</v>
      </c>
      <c r="I182" s="15">
        <f>IFERROR(H182/H444, "NA")</f>
        <v>-0.28477330900510001</v>
      </c>
      <c r="J182" s="2"/>
      <c r="K182" s="14">
        <f>IFERROR(K177+K178+K179+K180+K181, "NA")</f>
        <v>26059.799999999996</v>
      </c>
      <c r="L182" s="15">
        <f>IFERROR(K182/K444, "NA")</f>
        <v>0.24081375343550343</v>
      </c>
      <c r="M182" s="2"/>
      <c r="N182" s="14">
        <f t="shared" si="45"/>
        <v>1164.7999999999956</v>
      </c>
      <c r="O182" s="15">
        <f>IFERROR(N182/N444, "NA")</f>
        <v>-0.73439844646482311</v>
      </c>
      <c r="P182" s="2"/>
      <c r="Q182" s="14">
        <f>IFERROR(Q177+Q178+Q179+Q180+Q181, "NA")</f>
        <v>274945.40000000002</v>
      </c>
      <c r="R182" s="15">
        <f>IFERROR(Q182/Q444, "NA")</f>
        <v>0.24572187220159372</v>
      </c>
      <c r="S182" s="2"/>
      <c r="T182" s="14">
        <f>IFERROR(T177+T178+T179+T180+T181, "NA")</f>
        <v>296223.69</v>
      </c>
      <c r="U182" s="15">
        <f>IFERROR(T182/T444, "NA")</f>
        <v>0.24435413248446777</v>
      </c>
      <c r="V182" s="2"/>
      <c r="W182" s="14">
        <f t="shared" si="46"/>
        <v>21278.289999999979</v>
      </c>
      <c r="X182" s="15">
        <f>IFERROR(W182/W444, "NA")</f>
        <v>-0.22795860590395928</v>
      </c>
      <c r="Y182" s="2"/>
      <c r="Z182" s="14">
        <f>IFERROR(Z177+Z178+Z179+Z180+Z181, "NA")</f>
        <v>275842.5</v>
      </c>
      <c r="AA182" s="15">
        <f>IFERROR(Z182/Z444, "NA")</f>
        <v>0.25955765299189565</v>
      </c>
      <c r="AB182" s="2"/>
      <c r="AC182" s="14">
        <f t="shared" si="47"/>
        <v>897.09999999997672</v>
      </c>
      <c r="AD182" s="15">
        <f>IFERROR(AC182/AC444, "NA")</f>
        <v>1.5965894812676618E-2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4.6891329905639637E-3</v>
      </c>
      <c r="D184" s="9"/>
      <c r="E184" s="7">
        <v>500</v>
      </c>
      <c r="F184" s="8">
        <f>IFERROR(E184/E444, "NA")</f>
        <v>4.2003535017507074E-3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2.7722440705857695E-3</v>
      </c>
      <c r="M184" s="9"/>
      <c r="N184" s="10">
        <f t="shared" si="45"/>
        <v>-200</v>
      </c>
      <c r="O184" s="8">
        <f>IFERROR(N184/N444, "NA")</f>
        <v>0.12609863435179017</v>
      </c>
      <c r="P184" s="9"/>
      <c r="Q184" s="7">
        <v>3050</v>
      </c>
      <c r="R184" s="8">
        <f>IFERROR(Q184/Q444, "NA")</f>
        <v>2.7258201454356422E-3</v>
      </c>
      <c r="S184" s="9"/>
      <c r="T184" s="7">
        <v>5000</v>
      </c>
      <c r="U184" s="8">
        <f>IFERROR(T184/T444, "NA")</f>
        <v>4.1244866756684415E-3</v>
      </c>
      <c r="V184" s="9"/>
      <c r="W184" s="10">
        <f t="shared" si="46"/>
        <v>1950</v>
      </c>
      <c r="X184" s="8">
        <f>IFERROR(W184/W444, "NA")</f>
        <v>-2.0890742701256588E-2</v>
      </c>
      <c r="Y184" s="9"/>
      <c r="Z184" s="7">
        <v>3200</v>
      </c>
      <c r="AA184" s="8">
        <f>IFERROR(Z184/Z444, "NA")</f>
        <v>3.0110823733618501E-3</v>
      </c>
      <c r="AB184" s="9"/>
      <c r="AC184" s="10">
        <f t="shared" si="47"/>
        <v>150</v>
      </c>
      <c r="AD184" s="8">
        <f>IFERROR(AC184/AC444, "NA")</f>
        <v>2.6695844631608014E-3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2251.9899999999998</v>
      </c>
      <c r="C186" s="8">
        <f>IFERROR(B186/B444, "NA")</f>
        <v>2.1119761206840278E-2</v>
      </c>
      <c r="D186" s="9"/>
      <c r="E186" s="7">
        <v>2605.5</v>
      </c>
      <c r="F186" s="8">
        <f>IFERROR(E186/E444, "NA")</f>
        <v>2.1888042097622934E-2</v>
      </c>
      <c r="G186" s="9"/>
      <c r="H186" s="10">
        <f t="shared" ref="H186:H197" si="48">IFERROR(-(B186-E186), "NA")</f>
        <v>353.51000000000022</v>
      </c>
      <c r="I186" s="8">
        <f>IFERROR(H186/H444, "NA")</f>
        <v>-2.8490306316529244E-2</v>
      </c>
      <c r="J186" s="9"/>
      <c r="K186" s="7">
        <v>2305.39</v>
      </c>
      <c r="L186" s="8">
        <f>IFERROR(K186/K444, "NA")</f>
        <v>2.1303679192959089E-2</v>
      </c>
      <c r="M186" s="9"/>
      <c r="N186" s="10">
        <f t="shared" ref="N186:N197" si="49">IFERROR(-(B186-K186), "NA")</f>
        <v>53.400000000000091</v>
      </c>
      <c r="O186" s="8">
        <f>IFERROR(N186/N444, "NA")</f>
        <v>-3.3668335371928031E-2</v>
      </c>
      <c r="P186" s="9"/>
      <c r="Q186" s="7">
        <v>27162.720000000001</v>
      </c>
      <c r="R186" s="8">
        <f>IFERROR(Q186/Q444, "NA")</f>
        <v>2.4275635862566435E-2</v>
      </c>
      <c r="S186" s="9"/>
      <c r="T186" s="7">
        <v>31953.62</v>
      </c>
      <c r="U186" s="8">
        <f>IFERROR(T186/T444, "NA")</f>
        <v>2.635845598587452E-2</v>
      </c>
      <c r="V186" s="9"/>
      <c r="W186" s="10">
        <f t="shared" ref="W186:W197" si="50">IFERROR(-(Q186-T186), "NA")</f>
        <v>4790.8999999999978</v>
      </c>
      <c r="X186" s="8">
        <f>IFERROR(W186/W444, "NA")</f>
        <v>-5.1325876516641097E-2</v>
      </c>
      <c r="Y186" s="9"/>
      <c r="Z186" s="7">
        <v>27948.1</v>
      </c>
      <c r="AA186" s="8">
        <f>IFERROR(Z186/Z444, "NA")</f>
        <v>2.6298134774673222E-2</v>
      </c>
      <c r="AB186" s="9"/>
      <c r="AC186" s="10">
        <f t="shared" ref="AC186:AC197" si="51">IFERROR(-(Q186-Z186), "NA")</f>
        <v>785.37999999999738</v>
      </c>
      <c r="AD186" s="8">
        <f>IFERROR(AC186/AC444, "NA")</f>
        <v>1.397758830451482E-2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-5.6457794500534687E-8</v>
      </c>
      <c r="AB187" s="9"/>
      <c r="AC187" s="10">
        <f t="shared" si="51"/>
        <v>-0.06</v>
      </c>
      <c r="AD187" s="8">
        <f>IFERROR(AC187/AC444, "NA")</f>
        <v>-1.0678337852643205E-6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2251.9899999999998</v>
      </c>
      <c r="C193" s="15">
        <f>IFERROR(B193/B444, "NA")</f>
        <v>2.1119761206840278E-2</v>
      </c>
      <c r="D193" s="2"/>
      <c r="E193" s="14">
        <f>IFERROR(E186+E187+E188+E189+E190+E191+E192, "NA")</f>
        <v>2605.5</v>
      </c>
      <c r="F193" s="15">
        <f>IFERROR(E193/E444, "NA")</f>
        <v>2.1888042097622934E-2</v>
      </c>
      <c r="G193" s="2"/>
      <c r="H193" s="14">
        <f t="shared" si="48"/>
        <v>353.51000000000022</v>
      </c>
      <c r="I193" s="15">
        <f>IFERROR(H193/H444, "NA")</f>
        <v>-2.8490306316529244E-2</v>
      </c>
      <c r="J193" s="2"/>
      <c r="K193" s="14">
        <f>IFERROR(K186+K187+K188+K189+K190+K191+K192, "NA")</f>
        <v>2305.39</v>
      </c>
      <c r="L193" s="15">
        <f>IFERROR(K193/K444, "NA")</f>
        <v>2.1303679192959089E-2</v>
      </c>
      <c r="M193" s="2"/>
      <c r="N193" s="14">
        <f t="shared" si="49"/>
        <v>53.400000000000091</v>
      </c>
      <c r="O193" s="15">
        <f>IFERROR(N193/N444, "NA")</f>
        <v>-3.3668335371928031E-2</v>
      </c>
      <c r="P193" s="2"/>
      <c r="Q193" s="14">
        <f>IFERROR(Q186+Q187+Q188+Q189+Q190+Q191+Q192, "NA")</f>
        <v>27162.720000000001</v>
      </c>
      <c r="R193" s="15">
        <f>IFERROR(Q193/Q444, "NA")</f>
        <v>2.4275635862566435E-2</v>
      </c>
      <c r="S193" s="2"/>
      <c r="T193" s="14">
        <f>IFERROR(T186+T187+T188+T189+T190+T191+T192, "NA")</f>
        <v>31953.62</v>
      </c>
      <c r="U193" s="15">
        <f>IFERROR(T193/T444, "NA")</f>
        <v>2.635845598587452E-2</v>
      </c>
      <c r="V193" s="2"/>
      <c r="W193" s="14">
        <f t="shared" si="50"/>
        <v>4790.8999999999978</v>
      </c>
      <c r="X193" s="15">
        <f>IFERROR(W193/W444, "NA")</f>
        <v>-5.1325876516641097E-2</v>
      </c>
      <c r="Y193" s="2"/>
      <c r="Z193" s="14">
        <f>IFERROR(Z186+Z187+Z188+Z189+Z190+Z191+Z192, "NA")</f>
        <v>27948.039999999997</v>
      </c>
      <c r="AA193" s="15">
        <f>IFERROR(Z193/Z444, "NA")</f>
        <v>2.629807831687872E-2</v>
      </c>
      <c r="AB193" s="2"/>
      <c r="AC193" s="14">
        <f t="shared" si="51"/>
        <v>785.31999999999607</v>
      </c>
      <c r="AD193" s="15">
        <f>IFERROR(AC193/AC444, "NA")</f>
        <v>1.3976520470729533E-2</v>
      </c>
    </row>
    <row r="194" spans="1:30" ht="16.5" customHeight="1" x14ac:dyDescent="0.45">
      <c r="A194" s="6" t="s">
        <v>178</v>
      </c>
      <c r="B194" s="7">
        <v>236</v>
      </c>
      <c r="C194" s="8">
        <f>IFERROR(B194/B444, "NA")</f>
        <v>2.2132707715461909E-3</v>
      </c>
      <c r="D194" s="9"/>
      <c r="E194" s="7">
        <v>231.43</v>
      </c>
      <c r="F194" s="8">
        <f>IFERROR(E194/E444, "NA")</f>
        <v>1.9441756218203324E-3</v>
      </c>
      <c r="G194" s="9"/>
      <c r="H194" s="10">
        <f t="shared" si="48"/>
        <v>-4.5699999999999932</v>
      </c>
      <c r="I194" s="8">
        <f>IFERROR(H194/H444, "NA")</f>
        <v>3.6830839259579184E-4</v>
      </c>
      <c r="J194" s="9"/>
      <c r="K194" s="7">
        <v>212</v>
      </c>
      <c r="L194" s="8">
        <f>IFERROR(K194/K444, "NA")</f>
        <v>1.9590524765472771E-3</v>
      </c>
      <c r="M194" s="9"/>
      <c r="N194" s="10">
        <f t="shared" si="49"/>
        <v>-24</v>
      </c>
      <c r="O194" s="8">
        <f>IFERROR(N194/N444, "NA")</f>
        <v>1.5131836122214819E-2</v>
      </c>
      <c r="P194" s="9"/>
      <c r="Q194" s="7">
        <v>2380</v>
      </c>
      <c r="R194" s="8">
        <f>IFERROR(Q194/Q444, "NA")</f>
        <v>2.1270334249628947E-3</v>
      </c>
      <c r="S194" s="9"/>
      <c r="T194" s="7">
        <v>2409.8000000000002</v>
      </c>
      <c r="U194" s="8">
        <f>IFERROR(T194/T444, "NA")</f>
        <v>1.9878375982051622E-3</v>
      </c>
      <c r="V194" s="9"/>
      <c r="W194" s="10">
        <f t="shared" si="50"/>
        <v>29.800000000000182</v>
      </c>
      <c r="X194" s="8">
        <f>IFERROR(W194/W444, "NA")</f>
        <v>-3.1925340128074363E-4</v>
      </c>
      <c r="Y194" s="9"/>
      <c r="Z194" s="7">
        <v>2154</v>
      </c>
      <c r="AA194" s="8">
        <f>IFERROR(Z194/Z444, "NA")</f>
        <v>2.0268348225691954E-3</v>
      </c>
      <c r="AB194" s="9"/>
      <c r="AC194" s="10">
        <f t="shared" si="51"/>
        <v>-226</v>
      </c>
      <c r="AD194" s="8">
        <f>IFERROR(AC194/AC444, "NA")</f>
        <v>-4.0221739244956072E-3</v>
      </c>
    </row>
    <row r="195" spans="1:30" ht="16.5" customHeight="1" x14ac:dyDescent="0.45">
      <c r="A195" s="6" t="s">
        <v>179</v>
      </c>
      <c r="B195" s="7">
        <v>249.04</v>
      </c>
      <c r="C195" s="8">
        <f>IFERROR(B195/B444, "NA")</f>
        <v>2.3355633599400991E-3</v>
      </c>
      <c r="D195" s="9"/>
      <c r="E195" s="7">
        <v>202.5</v>
      </c>
      <c r="F195" s="8">
        <f>IFERROR(E195/E444, "NA")</f>
        <v>1.7011431682090363E-3</v>
      </c>
      <c r="G195" s="9"/>
      <c r="H195" s="10">
        <f t="shared" si="48"/>
        <v>-46.539999999999992</v>
      </c>
      <c r="I195" s="8">
        <f>IFERROR(H195/H444, "NA")</f>
        <v>3.7507817486669964E-3</v>
      </c>
      <c r="J195" s="9"/>
      <c r="K195" s="7">
        <v>246.55</v>
      </c>
      <c r="L195" s="8">
        <f>IFERROR(K195/K444, "NA")</f>
        <v>2.2783225853430719E-3</v>
      </c>
      <c r="M195" s="9"/>
      <c r="N195" s="10">
        <f t="shared" si="49"/>
        <v>-2.4899999999999807</v>
      </c>
      <c r="O195" s="8">
        <f>IFERROR(N195/N444, "NA")</f>
        <v>1.5699279976797752E-3</v>
      </c>
      <c r="P195" s="9"/>
      <c r="Q195" s="7">
        <v>2498.12</v>
      </c>
      <c r="R195" s="8">
        <f>IFERROR(Q195/Q444, "NA")</f>
        <v>2.2325986300707167E-3</v>
      </c>
      <c r="S195" s="9"/>
      <c r="T195" s="7">
        <v>2108.58</v>
      </c>
      <c r="U195" s="8">
        <f>IFERROR(T195/T444, "NA")</f>
        <v>1.7393620229161923E-3</v>
      </c>
      <c r="V195" s="9"/>
      <c r="W195" s="10">
        <f t="shared" si="50"/>
        <v>-389.53999999999996</v>
      </c>
      <c r="X195" s="8">
        <f>IFERROR(W195/W444, "NA")</f>
        <v>4.1732204676140977E-3</v>
      </c>
      <c r="Y195" s="9"/>
      <c r="Z195" s="7">
        <v>2225</v>
      </c>
      <c r="AA195" s="8">
        <f>IFERROR(Z195/Z444, "NA")</f>
        <v>2.0936432127281611E-3</v>
      </c>
      <c r="AB195" s="9"/>
      <c r="AC195" s="10">
        <f t="shared" si="51"/>
        <v>-273.11999999999989</v>
      </c>
      <c r="AD195" s="8">
        <f>IFERROR(AC195/AC444, "NA")</f>
        <v>-4.8607793905231849E-3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28132.03</v>
      </c>
      <c r="C196" s="15">
        <f>IFERROR(B196/B444, "NA")</f>
        <v>0.26382965992907026</v>
      </c>
      <c r="D196" s="2"/>
      <c r="E196" s="14">
        <f>IFERROR(E175+E177+E178+E179+E180+E181+E183+E184+E186+E187+E188+E189+E190+E191+E192+E194+E195, "NA")</f>
        <v>31967.920000000002</v>
      </c>
      <c r="F196" s="15">
        <f>IFERROR(E196/E444, "NA")</f>
        <v>0.26855312943137294</v>
      </c>
      <c r="G196" s="2"/>
      <c r="H196" s="14">
        <f t="shared" si="48"/>
        <v>3835.8900000000031</v>
      </c>
      <c r="I196" s="15">
        <f>IFERROR(H196/H444, "NA")</f>
        <v>-0.30914452518036656</v>
      </c>
      <c r="J196" s="2"/>
      <c r="K196" s="14">
        <f>IFERROR(K175+K177+K178+K179+K180+K181+K183+K184+K186+K187+K188+K189+K190+K191+K192+K194+K195, "NA")</f>
        <v>29123.739999999994</v>
      </c>
      <c r="L196" s="15">
        <f>IFERROR(K196/K444, "NA")</f>
        <v>0.2691270517609386</v>
      </c>
      <c r="M196" s="2"/>
      <c r="N196" s="14">
        <f t="shared" si="49"/>
        <v>991.70999999999549</v>
      </c>
      <c r="O196" s="15">
        <f>IFERROR(N196/N444, "NA")</f>
        <v>-0.62526638336506624</v>
      </c>
      <c r="P196" s="2"/>
      <c r="Q196" s="14">
        <f>IFERROR(Q175+Q177+Q178+Q179+Q180+Q181+Q183+Q184+Q186+Q187+Q188+Q189+Q190+Q191+Q192+Q194+Q195, "NA")</f>
        <v>310036.24</v>
      </c>
      <c r="R196" s="15">
        <f>IFERROR(Q196/Q444, "NA")</f>
        <v>0.27708296026462942</v>
      </c>
      <c r="S196" s="2"/>
      <c r="T196" s="14">
        <f>IFERROR(T175+T177+T178+T179+T180+T181+T183+T184+T186+T187+T188+T189+T190+T191+T192+T194+T195, "NA")</f>
        <v>337695.69</v>
      </c>
      <c r="U196" s="15">
        <f>IFERROR(T196/T444, "NA")</f>
        <v>0.27856427476713208</v>
      </c>
      <c r="V196" s="2"/>
      <c r="W196" s="14">
        <f t="shared" si="50"/>
        <v>27659.450000000012</v>
      </c>
      <c r="X196" s="15">
        <f>IFERROR(W196/W444, "NA")</f>
        <v>-0.29632125805552401</v>
      </c>
      <c r="Y196" s="2"/>
      <c r="Z196" s="14">
        <f>IFERROR(Z175+Z177+Z178+Z179+Z180+Z181+Z183+Z184+Z186+Z187+Z188+Z189+Z190+Z191+Z192+Z194+Z195, "NA")</f>
        <v>311369.53999999998</v>
      </c>
      <c r="AA196" s="15">
        <f>IFERROR(Z196/Z444, "NA")</f>
        <v>0.2929872917174336</v>
      </c>
      <c r="AB196" s="2"/>
      <c r="AC196" s="14">
        <f t="shared" si="51"/>
        <v>1333.2999999999884</v>
      </c>
      <c r="AD196" s="15">
        <f>IFERROR(AC196/AC444, "NA")</f>
        <v>2.3729046431548436E-2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28132.03</v>
      </c>
      <c r="C197" s="15">
        <f>IFERROR(B197/B444, "NA")</f>
        <v>0.26382965992907026</v>
      </c>
      <c r="D197" s="2"/>
      <c r="E197" s="14">
        <f>IFERROR(E175+E177+E178+E179+E180+E181+E183+E184+E186+E187+E188+E189+E190+E191+E192+E194+E195, "NA")</f>
        <v>31967.920000000002</v>
      </c>
      <c r="F197" s="15">
        <f>IFERROR(E197/E444, "NA")</f>
        <v>0.26855312943137294</v>
      </c>
      <c r="G197" s="2"/>
      <c r="H197" s="14">
        <f t="shared" si="48"/>
        <v>3835.8900000000031</v>
      </c>
      <c r="I197" s="15">
        <f>IFERROR(H197/H444, "NA")</f>
        <v>-0.30914452518036656</v>
      </c>
      <c r="J197" s="2"/>
      <c r="K197" s="14">
        <f>IFERROR(K175+K177+K178+K179+K180+K181+K183+K184+K186+K187+K188+K189+K190+K191+K192+K194+K195, "NA")</f>
        <v>29123.739999999994</v>
      </c>
      <c r="L197" s="15">
        <f>IFERROR(K197/K444, "NA")</f>
        <v>0.2691270517609386</v>
      </c>
      <c r="M197" s="2"/>
      <c r="N197" s="14">
        <f t="shared" si="49"/>
        <v>991.70999999999549</v>
      </c>
      <c r="O197" s="15">
        <f>IFERROR(N197/N444, "NA")</f>
        <v>-0.62526638336506624</v>
      </c>
      <c r="P197" s="2"/>
      <c r="Q197" s="14">
        <f>IFERROR(Q175+Q177+Q178+Q179+Q180+Q181+Q183+Q184+Q186+Q187+Q188+Q189+Q190+Q191+Q192+Q194+Q195, "NA")</f>
        <v>310036.24</v>
      </c>
      <c r="R197" s="15">
        <f>IFERROR(Q197/Q444, "NA")</f>
        <v>0.27708296026462942</v>
      </c>
      <c r="S197" s="2"/>
      <c r="T197" s="14">
        <f>IFERROR(T175+T177+T178+T179+T180+T181+T183+T184+T186+T187+T188+T189+T190+T191+T192+T194+T195, "NA")</f>
        <v>337695.69</v>
      </c>
      <c r="U197" s="15">
        <f>IFERROR(T197/T444, "NA")</f>
        <v>0.27856427476713208</v>
      </c>
      <c r="V197" s="2"/>
      <c r="W197" s="14">
        <f t="shared" si="50"/>
        <v>27659.450000000012</v>
      </c>
      <c r="X197" s="15">
        <f>IFERROR(W197/W444, "NA")</f>
        <v>-0.29632125805552401</v>
      </c>
      <c r="Y197" s="2"/>
      <c r="Z197" s="14">
        <f>IFERROR(Z175+Z177+Z178+Z179+Z180+Z181+Z183+Z184+Z186+Z187+Z188+Z189+Z190+Z191+Z192+Z194+Z195, "NA")</f>
        <v>311369.53999999998</v>
      </c>
      <c r="AA197" s="15">
        <f>IFERROR(Z197/Z444, "NA")</f>
        <v>0.2929872917174336</v>
      </c>
      <c r="AB197" s="2"/>
      <c r="AC197" s="14">
        <f t="shared" si="51"/>
        <v>1333.2999999999884</v>
      </c>
      <c r="AD197" s="15">
        <f>IFERROR(AC197/AC444, "NA")</f>
        <v>2.3729046431548436E-2</v>
      </c>
    </row>
    <row r="198" spans="1:30" ht="16.5" customHeight="1" x14ac:dyDescent="0.45">
      <c r="A198" s="22" t="s">
        <v>181</v>
      </c>
      <c r="B198" s="23">
        <f>IFERROR(B172-B197, "NA")</f>
        <v>47336.240000000005</v>
      </c>
      <c r="C198" s="24">
        <f>IFERROR(B198/B444, "NA")</f>
        <v>0.44393184926650708</v>
      </c>
      <c r="D198" s="25"/>
      <c r="E198" s="23">
        <f>IFERROR(E172-E197, "NA")</f>
        <v>58738.739999999976</v>
      </c>
      <c r="F198" s="24">
        <f>IFERROR(E198/E444, "NA")</f>
        <v>0.49344694449484844</v>
      </c>
      <c r="G198" s="25"/>
      <c r="H198" s="23">
        <f>IFERROR(B198-E198, "NA")</f>
        <v>-11402.499999999971</v>
      </c>
      <c r="I198" s="24">
        <f>IFERROR(H198/H444, "NA")</f>
        <v>0.91895764695262838</v>
      </c>
      <c r="J198" s="25"/>
      <c r="K198" s="23">
        <f>IFERROR(K172-K197, "NA")</f>
        <v>48864.320000000007</v>
      </c>
      <c r="L198" s="24">
        <f>IFERROR(K198/K444, "NA")</f>
        <v>0.45154607127735219</v>
      </c>
      <c r="M198" s="25"/>
      <c r="N198" s="23">
        <f>IFERROR(B198-K198, "NA")</f>
        <v>-1528.0800000000017</v>
      </c>
      <c r="O198" s="24">
        <f>IFERROR(N198/N444, "NA")</f>
        <v>0.96344400590141865</v>
      </c>
      <c r="P198" s="25"/>
      <c r="Q198" s="23">
        <f>IFERROR(Q172-Q197, "NA")</f>
        <v>482529.94999999995</v>
      </c>
      <c r="R198" s="24">
        <f>IFERROR(Q198/Q444, "NA")</f>
        <v>0.43124257655280429</v>
      </c>
      <c r="S198" s="25"/>
      <c r="T198" s="23">
        <f>IFERROR(T172-T197, "NA")</f>
        <v>574630.32000000007</v>
      </c>
      <c r="U198" s="24">
        <f>IFERROR(T198/T444, "NA")</f>
        <v>0.47401101965501857</v>
      </c>
      <c r="V198" s="25"/>
      <c r="W198" s="23">
        <f>IFERROR(Q198-T198, "NA")</f>
        <v>-92100.370000000112</v>
      </c>
      <c r="X198" s="24">
        <f>IFERROR(W198/W444, "NA")</f>
        <v>0.98668981146694024</v>
      </c>
      <c r="Y198" s="25"/>
      <c r="Z198" s="23">
        <f>IFERROR(Z172-Z197, "NA")</f>
        <v>457479.62999999983</v>
      </c>
      <c r="AA198" s="24">
        <f>IFERROR(Z198/Z444, "NA")</f>
        <v>0.43047151564534392</v>
      </c>
      <c r="AB198" s="25"/>
      <c r="AC198" s="23">
        <f>IFERROR(Q198-Z198, "NA")</f>
        <v>25050.320000000123</v>
      </c>
      <c r="AD198" s="24">
        <f>IFERROR(AC198/AC444, "NA")</f>
        <v>0.44582630046137744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2499.79</v>
      </c>
      <c r="F201" s="8">
        <f>IFERROR(E201/E444, "NA")</f>
        <v>2.10000033602828E-2</v>
      </c>
      <c r="G201" s="9"/>
      <c r="H201" s="10">
        <f t="shared" ref="H201:H209" si="52">IFERROR(-(B201-E201), "NA")</f>
        <v>2499.79</v>
      </c>
      <c r="I201" s="8">
        <f>IFERROR(H201/H444, "NA")</f>
        <v>-0.20146469074989842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25798.43</v>
      </c>
      <c r="U201" s="8">
        <f>IFERROR(T201/T444, "NA")</f>
        <v>2.1281056157632997E-2</v>
      </c>
      <c r="V201" s="9"/>
      <c r="W201" s="10">
        <f t="shared" ref="W201:W209" si="54">IFERROR(-(Q201-T201), "NA")</f>
        <v>25798.43</v>
      </c>
      <c r="X201" s="8">
        <f>IFERROR(W201/W444, "NA")</f>
        <v>-0.2763837760135277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1300.28</v>
      </c>
      <c r="C202" s="8">
        <f>IFERROR(B202/B444, "NA")</f>
        <v>1.2194371689941022E-2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-1300.28</v>
      </c>
      <c r="I202" s="8">
        <f>IFERROR(H202/H444, "NA")</f>
        <v>0.10479300584780238</v>
      </c>
      <c r="J202" s="9"/>
      <c r="K202" s="7">
        <v>1187.19</v>
      </c>
      <c r="L202" s="8">
        <f>IFERROR(K202/K444, "NA")</f>
        <v>1.0970601460529066E-2</v>
      </c>
      <c r="M202" s="9"/>
      <c r="N202" s="10">
        <f t="shared" si="53"/>
        <v>-113.08999999999992</v>
      </c>
      <c r="O202" s="8">
        <f>IFERROR(N202/N444, "NA")</f>
        <v>7.1302472794219696E-2</v>
      </c>
      <c r="P202" s="9"/>
      <c r="Q202" s="7">
        <v>16735.04</v>
      </c>
      <c r="R202" s="8">
        <f>IFERROR(Q202/Q444, "NA")</f>
        <v>1.495629808743321E-2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-16735.04</v>
      </c>
      <c r="X202" s="8">
        <f>IFERROR(W202/W444, "NA")</f>
        <v>0.17928585371037797</v>
      </c>
      <c r="Y202" s="9"/>
      <c r="Z202" s="7">
        <v>12652.73</v>
      </c>
      <c r="AA202" s="8">
        <f>IFERROR(Z202/Z444, "NA")</f>
        <v>1.1905753836845837E-2</v>
      </c>
      <c r="AB202" s="9"/>
      <c r="AC202" s="10">
        <f t="shared" si="55"/>
        <v>-4082.3100000000013</v>
      </c>
      <c r="AD202" s="8">
        <f>IFERROR(AC202/AC444, "NA")</f>
        <v>-7.2653808998706493E-2</v>
      </c>
    </row>
    <row r="203" spans="1:30" ht="16.5" customHeight="1" x14ac:dyDescent="0.45">
      <c r="A203" s="6" t="s">
        <v>185</v>
      </c>
      <c r="B203" s="7">
        <v>466.2</v>
      </c>
      <c r="C203" s="8">
        <f>IFERROR(B203/B444, "NA")</f>
        <v>4.3721476004018401E-3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-466.2</v>
      </c>
      <c r="I203" s="8">
        <f>IFERROR(H203/H444, "NA")</f>
        <v>3.7572291603535757E-2</v>
      </c>
      <c r="J203" s="9"/>
      <c r="K203" s="7">
        <v>586.84</v>
      </c>
      <c r="L203" s="8">
        <f>IFERROR(K203/K444, "NA")</f>
        <v>5.4228790346085107E-3</v>
      </c>
      <c r="M203" s="9"/>
      <c r="N203" s="10">
        <f t="shared" si="53"/>
        <v>120.64000000000004</v>
      </c>
      <c r="O203" s="8">
        <f>IFERROR(N203/N444, "NA")</f>
        <v>-7.6062696240999844E-2</v>
      </c>
      <c r="P203" s="9"/>
      <c r="Q203" s="7">
        <v>9278.98</v>
      </c>
      <c r="R203" s="8">
        <f>IFERROR(Q203/Q444, "NA")</f>
        <v>8.2927313485555449E-3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-9278.98</v>
      </c>
      <c r="X203" s="8">
        <f>IFERROR(W203/W444, "NA")</f>
        <v>9.9407581389797869E-2</v>
      </c>
      <c r="Y203" s="9"/>
      <c r="Z203" s="7">
        <v>5514.46</v>
      </c>
      <c r="AA203" s="8">
        <f>IFERROR(Z203/Z444, "NA")</f>
        <v>5.188904157690309E-3</v>
      </c>
      <c r="AB203" s="9"/>
      <c r="AC203" s="10">
        <f t="shared" si="55"/>
        <v>-3764.5199999999995</v>
      </c>
      <c r="AD203" s="8">
        <f>IFERROR(AC203/AC444, "NA")</f>
        <v>-6.6998027355053988E-2</v>
      </c>
    </row>
    <row r="204" spans="1:30" ht="16.5" customHeight="1" x14ac:dyDescent="0.45">
      <c r="A204" s="6" t="s">
        <v>186</v>
      </c>
      <c r="B204" s="7">
        <v>198.13</v>
      </c>
      <c r="C204" s="8">
        <f>IFERROR(B204/B444, "NA")</f>
        <v>1.8581158388408761E-3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-198.13</v>
      </c>
      <c r="I204" s="8">
        <f>IFERROR(H204/H444, "NA")</f>
        <v>1.5967820968272286E-2</v>
      </c>
      <c r="J204" s="9"/>
      <c r="K204" s="7">
        <v>39.97</v>
      </c>
      <c r="L204" s="8">
        <f>IFERROR(K204/K444, "NA")</f>
        <v>3.6935531833771071E-4</v>
      </c>
      <c r="M204" s="9"/>
      <c r="N204" s="10">
        <f t="shared" si="53"/>
        <v>-158.16</v>
      </c>
      <c r="O204" s="8">
        <f>IFERROR(N204/N444, "NA")</f>
        <v>9.9718800045395656E-2</v>
      </c>
      <c r="P204" s="9"/>
      <c r="Q204" s="7">
        <v>2715.82</v>
      </c>
      <c r="R204" s="8">
        <f>IFERROR(Q204/Q444, "NA")</f>
        <v>2.4271596286482055E-3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-2715.82</v>
      </c>
      <c r="X204" s="8">
        <f>IFERROR(W204/W444, "NA")</f>
        <v>2.9095126586116241E-2</v>
      </c>
      <c r="Y204" s="9"/>
      <c r="Z204" s="7">
        <v>1181.06</v>
      </c>
      <c r="AA204" s="8">
        <f>IFERROR(Z204/Z444, "NA")</f>
        <v>1.1113340462133583E-3</v>
      </c>
      <c r="AB204" s="9"/>
      <c r="AC204" s="10">
        <f t="shared" si="55"/>
        <v>-1534.7600000000002</v>
      </c>
      <c r="AD204" s="8">
        <f>IFERROR(AC204/AC444, "NA")</f>
        <v>-2.7314476337871148E-2</v>
      </c>
    </row>
    <row r="205" spans="1:30" ht="16.5" customHeight="1" x14ac:dyDescent="0.45">
      <c r="A205" s="6" t="s">
        <v>187</v>
      </c>
      <c r="B205" s="7">
        <v>237.64</v>
      </c>
      <c r="C205" s="8">
        <f>IFERROR(B205/B444, "NA")</f>
        <v>2.2286511277552407E-3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-237.64</v>
      </c>
      <c r="I205" s="8">
        <f>IFERROR(H205/H444, "NA")</f>
        <v>1.9152036414981203E-2</v>
      </c>
      <c r="J205" s="9"/>
      <c r="K205" s="7">
        <v>207.88</v>
      </c>
      <c r="L205" s="8">
        <f>IFERROR(K205/K444, "NA")</f>
        <v>1.9209803246445659E-3</v>
      </c>
      <c r="M205" s="9"/>
      <c r="N205" s="10">
        <f t="shared" si="53"/>
        <v>-29.759999999999991</v>
      </c>
      <c r="O205" s="8">
        <f>IFERROR(N205/N444, "NA")</f>
        <v>1.8763476791546368E-2</v>
      </c>
      <c r="P205" s="9"/>
      <c r="Q205" s="7">
        <v>2470.48</v>
      </c>
      <c r="R205" s="8">
        <f>IFERROR(Q205/Q444, "NA")</f>
        <v>2.2078964435724084E-3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-2470.48</v>
      </c>
      <c r="X205" s="8">
        <f>IFERROR(W205/W444, "NA")</f>
        <v>2.6466749758256605E-2</v>
      </c>
      <c r="Y205" s="9"/>
      <c r="Z205" s="7">
        <v>2344.5100000000002</v>
      </c>
      <c r="AA205" s="8">
        <f>IFERROR(Z205/Z444, "NA")</f>
        <v>2.2060977297408101E-3</v>
      </c>
      <c r="AB205" s="9"/>
      <c r="AC205" s="10">
        <f t="shared" si="55"/>
        <v>-125.9699999999998</v>
      </c>
      <c r="AD205" s="8">
        <f>IFERROR(AC205/AC444, "NA")</f>
        <v>-2.2419170321624376E-3</v>
      </c>
    </row>
    <row r="206" spans="1:30" ht="16.5" customHeight="1" x14ac:dyDescent="0.45">
      <c r="A206" s="6" t="s">
        <v>188</v>
      </c>
      <c r="B206" s="7">
        <v>34.97</v>
      </c>
      <c r="C206" s="8">
        <f>IFERROR(B206/B444, "NA")</f>
        <v>3.2795796136004363E-4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-34.97</v>
      </c>
      <c r="I206" s="8">
        <f>IFERROR(H206/H444, "NA")</f>
        <v>2.8183248334955925E-3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-34.97</v>
      </c>
      <c r="O206" s="8">
        <f>IFERROR(N206/N444, "NA")</f>
        <v>2.2048346216410507E-2</v>
      </c>
      <c r="P206" s="9"/>
      <c r="Q206" s="7">
        <v>1138.28</v>
      </c>
      <c r="R206" s="8">
        <f>IFERROR(Q206/Q444, "NA")</f>
        <v>1.0172939525070436E-3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-1138.28</v>
      </c>
      <c r="X206" s="8">
        <f>IFERROR(W206/W444, "NA")</f>
        <v>1.2194622872813511E-2</v>
      </c>
      <c r="Y206" s="9"/>
      <c r="Z206" s="7">
        <v>239</v>
      </c>
      <c r="AA206" s="8">
        <f>IFERROR(Z206/Z444, "NA")</f>
        <v>2.2489021476046318E-4</v>
      </c>
      <c r="AB206" s="9"/>
      <c r="AC206" s="10">
        <f t="shared" si="55"/>
        <v>-899.28</v>
      </c>
      <c r="AD206" s="8">
        <f>IFERROR(AC206/AC444, "NA")</f>
        <v>-1.6004692773541634E-2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847.67</v>
      </c>
      <c r="R207" s="8">
        <f>IFERROR(Q207/Q444, "NA")</f>
        <v>7.5757244678079701E-4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-847.67</v>
      </c>
      <c r="X207" s="8">
        <f>IFERROR(W207/W444, "NA")</f>
        <v>9.0812594182431653E-3</v>
      </c>
      <c r="Y207" s="9"/>
      <c r="Z207" s="7">
        <v>563.29</v>
      </c>
      <c r="AA207" s="8">
        <f>IFERROR(Z207/Z444, "NA")</f>
        <v>5.3003518440343641E-4</v>
      </c>
      <c r="AB207" s="9"/>
      <c r="AC207" s="10">
        <f t="shared" si="55"/>
        <v>-284.38</v>
      </c>
      <c r="AD207" s="8">
        <f>IFERROR(AC207/AC444, "NA")</f>
        <v>-5.061176197557791E-3</v>
      </c>
    </row>
    <row r="208" spans="1:30" ht="16.5" customHeight="1" x14ac:dyDescent="0.45">
      <c r="A208" s="6" t="s">
        <v>190</v>
      </c>
      <c r="B208" s="7">
        <v>163.57</v>
      </c>
      <c r="C208" s="8">
        <f>IFERROR(B208/B444, "NA")</f>
        <v>1.5340029665330951E-3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-163.57</v>
      </c>
      <c r="I208" s="8">
        <f>IFERROR(H208/H444, "NA")</f>
        <v>1.3182539119670406E-2</v>
      </c>
      <c r="J208" s="9"/>
      <c r="K208" s="7">
        <v>217.07</v>
      </c>
      <c r="L208" s="8">
        <f>IFERROR(K208/K444, "NA")</f>
        <v>2.0059034013401767E-3</v>
      </c>
      <c r="M208" s="9"/>
      <c r="N208" s="10">
        <f t="shared" si="53"/>
        <v>53.5</v>
      </c>
      <c r="O208" s="8">
        <f>IFERROR(N208/N444, "NA")</f>
        <v>-3.3731384689103867E-2</v>
      </c>
      <c r="P208" s="9"/>
      <c r="Q208" s="7">
        <v>1337.01</v>
      </c>
      <c r="R208" s="8">
        <f>IFERROR(Q208/Q444, "NA")</f>
        <v>1.1949012434914453E-3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-1337.01</v>
      </c>
      <c r="X208" s="8">
        <f>IFERROR(W208/W444, "NA")</f>
        <v>1.432365738410619E-2</v>
      </c>
      <c r="Y208" s="9"/>
      <c r="Z208" s="7">
        <v>1977.91</v>
      </c>
      <c r="AA208" s="8">
        <f>IFERROR(Z208/Z444, "NA")</f>
        <v>1.8611406053425429E-3</v>
      </c>
      <c r="AB208" s="9"/>
      <c r="AC208" s="10">
        <f t="shared" si="55"/>
        <v>640.90000000000009</v>
      </c>
      <c r="AD208" s="8">
        <f>IFERROR(AC208/AC444, "NA")</f>
        <v>1.1406244549598385E-2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2400.79</v>
      </c>
      <c r="C209" s="15">
        <f>IFERROR(B209/B444, "NA")</f>
        <v>2.2515247184832117E-2</v>
      </c>
      <c r="D209" s="2"/>
      <c r="E209" s="14">
        <f>IFERROR(E201+E202+E203+E204+E205+E206+E207+E208, "NA")</f>
        <v>2499.79</v>
      </c>
      <c r="F209" s="15">
        <f>IFERROR(E209/E444, "NA")</f>
        <v>2.10000033602828E-2</v>
      </c>
      <c r="G209" s="2"/>
      <c r="H209" s="14">
        <f t="shared" si="52"/>
        <v>99</v>
      </c>
      <c r="I209" s="15">
        <f>IFERROR(H209/H444, "NA")</f>
        <v>-7.9786719621407973E-3</v>
      </c>
      <c r="J209" s="2"/>
      <c r="K209" s="14">
        <f>IFERROR(K201+K202+K203+K204+K205+K206+K207+K208, "NA")</f>
        <v>2238.9500000000003</v>
      </c>
      <c r="L209" s="15">
        <f>IFERROR(K209/K444, "NA")</f>
        <v>2.0689719539460031E-2</v>
      </c>
      <c r="M209" s="2"/>
      <c r="N209" s="14">
        <f t="shared" si="53"/>
        <v>-161.83999999999969</v>
      </c>
      <c r="O209" s="15">
        <f>IFERROR(N209/N444, "NA")</f>
        <v>0.1020390149174684</v>
      </c>
      <c r="P209" s="2"/>
      <c r="Q209" s="14">
        <f>IFERROR(Q201+Q202+Q203+Q204+Q205+Q206+Q207+Q208, "NA")</f>
        <v>34523.279999999999</v>
      </c>
      <c r="R209" s="15">
        <f>IFERROR(Q209/Q444, "NA")</f>
        <v>3.0853853150988653E-2</v>
      </c>
      <c r="S209" s="2"/>
      <c r="T209" s="14">
        <f>IFERROR(T201+T202+T203+T204+T205+T206+T207+T208, "NA")</f>
        <v>25798.43</v>
      </c>
      <c r="U209" s="15">
        <f>IFERROR(T209/T444, "NA")</f>
        <v>2.1281056157632997E-2</v>
      </c>
      <c r="V209" s="2"/>
      <c r="W209" s="14">
        <f t="shared" si="54"/>
        <v>-8724.8499999999985</v>
      </c>
      <c r="X209" s="15">
        <f>IFERROR(W209/W444, "NA")</f>
        <v>9.3471075106183854E-2</v>
      </c>
      <c r="Y209" s="2"/>
      <c r="Z209" s="14">
        <f>IFERROR(Z201+Z202+Z203+Z204+Z205+Z206+Z207+Z208, "NA")</f>
        <v>24472.960000000003</v>
      </c>
      <c r="AA209" s="15">
        <f>IFERROR(Z209/Z444, "NA")</f>
        <v>2.3028155774996759E-2</v>
      </c>
      <c r="AB209" s="2"/>
      <c r="AC209" s="14">
        <f t="shared" si="55"/>
        <v>-10050.319999999996</v>
      </c>
      <c r="AD209" s="15">
        <f>IFERROR(AC209/AC444, "NA")</f>
        <v>-0.17886785414529502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2933.67</v>
      </c>
      <c r="F213" s="8">
        <f>IFERROR(E213/E444, "NA")</f>
        <v>2.4644902114961995E-2</v>
      </c>
      <c r="G213" s="9"/>
      <c r="H213" s="10">
        <f t="shared" ref="H213:H227" si="56">IFERROR(-(B213-E213), "NA")</f>
        <v>2933.67</v>
      </c>
      <c r="I213" s="8">
        <f>IFERROR(H213/H444, "NA")</f>
        <v>-0.23643222803205649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28572.43</v>
      </c>
      <c r="U213" s="8">
        <f>IFERROR(T213/T444, "NA")</f>
        <v>2.3569321365293848E-2</v>
      </c>
      <c r="V213" s="9"/>
      <c r="W213" s="10">
        <f t="shared" ref="W213:W227" si="58">IFERROR(-(Q213-T213), "NA")</f>
        <v>28572.43</v>
      </c>
      <c r="X213" s="8">
        <f>IFERROR(W213/W444, "NA")</f>
        <v>-0.30610219665623833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1234.3</v>
      </c>
      <c r="C214" s="8">
        <f>IFERROR(B214/B444, "NA")</f>
        <v>1.15755937005062E-2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-1234.3</v>
      </c>
      <c r="I214" s="8">
        <f>IFERROR(H214/H444, "NA")</f>
        <v>9.9475503059296824E-2</v>
      </c>
      <c r="J214" s="9"/>
      <c r="K214" s="7">
        <v>3994.58</v>
      </c>
      <c r="L214" s="8">
        <f>IFERROR(K214/K444, "NA")</f>
        <v>3.6913169064935011E-2</v>
      </c>
      <c r="M214" s="9"/>
      <c r="N214" s="10">
        <f t="shared" si="57"/>
        <v>2760.2799999999997</v>
      </c>
      <c r="O214" s="8">
        <f>IFERROR(N214/N444, "NA")</f>
        <v>-1.7403376921427964</v>
      </c>
      <c r="P214" s="9"/>
      <c r="Q214" s="7">
        <v>18351.23</v>
      </c>
      <c r="R214" s="8">
        <f>IFERROR(Q214/Q444, "NA")</f>
        <v>1.6400705713941942E-2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-18351.23</v>
      </c>
      <c r="X214" s="8">
        <f>IFERROR(W214/W444, "NA")</f>
        <v>0.196600422657221</v>
      </c>
      <c r="Y214" s="9"/>
      <c r="Z214" s="7">
        <v>11989.98</v>
      </c>
      <c r="AA214" s="8">
        <f>IFERROR(Z214/Z444, "NA")</f>
        <v>1.1282130448425349E-2</v>
      </c>
      <c r="AB214" s="9"/>
      <c r="AC214" s="10">
        <f t="shared" si="59"/>
        <v>-6361.25</v>
      </c>
      <c r="AD214" s="8">
        <f>IFERROR(AC214/AC444, "NA")</f>
        <v>-0.11321262777521099</v>
      </c>
    </row>
    <row r="215" spans="1:30" ht="16.5" customHeight="1" x14ac:dyDescent="0.45">
      <c r="A215" s="12" t="s">
        <v>195</v>
      </c>
      <c r="B215" s="7">
        <v>302.42</v>
      </c>
      <c r="C215" s="8">
        <f>IFERROR(B215/B444, "NA")</f>
        <v>2.836175198012708E-3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-302.42</v>
      </c>
      <c r="I215" s="8">
        <f>IFERROR(H215/H444, "NA")</f>
        <v>2.4372828028188083E-2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-302.42</v>
      </c>
      <c r="O215" s="8">
        <f>IFERROR(N215/N444, "NA")</f>
        <v>0.19067374500334192</v>
      </c>
      <c r="P215" s="9"/>
      <c r="Q215" s="7">
        <v>883.35</v>
      </c>
      <c r="R215" s="8">
        <f>IFERROR(Q215/Q444, "NA")</f>
        <v>7.8946007392477859E-4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-883.35</v>
      </c>
      <c r="X215" s="8">
        <f>IFERROR(W215/W444, "NA")</f>
        <v>9.463506443669235E-3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-883.35</v>
      </c>
      <c r="AD215" s="8">
        <f>IFERROR(AC215/AC444, "NA")</f>
        <v>-1.5721182903553961E-2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334</v>
      </c>
      <c r="L216" s="8">
        <f>IFERROR(K216/K444, "NA")</f>
        <v>3.0864317319188234E-3</v>
      </c>
      <c r="M216" s="9"/>
      <c r="N216" s="10">
        <f t="shared" si="57"/>
        <v>334</v>
      </c>
      <c r="O216" s="8">
        <f>IFERROR(N216/N444, "NA")</f>
        <v>-0.21058471936748957</v>
      </c>
      <c r="P216" s="9"/>
      <c r="Q216" s="7">
        <v>2.41</v>
      </c>
      <c r="R216" s="8">
        <f>IFERROR(Q216/Q444, "NA")</f>
        <v>2.1538447706557043E-6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2.5818815338476092E-5</v>
      </c>
      <c r="Y216" s="9"/>
      <c r="Z216" s="7">
        <v>918.08</v>
      </c>
      <c r="AA216" s="8">
        <f>IFERROR(Z216/Z444, "NA")</f>
        <v>8.6387953291751482E-4</v>
      </c>
      <c r="AB216" s="9"/>
      <c r="AC216" s="10">
        <f t="shared" si="59"/>
        <v>915.67000000000007</v>
      </c>
      <c r="AD216" s="8">
        <f>IFERROR(AC216/AC444, "NA")</f>
        <v>1.6296389369216339E-2</v>
      </c>
    </row>
    <row r="217" spans="1:30" ht="16.5" customHeight="1" x14ac:dyDescent="0.45">
      <c r="A217" s="12" t="s">
        <v>197</v>
      </c>
      <c r="B217" s="7">
        <v>1533.84</v>
      </c>
      <c r="C217" s="8">
        <f>IFERROR(B217/B444, "NA")</f>
        <v>1.438475949249326E-2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-1533.84</v>
      </c>
      <c r="I217" s="8">
        <f>IFERROR(H217/H444, "NA")</f>
        <v>0.12361622426676808</v>
      </c>
      <c r="J217" s="9"/>
      <c r="K217" s="7">
        <v>836.63</v>
      </c>
      <c r="L217" s="8">
        <f>IFERROR(K217/K444, "NA")</f>
        <v>7.7311418559139079E-3</v>
      </c>
      <c r="M217" s="9"/>
      <c r="N217" s="10">
        <f t="shared" si="57"/>
        <v>-697.20999999999992</v>
      </c>
      <c r="O217" s="8">
        <f>IFERROR(N217/N444, "NA")</f>
        <v>0.439586144282058</v>
      </c>
      <c r="P217" s="9"/>
      <c r="Q217" s="7">
        <v>14679.31</v>
      </c>
      <c r="R217" s="8">
        <f>IFERROR(Q217/Q444, "NA")</f>
        <v>1.3119068498063893E-2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-14679.31</v>
      </c>
      <c r="X217" s="8">
        <f>IFERROR(W217/W444, "NA")</f>
        <v>0.15726240422665785</v>
      </c>
      <c r="Y217" s="9"/>
      <c r="Z217" s="7">
        <v>17513.740000000002</v>
      </c>
      <c r="AA217" s="8">
        <f>IFERROR(Z217/Z444, "NA")</f>
        <v>1.6479785564263241E-2</v>
      </c>
      <c r="AB217" s="9"/>
      <c r="AC217" s="10">
        <f t="shared" si="59"/>
        <v>2834.4300000000021</v>
      </c>
      <c r="AD217" s="8">
        <f>IFERROR(AC217/AC444, "NA")</f>
        <v>5.044500193277917E-2</v>
      </c>
    </row>
    <row r="218" spans="1:30" ht="16.5" customHeight="1" x14ac:dyDescent="0.45">
      <c r="A218" s="13" t="s">
        <v>198</v>
      </c>
      <c r="B218" s="14">
        <f>IFERROR(B213+B214+B215+B216+B217, "NA")</f>
        <v>3070.56</v>
      </c>
      <c r="C218" s="15">
        <f>IFERROR(B218/B444, "NA")</f>
        <v>2.8796528391012169E-2</v>
      </c>
      <c r="D218" s="2"/>
      <c r="E218" s="14">
        <f>IFERROR(E213+E214+E215+E216+E217, "NA")</f>
        <v>2933.67</v>
      </c>
      <c r="F218" s="15">
        <f>IFERROR(E218/E444, "NA")</f>
        <v>2.4644902114961995E-2</v>
      </c>
      <c r="G218" s="2"/>
      <c r="H218" s="14">
        <f t="shared" si="56"/>
        <v>-136.88999999999987</v>
      </c>
      <c r="I218" s="15">
        <f>IFERROR(H218/H444, "NA")</f>
        <v>1.1032327322196493E-2</v>
      </c>
      <c r="J218" s="2"/>
      <c r="K218" s="14">
        <f>IFERROR(K213+K214+K215+K216+K217, "NA")</f>
        <v>5165.21</v>
      </c>
      <c r="L218" s="15">
        <f>IFERROR(K218/K444, "NA")</f>
        <v>4.7730742652767742E-2</v>
      </c>
      <c r="M218" s="2"/>
      <c r="N218" s="14">
        <f t="shared" si="57"/>
        <v>2094.65</v>
      </c>
      <c r="O218" s="15">
        <f>IFERROR(N218/N444, "NA")</f>
        <v>-1.3206625222248862</v>
      </c>
      <c r="P218" s="2"/>
      <c r="Q218" s="14">
        <f>IFERROR(Q213+Q214+Q215+Q216+Q217, "NA")</f>
        <v>33916.299999999996</v>
      </c>
      <c r="R218" s="15">
        <f>IFERROR(Q218/Q444, "NA")</f>
        <v>3.0311388130701267E-2</v>
      </c>
      <c r="S218" s="2"/>
      <c r="T218" s="14">
        <f>IFERROR(T213+T214+T215+T216+T217, "NA")</f>
        <v>28572.43</v>
      </c>
      <c r="U218" s="15">
        <f>IFERROR(T218/T444, "NA")</f>
        <v>2.3569321365293848E-2</v>
      </c>
      <c r="V218" s="2"/>
      <c r="W218" s="14">
        <f t="shared" si="58"/>
        <v>-5343.8699999999953</v>
      </c>
      <c r="X218" s="15">
        <f>IFERROR(W218/W444, "NA")</f>
        <v>5.7249955486648178E-2</v>
      </c>
      <c r="Y218" s="2"/>
      <c r="Z218" s="14">
        <f>IFERROR(Z213+Z214+Z215+Z216+Z217, "NA")</f>
        <v>30421.800000000003</v>
      </c>
      <c r="AA218" s="15">
        <f>IFERROR(Z218/Z444, "NA")</f>
        <v>2.8625795545606104E-2</v>
      </c>
      <c r="AB218" s="2"/>
      <c r="AC218" s="14">
        <f t="shared" si="59"/>
        <v>-3494.4999999999927</v>
      </c>
      <c r="AD218" s="15">
        <f>IFERROR(AC218/AC444, "NA")</f>
        <v>-6.2192419376769337E-2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236.69</v>
      </c>
      <c r="C222" s="8">
        <f>IFERROR(B222/B444, "NA")</f>
        <v>2.2197417750731692E-3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-236.69</v>
      </c>
      <c r="I222" s="8">
        <f>IFERROR(H222/H444, "NA")</f>
        <v>1.9075473401203084E-2</v>
      </c>
      <c r="J222" s="9"/>
      <c r="K222" s="7">
        <v>300.45999999999998</v>
      </c>
      <c r="L222" s="8">
        <f>IFERROR(K222/K444, "NA")</f>
        <v>2.7764948448273344E-3</v>
      </c>
      <c r="M222" s="9"/>
      <c r="N222" s="10">
        <f t="shared" si="57"/>
        <v>63.769999999999982</v>
      </c>
      <c r="O222" s="8">
        <f>IFERROR(N222/N444, "NA")</f>
        <v>-4.0206549563068281E-2</v>
      </c>
      <c r="P222" s="9"/>
      <c r="Q222" s="7">
        <v>2763.63</v>
      </c>
      <c r="R222" s="8">
        <f>IFERROR(Q222/Q444, "NA")</f>
        <v>2.4698879765673127E-3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-2763.63</v>
      </c>
      <c r="X222" s="8">
        <f>IFERROR(W222/W444, "NA")</f>
        <v>2.960732474434551E-2</v>
      </c>
      <c r="Y222" s="9"/>
      <c r="Z222" s="7">
        <v>1650.46</v>
      </c>
      <c r="AA222" s="8">
        <f>IFERROR(Z222/Z444, "NA")</f>
        <v>1.5530221918558748E-3</v>
      </c>
      <c r="AB222" s="9"/>
      <c r="AC222" s="10">
        <f t="shared" si="59"/>
        <v>-1113.17</v>
      </c>
      <c r="AD222" s="8">
        <f>IFERROR(AC222/AC444, "NA")</f>
        <v>-1.9811342245711395E-2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119.04</v>
      </c>
      <c r="F226" s="8">
        <f>IFERROR(E226/E444, "NA")</f>
        <v>1.0000201616968084E-3</v>
      </c>
      <c r="G226" s="9"/>
      <c r="H226" s="10">
        <f t="shared" si="56"/>
        <v>119.04</v>
      </c>
      <c r="I226" s="8">
        <f>IFERROR(H226/H444, "NA")</f>
        <v>-9.5937485896286923E-3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1212.27</v>
      </c>
      <c r="U226" s="8">
        <f>IFERROR(T226/T444, "NA")</f>
        <v>9.9999829246251622E-4</v>
      </c>
      <c r="V226" s="9"/>
      <c r="W226" s="10">
        <f t="shared" si="58"/>
        <v>1212.27</v>
      </c>
      <c r="X226" s="8">
        <f>IFERROR(W226/W444, "NA")</f>
        <v>-1.2987292643308885E-2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3307.25</v>
      </c>
      <c r="C227" s="15">
        <f>IFERROR(B227/B444, "NA")</f>
        <v>3.1016270166085338E-2</v>
      </c>
      <c r="D227" s="2"/>
      <c r="E227" s="14">
        <f>IFERROR(E211+E213+E214+E215+E216+E217+E219+E220+E221+E222+E223+E224+E225+E226, "NA")</f>
        <v>3052.71</v>
      </c>
      <c r="F227" s="15">
        <f>IFERROR(E227/E444, "NA")</f>
        <v>2.5644922276658804E-2</v>
      </c>
      <c r="G227" s="2"/>
      <c r="H227" s="14">
        <f t="shared" si="56"/>
        <v>-254.53999999999996</v>
      </c>
      <c r="I227" s="15">
        <f>IFERROR(H227/H444, "NA")</f>
        <v>2.0514052133770892E-2</v>
      </c>
      <c r="J227" s="2"/>
      <c r="K227" s="14">
        <f>IFERROR(K211+K213+K214+K215+K216+K217+K219+K220+K221+K222+K223+K224+K225+K226, "NA")</f>
        <v>5465.67</v>
      </c>
      <c r="L227" s="15">
        <f>IFERROR(K227/K444, "NA")</f>
        <v>5.050723749759508E-2</v>
      </c>
      <c r="M227" s="2"/>
      <c r="N227" s="14">
        <f t="shared" si="57"/>
        <v>2158.42</v>
      </c>
      <c r="O227" s="15">
        <f>IFERROR(N227/N444, "NA")</f>
        <v>-1.3608690717879546</v>
      </c>
      <c r="P227" s="2"/>
      <c r="Q227" s="14">
        <f>IFERROR(Q211+Q213+Q214+Q215+Q216+Q217+Q219+Q220+Q221+Q222+Q223+Q224+Q225+Q226, "NA")</f>
        <v>36679.929999999993</v>
      </c>
      <c r="R227" s="15">
        <f>IFERROR(Q227/Q444, "NA")</f>
        <v>3.2781276107268574E-2</v>
      </c>
      <c r="S227" s="2"/>
      <c r="T227" s="14">
        <f>IFERROR(T211+T213+T214+T215+T216+T217+T219+T220+T221+T222+T223+T224+T225+T226, "NA")</f>
        <v>29784.7</v>
      </c>
      <c r="U227" s="15">
        <f>IFERROR(T227/T444, "NA")</f>
        <v>2.4569319657756362E-2</v>
      </c>
      <c r="V227" s="2"/>
      <c r="W227" s="14">
        <f t="shared" si="58"/>
        <v>-6895.2299999999923</v>
      </c>
      <c r="X227" s="15">
        <f>IFERROR(W227/W444, "NA")</f>
        <v>7.3869987587684774E-2</v>
      </c>
      <c r="Y227" s="2"/>
      <c r="Z227" s="14">
        <f>IFERROR(Z211+Z213+Z214+Z215+Z216+Z217+Z219+Z220+Z221+Z222+Z223+Z224+Z225+Z226, "NA")</f>
        <v>32072.260000000002</v>
      </c>
      <c r="AA227" s="15">
        <f>IFERROR(Z227/Z444, "NA")</f>
        <v>3.0178817737461981E-2</v>
      </c>
      <c r="AB227" s="2"/>
      <c r="AC227" s="14">
        <f t="shared" si="59"/>
        <v>-4607.669999999991</v>
      </c>
      <c r="AD227" s="15">
        <f>IFERROR(AC227/AC444, "NA")</f>
        <v>-8.20037616224807E-2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1428.45</v>
      </c>
      <c r="F229" s="8">
        <f>IFERROR(E229/E444, "NA")</f>
        <v>1.1999989919151596E-2</v>
      </c>
      <c r="G229" s="9"/>
      <c r="H229" s="10">
        <f t="shared" ref="H229:H236" si="60">IFERROR(-(B229-E229), "NA")</f>
        <v>1428.45</v>
      </c>
      <c r="I229" s="8">
        <f>IFERROR(H229/H444, "NA")</f>
        <v>-0.11512256529616184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14547.25</v>
      </c>
      <c r="U229" s="8">
        <f>IFERROR(T229/T444, "NA")</f>
        <v>1.1999987758523546E-2</v>
      </c>
      <c r="V229" s="9"/>
      <c r="W229" s="10">
        <f t="shared" ref="W229:W236" si="62">IFERROR(-(Q229-T229), "NA")</f>
        <v>14547.25</v>
      </c>
      <c r="X229" s="8">
        <f>IFERROR(W229/W444, "NA")</f>
        <v>-0.15584761885172047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2.1171672937700509E-4</v>
      </c>
      <c r="AB230" s="9"/>
      <c r="AC230" s="10">
        <f t="shared" si="63"/>
        <v>225</v>
      </c>
      <c r="AD230" s="8">
        <f>IFERROR(AC230/AC444, "NA")</f>
        <v>4.0043766947412017E-3</v>
      </c>
    </row>
    <row r="231" spans="1:30" ht="16.5" customHeight="1" x14ac:dyDescent="0.45">
      <c r="A231" s="6" t="s">
        <v>210</v>
      </c>
      <c r="B231" s="7">
        <v>7</v>
      </c>
      <c r="C231" s="8">
        <f>IFERROR(B231/B444, "NA")</f>
        <v>6.5647861867895496E-5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-7</v>
      </c>
      <c r="I231" s="8">
        <f>IFERROR(H231/H444, "NA")</f>
        <v>5.641485225756119E-4</v>
      </c>
      <c r="J231" s="9"/>
      <c r="K231" s="7">
        <v>134.46</v>
      </c>
      <c r="L231" s="8">
        <f>IFERROR(K231/K444, "NA")</f>
        <v>1.242519792436542E-3</v>
      </c>
      <c r="M231" s="9"/>
      <c r="N231" s="10">
        <f t="shared" si="61"/>
        <v>127.46000000000001</v>
      </c>
      <c r="O231" s="8">
        <f>IFERROR(N231/N444, "NA")</f>
        <v>-8.0362659672395864E-2</v>
      </c>
      <c r="P231" s="9"/>
      <c r="Q231" s="7">
        <v>1137.26</v>
      </c>
      <c r="R231" s="8">
        <f>IFERROR(Q231/Q444, "NA")</f>
        <v>1.016382366753488E-3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-1137.26</v>
      </c>
      <c r="X231" s="8">
        <f>IFERROR(W231/W444, "NA")</f>
        <v>1.2183695407400547E-2</v>
      </c>
      <c r="Y231" s="9"/>
      <c r="Z231" s="7">
        <v>1884.22</v>
      </c>
      <c r="AA231" s="8">
        <f>IFERROR(Z231/Z444, "NA")</f>
        <v>1.7729817592299578E-3</v>
      </c>
      <c r="AB231" s="9"/>
      <c r="AC231" s="10">
        <f t="shared" si="63"/>
        <v>746.96</v>
      </c>
      <c r="AD231" s="8">
        <f>IFERROR(AC231/AC444, "NA")</f>
        <v>1.3293818737350615E-2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1248.24</v>
      </c>
      <c r="C234" s="8">
        <f>IFERROR(B234/B444, "NA")</f>
        <v>1.1706326728283124E-2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-1248.24</v>
      </c>
      <c r="I234" s="8">
        <f>IFERROR(H234/H444, "NA")</f>
        <v>0.10059896454568312</v>
      </c>
      <c r="J234" s="9"/>
      <c r="K234" s="7">
        <v>1828.93</v>
      </c>
      <c r="L234" s="8">
        <f>IFERROR(K234/K444, "NA")</f>
        <v>1.6900801160054772E-2</v>
      </c>
      <c r="M234" s="9"/>
      <c r="N234" s="10">
        <f t="shared" si="61"/>
        <v>580.69000000000005</v>
      </c>
      <c r="O234" s="8">
        <f>IFERROR(N234/N444, "NA")</f>
        <v>-0.36612107990870518</v>
      </c>
      <c r="P234" s="9"/>
      <c r="Q234" s="7">
        <v>13063.66</v>
      </c>
      <c r="R234" s="8">
        <f>IFERROR(Q234/Q444, "NA")</f>
        <v>1.1675143475777633E-2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-13063.66</v>
      </c>
      <c r="X234" s="8">
        <f>IFERROR(W234/W444, "NA")</f>
        <v>0.13995362040856288</v>
      </c>
      <c r="Y234" s="9"/>
      <c r="Z234" s="7">
        <v>13444.77</v>
      </c>
      <c r="AA234" s="8">
        <f>IFERROR(Z234/Z444, "NA")</f>
        <v>1.2651034362782563E-2</v>
      </c>
      <c r="AB234" s="9"/>
      <c r="AC234" s="10">
        <f t="shared" si="63"/>
        <v>381.11000000000058</v>
      </c>
      <c r="AD234" s="8">
        <f>IFERROR(AC234/AC444, "NA")</f>
        <v>6.7827022317014304E-3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1255.24</v>
      </c>
      <c r="C236" s="15">
        <f>IFERROR(B236/B444, "NA")</f>
        <v>1.1771974590151019E-2</v>
      </c>
      <c r="D236" s="2"/>
      <c r="E236" s="14">
        <f>IFERROR(E229+E230+E231+E232+E233+E234+E235, "NA")</f>
        <v>1428.45</v>
      </c>
      <c r="F236" s="15">
        <f>IFERROR(E236/E444, "NA")</f>
        <v>1.1999989919151596E-2</v>
      </c>
      <c r="G236" s="2"/>
      <c r="H236" s="14">
        <f t="shared" si="60"/>
        <v>173.21000000000004</v>
      </c>
      <c r="I236" s="15">
        <f>IFERROR(H236/H444, "NA")</f>
        <v>-1.3959452227903109E-2</v>
      </c>
      <c r="J236" s="2"/>
      <c r="K236" s="14">
        <f>IFERROR(K229+K230+K231+K232+K233+K234+K235, "NA")</f>
        <v>1963.39</v>
      </c>
      <c r="L236" s="15">
        <f>IFERROR(K236/K444, "NA")</f>
        <v>1.8143320952491316E-2</v>
      </c>
      <c r="M236" s="2"/>
      <c r="N236" s="14">
        <f t="shared" si="61"/>
        <v>708.15000000000009</v>
      </c>
      <c r="O236" s="15">
        <f>IFERROR(N236/N444, "NA")</f>
        <v>-0.44648373958110105</v>
      </c>
      <c r="P236" s="2"/>
      <c r="Q236" s="14">
        <f>IFERROR(Q229+Q230+Q231+Q232+Q233+Q234+Q235, "NA")</f>
        <v>14200.92</v>
      </c>
      <c r="R236" s="15">
        <f>IFERROR(Q236/Q444, "NA")</f>
        <v>1.2691525842531122E-2</v>
      </c>
      <c r="S236" s="2"/>
      <c r="T236" s="14">
        <f>IFERROR(T229+T230+T231+T232+T233+T234+T235, "NA")</f>
        <v>14547.25</v>
      </c>
      <c r="U236" s="15">
        <f>IFERROR(T236/T444, "NA")</f>
        <v>1.1999987758523546E-2</v>
      </c>
      <c r="V236" s="2"/>
      <c r="W236" s="14">
        <f t="shared" si="62"/>
        <v>346.32999999999993</v>
      </c>
      <c r="X236" s="15">
        <f>IFERROR(W236/W444, "NA")</f>
        <v>-3.7103030357570218E-3</v>
      </c>
      <c r="Y236" s="2"/>
      <c r="Z236" s="14">
        <f>IFERROR(Z229+Z230+Z231+Z232+Z233+Z234+Z235, "NA")</f>
        <v>15553.990000000002</v>
      </c>
      <c r="AA236" s="15">
        <f>IFERROR(Z236/Z444, "NA")</f>
        <v>1.4635732851389527E-2</v>
      </c>
      <c r="AB236" s="2"/>
      <c r="AC236" s="14">
        <f t="shared" si="63"/>
        <v>1353.0700000000015</v>
      </c>
      <c r="AD236" s="15">
        <f>IFERROR(AC236/AC444, "NA")</f>
        <v>2.4080897663793264E-2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5611.43</v>
      </c>
      <c r="F240" s="8">
        <f>IFERROR(E240/E444, "NA")</f>
        <v>4.7139979300657942E-2</v>
      </c>
      <c r="G240" s="9"/>
      <c r="H240" s="10">
        <f t="shared" ref="H240:H263" si="64">IFERROR(-(B240-E240), "NA")</f>
        <v>5611.43</v>
      </c>
      <c r="I240" s="8">
        <f>IFERROR(H240/H444, "NA")</f>
        <v>-0.45223999200520948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57510.879999999997</v>
      </c>
      <c r="U240" s="8">
        <f>IFERROR(T240/T444, "NA")</f>
        <v>4.7440571653193327E-2</v>
      </c>
      <c r="V240" s="9"/>
      <c r="W240" s="10">
        <f t="shared" ref="W240:W263" si="66">IFERROR(-(Q240-T240), "NA")</f>
        <v>57510.879999999997</v>
      </c>
      <c r="X240" s="8">
        <f>IFERROR(W240/W444, "NA")</f>
        <v>-0.6161256392835095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1126.3599999999999</v>
      </c>
      <c r="C242" s="8">
        <f>IFERROR(B242/B444, "NA")</f>
        <v>1.0563303670503251E-2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-1126.3599999999999</v>
      </c>
      <c r="I242" s="8">
        <f>IFERROR(H242/H444, "NA")</f>
        <v>9.077633284118089E-2</v>
      </c>
      <c r="J242" s="9"/>
      <c r="K242" s="7">
        <v>1301.54</v>
      </c>
      <c r="L242" s="8">
        <f>IFERROR(K242/K444, "NA")</f>
        <v>1.2027288492100675E-2</v>
      </c>
      <c r="M242" s="9"/>
      <c r="N242" s="10">
        <f t="shared" si="65"/>
        <v>175.18000000000006</v>
      </c>
      <c r="O242" s="8">
        <f>IFERROR(N242/N444, "NA")</f>
        <v>-0.11044979382873303</v>
      </c>
      <c r="P242" s="9"/>
      <c r="Q242" s="7">
        <v>12043.77</v>
      </c>
      <c r="R242" s="8">
        <f>IFERROR(Q242/Q444, "NA")</f>
        <v>1.0763656030489647E-2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-12043.77</v>
      </c>
      <c r="X242" s="8">
        <f>IFERROR(W242/W444, "NA")</f>
        <v>0.1290273334477503</v>
      </c>
      <c r="Y242" s="9"/>
      <c r="Z242" s="7">
        <v>9856.9699999999993</v>
      </c>
      <c r="AA242" s="8">
        <f>IFERROR(Z242/Z444, "NA")</f>
        <v>9.2750464442989226E-3</v>
      </c>
      <c r="AB242" s="9"/>
      <c r="AC242" s="10">
        <f t="shared" si="67"/>
        <v>-2186.8000000000011</v>
      </c>
      <c r="AD242" s="8">
        <f>IFERROR(AC242/AC444, "NA")</f>
        <v>-3.891898202693362E-2</v>
      </c>
    </row>
    <row r="243" spans="1:30" ht="16.5" customHeight="1" x14ac:dyDescent="0.45">
      <c r="A243" s="12" t="s">
        <v>220</v>
      </c>
      <c r="B243" s="7">
        <v>3187.42</v>
      </c>
      <c r="C243" s="8">
        <f>IFERROR(B243/B444, "NA")</f>
        <v>2.9892472553566779E-2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-3187.42</v>
      </c>
      <c r="I243" s="8">
        <f>IFERROR(H243/H444, "NA")</f>
        <v>0.25688261197542245</v>
      </c>
      <c r="J243" s="9"/>
      <c r="K243" s="7">
        <v>3658.28</v>
      </c>
      <c r="L243" s="8">
        <f>IFERROR(K243/K444, "NA")</f>
        <v>3.3805483461808367E-2</v>
      </c>
      <c r="M243" s="9"/>
      <c r="N243" s="10">
        <f t="shared" si="65"/>
        <v>470.86000000000013</v>
      </c>
      <c r="O243" s="8">
        <f>IFERROR(N243/N444, "NA")</f>
        <v>-0.29687401485441967</v>
      </c>
      <c r="P243" s="9"/>
      <c r="Q243" s="7">
        <v>23637.08</v>
      </c>
      <c r="R243" s="8">
        <f>IFERROR(Q243/Q444, "NA")</f>
        <v>2.1124730768286529E-2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-23637.08</v>
      </c>
      <c r="X243" s="8">
        <f>IFERROR(W243/W444, "NA")</f>
        <v>0.25322879819949645</v>
      </c>
      <c r="Y243" s="9"/>
      <c r="Z243" s="7">
        <v>26530.7</v>
      </c>
      <c r="AA243" s="8">
        <f>IFERROR(Z243/Z444, "NA")</f>
        <v>2.4964413475922261E-2</v>
      </c>
      <c r="AB243" s="9"/>
      <c r="AC243" s="10">
        <f t="shared" si="67"/>
        <v>2893.619999999999</v>
      </c>
      <c r="AD243" s="8">
        <f>IFERROR(AC243/AC444, "NA")</f>
        <v>5.149841996194237E-2</v>
      </c>
    </row>
    <row r="244" spans="1:30" ht="16.5" customHeight="1" x14ac:dyDescent="0.45">
      <c r="A244" s="12" t="s">
        <v>221</v>
      </c>
      <c r="B244" s="7">
        <v>1090.67</v>
      </c>
      <c r="C244" s="8">
        <f>IFERROR(B244/B444, "NA")</f>
        <v>1.0228593357636798E-2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-1090.67</v>
      </c>
      <c r="I244" s="8">
        <f>IFERROR(H244/H444, "NA")</f>
        <v>8.7899981302506106E-2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-1090.67</v>
      </c>
      <c r="O244" s="8">
        <f>IFERROR(N244/N444, "NA")</f>
        <v>0.68765998764233494</v>
      </c>
      <c r="P244" s="9"/>
      <c r="Q244" s="7">
        <v>3633.62</v>
      </c>
      <c r="R244" s="8">
        <f>IFERROR(Q244/Q444, "NA")</f>
        <v>3.24740806454356E-3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-3633.62</v>
      </c>
      <c r="X244" s="8">
        <f>IFERROR(W244/W444, "NA")</f>
        <v>3.8927702817507674E-2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-3633.62</v>
      </c>
      <c r="AD244" s="8">
        <f>IFERROR(AC244/AC444, "NA")</f>
        <v>-6.4668369980202339E-2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96.46</v>
      </c>
      <c r="C246" s="8">
        <f>IFERROR(B246/B444, "NA")</f>
        <v>9.0462753653959983E-4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-96.46</v>
      </c>
      <c r="I246" s="8">
        <f>IFERROR(H246/H444, "NA")</f>
        <v>7.7739666410919324E-3</v>
      </c>
      <c r="J246" s="9"/>
      <c r="K246" s="7">
        <v>537.4</v>
      </c>
      <c r="L246" s="8">
        <f>IFERROR(K246/K444, "NA")</f>
        <v>4.9660132117759753E-3</v>
      </c>
      <c r="M246" s="9"/>
      <c r="N246" s="10">
        <f t="shared" si="65"/>
        <v>440.94</v>
      </c>
      <c r="O246" s="8">
        <f>IFERROR(N246/N444, "NA")</f>
        <v>-0.27800965915539178</v>
      </c>
      <c r="P246" s="9"/>
      <c r="Q246" s="7">
        <v>2592.71</v>
      </c>
      <c r="R246" s="8">
        <f>IFERROR(Q246/Q444, "NA")</f>
        <v>2.3171348030401454E-3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-2592.71</v>
      </c>
      <c r="X246" s="8">
        <f>IFERROR(W246/W444, "NA")</f>
        <v>2.7776224363576907E-2</v>
      </c>
      <c r="Y246" s="9"/>
      <c r="Z246" s="7">
        <v>1523.65</v>
      </c>
      <c r="AA246" s="8">
        <f>IFERROR(Z246/Z444, "NA")</f>
        <v>1.4336986431789946E-3</v>
      </c>
      <c r="AB246" s="9"/>
      <c r="AC246" s="10">
        <f t="shared" si="67"/>
        <v>-1069.06</v>
      </c>
      <c r="AD246" s="8">
        <f>IFERROR(AC246/AC444, "NA")</f>
        <v>-1.9026306441244575E-2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273.87</v>
      </c>
      <c r="C248" s="8">
        <f>IFERROR(B248/B444, "NA")</f>
        <v>2.5684257042515057E-3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-273.87</v>
      </c>
      <c r="I248" s="8">
        <f>IFERROR(H248/H444, "NA")</f>
        <v>2.2071907982540405E-2</v>
      </c>
      <c r="J248" s="9"/>
      <c r="K248" s="7">
        <v>275.66000000000003</v>
      </c>
      <c r="L248" s="8">
        <f>IFERROR(K248/K444, "NA")</f>
        <v>2.5473226683255779E-3</v>
      </c>
      <c r="M248" s="9"/>
      <c r="N248" s="10">
        <f t="shared" si="65"/>
        <v>1.7900000000000205</v>
      </c>
      <c r="O248" s="8">
        <f>IFERROR(N248/N444, "NA")</f>
        <v>-1.1285827774485347E-3</v>
      </c>
      <c r="P248" s="9"/>
      <c r="Q248" s="7">
        <v>2729.68</v>
      </c>
      <c r="R248" s="8">
        <f>IFERROR(Q248/Q444, "NA")</f>
        <v>2.439546470358283E-3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-2729.68</v>
      </c>
      <c r="X248" s="8">
        <f>IFERROR(W248/W444, "NA")</f>
        <v>2.9243611557315939E-2</v>
      </c>
      <c r="Y248" s="9"/>
      <c r="Z248" s="7">
        <v>2612.9299999999998</v>
      </c>
      <c r="AA248" s="8">
        <f>IFERROR(Z248/Z444, "NA")</f>
        <v>2.4586710830713683E-3</v>
      </c>
      <c r="AB248" s="9"/>
      <c r="AC248" s="10">
        <f t="shared" si="67"/>
        <v>-116.75</v>
      </c>
      <c r="AD248" s="8">
        <f>IFERROR(AC248/AC444, "NA")</f>
        <v>-2.0778265738268238E-3</v>
      </c>
    </row>
    <row r="249" spans="1:30" ht="16.5" customHeight="1" x14ac:dyDescent="0.45">
      <c r="A249" s="12" t="s">
        <v>226</v>
      </c>
      <c r="B249" s="7">
        <v>1250.6400000000001</v>
      </c>
      <c r="C249" s="8">
        <f>IFERROR(B249/B444, "NA")</f>
        <v>1.1728834566637833E-2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-1250.6400000000001</v>
      </c>
      <c r="I249" s="8">
        <f>IFERROR(H249/H444, "NA")</f>
        <v>0.10079238689628048</v>
      </c>
      <c r="J249" s="9"/>
      <c r="K249" s="7">
        <v>782.41</v>
      </c>
      <c r="L249" s="8">
        <f>IFERROR(K249/K444, "NA")</f>
        <v>7.2301049442233733E-3</v>
      </c>
      <c r="M249" s="9"/>
      <c r="N249" s="10">
        <f t="shared" si="65"/>
        <v>-468.23000000000013</v>
      </c>
      <c r="O249" s="8">
        <f>IFERROR(N249/N444, "NA")</f>
        <v>0.29521581781269363</v>
      </c>
      <c r="P249" s="9"/>
      <c r="Q249" s="7">
        <v>9840.2900000000009</v>
      </c>
      <c r="R249" s="8">
        <f>IFERROR(Q249/Q444, "NA")</f>
        <v>8.7943805635832453E-3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-9840.2900000000009</v>
      </c>
      <c r="X249" s="8">
        <f>IFERROR(W249/W444, "NA")</f>
        <v>0.10542100845935806</v>
      </c>
      <c r="Y249" s="9"/>
      <c r="Z249" s="7">
        <v>8954.0400000000009</v>
      </c>
      <c r="AA249" s="8">
        <f>IFERROR(Z249/Z444, "NA")</f>
        <v>8.4254225044927949E-3</v>
      </c>
      <c r="AB249" s="9"/>
      <c r="AC249" s="10">
        <f t="shared" si="67"/>
        <v>-886.25</v>
      </c>
      <c r="AD249" s="8">
        <f>IFERROR(AC249/AC444, "NA")</f>
        <v>-1.5772794869841733E-2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2464.48</v>
      </c>
      <c r="AA254" s="8">
        <f>IFERROR(Z254/Z444, "NA")</f>
        <v>2.3189850898446287E-3</v>
      </c>
      <c r="AB254" s="9"/>
      <c r="AC254" s="10">
        <f t="shared" si="67"/>
        <v>2464.48</v>
      </c>
      <c r="AD254" s="8">
        <f>IFERROR(AC254/AC444, "NA")</f>
        <v>4.3860916785136879E-2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4961.25</v>
      </c>
      <c r="R257" s="8">
        <f>IFERROR(Q257/Q444, "NA")</f>
        <v>4.4339262939483868E-3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-4961.25</v>
      </c>
      <c r="X257" s="8">
        <f>IFERROR(W257/W444, "NA")</f>
        <v>5.3150870372620125E-2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-4961.25</v>
      </c>
      <c r="AD257" s="8">
        <f>IFERROR(AC257/AC444, "NA")</f>
        <v>-8.8296506119043508E-2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7025.42</v>
      </c>
      <c r="C262" s="15">
        <f>IFERROR(B262/B444, "NA")</f>
        <v>6.5886257389135769E-2</v>
      </c>
      <c r="D262" s="2"/>
      <c r="E262" s="14">
        <f>IFERROR(E240+E241+E242+E243+E244+E245+E246+E247+E248+E249+E250+E251+E252+E253+E254+E255+E256+E257+E258+E259+E260+E261, "NA")</f>
        <v>5611.43</v>
      </c>
      <c r="F262" s="15">
        <f>IFERROR(E262/E444, "NA")</f>
        <v>4.7139979300657942E-2</v>
      </c>
      <c r="G262" s="2"/>
      <c r="H262" s="14">
        <f t="shared" si="64"/>
        <v>-1413.9899999999998</v>
      </c>
      <c r="I262" s="15">
        <f>IFERROR(H262/H444, "NA")</f>
        <v>0.11395719563381278</v>
      </c>
      <c r="J262" s="2"/>
      <c r="K262" s="14">
        <f>IFERROR(K240+K241+K242+K243+K244+K245+K246+K247+K248+K249+K250+K251+K252+K253+K254+K255+K256+K257+K258+K259+K260+K261, "NA")</f>
        <v>6555.2899999999991</v>
      </c>
      <c r="L262" s="15">
        <f>IFERROR(K262/K444, "NA")</f>
        <v>6.0576212778233954E-2</v>
      </c>
      <c r="M262" s="2"/>
      <c r="N262" s="14">
        <f t="shared" si="65"/>
        <v>-470.13000000000102</v>
      </c>
      <c r="O262" s="15">
        <f>IFERROR(N262/N444, "NA")</f>
        <v>0.29641375483903615</v>
      </c>
      <c r="P262" s="2"/>
      <c r="Q262" s="14">
        <f>IFERROR(Q240+Q241+Q242+Q243+Q244+Q245+Q246+Q247+Q248+Q249+Q250+Q251+Q252+Q253+Q254+Q255+Q256+Q257+Q258+Q259+Q260+Q261, "NA")</f>
        <v>59438.400000000009</v>
      </c>
      <c r="R262" s="15">
        <f>IFERROR(Q262/Q444, "NA")</f>
        <v>5.3120782994249806E-2</v>
      </c>
      <c r="S262" s="2"/>
      <c r="T262" s="14">
        <f>IFERROR(T240+T241+T242+T243+T244+T245+T246+T247+T248+T249+T250+T251+T252+T253+T254+T255+T256+T257+T258+T259+T260+T261, "NA")</f>
        <v>57510.879999999997</v>
      </c>
      <c r="U262" s="15">
        <f>IFERROR(T262/T444, "NA")</f>
        <v>4.7440571653193327E-2</v>
      </c>
      <c r="V262" s="2"/>
      <c r="W262" s="14">
        <f t="shared" si="66"/>
        <v>-1927.5200000000114</v>
      </c>
      <c r="X262" s="15">
        <f>IFERROR(W262/W444, "NA")</f>
        <v>2.064990993411607E-2</v>
      </c>
      <c r="Y262" s="2"/>
      <c r="Z262" s="14">
        <f>IFERROR(Z240+Z241+Z242+Z243+Z244+Z245+Z246+Z247+Z248+Z249+Z250+Z251+Z252+Z253+Z254+Z255+Z256+Z257+Z258+Z259+Z260+Z261, "NA")</f>
        <v>51942.770000000004</v>
      </c>
      <c r="AA262" s="15">
        <f>IFERROR(Z262/Z444, "NA")</f>
        <v>4.8876237240808973E-2</v>
      </c>
      <c r="AB262" s="2"/>
      <c r="AC262" s="14">
        <f t="shared" si="67"/>
        <v>-7495.6300000000047</v>
      </c>
      <c r="AD262" s="15">
        <f>IFERROR(AC262/AC444, "NA")</f>
        <v>-0.1334014492640134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7025.42</v>
      </c>
      <c r="C263" s="15">
        <f>IFERROR(B263/B444, "NA")</f>
        <v>6.5886257389135769E-2</v>
      </c>
      <c r="D263" s="2"/>
      <c r="E263" s="14">
        <f>IFERROR(E238+E240+E241+E242+E243+E244+E245+E246+E247+E248+E249+E250+E251+E252+E253+E254+E255+E256+E257+E258+E259+E260+E261, "NA")</f>
        <v>5611.43</v>
      </c>
      <c r="F263" s="15">
        <f>IFERROR(E263/E444, "NA")</f>
        <v>4.7139979300657942E-2</v>
      </c>
      <c r="G263" s="2"/>
      <c r="H263" s="14">
        <f t="shared" si="64"/>
        <v>-1413.9899999999998</v>
      </c>
      <c r="I263" s="15">
        <f>IFERROR(H263/H444, "NA")</f>
        <v>0.11395719563381278</v>
      </c>
      <c r="J263" s="2"/>
      <c r="K263" s="14">
        <f>IFERROR(K238+K240+K241+K242+K243+K244+K245+K246+K247+K248+K249+K250+K251+K252+K253+K254+K255+K256+K257+K258+K259+K260+K261, "NA")</f>
        <v>6555.2899999999991</v>
      </c>
      <c r="L263" s="15">
        <f>IFERROR(K263/K444, "NA")</f>
        <v>6.0576212778233954E-2</v>
      </c>
      <c r="M263" s="2"/>
      <c r="N263" s="14">
        <f t="shared" si="65"/>
        <v>-470.13000000000102</v>
      </c>
      <c r="O263" s="15">
        <f>IFERROR(N263/N444, "NA")</f>
        <v>0.29641375483903615</v>
      </c>
      <c r="P263" s="2"/>
      <c r="Q263" s="14">
        <f>IFERROR(Q238+Q240+Q241+Q242+Q243+Q244+Q245+Q246+Q247+Q248+Q249+Q250+Q251+Q252+Q253+Q254+Q255+Q256+Q257+Q258+Q259+Q260+Q261, "NA")</f>
        <v>59438.400000000009</v>
      </c>
      <c r="R263" s="15">
        <f>IFERROR(Q263/Q444, "NA")</f>
        <v>5.3120782994249806E-2</v>
      </c>
      <c r="S263" s="2"/>
      <c r="T263" s="14">
        <f>IFERROR(T238+T240+T241+T242+T243+T244+T245+T246+T247+T248+T249+T250+T251+T252+T253+T254+T255+T256+T257+T258+T259+T260+T261, "NA")</f>
        <v>57510.879999999997</v>
      </c>
      <c r="U263" s="15">
        <f>IFERROR(T263/T444, "NA")</f>
        <v>4.7440571653193327E-2</v>
      </c>
      <c r="V263" s="2"/>
      <c r="W263" s="14">
        <f t="shared" si="66"/>
        <v>-1927.5200000000114</v>
      </c>
      <c r="X263" s="15">
        <f>IFERROR(W263/W444, "NA")</f>
        <v>2.064990993411607E-2</v>
      </c>
      <c r="Y263" s="2"/>
      <c r="Z263" s="14">
        <f>IFERROR(Z238+Z240+Z241+Z242+Z243+Z244+Z245+Z246+Z247+Z248+Z249+Z250+Z251+Z252+Z253+Z254+Z255+Z256+Z257+Z258+Z259+Z260+Z261, "NA")</f>
        <v>51942.770000000004</v>
      </c>
      <c r="AA263" s="15">
        <f>IFERROR(Z263/Z444, "NA")</f>
        <v>4.8876237240808973E-2</v>
      </c>
      <c r="AB263" s="2"/>
      <c r="AC263" s="14">
        <f t="shared" si="67"/>
        <v>-7495.6300000000047</v>
      </c>
      <c r="AD263" s="15">
        <f>IFERROR(AC263/AC444, "NA")</f>
        <v>-0.1334014492640134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3079.65</v>
      </c>
      <c r="C265" s="8">
        <f>IFERROR(B265/B444, "NA")</f>
        <v>2.8881776828780622E-2</v>
      </c>
      <c r="D265" s="9"/>
      <c r="E265" s="7">
        <v>3333.05</v>
      </c>
      <c r="F265" s="8">
        <f>IFERROR(E265/E444, "NA")</f>
        <v>2.799997647802039E-2</v>
      </c>
      <c r="G265" s="9"/>
      <c r="H265" s="10">
        <f>IFERROR(-(B265-E265), "NA")</f>
        <v>253.40000000000009</v>
      </c>
      <c r="I265" s="8">
        <f>IFERROR(H265/H444, "NA")</f>
        <v>-2.042217651723716E-2</v>
      </c>
      <c r="J265" s="9"/>
      <c r="K265" s="7">
        <v>3105.89</v>
      </c>
      <c r="L265" s="8">
        <f>IFERROR(K265/K444, "NA")</f>
        <v>2.8700950454638784E-2</v>
      </c>
      <c r="M265" s="9"/>
      <c r="N265" s="10">
        <f>IFERROR(-(B265-K265), "NA")</f>
        <v>26.239999999999782</v>
      </c>
      <c r="O265" s="8">
        <f>IFERROR(N265/N444, "NA")</f>
        <v>-1.6544140826954729E-2</v>
      </c>
      <c r="P265" s="9"/>
      <c r="Q265" s="7">
        <v>31592.63</v>
      </c>
      <c r="R265" s="8">
        <f>IFERROR(Q265/Q444, "NA")</f>
        <v>2.8234697475834243E-2</v>
      </c>
      <c r="S265" s="9"/>
      <c r="T265" s="7">
        <v>34113.97</v>
      </c>
      <c r="U265" s="8">
        <f>IFERROR(T265/T444, "NA")</f>
        <v>2.8140522943830588E-2</v>
      </c>
      <c r="V265" s="9"/>
      <c r="W265" s="10">
        <f>IFERROR(-(Q265-T265), "NA")</f>
        <v>2521.34</v>
      </c>
      <c r="X265" s="8">
        <f>IFERROR(W265/W444, "NA")</f>
        <v>-2.7011623180710917E-2</v>
      </c>
      <c r="Y265" s="9"/>
      <c r="Z265" s="7">
        <v>31014.89</v>
      </c>
      <c r="AA265" s="8">
        <f>IFERROR(Z265/Z444, "NA")</f>
        <v>2.9183871434611472E-2</v>
      </c>
      <c r="AB265" s="9"/>
      <c r="AC265" s="10">
        <f>IFERROR(-(Q265-Z265), "NA")</f>
        <v>-577.7400000000016</v>
      </c>
      <c r="AD265" s="8">
        <f>IFERROR(AC265/AC444, "NA")</f>
        <v>-1.028217151831017E-2</v>
      </c>
    </row>
    <row r="266" spans="1:30" ht="16.5" customHeight="1" x14ac:dyDescent="0.45">
      <c r="A266" s="6" t="s">
        <v>242</v>
      </c>
      <c r="B266" s="7">
        <v>32.799999999999997</v>
      </c>
      <c r="C266" s="8">
        <f>IFERROR(B266/B444, "NA")</f>
        <v>3.07607124180996E-4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-32.799999999999997</v>
      </c>
      <c r="I266" s="8">
        <f>IFERROR(H266/H444, "NA")</f>
        <v>2.6434387914971527E-3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-32.799999999999997</v>
      </c>
      <c r="O266" s="8">
        <f>IFERROR(N266/N444, "NA")</f>
        <v>2.0680176033693584E-2</v>
      </c>
      <c r="P266" s="9"/>
      <c r="Q266" s="7">
        <v>1164.04</v>
      </c>
      <c r="R266" s="8">
        <f>IFERROR(Q266/Q444, "NA")</f>
        <v>1.040315961341936E-3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-1164.04</v>
      </c>
      <c r="X266" s="8">
        <f>IFERROR(W266/W444, "NA")</f>
        <v>1.2470594940497804E-2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-1164.04</v>
      </c>
      <c r="AD266" s="8">
        <f>IFERROR(AC266/AC444, "NA")</f>
        <v>-2.0716687323317995E-2</v>
      </c>
    </row>
    <row r="267" spans="1:30" ht="16.5" customHeight="1" x14ac:dyDescent="0.45">
      <c r="A267" s="19" t="s">
        <v>243</v>
      </c>
      <c r="B267" s="14">
        <f>IFERROR(B265+B266, "NA")</f>
        <v>3112.4500000000003</v>
      </c>
      <c r="C267" s="15">
        <f>IFERROR(B267/B444, "NA")</f>
        <v>2.9189383952961619E-2</v>
      </c>
      <c r="D267" s="2"/>
      <c r="E267" s="14">
        <f>IFERROR(E265+E266, "NA")</f>
        <v>3333.05</v>
      </c>
      <c r="F267" s="15">
        <f>IFERROR(E267/E444, "NA")</f>
        <v>2.799997647802039E-2</v>
      </c>
      <c r="G267" s="2"/>
      <c r="H267" s="14">
        <f>IFERROR(-(B267-E267), "NA")</f>
        <v>220.59999999999991</v>
      </c>
      <c r="I267" s="15">
        <f>IFERROR(H267/H444, "NA")</f>
        <v>-1.7778737725739992E-2</v>
      </c>
      <c r="J267" s="2"/>
      <c r="K267" s="14">
        <f>IFERROR(K265+K266, "NA")</f>
        <v>3105.89</v>
      </c>
      <c r="L267" s="15">
        <f>IFERROR(K267/K444, "NA")</f>
        <v>2.8700950454638784E-2</v>
      </c>
      <c r="M267" s="2"/>
      <c r="N267" s="14">
        <f>IFERROR(-(B267-K267), "NA")</f>
        <v>-6.5600000000004002</v>
      </c>
      <c r="O267" s="15">
        <f>IFERROR(N267/N444, "NA")</f>
        <v>4.1360352067389694E-3</v>
      </c>
      <c r="P267" s="2"/>
      <c r="Q267" s="14">
        <f>IFERROR(Q265+Q266, "NA")</f>
        <v>32756.670000000002</v>
      </c>
      <c r="R267" s="15">
        <f>IFERROR(Q267/Q444, "NA")</f>
        <v>2.927501343717618E-2</v>
      </c>
      <c r="S267" s="2"/>
      <c r="T267" s="14">
        <f>IFERROR(T265+T266, "NA")</f>
        <v>34113.97</v>
      </c>
      <c r="U267" s="15">
        <f>IFERROR(T267/T444, "NA")</f>
        <v>2.8140522943830588E-2</v>
      </c>
      <c r="V267" s="2"/>
      <c r="W267" s="14">
        <f>IFERROR(-(Q267-T267), "NA")</f>
        <v>1357.2999999999993</v>
      </c>
      <c r="X267" s="15">
        <f>IFERROR(W267/W444, "NA")</f>
        <v>-1.4541028240213104E-2</v>
      </c>
      <c r="Y267" s="2"/>
      <c r="Z267" s="14">
        <f>IFERROR(Z265+Z266, "NA")</f>
        <v>31014.89</v>
      </c>
      <c r="AA267" s="15">
        <f>IFERROR(Z267/Z444, "NA")</f>
        <v>2.9183871434611472E-2</v>
      </c>
      <c r="AB267" s="2"/>
      <c r="AC267" s="14">
        <f>IFERROR(-(Q267-Z267), "NA")</f>
        <v>-1741.7800000000025</v>
      </c>
      <c r="AD267" s="15">
        <f>IFERROR(AC267/AC444, "NA")</f>
        <v>-3.0998858841628181E-2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1.8557712723455942E-3</v>
      </c>
      <c r="D270" s="9"/>
      <c r="E270" s="7">
        <v>173.57</v>
      </c>
      <c r="F270" s="8">
        <f>IFERROR(E270/E444, "NA")</f>
        <v>1.4581107145977404E-3</v>
      </c>
      <c r="G270" s="9"/>
      <c r="H270" s="10">
        <f>IFERROR(-(B270-E270), "NA")</f>
        <v>-24.310000000000002</v>
      </c>
      <c r="I270" s="8">
        <f>IFERROR(H270/H444, "NA")</f>
        <v>1.9592072262590182E-3</v>
      </c>
      <c r="J270" s="9"/>
      <c r="K270" s="7">
        <v>175.13</v>
      </c>
      <c r="L270" s="8">
        <f>IFERROR(K270/K444, "NA")</f>
        <v>1.6183436802722862E-3</v>
      </c>
      <c r="M270" s="9"/>
      <c r="N270" s="10">
        <f>IFERROR(-(B270-K270), "NA")</f>
        <v>-22.75</v>
      </c>
      <c r="O270" s="8">
        <f>IFERROR(N270/N444, "NA")</f>
        <v>1.434371965751613E-2</v>
      </c>
      <c r="P270" s="9"/>
      <c r="Q270" s="7">
        <v>2006.47</v>
      </c>
      <c r="R270" s="8">
        <f>IFERROR(Q270/Q444, "NA")</f>
        <v>1.7932053597417223E-3</v>
      </c>
      <c r="S270" s="9"/>
      <c r="T270" s="7">
        <v>1967.92</v>
      </c>
      <c r="U270" s="8">
        <f>IFERROR(T270/T444, "NA")</f>
        <v>1.6233319637562879E-3</v>
      </c>
      <c r="V270" s="9"/>
      <c r="W270" s="10">
        <f>IFERROR(-(Q270-T270), "NA")</f>
        <v>-38.549999999999955</v>
      </c>
      <c r="X270" s="8">
        <f>IFERROR(W270/W444, "NA")</f>
        <v>4.1299391340176439E-4</v>
      </c>
      <c r="Y270" s="9"/>
      <c r="Z270" s="7">
        <v>1299.77</v>
      </c>
      <c r="AA270" s="8">
        <f>IFERROR(Z270/Z444, "NA")</f>
        <v>1.2230357926326662E-3</v>
      </c>
      <c r="AB270" s="9"/>
      <c r="AC270" s="10">
        <f>IFERROR(-(Q270-Z270), "NA")</f>
        <v>-706.7</v>
      </c>
      <c r="AD270" s="8">
        <f>IFERROR(AC270/AC444, "NA")</f>
        <v>-1.2577302267438256E-2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8.3882024415002521E-3</v>
      </c>
      <c r="D271" s="9"/>
      <c r="E271" s="7">
        <v>714.23</v>
      </c>
      <c r="F271" s="8">
        <f>IFERROR(E271/E444, "NA")</f>
        <v>6.0000369631108153E-3</v>
      </c>
      <c r="G271" s="9"/>
      <c r="H271" s="10">
        <f>IFERROR(-(B271-E271), "NA")</f>
        <v>-180.19999999999993</v>
      </c>
      <c r="I271" s="8">
        <f>IFERROR(H271/H444, "NA")</f>
        <v>1.4522794824017891E-2</v>
      </c>
      <c r="J271" s="9"/>
      <c r="K271" s="7">
        <v>778.58</v>
      </c>
      <c r="L271" s="8">
        <f>IFERROR(K271/K444, "NA")</f>
        <v>7.194712628255562E-3</v>
      </c>
      <c r="M271" s="9"/>
      <c r="N271" s="10">
        <f>IFERROR(-(B271-K271), "NA")</f>
        <v>-115.84999999999991</v>
      </c>
      <c r="O271" s="8">
        <f>IFERROR(N271/N444, "NA")</f>
        <v>7.3042633948274385E-2</v>
      </c>
      <c r="P271" s="9"/>
      <c r="Q271" s="7">
        <v>8299.91</v>
      </c>
      <c r="R271" s="8">
        <f>IFERROR(Q271/Q444, "NA")</f>
        <v>7.4177252076402427E-3</v>
      </c>
      <c r="S271" s="9"/>
      <c r="T271" s="7">
        <v>7273.65</v>
      </c>
      <c r="U271" s="8">
        <f>IFERROR(T271/T444, "NA")</f>
        <v>6.0000145016951513E-3</v>
      </c>
      <c r="V271" s="9"/>
      <c r="W271" s="10">
        <f>IFERROR(-(Q271-T271), "NA")</f>
        <v>-1026.2600000000002</v>
      </c>
      <c r="X271" s="8">
        <f>IFERROR(W271/W444, "NA")</f>
        <v>1.0994530053636714E-2</v>
      </c>
      <c r="Y271" s="9"/>
      <c r="Z271" s="7">
        <v>6562.93</v>
      </c>
      <c r="AA271" s="8">
        <f>IFERROR(Z271/Z444, "NA")</f>
        <v>6.1754758876899022E-3</v>
      </c>
      <c r="AB271" s="9"/>
      <c r="AC271" s="10">
        <f>IFERROR(-(Q271-Z271), "NA")</f>
        <v>-1736.9799999999996</v>
      </c>
      <c r="AD271" s="8">
        <f>IFERROR(AC271/AC444, "NA")</f>
        <v>-3.0913432138806984E-2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1.0243973713845845E-2</v>
      </c>
      <c r="D273" s="2"/>
      <c r="E273" s="14">
        <f>IFERROR(E269+E270+E271+E272, "NA")</f>
        <v>887.8</v>
      </c>
      <c r="F273" s="15">
        <f>IFERROR(E273/E444, "NA")</f>
        <v>7.4581476777085551E-3</v>
      </c>
      <c r="G273" s="2"/>
      <c r="H273" s="14">
        <f>IFERROR(-(B273-E273), "NA")</f>
        <v>-204.51</v>
      </c>
      <c r="I273" s="15">
        <f>IFERROR(H273/H444, "NA")</f>
        <v>1.6482002050276914E-2</v>
      </c>
      <c r="J273" s="2"/>
      <c r="K273" s="14">
        <f>IFERROR(K269+K270+K271+K272, "NA")</f>
        <v>953.71</v>
      </c>
      <c r="L273" s="15">
        <f>IFERROR(K273/K444, "NA")</f>
        <v>8.8130563085278488E-3</v>
      </c>
      <c r="M273" s="2"/>
      <c r="N273" s="14">
        <f>IFERROR(-(B273-K273), "NA")</f>
        <v>-138.59999999999991</v>
      </c>
      <c r="O273" s="15">
        <f>IFERROR(N273/N444, "NA")</f>
        <v>8.7386353605790515E-2</v>
      </c>
      <c r="P273" s="2"/>
      <c r="Q273" s="14">
        <f>IFERROR(Q269+Q270+Q271+Q272, "NA")</f>
        <v>10306.379999999999</v>
      </c>
      <c r="R273" s="15">
        <f>IFERROR(Q273/Q444, "NA")</f>
        <v>9.2109305673819652E-3</v>
      </c>
      <c r="S273" s="2"/>
      <c r="T273" s="14">
        <f>IFERROR(T269+T270+T271+T272, "NA")</f>
        <v>9241.57</v>
      </c>
      <c r="U273" s="15">
        <f>IFERROR(T273/T444, "NA")</f>
        <v>7.6233464654514391E-3</v>
      </c>
      <c r="V273" s="2"/>
      <c r="W273" s="14">
        <f>IFERROR(-(Q273-T273), "NA")</f>
        <v>-1064.8099999999995</v>
      </c>
      <c r="X273" s="15">
        <f>IFERROR(W273/W444, "NA")</f>
        <v>1.1407523967038469E-2</v>
      </c>
      <c r="Y273" s="2"/>
      <c r="Z273" s="14">
        <f>IFERROR(Z269+Z270+Z271+Z272, "NA")</f>
        <v>7862.7000000000007</v>
      </c>
      <c r="AA273" s="15">
        <f>IFERROR(Z273/Z444, "NA")</f>
        <v>7.3985116803225691E-3</v>
      </c>
      <c r="AB273" s="2"/>
      <c r="AC273" s="14">
        <f>IFERROR(-(Q273-Z273), "NA")</f>
        <v>-2443.6799999999985</v>
      </c>
      <c r="AD273" s="15">
        <f>IFERROR(AC273/AC444, "NA")</f>
        <v>-4.3490734406245221E-2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2.5202121010504241E-3</v>
      </c>
      <c r="G287" s="9"/>
      <c r="H287" s="10">
        <f t="shared" si="72"/>
        <v>300</v>
      </c>
      <c r="I287" s="8">
        <f>IFERROR(H287/H444, "NA")</f>
        <v>-2.4177793824669083E-2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3000</v>
      </c>
      <c r="U287" s="8">
        <f>IFERROR(T287/T444, "NA")</f>
        <v>2.4746920054010647E-3</v>
      </c>
      <c r="V287" s="9"/>
      <c r="W287" s="10">
        <f t="shared" si="74"/>
        <v>3000</v>
      </c>
      <c r="X287" s="8">
        <f>IFERROR(W287/W444, "NA")</f>
        <v>-3.2139604155779364E-2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1.28951157240509E-3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1.1081488836306663E-2</v>
      </c>
      <c r="J288" s="9"/>
      <c r="K288" s="7">
        <v>137.5</v>
      </c>
      <c r="L288" s="8">
        <f>IFERROR(K288/K444, "NA")</f>
        <v>1.2706118656851445E-3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1375</v>
      </c>
      <c r="R288" s="8">
        <f>IFERROR(Q288/Q444, "NA")</f>
        <v>1.2288533442537731E-3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-1375</v>
      </c>
      <c r="X288" s="8">
        <f>IFERROR(W288/W444, "NA")</f>
        <v>1.473065190473221E-2</v>
      </c>
      <c r="Y288" s="9"/>
      <c r="Z288" s="7">
        <v>1375</v>
      </c>
      <c r="AA288" s="8">
        <f>IFERROR(Z288/Z444, "NA")</f>
        <v>1.2938244573039198E-3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210.95</v>
      </c>
      <c r="C289" s="8">
        <f>IFERROR(B289/B444, "NA")</f>
        <v>1.9783452087189361E-3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-210.95</v>
      </c>
      <c r="I289" s="8">
        <f>IFERROR(H289/H444, "NA")</f>
        <v>1.7001018691046477E-2</v>
      </c>
      <c r="J289" s="9"/>
      <c r="K289" s="7">
        <v>199.21</v>
      </c>
      <c r="L289" s="8">
        <f>IFERROR(K289/K444, "NA")</f>
        <v>1.8408624710046372E-3</v>
      </c>
      <c r="M289" s="9"/>
      <c r="N289" s="10">
        <f t="shared" si="73"/>
        <v>-11.739999999999981</v>
      </c>
      <c r="O289" s="8">
        <f>IFERROR(N289/N444, "NA")</f>
        <v>7.4019898364500701E-3</v>
      </c>
      <c r="P289" s="9"/>
      <c r="Q289" s="7">
        <v>1866.98</v>
      </c>
      <c r="R289" s="8">
        <f>IFERROR(Q289/Q444, "NA")</f>
        <v>1.6685415393853887E-3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-1866.98</v>
      </c>
      <c r="X289" s="8">
        <f>IFERROR(W289/W444, "NA")</f>
        <v>2.0001332722252321E-2</v>
      </c>
      <c r="Y289" s="9"/>
      <c r="Z289" s="7">
        <v>1559.25</v>
      </c>
      <c r="AA289" s="8">
        <f>IFERROR(Z289/Z444, "NA")</f>
        <v>1.4671969345826453E-3</v>
      </c>
      <c r="AB289" s="9"/>
      <c r="AC289" s="10">
        <f t="shared" si="75"/>
        <v>-307.73</v>
      </c>
      <c r="AD289" s="8">
        <f>IFERROR(AC289/AC444, "NA")</f>
        <v>-5.4767415123231564E-3</v>
      </c>
    </row>
    <row r="290" spans="1:30" ht="16.5" customHeight="1" x14ac:dyDescent="0.45">
      <c r="A290" s="6" t="s">
        <v>263</v>
      </c>
      <c r="B290" s="7">
        <v>650</v>
      </c>
      <c r="C290" s="8">
        <f>IFERROR(B290/B444, "NA")</f>
        <v>6.0958728877331531E-3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-650</v>
      </c>
      <c r="I290" s="8">
        <f>IFERROR(H290/H444, "NA")</f>
        <v>5.2385219953449677E-2</v>
      </c>
      <c r="J290" s="9"/>
      <c r="K290" s="7">
        <v>682.39</v>
      </c>
      <c r="L290" s="8">
        <f>IFERROR(K290/K444, "NA")</f>
        <v>6.3058387710900774E-3</v>
      </c>
      <c r="M290" s="9"/>
      <c r="N290" s="10">
        <f t="shared" si="73"/>
        <v>32.389999999999986</v>
      </c>
      <c r="O290" s="8">
        <f>IFERROR(N290/N444, "NA")</f>
        <v>-2.0421673833272407E-2</v>
      </c>
      <c r="P290" s="9"/>
      <c r="Q290" s="7">
        <v>6836.81</v>
      </c>
      <c r="R290" s="8">
        <f>IFERROR(Q290/Q444, "NA")</f>
        <v>6.1101358782019192E-3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-6836.81</v>
      </c>
      <c r="X290" s="8">
        <f>IFERROR(W290/W444, "NA")</f>
        <v>7.3244122362757985E-2</v>
      </c>
      <c r="Y290" s="9"/>
      <c r="Z290" s="7">
        <v>1043.1400000000001</v>
      </c>
      <c r="AA290" s="8">
        <f>IFERROR(Z290/Z444, "NA")</f>
        <v>9.8155639592146268E-4</v>
      </c>
      <c r="AB290" s="9"/>
      <c r="AC290" s="10">
        <f t="shared" si="75"/>
        <v>-5793.67</v>
      </c>
      <c r="AD290" s="8">
        <f>IFERROR(AC290/AC444, "NA")</f>
        <v>-0.1031112761112056</v>
      </c>
    </row>
    <row r="291" spans="1:30" ht="16.5" customHeight="1" x14ac:dyDescent="0.45">
      <c r="A291" s="6" t="s">
        <v>264</v>
      </c>
      <c r="B291" s="7">
        <v>649.79999999999995</v>
      </c>
      <c r="C291" s="8">
        <f>IFERROR(B291/B444, "NA")</f>
        <v>6.0939972345369266E-3</v>
      </c>
      <c r="D291" s="9"/>
      <c r="E291" s="7">
        <v>1428.45</v>
      </c>
      <c r="F291" s="8">
        <f>IFERROR(E291/E444, "NA")</f>
        <v>1.1999989919151596E-2</v>
      </c>
      <c r="G291" s="9"/>
      <c r="H291" s="10">
        <f t="shared" si="72"/>
        <v>778.65000000000009</v>
      </c>
      <c r="I291" s="8">
        <f>IFERROR(H291/H444, "NA")</f>
        <v>-6.2753463871928608E-2</v>
      </c>
      <c r="J291" s="9"/>
      <c r="K291" s="7">
        <v>703.32</v>
      </c>
      <c r="L291" s="8">
        <f>IFERROR(K291/K444, "NA")</f>
        <v>6.4992489990812786E-3</v>
      </c>
      <c r="M291" s="9"/>
      <c r="N291" s="10">
        <f t="shared" si="73"/>
        <v>53.520000000000095</v>
      </c>
      <c r="O291" s="8">
        <f>IFERROR(N291/N444, "NA")</f>
        <v>-3.3743994552539104E-2</v>
      </c>
      <c r="P291" s="9"/>
      <c r="Q291" s="7">
        <v>3503.83</v>
      </c>
      <c r="R291" s="8">
        <f>IFERROR(Q291/Q444, "NA")</f>
        <v>3.1314132459612349E-3</v>
      </c>
      <c r="S291" s="9"/>
      <c r="T291" s="7">
        <v>14547.25</v>
      </c>
      <c r="U291" s="8">
        <f>IFERROR(T291/T444, "NA")</f>
        <v>1.1999987758523546E-2</v>
      </c>
      <c r="V291" s="9"/>
      <c r="W291" s="10">
        <f t="shared" si="74"/>
        <v>11043.42</v>
      </c>
      <c r="X291" s="8">
        <f>IFERROR(W291/W444, "NA")</f>
        <v>-0.11831038244200566</v>
      </c>
      <c r="Y291" s="9"/>
      <c r="Z291" s="7">
        <v>1795.47</v>
      </c>
      <c r="AA291" s="8">
        <f>IFERROR(Z291/Z444, "NA")</f>
        <v>1.6894712715312503E-3</v>
      </c>
      <c r="AB291" s="9"/>
      <c r="AC291" s="10">
        <f t="shared" si="75"/>
        <v>-1708.36</v>
      </c>
      <c r="AD291" s="8">
        <f>IFERROR(AC291/AC444, "NA")</f>
        <v>-3.0404075423235907E-2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4.4762435345668713E-4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5.3658140458212183E-3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-8.9139204947914601E-3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3.3061070373803514E-4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3.9631345884491541E-3</v>
      </c>
      <c r="Y293" s="9"/>
      <c r="Z293" s="7">
        <v>424.92</v>
      </c>
      <c r="AA293" s="8">
        <f>IFERROR(Z293/Z444, "NA")</f>
        <v>3.9983410065278668E-4</v>
      </c>
      <c r="AB293" s="9"/>
      <c r="AC293" s="10">
        <f t="shared" si="75"/>
        <v>54.990000000000009</v>
      </c>
      <c r="AD293" s="8">
        <f>IFERROR(AC293/AC444, "NA")</f>
        <v>9.7866966419474992E-4</v>
      </c>
    </row>
    <row r="294" spans="1:30" ht="16.5" customHeight="1" x14ac:dyDescent="0.45">
      <c r="A294" s="6" t="s">
        <v>267</v>
      </c>
      <c r="B294" s="7">
        <v>309.99</v>
      </c>
      <c r="C294" s="8">
        <f>IFERROR(B294/B444, "NA")</f>
        <v>2.9071686714898463E-3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-309.99</v>
      </c>
      <c r="I294" s="8">
        <f>IFERROR(H294/H444, "NA")</f>
        <v>2.4982914359030564E-2</v>
      </c>
      <c r="J294" s="9"/>
      <c r="K294" s="7">
        <v>319.99</v>
      </c>
      <c r="L294" s="8">
        <f>IFERROR(K294/K444, "NA")</f>
        <v>2.9569679338224682E-3</v>
      </c>
      <c r="M294" s="9"/>
      <c r="N294" s="10">
        <f t="shared" si="73"/>
        <v>10</v>
      </c>
      <c r="O294" s="8">
        <f>IFERROR(N294/N444, "NA")</f>
        <v>-6.3049317175895075E-3</v>
      </c>
      <c r="P294" s="9"/>
      <c r="Q294" s="7">
        <v>3527.91</v>
      </c>
      <c r="R294" s="8">
        <f>IFERROR(Q294/Q444, "NA")</f>
        <v>3.1529338194373297E-3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-3527.91</v>
      </c>
      <c r="X294" s="8">
        <f>IFERROR(W294/W444, "NA")</f>
        <v>3.779521029907186E-2</v>
      </c>
      <c r="Y294" s="9"/>
      <c r="Z294" s="7">
        <v>1412.72</v>
      </c>
      <c r="AA294" s="8">
        <f>IFERROR(Z294/Z444, "NA")</f>
        <v>1.3293175907799228E-3</v>
      </c>
      <c r="AB294" s="9"/>
      <c r="AC294" s="10">
        <f t="shared" si="75"/>
        <v>-2115.1899999999996</v>
      </c>
      <c r="AD294" s="8">
        <f>IFERROR(AC294/AC444, "NA")</f>
        <v>-3.7644522404220629E-2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1958.24</v>
      </c>
      <c r="C295" s="15">
        <f>IFERROR(B295/B444, "NA")</f>
        <v>1.8364895574883952E-2</v>
      </c>
      <c r="D295" s="2"/>
      <c r="E295" s="14">
        <f>IFERROR(E286+E287+E288+E289+E290+E291+E292+E293+E294, "NA")</f>
        <v>1728.45</v>
      </c>
      <c r="F295" s="15">
        <f>IFERROR(E295/E444, "NA")</f>
        <v>1.452020202020202E-2</v>
      </c>
      <c r="G295" s="2"/>
      <c r="H295" s="14">
        <f t="shared" si="72"/>
        <v>-229.78999999999996</v>
      </c>
      <c r="I295" s="15">
        <f>IFERROR(H295/H444, "NA")</f>
        <v>1.8519384143235694E-2</v>
      </c>
      <c r="J295" s="2"/>
      <c r="K295" s="14">
        <f>IFERROR(K286+K287+K288+K289+K290+K291+K292+K293+K294, "NA")</f>
        <v>2042.41</v>
      </c>
      <c r="L295" s="15">
        <f>IFERROR(K295/K444, "NA")</f>
        <v>1.8873530040683605E-2</v>
      </c>
      <c r="M295" s="2"/>
      <c r="N295" s="14">
        <f t="shared" si="73"/>
        <v>84.170000000000073</v>
      </c>
      <c r="O295" s="15">
        <f>IFERROR(N295/N444, "NA")</f>
        <v>-5.3068610266950936E-2</v>
      </c>
      <c r="P295" s="2"/>
      <c r="Q295" s="14">
        <f>IFERROR(Q286+Q287+Q288+Q289+Q290+Q291+Q292+Q293+Q294, "NA")</f>
        <v>17981.32</v>
      </c>
      <c r="R295" s="15">
        <f>IFERROR(Q295/Q444, "NA")</f>
        <v>1.6070112884434367E-2</v>
      </c>
      <c r="S295" s="2"/>
      <c r="T295" s="14">
        <f>IFERROR(T286+T287+T288+T289+T290+T291+T292+T293+T294, "NA")</f>
        <v>17547.25</v>
      </c>
      <c r="U295" s="15">
        <f>IFERROR(T295/T444, "NA")</f>
        <v>1.447467976392461E-2</v>
      </c>
      <c r="V295" s="2"/>
      <c r="W295" s="14">
        <f t="shared" si="74"/>
        <v>-434.06999999999971</v>
      </c>
      <c r="X295" s="15">
        <f>IFERROR(W295/W444, "NA")</f>
        <v>4.6502793252997136E-3</v>
      </c>
      <c r="Y295" s="2"/>
      <c r="Z295" s="14">
        <f>IFERROR(Z286+Z287+Z288+Z289+Z290+Z291+Z292+Z293+Z294, "NA")</f>
        <v>7610.5000000000009</v>
      </c>
      <c r="AA295" s="15">
        <f>IFERROR(Z295/Z444, "NA")</f>
        <v>7.1612007507719884E-3</v>
      </c>
      <c r="AB295" s="2"/>
      <c r="AC295" s="14">
        <f t="shared" si="75"/>
        <v>-10370.82</v>
      </c>
      <c r="AD295" s="15">
        <f>IFERROR(AC295/AC444, "NA")</f>
        <v>-0.18457186628158201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1547.49</v>
      </c>
      <c r="F297" s="8">
        <f>IFERROR(E297/E444, "NA")</f>
        <v>1.3000010080848404E-2</v>
      </c>
      <c r="G297" s="9"/>
      <c r="H297" s="10">
        <f t="shared" ref="H297:H325" si="76">IFERROR(-(B297-E297), "NA")</f>
        <v>1547.49</v>
      </c>
      <c r="I297" s="8">
        <f>IFERROR(H297/H444, "NA")</f>
        <v>-0.12471631388579053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15759.54</v>
      </c>
      <c r="U297" s="8">
        <f>IFERROR(T297/T444, "NA")</f>
        <v>1.3000002548932766E-2</v>
      </c>
      <c r="V297" s="9"/>
      <c r="W297" s="10">
        <f t="shared" ref="W297:W325" si="78">IFERROR(-(Q297-T297), "NA")</f>
        <v>15759.54</v>
      </c>
      <c r="X297" s="8">
        <f>IFERROR(W297/W444, "NA")</f>
        <v>-0.16883512575905707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503.31</v>
      </c>
      <c r="C299" s="8">
        <f>IFERROR(B299/B444, "NA")</f>
        <v>4.7201750509614972E-3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-503.31</v>
      </c>
      <c r="I299" s="8">
        <f>IFERROR(H299/H444, "NA")</f>
        <v>4.0563084699647318E-2</v>
      </c>
      <c r="J299" s="9"/>
      <c r="K299" s="7">
        <v>180.48</v>
      </c>
      <c r="L299" s="8">
        <f>IFERROR(K299/K444, "NA")</f>
        <v>1.667782032864399E-3</v>
      </c>
      <c r="M299" s="9"/>
      <c r="N299" s="10">
        <f t="shared" si="77"/>
        <v>-322.83000000000004</v>
      </c>
      <c r="O299" s="8">
        <f>IFERROR(N299/N444, "NA")</f>
        <v>0.20354211063894209</v>
      </c>
      <c r="P299" s="9"/>
      <c r="Q299" s="7">
        <v>3279.21</v>
      </c>
      <c r="R299" s="8">
        <f>IFERROR(Q299/Q444, "NA")</f>
        <v>2.9306677636439385E-3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-3279.21</v>
      </c>
      <c r="X299" s="8">
        <f>IFERROR(W299/W444, "NA")</f>
        <v>3.513083711455775E-2</v>
      </c>
      <c r="Y299" s="9"/>
      <c r="Z299" s="7">
        <v>2096.46</v>
      </c>
      <c r="AA299" s="8">
        <f>IFERROR(Z299/Z444, "NA")</f>
        <v>1.9726917976431823E-3</v>
      </c>
      <c r="AB299" s="9"/>
      <c r="AC299" s="10">
        <f t="shared" si="79"/>
        <v>-1182.75</v>
      </c>
      <c r="AD299" s="8">
        <f>IFERROR(AC299/AC444, "NA")</f>
        <v>-2.104967349202292E-2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348.44</v>
      </c>
      <c r="R304" s="8">
        <f>IFERROR(Q304/Q444, "NA")</f>
        <v>3.1140484310675253E-4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-348.44</v>
      </c>
      <c r="X304" s="8">
        <f>IFERROR(W304/W444, "NA")</f>
        <v>3.7329078906799206E-3</v>
      </c>
      <c r="Y304" s="9"/>
      <c r="Z304" s="7">
        <v>402.55</v>
      </c>
      <c r="AA304" s="8">
        <f>IFERROR(Z304/Z444, "NA")</f>
        <v>3.7878475293650401E-4</v>
      </c>
      <c r="AB304" s="9"/>
      <c r="AC304" s="10">
        <f t="shared" si="79"/>
        <v>54.110000000000014</v>
      </c>
      <c r="AD304" s="8">
        <f>IFERROR(AC304/AC444, "NA")</f>
        <v>9.6300810201087328E-4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24.67</v>
      </c>
      <c r="C310" s="8">
        <f>IFERROR(B310/B444, "NA")</f>
        <v>2.3136182175442598E-4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-24.67</v>
      </c>
      <c r="I310" s="8">
        <f>IFERROR(H310/H444, "NA")</f>
        <v>1.9882205788486211E-3</v>
      </c>
      <c r="J310" s="9"/>
      <c r="K310" s="7">
        <v>103.35</v>
      </c>
      <c r="L310" s="8">
        <f>IFERROR(K310/K444, "NA")</f>
        <v>9.5503808231679754E-4</v>
      </c>
      <c r="M310" s="9"/>
      <c r="N310" s="10">
        <f t="shared" si="77"/>
        <v>78.679999999999993</v>
      </c>
      <c r="O310" s="8">
        <f>IFERROR(N310/N444, "NA")</f>
        <v>-4.9607202753994245E-2</v>
      </c>
      <c r="P310" s="9"/>
      <c r="Q310" s="7">
        <v>435.69</v>
      </c>
      <c r="R310" s="8">
        <f>IFERROR(Q310/Q444, "NA")</f>
        <v>3.8938117349667374E-4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-435.69</v>
      </c>
      <c r="X310" s="8">
        <f>IFERROR(W310/W444, "NA")</f>
        <v>4.6676347115438372E-3</v>
      </c>
      <c r="Y310" s="9"/>
      <c r="Z310" s="7">
        <v>415.21</v>
      </c>
      <c r="AA310" s="8">
        <f>IFERROR(Z310/Z444, "NA")</f>
        <v>3.9069734757611678E-4</v>
      </c>
      <c r="AB310" s="9"/>
      <c r="AC310" s="10">
        <f t="shared" si="79"/>
        <v>-20.480000000000018</v>
      </c>
      <c r="AD310" s="8">
        <f>IFERROR(AC310/AC444, "NA")</f>
        <v>-3.6448726537022171E-4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2.3862097666600538E-5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2.8604247698643637E-4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-4.7518603444262264E-4</v>
      </c>
    </row>
    <row r="312" spans="1:30" ht="16.5" customHeight="1" x14ac:dyDescent="0.45">
      <c r="A312" s="6" t="s">
        <v>284</v>
      </c>
      <c r="B312" s="7">
        <v>188.75</v>
      </c>
      <c r="C312" s="8">
        <f>IFERROR(B312/B444, "NA")</f>
        <v>1.7701477039378964E-3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-188.75</v>
      </c>
      <c r="I312" s="8">
        <f>IFERROR(H312/H444, "NA")</f>
        <v>1.5211861948020966E-2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-188.75</v>
      </c>
      <c r="O312" s="8">
        <f>IFERROR(N312/N444, "NA")</f>
        <v>0.11900558616950196</v>
      </c>
      <c r="P312" s="9"/>
      <c r="Q312" s="7">
        <v>1686.18</v>
      </c>
      <c r="R312" s="8">
        <f>IFERROR(Q312/Q444, "NA")</f>
        <v>1.5069584960100562E-3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-1686.18</v>
      </c>
      <c r="X312" s="8">
        <f>IFERROR(W312/W444, "NA")</f>
        <v>1.8064385911797352E-2</v>
      </c>
      <c r="Y312" s="9"/>
      <c r="Z312" s="7">
        <v>561.25</v>
      </c>
      <c r="AA312" s="8">
        <f>IFERROR(Z312/Z444, "NA")</f>
        <v>5.2811561939041819E-4</v>
      </c>
      <c r="AB312" s="9"/>
      <c r="AC312" s="10">
        <f t="shared" si="79"/>
        <v>-1124.93</v>
      </c>
      <c r="AD312" s="8">
        <f>IFERROR(AC312/AC444, "NA")</f>
        <v>-2.0020637667623204E-2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53.75</v>
      </c>
      <c r="R313" s="8">
        <f>IFERROR(Q313/Q444, "NA")</f>
        <v>4.8036994366283858E-5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5.7583457445771361E-4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-9.5660109929928717E-4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7.4473747982734982E-3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6.3999426180359892E-2</v>
      </c>
      <c r="J315" s="9"/>
      <c r="K315" s="7">
        <v>794.11</v>
      </c>
      <c r="L315" s="8">
        <f>IFERROR(K315/K444, "NA")</f>
        <v>7.3382224629762183E-3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7941.06</v>
      </c>
      <c r="R315" s="8">
        <f>IFERROR(Q315/Q444, "NA")</f>
        <v>7.0970168275780862E-3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-7941.06</v>
      </c>
      <c r="X315" s="8">
        <f>IFERROR(W315/W444, "NA")</f>
        <v>8.5074174992431098E-2</v>
      </c>
      <c r="Y315" s="9"/>
      <c r="Z315" s="7">
        <v>794.11</v>
      </c>
      <c r="AA315" s="8">
        <f>IFERROR(Z315/Z444, "NA")</f>
        <v>7.4722831984699335E-4</v>
      </c>
      <c r="AB315" s="9"/>
      <c r="AC315" s="10">
        <f t="shared" si="79"/>
        <v>-7146.9500000000007</v>
      </c>
      <c r="AD315" s="8">
        <f>IFERROR(AC315/AC444, "NA")</f>
        <v>-0.12719591119324727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4.6009772903413612E-3</v>
      </c>
      <c r="D318" s="9"/>
      <c r="E318" s="7">
        <v>718</v>
      </c>
      <c r="F318" s="8">
        <f>IFERROR(E318/E444, "NA")</f>
        <v>6.0317076285140159E-3</v>
      </c>
      <c r="G318" s="9"/>
      <c r="H318" s="10">
        <f t="shared" si="76"/>
        <v>227.39999999999998</v>
      </c>
      <c r="I318" s="8">
        <f>IFERROR(H318/H444, "NA")</f>
        <v>-1.8326767719099163E-2</v>
      </c>
      <c r="J318" s="9"/>
      <c r="K318" s="7">
        <v>818.71</v>
      </c>
      <c r="L318" s="8">
        <f>IFERROR(K318/K444, "NA")</f>
        <v>7.5655464767642516E-3</v>
      </c>
      <c r="M318" s="9"/>
      <c r="N318" s="10">
        <f t="shared" si="77"/>
        <v>328.11</v>
      </c>
      <c r="O318" s="8">
        <f>IFERROR(N318/N444, "NA")</f>
        <v>-0.20687111458582935</v>
      </c>
      <c r="P318" s="9"/>
      <c r="Q318" s="7">
        <v>5157.63</v>
      </c>
      <c r="R318" s="8">
        <f>IFERROR(Q318/Q444, "NA")</f>
        <v>4.6094333628535185E-3</v>
      </c>
      <c r="S318" s="9"/>
      <c r="T318" s="7">
        <v>7180</v>
      </c>
      <c r="U318" s="8">
        <f>IFERROR(T318/T444, "NA")</f>
        <v>5.9227628662598814E-3</v>
      </c>
      <c r="V318" s="9"/>
      <c r="W318" s="10">
        <f t="shared" si="78"/>
        <v>2022.37</v>
      </c>
      <c r="X318" s="8">
        <f>IFERROR(W318/W444, "NA")</f>
        <v>-2.1666057085507839E-2</v>
      </c>
      <c r="Y318" s="9"/>
      <c r="Z318" s="7">
        <v>5234.1099999999997</v>
      </c>
      <c r="AA318" s="8">
        <f>IFERROR(Z318/Z444, "NA")</f>
        <v>4.9251051128865603E-3</v>
      </c>
      <c r="AB318" s="9"/>
      <c r="AC318" s="10">
        <f t="shared" si="79"/>
        <v>76.479999999999563</v>
      </c>
      <c r="AD318" s="8">
        <f>IFERROR(AC318/AC444, "NA")</f>
        <v>1.3611321316169128E-3</v>
      </c>
    </row>
    <row r="319" spans="1:30" ht="16.5" customHeight="1" x14ac:dyDescent="0.45">
      <c r="A319" s="6" t="s">
        <v>291</v>
      </c>
      <c r="B319" s="7">
        <v>160.47999999999999</v>
      </c>
      <c r="C319" s="8">
        <f>IFERROR(B319/B444, "NA")</f>
        <v>1.5050241246514096E-3</v>
      </c>
      <c r="D319" s="9"/>
      <c r="E319" s="7">
        <v>160</v>
      </c>
      <c r="F319" s="8">
        <f>IFERROR(E319/E444, "NA")</f>
        <v>1.3441131205602264E-3</v>
      </c>
      <c r="G319" s="9"/>
      <c r="H319" s="10">
        <f t="shared" si="76"/>
        <v>-0.47999999999998977</v>
      </c>
      <c r="I319" s="8">
        <f>IFERROR(H319/H444, "NA")</f>
        <v>3.8684470119469711E-5</v>
      </c>
      <c r="J319" s="9"/>
      <c r="K319" s="7">
        <v>160.06</v>
      </c>
      <c r="L319" s="8">
        <f>IFERROR(K319/K444, "NA")</f>
        <v>1.4790846197931943E-3</v>
      </c>
      <c r="M319" s="9"/>
      <c r="N319" s="10">
        <f t="shared" si="77"/>
        <v>-0.41999999999998749</v>
      </c>
      <c r="O319" s="8">
        <f>IFERROR(N319/N444, "NA")</f>
        <v>2.6480713213875143E-4</v>
      </c>
      <c r="P319" s="9"/>
      <c r="Q319" s="7">
        <v>1731.89</v>
      </c>
      <c r="R319" s="8">
        <f>IFERROR(Q319/Q444, "NA")</f>
        <v>1.547810049730667E-3</v>
      </c>
      <c r="S319" s="9"/>
      <c r="T319" s="7">
        <v>1600</v>
      </c>
      <c r="U319" s="8">
        <f>IFERROR(T319/T444, "NA")</f>
        <v>1.3198357362139011E-3</v>
      </c>
      <c r="V319" s="9"/>
      <c r="W319" s="10">
        <f t="shared" si="78"/>
        <v>-131.8900000000001</v>
      </c>
      <c r="X319" s="8">
        <f>IFERROR(W319/W444, "NA")</f>
        <v>1.4129641307019146E-3</v>
      </c>
      <c r="Y319" s="9"/>
      <c r="Z319" s="7">
        <v>1597.63</v>
      </c>
      <c r="AA319" s="8">
        <f>IFERROR(Z319/Z444, "NA")</f>
        <v>1.5033111037981539E-3</v>
      </c>
      <c r="AB319" s="9"/>
      <c r="AC319" s="10">
        <f t="shared" si="79"/>
        <v>-134.26</v>
      </c>
      <c r="AD319" s="8">
        <f>IFERROR(AC319/AC444, "NA")</f>
        <v>-2.3894560668264609E-3</v>
      </c>
    </row>
    <row r="320" spans="1:30" ht="16.5" customHeight="1" x14ac:dyDescent="0.45">
      <c r="A320" s="6" t="s">
        <v>292</v>
      </c>
      <c r="B320" s="7">
        <v>1123.27</v>
      </c>
      <c r="C320" s="8">
        <f>IFERROR(B320/B444, "NA")</f>
        <v>1.0534324828621567E-2</v>
      </c>
      <c r="D320" s="9"/>
      <c r="E320" s="7">
        <v>827</v>
      </c>
      <c r="F320" s="8">
        <f>IFERROR(E320/E444, "NA")</f>
        <v>6.9473846918956693E-3</v>
      </c>
      <c r="G320" s="9"/>
      <c r="H320" s="10">
        <f t="shared" si="76"/>
        <v>-296.27</v>
      </c>
      <c r="I320" s="8">
        <f>IFERROR(H320/H444, "NA")</f>
        <v>2.3877183254782362E-2</v>
      </c>
      <c r="J320" s="9"/>
      <c r="K320" s="7">
        <v>653.91999999999996</v>
      </c>
      <c r="L320" s="8">
        <f>IFERROR(K320/K444, "NA")</f>
        <v>6.042752808791488E-3</v>
      </c>
      <c r="M320" s="9"/>
      <c r="N320" s="10">
        <f t="shared" si="77"/>
        <v>-469.35</v>
      </c>
      <c r="O320" s="8">
        <f>IFERROR(N320/N444, "NA")</f>
        <v>0.29592197016506355</v>
      </c>
      <c r="P320" s="9"/>
      <c r="Q320" s="7">
        <v>11657.85</v>
      </c>
      <c r="R320" s="8">
        <f>IFERROR(Q320/Q444, "NA")</f>
        <v>1.0418754879497345E-2</v>
      </c>
      <c r="S320" s="9"/>
      <c r="T320" s="7">
        <v>8270</v>
      </c>
      <c r="U320" s="8">
        <f>IFERROR(T320/T444, "NA")</f>
        <v>6.8219009615556013E-3</v>
      </c>
      <c r="V320" s="9"/>
      <c r="W320" s="10">
        <f t="shared" si="78"/>
        <v>-3387.8500000000004</v>
      </c>
      <c r="X320" s="8">
        <f>IFERROR(W320/W444, "NA")</f>
        <v>3.6294719313052379E-2</v>
      </c>
      <c r="Y320" s="9"/>
      <c r="Z320" s="7">
        <v>7775.54</v>
      </c>
      <c r="AA320" s="8">
        <f>IFERROR(Z320/Z444, "NA")</f>
        <v>7.3164973241781244E-3</v>
      </c>
      <c r="AB320" s="9"/>
      <c r="AC320" s="10">
        <f t="shared" si="79"/>
        <v>-3882.3100000000004</v>
      </c>
      <c r="AD320" s="8">
        <f>IFERROR(AC320/AC444, "NA")</f>
        <v>-6.9094363047825416E-2</v>
      </c>
    </row>
    <row r="321" spans="1:30" ht="16.5" customHeight="1" x14ac:dyDescent="0.45">
      <c r="A321" s="6" t="s">
        <v>293</v>
      </c>
      <c r="B321" s="7">
        <v>1333.77</v>
      </c>
      <c r="C321" s="8">
        <f>IFERROR(B321/B444, "NA")</f>
        <v>1.2508449817648995E-2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-1333.77</v>
      </c>
      <c r="I321" s="8">
        <f>IFERROR(H321/H444, "NA")</f>
        <v>0.10749205356509628</v>
      </c>
      <c r="J321" s="9"/>
      <c r="K321" s="7">
        <v>2556.5</v>
      </c>
      <c r="L321" s="8">
        <f>IFERROR(K321/K444, "NA")</f>
        <v>2.3624139888175067E-2</v>
      </c>
      <c r="M321" s="9"/>
      <c r="N321" s="10">
        <f t="shared" si="77"/>
        <v>1222.73</v>
      </c>
      <c r="O321" s="8">
        <f>IFERROR(N321/N444, "NA")</f>
        <v>-0.77092291590482187</v>
      </c>
      <c r="P321" s="9"/>
      <c r="Q321" s="7">
        <v>20126.189999999999</v>
      </c>
      <c r="R321" s="8">
        <f>IFERROR(Q321/Q444, "NA")</f>
        <v>1.7987007918972252E-2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-20126.189999999999</v>
      </c>
      <c r="X321" s="8">
        <f>IFERROR(W321/W444, "NA")</f>
        <v>0.21561592658800169</v>
      </c>
      <c r="Y321" s="9"/>
      <c r="Z321" s="7">
        <v>26103.23</v>
      </c>
      <c r="AA321" s="8">
        <f>IFERROR(Z321/Z444, "NA")</f>
        <v>2.45621799190032E-2</v>
      </c>
      <c r="AB321" s="9"/>
      <c r="AC321" s="10">
        <f t="shared" si="79"/>
        <v>5977.0400000000009</v>
      </c>
      <c r="AD321" s="8">
        <f>IFERROR(AC321/AC444, "NA")</f>
        <v>0.10637475413127093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3.1790446022827452E-3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2.731929516895442E-2</v>
      </c>
      <c r="J322" s="9"/>
      <c r="K322" s="7">
        <v>455.97</v>
      </c>
      <c r="L322" s="8">
        <f>IFERROR(K322/K444, "NA")</f>
        <v>4.2135337628833114E-3</v>
      </c>
      <c r="M322" s="9"/>
      <c r="N322" s="10">
        <f t="shared" si="77"/>
        <v>116.99000000000001</v>
      </c>
      <c r="O322" s="8">
        <f>IFERROR(N322/N444, "NA")</f>
        <v>-7.3761396164079659E-2</v>
      </c>
      <c r="P322" s="9"/>
      <c r="Q322" s="7">
        <v>3470.09</v>
      </c>
      <c r="R322" s="8">
        <f>IFERROR(Q322/Q444, "NA")</f>
        <v>3.101259419172055E-3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-3470.09</v>
      </c>
      <c r="X322" s="8">
        <f>IFERROR(W322/W444, "NA")</f>
        <v>3.7175772994976139E-2</v>
      </c>
      <c r="Y322" s="9"/>
      <c r="Z322" s="7">
        <v>2209.6999999999998</v>
      </c>
      <c r="AA322" s="8">
        <f>IFERROR(Z322/Z444, "NA")</f>
        <v>2.0792464751305246E-3</v>
      </c>
      <c r="AB322" s="9"/>
      <c r="AC322" s="10">
        <f t="shared" si="79"/>
        <v>-1260.3900000000003</v>
      </c>
      <c r="AD322" s="8">
        <f>IFERROR(AC322/AC444, "NA")</f>
        <v>-2.2431450410154954E-2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4957.9400000000005</v>
      </c>
      <c r="C324" s="15">
        <f>IFERROR(B324/B444, "NA")</f>
        <v>4.6496880038473402E-2</v>
      </c>
      <c r="D324" s="2"/>
      <c r="E324" s="14">
        <f>IFERROR(E297+E298+E299+E300+E301+E302+E303+E304+E305+E306+E307+E308+E309+E310+E311+E312+E313+E314+E315+E316+E317+E318+E319+E320+E321+E322+E323, "NA")</f>
        <v>3252.49</v>
      </c>
      <c r="F324" s="15">
        <f>IFERROR(E324/E444, "NA")</f>
        <v>2.7323215521818312E-2</v>
      </c>
      <c r="G324" s="2"/>
      <c r="H324" s="14">
        <f t="shared" si="76"/>
        <v>-1705.4500000000007</v>
      </c>
      <c r="I324" s="15">
        <f>IFERROR(H324/H444, "NA")</f>
        <v>0.13744672826093968</v>
      </c>
      <c r="J324" s="2"/>
      <c r="K324" s="14">
        <f>IFERROR(K297+K298+K299+K300+K301+K302+K303+K304+K305+K306+K307+K308+K309+K310+K311+K312+K313+K314+K315+K316+K317+K318+K319+K320+K321+K322+K323, "NA")</f>
        <v>5723.1</v>
      </c>
      <c r="L324" s="15">
        <f>IFERROR(K324/K444, "NA")</f>
        <v>5.2886100134564733E-2</v>
      </c>
      <c r="M324" s="2"/>
      <c r="N324" s="14">
        <f t="shared" si="77"/>
        <v>765.15999999999985</v>
      </c>
      <c r="O324" s="15">
        <f>IFERROR(N324/N444, "NA")</f>
        <v>-0.4824281553030787</v>
      </c>
      <c r="P324" s="2"/>
      <c r="Q324" s="14">
        <f>IFERROR(Q297+Q298+Q299+Q300+Q301+Q302+Q303+Q304+Q305+Q306+Q307+Q308+Q309+Q310+Q311+Q312+Q313+Q314+Q315+Q316+Q317+Q318+Q319+Q320+Q321+Q322+Q323, "NA")</f>
        <v>55914.679999999993</v>
      </c>
      <c r="R324" s="15">
        <f>IFERROR(Q324/Q444, "NA")</f>
        <v>4.9971593826094222E-2</v>
      </c>
      <c r="S324" s="2"/>
      <c r="T324" s="14">
        <f>IFERROR(T297+T298+T299+T300+T301+T302+T303+T304+T305+T306+T307+T308+T309+T310+T311+T312+T313+T314+T315+T316+T317+T318+T319+T320+T321+T322+T323, "NA")</f>
        <v>32809.54</v>
      </c>
      <c r="U324" s="15">
        <f>IFERROR(T324/T444, "NA")</f>
        <v>2.7064502112962151E-2</v>
      </c>
      <c r="V324" s="2"/>
      <c r="W324" s="14">
        <f t="shared" si="78"/>
        <v>-23105.139999999992</v>
      </c>
      <c r="X324" s="15">
        <f>IFERROR(W324/W444, "NA")</f>
        <v>0.24753001785462128</v>
      </c>
      <c r="Y324" s="2"/>
      <c r="Z324" s="14">
        <f>IFERROR(Z297+Z298+Z299+Z300+Z301+Z302+Z303+Z304+Z305+Z306+Z307+Z308+Z309+Z310+Z311+Z312+Z313+Z314+Z315+Z316+Z317+Z318+Z319+Z320+Z321+Z322+Z323, "NA")</f>
        <v>47189.789999999994</v>
      </c>
      <c r="AA324" s="15">
        <f>IFERROR(Z324/Z444, "NA")</f>
        <v>4.4403857772389775E-2</v>
      </c>
      <c r="AB324" s="2"/>
      <c r="AC324" s="14">
        <f t="shared" si="79"/>
        <v>-8724.89</v>
      </c>
      <c r="AD324" s="15">
        <f>IFERROR(AC324/AC444, "NA")</f>
        <v>-0.15527887191191361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25109.64</v>
      </c>
      <c r="C325" s="15">
        <f>IFERROR(B325/B444, "NA")</f>
        <v>0.23548488261036904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21794.170000000002</v>
      </c>
      <c r="F325" s="15">
        <f>IFERROR(E325/E444, "NA")</f>
        <v>0.18308643655450044</v>
      </c>
      <c r="G325" s="2"/>
      <c r="H325" s="14">
        <f t="shared" si="76"/>
        <v>-3315.4699999999975</v>
      </c>
      <c r="I325" s="15">
        <f>IFERROR(H325/H444, "NA")</f>
        <v>0.26720250030625181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28048.41</v>
      </c>
      <c r="L325" s="15">
        <f>IFERROR(K325/K444, "NA")</f>
        <v>0.25919012770619537</v>
      </c>
      <c r="M325" s="2"/>
      <c r="N325" s="14">
        <f t="shared" si="77"/>
        <v>2938.7700000000004</v>
      </c>
      <c r="O325" s="15">
        <f>IFERROR(N325/N444, "NA")</f>
        <v>-1.8528744183700521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261801.58000000002</v>
      </c>
      <c r="R325" s="15">
        <f>IFERROR(Q325/Q444, "NA")</f>
        <v>0.23397508881012491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221353.59000000003</v>
      </c>
      <c r="U325" s="15">
        <f>IFERROR(T325/T444, "NA")</f>
        <v>0.18259398651327505</v>
      </c>
      <c r="V325" s="2"/>
      <c r="W325" s="14">
        <f t="shared" si="78"/>
        <v>-40447.989999999991</v>
      </c>
      <c r="X325" s="15">
        <f>IFERROR(W325/W444, "NA")</f>
        <v>0.43332746249897397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217719.86</v>
      </c>
      <c r="AA325" s="15">
        <f>IFERROR(Z325/Z444, "NA")</f>
        <v>0.20486638524275302</v>
      </c>
      <c r="AB325" s="2"/>
      <c r="AC325" s="14">
        <f t="shared" si="79"/>
        <v>-44081.72000000003</v>
      </c>
      <c r="AD325" s="15">
        <f>IFERROR(AC325/AC444, "NA")</f>
        <v>-0.7845324988093656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0.12685492722840727</v>
      </c>
      <c r="D329" s="9"/>
      <c r="E329" s="7">
        <v>12484</v>
      </c>
      <c r="F329" s="8">
        <f>IFERROR(E329/E444, "NA")</f>
        <v>0.10487442623171166</v>
      </c>
      <c r="G329" s="9"/>
      <c r="H329" s="10">
        <f t="shared" si="80"/>
        <v>-1042.4799999999996</v>
      </c>
      <c r="I329" s="8">
        <f>IFERROR(H329/H444, "NA")</f>
        <v>8.4016221687803386E-2</v>
      </c>
      <c r="J329" s="9"/>
      <c r="K329" s="7">
        <v>13132.5</v>
      </c>
      <c r="L329" s="8">
        <f>IFERROR(K329/K444, "NA")</f>
        <v>0.12135498418989206</v>
      </c>
      <c r="M329" s="9"/>
      <c r="N329" s="10">
        <f t="shared" si="81"/>
        <v>-393.97999999999956</v>
      </c>
      <c r="O329" s="8">
        <f>IFERROR(N329/N444, "NA")</f>
        <v>0.24840169980959115</v>
      </c>
      <c r="P329" s="9"/>
      <c r="Q329" s="7">
        <v>132900.92000000001</v>
      </c>
      <c r="R329" s="8">
        <f>IFERROR(Q329/Q444, "NA")</f>
        <v>0.11877508363374777</v>
      </c>
      <c r="S329" s="9"/>
      <c r="T329" s="7">
        <v>131853</v>
      </c>
      <c r="U329" s="8">
        <f>IFERROR(T329/T444, "NA")</f>
        <v>0.10876518832938219</v>
      </c>
      <c r="V329" s="9"/>
      <c r="W329" s="10">
        <f t="shared" si="82"/>
        <v>-1047.9200000000128</v>
      </c>
      <c r="X329" s="8">
        <f>IFERROR(W329/W444, "NA")</f>
        <v>1.1226577995641574E-2</v>
      </c>
      <c r="Y329" s="9"/>
      <c r="Z329" s="7">
        <v>129030</v>
      </c>
      <c r="AA329" s="8">
        <f>IFERROR(Z329/Z444, "NA")</f>
        <v>0.12141248707339984</v>
      </c>
      <c r="AB329" s="9"/>
      <c r="AC329" s="10">
        <f t="shared" si="83"/>
        <v>-3870.9200000000128</v>
      </c>
      <c r="AD329" s="8">
        <f>IFERROR(AC329/AC444, "NA")</f>
        <v>-6.8891652600922962E-2</v>
      </c>
    </row>
    <row r="330" spans="1:30" ht="16.5" customHeight="1" x14ac:dyDescent="0.45">
      <c r="A330" s="6" t="s">
        <v>301</v>
      </c>
      <c r="B330" s="7">
        <v>3809.58</v>
      </c>
      <c r="C330" s="8">
        <f>IFERROR(B330/B444, "NA")</f>
        <v>3.572725451638533E-2</v>
      </c>
      <c r="D330" s="9"/>
      <c r="E330" s="7">
        <v>1875</v>
      </c>
      <c r="F330" s="8">
        <f>IFERROR(E330/E444, "NA")</f>
        <v>1.5751325631565151E-2</v>
      </c>
      <c r="G330" s="9"/>
      <c r="H330" s="10">
        <f t="shared" si="80"/>
        <v>-1934.58</v>
      </c>
      <c r="I330" s="8">
        <f>IFERROR(H330/H444, "NA")</f>
        <v>0.15591292125776104</v>
      </c>
      <c r="J330" s="9"/>
      <c r="K330" s="7">
        <v>2239.62</v>
      </c>
      <c r="L330" s="8">
        <f>IFERROR(K330/K444, "NA")</f>
        <v>2.0695910884551003E-2</v>
      </c>
      <c r="M330" s="9"/>
      <c r="N330" s="10">
        <f t="shared" si="81"/>
        <v>-1569.96</v>
      </c>
      <c r="O330" s="8">
        <f>IFERROR(N330/N444, "NA")</f>
        <v>0.98984905993468242</v>
      </c>
      <c r="P330" s="9"/>
      <c r="Q330" s="7">
        <v>23035.360000000001</v>
      </c>
      <c r="R330" s="8">
        <f>IFERROR(Q330/Q444, "NA")</f>
        <v>2.0586966670610614E-2</v>
      </c>
      <c r="S330" s="9"/>
      <c r="T330" s="7">
        <v>18750</v>
      </c>
      <c r="U330" s="8">
        <f>IFERROR(T330/T444, "NA")</f>
        <v>1.5466825033756654E-2</v>
      </c>
      <c r="V330" s="9"/>
      <c r="W330" s="10">
        <f t="shared" si="82"/>
        <v>-4285.3600000000006</v>
      </c>
      <c r="X330" s="8">
        <f>IFERROR(W330/W444, "NA")</f>
        <v>4.5909924688336892E-2</v>
      </c>
      <c r="Y330" s="9"/>
      <c r="Z330" s="7">
        <v>20937.72</v>
      </c>
      <c r="AA330" s="8">
        <f>IFERROR(Z330/Z444, "NA")</f>
        <v>1.9701624884495585E-2</v>
      </c>
      <c r="AB330" s="9"/>
      <c r="AC330" s="10">
        <f t="shared" si="83"/>
        <v>-2097.6399999999994</v>
      </c>
      <c r="AD330" s="8">
        <f>IFERROR(AC330/AC444, "NA")</f>
        <v>-3.7332181022030814E-2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1.6880878766030269E-3</v>
      </c>
      <c r="D332" s="9"/>
      <c r="E332" s="7">
        <v>180</v>
      </c>
      <c r="F332" s="8">
        <f>IFERROR(E332/E444, "NA")</f>
        <v>1.5121272606302546E-3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1.6633464423514617E-3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1800</v>
      </c>
      <c r="R332" s="8">
        <f>IFERROR(Q332/Q444, "NA")</f>
        <v>1.6086807415685758E-3</v>
      </c>
      <c r="S332" s="9"/>
      <c r="T332" s="7">
        <v>1800</v>
      </c>
      <c r="U332" s="8">
        <f>IFERROR(T332/T444, "NA")</f>
        <v>1.4848152032406387E-3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1800</v>
      </c>
      <c r="AA332" s="8">
        <f>IFERROR(Z332/Z444, "NA")</f>
        <v>1.6937338350160407E-3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1024.7</v>
      </c>
      <c r="C333" s="8">
        <f>IFERROR(B333/B444, "NA")</f>
        <v>9.6099091508617882E-3</v>
      </c>
      <c r="D333" s="9"/>
      <c r="E333" s="7">
        <v>1254</v>
      </c>
      <c r="F333" s="8">
        <f>IFERROR(E333/E444, "NA")</f>
        <v>1.0534486582390774E-2</v>
      </c>
      <c r="G333" s="9"/>
      <c r="H333" s="10">
        <f t="shared" si="80"/>
        <v>229.29999999999995</v>
      </c>
      <c r="I333" s="8">
        <f>IFERROR(H333/H444, "NA")</f>
        <v>-1.8479893746655398E-2</v>
      </c>
      <c r="J333" s="9"/>
      <c r="K333" s="7">
        <v>1254</v>
      </c>
      <c r="L333" s="8">
        <f>IFERROR(K333/K444, "NA")</f>
        <v>1.1587980215048517E-2</v>
      </c>
      <c r="M333" s="9"/>
      <c r="N333" s="10">
        <f t="shared" si="81"/>
        <v>229.29999999999995</v>
      </c>
      <c r="O333" s="8">
        <f>IFERROR(N333/N444, "NA")</f>
        <v>-0.14457208428432738</v>
      </c>
      <c r="P333" s="9"/>
      <c r="Q333" s="7">
        <v>10246.94</v>
      </c>
      <c r="R333" s="8">
        <f>IFERROR(Q333/Q444, "NA")</f>
        <v>9.1578083544492789E-3</v>
      </c>
      <c r="S333" s="9"/>
      <c r="T333" s="7">
        <v>12540</v>
      </c>
      <c r="U333" s="8">
        <f>IFERROR(T333/T444, "NA")</f>
        <v>1.0344212582576451E-2</v>
      </c>
      <c r="V333" s="9"/>
      <c r="W333" s="10">
        <f t="shared" si="82"/>
        <v>2293.0599999999995</v>
      </c>
      <c r="X333" s="8">
        <f>IFERROR(W333/W444, "NA")</f>
        <v>-2.4566013568483806E-2</v>
      </c>
      <c r="Y333" s="9"/>
      <c r="Z333" s="7">
        <v>9033.41</v>
      </c>
      <c r="AA333" s="8">
        <f>IFERROR(Z333/Z444, "NA")</f>
        <v>8.5001067569845847E-3</v>
      </c>
      <c r="AB333" s="9"/>
      <c r="AC333" s="10">
        <f t="shared" si="83"/>
        <v>-1213.5300000000007</v>
      </c>
      <c r="AD333" s="8">
        <f>IFERROR(AC333/AC444, "NA")</f>
        <v>-2.1597472223863528E-2</v>
      </c>
    </row>
    <row r="334" spans="1:30" ht="16.5" customHeight="1" x14ac:dyDescent="0.45">
      <c r="A334" s="6" t="s">
        <v>305</v>
      </c>
      <c r="B334" s="7">
        <v>-1041.54</v>
      </c>
      <c r="C334" s="8">
        <f>IFERROR(B334/B444, "NA")</f>
        <v>-9.7678391499839805E-3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1041.54</v>
      </c>
      <c r="I334" s="8">
        <f>IFERROR(H334/H444, "NA")</f>
        <v>-8.3940464600486125E-2</v>
      </c>
      <c r="J334" s="9"/>
      <c r="K334" s="7">
        <v>-1011.2</v>
      </c>
      <c r="L334" s="8">
        <f>IFERROR(K334/K444, "NA")</f>
        <v>-9.3443106805877682E-3</v>
      </c>
      <c r="M334" s="9"/>
      <c r="N334" s="10">
        <f t="shared" si="81"/>
        <v>30.339999999999918</v>
      </c>
      <c r="O334" s="8">
        <f>IFERROR(N334/N444, "NA")</f>
        <v>-1.9129162831166516E-2</v>
      </c>
      <c r="P334" s="9"/>
      <c r="Q334" s="7">
        <v>-1041.54</v>
      </c>
      <c r="R334" s="8">
        <f>IFERROR(Q334/Q444, "NA")</f>
        <v>-9.3083629976296346E-4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1041.54</v>
      </c>
      <c r="X334" s="8">
        <f>IFERROR(W334/W444, "NA")</f>
        <v>-1.115822777080348E-2</v>
      </c>
      <c r="Y334" s="9"/>
      <c r="Z334" s="7">
        <v>-1011.2</v>
      </c>
      <c r="AA334" s="8">
        <f>IFERROR(Z334/Z444, "NA")</f>
        <v>-9.5150202998234464E-4</v>
      </c>
      <c r="AB334" s="9"/>
      <c r="AC334" s="10">
        <f t="shared" si="83"/>
        <v>30.339999999999918</v>
      </c>
      <c r="AD334" s="8">
        <f>IFERROR(AC334/AC444, "NA")</f>
        <v>5.3996795074865659E-4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1191.23</v>
      </c>
      <c r="F337" s="8">
        <f>IFERROR(E337/E444, "NA")</f>
        <v>1.0007174203780989E-2</v>
      </c>
      <c r="G337" s="9"/>
      <c r="H337" s="10">
        <f t="shared" ref="H337:H344" si="84">IFERROR(-(B337-E337), "NA")</f>
        <v>1191.23</v>
      </c>
      <c r="I337" s="8">
        <f>IFERROR(H337/H444, "NA")</f>
        <v>-9.6004377792535178E-2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13883.87</v>
      </c>
      <c r="U337" s="8">
        <f>IFERROR(T337/T444, "NA")</f>
        <v>1.145276736434256E-2</v>
      </c>
      <c r="V337" s="9"/>
      <c r="W337" s="10">
        <f t="shared" ref="W337:W344" si="86">IFERROR(-(Q337-T337), "NA")</f>
        <v>13883.87</v>
      </c>
      <c r="X337" s="8">
        <f>IFERROR(W337/W444, "NA")</f>
        <v>-0.14874069531676684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315</v>
      </c>
      <c r="C338" s="8">
        <f>IFERROR(B338/B444, "NA")</f>
        <v>2.954153784055297E-3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-315</v>
      </c>
      <c r="I338" s="8">
        <f>IFERROR(H338/H444, "NA")</f>
        <v>2.5386683515902536E-2</v>
      </c>
      <c r="J338" s="9"/>
      <c r="K338" s="7">
        <v>400</v>
      </c>
      <c r="L338" s="8">
        <f>IFERROR(K338/K444, "NA")</f>
        <v>3.6963254274476926E-3</v>
      </c>
      <c r="M338" s="9"/>
      <c r="N338" s="10">
        <f t="shared" si="85"/>
        <v>85</v>
      </c>
      <c r="O338" s="8">
        <f>IFERROR(N338/N444, "NA")</f>
        <v>-5.3591919599510818E-2</v>
      </c>
      <c r="P338" s="9"/>
      <c r="Q338" s="7">
        <v>3340.23</v>
      </c>
      <c r="R338" s="8">
        <f>IFERROR(Q338/Q444, "NA")</f>
        <v>2.9852020407831132E-3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-3340.23</v>
      </c>
      <c r="X338" s="8">
        <f>IFERROR(W338/W444, "NA")</f>
        <v>3.5784556663086303E-2</v>
      </c>
      <c r="Y338" s="9"/>
      <c r="Z338" s="7">
        <v>3874.69</v>
      </c>
      <c r="AA338" s="8">
        <f>IFERROR(Z338/Z444, "NA")</f>
        <v>3.6459408628879458E-3</v>
      </c>
      <c r="AB338" s="9"/>
      <c r="AC338" s="10">
        <f t="shared" si="87"/>
        <v>534.46</v>
      </c>
      <c r="AD338" s="8">
        <f>IFERROR(AC338/AC444, "NA")</f>
        <v>9.5119074145394791E-3</v>
      </c>
    </row>
    <row r="339" spans="1:30" ht="16.5" customHeight="1" x14ac:dyDescent="0.45">
      <c r="A339" s="12" t="s">
        <v>309</v>
      </c>
      <c r="B339" s="7">
        <v>358.86</v>
      </c>
      <c r="C339" s="8">
        <f>IFERROR(B339/B444, "NA")</f>
        <v>3.3654845299875683E-3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-358.86</v>
      </c>
      <c r="I339" s="8">
        <f>IFERROR(H339/H444, "NA")</f>
        <v>2.8921476973069158E-2</v>
      </c>
      <c r="J339" s="9"/>
      <c r="K339" s="7">
        <v>287.72000000000003</v>
      </c>
      <c r="L339" s="8">
        <f>IFERROR(K339/K444, "NA")</f>
        <v>2.6587668799631257E-3</v>
      </c>
      <c r="M339" s="9"/>
      <c r="N339" s="10">
        <f t="shared" si="85"/>
        <v>-71.139999999999986</v>
      </c>
      <c r="O339" s="8">
        <f>IFERROR(N339/N444, "NA")</f>
        <v>4.485328423893175E-2</v>
      </c>
      <c r="P339" s="9"/>
      <c r="Q339" s="7">
        <v>3431.72</v>
      </c>
      <c r="R339" s="8">
        <f>IFERROR(Q339/Q444, "NA")</f>
        <v>3.0669677080309514E-3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-3431.72</v>
      </c>
      <c r="X339" s="8">
        <f>IFERROR(W339/W444, "NA")</f>
        <v>3.6764707457823717E-2</v>
      </c>
      <c r="Y339" s="9"/>
      <c r="Z339" s="7">
        <v>3265.07</v>
      </c>
      <c r="AA339" s="8">
        <f>IFERROR(Z339/Z444, "NA")</f>
        <v>3.0723108514976801E-3</v>
      </c>
      <c r="AB339" s="9"/>
      <c r="AC339" s="10">
        <f t="shared" si="87"/>
        <v>-166.64999999999964</v>
      </c>
      <c r="AD339" s="8">
        <f>IFERROR(AC339/AC444, "NA")</f>
        <v>-2.965908338571644E-3</v>
      </c>
    </row>
    <row r="340" spans="1:30" ht="16.5" customHeight="1" x14ac:dyDescent="0.45">
      <c r="A340" s="12" t="s">
        <v>310</v>
      </c>
      <c r="B340" s="7">
        <v>-500</v>
      </c>
      <c r="C340" s="8">
        <f>IFERROR(B340/B444, "NA")</f>
        <v>-4.6891329905639637E-3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500</v>
      </c>
      <c r="I340" s="8">
        <f>IFERROR(H340/H444, "NA")</f>
        <v>-4.0296323041115141E-2</v>
      </c>
      <c r="J340" s="9"/>
      <c r="K340" s="7">
        <v>375</v>
      </c>
      <c r="L340" s="8">
        <f>IFERROR(K340/K444, "NA")</f>
        <v>3.465305088232212E-3</v>
      </c>
      <c r="M340" s="9"/>
      <c r="N340" s="10">
        <f t="shared" si="85"/>
        <v>875</v>
      </c>
      <c r="O340" s="8">
        <f>IFERROR(N340/N444, "NA")</f>
        <v>-0.55168152528908188</v>
      </c>
      <c r="P340" s="9"/>
      <c r="Q340" s="7">
        <v>4870.71</v>
      </c>
      <c r="R340" s="8">
        <f>IFERROR(Q340/Q444, "NA")</f>
        <v>4.3530096526474878E-3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-4870.71</v>
      </c>
      <c r="X340" s="8">
        <f>IFERROR(W340/W444, "NA")</f>
        <v>5.2180897119198703E-2</v>
      </c>
      <c r="Y340" s="9"/>
      <c r="Z340" s="7">
        <v>3821.05</v>
      </c>
      <c r="AA340" s="8">
        <f>IFERROR(Z340/Z444, "NA")</f>
        <v>3.5954675946044679E-3</v>
      </c>
      <c r="AB340" s="9"/>
      <c r="AC340" s="10">
        <f t="shared" si="87"/>
        <v>-1049.6599999999999</v>
      </c>
      <c r="AD340" s="8">
        <f>IFERROR(AC340/AC444, "NA")</f>
        <v>-1.8681040184009109E-2</v>
      </c>
    </row>
    <row r="341" spans="1:30" ht="16.5" customHeight="1" x14ac:dyDescent="0.45">
      <c r="A341" s="12" t="s">
        <v>311</v>
      </c>
      <c r="B341" s="7">
        <v>471.56</v>
      </c>
      <c r="C341" s="8">
        <f>IFERROR(B341/B444, "NA")</f>
        <v>4.4224151060606853E-3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-471.56</v>
      </c>
      <c r="I341" s="8">
        <f>IFERROR(H341/H444, "NA")</f>
        <v>3.8004268186536509E-2</v>
      </c>
      <c r="J341" s="9"/>
      <c r="K341" s="7">
        <v>439.9</v>
      </c>
      <c r="L341" s="8">
        <f>IFERROR(K341/K444, "NA")</f>
        <v>4.0650338888355998E-3</v>
      </c>
      <c r="M341" s="9"/>
      <c r="N341" s="10">
        <f t="shared" si="85"/>
        <v>-31.660000000000025</v>
      </c>
      <c r="O341" s="8">
        <f>IFERROR(N341/N444, "NA")</f>
        <v>1.9961413817888397E-2</v>
      </c>
      <c r="P341" s="9"/>
      <c r="Q341" s="7">
        <v>4714.6000000000004</v>
      </c>
      <c r="R341" s="8">
        <f>IFERROR(Q341/Q444, "NA")</f>
        <v>4.2134923467773379E-3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-4714.6000000000004</v>
      </c>
      <c r="X341" s="8">
        <f>IFERROR(W341/W444, "NA")</f>
        <v>5.0508459250945804E-2</v>
      </c>
      <c r="Y341" s="9"/>
      <c r="Z341" s="7">
        <v>4404.43</v>
      </c>
      <c r="AA341" s="8">
        <f>IFERROR(Z341/Z444, "NA")</f>
        <v>4.1444067305331667E-3</v>
      </c>
      <c r="AB341" s="9"/>
      <c r="AC341" s="10">
        <f t="shared" si="87"/>
        <v>-310.17000000000007</v>
      </c>
      <c r="AD341" s="8">
        <f>IFERROR(AC341/AC444, "NA")</f>
        <v>-5.5201667529239063E-3</v>
      </c>
    </row>
    <row r="342" spans="1:30" ht="16.5" customHeight="1" x14ac:dyDescent="0.45">
      <c r="A342" s="13" t="s">
        <v>312</v>
      </c>
      <c r="B342" s="14">
        <f>IFERROR(B337+B338+B339+B340+B341, "NA")</f>
        <v>645.42000000000007</v>
      </c>
      <c r="C342" s="15">
        <f>IFERROR(B342/B444, "NA")</f>
        <v>6.0529204295395878E-3</v>
      </c>
      <c r="D342" s="2"/>
      <c r="E342" s="14">
        <f>IFERROR(E337+E338+E339+E340+E341, "NA")</f>
        <v>1191.23</v>
      </c>
      <c r="F342" s="15">
        <f>IFERROR(E342/E444, "NA")</f>
        <v>1.0007174203780989E-2</v>
      </c>
      <c r="G342" s="2"/>
      <c r="H342" s="14">
        <f t="shared" si="84"/>
        <v>545.80999999999995</v>
      </c>
      <c r="I342" s="15">
        <f>IFERROR(H342/H444, "NA")</f>
        <v>-4.3988272158142105E-2</v>
      </c>
      <c r="J342" s="2"/>
      <c r="K342" s="14">
        <f>IFERROR(K337+K338+K339+K340+K341, "NA")</f>
        <v>1502.62</v>
      </c>
      <c r="L342" s="15">
        <f>IFERROR(K342/K444, "NA")</f>
        <v>1.388543128447863E-2</v>
      </c>
      <c r="M342" s="2"/>
      <c r="N342" s="14">
        <f t="shared" si="85"/>
        <v>857.19999999999982</v>
      </c>
      <c r="O342" s="15">
        <f>IFERROR(N342/N444, "NA")</f>
        <v>-0.54045874683177253</v>
      </c>
      <c r="P342" s="2"/>
      <c r="Q342" s="14">
        <f>IFERROR(Q337+Q338+Q339+Q340+Q341, "NA")</f>
        <v>16357.26</v>
      </c>
      <c r="R342" s="15">
        <f>IFERROR(Q342/Q444, "NA")</f>
        <v>1.4618671748238889E-2</v>
      </c>
      <c r="S342" s="2"/>
      <c r="T342" s="14">
        <f>IFERROR(T337+T338+T339+T340+T341, "NA")</f>
        <v>13883.87</v>
      </c>
      <c r="U342" s="15">
        <f>IFERROR(T342/T444, "NA")</f>
        <v>1.145276736434256E-2</v>
      </c>
      <c r="V342" s="2"/>
      <c r="W342" s="14">
        <f t="shared" si="86"/>
        <v>-2473.3899999999994</v>
      </c>
      <c r="X342" s="15">
        <f>IFERROR(W342/W444, "NA")</f>
        <v>2.6497925174287701E-2</v>
      </c>
      <c r="Y342" s="2"/>
      <c r="Z342" s="14">
        <f>IFERROR(Z337+Z338+Z339+Z340+Z341, "NA")</f>
        <v>15365.240000000002</v>
      </c>
      <c r="AA342" s="15">
        <f>IFERROR(Z342/Z444, "NA")</f>
        <v>1.4458126039523261E-2</v>
      </c>
      <c r="AB342" s="2"/>
      <c r="AC342" s="14">
        <f t="shared" si="87"/>
        <v>-992.01999999999862</v>
      </c>
      <c r="AD342" s="15">
        <f>IFERROR(AC342/AC444, "NA")</f>
        <v>-1.7655207860965163E-2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18144.64</v>
      </c>
      <c r="C343" s="15">
        <f>IFERROR(B343/B444, "NA")</f>
        <v>0.17016526005181304</v>
      </c>
      <c r="D343" s="2"/>
      <c r="E343" s="14">
        <f>IFERROR(E328+E329+E330+E331+E332+E333+E334+E335+E337+E338+E339+E340+E341, "NA")</f>
        <v>16984.23</v>
      </c>
      <c r="F343" s="15">
        <f>IFERROR(E343/E444, "NA")</f>
        <v>0.14267953991007881</v>
      </c>
      <c r="G343" s="2"/>
      <c r="H343" s="14">
        <f t="shared" si="84"/>
        <v>-1160.4099999999999</v>
      </c>
      <c r="I343" s="15">
        <f>IFERROR(H343/H444, "NA")</f>
        <v>9.3520512440280826E-2</v>
      </c>
      <c r="J343" s="2"/>
      <c r="K343" s="14">
        <f>IFERROR(K328+K329+K330+K331+K332+K333+K334+K335+K337+K338+K339+K340+K341, "NA")</f>
        <v>17297.54</v>
      </c>
      <c r="L343" s="15">
        <f>IFERROR(K343/K444, "NA")</f>
        <v>0.15984334233573391</v>
      </c>
      <c r="M343" s="2"/>
      <c r="N343" s="14">
        <f t="shared" si="85"/>
        <v>-847.09999999999854</v>
      </c>
      <c r="O343" s="15">
        <f>IFERROR(N343/N444, "NA")</f>
        <v>0.53409076579700632</v>
      </c>
      <c r="P343" s="2"/>
      <c r="Q343" s="14">
        <f>IFERROR(Q328+Q329+Q330+Q331+Q332+Q333+Q334+Q335+Q337+Q338+Q339+Q340+Q341, "NA")</f>
        <v>183298.94000000003</v>
      </c>
      <c r="R343" s="15">
        <f>IFERROR(Q343/Q444, "NA")</f>
        <v>0.16381637484885217</v>
      </c>
      <c r="S343" s="2"/>
      <c r="T343" s="14">
        <f>IFERROR(T328+T329+T330+T331+T332+T333+T334+T335+T337+T338+T339+T340+T341, "NA")</f>
        <v>178826.87</v>
      </c>
      <c r="U343" s="15">
        <f>IFERROR(T343/T444, "NA")</f>
        <v>0.14751380851329848</v>
      </c>
      <c r="V343" s="2"/>
      <c r="W343" s="14">
        <f t="shared" si="86"/>
        <v>-4472.0700000000361</v>
      </c>
      <c r="X343" s="15">
        <f>IFERROR(W343/W444, "NA")</f>
        <v>4.7910186518979131E-2</v>
      </c>
      <c r="Y343" s="2"/>
      <c r="Z343" s="14">
        <f>IFERROR(Z328+Z329+Z330+Z331+Z332+Z333+Z334+Z335+Z337+Z338+Z339+Z340+Z341, "NA")</f>
        <v>175155.16999999998</v>
      </c>
      <c r="AA343" s="15">
        <f>IFERROR(Z343/Z444, "NA")</f>
        <v>0.16481457655943696</v>
      </c>
      <c r="AB343" s="2"/>
      <c r="AC343" s="14">
        <f t="shared" si="87"/>
        <v>-8143.7700000000477</v>
      </c>
      <c r="AD343" s="15">
        <f>IFERROR(AC343/AC444, "NA")</f>
        <v>-0.14493654575703444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18144.64</v>
      </c>
      <c r="C344" s="15">
        <f>IFERROR(B344/B444, "NA")</f>
        <v>0.17016526005181304</v>
      </c>
      <c r="D344" s="2"/>
      <c r="E344" s="14">
        <f>IFERROR(E328+E329+E330+E331+E332+E333+E334+E335+E337+E338+E339+E340+E341, "NA")</f>
        <v>16984.23</v>
      </c>
      <c r="F344" s="15">
        <f>IFERROR(E344/E444, "NA")</f>
        <v>0.14267953991007881</v>
      </c>
      <c r="G344" s="2"/>
      <c r="H344" s="14">
        <f t="shared" si="84"/>
        <v>-1160.4099999999999</v>
      </c>
      <c r="I344" s="15">
        <f>IFERROR(H344/H444, "NA")</f>
        <v>9.3520512440280826E-2</v>
      </c>
      <c r="J344" s="2"/>
      <c r="K344" s="14">
        <f>IFERROR(K328+K329+K330+K331+K332+K333+K334+K335+K337+K338+K339+K340+K341, "NA")</f>
        <v>17297.54</v>
      </c>
      <c r="L344" s="15">
        <f>IFERROR(K344/K444, "NA")</f>
        <v>0.15984334233573391</v>
      </c>
      <c r="M344" s="2"/>
      <c r="N344" s="14">
        <f t="shared" si="85"/>
        <v>-847.09999999999854</v>
      </c>
      <c r="O344" s="15">
        <f>IFERROR(N344/N444, "NA")</f>
        <v>0.53409076579700632</v>
      </c>
      <c r="P344" s="2"/>
      <c r="Q344" s="14">
        <f>IFERROR(Q328+Q329+Q330+Q331+Q332+Q333+Q334+Q335+Q337+Q338+Q339+Q340+Q341, "NA")</f>
        <v>183298.94000000003</v>
      </c>
      <c r="R344" s="15">
        <f>IFERROR(Q344/Q444, "NA")</f>
        <v>0.16381637484885217</v>
      </c>
      <c r="S344" s="2"/>
      <c r="T344" s="14">
        <f>IFERROR(T328+T329+T330+T331+T332+T333+T334+T335+T337+T338+T339+T340+T341, "NA")</f>
        <v>178826.87</v>
      </c>
      <c r="U344" s="15">
        <f>IFERROR(T344/T444, "NA")</f>
        <v>0.14751380851329848</v>
      </c>
      <c r="V344" s="2"/>
      <c r="W344" s="14">
        <f t="shared" si="86"/>
        <v>-4472.0700000000361</v>
      </c>
      <c r="X344" s="15">
        <f>IFERROR(W344/W444, "NA")</f>
        <v>4.7910186518979131E-2</v>
      </c>
      <c r="Y344" s="2"/>
      <c r="Z344" s="14">
        <f>IFERROR(Z328+Z329+Z330+Z331+Z332+Z333+Z334+Z335+Z337+Z338+Z339+Z340+Z341, "NA")</f>
        <v>175155.16999999998</v>
      </c>
      <c r="AA344" s="15">
        <f>IFERROR(Z344/Z444, "NA")</f>
        <v>0.16481457655943696</v>
      </c>
      <c r="AB344" s="2"/>
      <c r="AC344" s="14">
        <f t="shared" si="87"/>
        <v>-8143.7700000000477</v>
      </c>
      <c r="AD344" s="15">
        <f>IFERROR(AC344/AC444, "NA")</f>
        <v>-0.14493654575703444</v>
      </c>
    </row>
    <row r="345" spans="1:30" ht="16.5" customHeight="1" x14ac:dyDescent="0.45">
      <c r="A345" s="22" t="s">
        <v>315</v>
      </c>
      <c r="B345" s="23">
        <f>IFERROR(B198-B325-B344, "NA")</f>
        <v>4081.9600000000064</v>
      </c>
      <c r="C345" s="24">
        <f>IFERROR(B345/B444, "NA")</f>
        <v>3.8281706604325012E-2</v>
      </c>
      <c r="D345" s="25"/>
      <c r="E345" s="23">
        <f>IFERROR(E198-E325-E344, "NA")</f>
        <v>19960.339999999978</v>
      </c>
      <c r="F345" s="24">
        <f>IFERROR(E345/E444, "NA")</f>
        <v>0.16768096803026925</v>
      </c>
      <c r="G345" s="25"/>
      <c r="H345" s="23">
        <f>IFERROR(B345-E345, "NA")</f>
        <v>-15878.379999999972</v>
      </c>
      <c r="I345" s="24">
        <f>IFERROR(H345/H444, "NA")</f>
        <v>1.2796806596991612</v>
      </c>
      <c r="J345" s="25"/>
      <c r="K345" s="23">
        <f>IFERROR(K198-K325-K344, "NA")</f>
        <v>3518.3700000000063</v>
      </c>
      <c r="L345" s="24">
        <f>IFERROR(K345/K444, "NA")</f>
        <v>3.2512601235422905E-2</v>
      </c>
      <c r="M345" s="25"/>
      <c r="N345" s="23">
        <f>IFERROR(B345-K345, "NA")</f>
        <v>563.59000000000015</v>
      </c>
      <c r="O345" s="24">
        <f>IFERROR(N345/N444, "NA")</f>
        <v>-0.35533964667162715</v>
      </c>
      <c r="P345" s="25"/>
      <c r="Q345" s="23">
        <f>IFERROR(Q198-Q325-Q344, "NA")</f>
        <v>37429.429999999906</v>
      </c>
      <c r="R345" s="24">
        <f>IFERROR(Q345/Q444, "NA")</f>
        <v>3.3451112893827191E-2</v>
      </c>
      <c r="S345" s="25"/>
      <c r="T345" s="23">
        <f>IFERROR(T198-T325-T344, "NA")</f>
        <v>174449.86000000004</v>
      </c>
      <c r="U345" s="24">
        <f>IFERROR(T345/T444, "NA")</f>
        <v>0.14390322462844501</v>
      </c>
      <c r="V345" s="25"/>
      <c r="W345" s="23">
        <f>IFERROR(Q345-T345, "NA")</f>
        <v>-137020.43000000014</v>
      </c>
      <c r="X345" s="24">
        <f>IFERROR(W345/W444, "NA")</f>
        <v>1.4679274604848933</v>
      </c>
      <c r="Y345" s="25"/>
      <c r="Z345" s="23">
        <f>IFERROR(Z198-Z325-Z344, "NA")</f>
        <v>64604.59999999986</v>
      </c>
      <c r="AA345" s="24">
        <f>IFERROR(Z345/Z444, "NA")</f>
        <v>6.0790553843153926E-2</v>
      </c>
      <c r="AB345" s="25"/>
      <c r="AC345" s="23">
        <f>IFERROR(Q345-Z345, "NA")</f>
        <v>-27175.169999999955</v>
      </c>
      <c r="AD345" s="24">
        <f>IFERROR(AC345/AC444, "NA")</f>
        <v>-0.48364274410502262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4081.9600000000064</v>
      </c>
      <c r="C404" s="24">
        <f>IFERROR(B404/B444, "NA")</f>
        <v>3.8281706604325012E-2</v>
      </c>
      <c r="D404" s="25"/>
      <c r="E404" s="23">
        <f>IFERROR(E345-E403, "NA")</f>
        <v>19960.339999999978</v>
      </c>
      <c r="F404" s="24">
        <f>IFERROR(E404/E444, "NA")</f>
        <v>0.16768096803026925</v>
      </c>
      <c r="G404" s="25"/>
      <c r="H404" s="23">
        <f>IFERROR(B404-E404, "NA")</f>
        <v>-15878.379999999972</v>
      </c>
      <c r="I404" s="24">
        <f>IFERROR(H404/H444, "NA")</f>
        <v>1.2796806596991612</v>
      </c>
      <c r="J404" s="25"/>
      <c r="K404" s="23">
        <f>IFERROR(K345-K403, "NA")</f>
        <v>3518.3700000000063</v>
      </c>
      <c r="L404" s="24">
        <f>IFERROR(K404/K444, "NA")</f>
        <v>3.2512601235422905E-2</v>
      </c>
      <c r="M404" s="25"/>
      <c r="N404" s="23">
        <f>IFERROR(B404-K404, "NA")</f>
        <v>563.59000000000015</v>
      </c>
      <c r="O404" s="24">
        <f>IFERROR(N404/N444, "NA")</f>
        <v>-0.35533964667162715</v>
      </c>
      <c r="P404" s="25"/>
      <c r="Q404" s="23">
        <f>IFERROR(Q345-Q403, "NA")</f>
        <v>37429.429999999906</v>
      </c>
      <c r="R404" s="24">
        <f>IFERROR(Q404/Q444, "NA")</f>
        <v>3.3451112893827191E-2</v>
      </c>
      <c r="S404" s="25"/>
      <c r="T404" s="23">
        <f>IFERROR(T345-T403, "NA")</f>
        <v>174449.86000000004</v>
      </c>
      <c r="U404" s="24">
        <f>IFERROR(T404/T444, "NA")</f>
        <v>0.14390322462844501</v>
      </c>
      <c r="V404" s="25"/>
      <c r="W404" s="23">
        <f>IFERROR(Q404-T404, "NA")</f>
        <v>-137020.43000000014</v>
      </c>
      <c r="X404" s="24">
        <f>IFERROR(W404/W444, "NA")</f>
        <v>1.4679274604848933</v>
      </c>
      <c r="Y404" s="25"/>
      <c r="Z404" s="23">
        <f>IFERROR(Z345-Z403, "NA")</f>
        <v>64604.59999999986</v>
      </c>
      <c r="AA404" s="24">
        <f>IFERROR(Z404/Z444, "NA")</f>
        <v>6.0790553843153926E-2</v>
      </c>
      <c r="AB404" s="25"/>
      <c r="AC404" s="23">
        <f>IFERROR(Q404-Z404, "NA")</f>
        <v>-27175.169999999955</v>
      </c>
      <c r="AD404" s="24">
        <f>IFERROR(AC404/AC444, "NA")</f>
        <v>-0.48364274410502262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-215.44</v>
      </c>
      <c r="C408" s="8">
        <f>IFERROR(B408/B444, "NA")</f>
        <v>-2.0204536229742006E-3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215.44</v>
      </c>
      <c r="I408" s="8">
        <f>IFERROR(H408/H444, "NA")</f>
        <v>-1.736287967195569E-2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215.44</v>
      </c>
      <c r="O408" s="8">
        <f>IFERROR(N408/N444, "NA")</f>
        <v>-0.13583344892374835</v>
      </c>
      <c r="P408" s="9"/>
      <c r="Q408" s="7">
        <v>-215.44</v>
      </c>
      <c r="R408" s="8">
        <f>IFERROR(Q408/Q444, "NA")</f>
        <v>-1.9254121053529665E-4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215.44</v>
      </c>
      <c r="X408" s="8">
        <f>IFERROR(W408/W444, "NA")</f>
        <v>-2.3080521064403688E-3</v>
      </c>
      <c r="Y408" s="9"/>
      <c r="Z408" s="7">
        <v>5201.4399999999996</v>
      </c>
      <c r="AA408" s="8">
        <f>IFERROR(Z408/Z444, "NA")</f>
        <v>4.8943638437810187E-3</v>
      </c>
      <c r="AB408" s="9"/>
      <c r="AC408" s="10">
        <f t="shared" si="103"/>
        <v>5416.8799999999992</v>
      </c>
      <c r="AD408" s="8">
        <f>IFERROR(AC408/AC444, "NA")</f>
        <v>9.6405457912043191E-2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8507.99</v>
      </c>
      <c r="C410" s="8">
        <f>IFERROR(B410/B444, "NA")</f>
        <v>7.9790193184776592E-2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-8507.99</v>
      </c>
      <c r="I410" s="8">
        <f>IFERROR(H410/H444, "NA")</f>
        <v>0.68568142694115441</v>
      </c>
      <c r="J410" s="9"/>
      <c r="K410" s="7">
        <v>6669.55</v>
      </c>
      <c r="L410" s="8">
        <f>IFERROR(K410/K444, "NA")</f>
        <v>6.1632068136584402E-2</v>
      </c>
      <c r="M410" s="9"/>
      <c r="N410" s="10">
        <f t="shared" si="101"/>
        <v>-1838.4399999999996</v>
      </c>
      <c r="O410" s="8">
        <f>IFERROR(N410/N444, "NA")</f>
        <v>1.1591238666885253</v>
      </c>
      <c r="P410" s="9"/>
      <c r="Q410" s="7">
        <v>82307.100000000006</v>
      </c>
      <c r="R410" s="8">
        <f>IFERROR(Q410/Q444, "NA")</f>
        <v>7.3558803702421627E-2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-82307.100000000006</v>
      </c>
      <c r="X410" s="8">
        <f>IFERROR(W410/W444, "NA")</f>
        <v>0.88177253773671604</v>
      </c>
      <c r="Y410" s="9"/>
      <c r="Z410" s="7">
        <v>81883.42</v>
      </c>
      <c r="AA410" s="8">
        <f>IFERROR(Z410/Z444, "NA")</f>
        <v>7.704928832268286E-2</v>
      </c>
      <c r="AB410" s="9"/>
      <c r="AC410" s="10">
        <f t="shared" si="103"/>
        <v>-423.68000000000757</v>
      </c>
      <c r="AD410" s="8">
        <f>IFERROR(AC410/AC444, "NA")</f>
        <v>-7.5403303023465901E-3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-34.380000000000003</v>
      </c>
      <c r="C416" s="8">
        <f>IFERROR(B416/B444, "NA")</f>
        <v>-3.2242478443117819E-4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34.380000000000003</v>
      </c>
      <c r="I416" s="8">
        <f>IFERROR(H416/H444, "NA")</f>
        <v>-2.7707751723070771E-3</v>
      </c>
      <c r="J416" s="9"/>
      <c r="K416" s="7">
        <v>-40.04</v>
      </c>
      <c r="L416" s="8">
        <f>IFERROR(K416/K444, "NA")</f>
        <v>-3.7000217528751402E-4</v>
      </c>
      <c r="M416" s="9"/>
      <c r="N416" s="10">
        <f t="shared" si="101"/>
        <v>-5.6599999999999966</v>
      </c>
      <c r="O416" s="8">
        <f>IFERROR(N416/N444, "NA")</f>
        <v>3.5685913521556591E-3</v>
      </c>
      <c r="P416" s="9"/>
      <c r="Q416" s="7">
        <v>-301.67</v>
      </c>
      <c r="R416" s="8">
        <f>IFERROR(Q416/Q444, "NA")</f>
        <v>-2.6960595517166238E-4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301.67</v>
      </c>
      <c r="X416" s="8">
        <f>IFERROR(W416/W444, "NA")</f>
        <v>-3.2318514618913208E-3</v>
      </c>
      <c r="Y416" s="9"/>
      <c r="Z416" s="7">
        <v>-373.15</v>
      </c>
      <c r="AA416" s="8">
        <f>IFERROR(Z416/Z444, "NA")</f>
        <v>-3.5112043363124193E-4</v>
      </c>
      <c r="AB416" s="9"/>
      <c r="AC416" s="10">
        <f t="shared" si="103"/>
        <v>-71.479999999999961</v>
      </c>
      <c r="AD416" s="8">
        <f>IFERROR(AC416/AC444, "NA")</f>
        <v>-1.2721459828448933E-3</v>
      </c>
    </row>
    <row r="417" spans="1:30" ht="16.5" customHeight="1" x14ac:dyDescent="0.45">
      <c r="A417" s="6" t="s">
        <v>382</v>
      </c>
      <c r="B417" s="7">
        <v>-96.75</v>
      </c>
      <c r="C417" s="8">
        <f>IFERROR(B417/B444, "NA")</f>
        <v>-9.07347233674127E-4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96.75</v>
      </c>
      <c r="I417" s="8">
        <f>IFERROR(H417/H444, "NA")</f>
        <v>-7.7973385084557792E-3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96.75</v>
      </c>
      <c r="O417" s="8">
        <f>IFERROR(N417/N444, "NA")</f>
        <v>-6.1000214367678489E-2</v>
      </c>
      <c r="P417" s="9"/>
      <c r="Q417" s="7">
        <v>-920.04</v>
      </c>
      <c r="R417" s="8">
        <f>IFERROR(Q417/Q444, "NA")</f>
        <v>-8.2225034970708464E-4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920.04</v>
      </c>
      <c r="X417" s="8">
        <f>IFERROR(W417/W444, "NA")</f>
        <v>-9.8565738024944151E-3</v>
      </c>
      <c r="Y417" s="9"/>
      <c r="Z417" s="7">
        <v>-3.84</v>
      </c>
      <c r="AA417" s="8">
        <f>IFERROR(Z417/Z444, "NA")</f>
        <v>-3.61329884803422E-6</v>
      </c>
      <c r="AB417" s="9"/>
      <c r="AC417" s="10">
        <f t="shared" si="103"/>
        <v>916.19999999999993</v>
      </c>
      <c r="AD417" s="8">
        <f>IFERROR(AC417/AC444, "NA")</f>
        <v>1.6305821900986173E-2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8161.42</v>
      </c>
      <c r="C428" s="15">
        <f>IFERROR(B428/B444, "NA")</f>
        <v>7.6539967543697088E-2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-8161.42</v>
      </c>
      <c r="I428" s="15">
        <f>IFERROR(H428/H444, "NA")</f>
        <v>0.65775043358843588</v>
      </c>
      <c r="J428" s="2"/>
      <c r="K428" s="14">
        <f>IFERROR(K407+K408+K409+K410+K411+K412+K413+K414+K415+K416+K417+K418+K419+K420+K421+K422+K423+K424+K425+K426+K427, "NA")</f>
        <v>6629.51</v>
      </c>
      <c r="L428" s="15">
        <f>IFERROR(K428/K444, "NA")</f>
        <v>6.1262065961296887E-2</v>
      </c>
      <c r="M428" s="2"/>
      <c r="N428" s="14">
        <f t="shared" si="101"/>
        <v>-1531.9099999999999</v>
      </c>
      <c r="O428" s="15">
        <f>IFERROR(N428/N444, "NA")</f>
        <v>0.96585879474925418</v>
      </c>
      <c r="P428" s="2"/>
      <c r="Q428" s="14">
        <f>IFERROR(Q407+Q408+Q409+Q410+Q411+Q412+Q413+Q414+Q415+Q416+Q417+Q418+Q419+Q420+Q421+Q422+Q423+Q424+Q425+Q426+Q427, "NA")</f>
        <v>80869.950000000012</v>
      </c>
      <c r="R428" s="15">
        <f>IFERROR(Q428/Q444, "NA")</f>
        <v>7.2274406187007589E-2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-80869.950000000012</v>
      </c>
      <c r="X428" s="15">
        <f>IFERROR(W428/W444, "NA")</f>
        <v>0.86637606036588999</v>
      </c>
      <c r="Y428" s="2"/>
      <c r="Z428" s="14">
        <f>IFERROR(Z407+Z408+Z409+Z410+Z411+Z412+Z413+Z414+Z415+Z416+Z417+Z418+Z419+Z420+Z421+Z422+Z423+Z424+Z425+Z426+Z427, "NA")</f>
        <v>86707.87000000001</v>
      </c>
      <c r="AA428" s="15">
        <f>IFERROR(Z428/Z444, "NA")</f>
        <v>8.1588918433984622E-2</v>
      </c>
      <c r="AB428" s="2"/>
      <c r="AC428" s="14">
        <f t="shared" si="103"/>
        <v>5837.9199999999983</v>
      </c>
      <c r="AD428" s="15">
        <f>IFERROR(AC428/AC444, "NA")</f>
        <v>0.10389880352783801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8161.42</v>
      </c>
      <c r="C429" s="15">
        <f>IFERROR(B429/B444, "NA")</f>
        <v>7.6539967543697088E-2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-8161.42</v>
      </c>
      <c r="I429" s="15">
        <f>IFERROR(H429/H444, "NA")</f>
        <v>0.65775043358843588</v>
      </c>
      <c r="J429" s="2"/>
      <c r="K429" s="14">
        <f>IFERROR(K407+K408+K409+K410+K411+K412+K413+K414+K415+K416+K417+K418+K419+K420+K421+K422+K423+K424+K425+K426+K427, "NA")</f>
        <v>6629.51</v>
      </c>
      <c r="L429" s="15">
        <f>IFERROR(K429/K444, "NA")</f>
        <v>6.1262065961296887E-2</v>
      </c>
      <c r="M429" s="2"/>
      <c r="N429" s="14">
        <f t="shared" si="101"/>
        <v>-1531.9099999999999</v>
      </c>
      <c r="O429" s="15">
        <f>IFERROR(N429/N444, "NA")</f>
        <v>0.96585879474925418</v>
      </c>
      <c r="P429" s="2"/>
      <c r="Q429" s="14">
        <f>IFERROR(Q407+Q408+Q409+Q410+Q411+Q412+Q413+Q414+Q415+Q416+Q417+Q418+Q419+Q420+Q421+Q422+Q423+Q424+Q425+Q426+Q427, "NA")</f>
        <v>80869.950000000012</v>
      </c>
      <c r="R429" s="15">
        <f>IFERROR(Q429/Q444, "NA")</f>
        <v>7.2274406187007589E-2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-80869.950000000012</v>
      </c>
      <c r="X429" s="15">
        <f>IFERROR(W429/W444, "NA")</f>
        <v>0.86637606036588999</v>
      </c>
      <c r="Y429" s="2"/>
      <c r="Z429" s="14">
        <f>IFERROR(Z407+Z408+Z409+Z410+Z411+Z412+Z413+Z414+Z415+Z416+Z417+Z418+Z419+Z420+Z421+Z422+Z423+Z424+Z425+Z426+Z427, "NA")</f>
        <v>86707.87000000001</v>
      </c>
      <c r="AA429" s="15">
        <f>IFERROR(Z429/Z444, "NA")</f>
        <v>8.1588918433984622E-2</v>
      </c>
      <c r="AB429" s="2"/>
      <c r="AC429" s="14">
        <f t="shared" si="103"/>
        <v>5837.9199999999983</v>
      </c>
      <c r="AD429" s="15">
        <f>IFERROR(AC429/AC444, "NA")</f>
        <v>0.10389880352783801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-4079.4599999999937</v>
      </c>
      <c r="C443" s="24">
        <f>IFERROR(B443/B444, "NA")</f>
        <v>-3.8258260939372075E-2</v>
      </c>
      <c r="D443" s="25"/>
      <c r="E443" s="23">
        <f>IFERROR(E404-E429-E442, "NA")</f>
        <v>19960.339999999978</v>
      </c>
      <c r="F443" s="24">
        <f>IFERROR(E443/E444, "NA")</f>
        <v>0.16768096803026925</v>
      </c>
      <c r="G443" s="25"/>
      <c r="H443" s="23">
        <f>IFERROR(B443-E443, "NA")</f>
        <v>-24039.799999999974</v>
      </c>
      <c r="I443" s="24">
        <f>IFERROR(H443/H444, "NA")</f>
        <v>1.9374310932875973</v>
      </c>
      <c r="J443" s="25"/>
      <c r="K443" s="23">
        <f>IFERROR(K404-K429-K442, "NA")</f>
        <v>-3111.139999999994</v>
      </c>
      <c r="L443" s="24">
        <f>IFERROR(K443/K444, "NA")</f>
        <v>-2.8749464725873981E-2</v>
      </c>
      <c r="M443" s="25"/>
      <c r="N443" s="23">
        <f>IFERROR(B443-K443, "NA")</f>
        <v>-968.31999999999971</v>
      </c>
      <c r="O443" s="24">
        <f>IFERROR(N443/N444, "NA")</f>
        <v>0.61051914807762708</v>
      </c>
      <c r="P443" s="25"/>
      <c r="Q443" s="23">
        <f>IFERROR(Q404-Q429-Q442, "NA")</f>
        <v>-43440.520000000106</v>
      </c>
      <c r="R443" s="24">
        <f>IFERROR(Q443/Q444, "NA")</f>
        <v>-3.8823293293180398E-2</v>
      </c>
      <c r="S443" s="25"/>
      <c r="T443" s="23">
        <f>IFERROR(T404-T429-T442, "NA")</f>
        <v>174449.86000000004</v>
      </c>
      <c r="U443" s="24">
        <f>IFERROR(T443/T444, "NA")</f>
        <v>0.14390322462844501</v>
      </c>
      <c r="V443" s="25"/>
      <c r="W443" s="23">
        <f>IFERROR(Q443-T443, "NA")</f>
        <v>-217890.38000000015</v>
      </c>
      <c r="X443" s="24">
        <f>IFERROR(W443/W444, "NA")</f>
        <v>2.3343035208507832</v>
      </c>
      <c r="Y443" s="25"/>
      <c r="Z443" s="23">
        <f>IFERROR(Z404-Z429-Z442, "NA")</f>
        <v>-22103.27000000015</v>
      </c>
      <c r="AA443" s="24">
        <f>IFERROR(Z443/Z444, "NA")</f>
        <v>-2.0798364590830697E-2</v>
      </c>
      <c r="AB443" s="25"/>
      <c r="AC443" s="23">
        <f>IFERROR(Q443-Z443, "NA")</f>
        <v>-21337.249999999956</v>
      </c>
      <c r="AD443" s="24">
        <f>IFERROR(AC443/AC444, "NA")</f>
        <v>-0.37974394057718464</v>
      </c>
    </row>
    <row r="444" spans="1:30" ht="15.75" hidden="1" x14ac:dyDescent="0.45">
      <c r="A444" s="26" t="s">
        <v>117</v>
      </c>
      <c r="B444" s="7">
        <v>106629.52</v>
      </c>
      <c r="C444" s="27"/>
      <c r="D444" s="9"/>
      <c r="E444" s="7">
        <v>119037.6</v>
      </c>
      <c r="F444" s="27"/>
      <c r="G444" s="9"/>
      <c r="H444" s="10">
        <f>IFERROR(B444-E444, "NA")</f>
        <v>-12408.080000000002</v>
      </c>
      <c r="I444" s="27"/>
      <c r="J444" s="9"/>
      <c r="K444" s="7">
        <v>108215.58</v>
      </c>
      <c r="L444" s="27"/>
      <c r="M444" s="9"/>
      <c r="N444" s="10">
        <f>IFERROR(B444-K444, "NA")</f>
        <v>-1586.0599999999977</v>
      </c>
      <c r="O444" s="27"/>
      <c r="P444" s="9"/>
      <c r="Q444" s="7">
        <v>1118929.29</v>
      </c>
      <c r="R444" s="27"/>
      <c r="S444" s="9"/>
      <c r="T444" s="7">
        <v>1212272.07</v>
      </c>
      <c r="U444" s="27"/>
      <c r="V444" s="9"/>
      <c r="W444" s="10">
        <f>IFERROR(Q444-T444, "NA")</f>
        <v>-93342.780000000028</v>
      </c>
      <c r="X444" s="27"/>
      <c r="Y444" s="9"/>
      <c r="Z444" s="7">
        <v>1062740.77</v>
      </c>
      <c r="AA444" s="27"/>
      <c r="AB444" s="9"/>
      <c r="AC444" s="10">
        <f>IFERROR(Q444-Z444, "NA")</f>
        <v>56188.520000000019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61115.45</v>
      </c>
      <c r="F10" s="8">
        <f>IFERROR(E10/E444, "NA")</f>
        <v>0.53400003844527311</v>
      </c>
      <c r="G10" s="9"/>
      <c r="H10" s="10">
        <f t="shared" ref="H10:H19" si="0">IFERROR(B10-E10, "NA")</f>
        <v>-61115.45</v>
      </c>
      <c r="I10" s="8">
        <f>IFERROR(H10/H444, "NA")</f>
        <v>8.4750499915409581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669176.23</v>
      </c>
      <c r="U10" s="8">
        <f>IFERROR(T10/T444, "NA")</f>
        <v>0.53400001171458256</v>
      </c>
      <c r="V10" s="9"/>
      <c r="W10" s="10">
        <f t="shared" ref="W10:W19" si="2">IFERROR(Q10-T10, "NA")</f>
        <v>-669176.23</v>
      </c>
      <c r="X10" s="8">
        <f>IFERROR(W10/W444, "NA")</f>
        <v>5.8092490662507092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48916.49</v>
      </c>
      <c r="C11" s="8">
        <f>IFERROR(B11/B444, "NA")</f>
        <v>0.45615233447951542</v>
      </c>
      <c r="D11" s="9"/>
      <c r="E11" s="7">
        <v>0</v>
      </c>
      <c r="F11" s="8">
        <f>IFERROR(E11/E444, "NA")</f>
        <v>0</v>
      </c>
      <c r="G11" s="9"/>
      <c r="H11" s="10">
        <f t="shared" si="0"/>
        <v>48916.49</v>
      </c>
      <c r="I11" s="8">
        <f>IFERROR(H11/H444, "NA")</f>
        <v>-6.7833861676664959</v>
      </c>
      <c r="J11" s="9"/>
      <c r="K11" s="7">
        <v>48314.67</v>
      </c>
      <c r="L11" s="8">
        <f>IFERROR(K11/K444, "NA")</f>
        <v>0.46436704652467692</v>
      </c>
      <c r="M11" s="9"/>
      <c r="N11" s="10">
        <f t="shared" si="1"/>
        <v>601.81999999999971</v>
      </c>
      <c r="O11" s="8">
        <f>IFERROR(N11/N444, "NA")</f>
        <v>0.18847869115325863</v>
      </c>
      <c r="P11" s="9"/>
      <c r="Q11" s="7">
        <v>520954.69</v>
      </c>
      <c r="R11" s="8">
        <f>IFERROR(Q11/Q444, "NA")</f>
        <v>0.45780205880506997</v>
      </c>
      <c r="S11" s="9"/>
      <c r="T11" s="7">
        <v>0</v>
      </c>
      <c r="U11" s="8">
        <f>IFERROR(T11/T444, "NA")</f>
        <v>0</v>
      </c>
      <c r="V11" s="9"/>
      <c r="W11" s="10">
        <f t="shared" si="2"/>
        <v>520954.69</v>
      </c>
      <c r="X11" s="8">
        <f>IFERROR(W11/W444, "NA")</f>
        <v>-4.5225090353873263</v>
      </c>
      <c r="Y11" s="9"/>
      <c r="Z11" s="7">
        <v>566809.79</v>
      </c>
      <c r="AA11" s="8">
        <f>IFERROR(Z11/Z444, "NA")</f>
        <v>0.519588886886023</v>
      </c>
      <c r="AB11" s="9"/>
      <c r="AC11" s="10">
        <f t="shared" si="3"/>
        <v>-45855.100000000035</v>
      </c>
      <c r="AD11" s="8">
        <f>IFERROR(AC11/AC444, "NA")</f>
        <v>-0.97426857246541143</v>
      </c>
    </row>
    <row r="12" spans="1:30" ht="16.5" customHeight="1" x14ac:dyDescent="0.45">
      <c r="A12" s="12" t="s">
        <v>14</v>
      </c>
      <c r="B12" s="7">
        <v>5165.1499999999996</v>
      </c>
      <c r="C12" s="8">
        <f>IFERROR(B12/B444, "NA")</f>
        <v>4.8165664184753834E-2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5165.1499999999996</v>
      </c>
      <c r="I12" s="8">
        <f>IFERROR(H12/H444, "NA")</f>
        <v>-0.71626576362945504</v>
      </c>
      <c r="J12" s="9"/>
      <c r="K12" s="7">
        <v>5186.25</v>
      </c>
      <c r="L12" s="8">
        <f>IFERROR(K12/K444, "NA")</f>
        <v>4.9846632400440814E-2</v>
      </c>
      <c r="M12" s="9"/>
      <c r="N12" s="10">
        <f t="shared" si="1"/>
        <v>-21.100000000000364</v>
      </c>
      <c r="O12" s="8">
        <f>IFERROR(N12/N444, "NA")</f>
        <v>-6.608122666800418E-3</v>
      </c>
      <c r="P12" s="9"/>
      <c r="Q12" s="7">
        <v>60664.800000000003</v>
      </c>
      <c r="R12" s="8">
        <f>IFERROR(Q12/Q444, "NA")</f>
        <v>5.331072139305975E-2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60664.800000000003</v>
      </c>
      <c r="X12" s="8">
        <f>IFERROR(W12/W444, "NA")</f>
        <v>-0.52664293343815582</v>
      </c>
      <c r="Y12" s="9"/>
      <c r="Z12" s="7">
        <v>59373.1</v>
      </c>
      <c r="AA12" s="8">
        <f>IFERROR(Z12/Z444, "NA")</f>
        <v>5.442672918541603E-2</v>
      </c>
      <c r="AB12" s="9"/>
      <c r="AC12" s="10">
        <f t="shared" si="3"/>
        <v>1291.7000000000044</v>
      </c>
      <c r="AD12" s="8">
        <f>IFERROR(AC12/AC444, "NA")</f>
        <v>2.744433476436809E-2</v>
      </c>
    </row>
    <row r="13" spans="1:30" ht="16.5" customHeight="1" x14ac:dyDescent="0.45">
      <c r="A13" s="12" t="s">
        <v>15</v>
      </c>
      <c r="B13" s="7">
        <v>187</v>
      </c>
      <c r="C13" s="8">
        <f>IFERROR(B13/B444, "NA")</f>
        <v>1.7437981864125859E-3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187</v>
      </c>
      <c r="I13" s="8">
        <f>IFERROR(H13/H444, "NA")</f>
        <v>-2.5931811815476435E-2</v>
      </c>
      <c r="J13" s="9"/>
      <c r="K13" s="7">
        <v>168.5</v>
      </c>
      <c r="L13" s="8">
        <f>IFERROR(K13/K444, "NA")</f>
        <v>1.6195049524173105E-3</v>
      </c>
      <c r="M13" s="9"/>
      <c r="N13" s="10">
        <f t="shared" si="1"/>
        <v>18.5</v>
      </c>
      <c r="O13" s="8">
        <f>IFERROR(N13/N444, "NA")</f>
        <v>5.7938516272893663E-3</v>
      </c>
      <c r="P13" s="9"/>
      <c r="Q13" s="7">
        <v>1866.5</v>
      </c>
      <c r="R13" s="8">
        <f>IFERROR(Q13/Q444, "NA")</f>
        <v>1.6402338997267942E-3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1866.5</v>
      </c>
      <c r="X13" s="8">
        <f>IFERROR(W13/W444, "NA")</f>
        <v>-1.6203449698380574E-2</v>
      </c>
      <c r="Y13" s="9"/>
      <c r="Z13" s="7">
        <v>2715.5</v>
      </c>
      <c r="AA13" s="8">
        <f>IFERROR(Z13/Z444, "NA")</f>
        <v>2.4892717931689137E-3</v>
      </c>
      <c r="AB13" s="9"/>
      <c r="AC13" s="10">
        <f t="shared" si="3"/>
        <v>-849</v>
      </c>
      <c r="AD13" s="8">
        <f>IFERROR(AC13/AC444, "NA")</f>
        <v>-1.8038430142408014E-2</v>
      </c>
    </row>
    <row r="14" spans="1:30" ht="16.5" customHeight="1" x14ac:dyDescent="0.45">
      <c r="A14" s="12" t="s">
        <v>16</v>
      </c>
      <c r="B14" s="7">
        <v>0</v>
      </c>
      <c r="C14" s="8">
        <f>IFERROR(B14/B444, "NA")</f>
        <v>0</v>
      </c>
      <c r="D14" s="9"/>
      <c r="E14" s="7">
        <v>0</v>
      </c>
      <c r="F14" s="8">
        <f>IFERROR(E14/E444, "NA")</f>
        <v>0</v>
      </c>
      <c r="G14" s="9"/>
      <c r="H14" s="10">
        <f t="shared" si="0"/>
        <v>0</v>
      </c>
      <c r="I14" s="8">
        <f>IFERROR(H14/H444, "NA")</f>
        <v>0</v>
      </c>
      <c r="J14" s="9"/>
      <c r="K14" s="7">
        <v>460</v>
      </c>
      <c r="L14" s="8">
        <f>IFERROR(K14/K444, "NA")</f>
        <v>4.42120046357248E-3</v>
      </c>
      <c r="M14" s="9"/>
      <c r="N14" s="10">
        <f t="shared" si="1"/>
        <v>-460</v>
      </c>
      <c r="O14" s="8">
        <f>IFERROR(N14/N444, "NA")</f>
        <v>-0.14406333775962749</v>
      </c>
      <c r="P14" s="9"/>
      <c r="Q14" s="7">
        <v>2535</v>
      </c>
      <c r="R14" s="8">
        <f>IFERROR(Q14/Q444, "NA")</f>
        <v>2.2276951169608481E-3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2535</v>
      </c>
      <c r="X14" s="8">
        <f>IFERROR(W14/W444, "NA")</f>
        <v>-2.2006828280415083E-2</v>
      </c>
      <c r="Y14" s="9"/>
      <c r="Z14" s="7">
        <v>6835</v>
      </c>
      <c r="AA14" s="8">
        <f>IFERROR(Z14/Z444, "NA")</f>
        <v>6.2655763970942829E-3</v>
      </c>
      <c r="AB14" s="9"/>
      <c r="AC14" s="10">
        <f t="shared" si="3"/>
        <v>-4300</v>
      </c>
      <c r="AD14" s="8">
        <f>IFERROR(AC14/AC444, "NA")</f>
        <v>-9.1360718035753186E-2</v>
      </c>
    </row>
    <row r="15" spans="1:30" ht="16.5" customHeight="1" x14ac:dyDescent="0.45">
      <c r="A15" s="12" t="s">
        <v>17</v>
      </c>
      <c r="B15" s="7">
        <v>83</v>
      </c>
      <c r="C15" s="8">
        <f>IFERROR(B15/B444, "NA")</f>
        <v>7.7398529129542575E-4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83</v>
      </c>
      <c r="I15" s="8">
        <f>IFERROR(H15/H444, "NA")</f>
        <v>-1.1509841607938737E-2</v>
      </c>
      <c r="J15" s="9"/>
      <c r="K15" s="7">
        <v>34</v>
      </c>
      <c r="L15" s="8">
        <f>IFERROR(K15/K444, "NA")</f>
        <v>3.2678438209013979E-4</v>
      </c>
      <c r="M15" s="9"/>
      <c r="N15" s="10">
        <f t="shared" si="1"/>
        <v>49</v>
      </c>
      <c r="O15" s="8">
        <f>IFERROR(N15/N444, "NA")</f>
        <v>1.5345877283090753E-2</v>
      </c>
      <c r="P15" s="9"/>
      <c r="Q15" s="7">
        <v>500</v>
      </c>
      <c r="R15" s="8">
        <f>IFERROR(Q15/Q444, "NA")</f>
        <v>4.3938759703369788E-4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500</v>
      </c>
      <c r="X15" s="8">
        <f>IFERROR(W15/W444, "NA")</f>
        <v>-4.3405972939674718E-3</v>
      </c>
      <c r="Y15" s="9"/>
      <c r="Z15" s="7">
        <v>992</v>
      </c>
      <c r="AA15" s="8">
        <f>IFERROR(Z15/Z444, "NA")</f>
        <v>9.09356515862111E-4</v>
      </c>
      <c r="AB15" s="9"/>
      <c r="AC15" s="10">
        <f t="shared" si="3"/>
        <v>-492</v>
      </c>
      <c r="AD15" s="8">
        <f>IFERROR(AC15/AC444, "NA")</f>
        <v>-1.0453365877579201E-2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54351.64</v>
      </c>
      <c r="C18" s="15">
        <f>IFERROR(B18/B444, "NA")</f>
        <v>0.50683578214197733</v>
      </c>
      <c r="D18" s="2"/>
      <c r="E18" s="14">
        <f>IFERROR(E10+E11+E12+E13+E14+E15+E16+E17, "NA")</f>
        <v>61115.45</v>
      </c>
      <c r="F18" s="15">
        <f>IFERROR(E18/E444, "NA")</f>
        <v>0.53400003844527311</v>
      </c>
      <c r="G18" s="2"/>
      <c r="H18" s="14">
        <f t="shared" si="0"/>
        <v>-6763.8099999999977</v>
      </c>
      <c r="I18" s="15">
        <f>IFERROR(H18/H444, "NA")</f>
        <v>0.93795640682159143</v>
      </c>
      <c r="J18" s="2"/>
      <c r="K18" s="14">
        <f>IFERROR(K10+K11+K12+K13+K14+K15+K16+K17, "NA")</f>
        <v>54163.42</v>
      </c>
      <c r="L18" s="15">
        <f>IFERROR(K18/K444, "NA")</f>
        <v>0.52058116872319771</v>
      </c>
      <c r="M18" s="2"/>
      <c r="N18" s="14">
        <f t="shared" si="1"/>
        <v>188.22000000000116</v>
      </c>
      <c r="O18" s="15">
        <f>IFERROR(N18/N444, "NA")</f>
        <v>5.8946959637211416E-2</v>
      </c>
      <c r="P18" s="2"/>
      <c r="Q18" s="14">
        <f>IFERROR(Q10+Q11+Q12+Q13+Q14+Q15+Q16+Q17, "NA")</f>
        <v>586520.99</v>
      </c>
      <c r="R18" s="15">
        <f>IFERROR(Q18/Q444, "NA")</f>
        <v>0.51542009681185108</v>
      </c>
      <c r="S18" s="2"/>
      <c r="T18" s="14">
        <f>IFERROR(T10+T11+T12+T13+T14+T15+T16+T17, "NA")</f>
        <v>669176.23</v>
      </c>
      <c r="U18" s="15">
        <f>IFERROR(T18/T444, "NA")</f>
        <v>0.53400001171458256</v>
      </c>
      <c r="V18" s="2"/>
      <c r="W18" s="14">
        <f t="shared" si="2"/>
        <v>-82655.239999999991</v>
      </c>
      <c r="X18" s="15">
        <f>IFERROR(W18/W444, "NA")</f>
        <v>0.71754622215246378</v>
      </c>
      <c r="Y18" s="2"/>
      <c r="Z18" s="14">
        <f>IFERROR(Z10+Z11+Z12+Z13+Z14+Z15+Z16+Z17, "NA")</f>
        <v>636725.39</v>
      </c>
      <c r="AA18" s="15">
        <f>IFERROR(Z18/Z444, "NA")</f>
        <v>0.58367982077756431</v>
      </c>
      <c r="AB18" s="2"/>
      <c r="AC18" s="14">
        <f t="shared" si="3"/>
        <v>-50204.400000000023</v>
      </c>
      <c r="AD18" s="15">
        <f>IFERROR(AC18/AC444, "NA")</f>
        <v>-1.0666767517567837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12131.53</v>
      </c>
      <c r="F21" s="8">
        <f>IFERROR(E21/E444, "NA")</f>
        <v>0.10599999650497519</v>
      </c>
      <c r="G21" s="9"/>
      <c r="H21" s="10">
        <f t="shared" ref="H21:H29" si="4">IFERROR(B21-E21, "NA")</f>
        <v>-12131.53</v>
      </c>
      <c r="I21" s="8">
        <f>IFERROR(H21/H444, "NA")</f>
        <v>1.6823131176139403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132832.73000000001</v>
      </c>
      <c r="U21" s="8">
        <f>IFERROR(T21/T444, "NA")</f>
        <v>0.10599999849976736</v>
      </c>
      <c r="V21" s="9"/>
      <c r="W21" s="10">
        <f t="shared" ref="W21:W29" si="6">IFERROR(Q21-T21, "NA")</f>
        <v>-132832.73000000001</v>
      </c>
      <c r="X21" s="8">
        <f>IFERROR(W21/W444, "NA")</f>
        <v>1.1531467767766237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7899.45</v>
      </c>
      <c r="C22" s="8">
        <f>IFERROR(B22/B444, "NA")</f>
        <v>7.3663350714742781E-2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7899.45</v>
      </c>
      <c r="I22" s="8">
        <f>IFERROR(H22/H444, "NA")</f>
        <v>-1.095438774576285</v>
      </c>
      <c r="J22" s="9"/>
      <c r="K22" s="7">
        <v>9036.2800000000007</v>
      </c>
      <c r="L22" s="8">
        <f>IFERROR(K22/K444, "NA")</f>
        <v>8.6850446358632025E-2</v>
      </c>
      <c r="M22" s="9"/>
      <c r="N22" s="10">
        <f t="shared" si="5"/>
        <v>-1136.8300000000008</v>
      </c>
      <c r="O22" s="8">
        <f>IFERROR(N22/N444, "NA")</f>
        <v>-0.35603374840277702</v>
      </c>
      <c r="P22" s="9"/>
      <c r="Q22" s="7">
        <v>95023.05</v>
      </c>
      <c r="R22" s="8">
        <f>IFERROR(Q22/Q444, "NA")</f>
        <v>8.350389920462585E-2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95023.05</v>
      </c>
      <c r="X22" s="8">
        <f>IFERROR(W22/W444, "NA")</f>
        <v>-0.82491358738907161</v>
      </c>
      <c r="Y22" s="9"/>
      <c r="Z22" s="7">
        <v>101288.77</v>
      </c>
      <c r="AA22" s="8">
        <f>IFERROR(Z22/Z444, "NA")</f>
        <v>9.2850406233022903E-2</v>
      </c>
      <c r="AB22" s="9"/>
      <c r="AC22" s="10">
        <f t="shared" si="7"/>
        <v>-6265.7200000000012</v>
      </c>
      <c r="AD22" s="8">
        <f>IFERROR(AC22/AC444, "NA")</f>
        <v>-0.13312573911883246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690.89</v>
      </c>
      <c r="C24" s="8">
        <f>IFERROR(B24/B444, "NA")</f>
        <v>6.4426349144951411E-3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690.89</v>
      </c>
      <c r="I24" s="8">
        <f>IFERROR(H24/H444, "NA")</f>
        <v>-9.5807644198901143E-2</v>
      </c>
      <c r="J24" s="9"/>
      <c r="K24" s="7">
        <v>1024.8</v>
      </c>
      <c r="L24" s="8">
        <f>IFERROR(K24/K444, "NA")</f>
        <v>9.8496657284110369E-3</v>
      </c>
      <c r="M24" s="9"/>
      <c r="N24" s="10">
        <f t="shared" si="5"/>
        <v>-333.90999999999997</v>
      </c>
      <c r="O24" s="8">
        <f>IFERROR(N24/N444, "NA")</f>
        <v>-0.10457432415503741</v>
      </c>
      <c r="P24" s="9"/>
      <c r="Q24" s="7">
        <v>9896.16</v>
      </c>
      <c r="R24" s="8">
        <f>IFERROR(Q24/Q444, "NA")</f>
        <v>8.6964999245219988E-3</v>
      </c>
      <c r="S24" s="9"/>
      <c r="T24" s="7">
        <v>0</v>
      </c>
      <c r="U24" s="8">
        <f>IFERROR(T24/T444, "NA")</f>
        <v>0</v>
      </c>
      <c r="V24" s="9"/>
      <c r="W24" s="10">
        <f t="shared" si="6"/>
        <v>9896.16</v>
      </c>
      <c r="X24" s="8">
        <f>IFERROR(W24/W444, "NA")</f>
        <v>-8.5910490633338277E-2</v>
      </c>
      <c r="Y24" s="9"/>
      <c r="Z24" s="7">
        <v>5253.86</v>
      </c>
      <c r="AA24" s="8">
        <f>IFERROR(Z24/Z444, "NA")</f>
        <v>4.8161611133339822E-3</v>
      </c>
      <c r="AB24" s="9"/>
      <c r="AC24" s="10">
        <f t="shared" si="7"/>
        <v>4642.3</v>
      </c>
      <c r="AD24" s="8">
        <f>IFERROR(AC24/AC444, "NA")</f>
        <v>9.8633456124971403E-2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916.47</v>
      </c>
      <c r="C28" s="8">
        <f>IFERROR(B28/B444, "NA")</f>
        <v>8.5461963845002275E-3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916.47</v>
      </c>
      <c r="I28" s="8">
        <f>IFERROR(H28/H444, "NA")</f>
        <v>-0.12708945227021223</v>
      </c>
      <c r="J28" s="9"/>
      <c r="K28" s="7">
        <v>778.7</v>
      </c>
      <c r="L28" s="8">
        <f>IFERROR(K28/K444, "NA")</f>
        <v>7.4843234803997618E-3</v>
      </c>
      <c r="M28" s="9"/>
      <c r="N28" s="10">
        <f t="shared" si="5"/>
        <v>137.76999999999998</v>
      </c>
      <c r="O28" s="8">
        <f>IFERROR(N28/N444, "NA")</f>
        <v>4.3146969659008425E-2</v>
      </c>
      <c r="P28" s="9"/>
      <c r="Q28" s="7">
        <v>8811.2900000000009</v>
      </c>
      <c r="R28" s="8">
        <f>IFERROR(Q28/Q444, "NA")</f>
        <v>7.7431430797341039E-3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8811.2900000000009</v>
      </c>
      <c r="X28" s="8">
        <f>IFERROR(W28/W444, "NA")</f>
        <v>-7.6492523060725293E-2</v>
      </c>
      <c r="Y28" s="9"/>
      <c r="Z28" s="7">
        <v>8124</v>
      </c>
      <c r="AA28" s="8">
        <f>IFERROR(Z28/Z444, "NA")</f>
        <v>7.4471898536933364E-3</v>
      </c>
      <c r="AB28" s="9"/>
      <c r="AC28" s="10">
        <f t="shared" si="7"/>
        <v>687.29000000000087</v>
      </c>
      <c r="AD28" s="8">
        <f>IFERROR(AC28/AC444, "NA")</f>
        <v>1.4602629743905323E-2</v>
      </c>
    </row>
    <row r="29" spans="1:30" ht="16.5" customHeight="1" x14ac:dyDescent="0.45">
      <c r="A29" s="13" t="s">
        <v>30</v>
      </c>
      <c r="B29" s="14">
        <f>IFERROR(B21+B22+B23+B24+B25+B26+B27+B28, "NA")</f>
        <v>9506.81</v>
      </c>
      <c r="C29" s="15">
        <f>IFERROR(B29/B444, "NA")</f>
        <v>8.8652182013738146E-2</v>
      </c>
      <c r="D29" s="2"/>
      <c r="E29" s="14">
        <f>IFERROR(E21+E22+E23+E24+E25+E26+E27+E28, "NA")</f>
        <v>12131.53</v>
      </c>
      <c r="F29" s="15">
        <f>IFERROR(E29/E444, "NA")</f>
        <v>0.10599999650497519</v>
      </c>
      <c r="G29" s="2"/>
      <c r="H29" s="14">
        <f t="shared" si="4"/>
        <v>-2624.7200000000012</v>
      </c>
      <c r="I29" s="15">
        <f>IFERROR(H29/H444, "NA")</f>
        <v>0.36397724656854191</v>
      </c>
      <c r="J29" s="2"/>
      <c r="K29" s="14">
        <f>IFERROR(K21+K22+K23+K24+K25+K26+K27+K28, "NA")</f>
        <v>10839.78</v>
      </c>
      <c r="L29" s="15">
        <f>IFERROR(K29/K444, "NA")</f>
        <v>0.10418443556744282</v>
      </c>
      <c r="M29" s="2"/>
      <c r="N29" s="14">
        <f t="shared" si="5"/>
        <v>-1332.9700000000012</v>
      </c>
      <c r="O29" s="15">
        <f>IFERROR(N29/N444, "NA")</f>
        <v>-0.41746110289880611</v>
      </c>
      <c r="P29" s="2"/>
      <c r="Q29" s="14">
        <f>IFERROR(Q21+Q22+Q23+Q24+Q25+Q26+Q27+Q28, "NA")</f>
        <v>113730.5</v>
      </c>
      <c r="R29" s="15">
        <f>IFERROR(Q29/Q444, "NA")</f>
        <v>9.994354220888195E-2</v>
      </c>
      <c r="S29" s="2"/>
      <c r="T29" s="14">
        <f>IFERROR(T21+T22+T23+T24+T25+T26+T27+T28, "NA")</f>
        <v>132832.73000000001</v>
      </c>
      <c r="U29" s="15">
        <f>IFERROR(T29/T444, "NA")</f>
        <v>0.10599999849976736</v>
      </c>
      <c r="V29" s="2"/>
      <c r="W29" s="14">
        <f t="shared" si="6"/>
        <v>-19102.23000000001</v>
      </c>
      <c r="X29" s="15">
        <f>IFERROR(W29/W444, "NA")</f>
        <v>0.16583017569348862</v>
      </c>
      <c r="Y29" s="2"/>
      <c r="Z29" s="14">
        <f>IFERROR(Z21+Z22+Z23+Z24+Z25+Z26+Z27+Z28, "NA")</f>
        <v>114666.63</v>
      </c>
      <c r="AA29" s="15">
        <f>IFERROR(Z29/Z444, "NA")</f>
        <v>0.10511375720005021</v>
      </c>
      <c r="AB29" s="2"/>
      <c r="AC29" s="14">
        <f t="shared" si="7"/>
        <v>-936.13000000000466</v>
      </c>
      <c r="AD29" s="15">
        <f>IFERROR(AC29/AC444, "NA")</f>
        <v>-1.9889653249955827E-2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21859.64</v>
      </c>
      <c r="F31" s="8">
        <f>IFERROR(E31/E444, "NA")</f>
        <v>0.19099996155472684</v>
      </c>
      <c r="G31" s="9"/>
      <c r="H31" s="10">
        <f t="shared" ref="H31:H40" si="8">IFERROR(B31-E31, "NA")</f>
        <v>-21859.64</v>
      </c>
      <c r="I31" s="8">
        <f>IFERROR(H31/H444, "NA")</f>
        <v>3.0313372771874936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239349.53</v>
      </c>
      <c r="U31" s="8">
        <f>IFERROR(T31/T444, "NA")</f>
        <v>0.19099998788641942</v>
      </c>
      <c r="V31" s="9"/>
      <c r="W31" s="10">
        <f t="shared" ref="W31:W40" si="10">IFERROR(Q31-T31, "NA")</f>
        <v>-239349.53</v>
      </c>
      <c r="X31" s="8">
        <f>IFERROR(W31/W444, "NA")</f>
        <v>2.0778398444607724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8674.83</v>
      </c>
      <c r="C33" s="8">
        <f>IFERROR(B33/B444, "NA")</f>
        <v>8.0893865355280703E-2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8674.83</v>
      </c>
      <c r="I33" s="8">
        <f>IFERROR(H33/H444, "NA")</f>
        <v>-1.202962882840906</v>
      </c>
      <c r="J33" s="9"/>
      <c r="K33" s="7">
        <v>7978.19</v>
      </c>
      <c r="L33" s="8">
        <f>IFERROR(K33/K444, "NA")</f>
        <v>7.6680820274933309E-2</v>
      </c>
      <c r="M33" s="9"/>
      <c r="N33" s="10">
        <f t="shared" si="9"/>
        <v>696.64000000000033</v>
      </c>
      <c r="O33" s="8">
        <f>IFERROR(N33/N444, "NA")</f>
        <v>0.21817452960188463</v>
      </c>
      <c r="P33" s="9"/>
      <c r="Q33" s="7">
        <v>82462.27</v>
      </c>
      <c r="R33" s="8">
        <f>IFERROR(Q33/Q444, "NA")</f>
        <v>7.2465797322487993E-2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82462.27</v>
      </c>
      <c r="X33" s="8">
        <f>IFERROR(W33/W444, "NA")</f>
        <v>-0.7158710120328301</v>
      </c>
      <c r="Y33" s="9"/>
      <c r="Z33" s="7">
        <v>63766.07</v>
      </c>
      <c r="AA33" s="8">
        <f>IFERROR(Z33/Z444, "NA")</f>
        <v>5.84537210135277E-2</v>
      </c>
      <c r="AB33" s="9"/>
      <c r="AC33" s="10">
        <f t="shared" si="11"/>
        <v>18696.200000000004</v>
      </c>
      <c r="AD33" s="8">
        <f>IFERROR(AC33/AC444, "NA")</f>
        <v>0.39723215268373235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472.46</v>
      </c>
      <c r="C35" s="8">
        <f>IFERROR(B35/B444, "NA")</f>
        <v>4.4057480810293596E-3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472.46</v>
      </c>
      <c r="I35" s="8">
        <f>IFERROR(H35/H444, "NA")</f>
        <v>-6.551734657935826E-2</v>
      </c>
      <c r="J35" s="9"/>
      <c r="K35" s="7">
        <v>1588.74</v>
      </c>
      <c r="L35" s="8">
        <f>IFERROR(K35/K444, "NA")</f>
        <v>1.5269865270643787E-2</v>
      </c>
      <c r="M35" s="9"/>
      <c r="N35" s="10">
        <f t="shared" si="9"/>
        <v>-1116.28</v>
      </c>
      <c r="O35" s="8">
        <f>IFERROR(N35/N444, "NA")</f>
        <v>-0.34959787537894993</v>
      </c>
      <c r="P35" s="9"/>
      <c r="Q35" s="7">
        <v>11445.55</v>
      </c>
      <c r="R35" s="8">
        <f>IFERROR(Q35/Q444, "NA")</f>
        <v>1.005806542245808E-2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11445.55</v>
      </c>
      <c r="X35" s="8">
        <f>IFERROR(W35/W444, "NA")</f>
        <v>-9.9361046715938789E-2</v>
      </c>
      <c r="Y35" s="9"/>
      <c r="Z35" s="7">
        <v>5258.61</v>
      </c>
      <c r="AA35" s="8">
        <f>IFERROR(Z35/Z444, "NA")</f>
        <v>4.820515391005701E-3</v>
      </c>
      <c r="AB35" s="9"/>
      <c r="AC35" s="10">
        <f t="shared" si="11"/>
        <v>6186.94</v>
      </c>
      <c r="AD35" s="8">
        <f>IFERROR(AC35/AC444, "NA")</f>
        <v>0.13145192577770298</v>
      </c>
    </row>
    <row r="36" spans="1:30" ht="16.5" customHeight="1" x14ac:dyDescent="0.45">
      <c r="A36" s="12" t="s">
        <v>36</v>
      </c>
      <c r="B36" s="7">
        <v>11941.91</v>
      </c>
      <c r="C36" s="8">
        <f>IFERROR(B36/B444, "NA")</f>
        <v>0.11135979144546695</v>
      </c>
      <c r="D36" s="9"/>
      <c r="E36" s="7">
        <v>0</v>
      </c>
      <c r="F36" s="8">
        <f>IFERROR(E36/E444, "NA")</f>
        <v>0</v>
      </c>
      <c r="G36" s="9"/>
      <c r="H36" s="10">
        <f t="shared" si="8"/>
        <v>11941.91</v>
      </c>
      <c r="I36" s="8">
        <f>IFERROR(H36/H444, "NA")</f>
        <v>-1.6560179830874662</v>
      </c>
      <c r="J36" s="9"/>
      <c r="K36" s="7">
        <v>15591.76</v>
      </c>
      <c r="L36" s="8">
        <f>IFERROR(K36/K444, "NA")</f>
        <v>0.14985716639111055</v>
      </c>
      <c r="M36" s="9"/>
      <c r="N36" s="10">
        <f t="shared" si="9"/>
        <v>-3649.8500000000004</v>
      </c>
      <c r="O36" s="8">
        <f>IFERROR(N36/N444, "NA")</f>
        <v>-1.1430642898303836</v>
      </c>
      <c r="P36" s="9"/>
      <c r="Q36" s="7">
        <v>97485.46</v>
      </c>
      <c r="R36" s="8">
        <f>IFERROR(Q36/Q444, "NA")</f>
        <v>8.5667804030249345E-2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97485.46</v>
      </c>
      <c r="X36" s="8">
        <f>IFERROR(W36/W444, "NA")</f>
        <v>-0.84629024775434847</v>
      </c>
      <c r="Y36" s="9"/>
      <c r="Z36" s="7">
        <v>98974.14</v>
      </c>
      <c r="AA36" s="8">
        <f>IFERROR(Z36/Z444, "NA")</f>
        <v>9.0728607974645964E-2</v>
      </c>
      <c r="AB36" s="9"/>
      <c r="AC36" s="10">
        <f t="shared" si="11"/>
        <v>-1488.679999999993</v>
      </c>
      <c r="AD36" s="8">
        <f>IFERROR(AC36/AC444, "NA")</f>
        <v>-3.1629505517549866E-2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854.8</v>
      </c>
      <c r="C39" s="8">
        <f>IFERROR(B39/B444, "NA")</f>
        <v>7.9711159879437346E-3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854.8</v>
      </c>
      <c r="I39" s="8">
        <f>IFERROR(H39/H444, "NA")</f>
        <v>-0.11853750128272329</v>
      </c>
      <c r="J39" s="9"/>
      <c r="K39" s="7">
        <v>617.15</v>
      </c>
      <c r="L39" s="8">
        <f>IFERROR(K39/K444, "NA")</f>
        <v>5.9316171002038167E-3</v>
      </c>
      <c r="M39" s="9"/>
      <c r="N39" s="10">
        <f t="shared" si="9"/>
        <v>237.64999999999998</v>
      </c>
      <c r="O39" s="8">
        <f>IFERROR(N39/N444, "NA")</f>
        <v>7.442750482299014E-2</v>
      </c>
      <c r="P39" s="9"/>
      <c r="Q39" s="7">
        <v>9075.81</v>
      </c>
      <c r="R39" s="8">
        <f>IFERROR(Q39/Q444, "NA")</f>
        <v>7.9755966940688108E-3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9075.81</v>
      </c>
      <c r="X39" s="8">
        <f>IFERROR(W39/W444, "NA")</f>
        <v>-7.8788872653125841E-2</v>
      </c>
      <c r="Y39" s="9"/>
      <c r="Z39" s="7">
        <v>8784.94</v>
      </c>
      <c r="AA39" s="8">
        <f>IFERROR(Z39/Z444, "NA")</f>
        <v>8.0530669661871921E-3</v>
      </c>
      <c r="AB39" s="9"/>
      <c r="AC39" s="10">
        <f t="shared" si="11"/>
        <v>290.86999999999898</v>
      </c>
      <c r="AD39" s="8">
        <f>IFERROR(AC39/AC444, "NA")</f>
        <v>6.1800214081533574E-3</v>
      </c>
    </row>
    <row r="40" spans="1:30" ht="16.5" customHeight="1" x14ac:dyDescent="0.45">
      <c r="A40" s="13" t="s">
        <v>40</v>
      </c>
      <c r="B40" s="14">
        <f>IFERROR(B31+B32+B33+B34+B35+B36+B37+B38+B39, "NA")</f>
        <v>21943.999999999996</v>
      </c>
      <c r="C40" s="15">
        <f>IFERROR(B40/B444, "NA")</f>
        <v>0.20463052086972072</v>
      </c>
      <c r="D40" s="2"/>
      <c r="E40" s="14">
        <f>IFERROR(E31+E32+E33+E34+E35+E36+E37+E38+E39, "NA")</f>
        <v>21859.64</v>
      </c>
      <c r="F40" s="15">
        <f>IFERROR(E40/E444, "NA")</f>
        <v>0.19099996155472684</v>
      </c>
      <c r="G40" s="2"/>
      <c r="H40" s="14">
        <f t="shared" si="8"/>
        <v>84.359999999996944</v>
      </c>
      <c r="I40" s="15">
        <f>IFERROR(H40/H444, "NA")</f>
        <v>-1.1698436602959961E-2</v>
      </c>
      <c r="J40" s="2"/>
      <c r="K40" s="14">
        <f>IFERROR(K31+K32+K33+K34+K35+K36+K37+K38+K39, "NA")</f>
        <v>25775.840000000004</v>
      </c>
      <c r="L40" s="15">
        <f>IFERROR(K40/K444, "NA")</f>
        <v>0.24773946903689151</v>
      </c>
      <c r="M40" s="2"/>
      <c r="N40" s="14">
        <f t="shared" si="9"/>
        <v>-3831.8400000000074</v>
      </c>
      <c r="O40" s="15">
        <f>IFERROR(N40/N444, "NA")</f>
        <v>-1.2000601307844609</v>
      </c>
      <c r="P40" s="2"/>
      <c r="Q40" s="14">
        <f>IFERROR(Q31+Q32+Q33+Q34+Q35+Q36+Q37+Q38+Q39, "NA")</f>
        <v>200469.09000000003</v>
      </c>
      <c r="R40" s="15">
        <f>IFERROR(Q40/Q444, "NA")</f>
        <v>0.17616726346926423</v>
      </c>
      <c r="S40" s="2"/>
      <c r="T40" s="14">
        <f>IFERROR(T31+T32+T33+T34+T35+T36+T37+T38+T39, "NA")</f>
        <v>239349.53</v>
      </c>
      <c r="U40" s="15">
        <f>IFERROR(T40/T444, "NA")</f>
        <v>0.19099998788641942</v>
      </c>
      <c r="V40" s="2"/>
      <c r="W40" s="14">
        <f t="shared" si="10"/>
        <v>-38880.439999999973</v>
      </c>
      <c r="X40" s="15">
        <f>IFERROR(W40/W444, "NA")</f>
        <v>0.33752866530452907</v>
      </c>
      <c r="Y40" s="2"/>
      <c r="Z40" s="14">
        <f>IFERROR(Z31+Z32+Z33+Z34+Z35+Z36+Z37+Z38+Z39, "NA")</f>
        <v>176783.76</v>
      </c>
      <c r="AA40" s="15">
        <f>IFERROR(Z40/Z444, "NA")</f>
        <v>0.16205591134536657</v>
      </c>
      <c r="AB40" s="2"/>
      <c r="AC40" s="14">
        <f t="shared" si="11"/>
        <v>23685.330000000016</v>
      </c>
      <c r="AD40" s="15">
        <f>IFERROR(AC40/AC444, "NA")</f>
        <v>0.50323459435203899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6230.64</v>
      </c>
      <c r="C43" s="8">
        <f>IFERROR(B43/B444, "NA")</f>
        <v>5.8101490546469056E-2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6230.64</v>
      </c>
      <c r="I43" s="8">
        <f>IFERROR(H43/H444, "NA")</f>
        <v>-0.86402023513358339</v>
      </c>
      <c r="J43" s="9"/>
      <c r="K43" s="7">
        <v>4268.29</v>
      </c>
      <c r="L43" s="8">
        <f>IFERROR(K43/K444, "NA")</f>
        <v>4.1023838536221262E-2</v>
      </c>
      <c r="M43" s="9"/>
      <c r="N43" s="10">
        <f>IFERROR(B43-K43, "NA")</f>
        <v>1962.3500000000004</v>
      </c>
      <c r="O43" s="8">
        <f>IFERROR(N43/N444, "NA")</f>
        <v>0.61457106707088049</v>
      </c>
      <c r="P43" s="9"/>
      <c r="Q43" s="7">
        <v>54688.29</v>
      </c>
      <c r="R43" s="8">
        <f>IFERROR(Q43/Q444, "NA")</f>
        <v>4.805871265796402E-2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54688.29</v>
      </c>
      <c r="X43" s="8">
        <f>IFERROR(W43/W444, "NA")</f>
        <v>-0.4747596871714167</v>
      </c>
      <c r="Y43" s="9"/>
      <c r="Z43" s="7">
        <v>5099.49</v>
      </c>
      <c r="AA43" s="8">
        <f>IFERROR(Z43/Z444, "NA")</f>
        <v>4.6746516724533024E-3</v>
      </c>
      <c r="AB43" s="9"/>
      <c r="AC43" s="10">
        <f>IFERROR(Q43-Z43, "NA")</f>
        <v>49588.800000000003</v>
      </c>
      <c r="AD43" s="8">
        <f>IFERROR(AC43/AC444, "NA")</f>
        <v>1.0535972964026414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22546.33</v>
      </c>
      <c r="F46" s="8">
        <f>IFERROR(E46/E444, "NA")</f>
        <v>0.19699995805970205</v>
      </c>
      <c r="G46" s="9"/>
      <c r="H46" s="10">
        <f t="shared" ref="H46:H62" si="12">IFERROR(B46-E46, "NA")</f>
        <v>-22546.33</v>
      </c>
      <c r="I46" s="8">
        <f>IFERROR(H46/H444, "NA")</f>
        <v>3.1265624956664748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246868.38</v>
      </c>
      <c r="U46" s="8">
        <f>IFERROR(T46/T444, "NA")</f>
        <v>0.19700000075011634</v>
      </c>
      <c r="V46" s="9"/>
      <c r="W46" s="10">
        <f t="shared" ref="W46:W62" si="14">IFERROR(Q46-T46, "NA")</f>
        <v>-246868.38</v>
      </c>
      <c r="X46" s="8">
        <f>IFERROR(W46/W444, "NA")</f>
        <v>2.143112444388267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12134.84</v>
      </c>
      <c r="C48" s="8">
        <f>IFERROR(B48/B444, "NA")</f>
        <v>0.11315888761714921</v>
      </c>
      <c r="D48" s="9"/>
      <c r="E48" s="7">
        <v>0</v>
      </c>
      <c r="F48" s="8">
        <f>IFERROR(E48/E444, "NA")</f>
        <v>0</v>
      </c>
      <c r="G48" s="9"/>
      <c r="H48" s="10">
        <f t="shared" si="12"/>
        <v>12134.84</v>
      </c>
      <c r="I48" s="8">
        <f>IFERROR(H48/H444, "NA")</f>
        <v>-1.6827721245503533</v>
      </c>
      <c r="J48" s="9"/>
      <c r="K48" s="7">
        <v>12991.33</v>
      </c>
      <c r="L48" s="8">
        <f>IFERROR(K48/K444, "NA")</f>
        <v>0.12486363960526753</v>
      </c>
      <c r="M48" s="9"/>
      <c r="N48" s="10">
        <f t="shared" si="13"/>
        <v>-856.48999999999978</v>
      </c>
      <c r="O48" s="8">
        <f>IFERROR(N48/N444, "NA")</f>
        <v>-0.26823653947335502</v>
      </c>
      <c r="P48" s="9"/>
      <c r="Q48" s="7">
        <v>135126.5</v>
      </c>
      <c r="R48" s="8">
        <f>IFERROR(Q48/Q444, "NA")</f>
        <v>0.11874581626114795</v>
      </c>
      <c r="S48" s="9"/>
      <c r="T48" s="7">
        <v>0</v>
      </c>
      <c r="U48" s="8">
        <f>IFERROR(T48/T444, "NA")</f>
        <v>0</v>
      </c>
      <c r="V48" s="9"/>
      <c r="W48" s="10">
        <f t="shared" si="14"/>
        <v>135126.5</v>
      </c>
      <c r="X48" s="8">
        <f>IFERROR(W48/W444, "NA")</f>
        <v>-1.1730594404865913</v>
      </c>
      <c r="Y48" s="9"/>
      <c r="Z48" s="7">
        <v>200529.49</v>
      </c>
      <c r="AA48" s="8">
        <f>IFERROR(Z48/Z444, "NA")</f>
        <v>0.18382338543750606</v>
      </c>
      <c r="AB48" s="9"/>
      <c r="AC48" s="10">
        <f t="shared" si="15"/>
        <v>-65402.989999999991</v>
      </c>
      <c r="AD48" s="8">
        <f>IFERROR(AC48/AC444, "NA")</f>
        <v>-1.3895963088570196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1.1292261243766035E-5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-1.1155335045496402E-4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2.7301982017661125E-4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2000</v>
      </c>
      <c r="R53" s="8">
        <f>IFERROR(Q53/Q444, "NA")</f>
        <v>1.7575503881347915E-3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2000</v>
      </c>
      <c r="X53" s="8">
        <f>IFERROR(W53/W444, "NA")</f>
        <v>-1.7362389175869887E-2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2000</v>
      </c>
      <c r="AD53" s="8">
        <f>IFERROR(AC53/AC444, "NA")</f>
        <v>4.2493357225931713E-2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2.0475462021770322E-5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-2.0227183389888421E-4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4.9504761168210447E-4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3.1416213187909395E-5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-3.1035270651867425E-4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7.5956876041352941E-4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4.9387165906587642E-5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-4.8788313584194386E-4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1.1940633380486813E-3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4.5160734630994857E-4</v>
      </c>
      <c r="AB59" s="9"/>
      <c r="AC59" s="10">
        <f t="shared" si="15"/>
        <v>-492.65</v>
      </c>
      <c r="AD59" s="8">
        <f>IFERROR(AC59/AC444, "NA")</f>
        <v>-1.046717621867763E-2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12134.84</v>
      </c>
      <c r="C61" s="15">
        <f>IFERROR(B61/B444, "NA")</f>
        <v>0.11315888761714921</v>
      </c>
      <c r="D61" s="2"/>
      <c r="E61" s="14">
        <f>IFERROR(E46+E47+E48+E49+E50+E51+E52+E53+E54+E55+E56+E57+E58+E59+E60, "NA")</f>
        <v>22546.33</v>
      </c>
      <c r="F61" s="15">
        <f>IFERROR(E61/E444, "NA")</f>
        <v>0.19699995805970205</v>
      </c>
      <c r="G61" s="2"/>
      <c r="H61" s="14">
        <f t="shared" si="12"/>
        <v>-10411.490000000002</v>
      </c>
      <c r="I61" s="15">
        <f>IFERROR(H61/H444, "NA")</f>
        <v>1.4437903711161217</v>
      </c>
      <c r="J61" s="2"/>
      <c r="K61" s="14">
        <f>IFERROR(K46+K47+K48+K49+K50+K51+K52+K53+K54+K55+K56+K57+K58+K59+K60, "NA")</f>
        <v>12991.33</v>
      </c>
      <c r="L61" s="15">
        <f>IFERROR(K61/K444, "NA")</f>
        <v>0.12486363960526753</v>
      </c>
      <c r="M61" s="2"/>
      <c r="N61" s="14">
        <f t="shared" si="13"/>
        <v>-856.48999999999978</v>
      </c>
      <c r="O61" s="15">
        <f>IFERROR(N61/N444, "NA")</f>
        <v>-0.26823653947335502</v>
      </c>
      <c r="P61" s="2"/>
      <c r="Q61" s="14">
        <f>IFERROR(Q46+Q47+Q48+Q49+Q50+Q51+Q52+Q53+Q54+Q55+Q56+Q57+Q58+Q59+Q60, "NA")</f>
        <v>137254.6</v>
      </c>
      <c r="R61" s="15">
        <f>IFERROR(Q61/Q444, "NA")</f>
        <v>0.12061593775164278</v>
      </c>
      <c r="S61" s="2"/>
      <c r="T61" s="14">
        <f>IFERROR(T46+T47+T48+T49+T50+T51+T52+T53+T54+T55+T56+T57+T58+T59+T60, "NA")</f>
        <v>246868.38</v>
      </c>
      <c r="U61" s="15">
        <f>IFERROR(T61/T444, "NA")</f>
        <v>0.19700000075011634</v>
      </c>
      <c r="V61" s="2"/>
      <c r="W61" s="14">
        <f t="shared" si="14"/>
        <v>-109613.78</v>
      </c>
      <c r="X61" s="15">
        <f>IFERROR(W61/W444, "NA")</f>
        <v>0.95157855369909161</v>
      </c>
      <c r="Y61" s="2"/>
      <c r="Z61" s="14">
        <f>IFERROR(Z46+Z47+Z48+Z49+Z50+Z51+Z52+Z53+Z54+Z55+Z56+Z57+Z58+Z59+Z60, "NA")</f>
        <v>201022.13999999998</v>
      </c>
      <c r="AA61" s="15">
        <f>IFERROR(Z61/Z444, "NA")</f>
        <v>0.18427499278381601</v>
      </c>
      <c r="AB61" s="2"/>
      <c r="AC61" s="14">
        <f t="shared" si="15"/>
        <v>-63767.539999999979</v>
      </c>
      <c r="AD61" s="15">
        <f>IFERROR(AC61/AC444, "NA")</f>
        <v>-1.3548484283194444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18365.48</v>
      </c>
      <c r="C62" s="15">
        <f>IFERROR(B62/B444, "NA")</f>
        <v>0.17126037816361825</v>
      </c>
      <c r="D62" s="2"/>
      <c r="E62" s="14">
        <f>IFERROR(E42+E43+E44+E46+E47+E48+E49+E50+E51+E52+E53+E54+E55+E56+E57+E58+E59+E60, "NA")</f>
        <v>22546.33</v>
      </c>
      <c r="F62" s="15">
        <f>IFERROR(E62/E444, "NA")</f>
        <v>0.19699995805970205</v>
      </c>
      <c r="G62" s="2"/>
      <c r="H62" s="14">
        <f t="shared" si="12"/>
        <v>-4180.8500000000022</v>
      </c>
      <c r="I62" s="15">
        <f>IFERROR(H62/H444, "NA")</f>
        <v>0.57977013598253857</v>
      </c>
      <c r="J62" s="2"/>
      <c r="K62" s="14">
        <f>IFERROR(K42+K43+K44+K46+K47+K48+K49+K50+K51+K52+K53+K54+K55+K56+K57+K58+K59+K60, "NA")</f>
        <v>17259.62</v>
      </c>
      <c r="L62" s="15">
        <f>IFERROR(K62/K444, "NA")</f>
        <v>0.1658874781414888</v>
      </c>
      <c r="M62" s="2"/>
      <c r="N62" s="14">
        <f t="shared" si="13"/>
        <v>1105.8600000000006</v>
      </c>
      <c r="O62" s="15">
        <f>IFERROR(N62/N444, "NA")</f>
        <v>0.34633452759752548</v>
      </c>
      <c r="P62" s="2"/>
      <c r="Q62" s="14">
        <f>IFERROR(Q42+Q43+Q44+Q46+Q47+Q48+Q49+Q50+Q51+Q52+Q53+Q54+Q55+Q56+Q57+Q58+Q59+Q60, "NA")</f>
        <v>191942.89</v>
      </c>
      <c r="R62" s="15">
        <f>IFERROR(Q62/Q444, "NA")</f>
        <v>0.1686746504096068</v>
      </c>
      <c r="S62" s="2"/>
      <c r="T62" s="14">
        <f>IFERROR(T42+T43+T44+T46+T47+T48+T49+T50+T51+T52+T53+T54+T55+T56+T57+T58+T59+T60, "NA")</f>
        <v>246868.38</v>
      </c>
      <c r="U62" s="15">
        <f>IFERROR(T62/T444, "NA")</f>
        <v>0.19700000075011634</v>
      </c>
      <c r="V62" s="2"/>
      <c r="W62" s="14">
        <f t="shared" si="14"/>
        <v>-54925.489999999991</v>
      </c>
      <c r="X62" s="15">
        <f>IFERROR(W62/W444, "NA")</f>
        <v>0.4768188665276748</v>
      </c>
      <c r="Y62" s="2"/>
      <c r="Z62" s="14">
        <f>IFERROR(Z42+Z43+Z44+Z46+Z47+Z48+Z49+Z50+Z51+Z52+Z53+Z54+Z55+Z56+Z57+Z58+Z59+Z60, "NA")</f>
        <v>206121.62999999998</v>
      </c>
      <c r="AA62" s="15">
        <f>IFERROR(Z62/Z444, "NA")</f>
        <v>0.1889496444562693</v>
      </c>
      <c r="AB62" s="2"/>
      <c r="AC62" s="14">
        <f t="shared" si="15"/>
        <v>-14178.739999999962</v>
      </c>
      <c r="AD62" s="15">
        <f>IFERROR(AC62/AC444, "NA")</f>
        <v>-0.30125113191680269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1337.81</v>
      </c>
      <c r="C65" s="8">
        <f>IFERROR(B65/B444, "NA")</f>
        <v>1.2475244127083536E-2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1337.81</v>
      </c>
      <c r="I65" s="8">
        <f>IFERROR(H65/H444, "NA")</f>
        <v>-0.18551784580140387</v>
      </c>
      <c r="J65" s="9"/>
      <c r="K65" s="7">
        <v>0</v>
      </c>
      <c r="L65" s="8">
        <f>IFERROR(K65/K444, "NA")</f>
        <v>0</v>
      </c>
      <c r="M65" s="9"/>
      <c r="N65" s="10">
        <f t="shared" si="17"/>
        <v>1337.81</v>
      </c>
      <c r="O65" s="8">
        <f>IFERROR(N65/N444, "NA")</f>
        <v>0.41897689975697222</v>
      </c>
      <c r="P65" s="9"/>
      <c r="Q65" s="7">
        <v>23325.69</v>
      </c>
      <c r="R65" s="8">
        <f>IFERROR(Q65/Q444, "NA")</f>
        <v>2.049803775650591E-2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23325.69</v>
      </c>
      <c r="X65" s="8">
        <f>IFERROR(W65/W444, "NA")</f>
        <v>-0.20249485378784823</v>
      </c>
      <c r="Y65" s="9"/>
      <c r="Z65" s="7">
        <v>1212.95</v>
      </c>
      <c r="AA65" s="8">
        <f>IFERROR(Z65/Z444, "NA")</f>
        <v>1.1118991793497455E-3</v>
      </c>
      <c r="AB65" s="9"/>
      <c r="AC65" s="10">
        <f t="shared" si="19"/>
        <v>22112.739999999998</v>
      </c>
      <c r="AD65" s="8">
        <f>IFERROR(AC65/AC444, "NA")</f>
        <v>0.4698222800320746</v>
      </c>
    </row>
    <row r="66" spans="1:30" ht="16.5" customHeight="1" x14ac:dyDescent="0.45">
      <c r="A66" s="12" t="s">
        <v>63</v>
      </c>
      <c r="B66" s="7">
        <v>3173.03</v>
      </c>
      <c r="C66" s="8">
        <f>IFERROR(B66/B444, "NA")</f>
        <v>2.9588898178784639E-2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3173.03</v>
      </c>
      <c r="I66" s="8">
        <f>IFERROR(H66/H444, "NA")</f>
        <v>-0.44001292430407057</v>
      </c>
      <c r="J66" s="9"/>
      <c r="K66" s="7">
        <v>0</v>
      </c>
      <c r="L66" s="8">
        <f>IFERROR(K66/K444, "NA")</f>
        <v>0</v>
      </c>
      <c r="M66" s="9"/>
      <c r="N66" s="10">
        <f t="shared" si="17"/>
        <v>3173.03</v>
      </c>
      <c r="O66" s="8">
        <f>IFERROR(N66/N444, "NA")</f>
        <v>0.99373324480745828</v>
      </c>
      <c r="P66" s="9"/>
      <c r="Q66" s="7">
        <v>48453.01</v>
      </c>
      <c r="R66" s="8">
        <f>IFERROR(Q66/Q444, "NA")</f>
        <v>4.2579303265899468E-2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48453.01</v>
      </c>
      <c r="X66" s="8">
        <f>IFERROR(W66/W444, "NA")</f>
        <v>-0.42063000818115776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48453.01</v>
      </c>
      <c r="AD66" s="8">
        <f>IFERROR(AC66/AC444, "NA")</f>
        <v>1.029465531300821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473.75</v>
      </c>
      <c r="C68" s="8">
        <f>IFERROR(B68/B444, "NA")</f>
        <v>4.4177774909784093E-3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473.75</v>
      </c>
      <c r="I68" s="8">
        <f>IFERROR(H68/H444, "NA")</f>
        <v>-6.5696234479047919E-2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473.75</v>
      </c>
      <c r="O68" s="8">
        <f>IFERROR(N68/N444, "NA")</f>
        <v>0.14836957883396418</v>
      </c>
      <c r="P68" s="9"/>
      <c r="Q68" s="7">
        <v>9530.7199999999993</v>
      </c>
      <c r="R68" s="8">
        <f>IFERROR(Q68/Q444, "NA")</f>
        <v>8.375360317602009E-3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9530.7199999999993</v>
      </c>
      <c r="X68" s="8">
        <f>IFERROR(W68/W444, "NA")</f>
        <v>-8.2738034883123326E-2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9530.7199999999993</v>
      </c>
      <c r="AD68" s="8">
        <f>IFERROR(AC68/AC444, "NA")</f>
        <v>0.20249614479016595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4984.59</v>
      </c>
      <c r="C73" s="15">
        <f>IFERROR(B73/B444, "NA")</f>
        <v>4.6481919796846585E-2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4984.59</v>
      </c>
      <c r="I73" s="15">
        <f>IFERROR(H73/H444, "NA")</f>
        <v>-0.69122700458452235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4984.59</v>
      </c>
      <c r="O73" s="15">
        <f>IFERROR(N73/N444, "NA")</f>
        <v>1.5610797233983946</v>
      </c>
      <c r="P73" s="2"/>
      <c r="Q73" s="14">
        <f>IFERROR(Q64+Q65+Q66+Q67+Q68+Q69+Q70+Q71+Q72, "NA")</f>
        <v>81309.42</v>
      </c>
      <c r="R73" s="15">
        <f>IFERROR(Q73/Q444, "NA")</f>
        <v>7.1452701340007391E-2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81309.42</v>
      </c>
      <c r="X73" s="15">
        <f>IFERROR(W73/W444, "NA")</f>
        <v>-0.70586289685212922</v>
      </c>
      <c r="Y73" s="2"/>
      <c r="Z73" s="14">
        <f>IFERROR(Z64+Z65+Z66+Z67+Z68+Z69+Z70+Z71+Z72, "NA")</f>
        <v>1212.95</v>
      </c>
      <c r="AA73" s="15">
        <f>IFERROR(Z73/Z444, "NA")</f>
        <v>1.1118991793497455E-3</v>
      </c>
      <c r="AB73" s="2"/>
      <c r="AC73" s="14">
        <f t="shared" si="19"/>
        <v>80096.47</v>
      </c>
      <c r="AD73" s="15">
        <f>IFERROR(AC73/AC444, "NA")</f>
        <v>1.7017839561230614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1716.73</v>
      </c>
      <c r="F75" s="8">
        <f>IFERROR(E75/E444, "NA")</f>
        <v>1.5000034950248322E-2</v>
      </c>
      <c r="G75" s="9"/>
      <c r="H75" s="10">
        <f t="shared" ref="H75:H92" si="20">IFERROR(B75-E75, "NA")</f>
        <v>-1716.73</v>
      </c>
      <c r="I75" s="8">
        <f>IFERROR(H75/H444, "NA")</f>
        <v>0.23806373956140567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18797.09</v>
      </c>
      <c r="U75" s="8">
        <f>IFERROR(T75/T444, "NA")</f>
        <v>1.5000004229379251E-2</v>
      </c>
      <c r="V75" s="9"/>
      <c r="W75" s="10">
        <f t="shared" ref="W75:W92" si="22">IFERROR(Q75-T75, "NA")</f>
        <v>-18797.09</v>
      </c>
      <c r="X75" s="8">
        <f>IFERROR(W75/W444, "NA")</f>
        <v>0.16318119597692604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598.15</v>
      </c>
      <c r="C77" s="8">
        <f>IFERROR(B77/B444, "NA")</f>
        <v>5.5778229155223963E-3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598.15</v>
      </c>
      <c r="I77" s="8">
        <f>IFERROR(H77/H444, "NA")</f>
        <v>-8.2947129611910309E-2</v>
      </c>
      <c r="J77" s="9"/>
      <c r="K77" s="7">
        <v>354.38</v>
      </c>
      <c r="L77" s="8">
        <f>IFERROR(K77/K444, "NA")</f>
        <v>3.4060543919148161E-3</v>
      </c>
      <c r="M77" s="9"/>
      <c r="N77" s="10">
        <f t="shared" si="21"/>
        <v>243.76999999999998</v>
      </c>
      <c r="O77" s="8">
        <f>IFERROR(N77/N444, "NA")</f>
        <v>7.6344173577531274E-2</v>
      </c>
      <c r="P77" s="9"/>
      <c r="Q77" s="7">
        <v>4851.34</v>
      </c>
      <c r="R77" s="8">
        <f>IFERROR(Q77/Q444, "NA")</f>
        <v>4.2632372499869196E-3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4851.34</v>
      </c>
      <c r="X77" s="8">
        <f>IFERROR(W77/W444, "NA")</f>
        <v>-4.2115426552232313E-2</v>
      </c>
      <c r="Y77" s="9"/>
      <c r="Z77" s="7">
        <v>1080.55</v>
      </c>
      <c r="AA77" s="8">
        <f>IFERROR(Z77/Z444, "NA")</f>
        <v>9.9052941856331051E-4</v>
      </c>
      <c r="AB77" s="9"/>
      <c r="AC77" s="10">
        <f t="shared" si="23"/>
        <v>3770.79</v>
      </c>
      <c r="AD77" s="8">
        <f>IFERROR(AC77/AC444, "NA")</f>
        <v>8.0116763246985523E-2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4.1113548121386777E-5</v>
      </c>
      <c r="AB79" s="9"/>
      <c r="AC79" s="10">
        <f t="shared" si="23"/>
        <v>-44.85</v>
      </c>
      <c r="AD79" s="8">
        <f>IFERROR(AC79/AC444, "NA")</f>
        <v>-9.5291353579151879E-4</v>
      </c>
    </row>
    <row r="80" spans="1:30" ht="16.5" customHeight="1" x14ac:dyDescent="0.45">
      <c r="A80" s="12" t="s">
        <v>76</v>
      </c>
      <c r="B80" s="7">
        <v>1215.3</v>
      </c>
      <c r="C80" s="8">
        <f>IFERROR(B80/B444, "NA")</f>
        <v>1.1332823186883504E-2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1215.3</v>
      </c>
      <c r="I80" s="8">
        <f>IFERROR(H80/H444, "NA")</f>
        <v>-0.16852904224250539</v>
      </c>
      <c r="J80" s="9"/>
      <c r="K80" s="7">
        <v>998.25</v>
      </c>
      <c r="L80" s="8">
        <f>IFERROR(K80/K444, "NA")</f>
        <v>9.5944855712200607E-3</v>
      </c>
      <c r="M80" s="9"/>
      <c r="N80" s="10">
        <f t="shared" si="21"/>
        <v>217.04999999999995</v>
      </c>
      <c r="O80" s="8">
        <f>IFERROR(N80/N444, "NA")</f>
        <v>6.7975972740711169E-2</v>
      </c>
      <c r="P80" s="9"/>
      <c r="Q80" s="7">
        <v>11791.64</v>
      </c>
      <c r="R80" s="8">
        <f>IFERROR(Q80/Q444, "NA")</f>
        <v>1.0362200729372866E-2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11791.64</v>
      </c>
      <c r="X80" s="8">
        <f>IFERROR(W80/W444, "NA")</f>
        <v>-0.10236552135087719</v>
      </c>
      <c r="Y80" s="9"/>
      <c r="Z80" s="7">
        <v>13880.45</v>
      </c>
      <c r="AA80" s="8">
        <f>IFERROR(Z80/Z444, "NA")</f>
        <v>1.2724070212296613E-2</v>
      </c>
      <c r="AB80" s="9"/>
      <c r="AC80" s="10">
        <f t="shared" si="23"/>
        <v>-2088.8100000000013</v>
      </c>
      <c r="AD80" s="8">
        <f>IFERROR(AC80/AC444, "NA")</f>
        <v>-4.4380274753549241E-2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1813.4499999999998</v>
      </c>
      <c r="C88" s="15">
        <f>IFERROR(B88/B444, "NA")</f>
        <v>1.6910646102405901E-2</v>
      </c>
      <c r="D88" s="2"/>
      <c r="E88" s="14">
        <f>IFERROR(E75+E76+E77+E78+E79+E80+E81+E82+E83+E84+E85+E86+E87, "NA")</f>
        <v>1716.73</v>
      </c>
      <c r="F88" s="15">
        <f>IFERROR(E88/E444, "NA")</f>
        <v>1.5000034950248322E-2</v>
      </c>
      <c r="G88" s="2"/>
      <c r="H88" s="14">
        <f t="shared" si="20"/>
        <v>96.7199999999998</v>
      </c>
      <c r="I88" s="15">
        <f>IFERROR(H88/H444, "NA")</f>
        <v>-1.341243229301003E-2</v>
      </c>
      <c r="J88" s="2"/>
      <c r="K88" s="14">
        <f>IFERROR(K75+K76+K77+K78+K79+K80+K81+K82+K83+K84+K85+K86+K87, "NA")</f>
        <v>1352.63</v>
      </c>
      <c r="L88" s="15">
        <f>IFERROR(K88/K444, "NA")</f>
        <v>1.3000539963134878E-2</v>
      </c>
      <c r="M88" s="2"/>
      <c r="N88" s="14">
        <f t="shared" si="21"/>
        <v>460.81999999999971</v>
      </c>
      <c r="O88" s="15">
        <f>IFERROR(N88/N444, "NA")</f>
        <v>0.14432014631824239</v>
      </c>
      <c r="P88" s="2"/>
      <c r="Q88" s="14">
        <f>IFERROR(Q75+Q76+Q77+Q78+Q79+Q80+Q81+Q82+Q83+Q84+Q85+Q86+Q87, "NA")</f>
        <v>16642.98</v>
      </c>
      <c r="R88" s="15">
        <f>IFERROR(Q88/Q444, "NA")</f>
        <v>1.4625437979359786E-2</v>
      </c>
      <c r="S88" s="2"/>
      <c r="T88" s="14">
        <f>IFERROR(T75+T76+T77+T78+T79+T80+T81+T82+T83+T84+T85+T86+T87, "NA")</f>
        <v>18797.09</v>
      </c>
      <c r="U88" s="15">
        <f>IFERROR(T88/T444, "NA")</f>
        <v>1.5000004229379251E-2</v>
      </c>
      <c r="V88" s="2"/>
      <c r="W88" s="14">
        <f t="shared" si="22"/>
        <v>-2154.1100000000006</v>
      </c>
      <c r="X88" s="15">
        <f>IFERROR(W88/W444, "NA")</f>
        <v>1.8700248073816546E-2</v>
      </c>
      <c r="Y88" s="2"/>
      <c r="Z88" s="14">
        <f>IFERROR(Z75+Z76+Z77+Z78+Z79+Z80+Z81+Z82+Z83+Z84+Z85+Z86+Z87, "NA")</f>
        <v>15005.85</v>
      </c>
      <c r="AA88" s="15">
        <f>IFERROR(Z88/Z444, "NA")</f>
        <v>1.375571317898131E-2</v>
      </c>
      <c r="AB88" s="2"/>
      <c r="AC88" s="14">
        <f t="shared" si="23"/>
        <v>1637.1299999999992</v>
      </c>
      <c r="AD88" s="15">
        <f>IFERROR(AC88/AC444, "NA")</f>
        <v>3.4783574957644781E-2</v>
      </c>
    </row>
    <row r="89" spans="1:30" ht="16.5" customHeight="1" x14ac:dyDescent="0.45">
      <c r="A89" s="6" t="s">
        <v>85</v>
      </c>
      <c r="B89" s="7">
        <v>-17.45</v>
      </c>
      <c r="C89" s="8">
        <f>IFERROR(B89/B444, "NA")</f>
        <v>-1.6272341365186963E-4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-17.45</v>
      </c>
      <c r="I89" s="8">
        <f>IFERROR(H89/H444, "NA")</f>
        <v>2.4198401934762766E-3</v>
      </c>
      <c r="J89" s="9"/>
      <c r="K89" s="7">
        <v>-2</v>
      </c>
      <c r="L89" s="8">
        <f>IFERROR(K89/K444, "NA")</f>
        <v>-1.9222610711184694E-5</v>
      </c>
      <c r="M89" s="9"/>
      <c r="N89" s="10">
        <f t="shared" si="21"/>
        <v>-15.45</v>
      </c>
      <c r="O89" s="8">
        <f>IFERROR(N89/N444, "NA")</f>
        <v>-4.8386490617092267E-3</v>
      </c>
      <c r="P89" s="9"/>
      <c r="Q89" s="7">
        <v>37.69</v>
      </c>
      <c r="R89" s="8">
        <f>IFERROR(Q89/Q444, "NA")</f>
        <v>3.3121037064400143E-5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37.69</v>
      </c>
      <c r="X89" s="8">
        <f>IFERROR(W89/W444, "NA")</f>
        <v>-3.2719422401926803E-4</v>
      </c>
      <c r="Y89" s="9"/>
      <c r="Z89" s="7">
        <v>194.58</v>
      </c>
      <c r="AA89" s="8">
        <f>IFERROR(Z89/Z444, "NA")</f>
        <v>1.7836954723432418E-4</v>
      </c>
      <c r="AB89" s="9"/>
      <c r="AC89" s="10">
        <f t="shared" si="23"/>
        <v>-156.89000000000001</v>
      </c>
      <c r="AD89" s="8">
        <f>IFERROR(AC89/AC444, "NA")</f>
        <v>-3.3333914075882138E-3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-4921.28</v>
      </c>
      <c r="F94" s="8">
        <f>IFERROR(E94/E444, "NA")</f>
        <v>-4.29999895149255E-2</v>
      </c>
      <c r="G94" s="9"/>
      <c r="H94" s="10">
        <f t="shared" ref="H94:H124" si="24">IFERROR(B94-E94, "NA")</f>
        <v>4921.28</v>
      </c>
      <c r="I94" s="8">
        <f>IFERROR(H94/H444, "NA")</f>
        <v>-0.68244763022068378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-53884.98</v>
      </c>
      <c r="U94" s="8">
        <f>IFERROR(T94/T444, "NA")</f>
        <v>-4.3000003080264894E-2</v>
      </c>
      <c r="V94" s="9"/>
      <c r="W94" s="10">
        <f t="shared" ref="W94:W124" si="26">IFERROR(Q94-T94, "NA")</f>
        <v>53884.98</v>
      </c>
      <c r="X94" s="8">
        <f>IFERROR(W94/W444, "NA")</f>
        <v>-0.46778599674698274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-884.5</v>
      </c>
      <c r="C96" s="8">
        <f>IFERROR(B96/B444, "NA")</f>
        <v>-8.248072170491616E-3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-884.5</v>
      </c>
      <c r="I96" s="8">
        <f>IFERROR(H96/H444, "NA")</f>
        <v>0.12265608315929896</v>
      </c>
      <c r="J96" s="9"/>
      <c r="K96" s="7">
        <v>-483.65</v>
      </c>
      <c r="L96" s="8">
        <f>IFERROR(K96/K444, "NA")</f>
        <v>-4.6485078352322389E-3</v>
      </c>
      <c r="M96" s="9"/>
      <c r="N96" s="10">
        <f t="shared" si="25"/>
        <v>-400.85</v>
      </c>
      <c r="O96" s="8">
        <f>IFERROR(N96/N444, "NA")</f>
        <v>-0.12553867161075366</v>
      </c>
      <c r="P96" s="9"/>
      <c r="Q96" s="7">
        <v>-10766.53</v>
      </c>
      <c r="R96" s="8">
        <f>IFERROR(Q96/Q444, "NA")</f>
        <v>-9.4613594901824388E-3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-10766.53</v>
      </c>
      <c r="X96" s="8">
        <f>IFERROR(W96/W444, "NA")</f>
        <v>9.3466341966839214E-2</v>
      </c>
      <c r="Y96" s="9"/>
      <c r="Z96" s="7">
        <v>-10532.97</v>
      </c>
      <c r="AA96" s="8">
        <f>IFERROR(Z96/Z444, "NA")</f>
        <v>-9.6554686500807847E-3</v>
      </c>
      <c r="AB96" s="9"/>
      <c r="AC96" s="10">
        <f t="shared" si="27"/>
        <v>-233.56000000000131</v>
      </c>
      <c r="AD96" s="8">
        <f>IFERROR(AC96/AC444, "NA")</f>
        <v>-4.9623742568443334E-3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-2158.4299999999998</v>
      </c>
      <c r="C98" s="8">
        <f>IFERROR(B98/B444, "NA")</f>
        <v>-2.0127627376997418E-2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-2158.4299999999998</v>
      </c>
      <c r="I98" s="8">
        <f>IFERROR(H98/H444, "NA")</f>
        <v>0.29931551110630372</v>
      </c>
      <c r="J98" s="9"/>
      <c r="K98" s="7">
        <v>-3489.9</v>
      </c>
      <c r="L98" s="8">
        <f>IFERROR(K98/K444, "NA")</f>
        <v>-3.3542494560481736E-2</v>
      </c>
      <c r="M98" s="9"/>
      <c r="N98" s="10">
        <f t="shared" si="25"/>
        <v>1331.4700000000003</v>
      </c>
      <c r="O98" s="8">
        <f>IFERROR(N98/N444, "NA")</f>
        <v>0.41699133114524184</v>
      </c>
      <c r="P98" s="9"/>
      <c r="Q98" s="7">
        <v>-27882.45</v>
      </c>
      <c r="R98" s="8">
        <f>IFERROR(Q98/Q444, "NA")</f>
        <v>-2.4502405409824457E-2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-27882.45</v>
      </c>
      <c r="X98" s="8">
        <f>IFERROR(W98/W444, "NA")</f>
        <v>0.24205297403836668</v>
      </c>
      <c r="Y98" s="9"/>
      <c r="Z98" s="7">
        <v>-29557.34</v>
      </c>
      <c r="AA98" s="8">
        <f>IFERROR(Z98/Z444, "NA")</f>
        <v>-2.7094919073136905E-2</v>
      </c>
      <c r="AB98" s="9"/>
      <c r="AC98" s="10">
        <f t="shared" si="27"/>
        <v>1674.8899999999994</v>
      </c>
      <c r="AD98" s="8">
        <f>IFERROR(AC98/AC444, "NA")</f>
        <v>3.558584954207037E-2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-5.5</v>
      </c>
      <c r="C100" s="8">
        <f>IFERROR(B100/B444, "NA")</f>
        <v>-5.1288181953311346E-5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-5.5</v>
      </c>
      <c r="I100" s="8">
        <f>IFERROR(H100/H444, "NA")</f>
        <v>7.6270034751401274E-4</v>
      </c>
      <c r="J100" s="9"/>
      <c r="K100" s="7">
        <v>-207.43</v>
      </c>
      <c r="L100" s="8">
        <f>IFERROR(K100/K444, "NA")</f>
        <v>-1.9936730699105206E-3</v>
      </c>
      <c r="M100" s="9"/>
      <c r="N100" s="10">
        <f t="shared" si="25"/>
        <v>201.93</v>
      </c>
      <c r="O100" s="8">
        <f>IFERROR(N100/N444, "NA")</f>
        <v>6.324067346478604E-2</v>
      </c>
      <c r="P100" s="9"/>
      <c r="Q100" s="7">
        <v>-3362.19</v>
      </c>
      <c r="R100" s="8">
        <f>IFERROR(Q100/Q444, "NA")</f>
        <v>-2.9546091697414574E-3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-3362.19</v>
      </c>
      <c r="X100" s="8">
        <f>IFERROR(W100/W444, "NA")</f>
        <v>2.9187825631608988E-2</v>
      </c>
      <c r="Y100" s="9"/>
      <c r="Z100" s="7">
        <v>-2860.52</v>
      </c>
      <c r="AA100" s="8">
        <f>IFERROR(Z100/Z444, "NA")</f>
        <v>-2.6222101822115785E-3</v>
      </c>
      <c r="AB100" s="9"/>
      <c r="AC100" s="10">
        <f t="shared" si="27"/>
        <v>-501.67000000000007</v>
      </c>
      <c r="AD100" s="8">
        <f>IFERROR(AC100/AC444, "NA")</f>
        <v>-1.0658821259766584E-2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-129.66999999999999</v>
      </c>
      <c r="C102" s="8">
        <f>IFERROR(B102/B444, "NA")</f>
        <v>-1.2091888279792513E-3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-129.66999999999999</v>
      </c>
      <c r="I102" s="8">
        <f>IFERROR(H102/H444, "NA")</f>
        <v>1.7981700738571277E-2</v>
      </c>
      <c r="J102" s="9"/>
      <c r="K102" s="7">
        <v>-65.28</v>
      </c>
      <c r="L102" s="8">
        <f>IFERROR(K102/K444, "NA")</f>
        <v>-6.2742601361306851E-4</v>
      </c>
      <c r="M102" s="9"/>
      <c r="N102" s="10">
        <f t="shared" si="25"/>
        <v>-64.389999999999986</v>
      </c>
      <c r="O102" s="8">
        <f>IFERROR(N102/N444, "NA")</f>
        <v>-2.0165735474657415E-2</v>
      </c>
      <c r="P102" s="9"/>
      <c r="Q102" s="7">
        <v>-2643.29</v>
      </c>
      <c r="R102" s="8">
        <f>IFERROR(Q102/Q444, "NA")</f>
        <v>-2.3228576827264064E-3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-2643.29</v>
      </c>
      <c r="X102" s="8">
        <f>IFERROR(W102/W444, "NA")</f>
        <v>2.2946914842342556E-2</v>
      </c>
      <c r="Y102" s="9"/>
      <c r="Z102" s="7">
        <v>-2729.73</v>
      </c>
      <c r="AA102" s="8">
        <f>IFERROR(Z102/Z444, "NA")</f>
        <v>-2.5023162923833472E-3</v>
      </c>
      <c r="AB102" s="9"/>
      <c r="AC102" s="10">
        <f t="shared" si="27"/>
        <v>86.440000000000055</v>
      </c>
      <c r="AD102" s="8">
        <f>IFERROR(AC102/AC444, "NA")</f>
        <v>1.8365628993047699E-3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-533.24</v>
      </c>
      <c r="C104" s="8">
        <f>IFERROR(B104/B444, "NA")</f>
        <v>-4.9725291172334077E-3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-533.24</v>
      </c>
      <c r="I104" s="8">
        <f>IFERROR(H104/H444, "NA")</f>
        <v>7.3945878783340399E-2</v>
      </c>
      <c r="J104" s="9"/>
      <c r="K104" s="7">
        <v>-623.77</v>
      </c>
      <c r="L104" s="8">
        <f>IFERROR(K104/K444, "NA")</f>
        <v>-5.9952439416578384E-3</v>
      </c>
      <c r="M104" s="9"/>
      <c r="N104" s="10">
        <f t="shared" si="25"/>
        <v>90.529999999999973</v>
      </c>
      <c r="O104" s="8">
        <f>IFERROR(N104/N444, "NA")</f>
        <v>2.8352291233432764E-2</v>
      </c>
      <c r="P104" s="9"/>
      <c r="Q104" s="7">
        <v>-7792.55</v>
      </c>
      <c r="R104" s="8">
        <f>IFERROR(Q104/Q444, "NA")</f>
        <v>-6.8478996385298845E-3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-7792.55</v>
      </c>
      <c r="X104" s="8">
        <f>IFERROR(W104/W444, "NA")</f>
        <v>6.7648642886212446E-2</v>
      </c>
      <c r="Y104" s="9"/>
      <c r="Z104" s="7">
        <v>-10801.38</v>
      </c>
      <c r="AA104" s="8">
        <f>IFERROR(Z104/Z444, "NA")</f>
        <v>-9.9015174226841605E-3</v>
      </c>
      <c r="AB104" s="9"/>
      <c r="AC104" s="10">
        <f t="shared" si="27"/>
        <v>3008.829999999999</v>
      </c>
      <c r="AD104" s="8">
        <f>IFERROR(AC104/AC444, "NA")</f>
        <v>6.3927644011050042E-2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-475.12</v>
      </c>
      <c r="L106" s="8">
        <f>IFERROR(K106/K444, "NA")</f>
        <v>-4.5665234005490361E-3</v>
      </c>
      <c r="M106" s="9"/>
      <c r="N106" s="10">
        <f t="shared" si="25"/>
        <v>475.12</v>
      </c>
      <c r="O106" s="8">
        <f>IFERROR(N106/N444, "NA")</f>
        <v>0.14879863703555263</v>
      </c>
      <c r="P106" s="9"/>
      <c r="Q106" s="7">
        <v>-259.08999999999997</v>
      </c>
      <c r="R106" s="8">
        <f>IFERROR(Q106/Q444, "NA")</f>
        <v>-2.2768186503092154E-4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-259.08999999999997</v>
      </c>
      <c r="X106" s="8">
        <f>IFERROR(W106/W444, "NA")</f>
        <v>2.2492107057880645E-3</v>
      </c>
      <c r="Y106" s="9"/>
      <c r="Z106" s="7">
        <v>-3342.57</v>
      </c>
      <c r="AA106" s="8">
        <f>IFERROR(Z106/Z444, "NA")</f>
        <v>-3.0641006141383233E-3</v>
      </c>
      <c r="AB106" s="9"/>
      <c r="AC106" s="10">
        <f t="shared" si="27"/>
        <v>3083.48</v>
      </c>
      <c r="AD106" s="8">
        <f>IFERROR(AC106/AC444, "NA")</f>
        <v>6.5513708569507959E-2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-4.5834501807566083E-6</v>
      </c>
      <c r="AB108" s="9"/>
      <c r="AC108" s="10">
        <f t="shared" si="27"/>
        <v>5</v>
      </c>
      <c r="AD108" s="8">
        <f>IFERROR(AC108/AC444, "NA")</f>
        <v>1.0623339306482929E-4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-3711.34</v>
      </c>
      <c r="C118" s="15">
        <f>IFERROR(B118/B444, "NA")</f>
        <v>-3.4608705674655009E-2</v>
      </c>
      <c r="D118" s="2"/>
      <c r="E118" s="14">
        <f>IFERROR(E94+E95+E96+E97+E98+E99+E100+E101+E102+E103+E104+E105+E106+E107+E108+E109+E110+E111+E112+E113+E114+E115+E116+E117, "NA")</f>
        <v>-4921.28</v>
      </c>
      <c r="F118" s="15">
        <f>IFERROR(E118/E444, "NA")</f>
        <v>-4.29999895149255E-2</v>
      </c>
      <c r="G118" s="2"/>
      <c r="H118" s="14">
        <f t="shared" si="24"/>
        <v>1209.9399999999996</v>
      </c>
      <c r="I118" s="15">
        <f>IFERROR(H118/H444, "NA")</f>
        <v>-0.16778575608565532</v>
      </c>
      <c r="J118" s="2"/>
      <c r="K118" s="14">
        <f>IFERROR(K94+K95+K96+K97+K98+K99+K100+K101+K102+K103+K104+K105+K106+K107+K108+K109+K110+K111+K112+K113+K114+K115+K116+K117, "NA")</f>
        <v>-5345.1500000000005</v>
      </c>
      <c r="L118" s="15">
        <f>IFERROR(K118/K444, "NA")</f>
        <v>-5.1373868821444443E-2</v>
      </c>
      <c r="M118" s="2"/>
      <c r="N118" s="14">
        <f t="shared" si="25"/>
        <v>1633.8100000000004</v>
      </c>
      <c r="O118" s="15">
        <f>IFERROR(N118/N444, "NA")</f>
        <v>0.51167852579360218</v>
      </c>
      <c r="P118" s="2"/>
      <c r="Q118" s="14">
        <f>IFERROR(Q94+Q95+Q96+Q97+Q98+Q99+Q100+Q101+Q102+Q103+Q104+Q105+Q106+Q107+Q108+Q109+Q110+Q111+Q112+Q113+Q114+Q115+Q116+Q117, "NA")</f>
        <v>-52706.100000000006</v>
      </c>
      <c r="R118" s="15">
        <f>IFERROR(Q118/Q444, "NA")</f>
        <v>-4.6316813256035573E-2</v>
      </c>
      <c r="S118" s="2"/>
      <c r="T118" s="14">
        <f>IFERROR(T94+T95+T96+T97+T98+T99+T100+T101+T102+T103+T104+T105+T106+T107+T108+T109+T110+T111+T112+T113+T114+T115+T116+T117, "NA")</f>
        <v>-53884.98</v>
      </c>
      <c r="U118" s="15">
        <f>IFERROR(T118/T444, "NA")</f>
        <v>-4.3000003080264894E-2</v>
      </c>
      <c r="V118" s="2"/>
      <c r="W118" s="14">
        <f t="shared" si="26"/>
        <v>1178.8799999999974</v>
      </c>
      <c r="X118" s="15">
        <f>IFERROR(W118/W444, "NA")</f>
        <v>-1.0234086675824724E-2</v>
      </c>
      <c r="Y118" s="2"/>
      <c r="Z118" s="14">
        <f>IFERROR(Z94+Z95+Z96+Z97+Z98+Z99+Z100+Z101+Z102+Z103+Z104+Z105+Z106+Z107+Z108+Z109+Z110+Z111+Z112+Z113+Z114+Z115+Z116+Z117, "NA")</f>
        <v>-59829.509999999995</v>
      </c>
      <c r="AA118" s="15">
        <f>IFERROR(Z118/Z444, "NA")</f>
        <v>-5.484511568481585E-2</v>
      </c>
      <c r="AB118" s="2"/>
      <c r="AC118" s="14">
        <f t="shared" si="27"/>
        <v>7123.4099999999889</v>
      </c>
      <c r="AD118" s="15">
        <f>IFERROR(AC118/AC444, "NA")</f>
        <v>0.1513488028983869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107237.18000000001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114448.4</v>
      </c>
      <c r="F122" s="15">
        <f>IFERROR(E122/E444, "NA")</f>
        <v>1</v>
      </c>
      <c r="G122" s="2"/>
      <c r="H122" s="14">
        <f t="shared" si="24"/>
        <v>-7211.2199999999866</v>
      </c>
      <c r="I122" s="15">
        <f>IFERROR(H122/H444, "NA")</f>
        <v>0.999999999999998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104044.14000000001</v>
      </c>
      <c r="L122" s="15">
        <f>IFERROR(K122/K444, "NA")</f>
        <v>1.0000000000000002</v>
      </c>
      <c r="M122" s="2"/>
      <c r="N122" s="14">
        <f t="shared" si="25"/>
        <v>3193.0399999999936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1137947.46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1253138.9800000002</v>
      </c>
      <c r="U122" s="15">
        <f>IFERROR(T122/T444, "NA")</f>
        <v>1.0000000000000002</v>
      </c>
      <c r="V122" s="2"/>
      <c r="W122" s="14">
        <f t="shared" si="26"/>
        <v>-115191.52000000025</v>
      </c>
      <c r="X122" s="15">
        <f>IFERROR(W122/W444, "NA")</f>
        <v>1.000000000000002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1090881.2799999998</v>
      </c>
      <c r="AA122" s="15">
        <f>IFERROR(Z122/Z444, "NA")</f>
        <v>0.99999999999999978</v>
      </c>
      <c r="AB122" s="2"/>
      <c r="AC122" s="14">
        <f t="shared" si="27"/>
        <v>47066.180000000168</v>
      </c>
      <c r="AD122" s="15">
        <f>IFERROR(AC122/AC444, "NA")</f>
        <v>1.0000000000000049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107237.18000000001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114448.4</v>
      </c>
      <c r="F124" s="15">
        <f>IFERROR(E124/E444, "NA")</f>
        <v>1</v>
      </c>
      <c r="G124" s="2"/>
      <c r="H124" s="14">
        <f t="shared" si="24"/>
        <v>-7211.2199999999866</v>
      </c>
      <c r="I124" s="15">
        <f>IFERROR(H124/H444, "NA")</f>
        <v>0.999999999999998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104044.14000000001</v>
      </c>
      <c r="L124" s="15">
        <f>IFERROR(K124/K444, "NA")</f>
        <v>1.0000000000000002</v>
      </c>
      <c r="M124" s="2"/>
      <c r="N124" s="14">
        <f t="shared" si="25"/>
        <v>3193.0399999999936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1137947.46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1253138.9800000002</v>
      </c>
      <c r="U124" s="15">
        <f>IFERROR(T124/T444, "NA")</f>
        <v>1.0000000000000002</v>
      </c>
      <c r="V124" s="2"/>
      <c r="W124" s="14">
        <f t="shared" si="26"/>
        <v>-115191.52000000025</v>
      </c>
      <c r="X124" s="15">
        <f>IFERROR(W124/W444, "NA")</f>
        <v>1.000000000000002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1090881.2799999998</v>
      </c>
      <c r="AA124" s="15">
        <f>IFERROR(Z124/Z444, "NA")</f>
        <v>0.99999999999999978</v>
      </c>
      <c r="AB124" s="2"/>
      <c r="AC124" s="14">
        <f t="shared" si="27"/>
        <v>47066.180000000168</v>
      </c>
      <c r="AD124" s="15">
        <f>IFERROR(AC124/AC444, "NA")</f>
        <v>1.0000000000000049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25178.65</v>
      </c>
      <c r="F129" s="8">
        <f>IFERROR(E129/E444, "NA")</f>
        <v>0.22000001747512418</v>
      </c>
      <c r="G129" s="9"/>
      <c r="H129" s="10">
        <f t="shared" ref="H129:H141" si="28">IFERROR(-(B129-E129), "NA")</f>
        <v>25178.65</v>
      </c>
      <c r="I129" s="8">
        <f>IFERROR(H129/H444, "NA")</f>
        <v>-3.4915936554424905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286824.83</v>
      </c>
      <c r="U129" s="8">
        <f>IFERROR(T129/T444, "NA")</f>
        <v>0.22888509142058611</v>
      </c>
      <c r="V129" s="9"/>
      <c r="W129" s="10">
        <f t="shared" ref="W129:W141" si="30">IFERROR(-(Q129-T129), "NA")</f>
        <v>286824.83</v>
      </c>
      <c r="X129" s="8">
        <f>IFERROR(W129/W444, "NA")</f>
        <v>-2.4899821618813602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5515.4</v>
      </c>
      <c r="C130" s="8">
        <f>IFERROR(B130/B444, "NA")</f>
        <v>5.1431788862780617E-2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-5515.4</v>
      </c>
      <c r="I130" s="8">
        <f>IFERROR(H130/H444, "NA")</f>
        <v>0.76483590848705196</v>
      </c>
      <c r="J130" s="9"/>
      <c r="K130" s="7">
        <v>7040.23</v>
      </c>
      <c r="L130" s="8">
        <f>IFERROR(K130/K444, "NA")</f>
        <v>6.7665800303601906E-2</v>
      </c>
      <c r="M130" s="9"/>
      <c r="N130" s="10">
        <f t="shared" si="29"/>
        <v>1524.83</v>
      </c>
      <c r="O130" s="8">
        <f>IFERROR(N130/N444, "NA")</f>
        <v>0.47754804199133211</v>
      </c>
      <c r="P130" s="9"/>
      <c r="Q130" s="7">
        <v>64388.57</v>
      </c>
      <c r="R130" s="8">
        <f>IFERROR(Q130/Q444, "NA")</f>
        <v>5.6583078097472095E-2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-64388.57</v>
      </c>
      <c r="X130" s="8">
        <f>IFERROR(W130/W444, "NA")</f>
        <v>0.55896970540887025</v>
      </c>
      <c r="Y130" s="9"/>
      <c r="Z130" s="7">
        <v>74116.27</v>
      </c>
      <c r="AA130" s="8">
        <f>IFERROR(Z130/Z444, "NA")</f>
        <v>6.7941646225701119E-2</v>
      </c>
      <c r="AB130" s="9"/>
      <c r="AC130" s="10">
        <f t="shared" si="31"/>
        <v>9727.7000000000044</v>
      </c>
      <c r="AD130" s="8">
        <f>IFERROR(AC130/AC444, "NA")</f>
        <v>0.20668131554334807</v>
      </c>
    </row>
    <row r="131" spans="1:30" ht="16.5" customHeight="1" x14ac:dyDescent="0.45">
      <c r="A131" s="12" t="s">
        <v>123</v>
      </c>
      <c r="B131" s="7">
        <v>3687.64</v>
      </c>
      <c r="C131" s="8">
        <f>IFERROR(B131/B444, "NA")</f>
        <v>3.4387700236056189E-2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-3687.64</v>
      </c>
      <c r="I131" s="8">
        <f>IFERROR(H131/H444, "NA")</f>
        <v>0.51137532900119531</v>
      </c>
      <c r="J131" s="9"/>
      <c r="K131" s="7">
        <v>3649.42</v>
      </c>
      <c r="L131" s="8">
        <f>IFERROR(K131/K444, "NA")</f>
        <v>3.5075689990805826E-2</v>
      </c>
      <c r="M131" s="9"/>
      <c r="N131" s="10">
        <f t="shared" si="29"/>
        <v>-38.2199999999998</v>
      </c>
      <c r="O131" s="8">
        <f>IFERROR(N131/N444, "NA")</f>
        <v>-1.1969784280810724E-2</v>
      </c>
      <c r="P131" s="9"/>
      <c r="Q131" s="7">
        <v>36026.5</v>
      </c>
      <c r="R131" s="8">
        <f>IFERROR(Q131/Q444, "NA")</f>
        <v>3.1659194529069033E-2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-36026.5</v>
      </c>
      <c r="X131" s="8">
        <f>IFERROR(W131/W444, "NA")</f>
        <v>0.31275305682223825</v>
      </c>
      <c r="Y131" s="9"/>
      <c r="Z131" s="7">
        <v>36067.620000000003</v>
      </c>
      <c r="AA131" s="8">
        <f>IFERROR(Z131/Z444, "NA")</f>
        <v>3.3062827881692132E-2</v>
      </c>
      <c r="AB131" s="9"/>
      <c r="AC131" s="10">
        <f t="shared" si="31"/>
        <v>41.120000000002619</v>
      </c>
      <c r="AD131" s="8">
        <f>IFERROR(AC131/AC444, "NA")</f>
        <v>8.7366342456521176E-4</v>
      </c>
    </row>
    <row r="132" spans="1:30" ht="16.5" customHeight="1" x14ac:dyDescent="0.45">
      <c r="A132" s="12" t="s">
        <v>124</v>
      </c>
      <c r="B132" s="7">
        <v>4521.2700000000004</v>
      </c>
      <c r="C132" s="8">
        <f>IFERROR(B132/B444, "NA")</f>
        <v>4.2161403349099638E-2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-4521.2700000000004</v>
      </c>
      <c r="I132" s="8">
        <f>IFERROR(H132/H444, "NA")</f>
        <v>0.62697712730994193</v>
      </c>
      <c r="J132" s="9"/>
      <c r="K132" s="7">
        <v>4025.99</v>
      </c>
      <c r="L132" s="8">
        <f>IFERROR(K132/K444, "NA")</f>
        <v>3.8695019248561231E-2</v>
      </c>
      <c r="M132" s="9"/>
      <c r="N132" s="10">
        <f t="shared" si="29"/>
        <v>-495.28000000000065</v>
      </c>
      <c r="O132" s="8">
        <f>IFERROR(N132/N444, "NA")</f>
        <v>-0.15511236940345302</v>
      </c>
      <c r="P132" s="9"/>
      <c r="Q132" s="7">
        <v>53172.160000000003</v>
      </c>
      <c r="R132" s="8">
        <f>IFERROR(Q132/Q444, "NA")</f>
        <v>4.6726375222982619E-2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-53172.160000000003</v>
      </c>
      <c r="X132" s="8">
        <f>IFERROR(W132/W444, "NA")</f>
        <v>0.46159786762081095</v>
      </c>
      <c r="Y132" s="9"/>
      <c r="Z132" s="7">
        <v>38225.449999999997</v>
      </c>
      <c r="AA132" s="8">
        <f>IFERROR(Z132/Z444, "NA")</f>
        <v>3.5040889142400534E-2</v>
      </c>
      <c r="AB132" s="9"/>
      <c r="AC132" s="10">
        <f t="shared" si="31"/>
        <v>-14946.710000000006</v>
      </c>
      <c r="AD132" s="8">
        <f>IFERROR(AC132/AC444, "NA")</f>
        <v>-0.31756794369120306</v>
      </c>
    </row>
    <row r="133" spans="1:30" ht="16.5" customHeight="1" x14ac:dyDescent="0.45">
      <c r="A133" s="12" t="s">
        <v>125</v>
      </c>
      <c r="B133" s="7">
        <v>3227.66</v>
      </c>
      <c r="C133" s="8">
        <f>IFERROR(B133/B444, "NA")</f>
        <v>3.009832970244089E-2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-3227.66</v>
      </c>
      <c r="I133" s="8">
        <f>IFERROR(H133/H444, "NA")</f>
        <v>0.4475886188467415</v>
      </c>
      <c r="J133" s="9"/>
      <c r="K133" s="7">
        <v>2518.19</v>
      </c>
      <c r="L133" s="8">
        <f>IFERROR(K133/K444, "NA")</f>
        <v>2.4203093033399094E-2</v>
      </c>
      <c r="M133" s="9"/>
      <c r="N133" s="10">
        <f t="shared" si="29"/>
        <v>-709.4699999999998</v>
      </c>
      <c r="O133" s="8">
        <f>IFERROR(N133/N444, "NA")</f>
        <v>-0.22219264400070191</v>
      </c>
      <c r="P133" s="9"/>
      <c r="Q133" s="7">
        <v>29725.47</v>
      </c>
      <c r="R133" s="8">
        <f>IFERROR(Q133/Q444, "NA")</f>
        <v>2.6122005667994552E-2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-29725.47</v>
      </c>
      <c r="X133" s="8">
        <f>IFERROR(W133/W444, "NA")</f>
        <v>0.25805258928782254</v>
      </c>
      <c r="Y133" s="9"/>
      <c r="Z133" s="7">
        <v>25218.959999999999</v>
      </c>
      <c r="AA133" s="8">
        <f>IFERROR(Z133/Z444, "NA")</f>
        <v>2.3117969354098732E-2</v>
      </c>
      <c r="AB133" s="9"/>
      <c r="AC133" s="10">
        <f t="shared" si="31"/>
        <v>-4506.510000000002</v>
      </c>
      <c r="AD133" s="8">
        <f>IFERROR(AC133/AC444, "NA")</f>
        <v>-9.5748369636116812E-2</v>
      </c>
    </row>
    <row r="134" spans="1:30" ht="16.5" customHeight="1" x14ac:dyDescent="0.45">
      <c r="A134" s="12" t="s">
        <v>126</v>
      </c>
      <c r="B134" s="7">
        <v>1680.89</v>
      </c>
      <c r="C134" s="8">
        <f>IFERROR(B134/B444, "NA")</f>
        <v>1.5674507666091183E-2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-1680.89</v>
      </c>
      <c r="I134" s="8">
        <f>IFERROR(H134/H444, "NA")</f>
        <v>0.23309370675142346</v>
      </c>
      <c r="J134" s="9"/>
      <c r="K134" s="7">
        <v>1134.8900000000001</v>
      </c>
      <c r="L134" s="8">
        <f>IFERROR(K134/K444, "NA")</f>
        <v>1.09077743350082E-2</v>
      </c>
      <c r="M134" s="9"/>
      <c r="N134" s="10">
        <f t="shared" si="29"/>
        <v>-546</v>
      </c>
      <c r="O134" s="8">
        <f>IFERROR(N134/N444, "NA")</f>
        <v>-0.17099691829729696</v>
      </c>
      <c r="P134" s="9"/>
      <c r="Q134" s="7">
        <v>11347.72</v>
      </c>
      <c r="R134" s="8">
        <f>IFERROR(Q134/Q444, "NA")</f>
        <v>9.9720948452224675E-3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-11347.72</v>
      </c>
      <c r="X134" s="8">
        <f>IFERROR(W134/W444, "NA")</f>
        <v>9.8511765449401115E-2</v>
      </c>
      <c r="Y134" s="9"/>
      <c r="Z134" s="7">
        <v>13642.71</v>
      </c>
      <c r="AA134" s="8">
        <f>IFERROR(Z134/Z444, "NA")</f>
        <v>1.2506136323101996E-2</v>
      </c>
      <c r="AB134" s="9"/>
      <c r="AC134" s="10">
        <f t="shared" si="31"/>
        <v>2294.9899999999998</v>
      </c>
      <c r="AD134" s="8">
        <f>IFERROR(AC134/AC444, "NA")</f>
        <v>4.8760914949970507E-2</v>
      </c>
    </row>
    <row r="135" spans="1:30" ht="16.5" customHeight="1" x14ac:dyDescent="0.45">
      <c r="A135" s="12" t="s">
        <v>127</v>
      </c>
      <c r="B135" s="7">
        <v>837.26</v>
      </c>
      <c r="C135" s="8">
        <f>IFERROR(B135/B444, "NA")</f>
        <v>7.8075533131326284E-3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-837.26</v>
      </c>
      <c r="I135" s="8">
        <f>IFERROR(H135/H444, "NA")</f>
        <v>0.11610518053810588</v>
      </c>
      <c r="J135" s="9"/>
      <c r="K135" s="7">
        <v>811.57</v>
      </c>
      <c r="L135" s="8">
        <f>IFERROR(K135/K444, "NA")</f>
        <v>7.8002470874380817E-3</v>
      </c>
      <c r="M135" s="9"/>
      <c r="N135" s="10">
        <f t="shared" si="29"/>
        <v>-25.689999999999941</v>
      </c>
      <c r="O135" s="8">
        <f>IFERROR(N135/N444, "NA")</f>
        <v>-8.0456242327061334E-3</v>
      </c>
      <c r="P135" s="9"/>
      <c r="Q135" s="7">
        <v>8874.98</v>
      </c>
      <c r="R135" s="8">
        <f>IFERROR(Q135/Q444, "NA")</f>
        <v>7.799112271844255E-3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-8874.98</v>
      </c>
      <c r="X135" s="8">
        <f>IFERROR(W135/W444, "NA")</f>
        <v>7.7045428344030858E-2</v>
      </c>
      <c r="Y135" s="9"/>
      <c r="Z135" s="7">
        <v>8695.3799999999992</v>
      </c>
      <c r="AA135" s="8">
        <f>IFERROR(Z135/Z444, "NA")</f>
        <v>7.9709682065494773E-3</v>
      </c>
      <c r="AB135" s="9"/>
      <c r="AC135" s="10">
        <f t="shared" si="31"/>
        <v>-179.60000000000036</v>
      </c>
      <c r="AD135" s="8">
        <f>IFERROR(AC135/AC444, "NA")</f>
        <v>-3.8159034788886759E-3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898.39</v>
      </c>
      <c r="L136" s="8">
        <f>IFERROR(K136/K444, "NA")</f>
        <v>8.6347006184106095E-3</v>
      </c>
      <c r="M136" s="9"/>
      <c r="N136" s="10">
        <f t="shared" si="29"/>
        <v>898.39</v>
      </c>
      <c r="O136" s="8">
        <f>IFERROR(N136/N444, "NA")</f>
        <v>0.28135883045624288</v>
      </c>
      <c r="P136" s="9"/>
      <c r="Q136" s="7">
        <v>5225.92</v>
      </c>
      <c r="R136" s="8">
        <f>IFERROR(Q136/Q444, "NA")</f>
        <v>4.5924088621806846E-3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4.5367228420980982E-2</v>
      </c>
      <c r="Y136" s="9"/>
      <c r="Z136" s="7">
        <v>9401.73</v>
      </c>
      <c r="AA136" s="8">
        <f>IFERROR(Z136/Z444, "NA")</f>
        <v>8.6184722135849642E-3</v>
      </c>
      <c r="AB136" s="9"/>
      <c r="AC136" s="10">
        <f t="shared" si="31"/>
        <v>4175.8099999999995</v>
      </c>
      <c r="AD136" s="8">
        <f>IFERROR(AC136/AC444, "NA")</f>
        <v>8.8722093018808942E-2</v>
      </c>
    </row>
    <row r="137" spans="1:30" ht="16.5" customHeight="1" x14ac:dyDescent="0.45">
      <c r="A137" s="12" t="s">
        <v>129</v>
      </c>
      <c r="B137" s="7">
        <v>754.38</v>
      </c>
      <c r="C137" s="8">
        <f>IFERROR(B137/B444, "NA")</f>
        <v>7.0346870367161843E-3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-754.38</v>
      </c>
      <c r="I137" s="8">
        <f>IFERROR(H137/H444, "NA")</f>
        <v>0.10461197966502199</v>
      </c>
      <c r="J137" s="9"/>
      <c r="K137" s="7">
        <v>549.54</v>
      </c>
      <c r="L137" s="8">
        <f>IFERROR(K137/K444, "NA")</f>
        <v>5.2817967451122185E-3</v>
      </c>
      <c r="M137" s="9"/>
      <c r="N137" s="10">
        <f t="shared" si="29"/>
        <v>-204.84000000000003</v>
      </c>
      <c r="O137" s="8">
        <f>IFERROR(N137/N444, "NA")</f>
        <v>-6.4152030666700208E-2</v>
      </c>
      <c r="P137" s="9"/>
      <c r="Q137" s="7">
        <v>6228.28</v>
      </c>
      <c r="R137" s="8">
        <f>IFERROR(Q137/Q444, "NA")</f>
        <v>5.4732579657060789E-3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-6228.28</v>
      </c>
      <c r="X137" s="8">
        <f>IFERROR(W137/W444, "NA")</f>
        <v>5.4068910628143452E-2</v>
      </c>
      <c r="Y137" s="9"/>
      <c r="Z137" s="7">
        <v>5887.05</v>
      </c>
      <c r="AA137" s="8">
        <f>IFERROR(Z137/Z444, "NA")</f>
        <v>5.3966000773246377E-3</v>
      </c>
      <c r="AB137" s="9"/>
      <c r="AC137" s="10">
        <f t="shared" si="31"/>
        <v>-341.22999999999956</v>
      </c>
      <c r="AD137" s="8">
        <f>IFERROR(AC137/AC444, "NA")</f>
        <v>-7.2500041431023303E-3</v>
      </c>
    </row>
    <row r="138" spans="1:30" ht="16.5" customHeight="1" x14ac:dyDescent="0.45">
      <c r="A138" s="12" t="s">
        <v>130</v>
      </c>
      <c r="B138" s="7">
        <v>7188.72</v>
      </c>
      <c r="C138" s="8">
        <f>IFERROR(B138/B444, "NA")</f>
        <v>6.703570534025606E-2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-7188.72</v>
      </c>
      <c r="I138" s="8">
        <f>IFERROR(H138/H444, "NA")</f>
        <v>0.99687986221471525</v>
      </c>
      <c r="J138" s="9"/>
      <c r="K138" s="7">
        <v>5038.7</v>
      </c>
      <c r="L138" s="8">
        <f>IFERROR(K138/K444, "NA")</f>
        <v>4.8428484295223159E-2</v>
      </c>
      <c r="M138" s="9"/>
      <c r="N138" s="10">
        <f t="shared" si="29"/>
        <v>-2150.0200000000004</v>
      </c>
      <c r="O138" s="8">
        <f>IFERROR(N138/N444, "NA")</f>
        <v>-0.67334577706511811</v>
      </c>
      <c r="P138" s="9"/>
      <c r="Q138" s="7">
        <v>71082.55</v>
      </c>
      <c r="R138" s="8">
        <f>IFERROR(Q138/Q444, "NA")</f>
        <v>6.2465581671055363E-2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-71082.55</v>
      </c>
      <c r="X138" s="8">
        <f>IFERROR(W138/W444, "NA")</f>
        <v>0.61708144835661505</v>
      </c>
      <c r="Y138" s="9"/>
      <c r="Z138" s="7">
        <v>54801.48</v>
      </c>
      <c r="AA138" s="8">
        <f>IFERROR(Z138/Z444, "NA")</f>
        <v>5.0235970682345928E-2</v>
      </c>
      <c r="AB138" s="9"/>
      <c r="AC138" s="10">
        <f t="shared" si="31"/>
        <v>-16281.07</v>
      </c>
      <c r="AD138" s="8">
        <f>IFERROR(AC138/AC444, "NA")</f>
        <v>-0.34591866176520003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1.1370623208420994E-4</v>
      </c>
      <c r="AB140" s="9"/>
      <c r="AC140" s="10">
        <f t="shared" si="31"/>
        <v>124.04</v>
      </c>
      <c r="AD140" s="8">
        <f>IFERROR(AC140/AC444, "NA")</f>
        <v>2.6354380151522852E-3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27413.22</v>
      </c>
      <c r="C141" s="15">
        <f>IFERROR(B141/B444, "NA")</f>
        <v>0.2556316755065734</v>
      </c>
      <c r="D141" s="2"/>
      <c r="E141" s="14">
        <f>IFERROR(E129+E130+E131+E132+E133+E134+E135+E136+E137+E138+E139+E140, "NA")</f>
        <v>25178.65</v>
      </c>
      <c r="F141" s="15">
        <f>IFERROR(E141/E444, "NA")</f>
        <v>0.22000001747512418</v>
      </c>
      <c r="G141" s="2"/>
      <c r="H141" s="14">
        <f t="shared" si="28"/>
        <v>-2234.5699999999997</v>
      </c>
      <c r="I141" s="15">
        <f>IFERROR(H141/H444, "NA")</f>
        <v>0.30987405737170676</v>
      </c>
      <c r="J141" s="2"/>
      <c r="K141" s="14">
        <f>IFERROR(K129+K130+K131+K132+K133+K134+K135+K136+K137+K138+K139+K140, "NA")</f>
        <v>25666.92</v>
      </c>
      <c r="L141" s="15">
        <f>IFERROR(K141/K444, "NA")</f>
        <v>0.24669260565756032</v>
      </c>
      <c r="M141" s="2"/>
      <c r="N141" s="14">
        <f t="shared" si="29"/>
        <v>-1746.3000000000029</v>
      </c>
      <c r="O141" s="15">
        <f>IFERROR(N141/N444, "NA")</f>
        <v>-0.54690827549921284</v>
      </c>
      <c r="P141" s="2"/>
      <c r="Q141" s="14">
        <f>IFERROR(Q129+Q130+Q131+Q132+Q133+Q134+Q135+Q136+Q137+Q138+Q139+Q140, "NA")</f>
        <v>286072.15000000002</v>
      </c>
      <c r="R141" s="15">
        <f>IFERROR(Q141/Q444, "NA")</f>
        <v>0.25139310913352714</v>
      </c>
      <c r="S141" s="2"/>
      <c r="T141" s="14">
        <f>IFERROR(T129+T130+T131+T132+T133+T134+T135+T136+T137+T138+T139+T140, "NA")</f>
        <v>286824.83</v>
      </c>
      <c r="U141" s="15">
        <f>IFERROR(T141/T444, "NA")</f>
        <v>0.22888509142058611</v>
      </c>
      <c r="V141" s="2"/>
      <c r="W141" s="14">
        <f t="shared" si="30"/>
        <v>752.67999999999302</v>
      </c>
      <c r="X141" s="15">
        <f>IFERROR(W141/W444, "NA")</f>
        <v>-6.5341615424468133E-3</v>
      </c>
      <c r="Y141" s="2"/>
      <c r="Z141" s="14">
        <f>IFERROR(Z129+Z130+Z131+Z132+Z133+Z134+Z135+Z136+Z137+Z138+Z139+Z140, "NA")</f>
        <v>266180.69</v>
      </c>
      <c r="AA141" s="15">
        <f>IFERROR(Z141/Z444, "NA")</f>
        <v>0.24400518633888374</v>
      </c>
      <c r="AB141" s="2"/>
      <c r="AC141" s="14">
        <f t="shared" si="31"/>
        <v>-19891.460000000021</v>
      </c>
      <c r="AD141" s="15">
        <f>IFERROR(AC141/AC444, "NA")</f>
        <v>-0.4226274577626663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663.36</v>
      </c>
      <c r="C144" s="8">
        <f>IFERROR(B144/B444, "NA")</f>
        <v>6.1859142510088394E-3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-663.36</v>
      </c>
      <c r="I144" s="8">
        <f>IFERROR(H144/H444, "NA")</f>
        <v>9.1989982277617371E-2</v>
      </c>
      <c r="J144" s="9"/>
      <c r="K144" s="7">
        <v>1542.47</v>
      </c>
      <c r="L144" s="8">
        <f>IFERROR(K144/K444, "NA")</f>
        <v>1.4825150171840528E-2</v>
      </c>
      <c r="M144" s="9"/>
      <c r="N144" s="10">
        <f t="shared" si="33"/>
        <v>879.11</v>
      </c>
      <c r="O144" s="8">
        <f>IFERROR(N144/N444, "NA")</f>
        <v>0.27532069751710025</v>
      </c>
      <c r="P144" s="9"/>
      <c r="Q144" s="7">
        <v>16628.82</v>
      </c>
      <c r="R144" s="8">
        <f>IFERROR(Q144/Q444, "NA")</f>
        <v>1.4612994522611791E-2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-16628.82</v>
      </c>
      <c r="X144" s="8">
        <f>IFERROR(W144/W444, "NA")</f>
        <v>0.14435802218774435</v>
      </c>
      <c r="Y144" s="9"/>
      <c r="Z144" s="7">
        <v>13066.81</v>
      </c>
      <c r="AA144" s="8">
        <f>IFERROR(Z144/Z444, "NA")</f>
        <v>1.197821453128245E-2</v>
      </c>
      <c r="AB144" s="9"/>
      <c r="AC144" s="10">
        <f t="shared" si="35"/>
        <v>-3562.01</v>
      </c>
      <c r="AD144" s="8">
        <f>IFERROR(AC144/AC444, "NA")</f>
        <v>-7.5680881686170515E-2</v>
      </c>
    </row>
    <row r="145" spans="1:30" ht="16.5" customHeight="1" x14ac:dyDescent="0.45">
      <c r="A145" s="12" t="s">
        <v>136</v>
      </c>
      <c r="B145" s="7">
        <v>53.83</v>
      </c>
      <c r="C145" s="8">
        <f>IFERROR(B145/B444, "NA")</f>
        <v>5.0197142446304537E-4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-53.83</v>
      </c>
      <c r="I145" s="8">
        <f>IFERROR(H145/H444, "NA")</f>
        <v>7.4647563103053287E-3</v>
      </c>
      <c r="J145" s="9"/>
      <c r="K145" s="7">
        <v>57.37</v>
      </c>
      <c r="L145" s="8">
        <f>IFERROR(K145/K444, "NA")</f>
        <v>5.5140058825033295E-4</v>
      </c>
      <c r="M145" s="9"/>
      <c r="N145" s="10">
        <f t="shared" si="33"/>
        <v>3.5399999999999991</v>
      </c>
      <c r="O145" s="8">
        <f>IFERROR(N145/N444, "NA")</f>
        <v>1.1086613384110461E-3</v>
      </c>
      <c r="P145" s="9"/>
      <c r="Q145" s="7">
        <v>573.19000000000005</v>
      </c>
      <c r="R145" s="8">
        <f>IFERROR(Q145/Q444, "NA")</f>
        <v>5.0370515348749064E-4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-573.19000000000005</v>
      </c>
      <c r="X145" s="8">
        <f>IFERROR(W145/W444, "NA")</f>
        <v>4.9759739258584306E-3</v>
      </c>
      <c r="Y145" s="9"/>
      <c r="Z145" s="7">
        <v>994.08</v>
      </c>
      <c r="AA145" s="8">
        <f>IFERROR(Z145/Z444, "NA")</f>
        <v>9.1126323113730585E-4</v>
      </c>
      <c r="AB145" s="9"/>
      <c r="AC145" s="10">
        <f t="shared" si="35"/>
        <v>420.89</v>
      </c>
      <c r="AD145" s="8">
        <f>IFERROR(AC145/AC444, "NA")</f>
        <v>8.9425145614111991E-3</v>
      </c>
    </row>
    <row r="146" spans="1:30" ht="16.5" customHeight="1" x14ac:dyDescent="0.45">
      <c r="A146" s="12" t="s">
        <v>137</v>
      </c>
      <c r="B146" s="7">
        <v>9.0500000000000007</v>
      </c>
      <c r="C146" s="8">
        <f>IFERROR(B146/B444, "NA")</f>
        <v>8.4392372123175943E-5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-9.0500000000000007</v>
      </c>
      <c r="I146" s="8">
        <f>IFERROR(H146/H444, "NA")</f>
        <v>1.2549887536366939E-3</v>
      </c>
      <c r="J146" s="9"/>
      <c r="K146" s="7">
        <v>144.4</v>
      </c>
      <c r="L146" s="8">
        <f>IFERROR(K146/K444, "NA")</f>
        <v>1.387872493347535E-3</v>
      </c>
      <c r="M146" s="9"/>
      <c r="N146" s="10">
        <f t="shared" si="33"/>
        <v>135.35</v>
      </c>
      <c r="O146" s="8">
        <f>IFERROR(N146/N444, "NA")</f>
        <v>4.238907122992517E-2</v>
      </c>
      <c r="P146" s="9"/>
      <c r="Q146" s="7">
        <v>911.46</v>
      </c>
      <c r="R146" s="8">
        <f>IFERROR(Q146/Q444, "NA")</f>
        <v>8.0096843838466851E-4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-911.46</v>
      </c>
      <c r="X146" s="8">
        <f>IFERROR(W146/W444, "NA")</f>
        <v>7.912561619119185E-3</v>
      </c>
      <c r="Y146" s="9"/>
      <c r="Z146" s="7">
        <v>2105.21</v>
      </c>
      <c r="AA146" s="8">
        <f>IFERROR(Z146/Z444, "NA")</f>
        <v>1.9298250310061237E-3</v>
      </c>
      <c r="AB146" s="9"/>
      <c r="AC146" s="10">
        <f t="shared" si="35"/>
        <v>1193.75</v>
      </c>
      <c r="AD146" s="8">
        <f>IFERROR(AC146/AC444, "NA")</f>
        <v>2.5363222594227991E-2</v>
      </c>
    </row>
    <row r="147" spans="1:30" ht="16.5" customHeight="1" x14ac:dyDescent="0.45">
      <c r="A147" s="12" t="s">
        <v>138</v>
      </c>
      <c r="B147" s="7">
        <v>35.96</v>
      </c>
      <c r="C147" s="8">
        <f>IFERROR(B147/B444, "NA")</f>
        <v>3.3533145873474108E-4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-35.96</v>
      </c>
      <c r="I147" s="8">
        <f>IFERROR(H147/H444, "NA")</f>
        <v>4.9866735448370727E-3</v>
      </c>
      <c r="J147" s="9"/>
      <c r="K147" s="7">
        <v>7.98</v>
      </c>
      <c r="L147" s="8">
        <f>IFERROR(K147/K444, "NA")</f>
        <v>7.669821673762694E-5</v>
      </c>
      <c r="M147" s="9"/>
      <c r="N147" s="10">
        <f t="shared" si="33"/>
        <v>-27.98</v>
      </c>
      <c r="O147" s="8">
        <f>IFERROR(N147/N444, "NA")</f>
        <v>-8.7628091098138627E-3</v>
      </c>
      <c r="P147" s="9"/>
      <c r="Q147" s="7">
        <v>171.25</v>
      </c>
      <c r="R147" s="8">
        <f>IFERROR(Q147/Q444, "NA")</f>
        <v>1.5049025198404152E-4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-171.25</v>
      </c>
      <c r="X147" s="8">
        <f>IFERROR(W147/W444, "NA")</f>
        <v>1.4866545731838591E-3</v>
      </c>
      <c r="Y147" s="9"/>
      <c r="Z147" s="7">
        <v>305.63</v>
      </c>
      <c r="AA147" s="8">
        <f>IFERROR(Z147/Z444, "NA")</f>
        <v>2.8016797574892844E-4</v>
      </c>
      <c r="AB147" s="9"/>
      <c r="AC147" s="10">
        <f t="shared" si="35"/>
        <v>134.38</v>
      </c>
      <c r="AD147" s="8">
        <f>IFERROR(AC147/AC444, "NA")</f>
        <v>2.8551286720103516E-3</v>
      </c>
    </row>
    <row r="148" spans="1:30" ht="16.5" customHeight="1" x14ac:dyDescent="0.45">
      <c r="A148" s="13" t="s">
        <v>139</v>
      </c>
      <c r="B148" s="14">
        <f>IFERROR(B143+B144+B145+B146+B147, "NA")</f>
        <v>762.2</v>
      </c>
      <c r="C148" s="15">
        <f>IFERROR(B148/B444, "NA")</f>
        <v>7.1076095063298018E-3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-762.2</v>
      </c>
      <c r="I148" s="15">
        <f>IFERROR(H148/H444, "NA")</f>
        <v>0.10569640088639647</v>
      </c>
      <c r="J148" s="2"/>
      <c r="K148" s="14">
        <f>IFERROR(K143+K144+K145+K146+K147, "NA")</f>
        <v>1752.22</v>
      </c>
      <c r="L148" s="15">
        <f>IFERROR(K148/K444, "NA")</f>
        <v>1.6841121470176024E-2</v>
      </c>
      <c r="M148" s="2"/>
      <c r="N148" s="14">
        <f t="shared" si="33"/>
        <v>990.02</v>
      </c>
      <c r="O148" s="15">
        <f>IFERROR(N148/N444, "NA")</f>
        <v>0.31005562097562261</v>
      </c>
      <c r="P148" s="2"/>
      <c r="Q148" s="14">
        <f>IFERROR(Q143+Q144+Q145+Q146+Q147, "NA")</f>
        <v>18284.719999999998</v>
      </c>
      <c r="R148" s="15">
        <f>IFERROR(Q148/Q444, "NA")</f>
        <v>1.606815836646799E-2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-18284.719999999998</v>
      </c>
      <c r="X148" s="15">
        <f>IFERROR(W148/W444, "NA")</f>
        <v>0.15873321230590581</v>
      </c>
      <c r="Y148" s="2"/>
      <c r="Z148" s="14">
        <f>IFERROR(Z143+Z144+Z145+Z146+Z147, "NA")</f>
        <v>16471.73</v>
      </c>
      <c r="AA148" s="15">
        <f>IFERROR(Z148/Z444, "NA")</f>
        <v>1.5099470769174807E-2</v>
      </c>
      <c r="AB148" s="2"/>
      <c r="AC148" s="14">
        <f t="shared" si="35"/>
        <v>-1812.989999999998</v>
      </c>
      <c r="AD148" s="15">
        <f>IFERROR(AC148/AC444, "NA")</f>
        <v>-3.8520015858520926E-2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28175.420000000002</v>
      </c>
      <c r="C149" s="15">
        <f>IFERROR(B149/B444, "NA")</f>
        <v>0.26273928501290322</v>
      </c>
      <c r="D149" s="2"/>
      <c r="E149" s="14">
        <f>IFERROR(E127+E129+E130+E131+E132+E133+E134+E135+E136+E137+E138+E139+E140+E143+E144+E145+E146+E147, "NA")</f>
        <v>25178.65</v>
      </c>
      <c r="F149" s="15">
        <f>IFERROR(E149/E444, "NA")</f>
        <v>0.22000001747512418</v>
      </c>
      <c r="G149" s="2"/>
      <c r="H149" s="14">
        <f t="shared" si="32"/>
        <v>-2996.7700000000004</v>
      </c>
      <c r="I149" s="15">
        <f>IFERROR(H149/H444, "NA")</f>
        <v>0.41557045825810335</v>
      </c>
      <c r="J149" s="2"/>
      <c r="K149" s="14">
        <f>IFERROR(K127+K129+K130+K131+K132+K133+K134+K135+K136+K137+K138+K139+K140+K143+K144+K145+K146+K147, "NA")</f>
        <v>27419.14</v>
      </c>
      <c r="L149" s="15">
        <f>IFERROR(K149/K444, "NA")</f>
        <v>0.26353372712773637</v>
      </c>
      <c r="M149" s="2"/>
      <c r="N149" s="14">
        <f t="shared" si="33"/>
        <v>-756.28000000000247</v>
      </c>
      <c r="O149" s="15">
        <f>IFERROR(N149/N444, "NA")</f>
        <v>-0.23685265452359006</v>
      </c>
      <c r="P149" s="2"/>
      <c r="Q149" s="14">
        <f>IFERROR(Q127+Q129+Q130+Q131+Q132+Q133+Q134+Q135+Q136+Q137+Q138+Q139+Q140+Q143+Q144+Q145+Q146+Q147, "NA")</f>
        <v>304356.87000000005</v>
      </c>
      <c r="R149" s="15">
        <f>IFERROR(Q149/Q444, "NA")</f>
        <v>0.26746126749999516</v>
      </c>
      <c r="S149" s="2"/>
      <c r="T149" s="14">
        <f>IFERROR(T127+T129+T130+T131+T132+T133+T134+T135+T136+T137+T138+T139+T140+T143+T144+T145+T146+T147, "NA")</f>
        <v>286824.83</v>
      </c>
      <c r="U149" s="15">
        <f>IFERROR(T149/T444, "NA")</f>
        <v>0.22888509142058611</v>
      </c>
      <c r="V149" s="2"/>
      <c r="W149" s="14">
        <f t="shared" si="34"/>
        <v>-17532.040000000037</v>
      </c>
      <c r="X149" s="15">
        <f>IFERROR(W149/W444, "NA")</f>
        <v>0.15219905076345927</v>
      </c>
      <c r="Y149" s="2"/>
      <c r="Z149" s="14">
        <f>IFERROR(Z127+Z129+Z130+Z131+Z132+Z133+Z134+Z135+Z136+Z137+Z138+Z139+Z140+Z143+Z144+Z145+Z146+Z147, "NA")</f>
        <v>282652.42000000004</v>
      </c>
      <c r="AA149" s="15">
        <f>IFERROR(Z149/Z444, "NA")</f>
        <v>0.25910465710805858</v>
      </c>
      <c r="AB149" s="2"/>
      <c r="AC149" s="14">
        <f t="shared" si="35"/>
        <v>-21704.450000000012</v>
      </c>
      <c r="AD149" s="15">
        <f>IFERROR(AC149/AC444, "NA")</f>
        <v>-0.46114747362118708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1945.62</v>
      </c>
      <c r="F153" s="8">
        <f>IFERROR(E153/E444, "NA")</f>
        <v>1.6999975534826173E-2</v>
      </c>
      <c r="G153" s="9"/>
      <c r="H153" s="10">
        <f t="shared" ref="H153:H158" si="36">IFERROR(-(B153-E153), "NA")</f>
        <v>1945.62</v>
      </c>
      <c r="I153" s="8">
        <f>IFERROR(H153/H444, "NA")</f>
        <v>-0.26980455456912972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21832.26</v>
      </c>
      <c r="U153" s="8">
        <f>IFERROR(T153/T444, "NA")</f>
        <v>1.7422058006686537E-2</v>
      </c>
      <c r="V153" s="9"/>
      <c r="W153" s="10">
        <f t="shared" ref="W153:W158" si="38">IFERROR(-(Q153-T153), "NA")</f>
        <v>21832.26</v>
      </c>
      <c r="X153" s="8">
        <f>IFERROR(W153/W444, "NA")</f>
        <v>-0.18953009735438855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3379.18</v>
      </c>
      <c r="C154" s="8">
        <f>IFERROR(B154/B444, "NA")</f>
        <v>3.1511272489634659E-2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-3379.18</v>
      </c>
      <c r="I154" s="8">
        <f>IFERROR(H154/H444, "NA")</f>
        <v>0.4686003200568003</v>
      </c>
      <c r="J154" s="9"/>
      <c r="K154" s="7">
        <v>3944.65</v>
      </c>
      <c r="L154" s="8">
        <f>IFERROR(K154/K444, "NA")</f>
        <v>3.7913235670937358E-2</v>
      </c>
      <c r="M154" s="9"/>
      <c r="N154" s="10">
        <f t="shared" si="37"/>
        <v>565.47000000000025</v>
      </c>
      <c r="O154" s="8">
        <f>IFERROR(N154/N444, "NA")</f>
        <v>0.17709455565855781</v>
      </c>
      <c r="P154" s="9"/>
      <c r="Q154" s="7">
        <v>37716.29</v>
      </c>
      <c r="R154" s="8">
        <f>IFERROR(Q154/Q444, "NA")</f>
        <v>3.3144140064252176E-2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-37716.29</v>
      </c>
      <c r="X154" s="8">
        <f>IFERROR(W154/W444, "NA")</f>
        <v>0.32742245262498487</v>
      </c>
      <c r="Y154" s="9"/>
      <c r="Z154" s="7">
        <v>36821.21</v>
      </c>
      <c r="AA154" s="8">
        <f>IFERROR(Z154/Z444, "NA")</f>
        <v>3.3753636326035404E-2</v>
      </c>
      <c r="AB154" s="9"/>
      <c r="AC154" s="10">
        <f t="shared" si="39"/>
        <v>-895.08000000000175</v>
      </c>
      <c r="AD154" s="8">
        <f>IFERROR(AC154/AC444, "NA")</f>
        <v>-1.9017477092893517E-2</v>
      </c>
    </row>
    <row r="155" spans="1:30" ht="16.5" customHeight="1" x14ac:dyDescent="0.45">
      <c r="A155" s="12" t="s">
        <v>144</v>
      </c>
      <c r="B155" s="7">
        <v>976.63</v>
      </c>
      <c r="C155" s="8">
        <f>IFERROR(B155/B444, "NA")</f>
        <v>9.1071958438295377E-3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-976.63</v>
      </c>
      <c r="I155" s="8">
        <f>IFERROR(H155/H444, "NA")</f>
        <v>0.13543200734411096</v>
      </c>
      <c r="J155" s="9"/>
      <c r="K155" s="7">
        <v>1085.3499999999999</v>
      </c>
      <c r="L155" s="8">
        <f>IFERROR(K155/K444, "NA")</f>
        <v>1.0431630267692154E-2</v>
      </c>
      <c r="M155" s="9"/>
      <c r="N155" s="10">
        <f t="shared" si="37"/>
        <v>108.71999999999991</v>
      </c>
      <c r="O155" s="8">
        <f>IFERROR(N155/N444, "NA")</f>
        <v>3.4049056698318883E-2</v>
      </c>
      <c r="P155" s="9"/>
      <c r="Q155" s="7">
        <v>11666.14</v>
      </c>
      <c r="R155" s="8">
        <f>IFERROR(Q155/Q444, "NA")</f>
        <v>1.0251914442517407E-2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-11666.14</v>
      </c>
      <c r="X155" s="8">
        <f>IFERROR(W155/W444, "NA")</f>
        <v>0.10127603143009135</v>
      </c>
      <c r="Y155" s="9"/>
      <c r="Z155" s="7">
        <v>13125.63</v>
      </c>
      <c r="AA155" s="8">
        <f>IFERROR(Z155/Z444, "NA")</f>
        <v>1.2032134239208871E-2</v>
      </c>
      <c r="AB155" s="9"/>
      <c r="AC155" s="10">
        <f t="shared" si="39"/>
        <v>1459.4899999999998</v>
      </c>
      <c r="AD155" s="8">
        <f>IFERROR(AC155/AC444, "NA")</f>
        <v>3.1009314968837534E-2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-3.636509373412293E-5</v>
      </c>
      <c r="AB156" s="9"/>
      <c r="AC156" s="10">
        <f t="shared" si="39"/>
        <v>-39.67</v>
      </c>
      <c r="AD156" s="8">
        <f>IFERROR(AC156/AC444, "NA")</f>
        <v>-8.4285574057635566E-4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4355.8099999999995</v>
      </c>
      <c r="C158" s="15">
        <f>IFERROR(B158/B444, "NA")</f>
        <v>4.0618468333464192E-2</v>
      </c>
      <c r="D158" s="2"/>
      <c r="E158" s="14">
        <f>IFERROR(E153+E154+E155+E156+E157, "NA")</f>
        <v>1945.62</v>
      </c>
      <c r="F158" s="15">
        <f>IFERROR(E158/E444, "NA")</f>
        <v>1.6999975534826173E-2</v>
      </c>
      <c r="G158" s="2"/>
      <c r="H158" s="14">
        <f t="shared" si="36"/>
        <v>-2410.1899999999996</v>
      </c>
      <c r="I158" s="15">
        <f>IFERROR(H158/H444, "NA")</f>
        <v>0.33422777283178146</v>
      </c>
      <c r="J158" s="2"/>
      <c r="K158" s="14">
        <f>IFERROR(K153+K154+K155+K156+K157, "NA")</f>
        <v>5030</v>
      </c>
      <c r="L158" s="15">
        <f>IFERROR(K158/K444, "NA")</f>
        <v>4.8344865938629508E-2</v>
      </c>
      <c r="M158" s="2"/>
      <c r="N158" s="14">
        <f t="shared" si="37"/>
        <v>674.19000000000051</v>
      </c>
      <c r="O158" s="15">
        <f>IFERROR(N158/N444, "NA")</f>
        <v>0.21114361235687679</v>
      </c>
      <c r="P158" s="2"/>
      <c r="Q158" s="14">
        <f>IFERROR(Q153+Q154+Q155+Q156+Q157, "NA")</f>
        <v>49382.43</v>
      </c>
      <c r="R158" s="15">
        <f>IFERROR(Q158/Q444, "NA")</f>
        <v>4.3396054506769588E-2</v>
      </c>
      <c r="S158" s="2"/>
      <c r="T158" s="14">
        <f>IFERROR(T153+T154+T155+T156+T157, "NA")</f>
        <v>21832.26</v>
      </c>
      <c r="U158" s="15">
        <f>IFERROR(T158/T444, "NA")</f>
        <v>1.7422058006686537E-2</v>
      </c>
      <c r="V158" s="2"/>
      <c r="W158" s="14">
        <f t="shared" si="38"/>
        <v>-27550.170000000002</v>
      </c>
      <c r="X158" s="15">
        <f>IFERROR(W158/W444, "NA")</f>
        <v>0.23916838670068766</v>
      </c>
      <c r="Y158" s="2"/>
      <c r="Z158" s="14">
        <f>IFERROR(Z153+Z154+Z155+Z156+Z157, "NA")</f>
        <v>49907.17</v>
      </c>
      <c r="AA158" s="15">
        <f>IFERROR(Z158/Z444, "NA")</f>
        <v>4.574940547151015E-2</v>
      </c>
      <c r="AB158" s="2"/>
      <c r="AC158" s="14">
        <f t="shared" si="39"/>
        <v>524.73999999999796</v>
      </c>
      <c r="AD158" s="15">
        <f>IFERROR(AC158/AC444, "NA")</f>
        <v>1.1148982135367662E-2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349.39</v>
      </c>
      <c r="C161" s="8">
        <f>IFERROR(B161/B444, "NA")</f>
        <v>3.2581050713940819E-3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-349.39</v>
      </c>
      <c r="I161" s="8">
        <f>IFERROR(H161/H444, "NA")</f>
        <v>4.8450886257803805E-2</v>
      </c>
      <c r="J161" s="9"/>
      <c r="K161" s="7">
        <v>124.97</v>
      </c>
      <c r="L161" s="8">
        <f>IFERROR(K161/K444, "NA")</f>
        <v>1.2011248302883756E-3</v>
      </c>
      <c r="M161" s="9"/>
      <c r="N161" s="10">
        <f t="shared" si="41"/>
        <v>-224.42</v>
      </c>
      <c r="O161" s="8">
        <f>IFERROR(N161/N444, "NA")</f>
        <v>-7.0284117956555647E-2</v>
      </c>
      <c r="P161" s="9"/>
      <c r="Q161" s="7">
        <v>4074.23</v>
      </c>
      <c r="R161" s="8">
        <f>IFERROR(Q161/Q444, "NA")</f>
        <v>3.5803322589252058E-3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-4074.23</v>
      </c>
      <c r="X161" s="8">
        <f>IFERROR(W161/W444, "NA")</f>
        <v>3.5369183426002183E-2</v>
      </c>
      <c r="Y161" s="9"/>
      <c r="Z161" s="7">
        <v>3458.51</v>
      </c>
      <c r="AA161" s="8">
        <f>IFERROR(Z161/Z444, "NA")</f>
        <v>3.1703816569297076E-3</v>
      </c>
      <c r="AB161" s="9"/>
      <c r="AC161" s="10">
        <f t="shared" si="43"/>
        <v>-615.7199999999998</v>
      </c>
      <c r="AD161" s="8">
        <f>IFERROR(AC161/AC444, "NA")</f>
        <v>-1.3082004955575334E-2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349.39</v>
      </c>
      <c r="C166" s="15">
        <f>IFERROR(B166/B444, "NA")</f>
        <v>3.2581050713940819E-3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-349.39</v>
      </c>
      <c r="I166" s="15">
        <f>IFERROR(H166/H444, "NA")</f>
        <v>4.8450886257803805E-2</v>
      </c>
      <c r="J166" s="2"/>
      <c r="K166" s="14">
        <f>IFERROR(K160+K161+K162+K163+K164+K165, "NA")</f>
        <v>124.97</v>
      </c>
      <c r="L166" s="15">
        <f>IFERROR(K166/K444, "NA")</f>
        <v>1.2011248302883756E-3</v>
      </c>
      <c r="M166" s="2"/>
      <c r="N166" s="14">
        <f t="shared" si="41"/>
        <v>-224.42</v>
      </c>
      <c r="O166" s="15">
        <f>IFERROR(N166/N444, "NA")</f>
        <v>-7.0284117956555647E-2</v>
      </c>
      <c r="P166" s="2"/>
      <c r="Q166" s="14">
        <f>IFERROR(Q160+Q161+Q162+Q163+Q164+Q165, "NA")</f>
        <v>4074.23</v>
      </c>
      <c r="R166" s="15">
        <f>IFERROR(Q166/Q444, "NA")</f>
        <v>3.5803322589252058E-3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-4074.23</v>
      </c>
      <c r="X166" s="15">
        <f>IFERROR(W166/W444, "NA")</f>
        <v>3.5369183426002183E-2</v>
      </c>
      <c r="Y166" s="2"/>
      <c r="Z166" s="14">
        <f>IFERROR(Z160+Z161+Z162+Z163+Z164+Z165, "NA")</f>
        <v>3458.51</v>
      </c>
      <c r="AA166" s="15">
        <f>IFERROR(Z166/Z444, "NA")</f>
        <v>3.1703816569297076E-3</v>
      </c>
      <c r="AB166" s="2"/>
      <c r="AC166" s="14">
        <f t="shared" si="43"/>
        <v>-615.7199999999998</v>
      </c>
      <c r="AD166" s="15">
        <f>IFERROR(AC166/AC444, "NA")</f>
        <v>-1.3082004955575334E-2</v>
      </c>
    </row>
    <row r="167" spans="1:30" ht="16.5" customHeight="1" x14ac:dyDescent="0.45">
      <c r="A167" s="6" t="s">
        <v>155</v>
      </c>
      <c r="B167" s="7">
        <v>116.9</v>
      </c>
      <c r="C167" s="8">
        <f>IFERROR(B167/B444, "NA")</f>
        <v>1.090106994607654E-3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-116.9</v>
      </c>
      <c r="I167" s="8">
        <f>IFERROR(H167/H444, "NA")</f>
        <v>1.6210849204434198E-2</v>
      </c>
      <c r="J167" s="9"/>
      <c r="K167" s="7">
        <v>83.21</v>
      </c>
      <c r="L167" s="8">
        <f>IFERROR(K167/K444, "NA")</f>
        <v>7.9975671863883918E-4</v>
      </c>
      <c r="M167" s="9"/>
      <c r="N167" s="10">
        <f t="shared" si="41"/>
        <v>-33.690000000000012</v>
      </c>
      <c r="O167" s="8">
        <f>IFERROR(N167/N444, "NA")</f>
        <v>-1.0551073585047503E-2</v>
      </c>
      <c r="P167" s="9"/>
      <c r="Q167" s="7">
        <v>1209.01</v>
      </c>
      <c r="R167" s="8">
        <f>IFERROR(Q167/Q444, "NA")</f>
        <v>1.0624479973794221E-3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-1209.01</v>
      </c>
      <c r="X167" s="8">
        <f>IFERROR(W167/W444, "NA")</f>
        <v>1.0495651068759226E-2</v>
      </c>
      <c r="Y167" s="9"/>
      <c r="Z167" s="7">
        <v>1243.03</v>
      </c>
      <c r="AA167" s="8">
        <f>IFERROR(Z167/Z444, "NA")</f>
        <v>1.1394732156371772E-3</v>
      </c>
      <c r="AB167" s="9"/>
      <c r="AC167" s="10">
        <f t="shared" si="43"/>
        <v>34.019999999999982</v>
      </c>
      <c r="AD167" s="8">
        <f>IFERROR(AC167/AC444, "NA")</f>
        <v>7.2281200641309811E-4</v>
      </c>
    </row>
    <row r="168" spans="1:30" ht="16.5" customHeight="1" x14ac:dyDescent="0.45">
      <c r="A168" s="6" t="s">
        <v>156</v>
      </c>
      <c r="B168" s="7">
        <v>30.62</v>
      </c>
      <c r="C168" s="8">
        <f>IFERROR(B168/B444, "NA")</f>
        <v>2.8553529662007156E-4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-30.62</v>
      </c>
      <c r="I168" s="8">
        <f>IFERROR(H168/H444, "NA")</f>
        <v>4.2461608437961949E-3</v>
      </c>
      <c r="J168" s="9"/>
      <c r="K168" s="7">
        <v>44.8</v>
      </c>
      <c r="L168" s="8">
        <f>IFERROR(K168/K444, "NA")</f>
        <v>4.3058647993053715E-4</v>
      </c>
      <c r="M168" s="9"/>
      <c r="N168" s="10">
        <f t="shared" si="41"/>
        <v>14.179999999999996</v>
      </c>
      <c r="O168" s="8">
        <f>IFERROR(N168/N444, "NA")</f>
        <v>4.4409089770250368E-3</v>
      </c>
      <c r="P168" s="9"/>
      <c r="Q168" s="7">
        <v>499.6</v>
      </c>
      <c r="R168" s="8">
        <f>IFERROR(Q168/Q444, "NA")</f>
        <v>4.3903608695607094E-4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-499.6</v>
      </c>
      <c r="X168" s="8">
        <f>IFERROR(W168/W444, "NA")</f>
        <v>4.3371248161322984E-3</v>
      </c>
      <c r="Y168" s="9"/>
      <c r="Z168" s="7">
        <v>485.9</v>
      </c>
      <c r="AA168" s="8">
        <f>IFERROR(Z168/Z444, "NA")</f>
        <v>4.4541968856592716E-4</v>
      </c>
      <c r="AB168" s="9"/>
      <c r="AC168" s="10">
        <f t="shared" si="43"/>
        <v>-13.700000000000045</v>
      </c>
      <c r="AD168" s="8">
        <f>IFERROR(AC168/AC444, "NA")</f>
        <v>-2.9107949699763323E-4</v>
      </c>
    </row>
    <row r="169" spans="1:30" ht="16.5" customHeight="1" x14ac:dyDescent="0.45">
      <c r="A169" s="6" t="s">
        <v>157</v>
      </c>
      <c r="B169" s="7">
        <v>-927.72</v>
      </c>
      <c r="C169" s="8">
        <f>IFERROR(B169/B444, "NA")</f>
        <v>-8.6511040294047284E-3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927.72</v>
      </c>
      <c r="I169" s="8">
        <f>IFERROR(H169/H444, "NA")</f>
        <v>-0.12864952116285452</v>
      </c>
      <c r="J169" s="9"/>
      <c r="K169" s="7">
        <v>-2981.04</v>
      </c>
      <c r="L169" s="8">
        <f>IFERROR(K169/K444, "NA")</f>
        <v>-2.8651685717235011E-2</v>
      </c>
      <c r="M169" s="9"/>
      <c r="N169" s="10">
        <f t="shared" si="41"/>
        <v>-2053.3199999999997</v>
      </c>
      <c r="O169" s="8">
        <f>IFERROR(N169/N444, "NA")</f>
        <v>-0.6430611580186919</v>
      </c>
      <c r="P169" s="9"/>
      <c r="Q169" s="7">
        <v>-19476.25</v>
      </c>
      <c r="R169" s="8">
        <f>IFERROR(Q169/Q444, "NA")</f>
        <v>-1.7115245373455115E-2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19476.25</v>
      </c>
      <c r="X169" s="8">
        <f>IFERROR(W169/W444, "NA")</f>
        <v>-0.16907711609326795</v>
      </c>
      <c r="Y169" s="9"/>
      <c r="Z169" s="7">
        <v>-31364.37</v>
      </c>
      <c r="AA169" s="8">
        <f>IFERROR(Z169/Z444, "NA")</f>
        <v>-2.8751405469163424E-2</v>
      </c>
      <c r="AB169" s="9"/>
      <c r="AC169" s="10">
        <f t="shared" si="43"/>
        <v>-11888.119999999999</v>
      </c>
      <c r="AD169" s="8">
        <f>IFERROR(AC169/AC444, "NA")</f>
        <v>-0.25258306495237165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3924.9999999999991</v>
      </c>
      <c r="C170" s="15">
        <f>IFERROR(B170/B444, "NA")</f>
        <v>3.6601111666681271E-2</v>
      </c>
      <c r="D170" s="2"/>
      <c r="E170" s="14">
        <f>IFERROR(E151+E153+E154+E155+E156+E157+E160+E161+E162+E163+E164+E165+E167+E168+E169, "NA")</f>
        <v>1945.62</v>
      </c>
      <c r="F170" s="15">
        <f>IFERROR(E170/E444, "NA")</f>
        <v>1.6999975534826173E-2</v>
      </c>
      <c r="G170" s="2"/>
      <c r="H170" s="14">
        <f t="shared" si="40"/>
        <v>-1979.3799999999992</v>
      </c>
      <c r="I170" s="15">
        <f>IFERROR(H170/H444, "NA")</f>
        <v>0.27448614797496107</v>
      </c>
      <c r="J170" s="2"/>
      <c r="K170" s="14">
        <f>IFERROR(K151+K153+K154+K155+K156+K157+K160+K161+K162+K163+K164+K165+K167+K168+K169, "NA")</f>
        <v>2301.9400000000005</v>
      </c>
      <c r="L170" s="15">
        <f>IFERROR(K170/K444, "NA")</f>
        <v>2.2124648250252253E-2</v>
      </c>
      <c r="M170" s="2"/>
      <c r="N170" s="14">
        <f t="shared" si="41"/>
        <v>-1623.0599999999986</v>
      </c>
      <c r="O170" s="15">
        <f>IFERROR(N170/N444, "NA")</f>
        <v>-0.50831182822639298</v>
      </c>
      <c r="P170" s="2"/>
      <c r="Q170" s="14">
        <f>IFERROR(Q151+Q153+Q154+Q155+Q156+Q157+Q160+Q161+Q162+Q163+Q164+Q165+Q167+Q168+Q169, "NA")</f>
        <v>35689.020000000004</v>
      </c>
      <c r="R170" s="15">
        <f>IFERROR(Q170/Q444, "NA")</f>
        <v>3.1362625476575173E-2</v>
      </c>
      <c r="S170" s="2"/>
      <c r="T170" s="14">
        <f>IFERROR(T151+T153+T154+T155+T156+T157+T160+T161+T162+T163+T164+T165+T167+T168+T169, "NA")</f>
        <v>21832.26</v>
      </c>
      <c r="U170" s="15">
        <f>IFERROR(T170/T444, "NA")</f>
        <v>1.7422058006686537E-2</v>
      </c>
      <c r="V170" s="2"/>
      <c r="W170" s="14">
        <f t="shared" si="42"/>
        <v>-13856.760000000006</v>
      </c>
      <c r="X170" s="15">
        <f>IFERROR(W170/W444, "NA")</f>
        <v>0.12029322991831345</v>
      </c>
      <c r="Y170" s="2"/>
      <c r="Z170" s="14">
        <f>IFERROR(Z151+Z153+Z154+Z155+Z156+Z157+Z160+Z161+Z162+Z163+Z164+Z165+Z167+Z168+Z169, "NA")</f>
        <v>23730.240000000002</v>
      </c>
      <c r="AA170" s="15">
        <f>IFERROR(Z170/Z444, "NA")</f>
        <v>2.175327456347954E-2</v>
      </c>
      <c r="AB170" s="2"/>
      <c r="AC170" s="14">
        <f t="shared" si="43"/>
        <v>-11958.780000000002</v>
      </c>
      <c r="AD170" s="15">
        <f>IFERROR(AC170/AC444, "NA")</f>
        <v>-0.25408435526316386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32100.420000000006</v>
      </c>
      <c r="C171" s="15">
        <f>IFERROR(B171/B444, "NA")</f>
        <v>0.29934039667958451</v>
      </c>
      <c r="D171" s="2"/>
      <c r="E171" s="14">
        <f>IFERROR(E127+E129+E130+E131+E132+E133+E134+E135+E136+E137+E138+E139+E140+E143+E144+E145+E146+E147+E151+E153+E154+E155+E156+E157+E160+E161+E162+E163+E164+E165+E167+E168+E169, "NA")</f>
        <v>27124.27</v>
      </c>
      <c r="F171" s="15">
        <f>IFERROR(E171/E444, "NA")</f>
        <v>0.23699999300995034</v>
      </c>
      <c r="G171" s="2"/>
      <c r="H171" s="14">
        <f t="shared" si="40"/>
        <v>-4976.1500000000051</v>
      </c>
      <c r="I171" s="15">
        <f>IFERROR(H171/H444, "NA")</f>
        <v>0.6900566062330652</v>
      </c>
      <c r="J171" s="2"/>
      <c r="K171" s="14">
        <f>IFERROR(K127+K129+K130+K131+K132+K133+K134+K135+K136+K137+K138+K139+K140+K143+K144+K145+K146+K147+K151+K153+K154+K155+K156+K157+K160+K161+K162+K163+K164+K165+K167+K168+K169, "NA")</f>
        <v>29721.079999999998</v>
      </c>
      <c r="L171" s="15">
        <f>IFERROR(K171/K444, "NA")</f>
        <v>0.2856583753779886</v>
      </c>
      <c r="M171" s="2"/>
      <c r="N171" s="14">
        <f t="shared" si="41"/>
        <v>-2379.3400000000074</v>
      </c>
      <c r="O171" s="15">
        <f>IFERROR(N171/N444, "NA")</f>
        <v>-0.74516448274998504</v>
      </c>
      <c r="P171" s="2"/>
      <c r="Q171" s="14">
        <f>IFERROR(Q127+Q129+Q130+Q131+Q132+Q133+Q134+Q135+Q136+Q137+Q138+Q139+Q140+Q143+Q144+Q145+Q146+Q147+Q151+Q153+Q154+Q155+Q156+Q157+Q160+Q161+Q162+Q163+Q164+Q165+Q167+Q168+Q169, "NA")</f>
        <v>340045.89</v>
      </c>
      <c r="R171" s="15">
        <f>IFERROR(Q171/Q444, "NA")</f>
        <v>0.2988238929765703</v>
      </c>
      <c r="S171" s="2"/>
      <c r="T171" s="14">
        <f>IFERROR(T127+T129+T130+T131+T132+T133+T134+T135+T136+T137+T138+T139+T140+T143+T144+T145+T146+T147+T151+T153+T154+T155+T156+T157+T160+T161+T162+T163+T164+T165+T167+T168+T169, "NA")</f>
        <v>308657.09000000003</v>
      </c>
      <c r="U171" s="15">
        <f>IFERROR(T171/T444, "NA")</f>
        <v>0.24630714942727264</v>
      </c>
      <c r="V171" s="2"/>
      <c r="W171" s="14">
        <f t="shared" si="42"/>
        <v>-31388.799999999988</v>
      </c>
      <c r="X171" s="15">
        <f>IFERROR(W171/W444, "NA")</f>
        <v>0.27249228068177228</v>
      </c>
      <c r="Y171" s="2"/>
      <c r="Z171" s="14">
        <f>IFERROR(Z127+Z129+Z130+Z131+Z132+Z133+Z134+Z135+Z136+Z137+Z138+Z139+Z140+Z143+Z144+Z145+Z146+Z147+Z151+Z153+Z154+Z155+Z156+Z157+Z160+Z161+Z162+Z163+Z164+Z165+Z167+Z168+Z169, "NA")</f>
        <v>306382.66000000015</v>
      </c>
      <c r="AA171" s="15">
        <f>IFERROR(Z171/Z444, "NA")</f>
        <v>0.28085793167153822</v>
      </c>
      <c r="AB171" s="2"/>
      <c r="AC171" s="14">
        <f t="shared" si="43"/>
        <v>-33663.229999999865</v>
      </c>
      <c r="AD171" s="15">
        <f>IFERROR(AC171/AC444, "NA")</f>
        <v>-0.71523182888434778</v>
      </c>
    </row>
    <row r="172" spans="1:30" ht="16.5" customHeight="1" x14ac:dyDescent="0.45">
      <c r="A172" s="22" t="s">
        <v>160</v>
      </c>
      <c r="B172" s="23">
        <f>IFERROR(B124-B171, "NA")</f>
        <v>75136.760000000009</v>
      </c>
      <c r="C172" s="24">
        <f>IFERROR(B172/B444, "NA")</f>
        <v>0.70065960332041566</v>
      </c>
      <c r="D172" s="25"/>
      <c r="E172" s="23">
        <f>IFERROR(E124-E171, "NA")</f>
        <v>87324.12999999999</v>
      </c>
      <c r="F172" s="24">
        <f>IFERROR(E172/E444, "NA")</f>
        <v>0.76300000699004966</v>
      </c>
      <c r="G172" s="25"/>
      <c r="H172" s="23">
        <f>IFERROR(B172-E172, "NA")</f>
        <v>-12187.369999999981</v>
      </c>
      <c r="I172" s="24">
        <f>IFERROR(H172/H444, "NA")</f>
        <v>1.6900566062330618</v>
      </c>
      <c r="J172" s="25"/>
      <c r="K172" s="23">
        <f>IFERROR(K124-K171, "NA")</f>
        <v>74323.060000000012</v>
      </c>
      <c r="L172" s="24">
        <f>IFERROR(K172/K444, "NA")</f>
        <v>0.71434162462201156</v>
      </c>
      <c r="M172" s="25"/>
      <c r="N172" s="23">
        <f>IFERROR(B172-K172, "NA")</f>
        <v>813.69999999999709</v>
      </c>
      <c r="O172" s="24">
        <f>IFERROR(N172/N444, "NA")</f>
        <v>0.25483551725001841</v>
      </c>
      <c r="P172" s="25"/>
      <c r="Q172" s="23">
        <f>IFERROR(Q124-Q171, "NA")</f>
        <v>797901.57</v>
      </c>
      <c r="R172" s="24">
        <f>IFERROR(Q172/Q444, "NA")</f>
        <v>0.7011761070234297</v>
      </c>
      <c r="S172" s="25"/>
      <c r="T172" s="23">
        <f>IFERROR(T124-T171, "NA")</f>
        <v>944481.89000000013</v>
      </c>
      <c r="U172" s="24">
        <f>IFERROR(T172/T444, "NA")</f>
        <v>0.7536928505727275</v>
      </c>
      <c r="V172" s="25"/>
      <c r="W172" s="23">
        <f>IFERROR(Q172-T172, "NA")</f>
        <v>-146580.32000000018</v>
      </c>
      <c r="X172" s="24">
        <f>IFERROR(W172/W444, "NA")</f>
        <v>1.2724922806817738</v>
      </c>
      <c r="Y172" s="25"/>
      <c r="Z172" s="23">
        <f>IFERROR(Z124-Z171, "NA")</f>
        <v>784498.61999999965</v>
      </c>
      <c r="AA172" s="24">
        <f>IFERROR(Z172/Z444, "NA")</f>
        <v>0.71914206832846161</v>
      </c>
      <c r="AB172" s="25"/>
      <c r="AC172" s="23">
        <f>IFERROR(Q172-Z172, "NA")</f>
        <v>13402.950000000303</v>
      </c>
      <c r="AD172" s="24">
        <f>IFERROR(AC172/AC444, "NA")</f>
        <v>0.28476817111565716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4.8419027803603194E-2</v>
      </c>
      <c r="D178" s="9"/>
      <c r="E178" s="7">
        <v>5461.54</v>
      </c>
      <c r="F178" s="8">
        <f>IFERROR(E178/E444, "NA")</f>
        <v>4.7720544804470841E-2</v>
      </c>
      <c r="G178" s="9"/>
      <c r="H178" s="10">
        <f t="shared" si="44"/>
        <v>269.22000000000025</v>
      </c>
      <c r="I178" s="8">
        <f>IFERROR(H178/H444, "NA")</f>
        <v>-3.7333488646858676E-2</v>
      </c>
      <c r="J178" s="9"/>
      <c r="K178" s="7">
        <v>5192.32</v>
      </c>
      <c r="L178" s="8">
        <f>IFERROR(K178/K444, "NA")</f>
        <v>4.9904973023949258E-2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55542.44</v>
      </c>
      <c r="R178" s="8">
        <f>IFERROR(Q178/Q444, "NA")</f>
        <v>4.8809318489976682E-2</v>
      </c>
      <c r="S178" s="9"/>
      <c r="T178" s="7">
        <v>58711.54</v>
      </c>
      <c r="U178" s="8">
        <f>IFERROR(T178/T444, "NA")</f>
        <v>4.6851579064279052E-2</v>
      </c>
      <c r="V178" s="9"/>
      <c r="W178" s="10">
        <f t="shared" si="46"/>
        <v>3169.0999999999985</v>
      </c>
      <c r="X178" s="8">
        <f>IFERROR(W178/W444, "NA")</f>
        <v>-2.7511573768624616E-2</v>
      </c>
      <c r="Y178" s="9"/>
      <c r="Z178" s="7">
        <v>55817.440000000002</v>
      </c>
      <c r="AA178" s="8">
        <f>IFERROR(Z178/Z444, "NA")</f>
        <v>5.1167291091474228E-2</v>
      </c>
      <c r="AB178" s="9"/>
      <c r="AC178" s="10">
        <f t="shared" si="47"/>
        <v>275</v>
      </c>
      <c r="AD178" s="8">
        <f>IFERROR(AC178/AC444, "NA")</f>
        <v>5.8428366185656107E-3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21034.01</v>
      </c>
      <c r="C180" s="8">
        <f>IFERROR(B180/B444, "NA")</f>
        <v>0.1961447512886855</v>
      </c>
      <c r="D180" s="9"/>
      <c r="E180" s="7">
        <v>22202.99</v>
      </c>
      <c r="F180" s="8">
        <f>IFERROR(E180/E444, "NA")</f>
        <v>0.19400000349502486</v>
      </c>
      <c r="G180" s="9"/>
      <c r="H180" s="10">
        <f t="shared" si="44"/>
        <v>1168.9800000000032</v>
      </c>
      <c r="I180" s="8">
        <f>IFERROR(H180/H444, "NA")</f>
        <v>-0.16210571858853329</v>
      </c>
      <c r="J180" s="9"/>
      <c r="K180" s="7">
        <v>22554.57</v>
      </c>
      <c r="L180" s="8">
        <f>IFERROR(K180/K444, "NA")</f>
        <v>0.21677885943408248</v>
      </c>
      <c r="M180" s="9"/>
      <c r="N180" s="10">
        <f t="shared" si="45"/>
        <v>1520.5600000000013</v>
      </c>
      <c r="O180" s="8">
        <f>IFERROR(N180/N444, "NA")</f>
        <v>0.47621075839952032</v>
      </c>
      <c r="P180" s="9"/>
      <c r="Q180" s="7">
        <v>237849.81</v>
      </c>
      <c r="R180" s="8">
        <f>IFERROR(Q180/Q444, "NA")</f>
        <v>0.2090165129416432</v>
      </c>
      <c r="S180" s="9"/>
      <c r="T180" s="7">
        <v>254131.48</v>
      </c>
      <c r="U180" s="8">
        <f>IFERROR(T180/T444, "NA")</f>
        <v>0.20279592611507466</v>
      </c>
      <c r="V180" s="9"/>
      <c r="W180" s="10">
        <f t="shared" si="46"/>
        <v>16281.670000000013</v>
      </c>
      <c r="X180" s="8">
        <f>IFERROR(W180/W444, "NA")</f>
        <v>-0.14134434548654284</v>
      </c>
      <c r="Y180" s="9"/>
      <c r="Z180" s="7">
        <v>243682.09</v>
      </c>
      <c r="AA180" s="8">
        <f>IFERROR(Z180/Z444, "NA")</f>
        <v>0.2233809438915296</v>
      </c>
      <c r="AB180" s="9"/>
      <c r="AC180" s="10">
        <f t="shared" si="47"/>
        <v>5832.2799999999988</v>
      </c>
      <c r="AD180" s="8">
        <f>IFERROR(AC180/AC444, "NA")</f>
        <v>0.12391657874082848</v>
      </c>
    </row>
    <row r="181" spans="1:30" ht="16.5" customHeight="1" x14ac:dyDescent="0.45">
      <c r="A181" s="12" t="s">
        <v>166</v>
      </c>
      <c r="B181" s="7">
        <v>559.80999999999995</v>
      </c>
      <c r="C181" s="8">
        <f>IFERROR(B181/B444, "NA")</f>
        <v>5.2202976616878586E-3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-559.80999999999995</v>
      </c>
      <c r="I181" s="8">
        <f>IFERROR(H181/H444, "NA")</f>
        <v>7.7630414825785352E-2</v>
      </c>
      <c r="J181" s="9"/>
      <c r="K181" s="7">
        <v>167.34</v>
      </c>
      <c r="L181" s="8">
        <f>IFERROR(K181/K444, "NA")</f>
        <v>1.6083558382048236E-3</v>
      </c>
      <c r="M181" s="9"/>
      <c r="N181" s="10">
        <f t="shared" si="45"/>
        <v>-392.46999999999991</v>
      </c>
      <c r="O181" s="8">
        <f>IFERROR(N181/N444, "NA")</f>
        <v>-0.12291421341417605</v>
      </c>
      <c r="P181" s="9"/>
      <c r="Q181" s="7">
        <v>2179</v>
      </c>
      <c r="R181" s="8">
        <f>IFERROR(Q181/Q444, "NA")</f>
        <v>1.9148511478728552E-3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-2179</v>
      </c>
      <c r="X181" s="8">
        <f>IFERROR(W181/W444, "NA")</f>
        <v>1.8916323007110242E-2</v>
      </c>
      <c r="Y181" s="9"/>
      <c r="Z181" s="7">
        <v>1096.23</v>
      </c>
      <c r="AA181" s="8">
        <f>IFERROR(Z181/Z444, "NA")</f>
        <v>1.0049031183301633E-3</v>
      </c>
      <c r="AB181" s="9"/>
      <c r="AC181" s="10">
        <f t="shared" si="47"/>
        <v>-1082.77</v>
      </c>
      <c r="AD181" s="8">
        <f>IFERROR(AC181/AC444, "NA")</f>
        <v>-2.3005266201761042E-2</v>
      </c>
    </row>
    <row r="182" spans="1:30" ht="16.5" customHeight="1" x14ac:dyDescent="0.45">
      <c r="A182" s="13" t="s">
        <v>167</v>
      </c>
      <c r="B182" s="14">
        <f>IFERROR(B177+B178+B179+B180+B181, "NA")</f>
        <v>26786.14</v>
      </c>
      <c r="C182" s="15">
        <f>IFERROR(B182/B444, "NA")</f>
        <v>0.24978407675397657</v>
      </c>
      <c r="D182" s="2"/>
      <c r="E182" s="14">
        <f>IFERROR(E177+E178+E179+E180+E181, "NA")</f>
        <v>27664.530000000002</v>
      </c>
      <c r="F182" s="15">
        <f>IFERROR(E182/E444, "NA")</f>
        <v>0.24172054829949571</v>
      </c>
      <c r="G182" s="2"/>
      <c r="H182" s="14">
        <f t="shared" si="44"/>
        <v>878.39000000000306</v>
      </c>
      <c r="I182" s="15">
        <f>IFERROR(H182/H444, "NA")</f>
        <v>-0.12180879240960654</v>
      </c>
      <c r="J182" s="2"/>
      <c r="K182" s="14">
        <f>IFERROR(K177+K178+K179+K180+K181, "NA")</f>
        <v>27914.23</v>
      </c>
      <c r="L182" s="15">
        <f>IFERROR(K182/K444, "NA")</f>
        <v>0.26829218829623658</v>
      </c>
      <c r="M182" s="2"/>
      <c r="N182" s="14">
        <f t="shared" si="45"/>
        <v>1128.0900000000001</v>
      </c>
      <c r="O182" s="15">
        <f>IFERROR(N182/N444, "NA")</f>
        <v>0.35329654498534385</v>
      </c>
      <c r="P182" s="2"/>
      <c r="Q182" s="14">
        <f>IFERROR(Q177+Q178+Q179+Q180+Q181, "NA")</f>
        <v>295571.25</v>
      </c>
      <c r="R182" s="15">
        <f>IFERROR(Q182/Q444, "NA")</f>
        <v>0.25974068257949273</v>
      </c>
      <c r="S182" s="2"/>
      <c r="T182" s="14">
        <f>IFERROR(T177+T178+T179+T180+T181, "NA")</f>
        <v>312843.02</v>
      </c>
      <c r="U182" s="15">
        <f>IFERROR(T182/T444, "NA")</f>
        <v>0.24964750517935372</v>
      </c>
      <c r="V182" s="2"/>
      <c r="W182" s="14">
        <f t="shared" si="46"/>
        <v>17271.770000000019</v>
      </c>
      <c r="X182" s="15">
        <f>IFERROR(W182/W444, "NA")</f>
        <v>-0.14993959624805728</v>
      </c>
      <c r="Y182" s="2"/>
      <c r="Z182" s="14">
        <f>IFERROR(Z177+Z178+Z179+Z180+Z181, "NA")</f>
        <v>300595.76</v>
      </c>
      <c r="AA182" s="15">
        <f>IFERROR(Z182/Z444, "NA")</f>
        <v>0.27555313810133397</v>
      </c>
      <c r="AB182" s="2"/>
      <c r="AC182" s="14">
        <f t="shared" si="47"/>
        <v>5024.5100000000093</v>
      </c>
      <c r="AD182" s="15">
        <f>IFERROR(AC182/AC444, "NA")</f>
        <v>0.10675414915763327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4.6625619957555769E-3</v>
      </c>
      <c r="D184" s="9"/>
      <c r="E184" s="7">
        <v>500</v>
      </c>
      <c r="F184" s="8">
        <f>IFERROR(E184/E444, "NA")</f>
        <v>4.3687810401892907E-3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2.8833916066777045E-3</v>
      </c>
      <c r="M184" s="9"/>
      <c r="N184" s="10">
        <f t="shared" si="45"/>
        <v>-200</v>
      </c>
      <c r="O184" s="8">
        <f>IFERROR(N184/N444, "NA")</f>
        <v>-6.2636233808533684E-2</v>
      </c>
      <c r="P184" s="9"/>
      <c r="Q184" s="7">
        <v>2800</v>
      </c>
      <c r="R184" s="8">
        <f>IFERROR(Q184/Q444, "NA")</f>
        <v>2.4605705433887082E-3</v>
      </c>
      <c r="S184" s="9"/>
      <c r="T184" s="7">
        <v>5000</v>
      </c>
      <c r="U184" s="8">
        <f>IFERROR(T184/T444, "NA")</f>
        <v>3.9899804249964362E-3</v>
      </c>
      <c r="V184" s="9"/>
      <c r="W184" s="10">
        <f t="shared" si="46"/>
        <v>2200</v>
      </c>
      <c r="X184" s="8">
        <f>IFERROR(W184/W444, "NA")</f>
        <v>-1.9098628093456877E-2</v>
      </c>
      <c r="Y184" s="9"/>
      <c r="Z184" s="7">
        <v>2200</v>
      </c>
      <c r="AA184" s="8">
        <f>IFERROR(Z184/Z444, "NA")</f>
        <v>2.0167180795329074E-3</v>
      </c>
      <c r="AB184" s="9"/>
      <c r="AC184" s="10">
        <f t="shared" si="47"/>
        <v>-600</v>
      </c>
      <c r="AD184" s="8">
        <f>IFERROR(AC184/AC444, "NA")</f>
        <v>-1.2748007167779515E-2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2351.56</v>
      </c>
      <c r="C186" s="8">
        <f>IFERROR(B186/B444, "NA")</f>
        <v>2.1928588573477969E-2</v>
      </c>
      <c r="D186" s="9"/>
      <c r="E186" s="7">
        <v>2536.69</v>
      </c>
      <c r="F186" s="8">
        <f>IFERROR(E186/E444, "NA")</f>
        <v>2.2164486353675544E-2</v>
      </c>
      <c r="G186" s="9"/>
      <c r="H186" s="10">
        <f t="shared" ref="H186:H197" si="48">IFERROR(-(B186-E186), "NA")</f>
        <v>185.13000000000011</v>
      </c>
      <c r="I186" s="8">
        <f>IFERROR(H186/H444, "NA")</f>
        <v>-2.5672493697321684E-2</v>
      </c>
      <c r="J186" s="9"/>
      <c r="K186" s="7">
        <v>2512.5100000000002</v>
      </c>
      <c r="L186" s="8">
        <f>IFERROR(K186/K444, "NA")</f>
        <v>2.4148500818979332E-2</v>
      </c>
      <c r="M186" s="9"/>
      <c r="N186" s="10">
        <f t="shared" ref="N186:N197" si="49">IFERROR(-(B186-K186), "NA")</f>
        <v>160.95000000000027</v>
      </c>
      <c r="O186" s="8">
        <f>IFERROR(N186/N444, "NA")</f>
        <v>5.0406509157417567E-2</v>
      </c>
      <c r="P186" s="9"/>
      <c r="Q186" s="7">
        <v>26823.03</v>
      </c>
      <c r="R186" s="8">
        <f>IFERROR(Q186/Q444, "NA")</f>
        <v>2.3571413393725576E-2</v>
      </c>
      <c r="S186" s="9"/>
      <c r="T186" s="7">
        <v>33816.339999999997</v>
      </c>
      <c r="U186" s="8">
        <f>IFERROR(T186/T444, "NA")</f>
        <v>2.698530692900479E-2</v>
      </c>
      <c r="V186" s="9"/>
      <c r="W186" s="10">
        <f t="shared" ref="W186:W197" si="50">IFERROR(-(Q186-T186), "NA")</f>
        <v>6993.3099999999977</v>
      </c>
      <c r="X186" s="8">
        <f>IFERROR(W186/W444, "NA")</f>
        <v>-6.0710284923751301E-2</v>
      </c>
      <c r="Y186" s="9"/>
      <c r="Z186" s="7">
        <v>30425.26</v>
      </c>
      <c r="AA186" s="8">
        <f>IFERROR(Z186/Z444, "NA")</f>
        <v>2.7890532689313359E-2</v>
      </c>
      <c r="AB186" s="9"/>
      <c r="AC186" s="10">
        <f t="shared" ref="AC186:AC197" si="51">IFERROR(-(Q186-Z186), "NA")</f>
        <v>3602.2299999999996</v>
      </c>
      <c r="AD186" s="8">
        <f>IFERROR(AC186/AC444, "NA")</f>
        <v>7.6535423099983999E-2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1.8333800723026433E-8</v>
      </c>
      <c r="AB187" s="9"/>
      <c r="AC187" s="10">
        <f t="shared" si="51"/>
        <v>0.02</v>
      </c>
      <c r="AD187" s="8">
        <f>IFERROR(AC187/AC444, "NA")</f>
        <v>4.2493357225931715E-7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2351.56</v>
      </c>
      <c r="C193" s="15">
        <f>IFERROR(B193/B444, "NA")</f>
        <v>2.1928588573477969E-2</v>
      </c>
      <c r="D193" s="2"/>
      <c r="E193" s="14">
        <f>IFERROR(E186+E187+E188+E189+E190+E191+E192, "NA")</f>
        <v>2536.69</v>
      </c>
      <c r="F193" s="15">
        <f>IFERROR(E193/E444, "NA")</f>
        <v>2.2164486353675544E-2</v>
      </c>
      <c r="G193" s="2"/>
      <c r="H193" s="14">
        <f t="shared" si="48"/>
        <v>185.13000000000011</v>
      </c>
      <c r="I193" s="15">
        <f>IFERROR(H193/H444, "NA")</f>
        <v>-2.5672493697321684E-2</v>
      </c>
      <c r="J193" s="2"/>
      <c r="K193" s="14">
        <f>IFERROR(K186+K187+K188+K189+K190+K191+K192, "NA")</f>
        <v>2512.5100000000002</v>
      </c>
      <c r="L193" s="15">
        <f>IFERROR(K193/K444, "NA")</f>
        <v>2.4148500818979332E-2</v>
      </c>
      <c r="M193" s="2"/>
      <c r="N193" s="14">
        <f t="shared" si="49"/>
        <v>160.95000000000027</v>
      </c>
      <c r="O193" s="15">
        <f>IFERROR(N193/N444, "NA")</f>
        <v>5.0406509157417567E-2</v>
      </c>
      <c r="P193" s="2"/>
      <c r="Q193" s="14">
        <f>IFERROR(Q186+Q187+Q188+Q189+Q190+Q191+Q192, "NA")</f>
        <v>26823.03</v>
      </c>
      <c r="R193" s="15">
        <f>IFERROR(Q193/Q444, "NA")</f>
        <v>2.3571413393725576E-2</v>
      </c>
      <c r="S193" s="2"/>
      <c r="T193" s="14">
        <f>IFERROR(T186+T187+T188+T189+T190+T191+T192, "NA")</f>
        <v>33816.339999999997</v>
      </c>
      <c r="U193" s="15">
        <f>IFERROR(T193/T444, "NA")</f>
        <v>2.698530692900479E-2</v>
      </c>
      <c r="V193" s="2"/>
      <c r="W193" s="14">
        <f t="shared" si="50"/>
        <v>6993.3099999999977</v>
      </c>
      <c r="X193" s="15">
        <f>IFERROR(W193/W444, "NA")</f>
        <v>-6.0710284923751301E-2</v>
      </c>
      <c r="Y193" s="2"/>
      <c r="Z193" s="14">
        <f>IFERROR(Z186+Z187+Z188+Z189+Z190+Z191+Z192, "NA")</f>
        <v>30425.279999999999</v>
      </c>
      <c r="AA193" s="15">
        <f>IFERROR(Z193/Z444, "NA")</f>
        <v>2.789055102311408E-2</v>
      </c>
      <c r="AB193" s="2"/>
      <c r="AC193" s="14">
        <f t="shared" si="51"/>
        <v>3602.25</v>
      </c>
      <c r="AD193" s="15">
        <f>IFERROR(AC193/AC444, "NA")</f>
        <v>7.6535848033556259E-2</v>
      </c>
    </row>
    <row r="194" spans="1:30" ht="16.5" customHeight="1" x14ac:dyDescent="0.45">
      <c r="A194" s="6" t="s">
        <v>178</v>
      </c>
      <c r="B194" s="7">
        <v>288.32</v>
      </c>
      <c r="C194" s="8">
        <f>IFERROR(B194/B444, "NA")</f>
        <v>2.6886197492324957E-3</v>
      </c>
      <c r="D194" s="9"/>
      <c r="E194" s="7">
        <v>225.32</v>
      </c>
      <c r="F194" s="8">
        <f>IFERROR(E194/E444, "NA")</f>
        <v>1.9687474879509018E-3</v>
      </c>
      <c r="G194" s="9"/>
      <c r="H194" s="10">
        <f t="shared" si="48"/>
        <v>-63</v>
      </c>
      <c r="I194" s="8">
        <f>IFERROR(H194/H444, "NA")</f>
        <v>8.7363857987968734E-3</v>
      </c>
      <c r="J194" s="9"/>
      <c r="K194" s="7">
        <v>275.60000000000002</v>
      </c>
      <c r="L194" s="8">
        <f>IFERROR(K194/K444, "NA")</f>
        <v>2.6488757560012514E-3</v>
      </c>
      <c r="M194" s="9"/>
      <c r="N194" s="10">
        <f t="shared" si="49"/>
        <v>-12.71999999999997</v>
      </c>
      <c r="O194" s="8">
        <f>IFERROR(N194/N444, "NA")</f>
        <v>-3.9836644702227328E-3</v>
      </c>
      <c r="P194" s="9"/>
      <c r="Q194" s="7">
        <v>2901.88</v>
      </c>
      <c r="R194" s="8">
        <f>IFERROR(Q194/Q444, "NA")</f>
        <v>2.5501001601602943E-3</v>
      </c>
      <c r="S194" s="9"/>
      <c r="T194" s="7">
        <v>2542.75</v>
      </c>
      <c r="U194" s="8">
        <f>IFERROR(T194/T444, "NA")</f>
        <v>2.0291045451319373E-3</v>
      </c>
      <c r="V194" s="9"/>
      <c r="W194" s="10">
        <f t="shared" si="50"/>
        <v>-359.13000000000011</v>
      </c>
      <c r="X194" s="8">
        <f>IFERROR(W194/W444, "NA")</f>
        <v>3.1176774123650771E-3</v>
      </c>
      <c r="Y194" s="9"/>
      <c r="Z194" s="7">
        <v>2680.74</v>
      </c>
      <c r="AA194" s="8">
        <f>IFERROR(Z194/Z444, "NA")</f>
        <v>2.4574076475122938E-3</v>
      </c>
      <c r="AB194" s="9"/>
      <c r="AC194" s="10">
        <f t="shared" si="51"/>
        <v>-221.14000000000033</v>
      </c>
      <c r="AD194" s="8">
        <f>IFERROR(AC194/AC444, "NA")</f>
        <v>-4.6984905084712768E-3</v>
      </c>
    </row>
    <row r="195" spans="1:30" ht="16.5" customHeight="1" x14ac:dyDescent="0.45">
      <c r="A195" s="6" t="s">
        <v>179</v>
      </c>
      <c r="B195" s="7">
        <v>884.49</v>
      </c>
      <c r="C195" s="8">
        <f>IFERROR(B195/B444, "NA")</f>
        <v>8.2479789192517004E-3</v>
      </c>
      <c r="D195" s="9"/>
      <c r="E195" s="7">
        <v>197.15</v>
      </c>
      <c r="F195" s="8">
        <f>IFERROR(E195/E444, "NA")</f>
        <v>1.7226103641466374E-3</v>
      </c>
      <c r="G195" s="9"/>
      <c r="H195" s="10">
        <f t="shared" si="48"/>
        <v>-687.34</v>
      </c>
      <c r="I195" s="8">
        <f>IFERROR(H195/H444, "NA")</f>
        <v>9.5315355792778458E-2</v>
      </c>
      <c r="J195" s="9"/>
      <c r="K195" s="7">
        <v>609.86</v>
      </c>
      <c r="L195" s="8">
        <f>IFERROR(K195/K444, "NA")</f>
        <v>5.8615506841615496E-3</v>
      </c>
      <c r="M195" s="9"/>
      <c r="N195" s="10">
        <f t="shared" si="49"/>
        <v>-274.63</v>
      </c>
      <c r="O195" s="8">
        <f>IFERROR(N195/N444, "NA")</f>
        <v>-8.6008944454188024E-2</v>
      </c>
      <c r="P195" s="9"/>
      <c r="Q195" s="7">
        <v>8541.09</v>
      </c>
      <c r="R195" s="8">
        <f>IFERROR(Q195/Q444, "NA")</f>
        <v>7.5056980222970929E-3</v>
      </c>
      <c r="S195" s="9"/>
      <c r="T195" s="7">
        <v>2224.9</v>
      </c>
      <c r="U195" s="8">
        <f>IFERROR(T195/T444, "NA")</f>
        <v>1.7754614895149142E-3</v>
      </c>
      <c r="V195" s="9"/>
      <c r="W195" s="10">
        <f t="shared" si="50"/>
        <v>-6316.1900000000005</v>
      </c>
      <c r="X195" s="8">
        <f>IFERROR(W195/W444, "NA")</f>
        <v>5.4832074444368814E-2</v>
      </c>
      <c r="Y195" s="9"/>
      <c r="Z195" s="7">
        <v>6996.44</v>
      </c>
      <c r="AA195" s="8">
        <f>IFERROR(Z195/Z444, "NA")</f>
        <v>6.4135668365305522E-3</v>
      </c>
      <c r="AB195" s="9"/>
      <c r="AC195" s="10">
        <f t="shared" si="51"/>
        <v>-1544.6500000000005</v>
      </c>
      <c r="AD195" s="8">
        <f>IFERROR(AC195/AC444, "NA")</f>
        <v>-3.2818682119517724E-2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30810.510000000002</v>
      </c>
      <c r="C196" s="15">
        <f>IFERROR(B196/B444, "NA")</f>
        <v>0.28731182599169436</v>
      </c>
      <c r="D196" s="2"/>
      <c r="E196" s="14">
        <f>IFERROR(E175+E177+E178+E179+E180+E181+E183+E184+E186+E187+E188+E189+E190+E191+E192+E194+E195, "NA")</f>
        <v>31123.690000000002</v>
      </c>
      <c r="F196" s="15">
        <f>IFERROR(E196/E444, "NA")</f>
        <v>0.27194517354545805</v>
      </c>
      <c r="G196" s="2"/>
      <c r="H196" s="14">
        <f t="shared" si="48"/>
        <v>313.18000000000029</v>
      </c>
      <c r="I196" s="15">
        <f>IFERROR(H196/H444, "NA")</f>
        <v>-4.3429544515352497E-2</v>
      </c>
      <c r="J196" s="2"/>
      <c r="K196" s="14">
        <f>IFERROR(K175+K177+K178+K179+K180+K181+K183+K184+K186+K187+K188+K189+K190+K191+K192+K194+K195, "NA")</f>
        <v>31612.199999999997</v>
      </c>
      <c r="L196" s="15">
        <f>IFERROR(K196/K444, "NA")</f>
        <v>0.3038345071620564</v>
      </c>
      <c r="M196" s="2"/>
      <c r="N196" s="14">
        <f t="shared" si="49"/>
        <v>801.68999999999505</v>
      </c>
      <c r="O196" s="15">
        <f>IFERROR(N196/N444, "NA")</f>
        <v>0.25107421140981528</v>
      </c>
      <c r="P196" s="2"/>
      <c r="Q196" s="14">
        <f>IFERROR(Q175+Q177+Q178+Q179+Q180+Q181+Q183+Q184+Q186+Q187+Q188+Q189+Q190+Q191+Q192+Q194+Q195, "NA")</f>
        <v>336637.25000000006</v>
      </c>
      <c r="R196" s="15">
        <f>IFERROR(Q196/Q444, "NA")</f>
        <v>0.29582846469906449</v>
      </c>
      <c r="S196" s="2"/>
      <c r="T196" s="14">
        <f>IFERROR(T175+T177+T178+T179+T180+T181+T183+T184+T186+T187+T188+T189+T190+T191+T192+T194+T195, "NA")</f>
        <v>356427.01</v>
      </c>
      <c r="U196" s="15">
        <f>IFERROR(T196/T444, "NA")</f>
        <v>0.28442735856800178</v>
      </c>
      <c r="V196" s="2"/>
      <c r="W196" s="14">
        <f t="shared" si="50"/>
        <v>19789.759999999951</v>
      </c>
      <c r="X196" s="15">
        <f>IFERROR(W196/W444, "NA")</f>
        <v>-0.17179875740853101</v>
      </c>
      <c r="Y196" s="2"/>
      <c r="Z196" s="14">
        <f>IFERROR(Z175+Z177+Z178+Z179+Z180+Z181+Z183+Z184+Z186+Z187+Z188+Z189+Z190+Z191+Z192+Z194+Z195, "NA")</f>
        <v>342898.22000000003</v>
      </c>
      <c r="AA196" s="15">
        <f>IFERROR(Z196/Z444, "NA")</f>
        <v>0.31433138168802383</v>
      </c>
      <c r="AB196" s="2"/>
      <c r="AC196" s="14">
        <f t="shared" si="51"/>
        <v>6260.9699999999721</v>
      </c>
      <c r="AD196" s="15">
        <f>IFERROR(AC196/AC444, "NA")</f>
        <v>0.13302481739542024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30810.510000000002</v>
      </c>
      <c r="C197" s="15">
        <f>IFERROR(B197/B444, "NA")</f>
        <v>0.28731182599169436</v>
      </c>
      <c r="D197" s="2"/>
      <c r="E197" s="14">
        <f>IFERROR(E175+E177+E178+E179+E180+E181+E183+E184+E186+E187+E188+E189+E190+E191+E192+E194+E195, "NA")</f>
        <v>31123.690000000002</v>
      </c>
      <c r="F197" s="15">
        <f>IFERROR(E197/E444, "NA")</f>
        <v>0.27194517354545805</v>
      </c>
      <c r="G197" s="2"/>
      <c r="H197" s="14">
        <f t="shared" si="48"/>
        <v>313.18000000000029</v>
      </c>
      <c r="I197" s="15">
        <f>IFERROR(H197/H444, "NA")</f>
        <v>-4.3429544515352497E-2</v>
      </c>
      <c r="J197" s="2"/>
      <c r="K197" s="14">
        <f>IFERROR(K175+K177+K178+K179+K180+K181+K183+K184+K186+K187+K188+K189+K190+K191+K192+K194+K195, "NA")</f>
        <v>31612.199999999997</v>
      </c>
      <c r="L197" s="15">
        <f>IFERROR(K197/K444, "NA")</f>
        <v>0.3038345071620564</v>
      </c>
      <c r="M197" s="2"/>
      <c r="N197" s="14">
        <f t="shared" si="49"/>
        <v>801.68999999999505</v>
      </c>
      <c r="O197" s="15">
        <f>IFERROR(N197/N444, "NA")</f>
        <v>0.25107421140981528</v>
      </c>
      <c r="P197" s="2"/>
      <c r="Q197" s="14">
        <f>IFERROR(Q175+Q177+Q178+Q179+Q180+Q181+Q183+Q184+Q186+Q187+Q188+Q189+Q190+Q191+Q192+Q194+Q195, "NA")</f>
        <v>336637.25000000006</v>
      </c>
      <c r="R197" s="15">
        <f>IFERROR(Q197/Q444, "NA")</f>
        <v>0.29582846469906449</v>
      </c>
      <c r="S197" s="2"/>
      <c r="T197" s="14">
        <f>IFERROR(T175+T177+T178+T179+T180+T181+T183+T184+T186+T187+T188+T189+T190+T191+T192+T194+T195, "NA")</f>
        <v>356427.01</v>
      </c>
      <c r="U197" s="15">
        <f>IFERROR(T197/T444, "NA")</f>
        <v>0.28442735856800178</v>
      </c>
      <c r="V197" s="2"/>
      <c r="W197" s="14">
        <f t="shared" si="50"/>
        <v>19789.759999999951</v>
      </c>
      <c r="X197" s="15">
        <f>IFERROR(W197/W444, "NA")</f>
        <v>-0.17179875740853101</v>
      </c>
      <c r="Y197" s="2"/>
      <c r="Z197" s="14">
        <f>IFERROR(Z175+Z177+Z178+Z179+Z180+Z181+Z183+Z184+Z186+Z187+Z188+Z189+Z190+Z191+Z192+Z194+Z195, "NA")</f>
        <v>342898.22000000003</v>
      </c>
      <c r="AA197" s="15">
        <f>IFERROR(Z197/Z444, "NA")</f>
        <v>0.31433138168802383</v>
      </c>
      <c r="AB197" s="2"/>
      <c r="AC197" s="14">
        <f t="shared" si="51"/>
        <v>6260.9699999999721</v>
      </c>
      <c r="AD197" s="15">
        <f>IFERROR(AC197/AC444, "NA")</f>
        <v>0.13302481739542024</v>
      </c>
    </row>
    <row r="198" spans="1:30" ht="16.5" customHeight="1" x14ac:dyDescent="0.45">
      <c r="A198" s="22" t="s">
        <v>181</v>
      </c>
      <c r="B198" s="23">
        <f>IFERROR(B172-B197, "NA")</f>
        <v>44326.250000000007</v>
      </c>
      <c r="C198" s="24">
        <f>IFERROR(B198/B444, "NA")</f>
        <v>0.41334777732872136</v>
      </c>
      <c r="D198" s="25"/>
      <c r="E198" s="23">
        <f>IFERROR(E172-E197, "NA")</f>
        <v>56200.439999999988</v>
      </c>
      <c r="F198" s="24">
        <f>IFERROR(E198/E444, "NA")</f>
        <v>0.49105483344459155</v>
      </c>
      <c r="G198" s="25"/>
      <c r="H198" s="23">
        <f>IFERROR(B198-E198, "NA")</f>
        <v>-11874.189999999981</v>
      </c>
      <c r="I198" s="24">
        <f>IFERROR(H198/H444, "NA")</f>
        <v>1.6466270617177092</v>
      </c>
      <c r="J198" s="25"/>
      <c r="K198" s="23">
        <f>IFERROR(K172-K197, "NA")</f>
        <v>42710.860000000015</v>
      </c>
      <c r="L198" s="24">
        <f>IFERROR(K198/K444, "NA")</f>
        <v>0.41050711745995511</v>
      </c>
      <c r="M198" s="25"/>
      <c r="N198" s="23">
        <f>IFERROR(B198-K198, "NA")</f>
        <v>1615.3899999999921</v>
      </c>
      <c r="O198" s="24">
        <f>IFERROR(N198/N444, "NA")</f>
        <v>0.50590972865983375</v>
      </c>
      <c r="P198" s="25"/>
      <c r="Q198" s="23">
        <f>IFERROR(Q172-Q197, "NA")</f>
        <v>461264.31999999989</v>
      </c>
      <c r="R198" s="24">
        <f>IFERROR(Q198/Q444, "NA")</f>
        <v>0.40534764232436521</v>
      </c>
      <c r="S198" s="25"/>
      <c r="T198" s="23">
        <f>IFERROR(T172-T197, "NA")</f>
        <v>588054.88000000012</v>
      </c>
      <c r="U198" s="24">
        <f>IFERROR(T198/T444, "NA")</f>
        <v>0.46926549200472573</v>
      </c>
      <c r="V198" s="25"/>
      <c r="W198" s="23">
        <f>IFERROR(Q198-T198, "NA")</f>
        <v>-126790.56000000023</v>
      </c>
      <c r="X198" s="24">
        <f>IFERROR(W198/W444, "NA")</f>
        <v>1.1006935232732429</v>
      </c>
      <c r="Y198" s="25"/>
      <c r="Z198" s="23">
        <f>IFERROR(Z172-Z197, "NA")</f>
        <v>441600.39999999962</v>
      </c>
      <c r="AA198" s="24">
        <f>IFERROR(Z198/Z444, "NA")</f>
        <v>0.40481068664043773</v>
      </c>
      <c r="AB198" s="25"/>
      <c r="AC198" s="23">
        <f>IFERROR(Q198-Z198, "NA")</f>
        <v>19663.920000000275</v>
      </c>
      <c r="AD198" s="24">
        <f>IFERROR(AC198/AC444, "NA")</f>
        <v>0.41779298851107743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2288.9699999999998</v>
      </c>
      <c r="F201" s="8">
        <f>IFERROR(E201/E444, "NA")</f>
        <v>2.0000017475124161E-2</v>
      </c>
      <c r="G201" s="9"/>
      <c r="H201" s="10">
        <f t="shared" ref="H201:H209" si="52">IFERROR(-(B201-E201), "NA")</f>
        <v>2288.9699999999998</v>
      </c>
      <c r="I201" s="8">
        <f>IFERROR(H201/H444, "NA")</f>
        <v>-0.31741785717257265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25062.79</v>
      </c>
      <c r="U201" s="8">
        <f>IFERROR(T201/T444, "NA")</f>
        <v>2.0000008299159284E-2</v>
      </c>
      <c r="V201" s="9"/>
      <c r="W201" s="10">
        <f t="shared" ref="W201:W209" si="54">IFERROR(-(Q201-T201), "NA")</f>
        <v>25062.79</v>
      </c>
      <c r="X201" s="8">
        <f>IFERROR(W201/W444, "NA")</f>
        <v>-0.21757495690655004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1119.0899999999999</v>
      </c>
      <c r="C202" s="8">
        <f>IFERROR(B202/B444, "NA")</f>
        <v>1.0435653007660216E-2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-1119.0899999999999</v>
      </c>
      <c r="I202" s="8">
        <f>IFERROR(H202/H444, "NA")</f>
        <v>0.15518733307262844</v>
      </c>
      <c r="J202" s="9"/>
      <c r="K202" s="7">
        <v>594.96</v>
      </c>
      <c r="L202" s="8">
        <f>IFERROR(K202/K444, "NA")</f>
        <v>5.7183422343632237E-3</v>
      </c>
      <c r="M202" s="9"/>
      <c r="N202" s="10">
        <f t="shared" si="53"/>
        <v>-524.12999999999988</v>
      </c>
      <c r="O202" s="8">
        <f>IFERROR(N202/N444, "NA")</f>
        <v>-0.16414764613033378</v>
      </c>
      <c r="P202" s="9"/>
      <c r="Q202" s="7">
        <v>10220.629999999999</v>
      </c>
      <c r="R202" s="8">
        <f>IFERROR(Q202/Q444, "NA")</f>
        <v>8.9816361117410464E-3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-10220.629999999999</v>
      </c>
      <c r="X202" s="8">
        <f>IFERROR(W202/W444, "NA")</f>
        <v>8.8727277841285521E-2</v>
      </c>
      <c r="Y202" s="9"/>
      <c r="Z202" s="7">
        <v>7948.07</v>
      </c>
      <c r="AA202" s="8">
        <f>IFERROR(Z202/Z444, "NA")</f>
        <v>7.2859165756332346E-3</v>
      </c>
      <c r="AB202" s="9"/>
      <c r="AC202" s="10">
        <f t="shared" si="55"/>
        <v>-2272.5599999999995</v>
      </c>
      <c r="AD202" s="8">
        <f>IFERROR(AC202/AC444, "NA")</f>
        <v>-4.8284351948681678E-2</v>
      </c>
    </row>
    <row r="203" spans="1:30" ht="16.5" customHeight="1" x14ac:dyDescent="0.45">
      <c r="A203" s="6" t="s">
        <v>185</v>
      </c>
      <c r="B203" s="7">
        <v>714.85</v>
      </c>
      <c r="C203" s="8">
        <f>IFERROR(B203/B444, "NA")</f>
        <v>6.6660648853317482E-3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-714.85</v>
      </c>
      <c r="I203" s="8">
        <f>IFERROR(H203/H444, "NA")</f>
        <v>9.9130244258253092E-2</v>
      </c>
      <c r="J203" s="9"/>
      <c r="K203" s="7">
        <v>794.44</v>
      </c>
      <c r="L203" s="8">
        <f>IFERROR(K203/K444, "NA")</f>
        <v>7.6356054266967848E-3</v>
      </c>
      <c r="M203" s="9"/>
      <c r="N203" s="10">
        <f t="shared" si="53"/>
        <v>79.590000000000032</v>
      </c>
      <c r="O203" s="8">
        <f>IFERROR(N203/N444, "NA")</f>
        <v>2.4926089244105991E-2</v>
      </c>
      <c r="P203" s="9"/>
      <c r="Q203" s="7">
        <v>9134.85</v>
      </c>
      <c r="R203" s="8">
        <f>IFERROR(Q203/Q444, "NA")</f>
        <v>8.0274795815265497E-3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-9134.85</v>
      </c>
      <c r="X203" s="8">
        <f>IFERROR(W203/W444, "NA")</f>
        <v>7.930141038159752E-2</v>
      </c>
      <c r="Y203" s="9"/>
      <c r="Z203" s="7">
        <v>6817.41</v>
      </c>
      <c r="AA203" s="8">
        <f>IFERROR(Z203/Z444, "NA")</f>
        <v>6.2494518193583811E-3</v>
      </c>
      <c r="AB203" s="9"/>
      <c r="AC203" s="10">
        <f t="shared" si="55"/>
        <v>-2317.4400000000005</v>
      </c>
      <c r="AD203" s="8">
        <f>IFERROR(AC203/AC444, "NA")</f>
        <v>-4.9237902884831611E-2</v>
      </c>
    </row>
    <row r="204" spans="1:30" ht="16.5" customHeight="1" x14ac:dyDescent="0.45">
      <c r="A204" s="6" t="s">
        <v>186</v>
      </c>
      <c r="B204" s="7">
        <v>326.39</v>
      </c>
      <c r="C204" s="8">
        <f>IFERROR(B204/B444, "NA")</f>
        <v>3.0436272195893252E-3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-326.39</v>
      </c>
      <c r="I204" s="8">
        <f>IFERROR(H204/H444, "NA")</f>
        <v>4.5261412077290654E-2</v>
      </c>
      <c r="J204" s="9"/>
      <c r="K204" s="7">
        <v>41.39</v>
      </c>
      <c r="L204" s="8">
        <f>IFERROR(K204/K444, "NA")</f>
        <v>3.9781192866796726E-4</v>
      </c>
      <c r="M204" s="9"/>
      <c r="N204" s="10">
        <f t="shared" si="53"/>
        <v>-285</v>
      </c>
      <c r="O204" s="8">
        <f>IFERROR(N204/N444, "NA")</f>
        <v>-8.9256633177160496E-2</v>
      </c>
      <c r="P204" s="9"/>
      <c r="Q204" s="7">
        <v>1838.26</v>
      </c>
      <c r="R204" s="8">
        <f>IFERROR(Q204/Q444, "NA")</f>
        <v>1.615417288246331E-3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-1838.26</v>
      </c>
      <c r="X204" s="8">
        <f>IFERROR(W204/W444, "NA")</f>
        <v>1.595829276321729E-2</v>
      </c>
      <c r="Y204" s="9"/>
      <c r="Z204" s="7">
        <v>983.24</v>
      </c>
      <c r="AA204" s="8">
        <f>IFERROR(Z204/Z444, "NA")</f>
        <v>9.0132631114542543E-4</v>
      </c>
      <c r="AB204" s="9"/>
      <c r="AC204" s="10">
        <f t="shared" si="55"/>
        <v>-855.02</v>
      </c>
      <c r="AD204" s="8">
        <f>IFERROR(AC204/AC444, "NA")</f>
        <v>-1.8166335147658069E-2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3.3965831626680226E-3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5.0510177196091639E-2</v>
      </c>
      <c r="J205" s="9"/>
      <c r="K205" s="7">
        <v>359.28</v>
      </c>
      <c r="L205" s="8">
        <f>IFERROR(K205/K444, "NA")</f>
        <v>3.4531497881572183E-3</v>
      </c>
      <c r="M205" s="9"/>
      <c r="N205" s="10">
        <f t="shared" si="53"/>
        <v>-4.9600000000000364</v>
      </c>
      <c r="O205" s="8">
        <f>IFERROR(N205/N444, "NA")</f>
        <v>-1.5533785984516468E-3</v>
      </c>
      <c r="P205" s="9"/>
      <c r="Q205" s="7">
        <v>3915.58</v>
      </c>
      <c r="R205" s="8">
        <f>IFERROR(Q205/Q444, "NA")</f>
        <v>3.4409145743864132E-3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-3915.58</v>
      </c>
      <c r="X205" s="8">
        <f>IFERROR(W205/W444, "NA")</f>
        <v>3.3991911904626304E-2</v>
      </c>
      <c r="Y205" s="9"/>
      <c r="Z205" s="7">
        <v>3964.98</v>
      </c>
      <c r="AA205" s="8">
        <f>IFERROR(Z205/Z444, "NA")</f>
        <v>3.6346576595392673E-3</v>
      </c>
      <c r="AB205" s="9"/>
      <c r="AC205" s="10">
        <f t="shared" si="55"/>
        <v>49.400000000000091</v>
      </c>
      <c r="AD205" s="8">
        <f>IFERROR(AC205/AC444, "NA")</f>
        <v>1.0495859234805154E-3</v>
      </c>
    </row>
    <row r="206" spans="1:30" ht="16.5" customHeight="1" x14ac:dyDescent="0.45">
      <c r="A206" s="6" t="s">
        <v>188</v>
      </c>
      <c r="B206" s="7">
        <v>34.96</v>
      </c>
      <c r="C206" s="8">
        <f>IFERROR(B206/B444, "NA")</f>
        <v>3.2600633474322993E-4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-34.96</v>
      </c>
      <c r="I206" s="8">
        <f>IFERROR(H206/H444, "NA")</f>
        <v>4.8480007543799794E-3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-34.96</v>
      </c>
      <c r="O206" s="8">
        <f>IFERROR(N206/N444, "NA")</f>
        <v>-1.0948813669731688E-2</v>
      </c>
      <c r="P206" s="9"/>
      <c r="Q206" s="7">
        <v>947.89</v>
      </c>
      <c r="R206" s="8">
        <f>IFERROR(Q206/Q444, "NA")</f>
        <v>8.3298221870454375E-4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-947.89</v>
      </c>
      <c r="X206" s="8">
        <f>IFERROR(W206/W444, "NA")</f>
        <v>8.2288175379576535E-3</v>
      </c>
      <c r="Y206" s="9"/>
      <c r="Z206" s="7">
        <v>398.03</v>
      </c>
      <c r="AA206" s="8">
        <f>IFERROR(Z206/Z444, "NA")</f>
        <v>3.648701350893105E-4</v>
      </c>
      <c r="AB206" s="9"/>
      <c r="AC206" s="10">
        <f t="shared" si="55"/>
        <v>-549.86</v>
      </c>
      <c r="AD206" s="8">
        <f>IFERROR(AC206/AC444, "NA")</f>
        <v>-1.1682698702125406E-2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847.67</v>
      </c>
      <c r="R207" s="8">
        <f>IFERROR(Q207/Q444, "NA")</f>
        <v>7.4491136875510925E-4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-847.67</v>
      </c>
      <c r="X207" s="8">
        <f>IFERROR(W207/W444, "NA")</f>
        <v>7.3587882163548132E-3</v>
      </c>
      <c r="Y207" s="9"/>
      <c r="Z207" s="7">
        <v>574.5</v>
      </c>
      <c r="AA207" s="8">
        <f>IFERROR(Z207/Z444, "NA")</f>
        <v>5.2663842576893428E-4</v>
      </c>
      <c r="AB207" s="9"/>
      <c r="AC207" s="10">
        <f t="shared" si="55"/>
        <v>-273.16999999999996</v>
      </c>
      <c r="AD207" s="8">
        <f>IFERROR(AC207/AC444, "NA")</f>
        <v>-5.8039551967038827E-3</v>
      </c>
    </row>
    <row r="208" spans="1:30" ht="16.5" customHeight="1" x14ac:dyDescent="0.45">
      <c r="A208" s="6" t="s">
        <v>190</v>
      </c>
      <c r="B208" s="7">
        <v>58.03</v>
      </c>
      <c r="C208" s="8">
        <f>IFERROR(B208/B444, "NA")</f>
        <v>5.4113694522739224E-4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-58.03</v>
      </c>
      <c r="I208" s="8">
        <f>IFERROR(H208/H444, "NA")</f>
        <v>8.047182030225121E-3</v>
      </c>
      <c r="J208" s="9"/>
      <c r="K208" s="7">
        <v>261.2</v>
      </c>
      <c r="L208" s="8">
        <f>IFERROR(K208/K444, "NA")</f>
        <v>2.5104729588807211E-3</v>
      </c>
      <c r="M208" s="9"/>
      <c r="N208" s="10">
        <f t="shared" si="53"/>
        <v>203.17</v>
      </c>
      <c r="O208" s="8">
        <f>IFERROR(N208/N444, "NA")</f>
        <v>6.3629018114398944E-2</v>
      </c>
      <c r="P208" s="9"/>
      <c r="Q208" s="7">
        <v>1265.5899999999999</v>
      </c>
      <c r="R208" s="8">
        <f>IFERROR(Q208/Q444, "NA")</f>
        <v>1.1121690978597553E-3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-1265.5899999999999</v>
      </c>
      <c r="X208" s="8">
        <f>IFERROR(W208/W444, "NA")</f>
        <v>1.0986833058544586E-2</v>
      </c>
      <c r="Y208" s="9"/>
      <c r="Z208" s="7">
        <v>1134.96</v>
      </c>
      <c r="AA208" s="8">
        <f>IFERROR(Z208/Z444, "NA")</f>
        <v>1.0404065234303039E-3</v>
      </c>
      <c r="AB208" s="9"/>
      <c r="AC208" s="10">
        <f t="shared" si="55"/>
        <v>-130.62999999999988</v>
      </c>
      <c r="AD208" s="8">
        <f>IFERROR(AC208/AC444, "NA")</f>
        <v>-2.7754536272117276E-3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2617.56</v>
      </c>
      <c r="C209" s="15">
        <f>IFERROR(B209/B444, "NA")</f>
        <v>2.4409071555219933E-2</v>
      </c>
      <c r="D209" s="2"/>
      <c r="E209" s="14">
        <f>IFERROR(E201+E202+E203+E204+E205+E206+E207+E208, "NA")</f>
        <v>2288.9699999999998</v>
      </c>
      <c r="F209" s="15">
        <f>IFERROR(E209/E444, "NA")</f>
        <v>2.0000017475124161E-2</v>
      </c>
      <c r="G209" s="2"/>
      <c r="H209" s="14">
        <f t="shared" si="52"/>
        <v>-328.59000000000015</v>
      </c>
      <c r="I209" s="15">
        <f>IFERROR(H209/H444, "NA")</f>
        <v>4.5566492216296287E-2</v>
      </c>
      <c r="J209" s="2"/>
      <c r="K209" s="14">
        <f>IFERROR(K201+K202+K203+K204+K205+K206+K207+K208, "NA")</f>
        <v>2051.27</v>
      </c>
      <c r="L209" s="15">
        <f>IFERROR(K209/K444, "NA")</f>
        <v>1.9715382336765914E-2</v>
      </c>
      <c r="M209" s="2"/>
      <c r="N209" s="14">
        <f t="shared" si="53"/>
        <v>-566.29</v>
      </c>
      <c r="O209" s="15">
        <f>IFERROR(N209/N444, "NA")</f>
        <v>-0.17735136421717271</v>
      </c>
      <c r="P209" s="2"/>
      <c r="Q209" s="14">
        <f>IFERROR(Q201+Q202+Q203+Q204+Q205+Q206+Q207+Q208, "NA")</f>
        <v>28170.469999999998</v>
      </c>
      <c r="R209" s="15">
        <f>IFERROR(Q209/Q444, "NA")</f>
        <v>2.4755510241219747E-2</v>
      </c>
      <c r="S209" s="2"/>
      <c r="T209" s="14">
        <f>IFERROR(T201+T202+T203+T204+T205+T206+T207+T208, "NA")</f>
        <v>25062.79</v>
      </c>
      <c r="U209" s="15">
        <f>IFERROR(T209/T444, "NA")</f>
        <v>2.0000008299159284E-2</v>
      </c>
      <c r="V209" s="2"/>
      <c r="W209" s="14">
        <f t="shared" si="54"/>
        <v>-3107.6799999999967</v>
      </c>
      <c r="X209" s="15">
        <f>IFERROR(W209/W444, "NA")</f>
        <v>2.6978374797033636E-2</v>
      </c>
      <c r="Y209" s="2"/>
      <c r="Z209" s="14">
        <f>IFERROR(Z201+Z202+Z203+Z204+Z205+Z206+Z207+Z208, "NA")</f>
        <v>21821.19</v>
      </c>
      <c r="AA209" s="15">
        <f>IFERROR(Z209/Z444, "NA")</f>
        <v>2.0003267449964855E-2</v>
      </c>
      <c r="AB209" s="2"/>
      <c r="AC209" s="14">
        <f t="shared" si="55"/>
        <v>-6349.2799999999988</v>
      </c>
      <c r="AD209" s="15">
        <f>IFERROR(AC209/AC444, "NA")</f>
        <v>-0.13490111158373183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2659.88</v>
      </c>
      <c r="F213" s="8">
        <f>IFERROR(E213/E444, "NA")</f>
        <v>2.3240866626357382E-2</v>
      </c>
      <c r="G213" s="9"/>
      <c r="H213" s="10">
        <f t="shared" ref="H213:H227" si="56">IFERROR(-(B213-E213), "NA")</f>
        <v>2659.88</v>
      </c>
      <c r="I213" s="8">
        <f>IFERROR(H213/H444, "NA")</f>
        <v>-0.36885298188101318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32568.1</v>
      </c>
      <c r="U213" s="8">
        <f>IFERROR(T213/T444, "NA")</f>
        <v>2.5989216295865283E-2</v>
      </c>
      <c r="V213" s="9"/>
      <c r="W213" s="10">
        <f t="shared" ref="W213:W227" si="58">IFERROR(-(Q213-T213), "NA")</f>
        <v>32568.1</v>
      </c>
      <c r="X213" s="8">
        <f>IFERROR(W213/W444, "NA")</f>
        <v>-0.28273001345932403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1533.9</v>
      </c>
      <c r="C214" s="8">
        <f>IFERROR(B214/B444, "NA")</f>
        <v>1.430380769057896E-2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-1533.9</v>
      </c>
      <c r="I214" s="8">
        <f>IFERROR(H214/H444, "NA")</f>
        <v>0.21271019328213531</v>
      </c>
      <c r="J214" s="9"/>
      <c r="K214" s="7">
        <v>2842.12</v>
      </c>
      <c r="L214" s="8">
        <f>IFERROR(K214/K444, "NA")</f>
        <v>2.7316483177236121E-2</v>
      </c>
      <c r="M214" s="9"/>
      <c r="N214" s="10">
        <f t="shared" si="57"/>
        <v>1308.2199999999998</v>
      </c>
      <c r="O214" s="8">
        <f>IFERROR(N214/N444, "NA")</f>
        <v>0.40970986896499961</v>
      </c>
      <c r="P214" s="9"/>
      <c r="Q214" s="7">
        <v>17680.73</v>
      </c>
      <c r="R214" s="8">
        <f>IFERROR(Q214/Q444, "NA")</f>
        <v>1.5537386937003225E-2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-17680.73</v>
      </c>
      <c r="X214" s="8">
        <f>IFERROR(W214/W444, "NA")</f>
        <v>0.153489857586739</v>
      </c>
      <c r="Y214" s="9"/>
      <c r="Z214" s="7">
        <v>10302.16</v>
      </c>
      <c r="AA214" s="8">
        <f>IFERROR(Z214/Z444, "NA")</f>
        <v>9.4438874228366994E-3</v>
      </c>
      <c r="AB214" s="9"/>
      <c r="AC214" s="10">
        <f t="shared" si="59"/>
        <v>-7378.57</v>
      </c>
      <c r="AD214" s="8">
        <f>IFERROR(AC214/AC444, "NA")</f>
        <v>-0.15677010541327149</v>
      </c>
    </row>
    <row r="215" spans="1:30" ht="16.5" customHeight="1" x14ac:dyDescent="0.45">
      <c r="A215" s="12" t="s">
        <v>195</v>
      </c>
      <c r="B215" s="7">
        <v>243.08</v>
      </c>
      <c r="C215" s="8">
        <f>IFERROR(B215/B444, "NA")</f>
        <v>2.2667511398565313E-3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-243.08</v>
      </c>
      <c r="I215" s="8">
        <f>IFERROR(H215/H444, "NA")</f>
        <v>3.3708581904310225E-2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-243.08</v>
      </c>
      <c r="O215" s="8">
        <f>IFERROR(N215/N444, "NA")</f>
        <v>-7.6128078570891849E-2</v>
      </c>
      <c r="P215" s="9"/>
      <c r="Q215" s="7">
        <v>950.63</v>
      </c>
      <c r="R215" s="8">
        <f>IFERROR(Q215/Q444, "NA")</f>
        <v>8.3539006273628837E-4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-950.63</v>
      </c>
      <c r="X215" s="8">
        <f>IFERROR(W215/W444, "NA")</f>
        <v>8.2526040111285948E-3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-950.63</v>
      </c>
      <c r="AD215" s="8">
        <f>IFERROR(AC215/AC444, "NA")</f>
        <v>-2.0197730089843734E-2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159</v>
      </c>
      <c r="L216" s="8">
        <f>IFERROR(K216/K444, "NA")</f>
        <v>1.5281975515391833E-3</v>
      </c>
      <c r="M216" s="9"/>
      <c r="N216" s="10">
        <f t="shared" si="57"/>
        <v>159</v>
      </c>
      <c r="O216" s="8">
        <f>IFERROR(N216/N444, "NA")</f>
        <v>4.9795805877784281E-2</v>
      </c>
      <c r="P216" s="9"/>
      <c r="Q216" s="7">
        <v>2.1</v>
      </c>
      <c r="R216" s="8">
        <f>IFERROR(Q216/Q444, "NA")</f>
        <v>1.8454279075415311E-6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1.8230508634663383E-5</v>
      </c>
      <c r="Y216" s="9"/>
      <c r="Z216" s="7">
        <v>506.74</v>
      </c>
      <c r="AA216" s="8">
        <f>IFERROR(Z216/Z444, "NA")</f>
        <v>4.6452350891932069E-4</v>
      </c>
      <c r="AB216" s="9"/>
      <c r="AC216" s="10">
        <f t="shared" si="59"/>
        <v>504.64</v>
      </c>
      <c r="AD216" s="8">
        <f>IFERROR(AC216/AC444, "NA")</f>
        <v>1.072192389524709E-2</v>
      </c>
    </row>
    <row r="217" spans="1:30" ht="16.5" customHeight="1" x14ac:dyDescent="0.45">
      <c r="A217" s="12" t="s">
        <v>197</v>
      </c>
      <c r="B217" s="7">
        <v>1594.75</v>
      </c>
      <c r="C217" s="8">
        <f>IFERROR(B217/B444, "NA")</f>
        <v>1.4871241485462412E-2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-1594.75</v>
      </c>
      <c r="I217" s="8">
        <f>IFERROR(H217/H444, "NA")</f>
        <v>0.22114843258144942</v>
      </c>
      <c r="J217" s="9"/>
      <c r="K217" s="7">
        <v>3953.62</v>
      </c>
      <c r="L217" s="8">
        <f>IFERROR(K217/K444, "NA")</f>
        <v>3.7999449079977016E-2</v>
      </c>
      <c r="M217" s="9"/>
      <c r="N217" s="10">
        <f t="shared" si="57"/>
        <v>2358.87</v>
      </c>
      <c r="O217" s="8">
        <f>IFERROR(N217/N444, "NA")</f>
        <v>0.73875366421967925</v>
      </c>
      <c r="P217" s="9"/>
      <c r="Q217" s="7">
        <v>16958.84</v>
      </c>
      <c r="R217" s="8">
        <f>IFERROR(Q217/Q444, "NA")</f>
        <v>1.4903007912157913E-2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-16958.84</v>
      </c>
      <c r="X217" s="8">
        <f>IFERROR(W217/W444, "NA")</f>
        <v>0.14722299002565464</v>
      </c>
      <c r="Y217" s="9"/>
      <c r="Z217" s="7">
        <v>21953.49</v>
      </c>
      <c r="AA217" s="8">
        <f>IFERROR(Z217/Z444, "NA")</f>
        <v>2.0124545541747679E-2</v>
      </c>
      <c r="AB217" s="9"/>
      <c r="AC217" s="10">
        <f t="shared" si="59"/>
        <v>4994.6500000000015</v>
      </c>
      <c r="AD217" s="8">
        <f>IFERROR(AC217/AC444, "NA")</f>
        <v>0.10611972333424995</v>
      </c>
    </row>
    <row r="218" spans="1:30" ht="16.5" customHeight="1" x14ac:dyDescent="0.45">
      <c r="A218" s="13" t="s">
        <v>198</v>
      </c>
      <c r="B218" s="14">
        <f>IFERROR(B213+B214+B215+B216+B217, "NA")</f>
        <v>3371.73</v>
      </c>
      <c r="C218" s="15">
        <f>IFERROR(B218/B444, "NA")</f>
        <v>3.1441800315897904E-2</v>
      </c>
      <c r="D218" s="2"/>
      <c r="E218" s="14">
        <f>IFERROR(E213+E214+E215+E216+E217, "NA")</f>
        <v>2659.88</v>
      </c>
      <c r="F218" s="15">
        <f>IFERROR(E218/E444, "NA")</f>
        <v>2.3240866626357382E-2</v>
      </c>
      <c r="G218" s="2"/>
      <c r="H218" s="14">
        <f t="shared" si="56"/>
        <v>-711.84999999999991</v>
      </c>
      <c r="I218" s="15">
        <f>IFERROR(H218/H444, "NA")</f>
        <v>9.8714225886881807E-2</v>
      </c>
      <c r="J218" s="2"/>
      <c r="K218" s="14">
        <f>IFERROR(K213+K214+K215+K216+K217, "NA")</f>
        <v>6954.74</v>
      </c>
      <c r="L218" s="15">
        <f>IFERROR(K218/K444, "NA")</f>
        <v>6.6844129808752317E-2</v>
      </c>
      <c r="M218" s="2"/>
      <c r="N218" s="14">
        <f t="shared" si="57"/>
        <v>3583.0099999999998</v>
      </c>
      <c r="O218" s="15">
        <f>IFERROR(N218/N444, "NA")</f>
        <v>1.1221312604915714</v>
      </c>
      <c r="P218" s="2"/>
      <c r="Q218" s="14">
        <f>IFERROR(Q213+Q214+Q215+Q216+Q217, "NA")</f>
        <v>35592.300000000003</v>
      </c>
      <c r="R218" s="15">
        <f>IFERROR(Q218/Q444, "NA")</f>
        <v>3.127763033980497E-2</v>
      </c>
      <c r="S218" s="2"/>
      <c r="T218" s="14">
        <f>IFERROR(T213+T214+T215+T216+T217, "NA")</f>
        <v>32568.1</v>
      </c>
      <c r="U218" s="15">
        <f>IFERROR(T218/T444, "NA")</f>
        <v>2.5989216295865283E-2</v>
      </c>
      <c r="V218" s="2"/>
      <c r="W218" s="14">
        <f t="shared" si="58"/>
        <v>-3024.2000000000044</v>
      </c>
      <c r="X218" s="15">
        <f>IFERROR(W218/W444, "NA")</f>
        <v>2.6253668672832894E-2</v>
      </c>
      <c r="Y218" s="2"/>
      <c r="Z218" s="14">
        <f>IFERROR(Z213+Z214+Z215+Z216+Z217, "NA")</f>
        <v>32762.39</v>
      </c>
      <c r="AA218" s="15">
        <f>IFERROR(Z218/Z444, "NA")</f>
        <v>3.0032956473503698E-2</v>
      </c>
      <c r="AB218" s="2"/>
      <c r="AC218" s="14">
        <f t="shared" si="59"/>
        <v>-2829.9100000000035</v>
      </c>
      <c r="AD218" s="15">
        <f>IFERROR(AC218/AC444, "NA")</f>
        <v>-6.0126188273618285E-2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45.13</v>
      </c>
      <c r="C222" s="8">
        <f>IFERROR(B222/B444, "NA")</f>
        <v>4.2084284573689837E-4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-45.13</v>
      </c>
      <c r="I222" s="8">
        <f>IFERROR(H222/H444, "NA")</f>
        <v>6.2583030333286174E-3</v>
      </c>
      <c r="J222" s="9"/>
      <c r="K222" s="7">
        <v>32.92</v>
      </c>
      <c r="L222" s="8">
        <f>IFERROR(K222/K444, "NA")</f>
        <v>3.1640417230610011E-4</v>
      </c>
      <c r="M222" s="9"/>
      <c r="N222" s="10">
        <f t="shared" si="57"/>
        <v>-12.21</v>
      </c>
      <c r="O222" s="8">
        <f>IFERROR(N222/N444, "NA")</f>
        <v>-3.8239420740109817E-3</v>
      </c>
      <c r="P222" s="9"/>
      <c r="Q222" s="7">
        <v>1150.56</v>
      </c>
      <c r="R222" s="8">
        <f>IFERROR(Q222/Q444, "NA")</f>
        <v>1.0110835872861829E-3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-1150.56</v>
      </c>
      <c r="X222" s="8">
        <f>IFERROR(W222/W444, "NA")</f>
        <v>9.9882352450944289E-3</v>
      </c>
      <c r="Y222" s="9"/>
      <c r="Z222" s="7">
        <v>56.6</v>
      </c>
      <c r="AA222" s="8">
        <f>IFERROR(Z222/Z444, "NA")</f>
        <v>5.1884656046164801E-5</v>
      </c>
      <c r="AB222" s="9"/>
      <c r="AC222" s="10">
        <f t="shared" si="59"/>
        <v>-1093.96</v>
      </c>
      <c r="AD222" s="8">
        <f>IFERROR(AC222/AC444, "NA")</f>
        <v>-2.3243016535440131E-2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114.45</v>
      </c>
      <c r="F226" s="8">
        <f>IFERROR(E226/E444, "NA")</f>
        <v>1.0000139800993286E-3</v>
      </c>
      <c r="G226" s="9"/>
      <c r="H226" s="10">
        <f t="shared" si="56"/>
        <v>114.45</v>
      </c>
      <c r="I226" s="8">
        <f>IFERROR(H226/H444, "NA")</f>
        <v>-1.587110086781432E-2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1253.1500000000001</v>
      </c>
      <c r="U226" s="8">
        <f>IFERROR(T226/T444, "NA")</f>
        <v>1.0000087939168569E-3</v>
      </c>
      <c r="V226" s="9"/>
      <c r="W226" s="10">
        <f t="shared" si="58"/>
        <v>1253.1500000000001</v>
      </c>
      <c r="X226" s="8">
        <f>IFERROR(W226/W444, "NA")</f>
        <v>-1.0878838997870675E-2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3416.86</v>
      </c>
      <c r="C227" s="15">
        <f>IFERROR(B227/B444, "NA")</f>
        <v>3.1862643161634799E-2</v>
      </c>
      <c r="D227" s="2"/>
      <c r="E227" s="14">
        <f>IFERROR(E211+E213+E214+E215+E216+E217+E219+E220+E221+E222+E223+E224+E225+E226, "NA")</f>
        <v>2774.33</v>
      </c>
      <c r="F227" s="15">
        <f>IFERROR(E227/E444, "NA")</f>
        <v>2.4240880606456711E-2</v>
      </c>
      <c r="G227" s="2"/>
      <c r="H227" s="14">
        <f t="shared" si="56"/>
        <v>-642.5300000000002</v>
      </c>
      <c r="I227" s="15">
        <f>IFERROR(H227/H444, "NA")</f>
        <v>8.9101428052396139E-2</v>
      </c>
      <c r="J227" s="2"/>
      <c r="K227" s="14">
        <f>IFERROR(K211+K213+K214+K215+K216+K217+K219+K220+K221+K222+K223+K224+K225+K226, "NA")</f>
        <v>6987.66</v>
      </c>
      <c r="L227" s="15">
        <f>IFERROR(K227/K444, "NA")</f>
        <v>6.7160533981058423E-2</v>
      </c>
      <c r="M227" s="2"/>
      <c r="N227" s="14">
        <f t="shared" si="57"/>
        <v>3570.7999999999997</v>
      </c>
      <c r="O227" s="15">
        <f>IFERROR(N227/N444, "NA")</f>
        <v>1.1183073184175603</v>
      </c>
      <c r="P227" s="2"/>
      <c r="Q227" s="14">
        <f>IFERROR(Q211+Q213+Q214+Q215+Q216+Q217+Q219+Q220+Q221+Q222+Q223+Q224+Q225+Q226, "NA")</f>
        <v>36742.86</v>
      </c>
      <c r="R227" s="15">
        <f>IFERROR(Q227/Q444, "NA")</f>
        <v>3.2288713927091151E-2</v>
      </c>
      <c r="S227" s="2"/>
      <c r="T227" s="14">
        <f>IFERROR(T211+T213+T214+T215+T216+T217+T219+T220+T221+T222+T223+T224+T225+T226, "NA")</f>
        <v>33821.25</v>
      </c>
      <c r="U227" s="15">
        <f>IFERROR(T227/T444, "NA")</f>
        <v>2.6989225089782142E-2</v>
      </c>
      <c r="V227" s="2"/>
      <c r="W227" s="14">
        <f t="shared" si="58"/>
        <v>-2921.6100000000006</v>
      </c>
      <c r="X227" s="15">
        <f>IFERROR(W227/W444, "NA")</f>
        <v>2.5363064920056615E-2</v>
      </c>
      <c r="Y227" s="2"/>
      <c r="Z227" s="14">
        <f>IFERROR(Z211+Z213+Z214+Z215+Z216+Z217+Z219+Z220+Z221+Z222+Z223+Z224+Z225+Z226, "NA")</f>
        <v>32818.99</v>
      </c>
      <c r="AA227" s="15">
        <f>IFERROR(Z227/Z444, "NA")</f>
        <v>3.0084841129549861E-2</v>
      </c>
      <c r="AB227" s="2"/>
      <c r="AC227" s="14">
        <f t="shared" si="59"/>
        <v>-3923.8700000000026</v>
      </c>
      <c r="AD227" s="15">
        <f>IFERROR(AC227/AC444, "NA")</f>
        <v>-8.3369204809058392E-2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1684.68</v>
      </c>
      <c r="F229" s="8">
        <f>IFERROR(E229/E444, "NA")</f>
        <v>1.4719996085572189E-2</v>
      </c>
      <c r="G229" s="9"/>
      <c r="H229" s="10">
        <f t="shared" ref="H229:H236" si="60">IFERROR(-(B229-E229), "NA")</f>
        <v>1684.68</v>
      </c>
      <c r="I229" s="8">
        <f>IFERROR(H229/H444, "NA")</f>
        <v>-0.23361927662725582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18446.21</v>
      </c>
      <c r="U229" s="8">
        <f>IFERROR(T229/T444, "NA")</f>
        <v>1.4720003363074699E-2</v>
      </c>
      <c r="V229" s="9"/>
      <c r="W229" s="10">
        <f t="shared" ref="W229:W236" si="62">IFERROR(-(Q229-T229), "NA")</f>
        <v>18446.21</v>
      </c>
      <c r="X229" s="8">
        <f>IFERROR(W229/W444, "NA")</f>
        <v>-0.16013513841991142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-2.3619435471474955E-4</v>
      </c>
      <c r="AB230" s="9"/>
      <c r="AC230" s="10">
        <f t="shared" si="63"/>
        <v>-257.66000000000003</v>
      </c>
      <c r="AD230" s="8">
        <f>IFERROR(AC230/AC444, "NA")</f>
        <v>-5.4744192114167837E-3</v>
      </c>
    </row>
    <row r="231" spans="1:30" ht="16.5" customHeight="1" x14ac:dyDescent="0.45">
      <c r="A231" s="6" t="s">
        <v>210</v>
      </c>
      <c r="B231" s="7">
        <v>168</v>
      </c>
      <c r="C231" s="8">
        <f>IFERROR(B231/B444, "NA")</f>
        <v>1.5666208305738739E-3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-168</v>
      </c>
      <c r="I231" s="8">
        <f>IFERROR(H231/H444, "NA")</f>
        <v>2.3297028796791661E-2</v>
      </c>
      <c r="J231" s="9"/>
      <c r="K231" s="7">
        <v>133</v>
      </c>
      <c r="L231" s="8">
        <f>IFERROR(K231/K444, "NA")</f>
        <v>1.2783036122937822E-3</v>
      </c>
      <c r="M231" s="9"/>
      <c r="N231" s="10">
        <f t="shared" si="61"/>
        <v>-35</v>
      </c>
      <c r="O231" s="8">
        <f>IFERROR(N231/N444, "NA")</f>
        <v>-1.0961340916493395E-2</v>
      </c>
      <c r="P231" s="9"/>
      <c r="Q231" s="7">
        <v>1596.05</v>
      </c>
      <c r="R231" s="8">
        <f>IFERROR(Q231/Q444, "NA")</f>
        <v>1.4025691484912668E-3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-1596.05</v>
      </c>
      <c r="X231" s="8">
        <f>IFERROR(W231/W444, "NA")</f>
        <v>1.3855620622073567E-2</v>
      </c>
      <c r="Y231" s="9"/>
      <c r="Z231" s="7">
        <v>1862.44</v>
      </c>
      <c r="AA231" s="8">
        <f>IFERROR(Z231/Z444, "NA")</f>
        <v>1.7072801909296675E-3</v>
      </c>
      <c r="AB231" s="9"/>
      <c r="AC231" s="10">
        <f t="shared" si="63"/>
        <v>266.3900000000001</v>
      </c>
      <c r="AD231" s="8">
        <f>IFERROR(AC231/AC444, "NA")</f>
        <v>5.6599027157079769E-3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1397.56</v>
      </c>
      <c r="C234" s="8">
        <f>IFERROR(B234/B444, "NA")</f>
        <v>1.3032420285576328E-2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-1397.56</v>
      </c>
      <c r="I234" s="8">
        <f>IFERROR(H234/H444, "NA")</f>
        <v>0.19380354503121522</v>
      </c>
      <c r="J234" s="9"/>
      <c r="K234" s="7">
        <v>1292.49</v>
      </c>
      <c r="L234" s="8">
        <f>IFERROR(K234/K444, "NA")</f>
        <v>1.2422516059049553E-2</v>
      </c>
      <c r="M234" s="9"/>
      <c r="N234" s="10">
        <f t="shared" si="61"/>
        <v>-105.06999999999994</v>
      </c>
      <c r="O234" s="8">
        <f>IFERROR(N234/N444, "NA")</f>
        <v>-3.2905945431313151E-2</v>
      </c>
      <c r="P234" s="9"/>
      <c r="Q234" s="7">
        <v>13509.14</v>
      </c>
      <c r="R234" s="8">
        <f>IFERROR(Q234/Q444, "NA")</f>
        <v>1.1871497125183617E-2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-13509.14</v>
      </c>
      <c r="X234" s="8">
        <f>IFERROR(W234/W444, "NA")</f>
        <v>0.11727547305565546</v>
      </c>
      <c r="Y234" s="9"/>
      <c r="Z234" s="7">
        <v>14731.34</v>
      </c>
      <c r="AA234" s="8">
        <f>IFERROR(Z234/Z444, "NA")</f>
        <v>1.3504072597157409E-2</v>
      </c>
      <c r="AB234" s="9"/>
      <c r="AC234" s="10">
        <f t="shared" si="63"/>
        <v>1222.2000000000007</v>
      </c>
      <c r="AD234" s="8">
        <f>IFERROR(AC234/AC444, "NA")</f>
        <v>2.5967690600766886E-2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1565.56</v>
      </c>
      <c r="C236" s="15">
        <f>IFERROR(B236/B444, "NA")</f>
        <v>1.4599041116150201E-2</v>
      </c>
      <c r="D236" s="2"/>
      <c r="E236" s="14">
        <f>IFERROR(E229+E230+E231+E232+E233+E234+E235, "NA")</f>
        <v>1684.68</v>
      </c>
      <c r="F236" s="15">
        <f>IFERROR(E236/E444, "NA")</f>
        <v>1.4719996085572189E-2</v>
      </c>
      <c r="G236" s="2"/>
      <c r="H236" s="14">
        <f t="shared" si="60"/>
        <v>119.12000000000012</v>
      </c>
      <c r="I236" s="15">
        <f>IFERROR(H236/H444, "NA")</f>
        <v>-1.6518702799248962E-2</v>
      </c>
      <c r="J236" s="2"/>
      <c r="K236" s="14">
        <f>IFERROR(K229+K230+K231+K232+K233+K234+K235, "NA")</f>
        <v>1425.49</v>
      </c>
      <c r="L236" s="15">
        <f>IFERROR(K236/K444, "NA")</f>
        <v>1.3700819671343336E-2</v>
      </c>
      <c r="M236" s="2"/>
      <c r="N236" s="14">
        <f t="shared" si="61"/>
        <v>-140.06999999999994</v>
      </c>
      <c r="O236" s="15">
        <f>IFERROR(N236/N444, "NA")</f>
        <v>-4.3867286347806546E-2</v>
      </c>
      <c r="P236" s="2"/>
      <c r="Q236" s="14">
        <f>IFERROR(Q229+Q230+Q231+Q232+Q233+Q234+Q235, "NA")</f>
        <v>15105.189999999999</v>
      </c>
      <c r="R236" s="15">
        <f>IFERROR(Q236/Q444, "NA")</f>
        <v>1.3274066273674884E-2</v>
      </c>
      <c r="S236" s="2"/>
      <c r="T236" s="14">
        <f>IFERROR(T229+T230+T231+T232+T233+T234+T235, "NA")</f>
        <v>18446.21</v>
      </c>
      <c r="U236" s="15">
        <f>IFERROR(T236/T444, "NA")</f>
        <v>1.4720003363074699E-2</v>
      </c>
      <c r="V236" s="2"/>
      <c r="W236" s="14">
        <f t="shared" si="62"/>
        <v>3341.0200000000004</v>
      </c>
      <c r="X236" s="15">
        <f>IFERROR(W236/W444, "NA")</f>
        <v>-2.9004044742182409E-2</v>
      </c>
      <c r="Y236" s="2"/>
      <c r="Z236" s="14">
        <f>IFERROR(Z229+Z230+Z231+Z232+Z233+Z234+Z235, "NA")</f>
        <v>16336.12</v>
      </c>
      <c r="AA236" s="15">
        <f>IFERROR(Z236/Z444, "NA")</f>
        <v>1.4975158433372328E-2</v>
      </c>
      <c r="AB236" s="2"/>
      <c r="AC236" s="14">
        <f t="shared" si="63"/>
        <v>1230.9300000000021</v>
      </c>
      <c r="AD236" s="15">
        <f>IFERROR(AC236/AC444, "NA")</f>
        <v>2.6153174105058109E-2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5883.56</v>
      </c>
      <c r="F240" s="8">
        <f>IFERROR(E240/E444, "NA")</f>
        <v>5.1407970753632209E-2</v>
      </c>
      <c r="G240" s="9"/>
      <c r="H240" s="10">
        <f t="shared" ref="H240:H263" si="64">IFERROR(-(B240-E240), "NA")</f>
        <v>5883.56</v>
      </c>
      <c r="I240" s="8">
        <f>IFERROR(H240/H444, "NA")</f>
        <v>-0.81588968302173548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65108.65</v>
      </c>
      <c r="U240" s="8">
        <f>IFERROR(T240/T444, "NA")</f>
        <v>5.1956447799588842E-2</v>
      </c>
      <c r="V240" s="9"/>
      <c r="W240" s="10">
        <f t="shared" ref="W240:W263" si="66">IFERROR(-(Q240-T240), "NA")</f>
        <v>65108.65</v>
      </c>
      <c r="X240" s="8">
        <f>IFERROR(W240/W444, "NA")</f>
        <v>-0.56522086000775051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1223.8900000000001</v>
      </c>
      <c r="C242" s="8">
        <f>IFERROR(B242/B444, "NA")</f>
        <v>1.1412926001970587E-2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-1223.8900000000001</v>
      </c>
      <c r="I242" s="8">
        <f>IFERROR(H242/H444, "NA")</f>
        <v>0.16972024151253184</v>
      </c>
      <c r="J242" s="9"/>
      <c r="K242" s="7">
        <v>974.37</v>
      </c>
      <c r="L242" s="8">
        <f>IFERROR(K242/K444, "NA")</f>
        <v>9.3649675993285157E-3</v>
      </c>
      <c r="M242" s="9"/>
      <c r="N242" s="10">
        <f t="shared" si="65"/>
        <v>-249.5200000000001</v>
      </c>
      <c r="O242" s="8">
        <f>IFERROR(N242/N444, "NA")</f>
        <v>-7.814496529952665E-2</v>
      </c>
      <c r="P242" s="9"/>
      <c r="Q242" s="7">
        <v>11603.69</v>
      </c>
      <c r="R242" s="8">
        <f>IFERROR(Q242/Q444, "NA")</f>
        <v>1.01970349316479E-2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-11603.69</v>
      </c>
      <c r="X242" s="8">
        <f>IFERROR(W242/W444, "NA")</f>
        <v>0.10073389082807484</v>
      </c>
      <c r="Y242" s="9"/>
      <c r="Z242" s="7">
        <v>9319.7099999999991</v>
      </c>
      <c r="AA242" s="8">
        <f>IFERROR(Z242/Z444, "NA")</f>
        <v>8.543285296819832E-3</v>
      </c>
      <c r="AB242" s="9"/>
      <c r="AC242" s="10">
        <f t="shared" si="67"/>
        <v>-2283.9800000000014</v>
      </c>
      <c r="AD242" s="8">
        <f>IFERROR(AC242/AC444, "NA")</f>
        <v>-4.8526989018441789E-2</v>
      </c>
    </row>
    <row r="243" spans="1:30" ht="16.5" customHeight="1" x14ac:dyDescent="0.45">
      <c r="A243" s="12" t="s">
        <v>220</v>
      </c>
      <c r="B243" s="7">
        <v>2453.4299999999998</v>
      </c>
      <c r="C243" s="8">
        <f>IFERROR(B243/B444, "NA")</f>
        <v>2.2878538954493207E-2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-2453.4299999999998</v>
      </c>
      <c r="I243" s="8">
        <f>IFERROR(H243/H444, "NA")</f>
        <v>0.3402239842911462</v>
      </c>
      <c r="J243" s="9"/>
      <c r="K243" s="7">
        <v>2460.36</v>
      </c>
      <c r="L243" s="8">
        <f>IFERROR(K243/K444, "NA")</f>
        <v>2.364727124468519E-2</v>
      </c>
      <c r="M243" s="9"/>
      <c r="N243" s="10">
        <f t="shared" si="65"/>
        <v>6.930000000000291</v>
      </c>
      <c r="O243" s="8">
        <f>IFERROR(N243/N444, "NA")</f>
        <v>2.1703455014657836E-3</v>
      </c>
      <c r="P243" s="9"/>
      <c r="Q243" s="7">
        <v>26706.51</v>
      </c>
      <c r="R243" s="8">
        <f>IFERROR(Q243/Q444, "NA")</f>
        <v>2.3469018508112845E-2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-26706.51</v>
      </c>
      <c r="X243" s="8">
        <f>IFERROR(W243/W444, "NA")</f>
        <v>0.23184441007463044</v>
      </c>
      <c r="Y243" s="9"/>
      <c r="Z243" s="7">
        <v>33611.620000000003</v>
      </c>
      <c r="AA243" s="8">
        <f>IFERROR(Z243/Z444, "NA")</f>
        <v>3.0811437152904485E-2</v>
      </c>
      <c r="AB243" s="9"/>
      <c r="AC243" s="10">
        <f t="shared" si="67"/>
        <v>6905.1100000000042</v>
      </c>
      <c r="AD243" s="8">
        <f>IFERROR(AC243/AC444, "NA")</f>
        <v>0.14671065295717675</v>
      </c>
    </row>
    <row r="244" spans="1:30" ht="16.5" customHeight="1" x14ac:dyDescent="0.45">
      <c r="A244" s="12" t="s">
        <v>221</v>
      </c>
      <c r="B244" s="7">
        <v>277.56</v>
      </c>
      <c r="C244" s="8">
        <f>IFERROR(B244/B444, "NA")</f>
        <v>2.5882814150838358E-3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-277.56</v>
      </c>
      <c r="I244" s="8">
        <f>IFERROR(H244/H444, "NA")</f>
        <v>3.8490019719270796E-2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-277.56</v>
      </c>
      <c r="O244" s="8">
        <f>IFERROR(N244/N444, "NA")</f>
        <v>-8.6926565279483045E-2</v>
      </c>
      <c r="P244" s="9"/>
      <c r="Q244" s="7">
        <v>4630.6000000000004</v>
      </c>
      <c r="R244" s="8">
        <f>IFERROR(Q244/Q444, "NA")</f>
        <v>4.0692564136484829E-3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-4630.6000000000004</v>
      </c>
      <c r="X244" s="8">
        <f>IFERROR(W244/W444, "NA")</f>
        <v>4.0199139658891554E-2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-4630.6000000000004</v>
      </c>
      <c r="AD244" s="8">
        <f>IFERROR(AC244/AC444, "NA")</f>
        <v>-9.8384869985199713E-2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89.78</v>
      </c>
      <c r="C246" s="8">
        <f>IFERROR(B246/B444, "NA")</f>
        <v>8.3720963195787134E-4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-89.78</v>
      </c>
      <c r="I246" s="8">
        <f>IFERROR(H246/H444, "NA")</f>
        <v>1.2450043127237831E-2</v>
      </c>
      <c r="J246" s="9"/>
      <c r="K246" s="7">
        <v>459.08</v>
      </c>
      <c r="L246" s="8">
        <f>IFERROR(K246/K444, "NA")</f>
        <v>4.412358062645335E-3</v>
      </c>
      <c r="M246" s="9"/>
      <c r="N246" s="10">
        <f t="shared" si="65"/>
        <v>369.29999999999995</v>
      </c>
      <c r="O246" s="8">
        <f>IFERROR(N246/N444, "NA")</f>
        <v>0.11565780572745744</v>
      </c>
      <c r="P246" s="9"/>
      <c r="Q246" s="7">
        <v>3142.72</v>
      </c>
      <c r="R246" s="8">
        <f>IFERROR(Q246/Q444, "NA")</f>
        <v>2.7617443778994856E-3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-3142.72</v>
      </c>
      <c r="X246" s="8">
        <f>IFERROR(W246/W444, "NA")</f>
        <v>2.7282563855394903E-2</v>
      </c>
      <c r="Y246" s="9"/>
      <c r="Z246" s="7">
        <v>1477.13</v>
      </c>
      <c r="AA246" s="8">
        <f>IFERROR(Z246/Z444, "NA")</f>
        <v>1.3540703531002018E-3</v>
      </c>
      <c r="AB246" s="9"/>
      <c r="AC246" s="10">
        <f t="shared" si="67"/>
        <v>-1665.5899999999997</v>
      </c>
      <c r="AD246" s="8">
        <f>IFERROR(AC246/AC444, "NA")</f>
        <v>-3.5388255430969795E-2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273.87</v>
      </c>
      <c r="C248" s="8">
        <f>IFERROR(B248/B444, "NA")</f>
        <v>2.5538717075551595E-3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-273.87</v>
      </c>
      <c r="I248" s="8">
        <f>IFERROR(H248/H444, "NA")</f>
        <v>3.7978317122484125E-2</v>
      </c>
      <c r="J248" s="9"/>
      <c r="K248" s="7">
        <v>232.7</v>
      </c>
      <c r="L248" s="8">
        <f>IFERROR(K248/K444, "NA")</f>
        <v>2.2365507562463393E-3</v>
      </c>
      <c r="M248" s="9"/>
      <c r="N248" s="10">
        <f t="shared" si="65"/>
        <v>-41.170000000000016</v>
      </c>
      <c r="O248" s="8">
        <f>IFERROR(N248/N444, "NA")</f>
        <v>-1.2893668729486664E-2</v>
      </c>
      <c r="P248" s="9"/>
      <c r="Q248" s="7">
        <v>2692.09</v>
      </c>
      <c r="R248" s="8">
        <f>IFERROR(Q248/Q444, "NA")</f>
        <v>2.3657419121968955E-3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-2692.09</v>
      </c>
      <c r="X248" s="8">
        <f>IFERROR(W248/W444, "NA")</f>
        <v>2.3370557138233786E-2</v>
      </c>
      <c r="Y248" s="9"/>
      <c r="Z248" s="7">
        <v>2449.6799999999998</v>
      </c>
      <c r="AA248" s="8">
        <f>IFERROR(Z248/Z444, "NA")</f>
        <v>2.2455972477591693E-3</v>
      </c>
      <c r="AB248" s="9"/>
      <c r="AC248" s="10">
        <f t="shared" si="67"/>
        <v>-242.41000000000031</v>
      </c>
      <c r="AD248" s="8">
        <f>IFERROR(AC248/AC444, "NA")</f>
        <v>-5.1504073625690599E-3</v>
      </c>
    </row>
    <row r="249" spans="1:30" ht="16.5" customHeight="1" x14ac:dyDescent="0.45">
      <c r="A249" s="12" t="s">
        <v>226</v>
      </c>
      <c r="B249" s="7">
        <v>1825.91</v>
      </c>
      <c r="C249" s="8">
        <f>IFERROR(B249/B444, "NA")</f>
        <v>1.7026837147340133E-2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-1825.91</v>
      </c>
      <c r="I249" s="8">
        <f>IFERROR(H249/H444, "NA")</f>
        <v>0.25320403482351111</v>
      </c>
      <c r="J249" s="9"/>
      <c r="K249" s="7">
        <v>1864.27</v>
      </c>
      <c r="L249" s="8">
        <f>IFERROR(K249/K444, "NA")</f>
        <v>1.7918068235270146E-2</v>
      </c>
      <c r="M249" s="9"/>
      <c r="N249" s="10">
        <f t="shared" si="65"/>
        <v>38.3599999999999</v>
      </c>
      <c r="O249" s="8">
        <f>IFERROR(N249/N444, "NA")</f>
        <v>1.201362964447673E-2</v>
      </c>
      <c r="P249" s="9"/>
      <c r="Q249" s="7">
        <v>13628</v>
      </c>
      <c r="R249" s="8">
        <f>IFERROR(Q249/Q444, "NA")</f>
        <v>1.197594834475047E-2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-13628</v>
      </c>
      <c r="X249" s="8">
        <f>IFERROR(W249/W444, "NA")</f>
        <v>0.11830731984437741</v>
      </c>
      <c r="Y249" s="9"/>
      <c r="Z249" s="7">
        <v>12801.49</v>
      </c>
      <c r="AA249" s="8">
        <f>IFERROR(Z249/Z444, "NA")</f>
        <v>1.1734998330890782E-2</v>
      </c>
      <c r="AB249" s="9"/>
      <c r="AC249" s="10">
        <f t="shared" si="67"/>
        <v>-826.51000000000022</v>
      </c>
      <c r="AD249" s="8">
        <f>IFERROR(AC249/AC444, "NA")</f>
        <v>-1.7560592340402414E-2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634.6</v>
      </c>
      <c r="C254" s="8">
        <f>IFERROR(B254/B444, "NA")</f>
        <v>5.9177236850129784E-3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-634.6</v>
      </c>
      <c r="I254" s="8">
        <f>IFERROR(H254/H444, "NA")</f>
        <v>8.8001752824071369E-2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-634.6</v>
      </c>
      <c r="O254" s="8">
        <f>IFERROR(N254/N444, "NA")</f>
        <v>-0.19874476987447739</v>
      </c>
      <c r="P254" s="9"/>
      <c r="Q254" s="7">
        <v>7150.14</v>
      </c>
      <c r="R254" s="8">
        <f>IFERROR(Q254/Q444, "NA")</f>
        <v>6.283365666109049E-3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-7150.14</v>
      </c>
      <c r="X254" s="8">
        <f>IFERROR(W254/W444, "NA")</f>
        <v>6.2071756670977161E-2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-7150.14</v>
      </c>
      <c r="AD254" s="8">
        <f>IFERROR(AC254/AC444, "NA")</f>
        <v>-0.15191672661771172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2.4613127470662985E-5</v>
      </c>
      <c r="AB255" s="9"/>
      <c r="AC255" s="10">
        <f t="shared" si="67"/>
        <v>26.85</v>
      </c>
      <c r="AD255" s="8">
        <f>IFERROR(AC255/AC444, "NA")</f>
        <v>5.7047332075813332E-4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993.17</v>
      </c>
      <c r="R258" s="8">
        <f>IFERROR(Q258/Q444, "NA")</f>
        <v>8.7277315949191542E-4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-993.17</v>
      </c>
      <c r="X258" s="8">
        <f>IFERROR(W258/W444, "NA")</f>
        <v>8.6219020288993472E-3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-993.17</v>
      </c>
      <c r="AD258" s="8">
        <f>IFERROR(AC258/AC444, "NA")</f>
        <v>-2.1101563798039302E-2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6779.04</v>
      </c>
      <c r="C262" s="15">
        <f>IFERROR(B262/B444, "NA")</f>
        <v>6.321538854341377E-2</v>
      </c>
      <c r="D262" s="2"/>
      <c r="E262" s="14">
        <f>IFERROR(E240+E241+E242+E243+E244+E245+E246+E247+E248+E249+E250+E251+E252+E253+E254+E255+E256+E257+E258+E259+E260+E261, "NA")</f>
        <v>5883.56</v>
      </c>
      <c r="F262" s="15">
        <f>IFERROR(E262/E444, "NA")</f>
        <v>5.1407970753632209E-2</v>
      </c>
      <c r="G262" s="2"/>
      <c r="H262" s="14">
        <f t="shared" si="64"/>
        <v>-895.47999999999956</v>
      </c>
      <c r="I262" s="15">
        <f>IFERROR(H262/H444, "NA")</f>
        <v>0.12417871039851779</v>
      </c>
      <c r="J262" s="2"/>
      <c r="K262" s="14">
        <f>IFERROR(K240+K241+K242+K243+K244+K245+K246+K247+K248+K249+K250+K251+K252+K253+K254+K255+K256+K257+K258+K259+K260+K261, "NA")</f>
        <v>5990.7800000000007</v>
      </c>
      <c r="L262" s="15">
        <f>IFERROR(K262/K444, "NA")</f>
        <v>5.757921589817553E-2</v>
      </c>
      <c r="M262" s="2"/>
      <c r="N262" s="14">
        <f t="shared" si="65"/>
        <v>-788.25999999999931</v>
      </c>
      <c r="O262" s="15">
        <f>IFERROR(N262/N444, "NA")</f>
        <v>-0.24686818830957361</v>
      </c>
      <c r="P262" s="2"/>
      <c r="Q262" s="14">
        <f>IFERROR(Q240+Q241+Q242+Q243+Q244+Q245+Q246+Q247+Q248+Q249+Q250+Q251+Q252+Q253+Q254+Q255+Q256+Q257+Q258+Q259+Q260+Q261, "NA")</f>
        <v>70546.92</v>
      </c>
      <c r="R262" s="15">
        <f>IFERROR(Q262/Q444, "NA")</f>
        <v>6.1994883313857038E-2</v>
      </c>
      <c r="S262" s="2"/>
      <c r="T262" s="14">
        <f>IFERROR(T240+T241+T242+T243+T244+T245+T246+T247+T248+T249+T250+T251+T252+T253+T254+T255+T256+T257+T258+T259+T260+T261, "NA")</f>
        <v>65108.65</v>
      </c>
      <c r="U262" s="15">
        <f>IFERROR(T262/T444, "NA")</f>
        <v>5.1956447799588842E-2</v>
      </c>
      <c r="V262" s="2"/>
      <c r="W262" s="14">
        <f t="shared" si="66"/>
        <v>-5438.2699999999968</v>
      </c>
      <c r="X262" s="15">
        <f>IFERROR(W262/W444, "NA")</f>
        <v>4.7210680091728942E-2</v>
      </c>
      <c r="Y262" s="2"/>
      <c r="Z262" s="14">
        <f>IFERROR(Z240+Z241+Z242+Z243+Z244+Z245+Z246+Z247+Z248+Z249+Z250+Z251+Z252+Z253+Z254+Z255+Z256+Z257+Z258+Z259+Z260+Z261, "NA")</f>
        <v>59686.479999999996</v>
      </c>
      <c r="AA262" s="15">
        <f>IFERROR(Z262/Z444, "NA")</f>
        <v>5.4714001508945127E-2</v>
      </c>
      <c r="AB262" s="2"/>
      <c r="AC262" s="14">
        <f t="shared" si="67"/>
        <v>-10860.440000000002</v>
      </c>
      <c r="AD262" s="15">
        <f>IFERROR(AC262/AC444, "NA")</f>
        <v>-0.23074827827539895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6779.04</v>
      </c>
      <c r="C263" s="15">
        <f>IFERROR(B263/B444, "NA")</f>
        <v>6.321538854341377E-2</v>
      </c>
      <c r="D263" s="2"/>
      <c r="E263" s="14">
        <f>IFERROR(E238+E240+E241+E242+E243+E244+E245+E246+E247+E248+E249+E250+E251+E252+E253+E254+E255+E256+E257+E258+E259+E260+E261, "NA")</f>
        <v>5883.56</v>
      </c>
      <c r="F263" s="15">
        <f>IFERROR(E263/E444, "NA")</f>
        <v>5.1407970753632209E-2</v>
      </c>
      <c r="G263" s="2"/>
      <c r="H263" s="14">
        <f t="shared" si="64"/>
        <v>-895.47999999999956</v>
      </c>
      <c r="I263" s="15">
        <f>IFERROR(H263/H444, "NA")</f>
        <v>0.12417871039851779</v>
      </c>
      <c r="J263" s="2"/>
      <c r="K263" s="14">
        <f>IFERROR(K238+K240+K241+K242+K243+K244+K245+K246+K247+K248+K249+K250+K251+K252+K253+K254+K255+K256+K257+K258+K259+K260+K261, "NA")</f>
        <v>5990.7800000000007</v>
      </c>
      <c r="L263" s="15">
        <f>IFERROR(K263/K444, "NA")</f>
        <v>5.757921589817553E-2</v>
      </c>
      <c r="M263" s="2"/>
      <c r="N263" s="14">
        <f t="shared" si="65"/>
        <v>-788.25999999999931</v>
      </c>
      <c r="O263" s="15">
        <f>IFERROR(N263/N444, "NA")</f>
        <v>-0.24686818830957361</v>
      </c>
      <c r="P263" s="2"/>
      <c r="Q263" s="14">
        <f>IFERROR(Q238+Q240+Q241+Q242+Q243+Q244+Q245+Q246+Q247+Q248+Q249+Q250+Q251+Q252+Q253+Q254+Q255+Q256+Q257+Q258+Q259+Q260+Q261, "NA")</f>
        <v>70546.92</v>
      </c>
      <c r="R263" s="15">
        <f>IFERROR(Q263/Q444, "NA")</f>
        <v>6.1994883313857038E-2</v>
      </c>
      <c r="S263" s="2"/>
      <c r="T263" s="14">
        <f>IFERROR(T238+T240+T241+T242+T243+T244+T245+T246+T247+T248+T249+T250+T251+T252+T253+T254+T255+T256+T257+T258+T259+T260+T261, "NA")</f>
        <v>65108.65</v>
      </c>
      <c r="U263" s="15">
        <f>IFERROR(T263/T444, "NA")</f>
        <v>5.1956447799588842E-2</v>
      </c>
      <c r="V263" s="2"/>
      <c r="W263" s="14">
        <f t="shared" si="66"/>
        <v>-5438.2699999999968</v>
      </c>
      <c r="X263" s="15">
        <f>IFERROR(W263/W444, "NA")</f>
        <v>4.7210680091728942E-2</v>
      </c>
      <c r="Y263" s="2"/>
      <c r="Z263" s="14">
        <f>IFERROR(Z238+Z240+Z241+Z242+Z243+Z244+Z245+Z246+Z247+Z248+Z249+Z250+Z251+Z252+Z253+Z254+Z255+Z256+Z257+Z258+Z259+Z260+Z261, "NA")</f>
        <v>59686.479999999996</v>
      </c>
      <c r="AA263" s="15">
        <f>IFERROR(Z263/Z444, "NA")</f>
        <v>5.4714001508945127E-2</v>
      </c>
      <c r="AB263" s="2"/>
      <c r="AC263" s="14">
        <f t="shared" si="67"/>
        <v>-10860.440000000002</v>
      </c>
      <c r="AD263" s="15">
        <f>IFERROR(AC263/AC444, "NA")</f>
        <v>-0.23074827827539895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2832.72</v>
      </c>
      <c r="C265" s="8">
        <f>IFERROR(B265/B444, "NA")</f>
        <v>2.6415465233233473E-2</v>
      </c>
      <c r="D265" s="9"/>
      <c r="E265" s="7">
        <v>3204.56</v>
      </c>
      <c r="F265" s="8">
        <f>IFERROR(E265/E444, "NA")</f>
        <v>2.8000041940297985E-2</v>
      </c>
      <c r="G265" s="9"/>
      <c r="H265" s="10">
        <f>IFERROR(-(B265-E265), "NA")</f>
        <v>371.84000000000015</v>
      </c>
      <c r="I265" s="8">
        <f>IFERROR(H265/H444, "NA")</f>
        <v>-5.156409040356557E-2</v>
      </c>
      <c r="J265" s="9"/>
      <c r="K265" s="7">
        <v>2772.58</v>
      </c>
      <c r="L265" s="8">
        <f>IFERROR(K265/K444, "NA")</f>
        <v>2.664811300280823E-2</v>
      </c>
      <c r="M265" s="9"/>
      <c r="N265" s="10">
        <f>IFERROR(-(B265-K265), "NA")</f>
        <v>-60.139999999999873</v>
      </c>
      <c r="O265" s="8">
        <f>IFERROR(N265/N444, "NA")</f>
        <v>-1.8834715506226039E-2</v>
      </c>
      <c r="P265" s="9"/>
      <c r="Q265" s="7">
        <v>30579.16</v>
      </c>
      <c r="R265" s="8">
        <f>IFERROR(Q265/Q444, "NA")</f>
        <v>2.6872207263417946E-2</v>
      </c>
      <c r="S265" s="9"/>
      <c r="T265" s="7">
        <v>35264.19</v>
      </c>
      <c r="U265" s="8">
        <f>IFERROR(T265/T444, "NA")</f>
        <v>2.8140685560671015E-2</v>
      </c>
      <c r="V265" s="9"/>
      <c r="W265" s="10">
        <f>IFERROR(-(Q265-T265), "NA")</f>
        <v>4685.0300000000025</v>
      </c>
      <c r="X265" s="8">
        <f>IFERROR(W265/W444, "NA")</f>
        <v>-4.0671657080312874E-2</v>
      </c>
      <c r="Y265" s="9"/>
      <c r="Z265" s="7">
        <v>31473.759999999998</v>
      </c>
      <c r="AA265" s="8">
        <f>IFERROR(Z265/Z444, "NA")</f>
        <v>2.8851682192218019E-2</v>
      </c>
      <c r="AB265" s="9"/>
      <c r="AC265" s="10">
        <f>IFERROR(-(Q265-Z265), "NA")</f>
        <v>894.59999999999854</v>
      </c>
      <c r="AD265" s="8">
        <f>IFERROR(AC265/AC444, "NA")</f>
        <v>1.9007278687159224E-2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6.5117241880394017E-5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6.4327651896597927E-4</v>
      </c>
      <c r="Y266" s="9"/>
      <c r="Z266" s="7">
        <v>-34.299999999999997</v>
      </c>
      <c r="AA266" s="8">
        <f>IFERROR(Z266/Z444, "NA")</f>
        <v>-3.1442468239990328E-5</v>
      </c>
      <c r="AB266" s="9"/>
      <c r="AC266" s="10">
        <f>IFERROR(-(Q266-Z266), "NA")</f>
        <v>-108.39999999999999</v>
      </c>
      <c r="AD266" s="8">
        <f>IFERROR(AC266/AC444, "NA")</f>
        <v>-2.303139961645499E-3</v>
      </c>
    </row>
    <row r="267" spans="1:30" ht="16.5" customHeight="1" x14ac:dyDescent="0.45">
      <c r="A267" s="19" t="s">
        <v>243</v>
      </c>
      <c r="B267" s="14">
        <f>IFERROR(B265+B266, "NA")</f>
        <v>2832.72</v>
      </c>
      <c r="C267" s="15">
        <f>IFERROR(B267/B444, "NA")</f>
        <v>2.6415465233233473E-2</v>
      </c>
      <c r="D267" s="2"/>
      <c r="E267" s="14">
        <f>IFERROR(E265+E266, "NA")</f>
        <v>3204.56</v>
      </c>
      <c r="F267" s="15">
        <f>IFERROR(E267/E444, "NA")</f>
        <v>2.8000041940297985E-2</v>
      </c>
      <c r="G267" s="2"/>
      <c r="H267" s="14">
        <f>IFERROR(-(B267-E267), "NA")</f>
        <v>371.84000000000015</v>
      </c>
      <c r="I267" s="15">
        <f>IFERROR(H267/H444, "NA")</f>
        <v>-5.156409040356557E-2</v>
      </c>
      <c r="J267" s="2"/>
      <c r="K267" s="14">
        <f>IFERROR(K265+K266, "NA")</f>
        <v>2772.58</v>
      </c>
      <c r="L267" s="15">
        <f>IFERROR(K267/K444, "NA")</f>
        <v>2.664811300280823E-2</v>
      </c>
      <c r="M267" s="2"/>
      <c r="N267" s="14">
        <f>IFERROR(-(B267-K267), "NA")</f>
        <v>-60.139999999999873</v>
      </c>
      <c r="O267" s="15">
        <f>IFERROR(N267/N444, "NA")</f>
        <v>-1.8834715506226039E-2</v>
      </c>
      <c r="P267" s="2"/>
      <c r="Q267" s="14">
        <f>IFERROR(Q265+Q266, "NA")</f>
        <v>30653.26</v>
      </c>
      <c r="R267" s="15">
        <f>IFERROR(Q267/Q444, "NA")</f>
        <v>2.6937324505298336E-2</v>
      </c>
      <c r="S267" s="2"/>
      <c r="T267" s="14">
        <f>IFERROR(T265+T266, "NA")</f>
        <v>35264.19</v>
      </c>
      <c r="U267" s="15">
        <f>IFERROR(T267/T444, "NA")</f>
        <v>2.8140685560671015E-2</v>
      </c>
      <c r="V267" s="2"/>
      <c r="W267" s="14">
        <f>IFERROR(-(Q267-T267), "NA")</f>
        <v>4610.9300000000039</v>
      </c>
      <c r="X267" s="15">
        <f>IFERROR(W267/W444, "NA")</f>
        <v>-4.0028380561346902E-2</v>
      </c>
      <c r="Y267" s="2"/>
      <c r="Z267" s="14">
        <f>IFERROR(Z265+Z266, "NA")</f>
        <v>31439.46</v>
      </c>
      <c r="AA267" s="15">
        <f>IFERROR(Z267/Z444, "NA")</f>
        <v>2.8820239723978028E-2</v>
      </c>
      <c r="AB267" s="2"/>
      <c r="AC267" s="14">
        <f>IFERROR(-(Q267-Z267), "NA")</f>
        <v>786.20000000000073</v>
      </c>
      <c r="AD267" s="15">
        <f>IFERROR(AC267/AC444, "NA")</f>
        <v>1.6704138725513774E-2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8.3730288319778655E-4</v>
      </c>
      <c r="D270" s="9"/>
      <c r="E270" s="7">
        <v>168.99</v>
      </c>
      <c r="F270" s="8">
        <f>IFERROR(E270/E444, "NA")</f>
        <v>1.4765606159631765E-3</v>
      </c>
      <c r="G270" s="9"/>
      <c r="H270" s="10">
        <f>IFERROR(-(B270-E270), "NA")</f>
        <v>79.2</v>
      </c>
      <c r="I270" s="8">
        <f>IFERROR(H270/H444, "NA")</f>
        <v>-1.0982885004201784E-2</v>
      </c>
      <c r="J270" s="9"/>
      <c r="K270" s="7">
        <v>182.86</v>
      </c>
      <c r="L270" s="8">
        <f>IFERROR(K270/K444, "NA")</f>
        <v>1.7575232973236169E-3</v>
      </c>
      <c r="M270" s="9"/>
      <c r="N270" s="10">
        <f>IFERROR(-(B270-K270), "NA")</f>
        <v>93.070000000000007</v>
      </c>
      <c r="O270" s="8">
        <f>IFERROR(N270/N444, "NA")</f>
        <v>2.9147771402801153E-2</v>
      </c>
      <c r="P270" s="9"/>
      <c r="Q270" s="7">
        <v>1156.71</v>
      </c>
      <c r="R270" s="8">
        <f>IFERROR(Q270/Q444, "NA")</f>
        <v>1.0164880547296974E-3</v>
      </c>
      <c r="S270" s="9"/>
      <c r="T270" s="7">
        <v>2081.41</v>
      </c>
      <c r="U270" s="8">
        <f>IFERROR(T270/T444, "NA")</f>
        <v>1.6609570312783662E-3</v>
      </c>
      <c r="V270" s="9"/>
      <c r="W270" s="10">
        <f>IFERROR(-(Q270-T270), "NA")</f>
        <v>924.69999999999982</v>
      </c>
      <c r="X270" s="8">
        <f>IFERROR(W270/W444, "NA")</f>
        <v>-8.0275006354634405E-3</v>
      </c>
      <c r="Y270" s="9"/>
      <c r="Z270" s="7">
        <v>1876.48</v>
      </c>
      <c r="AA270" s="8">
        <f>IFERROR(Z270/Z444, "NA")</f>
        <v>1.720150519037232E-3</v>
      </c>
      <c r="AB270" s="9"/>
      <c r="AC270" s="10">
        <f>IFERROR(-(Q270-Z270), "NA")</f>
        <v>719.77</v>
      </c>
      <c r="AD270" s="8">
        <f>IFERROR(AC270/AC444, "NA")</f>
        <v>1.5292721865254435E-2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1.1038615524951329E-2</v>
      </c>
      <c r="D271" s="9"/>
      <c r="E271" s="7">
        <v>801.14</v>
      </c>
      <c r="F271" s="8">
        <f>IFERROR(E271/E444, "NA")</f>
        <v>7.0000104850744963E-3</v>
      </c>
      <c r="G271" s="9"/>
      <c r="H271" s="10">
        <f>IFERROR(-(B271-E271), "NA")</f>
        <v>-382.61</v>
      </c>
      <c r="I271" s="8">
        <f>IFERROR(H271/H444, "NA")</f>
        <v>5.3057596356788445E-2</v>
      </c>
      <c r="J271" s="9"/>
      <c r="K271" s="7">
        <v>804.25</v>
      </c>
      <c r="L271" s="8">
        <f>IFERROR(K271/K444, "NA")</f>
        <v>7.729892332235146E-3</v>
      </c>
      <c r="M271" s="9"/>
      <c r="N271" s="10">
        <f>IFERROR(-(B271-K271), "NA")</f>
        <v>-379.5</v>
      </c>
      <c r="O271" s="8">
        <f>IFERROR(N271/N444, "NA")</f>
        <v>-0.11885225365169266</v>
      </c>
      <c r="P271" s="9"/>
      <c r="Q271" s="7">
        <v>11026.28</v>
      </c>
      <c r="R271" s="8">
        <f>IFERROR(Q271/Q444, "NA")</f>
        <v>9.6896213468414451E-3</v>
      </c>
      <c r="S271" s="9"/>
      <c r="T271" s="7">
        <v>8771.9699999999993</v>
      </c>
      <c r="U271" s="8">
        <f>IFERROR(T271/T444, "NA")</f>
        <v>6.9999977177311965E-3</v>
      </c>
      <c r="V271" s="9"/>
      <c r="W271" s="10">
        <f>IFERROR(-(Q271-T271), "NA")</f>
        <v>-2254.3100000000013</v>
      </c>
      <c r="X271" s="8">
        <f>IFERROR(W271/W444, "NA")</f>
        <v>1.9570103771527635E-2</v>
      </c>
      <c r="Y271" s="9"/>
      <c r="Z271" s="7">
        <v>8586.6200000000008</v>
      </c>
      <c r="AA271" s="8">
        <f>IFERROR(Z271/Z444, "NA")</f>
        <v>7.871268998217662E-3</v>
      </c>
      <c r="AB271" s="9"/>
      <c r="AC271" s="10">
        <f>IFERROR(-(Q271-Z271), "NA")</f>
        <v>-2439.66</v>
      </c>
      <c r="AD271" s="8">
        <f>IFERROR(AC271/AC444, "NA")</f>
        <v>-5.1834671944908282E-2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1.1875918408149114E-2</v>
      </c>
      <c r="D273" s="2"/>
      <c r="E273" s="14">
        <f>IFERROR(E269+E270+E271+E272, "NA")</f>
        <v>970.13</v>
      </c>
      <c r="F273" s="15">
        <f>IFERROR(E273/E444, "NA")</f>
        <v>8.4765711010376735E-3</v>
      </c>
      <c r="G273" s="2"/>
      <c r="H273" s="14">
        <f>IFERROR(-(B273-E273), "NA")</f>
        <v>-303.40999999999997</v>
      </c>
      <c r="I273" s="15">
        <f>IFERROR(H273/H444, "NA")</f>
        <v>4.2074711352586655E-2</v>
      </c>
      <c r="J273" s="2"/>
      <c r="K273" s="14">
        <f>IFERROR(K269+K270+K271+K272, "NA")</f>
        <v>987.11</v>
      </c>
      <c r="L273" s="15">
        <f>IFERROR(K273/K444, "NA")</f>
        <v>9.4874156295587618E-3</v>
      </c>
      <c r="M273" s="2"/>
      <c r="N273" s="14">
        <f>IFERROR(-(B273-K273), "NA")</f>
        <v>-286.42999999999995</v>
      </c>
      <c r="O273" s="15">
        <f>IFERROR(N273/N444, "NA")</f>
        <v>-8.9704482248891507E-2</v>
      </c>
      <c r="P273" s="2"/>
      <c r="Q273" s="14">
        <f>IFERROR(Q269+Q270+Q271+Q272, "NA")</f>
        <v>12182.990000000002</v>
      </c>
      <c r="R273" s="15">
        <f>IFERROR(Q273/Q444, "NA")</f>
        <v>1.0706109401571143E-2</v>
      </c>
      <c r="S273" s="2"/>
      <c r="T273" s="14">
        <f>IFERROR(T269+T270+T271+T272, "NA")</f>
        <v>10853.38</v>
      </c>
      <c r="U273" s="15">
        <f>IFERROR(T273/T444, "NA")</f>
        <v>8.6609547490095629E-3</v>
      </c>
      <c r="V273" s="2"/>
      <c r="W273" s="14">
        <f>IFERROR(-(Q273-T273), "NA")</f>
        <v>-1329.6100000000024</v>
      </c>
      <c r="X273" s="15">
        <f>IFERROR(W273/W444, "NA")</f>
        <v>1.1542603136064202E-2</v>
      </c>
      <c r="Y273" s="2"/>
      <c r="Z273" s="14">
        <f>IFERROR(Z269+Z270+Z271+Z272, "NA")</f>
        <v>10463.1</v>
      </c>
      <c r="AA273" s="15">
        <f>IFERROR(Z273/Z444, "NA")</f>
        <v>9.5914195172548938E-3</v>
      </c>
      <c r="AB273" s="2"/>
      <c r="AC273" s="14">
        <f>IFERROR(-(Q273-Z273), "NA")</f>
        <v>-1719.8900000000012</v>
      </c>
      <c r="AD273" s="15">
        <f>IFERROR(AC273/AC444, "NA")</f>
        <v>-3.6541950079653877E-2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3.1193096626951538E-3</v>
      </c>
      <c r="G287" s="9"/>
      <c r="H287" s="10">
        <f t="shared" si="72"/>
        <v>357</v>
      </c>
      <c r="I287" s="8">
        <f>IFERROR(H287/H444, "NA")</f>
        <v>-4.9506186193182283E-2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3570</v>
      </c>
      <c r="U287" s="8">
        <f>IFERROR(T287/T444, "NA")</f>
        <v>2.8488460234474553E-3</v>
      </c>
      <c r="V287" s="9"/>
      <c r="W287" s="10">
        <f t="shared" si="74"/>
        <v>3570</v>
      </c>
      <c r="X287" s="8">
        <f>IFERROR(W287/W444, "NA")</f>
        <v>-3.0991864678927748E-2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1.4764468815759611E-3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2.1956062913071572E-2</v>
      </c>
      <c r="J288" s="9"/>
      <c r="K288" s="7">
        <v>158.33000000000001</v>
      </c>
      <c r="L288" s="8">
        <f>IFERROR(K288/K444, "NA")</f>
        <v>1.5217579769509365E-3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1583.32</v>
      </c>
      <c r="R288" s="8">
        <f>IFERROR(Q288/Q444, "NA")</f>
        <v>1.391382340270789E-3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-1583.32</v>
      </c>
      <c r="X288" s="8">
        <f>IFERROR(W288/W444, "NA")</f>
        <v>1.3745109014969155E-2</v>
      </c>
      <c r="Y288" s="9"/>
      <c r="Z288" s="7">
        <v>1583.34</v>
      </c>
      <c r="AA288" s="8">
        <f>IFERROR(Z288/Z444, "NA")</f>
        <v>1.4514320018398335E-3</v>
      </c>
      <c r="AB288" s="9"/>
      <c r="AC288" s="10">
        <f t="shared" si="75"/>
        <v>1.999999999998181E-2</v>
      </c>
      <c r="AD288" s="8">
        <f>IFERROR(AC288/AC444, "NA")</f>
        <v>4.2493357225893069E-7</v>
      </c>
    </row>
    <row r="289" spans="1:30" ht="16.5" customHeight="1" x14ac:dyDescent="0.45">
      <c r="A289" s="6" t="s">
        <v>262</v>
      </c>
      <c r="B289" s="7">
        <v>233.3</v>
      </c>
      <c r="C289" s="8">
        <f>IFERROR(B289/B444, "NA")</f>
        <v>2.1755514272195522E-3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-233.3</v>
      </c>
      <c r="I289" s="8">
        <f>IFERROR(H289/H444, "NA")</f>
        <v>3.2352362013639849E-2</v>
      </c>
      <c r="J289" s="9"/>
      <c r="K289" s="7">
        <v>208.48</v>
      </c>
      <c r="L289" s="8">
        <f>IFERROR(K289/K444, "NA")</f>
        <v>2.0037649405338924E-3</v>
      </c>
      <c r="M289" s="9"/>
      <c r="N289" s="10">
        <f t="shared" si="73"/>
        <v>-24.820000000000022</v>
      </c>
      <c r="O289" s="8">
        <f>IFERROR(N289/N444, "NA")</f>
        <v>-7.773156615639037E-3</v>
      </c>
      <c r="P289" s="9"/>
      <c r="Q289" s="7">
        <v>2141.8200000000002</v>
      </c>
      <c r="R289" s="8">
        <f>IFERROR(Q289/Q444, "NA")</f>
        <v>1.8821782861574298E-3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-2141.8200000000002</v>
      </c>
      <c r="X289" s="8">
        <f>IFERROR(W289/W444, "NA")</f>
        <v>1.8593556192330822E-2</v>
      </c>
      <c r="Y289" s="9"/>
      <c r="Z289" s="7">
        <v>1996.6</v>
      </c>
      <c r="AA289" s="8">
        <f>IFERROR(Z289/Z444, "NA")</f>
        <v>1.8302633261797286E-3</v>
      </c>
      <c r="AB289" s="9"/>
      <c r="AC289" s="10">
        <f t="shared" si="75"/>
        <v>-145.22000000000025</v>
      </c>
      <c r="AD289" s="8">
        <f>IFERROR(AC289/AC444, "NA")</f>
        <v>-3.0854426681749072E-3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215.74</v>
      </c>
      <c r="R290" s="8">
        <f>IFERROR(Q290/Q444, "NA")</f>
        <v>1.8958696036809996E-4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-215.74</v>
      </c>
      <c r="X290" s="8">
        <f>IFERROR(W290/W444, "NA")</f>
        <v>1.8728809204010849E-3</v>
      </c>
      <c r="Y290" s="9"/>
      <c r="Z290" s="7">
        <v>3306.13</v>
      </c>
      <c r="AA290" s="8">
        <f>IFERROR(Z290/Z444, "NA")</f>
        <v>3.0306964292209689E-3</v>
      </c>
      <c r="AB290" s="9"/>
      <c r="AC290" s="10">
        <f t="shared" si="75"/>
        <v>3090.3900000000003</v>
      </c>
      <c r="AD290" s="8">
        <f>IFERROR(AC290/AC444, "NA")</f>
        <v>6.5660523118723557E-2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1144.48</v>
      </c>
      <c r="F291" s="8">
        <f>IFERROR(E291/E444, "NA")</f>
        <v>9.9999650497516798E-3</v>
      </c>
      <c r="G291" s="9"/>
      <c r="H291" s="10">
        <f t="shared" si="72"/>
        <v>1144.48</v>
      </c>
      <c r="I291" s="8">
        <f>IFERROR(H291/H444, "NA")</f>
        <v>-0.15870823522233407</v>
      </c>
      <c r="J291" s="9"/>
      <c r="K291" s="7">
        <v>1709.5</v>
      </c>
      <c r="L291" s="8">
        <f>IFERROR(K291/K444, "NA")</f>
        <v>1.643052650538512E-2</v>
      </c>
      <c r="M291" s="9"/>
      <c r="N291" s="10">
        <f t="shared" si="73"/>
        <v>1709.5</v>
      </c>
      <c r="O291" s="8">
        <f>IFERROR(N291/N444, "NA")</f>
        <v>0.53538320847844167</v>
      </c>
      <c r="P291" s="9"/>
      <c r="Q291" s="7">
        <v>2499.58</v>
      </c>
      <c r="R291" s="8">
        <f>IFERROR(Q291/Q444, "NA")</f>
        <v>2.1965688995869807E-3</v>
      </c>
      <c r="S291" s="9"/>
      <c r="T291" s="7">
        <v>12531.38</v>
      </c>
      <c r="U291" s="8">
        <f>IFERROR(T291/T444, "NA")</f>
        <v>9.9999921796383659E-3</v>
      </c>
      <c r="V291" s="9"/>
      <c r="W291" s="10">
        <f t="shared" si="74"/>
        <v>10031.799999999999</v>
      </c>
      <c r="X291" s="8">
        <f>IFERROR(W291/W444, "NA")</f>
        <v>-8.7088007867245756E-2</v>
      </c>
      <c r="Y291" s="9"/>
      <c r="Z291" s="7">
        <v>3570.43</v>
      </c>
      <c r="AA291" s="8">
        <f>IFERROR(Z291/Z444, "NA")</f>
        <v>3.2729776057757631E-3</v>
      </c>
      <c r="AB291" s="9"/>
      <c r="AC291" s="10">
        <f t="shared" si="75"/>
        <v>1070.8499999999999</v>
      </c>
      <c r="AD291" s="8">
        <f>IFERROR(AC291/AC444, "NA")</f>
        <v>2.2752005792694485E-2</v>
      </c>
    </row>
    <row r="292" spans="1:30" ht="16.5" customHeight="1" x14ac:dyDescent="0.45">
      <c r="A292" s="6" t="s">
        <v>265</v>
      </c>
      <c r="B292" s="7">
        <v>764.2</v>
      </c>
      <c r="C292" s="8">
        <f>IFERROR(B292/B444, "NA")</f>
        <v>7.1262597543128242E-3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-764.2</v>
      </c>
      <c r="I292" s="8">
        <f>IFERROR(H292/H444, "NA")</f>
        <v>0.10597374646731066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-764.2</v>
      </c>
      <c r="O292" s="8">
        <f>IFERROR(N292/N444, "NA")</f>
        <v>-0.23933304938240724</v>
      </c>
      <c r="P292" s="9"/>
      <c r="Q292" s="7">
        <v>764.2</v>
      </c>
      <c r="R292" s="8">
        <f>IFERROR(Q292/Q444, "NA")</f>
        <v>6.7156000330630388E-4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-764.2</v>
      </c>
      <c r="X292" s="8">
        <f>IFERROR(W292/W444, "NA")</f>
        <v>6.6341689040998846E-3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-764.2</v>
      </c>
      <c r="AD292" s="8">
        <f>IFERROR(AC292/AC444, "NA")</f>
        <v>-1.6236711796028508E-2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630.96</v>
      </c>
      <c r="R293" s="8">
        <f>IFERROR(Q293/Q444, "NA")</f>
        <v>5.5447199644876406E-4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-630.96</v>
      </c>
      <c r="X293" s="8">
        <f>IFERROR(W293/W444, "NA")</f>
        <v>5.4774865372034321E-3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-630.96</v>
      </c>
      <c r="AD293" s="8">
        <f>IFERROR(AC293/AC444, "NA")</f>
        <v>-1.3405804337636938E-2</v>
      </c>
    </row>
    <row r="294" spans="1:30" ht="16.5" customHeight="1" x14ac:dyDescent="0.45">
      <c r="A294" s="6" t="s">
        <v>267</v>
      </c>
      <c r="B294" s="7">
        <v>430.74</v>
      </c>
      <c r="C294" s="8">
        <f>IFERROR(B294/B444, "NA")</f>
        <v>4.0167039081035142E-3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-430.74</v>
      </c>
      <c r="I294" s="8">
        <f>IFERROR(H294/H444, "NA")</f>
        <v>5.973191776148834E-2</v>
      </c>
      <c r="J294" s="9"/>
      <c r="K294" s="7">
        <v>324.99</v>
      </c>
      <c r="L294" s="8">
        <f>IFERROR(K294/K444, "NA")</f>
        <v>3.123578127513957E-3</v>
      </c>
      <c r="M294" s="9"/>
      <c r="N294" s="10">
        <f t="shared" si="73"/>
        <v>-105.75</v>
      </c>
      <c r="O294" s="8">
        <f>IFERROR(N294/N444, "NA")</f>
        <v>-3.3118908626262183E-2</v>
      </c>
      <c r="P294" s="9"/>
      <c r="Q294" s="7">
        <v>4297.3100000000004</v>
      </c>
      <c r="R294" s="8">
        <f>IFERROR(Q294/Q444, "NA")</f>
        <v>3.7763694292177606E-3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-4297.3100000000004</v>
      </c>
      <c r="X294" s="8">
        <f>IFERROR(W294/W444, "NA")</f>
        <v>3.7305784314678715E-2</v>
      </c>
      <c r="Y294" s="9"/>
      <c r="Z294" s="7">
        <v>1495.22</v>
      </c>
      <c r="AA294" s="8">
        <f>IFERROR(Z294/Z444, "NA")</f>
        <v>1.370653275854179E-3</v>
      </c>
      <c r="AB294" s="9"/>
      <c r="AC294" s="10">
        <f t="shared" si="75"/>
        <v>-2802.09</v>
      </c>
      <c r="AD294" s="8">
        <f>IFERROR(AC294/AC444, "NA")</f>
        <v>-5.9535105674605501E-2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1586.57</v>
      </c>
      <c r="C295" s="15">
        <f>IFERROR(B295/B444, "NA")</f>
        <v>1.4794961971211851E-2</v>
      </c>
      <c r="D295" s="2"/>
      <c r="E295" s="14">
        <f>IFERROR(E286+E287+E288+E289+E290+E291+E292+E293+E294, "NA")</f>
        <v>1501.48</v>
      </c>
      <c r="F295" s="15">
        <f>IFERROR(E295/E444, "NA")</f>
        <v>1.3119274712446833E-2</v>
      </c>
      <c r="G295" s="2"/>
      <c r="H295" s="14">
        <f t="shared" si="72"/>
        <v>-85.089999999999918</v>
      </c>
      <c r="I295" s="15">
        <f>IFERROR(H295/H444, "NA")</f>
        <v>1.1799667739994052E-2</v>
      </c>
      <c r="J295" s="2"/>
      <c r="K295" s="14">
        <f>IFERROR(K286+K287+K288+K289+K290+K291+K292+K293+K294, "NA")</f>
        <v>2401.3000000000002</v>
      </c>
      <c r="L295" s="15">
        <f>IFERROR(K295/K444, "NA")</f>
        <v>2.3079627550383907E-2</v>
      </c>
      <c r="M295" s="2"/>
      <c r="N295" s="14">
        <f t="shared" si="73"/>
        <v>814.73000000000025</v>
      </c>
      <c r="O295" s="15">
        <f>IFERROR(N295/N444, "NA")</f>
        <v>0.25515809385413335</v>
      </c>
      <c r="P295" s="2"/>
      <c r="Q295" s="14">
        <f>IFERROR(Q286+Q287+Q288+Q289+Q290+Q291+Q292+Q293+Q294, "NA")</f>
        <v>12132.93</v>
      </c>
      <c r="R295" s="15">
        <f>IFERROR(Q295/Q444, "NA")</f>
        <v>1.0662117915356128E-2</v>
      </c>
      <c r="S295" s="2"/>
      <c r="T295" s="14">
        <f>IFERROR(T286+T287+T288+T289+T290+T291+T292+T293+T294, "NA")</f>
        <v>16101.38</v>
      </c>
      <c r="U295" s="15">
        <f>IFERROR(T295/T444, "NA")</f>
        <v>1.2848838203085822E-2</v>
      </c>
      <c r="V295" s="2"/>
      <c r="W295" s="14">
        <f t="shared" si="74"/>
        <v>3968.4499999999989</v>
      </c>
      <c r="X295" s="15">
        <f>IFERROR(W295/W444, "NA")</f>
        <v>-3.4450886662490417E-2</v>
      </c>
      <c r="Y295" s="2"/>
      <c r="Z295" s="14">
        <f>IFERROR(Z286+Z287+Z288+Z289+Z290+Z291+Z292+Z293+Z294, "NA")</f>
        <v>11951.72</v>
      </c>
      <c r="AA295" s="15">
        <f>IFERROR(Z295/Z444, "NA")</f>
        <v>1.0956022638870473E-2</v>
      </c>
      <c r="AB295" s="2"/>
      <c r="AC295" s="14">
        <f t="shared" si="75"/>
        <v>-181.21000000000095</v>
      </c>
      <c r="AD295" s="15">
        <f>IFERROR(AC295/AC444, "NA")</f>
        <v>-3.8501106314555631E-3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1487.83</v>
      </c>
      <c r="F297" s="8">
        <f>IFERROR(E297/E444, "NA")</f>
        <v>1.3000006990049663E-2</v>
      </c>
      <c r="G297" s="9"/>
      <c r="H297" s="10">
        <f t="shared" ref="H297:H325" si="76">IFERROR(-(B297-E297), "NA")</f>
        <v>1487.83</v>
      </c>
      <c r="I297" s="8">
        <f>IFERROR(H297/H444, "NA")</f>
        <v>-0.206321537825777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16290.82</v>
      </c>
      <c r="U297" s="8">
        <f>IFERROR(T297/T444, "NA")</f>
        <v>1.3000010581428087E-2</v>
      </c>
      <c r="V297" s="9"/>
      <c r="W297" s="10">
        <f t="shared" ref="W297:W325" si="78">IFERROR(-(Q297-T297), "NA")</f>
        <v>16290.82</v>
      </c>
      <c r="X297" s="8">
        <f>IFERROR(W297/W444, "NA")</f>
        <v>-0.14142377841702233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4.3753481768170335E-3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6.5065273282468139E-2</v>
      </c>
      <c r="J299" s="9"/>
      <c r="K299" s="7">
        <v>183.75</v>
      </c>
      <c r="L299" s="8">
        <f>IFERROR(K299/K444, "NA")</f>
        <v>1.7660773590900938E-3</v>
      </c>
      <c r="M299" s="9"/>
      <c r="N299" s="10">
        <f t="shared" si="77"/>
        <v>-285.45</v>
      </c>
      <c r="O299" s="8">
        <f>IFERROR(N299/N444, "NA")</f>
        <v>-8.9397564703229696E-2</v>
      </c>
      <c r="P299" s="9"/>
      <c r="Q299" s="7">
        <v>4471.55</v>
      </c>
      <c r="R299" s="8">
        <f>IFERROR(Q299/Q444, "NA")</f>
        <v>3.9294872190320639E-3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-4471.55</v>
      </c>
      <c r="X299" s="8">
        <f>IFERROR(W299/W444, "NA")</f>
        <v>3.8818395659680496E-2</v>
      </c>
      <c r="Y299" s="9"/>
      <c r="Z299" s="7">
        <v>1837.5</v>
      </c>
      <c r="AA299" s="8">
        <f>IFERROR(Z299/Z444, "NA")</f>
        <v>1.6844179414280535E-3</v>
      </c>
      <c r="AB299" s="9"/>
      <c r="AC299" s="10">
        <f t="shared" si="79"/>
        <v>-2634.05</v>
      </c>
      <c r="AD299" s="8">
        <f>IFERROR(AC299/AC444, "NA")</f>
        <v>-5.5964813800482724E-2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217.93</v>
      </c>
      <c r="R304" s="8">
        <f>IFERROR(Q304/Q444, "NA")</f>
        <v>1.9151147804310754E-4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-217.93</v>
      </c>
      <c r="X304" s="8">
        <f>IFERROR(W304/W444, "NA")</f>
        <v>1.8918927365486624E-3</v>
      </c>
      <c r="Y304" s="9"/>
      <c r="Z304" s="7">
        <v>232.81</v>
      </c>
      <c r="AA304" s="8">
        <f>IFERROR(Z304/Z444, "NA")</f>
        <v>2.134146073163892E-4</v>
      </c>
      <c r="AB304" s="9"/>
      <c r="AC304" s="10">
        <f t="shared" si="79"/>
        <v>14.879999999999995</v>
      </c>
      <c r="AD304" s="8">
        <f>IFERROR(AC304/AC444, "NA")</f>
        <v>3.1615057776093188E-4</v>
      </c>
    </row>
    <row r="305" spans="1:30" ht="16.5" customHeight="1" x14ac:dyDescent="0.45">
      <c r="A305" s="6" t="s">
        <v>277</v>
      </c>
      <c r="B305" s="7">
        <v>16</v>
      </c>
      <c r="C305" s="8">
        <f>IFERROR(B305/B444, "NA")</f>
        <v>1.4920198386417845E-4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-16</v>
      </c>
      <c r="I305" s="8">
        <f>IFERROR(H305/H444, "NA")</f>
        <v>2.2187646473134917E-3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-16</v>
      </c>
      <c r="O305" s="8">
        <f>IFERROR(N305/N444, "NA")</f>
        <v>-5.0108987046826948E-3</v>
      </c>
      <c r="P305" s="9"/>
      <c r="Q305" s="7">
        <v>262.08</v>
      </c>
      <c r="R305" s="8">
        <f>IFERROR(Q305/Q444, "NA")</f>
        <v>2.3030940286118305E-4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-262.08</v>
      </c>
      <c r="X305" s="8">
        <f>IFERROR(W305/W444, "NA")</f>
        <v>2.2751674776059897E-3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-262.08</v>
      </c>
      <c r="AD305" s="8">
        <f>IFERROR(AC305/AC444, "NA")</f>
        <v>-5.5683295308860915E-3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170.41</v>
      </c>
      <c r="R310" s="8">
        <f>IFERROR(Q310/Q444, "NA")</f>
        <v>1.4975208082102491E-4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-170.41</v>
      </c>
      <c r="X310" s="8">
        <f>IFERROR(W310/W444, "NA")</f>
        <v>1.4793623697299937E-3</v>
      </c>
      <c r="Y310" s="9"/>
      <c r="Z310" s="7">
        <v>132.9</v>
      </c>
      <c r="AA310" s="8">
        <f>IFERROR(Z310/Z444, "NA")</f>
        <v>1.2182810580451065E-4</v>
      </c>
      <c r="AB310" s="9"/>
      <c r="AC310" s="10">
        <f t="shared" si="79"/>
        <v>-37.509999999999991</v>
      </c>
      <c r="AD310" s="8">
        <f>IFERROR(AC310/AC444, "NA")</f>
        <v>-7.9696291477234914E-4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2.3463297681599465E-5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2.3178789549786299E-4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-5.6728631896618838E-4</v>
      </c>
    </row>
    <row r="312" spans="1:30" ht="16.5" customHeight="1" x14ac:dyDescent="0.45">
      <c r="A312" s="6" t="s">
        <v>284</v>
      </c>
      <c r="B312" s="7">
        <v>367.22</v>
      </c>
      <c r="C312" s="8">
        <f>IFERROR(B312/B444, "NA")</f>
        <v>3.4243720321627262E-3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-367.22</v>
      </c>
      <c r="I312" s="8">
        <f>IFERROR(H312/H444, "NA")</f>
        <v>5.0923422111653779E-2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-367.22</v>
      </c>
      <c r="O312" s="8">
        <f>IFERROR(N312/N444, "NA")</f>
        <v>-0.11500638889584872</v>
      </c>
      <c r="P312" s="9"/>
      <c r="Q312" s="7">
        <v>4903.67</v>
      </c>
      <c r="R312" s="8">
        <f>IFERROR(Q312/Q444, "NA")</f>
        <v>4.3092235558924667E-3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-4903.67</v>
      </c>
      <c r="X312" s="8">
        <f>IFERROR(W312/W444, "NA")</f>
        <v>4.2569713465018949E-2</v>
      </c>
      <c r="Y312" s="9"/>
      <c r="Z312" s="7">
        <v>20.52</v>
      </c>
      <c r="AA312" s="8">
        <f>IFERROR(Z312/Z444, "NA")</f>
        <v>1.8810479541825118E-5</v>
      </c>
      <c r="AB312" s="9"/>
      <c r="AC312" s="10">
        <f t="shared" si="79"/>
        <v>-4883.1499999999996</v>
      </c>
      <c r="AD312" s="8">
        <f>IFERROR(AC312/AC444, "NA")</f>
        <v>-0.10375071866890422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40.85</v>
      </c>
      <c r="R313" s="8">
        <f>IFERROR(Q313/Q444, "NA")</f>
        <v>3.5897966677653118E-5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-40.85</v>
      </c>
      <c r="X313" s="8">
        <f>IFERROR(W313/W444, "NA")</f>
        <v>3.5462679891714249E-4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-40.85</v>
      </c>
      <c r="AD313" s="8">
        <f>IFERROR(AC313/AC444, "NA")</f>
        <v>-8.6792682133965534E-4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4.973461629632559E-3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7.3959746062386103E-2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-0.1670320446972168</v>
      </c>
      <c r="P315" s="9"/>
      <c r="Q315" s="7">
        <v>4333.38</v>
      </c>
      <c r="R315" s="8">
        <f>IFERROR(Q315/Q444, "NA")</f>
        <v>3.8080668504677714E-3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-4333.38</v>
      </c>
      <c r="X315" s="8">
        <f>IFERROR(W315/W444, "NA")</f>
        <v>3.7618915003465529E-2</v>
      </c>
      <c r="Y315" s="9"/>
      <c r="Z315" s="7">
        <v>300</v>
      </c>
      <c r="AA315" s="8">
        <f>IFERROR(Z315/Z444, "NA")</f>
        <v>2.7500701084539649E-4</v>
      </c>
      <c r="AB315" s="9"/>
      <c r="AC315" s="10">
        <f t="shared" si="79"/>
        <v>-4033.38</v>
      </c>
      <c r="AD315" s="8">
        <f>IFERROR(AC315/AC444, "NA")</f>
        <v>-8.5695928583964229E-2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4.0979166156975546E-3</v>
      </c>
      <c r="G318" s="9"/>
      <c r="H318" s="10">
        <f t="shared" si="76"/>
        <v>469</v>
      </c>
      <c r="I318" s="8">
        <f>IFERROR(H318/H444, "NA")</f>
        <v>-6.5037538724376731E-2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4690</v>
      </c>
      <c r="U318" s="8">
        <f>IFERROR(T318/T444, "NA")</f>
        <v>3.7426016386466567E-3</v>
      </c>
      <c r="V318" s="9"/>
      <c r="W318" s="10">
        <f t="shared" si="78"/>
        <v>4690</v>
      </c>
      <c r="X318" s="8">
        <f>IFERROR(W318/W444, "NA")</f>
        <v>-4.0714802617414884E-2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307.48</v>
      </c>
      <c r="C319" s="8">
        <f>IFERROR(B319/B444, "NA")</f>
        <v>2.8672891249098497E-3</v>
      </c>
      <c r="D319" s="9"/>
      <c r="E319" s="7">
        <v>232</v>
      </c>
      <c r="F319" s="8">
        <f>IFERROR(E319/E444, "NA")</f>
        <v>2.0271144026478309E-3</v>
      </c>
      <c r="G319" s="9"/>
      <c r="H319" s="10">
        <f t="shared" si="76"/>
        <v>-75.480000000000018</v>
      </c>
      <c r="I319" s="8">
        <f>IFERROR(H319/H444, "NA")</f>
        <v>1.0467022223701399E-2</v>
      </c>
      <c r="J319" s="9"/>
      <c r="K319" s="7">
        <v>231.66</v>
      </c>
      <c r="L319" s="8">
        <f>IFERROR(K319/K444, "NA")</f>
        <v>2.2265549986765234E-3</v>
      </c>
      <c r="M319" s="9"/>
      <c r="N319" s="10">
        <f t="shared" si="77"/>
        <v>-75.820000000000022</v>
      </c>
      <c r="O319" s="8">
        <f>IFERROR(N319/N444, "NA")</f>
        <v>-2.3745396236815128E-2</v>
      </c>
      <c r="P319" s="9"/>
      <c r="Q319" s="7">
        <v>2937.38</v>
      </c>
      <c r="R319" s="8">
        <f>IFERROR(Q319/Q444, "NA")</f>
        <v>2.5812966795496868E-3</v>
      </c>
      <c r="S319" s="9"/>
      <c r="T319" s="7">
        <v>2320</v>
      </c>
      <c r="U319" s="8">
        <f>IFERROR(T319/T444, "NA")</f>
        <v>1.8513509171983462E-3</v>
      </c>
      <c r="V319" s="9"/>
      <c r="W319" s="10">
        <f t="shared" si="78"/>
        <v>-617.38000000000011</v>
      </c>
      <c r="X319" s="8">
        <f>IFERROR(W319/W444, "NA")</f>
        <v>5.3595959146992764E-3</v>
      </c>
      <c r="Y319" s="9"/>
      <c r="Z319" s="7">
        <v>2291.41</v>
      </c>
      <c r="AA319" s="8">
        <f>IFERROR(Z319/Z444, "NA")</f>
        <v>2.1005127157374998E-3</v>
      </c>
      <c r="AB319" s="9"/>
      <c r="AC319" s="10">
        <f t="shared" si="79"/>
        <v>-645.97000000000025</v>
      </c>
      <c r="AD319" s="8">
        <f>IFERROR(AC319/AC444, "NA")</f>
        <v>-1.372471698361756E-2</v>
      </c>
    </row>
    <row r="320" spans="1:30" ht="16.5" customHeight="1" x14ac:dyDescent="0.45">
      <c r="A320" s="6" t="s">
        <v>292</v>
      </c>
      <c r="B320" s="7">
        <v>1187.92</v>
      </c>
      <c r="C320" s="8">
        <f>IFERROR(B320/B444, "NA")</f>
        <v>1.1077501291995931E-2</v>
      </c>
      <c r="D320" s="9"/>
      <c r="E320" s="7">
        <v>905</v>
      </c>
      <c r="F320" s="8">
        <f>IFERROR(E320/E444, "NA")</f>
        <v>7.9074936827426157E-3</v>
      </c>
      <c r="G320" s="9"/>
      <c r="H320" s="10">
        <f t="shared" si="76"/>
        <v>-282.92000000000007</v>
      </c>
      <c r="I320" s="8">
        <f>IFERROR(H320/H444, "NA")</f>
        <v>3.9233305876120825E-2</v>
      </c>
      <c r="J320" s="9"/>
      <c r="K320" s="7">
        <v>703.92</v>
      </c>
      <c r="L320" s="8">
        <f>IFERROR(K320/K444, "NA")</f>
        <v>6.7655900659085652E-3</v>
      </c>
      <c r="M320" s="9"/>
      <c r="N320" s="10">
        <f t="shared" si="77"/>
        <v>-484.00000000000011</v>
      </c>
      <c r="O320" s="8">
        <f>IFERROR(N320/N444, "NA")</f>
        <v>-0.15157968581665154</v>
      </c>
      <c r="P320" s="9"/>
      <c r="Q320" s="7">
        <v>11850.55</v>
      </c>
      <c r="R320" s="8">
        <f>IFERROR(Q320/Q444, "NA")</f>
        <v>1.0413969376055376E-2</v>
      </c>
      <c r="S320" s="9"/>
      <c r="T320" s="7">
        <v>9050</v>
      </c>
      <c r="U320" s="8">
        <f>IFERROR(T320/T444, "NA")</f>
        <v>7.2218645692435487E-3</v>
      </c>
      <c r="V320" s="9"/>
      <c r="W320" s="10">
        <f t="shared" si="78"/>
        <v>-2800.5499999999993</v>
      </c>
      <c r="X320" s="8">
        <f>IFERROR(W320/W444, "NA")</f>
        <v>2.4312119503241202E-2</v>
      </c>
      <c r="Y320" s="9"/>
      <c r="Z320" s="7">
        <v>8458.9</v>
      </c>
      <c r="AA320" s="8">
        <f>IFERROR(Z320/Z444, "NA")</f>
        <v>7.7541893468004138E-3</v>
      </c>
      <c r="AB320" s="9"/>
      <c r="AC320" s="10">
        <f t="shared" si="79"/>
        <v>-3391.6499999999996</v>
      </c>
      <c r="AD320" s="8">
        <f>IFERROR(AC320/AC444, "NA")</f>
        <v>-7.2061297517665643E-2</v>
      </c>
    </row>
    <row r="321" spans="1:30" ht="16.5" customHeight="1" x14ac:dyDescent="0.45">
      <c r="A321" s="6" t="s">
        <v>293</v>
      </c>
      <c r="B321" s="7">
        <v>927.72</v>
      </c>
      <c r="C321" s="8">
        <f>IFERROR(B321/B444, "NA")</f>
        <v>8.6511040294047284E-3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-927.72</v>
      </c>
      <c r="I321" s="8">
        <f>IFERROR(H321/H444, "NA")</f>
        <v>0.12864952116285452</v>
      </c>
      <c r="J321" s="9"/>
      <c r="K321" s="7">
        <v>2981.04</v>
      </c>
      <c r="L321" s="8">
        <f>IFERROR(K321/K444, "NA")</f>
        <v>2.8651685717235011E-2</v>
      </c>
      <c r="M321" s="9"/>
      <c r="N321" s="10">
        <f t="shared" si="77"/>
        <v>2053.3199999999997</v>
      </c>
      <c r="O321" s="8">
        <f>IFERROR(N321/N444, "NA")</f>
        <v>0.6430611580186919</v>
      </c>
      <c r="P321" s="9"/>
      <c r="Q321" s="7">
        <v>19476.25</v>
      </c>
      <c r="R321" s="8">
        <f>IFERROR(Q321/Q444, "NA")</f>
        <v>1.7115245373455115E-2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-19476.25</v>
      </c>
      <c r="X321" s="8">
        <f>IFERROR(W321/W444, "NA")</f>
        <v>0.16907711609326795</v>
      </c>
      <c r="Y321" s="9"/>
      <c r="Z321" s="7">
        <v>31364.37</v>
      </c>
      <c r="AA321" s="8">
        <f>IFERROR(Z321/Z444, "NA")</f>
        <v>2.8751405469163424E-2</v>
      </c>
      <c r="AB321" s="9"/>
      <c r="AC321" s="10">
        <f t="shared" si="79"/>
        <v>11888.119999999999</v>
      </c>
      <c r="AD321" s="8">
        <f>IFERROR(AC321/AC444, "NA")</f>
        <v>0.25258306495237165</v>
      </c>
    </row>
    <row r="322" spans="1:30" ht="16.5" customHeight="1" x14ac:dyDescent="0.45">
      <c r="A322" s="6" t="s">
        <v>294</v>
      </c>
      <c r="B322" s="7">
        <v>302.08</v>
      </c>
      <c r="C322" s="8">
        <f>IFERROR(B322/B444, "NA")</f>
        <v>2.8169334553556891E-3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-302.08</v>
      </c>
      <c r="I322" s="8">
        <f>IFERROR(H322/H444, "NA")</f>
        <v>4.189027654127872E-2</v>
      </c>
      <c r="J322" s="9"/>
      <c r="K322" s="7">
        <v>569.20000000000005</v>
      </c>
      <c r="L322" s="8">
        <f>IFERROR(K322/K444, "NA")</f>
        <v>5.4707550084031643E-3</v>
      </c>
      <c r="M322" s="9"/>
      <c r="N322" s="10">
        <f t="shared" si="77"/>
        <v>267.12000000000006</v>
      </c>
      <c r="O322" s="8">
        <f>IFERROR(N322/N444, "NA")</f>
        <v>8.3656953874677614E-2</v>
      </c>
      <c r="P322" s="9"/>
      <c r="Q322" s="7">
        <v>5104.7</v>
      </c>
      <c r="R322" s="8">
        <f>IFERROR(Q322/Q444, "NA")</f>
        <v>4.4858837331558351E-3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-5104.7</v>
      </c>
      <c r="X322" s="8">
        <f>IFERROR(W322/W444, "NA")</f>
        <v>4.4314894013031507E-2</v>
      </c>
      <c r="Y322" s="9"/>
      <c r="Z322" s="7">
        <v>3458.29</v>
      </c>
      <c r="AA322" s="8">
        <f>IFERROR(Z322/Z444, "NA")</f>
        <v>3.1701799851217541E-3</v>
      </c>
      <c r="AB322" s="9"/>
      <c r="AC322" s="10">
        <f t="shared" si="79"/>
        <v>-1646.4099999999999</v>
      </c>
      <c r="AD322" s="8">
        <f>IFERROR(AC322/AC444, "NA")</f>
        <v>-3.4980744135173117E-2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4110.96</v>
      </c>
      <c r="C324" s="15">
        <f>IFERROR(B324/B444, "NA")</f>
        <v>3.8335211724142691E-2</v>
      </c>
      <c r="D324" s="2"/>
      <c r="E324" s="14">
        <f>IFERROR(E297+E298+E299+E300+E301+E302+E303+E304+E305+E306+E307+E308+E309+E310+E311+E312+E313+E314+E315+E316+E317+E318+E319+E320+E321+E322+E323, "NA")</f>
        <v>3093.83</v>
      </c>
      <c r="F324" s="15">
        <f>IFERROR(E324/E444, "NA")</f>
        <v>2.7032531691137666E-2</v>
      </c>
      <c r="G324" s="2"/>
      <c r="H324" s="14">
        <f t="shared" si="76"/>
        <v>-1017.1300000000001</v>
      </c>
      <c r="I324" s="15">
        <f>IFERROR(H324/H444, "NA")</f>
        <v>0.14104825535762325</v>
      </c>
      <c r="J324" s="2"/>
      <c r="K324" s="14">
        <f>IFERROR(K297+K298+K299+K300+K301+K302+K303+K304+K305+K306+K307+K308+K309+K310+K311+K312+K313+K314+K315+K316+K317+K318+K319+K320+K321+K322+K323, "NA")</f>
        <v>4669.57</v>
      </c>
      <c r="L324" s="15">
        <f>IFERROR(K324/K444, "NA")</f>
        <v>4.4880663149313355E-2</v>
      </c>
      <c r="M324" s="2"/>
      <c r="N324" s="14">
        <f t="shared" si="77"/>
        <v>558.60999999999967</v>
      </c>
      <c r="O324" s="15">
        <f>IFERROR(N324/N444, "NA")</f>
        <v>0.17494613283892491</v>
      </c>
      <c r="P324" s="2"/>
      <c r="Q324" s="14">
        <f>IFERROR(Q297+Q298+Q299+Q300+Q301+Q302+Q303+Q304+Q305+Q306+Q307+Q308+Q309+Q310+Q311+Q312+Q313+Q314+Q315+Q316+Q317+Q318+Q319+Q320+Q321+Q322+Q323, "NA")</f>
        <v>53795.45</v>
      </c>
      <c r="R324" s="15">
        <f>IFERROR(Q324/Q444, "NA")</f>
        <v>4.7274107013692883E-2</v>
      </c>
      <c r="S324" s="2"/>
      <c r="T324" s="14">
        <f>IFERROR(T297+T298+T299+T300+T301+T302+T303+T304+T305+T306+T307+T308+T309+T310+T311+T312+T313+T314+T315+T316+T317+T318+T319+T320+T321+T322+T323, "NA")</f>
        <v>32350.82</v>
      </c>
      <c r="U324" s="15">
        <f>IFERROR(T324/T444, "NA")</f>
        <v>2.581582770651664E-2</v>
      </c>
      <c r="V324" s="2"/>
      <c r="W324" s="14">
        <f t="shared" si="78"/>
        <v>-21444.629999999997</v>
      </c>
      <c r="X324" s="15">
        <f>IFERROR(W324/W444, "NA")</f>
        <v>0.1861650058962673</v>
      </c>
      <c r="Y324" s="2"/>
      <c r="Z324" s="14">
        <f>IFERROR(Z297+Z298+Z299+Z300+Z301+Z302+Z303+Z304+Z305+Z306+Z307+Z308+Z309+Z310+Z311+Z312+Z313+Z314+Z315+Z316+Z317+Z318+Z319+Z320+Z321+Z322+Z323, "NA")</f>
        <v>48096.7</v>
      </c>
      <c r="AA324" s="15">
        <f>IFERROR(Z324/Z444, "NA")</f>
        <v>4.4089765661759268E-2</v>
      </c>
      <c r="AB324" s="2"/>
      <c r="AC324" s="14">
        <f t="shared" si="79"/>
        <v>-5698.75</v>
      </c>
      <c r="AD324" s="15">
        <f>IFERROR(AC324/AC444, "NA")</f>
        <v>-0.12107950974563918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24182.810000000012</v>
      </c>
      <c r="C325" s="15">
        <f>IFERROR(B325/B444, "NA")</f>
        <v>0.22550770171315596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21401.54</v>
      </c>
      <c r="F325" s="15">
        <f>IFERROR(E325/E444, "NA")</f>
        <v>0.18699728436570542</v>
      </c>
      <c r="G325" s="2"/>
      <c r="H325" s="14">
        <f t="shared" si="76"/>
        <v>-2781.2700000000114</v>
      </c>
      <c r="I325" s="15">
        <f>IFERROR(H325/H444, "NA")</f>
        <v>0.38568647191460126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27285.760000000002</v>
      </c>
      <c r="L325" s="15">
        <f>IFERROR(K325/K444, "NA")</f>
        <v>0.26225177121940746</v>
      </c>
      <c r="M325" s="2"/>
      <c r="N325" s="14">
        <f t="shared" si="77"/>
        <v>3102.9499999999898</v>
      </c>
      <c r="O325" s="15">
        <f>IFERROR(N325/N444, "NA")</f>
        <v>0.9717855084809448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259330.07000000004</v>
      </c>
      <c r="R325" s="15">
        <f>IFERROR(Q325/Q444, "NA")</f>
        <v>0.22789283259176135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237008.67</v>
      </c>
      <c r="U325" s="15">
        <f>IFERROR(T325/T444, "NA")</f>
        <v>0.18913199077088802</v>
      </c>
      <c r="V325" s="2"/>
      <c r="W325" s="14">
        <f t="shared" si="78"/>
        <v>-22321.400000000023</v>
      </c>
      <c r="X325" s="15">
        <f>IFERROR(W325/W444, "NA")</f>
        <v>0.19377641687513125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232613.76000000001</v>
      </c>
      <c r="AA325" s="15">
        <f>IFERROR(Z325/Z444, "NA")</f>
        <v>0.21323471606369485</v>
      </c>
      <c r="AB325" s="2"/>
      <c r="AC325" s="14">
        <f t="shared" si="79"/>
        <v>-26716.310000000027</v>
      </c>
      <c r="AD325" s="15">
        <f>IFERROR(AC325/AC444, "NA")</f>
        <v>-0.56763285229436644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0.18705303515068189</v>
      </c>
      <c r="D329" s="9"/>
      <c r="E329" s="7">
        <v>18514</v>
      </c>
      <c r="F329" s="8">
        <f>IFERROR(E329/E444, "NA")</f>
        <v>0.16176722435612906</v>
      </c>
      <c r="G329" s="9"/>
      <c r="H329" s="10">
        <f t="shared" si="80"/>
        <v>-1545.0400000000009</v>
      </c>
      <c r="I329" s="8">
        <f>IFERROR(H329/H444, "NA")</f>
        <v>0.21425500816782744</v>
      </c>
      <c r="J329" s="9"/>
      <c r="K329" s="7">
        <v>19569.79</v>
      </c>
      <c r="L329" s="8">
        <f>IFERROR(K329/K444, "NA")</f>
        <v>0.18809122743481757</v>
      </c>
      <c r="M329" s="9"/>
      <c r="N329" s="10">
        <f t="shared" si="81"/>
        <v>-489.25</v>
      </c>
      <c r="O329" s="8">
        <f>IFERROR(N329/N444, "NA")</f>
        <v>-0.15322388695412553</v>
      </c>
      <c r="P329" s="9"/>
      <c r="Q329" s="7">
        <v>197165.65</v>
      </c>
      <c r="R329" s="8">
        <f>IFERROR(Q329/Q444, "NA")</f>
        <v>0.17326428234217423</v>
      </c>
      <c r="S329" s="9"/>
      <c r="T329" s="7">
        <v>195614</v>
      </c>
      <c r="U329" s="8">
        <f>IFERROR(T329/T444, "NA")</f>
        <v>0.15609920617105055</v>
      </c>
      <c r="V329" s="9"/>
      <c r="W329" s="10">
        <f t="shared" si="82"/>
        <v>-1551.6499999999942</v>
      </c>
      <c r="X329" s="8">
        <f>IFERROR(W329/W444, "NA")</f>
        <v>1.3470175582369206E-2</v>
      </c>
      <c r="Y329" s="9"/>
      <c r="Z329" s="7">
        <v>192356.73</v>
      </c>
      <c r="AA329" s="8">
        <f>IFERROR(Z329/Z444, "NA")</f>
        <v>0.17633149777765</v>
      </c>
      <c r="AB329" s="9"/>
      <c r="AC329" s="10">
        <f t="shared" si="83"/>
        <v>-4808.9199999999837</v>
      </c>
      <c r="AD329" s="8">
        <f>IFERROR(AC329/AC444, "NA")</f>
        <v>-0.10217357771546343</v>
      </c>
    </row>
    <row r="330" spans="1:30" ht="16.5" customHeight="1" x14ac:dyDescent="0.45">
      <c r="A330" s="6" t="s">
        <v>301</v>
      </c>
      <c r="B330" s="7">
        <v>788.51</v>
      </c>
      <c r="C330" s="8">
        <f>IFERROR(B330/B444, "NA")</f>
        <v>7.3529535185464599E-3</v>
      </c>
      <c r="D330" s="9"/>
      <c r="E330" s="7">
        <v>659</v>
      </c>
      <c r="F330" s="8">
        <f>IFERROR(E330/E444, "NA")</f>
        <v>5.758053410969485E-3</v>
      </c>
      <c r="G330" s="9"/>
      <c r="H330" s="10">
        <f t="shared" si="80"/>
        <v>-129.51</v>
      </c>
      <c r="I330" s="8">
        <f>IFERROR(H330/H444, "NA")</f>
        <v>1.7959513092098141E-2</v>
      </c>
      <c r="J330" s="9"/>
      <c r="K330" s="7">
        <v>658.51</v>
      </c>
      <c r="L330" s="8">
        <f>IFERROR(K330/K444, "NA")</f>
        <v>6.3291406897111168E-3</v>
      </c>
      <c r="M330" s="9"/>
      <c r="N330" s="10">
        <f t="shared" si="81"/>
        <v>-130</v>
      </c>
      <c r="O330" s="8">
        <f>IFERROR(N330/N444, "NA")</f>
        <v>-4.0713551975546894E-2</v>
      </c>
      <c r="P330" s="9"/>
      <c r="Q330" s="7">
        <v>7296.81</v>
      </c>
      <c r="R330" s="8">
        <f>IFERROR(Q330/Q444, "NA")</f>
        <v>6.4122556238229138E-3</v>
      </c>
      <c r="S330" s="9"/>
      <c r="T330" s="7">
        <v>6590</v>
      </c>
      <c r="U330" s="8">
        <f>IFERROR(T330/T444, "NA")</f>
        <v>5.258794200145302E-3</v>
      </c>
      <c r="V330" s="9"/>
      <c r="W330" s="10">
        <f t="shared" si="82"/>
        <v>-706.8100000000004</v>
      </c>
      <c r="X330" s="8">
        <f>IFERROR(W330/W444, "NA")</f>
        <v>6.1359551466983013E-3</v>
      </c>
      <c r="Y330" s="9"/>
      <c r="Z330" s="7">
        <v>6636.84</v>
      </c>
      <c r="AA330" s="8">
        <f>IFERROR(Z330/Z444, "NA")</f>
        <v>6.083925099530537E-3</v>
      </c>
      <c r="AB330" s="9"/>
      <c r="AC330" s="10">
        <f t="shared" si="83"/>
        <v>-659.97000000000025</v>
      </c>
      <c r="AD330" s="8">
        <f>IFERROR(AC330/AC444, "NA")</f>
        <v>-1.4022170484199082E-2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7.9816533780541418E-3</v>
      </c>
      <c r="D333" s="9"/>
      <c r="E333" s="7">
        <v>761</v>
      </c>
      <c r="F333" s="8">
        <f>IFERROR(E333/E444, "NA")</f>
        <v>6.6492847431681009E-3</v>
      </c>
      <c r="G333" s="9"/>
      <c r="H333" s="10">
        <f t="shared" si="80"/>
        <v>-94.92999999999995</v>
      </c>
      <c r="I333" s="8">
        <f>IFERROR(H333/H444, "NA")</f>
        <v>1.3164207998091853E-2</v>
      </c>
      <c r="J333" s="9"/>
      <c r="K333" s="7">
        <v>760.64</v>
      </c>
      <c r="L333" s="8">
        <f>IFERROR(K333/K444, "NA")</f>
        <v>7.3107433056777632E-3</v>
      </c>
      <c r="M333" s="9"/>
      <c r="N333" s="10">
        <f t="shared" si="81"/>
        <v>-95.289999999999964</v>
      </c>
      <c r="O333" s="8">
        <f>IFERROR(N333/N444, "NA")</f>
        <v>-2.9843033598075865E-2</v>
      </c>
      <c r="P333" s="9"/>
      <c r="Q333" s="7">
        <v>8464.01</v>
      </c>
      <c r="R333" s="8">
        <f>IFERROR(Q333/Q444, "NA")</f>
        <v>7.4379620303383779E-3</v>
      </c>
      <c r="S333" s="9"/>
      <c r="T333" s="7">
        <v>7610</v>
      </c>
      <c r="U333" s="8">
        <f>IFERROR(T333/T444, "NA")</f>
        <v>6.0727502068445753E-3</v>
      </c>
      <c r="V333" s="9"/>
      <c r="W333" s="10">
        <f t="shared" si="82"/>
        <v>-854.01000000000022</v>
      </c>
      <c r="X333" s="8">
        <f>IFERROR(W333/W444, "NA")</f>
        <v>7.4138269900423234E-3</v>
      </c>
      <c r="Y333" s="9"/>
      <c r="Z333" s="7">
        <v>9335.11</v>
      </c>
      <c r="AA333" s="8">
        <f>IFERROR(Z333/Z444, "NA")</f>
        <v>8.5574023233765638E-3</v>
      </c>
      <c r="AB333" s="9"/>
      <c r="AC333" s="10">
        <f t="shared" si="83"/>
        <v>871.10000000000036</v>
      </c>
      <c r="AD333" s="8">
        <f>IFERROR(AC333/AC444, "NA")</f>
        <v>1.8507981739754566E-2</v>
      </c>
    </row>
    <row r="334" spans="1:30" ht="16.5" customHeight="1" x14ac:dyDescent="0.45">
      <c r="A334" s="6" t="s">
        <v>305</v>
      </c>
      <c r="B334" s="7">
        <v>-1544.55</v>
      </c>
      <c r="C334" s="8">
        <f>IFERROR(B334/B444, "NA")</f>
        <v>-1.4403120261088552E-2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1544.55</v>
      </c>
      <c r="I334" s="8">
        <f>IFERROR(H334/H444, "NA")</f>
        <v>-0.21418705850050335</v>
      </c>
      <c r="J334" s="9"/>
      <c r="K334" s="7">
        <v>-1470.12</v>
      </c>
      <c r="L334" s="8">
        <f>IFERROR(K334/K444, "NA")</f>
        <v>-1.4129772229363421E-2</v>
      </c>
      <c r="M334" s="9"/>
      <c r="N334" s="10">
        <f t="shared" si="81"/>
        <v>74.430000000000064</v>
      </c>
      <c r="O334" s="8">
        <f>IFERROR(N334/N444, "NA")</f>
        <v>2.3310074411845832E-2</v>
      </c>
      <c r="P334" s="9"/>
      <c r="Q334" s="7">
        <v>-1544.55</v>
      </c>
      <c r="R334" s="8">
        <f>IFERROR(Q334/Q444, "NA")</f>
        <v>-1.357312225996796E-3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1544.55</v>
      </c>
      <c r="X334" s="8">
        <f>IFERROR(W334/W444, "NA")</f>
        <v>-1.3408539100794916E-2</v>
      </c>
      <c r="Y334" s="9"/>
      <c r="Z334" s="7">
        <v>-1470.12</v>
      </c>
      <c r="AA334" s="8">
        <f>IFERROR(Z334/Z444, "NA")</f>
        <v>-1.3476443559467808E-3</v>
      </c>
      <c r="AB334" s="9"/>
      <c r="AC334" s="10">
        <f t="shared" si="83"/>
        <v>74.430000000000064</v>
      </c>
      <c r="AD334" s="8">
        <f>IFERROR(AC334/AC444, "NA")</f>
        <v>1.5813902891630501E-3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4597.7</v>
      </c>
      <c r="F337" s="8">
        <f>IFERROR(E337/E444, "NA")</f>
        <v>4.01726891769566E-2</v>
      </c>
      <c r="G337" s="9"/>
      <c r="H337" s="10">
        <f t="shared" ref="H337:H344" si="84">IFERROR(-(B337-E337), "NA")</f>
        <v>4597.7</v>
      </c>
      <c r="I337" s="8">
        <f>IFERROR(H337/H444, "NA")</f>
        <v>-0.63757588868457749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51765.4</v>
      </c>
      <c r="U337" s="8">
        <f>IFERROR(T337/T444, "NA")</f>
        <v>4.13085865384221E-2</v>
      </c>
      <c r="V337" s="9"/>
      <c r="W337" s="10">
        <f t="shared" ref="W337:W344" si="86">IFERROR(-(Q337-T337), "NA")</f>
        <v>51765.4</v>
      </c>
      <c r="X337" s="8">
        <f>IFERROR(W337/W444, "NA")</f>
        <v>-0.44938551032228757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1982.61</v>
      </c>
      <c r="C338" s="8">
        <f>IFERROR(B338/B444, "NA")</f>
        <v>1.8488084076809928E-2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-1982.61</v>
      </c>
      <c r="I338" s="8">
        <f>IFERROR(H338/H444, "NA")</f>
        <v>0.27493406108813762</v>
      </c>
      <c r="J338" s="9"/>
      <c r="K338" s="7">
        <v>2040.55</v>
      </c>
      <c r="L338" s="8">
        <f>IFERROR(K338/K444, "NA")</f>
        <v>1.9612349143353965E-2</v>
      </c>
      <c r="M338" s="9"/>
      <c r="N338" s="10">
        <f t="shared" si="85"/>
        <v>57.940000000000055</v>
      </c>
      <c r="O338" s="8">
        <f>IFERROR(N338/N444, "NA")</f>
        <v>1.8145716934332225E-2</v>
      </c>
      <c r="P338" s="9"/>
      <c r="Q338" s="7">
        <v>22106.97</v>
      </c>
      <c r="R338" s="8">
        <f>IFERROR(Q338/Q444, "NA")</f>
        <v>1.9427056851992097E-2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-22106.97</v>
      </c>
      <c r="X338" s="8">
        <f>IFERROR(W338/W444, "NA")</f>
        <v>0.19191490831964017</v>
      </c>
      <c r="Y338" s="9"/>
      <c r="Z338" s="7">
        <v>20719.22</v>
      </c>
      <c r="AA338" s="8">
        <f>IFERROR(Z338/Z444, "NA")</f>
        <v>1.8993102530827186E-2</v>
      </c>
      <c r="AB338" s="9"/>
      <c r="AC338" s="10">
        <f t="shared" si="87"/>
        <v>-1387.75</v>
      </c>
      <c r="AD338" s="8">
        <f>IFERROR(AC338/AC444, "NA")</f>
        <v>-2.9485078245143369E-2</v>
      </c>
    </row>
    <row r="339" spans="1:30" ht="16.5" customHeight="1" x14ac:dyDescent="0.45">
      <c r="A339" s="12" t="s">
        <v>309</v>
      </c>
      <c r="B339" s="7">
        <v>448.46</v>
      </c>
      <c r="C339" s="8">
        <f>IFERROR(B339/B444, "NA")</f>
        <v>4.1819451052330916E-3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-448.46</v>
      </c>
      <c r="I339" s="8">
        <f>IFERROR(H339/H444, "NA")</f>
        <v>6.2189199608388028E-2</v>
      </c>
      <c r="J339" s="9"/>
      <c r="K339" s="7">
        <v>491.12</v>
      </c>
      <c r="L339" s="8">
        <f>IFERROR(K339/K444, "NA")</f>
        <v>4.7203042862385136E-3</v>
      </c>
      <c r="M339" s="9"/>
      <c r="N339" s="10">
        <f t="shared" si="85"/>
        <v>42.660000000000025</v>
      </c>
      <c r="O339" s="8">
        <f>IFERROR(N339/N444, "NA")</f>
        <v>1.3360308671360243E-2</v>
      </c>
      <c r="P339" s="9"/>
      <c r="Q339" s="7">
        <v>7671.4</v>
      </c>
      <c r="R339" s="8">
        <f>IFERROR(Q339/Q444, "NA")</f>
        <v>6.741436023768619E-3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-7671.4</v>
      </c>
      <c r="X339" s="8">
        <f>IFERROR(W339/W444, "NA")</f>
        <v>6.6596916161884123E-2</v>
      </c>
      <c r="Y339" s="9"/>
      <c r="Z339" s="7">
        <v>7704.35</v>
      </c>
      <c r="AA339" s="8">
        <f>IFERROR(Z339/Z444, "NA")</f>
        <v>7.0625008800224345E-3</v>
      </c>
      <c r="AB339" s="9"/>
      <c r="AC339" s="10">
        <f t="shared" si="87"/>
        <v>32.950000000000728</v>
      </c>
      <c r="AD339" s="8">
        <f>IFERROR(AC339/AC444, "NA")</f>
        <v>7.0007806029724043E-4</v>
      </c>
    </row>
    <row r="340" spans="1:30" ht="16.5" customHeight="1" x14ac:dyDescent="0.45">
      <c r="A340" s="12" t="s">
        <v>310</v>
      </c>
      <c r="B340" s="7">
        <v>810.71</v>
      </c>
      <c r="C340" s="8">
        <f>IFERROR(B340/B444, "NA")</f>
        <v>7.5599712711580079E-3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-810.71</v>
      </c>
      <c r="I340" s="8">
        <f>IFERROR(H340/H444, "NA")</f>
        <v>0.11242341795147005</v>
      </c>
      <c r="J340" s="9"/>
      <c r="K340" s="7">
        <v>865.01</v>
      </c>
      <c r="L340" s="8">
        <f>IFERROR(K340/K444, "NA")</f>
        <v>8.3138752456409365E-3</v>
      </c>
      <c r="M340" s="9"/>
      <c r="N340" s="10">
        <f t="shared" si="85"/>
        <v>54.299999999999955</v>
      </c>
      <c r="O340" s="8">
        <f>IFERROR(N340/N444, "NA")</f>
        <v>1.7005737479016882E-2</v>
      </c>
      <c r="P340" s="9"/>
      <c r="Q340" s="7">
        <v>8887.2199999999993</v>
      </c>
      <c r="R340" s="8">
        <f>IFERROR(Q340/Q444, "NA")</f>
        <v>7.8098684802196403E-3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-8887.2199999999993</v>
      </c>
      <c r="X340" s="8">
        <f>IFERROR(W340/W444, "NA")</f>
        <v>7.7151686165787187E-2</v>
      </c>
      <c r="Y340" s="9"/>
      <c r="Z340" s="7">
        <v>9053.75</v>
      </c>
      <c r="AA340" s="8">
        <f>IFERROR(Z340/Z444, "NA")</f>
        <v>8.2994824148050275E-3</v>
      </c>
      <c r="AB340" s="9"/>
      <c r="AC340" s="10">
        <f t="shared" si="87"/>
        <v>166.53000000000065</v>
      </c>
      <c r="AD340" s="8">
        <f>IFERROR(AC340/AC444, "NA")</f>
        <v>3.5382093894172181E-3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9.6234347079995949E-3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0.14310893302381564</v>
      </c>
      <c r="J341" s="9"/>
      <c r="K341" s="7">
        <v>996.35</v>
      </c>
      <c r="L341" s="8">
        <f>IFERROR(K341/K444, "NA")</f>
        <v>9.5762240910444354E-3</v>
      </c>
      <c r="M341" s="9"/>
      <c r="N341" s="10">
        <f t="shared" si="85"/>
        <v>-35.639999999999986</v>
      </c>
      <c r="O341" s="8">
        <f>IFERROR(N341/N444, "NA")</f>
        <v>-1.1161776864680699E-2</v>
      </c>
      <c r="P341" s="9"/>
      <c r="Q341" s="7">
        <v>10282.219999999999</v>
      </c>
      <c r="R341" s="8">
        <f>IFERROR(Q341/Q444, "NA")</f>
        <v>9.035759875943657E-3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-10282.219999999999</v>
      </c>
      <c r="X341" s="8">
        <f>IFERROR(W341/W444, "NA")</f>
        <v>8.926195261595643E-2</v>
      </c>
      <c r="Y341" s="9"/>
      <c r="Z341" s="7">
        <v>9692.11</v>
      </c>
      <c r="AA341" s="8">
        <f>IFERROR(Z341/Z444, "NA")</f>
        <v>8.8846606662825855E-3</v>
      </c>
      <c r="AB341" s="9"/>
      <c r="AC341" s="10">
        <f t="shared" si="87"/>
        <v>-590.10999999999876</v>
      </c>
      <c r="AD341" s="8">
        <f>IFERROR(AC341/AC444, "NA")</f>
        <v>-1.2537877516297256E-2</v>
      </c>
    </row>
    <row r="342" spans="1:30" ht="16.5" customHeight="1" x14ac:dyDescent="0.45">
      <c r="A342" s="13" t="s">
        <v>312</v>
      </c>
      <c r="B342" s="14">
        <f>IFERROR(B337+B338+B339+B340+B341, "NA")</f>
        <v>4273.7699999999995</v>
      </c>
      <c r="C342" s="15">
        <f>IFERROR(B342/B444, "NA")</f>
        <v>3.9853435161200622E-2</v>
      </c>
      <c r="D342" s="2"/>
      <c r="E342" s="14">
        <f>IFERROR(E337+E338+E339+E340+E341, "NA")</f>
        <v>4597.7</v>
      </c>
      <c r="F342" s="15">
        <f>IFERROR(E342/E444, "NA")</f>
        <v>4.01726891769566E-2</v>
      </c>
      <c r="G342" s="2"/>
      <c r="H342" s="14">
        <f t="shared" si="84"/>
        <v>323.93000000000029</v>
      </c>
      <c r="I342" s="15">
        <f>IFERROR(H342/H444, "NA")</f>
        <v>-4.4920277012766248E-2</v>
      </c>
      <c r="J342" s="2"/>
      <c r="K342" s="14">
        <f>IFERROR(K337+K338+K339+K340+K341, "NA")</f>
        <v>4393.0300000000007</v>
      </c>
      <c r="L342" s="15">
        <f>IFERROR(K342/K444, "NA")</f>
        <v>4.2222752766277856E-2</v>
      </c>
      <c r="M342" s="2"/>
      <c r="N342" s="14">
        <f t="shared" si="85"/>
        <v>119.26000000000113</v>
      </c>
      <c r="O342" s="15">
        <f>IFERROR(N342/N444, "NA")</f>
        <v>3.734998622002899E-2</v>
      </c>
      <c r="P342" s="2"/>
      <c r="Q342" s="14">
        <f>IFERROR(Q337+Q338+Q339+Q340+Q341, "NA")</f>
        <v>48947.810000000005</v>
      </c>
      <c r="R342" s="15">
        <f>IFERROR(Q342/Q444, "NA")</f>
        <v>4.3014121231924017E-2</v>
      </c>
      <c r="S342" s="2"/>
      <c r="T342" s="14">
        <f>IFERROR(T337+T338+T339+T340+T341, "NA")</f>
        <v>51765.4</v>
      </c>
      <c r="U342" s="15">
        <f>IFERROR(T342/T444, "NA")</f>
        <v>4.13085865384221E-2</v>
      </c>
      <c r="V342" s="2"/>
      <c r="W342" s="14">
        <f t="shared" si="86"/>
        <v>2817.5899999999965</v>
      </c>
      <c r="X342" s="15">
        <f>IFERROR(W342/W444, "NA")</f>
        <v>-2.4460047059019586E-2</v>
      </c>
      <c r="Y342" s="2"/>
      <c r="Z342" s="14">
        <f>IFERROR(Z337+Z338+Z339+Z340+Z341, "NA")</f>
        <v>47169.43</v>
      </c>
      <c r="AA342" s="15">
        <f>IFERROR(Z342/Z444, "NA")</f>
        <v>4.3239746491937237E-2</v>
      </c>
      <c r="AB342" s="2"/>
      <c r="AC342" s="14">
        <f t="shared" si="87"/>
        <v>-1778.3800000000047</v>
      </c>
      <c r="AD342" s="15">
        <f>IFERROR(AC342/AC444, "NA")</f>
        <v>-3.7784668311726319E-2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24432.7</v>
      </c>
      <c r="C343" s="15">
        <f>IFERROR(B343/B444, "NA")</f>
        <v>0.22783795694739456</v>
      </c>
      <c r="D343" s="2"/>
      <c r="E343" s="14">
        <f>IFERROR(E328+E329+E330+E331+E332+E333+E334+E335+E337+E338+E339+E340+E341, "NA")</f>
        <v>24531.7</v>
      </c>
      <c r="F343" s="15">
        <f>IFERROR(E343/E444, "NA")</f>
        <v>0.21434725168722327</v>
      </c>
      <c r="G343" s="2"/>
      <c r="H343" s="14">
        <f t="shared" si="84"/>
        <v>99</v>
      </c>
      <c r="I343" s="15">
        <f>IFERROR(H343/H444, "NA")</f>
        <v>-1.372860625525223E-2</v>
      </c>
      <c r="J343" s="2"/>
      <c r="K343" s="14">
        <f>IFERROR(K328+K329+K330+K331+K332+K333+K334+K335+K337+K338+K339+K340+K341, "NA")</f>
        <v>23911.849999999995</v>
      </c>
      <c r="L343" s="15">
        <f>IFERROR(K343/K444, "NA")</f>
        <v>0.22982409196712084</v>
      </c>
      <c r="M343" s="2"/>
      <c r="N343" s="14">
        <f t="shared" si="85"/>
        <v>-520.85000000000582</v>
      </c>
      <c r="O343" s="15">
        <f>IFERROR(N343/N444, "NA")</f>
        <v>-0.16312041189587567</v>
      </c>
      <c r="P343" s="2"/>
      <c r="Q343" s="14">
        <f>IFERROR(Q328+Q329+Q330+Q331+Q332+Q333+Q334+Q335+Q337+Q338+Q339+Q340+Q341, "NA")</f>
        <v>260329.73</v>
      </c>
      <c r="R343" s="15">
        <f>IFERROR(Q343/Q444, "NA")</f>
        <v>0.22877130900226275</v>
      </c>
      <c r="S343" s="2"/>
      <c r="T343" s="14">
        <f>IFERROR(T328+T329+T330+T331+T332+T333+T334+T335+T337+T338+T339+T340+T341, "NA")</f>
        <v>261579.4</v>
      </c>
      <c r="U343" s="15">
        <f>IFERROR(T343/T444, "NA")</f>
        <v>0.20873933711646253</v>
      </c>
      <c r="V343" s="2"/>
      <c r="W343" s="14">
        <f t="shared" si="86"/>
        <v>1249.6699999999837</v>
      </c>
      <c r="X343" s="15">
        <f>IFERROR(W343/W444, "NA")</f>
        <v>-1.0848628440704521E-2</v>
      </c>
      <c r="Y343" s="2"/>
      <c r="Z343" s="14">
        <f>IFERROR(Z328+Z329+Z330+Z331+Z332+Z333+Z334+Z335+Z337+Z338+Z339+Z340+Z341, "NA")</f>
        <v>254027.99</v>
      </c>
      <c r="AA343" s="15">
        <f>IFERROR(Z343/Z444, "NA")</f>
        <v>0.23286492733654754</v>
      </c>
      <c r="AB343" s="2"/>
      <c r="AC343" s="14">
        <f t="shared" si="87"/>
        <v>-6301.7400000000198</v>
      </c>
      <c r="AD343" s="15">
        <f>IFERROR(AC343/AC444, "NA")</f>
        <v>-0.13389104448247188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24432.7</v>
      </c>
      <c r="C344" s="15">
        <f>IFERROR(B344/B444, "NA")</f>
        <v>0.22783795694739456</v>
      </c>
      <c r="D344" s="2"/>
      <c r="E344" s="14">
        <f>IFERROR(E328+E329+E330+E331+E332+E333+E334+E335+E337+E338+E339+E340+E341, "NA")</f>
        <v>24531.7</v>
      </c>
      <c r="F344" s="15">
        <f>IFERROR(E344/E444, "NA")</f>
        <v>0.21434725168722327</v>
      </c>
      <c r="G344" s="2"/>
      <c r="H344" s="14">
        <f t="shared" si="84"/>
        <v>99</v>
      </c>
      <c r="I344" s="15">
        <f>IFERROR(H344/H444, "NA")</f>
        <v>-1.372860625525223E-2</v>
      </c>
      <c r="J344" s="2"/>
      <c r="K344" s="14">
        <f>IFERROR(K328+K329+K330+K331+K332+K333+K334+K335+K337+K338+K339+K340+K341, "NA")</f>
        <v>23911.849999999995</v>
      </c>
      <c r="L344" s="15">
        <f>IFERROR(K344/K444, "NA")</f>
        <v>0.22982409196712084</v>
      </c>
      <c r="M344" s="2"/>
      <c r="N344" s="14">
        <f t="shared" si="85"/>
        <v>-520.85000000000582</v>
      </c>
      <c r="O344" s="15">
        <f>IFERROR(N344/N444, "NA")</f>
        <v>-0.16312041189587567</v>
      </c>
      <c r="P344" s="2"/>
      <c r="Q344" s="14">
        <f>IFERROR(Q328+Q329+Q330+Q331+Q332+Q333+Q334+Q335+Q337+Q338+Q339+Q340+Q341, "NA")</f>
        <v>260329.73</v>
      </c>
      <c r="R344" s="15">
        <f>IFERROR(Q344/Q444, "NA")</f>
        <v>0.22877130900226275</v>
      </c>
      <c r="S344" s="2"/>
      <c r="T344" s="14">
        <f>IFERROR(T328+T329+T330+T331+T332+T333+T334+T335+T337+T338+T339+T340+T341, "NA")</f>
        <v>261579.4</v>
      </c>
      <c r="U344" s="15">
        <f>IFERROR(T344/T444, "NA")</f>
        <v>0.20873933711646253</v>
      </c>
      <c r="V344" s="2"/>
      <c r="W344" s="14">
        <f t="shared" si="86"/>
        <v>1249.6699999999837</v>
      </c>
      <c r="X344" s="15">
        <f>IFERROR(W344/W444, "NA")</f>
        <v>-1.0848628440704521E-2</v>
      </c>
      <c r="Y344" s="2"/>
      <c r="Z344" s="14">
        <f>IFERROR(Z328+Z329+Z330+Z331+Z332+Z333+Z334+Z335+Z337+Z338+Z339+Z340+Z341, "NA")</f>
        <v>254027.99</v>
      </c>
      <c r="AA344" s="15">
        <f>IFERROR(Z344/Z444, "NA")</f>
        <v>0.23286492733654754</v>
      </c>
      <c r="AB344" s="2"/>
      <c r="AC344" s="14">
        <f t="shared" si="87"/>
        <v>-6301.7400000000198</v>
      </c>
      <c r="AD344" s="15">
        <f>IFERROR(AC344/AC444, "NA")</f>
        <v>-0.13389104448247188</v>
      </c>
    </row>
    <row r="345" spans="1:30" ht="16.5" customHeight="1" x14ac:dyDescent="0.45">
      <c r="A345" s="22" t="s">
        <v>315</v>
      </c>
      <c r="B345" s="23">
        <f>IFERROR(B198-B325-B344, "NA")</f>
        <v>-4289.2600000000057</v>
      </c>
      <c r="C345" s="24">
        <f>IFERROR(B345/B444, "NA")</f>
        <v>-3.9997881331829181E-2</v>
      </c>
      <c r="D345" s="25"/>
      <c r="E345" s="23">
        <f>IFERROR(E198-E325-E344, "NA")</f>
        <v>10267.199999999986</v>
      </c>
      <c r="F345" s="24">
        <f>IFERROR(E345/E444, "NA")</f>
        <v>8.9710297391662849E-2</v>
      </c>
      <c r="G345" s="25"/>
      <c r="H345" s="23">
        <f>IFERROR(B345-E345, "NA")</f>
        <v>-14556.459999999992</v>
      </c>
      <c r="I345" s="24">
        <f>IFERROR(H345/H444, "NA")</f>
        <v>2.018584927377058</v>
      </c>
      <c r="J345" s="25"/>
      <c r="K345" s="23">
        <f>IFERROR(K198-K325-K344, "NA")</f>
        <v>-8486.7499999999818</v>
      </c>
      <c r="L345" s="24">
        <f>IFERROR(K345/K444, "NA")</f>
        <v>-8.1568745726573189E-2</v>
      </c>
      <c r="M345" s="25"/>
      <c r="N345" s="23">
        <f>IFERROR(B345-K345, "NA")</f>
        <v>4197.4899999999761</v>
      </c>
      <c r="O345" s="24">
        <f>IFERROR(N345/N444, "NA")</f>
        <v>1.3145748252449028</v>
      </c>
      <c r="P345" s="25"/>
      <c r="Q345" s="23">
        <f>IFERROR(Q198-Q325-Q344, "NA")</f>
        <v>-58395.480000000156</v>
      </c>
      <c r="R345" s="24">
        <f>IFERROR(Q345/Q444, "NA")</f>
        <v>-5.1316499269658859E-2</v>
      </c>
      <c r="S345" s="25"/>
      <c r="T345" s="23">
        <f>IFERROR(T198-T325-T344, "NA")</f>
        <v>89466.810000000085</v>
      </c>
      <c r="U345" s="24">
        <f>IFERROR(T345/T444, "NA")</f>
        <v>7.1394164117375147E-2</v>
      </c>
      <c r="V345" s="25"/>
      <c r="W345" s="23">
        <f>IFERROR(Q345-T345, "NA")</f>
        <v>-147862.29000000024</v>
      </c>
      <c r="X345" s="24">
        <f>IFERROR(W345/W444, "NA")</f>
        <v>1.2836213117076694</v>
      </c>
      <c r="Y345" s="25"/>
      <c r="Z345" s="23">
        <f>IFERROR(Z198-Z325-Z344, "NA")</f>
        <v>-45041.350000000384</v>
      </c>
      <c r="AA345" s="24">
        <f>IFERROR(Z345/Z444, "NA")</f>
        <v>-4.1288956759804679E-2</v>
      </c>
      <c r="AB345" s="25"/>
      <c r="AC345" s="23">
        <f>IFERROR(Q345-Z345, "NA")</f>
        <v>-13354.129999999772</v>
      </c>
      <c r="AD345" s="24">
        <f>IFERROR(AC345/AC444, "NA")</f>
        <v>-0.28373090826576092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-4289.2600000000057</v>
      </c>
      <c r="C404" s="24">
        <f>IFERROR(B404/B444, "NA")</f>
        <v>-3.9997881331829181E-2</v>
      </c>
      <c r="D404" s="25"/>
      <c r="E404" s="23">
        <f>IFERROR(E345-E403, "NA")</f>
        <v>10267.199999999986</v>
      </c>
      <c r="F404" s="24">
        <f>IFERROR(E404/E444, "NA")</f>
        <v>8.9710297391662849E-2</v>
      </c>
      <c r="G404" s="25"/>
      <c r="H404" s="23">
        <f>IFERROR(B404-E404, "NA")</f>
        <v>-14556.459999999992</v>
      </c>
      <c r="I404" s="24">
        <f>IFERROR(H404/H444, "NA")</f>
        <v>2.018584927377058</v>
      </c>
      <c r="J404" s="25"/>
      <c r="K404" s="23">
        <f>IFERROR(K345-K403, "NA")</f>
        <v>-8486.7499999999818</v>
      </c>
      <c r="L404" s="24">
        <f>IFERROR(K404/K444, "NA")</f>
        <v>-8.1568745726573189E-2</v>
      </c>
      <c r="M404" s="25"/>
      <c r="N404" s="23">
        <f>IFERROR(B404-K404, "NA")</f>
        <v>4197.4899999999761</v>
      </c>
      <c r="O404" s="24">
        <f>IFERROR(N404/N444, "NA")</f>
        <v>1.3145748252449028</v>
      </c>
      <c r="P404" s="25"/>
      <c r="Q404" s="23">
        <f>IFERROR(Q345-Q403, "NA")</f>
        <v>-58395.480000000156</v>
      </c>
      <c r="R404" s="24">
        <f>IFERROR(Q404/Q444, "NA")</f>
        <v>-5.1316499269658859E-2</v>
      </c>
      <c r="S404" s="25"/>
      <c r="T404" s="23">
        <f>IFERROR(T345-T403, "NA")</f>
        <v>89466.810000000085</v>
      </c>
      <c r="U404" s="24">
        <f>IFERROR(T404/T444, "NA")</f>
        <v>7.1394164117375147E-2</v>
      </c>
      <c r="V404" s="25"/>
      <c r="W404" s="23">
        <f>IFERROR(Q404-T404, "NA")</f>
        <v>-147862.29000000024</v>
      </c>
      <c r="X404" s="24">
        <f>IFERROR(W404/W444, "NA")</f>
        <v>1.2836213117076694</v>
      </c>
      <c r="Y404" s="25"/>
      <c r="Z404" s="23">
        <f>IFERROR(Z345-Z403, "NA")</f>
        <v>-45041.350000000384</v>
      </c>
      <c r="AA404" s="24">
        <f>IFERROR(Z404/Z444, "NA")</f>
        <v>-4.1288956759804679E-2</v>
      </c>
      <c r="AB404" s="25"/>
      <c r="AC404" s="23">
        <f>IFERROR(Q404-Z404, "NA")</f>
        <v>-13354.129999999772</v>
      </c>
      <c r="AD404" s="24">
        <f>IFERROR(AC404/AC444, "NA")</f>
        <v>-0.28373090826576092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-142.4</v>
      </c>
      <c r="C408" s="8">
        <f>IFERROR(B408/B444, "NA")</f>
        <v>-1.3278976563911883E-3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142.4</v>
      </c>
      <c r="I408" s="8">
        <f>IFERROR(H408/H444, "NA")</f>
        <v>-1.9747005361090076E-2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142.4</v>
      </c>
      <c r="O408" s="8">
        <f>IFERROR(N408/N444, "NA")</f>
        <v>4.4596998471675989E-2</v>
      </c>
      <c r="P408" s="9"/>
      <c r="Q408" s="7">
        <v>-142.4</v>
      </c>
      <c r="R408" s="8">
        <f>IFERROR(Q408/Q444, "NA")</f>
        <v>-1.2513758763519717E-4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142.4</v>
      </c>
      <c r="X408" s="8">
        <f>IFERROR(W408/W444, "NA")</f>
        <v>-1.2362021093219361E-3</v>
      </c>
      <c r="Y408" s="9"/>
      <c r="Z408" s="7">
        <v>5722.56</v>
      </c>
      <c r="AA408" s="8">
        <f>IFERROR(Z408/Z444, "NA")</f>
        <v>5.2458137332781068E-3</v>
      </c>
      <c r="AB408" s="9"/>
      <c r="AC408" s="10">
        <f t="shared" si="103"/>
        <v>5864.96</v>
      </c>
      <c r="AD408" s="8">
        <f>IFERROR(AC408/AC444, "NA")</f>
        <v>0.12461092019790024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10315.549999999999</v>
      </c>
      <c r="C410" s="8">
        <f>IFERROR(B410/B444, "NA")</f>
        <v>9.619378279063287E-2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-10315.549999999999</v>
      </c>
      <c r="I410" s="8">
        <f>IFERROR(H410/H444, "NA")</f>
        <v>1.4304861035996679</v>
      </c>
      <c r="J410" s="9"/>
      <c r="K410" s="7">
        <v>9542.9</v>
      </c>
      <c r="L410" s="8">
        <f>IFERROR(K410/K444, "NA")</f>
        <v>9.1719725877882213E-2</v>
      </c>
      <c r="M410" s="9"/>
      <c r="N410" s="10">
        <f t="shared" si="101"/>
        <v>-772.64999999999964</v>
      </c>
      <c r="O410" s="8">
        <f>IFERROR(N410/N444, "NA")</f>
        <v>-0.24197943026081764</v>
      </c>
      <c r="P410" s="9"/>
      <c r="Q410" s="7">
        <v>100036.79</v>
      </c>
      <c r="R410" s="8">
        <f>IFERROR(Q410/Q444, "NA")</f>
        <v>8.7909849546129307E-2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-100036.79</v>
      </c>
      <c r="X410" s="8">
        <f>IFERROR(W410/W444, "NA")</f>
        <v>0.86843883994238447</v>
      </c>
      <c r="Y410" s="9"/>
      <c r="Z410" s="7">
        <v>95429</v>
      </c>
      <c r="AA410" s="8">
        <f>IFERROR(Z410/Z444, "NA")</f>
        <v>8.7478813459884466E-2</v>
      </c>
      <c r="AB410" s="9"/>
      <c r="AC410" s="10">
        <f t="shared" si="103"/>
        <v>-4607.7899999999936</v>
      </c>
      <c r="AD410" s="8">
        <f>IFERROR(AC410/AC444, "NA")</f>
        <v>-9.7900233246037818E-2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-58.65</v>
      </c>
      <c r="C416" s="8">
        <f>IFERROR(B416/B444, "NA")</f>
        <v>-5.4691852210212919E-4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58.65</v>
      </c>
      <c r="I416" s="8">
        <f>IFERROR(H416/H444, "NA")</f>
        <v>-8.1331591603085174E-3</v>
      </c>
      <c r="J416" s="9"/>
      <c r="K416" s="7">
        <v>-63.83</v>
      </c>
      <c r="L416" s="8">
        <f>IFERROR(K416/K444, "NA")</f>
        <v>-6.1348962084745954E-4</v>
      </c>
      <c r="M416" s="9"/>
      <c r="N416" s="10">
        <f t="shared" si="101"/>
        <v>-5.18</v>
      </c>
      <c r="O416" s="8">
        <f>IFERROR(N416/N444, "NA")</f>
        <v>-1.6222784556410223E-3</v>
      </c>
      <c r="P416" s="9"/>
      <c r="Q416" s="7">
        <v>-127.5</v>
      </c>
      <c r="R416" s="8">
        <f>IFERROR(Q416/Q444, "NA")</f>
        <v>-1.1204383724359296E-4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127.5</v>
      </c>
      <c r="X416" s="8">
        <f>IFERROR(W416/W444, "NA")</f>
        <v>-1.1068523099617054E-3</v>
      </c>
      <c r="Y416" s="9"/>
      <c r="Z416" s="7">
        <v>-539.1</v>
      </c>
      <c r="AA416" s="8">
        <f>IFERROR(Z416/Z444, "NA")</f>
        <v>-4.9418759848917748E-4</v>
      </c>
      <c r="AB416" s="9"/>
      <c r="AC416" s="10">
        <f t="shared" si="103"/>
        <v>-411.6</v>
      </c>
      <c r="AD416" s="8">
        <f>IFERROR(AC416/AC444, "NA")</f>
        <v>-8.7451329170967467E-3</v>
      </c>
    </row>
    <row r="417" spans="1:30" ht="16.5" customHeight="1" x14ac:dyDescent="0.45">
      <c r="A417" s="6" t="s">
        <v>382</v>
      </c>
      <c r="B417" s="7">
        <v>-11.96</v>
      </c>
      <c r="C417" s="8">
        <f>IFERROR(B417/B444, "NA")</f>
        <v>-1.1152848293847341E-4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11.96</v>
      </c>
      <c r="I417" s="8">
        <f>IFERROR(H417/H444, "NA")</f>
        <v>-1.6585265738668351E-3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11.96</v>
      </c>
      <c r="O417" s="8">
        <f>IFERROR(N417/N444, "NA")</f>
        <v>3.7456467817503147E-3</v>
      </c>
      <c r="P417" s="9"/>
      <c r="Q417" s="7">
        <v>-370.49</v>
      </c>
      <c r="R417" s="8">
        <f>IFERROR(Q417/Q444, "NA")</f>
        <v>-3.2557742165002947E-4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370.49</v>
      </c>
      <c r="X417" s="8">
        <f>IFERROR(W417/W444, "NA")</f>
        <v>-3.2162957828840173E-3</v>
      </c>
      <c r="Y417" s="9"/>
      <c r="Z417" s="7">
        <v>-79.650000000000006</v>
      </c>
      <c r="AA417" s="8">
        <f>IFERROR(Z417/Z444, "NA")</f>
        <v>-7.3014361379452773E-5</v>
      </c>
      <c r="AB417" s="9"/>
      <c r="AC417" s="10">
        <f t="shared" si="103"/>
        <v>290.84000000000003</v>
      </c>
      <c r="AD417" s="8">
        <f>IFERROR(AC417/AC444, "NA")</f>
        <v>6.1793840077949908E-3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2.2440572084984354E-5</v>
      </c>
      <c r="AB424" s="9"/>
      <c r="AC424" s="10">
        <f t="shared" si="103"/>
        <v>24.48</v>
      </c>
      <c r="AD424" s="8">
        <f>IFERROR(AC424/AC444, "NA")</f>
        <v>5.2011869244540415E-4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10102.540000000001</v>
      </c>
      <c r="C428" s="15">
        <f>IFERROR(B428/B444, "NA")</f>
        <v>9.4207438129201099E-2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-10102.540000000001</v>
      </c>
      <c r="I428" s="15">
        <f>IFERROR(H428/H444, "NA")</f>
        <v>1.4009474125044028</v>
      </c>
      <c r="J428" s="2"/>
      <c r="K428" s="14">
        <f>IFERROR(K407+K408+K409+K410+K411+K412+K413+K414+K415+K416+K417+K418+K419+K420+K421+K422+K423+K424+K425+K426+K427, "NA")</f>
        <v>9479.07</v>
      </c>
      <c r="L428" s="15">
        <f>IFERROR(K428/K444, "NA")</f>
        <v>9.1106236257034748E-2</v>
      </c>
      <c r="M428" s="2"/>
      <c r="N428" s="14">
        <f t="shared" si="101"/>
        <v>-623.47000000000116</v>
      </c>
      <c r="O428" s="15">
        <f>IFERROR(N428/N444, "NA")</f>
        <v>-0.19525906346303284</v>
      </c>
      <c r="P428" s="2"/>
      <c r="Q428" s="14">
        <f>IFERROR(Q407+Q408+Q409+Q410+Q411+Q412+Q413+Q414+Q415+Q416+Q417+Q418+Q419+Q420+Q421+Q422+Q423+Q424+Q425+Q426+Q427, "NA")</f>
        <v>99396.4</v>
      </c>
      <c r="R428" s="15">
        <f>IFERROR(Q428/Q444, "NA")</f>
        <v>8.7347090699600491E-2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-99396.4</v>
      </c>
      <c r="X428" s="15">
        <f>IFERROR(W428/W444, "NA")</f>
        <v>0.86287948974021678</v>
      </c>
      <c r="Y428" s="2"/>
      <c r="Z428" s="14">
        <f>IFERROR(Z407+Z408+Z409+Z410+Z411+Z412+Z413+Z414+Z415+Z416+Z417+Z418+Z419+Z420+Z421+Z422+Z423+Z424+Z425+Z426+Z427, "NA")</f>
        <v>100557.29</v>
      </c>
      <c r="AA428" s="15">
        <f>IFERROR(Z428/Z444, "NA")</f>
        <v>9.217986580537893E-2</v>
      </c>
      <c r="AB428" s="2"/>
      <c r="AC428" s="14">
        <f t="shared" si="103"/>
        <v>1160.8899999999994</v>
      </c>
      <c r="AD428" s="15">
        <f>IFERROR(AC428/AC444, "NA")</f>
        <v>2.4665056735005922E-2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10102.540000000001</v>
      </c>
      <c r="C429" s="15">
        <f>IFERROR(B429/B444, "NA")</f>
        <v>9.4207438129201099E-2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-10102.540000000001</v>
      </c>
      <c r="I429" s="15">
        <f>IFERROR(H429/H444, "NA")</f>
        <v>1.4009474125044028</v>
      </c>
      <c r="J429" s="2"/>
      <c r="K429" s="14">
        <f>IFERROR(K407+K408+K409+K410+K411+K412+K413+K414+K415+K416+K417+K418+K419+K420+K421+K422+K423+K424+K425+K426+K427, "NA")</f>
        <v>9479.07</v>
      </c>
      <c r="L429" s="15">
        <f>IFERROR(K429/K444, "NA")</f>
        <v>9.1106236257034748E-2</v>
      </c>
      <c r="M429" s="2"/>
      <c r="N429" s="14">
        <f t="shared" si="101"/>
        <v>-623.47000000000116</v>
      </c>
      <c r="O429" s="15">
        <f>IFERROR(N429/N444, "NA")</f>
        <v>-0.19525906346303284</v>
      </c>
      <c r="P429" s="2"/>
      <c r="Q429" s="14">
        <f>IFERROR(Q407+Q408+Q409+Q410+Q411+Q412+Q413+Q414+Q415+Q416+Q417+Q418+Q419+Q420+Q421+Q422+Q423+Q424+Q425+Q426+Q427, "NA")</f>
        <v>99396.4</v>
      </c>
      <c r="R429" s="15">
        <f>IFERROR(Q429/Q444, "NA")</f>
        <v>8.7347090699600491E-2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-99396.4</v>
      </c>
      <c r="X429" s="15">
        <f>IFERROR(W429/W444, "NA")</f>
        <v>0.86287948974021678</v>
      </c>
      <c r="Y429" s="2"/>
      <c r="Z429" s="14">
        <f>IFERROR(Z407+Z408+Z409+Z410+Z411+Z412+Z413+Z414+Z415+Z416+Z417+Z418+Z419+Z420+Z421+Z422+Z423+Z424+Z425+Z426+Z427, "NA")</f>
        <v>100557.29</v>
      </c>
      <c r="AA429" s="15">
        <f>IFERROR(Z429/Z444, "NA")</f>
        <v>9.217986580537893E-2</v>
      </c>
      <c r="AB429" s="2"/>
      <c r="AC429" s="14">
        <f t="shared" si="103"/>
        <v>1160.8899999999994</v>
      </c>
      <c r="AD429" s="15">
        <f>IFERROR(AC429/AC444, "NA")</f>
        <v>2.4665056735005922E-2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-14391.800000000007</v>
      </c>
      <c r="C443" s="24">
        <f>IFERROR(B443/B444, "NA")</f>
        <v>-0.13420531946103029</v>
      </c>
      <c r="D443" s="25"/>
      <c r="E443" s="23">
        <f>IFERROR(E404-E429-E442, "NA")</f>
        <v>10267.199999999986</v>
      </c>
      <c r="F443" s="24">
        <f>IFERROR(E443/E444, "NA")</f>
        <v>8.9710297391662849E-2</v>
      </c>
      <c r="G443" s="25"/>
      <c r="H443" s="23">
        <f>IFERROR(B443-E443, "NA")</f>
        <v>-24658.999999999993</v>
      </c>
      <c r="I443" s="24">
        <f>IFERROR(H443/H444, "NA")</f>
        <v>3.419532339881461</v>
      </c>
      <c r="J443" s="25"/>
      <c r="K443" s="23">
        <f>IFERROR(K404-K429-K442, "NA")</f>
        <v>-17965.819999999982</v>
      </c>
      <c r="L443" s="24">
        <f>IFERROR(K443/K444, "NA")</f>
        <v>-0.17267498198360792</v>
      </c>
      <c r="M443" s="25"/>
      <c r="N443" s="23">
        <f>IFERROR(B443-K443, "NA")</f>
        <v>3574.019999999975</v>
      </c>
      <c r="O443" s="24">
        <f>IFERROR(N443/N444, "NA")</f>
        <v>1.1193157617818701</v>
      </c>
      <c r="P443" s="25"/>
      <c r="Q443" s="23">
        <f>IFERROR(Q404-Q429-Q442, "NA")</f>
        <v>-157791.88000000015</v>
      </c>
      <c r="R443" s="24">
        <f>IFERROR(Q443/Q444, "NA")</f>
        <v>-0.13866358996925934</v>
      </c>
      <c r="S443" s="25"/>
      <c r="T443" s="23">
        <f>IFERROR(T404-T429-T442, "NA")</f>
        <v>89466.810000000085</v>
      </c>
      <c r="U443" s="24">
        <f>IFERROR(T443/T444, "NA")</f>
        <v>7.1394164117375147E-2</v>
      </c>
      <c r="V443" s="25"/>
      <c r="W443" s="23">
        <f>IFERROR(Q443-T443, "NA")</f>
        <v>-247258.69000000024</v>
      </c>
      <c r="X443" s="24">
        <f>IFERROR(W443/W444, "NA")</f>
        <v>2.1465008014478859</v>
      </c>
      <c r="Y443" s="25"/>
      <c r="Z443" s="23">
        <f>IFERROR(Z404-Z429-Z442, "NA")</f>
        <v>-145598.64000000036</v>
      </c>
      <c r="AA443" s="24">
        <f>IFERROR(Z443/Z444, "NA")</f>
        <v>-0.13346882256518358</v>
      </c>
      <c r="AB443" s="25"/>
      <c r="AC443" s="23">
        <f>IFERROR(Q443-Z443, "NA")</f>
        <v>-12193.239999999787</v>
      </c>
      <c r="AD443" s="24">
        <f>IFERROR(AC443/AC444, "NA")</f>
        <v>-0.25906585153075529</v>
      </c>
    </row>
    <row r="444" spans="1:30" ht="15.75" hidden="1" x14ac:dyDescent="0.45">
      <c r="A444" s="26" t="s">
        <v>117</v>
      </c>
      <c r="B444" s="7">
        <v>107237.18</v>
      </c>
      <c r="C444" s="27"/>
      <c r="D444" s="9"/>
      <c r="E444" s="7">
        <v>114448.4</v>
      </c>
      <c r="F444" s="27"/>
      <c r="G444" s="9"/>
      <c r="H444" s="10">
        <f>IFERROR(B444-E444, "NA")</f>
        <v>-7211.2200000000012</v>
      </c>
      <c r="I444" s="27"/>
      <c r="J444" s="9"/>
      <c r="K444" s="7">
        <v>104044.14</v>
      </c>
      <c r="L444" s="27"/>
      <c r="M444" s="9"/>
      <c r="N444" s="10">
        <f>IFERROR(B444-K444, "NA")</f>
        <v>3193.0399999999936</v>
      </c>
      <c r="O444" s="27"/>
      <c r="P444" s="9"/>
      <c r="Q444" s="7">
        <v>1137947.46</v>
      </c>
      <c r="R444" s="27"/>
      <c r="S444" s="9"/>
      <c r="T444" s="7">
        <v>1253138.98</v>
      </c>
      <c r="U444" s="27"/>
      <c r="V444" s="9"/>
      <c r="W444" s="10">
        <f>IFERROR(Q444-T444, "NA")</f>
        <v>-115191.52000000002</v>
      </c>
      <c r="X444" s="27"/>
      <c r="Y444" s="9"/>
      <c r="Z444" s="7">
        <v>1090881.28</v>
      </c>
      <c r="AA444" s="27"/>
      <c r="AB444" s="9"/>
      <c r="AC444" s="10">
        <f>IFERROR(Q444-Z444, "NA")</f>
        <v>47066.179999999935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2026-04-07T02:02:14Z</dcterms:created>
  <dcterms:modified xsi:type="dcterms:W3CDTF">2026-04-07T02:02:51Z</dcterms:modified>
</cp:coreProperties>
</file>